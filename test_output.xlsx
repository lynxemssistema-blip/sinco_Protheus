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rga por Recurs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"/>
  <sheetViews>
    <sheetView workbookViewId="0"/>
  </sheetViews>
  <cols>
    <col min="1" max="1" width="12.83203125" customWidth="1"/>
    <col min="2" max="2" width="12.83203125" customWidth="1"/>
    <col min="3" max="3" width="12.83203125" customWidth="1"/>
    <col min="4" max="4" width="12.83203125" customWidth="1"/>
    <col min="5" max="5" width="12.83203125" customWidth="1"/>
    <col min="6" max="6" width="12.83203125" customWidth="1"/>
    <col min="7" max="7" width="18.83203125" customWidth="1"/>
    <col min="8" max="8" width="12.83203125" customWidth="1"/>
    <col min="9" max="9" width="12.83203125" customWidth="1"/>
    <col min="10" max="10" width="16.83203125" customWidth="1"/>
    <col min="11" max="11" width="12.83203125" customWidth="1"/>
    <col min="12" max="12" width="13.83203125" customWidth="1"/>
    <col min="13" max="13" width="22.83203125" customWidth="1"/>
    <col min="14" max="14" width="25.83203125" customWidth="1"/>
    <col min="15" max="15" width="17.83203125" customWidth="1"/>
    <col min="16" max="16" width="21.83203125" customWidth="1"/>
    <col min="17" max="17" width="25.83203125" customWidth="1"/>
    <col min="18" max="18" width="22.83203125" customWidth="1"/>
    <col min="19" max="19" width="19.83203125" customWidth="1"/>
    <col min="20" max="20" width="20.83203125" customWidth="1"/>
    <col min="21" max="21" width="21.83203125" customWidth="1"/>
  </cols>
  <sheetData>
    <row r="3">
      <c r="K3" t="str">
        <v>Numero de Dias com base no filtro DATA PCP</v>
      </c>
      <c r="M3">
        <f>M5-M7</f>
      </c>
      <c r="N3">
        <f>N5-N7</f>
      </c>
      <c r="O3">
        <f>O5-O7</f>
      </c>
      <c r="P3">
        <f>P5-P7</f>
      </c>
      <c r="Q3">
        <f>Q5-Q7</f>
      </c>
      <c r="R3">
        <f>R5-R7</f>
      </c>
      <c r="S3">
        <f>S5-S7</f>
      </c>
      <c r="T3">
        <f>T5-T7</f>
      </c>
      <c r="U3">
        <f>U5-U7</f>
      </c>
    </row>
    <row r="5">
      <c r="H5" t="str">
        <v>Data Maxima</v>
      </c>
      <c r="I5">
        <f>SUBTOTAL(104,$I$10:$I$10)</f>
      </c>
      <c r="J5" t="str">
        <v>CAPACIDADE</v>
      </c>
      <c r="K5">
        <f>NETWORKDAYS(I6,I5)</f>
      </c>
      <c r="M5">
        <f>$K$5*8</f>
      </c>
      <c r="N5">
        <f>$K$5*16</f>
      </c>
      <c r="O5">
        <f>$K$5*48</f>
      </c>
      <c r="P5">
        <f>$K$5*80</f>
      </c>
      <c r="Q5">
        <f>$K$5*64</f>
      </c>
      <c r="R5">
        <f>$K$5*64</f>
      </c>
      <c r="S5">
        <f>$K$5*16</f>
      </c>
      <c r="T5">
        <f>$K$5*48</f>
      </c>
      <c r="U5">
        <f>$K$5*64</f>
      </c>
    </row>
    <row r="6">
      <c r="H6" t="str">
        <v>Data Minima</v>
      </c>
      <c r="I6">
        <f>TODAY()</f>
      </c>
    </row>
    <row r="7">
      <c r="H7" t="str">
        <v>Data Minima</v>
      </c>
      <c r="I7">
        <f>SUBTOTAL(105,$I$10:$I$10)</f>
      </c>
      <c r="L7" t="str">
        <v>CARGA -Total em hh/m</v>
      </c>
      <c r="M7">
        <f>M8/50</f>
      </c>
      <c r="N7">
        <f>N8/50</f>
      </c>
      <c r="O7">
        <f>O8/50</f>
      </c>
      <c r="P7">
        <f>P8/50</f>
      </c>
      <c r="Q7">
        <f>Q8/50</f>
      </c>
      <c r="R7">
        <f>R8/50</f>
      </c>
      <c r="S7">
        <f>S8/50</f>
      </c>
      <c r="T7">
        <f>T8/50</f>
      </c>
      <c r="U7">
        <f>U8/50</f>
      </c>
    </row>
    <row r="8">
      <c r="L8" t="str">
        <v>Total Minutos</v>
      </c>
      <c r="M8">
        <f>SUBTOTAL(9,M10:M10)</f>
      </c>
      <c r="N8">
        <f>SUBTOTAL(9,N10:N10)</f>
      </c>
      <c r="O8">
        <f>SUBTOTAL(9,O10:O10)</f>
      </c>
      <c r="P8">
        <f>SUBTOTAL(9,P10:P10)</f>
      </c>
      <c r="Q8">
        <f>SUBTOTAL(9,Q10:Q10)</f>
      </c>
      <c r="R8">
        <f>SUBTOTAL(9,R10:R10)</f>
      </c>
      <c r="S8">
        <f>SUBTOTAL(9,S10:S10)</f>
      </c>
      <c r="T8">
        <f>SUBTOTAL(9,T10:T10)</f>
      </c>
      <c r="U8">
        <f>SUBTOTAL(9,U10:U10)</f>
      </c>
    </row>
    <row r="9">
      <c r="A9" t="str">
        <v>Pedido</v>
      </c>
      <c r="B9" t="str">
        <v>Emissão</v>
      </c>
      <c r="C9" t="str">
        <v>Cliente</v>
      </c>
      <c r="D9" t="str">
        <v>Item</v>
      </c>
      <c r="E9" t="str">
        <v>Produto</v>
      </c>
      <c r="F9" t="str">
        <v>Descrição</v>
      </c>
      <c r="G9" t="str">
        <v>Saldo a Faturar</v>
      </c>
      <c r="H9" t="str">
        <v>Entrega</v>
      </c>
      <c r="I9" t="str">
        <v>Data PCP</v>
      </c>
      <c r="J9" t="str">
        <v>Nova Data PCP</v>
      </c>
      <c r="K9" t="str">
        <v>Qtde PCP</v>
      </c>
      <c r="L9" t="str">
        <v>Prioridade</v>
      </c>
      <c r="M9" t="str">
        <v>MO0001 - GUILHOTINA</v>
      </c>
      <c r="N9" t="str">
        <v>MO0002 - PUNCIONADEIRA</v>
      </c>
      <c r="O9" t="str">
        <v>MO0013 - LASER</v>
      </c>
      <c r="P9" t="str">
        <v>MO0003 - VIRADEIRA</v>
      </c>
      <c r="Q9" t="str">
        <v>MO0020 - SOLDA MIG/TIG</v>
      </c>
      <c r="R9" t="str">
        <v>MO0008 - ACABAMENTO</v>
      </c>
      <c r="S9" t="str">
        <v>MO0010 - PINTURA</v>
      </c>
      <c r="T9" t="str">
        <v>MO0011 - MONTAGEM</v>
      </c>
      <c r="U9" t="str">
        <v>MO0012 - EMBALAGEM</v>
      </c>
    </row>
    <row r="10">
      <c r="A10" t="str">
        <v>005425</v>
      </c>
      <c r="B10" t="str">
        <v>2026-08-06</v>
      </c>
      <c r="C10" t="str">
        <v>VMI SISTEMAS DE SEGURANCA LTDA</v>
      </c>
      <c r="D10" t="str">
        <v>01</v>
      </c>
      <c r="E10" t="str">
        <v>MT5-26462</v>
      </c>
      <c r="F10" t="str">
        <v>ACABAMENTO FRONTAL</v>
      </c>
      <c r="G10">
        <v>2</v>
      </c>
      <c r="H10" t="str">
        <v>2026-09-01</v>
      </c>
      <c r="I10" t="str">
        <v>2026-09-01</v>
      </c>
      <c r="J10" t="str">
        <v/>
      </c>
      <c r="K10">
        <v>2</v>
      </c>
      <c r="L10" t="str">
        <v>Grupo 1</v>
      </c>
      <c r="M10">
        <v>0</v>
      </c>
      <c r="N10">
        <v>0</v>
      </c>
      <c r="O10">
        <v>2</v>
      </c>
      <c r="P10">
        <v>2</v>
      </c>
      <c r="Q10">
        <v>0</v>
      </c>
      <c r="R10">
        <v>0</v>
      </c>
      <c r="S10">
        <v>0</v>
      </c>
      <c r="T10">
        <v>0</v>
      </c>
      <c r="U10">
        <v>0</v>
      </c>
    </row>
  </sheetData>
  <ignoredErrors>
    <ignoredError numberStoredAsText="1" sqref="A1:U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Carga por Recurso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