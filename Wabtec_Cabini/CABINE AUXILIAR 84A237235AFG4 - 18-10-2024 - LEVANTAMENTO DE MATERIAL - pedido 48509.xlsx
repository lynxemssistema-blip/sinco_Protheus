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GE TRANSPORTES - WABTEC\Cabine CBH\Cabines CBH\Cabine Auxiliar 84A237235AFG4\BOM E CONTROLE DE REVISÃO CABINE AUXILIAR\"/>
    </mc:Choice>
  </mc:AlternateContent>
  <xr:revisionPtr revIDLastSave="0" documentId="13_ncr:1_{63BD0710-40AF-4110-8F12-720B21501E2E}" xr6:coauthVersionLast="47" xr6:coauthVersionMax="47" xr10:uidLastSave="{00000000-0000-0000-0000-000000000000}"/>
  <bookViews>
    <workbookView xWindow="-120" yWindow="-120" windowWidth="29040" windowHeight="15840" xr2:uid="{4C643687-0D48-4AB1-9311-D5522E183561}"/>
  </bookViews>
  <sheets>
    <sheet name="Planilha1" sheetId="1" r:id="rId1"/>
  </sheets>
  <definedNames>
    <definedName name="_xlnm._FilterDatabase" localSheetId="0" hidden="1">Planilha1!$A$1:$CR$1202</definedName>
    <definedName name="_xlnm.Print_Area" localSheetId="0">Planilha1!$X$1209:$AE$1378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87" i="1" l="1"/>
  <c r="AB1086" i="1"/>
  <c r="AB1085" i="1"/>
  <c r="AB1083" i="1"/>
  <c r="AB1081" i="1"/>
  <c r="AB1079" i="1"/>
  <c r="AB1037" i="1"/>
  <c r="AB1009" i="1"/>
  <c r="AB979" i="1"/>
  <c r="AB922" i="1"/>
  <c r="AB894" i="1"/>
  <c r="AB863" i="1"/>
  <c r="AE1371" i="1"/>
  <c r="Q791" i="1"/>
  <c r="AB791" i="1" s="1"/>
  <c r="AE1373" i="1"/>
  <c r="AE1372" i="1" l="1"/>
  <c r="X1211" i="1"/>
  <c r="BT1202" i="1"/>
  <c r="BS1202" i="1"/>
  <c r="BT1201" i="1"/>
  <c r="BS1201" i="1"/>
  <c r="BT1200" i="1"/>
  <c r="BS1200" i="1"/>
  <c r="BT1199" i="1"/>
  <c r="BS1199" i="1"/>
  <c r="BT1198" i="1"/>
  <c r="BS1198" i="1"/>
  <c r="BT1197" i="1"/>
  <c r="BS1197" i="1"/>
  <c r="CI1196" i="1"/>
  <c r="CC1196" i="1"/>
  <c r="BT1196" i="1"/>
  <c r="BS1196" i="1"/>
  <c r="BT1195" i="1"/>
  <c r="BS1195" i="1"/>
  <c r="BT1194" i="1"/>
  <c r="BS1194" i="1"/>
  <c r="BT1193" i="1"/>
  <c r="BS1193" i="1"/>
  <c r="BT1192" i="1"/>
  <c r="BS1192" i="1"/>
  <c r="BT1191" i="1"/>
  <c r="BS1191" i="1"/>
  <c r="BT1190" i="1"/>
  <c r="BS1190" i="1"/>
  <c r="BT1189" i="1"/>
  <c r="BS1189" i="1"/>
  <c r="BT1188" i="1"/>
  <c r="BS1188" i="1"/>
  <c r="BT1187" i="1"/>
  <c r="BS1187" i="1"/>
  <c r="BT1186" i="1"/>
  <c r="BS1186" i="1"/>
  <c r="BT1185" i="1"/>
  <c r="BS1185" i="1"/>
  <c r="CI1184" i="1"/>
  <c r="CC1184" i="1"/>
  <c r="BT1184" i="1"/>
  <c r="BS1184" i="1"/>
  <c r="BT1183" i="1"/>
  <c r="BS1183" i="1"/>
  <c r="BT1182" i="1"/>
  <c r="BS1182" i="1"/>
  <c r="CI1181" i="1"/>
  <c r="CC1181" i="1"/>
  <c r="BT1181" i="1"/>
  <c r="BS1181" i="1"/>
  <c r="CI1180" i="1"/>
  <c r="CC1180" i="1"/>
  <c r="BT1180" i="1"/>
  <c r="BS1180" i="1"/>
  <c r="BT1179" i="1"/>
  <c r="BS1179" i="1"/>
  <c r="BT1178" i="1"/>
  <c r="BS1178" i="1"/>
  <c r="CI1177" i="1"/>
  <c r="CC1177" i="1"/>
  <c r="BT1177" i="1"/>
  <c r="BS1177" i="1"/>
  <c r="BT1176" i="1"/>
  <c r="BS1176" i="1"/>
  <c r="BT1175" i="1"/>
  <c r="BS1175" i="1"/>
  <c r="CI1174" i="1"/>
  <c r="CC1174" i="1"/>
  <c r="BT1174" i="1"/>
  <c r="BS1174" i="1"/>
  <c r="CI1173" i="1"/>
  <c r="CC1173" i="1"/>
  <c r="BT1173" i="1"/>
  <c r="BS1173" i="1"/>
  <c r="BT1172" i="1"/>
  <c r="BS1172" i="1"/>
  <c r="BT1171" i="1"/>
  <c r="BS1171" i="1"/>
  <c r="BT1170" i="1"/>
  <c r="BS1170" i="1"/>
  <c r="BT1169" i="1"/>
  <c r="BS1169" i="1"/>
  <c r="BT1168" i="1"/>
  <c r="BS1168" i="1"/>
  <c r="BT1167" i="1"/>
  <c r="BS1167" i="1"/>
  <c r="BT1166" i="1"/>
  <c r="BS1166" i="1"/>
  <c r="BT1165" i="1"/>
  <c r="BS1165" i="1"/>
  <c r="BT1164" i="1"/>
  <c r="BS1164" i="1"/>
  <c r="BT1163" i="1"/>
  <c r="BS1163" i="1"/>
  <c r="CI1162" i="1"/>
  <c r="CC1162" i="1"/>
  <c r="BT1162" i="1"/>
  <c r="BS1162" i="1"/>
  <c r="CI1161" i="1"/>
  <c r="CC1161" i="1"/>
  <c r="BT1161" i="1"/>
  <c r="BS1161" i="1"/>
  <c r="CI1160" i="1"/>
  <c r="CC1160" i="1"/>
  <c r="BT1160" i="1"/>
  <c r="BS1160" i="1"/>
  <c r="BT1159" i="1"/>
  <c r="BS1159" i="1"/>
  <c r="BT1158" i="1"/>
  <c r="BS1158" i="1"/>
  <c r="BT1157" i="1"/>
  <c r="BS1157" i="1"/>
  <c r="BT1156" i="1"/>
  <c r="BS1156" i="1"/>
  <c r="CI1155" i="1"/>
  <c r="CC1155" i="1"/>
  <c r="BT1155" i="1"/>
  <c r="BS1155" i="1"/>
  <c r="CI1154" i="1"/>
  <c r="CC1154" i="1"/>
  <c r="BT1154" i="1"/>
  <c r="BS1154" i="1"/>
  <c r="BT1153" i="1"/>
  <c r="BS1153" i="1"/>
  <c r="BT1152" i="1"/>
  <c r="BS1152" i="1"/>
  <c r="BT1151" i="1"/>
  <c r="BS1151" i="1"/>
  <c r="BT1150" i="1"/>
  <c r="BS1150" i="1"/>
  <c r="BT1149" i="1"/>
  <c r="BS1149" i="1"/>
  <c r="BT1148" i="1"/>
  <c r="BS1148" i="1"/>
  <c r="BT1147" i="1"/>
  <c r="BS1147" i="1"/>
  <c r="BT1146" i="1"/>
  <c r="BS1146" i="1"/>
  <c r="BT1145" i="1"/>
  <c r="BS1145" i="1"/>
  <c r="BT1144" i="1"/>
  <c r="BS1144" i="1"/>
  <c r="CI1143" i="1"/>
  <c r="CC1143" i="1"/>
  <c r="BT1143" i="1"/>
  <c r="BS1143" i="1"/>
  <c r="CI1142" i="1"/>
  <c r="CC1142" i="1"/>
  <c r="BT1142" i="1"/>
  <c r="BS1142" i="1"/>
  <c r="CI1141" i="1"/>
  <c r="CC1141" i="1"/>
  <c r="BT1141" i="1"/>
  <c r="BS1141" i="1"/>
  <c r="BT1140" i="1"/>
  <c r="BS1140" i="1"/>
  <c r="BT1139" i="1"/>
  <c r="BS1139" i="1"/>
  <c r="BT1138" i="1"/>
  <c r="BS1138" i="1"/>
  <c r="BT1137" i="1"/>
  <c r="BS1137" i="1"/>
  <c r="CI1136" i="1"/>
  <c r="CC1136" i="1"/>
  <c r="BT1136" i="1"/>
  <c r="BS1136" i="1"/>
  <c r="CI1135" i="1"/>
  <c r="CC1135" i="1"/>
  <c r="BT1135" i="1"/>
  <c r="BS1135" i="1"/>
  <c r="BT1134" i="1"/>
  <c r="BS1134" i="1"/>
  <c r="BT1133" i="1"/>
  <c r="BS1133" i="1"/>
  <c r="CI1132" i="1"/>
  <c r="CC1132" i="1"/>
  <c r="BT1132" i="1"/>
  <c r="BS1132" i="1"/>
  <c r="BT1131" i="1"/>
  <c r="BS1131" i="1"/>
  <c r="BT1130" i="1"/>
  <c r="BS1130" i="1"/>
  <c r="CI1129" i="1"/>
  <c r="CC1129" i="1"/>
  <c r="BT1129" i="1"/>
  <c r="BS1129" i="1"/>
  <c r="BT1128" i="1"/>
  <c r="BS1128" i="1"/>
  <c r="BT1127" i="1"/>
  <c r="BS1127" i="1"/>
  <c r="CI1126" i="1"/>
  <c r="CC1126" i="1"/>
  <c r="BT1126" i="1"/>
  <c r="BS1126" i="1"/>
  <c r="CI1125" i="1"/>
  <c r="CC1125" i="1"/>
  <c r="BT1125" i="1"/>
  <c r="BS1125" i="1"/>
  <c r="CI1124" i="1"/>
  <c r="CC1124" i="1"/>
  <c r="BT1124" i="1"/>
  <c r="BS1124" i="1"/>
  <c r="BT1123" i="1"/>
  <c r="BS1123" i="1"/>
  <c r="BT1122" i="1"/>
  <c r="BS1122" i="1"/>
  <c r="BT1121" i="1"/>
  <c r="BS1121" i="1"/>
  <c r="BT1120" i="1"/>
  <c r="BS1120" i="1"/>
  <c r="BT1119" i="1"/>
  <c r="BS1119" i="1"/>
  <c r="BT1118" i="1"/>
  <c r="BS1118" i="1"/>
  <c r="BT1117" i="1"/>
  <c r="BS1117" i="1"/>
  <c r="CI1116" i="1"/>
  <c r="CC1116" i="1"/>
  <c r="BT1116" i="1"/>
  <c r="BS1116" i="1"/>
  <c r="BT1115" i="1"/>
  <c r="BS1115" i="1"/>
  <c r="BT1114" i="1"/>
  <c r="BS1114" i="1"/>
  <c r="CI1113" i="1"/>
  <c r="CC1113" i="1"/>
  <c r="BT1113" i="1"/>
  <c r="BS1113" i="1"/>
  <c r="BT1112" i="1"/>
  <c r="BS1112" i="1"/>
  <c r="CI1111" i="1"/>
  <c r="CC1111" i="1"/>
  <c r="BT1111" i="1"/>
  <c r="BS1111" i="1"/>
  <c r="BT1110" i="1"/>
  <c r="BS1110" i="1"/>
  <c r="BT1109" i="1"/>
  <c r="BS1109" i="1"/>
  <c r="BT1108" i="1"/>
  <c r="BS1108" i="1"/>
  <c r="BT1107" i="1"/>
  <c r="BS1107" i="1"/>
  <c r="BT1106" i="1"/>
  <c r="BS1106" i="1"/>
  <c r="BT1105" i="1"/>
  <c r="BS1105" i="1"/>
  <c r="BT1104" i="1"/>
  <c r="BS1104" i="1"/>
  <c r="BT1103" i="1"/>
  <c r="BS1103" i="1"/>
  <c r="BT1102" i="1"/>
  <c r="BS1102" i="1"/>
  <c r="BT1101" i="1"/>
  <c r="BS1101" i="1"/>
  <c r="CI1100" i="1"/>
  <c r="CC1100" i="1"/>
  <c r="BT1100" i="1"/>
  <c r="BS1100" i="1"/>
  <c r="BT1099" i="1"/>
  <c r="BS1099" i="1"/>
  <c r="BT1098" i="1"/>
  <c r="BS1098" i="1"/>
  <c r="BT1097" i="1"/>
  <c r="BS1097" i="1"/>
  <c r="BT1096" i="1"/>
  <c r="BS1096" i="1"/>
  <c r="BT1095" i="1"/>
  <c r="BS1095" i="1"/>
  <c r="BT1094" i="1"/>
  <c r="BS1094" i="1"/>
  <c r="BT1093" i="1"/>
  <c r="BS1093" i="1"/>
  <c r="CI1092" i="1"/>
  <c r="CC1092" i="1"/>
  <c r="BT1092" i="1"/>
  <c r="BS1092" i="1"/>
  <c r="CI1091" i="1"/>
  <c r="CC1091" i="1"/>
  <c r="BT1091" i="1"/>
  <c r="BS1091" i="1"/>
  <c r="CI1090" i="1"/>
  <c r="CC1090" i="1"/>
  <c r="BT1090" i="1"/>
  <c r="BS1090" i="1"/>
  <c r="BT1089" i="1"/>
  <c r="BS1089" i="1"/>
  <c r="BT1088" i="1"/>
  <c r="BS1088" i="1"/>
  <c r="BT1087" i="1"/>
  <c r="BS1087" i="1"/>
  <c r="BT1086" i="1"/>
  <c r="BS1086" i="1"/>
  <c r="BT1085" i="1"/>
  <c r="BS1085" i="1"/>
  <c r="BT1084" i="1"/>
  <c r="BS1084" i="1"/>
  <c r="BT1083" i="1"/>
  <c r="BS1083" i="1"/>
  <c r="BT1082" i="1"/>
  <c r="BS1082" i="1"/>
  <c r="BT1081" i="1"/>
  <c r="BS1081" i="1"/>
  <c r="BT1080" i="1"/>
  <c r="BS1080" i="1"/>
  <c r="BT1079" i="1"/>
  <c r="BS1079" i="1"/>
  <c r="BT1078" i="1"/>
  <c r="BS1078" i="1"/>
  <c r="CI1077" i="1"/>
  <c r="CC1077" i="1"/>
  <c r="BT1077" i="1"/>
  <c r="BS1077" i="1"/>
  <c r="CI1076" i="1"/>
  <c r="CC1076" i="1"/>
  <c r="BT1076" i="1"/>
  <c r="BS1076" i="1"/>
  <c r="BT1075" i="1"/>
  <c r="BS1075" i="1"/>
  <c r="BT1074" i="1"/>
  <c r="BS1074" i="1"/>
  <c r="BT1073" i="1"/>
  <c r="BS1073" i="1"/>
  <c r="BT1072" i="1"/>
  <c r="BS1072" i="1"/>
  <c r="BT1071" i="1"/>
  <c r="BS1071" i="1"/>
  <c r="BT1070" i="1"/>
  <c r="BS1070" i="1"/>
  <c r="BT1069" i="1"/>
  <c r="BS1069" i="1"/>
  <c r="BT1068" i="1"/>
  <c r="BS1068" i="1"/>
  <c r="BT1067" i="1"/>
  <c r="BS1067" i="1"/>
  <c r="BT1066" i="1"/>
  <c r="BS1066" i="1"/>
  <c r="BT1065" i="1"/>
  <c r="BS1065" i="1"/>
  <c r="BT1064" i="1"/>
  <c r="BS1064" i="1"/>
  <c r="CI1063" i="1"/>
  <c r="CC1063" i="1"/>
  <c r="BT1063" i="1"/>
  <c r="BS1063" i="1"/>
  <c r="BT1062" i="1"/>
  <c r="BS1062" i="1"/>
  <c r="BT1061" i="1"/>
  <c r="BS1061" i="1"/>
  <c r="BT1060" i="1"/>
  <c r="BS1060" i="1"/>
  <c r="CI1059" i="1"/>
  <c r="CC1059" i="1"/>
  <c r="BT1059" i="1"/>
  <c r="BS1059" i="1"/>
  <c r="BT1058" i="1"/>
  <c r="BS1058" i="1"/>
  <c r="BT1057" i="1"/>
  <c r="BS1057" i="1"/>
  <c r="BT1056" i="1"/>
  <c r="BS1056" i="1"/>
  <c r="CI1055" i="1"/>
  <c r="CC1055" i="1"/>
  <c r="BT1055" i="1"/>
  <c r="BS1055" i="1"/>
  <c r="BT1054" i="1"/>
  <c r="BS1054" i="1"/>
  <c r="BT1053" i="1"/>
  <c r="BS1053" i="1"/>
  <c r="BT1052" i="1"/>
  <c r="BS1052" i="1"/>
  <c r="BT1051" i="1"/>
  <c r="BS1051" i="1"/>
  <c r="BT1050" i="1"/>
  <c r="BS1050" i="1"/>
  <c r="BT1049" i="1"/>
  <c r="BS1049" i="1"/>
  <c r="BT1048" i="1"/>
  <c r="BS1048" i="1"/>
  <c r="BT1047" i="1"/>
  <c r="BS1047" i="1"/>
  <c r="BT1046" i="1"/>
  <c r="BS1046" i="1"/>
  <c r="BT1045" i="1"/>
  <c r="BS1045" i="1"/>
  <c r="BT1044" i="1"/>
  <c r="BS1044" i="1"/>
  <c r="BT1043" i="1"/>
  <c r="BS1043" i="1"/>
  <c r="BT1042" i="1"/>
  <c r="BS1042" i="1"/>
  <c r="BT1041" i="1"/>
  <c r="BS1041" i="1"/>
  <c r="BT1040" i="1"/>
  <c r="BS1040" i="1"/>
  <c r="BT1039" i="1"/>
  <c r="BS1039" i="1"/>
  <c r="BT1038" i="1"/>
  <c r="BS1038" i="1"/>
  <c r="BT1037" i="1"/>
  <c r="BS1037" i="1"/>
  <c r="BT1036" i="1"/>
  <c r="BS1036" i="1"/>
  <c r="BT1035" i="1"/>
  <c r="BS1035" i="1"/>
  <c r="BT1034" i="1"/>
  <c r="BS1034" i="1"/>
  <c r="BT1033" i="1"/>
  <c r="BS1033" i="1"/>
  <c r="BT1032" i="1"/>
  <c r="BS1032" i="1"/>
  <c r="CI1031" i="1"/>
  <c r="CC1031" i="1"/>
  <c r="BT1031" i="1"/>
  <c r="BS1031" i="1"/>
  <c r="BT1030" i="1"/>
  <c r="BS1030" i="1"/>
  <c r="BT1029" i="1"/>
  <c r="BS1029" i="1"/>
  <c r="CI1028" i="1"/>
  <c r="CC1028" i="1"/>
  <c r="BT1028" i="1"/>
  <c r="BS1028" i="1"/>
  <c r="BT1027" i="1"/>
  <c r="BS1027" i="1"/>
  <c r="BT1026" i="1"/>
  <c r="BS1026" i="1"/>
  <c r="CI1025" i="1"/>
  <c r="CC1025" i="1"/>
  <c r="BT1025" i="1"/>
  <c r="BS1025" i="1"/>
  <c r="BT1024" i="1"/>
  <c r="BS1024" i="1"/>
  <c r="BT1023" i="1"/>
  <c r="BS1023" i="1"/>
  <c r="BT1022" i="1"/>
  <c r="BS1022" i="1"/>
  <c r="CI1021" i="1"/>
  <c r="CC1021" i="1"/>
  <c r="BT1021" i="1"/>
  <c r="BS1021" i="1"/>
  <c r="BT1020" i="1"/>
  <c r="BS1020" i="1"/>
  <c r="CI1019" i="1"/>
  <c r="CC1019" i="1"/>
  <c r="BT1019" i="1"/>
  <c r="BS1019" i="1"/>
  <c r="CI1018" i="1"/>
  <c r="CC1018" i="1"/>
  <c r="BT1018" i="1"/>
  <c r="BS1018" i="1"/>
  <c r="BT1017" i="1"/>
  <c r="BS1017" i="1"/>
  <c r="BT1016" i="1"/>
  <c r="BS1016" i="1"/>
  <c r="BT1015" i="1"/>
  <c r="BS1015" i="1"/>
  <c r="BT1014" i="1"/>
  <c r="BS1014" i="1"/>
  <c r="BT1013" i="1"/>
  <c r="BS1013" i="1"/>
  <c r="BT1012" i="1"/>
  <c r="BS1012" i="1"/>
  <c r="BT1011" i="1"/>
  <c r="BS1011" i="1"/>
  <c r="BT1010" i="1"/>
  <c r="BS1010" i="1"/>
  <c r="BT1009" i="1"/>
  <c r="BS1009" i="1"/>
  <c r="BT1008" i="1"/>
  <c r="BS1008" i="1"/>
  <c r="BT1007" i="1"/>
  <c r="BS1007" i="1"/>
  <c r="BT1006" i="1"/>
  <c r="BS1006" i="1"/>
  <c r="BT1005" i="1"/>
  <c r="BS1005" i="1"/>
  <c r="CI1004" i="1"/>
  <c r="CC1004" i="1"/>
  <c r="BT1004" i="1"/>
  <c r="BS1004" i="1"/>
  <c r="BT1003" i="1"/>
  <c r="BS1003" i="1"/>
  <c r="BT1002" i="1"/>
  <c r="BS1002" i="1"/>
  <c r="BT1001" i="1"/>
  <c r="BS1001" i="1"/>
  <c r="CI1000" i="1"/>
  <c r="CC1000" i="1"/>
  <c r="BT1000" i="1"/>
  <c r="BS1000" i="1"/>
  <c r="BT999" i="1"/>
  <c r="BS999" i="1"/>
  <c r="CI998" i="1"/>
  <c r="CC998" i="1"/>
  <c r="BT998" i="1"/>
  <c r="BS998" i="1"/>
  <c r="BT997" i="1"/>
  <c r="BS997" i="1"/>
  <c r="BT996" i="1"/>
  <c r="BS996" i="1"/>
  <c r="BT995" i="1"/>
  <c r="BS995" i="1"/>
  <c r="BT994" i="1"/>
  <c r="BS994" i="1"/>
  <c r="CI993" i="1"/>
  <c r="CC993" i="1"/>
  <c r="BT993" i="1"/>
  <c r="BS993" i="1"/>
  <c r="BT992" i="1"/>
  <c r="BS992" i="1"/>
  <c r="BT991" i="1"/>
  <c r="BS991" i="1"/>
  <c r="BT990" i="1"/>
  <c r="BS990" i="1"/>
  <c r="CI989" i="1"/>
  <c r="CC989" i="1"/>
  <c r="BT989" i="1"/>
  <c r="BS989" i="1"/>
  <c r="BT988" i="1"/>
  <c r="BS988" i="1"/>
  <c r="CI987" i="1"/>
  <c r="CC987" i="1"/>
  <c r="BT987" i="1"/>
  <c r="BS987" i="1"/>
  <c r="CI986" i="1"/>
  <c r="CC986" i="1"/>
  <c r="BT986" i="1"/>
  <c r="BS986" i="1"/>
  <c r="BT985" i="1"/>
  <c r="BS985" i="1"/>
  <c r="BT984" i="1"/>
  <c r="BS984" i="1"/>
  <c r="BT983" i="1"/>
  <c r="BS983" i="1"/>
  <c r="BT982" i="1"/>
  <c r="BS982" i="1"/>
  <c r="BT981" i="1"/>
  <c r="BS981" i="1"/>
  <c r="BT980" i="1"/>
  <c r="BS980" i="1"/>
  <c r="BT979" i="1"/>
  <c r="BS979" i="1"/>
  <c r="BT978" i="1"/>
  <c r="BS978" i="1"/>
  <c r="BT977" i="1"/>
  <c r="BS977" i="1"/>
  <c r="BT976" i="1"/>
  <c r="BS976" i="1"/>
  <c r="BT975" i="1"/>
  <c r="BS975" i="1"/>
  <c r="BT974" i="1"/>
  <c r="BS974" i="1"/>
  <c r="BT973" i="1"/>
  <c r="BS973" i="1"/>
  <c r="BT972" i="1"/>
  <c r="BS972" i="1"/>
  <c r="CI971" i="1"/>
  <c r="CC971" i="1"/>
  <c r="BT971" i="1"/>
  <c r="BS971" i="1"/>
  <c r="BT970" i="1"/>
  <c r="BS970" i="1"/>
  <c r="BT969" i="1"/>
  <c r="BS969" i="1"/>
  <c r="BT968" i="1"/>
  <c r="BS968" i="1"/>
  <c r="CI967" i="1"/>
  <c r="CC967" i="1"/>
  <c r="BT967" i="1"/>
  <c r="BS967" i="1"/>
  <c r="BT966" i="1"/>
  <c r="BS966" i="1"/>
  <c r="CI965" i="1"/>
  <c r="CC965" i="1"/>
  <c r="BT965" i="1"/>
  <c r="BS965" i="1"/>
  <c r="BT964" i="1"/>
  <c r="BS964" i="1"/>
  <c r="BT963" i="1"/>
  <c r="BS963" i="1"/>
  <c r="CI962" i="1"/>
  <c r="CC962" i="1"/>
  <c r="BT962" i="1"/>
  <c r="BS962" i="1"/>
  <c r="BT961" i="1"/>
  <c r="BS961" i="1"/>
  <c r="BT960" i="1"/>
  <c r="BS960" i="1"/>
  <c r="CI959" i="1"/>
  <c r="CC959" i="1"/>
  <c r="BT959" i="1"/>
  <c r="BS959" i="1"/>
  <c r="BT958" i="1"/>
  <c r="BS958" i="1"/>
  <c r="BT957" i="1"/>
  <c r="BS957" i="1"/>
  <c r="BT956" i="1"/>
  <c r="BS956" i="1"/>
  <c r="CI955" i="1"/>
  <c r="CC955" i="1"/>
  <c r="BT955" i="1"/>
  <c r="BS955" i="1"/>
  <c r="CI954" i="1"/>
  <c r="CC954" i="1"/>
  <c r="BT954" i="1"/>
  <c r="BS954" i="1"/>
  <c r="BT953" i="1"/>
  <c r="BS953" i="1"/>
  <c r="BT952" i="1"/>
  <c r="BS952" i="1"/>
  <c r="BT951" i="1"/>
  <c r="BS951" i="1"/>
  <c r="BT950" i="1"/>
  <c r="BS950" i="1"/>
  <c r="BT949" i="1"/>
  <c r="BS949" i="1"/>
  <c r="CI948" i="1"/>
  <c r="CC948" i="1"/>
  <c r="BT948" i="1"/>
  <c r="BS948" i="1"/>
  <c r="BT947" i="1"/>
  <c r="BS947" i="1"/>
  <c r="BT946" i="1"/>
  <c r="BS946" i="1"/>
  <c r="BT945" i="1"/>
  <c r="BS945" i="1"/>
  <c r="CI944" i="1"/>
  <c r="CC944" i="1"/>
  <c r="BT944" i="1"/>
  <c r="BS944" i="1"/>
  <c r="BT943" i="1"/>
  <c r="BS943" i="1"/>
  <c r="BT942" i="1"/>
  <c r="BS942" i="1"/>
  <c r="BT941" i="1"/>
  <c r="BS941" i="1"/>
  <c r="BT940" i="1"/>
  <c r="BS940" i="1"/>
  <c r="BT939" i="1"/>
  <c r="BS939" i="1"/>
  <c r="BT938" i="1"/>
  <c r="BS938" i="1"/>
  <c r="BT937" i="1"/>
  <c r="BS937" i="1"/>
  <c r="BT936" i="1"/>
  <c r="BS936" i="1"/>
  <c r="BT935" i="1"/>
  <c r="BS935" i="1"/>
  <c r="BT934" i="1"/>
  <c r="BS934" i="1"/>
  <c r="BT933" i="1"/>
  <c r="BS933" i="1"/>
  <c r="BT932" i="1"/>
  <c r="BS932" i="1"/>
  <c r="BT931" i="1"/>
  <c r="BS931" i="1"/>
  <c r="BT930" i="1"/>
  <c r="BS930" i="1"/>
  <c r="BT929" i="1"/>
  <c r="BS929" i="1"/>
  <c r="BT928" i="1"/>
  <c r="BS928" i="1"/>
  <c r="BT927" i="1"/>
  <c r="BS927" i="1"/>
  <c r="BT926" i="1"/>
  <c r="BS926" i="1"/>
  <c r="BT925" i="1"/>
  <c r="BS925" i="1"/>
  <c r="BT924" i="1"/>
  <c r="BS924" i="1"/>
  <c r="BT923" i="1"/>
  <c r="BS923" i="1"/>
  <c r="BT922" i="1"/>
  <c r="BS922" i="1"/>
  <c r="BT921" i="1"/>
  <c r="BS921" i="1"/>
  <c r="BT920" i="1"/>
  <c r="BS920" i="1"/>
  <c r="BT919" i="1"/>
  <c r="BS919" i="1"/>
  <c r="BT918" i="1"/>
  <c r="BS918" i="1"/>
  <c r="BT917" i="1"/>
  <c r="BS917" i="1"/>
  <c r="CI916" i="1"/>
  <c r="CC916" i="1"/>
  <c r="BT916" i="1"/>
  <c r="BS916" i="1"/>
  <c r="BT915" i="1"/>
  <c r="BS915" i="1"/>
  <c r="BT914" i="1"/>
  <c r="BS914" i="1"/>
  <c r="CI913" i="1"/>
  <c r="CC913" i="1"/>
  <c r="BT913" i="1"/>
  <c r="BS913" i="1"/>
  <c r="BT912" i="1"/>
  <c r="BS912" i="1"/>
  <c r="BT911" i="1"/>
  <c r="BS911" i="1"/>
  <c r="CI910" i="1"/>
  <c r="CC910" i="1"/>
  <c r="BT910" i="1"/>
  <c r="BS910" i="1"/>
  <c r="BT909" i="1"/>
  <c r="BS909" i="1"/>
  <c r="BT908" i="1"/>
  <c r="BS908" i="1"/>
  <c r="BT907" i="1"/>
  <c r="BS907" i="1"/>
  <c r="CI906" i="1"/>
  <c r="CC906" i="1"/>
  <c r="BT906" i="1"/>
  <c r="BS906" i="1"/>
  <c r="BT905" i="1"/>
  <c r="BS905" i="1"/>
  <c r="CI904" i="1"/>
  <c r="CC904" i="1"/>
  <c r="BT904" i="1"/>
  <c r="BS904" i="1"/>
  <c r="CI903" i="1"/>
  <c r="CC903" i="1"/>
  <c r="BT903" i="1"/>
  <c r="BS903" i="1"/>
  <c r="BT902" i="1"/>
  <c r="BS902" i="1"/>
  <c r="BT901" i="1"/>
  <c r="BS901" i="1"/>
  <c r="BT900" i="1"/>
  <c r="BS900" i="1"/>
  <c r="BT899" i="1"/>
  <c r="BS899" i="1"/>
  <c r="BT898" i="1"/>
  <c r="BS898" i="1"/>
  <c r="BT897" i="1"/>
  <c r="BS897" i="1"/>
  <c r="BT896" i="1"/>
  <c r="BS896" i="1"/>
  <c r="BT895" i="1"/>
  <c r="BS895" i="1"/>
  <c r="BT894" i="1"/>
  <c r="BS894" i="1"/>
  <c r="BT893" i="1"/>
  <c r="BS893" i="1"/>
  <c r="BT892" i="1"/>
  <c r="BS892" i="1"/>
  <c r="BT891" i="1"/>
  <c r="BS891" i="1"/>
  <c r="BT890" i="1"/>
  <c r="BS890" i="1"/>
  <c r="BT889" i="1"/>
  <c r="BS889" i="1"/>
  <c r="CI888" i="1"/>
  <c r="CC888" i="1"/>
  <c r="BT888" i="1"/>
  <c r="BS888" i="1"/>
  <c r="BT887" i="1"/>
  <c r="BS887" i="1"/>
  <c r="BT886" i="1"/>
  <c r="BS886" i="1"/>
  <c r="BT885" i="1"/>
  <c r="BS885" i="1"/>
  <c r="BT884" i="1"/>
  <c r="BS884" i="1"/>
  <c r="CI883" i="1"/>
  <c r="CC883" i="1"/>
  <c r="BT883" i="1"/>
  <c r="BS883" i="1"/>
  <c r="CI882" i="1"/>
  <c r="CC882" i="1"/>
  <c r="BT882" i="1"/>
  <c r="BS882" i="1"/>
  <c r="BT881" i="1"/>
  <c r="BS881" i="1"/>
  <c r="BT880" i="1"/>
  <c r="BS880" i="1"/>
  <c r="BT879" i="1"/>
  <c r="BS879" i="1"/>
  <c r="CI878" i="1"/>
  <c r="CC878" i="1"/>
  <c r="BT878" i="1"/>
  <c r="BS878" i="1"/>
  <c r="BT877" i="1"/>
  <c r="BS877" i="1"/>
  <c r="BT876" i="1"/>
  <c r="BS876" i="1"/>
  <c r="BT875" i="1"/>
  <c r="BS875" i="1"/>
  <c r="BT874" i="1"/>
  <c r="BS874" i="1"/>
  <c r="CI873" i="1"/>
  <c r="CC873" i="1"/>
  <c r="BT873" i="1"/>
  <c r="BS873" i="1"/>
  <c r="CI872" i="1"/>
  <c r="CC872" i="1"/>
  <c r="BT872" i="1"/>
  <c r="BS872" i="1"/>
  <c r="BT871" i="1"/>
  <c r="BS871" i="1"/>
  <c r="BT870" i="1"/>
  <c r="BS870" i="1"/>
  <c r="BT869" i="1"/>
  <c r="BS869" i="1"/>
  <c r="BT868" i="1"/>
  <c r="BS868" i="1"/>
  <c r="BT867" i="1"/>
  <c r="BS867" i="1"/>
  <c r="BT866" i="1"/>
  <c r="BS866" i="1"/>
  <c r="BT865" i="1"/>
  <c r="BS865" i="1"/>
  <c r="BT864" i="1"/>
  <c r="BS864" i="1"/>
  <c r="BT863" i="1"/>
  <c r="BS863" i="1"/>
  <c r="BT862" i="1"/>
  <c r="BS862" i="1"/>
  <c r="BT861" i="1"/>
  <c r="BS861" i="1"/>
  <c r="BT860" i="1"/>
  <c r="BS860" i="1"/>
  <c r="BT859" i="1"/>
  <c r="BS859" i="1"/>
  <c r="BT858" i="1"/>
  <c r="BS858" i="1"/>
  <c r="CI857" i="1"/>
  <c r="CC857" i="1"/>
  <c r="BT857" i="1"/>
  <c r="BS857" i="1"/>
  <c r="BT856" i="1"/>
  <c r="BS856" i="1"/>
  <c r="BT855" i="1"/>
  <c r="BS855" i="1"/>
  <c r="BT854" i="1"/>
  <c r="BS854" i="1"/>
  <c r="BT853" i="1"/>
  <c r="BS853" i="1"/>
  <c r="CI852" i="1"/>
  <c r="CC852" i="1"/>
  <c r="BT852" i="1"/>
  <c r="BS852" i="1"/>
  <c r="CI851" i="1"/>
  <c r="CC851" i="1"/>
  <c r="BT851" i="1"/>
  <c r="BS851" i="1"/>
  <c r="BT850" i="1"/>
  <c r="BS850" i="1"/>
  <c r="BT849" i="1"/>
  <c r="BS849" i="1"/>
  <c r="BT848" i="1"/>
  <c r="BS848" i="1"/>
  <c r="CI847" i="1"/>
  <c r="CC847" i="1"/>
  <c r="BT847" i="1"/>
  <c r="BS847" i="1"/>
  <c r="BT846" i="1"/>
  <c r="BS846" i="1"/>
  <c r="BT845" i="1"/>
  <c r="BS845" i="1"/>
  <c r="BT844" i="1"/>
  <c r="BS844" i="1"/>
  <c r="BT843" i="1"/>
  <c r="BS843" i="1"/>
  <c r="CI842" i="1"/>
  <c r="CC842" i="1"/>
  <c r="BT842" i="1"/>
  <c r="BS842" i="1"/>
  <c r="CI841" i="1"/>
  <c r="CC841" i="1"/>
  <c r="BT841" i="1"/>
  <c r="BS841" i="1"/>
  <c r="BT840" i="1"/>
  <c r="BS840" i="1"/>
  <c r="BT839" i="1"/>
  <c r="BS839" i="1"/>
  <c r="BT838" i="1"/>
  <c r="BS838" i="1"/>
  <c r="BT837" i="1"/>
  <c r="BS837" i="1"/>
  <c r="BT836" i="1"/>
  <c r="BS836" i="1"/>
  <c r="BT835" i="1"/>
  <c r="BS835" i="1"/>
  <c r="BT834" i="1"/>
  <c r="BS834" i="1"/>
  <c r="BT833" i="1"/>
  <c r="BS833" i="1"/>
  <c r="CI832" i="1"/>
  <c r="CC832" i="1"/>
  <c r="BT832" i="1"/>
  <c r="BS832" i="1"/>
  <c r="BT831" i="1"/>
  <c r="BS831" i="1"/>
  <c r="BT830" i="1"/>
  <c r="BS830" i="1"/>
  <c r="BT829" i="1"/>
  <c r="BS829" i="1"/>
  <c r="BT828" i="1"/>
  <c r="BS828" i="1"/>
  <c r="CI827" i="1"/>
  <c r="CC827" i="1"/>
  <c r="BT827" i="1"/>
  <c r="BS827" i="1"/>
  <c r="CI826" i="1"/>
  <c r="CC826" i="1"/>
  <c r="BT826" i="1"/>
  <c r="BS826" i="1"/>
  <c r="BT825" i="1"/>
  <c r="BS825" i="1"/>
  <c r="BT824" i="1"/>
  <c r="BS824" i="1"/>
  <c r="BT823" i="1"/>
  <c r="BS823" i="1"/>
  <c r="CI822" i="1"/>
  <c r="CC822" i="1"/>
  <c r="BT822" i="1"/>
  <c r="BS822" i="1"/>
  <c r="BT821" i="1"/>
  <c r="BS821" i="1"/>
  <c r="BT820" i="1"/>
  <c r="BS820" i="1"/>
  <c r="CI819" i="1"/>
  <c r="CC819" i="1"/>
  <c r="BT819" i="1"/>
  <c r="BS819" i="1"/>
  <c r="CI818" i="1"/>
  <c r="CC818" i="1"/>
  <c r="BT818" i="1"/>
  <c r="BS818" i="1"/>
  <c r="BT817" i="1"/>
  <c r="BS817" i="1"/>
  <c r="BT816" i="1"/>
  <c r="BS816" i="1"/>
  <c r="BT815" i="1"/>
  <c r="BS815" i="1"/>
  <c r="BT814" i="1"/>
  <c r="BS814" i="1"/>
  <c r="BT813" i="1"/>
  <c r="BS813" i="1"/>
  <c r="BT812" i="1"/>
  <c r="BS812" i="1"/>
  <c r="BT811" i="1"/>
  <c r="BS811" i="1"/>
  <c r="BT810" i="1"/>
  <c r="BS810" i="1"/>
  <c r="CI809" i="1"/>
  <c r="CC809" i="1"/>
  <c r="BT809" i="1"/>
  <c r="BS809" i="1"/>
  <c r="BT808" i="1"/>
  <c r="BS808" i="1"/>
  <c r="BT807" i="1"/>
  <c r="BS807" i="1"/>
  <c r="BT806" i="1"/>
  <c r="BS806" i="1"/>
  <c r="BT805" i="1"/>
  <c r="BS805" i="1"/>
  <c r="CI804" i="1"/>
  <c r="CC804" i="1"/>
  <c r="BT804" i="1"/>
  <c r="BS804" i="1"/>
  <c r="BT803" i="1"/>
  <c r="BS803" i="1"/>
  <c r="BT802" i="1"/>
  <c r="BS802" i="1"/>
  <c r="BT801" i="1"/>
  <c r="BS801" i="1"/>
  <c r="BT800" i="1"/>
  <c r="BS800" i="1"/>
  <c r="CI799" i="1"/>
  <c r="CC799" i="1"/>
  <c r="BT799" i="1"/>
  <c r="BS799" i="1"/>
  <c r="BT798" i="1"/>
  <c r="BS798" i="1"/>
  <c r="BT797" i="1"/>
  <c r="BS797" i="1"/>
  <c r="CI796" i="1"/>
  <c r="CC796" i="1"/>
  <c r="BT796" i="1"/>
  <c r="BS796" i="1"/>
  <c r="CI795" i="1"/>
  <c r="CC795" i="1"/>
  <c r="BT795" i="1"/>
  <c r="BS795" i="1"/>
  <c r="CI794" i="1"/>
  <c r="CC794" i="1"/>
  <c r="BT794" i="1"/>
  <c r="BS794" i="1"/>
  <c r="BT793" i="1"/>
  <c r="BS793" i="1"/>
  <c r="BT792" i="1"/>
  <c r="BS792" i="1"/>
  <c r="BT791" i="1"/>
  <c r="BS791" i="1"/>
  <c r="BT790" i="1"/>
  <c r="BS790" i="1"/>
  <c r="BT789" i="1"/>
  <c r="BS789" i="1"/>
  <c r="BT788" i="1"/>
  <c r="BS788" i="1"/>
  <c r="BT787" i="1"/>
  <c r="BS787" i="1"/>
  <c r="BT786" i="1"/>
  <c r="BS786" i="1"/>
  <c r="BT785" i="1"/>
  <c r="BS785" i="1"/>
  <c r="CI784" i="1"/>
  <c r="CC784" i="1"/>
  <c r="BT784" i="1"/>
  <c r="BS784" i="1"/>
  <c r="CI783" i="1"/>
  <c r="CC783" i="1"/>
  <c r="BT783" i="1"/>
  <c r="BS783" i="1"/>
  <c r="BT782" i="1"/>
  <c r="BS782" i="1"/>
  <c r="BT781" i="1"/>
  <c r="BS781" i="1"/>
  <c r="BT780" i="1"/>
  <c r="BS780" i="1"/>
  <c r="BT779" i="1"/>
  <c r="BS779" i="1"/>
  <c r="BT778" i="1"/>
  <c r="BS778" i="1"/>
  <c r="BT777" i="1"/>
  <c r="BS777" i="1"/>
  <c r="BT776" i="1"/>
  <c r="BS776" i="1"/>
  <c r="BT775" i="1"/>
  <c r="BS775" i="1"/>
  <c r="BT774" i="1"/>
  <c r="BS774" i="1"/>
  <c r="CI773" i="1"/>
  <c r="CC773" i="1"/>
  <c r="BT773" i="1"/>
  <c r="BS773" i="1"/>
  <c r="BT772" i="1"/>
  <c r="BS772" i="1"/>
  <c r="BT771" i="1"/>
  <c r="BS771" i="1"/>
  <c r="CI770" i="1"/>
  <c r="CC770" i="1"/>
  <c r="BT770" i="1"/>
  <c r="BS770" i="1"/>
  <c r="BT769" i="1"/>
  <c r="BS769" i="1"/>
  <c r="BT768" i="1"/>
  <c r="BS768" i="1"/>
  <c r="CI767" i="1"/>
  <c r="CC767" i="1"/>
  <c r="BT767" i="1"/>
  <c r="BS767" i="1"/>
  <c r="BT766" i="1"/>
  <c r="BS766" i="1"/>
  <c r="BT765" i="1"/>
  <c r="BS765" i="1"/>
  <c r="BT764" i="1"/>
  <c r="BS764" i="1"/>
  <c r="BT763" i="1"/>
  <c r="BS763" i="1"/>
  <c r="CI762" i="1"/>
  <c r="CC762" i="1"/>
  <c r="BT762" i="1"/>
  <c r="BS762" i="1"/>
  <c r="BT761" i="1"/>
  <c r="BS761" i="1"/>
  <c r="BT760" i="1"/>
  <c r="BS760" i="1"/>
  <c r="CI759" i="1"/>
  <c r="CC759" i="1"/>
  <c r="BT759" i="1"/>
  <c r="BS759" i="1"/>
  <c r="BT758" i="1"/>
  <c r="BS758" i="1"/>
  <c r="BT757" i="1"/>
  <c r="BS757" i="1"/>
  <c r="CI756" i="1"/>
  <c r="CC756" i="1"/>
  <c r="BT756" i="1"/>
  <c r="BS756" i="1"/>
  <c r="BT755" i="1"/>
  <c r="BS755" i="1"/>
  <c r="BT754" i="1"/>
  <c r="BS754" i="1"/>
  <c r="BT753" i="1"/>
  <c r="BS753" i="1"/>
  <c r="BT752" i="1"/>
  <c r="BS752" i="1"/>
  <c r="CI751" i="1"/>
  <c r="CC751" i="1"/>
  <c r="BT751" i="1"/>
  <c r="BS751" i="1"/>
  <c r="BT750" i="1"/>
  <c r="BS750" i="1"/>
  <c r="BT749" i="1"/>
  <c r="BS749" i="1"/>
  <c r="BT748" i="1"/>
  <c r="BS748" i="1"/>
  <c r="CI747" i="1"/>
  <c r="CC747" i="1"/>
  <c r="BT747" i="1"/>
  <c r="BS747" i="1"/>
  <c r="BT746" i="1"/>
  <c r="BS746" i="1"/>
  <c r="BT745" i="1"/>
  <c r="BS745" i="1"/>
  <c r="CI744" i="1"/>
  <c r="CC744" i="1"/>
  <c r="BT744" i="1"/>
  <c r="BS744" i="1"/>
  <c r="BT743" i="1"/>
  <c r="BS743" i="1"/>
  <c r="BT742" i="1"/>
  <c r="BS742" i="1"/>
  <c r="CI741" i="1"/>
  <c r="CC741" i="1"/>
  <c r="BT741" i="1"/>
  <c r="BS741" i="1"/>
  <c r="BT740" i="1"/>
  <c r="BS740" i="1"/>
  <c r="BT739" i="1"/>
  <c r="BS739" i="1"/>
  <c r="CI738" i="1"/>
  <c r="CC738" i="1"/>
  <c r="BT738" i="1"/>
  <c r="BS738" i="1"/>
  <c r="BT737" i="1"/>
  <c r="BS737" i="1"/>
  <c r="BT736" i="1"/>
  <c r="BS736" i="1"/>
  <c r="BT735" i="1"/>
  <c r="BS735" i="1"/>
  <c r="BT734" i="1"/>
  <c r="BS734" i="1"/>
  <c r="BT733" i="1"/>
  <c r="BS733" i="1"/>
  <c r="BT732" i="1"/>
  <c r="BS732" i="1"/>
  <c r="BT731" i="1"/>
  <c r="BS731" i="1"/>
  <c r="BT730" i="1"/>
  <c r="BS730" i="1"/>
  <c r="BT729" i="1"/>
  <c r="BS729" i="1"/>
  <c r="BT728" i="1"/>
  <c r="BS728" i="1"/>
  <c r="BT727" i="1"/>
  <c r="BS727" i="1"/>
  <c r="BT726" i="1"/>
  <c r="BS726" i="1"/>
  <c r="BT725" i="1"/>
  <c r="BS725" i="1"/>
  <c r="CI724" i="1"/>
  <c r="CC724" i="1"/>
  <c r="BT724" i="1"/>
  <c r="BS724" i="1"/>
  <c r="BT723" i="1"/>
  <c r="BS723" i="1"/>
  <c r="BT722" i="1"/>
  <c r="BS722" i="1"/>
  <c r="BT721" i="1"/>
  <c r="BS721" i="1"/>
  <c r="BT720" i="1"/>
  <c r="BS720" i="1"/>
  <c r="BT719" i="1"/>
  <c r="BS719" i="1"/>
  <c r="BT718" i="1"/>
  <c r="BS718" i="1"/>
  <c r="CI717" i="1"/>
  <c r="CC717" i="1"/>
  <c r="BT717" i="1"/>
  <c r="BS717" i="1"/>
  <c r="CI716" i="1"/>
  <c r="CC716" i="1"/>
  <c r="BT716" i="1"/>
  <c r="BS716" i="1"/>
  <c r="BT715" i="1"/>
  <c r="BS715" i="1"/>
  <c r="BT714" i="1"/>
  <c r="BS714" i="1"/>
  <c r="BT713" i="1"/>
  <c r="BS713" i="1"/>
  <c r="BT712" i="1"/>
  <c r="BS712" i="1"/>
  <c r="CI711" i="1"/>
  <c r="CC711" i="1"/>
  <c r="BT711" i="1"/>
  <c r="BS711" i="1"/>
  <c r="BT710" i="1"/>
  <c r="BS710" i="1"/>
  <c r="BT709" i="1"/>
  <c r="BS709" i="1"/>
  <c r="BT708" i="1"/>
  <c r="BS708" i="1"/>
  <c r="BT707" i="1"/>
  <c r="BS707" i="1"/>
  <c r="BT706" i="1"/>
  <c r="BS706" i="1"/>
  <c r="CI705" i="1"/>
  <c r="CC705" i="1"/>
  <c r="BT705" i="1"/>
  <c r="BS705" i="1"/>
  <c r="CI704" i="1"/>
  <c r="CC704" i="1"/>
  <c r="BT704" i="1"/>
  <c r="BS704" i="1"/>
  <c r="BT703" i="1"/>
  <c r="BS703" i="1"/>
  <c r="BT702" i="1"/>
  <c r="BS702" i="1"/>
  <c r="BT701" i="1"/>
  <c r="BS701" i="1"/>
  <c r="BT700" i="1"/>
  <c r="BS700" i="1"/>
  <c r="CI699" i="1"/>
  <c r="CC699" i="1"/>
  <c r="BT699" i="1"/>
  <c r="BS699" i="1"/>
  <c r="BT698" i="1"/>
  <c r="BS698" i="1"/>
  <c r="BT697" i="1"/>
  <c r="BS697" i="1"/>
  <c r="BT696" i="1"/>
  <c r="BS696" i="1"/>
  <c r="BT695" i="1"/>
  <c r="BS695" i="1"/>
  <c r="BT694" i="1"/>
  <c r="BS694" i="1"/>
  <c r="BT693" i="1"/>
  <c r="BS693" i="1"/>
  <c r="CI692" i="1"/>
  <c r="CC692" i="1"/>
  <c r="BT692" i="1"/>
  <c r="BS692" i="1"/>
  <c r="CI691" i="1"/>
  <c r="CC691" i="1"/>
  <c r="BT691" i="1"/>
  <c r="BS691" i="1"/>
  <c r="BT690" i="1"/>
  <c r="BS690" i="1"/>
  <c r="BT689" i="1"/>
  <c r="BS689" i="1"/>
  <c r="BT688" i="1"/>
  <c r="BS688" i="1"/>
  <c r="BT687" i="1"/>
  <c r="BS687" i="1"/>
  <c r="BT686" i="1"/>
  <c r="BS686" i="1"/>
  <c r="BT685" i="1"/>
  <c r="BS685" i="1"/>
  <c r="BT684" i="1"/>
  <c r="BS684" i="1"/>
  <c r="BT683" i="1"/>
  <c r="BS683" i="1"/>
  <c r="BT682" i="1"/>
  <c r="BS682" i="1"/>
  <c r="BT681" i="1"/>
  <c r="BS681" i="1"/>
  <c r="CI680" i="1"/>
  <c r="CC680" i="1"/>
  <c r="BT680" i="1"/>
  <c r="BS680" i="1"/>
  <c r="CI679" i="1"/>
  <c r="CC679" i="1"/>
  <c r="BT679" i="1"/>
  <c r="BS679" i="1"/>
  <c r="BT678" i="1"/>
  <c r="BS678" i="1"/>
  <c r="BT677" i="1"/>
  <c r="BS677" i="1"/>
  <c r="BT676" i="1"/>
  <c r="BS676" i="1"/>
  <c r="BT675" i="1"/>
  <c r="BS675" i="1"/>
  <c r="BT674" i="1"/>
  <c r="BS674" i="1"/>
  <c r="BT673" i="1"/>
  <c r="BS673" i="1"/>
  <c r="BT672" i="1"/>
  <c r="BS672" i="1"/>
  <c r="BT671" i="1"/>
  <c r="BS671" i="1"/>
  <c r="CI670" i="1"/>
  <c r="CC670" i="1"/>
  <c r="BT670" i="1"/>
  <c r="BS670" i="1"/>
  <c r="BT669" i="1"/>
  <c r="BS669" i="1"/>
  <c r="BT668" i="1"/>
  <c r="BS668" i="1"/>
  <c r="BT667" i="1"/>
  <c r="BS667" i="1"/>
  <c r="CI666" i="1"/>
  <c r="CC666" i="1"/>
  <c r="BT666" i="1"/>
  <c r="BS666" i="1"/>
  <c r="BT665" i="1"/>
  <c r="BS665" i="1"/>
  <c r="BT664" i="1"/>
  <c r="BS664" i="1"/>
  <c r="BT663" i="1"/>
  <c r="BS663" i="1"/>
  <c r="BT662" i="1"/>
  <c r="BS662" i="1"/>
  <c r="BT661" i="1"/>
  <c r="BS661" i="1"/>
  <c r="BT660" i="1"/>
  <c r="BS660" i="1"/>
  <c r="BT659" i="1"/>
  <c r="BS659" i="1"/>
  <c r="BT658" i="1"/>
  <c r="BS658" i="1"/>
  <c r="BT657" i="1"/>
  <c r="BS657" i="1"/>
  <c r="CI656" i="1"/>
  <c r="CC656" i="1"/>
  <c r="BT656" i="1"/>
  <c r="BS656" i="1"/>
  <c r="BT655" i="1"/>
  <c r="BS655" i="1"/>
  <c r="BT654" i="1"/>
  <c r="BS654" i="1"/>
  <c r="BT653" i="1"/>
  <c r="BS653" i="1"/>
  <c r="BT652" i="1"/>
  <c r="BS652" i="1"/>
  <c r="BT651" i="1"/>
  <c r="BS651" i="1"/>
  <c r="BT650" i="1"/>
  <c r="BS650" i="1"/>
  <c r="BT649" i="1"/>
  <c r="BS649" i="1"/>
  <c r="BT648" i="1"/>
  <c r="BS648" i="1"/>
  <c r="BT647" i="1"/>
  <c r="BS647" i="1"/>
  <c r="BT646" i="1"/>
  <c r="BS646" i="1"/>
  <c r="BT645" i="1"/>
  <c r="BS645" i="1"/>
  <c r="BT644" i="1"/>
  <c r="BS644" i="1"/>
  <c r="BT643" i="1"/>
  <c r="BS643" i="1"/>
  <c r="BT642" i="1"/>
  <c r="BS642" i="1"/>
  <c r="BT641" i="1"/>
  <c r="BS641" i="1"/>
  <c r="BT640" i="1"/>
  <c r="BS640" i="1"/>
  <c r="BT639" i="1"/>
  <c r="BS639" i="1"/>
  <c r="BT638" i="1"/>
  <c r="BS638" i="1"/>
  <c r="BT637" i="1"/>
  <c r="BS637" i="1"/>
  <c r="BT636" i="1"/>
  <c r="BS636" i="1"/>
  <c r="BT635" i="1"/>
  <c r="BS635" i="1"/>
  <c r="BT634" i="1"/>
  <c r="BS634" i="1"/>
  <c r="BT633" i="1"/>
  <c r="BS633" i="1"/>
  <c r="BT632" i="1"/>
  <c r="BS632" i="1"/>
  <c r="BT631" i="1"/>
  <c r="BS631" i="1"/>
  <c r="BT630" i="1"/>
  <c r="BS630" i="1"/>
  <c r="BT629" i="1"/>
  <c r="BS629" i="1"/>
  <c r="BT628" i="1"/>
  <c r="BS628" i="1"/>
  <c r="BT627" i="1"/>
  <c r="BS627" i="1"/>
  <c r="BT626" i="1"/>
  <c r="BS626" i="1"/>
  <c r="BT625" i="1"/>
  <c r="BS625" i="1"/>
  <c r="BT624" i="1"/>
  <c r="BS624" i="1"/>
  <c r="BT623" i="1"/>
  <c r="BS623" i="1"/>
  <c r="BT622" i="1"/>
  <c r="BS622" i="1"/>
  <c r="BT621" i="1"/>
  <c r="BS621" i="1"/>
  <c r="BT620" i="1"/>
  <c r="BS620" i="1"/>
  <c r="BT619" i="1"/>
  <c r="BS619" i="1"/>
  <c r="CI618" i="1"/>
  <c r="CC618" i="1"/>
  <c r="BT618" i="1"/>
  <c r="BS618" i="1"/>
  <c r="BT617" i="1"/>
  <c r="BS617" i="1"/>
  <c r="BT616" i="1"/>
  <c r="BS616" i="1"/>
  <c r="CI615" i="1"/>
  <c r="CC615" i="1"/>
  <c r="BT615" i="1"/>
  <c r="BS615" i="1"/>
  <c r="BT614" i="1"/>
  <c r="BS614" i="1"/>
  <c r="BT613" i="1"/>
  <c r="BS613" i="1"/>
  <c r="CI612" i="1"/>
  <c r="CC612" i="1"/>
  <c r="BT612" i="1"/>
  <c r="BS612" i="1"/>
  <c r="BT611" i="1"/>
  <c r="BS611" i="1"/>
  <c r="BT610" i="1"/>
  <c r="BS610" i="1"/>
  <c r="BT609" i="1"/>
  <c r="BS609" i="1"/>
  <c r="CI608" i="1"/>
  <c r="CC608" i="1"/>
  <c r="BT608" i="1"/>
  <c r="BS608" i="1"/>
  <c r="BT607" i="1"/>
  <c r="BS607" i="1"/>
  <c r="BT606" i="1"/>
  <c r="BS606" i="1"/>
  <c r="BT605" i="1"/>
  <c r="BS605" i="1"/>
  <c r="CI604" i="1"/>
  <c r="CC604" i="1"/>
  <c r="BT604" i="1"/>
  <c r="BS604" i="1"/>
  <c r="BT603" i="1"/>
  <c r="BS603" i="1"/>
  <c r="BT602" i="1"/>
  <c r="BS602" i="1"/>
  <c r="BT601" i="1"/>
  <c r="BS601" i="1"/>
  <c r="BT600" i="1"/>
  <c r="BS600" i="1"/>
  <c r="CI599" i="1"/>
  <c r="CC599" i="1"/>
  <c r="BT599" i="1"/>
  <c r="BS599" i="1"/>
  <c r="BT598" i="1"/>
  <c r="BS598" i="1"/>
  <c r="BT597" i="1"/>
  <c r="BS597" i="1"/>
  <c r="BT596" i="1"/>
  <c r="BS596" i="1"/>
  <c r="BT595" i="1"/>
  <c r="BS595" i="1"/>
  <c r="BT594" i="1"/>
  <c r="BS594" i="1"/>
  <c r="CI593" i="1"/>
  <c r="CC593" i="1"/>
  <c r="BT593" i="1"/>
  <c r="BS593" i="1"/>
  <c r="BT592" i="1"/>
  <c r="BS592" i="1"/>
  <c r="BT591" i="1"/>
  <c r="BS591" i="1"/>
  <c r="BT590" i="1"/>
  <c r="BS590" i="1"/>
  <c r="BT589" i="1"/>
  <c r="BS589" i="1"/>
  <c r="BT588" i="1"/>
  <c r="BS588" i="1"/>
  <c r="BT587" i="1"/>
  <c r="BS587" i="1"/>
  <c r="BT586" i="1"/>
  <c r="BS586" i="1"/>
  <c r="BT585" i="1"/>
  <c r="BS585" i="1"/>
  <c r="BT584" i="1"/>
  <c r="BS584" i="1"/>
  <c r="BT583" i="1"/>
  <c r="BS583" i="1"/>
  <c r="BT582" i="1"/>
  <c r="BS582" i="1"/>
  <c r="BT581" i="1"/>
  <c r="BS581" i="1"/>
  <c r="BT580" i="1"/>
  <c r="BS580" i="1"/>
  <c r="BT579" i="1"/>
  <c r="BS579" i="1"/>
  <c r="CI578" i="1"/>
  <c r="CC578" i="1"/>
  <c r="BT578" i="1"/>
  <c r="BS578" i="1"/>
  <c r="CI577" i="1"/>
  <c r="CC577" i="1"/>
  <c r="BT577" i="1"/>
  <c r="BS577" i="1"/>
  <c r="BT576" i="1"/>
  <c r="BS576" i="1"/>
  <c r="BT575" i="1"/>
  <c r="BS575" i="1"/>
  <c r="BT574" i="1"/>
  <c r="BS574" i="1"/>
  <c r="CI573" i="1"/>
  <c r="CC573" i="1"/>
  <c r="BT573" i="1"/>
  <c r="BS573" i="1"/>
  <c r="BT572" i="1"/>
  <c r="BS572" i="1"/>
  <c r="BT571" i="1"/>
  <c r="BS571" i="1"/>
  <c r="BT570" i="1"/>
  <c r="BS570" i="1"/>
  <c r="BT569" i="1"/>
  <c r="BS569" i="1"/>
  <c r="CI568" i="1"/>
  <c r="CC568" i="1"/>
  <c r="BT568" i="1"/>
  <c r="BS568" i="1"/>
  <c r="BT567" i="1"/>
  <c r="BS567" i="1"/>
  <c r="BT566" i="1"/>
  <c r="BS566" i="1"/>
  <c r="BT565" i="1"/>
  <c r="BS565" i="1"/>
  <c r="BT564" i="1"/>
  <c r="BS564" i="1"/>
  <c r="BT563" i="1"/>
  <c r="BS563" i="1"/>
  <c r="BT562" i="1"/>
  <c r="BS562" i="1"/>
  <c r="CI561" i="1"/>
  <c r="CC561" i="1"/>
  <c r="BT561" i="1"/>
  <c r="BS561" i="1"/>
  <c r="BT560" i="1"/>
  <c r="BS560" i="1"/>
  <c r="CI559" i="1"/>
  <c r="CC559" i="1"/>
  <c r="BT559" i="1"/>
  <c r="BS559" i="1"/>
  <c r="BT558" i="1"/>
  <c r="BS558" i="1"/>
  <c r="BT557" i="1"/>
  <c r="BS557" i="1"/>
  <c r="BT556" i="1"/>
  <c r="BS556" i="1"/>
  <c r="BT555" i="1"/>
  <c r="BS555" i="1"/>
  <c r="BT554" i="1"/>
  <c r="BS554" i="1"/>
  <c r="CI553" i="1"/>
  <c r="CC553" i="1"/>
  <c r="BT553" i="1"/>
  <c r="BS553" i="1"/>
  <c r="BT552" i="1"/>
  <c r="BS552" i="1"/>
  <c r="BT551" i="1"/>
  <c r="BS551" i="1"/>
  <c r="CI550" i="1"/>
  <c r="CC550" i="1"/>
  <c r="BT550" i="1"/>
  <c r="BS550" i="1"/>
  <c r="BT549" i="1"/>
  <c r="BS549" i="1"/>
  <c r="BT548" i="1"/>
  <c r="BS548" i="1"/>
  <c r="BT547" i="1"/>
  <c r="BS547" i="1"/>
  <c r="BT546" i="1"/>
  <c r="BS546" i="1"/>
  <c r="CI545" i="1"/>
  <c r="CC545" i="1"/>
  <c r="BT545" i="1"/>
  <c r="BS545" i="1"/>
  <c r="BT544" i="1"/>
  <c r="BS544" i="1"/>
  <c r="BT543" i="1"/>
  <c r="BS543" i="1"/>
  <c r="BT542" i="1"/>
  <c r="BS542" i="1"/>
  <c r="BT541" i="1"/>
  <c r="BS541" i="1"/>
  <c r="CI540" i="1"/>
  <c r="CC540" i="1"/>
  <c r="BT540" i="1"/>
  <c r="BS540" i="1"/>
  <c r="BT539" i="1"/>
  <c r="BS539" i="1"/>
  <c r="BT538" i="1"/>
  <c r="BS538" i="1"/>
  <c r="BT537" i="1"/>
  <c r="BS537" i="1"/>
  <c r="BT536" i="1"/>
  <c r="BS536" i="1"/>
  <c r="BT535" i="1"/>
  <c r="BS535" i="1"/>
  <c r="BT534" i="1"/>
  <c r="BS534" i="1"/>
  <c r="BT533" i="1"/>
  <c r="BS533" i="1"/>
  <c r="BT532" i="1"/>
  <c r="BS532" i="1"/>
  <c r="CI531" i="1"/>
  <c r="CC531" i="1"/>
  <c r="BT531" i="1"/>
  <c r="BS531" i="1"/>
  <c r="CI530" i="1"/>
  <c r="CC530" i="1"/>
  <c r="BT530" i="1"/>
  <c r="BS530" i="1"/>
  <c r="BT529" i="1"/>
  <c r="BS529" i="1"/>
  <c r="BT528" i="1"/>
  <c r="BS528" i="1"/>
  <c r="BT527" i="1"/>
  <c r="BS527" i="1"/>
  <c r="CI526" i="1"/>
  <c r="CC526" i="1"/>
  <c r="BT526" i="1"/>
  <c r="BS526" i="1"/>
  <c r="BT525" i="1"/>
  <c r="BS525" i="1"/>
  <c r="BT524" i="1"/>
  <c r="BS524" i="1"/>
  <c r="BT523" i="1"/>
  <c r="BS523" i="1"/>
  <c r="BT522" i="1"/>
  <c r="BS522" i="1"/>
  <c r="CI521" i="1"/>
  <c r="CC521" i="1"/>
  <c r="BT521" i="1"/>
  <c r="BS521" i="1"/>
  <c r="BT520" i="1"/>
  <c r="BS520" i="1"/>
  <c r="BT519" i="1"/>
  <c r="BS519" i="1"/>
  <c r="BT518" i="1"/>
  <c r="BS518" i="1"/>
  <c r="BT517" i="1"/>
  <c r="BS517" i="1"/>
  <c r="BT516" i="1"/>
  <c r="BS516" i="1"/>
  <c r="CI515" i="1"/>
  <c r="CC515" i="1"/>
  <c r="BT515" i="1"/>
  <c r="BS515" i="1"/>
  <c r="BT514" i="1"/>
  <c r="BS514" i="1"/>
  <c r="CI513" i="1"/>
  <c r="CC513" i="1"/>
  <c r="BT513" i="1"/>
  <c r="BS513" i="1"/>
  <c r="BT512" i="1"/>
  <c r="BS512" i="1"/>
  <c r="BT511" i="1"/>
  <c r="BS511" i="1"/>
  <c r="BT510" i="1"/>
  <c r="BS510" i="1"/>
  <c r="BT509" i="1"/>
  <c r="BS509" i="1"/>
  <c r="BT508" i="1"/>
  <c r="BS508" i="1"/>
  <c r="CI507" i="1"/>
  <c r="CC507" i="1"/>
  <c r="BT507" i="1"/>
  <c r="BS507" i="1"/>
  <c r="BT506" i="1"/>
  <c r="BS506" i="1"/>
  <c r="BT505" i="1"/>
  <c r="BS505" i="1"/>
  <c r="BT504" i="1"/>
  <c r="BS504" i="1"/>
  <c r="BT503" i="1"/>
  <c r="BS503" i="1"/>
  <c r="BT502" i="1"/>
  <c r="BS502" i="1"/>
  <c r="BT501" i="1"/>
  <c r="BS501" i="1"/>
  <c r="BT500" i="1"/>
  <c r="BS500" i="1"/>
  <c r="CI499" i="1"/>
  <c r="CC499" i="1"/>
  <c r="BT499" i="1"/>
  <c r="BS499" i="1"/>
  <c r="BT498" i="1"/>
  <c r="BS498" i="1"/>
  <c r="BT497" i="1"/>
  <c r="BS497" i="1"/>
  <c r="BT496" i="1"/>
  <c r="BS496" i="1"/>
  <c r="BT495" i="1"/>
  <c r="BS495" i="1"/>
  <c r="BT494" i="1"/>
  <c r="BS494" i="1"/>
  <c r="BT493" i="1"/>
  <c r="BS493" i="1"/>
  <c r="BT492" i="1"/>
  <c r="BS492" i="1"/>
  <c r="CI491" i="1"/>
  <c r="CC491" i="1"/>
  <c r="BT491" i="1"/>
  <c r="BS491" i="1"/>
  <c r="BT490" i="1"/>
  <c r="BS490" i="1"/>
  <c r="BT489" i="1"/>
  <c r="BS489" i="1"/>
  <c r="BT488" i="1"/>
  <c r="BS488" i="1"/>
  <c r="BT487" i="1"/>
  <c r="BS487" i="1"/>
  <c r="BT486" i="1"/>
  <c r="BS486" i="1"/>
  <c r="CI485" i="1"/>
  <c r="CC485" i="1"/>
  <c r="BT485" i="1"/>
  <c r="BS485" i="1"/>
  <c r="CI484" i="1"/>
  <c r="CC484" i="1"/>
  <c r="BT484" i="1"/>
  <c r="BS484" i="1"/>
  <c r="BT483" i="1"/>
  <c r="BS483" i="1"/>
  <c r="BT482" i="1"/>
  <c r="BS482" i="1"/>
  <c r="BT481" i="1"/>
  <c r="BS481" i="1"/>
  <c r="BT480" i="1"/>
  <c r="BS480" i="1"/>
  <c r="CI479" i="1"/>
  <c r="CC479" i="1"/>
  <c r="BT479" i="1"/>
  <c r="BS479" i="1"/>
  <c r="BT478" i="1"/>
  <c r="BS478" i="1"/>
  <c r="CI477" i="1"/>
  <c r="CC477" i="1"/>
  <c r="BT477" i="1"/>
  <c r="BS477" i="1"/>
  <c r="BT476" i="1"/>
  <c r="BS476" i="1"/>
  <c r="BT475" i="1"/>
  <c r="BS475" i="1"/>
  <c r="BT474" i="1"/>
  <c r="BS474" i="1"/>
  <c r="CI473" i="1"/>
  <c r="CC473" i="1"/>
  <c r="BT473" i="1"/>
  <c r="BS473" i="1"/>
  <c r="BT472" i="1"/>
  <c r="BS472" i="1"/>
  <c r="BT471" i="1"/>
  <c r="BS471" i="1"/>
  <c r="BT470" i="1"/>
  <c r="BS470" i="1"/>
  <c r="CI469" i="1"/>
  <c r="CC469" i="1"/>
  <c r="BT469" i="1"/>
  <c r="BS469" i="1"/>
  <c r="BT468" i="1"/>
  <c r="BS468" i="1"/>
  <c r="BT467" i="1"/>
  <c r="BS467" i="1"/>
  <c r="BT466" i="1"/>
  <c r="BS466" i="1"/>
  <c r="BT465" i="1"/>
  <c r="BS465" i="1"/>
  <c r="BT464" i="1"/>
  <c r="BS464" i="1"/>
  <c r="BT463" i="1"/>
  <c r="BS463" i="1"/>
  <c r="BT462" i="1"/>
  <c r="BS462" i="1"/>
  <c r="BT461" i="1"/>
  <c r="BS461" i="1"/>
  <c r="CI460" i="1"/>
  <c r="CC460" i="1"/>
  <c r="BT460" i="1"/>
  <c r="BS460" i="1"/>
  <c r="BT459" i="1"/>
  <c r="BS459" i="1"/>
  <c r="BT458" i="1"/>
  <c r="BS458" i="1"/>
  <c r="CI457" i="1"/>
  <c r="CC457" i="1"/>
  <c r="BT457" i="1"/>
  <c r="BS457" i="1"/>
  <c r="BT456" i="1"/>
  <c r="BS456" i="1"/>
  <c r="BT455" i="1"/>
  <c r="BS455" i="1"/>
  <c r="CI454" i="1"/>
  <c r="CC454" i="1"/>
  <c r="BT454" i="1"/>
  <c r="BS454" i="1"/>
  <c r="BT453" i="1"/>
  <c r="BS453" i="1"/>
  <c r="BT452" i="1"/>
  <c r="BS452" i="1"/>
  <c r="BT451" i="1"/>
  <c r="BS451" i="1"/>
  <c r="BT450" i="1"/>
  <c r="BS450" i="1"/>
  <c r="BT449" i="1"/>
  <c r="BS449" i="1"/>
  <c r="BT448" i="1"/>
  <c r="BS448" i="1"/>
  <c r="BT447" i="1"/>
  <c r="BS447" i="1"/>
  <c r="BT446" i="1"/>
  <c r="BS446" i="1"/>
  <c r="BT445" i="1"/>
  <c r="BS445" i="1"/>
  <c r="BT444" i="1"/>
  <c r="BS444" i="1"/>
  <c r="CI443" i="1"/>
  <c r="CC443" i="1"/>
  <c r="BT443" i="1"/>
  <c r="BS443" i="1"/>
  <c r="BT442" i="1"/>
  <c r="BS442" i="1"/>
  <c r="BT441" i="1"/>
  <c r="BS441" i="1"/>
  <c r="BT440" i="1"/>
  <c r="BS440" i="1"/>
  <c r="BT439" i="1"/>
  <c r="BS439" i="1"/>
  <c r="BT438" i="1"/>
  <c r="BS438" i="1"/>
  <c r="BT437" i="1"/>
  <c r="BS437" i="1"/>
  <c r="BT436" i="1"/>
  <c r="BS436" i="1"/>
  <c r="BT435" i="1"/>
  <c r="BS435" i="1"/>
  <c r="BT434" i="1"/>
  <c r="BS434" i="1"/>
  <c r="BT433" i="1"/>
  <c r="BS433" i="1"/>
  <c r="BT432" i="1"/>
  <c r="BS432" i="1"/>
  <c r="BT431" i="1"/>
  <c r="BS431" i="1"/>
  <c r="BT430" i="1"/>
  <c r="BS430" i="1"/>
  <c r="BT429" i="1"/>
  <c r="BS429" i="1"/>
  <c r="CI428" i="1"/>
  <c r="CC428" i="1"/>
  <c r="BT428" i="1"/>
  <c r="BS428" i="1"/>
  <c r="BT427" i="1"/>
  <c r="BS427" i="1"/>
  <c r="BT426" i="1"/>
  <c r="BS426" i="1"/>
  <c r="BT425" i="1"/>
  <c r="BS425" i="1"/>
  <c r="CI424" i="1"/>
  <c r="CC424" i="1"/>
  <c r="BT424" i="1"/>
  <c r="BS424" i="1"/>
  <c r="BT423" i="1"/>
  <c r="BS423" i="1"/>
  <c r="BT422" i="1"/>
  <c r="BS422" i="1"/>
  <c r="BT421" i="1"/>
  <c r="BS421" i="1"/>
  <c r="BT420" i="1"/>
  <c r="BS420" i="1"/>
  <c r="BT419" i="1"/>
  <c r="BS419" i="1"/>
  <c r="BT418" i="1"/>
  <c r="BS418" i="1"/>
  <c r="BT417" i="1"/>
  <c r="BS417" i="1"/>
  <c r="BT416" i="1"/>
  <c r="BS416" i="1"/>
  <c r="BT415" i="1"/>
  <c r="BS415" i="1"/>
  <c r="BT414" i="1"/>
  <c r="BS414" i="1"/>
  <c r="BT413" i="1"/>
  <c r="BS413" i="1"/>
  <c r="BT412" i="1"/>
  <c r="BS412" i="1"/>
  <c r="BT411" i="1"/>
  <c r="BS411" i="1"/>
  <c r="BT410" i="1"/>
  <c r="BS410" i="1"/>
  <c r="BT409" i="1"/>
  <c r="BS409" i="1"/>
  <c r="BT408" i="1"/>
  <c r="BS408" i="1"/>
  <c r="BT407" i="1"/>
  <c r="BS407" i="1"/>
  <c r="BT406" i="1"/>
  <c r="BS406" i="1"/>
  <c r="BT405" i="1"/>
  <c r="BS405" i="1"/>
  <c r="BT404" i="1"/>
  <c r="BS404" i="1"/>
  <c r="BT403" i="1"/>
  <c r="BS403" i="1"/>
  <c r="CI402" i="1"/>
  <c r="CC402" i="1"/>
  <c r="BT402" i="1"/>
  <c r="BS402" i="1"/>
  <c r="BT401" i="1"/>
  <c r="BS401" i="1"/>
  <c r="BT400" i="1"/>
  <c r="BS400" i="1"/>
  <c r="BT399" i="1"/>
  <c r="BS399" i="1"/>
  <c r="BT398" i="1"/>
  <c r="BS398" i="1"/>
  <c r="BT397" i="1"/>
  <c r="BS397" i="1"/>
  <c r="BT396" i="1"/>
  <c r="BS396" i="1"/>
  <c r="BT395" i="1"/>
  <c r="BS395" i="1"/>
  <c r="BT394" i="1"/>
  <c r="BS394" i="1"/>
  <c r="BT393" i="1"/>
  <c r="BS393" i="1"/>
  <c r="BT392" i="1"/>
  <c r="BS392" i="1"/>
  <c r="BT391" i="1"/>
  <c r="BS391" i="1"/>
  <c r="BT390" i="1"/>
  <c r="BS390" i="1"/>
  <c r="BT389" i="1"/>
  <c r="BS389" i="1"/>
  <c r="CI388" i="1"/>
  <c r="CC388" i="1"/>
  <c r="BT388" i="1"/>
  <c r="BS388" i="1"/>
  <c r="BT387" i="1"/>
  <c r="BS387" i="1"/>
  <c r="BT386" i="1"/>
  <c r="BS386" i="1"/>
  <c r="BT385" i="1"/>
  <c r="BS385" i="1"/>
  <c r="CI384" i="1"/>
  <c r="CC384" i="1"/>
  <c r="BT384" i="1"/>
  <c r="BS384" i="1"/>
  <c r="BT383" i="1"/>
  <c r="BS383" i="1"/>
  <c r="BT382" i="1"/>
  <c r="BS382" i="1"/>
  <c r="BT381" i="1"/>
  <c r="BS381" i="1"/>
  <c r="BT380" i="1"/>
  <c r="BS380" i="1"/>
  <c r="CI379" i="1"/>
  <c r="CC379" i="1"/>
  <c r="BT379" i="1"/>
  <c r="BS379" i="1"/>
  <c r="CI378" i="1"/>
  <c r="CC378" i="1"/>
  <c r="BT378" i="1"/>
  <c r="BS378" i="1"/>
  <c r="BT377" i="1"/>
  <c r="BS377" i="1"/>
  <c r="BT376" i="1"/>
  <c r="BS376" i="1"/>
  <c r="CI375" i="1"/>
  <c r="CC375" i="1"/>
  <c r="BT375" i="1"/>
  <c r="BS375" i="1"/>
  <c r="BT374" i="1"/>
  <c r="BS374" i="1"/>
  <c r="BT373" i="1"/>
  <c r="BS373" i="1"/>
  <c r="CI372" i="1"/>
  <c r="CC372" i="1"/>
  <c r="BT372" i="1"/>
  <c r="BS372" i="1"/>
  <c r="BT371" i="1"/>
  <c r="BS371" i="1"/>
  <c r="BT370" i="1"/>
  <c r="BS370" i="1"/>
  <c r="CI369" i="1"/>
  <c r="CC369" i="1"/>
  <c r="BT369" i="1"/>
  <c r="BS369" i="1"/>
  <c r="BT368" i="1"/>
  <c r="BS368" i="1"/>
  <c r="BT367" i="1"/>
  <c r="BS367" i="1"/>
  <c r="BT366" i="1"/>
  <c r="BS366" i="1"/>
  <c r="CI365" i="1"/>
  <c r="CC365" i="1"/>
  <c r="BT365" i="1"/>
  <c r="BS365" i="1"/>
  <c r="BT364" i="1"/>
  <c r="BS364" i="1"/>
  <c r="BT363" i="1"/>
  <c r="BS363" i="1"/>
  <c r="CI362" i="1"/>
  <c r="CC362" i="1"/>
  <c r="BT362" i="1"/>
  <c r="BS362" i="1"/>
  <c r="BT361" i="1"/>
  <c r="BS361" i="1"/>
  <c r="BT360" i="1"/>
  <c r="BS360" i="1"/>
  <c r="BT359" i="1"/>
  <c r="BS359" i="1"/>
  <c r="BT358" i="1"/>
  <c r="BS358" i="1"/>
  <c r="BT357" i="1"/>
  <c r="BS357" i="1"/>
  <c r="BT356" i="1"/>
  <c r="BS356" i="1"/>
  <c r="BT355" i="1"/>
  <c r="BS355" i="1"/>
  <c r="BT354" i="1"/>
  <c r="BS354" i="1"/>
  <c r="BT353" i="1"/>
  <c r="BS353" i="1"/>
  <c r="BT352" i="1"/>
  <c r="BS352" i="1"/>
  <c r="BT351" i="1"/>
  <c r="BS351" i="1"/>
  <c r="BT350" i="1"/>
  <c r="BS350" i="1"/>
  <c r="BT349" i="1"/>
  <c r="BS349" i="1"/>
  <c r="BT348" i="1"/>
  <c r="BS348" i="1"/>
  <c r="CI347" i="1"/>
  <c r="CC347" i="1"/>
  <c r="BT347" i="1"/>
  <c r="BS347" i="1"/>
  <c r="BT346" i="1"/>
  <c r="BS346" i="1"/>
  <c r="BT345" i="1"/>
  <c r="BS345" i="1"/>
  <c r="CI344" i="1"/>
  <c r="CC344" i="1"/>
  <c r="BT344" i="1"/>
  <c r="BS344" i="1"/>
  <c r="BT343" i="1"/>
  <c r="BS343" i="1"/>
  <c r="BT342" i="1"/>
  <c r="BS342" i="1"/>
  <c r="CI341" i="1"/>
  <c r="CC341" i="1"/>
  <c r="BT341" i="1"/>
  <c r="BS341" i="1"/>
  <c r="BT340" i="1"/>
  <c r="BS340" i="1"/>
  <c r="BT339" i="1"/>
  <c r="BS339" i="1"/>
  <c r="CI338" i="1"/>
  <c r="CC338" i="1"/>
  <c r="BT338" i="1"/>
  <c r="BS338" i="1"/>
  <c r="BT337" i="1"/>
  <c r="BS337" i="1"/>
  <c r="BT336" i="1"/>
  <c r="BS336" i="1"/>
  <c r="BT335" i="1"/>
  <c r="BS335" i="1"/>
  <c r="BT334" i="1"/>
  <c r="BS334" i="1"/>
  <c r="BT333" i="1"/>
  <c r="BS333" i="1"/>
  <c r="CI332" i="1"/>
  <c r="CC332" i="1"/>
  <c r="BT332" i="1"/>
  <c r="BS332" i="1"/>
  <c r="BT331" i="1"/>
  <c r="BS331" i="1"/>
  <c r="CI330" i="1"/>
  <c r="CC330" i="1"/>
  <c r="BT330" i="1"/>
  <c r="BS330" i="1"/>
  <c r="BT329" i="1"/>
  <c r="BS329" i="1"/>
  <c r="BT328" i="1"/>
  <c r="BS328" i="1"/>
  <c r="CI327" i="1"/>
  <c r="CC327" i="1"/>
  <c r="BT327" i="1"/>
  <c r="BS327" i="1"/>
  <c r="BT326" i="1"/>
  <c r="BS326" i="1"/>
  <c r="BT325" i="1"/>
  <c r="BS325" i="1"/>
  <c r="CI324" i="1"/>
  <c r="CC324" i="1"/>
  <c r="BT324" i="1"/>
  <c r="BS324" i="1"/>
  <c r="BT323" i="1"/>
  <c r="BS323" i="1"/>
  <c r="BT322" i="1"/>
  <c r="BS322" i="1"/>
  <c r="BT321" i="1"/>
  <c r="BS321" i="1"/>
  <c r="CI320" i="1"/>
  <c r="CC320" i="1"/>
  <c r="BT320" i="1"/>
  <c r="BS320" i="1"/>
  <c r="BT319" i="1"/>
  <c r="BS319" i="1"/>
  <c r="BT318" i="1"/>
  <c r="BS318" i="1"/>
  <c r="BT317" i="1"/>
  <c r="BS317" i="1"/>
  <c r="BT316" i="1"/>
  <c r="BS316" i="1"/>
  <c r="BT315" i="1"/>
  <c r="BS315" i="1"/>
  <c r="BT314" i="1"/>
  <c r="BS314" i="1"/>
  <c r="BT313" i="1"/>
  <c r="BS313" i="1"/>
  <c r="BT312" i="1"/>
  <c r="BS312" i="1"/>
  <c r="CI311" i="1"/>
  <c r="CC311" i="1"/>
  <c r="BT311" i="1"/>
  <c r="BS311" i="1"/>
  <c r="BT310" i="1"/>
  <c r="BS310" i="1"/>
  <c r="BT309" i="1"/>
  <c r="BS309" i="1"/>
  <c r="CI308" i="1"/>
  <c r="CC308" i="1"/>
  <c r="BT308" i="1"/>
  <c r="BS308" i="1"/>
  <c r="BT307" i="1"/>
  <c r="BS307" i="1"/>
  <c r="BT306" i="1"/>
  <c r="BS306" i="1"/>
  <c r="BT305" i="1"/>
  <c r="BS305" i="1"/>
  <c r="BT304" i="1"/>
  <c r="BS304" i="1"/>
  <c r="BT303" i="1"/>
  <c r="BS303" i="1"/>
  <c r="BT302" i="1"/>
  <c r="BS302" i="1"/>
  <c r="BT301" i="1"/>
  <c r="BS301" i="1"/>
  <c r="BT300" i="1"/>
  <c r="BS300" i="1"/>
  <c r="CI299" i="1"/>
  <c r="CC299" i="1"/>
  <c r="BT299" i="1"/>
  <c r="BS299" i="1"/>
  <c r="BT298" i="1"/>
  <c r="BS298" i="1"/>
  <c r="BT297" i="1"/>
  <c r="BS297" i="1"/>
  <c r="CI296" i="1"/>
  <c r="CC296" i="1"/>
  <c r="BT296" i="1"/>
  <c r="BS296" i="1"/>
  <c r="BT295" i="1"/>
  <c r="BS295" i="1"/>
  <c r="CI294" i="1"/>
  <c r="CC294" i="1"/>
  <c r="BT294" i="1"/>
  <c r="BS294" i="1"/>
  <c r="BT293" i="1"/>
  <c r="BS293" i="1"/>
  <c r="BT292" i="1"/>
  <c r="BS292" i="1"/>
  <c r="BT291" i="1"/>
  <c r="BS291" i="1"/>
  <c r="CI290" i="1"/>
  <c r="CC290" i="1"/>
  <c r="BT290" i="1"/>
  <c r="BS290" i="1"/>
  <c r="BT289" i="1"/>
  <c r="BS289" i="1"/>
  <c r="BT288" i="1"/>
  <c r="BS288" i="1"/>
  <c r="BT287" i="1"/>
  <c r="BS287" i="1"/>
  <c r="BT286" i="1"/>
  <c r="BS286" i="1"/>
  <c r="BT285" i="1"/>
  <c r="BS285" i="1"/>
  <c r="BT284" i="1"/>
  <c r="BS284" i="1"/>
  <c r="BT283" i="1"/>
  <c r="BS283" i="1"/>
  <c r="BT282" i="1"/>
  <c r="BS282" i="1"/>
  <c r="BT281" i="1"/>
  <c r="BS281" i="1"/>
  <c r="BT280" i="1"/>
  <c r="BS280" i="1"/>
  <c r="BT279" i="1"/>
  <c r="BS279" i="1"/>
  <c r="BT278" i="1"/>
  <c r="BS278" i="1"/>
  <c r="CI277" i="1"/>
  <c r="CC277" i="1"/>
  <c r="BT277" i="1"/>
  <c r="BS277" i="1"/>
  <c r="BT276" i="1"/>
  <c r="BS276" i="1"/>
  <c r="BT275" i="1"/>
  <c r="BS275" i="1"/>
  <c r="CI274" i="1"/>
  <c r="CC274" i="1"/>
  <c r="BT274" i="1"/>
  <c r="BS274" i="1"/>
  <c r="BT273" i="1"/>
  <c r="BS273" i="1"/>
  <c r="BT272" i="1"/>
  <c r="BS272" i="1"/>
  <c r="CI271" i="1"/>
  <c r="CC271" i="1"/>
  <c r="BT271" i="1"/>
  <c r="BS271" i="1"/>
  <c r="BT270" i="1"/>
  <c r="BS270" i="1"/>
  <c r="BT269" i="1"/>
  <c r="BS269" i="1"/>
  <c r="BT268" i="1"/>
  <c r="BS268" i="1"/>
  <c r="BT267" i="1"/>
  <c r="BS267" i="1"/>
  <c r="CI266" i="1"/>
  <c r="CC266" i="1"/>
  <c r="BT266" i="1"/>
  <c r="BS266" i="1"/>
  <c r="BT265" i="1"/>
  <c r="BS265" i="1"/>
  <c r="BT264" i="1"/>
  <c r="BS264" i="1"/>
  <c r="BT263" i="1"/>
  <c r="BS263" i="1"/>
  <c r="BT262" i="1"/>
  <c r="BS262" i="1"/>
  <c r="BT261" i="1"/>
  <c r="BS261" i="1"/>
  <c r="BT260" i="1"/>
  <c r="BS260" i="1"/>
  <c r="BT259" i="1"/>
  <c r="BS259" i="1"/>
  <c r="BT258" i="1"/>
  <c r="BS258" i="1"/>
  <c r="BT257" i="1"/>
  <c r="BS257" i="1"/>
  <c r="BT256" i="1"/>
  <c r="BS256" i="1"/>
  <c r="BT255" i="1"/>
  <c r="BS255" i="1"/>
  <c r="BT254" i="1"/>
  <c r="BS254" i="1"/>
  <c r="BT253" i="1"/>
  <c r="BS253" i="1"/>
  <c r="BT252" i="1"/>
  <c r="BS252" i="1"/>
  <c r="BT251" i="1"/>
  <c r="BS251" i="1"/>
  <c r="CI250" i="1"/>
  <c r="CC250" i="1"/>
  <c r="BT250" i="1"/>
  <c r="BS250" i="1"/>
  <c r="BT249" i="1"/>
  <c r="BS249" i="1"/>
  <c r="BT248" i="1"/>
  <c r="BS248" i="1"/>
  <c r="CI247" i="1"/>
  <c r="CC247" i="1"/>
  <c r="BT247" i="1"/>
  <c r="BS247" i="1"/>
  <c r="BT246" i="1"/>
  <c r="BS246" i="1"/>
  <c r="CI245" i="1"/>
  <c r="CC245" i="1"/>
  <c r="BT245" i="1"/>
  <c r="BS245" i="1"/>
  <c r="BT244" i="1"/>
  <c r="BS244" i="1"/>
  <c r="BT243" i="1"/>
  <c r="BS243" i="1"/>
  <c r="BT242" i="1"/>
  <c r="BS242" i="1"/>
  <c r="BT241" i="1"/>
  <c r="BS241" i="1"/>
  <c r="BT240" i="1"/>
  <c r="BS240" i="1"/>
  <c r="BT239" i="1"/>
  <c r="BS239" i="1"/>
  <c r="BT238" i="1"/>
  <c r="BS238" i="1"/>
  <c r="BT237" i="1"/>
  <c r="BS237" i="1"/>
  <c r="BT236" i="1"/>
  <c r="BS236" i="1"/>
  <c r="CI235" i="1"/>
  <c r="CC235" i="1"/>
  <c r="BT235" i="1"/>
  <c r="BS235" i="1"/>
  <c r="CI234" i="1"/>
  <c r="CC234" i="1"/>
  <c r="BT234" i="1"/>
  <c r="BS234" i="1"/>
  <c r="BT233" i="1"/>
  <c r="BS233" i="1"/>
  <c r="BT232" i="1"/>
  <c r="BS232" i="1"/>
  <c r="BT231" i="1"/>
  <c r="BS231" i="1"/>
  <c r="BT230" i="1"/>
  <c r="BS230" i="1"/>
  <c r="BT229" i="1"/>
  <c r="BS229" i="1"/>
  <c r="BT228" i="1"/>
  <c r="BS228" i="1"/>
  <c r="BT227" i="1"/>
  <c r="BS227" i="1"/>
  <c r="BT226" i="1"/>
  <c r="BS226" i="1"/>
  <c r="BT225" i="1"/>
  <c r="BS225" i="1"/>
  <c r="BT224" i="1"/>
  <c r="BS224" i="1"/>
  <c r="BT223" i="1"/>
  <c r="BS223" i="1"/>
  <c r="BT222" i="1"/>
  <c r="BS222" i="1"/>
  <c r="BT221" i="1"/>
  <c r="BS221" i="1"/>
  <c r="BT220" i="1"/>
  <c r="BS220" i="1"/>
  <c r="BT219" i="1"/>
  <c r="BS219" i="1"/>
  <c r="BT218" i="1"/>
  <c r="BS218" i="1"/>
  <c r="BT217" i="1"/>
  <c r="BS217" i="1"/>
  <c r="CI216" i="1"/>
  <c r="CC216" i="1"/>
  <c r="BT216" i="1"/>
  <c r="BS216" i="1"/>
  <c r="BT215" i="1"/>
  <c r="BS215" i="1"/>
  <c r="BT214" i="1"/>
  <c r="BS214" i="1"/>
  <c r="CI213" i="1"/>
  <c r="CC213" i="1"/>
  <c r="BT213" i="1"/>
  <c r="BS213" i="1"/>
  <c r="BT212" i="1"/>
  <c r="BS212" i="1"/>
  <c r="CI211" i="1"/>
  <c r="CC211" i="1"/>
  <c r="BT211" i="1"/>
  <c r="BS211" i="1"/>
  <c r="BT210" i="1"/>
  <c r="BS210" i="1"/>
  <c r="BT209" i="1"/>
  <c r="BS209" i="1"/>
  <c r="BT208" i="1"/>
  <c r="BS208" i="1"/>
  <c r="BT207" i="1"/>
  <c r="BS207" i="1"/>
  <c r="BT206" i="1"/>
  <c r="BS206" i="1"/>
  <c r="BT205" i="1"/>
  <c r="BS205" i="1"/>
  <c r="BT204" i="1"/>
  <c r="BS204" i="1"/>
  <c r="BT203" i="1"/>
  <c r="BS203" i="1"/>
  <c r="BT202" i="1"/>
  <c r="BS202" i="1"/>
  <c r="BT201" i="1"/>
  <c r="BS201" i="1"/>
  <c r="BT200" i="1"/>
  <c r="BS200" i="1"/>
  <c r="BT199" i="1"/>
  <c r="BS199" i="1"/>
  <c r="CI198" i="1"/>
  <c r="CC198" i="1"/>
  <c r="BT198" i="1"/>
  <c r="BS198" i="1"/>
  <c r="BT197" i="1"/>
  <c r="BS197" i="1"/>
  <c r="BT196" i="1"/>
  <c r="BS196" i="1"/>
  <c r="BT195" i="1"/>
  <c r="BS195" i="1"/>
  <c r="CI194" i="1"/>
  <c r="CC194" i="1"/>
  <c r="BT194" i="1"/>
  <c r="BS194" i="1"/>
  <c r="BT193" i="1"/>
  <c r="BS193" i="1"/>
  <c r="BT192" i="1"/>
  <c r="BS192" i="1"/>
  <c r="BT191" i="1"/>
  <c r="BS191" i="1"/>
  <c r="BT190" i="1"/>
  <c r="BS190" i="1"/>
  <c r="BT189" i="1"/>
  <c r="BS189" i="1"/>
  <c r="BT188" i="1"/>
  <c r="BS188" i="1"/>
  <c r="BT187" i="1"/>
  <c r="BS187" i="1"/>
  <c r="BT186" i="1"/>
  <c r="BS186" i="1"/>
  <c r="CI185" i="1"/>
  <c r="CC185" i="1"/>
  <c r="BT185" i="1"/>
  <c r="BS185" i="1"/>
  <c r="CI184" i="1"/>
  <c r="CC184" i="1"/>
  <c r="BT184" i="1"/>
  <c r="BS184" i="1"/>
  <c r="BT183" i="1"/>
  <c r="BS183" i="1"/>
  <c r="BT182" i="1"/>
  <c r="BS182" i="1"/>
  <c r="BT181" i="1"/>
  <c r="BS181" i="1"/>
  <c r="BT180" i="1"/>
  <c r="BS180" i="1"/>
  <c r="BT179" i="1"/>
  <c r="BS179" i="1"/>
  <c r="BT178" i="1"/>
  <c r="BS178" i="1"/>
  <c r="CI177" i="1"/>
  <c r="CC177" i="1"/>
  <c r="BT177" i="1"/>
  <c r="BS177" i="1"/>
  <c r="BT176" i="1"/>
  <c r="BS176" i="1"/>
  <c r="BT175" i="1"/>
  <c r="BS175" i="1"/>
  <c r="BT174" i="1"/>
  <c r="BS174" i="1"/>
  <c r="CI173" i="1"/>
  <c r="CC173" i="1"/>
  <c r="BT173" i="1"/>
  <c r="BS173" i="1"/>
  <c r="BT172" i="1"/>
  <c r="BS172" i="1"/>
  <c r="BT171" i="1"/>
  <c r="BS171" i="1"/>
  <c r="BT170" i="1"/>
  <c r="BS170" i="1"/>
  <c r="BT169" i="1"/>
  <c r="BS169" i="1"/>
  <c r="BT168" i="1"/>
  <c r="BS168" i="1"/>
  <c r="CI167" i="1"/>
  <c r="CC167" i="1"/>
  <c r="BT167" i="1"/>
  <c r="BS167" i="1"/>
  <c r="BT166" i="1"/>
  <c r="BS166" i="1"/>
  <c r="BT165" i="1"/>
  <c r="BS165" i="1"/>
  <c r="BT164" i="1"/>
  <c r="BS164" i="1"/>
  <c r="BT163" i="1"/>
  <c r="BS163" i="1"/>
  <c r="BT162" i="1"/>
  <c r="BS162" i="1"/>
  <c r="BT161" i="1"/>
  <c r="BS161" i="1"/>
  <c r="BT160" i="1"/>
  <c r="BS160" i="1"/>
  <c r="BT159" i="1"/>
  <c r="BS159" i="1"/>
  <c r="BT158" i="1"/>
  <c r="BS158" i="1"/>
  <c r="BT157" i="1"/>
  <c r="BS157" i="1"/>
  <c r="BT156" i="1"/>
  <c r="BS156" i="1"/>
  <c r="BT155" i="1"/>
  <c r="BS155" i="1"/>
  <c r="BT154" i="1"/>
  <c r="BS154" i="1"/>
  <c r="BT153" i="1"/>
  <c r="BS153" i="1"/>
  <c r="BT152" i="1"/>
  <c r="BS152" i="1"/>
  <c r="BT151" i="1"/>
  <c r="BS151" i="1"/>
  <c r="CI150" i="1"/>
  <c r="CC150" i="1"/>
  <c r="BT150" i="1"/>
  <c r="BS150" i="1"/>
  <c r="BT149" i="1"/>
  <c r="BS149" i="1"/>
  <c r="BT148" i="1"/>
  <c r="BS148" i="1"/>
  <c r="BT147" i="1"/>
  <c r="BS147" i="1"/>
  <c r="CI146" i="1"/>
  <c r="CC146" i="1"/>
  <c r="BT146" i="1"/>
  <c r="BS146" i="1"/>
  <c r="BT145" i="1"/>
  <c r="BS145" i="1"/>
  <c r="CI144" i="1"/>
  <c r="CC144" i="1"/>
  <c r="BT144" i="1"/>
  <c r="BS144" i="1"/>
  <c r="BT143" i="1"/>
  <c r="BS143" i="1"/>
  <c r="BT142" i="1"/>
  <c r="BS142" i="1"/>
  <c r="BT141" i="1"/>
  <c r="BS141" i="1"/>
  <c r="BT140" i="1"/>
  <c r="BS140" i="1"/>
  <c r="BT139" i="1"/>
  <c r="BS139" i="1"/>
  <c r="BT138" i="1"/>
  <c r="BS138" i="1"/>
  <c r="CI137" i="1"/>
  <c r="CC137" i="1"/>
  <c r="BT137" i="1"/>
  <c r="BS137" i="1"/>
  <c r="BT136" i="1"/>
  <c r="BS136" i="1"/>
  <c r="BT135" i="1"/>
  <c r="BS135" i="1"/>
  <c r="BT134" i="1"/>
  <c r="BS134" i="1"/>
  <c r="BT133" i="1"/>
  <c r="BS133" i="1"/>
  <c r="BT132" i="1"/>
  <c r="BS132" i="1"/>
  <c r="CI131" i="1"/>
  <c r="CC131" i="1"/>
  <c r="BT131" i="1"/>
  <c r="BS131" i="1"/>
  <c r="CI130" i="1"/>
  <c r="CC130" i="1"/>
  <c r="BT130" i="1"/>
  <c r="BS130" i="1"/>
  <c r="BT129" i="1"/>
  <c r="BS129" i="1"/>
  <c r="BT128" i="1"/>
  <c r="BS128" i="1"/>
  <c r="BT127" i="1"/>
  <c r="BS127" i="1"/>
  <c r="BT126" i="1"/>
  <c r="BS126" i="1"/>
  <c r="BT125" i="1"/>
  <c r="BS125" i="1"/>
  <c r="BT124" i="1"/>
  <c r="BS124" i="1"/>
  <c r="BT123" i="1"/>
  <c r="BS123" i="1"/>
  <c r="BT122" i="1"/>
  <c r="BS122" i="1"/>
  <c r="BT121" i="1"/>
  <c r="BS121" i="1"/>
  <c r="BT120" i="1"/>
  <c r="BS120" i="1"/>
  <c r="BT119" i="1"/>
  <c r="BS119" i="1"/>
  <c r="BT118" i="1"/>
  <c r="BS118" i="1"/>
  <c r="BT117" i="1"/>
  <c r="BS117" i="1"/>
  <c r="CI116" i="1"/>
  <c r="CC116" i="1"/>
  <c r="BT116" i="1"/>
  <c r="BS116" i="1"/>
  <c r="BT115" i="1"/>
  <c r="BS115" i="1"/>
  <c r="BT114" i="1"/>
  <c r="BS114" i="1"/>
  <c r="BT113" i="1"/>
  <c r="BS113" i="1"/>
  <c r="CI112" i="1"/>
  <c r="CC112" i="1"/>
  <c r="BT112" i="1"/>
  <c r="BS112" i="1"/>
  <c r="BT111" i="1"/>
  <c r="BS111" i="1"/>
  <c r="BT110" i="1"/>
  <c r="BS110" i="1"/>
  <c r="CI109" i="1"/>
  <c r="CC109" i="1"/>
  <c r="BT109" i="1"/>
  <c r="BS109" i="1"/>
  <c r="BT108" i="1"/>
  <c r="BS108" i="1"/>
  <c r="BT107" i="1"/>
  <c r="BS107" i="1"/>
  <c r="BT106" i="1"/>
  <c r="BS106" i="1"/>
  <c r="BT105" i="1"/>
  <c r="BS105" i="1"/>
  <c r="BT104" i="1"/>
  <c r="BS104" i="1"/>
  <c r="BT103" i="1"/>
  <c r="BS103" i="1"/>
  <c r="BT102" i="1"/>
  <c r="BS102" i="1"/>
  <c r="BT101" i="1"/>
  <c r="BS101" i="1"/>
  <c r="BT100" i="1"/>
  <c r="BS100" i="1"/>
  <c r="BT99" i="1"/>
  <c r="BS99" i="1"/>
  <c r="BT98" i="1"/>
  <c r="BS98" i="1"/>
  <c r="BT97" i="1"/>
  <c r="BS97" i="1"/>
  <c r="BT96" i="1"/>
  <c r="BS96" i="1"/>
  <c r="CI95" i="1"/>
  <c r="CC95" i="1"/>
  <c r="BT95" i="1"/>
  <c r="BS95" i="1"/>
  <c r="BT94" i="1"/>
  <c r="BS94" i="1"/>
  <c r="BT93" i="1"/>
  <c r="BS93" i="1"/>
  <c r="BT92" i="1"/>
  <c r="BS92" i="1"/>
  <c r="BT91" i="1"/>
  <c r="BS91" i="1"/>
  <c r="BT90" i="1"/>
  <c r="BS90" i="1"/>
  <c r="CI89" i="1"/>
  <c r="CC89" i="1"/>
  <c r="BT89" i="1"/>
  <c r="BS89" i="1"/>
  <c r="CI88" i="1"/>
  <c r="CC88" i="1"/>
  <c r="BT88" i="1"/>
  <c r="BS88" i="1"/>
  <c r="BT87" i="1"/>
  <c r="BS87" i="1"/>
  <c r="BT86" i="1"/>
  <c r="BS86" i="1"/>
  <c r="BT85" i="1"/>
  <c r="BS85" i="1"/>
  <c r="BT84" i="1"/>
  <c r="BS84" i="1"/>
  <c r="BT83" i="1"/>
  <c r="BS83" i="1"/>
  <c r="BT82" i="1"/>
  <c r="BS82" i="1"/>
  <c r="BT81" i="1"/>
  <c r="BS81" i="1"/>
  <c r="BT80" i="1"/>
  <c r="BS80" i="1"/>
  <c r="BT79" i="1"/>
  <c r="BS79" i="1"/>
  <c r="BT78" i="1"/>
  <c r="BS78" i="1"/>
  <c r="CI77" i="1"/>
  <c r="CC77" i="1"/>
  <c r="BT77" i="1"/>
  <c r="BS77" i="1"/>
  <c r="CI76" i="1"/>
  <c r="CC76" i="1"/>
  <c r="BT76" i="1"/>
  <c r="BS76" i="1"/>
  <c r="CI75" i="1"/>
  <c r="CC75" i="1"/>
  <c r="BT75" i="1"/>
  <c r="BS75" i="1"/>
  <c r="BT74" i="1"/>
  <c r="BS74" i="1"/>
  <c r="BT73" i="1"/>
  <c r="BS73" i="1"/>
  <c r="BT72" i="1"/>
  <c r="BS72" i="1"/>
  <c r="BT71" i="1"/>
  <c r="BS71" i="1"/>
  <c r="BT70" i="1"/>
  <c r="BS70" i="1"/>
  <c r="BT69" i="1"/>
  <c r="BS69" i="1"/>
  <c r="BT68" i="1"/>
  <c r="BS68" i="1"/>
  <c r="BT67" i="1"/>
  <c r="BS67" i="1"/>
  <c r="BT66" i="1"/>
  <c r="BS66" i="1"/>
  <c r="BT65" i="1"/>
  <c r="BS65" i="1"/>
  <c r="BT64" i="1"/>
  <c r="BS64" i="1"/>
  <c r="BT63" i="1"/>
  <c r="BS63" i="1"/>
  <c r="BT62" i="1"/>
  <c r="BS62" i="1"/>
  <c r="BT61" i="1"/>
  <c r="BS61" i="1"/>
  <c r="CI60" i="1"/>
  <c r="CC60" i="1"/>
  <c r="BT60" i="1"/>
  <c r="BS60" i="1"/>
  <c r="BT59" i="1"/>
  <c r="BS59" i="1"/>
  <c r="BT58" i="1"/>
  <c r="BS58" i="1"/>
  <c r="BT57" i="1"/>
  <c r="BS57" i="1"/>
  <c r="BT56" i="1"/>
  <c r="BS56" i="1"/>
  <c r="BT55" i="1"/>
  <c r="BS55" i="1"/>
  <c r="BT54" i="1"/>
  <c r="BS54" i="1"/>
  <c r="BT53" i="1"/>
  <c r="BS53" i="1"/>
  <c r="CI52" i="1"/>
  <c r="CC52" i="1"/>
  <c r="BT52" i="1"/>
  <c r="BS52" i="1"/>
  <c r="BT51" i="1"/>
  <c r="BS51" i="1"/>
  <c r="BT50" i="1"/>
  <c r="BS50" i="1"/>
  <c r="BT49" i="1"/>
  <c r="BS49" i="1"/>
  <c r="BT48" i="1"/>
  <c r="BS48" i="1"/>
  <c r="BT47" i="1"/>
  <c r="BS47" i="1"/>
  <c r="BT46" i="1"/>
  <c r="BS46" i="1"/>
  <c r="BT45" i="1"/>
  <c r="BS45" i="1"/>
  <c r="BT44" i="1"/>
  <c r="BS44" i="1"/>
  <c r="BT43" i="1"/>
  <c r="BS43" i="1"/>
  <c r="BT42" i="1"/>
  <c r="BS42" i="1"/>
  <c r="BT41" i="1"/>
  <c r="BS41" i="1"/>
  <c r="BT40" i="1"/>
  <c r="BS40" i="1"/>
  <c r="BT39" i="1"/>
  <c r="BS39" i="1"/>
  <c r="BT38" i="1"/>
  <c r="BS38" i="1"/>
  <c r="CI37" i="1"/>
  <c r="CC37" i="1"/>
  <c r="BT37" i="1"/>
  <c r="BS37" i="1"/>
  <c r="BT36" i="1"/>
  <c r="BS36" i="1"/>
  <c r="BT35" i="1"/>
  <c r="BS35" i="1"/>
  <c r="BT34" i="1"/>
  <c r="BS34" i="1"/>
  <c r="BT33" i="1"/>
  <c r="BS33" i="1"/>
  <c r="BT32" i="1"/>
  <c r="BS32" i="1"/>
  <c r="BT31" i="1"/>
  <c r="BS31" i="1"/>
  <c r="BT30" i="1"/>
  <c r="BS30" i="1"/>
  <c r="CI29" i="1"/>
  <c r="CC29" i="1"/>
  <c r="BT29" i="1"/>
  <c r="BS29" i="1"/>
  <c r="BT28" i="1"/>
  <c r="BS28" i="1"/>
  <c r="BT27" i="1"/>
  <c r="BS27" i="1"/>
  <c r="BT26" i="1"/>
  <c r="BS26" i="1"/>
  <c r="BT25" i="1"/>
  <c r="BS25" i="1"/>
  <c r="BT24" i="1"/>
  <c r="BS24" i="1"/>
  <c r="BT23" i="1"/>
  <c r="BS23" i="1"/>
  <c r="BT22" i="1"/>
  <c r="BS22" i="1"/>
  <c r="BT21" i="1"/>
  <c r="BS21" i="1"/>
  <c r="CI20" i="1"/>
  <c r="CC20" i="1"/>
  <c r="BT20" i="1"/>
  <c r="BS20" i="1"/>
  <c r="BT19" i="1"/>
  <c r="BS19" i="1"/>
  <c r="BT18" i="1"/>
  <c r="BS18" i="1"/>
  <c r="BT17" i="1"/>
  <c r="BS17" i="1"/>
  <c r="BT16" i="1"/>
  <c r="BS16" i="1"/>
  <c r="BT15" i="1"/>
  <c r="BS15" i="1"/>
  <c r="BT14" i="1"/>
  <c r="BS14" i="1"/>
  <c r="BT13" i="1"/>
  <c r="BS13" i="1"/>
  <c r="BT12" i="1"/>
  <c r="BS12" i="1"/>
  <c r="BT11" i="1"/>
  <c r="BS11" i="1"/>
  <c r="BT10" i="1"/>
  <c r="BS10" i="1"/>
  <c r="BT9" i="1"/>
  <c r="BS9" i="1"/>
  <c r="BT8" i="1"/>
  <c r="BS8" i="1"/>
  <c r="BT7" i="1"/>
  <c r="BS7" i="1"/>
  <c r="CI6" i="1"/>
  <c r="CC6" i="1"/>
  <c r="BT6" i="1"/>
  <c r="BS6" i="1"/>
  <c r="CI5" i="1"/>
  <c r="CC5" i="1"/>
  <c r="BT5" i="1"/>
  <c r="BS5" i="1"/>
  <c r="CI4" i="1"/>
  <c r="CC4" i="1"/>
  <c r="BT4" i="1"/>
  <c r="BS4" i="1"/>
  <c r="CI3" i="1"/>
  <c r="CC3" i="1"/>
  <c r="BT3" i="1"/>
  <c r="BS3" i="1"/>
  <c r="BC1202" i="1"/>
  <c r="BB1202" i="1"/>
  <c r="BA1202" i="1"/>
  <c r="AQ1202" i="1"/>
  <c r="AT1202" i="1" s="1"/>
  <c r="AV1202" i="1" s="1"/>
  <c r="AL1202" i="1"/>
  <c r="AG1202" i="1"/>
  <c r="AH1202" i="1" s="1"/>
  <c r="BC1201" i="1"/>
  <c r="BB1201" i="1"/>
  <c r="BA1201" i="1"/>
  <c r="AQ1201" i="1"/>
  <c r="AL1201" i="1"/>
  <c r="AG1201" i="1"/>
  <c r="BC1200" i="1"/>
  <c r="BB1200" i="1"/>
  <c r="BA1200" i="1"/>
  <c r="AQ1200" i="1"/>
  <c r="AT1200" i="1" s="1"/>
  <c r="AV1200" i="1" s="1"/>
  <c r="AO1200" i="1"/>
  <c r="AN1200" i="1"/>
  <c r="AL1200" i="1"/>
  <c r="AG1200" i="1"/>
  <c r="AM1200" i="1" s="1"/>
  <c r="BC1199" i="1"/>
  <c r="BB1199" i="1"/>
  <c r="BA1199" i="1"/>
  <c r="AQ1199" i="1"/>
  <c r="AO1199" i="1"/>
  <c r="AN1199" i="1"/>
  <c r="AL1199" i="1"/>
  <c r="AG1199" i="1"/>
  <c r="AM1199" i="1" s="1"/>
  <c r="BC1198" i="1"/>
  <c r="BB1198" i="1"/>
  <c r="BA1198" i="1"/>
  <c r="AQ1198" i="1"/>
  <c r="AL1198" i="1"/>
  <c r="AG1198" i="1"/>
  <c r="AM1198" i="1" s="1"/>
  <c r="BC1197" i="1"/>
  <c r="BB1197" i="1"/>
  <c r="BA1197" i="1"/>
  <c r="AQ1197" i="1"/>
  <c r="AR1197" i="1" s="1"/>
  <c r="AS1197" i="1" s="1"/>
  <c r="AL1197" i="1"/>
  <c r="AG1197" i="1"/>
  <c r="AH1197" i="1" s="1"/>
  <c r="BC1196" i="1"/>
  <c r="BB1196" i="1"/>
  <c r="BA1196" i="1"/>
  <c r="AQ1196" i="1"/>
  <c r="AL1196" i="1"/>
  <c r="AG1196" i="1"/>
  <c r="BC1195" i="1"/>
  <c r="BB1195" i="1"/>
  <c r="BA1195" i="1"/>
  <c r="AQ1195" i="1"/>
  <c r="AT1195" i="1" s="1"/>
  <c r="AL1195" i="1"/>
  <c r="AG1195" i="1"/>
  <c r="BC1194" i="1"/>
  <c r="BB1194" i="1"/>
  <c r="BA1194" i="1"/>
  <c r="AQ1194" i="1"/>
  <c r="AT1194" i="1" s="1"/>
  <c r="AV1194" i="1" s="1"/>
  <c r="AL1194" i="1"/>
  <c r="AG1194" i="1"/>
  <c r="AH1194" i="1" s="1"/>
  <c r="BC1193" i="1"/>
  <c r="BB1193" i="1"/>
  <c r="BA1193" i="1"/>
  <c r="AQ1193" i="1"/>
  <c r="AT1193" i="1" s="1"/>
  <c r="AL1193" i="1"/>
  <c r="AG1193" i="1"/>
  <c r="BC1192" i="1"/>
  <c r="BB1192" i="1"/>
  <c r="BA1192" i="1"/>
  <c r="AQ1192" i="1"/>
  <c r="AT1192" i="1" s="1"/>
  <c r="AL1192" i="1"/>
  <c r="AG1192" i="1"/>
  <c r="AM1192" i="1" s="1"/>
  <c r="BC1191" i="1"/>
  <c r="BB1191" i="1"/>
  <c r="BA1191" i="1"/>
  <c r="AQ1191" i="1"/>
  <c r="AT1191" i="1" s="1"/>
  <c r="AL1191" i="1"/>
  <c r="AG1191" i="1"/>
  <c r="AM1191" i="1" s="1"/>
  <c r="BC1190" i="1"/>
  <c r="BB1190" i="1"/>
  <c r="BA1190" i="1"/>
  <c r="AQ1190" i="1"/>
  <c r="AL1190" i="1"/>
  <c r="AG1190" i="1"/>
  <c r="AM1190" i="1" s="1"/>
  <c r="BC1189" i="1"/>
  <c r="BB1189" i="1"/>
  <c r="BA1189" i="1"/>
  <c r="AQ1189" i="1"/>
  <c r="AL1189" i="1"/>
  <c r="AG1189" i="1"/>
  <c r="AM1189" i="1" s="1"/>
  <c r="BC1188" i="1"/>
  <c r="BB1188" i="1"/>
  <c r="BA1188" i="1"/>
  <c r="AQ1188" i="1"/>
  <c r="AL1188" i="1"/>
  <c r="AG1188" i="1"/>
  <c r="AH1188" i="1" s="1"/>
  <c r="BC1187" i="1"/>
  <c r="BB1187" i="1"/>
  <c r="BA1187" i="1"/>
  <c r="AQ1187" i="1"/>
  <c r="AT1187" i="1" s="1"/>
  <c r="AL1187" i="1"/>
  <c r="AG1187" i="1"/>
  <c r="BC1186" i="1"/>
  <c r="BB1186" i="1"/>
  <c r="BA1186" i="1"/>
  <c r="AQ1186" i="1"/>
  <c r="AT1186" i="1" s="1"/>
  <c r="AL1186" i="1"/>
  <c r="AG1186" i="1"/>
  <c r="BC1185" i="1"/>
  <c r="BB1185" i="1"/>
  <c r="BA1185" i="1"/>
  <c r="AQ1185" i="1"/>
  <c r="AT1185" i="1" s="1"/>
  <c r="AV1185" i="1" s="1"/>
  <c r="AL1185" i="1"/>
  <c r="AG1185" i="1"/>
  <c r="BC1184" i="1"/>
  <c r="BB1184" i="1"/>
  <c r="BA1184" i="1"/>
  <c r="AQ1184" i="1"/>
  <c r="AT1184" i="1" s="1"/>
  <c r="AL1184" i="1"/>
  <c r="AG1184" i="1"/>
  <c r="AM1184" i="1" s="1"/>
  <c r="BC1183" i="1"/>
  <c r="BB1183" i="1"/>
  <c r="BA1183" i="1"/>
  <c r="AQ1183" i="1"/>
  <c r="AR1183" i="1" s="1"/>
  <c r="AS1183" i="1" s="1"/>
  <c r="AL1183" i="1"/>
  <c r="AG1183" i="1"/>
  <c r="AM1183" i="1" s="1"/>
  <c r="BC1182" i="1"/>
  <c r="BB1182" i="1"/>
  <c r="BA1182" i="1"/>
  <c r="AQ1182" i="1"/>
  <c r="AL1182" i="1"/>
  <c r="AG1182" i="1"/>
  <c r="BC1181" i="1"/>
  <c r="BB1181" i="1"/>
  <c r="BA1181" i="1"/>
  <c r="AQ1181" i="1"/>
  <c r="AL1181" i="1"/>
  <c r="AG1181" i="1"/>
  <c r="AH1181" i="1" s="1"/>
  <c r="BC1180" i="1"/>
  <c r="BB1180" i="1"/>
  <c r="BA1180" i="1"/>
  <c r="AQ1180" i="1"/>
  <c r="AR1180" i="1" s="1"/>
  <c r="AS1180" i="1" s="1"/>
  <c r="AL1180" i="1"/>
  <c r="AG1180" i="1"/>
  <c r="AH1180" i="1" s="1"/>
  <c r="BC1179" i="1"/>
  <c r="BB1179" i="1"/>
  <c r="BA1179" i="1"/>
  <c r="AQ1179" i="1"/>
  <c r="AL1179" i="1"/>
  <c r="AG1179" i="1"/>
  <c r="BC1178" i="1"/>
  <c r="BB1178" i="1"/>
  <c r="BA1178" i="1"/>
  <c r="AQ1178" i="1"/>
  <c r="AT1178" i="1" s="1"/>
  <c r="AV1178" i="1" s="1"/>
  <c r="AL1178" i="1"/>
  <c r="AG1178" i="1"/>
  <c r="BC1177" i="1"/>
  <c r="BB1177" i="1"/>
  <c r="BA1177" i="1"/>
  <c r="AQ1177" i="1"/>
  <c r="AL1177" i="1"/>
  <c r="AG1177" i="1"/>
  <c r="BC1176" i="1"/>
  <c r="BB1176" i="1"/>
  <c r="BA1176" i="1"/>
  <c r="AQ1176" i="1"/>
  <c r="AT1176" i="1" s="1"/>
  <c r="AV1176" i="1" s="1"/>
  <c r="AL1176" i="1"/>
  <c r="AG1176" i="1"/>
  <c r="BC1175" i="1"/>
  <c r="BB1175" i="1"/>
  <c r="BA1175" i="1"/>
  <c r="AQ1175" i="1"/>
  <c r="AR1175" i="1" s="1"/>
  <c r="AS1175" i="1" s="1"/>
  <c r="AL1175" i="1"/>
  <c r="AG1175" i="1"/>
  <c r="AM1175" i="1" s="1"/>
  <c r="BC1174" i="1"/>
  <c r="BB1174" i="1"/>
  <c r="BA1174" i="1"/>
  <c r="AQ1174" i="1"/>
  <c r="AL1174" i="1"/>
  <c r="AG1174" i="1"/>
  <c r="AH1174" i="1" s="1"/>
  <c r="BC1173" i="1"/>
  <c r="BB1173" i="1"/>
  <c r="BA1173" i="1"/>
  <c r="AQ1173" i="1"/>
  <c r="AR1173" i="1" s="1"/>
  <c r="AS1173" i="1" s="1"/>
  <c r="AL1173" i="1"/>
  <c r="AG1173" i="1"/>
  <c r="AM1173" i="1" s="1"/>
  <c r="BC1172" i="1"/>
  <c r="BB1172" i="1"/>
  <c r="BA1172" i="1"/>
  <c r="AQ1172" i="1"/>
  <c r="AL1172" i="1"/>
  <c r="AG1172" i="1"/>
  <c r="AH1172" i="1" s="1"/>
  <c r="BC1171" i="1"/>
  <c r="BB1171" i="1"/>
  <c r="BA1171" i="1"/>
  <c r="AQ1171" i="1"/>
  <c r="AL1171" i="1"/>
  <c r="AG1171" i="1"/>
  <c r="BC1170" i="1"/>
  <c r="BB1170" i="1"/>
  <c r="BA1170" i="1"/>
  <c r="AQ1170" i="1"/>
  <c r="AT1170" i="1" s="1"/>
  <c r="AV1170" i="1" s="1"/>
  <c r="AL1170" i="1"/>
  <c r="AG1170" i="1"/>
  <c r="BC1169" i="1"/>
  <c r="BB1169" i="1"/>
  <c r="BA1169" i="1"/>
  <c r="AQ1169" i="1"/>
  <c r="AL1169" i="1"/>
  <c r="AG1169" i="1"/>
  <c r="BC1168" i="1"/>
  <c r="BB1168" i="1"/>
  <c r="BA1168" i="1"/>
  <c r="AQ1168" i="1"/>
  <c r="AT1168" i="1" s="1"/>
  <c r="AV1168" i="1" s="1"/>
  <c r="AL1168" i="1"/>
  <c r="AG1168" i="1"/>
  <c r="BC1167" i="1"/>
  <c r="BB1167" i="1"/>
  <c r="BA1167" i="1"/>
  <c r="AQ1167" i="1"/>
  <c r="AR1167" i="1" s="1"/>
  <c r="AS1167" i="1" s="1"/>
  <c r="AL1167" i="1"/>
  <c r="AG1167" i="1"/>
  <c r="AM1167" i="1" s="1"/>
  <c r="BC1166" i="1"/>
  <c r="BB1166" i="1"/>
  <c r="BA1166" i="1"/>
  <c r="AQ1166" i="1"/>
  <c r="AL1166" i="1"/>
  <c r="AG1166" i="1"/>
  <c r="AM1166" i="1" s="1"/>
  <c r="BC1165" i="1"/>
  <c r="BB1165" i="1"/>
  <c r="BA1165" i="1"/>
  <c r="AQ1165" i="1"/>
  <c r="AR1165" i="1" s="1"/>
  <c r="AS1165" i="1" s="1"/>
  <c r="AL1165" i="1"/>
  <c r="AG1165" i="1"/>
  <c r="AH1165" i="1" s="1"/>
  <c r="BC1164" i="1"/>
  <c r="BB1164" i="1"/>
  <c r="BA1164" i="1"/>
  <c r="AQ1164" i="1"/>
  <c r="AR1164" i="1" s="1"/>
  <c r="AS1164" i="1" s="1"/>
  <c r="AL1164" i="1"/>
  <c r="AG1164" i="1"/>
  <c r="BC1163" i="1"/>
  <c r="BB1163" i="1"/>
  <c r="BA1163" i="1"/>
  <c r="AQ1163" i="1"/>
  <c r="AR1163" i="1" s="1"/>
  <c r="AS1163" i="1" s="1"/>
  <c r="AL1163" i="1"/>
  <c r="AG1163" i="1"/>
  <c r="BC1162" i="1"/>
  <c r="BB1162" i="1"/>
  <c r="BA1162" i="1"/>
  <c r="AQ1162" i="1"/>
  <c r="AT1162" i="1" s="1"/>
  <c r="AV1162" i="1" s="1"/>
  <c r="AL1162" i="1"/>
  <c r="AG1162" i="1"/>
  <c r="BC1161" i="1"/>
  <c r="BB1161" i="1"/>
  <c r="BA1161" i="1"/>
  <c r="AQ1161" i="1"/>
  <c r="AL1161" i="1"/>
  <c r="AG1161" i="1"/>
  <c r="BC1160" i="1"/>
  <c r="BB1160" i="1"/>
  <c r="BA1160" i="1"/>
  <c r="AQ1160" i="1"/>
  <c r="AL1160" i="1"/>
  <c r="AG1160" i="1"/>
  <c r="AM1160" i="1" s="1"/>
  <c r="BC1159" i="1"/>
  <c r="BB1159" i="1"/>
  <c r="BA1159" i="1"/>
  <c r="AQ1159" i="1"/>
  <c r="AT1159" i="1" s="1"/>
  <c r="AV1159" i="1" s="1"/>
  <c r="AL1159" i="1"/>
  <c r="AG1159" i="1"/>
  <c r="BC1158" i="1"/>
  <c r="BB1158" i="1"/>
  <c r="BA1158" i="1"/>
  <c r="AQ1158" i="1"/>
  <c r="AL1158" i="1"/>
  <c r="AG1158" i="1"/>
  <c r="BC1157" i="1"/>
  <c r="BB1157" i="1"/>
  <c r="BA1157" i="1"/>
  <c r="AQ1157" i="1"/>
  <c r="AR1157" i="1" s="1"/>
  <c r="AS1157" i="1" s="1"/>
  <c r="AL1157" i="1"/>
  <c r="AG1157" i="1"/>
  <c r="BC1156" i="1"/>
  <c r="BB1156" i="1"/>
  <c r="BA1156" i="1"/>
  <c r="AQ1156" i="1"/>
  <c r="AR1156" i="1" s="1"/>
  <c r="AS1156" i="1" s="1"/>
  <c r="AL1156" i="1"/>
  <c r="AG1156" i="1"/>
  <c r="BC1155" i="1"/>
  <c r="BB1155" i="1"/>
  <c r="BA1155" i="1"/>
  <c r="AQ1155" i="1"/>
  <c r="AR1155" i="1" s="1"/>
  <c r="AS1155" i="1" s="1"/>
  <c r="AL1155" i="1"/>
  <c r="AG1155" i="1"/>
  <c r="BC1154" i="1"/>
  <c r="BB1154" i="1"/>
  <c r="BA1154" i="1"/>
  <c r="AQ1154" i="1"/>
  <c r="AL1154" i="1"/>
  <c r="AG1154" i="1"/>
  <c r="BC1153" i="1"/>
  <c r="BB1153" i="1"/>
  <c r="BA1153" i="1"/>
  <c r="AQ1153" i="1"/>
  <c r="AR1153" i="1" s="1"/>
  <c r="AS1153" i="1" s="1"/>
  <c r="AL1153" i="1"/>
  <c r="AG1153" i="1"/>
  <c r="BC1152" i="1"/>
  <c r="BB1152" i="1"/>
  <c r="BA1152" i="1"/>
  <c r="AQ1152" i="1"/>
  <c r="AT1152" i="1" s="1"/>
  <c r="AL1152" i="1"/>
  <c r="AG1152" i="1"/>
  <c r="AM1152" i="1" s="1"/>
  <c r="BC1151" i="1"/>
  <c r="BB1151" i="1"/>
  <c r="BA1151" i="1"/>
  <c r="AQ1151" i="1"/>
  <c r="AL1151" i="1"/>
  <c r="AG1151" i="1"/>
  <c r="AM1151" i="1" s="1"/>
  <c r="BC1150" i="1"/>
  <c r="BB1150" i="1"/>
  <c r="BA1150" i="1"/>
  <c r="AQ1150" i="1"/>
  <c r="AL1150" i="1"/>
  <c r="AG1150" i="1"/>
  <c r="BC1149" i="1"/>
  <c r="BB1149" i="1"/>
  <c r="BA1149" i="1"/>
  <c r="AQ1149" i="1"/>
  <c r="AR1149" i="1" s="1"/>
  <c r="AS1149" i="1" s="1"/>
  <c r="AL1149" i="1"/>
  <c r="AG1149" i="1"/>
  <c r="AH1149" i="1" s="1"/>
  <c r="BC1148" i="1"/>
  <c r="BB1148" i="1"/>
  <c r="BA1148" i="1"/>
  <c r="AQ1148" i="1"/>
  <c r="AL1148" i="1"/>
  <c r="AG1148" i="1"/>
  <c r="AM1148" i="1" s="1"/>
  <c r="BC1147" i="1"/>
  <c r="BB1147" i="1"/>
  <c r="BA1147" i="1"/>
  <c r="AQ1147" i="1"/>
  <c r="AL1147" i="1"/>
  <c r="AG1147" i="1"/>
  <c r="BC1146" i="1"/>
  <c r="BB1146" i="1"/>
  <c r="BA1146" i="1"/>
  <c r="AQ1146" i="1"/>
  <c r="AT1146" i="1" s="1"/>
  <c r="AL1146" i="1"/>
  <c r="AG1146" i="1"/>
  <c r="BC1145" i="1"/>
  <c r="BB1145" i="1"/>
  <c r="BA1145" i="1"/>
  <c r="AQ1145" i="1"/>
  <c r="AT1145" i="1" s="1"/>
  <c r="AV1145" i="1" s="1"/>
  <c r="AL1145" i="1"/>
  <c r="AG1145" i="1"/>
  <c r="BC1144" i="1"/>
  <c r="BB1144" i="1"/>
  <c r="BA1144" i="1"/>
  <c r="AQ1144" i="1"/>
  <c r="AT1144" i="1" s="1"/>
  <c r="AV1144" i="1" s="1"/>
  <c r="AL1144" i="1"/>
  <c r="AG1144" i="1"/>
  <c r="BC1143" i="1"/>
  <c r="BB1143" i="1"/>
  <c r="BA1143" i="1"/>
  <c r="AQ1143" i="1"/>
  <c r="AT1143" i="1" s="1"/>
  <c r="AL1143" i="1"/>
  <c r="AG1143" i="1"/>
  <c r="AH1143" i="1" s="1"/>
  <c r="BC1142" i="1"/>
  <c r="BB1142" i="1"/>
  <c r="BA1142" i="1"/>
  <c r="AQ1142" i="1"/>
  <c r="AL1142" i="1"/>
  <c r="AG1142" i="1"/>
  <c r="BC1141" i="1"/>
  <c r="BB1141" i="1"/>
  <c r="BA1141" i="1"/>
  <c r="AQ1141" i="1"/>
  <c r="AR1141" i="1" s="1"/>
  <c r="AS1141" i="1" s="1"/>
  <c r="AL1141" i="1"/>
  <c r="AG1141" i="1"/>
  <c r="AH1141" i="1" s="1"/>
  <c r="BC1140" i="1"/>
  <c r="BB1140" i="1"/>
  <c r="BA1140" i="1"/>
  <c r="AQ1140" i="1"/>
  <c r="AR1140" i="1" s="1"/>
  <c r="AS1140" i="1" s="1"/>
  <c r="AL1140" i="1"/>
  <c r="AG1140" i="1"/>
  <c r="BC1139" i="1"/>
  <c r="BB1139" i="1"/>
  <c r="BA1139" i="1"/>
  <c r="AQ1139" i="1"/>
  <c r="AT1139" i="1" s="1"/>
  <c r="AL1139" i="1"/>
  <c r="AG1139" i="1"/>
  <c r="BC1138" i="1"/>
  <c r="BB1138" i="1"/>
  <c r="BA1138" i="1"/>
  <c r="AQ1138" i="1"/>
  <c r="AL1138" i="1"/>
  <c r="AG1138" i="1"/>
  <c r="BC1137" i="1"/>
  <c r="BB1137" i="1"/>
  <c r="BA1137" i="1"/>
  <c r="AQ1137" i="1"/>
  <c r="AT1137" i="1" s="1"/>
  <c r="AL1137" i="1"/>
  <c r="AG1137" i="1"/>
  <c r="BC1136" i="1"/>
  <c r="BB1136" i="1"/>
  <c r="BA1136" i="1"/>
  <c r="AQ1136" i="1"/>
  <c r="AT1136" i="1" s="1"/>
  <c r="AV1136" i="1" s="1"/>
  <c r="AL1136" i="1"/>
  <c r="AG1136" i="1"/>
  <c r="BC1135" i="1"/>
  <c r="BB1135" i="1"/>
  <c r="BA1135" i="1"/>
  <c r="AQ1135" i="1"/>
  <c r="AR1135" i="1" s="1"/>
  <c r="AS1135" i="1" s="1"/>
  <c r="AL1135" i="1"/>
  <c r="AG1135" i="1"/>
  <c r="AM1135" i="1" s="1"/>
  <c r="BC1134" i="1"/>
  <c r="BB1134" i="1"/>
  <c r="BA1134" i="1"/>
  <c r="AQ1134" i="1"/>
  <c r="AL1134" i="1"/>
  <c r="AG1134" i="1"/>
  <c r="BC1133" i="1"/>
  <c r="BB1133" i="1"/>
  <c r="BA1133" i="1"/>
  <c r="AQ1133" i="1"/>
  <c r="AR1133" i="1" s="1"/>
  <c r="AS1133" i="1" s="1"/>
  <c r="AL1133" i="1"/>
  <c r="AG1133" i="1"/>
  <c r="AH1133" i="1" s="1"/>
  <c r="BC1132" i="1"/>
  <c r="BB1132" i="1"/>
  <c r="BA1132" i="1"/>
  <c r="AQ1132" i="1"/>
  <c r="AL1132" i="1"/>
  <c r="AG1132" i="1"/>
  <c r="AM1132" i="1" s="1"/>
  <c r="BC1131" i="1"/>
  <c r="BB1131" i="1"/>
  <c r="BA1131" i="1"/>
  <c r="AQ1131" i="1"/>
  <c r="AR1131" i="1" s="1"/>
  <c r="AS1131" i="1" s="1"/>
  <c r="AL1131" i="1"/>
  <c r="AG1131" i="1"/>
  <c r="BC1130" i="1"/>
  <c r="BB1130" i="1"/>
  <c r="BA1130" i="1"/>
  <c r="AQ1130" i="1"/>
  <c r="AT1130" i="1" s="1"/>
  <c r="AL1130" i="1"/>
  <c r="AG1130" i="1"/>
  <c r="BC1129" i="1"/>
  <c r="BB1129" i="1"/>
  <c r="BA1129" i="1"/>
  <c r="AQ1129" i="1"/>
  <c r="AL1129" i="1"/>
  <c r="AG1129" i="1"/>
  <c r="BC1128" i="1"/>
  <c r="BB1128" i="1"/>
  <c r="BA1128" i="1"/>
  <c r="AQ1128" i="1"/>
  <c r="AT1128" i="1" s="1"/>
  <c r="AV1128" i="1" s="1"/>
  <c r="AL1128" i="1"/>
  <c r="AG1128" i="1"/>
  <c r="AM1128" i="1" s="1"/>
  <c r="BC1127" i="1"/>
  <c r="BB1127" i="1"/>
  <c r="BA1127" i="1"/>
  <c r="AQ1127" i="1"/>
  <c r="AT1127" i="1" s="1"/>
  <c r="AV1127" i="1" s="1"/>
  <c r="AL1127" i="1"/>
  <c r="AG1127" i="1"/>
  <c r="AH1127" i="1" s="1"/>
  <c r="BC1126" i="1"/>
  <c r="BB1126" i="1"/>
  <c r="BA1126" i="1"/>
  <c r="AQ1126" i="1"/>
  <c r="AL1126" i="1"/>
  <c r="AG1126" i="1"/>
  <c r="BC1125" i="1"/>
  <c r="BB1125" i="1"/>
  <c r="BA1125" i="1"/>
  <c r="AQ1125" i="1"/>
  <c r="AR1125" i="1" s="1"/>
  <c r="AS1125" i="1" s="1"/>
  <c r="AL1125" i="1"/>
  <c r="AG1125" i="1"/>
  <c r="BC1124" i="1"/>
  <c r="BB1124" i="1"/>
  <c r="BA1124" i="1"/>
  <c r="AQ1124" i="1"/>
  <c r="AL1124" i="1"/>
  <c r="AG1124" i="1"/>
  <c r="AM1124" i="1" s="1"/>
  <c r="BC1123" i="1"/>
  <c r="BB1123" i="1"/>
  <c r="BA1123" i="1"/>
  <c r="AQ1123" i="1"/>
  <c r="AO1123" i="1"/>
  <c r="AN1123" i="1"/>
  <c r="AL1123" i="1"/>
  <c r="AG1123" i="1"/>
  <c r="BC1122" i="1"/>
  <c r="BB1122" i="1"/>
  <c r="BA1122" i="1"/>
  <c r="AQ1122" i="1"/>
  <c r="AT1122" i="1" s="1"/>
  <c r="AV1122" i="1" s="1"/>
  <c r="AO1122" i="1"/>
  <c r="AN1122" i="1"/>
  <c r="AL1122" i="1"/>
  <c r="AG1122" i="1"/>
  <c r="BC1121" i="1"/>
  <c r="BB1121" i="1"/>
  <c r="BA1121" i="1"/>
  <c r="AQ1121" i="1"/>
  <c r="AO1121" i="1"/>
  <c r="AN1121" i="1"/>
  <c r="AL1121" i="1"/>
  <c r="AG1121" i="1"/>
  <c r="BC1120" i="1"/>
  <c r="BB1120" i="1"/>
  <c r="BA1120" i="1"/>
  <c r="AQ1120" i="1"/>
  <c r="AT1120" i="1" s="1"/>
  <c r="AO1120" i="1"/>
  <c r="AN1120" i="1"/>
  <c r="AL1120" i="1"/>
  <c r="AG1120" i="1"/>
  <c r="AM1120" i="1" s="1"/>
  <c r="BC1119" i="1"/>
  <c r="BB1119" i="1"/>
  <c r="BA1119" i="1"/>
  <c r="AQ1119" i="1"/>
  <c r="AL1119" i="1"/>
  <c r="AG1119" i="1"/>
  <c r="AM1119" i="1" s="1"/>
  <c r="BC1118" i="1"/>
  <c r="BB1118" i="1"/>
  <c r="BA1118" i="1"/>
  <c r="AQ1118" i="1"/>
  <c r="AR1118" i="1" s="1"/>
  <c r="AS1118" i="1" s="1"/>
  <c r="AO1118" i="1"/>
  <c r="AN1118" i="1"/>
  <c r="AL1118" i="1"/>
  <c r="AG1118" i="1"/>
  <c r="AM1118" i="1" s="1"/>
  <c r="BC1117" i="1"/>
  <c r="BB1117" i="1"/>
  <c r="BA1117" i="1"/>
  <c r="AQ1117" i="1"/>
  <c r="AR1117" i="1" s="1"/>
  <c r="AS1117" i="1" s="1"/>
  <c r="AO1117" i="1"/>
  <c r="AN1117" i="1"/>
  <c r="AL1117" i="1"/>
  <c r="AG1117" i="1"/>
  <c r="AH1117" i="1" s="1"/>
  <c r="BC1116" i="1"/>
  <c r="BB1116" i="1"/>
  <c r="BA1116" i="1"/>
  <c r="AQ1116" i="1"/>
  <c r="AO1116" i="1"/>
  <c r="AN1116" i="1"/>
  <c r="AL1116" i="1"/>
  <c r="AG1116" i="1"/>
  <c r="BC1115" i="1"/>
  <c r="BB1115" i="1"/>
  <c r="BA1115" i="1"/>
  <c r="AQ1115" i="1"/>
  <c r="AR1115" i="1" s="1"/>
  <c r="AS1115" i="1" s="1"/>
  <c r="AL1115" i="1"/>
  <c r="AG1115" i="1"/>
  <c r="BC1114" i="1"/>
  <c r="BB1114" i="1"/>
  <c r="BA1114" i="1"/>
  <c r="AQ1114" i="1"/>
  <c r="AR1114" i="1" s="1"/>
  <c r="AS1114" i="1" s="1"/>
  <c r="AL1114" i="1"/>
  <c r="AG1114" i="1"/>
  <c r="AH1114" i="1" s="1"/>
  <c r="BC1113" i="1"/>
  <c r="BB1113" i="1"/>
  <c r="BA1113" i="1"/>
  <c r="AQ1113" i="1"/>
  <c r="AT1113" i="1" s="1"/>
  <c r="AL1113" i="1"/>
  <c r="AG1113" i="1"/>
  <c r="BC1112" i="1"/>
  <c r="BB1112" i="1"/>
  <c r="BA1112" i="1"/>
  <c r="AQ1112" i="1"/>
  <c r="AL1112" i="1"/>
  <c r="AG1112" i="1"/>
  <c r="BC1111" i="1"/>
  <c r="BB1111" i="1"/>
  <c r="BA1111" i="1"/>
  <c r="AQ1111" i="1"/>
  <c r="AT1111" i="1" s="1"/>
  <c r="AL1111" i="1"/>
  <c r="AG1111" i="1"/>
  <c r="AH1111" i="1" s="1"/>
  <c r="BC1110" i="1"/>
  <c r="BB1110" i="1"/>
  <c r="BA1110" i="1"/>
  <c r="AQ1110" i="1"/>
  <c r="AT1110" i="1" s="1"/>
  <c r="AO1110" i="1"/>
  <c r="AN1110" i="1"/>
  <c r="AL1110" i="1"/>
  <c r="AG1110" i="1"/>
  <c r="AM1110" i="1" s="1"/>
  <c r="BC1109" i="1"/>
  <c r="BB1109" i="1"/>
  <c r="BA1109" i="1"/>
  <c r="AQ1109" i="1"/>
  <c r="AR1109" i="1" s="1"/>
  <c r="AS1109" i="1" s="1"/>
  <c r="AO1109" i="1"/>
  <c r="AN1109" i="1"/>
  <c r="AL1109" i="1"/>
  <c r="AG1109" i="1"/>
  <c r="BC1108" i="1"/>
  <c r="BB1108" i="1"/>
  <c r="BA1108" i="1"/>
  <c r="AQ1108" i="1"/>
  <c r="AO1108" i="1"/>
  <c r="AN1108" i="1"/>
  <c r="AL1108" i="1"/>
  <c r="AG1108" i="1"/>
  <c r="BC1107" i="1"/>
  <c r="BB1107" i="1"/>
  <c r="BA1107" i="1"/>
  <c r="AQ1107" i="1"/>
  <c r="AR1107" i="1" s="1"/>
  <c r="AS1107" i="1" s="1"/>
  <c r="AO1107" i="1"/>
  <c r="AN1107" i="1"/>
  <c r="AL1107" i="1"/>
  <c r="AG1107" i="1"/>
  <c r="BC1106" i="1"/>
  <c r="BB1106" i="1"/>
  <c r="BA1106" i="1"/>
  <c r="AQ1106" i="1"/>
  <c r="AO1106" i="1"/>
  <c r="AN1106" i="1"/>
  <c r="AL1106" i="1"/>
  <c r="AG1106" i="1"/>
  <c r="AH1106" i="1" s="1"/>
  <c r="BC1105" i="1"/>
  <c r="BB1105" i="1"/>
  <c r="BA1105" i="1"/>
  <c r="AQ1105" i="1"/>
  <c r="AO1105" i="1"/>
  <c r="AN1105" i="1"/>
  <c r="AL1105" i="1"/>
  <c r="AG1105" i="1"/>
  <c r="BC1104" i="1"/>
  <c r="BB1104" i="1"/>
  <c r="BA1104" i="1"/>
  <c r="AQ1104" i="1"/>
  <c r="AO1104" i="1"/>
  <c r="AN1104" i="1"/>
  <c r="AL1104" i="1"/>
  <c r="AG1104" i="1"/>
  <c r="BC1103" i="1"/>
  <c r="BB1103" i="1"/>
  <c r="BA1103" i="1"/>
  <c r="AQ1103" i="1"/>
  <c r="AT1103" i="1" s="1"/>
  <c r="AV1103" i="1" s="1"/>
  <c r="AO1103" i="1"/>
  <c r="AN1103" i="1"/>
  <c r="AL1103" i="1"/>
  <c r="AG1103" i="1"/>
  <c r="AH1103" i="1" s="1"/>
  <c r="BC1102" i="1"/>
  <c r="BB1102" i="1"/>
  <c r="BA1102" i="1"/>
  <c r="AQ1102" i="1"/>
  <c r="AT1102" i="1" s="1"/>
  <c r="AO1102" i="1"/>
  <c r="AN1102" i="1"/>
  <c r="AL1102" i="1"/>
  <c r="AG1102" i="1"/>
  <c r="BC1101" i="1"/>
  <c r="BB1101" i="1"/>
  <c r="BA1101" i="1"/>
  <c r="AQ1101" i="1"/>
  <c r="AR1101" i="1" s="1"/>
  <c r="AS1101" i="1" s="1"/>
  <c r="AO1101" i="1"/>
  <c r="AN1101" i="1"/>
  <c r="AL1101" i="1"/>
  <c r="AG1101" i="1"/>
  <c r="BC1100" i="1"/>
  <c r="BB1100" i="1"/>
  <c r="BA1100" i="1"/>
  <c r="AQ1100" i="1"/>
  <c r="AO1100" i="1"/>
  <c r="AN1100" i="1"/>
  <c r="AL1100" i="1"/>
  <c r="AG1100" i="1"/>
  <c r="BC1099" i="1"/>
  <c r="BB1099" i="1"/>
  <c r="BA1099" i="1"/>
  <c r="AQ1099" i="1"/>
  <c r="AR1099" i="1" s="1"/>
  <c r="AS1099" i="1" s="1"/>
  <c r="AL1099" i="1"/>
  <c r="AG1099" i="1"/>
  <c r="AM1099" i="1" s="1"/>
  <c r="BC1098" i="1"/>
  <c r="BB1098" i="1"/>
  <c r="BA1098" i="1"/>
  <c r="AQ1098" i="1"/>
  <c r="AL1098" i="1"/>
  <c r="AG1098" i="1"/>
  <c r="AH1098" i="1" s="1"/>
  <c r="BC1097" i="1"/>
  <c r="BB1097" i="1"/>
  <c r="BA1097" i="1"/>
  <c r="AQ1097" i="1"/>
  <c r="AT1097" i="1" s="1"/>
  <c r="AL1097" i="1"/>
  <c r="AG1097" i="1"/>
  <c r="BC1096" i="1"/>
  <c r="BB1096" i="1"/>
  <c r="BA1096" i="1"/>
  <c r="AQ1096" i="1"/>
  <c r="AT1096" i="1" s="1"/>
  <c r="AV1096" i="1" s="1"/>
  <c r="AL1096" i="1"/>
  <c r="AG1096" i="1"/>
  <c r="BC1095" i="1"/>
  <c r="BB1095" i="1"/>
  <c r="BA1095" i="1"/>
  <c r="AQ1095" i="1"/>
  <c r="AL1095" i="1"/>
  <c r="AG1095" i="1"/>
  <c r="AH1095" i="1" s="1"/>
  <c r="BC1094" i="1"/>
  <c r="BB1094" i="1"/>
  <c r="BA1094" i="1"/>
  <c r="AQ1094" i="1"/>
  <c r="AT1094" i="1" s="1"/>
  <c r="AL1094" i="1"/>
  <c r="AG1094" i="1"/>
  <c r="AM1094" i="1" s="1"/>
  <c r="BC1093" i="1"/>
  <c r="BB1093" i="1"/>
  <c r="BA1093" i="1"/>
  <c r="AQ1093" i="1"/>
  <c r="AR1093" i="1" s="1"/>
  <c r="AS1093" i="1" s="1"/>
  <c r="AL1093" i="1"/>
  <c r="AG1093" i="1"/>
  <c r="BC1092" i="1"/>
  <c r="BB1092" i="1"/>
  <c r="BA1092" i="1"/>
  <c r="AQ1092" i="1"/>
  <c r="AL1092" i="1"/>
  <c r="AG1092" i="1"/>
  <c r="BC1091" i="1"/>
  <c r="BB1091" i="1"/>
  <c r="BA1091" i="1"/>
  <c r="AQ1091" i="1"/>
  <c r="AR1091" i="1" s="1"/>
  <c r="AS1091" i="1" s="1"/>
  <c r="AL1091" i="1"/>
  <c r="AG1091" i="1"/>
  <c r="AM1091" i="1" s="1"/>
  <c r="BC1090" i="1"/>
  <c r="BB1090" i="1"/>
  <c r="BA1090" i="1"/>
  <c r="AQ1090" i="1"/>
  <c r="AR1090" i="1" s="1"/>
  <c r="AS1090" i="1" s="1"/>
  <c r="AO1090" i="1"/>
  <c r="AN1090" i="1"/>
  <c r="AL1090" i="1"/>
  <c r="AG1090" i="1"/>
  <c r="AH1090" i="1" s="1"/>
  <c r="BC1089" i="1"/>
  <c r="BB1089" i="1"/>
  <c r="BA1089" i="1"/>
  <c r="AQ1089" i="1"/>
  <c r="AT1089" i="1" s="1"/>
  <c r="AO1089" i="1"/>
  <c r="AN1089" i="1"/>
  <c r="AL1089" i="1"/>
  <c r="AG1089" i="1"/>
  <c r="BC1088" i="1"/>
  <c r="BB1088" i="1"/>
  <c r="BA1088" i="1"/>
  <c r="AQ1088" i="1"/>
  <c r="AT1088" i="1" s="1"/>
  <c r="AV1088" i="1" s="1"/>
  <c r="AO1088" i="1"/>
  <c r="AN1088" i="1"/>
  <c r="AL1088" i="1"/>
  <c r="AG1088" i="1"/>
  <c r="BC1087" i="1"/>
  <c r="BB1087" i="1"/>
  <c r="BA1087" i="1"/>
  <c r="AQ1087" i="1"/>
  <c r="AT1087" i="1" s="1"/>
  <c r="AV1087" i="1" s="1"/>
  <c r="AO1087" i="1"/>
  <c r="AN1087" i="1"/>
  <c r="AL1087" i="1"/>
  <c r="AG1087" i="1"/>
  <c r="BC1086" i="1"/>
  <c r="BB1086" i="1"/>
  <c r="BA1086" i="1"/>
  <c r="AQ1086" i="1"/>
  <c r="AO1086" i="1"/>
  <c r="AN1086" i="1"/>
  <c r="AL1086" i="1"/>
  <c r="AG1086" i="1"/>
  <c r="AM1086" i="1" s="1"/>
  <c r="BC1085" i="1"/>
  <c r="BB1085" i="1"/>
  <c r="BA1085" i="1"/>
  <c r="AQ1085" i="1"/>
  <c r="AR1085" i="1" s="1"/>
  <c r="AS1085" i="1" s="1"/>
  <c r="AO1085" i="1"/>
  <c r="AN1085" i="1"/>
  <c r="AL1085" i="1"/>
  <c r="AG1085" i="1"/>
  <c r="AM1085" i="1" s="1"/>
  <c r="BC1084" i="1"/>
  <c r="BB1084" i="1"/>
  <c r="BA1084" i="1"/>
  <c r="AQ1084" i="1"/>
  <c r="AO1084" i="1"/>
  <c r="AN1084" i="1"/>
  <c r="AL1084" i="1"/>
  <c r="AG1084" i="1"/>
  <c r="AH1084" i="1" s="1"/>
  <c r="BC1083" i="1"/>
  <c r="BB1083" i="1"/>
  <c r="BA1083" i="1"/>
  <c r="AQ1083" i="1"/>
  <c r="AR1083" i="1" s="1"/>
  <c r="AS1083" i="1" s="1"/>
  <c r="AO1083" i="1"/>
  <c r="AN1083" i="1"/>
  <c r="AL1083" i="1"/>
  <c r="AG1083" i="1"/>
  <c r="AM1083" i="1" s="1"/>
  <c r="BC1082" i="1"/>
  <c r="BB1082" i="1"/>
  <c r="BA1082" i="1"/>
  <c r="AQ1082" i="1"/>
  <c r="AR1082" i="1" s="1"/>
  <c r="AS1082" i="1" s="1"/>
  <c r="AO1082" i="1"/>
  <c r="AN1082" i="1"/>
  <c r="AL1082" i="1"/>
  <c r="AG1082" i="1"/>
  <c r="AH1082" i="1" s="1"/>
  <c r="BC1081" i="1"/>
  <c r="BB1081" i="1"/>
  <c r="BA1081" i="1"/>
  <c r="AQ1081" i="1"/>
  <c r="AR1081" i="1" s="1"/>
  <c r="AS1081" i="1" s="1"/>
  <c r="AO1081" i="1"/>
  <c r="AN1081" i="1"/>
  <c r="AL1081" i="1"/>
  <c r="AG1081" i="1"/>
  <c r="BC1080" i="1"/>
  <c r="BB1080" i="1"/>
  <c r="BA1080" i="1"/>
  <c r="AQ1080" i="1"/>
  <c r="AT1080" i="1" s="1"/>
  <c r="AO1080" i="1"/>
  <c r="AN1080" i="1"/>
  <c r="AL1080" i="1"/>
  <c r="AG1080" i="1"/>
  <c r="BC1079" i="1"/>
  <c r="BB1079" i="1"/>
  <c r="BA1079" i="1"/>
  <c r="AQ1079" i="1"/>
  <c r="AO1079" i="1"/>
  <c r="AN1079" i="1"/>
  <c r="AL1079" i="1"/>
  <c r="AG1079" i="1"/>
  <c r="BC1078" i="1"/>
  <c r="BB1078" i="1"/>
  <c r="BA1078" i="1"/>
  <c r="AQ1078" i="1"/>
  <c r="AT1078" i="1" s="1"/>
  <c r="AV1078" i="1" s="1"/>
  <c r="AO1078" i="1"/>
  <c r="AN1078" i="1"/>
  <c r="AL1078" i="1"/>
  <c r="AG1078" i="1"/>
  <c r="AM1078" i="1" s="1"/>
  <c r="BC1077" i="1"/>
  <c r="BB1077" i="1"/>
  <c r="BA1077" i="1"/>
  <c r="AQ1077" i="1"/>
  <c r="AR1077" i="1" s="1"/>
  <c r="AS1077" i="1" s="1"/>
  <c r="AO1077" i="1"/>
  <c r="AN1077" i="1"/>
  <c r="AL1077" i="1"/>
  <c r="AG1077" i="1"/>
  <c r="AM1077" i="1" s="1"/>
  <c r="BC1076" i="1"/>
  <c r="BB1076" i="1"/>
  <c r="BA1076" i="1"/>
  <c r="AQ1076" i="1"/>
  <c r="AO1076" i="1"/>
  <c r="AN1076" i="1"/>
  <c r="AL1076" i="1"/>
  <c r="AG1076" i="1"/>
  <c r="BC1075" i="1"/>
  <c r="BB1075" i="1"/>
  <c r="BA1075" i="1"/>
  <c r="AQ1075" i="1"/>
  <c r="AR1075" i="1" s="1"/>
  <c r="AS1075" i="1" s="1"/>
  <c r="AO1075" i="1"/>
  <c r="AN1075" i="1"/>
  <c r="AL1075" i="1"/>
  <c r="AG1075" i="1"/>
  <c r="BC1074" i="1"/>
  <c r="BB1074" i="1"/>
  <c r="BA1074" i="1"/>
  <c r="AQ1074" i="1"/>
  <c r="AR1074" i="1" s="1"/>
  <c r="AS1074" i="1" s="1"/>
  <c r="AO1074" i="1"/>
  <c r="AN1074" i="1"/>
  <c r="AL1074" i="1"/>
  <c r="AG1074" i="1"/>
  <c r="AH1074" i="1" s="1"/>
  <c r="BC1073" i="1"/>
  <c r="BB1073" i="1"/>
  <c r="BA1073" i="1"/>
  <c r="AQ1073" i="1"/>
  <c r="AT1073" i="1" s="1"/>
  <c r="AO1073" i="1"/>
  <c r="AN1073" i="1"/>
  <c r="AL1073" i="1"/>
  <c r="AG1073" i="1"/>
  <c r="BC1072" i="1"/>
  <c r="BB1072" i="1"/>
  <c r="BA1072" i="1"/>
  <c r="AQ1072" i="1"/>
  <c r="AR1072" i="1" s="1"/>
  <c r="AS1072" i="1" s="1"/>
  <c r="AO1072" i="1"/>
  <c r="AN1072" i="1"/>
  <c r="AL1072" i="1"/>
  <c r="AG1072" i="1"/>
  <c r="BC1071" i="1"/>
  <c r="BB1071" i="1"/>
  <c r="BA1071" i="1"/>
  <c r="AQ1071" i="1"/>
  <c r="AO1071" i="1"/>
  <c r="AN1071" i="1"/>
  <c r="AL1071" i="1"/>
  <c r="AG1071" i="1"/>
  <c r="BC1070" i="1"/>
  <c r="BB1070" i="1"/>
  <c r="BA1070" i="1"/>
  <c r="AQ1070" i="1"/>
  <c r="AT1070" i="1" s="1"/>
  <c r="AV1070" i="1" s="1"/>
  <c r="AO1070" i="1"/>
  <c r="AN1070" i="1"/>
  <c r="AL1070" i="1"/>
  <c r="AG1070" i="1"/>
  <c r="AM1070" i="1" s="1"/>
  <c r="BC1069" i="1"/>
  <c r="BB1069" i="1"/>
  <c r="BA1069" i="1"/>
  <c r="AQ1069" i="1"/>
  <c r="AR1069" i="1" s="1"/>
  <c r="AS1069" i="1" s="1"/>
  <c r="AO1069" i="1"/>
  <c r="AN1069" i="1"/>
  <c r="AL1069" i="1"/>
  <c r="AG1069" i="1"/>
  <c r="AM1069" i="1" s="1"/>
  <c r="BC1068" i="1"/>
  <c r="BB1068" i="1"/>
  <c r="BA1068" i="1"/>
  <c r="AQ1068" i="1"/>
  <c r="AL1068" i="1"/>
  <c r="AG1068" i="1"/>
  <c r="AH1068" i="1" s="1"/>
  <c r="BC1067" i="1"/>
  <c r="BB1067" i="1"/>
  <c r="BA1067" i="1"/>
  <c r="AQ1067" i="1"/>
  <c r="AR1067" i="1" s="1"/>
  <c r="AS1067" i="1" s="1"/>
  <c r="AL1067" i="1"/>
  <c r="AG1067" i="1"/>
  <c r="AM1067" i="1" s="1"/>
  <c r="BC1066" i="1"/>
  <c r="BB1066" i="1"/>
  <c r="BA1066" i="1"/>
  <c r="AQ1066" i="1"/>
  <c r="AR1066" i="1" s="1"/>
  <c r="AS1066" i="1" s="1"/>
  <c r="AL1066" i="1"/>
  <c r="AG1066" i="1"/>
  <c r="AH1066" i="1" s="1"/>
  <c r="BC1065" i="1"/>
  <c r="BB1065" i="1"/>
  <c r="BA1065" i="1"/>
  <c r="AQ1065" i="1"/>
  <c r="AT1065" i="1" s="1"/>
  <c r="AL1065" i="1"/>
  <c r="AG1065" i="1"/>
  <c r="BC1064" i="1"/>
  <c r="BB1064" i="1"/>
  <c r="BA1064" i="1"/>
  <c r="AQ1064" i="1"/>
  <c r="AT1064" i="1" s="1"/>
  <c r="AL1064" i="1"/>
  <c r="AG1064" i="1"/>
  <c r="BC1063" i="1"/>
  <c r="BB1063" i="1"/>
  <c r="BA1063" i="1"/>
  <c r="AQ1063" i="1"/>
  <c r="AT1063" i="1" s="1"/>
  <c r="AL1063" i="1"/>
  <c r="AG1063" i="1"/>
  <c r="BC1062" i="1"/>
  <c r="BB1062" i="1"/>
  <c r="BA1062" i="1"/>
  <c r="AQ1062" i="1"/>
  <c r="AT1062" i="1" s="1"/>
  <c r="AV1062" i="1" s="1"/>
  <c r="AL1062" i="1"/>
  <c r="AG1062" i="1"/>
  <c r="AM1062" i="1" s="1"/>
  <c r="BC1061" i="1"/>
  <c r="BB1061" i="1"/>
  <c r="BA1061" i="1"/>
  <c r="AQ1061" i="1"/>
  <c r="AR1061" i="1" s="1"/>
  <c r="AS1061" i="1" s="1"/>
  <c r="AL1061" i="1"/>
  <c r="AG1061" i="1"/>
  <c r="AH1061" i="1" s="1"/>
  <c r="BC1060" i="1"/>
  <c r="BB1060" i="1"/>
  <c r="BA1060" i="1"/>
  <c r="AQ1060" i="1"/>
  <c r="AL1060" i="1"/>
  <c r="AG1060" i="1"/>
  <c r="AM1060" i="1" s="1"/>
  <c r="BC1059" i="1"/>
  <c r="BB1059" i="1"/>
  <c r="BA1059" i="1"/>
  <c r="AQ1059" i="1"/>
  <c r="AR1059" i="1" s="1"/>
  <c r="AS1059" i="1" s="1"/>
  <c r="AL1059" i="1"/>
  <c r="AG1059" i="1"/>
  <c r="BC1058" i="1"/>
  <c r="BB1058" i="1"/>
  <c r="BA1058" i="1"/>
  <c r="AQ1058" i="1"/>
  <c r="AR1058" i="1" s="1"/>
  <c r="AS1058" i="1" s="1"/>
  <c r="AL1058" i="1"/>
  <c r="AG1058" i="1"/>
  <c r="AH1058" i="1" s="1"/>
  <c r="BC1057" i="1"/>
  <c r="BB1057" i="1"/>
  <c r="BA1057" i="1"/>
  <c r="AQ1057" i="1"/>
  <c r="AT1057" i="1" s="1"/>
  <c r="AL1057" i="1"/>
  <c r="AG1057" i="1"/>
  <c r="BC1056" i="1"/>
  <c r="BB1056" i="1"/>
  <c r="BA1056" i="1"/>
  <c r="AQ1056" i="1"/>
  <c r="AR1056" i="1" s="1"/>
  <c r="AS1056" i="1" s="1"/>
  <c r="AL1056" i="1"/>
  <c r="AG1056" i="1"/>
  <c r="BC1055" i="1"/>
  <c r="BB1055" i="1"/>
  <c r="BA1055" i="1"/>
  <c r="AQ1055" i="1"/>
  <c r="AL1055" i="1"/>
  <c r="AG1055" i="1"/>
  <c r="BC1054" i="1"/>
  <c r="BB1054" i="1"/>
  <c r="BA1054" i="1"/>
  <c r="AQ1054" i="1"/>
  <c r="AT1054" i="1" s="1"/>
  <c r="AU1054" i="1" s="1"/>
  <c r="AL1054" i="1"/>
  <c r="AG1054" i="1"/>
  <c r="AM1054" i="1" s="1"/>
  <c r="BC1053" i="1"/>
  <c r="BB1053" i="1"/>
  <c r="BA1053" i="1"/>
  <c r="AQ1053" i="1"/>
  <c r="AL1053" i="1"/>
  <c r="AG1053" i="1"/>
  <c r="AM1053" i="1" s="1"/>
  <c r="BC1052" i="1"/>
  <c r="BB1052" i="1"/>
  <c r="BA1052" i="1"/>
  <c r="AQ1052" i="1"/>
  <c r="AR1052" i="1" s="1"/>
  <c r="AS1052" i="1" s="1"/>
  <c r="AL1052" i="1"/>
  <c r="AG1052" i="1"/>
  <c r="AM1052" i="1" s="1"/>
  <c r="BC1051" i="1"/>
  <c r="BB1051" i="1"/>
  <c r="BA1051" i="1"/>
  <c r="AQ1051" i="1"/>
  <c r="AR1051" i="1" s="1"/>
  <c r="AS1051" i="1" s="1"/>
  <c r="AL1051" i="1"/>
  <c r="AG1051" i="1"/>
  <c r="AH1051" i="1" s="1"/>
  <c r="BC1050" i="1"/>
  <c r="BB1050" i="1"/>
  <c r="BA1050" i="1"/>
  <c r="AQ1050" i="1"/>
  <c r="AL1050" i="1"/>
  <c r="AG1050" i="1"/>
  <c r="AH1050" i="1" s="1"/>
  <c r="BC1049" i="1"/>
  <c r="BB1049" i="1"/>
  <c r="BA1049" i="1"/>
  <c r="AQ1049" i="1"/>
  <c r="AR1049" i="1" s="1"/>
  <c r="AS1049" i="1" s="1"/>
  <c r="AL1049" i="1"/>
  <c r="AG1049" i="1"/>
  <c r="AM1049" i="1" s="1"/>
  <c r="BC1048" i="1"/>
  <c r="BB1048" i="1"/>
  <c r="BA1048" i="1"/>
  <c r="AQ1048" i="1"/>
  <c r="AT1048" i="1" s="1"/>
  <c r="AU1048" i="1" s="1"/>
  <c r="AL1048" i="1"/>
  <c r="AG1048" i="1"/>
  <c r="AH1048" i="1" s="1"/>
  <c r="BC1047" i="1"/>
  <c r="BB1047" i="1"/>
  <c r="BA1047" i="1"/>
  <c r="AQ1047" i="1"/>
  <c r="AL1047" i="1"/>
  <c r="AG1047" i="1"/>
  <c r="AM1047" i="1" s="1"/>
  <c r="BC1046" i="1"/>
  <c r="BB1046" i="1"/>
  <c r="BA1046" i="1"/>
  <c r="AQ1046" i="1"/>
  <c r="AT1046" i="1" s="1"/>
  <c r="AL1046" i="1"/>
  <c r="AG1046" i="1"/>
  <c r="AH1046" i="1" s="1"/>
  <c r="BC1045" i="1"/>
  <c r="BB1045" i="1"/>
  <c r="BA1045" i="1"/>
  <c r="AQ1045" i="1"/>
  <c r="AR1045" i="1" s="1"/>
  <c r="AS1045" i="1" s="1"/>
  <c r="AL1045" i="1"/>
  <c r="AG1045" i="1"/>
  <c r="BC1044" i="1"/>
  <c r="BB1044" i="1"/>
  <c r="BA1044" i="1"/>
  <c r="AQ1044" i="1"/>
  <c r="AT1044" i="1" s="1"/>
  <c r="AL1044" i="1"/>
  <c r="AG1044" i="1"/>
  <c r="BC1043" i="1"/>
  <c r="BB1043" i="1"/>
  <c r="BA1043" i="1"/>
  <c r="AQ1043" i="1"/>
  <c r="AR1043" i="1" s="1"/>
  <c r="AS1043" i="1" s="1"/>
  <c r="AL1043" i="1"/>
  <c r="AG1043" i="1"/>
  <c r="BC1042" i="1"/>
  <c r="BB1042" i="1"/>
  <c r="BA1042" i="1"/>
  <c r="AQ1042" i="1"/>
  <c r="AR1042" i="1" s="1"/>
  <c r="AS1042" i="1" s="1"/>
  <c r="AL1042" i="1"/>
  <c r="AG1042" i="1"/>
  <c r="AH1042" i="1" s="1"/>
  <c r="BC1041" i="1"/>
  <c r="BB1041" i="1"/>
  <c r="BA1041" i="1"/>
  <c r="AQ1041" i="1"/>
  <c r="AT1041" i="1" s="1"/>
  <c r="AL1041" i="1"/>
  <c r="AG1041" i="1"/>
  <c r="BC1040" i="1"/>
  <c r="BB1040" i="1"/>
  <c r="BA1040" i="1"/>
  <c r="AQ1040" i="1"/>
  <c r="AT1040" i="1" s="1"/>
  <c r="AV1040" i="1" s="1"/>
  <c r="AL1040" i="1"/>
  <c r="AG1040" i="1"/>
  <c r="BC1039" i="1"/>
  <c r="BB1039" i="1"/>
  <c r="BA1039" i="1"/>
  <c r="AQ1039" i="1"/>
  <c r="AL1039" i="1"/>
  <c r="AG1039" i="1"/>
  <c r="AM1039" i="1" s="1"/>
  <c r="BC1038" i="1"/>
  <c r="BB1038" i="1"/>
  <c r="BA1038" i="1"/>
  <c r="AQ1038" i="1"/>
  <c r="AL1038" i="1"/>
  <c r="AG1038" i="1"/>
  <c r="AH1038" i="1" s="1"/>
  <c r="BC1037" i="1"/>
  <c r="BB1037" i="1"/>
  <c r="BA1037" i="1"/>
  <c r="AQ1037" i="1"/>
  <c r="AL1037" i="1"/>
  <c r="AG1037" i="1"/>
  <c r="AM1037" i="1" s="1"/>
  <c r="BC1036" i="1"/>
  <c r="BB1036" i="1"/>
  <c r="BA1036" i="1"/>
  <c r="AQ1036" i="1"/>
  <c r="AT1036" i="1" s="1"/>
  <c r="AL1036" i="1"/>
  <c r="AG1036" i="1"/>
  <c r="AH1036" i="1" s="1"/>
  <c r="BC1035" i="1"/>
  <c r="BB1035" i="1"/>
  <c r="BA1035" i="1"/>
  <c r="AQ1035" i="1"/>
  <c r="AR1035" i="1" s="1"/>
  <c r="AS1035" i="1" s="1"/>
  <c r="AL1035" i="1"/>
  <c r="AG1035" i="1"/>
  <c r="AH1035" i="1" s="1"/>
  <c r="BC1034" i="1"/>
  <c r="BB1034" i="1"/>
  <c r="BA1034" i="1"/>
  <c r="AQ1034" i="1"/>
  <c r="AT1034" i="1" s="1"/>
  <c r="AL1034" i="1"/>
  <c r="AG1034" i="1"/>
  <c r="BC1033" i="1"/>
  <c r="BB1033" i="1"/>
  <c r="BA1033" i="1"/>
  <c r="AQ1033" i="1"/>
  <c r="AT1033" i="1" s="1"/>
  <c r="AL1033" i="1"/>
  <c r="AG1033" i="1"/>
  <c r="BC1032" i="1"/>
  <c r="BB1032" i="1"/>
  <c r="BA1032" i="1"/>
  <c r="AQ1032" i="1"/>
  <c r="AT1032" i="1" s="1"/>
  <c r="AV1032" i="1" s="1"/>
  <c r="AL1032" i="1"/>
  <c r="AG1032" i="1"/>
  <c r="AH1032" i="1" s="1"/>
  <c r="BC1031" i="1"/>
  <c r="BB1031" i="1"/>
  <c r="BA1031" i="1"/>
  <c r="AQ1031" i="1"/>
  <c r="AL1031" i="1"/>
  <c r="AG1031" i="1"/>
  <c r="AM1031" i="1" s="1"/>
  <c r="BC1030" i="1"/>
  <c r="BB1030" i="1"/>
  <c r="BA1030" i="1"/>
  <c r="AQ1030" i="1"/>
  <c r="AL1030" i="1"/>
  <c r="AG1030" i="1"/>
  <c r="AM1030" i="1" s="1"/>
  <c r="BC1029" i="1"/>
  <c r="BB1029" i="1"/>
  <c r="BA1029" i="1"/>
  <c r="AQ1029" i="1"/>
  <c r="AL1029" i="1"/>
  <c r="AG1029" i="1"/>
  <c r="AH1029" i="1" s="1"/>
  <c r="BC1028" i="1"/>
  <c r="BB1028" i="1"/>
  <c r="BA1028" i="1"/>
  <c r="AQ1028" i="1"/>
  <c r="AR1028" i="1" s="1"/>
  <c r="AS1028" i="1" s="1"/>
  <c r="AL1028" i="1"/>
  <c r="AG1028" i="1"/>
  <c r="BC1027" i="1"/>
  <c r="BB1027" i="1"/>
  <c r="BA1027" i="1"/>
  <c r="AQ1027" i="1"/>
  <c r="AR1027" i="1" s="1"/>
  <c r="AS1027" i="1" s="1"/>
  <c r="AL1027" i="1"/>
  <c r="AG1027" i="1"/>
  <c r="AM1027" i="1" s="1"/>
  <c r="BC1026" i="1"/>
  <c r="BB1026" i="1"/>
  <c r="BA1026" i="1"/>
  <c r="AQ1026" i="1"/>
  <c r="AR1026" i="1" s="1"/>
  <c r="AS1026" i="1" s="1"/>
  <c r="AL1026" i="1"/>
  <c r="AG1026" i="1"/>
  <c r="BC1025" i="1"/>
  <c r="BB1025" i="1"/>
  <c r="BA1025" i="1"/>
  <c r="AQ1025" i="1"/>
  <c r="AT1025" i="1" s="1"/>
  <c r="AV1025" i="1" s="1"/>
  <c r="AL1025" i="1"/>
  <c r="AG1025" i="1"/>
  <c r="AM1025" i="1" s="1"/>
  <c r="BC1024" i="1"/>
  <c r="BB1024" i="1"/>
  <c r="BA1024" i="1"/>
  <c r="AQ1024" i="1"/>
  <c r="AT1024" i="1" s="1"/>
  <c r="AV1024" i="1" s="1"/>
  <c r="AL1024" i="1"/>
  <c r="AG1024" i="1"/>
  <c r="AH1024" i="1" s="1"/>
  <c r="BC1023" i="1"/>
  <c r="BB1023" i="1"/>
  <c r="BA1023" i="1"/>
  <c r="AQ1023" i="1"/>
  <c r="AL1023" i="1"/>
  <c r="AG1023" i="1"/>
  <c r="AM1023" i="1" s="1"/>
  <c r="BC1022" i="1"/>
  <c r="BB1022" i="1"/>
  <c r="BA1022" i="1"/>
  <c r="AQ1022" i="1"/>
  <c r="AR1022" i="1" s="1"/>
  <c r="AS1022" i="1" s="1"/>
  <c r="AL1022" i="1"/>
  <c r="AG1022" i="1"/>
  <c r="AH1022" i="1" s="1"/>
  <c r="BC1021" i="1"/>
  <c r="BB1021" i="1"/>
  <c r="BA1021" i="1"/>
  <c r="AQ1021" i="1"/>
  <c r="AL1021" i="1"/>
  <c r="AG1021" i="1"/>
  <c r="BC1020" i="1"/>
  <c r="BB1020" i="1"/>
  <c r="BA1020" i="1"/>
  <c r="AQ1020" i="1"/>
  <c r="AT1020" i="1" s="1"/>
  <c r="AU1020" i="1" s="1"/>
  <c r="AL1020" i="1"/>
  <c r="AG1020" i="1"/>
  <c r="AH1020" i="1" s="1"/>
  <c r="BC1019" i="1"/>
  <c r="BB1019" i="1"/>
  <c r="BA1019" i="1"/>
  <c r="AQ1019" i="1"/>
  <c r="AR1019" i="1" s="1"/>
  <c r="AS1019" i="1" s="1"/>
  <c r="AL1019" i="1"/>
  <c r="AG1019" i="1"/>
  <c r="AM1019" i="1" s="1"/>
  <c r="BC1018" i="1"/>
  <c r="BB1018" i="1"/>
  <c r="BA1018" i="1"/>
  <c r="AQ1018" i="1"/>
  <c r="AT1018" i="1" s="1"/>
  <c r="AL1018" i="1"/>
  <c r="AG1018" i="1"/>
  <c r="BC1017" i="1"/>
  <c r="BB1017" i="1"/>
  <c r="BA1017" i="1"/>
  <c r="AQ1017" i="1"/>
  <c r="AT1017" i="1" s="1"/>
  <c r="AV1017" i="1" s="1"/>
  <c r="AL1017" i="1"/>
  <c r="AG1017" i="1"/>
  <c r="AM1017" i="1" s="1"/>
  <c r="BC1016" i="1"/>
  <c r="BB1016" i="1"/>
  <c r="BA1016" i="1"/>
  <c r="AQ1016" i="1"/>
  <c r="AT1016" i="1" s="1"/>
  <c r="AV1016" i="1" s="1"/>
  <c r="AL1016" i="1"/>
  <c r="AG1016" i="1"/>
  <c r="AH1016" i="1" s="1"/>
  <c r="BC1015" i="1"/>
  <c r="BB1015" i="1"/>
  <c r="BA1015" i="1"/>
  <c r="AQ1015" i="1"/>
  <c r="AL1015" i="1"/>
  <c r="AG1015" i="1"/>
  <c r="AM1015" i="1" s="1"/>
  <c r="BC1014" i="1"/>
  <c r="BB1014" i="1"/>
  <c r="BA1014" i="1"/>
  <c r="AQ1014" i="1"/>
  <c r="AL1014" i="1"/>
  <c r="AG1014" i="1"/>
  <c r="AH1014" i="1" s="1"/>
  <c r="BC1013" i="1"/>
  <c r="BB1013" i="1"/>
  <c r="BA1013" i="1"/>
  <c r="AQ1013" i="1"/>
  <c r="AL1013" i="1"/>
  <c r="AG1013" i="1"/>
  <c r="AM1013" i="1" s="1"/>
  <c r="BC1012" i="1"/>
  <c r="BB1012" i="1"/>
  <c r="BA1012" i="1"/>
  <c r="AQ1012" i="1"/>
  <c r="AL1012" i="1"/>
  <c r="AG1012" i="1"/>
  <c r="AH1012" i="1" s="1"/>
  <c r="BC1011" i="1"/>
  <c r="BB1011" i="1"/>
  <c r="BA1011" i="1"/>
  <c r="AQ1011" i="1"/>
  <c r="AR1011" i="1" s="1"/>
  <c r="AS1011" i="1" s="1"/>
  <c r="AL1011" i="1"/>
  <c r="AG1011" i="1"/>
  <c r="AM1011" i="1" s="1"/>
  <c r="BC1010" i="1"/>
  <c r="BB1010" i="1"/>
  <c r="BA1010" i="1"/>
  <c r="AQ1010" i="1"/>
  <c r="AR1010" i="1" s="1"/>
  <c r="AS1010" i="1" s="1"/>
  <c r="AL1010" i="1"/>
  <c r="AG1010" i="1"/>
  <c r="BC1009" i="1"/>
  <c r="BB1009" i="1"/>
  <c r="BA1009" i="1"/>
  <c r="AQ1009" i="1"/>
  <c r="AT1009" i="1" s="1"/>
  <c r="AV1009" i="1" s="1"/>
  <c r="AL1009" i="1"/>
  <c r="AG1009" i="1"/>
  <c r="BC1008" i="1"/>
  <c r="BB1008" i="1"/>
  <c r="BA1008" i="1"/>
  <c r="AQ1008" i="1"/>
  <c r="AT1008" i="1" s="1"/>
  <c r="AV1008" i="1" s="1"/>
  <c r="AL1008" i="1"/>
  <c r="AG1008" i="1"/>
  <c r="BC1007" i="1"/>
  <c r="BB1007" i="1"/>
  <c r="BA1007" i="1"/>
  <c r="AQ1007" i="1"/>
  <c r="AL1007" i="1"/>
  <c r="AG1007" i="1"/>
  <c r="AM1007" i="1" s="1"/>
  <c r="BC1006" i="1"/>
  <c r="BB1006" i="1"/>
  <c r="BA1006" i="1"/>
  <c r="AQ1006" i="1"/>
  <c r="AL1006" i="1"/>
  <c r="AG1006" i="1"/>
  <c r="AH1006" i="1" s="1"/>
  <c r="BC1005" i="1"/>
  <c r="BB1005" i="1"/>
  <c r="BA1005" i="1"/>
  <c r="AQ1005" i="1"/>
  <c r="AL1005" i="1"/>
  <c r="AG1005" i="1"/>
  <c r="BC1004" i="1"/>
  <c r="BB1004" i="1"/>
  <c r="BA1004" i="1"/>
  <c r="AQ1004" i="1"/>
  <c r="AR1004" i="1" s="1"/>
  <c r="AS1004" i="1" s="1"/>
  <c r="AL1004" i="1"/>
  <c r="AG1004" i="1"/>
  <c r="AH1004" i="1" s="1"/>
  <c r="BC1003" i="1"/>
  <c r="BB1003" i="1"/>
  <c r="BA1003" i="1"/>
  <c r="AQ1003" i="1"/>
  <c r="AL1003" i="1"/>
  <c r="AG1003" i="1"/>
  <c r="BC1002" i="1"/>
  <c r="BB1002" i="1"/>
  <c r="BA1002" i="1"/>
  <c r="AQ1002" i="1"/>
  <c r="AL1002" i="1"/>
  <c r="AG1002" i="1"/>
  <c r="AM1002" i="1" s="1"/>
  <c r="BC1001" i="1"/>
  <c r="BB1001" i="1"/>
  <c r="BA1001" i="1"/>
  <c r="AQ1001" i="1"/>
  <c r="AT1001" i="1" s="1"/>
  <c r="AU1001" i="1" s="1"/>
  <c r="AL1001" i="1"/>
  <c r="AG1001" i="1"/>
  <c r="AH1001" i="1" s="1"/>
  <c r="BC1000" i="1"/>
  <c r="BB1000" i="1"/>
  <c r="BA1000" i="1"/>
  <c r="AQ1000" i="1"/>
  <c r="AL1000" i="1"/>
  <c r="AG1000" i="1"/>
  <c r="AM1000" i="1" s="1"/>
  <c r="BC999" i="1"/>
  <c r="BB999" i="1"/>
  <c r="BA999" i="1"/>
  <c r="AQ999" i="1"/>
  <c r="AT999" i="1" s="1"/>
  <c r="AL999" i="1"/>
  <c r="AG999" i="1"/>
  <c r="BC998" i="1"/>
  <c r="BB998" i="1"/>
  <c r="BA998" i="1"/>
  <c r="AQ998" i="1"/>
  <c r="AT998" i="1" s="1"/>
  <c r="AV998" i="1" s="1"/>
  <c r="AL998" i="1"/>
  <c r="AG998" i="1"/>
  <c r="AM998" i="1" s="1"/>
  <c r="BC997" i="1"/>
  <c r="BB997" i="1"/>
  <c r="BA997" i="1"/>
  <c r="AQ997" i="1"/>
  <c r="AT997" i="1" s="1"/>
  <c r="AL997" i="1"/>
  <c r="AG997" i="1"/>
  <c r="BC996" i="1"/>
  <c r="BB996" i="1"/>
  <c r="BA996" i="1"/>
  <c r="AQ996" i="1"/>
  <c r="AR996" i="1" s="1"/>
  <c r="AS996" i="1" s="1"/>
  <c r="AL996" i="1"/>
  <c r="AG996" i="1"/>
  <c r="BC995" i="1"/>
  <c r="BB995" i="1"/>
  <c r="BA995" i="1"/>
  <c r="AQ995" i="1"/>
  <c r="AT995" i="1" s="1"/>
  <c r="AU995" i="1" s="1"/>
  <c r="AL995" i="1"/>
  <c r="AG995" i="1"/>
  <c r="BC994" i="1"/>
  <c r="BB994" i="1"/>
  <c r="BA994" i="1"/>
  <c r="AQ994" i="1"/>
  <c r="AL994" i="1"/>
  <c r="AG994" i="1"/>
  <c r="AM994" i="1" s="1"/>
  <c r="BC993" i="1"/>
  <c r="BB993" i="1"/>
  <c r="BA993" i="1"/>
  <c r="AQ993" i="1"/>
  <c r="AT993" i="1" s="1"/>
  <c r="AL993" i="1"/>
  <c r="AG993" i="1"/>
  <c r="BC992" i="1"/>
  <c r="BB992" i="1"/>
  <c r="BA992" i="1"/>
  <c r="AQ992" i="1"/>
  <c r="AL992" i="1"/>
  <c r="AG992" i="1"/>
  <c r="AM992" i="1" s="1"/>
  <c r="BC991" i="1"/>
  <c r="BB991" i="1"/>
  <c r="BA991" i="1"/>
  <c r="AQ991" i="1"/>
  <c r="AT991" i="1" s="1"/>
  <c r="AL991" i="1"/>
  <c r="AG991" i="1"/>
  <c r="BC990" i="1"/>
  <c r="BB990" i="1"/>
  <c r="BA990" i="1"/>
  <c r="AQ990" i="1"/>
  <c r="AT990" i="1" s="1"/>
  <c r="AV990" i="1" s="1"/>
  <c r="AL990" i="1"/>
  <c r="AG990" i="1"/>
  <c r="AM990" i="1" s="1"/>
  <c r="BC989" i="1"/>
  <c r="BB989" i="1"/>
  <c r="BA989" i="1"/>
  <c r="AQ989" i="1"/>
  <c r="AL989" i="1"/>
  <c r="AG989" i="1"/>
  <c r="BC988" i="1"/>
  <c r="BB988" i="1"/>
  <c r="BA988" i="1"/>
  <c r="AQ988" i="1"/>
  <c r="AL988" i="1"/>
  <c r="AG988" i="1"/>
  <c r="AM988" i="1" s="1"/>
  <c r="BC987" i="1"/>
  <c r="BB987" i="1"/>
  <c r="BA987" i="1"/>
  <c r="AQ987" i="1"/>
  <c r="AT987" i="1" s="1"/>
  <c r="AU987" i="1" s="1"/>
  <c r="AL987" i="1"/>
  <c r="AG987" i="1"/>
  <c r="AH987" i="1" s="1"/>
  <c r="BC986" i="1"/>
  <c r="BB986" i="1"/>
  <c r="BA986" i="1"/>
  <c r="AQ986" i="1"/>
  <c r="AL986" i="1"/>
  <c r="AG986" i="1"/>
  <c r="AM986" i="1" s="1"/>
  <c r="BC985" i="1"/>
  <c r="BB985" i="1"/>
  <c r="BA985" i="1"/>
  <c r="AQ985" i="1"/>
  <c r="AL985" i="1"/>
  <c r="AG985" i="1"/>
  <c r="AH985" i="1" s="1"/>
  <c r="BC984" i="1"/>
  <c r="BB984" i="1"/>
  <c r="BA984" i="1"/>
  <c r="AQ984" i="1"/>
  <c r="AL984" i="1"/>
  <c r="AG984" i="1"/>
  <c r="AM984" i="1" s="1"/>
  <c r="BC983" i="1"/>
  <c r="BB983" i="1"/>
  <c r="BA983" i="1"/>
  <c r="AQ983" i="1"/>
  <c r="AR983" i="1" s="1"/>
  <c r="AS983" i="1" s="1"/>
  <c r="AL983" i="1"/>
  <c r="AG983" i="1"/>
  <c r="BC982" i="1"/>
  <c r="BB982" i="1"/>
  <c r="BA982" i="1"/>
  <c r="AQ982" i="1"/>
  <c r="AL982" i="1"/>
  <c r="AG982" i="1"/>
  <c r="BC981" i="1"/>
  <c r="BB981" i="1"/>
  <c r="BA981" i="1"/>
  <c r="AQ981" i="1"/>
  <c r="AT981" i="1" s="1"/>
  <c r="AL981" i="1"/>
  <c r="AG981" i="1"/>
  <c r="BC980" i="1"/>
  <c r="BB980" i="1"/>
  <c r="BA980" i="1"/>
  <c r="AQ980" i="1"/>
  <c r="AR980" i="1" s="1"/>
  <c r="AS980" i="1" s="1"/>
  <c r="AL980" i="1"/>
  <c r="AG980" i="1"/>
  <c r="AH980" i="1" s="1"/>
  <c r="BC979" i="1"/>
  <c r="BB979" i="1"/>
  <c r="BA979" i="1"/>
  <c r="AQ979" i="1"/>
  <c r="AT979" i="1" s="1"/>
  <c r="AL979" i="1"/>
  <c r="AG979" i="1"/>
  <c r="BC978" i="1"/>
  <c r="BB978" i="1"/>
  <c r="BA978" i="1"/>
  <c r="AQ978" i="1"/>
  <c r="AL978" i="1"/>
  <c r="AG978" i="1"/>
  <c r="AM978" i="1" s="1"/>
  <c r="BC977" i="1"/>
  <c r="BB977" i="1"/>
  <c r="BA977" i="1"/>
  <c r="AQ977" i="1"/>
  <c r="AR977" i="1" s="1"/>
  <c r="AS977" i="1" s="1"/>
  <c r="AL977" i="1"/>
  <c r="AG977" i="1"/>
  <c r="AH977" i="1" s="1"/>
  <c r="BC976" i="1"/>
  <c r="BB976" i="1"/>
  <c r="BA976" i="1"/>
  <c r="AQ976" i="1"/>
  <c r="AL976" i="1"/>
  <c r="AG976" i="1"/>
  <c r="AM976" i="1" s="1"/>
  <c r="BC975" i="1"/>
  <c r="BB975" i="1"/>
  <c r="BA975" i="1"/>
  <c r="AQ975" i="1"/>
  <c r="AL975" i="1"/>
  <c r="AG975" i="1"/>
  <c r="BC974" i="1"/>
  <c r="BB974" i="1"/>
  <c r="BA974" i="1"/>
  <c r="AQ974" i="1"/>
  <c r="AT974" i="1" s="1"/>
  <c r="AL974" i="1"/>
  <c r="AG974" i="1"/>
  <c r="AH974" i="1" s="1"/>
  <c r="BC973" i="1"/>
  <c r="BB973" i="1"/>
  <c r="BA973" i="1"/>
  <c r="AQ973" i="1"/>
  <c r="AT973" i="1" s="1"/>
  <c r="AL973" i="1"/>
  <c r="AG973" i="1"/>
  <c r="BC972" i="1"/>
  <c r="BB972" i="1"/>
  <c r="BA972" i="1"/>
  <c r="AQ972" i="1"/>
  <c r="AR972" i="1" s="1"/>
  <c r="AS972" i="1" s="1"/>
  <c r="AL972" i="1"/>
  <c r="AG972" i="1"/>
  <c r="AM972" i="1" s="1"/>
  <c r="BC971" i="1"/>
  <c r="BB971" i="1"/>
  <c r="BA971" i="1"/>
  <c r="AQ971" i="1"/>
  <c r="AT971" i="1" s="1"/>
  <c r="AL971" i="1"/>
  <c r="AG971" i="1"/>
  <c r="AH971" i="1" s="1"/>
  <c r="BC970" i="1"/>
  <c r="BB970" i="1"/>
  <c r="BA970" i="1"/>
  <c r="AQ970" i="1"/>
  <c r="AL970" i="1"/>
  <c r="AG970" i="1"/>
  <c r="AM970" i="1" s="1"/>
  <c r="BC969" i="1"/>
  <c r="BB969" i="1"/>
  <c r="BA969" i="1"/>
  <c r="AQ969" i="1"/>
  <c r="AL969" i="1"/>
  <c r="AG969" i="1"/>
  <c r="BC968" i="1"/>
  <c r="BB968" i="1"/>
  <c r="BA968" i="1"/>
  <c r="AQ968" i="1"/>
  <c r="AL968" i="1"/>
  <c r="AG968" i="1"/>
  <c r="AM968" i="1" s="1"/>
  <c r="BC967" i="1"/>
  <c r="BB967" i="1"/>
  <c r="BA967" i="1"/>
  <c r="AQ967" i="1"/>
  <c r="AR967" i="1" s="1"/>
  <c r="AS967" i="1" s="1"/>
  <c r="AL967" i="1"/>
  <c r="AG967" i="1"/>
  <c r="BC966" i="1"/>
  <c r="BB966" i="1"/>
  <c r="BA966" i="1"/>
  <c r="AQ966" i="1"/>
  <c r="AT966" i="1" s="1"/>
  <c r="AL966" i="1"/>
  <c r="AG966" i="1"/>
  <c r="AH966" i="1" s="1"/>
  <c r="BC965" i="1"/>
  <c r="BB965" i="1"/>
  <c r="BA965" i="1"/>
  <c r="AQ965" i="1"/>
  <c r="AT965" i="1" s="1"/>
  <c r="AL965" i="1"/>
  <c r="AG965" i="1"/>
  <c r="BC964" i="1"/>
  <c r="BB964" i="1"/>
  <c r="BA964" i="1"/>
  <c r="AQ964" i="1"/>
  <c r="AR964" i="1" s="1"/>
  <c r="AS964" i="1" s="1"/>
  <c r="AL964" i="1"/>
  <c r="AG964" i="1"/>
  <c r="AM964" i="1" s="1"/>
  <c r="BC963" i="1"/>
  <c r="BB963" i="1"/>
  <c r="BA963" i="1"/>
  <c r="AQ963" i="1"/>
  <c r="AT963" i="1" s="1"/>
  <c r="AU963" i="1" s="1"/>
  <c r="AL963" i="1"/>
  <c r="AG963" i="1"/>
  <c r="AH963" i="1" s="1"/>
  <c r="BC962" i="1"/>
  <c r="BB962" i="1"/>
  <c r="BA962" i="1"/>
  <c r="AQ962" i="1"/>
  <c r="AL962" i="1"/>
  <c r="AG962" i="1"/>
  <c r="AM962" i="1" s="1"/>
  <c r="BC961" i="1"/>
  <c r="BB961" i="1"/>
  <c r="BA961" i="1"/>
  <c r="AQ961" i="1"/>
  <c r="AR961" i="1" s="1"/>
  <c r="AS961" i="1" s="1"/>
  <c r="AL961" i="1"/>
  <c r="AG961" i="1"/>
  <c r="AH961" i="1" s="1"/>
  <c r="BC960" i="1"/>
  <c r="BB960" i="1"/>
  <c r="BA960" i="1"/>
  <c r="AQ960" i="1"/>
  <c r="AL960" i="1"/>
  <c r="AG960" i="1"/>
  <c r="AM960" i="1" s="1"/>
  <c r="BC959" i="1"/>
  <c r="BB959" i="1"/>
  <c r="BA959" i="1"/>
  <c r="AQ959" i="1"/>
  <c r="AT959" i="1" s="1"/>
  <c r="AL959" i="1"/>
  <c r="AG959" i="1"/>
  <c r="BC958" i="1"/>
  <c r="BB958" i="1"/>
  <c r="BA958" i="1"/>
  <c r="AQ958" i="1"/>
  <c r="AT958" i="1" s="1"/>
  <c r="AV958" i="1" s="1"/>
  <c r="AL958" i="1"/>
  <c r="AG958" i="1"/>
  <c r="AH958" i="1" s="1"/>
  <c r="BC957" i="1"/>
  <c r="BB957" i="1"/>
  <c r="BA957" i="1"/>
  <c r="AQ957" i="1"/>
  <c r="AL957" i="1"/>
  <c r="AG957" i="1"/>
  <c r="BC956" i="1"/>
  <c r="BB956" i="1"/>
  <c r="BA956" i="1"/>
  <c r="AQ956" i="1"/>
  <c r="AR956" i="1" s="1"/>
  <c r="AS956" i="1" s="1"/>
  <c r="AL956" i="1"/>
  <c r="AG956" i="1"/>
  <c r="AH956" i="1" s="1"/>
  <c r="BC955" i="1"/>
  <c r="BB955" i="1"/>
  <c r="BA955" i="1"/>
  <c r="AQ955" i="1"/>
  <c r="AT955" i="1" s="1"/>
  <c r="AU955" i="1" s="1"/>
  <c r="AL955" i="1"/>
  <c r="AG955" i="1"/>
  <c r="AH955" i="1" s="1"/>
  <c r="BC954" i="1"/>
  <c r="BB954" i="1"/>
  <c r="BA954" i="1"/>
  <c r="AQ954" i="1"/>
  <c r="AL954" i="1"/>
  <c r="AG954" i="1"/>
  <c r="BC953" i="1"/>
  <c r="BB953" i="1"/>
  <c r="BA953" i="1"/>
  <c r="AQ953" i="1"/>
  <c r="AR953" i="1" s="1"/>
  <c r="AS953" i="1" s="1"/>
  <c r="AL953" i="1"/>
  <c r="AG953" i="1"/>
  <c r="BC952" i="1"/>
  <c r="BB952" i="1"/>
  <c r="BA952" i="1"/>
  <c r="AQ952" i="1"/>
  <c r="AL952" i="1"/>
  <c r="AG952" i="1"/>
  <c r="BC951" i="1"/>
  <c r="BB951" i="1"/>
  <c r="BA951" i="1"/>
  <c r="AQ951" i="1"/>
  <c r="AR951" i="1" s="1"/>
  <c r="AS951" i="1" s="1"/>
  <c r="AL951" i="1"/>
  <c r="AG951" i="1"/>
  <c r="BC950" i="1"/>
  <c r="BB950" i="1"/>
  <c r="BA950" i="1"/>
  <c r="AQ950" i="1"/>
  <c r="AT950" i="1" s="1"/>
  <c r="AV950" i="1" s="1"/>
  <c r="AL950" i="1"/>
  <c r="AG950" i="1"/>
  <c r="AH950" i="1" s="1"/>
  <c r="BC949" i="1"/>
  <c r="BB949" i="1"/>
  <c r="BA949" i="1"/>
  <c r="AQ949" i="1"/>
  <c r="AT949" i="1" s="1"/>
  <c r="AL949" i="1"/>
  <c r="AG949" i="1"/>
  <c r="AM949" i="1" s="1"/>
  <c r="BC948" i="1"/>
  <c r="BB948" i="1"/>
  <c r="BA948" i="1"/>
  <c r="AQ948" i="1"/>
  <c r="AL948" i="1"/>
  <c r="AG948" i="1"/>
  <c r="AH948" i="1" s="1"/>
  <c r="BC947" i="1"/>
  <c r="BB947" i="1"/>
  <c r="BA947" i="1"/>
  <c r="AQ947" i="1"/>
  <c r="AL947" i="1"/>
  <c r="AG947" i="1"/>
  <c r="BC946" i="1"/>
  <c r="BB946" i="1"/>
  <c r="BA946" i="1"/>
  <c r="AQ946" i="1"/>
  <c r="AT946" i="1" s="1"/>
  <c r="AL946" i="1"/>
  <c r="AG946" i="1"/>
  <c r="AM946" i="1" s="1"/>
  <c r="BC945" i="1"/>
  <c r="BB945" i="1"/>
  <c r="BA945" i="1"/>
  <c r="AQ945" i="1"/>
  <c r="AL945" i="1"/>
  <c r="AG945" i="1"/>
  <c r="BC944" i="1"/>
  <c r="BB944" i="1"/>
  <c r="BA944" i="1"/>
  <c r="AQ944" i="1"/>
  <c r="AT944" i="1" s="1"/>
  <c r="AL944" i="1"/>
  <c r="AG944" i="1"/>
  <c r="BC943" i="1"/>
  <c r="BB943" i="1"/>
  <c r="BA943" i="1"/>
  <c r="AQ943" i="1"/>
  <c r="AR943" i="1" s="1"/>
  <c r="AS943" i="1" s="1"/>
  <c r="AL943" i="1"/>
  <c r="AG943" i="1"/>
  <c r="AM943" i="1" s="1"/>
  <c r="BC942" i="1"/>
  <c r="BB942" i="1"/>
  <c r="BA942" i="1"/>
  <c r="AQ942" i="1"/>
  <c r="AT942" i="1" s="1"/>
  <c r="AL942" i="1"/>
  <c r="AG942" i="1"/>
  <c r="BC941" i="1"/>
  <c r="BB941" i="1"/>
  <c r="BA941" i="1"/>
  <c r="AQ941" i="1"/>
  <c r="AT941" i="1" s="1"/>
  <c r="AU941" i="1" s="1"/>
  <c r="AL941" i="1"/>
  <c r="AG941" i="1"/>
  <c r="BC940" i="1"/>
  <c r="BB940" i="1"/>
  <c r="BA940" i="1"/>
  <c r="AQ940" i="1"/>
  <c r="AR940" i="1" s="1"/>
  <c r="AS940" i="1" s="1"/>
  <c r="AL940" i="1"/>
  <c r="AG940" i="1"/>
  <c r="BC939" i="1"/>
  <c r="BB939" i="1"/>
  <c r="BA939" i="1"/>
  <c r="AQ939" i="1"/>
  <c r="AR939" i="1" s="1"/>
  <c r="AS939" i="1" s="1"/>
  <c r="AL939" i="1"/>
  <c r="AG939" i="1"/>
  <c r="AH939" i="1" s="1"/>
  <c r="BC938" i="1"/>
  <c r="BB938" i="1"/>
  <c r="BA938" i="1"/>
  <c r="AQ938" i="1"/>
  <c r="AT938" i="1" s="1"/>
  <c r="AU938" i="1" s="1"/>
  <c r="AL938" i="1"/>
  <c r="AG938" i="1"/>
  <c r="AH938" i="1" s="1"/>
  <c r="BC937" i="1"/>
  <c r="BB937" i="1"/>
  <c r="BA937" i="1"/>
  <c r="AQ937" i="1"/>
  <c r="AT937" i="1" s="1"/>
  <c r="AV937" i="1" s="1"/>
  <c r="AL937" i="1"/>
  <c r="AG937" i="1"/>
  <c r="AM937" i="1" s="1"/>
  <c r="BC936" i="1"/>
  <c r="BB936" i="1"/>
  <c r="BA936" i="1"/>
  <c r="AQ936" i="1"/>
  <c r="AR936" i="1" s="1"/>
  <c r="AS936" i="1" s="1"/>
  <c r="AL936" i="1"/>
  <c r="AG936" i="1"/>
  <c r="AH936" i="1" s="1"/>
  <c r="BC935" i="1"/>
  <c r="BB935" i="1"/>
  <c r="BA935" i="1"/>
  <c r="AQ935" i="1"/>
  <c r="AL935" i="1"/>
  <c r="AG935" i="1"/>
  <c r="AM935" i="1" s="1"/>
  <c r="BC934" i="1"/>
  <c r="BB934" i="1"/>
  <c r="BA934" i="1"/>
  <c r="AQ934" i="1"/>
  <c r="AL934" i="1"/>
  <c r="AG934" i="1"/>
  <c r="AH934" i="1" s="1"/>
  <c r="BC933" i="1"/>
  <c r="BB933" i="1"/>
  <c r="BA933" i="1"/>
  <c r="AQ933" i="1"/>
  <c r="AR933" i="1" s="1"/>
  <c r="AS933" i="1" s="1"/>
  <c r="AL933" i="1"/>
  <c r="AG933" i="1"/>
  <c r="AH933" i="1" s="1"/>
  <c r="BC932" i="1"/>
  <c r="BB932" i="1"/>
  <c r="BA932" i="1"/>
  <c r="AQ932" i="1"/>
  <c r="AT932" i="1" s="1"/>
  <c r="AL932" i="1"/>
  <c r="AG932" i="1"/>
  <c r="BC931" i="1"/>
  <c r="BB931" i="1"/>
  <c r="BA931" i="1"/>
  <c r="AQ931" i="1"/>
  <c r="AT931" i="1" s="1"/>
  <c r="AV931" i="1" s="1"/>
  <c r="AL931" i="1"/>
  <c r="AG931" i="1"/>
  <c r="AM931" i="1" s="1"/>
  <c r="BC930" i="1"/>
  <c r="BB930" i="1"/>
  <c r="BA930" i="1"/>
  <c r="AQ930" i="1"/>
  <c r="AL930" i="1"/>
  <c r="AG930" i="1"/>
  <c r="AH930" i="1" s="1"/>
  <c r="BC929" i="1"/>
  <c r="BB929" i="1"/>
  <c r="BA929" i="1"/>
  <c r="AQ929" i="1"/>
  <c r="AT929" i="1" s="1"/>
  <c r="AL929" i="1"/>
  <c r="AG929" i="1"/>
  <c r="AM929" i="1" s="1"/>
  <c r="BC928" i="1"/>
  <c r="BB928" i="1"/>
  <c r="BA928" i="1"/>
  <c r="AQ928" i="1"/>
  <c r="AR928" i="1" s="1"/>
  <c r="AS928" i="1" s="1"/>
  <c r="AL928" i="1"/>
  <c r="AG928" i="1"/>
  <c r="BC927" i="1"/>
  <c r="BB927" i="1"/>
  <c r="BA927" i="1"/>
  <c r="AQ927" i="1"/>
  <c r="AL927" i="1"/>
  <c r="AG927" i="1"/>
  <c r="AH927" i="1" s="1"/>
  <c r="BC926" i="1"/>
  <c r="BB926" i="1"/>
  <c r="BA926" i="1"/>
  <c r="AQ926" i="1"/>
  <c r="AL926" i="1"/>
  <c r="AG926" i="1"/>
  <c r="BC925" i="1"/>
  <c r="BB925" i="1"/>
  <c r="BA925" i="1"/>
  <c r="AQ925" i="1"/>
  <c r="AT925" i="1" s="1"/>
  <c r="AL925" i="1"/>
  <c r="AG925" i="1"/>
  <c r="AH925" i="1" s="1"/>
  <c r="BC924" i="1"/>
  <c r="BB924" i="1"/>
  <c r="BA924" i="1"/>
  <c r="AQ924" i="1"/>
  <c r="AT924" i="1" s="1"/>
  <c r="AL924" i="1"/>
  <c r="AG924" i="1"/>
  <c r="BC923" i="1"/>
  <c r="BB923" i="1"/>
  <c r="BA923" i="1"/>
  <c r="AQ923" i="1"/>
  <c r="AT923" i="1" s="1"/>
  <c r="AL923" i="1"/>
  <c r="AG923" i="1"/>
  <c r="AM923" i="1" s="1"/>
  <c r="BC922" i="1"/>
  <c r="BB922" i="1"/>
  <c r="BA922" i="1"/>
  <c r="AQ922" i="1"/>
  <c r="AT922" i="1" s="1"/>
  <c r="AL922" i="1"/>
  <c r="AG922" i="1"/>
  <c r="AH922" i="1" s="1"/>
  <c r="BC921" i="1"/>
  <c r="BB921" i="1"/>
  <c r="BA921" i="1"/>
  <c r="AQ921" i="1"/>
  <c r="AT921" i="1" s="1"/>
  <c r="AL921" i="1"/>
  <c r="AG921" i="1"/>
  <c r="BC920" i="1"/>
  <c r="BB920" i="1"/>
  <c r="BA920" i="1"/>
  <c r="AQ920" i="1"/>
  <c r="AR920" i="1" s="1"/>
  <c r="AS920" i="1" s="1"/>
  <c r="AL920" i="1"/>
  <c r="AG920" i="1"/>
  <c r="BC919" i="1"/>
  <c r="BB919" i="1"/>
  <c r="BA919" i="1"/>
  <c r="AQ919" i="1"/>
  <c r="AL919" i="1"/>
  <c r="AG919" i="1"/>
  <c r="AM919" i="1" s="1"/>
  <c r="BC918" i="1"/>
  <c r="BB918" i="1"/>
  <c r="BA918" i="1"/>
  <c r="AQ918" i="1"/>
  <c r="AR918" i="1" s="1"/>
  <c r="AS918" i="1" s="1"/>
  <c r="AL918" i="1"/>
  <c r="AG918" i="1"/>
  <c r="AH918" i="1" s="1"/>
  <c r="BC917" i="1"/>
  <c r="BB917" i="1"/>
  <c r="BA917" i="1"/>
  <c r="AQ917" i="1"/>
  <c r="AR917" i="1" s="1"/>
  <c r="AS917" i="1" s="1"/>
  <c r="AL917" i="1"/>
  <c r="AG917" i="1"/>
  <c r="BC916" i="1"/>
  <c r="BB916" i="1"/>
  <c r="BA916" i="1"/>
  <c r="AQ916" i="1"/>
  <c r="AL916" i="1"/>
  <c r="AG916" i="1"/>
  <c r="BC915" i="1"/>
  <c r="BB915" i="1"/>
  <c r="BA915" i="1"/>
  <c r="AQ915" i="1"/>
  <c r="AT915" i="1" s="1"/>
  <c r="AV915" i="1" s="1"/>
  <c r="AL915" i="1"/>
  <c r="AG915" i="1"/>
  <c r="AM915" i="1" s="1"/>
  <c r="BC914" i="1"/>
  <c r="BB914" i="1"/>
  <c r="BA914" i="1"/>
  <c r="AQ914" i="1"/>
  <c r="AT914" i="1" s="1"/>
  <c r="AV914" i="1" s="1"/>
  <c r="AL914" i="1"/>
  <c r="AG914" i="1"/>
  <c r="AH914" i="1" s="1"/>
  <c r="BC913" i="1"/>
  <c r="BB913" i="1"/>
  <c r="BA913" i="1"/>
  <c r="AQ913" i="1"/>
  <c r="AT913" i="1" s="1"/>
  <c r="AL913" i="1"/>
  <c r="AG913" i="1"/>
  <c r="AM913" i="1" s="1"/>
  <c r="BC912" i="1"/>
  <c r="BB912" i="1"/>
  <c r="BA912" i="1"/>
  <c r="AQ912" i="1"/>
  <c r="AR912" i="1" s="1"/>
  <c r="AS912" i="1" s="1"/>
  <c r="AL912" i="1"/>
  <c r="AG912" i="1"/>
  <c r="AH912" i="1" s="1"/>
  <c r="BC911" i="1"/>
  <c r="BB911" i="1"/>
  <c r="BA911" i="1"/>
  <c r="AQ911" i="1"/>
  <c r="AL911" i="1"/>
  <c r="AG911" i="1"/>
  <c r="AH911" i="1" s="1"/>
  <c r="BC910" i="1"/>
  <c r="BB910" i="1"/>
  <c r="BA910" i="1"/>
  <c r="AQ910" i="1"/>
  <c r="AR910" i="1" s="1"/>
  <c r="AS910" i="1" s="1"/>
  <c r="AL910" i="1"/>
  <c r="AG910" i="1"/>
  <c r="BC909" i="1"/>
  <c r="BB909" i="1"/>
  <c r="BA909" i="1"/>
  <c r="AQ909" i="1"/>
  <c r="AL909" i="1"/>
  <c r="AG909" i="1"/>
  <c r="AH909" i="1" s="1"/>
  <c r="BC908" i="1"/>
  <c r="BB908" i="1"/>
  <c r="BA908" i="1"/>
  <c r="AQ908" i="1"/>
  <c r="AT908" i="1" s="1"/>
  <c r="AL908" i="1"/>
  <c r="AG908" i="1"/>
  <c r="BC907" i="1"/>
  <c r="BB907" i="1"/>
  <c r="BA907" i="1"/>
  <c r="AQ907" i="1"/>
  <c r="AL907" i="1"/>
  <c r="AG907" i="1"/>
  <c r="AM907" i="1" s="1"/>
  <c r="BC906" i="1"/>
  <c r="BB906" i="1"/>
  <c r="BA906" i="1"/>
  <c r="AQ906" i="1"/>
  <c r="AL906" i="1"/>
  <c r="AG906" i="1"/>
  <c r="AH906" i="1" s="1"/>
  <c r="BC905" i="1"/>
  <c r="BB905" i="1"/>
  <c r="BA905" i="1"/>
  <c r="AQ905" i="1"/>
  <c r="AT905" i="1" s="1"/>
  <c r="AL905" i="1"/>
  <c r="AG905" i="1"/>
  <c r="AM905" i="1" s="1"/>
  <c r="BC904" i="1"/>
  <c r="BB904" i="1"/>
  <c r="BA904" i="1"/>
  <c r="AQ904" i="1"/>
  <c r="AR904" i="1" s="1"/>
  <c r="AS904" i="1" s="1"/>
  <c r="AL904" i="1"/>
  <c r="AG904" i="1"/>
  <c r="AM904" i="1" s="1"/>
  <c r="BC903" i="1"/>
  <c r="BB903" i="1"/>
  <c r="BA903" i="1"/>
  <c r="AQ903" i="1"/>
  <c r="AL903" i="1"/>
  <c r="AG903" i="1"/>
  <c r="AH903" i="1" s="1"/>
  <c r="BC902" i="1"/>
  <c r="BB902" i="1"/>
  <c r="BA902" i="1"/>
  <c r="AQ902" i="1"/>
  <c r="AL902" i="1"/>
  <c r="AG902" i="1"/>
  <c r="AH902" i="1" s="1"/>
  <c r="BC901" i="1"/>
  <c r="BB901" i="1"/>
  <c r="BA901" i="1"/>
  <c r="AQ901" i="1"/>
  <c r="AL901" i="1"/>
  <c r="AG901" i="1"/>
  <c r="AH901" i="1" s="1"/>
  <c r="BC900" i="1"/>
  <c r="BB900" i="1"/>
  <c r="BA900" i="1"/>
  <c r="AQ900" i="1"/>
  <c r="AT900" i="1" s="1"/>
  <c r="AL900" i="1"/>
  <c r="AG900" i="1"/>
  <c r="BC899" i="1"/>
  <c r="BB899" i="1"/>
  <c r="BA899" i="1"/>
  <c r="AQ899" i="1"/>
  <c r="AT899" i="1" s="1"/>
  <c r="AV899" i="1" s="1"/>
  <c r="AL899" i="1"/>
  <c r="AG899" i="1"/>
  <c r="AM899" i="1" s="1"/>
  <c r="BC898" i="1"/>
  <c r="BB898" i="1"/>
  <c r="BA898" i="1"/>
  <c r="AQ898" i="1"/>
  <c r="AT898" i="1" s="1"/>
  <c r="AL898" i="1"/>
  <c r="AG898" i="1"/>
  <c r="AH898" i="1" s="1"/>
  <c r="BC897" i="1"/>
  <c r="BB897" i="1"/>
  <c r="BA897" i="1"/>
  <c r="AQ897" i="1"/>
  <c r="AR897" i="1" s="1"/>
  <c r="AS897" i="1" s="1"/>
  <c r="AL897" i="1"/>
  <c r="AG897" i="1"/>
  <c r="BC896" i="1"/>
  <c r="BB896" i="1"/>
  <c r="BA896" i="1"/>
  <c r="AQ896" i="1"/>
  <c r="AR896" i="1" s="1"/>
  <c r="AS896" i="1" s="1"/>
  <c r="AL896" i="1"/>
  <c r="AG896" i="1"/>
  <c r="AM896" i="1" s="1"/>
  <c r="BC895" i="1"/>
  <c r="BB895" i="1"/>
  <c r="BA895" i="1"/>
  <c r="AQ895" i="1"/>
  <c r="AL895" i="1"/>
  <c r="AG895" i="1"/>
  <c r="BC894" i="1"/>
  <c r="BB894" i="1"/>
  <c r="BA894" i="1"/>
  <c r="AQ894" i="1"/>
  <c r="AR894" i="1" s="1"/>
  <c r="AS894" i="1" s="1"/>
  <c r="AL894" i="1"/>
  <c r="AG894" i="1"/>
  <c r="BC893" i="1"/>
  <c r="BB893" i="1"/>
  <c r="BA893" i="1"/>
  <c r="AQ893" i="1"/>
  <c r="AR893" i="1" s="1"/>
  <c r="AS893" i="1" s="1"/>
  <c r="AL893" i="1"/>
  <c r="AG893" i="1"/>
  <c r="BC892" i="1"/>
  <c r="BB892" i="1"/>
  <c r="BA892" i="1"/>
  <c r="AQ892" i="1"/>
  <c r="AT892" i="1" s="1"/>
  <c r="AL892" i="1"/>
  <c r="AG892" i="1"/>
  <c r="BC891" i="1"/>
  <c r="BB891" i="1"/>
  <c r="BA891" i="1"/>
  <c r="AQ891" i="1"/>
  <c r="AL891" i="1"/>
  <c r="AG891" i="1"/>
  <c r="AM891" i="1" s="1"/>
  <c r="BC890" i="1"/>
  <c r="BB890" i="1"/>
  <c r="BA890" i="1"/>
  <c r="AQ890" i="1"/>
  <c r="AT890" i="1" s="1"/>
  <c r="AL890" i="1"/>
  <c r="AG890" i="1"/>
  <c r="AH890" i="1" s="1"/>
  <c r="BC889" i="1"/>
  <c r="BB889" i="1"/>
  <c r="BA889" i="1"/>
  <c r="AQ889" i="1"/>
  <c r="AT889" i="1" s="1"/>
  <c r="AL889" i="1"/>
  <c r="AG889" i="1"/>
  <c r="AM889" i="1" s="1"/>
  <c r="BC888" i="1"/>
  <c r="BB888" i="1"/>
  <c r="BA888" i="1"/>
  <c r="AQ888" i="1"/>
  <c r="AR888" i="1" s="1"/>
  <c r="AS888" i="1" s="1"/>
  <c r="AL888" i="1"/>
  <c r="AG888" i="1"/>
  <c r="AM888" i="1" s="1"/>
  <c r="BC887" i="1"/>
  <c r="BB887" i="1"/>
  <c r="BA887" i="1"/>
  <c r="AQ887" i="1"/>
  <c r="AL887" i="1"/>
  <c r="AG887" i="1"/>
  <c r="BC886" i="1"/>
  <c r="BB886" i="1"/>
  <c r="BA886" i="1"/>
  <c r="AQ886" i="1"/>
  <c r="AR886" i="1" s="1"/>
  <c r="AS886" i="1" s="1"/>
  <c r="AL886" i="1"/>
  <c r="AG886" i="1"/>
  <c r="BC885" i="1"/>
  <c r="BB885" i="1"/>
  <c r="BA885" i="1"/>
  <c r="AQ885" i="1"/>
  <c r="AR885" i="1" s="1"/>
  <c r="AS885" i="1" s="1"/>
  <c r="AL885" i="1"/>
  <c r="AG885" i="1"/>
  <c r="AH885" i="1" s="1"/>
  <c r="BC884" i="1"/>
  <c r="BB884" i="1"/>
  <c r="BA884" i="1"/>
  <c r="AQ884" i="1"/>
  <c r="AT884" i="1" s="1"/>
  <c r="AL884" i="1"/>
  <c r="AG884" i="1"/>
  <c r="BC883" i="1"/>
  <c r="BB883" i="1"/>
  <c r="BA883" i="1"/>
  <c r="AQ883" i="1"/>
  <c r="AR883" i="1" s="1"/>
  <c r="AS883" i="1" s="1"/>
  <c r="AL883" i="1"/>
  <c r="AG883" i="1"/>
  <c r="AM883" i="1" s="1"/>
  <c r="BC882" i="1"/>
  <c r="BB882" i="1"/>
  <c r="BA882" i="1"/>
  <c r="AQ882" i="1"/>
  <c r="AT882" i="1" s="1"/>
  <c r="AL882" i="1"/>
  <c r="AG882" i="1"/>
  <c r="AH882" i="1" s="1"/>
  <c r="BC881" i="1"/>
  <c r="BB881" i="1"/>
  <c r="BA881" i="1"/>
  <c r="AQ881" i="1"/>
  <c r="AT881" i="1" s="1"/>
  <c r="AL881" i="1"/>
  <c r="AG881" i="1"/>
  <c r="AM881" i="1" s="1"/>
  <c r="BC880" i="1"/>
  <c r="BB880" i="1"/>
  <c r="BA880" i="1"/>
  <c r="AQ880" i="1"/>
  <c r="AR880" i="1" s="1"/>
  <c r="AS880" i="1" s="1"/>
  <c r="AL880" i="1"/>
  <c r="AG880" i="1"/>
  <c r="AH880" i="1" s="1"/>
  <c r="BC879" i="1"/>
  <c r="BB879" i="1"/>
  <c r="BA879" i="1"/>
  <c r="AQ879" i="1"/>
  <c r="AL879" i="1"/>
  <c r="AG879" i="1"/>
  <c r="AH879" i="1" s="1"/>
  <c r="BC878" i="1"/>
  <c r="BB878" i="1"/>
  <c r="BA878" i="1"/>
  <c r="AQ878" i="1"/>
  <c r="AR878" i="1" s="1"/>
  <c r="AS878" i="1" s="1"/>
  <c r="AL878" i="1"/>
  <c r="AG878" i="1"/>
  <c r="AH878" i="1" s="1"/>
  <c r="BC877" i="1"/>
  <c r="BB877" i="1"/>
  <c r="BA877" i="1"/>
  <c r="AQ877" i="1"/>
  <c r="AR877" i="1" s="1"/>
  <c r="AS877" i="1" s="1"/>
  <c r="AL877" i="1"/>
  <c r="AG877" i="1"/>
  <c r="AH877" i="1" s="1"/>
  <c r="BC876" i="1"/>
  <c r="BB876" i="1"/>
  <c r="BA876" i="1"/>
  <c r="AQ876" i="1"/>
  <c r="AL876" i="1"/>
  <c r="AG876" i="1"/>
  <c r="BC875" i="1"/>
  <c r="BB875" i="1"/>
  <c r="BA875" i="1"/>
  <c r="AQ875" i="1"/>
  <c r="AT875" i="1" s="1"/>
  <c r="AL875" i="1"/>
  <c r="AG875" i="1"/>
  <c r="AM875" i="1" s="1"/>
  <c r="BC874" i="1"/>
  <c r="BB874" i="1"/>
  <c r="BA874" i="1"/>
  <c r="AQ874" i="1"/>
  <c r="AL874" i="1"/>
  <c r="AG874" i="1"/>
  <c r="AH874" i="1" s="1"/>
  <c r="BC873" i="1"/>
  <c r="BB873" i="1"/>
  <c r="BA873" i="1"/>
  <c r="AQ873" i="1"/>
  <c r="AL873" i="1"/>
  <c r="AG873" i="1"/>
  <c r="BC872" i="1"/>
  <c r="BB872" i="1"/>
  <c r="BA872" i="1"/>
  <c r="AQ872" i="1"/>
  <c r="AR872" i="1" s="1"/>
  <c r="AS872" i="1" s="1"/>
  <c r="AL872" i="1"/>
  <c r="AG872" i="1"/>
  <c r="AH872" i="1" s="1"/>
  <c r="BC871" i="1"/>
  <c r="BB871" i="1"/>
  <c r="BA871" i="1"/>
  <c r="AQ871" i="1"/>
  <c r="AL871" i="1"/>
  <c r="AG871" i="1"/>
  <c r="AH871" i="1" s="1"/>
  <c r="BC870" i="1"/>
  <c r="BB870" i="1"/>
  <c r="BA870" i="1"/>
  <c r="AQ870" i="1"/>
  <c r="AR870" i="1" s="1"/>
  <c r="AS870" i="1" s="1"/>
  <c r="AL870" i="1"/>
  <c r="AG870" i="1"/>
  <c r="AH870" i="1" s="1"/>
  <c r="BC869" i="1"/>
  <c r="BB869" i="1"/>
  <c r="BA869" i="1"/>
  <c r="AQ869" i="1"/>
  <c r="AR869" i="1" s="1"/>
  <c r="AS869" i="1" s="1"/>
  <c r="AL869" i="1"/>
  <c r="AG869" i="1"/>
  <c r="BC868" i="1"/>
  <c r="BB868" i="1"/>
  <c r="BA868" i="1"/>
  <c r="AQ868" i="1"/>
  <c r="AL868" i="1"/>
  <c r="AG868" i="1"/>
  <c r="BC867" i="1"/>
  <c r="BB867" i="1"/>
  <c r="BA867" i="1"/>
  <c r="AQ867" i="1"/>
  <c r="AR867" i="1" s="1"/>
  <c r="AS867" i="1" s="1"/>
  <c r="AL867" i="1"/>
  <c r="AG867" i="1"/>
  <c r="BC866" i="1"/>
  <c r="BB866" i="1"/>
  <c r="BA866" i="1"/>
  <c r="AQ866" i="1"/>
  <c r="AT866" i="1" s="1"/>
  <c r="AL866" i="1"/>
  <c r="AG866" i="1"/>
  <c r="BC865" i="1"/>
  <c r="BB865" i="1"/>
  <c r="BA865" i="1"/>
  <c r="AQ865" i="1"/>
  <c r="AT865" i="1" s="1"/>
  <c r="AV865" i="1" s="1"/>
  <c r="AL865" i="1"/>
  <c r="AG865" i="1"/>
  <c r="BC864" i="1"/>
  <c r="BB864" i="1"/>
  <c r="BA864" i="1"/>
  <c r="AQ864" i="1"/>
  <c r="AL864" i="1"/>
  <c r="AG864" i="1"/>
  <c r="BC863" i="1"/>
  <c r="BB863" i="1"/>
  <c r="BA863" i="1"/>
  <c r="AQ863" i="1"/>
  <c r="AR863" i="1" s="1"/>
  <c r="AS863" i="1" s="1"/>
  <c r="AL863" i="1"/>
  <c r="AG863" i="1"/>
  <c r="BC862" i="1"/>
  <c r="BB862" i="1"/>
  <c r="BA862" i="1"/>
  <c r="AQ862" i="1"/>
  <c r="AR862" i="1" s="1"/>
  <c r="AS862" i="1" s="1"/>
  <c r="AL862" i="1"/>
  <c r="AG862" i="1"/>
  <c r="BC861" i="1"/>
  <c r="BB861" i="1"/>
  <c r="BA861" i="1"/>
  <c r="AQ861" i="1"/>
  <c r="AT861" i="1" s="1"/>
  <c r="AL861" i="1"/>
  <c r="AG861" i="1"/>
  <c r="AH861" i="1" s="1"/>
  <c r="BC860" i="1"/>
  <c r="BB860" i="1"/>
  <c r="BA860" i="1"/>
  <c r="AQ860" i="1"/>
  <c r="AT860" i="1" s="1"/>
  <c r="AL860" i="1"/>
  <c r="AG860" i="1"/>
  <c r="BC859" i="1"/>
  <c r="BB859" i="1"/>
  <c r="BA859" i="1"/>
  <c r="AQ859" i="1"/>
  <c r="AT859" i="1" s="1"/>
  <c r="AV859" i="1" s="1"/>
  <c r="AL859" i="1"/>
  <c r="AG859" i="1"/>
  <c r="BC858" i="1"/>
  <c r="BB858" i="1"/>
  <c r="BA858" i="1"/>
  <c r="AQ858" i="1"/>
  <c r="AT858" i="1" s="1"/>
  <c r="AL858" i="1"/>
  <c r="AG858" i="1"/>
  <c r="AM858" i="1" s="1"/>
  <c r="BC857" i="1"/>
  <c r="BB857" i="1"/>
  <c r="BA857" i="1"/>
  <c r="AQ857" i="1"/>
  <c r="AL857" i="1"/>
  <c r="AG857" i="1"/>
  <c r="AH857" i="1" s="1"/>
  <c r="BC856" i="1"/>
  <c r="BB856" i="1"/>
  <c r="BA856" i="1"/>
  <c r="AQ856" i="1"/>
  <c r="AT856" i="1" s="1"/>
  <c r="AL856" i="1"/>
  <c r="AG856" i="1"/>
  <c r="BC855" i="1"/>
  <c r="BB855" i="1"/>
  <c r="BA855" i="1"/>
  <c r="AQ855" i="1"/>
  <c r="AL855" i="1"/>
  <c r="AG855" i="1"/>
  <c r="BC854" i="1"/>
  <c r="BB854" i="1"/>
  <c r="BA854" i="1"/>
  <c r="AQ854" i="1"/>
  <c r="AR854" i="1" s="1"/>
  <c r="AS854" i="1" s="1"/>
  <c r="AL854" i="1"/>
  <c r="AG854" i="1"/>
  <c r="AM854" i="1" s="1"/>
  <c r="BC853" i="1"/>
  <c r="BB853" i="1"/>
  <c r="BA853" i="1"/>
  <c r="AQ853" i="1"/>
  <c r="AT853" i="1" s="1"/>
  <c r="AL853" i="1"/>
  <c r="AG853" i="1"/>
  <c r="AH853" i="1" s="1"/>
  <c r="BC852" i="1"/>
  <c r="BB852" i="1"/>
  <c r="BA852" i="1"/>
  <c r="AQ852" i="1"/>
  <c r="AL852" i="1"/>
  <c r="AG852" i="1"/>
  <c r="AM852" i="1" s="1"/>
  <c r="BC851" i="1"/>
  <c r="BB851" i="1"/>
  <c r="BA851" i="1"/>
  <c r="AQ851" i="1"/>
  <c r="AT851" i="1" s="1"/>
  <c r="AL851" i="1"/>
  <c r="AG851" i="1"/>
  <c r="BC850" i="1"/>
  <c r="BB850" i="1"/>
  <c r="BA850" i="1"/>
  <c r="AQ850" i="1"/>
  <c r="AL850" i="1"/>
  <c r="AG850" i="1"/>
  <c r="AM850" i="1" s="1"/>
  <c r="BC849" i="1"/>
  <c r="BB849" i="1"/>
  <c r="BA849" i="1"/>
  <c r="AQ849" i="1"/>
  <c r="AT849" i="1" s="1"/>
  <c r="AL849" i="1"/>
  <c r="AG849" i="1"/>
  <c r="BC848" i="1"/>
  <c r="BB848" i="1"/>
  <c r="BA848" i="1"/>
  <c r="AQ848" i="1"/>
  <c r="AT848" i="1" s="1"/>
  <c r="AV848" i="1" s="1"/>
  <c r="AL848" i="1"/>
  <c r="AG848" i="1"/>
  <c r="BC847" i="1"/>
  <c r="BB847" i="1"/>
  <c r="BA847" i="1"/>
  <c r="AQ847" i="1"/>
  <c r="AT847" i="1" s="1"/>
  <c r="AL847" i="1"/>
  <c r="AG847" i="1"/>
  <c r="BC846" i="1"/>
  <c r="BB846" i="1"/>
  <c r="BA846" i="1"/>
  <c r="AQ846" i="1"/>
  <c r="AL846" i="1"/>
  <c r="AG846" i="1"/>
  <c r="AM846" i="1" s="1"/>
  <c r="BC845" i="1"/>
  <c r="BB845" i="1"/>
  <c r="BA845" i="1"/>
  <c r="AQ845" i="1"/>
  <c r="AT845" i="1" s="1"/>
  <c r="AL845" i="1"/>
  <c r="AG845" i="1"/>
  <c r="AH845" i="1" s="1"/>
  <c r="BC844" i="1"/>
  <c r="BB844" i="1"/>
  <c r="BA844" i="1"/>
  <c r="AQ844" i="1"/>
  <c r="AL844" i="1"/>
  <c r="AG844" i="1"/>
  <c r="AM844" i="1" s="1"/>
  <c r="BC843" i="1"/>
  <c r="BB843" i="1"/>
  <c r="BA843" i="1"/>
  <c r="AQ843" i="1"/>
  <c r="AL843" i="1"/>
  <c r="AG843" i="1"/>
  <c r="AH843" i="1" s="1"/>
  <c r="BC842" i="1"/>
  <c r="BB842" i="1"/>
  <c r="BA842" i="1"/>
  <c r="AQ842" i="1"/>
  <c r="AL842" i="1"/>
  <c r="AG842" i="1"/>
  <c r="AM842" i="1" s="1"/>
  <c r="BC841" i="1"/>
  <c r="BB841" i="1"/>
  <c r="BA841" i="1"/>
  <c r="AQ841" i="1"/>
  <c r="AR841" i="1" s="1"/>
  <c r="AS841" i="1" s="1"/>
  <c r="AL841" i="1"/>
  <c r="AG841" i="1"/>
  <c r="BC840" i="1"/>
  <c r="BB840" i="1"/>
  <c r="BA840" i="1"/>
  <c r="AQ840" i="1"/>
  <c r="AT840" i="1" s="1"/>
  <c r="AV840" i="1" s="1"/>
  <c r="AL840" i="1"/>
  <c r="AG840" i="1"/>
  <c r="BC839" i="1"/>
  <c r="BB839" i="1"/>
  <c r="BA839" i="1"/>
  <c r="AQ839" i="1"/>
  <c r="AT839" i="1" s="1"/>
  <c r="AL839" i="1"/>
  <c r="AG839" i="1"/>
  <c r="BC838" i="1"/>
  <c r="BB838" i="1"/>
  <c r="BA838" i="1"/>
  <c r="AQ838" i="1"/>
  <c r="AR838" i="1" s="1"/>
  <c r="AS838" i="1" s="1"/>
  <c r="AL838" i="1"/>
  <c r="AG838" i="1"/>
  <c r="AH838" i="1" s="1"/>
  <c r="BC837" i="1"/>
  <c r="BB837" i="1"/>
  <c r="BA837" i="1"/>
  <c r="AQ837" i="1"/>
  <c r="AL837" i="1"/>
  <c r="AG837" i="1"/>
  <c r="BC836" i="1"/>
  <c r="BB836" i="1"/>
  <c r="BA836" i="1"/>
  <c r="AQ836" i="1"/>
  <c r="AL836" i="1"/>
  <c r="AG836" i="1"/>
  <c r="BC835" i="1"/>
  <c r="BB835" i="1"/>
  <c r="BA835" i="1"/>
  <c r="AQ835" i="1"/>
  <c r="AR835" i="1" s="1"/>
  <c r="AS835" i="1" s="1"/>
  <c r="AL835" i="1"/>
  <c r="AG835" i="1"/>
  <c r="BC834" i="1"/>
  <c r="BB834" i="1"/>
  <c r="BA834" i="1"/>
  <c r="AQ834" i="1"/>
  <c r="AL834" i="1"/>
  <c r="AG834" i="1"/>
  <c r="AM834" i="1" s="1"/>
  <c r="BC833" i="1"/>
  <c r="BB833" i="1"/>
  <c r="BA833" i="1"/>
  <c r="AQ833" i="1"/>
  <c r="AL833" i="1"/>
  <c r="AG833" i="1"/>
  <c r="BC832" i="1"/>
  <c r="BB832" i="1"/>
  <c r="BA832" i="1"/>
  <c r="AQ832" i="1"/>
  <c r="AT832" i="1" s="1"/>
  <c r="AV832" i="1" s="1"/>
  <c r="AL832" i="1"/>
  <c r="AG832" i="1"/>
  <c r="AM832" i="1" s="1"/>
  <c r="BC831" i="1"/>
  <c r="BB831" i="1"/>
  <c r="BA831" i="1"/>
  <c r="AQ831" i="1"/>
  <c r="AL831" i="1"/>
  <c r="AG831" i="1"/>
  <c r="BC830" i="1"/>
  <c r="BB830" i="1"/>
  <c r="BA830" i="1"/>
  <c r="AQ830" i="1"/>
  <c r="AR830" i="1" s="1"/>
  <c r="AS830" i="1" s="1"/>
  <c r="AL830" i="1"/>
  <c r="AG830" i="1"/>
  <c r="BC829" i="1"/>
  <c r="BB829" i="1"/>
  <c r="BA829" i="1"/>
  <c r="AQ829" i="1"/>
  <c r="AL829" i="1"/>
  <c r="AG829" i="1"/>
  <c r="AH829" i="1" s="1"/>
  <c r="BC828" i="1"/>
  <c r="BB828" i="1"/>
  <c r="BA828" i="1"/>
  <c r="AQ828" i="1"/>
  <c r="AL828" i="1"/>
  <c r="AG828" i="1"/>
  <c r="AM828" i="1" s="1"/>
  <c r="BC827" i="1"/>
  <c r="BB827" i="1"/>
  <c r="BA827" i="1"/>
  <c r="AQ827" i="1"/>
  <c r="AT827" i="1" s="1"/>
  <c r="AL827" i="1"/>
  <c r="AG827" i="1"/>
  <c r="AH827" i="1" s="1"/>
  <c r="BC826" i="1"/>
  <c r="BB826" i="1"/>
  <c r="BA826" i="1"/>
  <c r="AQ826" i="1"/>
  <c r="AL826" i="1"/>
  <c r="AG826" i="1"/>
  <c r="AM826" i="1" s="1"/>
  <c r="BC825" i="1"/>
  <c r="BB825" i="1"/>
  <c r="BA825" i="1"/>
  <c r="AQ825" i="1"/>
  <c r="AT825" i="1" s="1"/>
  <c r="AL825" i="1"/>
  <c r="AG825" i="1"/>
  <c r="BC824" i="1"/>
  <c r="BB824" i="1"/>
  <c r="BA824" i="1"/>
  <c r="AQ824" i="1"/>
  <c r="AT824" i="1" s="1"/>
  <c r="AV824" i="1" s="1"/>
  <c r="AL824" i="1"/>
  <c r="AG824" i="1"/>
  <c r="AH824" i="1" s="1"/>
  <c r="BC823" i="1"/>
  <c r="BB823" i="1"/>
  <c r="BA823" i="1"/>
  <c r="AQ823" i="1"/>
  <c r="AT823" i="1" s="1"/>
  <c r="AL823" i="1"/>
  <c r="AG823" i="1"/>
  <c r="BC822" i="1"/>
  <c r="BB822" i="1"/>
  <c r="BA822" i="1"/>
  <c r="AQ822" i="1"/>
  <c r="AR822" i="1" s="1"/>
  <c r="AS822" i="1" s="1"/>
  <c r="AL822" i="1"/>
  <c r="AG822" i="1"/>
  <c r="AH822" i="1" s="1"/>
  <c r="BC821" i="1"/>
  <c r="BB821" i="1"/>
  <c r="BA821" i="1"/>
  <c r="AQ821" i="1"/>
  <c r="AR821" i="1" s="1"/>
  <c r="AS821" i="1" s="1"/>
  <c r="AL821" i="1"/>
  <c r="AG821" i="1"/>
  <c r="BC820" i="1"/>
  <c r="BB820" i="1"/>
  <c r="BA820" i="1"/>
  <c r="AQ820" i="1"/>
  <c r="AL820" i="1"/>
  <c r="AG820" i="1"/>
  <c r="AM820" i="1" s="1"/>
  <c r="BC819" i="1"/>
  <c r="BB819" i="1"/>
  <c r="BA819" i="1"/>
  <c r="AQ819" i="1"/>
  <c r="AT819" i="1" s="1"/>
  <c r="AU819" i="1" s="1"/>
  <c r="AL819" i="1"/>
  <c r="AG819" i="1"/>
  <c r="AH819" i="1" s="1"/>
  <c r="BC818" i="1"/>
  <c r="BB818" i="1"/>
  <c r="BA818" i="1"/>
  <c r="AQ818" i="1"/>
  <c r="AL818" i="1"/>
  <c r="AG818" i="1"/>
  <c r="AM818" i="1" s="1"/>
  <c r="BC817" i="1"/>
  <c r="BB817" i="1"/>
  <c r="BA817" i="1"/>
  <c r="AQ817" i="1"/>
  <c r="AR817" i="1" s="1"/>
  <c r="AS817" i="1" s="1"/>
  <c r="AL817" i="1"/>
  <c r="AG817" i="1"/>
  <c r="BC816" i="1"/>
  <c r="BB816" i="1"/>
  <c r="BA816" i="1"/>
  <c r="AQ816" i="1"/>
  <c r="AT816" i="1" s="1"/>
  <c r="AV816" i="1" s="1"/>
  <c r="AL816" i="1"/>
  <c r="AG816" i="1"/>
  <c r="AM816" i="1" s="1"/>
  <c r="BC815" i="1"/>
  <c r="BB815" i="1"/>
  <c r="BA815" i="1"/>
  <c r="AQ815" i="1"/>
  <c r="AL815" i="1"/>
  <c r="AG815" i="1"/>
  <c r="BC814" i="1"/>
  <c r="BB814" i="1"/>
  <c r="BA814" i="1"/>
  <c r="AQ814" i="1"/>
  <c r="AR814" i="1" s="1"/>
  <c r="AS814" i="1" s="1"/>
  <c r="AL814" i="1"/>
  <c r="AG814" i="1"/>
  <c r="AH814" i="1" s="1"/>
  <c r="BC813" i="1"/>
  <c r="BB813" i="1"/>
  <c r="BA813" i="1"/>
  <c r="AQ813" i="1"/>
  <c r="AL813" i="1"/>
  <c r="AG813" i="1"/>
  <c r="AH813" i="1" s="1"/>
  <c r="BC812" i="1"/>
  <c r="BB812" i="1"/>
  <c r="BA812" i="1"/>
  <c r="AQ812" i="1"/>
  <c r="AL812" i="1"/>
  <c r="AG812" i="1"/>
  <c r="BC811" i="1"/>
  <c r="BB811" i="1"/>
  <c r="BA811" i="1"/>
  <c r="AQ811" i="1"/>
  <c r="AL811" i="1"/>
  <c r="AG811" i="1"/>
  <c r="AH811" i="1" s="1"/>
  <c r="BC810" i="1"/>
  <c r="BB810" i="1"/>
  <c r="BA810" i="1"/>
  <c r="AQ810" i="1"/>
  <c r="AL810" i="1"/>
  <c r="AG810" i="1"/>
  <c r="AM810" i="1" s="1"/>
  <c r="BC809" i="1"/>
  <c r="BB809" i="1"/>
  <c r="BA809" i="1"/>
  <c r="AQ809" i="1"/>
  <c r="AT809" i="1" s="1"/>
  <c r="AL809" i="1"/>
  <c r="AG809" i="1"/>
  <c r="BC808" i="1"/>
  <c r="BB808" i="1"/>
  <c r="BA808" i="1"/>
  <c r="AQ808" i="1"/>
  <c r="AT808" i="1" s="1"/>
  <c r="AV808" i="1" s="1"/>
  <c r="AL808" i="1"/>
  <c r="AG808" i="1"/>
  <c r="BC807" i="1"/>
  <c r="BB807" i="1"/>
  <c r="BA807" i="1"/>
  <c r="AQ807" i="1"/>
  <c r="AT807" i="1" s="1"/>
  <c r="AU807" i="1" s="1"/>
  <c r="AL807" i="1"/>
  <c r="AG807" i="1"/>
  <c r="AH807" i="1" s="1"/>
  <c r="BC806" i="1"/>
  <c r="BB806" i="1"/>
  <c r="BA806" i="1"/>
  <c r="AQ806" i="1"/>
  <c r="AL806" i="1"/>
  <c r="AG806" i="1"/>
  <c r="BC805" i="1"/>
  <c r="BB805" i="1"/>
  <c r="BA805" i="1"/>
  <c r="AQ805" i="1"/>
  <c r="AL805" i="1"/>
  <c r="AG805" i="1"/>
  <c r="AH805" i="1" s="1"/>
  <c r="BC804" i="1"/>
  <c r="BB804" i="1"/>
  <c r="BA804" i="1"/>
  <c r="AQ804" i="1"/>
  <c r="AL804" i="1"/>
  <c r="AG804" i="1"/>
  <c r="BC803" i="1"/>
  <c r="BB803" i="1"/>
  <c r="BA803" i="1"/>
  <c r="AQ803" i="1"/>
  <c r="AL803" i="1"/>
  <c r="AG803" i="1"/>
  <c r="BC802" i="1"/>
  <c r="BB802" i="1"/>
  <c r="BA802" i="1"/>
  <c r="AQ802" i="1"/>
  <c r="AT802" i="1" s="1"/>
  <c r="AV802" i="1" s="1"/>
  <c r="AL802" i="1"/>
  <c r="AG802" i="1"/>
  <c r="BC801" i="1"/>
  <c r="BB801" i="1"/>
  <c r="BA801" i="1"/>
  <c r="AQ801" i="1"/>
  <c r="AR801" i="1" s="1"/>
  <c r="AS801" i="1" s="1"/>
  <c r="AL801" i="1"/>
  <c r="AG801" i="1"/>
  <c r="AM801" i="1" s="1"/>
  <c r="BC800" i="1"/>
  <c r="BB800" i="1"/>
  <c r="BA800" i="1"/>
  <c r="AQ800" i="1"/>
  <c r="AT800" i="1" s="1"/>
  <c r="AU800" i="1" s="1"/>
  <c r="AL800" i="1"/>
  <c r="AG800" i="1"/>
  <c r="AH800" i="1" s="1"/>
  <c r="BC799" i="1"/>
  <c r="BB799" i="1"/>
  <c r="BA799" i="1"/>
  <c r="AQ799" i="1"/>
  <c r="AT799" i="1" s="1"/>
  <c r="AL799" i="1"/>
  <c r="AG799" i="1"/>
  <c r="AH799" i="1" s="1"/>
  <c r="BC798" i="1"/>
  <c r="BB798" i="1"/>
  <c r="BA798" i="1"/>
  <c r="AQ798" i="1"/>
  <c r="AL798" i="1"/>
  <c r="AG798" i="1"/>
  <c r="BC797" i="1"/>
  <c r="BB797" i="1"/>
  <c r="BA797" i="1"/>
  <c r="AQ797" i="1"/>
  <c r="AL797" i="1"/>
  <c r="AG797" i="1"/>
  <c r="AH797" i="1" s="1"/>
  <c r="BC796" i="1"/>
  <c r="BB796" i="1"/>
  <c r="BA796" i="1"/>
  <c r="AQ796" i="1"/>
  <c r="AL796" i="1"/>
  <c r="AG796" i="1"/>
  <c r="AM796" i="1" s="1"/>
  <c r="BC795" i="1"/>
  <c r="BB795" i="1"/>
  <c r="BA795" i="1"/>
  <c r="AQ795" i="1"/>
  <c r="AT795" i="1" s="1"/>
  <c r="AL795" i="1"/>
  <c r="AG795" i="1"/>
  <c r="AH795" i="1" s="1"/>
  <c r="BC794" i="1"/>
  <c r="BB794" i="1"/>
  <c r="BA794" i="1"/>
  <c r="AQ794" i="1"/>
  <c r="AO794" i="1"/>
  <c r="AN794" i="1"/>
  <c r="AL794" i="1"/>
  <c r="AG794" i="1"/>
  <c r="AM794" i="1" s="1"/>
  <c r="AQ793" i="1"/>
  <c r="AR793" i="1" s="1"/>
  <c r="AS793" i="1" s="1"/>
  <c r="AL793" i="1"/>
  <c r="AG793" i="1"/>
  <c r="AQ792" i="1"/>
  <c r="AT792" i="1" s="1"/>
  <c r="AL792" i="1"/>
  <c r="AG792" i="1"/>
  <c r="AH792" i="1" s="1"/>
  <c r="AQ791" i="1"/>
  <c r="AT791" i="1" s="1"/>
  <c r="AL791" i="1"/>
  <c r="AG791" i="1"/>
  <c r="AQ790" i="1"/>
  <c r="AL790" i="1"/>
  <c r="AG790" i="1"/>
  <c r="AM790" i="1" s="1"/>
  <c r="AQ789" i="1"/>
  <c r="AL789" i="1"/>
  <c r="AG789" i="1"/>
  <c r="AM789" i="1" s="1"/>
  <c r="AQ788" i="1"/>
  <c r="AT788" i="1" s="1"/>
  <c r="AL788" i="1"/>
  <c r="AG788" i="1"/>
  <c r="AM788" i="1" s="1"/>
  <c r="AQ787" i="1"/>
  <c r="AR787" i="1" s="1"/>
  <c r="AS787" i="1" s="1"/>
  <c r="AL787" i="1"/>
  <c r="AG787" i="1"/>
  <c r="AH787" i="1" s="1"/>
  <c r="AQ786" i="1"/>
  <c r="AL786" i="1"/>
  <c r="AG786" i="1"/>
  <c r="AH786" i="1" s="1"/>
  <c r="AQ785" i="1"/>
  <c r="AR785" i="1" s="1"/>
  <c r="AS785" i="1" s="1"/>
  <c r="AL785" i="1"/>
  <c r="AG785" i="1"/>
  <c r="AQ784" i="1"/>
  <c r="AL784" i="1"/>
  <c r="AG784" i="1"/>
  <c r="AH784" i="1" s="1"/>
  <c r="AQ783" i="1"/>
  <c r="AL783" i="1"/>
  <c r="AG783" i="1"/>
  <c r="AQ782" i="1"/>
  <c r="AT782" i="1" s="1"/>
  <c r="AL782" i="1"/>
  <c r="AG782" i="1"/>
  <c r="AM782" i="1" s="1"/>
  <c r="AQ781" i="1"/>
  <c r="AT781" i="1" s="1"/>
  <c r="AL781" i="1"/>
  <c r="AG781" i="1"/>
  <c r="AQ780" i="1"/>
  <c r="AT780" i="1" s="1"/>
  <c r="AL780" i="1"/>
  <c r="AG780" i="1"/>
  <c r="AQ779" i="1"/>
  <c r="AR779" i="1" s="1"/>
  <c r="AS779" i="1" s="1"/>
  <c r="AL779" i="1"/>
  <c r="AG779" i="1"/>
  <c r="AH779" i="1" s="1"/>
  <c r="AQ778" i="1"/>
  <c r="AL778" i="1"/>
  <c r="AG778" i="1"/>
  <c r="AM778" i="1" s="1"/>
  <c r="AQ777" i="1"/>
  <c r="AR777" i="1" s="1"/>
  <c r="AS777" i="1" s="1"/>
  <c r="AL777" i="1"/>
  <c r="AG777" i="1"/>
  <c r="AH777" i="1" s="1"/>
  <c r="AQ776" i="1"/>
  <c r="AT776" i="1" s="1"/>
  <c r="AL776" i="1"/>
  <c r="AG776" i="1"/>
  <c r="AH776" i="1" s="1"/>
  <c r="AQ775" i="1"/>
  <c r="AT775" i="1" s="1"/>
  <c r="AL775" i="1"/>
  <c r="AG775" i="1"/>
  <c r="AQ774" i="1"/>
  <c r="AL774" i="1"/>
  <c r="AG774" i="1"/>
  <c r="AM774" i="1" s="1"/>
  <c r="AQ773" i="1"/>
  <c r="AT773" i="1" s="1"/>
  <c r="AV773" i="1" s="1"/>
  <c r="AL773" i="1"/>
  <c r="AG773" i="1"/>
  <c r="AM773" i="1" s="1"/>
  <c r="AQ772" i="1"/>
  <c r="AL772" i="1"/>
  <c r="AG772" i="1"/>
  <c r="AM772" i="1" s="1"/>
  <c r="AQ771" i="1"/>
  <c r="AR771" i="1" s="1"/>
  <c r="AS771" i="1" s="1"/>
  <c r="AL771" i="1"/>
  <c r="AG771" i="1"/>
  <c r="AH771" i="1" s="1"/>
  <c r="AQ770" i="1"/>
  <c r="AL770" i="1"/>
  <c r="AG770" i="1"/>
  <c r="AQ769" i="1"/>
  <c r="AR769" i="1" s="1"/>
  <c r="AS769" i="1" s="1"/>
  <c r="AL769" i="1"/>
  <c r="AG769" i="1"/>
  <c r="AH769" i="1" s="1"/>
  <c r="AQ768" i="1"/>
  <c r="AR768" i="1" s="1"/>
  <c r="AS768" i="1" s="1"/>
  <c r="AL768" i="1"/>
  <c r="AG768" i="1"/>
  <c r="AQ767" i="1"/>
  <c r="AT767" i="1" s="1"/>
  <c r="AL767" i="1"/>
  <c r="AG767" i="1"/>
  <c r="AQ766" i="1"/>
  <c r="AL766" i="1"/>
  <c r="AG766" i="1"/>
  <c r="AM766" i="1" s="1"/>
  <c r="AQ765" i="1"/>
  <c r="AR765" i="1" s="1"/>
  <c r="AS765" i="1" s="1"/>
  <c r="AL765" i="1"/>
  <c r="AG765" i="1"/>
  <c r="AM765" i="1" s="1"/>
  <c r="AQ764" i="1"/>
  <c r="AT764" i="1" s="1"/>
  <c r="AL764" i="1"/>
  <c r="AG764" i="1"/>
  <c r="AQ763" i="1"/>
  <c r="AR763" i="1" s="1"/>
  <c r="AS763" i="1" s="1"/>
  <c r="AL763" i="1"/>
  <c r="AG763" i="1"/>
  <c r="AQ762" i="1"/>
  <c r="AL762" i="1"/>
  <c r="AG762" i="1"/>
  <c r="AM762" i="1" s="1"/>
  <c r="AQ761" i="1"/>
  <c r="AR761" i="1" s="1"/>
  <c r="AS761" i="1" s="1"/>
  <c r="AL761" i="1"/>
  <c r="AG761" i="1"/>
  <c r="AQ760" i="1"/>
  <c r="AL760" i="1"/>
  <c r="AG760" i="1"/>
  <c r="AH760" i="1" s="1"/>
  <c r="AQ759" i="1"/>
  <c r="AT759" i="1" s="1"/>
  <c r="AL759" i="1"/>
  <c r="AG759" i="1"/>
  <c r="AQ758" i="1"/>
  <c r="AT758" i="1" s="1"/>
  <c r="AL758" i="1"/>
  <c r="AG758" i="1"/>
  <c r="AM758" i="1" s="1"/>
  <c r="AQ757" i="1"/>
  <c r="AL757" i="1"/>
  <c r="AG757" i="1"/>
  <c r="AM757" i="1" s="1"/>
  <c r="AQ756" i="1"/>
  <c r="AT756" i="1" s="1"/>
  <c r="AL756" i="1"/>
  <c r="AG756" i="1"/>
  <c r="AM756" i="1" s="1"/>
  <c r="AQ755" i="1"/>
  <c r="AR755" i="1" s="1"/>
  <c r="AS755" i="1" s="1"/>
  <c r="AL755" i="1"/>
  <c r="AG755" i="1"/>
  <c r="AH755" i="1" s="1"/>
  <c r="AQ754" i="1"/>
  <c r="AL754" i="1"/>
  <c r="AG754" i="1"/>
  <c r="AM754" i="1" s="1"/>
  <c r="AQ753" i="1"/>
  <c r="AR753" i="1" s="1"/>
  <c r="AS753" i="1" s="1"/>
  <c r="AL753" i="1"/>
  <c r="AG753" i="1"/>
  <c r="AQ752" i="1"/>
  <c r="AL752" i="1"/>
  <c r="AG752" i="1"/>
  <c r="AH752" i="1" s="1"/>
  <c r="AQ751" i="1"/>
  <c r="AT751" i="1" s="1"/>
  <c r="AL751" i="1"/>
  <c r="AG751" i="1"/>
  <c r="AQ750" i="1"/>
  <c r="AT750" i="1" s="1"/>
  <c r="AL750" i="1"/>
  <c r="AG750" i="1"/>
  <c r="AM750" i="1" s="1"/>
  <c r="AQ749" i="1"/>
  <c r="AT749" i="1" s="1"/>
  <c r="AL749" i="1"/>
  <c r="AG749" i="1"/>
  <c r="AM749" i="1" s="1"/>
  <c r="AQ748" i="1"/>
  <c r="AT748" i="1" s="1"/>
  <c r="AL748" i="1"/>
  <c r="AG748" i="1"/>
  <c r="AQ747" i="1"/>
  <c r="AR747" i="1" s="1"/>
  <c r="AS747" i="1" s="1"/>
  <c r="AL747" i="1"/>
  <c r="AG747" i="1"/>
  <c r="AH747" i="1" s="1"/>
  <c r="AQ746" i="1"/>
  <c r="AL746" i="1"/>
  <c r="AG746" i="1"/>
  <c r="AH746" i="1" s="1"/>
  <c r="AQ745" i="1"/>
  <c r="AR745" i="1" s="1"/>
  <c r="AS745" i="1" s="1"/>
  <c r="AL745" i="1"/>
  <c r="AG745" i="1"/>
  <c r="AQ744" i="1"/>
  <c r="AT744" i="1" s="1"/>
  <c r="AL744" i="1"/>
  <c r="AG744" i="1"/>
  <c r="AQ743" i="1"/>
  <c r="AT743" i="1" s="1"/>
  <c r="AL743" i="1"/>
  <c r="AG743" i="1"/>
  <c r="AQ742" i="1"/>
  <c r="AT742" i="1" s="1"/>
  <c r="AL742" i="1"/>
  <c r="AG742" i="1"/>
  <c r="AM742" i="1" s="1"/>
  <c r="AQ741" i="1"/>
  <c r="AT741" i="1" s="1"/>
  <c r="AL741" i="1"/>
  <c r="AG741" i="1"/>
  <c r="AM741" i="1" s="1"/>
  <c r="AQ740" i="1"/>
  <c r="AT740" i="1" s="1"/>
  <c r="AL740" i="1"/>
  <c r="AG740" i="1"/>
  <c r="AM740" i="1" s="1"/>
  <c r="AQ739" i="1"/>
  <c r="AR739" i="1" s="1"/>
  <c r="AS739" i="1" s="1"/>
  <c r="AL739" i="1"/>
  <c r="AG739" i="1"/>
  <c r="AQ738" i="1"/>
  <c r="AL738" i="1"/>
  <c r="AG738" i="1"/>
  <c r="AH738" i="1" s="1"/>
  <c r="AQ737" i="1"/>
  <c r="AR737" i="1" s="1"/>
  <c r="AS737" i="1" s="1"/>
  <c r="AL737" i="1"/>
  <c r="AG737" i="1"/>
  <c r="AM737" i="1" s="1"/>
  <c r="AQ736" i="1"/>
  <c r="AR736" i="1" s="1"/>
  <c r="AS736" i="1" s="1"/>
  <c r="AL736" i="1"/>
  <c r="AG736" i="1"/>
  <c r="AH736" i="1" s="1"/>
  <c r="AQ735" i="1"/>
  <c r="AL735" i="1"/>
  <c r="AG735" i="1"/>
  <c r="AQ734" i="1"/>
  <c r="AT734" i="1" s="1"/>
  <c r="AV734" i="1" s="1"/>
  <c r="AL734" i="1"/>
  <c r="AG734" i="1"/>
  <c r="AM734" i="1" s="1"/>
  <c r="AQ733" i="1"/>
  <c r="AL733" i="1"/>
  <c r="AG733" i="1"/>
  <c r="AM733" i="1" s="1"/>
  <c r="AQ732" i="1"/>
  <c r="AT732" i="1" s="1"/>
  <c r="AL732" i="1"/>
  <c r="AG732" i="1"/>
  <c r="AM732" i="1" s="1"/>
  <c r="AQ731" i="1"/>
  <c r="AR731" i="1" s="1"/>
  <c r="AS731" i="1" s="1"/>
  <c r="AL731" i="1"/>
  <c r="AG731" i="1"/>
  <c r="AH731" i="1" s="1"/>
  <c r="AQ730" i="1"/>
  <c r="AL730" i="1"/>
  <c r="AG730" i="1"/>
  <c r="AM730" i="1" s="1"/>
  <c r="AQ729" i="1"/>
  <c r="AL729" i="1"/>
  <c r="AG729" i="1"/>
  <c r="AM729" i="1" s="1"/>
  <c r="AQ728" i="1"/>
  <c r="AT728" i="1" s="1"/>
  <c r="AL728" i="1"/>
  <c r="AG728" i="1"/>
  <c r="AH728" i="1" s="1"/>
  <c r="AQ727" i="1"/>
  <c r="AT727" i="1" s="1"/>
  <c r="AL727" i="1"/>
  <c r="AG727" i="1"/>
  <c r="AQ726" i="1"/>
  <c r="AL726" i="1"/>
  <c r="AG726" i="1"/>
  <c r="AM726" i="1" s="1"/>
  <c r="AQ725" i="1"/>
  <c r="AT725" i="1" s="1"/>
  <c r="AL725" i="1"/>
  <c r="AG725" i="1"/>
  <c r="AM725" i="1" s="1"/>
  <c r="AQ724" i="1"/>
  <c r="AT724" i="1" s="1"/>
  <c r="AL724" i="1"/>
  <c r="AG724" i="1"/>
  <c r="AM724" i="1" s="1"/>
  <c r="AQ723" i="1"/>
  <c r="AR723" i="1" s="1"/>
  <c r="AS723" i="1" s="1"/>
  <c r="AL723" i="1"/>
  <c r="AG723" i="1"/>
  <c r="AH723" i="1" s="1"/>
  <c r="AQ722" i="1"/>
  <c r="AL722" i="1"/>
  <c r="AG722" i="1"/>
  <c r="AQ721" i="1"/>
  <c r="AL721" i="1"/>
  <c r="AG721" i="1"/>
  <c r="AM721" i="1" s="1"/>
  <c r="AQ720" i="1"/>
  <c r="AL720" i="1"/>
  <c r="AG720" i="1"/>
  <c r="AH720" i="1" s="1"/>
  <c r="AQ719" i="1"/>
  <c r="AL719" i="1"/>
  <c r="AG719" i="1"/>
  <c r="AQ718" i="1"/>
  <c r="AR718" i="1" s="1"/>
  <c r="AS718" i="1" s="1"/>
  <c r="AL718" i="1"/>
  <c r="AG718" i="1"/>
  <c r="AM718" i="1" s="1"/>
  <c r="AQ717" i="1"/>
  <c r="AT717" i="1" s="1"/>
  <c r="AL717" i="1"/>
  <c r="AG717" i="1"/>
  <c r="AQ716" i="1"/>
  <c r="AT716" i="1" s="1"/>
  <c r="AL716" i="1"/>
  <c r="AG716" i="1"/>
  <c r="AQ715" i="1"/>
  <c r="AR715" i="1" s="1"/>
  <c r="AS715" i="1" s="1"/>
  <c r="AL715" i="1"/>
  <c r="AG715" i="1"/>
  <c r="AH715" i="1" s="1"/>
  <c r="AQ714" i="1"/>
  <c r="AL714" i="1"/>
  <c r="AG714" i="1"/>
  <c r="AQ713" i="1"/>
  <c r="AR713" i="1" s="1"/>
  <c r="AS713" i="1" s="1"/>
  <c r="AL713" i="1"/>
  <c r="AG713" i="1"/>
  <c r="AM713" i="1" s="1"/>
  <c r="AQ712" i="1"/>
  <c r="AT712" i="1" s="1"/>
  <c r="AL712" i="1"/>
  <c r="AG712" i="1"/>
  <c r="AH712" i="1" s="1"/>
  <c r="AQ711" i="1"/>
  <c r="AT711" i="1" s="1"/>
  <c r="AL711" i="1"/>
  <c r="AG711" i="1"/>
  <c r="AQ710" i="1"/>
  <c r="AT710" i="1" s="1"/>
  <c r="AV710" i="1" s="1"/>
  <c r="AL710" i="1"/>
  <c r="AG710" i="1"/>
  <c r="AM710" i="1" s="1"/>
  <c r="AQ709" i="1"/>
  <c r="AT709" i="1" s="1"/>
  <c r="AV709" i="1" s="1"/>
  <c r="AL709" i="1"/>
  <c r="AG709" i="1"/>
  <c r="AM709" i="1" s="1"/>
  <c r="AQ708" i="1"/>
  <c r="AL708" i="1"/>
  <c r="AG708" i="1"/>
  <c r="AM708" i="1" s="1"/>
  <c r="AQ707" i="1"/>
  <c r="AR707" i="1" s="1"/>
  <c r="AS707" i="1" s="1"/>
  <c r="AL707" i="1"/>
  <c r="AG707" i="1"/>
  <c r="AQ706" i="1"/>
  <c r="AL706" i="1"/>
  <c r="AG706" i="1"/>
  <c r="AM706" i="1" s="1"/>
  <c r="AQ705" i="1"/>
  <c r="AL705" i="1"/>
  <c r="AG705" i="1"/>
  <c r="AM705" i="1" s="1"/>
  <c r="AQ704" i="1"/>
  <c r="AT704" i="1" s="1"/>
  <c r="AL704" i="1"/>
  <c r="AG704" i="1"/>
  <c r="AH704" i="1" s="1"/>
  <c r="AQ703" i="1"/>
  <c r="AT703" i="1" s="1"/>
  <c r="AL703" i="1"/>
  <c r="AG703" i="1"/>
  <c r="AQ702" i="1"/>
  <c r="AT702" i="1" s="1"/>
  <c r="AL702" i="1"/>
  <c r="AG702" i="1"/>
  <c r="AM702" i="1" s="1"/>
  <c r="AQ701" i="1"/>
  <c r="AT701" i="1" s="1"/>
  <c r="AL701" i="1"/>
  <c r="AG701" i="1"/>
  <c r="AM701" i="1" s="1"/>
  <c r="AQ700" i="1"/>
  <c r="AL700" i="1"/>
  <c r="AG700" i="1"/>
  <c r="AM700" i="1" s="1"/>
  <c r="AQ699" i="1"/>
  <c r="AR699" i="1" s="1"/>
  <c r="AS699" i="1" s="1"/>
  <c r="AL699" i="1"/>
  <c r="AG699" i="1"/>
  <c r="AM699" i="1" s="1"/>
  <c r="AQ698" i="1"/>
  <c r="AL698" i="1"/>
  <c r="AG698" i="1"/>
  <c r="AH698" i="1" s="1"/>
  <c r="AQ697" i="1"/>
  <c r="AR697" i="1" s="1"/>
  <c r="AS697" i="1" s="1"/>
  <c r="AL697" i="1"/>
  <c r="AG697" i="1"/>
  <c r="AQ696" i="1"/>
  <c r="AL696" i="1"/>
  <c r="AG696" i="1"/>
  <c r="AH696" i="1" s="1"/>
  <c r="AQ695" i="1"/>
  <c r="AL695" i="1"/>
  <c r="AG695" i="1"/>
  <c r="AQ694" i="1"/>
  <c r="AL694" i="1"/>
  <c r="AG694" i="1"/>
  <c r="AM694" i="1" s="1"/>
  <c r="AQ693" i="1"/>
  <c r="AT693" i="1" s="1"/>
  <c r="AL693" i="1"/>
  <c r="AG693" i="1"/>
  <c r="AQ692" i="1"/>
  <c r="AL692" i="1"/>
  <c r="AG692" i="1"/>
  <c r="AQ691" i="1"/>
  <c r="AR691" i="1" s="1"/>
  <c r="AS691" i="1" s="1"/>
  <c r="AL691" i="1"/>
  <c r="AG691" i="1"/>
  <c r="AM691" i="1" s="1"/>
  <c r="AQ690" i="1"/>
  <c r="AL690" i="1"/>
  <c r="AG690" i="1"/>
  <c r="AQ689" i="1"/>
  <c r="AL689" i="1"/>
  <c r="AG689" i="1"/>
  <c r="AM689" i="1" s="1"/>
  <c r="AQ688" i="1"/>
  <c r="AT688" i="1" s="1"/>
  <c r="AL688" i="1"/>
  <c r="AG688" i="1"/>
  <c r="AQ687" i="1"/>
  <c r="AT687" i="1" s="1"/>
  <c r="AL687" i="1"/>
  <c r="AG687" i="1"/>
  <c r="AQ686" i="1"/>
  <c r="AT686" i="1" s="1"/>
  <c r="AV686" i="1" s="1"/>
  <c r="AL686" i="1"/>
  <c r="AG686" i="1"/>
  <c r="AM686" i="1" s="1"/>
  <c r="AQ685" i="1"/>
  <c r="AT685" i="1" s="1"/>
  <c r="AL685" i="1"/>
  <c r="AG685" i="1"/>
  <c r="AQ684" i="1"/>
  <c r="AR684" i="1" s="1"/>
  <c r="AS684" i="1" s="1"/>
  <c r="AL684" i="1"/>
  <c r="AG684" i="1"/>
  <c r="AQ683" i="1"/>
  <c r="AR683" i="1" s="1"/>
  <c r="AS683" i="1" s="1"/>
  <c r="AL683" i="1"/>
  <c r="AG683" i="1"/>
  <c r="AM683" i="1" s="1"/>
  <c r="AQ682" i="1"/>
  <c r="AL682" i="1"/>
  <c r="AG682" i="1"/>
  <c r="AH682" i="1" s="1"/>
  <c r="AQ681" i="1"/>
  <c r="AL681" i="1"/>
  <c r="AG681" i="1"/>
  <c r="AM681" i="1" s="1"/>
  <c r="AQ680" i="1"/>
  <c r="AT680" i="1" s="1"/>
  <c r="AU680" i="1" s="1"/>
  <c r="AL680" i="1"/>
  <c r="AG680" i="1"/>
  <c r="AQ679" i="1"/>
  <c r="AT679" i="1" s="1"/>
  <c r="AL679" i="1"/>
  <c r="AG679" i="1"/>
  <c r="AQ678" i="1"/>
  <c r="AR678" i="1" s="1"/>
  <c r="AS678" i="1" s="1"/>
  <c r="AL678" i="1"/>
  <c r="AG678" i="1"/>
  <c r="AQ677" i="1"/>
  <c r="AT677" i="1" s="1"/>
  <c r="AV677" i="1" s="1"/>
  <c r="AL677" i="1"/>
  <c r="AG677" i="1"/>
  <c r="AM677" i="1" s="1"/>
  <c r="AQ676" i="1"/>
  <c r="AT676" i="1" s="1"/>
  <c r="AL676" i="1"/>
  <c r="AG676" i="1"/>
  <c r="AQ675" i="1"/>
  <c r="AR675" i="1" s="1"/>
  <c r="AS675" i="1" s="1"/>
  <c r="AL675" i="1"/>
  <c r="AG675" i="1"/>
  <c r="AQ674" i="1"/>
  <c r="AL674" i="1"/>
  <c r="AG674" i="1"/>
  <c r="AM674" i="1" s="1"/>
  <c r="AQ673" i="1"/>
  <c r="AL673" i="1"/>
  <c r="AG673" i="1"/>
  <c r="AQ672" i="1"/>
  <c r="AT672" i="1" s="1"/>
  <c r="AU672" i="1" s="1"/>
  <c r="AL672" i="1"/>
  <c r="AG672" i="1"/>
  <c r="AQ671" i="1"/>
  <c r="AT671" i="1" s="1"/>
  <c r="AL671" i="1"/>
  <c r="AG671" i="1"/>
  <c r="AQ670" i="1"/>
  <c r="AT670" i="1" s="1"/>
  <c r="AV670" i="1" s="1"/>
  <c r="AL670" i="1"/>
  <c r="AG670" i="1"/>
  <c r="AQ669" i="1"/>
  <c r="AT669" i="1" s="1"/>
  <c r="AV669" i="1" s="1"/>
  <c r="AL669" i="1"/>
  <c r="AG669" i="1"/>
  <c r="AM669" i="1" s="1"/>
  <c r="AQ668" i="1"/>
  <c r="AR668" i="1" s="1"/>
  <c r="AS668" i="1" s="1"/>
  <c r="AL668" i="1"/>
  <c r="AG668" i="1"/>
  <c r="AQ667" i="1"/>
  <c r="AL667" i="1"/>
  <c r="AG667" i="1"/>
  <c r="AM667" i="1" s="1"/>
  <c r="AQ666" i="1"/>
  <c r="AR666" i="1" s="1"/>
  <c r="AS666" i="1" s="1"/>
  <c r="AL666" i="1"/>
  <c r="AG666" i="1"/>
  <c r="AH666" i="1" s="1"/>
  <c r="AQ665" i="1"/>
  <c r="AR665" i="1" s="1"/>
  <c r="AS665" i="1" s="1"/>
  <c r="AL665" i="1"/>
  <c r="AG665" i="1"/>
  <c r="AQ664" i="1"/>
  <c r="AL664" i="1"/>
  <c r="AG664" i="1"/>
  <c r="AH664" i="1" s="1"/>
  <c r="AQ663" i="1"/>
  <c r="AT663" i="1" s="1"/>
  <c r="AV663" i="1" s="1"/>
  <c r="AL663" i="1"/>
  <c r="AG663" i="1"/>
  <c r="AQ662" i="1"/>
  <c r="AT662" i="1" s="1"/>
  <c r="AL662" i="1"/>
  <c r="AG662" i="1"/>
  <c r="AQ661" i="1"/>
  <c r="AT661" i="1" s="1"/>
  <c r="AL661" i="1"/>
  <c r="AG661" i="1"/>
  <c r="AQ660" i="1"/>
  <c r="AT660" i="1" s="1"/>
  <c r="AU660" i="1" s="1"/>
  <c r="AL660" i="1"/>
  <c r="AG660" i="1"/>
  <c r="AQ659" i="1"/>
  <c r="AL659" i="1"/>
  <c r="AG659" i="1"/>
  <c r="AH659" i="1" s="1"/>
  <c r="AQ658" i="1"/>
  <c r="AR658" i="1" s="1"/>
  <c r="AS658" i="1" s="1"/>
  <c r="AL658" i="1"/>
  <c r="AG658" i="1"/>
  <c r="AM658" i="1" s="1"/>
  <c r="AQ657" i="1"/>
  <c r="AR657" i="1" s="1"/>
  <c r="AS657" i="1" s="1"/>
  <c r="AL657" i="1"/>
  <c r="AG657" i="1"/>
  <c r="AM657" i="1" s="1"/>
  <c r="AQ656" i="1"/>
  <c r="AL656" i="1"/>
  <c r="AG656" i="1"/>
  <c r="AQ655" i="1"/>
  <c r="AR655" i="1" s="1"/>
  <c r="AS655" i="1" s="1"/>
  <c r="AL655" i="1"/>
  <c r="AG655" i="1"/>
  <c r="AQ654" i="1"/>
  <c r="AL654" i="1"/>
  <c r="AG654" i="1"/>
  <c r="AQ653" i="1"/>
  <c r="AT653" i="1" s="1"/>
  <c r="AV653" i="1" s="1"/>
  <c r="AL653" i="1"/>
  <c r="AG653" i="1"/>
  <c r="AM653" i="1" s="1"/>
  <c r="AQ652" i="1"/>
  <c r="AT652" i="1" s="1"/>
  <c r="AV652" i="1" s="1"/>
  <c r="AL652" i="1"/>
  <c r="AG652" i="1"/>
  <c r="AM652" i="1" s="1"/>
  <c r="AQ651" i="1"/>
  <c r="AL651" i="1"/>
  <c r="AG651" i="1"/>
  <c r="AQ650" i="1"/>
  <c r="AL650" i="1"/>
  <c r="AG650" i="1"/>
  <c r="AQ649" i="1"/>
  <c r="AR649" i="1" s="1"/>
  <c r="AS649" i="1" s="1"/>
  <c r="AL649" i="1"/>
  <c r="AG649" i="1"/>
  <c r="AM649" i="1" s="1"/>
  <c r="AQ648" i="1"/>
  <c r="AL648" i="1"/>
  <c r="AG648" i="1"/>
  <c r="AQ647" i="1"/>
  <c r="AR647" i="1" s="1"/>
  <c r="AS647" i="1" s="1"/>
  <c r="AL647" i="1"/>
  <c r="AG647" i="1"/>
  <c r="AQ646" i="1"/>
  <c r="AT646" i="1" s="1"/>
  <c r="AV646" i="1" s="1"/>
  <c r="AL646" i="1"/>
  <c r="AG646" i="1"/>
  <c r="AQ645" i="1"/>
  <c r="AL645" i="1"/>
  <c r="AG645" i="1"/>
  <c r="AM645" i="1" s="1"/>
  <c r="AQ644" i="1"/>
  <c r="AT644" i="1" s="1"/>
  <c r="AV644" i="1" s="1"/>
  <c r="AL644" i="1"/>
  <c r="AG644" i="1"/>
  <c r="AQ643" i="1"/>
  <c r="AL643" i="1"/>
  <c r="AG643" i="1"/>
  <c r="AM643" i="1" s="1"/>
  <c r="AQ642" i="1"/>
  <c r="AL642" i="1"/>
  <c r="AG642" i="1"/>
  <c r="AM642" i="1" s="1"/>
  <c r="AQ641" i="1"/>
  <c r="AR641" i="1" s="1"/>
  <c r="AS641" i="1" s="1"/>
  <c r="AL641" i="1"/>
  <c r="AG641" i="1"/>
  <c r="AH641" i="1" s="1"/>
  <c r="AQ640" i="1"/>
  <c r="AL640" i="1"/>
  <c r="AG640" i="1"/>
  <c r="AQ639" i="1"/>
  <c r="AR639" i="1" s="1"/>
  <c r="AS639" i="1" s="1"/>
  <c r="AL639" i="1"/>
  <c r="AG639" i="1"/>
  <c r="AQ638" i="1"/>
  <c r="AT638" i="1" s="1"/>
  <c r="AV638" i="1" s="1"/>
  <c r="AL638" i="1"/>
  <c r="AG638" i="1"/>
  <c r="AQ637" i="1"/>
  <c r="AR637" i="1" s="1"/>
  <c r="AS637" i="1" s="1"/>
  <c r="AL637" i="1"/>
  <c r="AG637" i="1"/>
  <c r="AM637" i="1" s="1"/>
  <c r="AQ636" i="1"/>
  <c r="AL636" i="1"/>
  <c r="AG636" i="1"/>
  <c r="AM636" i="1" s="1"/>
  <c r="AQ635" i="1"/>
  <c r="AL635" i="1"/>
  <c r="AG635" i="1"/>
  <c r="AM635" i="1" s="1"/>
  <c r="AQ634" i="1"/>
  <c r="AR634" i="1" s="1"/>
  <c r="AS634" i="1" s="1"/>
  <c r="AL634" i="1"/>
  <c r="AG634" i="1"/>
  <c r="AQ633" i="1"/>
  <c r="AR633" i="1" s="1"/>
  <c r="AS633" i="1" s="1"/>
  <c r="AL633" i="1"/>
  <c r="AG633" i="1"/>
  <c r="AQ632" i="1"/>
  <c r="AL632" i="1"/>
  <c r="AG632" i="1"/>
  <c r="AM632" i="1" s="1"/>
  <c r="AQ631" i="1"/>
  <c r="AL631" i="1"/>
  <c r="AG631" i="1"/>
  <c r="AM631" i="1" s="1"/>
  <c r="AQ630" i="1"/>
  <c r="AR630" i="1" s="1"/>
  <c r="AS630" i="1" s="1"/>
  <c r="AL630" i="1"/>
  <c r="AG630" i="1"/>
  <c r="AQ629" i="1"/>
  <c r="AL629" i="1"/>
  <c r="AG629" i="1"/>
  <c r="AM629" i="1" s="1"/>
  <c r="AQ628" i="1"/>
  <c r="AT628" i="1" s="1"/>
  <c r="AL628" i="1"/>
  <c r="AG628" i="1"/>
  <c r="AQ627" i="1"/>
  <c r="AT627" i="1" s="1"/>
  <c r="AV627" i="1" s="1"/>
  <c r="AL627" i="1"/>
  <c r="AG627" i="1"/>
  <c r="AM627" i="1" s="1"/>
  <c r="AQ626" i="1"/>
  <c r="AT626" i="1" s="1"/>
  <c r="AL626" i="1"/>
  <c r="AG626" i="1"/>
  <c r="AQ625" i="1"/>
  <c r="AR625" i="1" s="1"/>
  <c r="AS625" i="1" s="1"/>
  <c r="AL625" i="1"/>
  <c r="AG625" i="1"/>
  <c r="AM625" i="1" s="1"/>
  <c r="AQ624" i="1"/>
  <c r="AR624" i="1" s="1"/>
  <c r="AS624" i="1" s="1"/>
  <c r="AL624" i="1"/>
  <c r="AG624" i="1"/>
  <c r="AM624" i="1" s="1"/>
  <c r="AQ623" i="1"/>
  <c r="AL623" i="1"/>
  <c r="AG623" i="1"/>
  <c r="AM623" i="1" s="1"/>
  <c r="AQ622" i="1"/>
  <c r="AT622" i="1" s="1"/>
  <c r="AL622" i="1"/>
  <c r="AG622" i="1"/>
  <c r="AH622" i="1" s="1"/>
  <c r="AQ621" i="1"/>
  <c r="AL621" i="1"/>
  <c r="AG621" i="1"/>
  <c r="AM621" i="1" s="1"/>
  <c r="AQ620" i="1"/>
  <c r="AT620" i="1" s="1"/>
  <c r="AL620" i="1"/>
  <c r="AG620" i="1"/>
  <c r="AQ619" i="1"/>
  <c r="AT619" i="1" s="1"/>
  <c r="AV619" i="1" s="1"/>
  <c r="AL619" i="1"/>
  <c r="AG619" i="1"/>
  <c r="AQ618" i="1"/>
  <c r="AT618" i="1" s="1"/>
  <c r="AL618" i="1"/>
  <c r="AG618" i="1"/>
  <c r="AQ617" i="1"/>
  <c r="AR617" i="1" s="1"/>
  <c r="AS617" i="1" s="1"/>
  <c r="AL617" i="1"/>
  <c r="AG617" i="1"/>
  <c r="AQ616" i="1"/>
  <c r="AR616" i="1" s="1"/>
  <c r="AS616" i="1" s="1"/>
  <c r="AL616" i="1"/>
  <c r="AG616" i="1"/>
  <c r="AM616" i="1" s="1"/>
  <c r="AQ615" i="1"/>
  <c r="AL615" i="1"/>
  <c r="AG615" i="1"/>
  <c r="AH615" i="1" s="1"/>
  <c r="AQ614" i="1"/>
  <c r="AT614" i="1" s="1"/>
  <c r="AU614" i="1" s="1"/>
  <c r="AL614" i="1"/>
  <c r="AG614" i="1"/>
  <c r="AQ613" i="1"/>
  <c r="AL613" i="1"/>
  <c r="AG613" i="1"/>
  <c r="AM613" i="1" s="1"/>
  <c r="AQ612" i="1"/>
  <c r="AT612" i="1" s="1"/>
  <c r="AL612" i="1"/>
  <c r="AG612" i="1"/>
  <c r="AQ611" i="1"/>
  <c r="AL611" i="1"/>
  <c r="AG611" i="1"/>
  <c r="AM611" i="1" s="1"/>
  <c r="AQ610" i="1"/>
  <c r="AT610" i="1" s="1"/>
  <c r="AL610" i="1"/>
  <c r="AG610" i="1"/>
  <c r="AQ609" i="1"/>
  <c r="AR609" i="1" s="1"/>
  <c r="AS609" i="1" s="1"/>
  <c r="AL609" i="1"/>
  <c r="AG609" i="1"/>
  <c r="AM609" i="1" s="1"/>
  <c r="AQ608" i="1"/>
  <c r="AR608" i="1" s="1"/>
  <c r="AS608" i="1" s="1"/>
  <c r="AL608" i="1"/>
  <c r="AG608" i="1"/>
  <c r="AM608" i="1" s="1"/>
  <c r="AQ607" i="1"/>
  <c r="AL607" i="1"/>
  <c r="AG607" i="1"/>
  <c r="AM607" i="1" s="1"/>
  <c r="AQ606" i="1"/>
  <c r="AT606" i="1" s="1"/>
  <c r="AL606" i="1"/>
  <c r="AG606" i="1"/>
  <c r="AH606" i="1" s="1"/>
  <c r="AQ605" i="1"/>
  <c r="AL605" i="1"/>
  <c r="AG605" i="1"/>
  <c r="AM605" i="1" s="1"/>
  <c r="AQ604" i="1"/>
  <c r="AT604" i="1" s="1"/>
  <c r="AL604" i="1"/>
  <c r="AG604" i="1"/>
  <c r="AQ603" i="1"/>
  <c r="AL603" i="1"/>
  <c r="AG603" i="1"/>
  <c r="AM603" i="1" s="1"/>
  <c r="AQ602" i="1"/>
  <c r="AT602" i="1" s="1"/>
  <c r="AL602" i="1"/>
  <c r="AG602" i="1"/>
  <c r="AQ601" i="1"/>
  <c r="AR601" i="1" s="1"/>
  <c r="AS601" i="1" s="1"/>
  <c r="AL601" i="1"/>
  <c r="AG601" i="1"/>
  <c r="AM601" i="1" s="1"/>
  <c r="AQ600" i="1"/>
  <c r="AL600" i="1"/>
  <c r="AG600" i="1"/>
  <c r="AQ599" i="1"/>
  <c r="AL599" i="1"/>
  <c r="AG599" i="1"/>
  <c r="AM599" i="1" s="1"/>
  <c r="AQ598" i="1"/>
  <c r="AR598" i="1" s="1"/>
  <c r="AS598" i="1" s="1"/>
  <c r="AL598" i="1"/>
  <c r="AG598" i="1"/>
  <c r="AQ597" i="1"/>
  <c r="AL597" i="1"/>
  <c r="AG597" i="1"/>
  <c r="AM597" i="1" s="1"/>
  <c r="AQ596" i="1"/>
  <c r="AT596" i="1" s="1"/>
  <c r="AL596" i="1"/>
  <c r="AG596" i="1"/>
  <c r="AQ595" i="1"/>
  <c r="AL595" i="1"/>
  <c r="AG595" i="1"/>
  <c r="AM595" i="1" s="1"/>
  <c r="AQ594" i="1"/>
  <c r="AT594" i="1" s="1"/>
  <c r="AL594" i="1"/>
  <c r="AG594" i="1"/>
  <c r="AQ593" i="1"/>
  <c r="AR593" i="1" s="1"/>
  <c r="AS593" i="1" s="1"/>
  <c r="AL593" i="1"/>
  <c r="AG593" i="1"/>
  <c r="AM593" i="1" s="1"/>
  <c r="AQ592" i="1"/>
  <c r="AT592" i="1" s="1"/>
  <c r="AU592" i="1" s="1"/>
  <c r="AL592" i="1"/>
  <c r="AG592" i="1"/>
  <c r="AM592" i="1" s="1"/>
  <c r="AQ591" i="1"/>
  <c r="AL591" i="1"/>
  <c r="AG591" i="1"/>
  <c r="AH591" i="1" s="1"/>
  <c r="AQ590" i="1"/>
  <c r="AT590" i="1" s="1"/>
  <c r="AL590" i="1"/>
  <c r="AG590" i="1"/>
  <c r="AQ589" i="1"/>
  <c r="AL589" i="1"/>
  <c r="AG589" i="1"/>
  <c r="AM589" i="1" s="1"/>
  <c r="AQ588" i="1"/>
  <c r="AL588" i="1"/>
  <c r="AG588" i="1"/>
  <c r="AQ587" i="1"/>
  <c r="AT587" i="1" s="1"/>
  <c r="AV587" i="1" s="1"/>
  <c r="AL587" i="1"/>
  <c r="AG587" i="1"/>
  <c r="AM587" i="1" s="1"/>
  <c r="AQ586" i="1"/>
  <c r="AT586" i="1" s="1"/>
  <c r="AL586" i="1"/>
  <c r="AG586" i="1"/>
  <c r="AQ585" i="1"/>
  <c r="AR585" i="1" s="1"/>
  <c r="AS585" i="1" s="1"/>
  <c r="AL585" i="1"/>
  <c r="AG585" i="1"/>
  <c r="AM585" i="1" s="1"/>
  <c r="AQ584" i="1"/>
  <c r="AR584" i="1" s="1"/>
  <c r="AS584" i="1" s="1"/>
  <c r="AL584" i="1"/>
  <c r="AG584" i="1"/>
  <c r="AQ583" i="1"/>
  <c r="AL583" i="1"/>
  <c r="AG583" i="1"/>
  <c r="AM583" i="1" s="1"/>
  <c r="AQ582" i="1"/>
  <c r="AR582" i="1" s="1"/>
  <c r="AS582" i="1" s="1"/>
  <c r="AL582" i="1"/>
  <c r="AG582" i="1"/>
  <c r="AH582" i="1" s="1"/>
  <c r="AQ581" i="1"/>
  <c r="AL581" i="1"/>
  <c r="AG581" i="1"/>
  <c r="AM581" i="1" s="1"/>
  <c r="AQ580" i="1"/>
  <c r="AL580" i="1"/>
  <c r="AG580" i="1"/>
  <c r="AQ579" i="1"/>
  <c r="AT579" i="1" s="1"/>
  <c r="AV579" i="1" s="1"/>
  <c r="AL579" i="1"/>
  <c r="AG579" i="1"/>
  <c r="AM579" i="1" s="1"/>
  <c r="AQ578" i="1"/>
  <c r="AT578" i="1" s="1"/>
  <c r="AL578" i="1"/>
  <c r="AG578" i="1"/>
  <c r="AQ577" i="1"/>
  <c r="AR577" i="1" s="1"/>
  <c r="AS577" i="1" s="1"/>
  <c r="AL577" i="1"/>
  <c r="AG577" i="1"/>
  <c r="AM577" i="1" s="1"/>
  <c r="AQ576" i="1"/>
  <c r="AR576" i="1" s="1"/>
  <c r="AS576" i="1" s="1"/>
  <c r="AL576" i="1"/>
  <c r="AG576" i="1"/>
  <c r="AQ575" i="1"/>
  <c r="AL575" i="1"/>
  <c r="AG575" i="1"/>
  <c r="AM575" i="1" s="1"/>
  <c r="AQ574" i="1"/>
  <c r="AT574" i="1" s="1"/>
  <c r="AU574" i="1" s="1"/>
  <c r="AL574" i="1"/>
  <c r="AG574" i="1"/>
  <c r="AH574" i="1" s="1"/>
  <c r="AQ573" i="1"/>
  <c r="AL573" i="1"/>
  <c r="AG573" i="1"/>
  <c r="AM573" i="1" s="1"/>
  <c r="AQ572" i="1"/>
  <c r="AL572" i="1"/>
  <c r="AG572" i="1"/>
  <c r="AQ571" i="1"/>
  <c r="AL571" i="1"/>
  <c r="AG571" i="1"/>
  <c r="AM571" i="1" s="1"/>
  <c r="AQ570" i="1"/>
  <c r="AT570" i="1" s="1"/>
  <c r="AL570" i="1"/>
  <c r="AG570" i="1"/>
  <c r="AQ569" i="1"/>
  <c r="AR569" i="1" s="1"/>
  <c r="AS569" i="1" s="1"/>
  <c r="AL569" i="1"/>
  <c r="AG569" i="1"/>
  <c r="AM569" i="1" s="1"/>
  <c r="AQ568" i="1"/>
  <c r="AT568" i="1" s="1"/>
  <c r="AU568" i="1" s="1"/>
  <c r="AL568" i="1"/>
  <c r="AG568" i="1"/>
  <c r="AM568" i="1" s="1"/>
  <c r="AQ567" i="1"/>
  <c r="AL567" i="1"/>
  <c r="AG567" i="1"/>
  <c r="AQ566" i="1"/>
  <c r="AT566" i="1" s="1"/>
  <c r="AU566" i="1" s="1"/>
  <c r="AL566" i="1"/>
  <c r="AG566" i="1"/>
  <c r="AH566" i="1" s="1"/>
  <c r="AQ565" i="1"/>
  <c r="AL565" i="1"/>
  <c r="AG565" i="1"/>
  <c r="AH565" i="1" s="1"/>
  <c r="AQ564" i="1"/>
  <c r="AR564" i="1" s="1"/>
  <c r="AS564" i="1" s="1"/>
  <c r="AL564" i="1"/>
  <c r="AG564" i="1"/>
  <c r="AQ563" i="1"/>
  <c r="AT563" i="1" s="1"/>
  <c r="AL563" i="1"/>
  <c r="AG563" i="1"/>
  <c r="AM563" i="1" s="1"/>
  <c r="AQ562" i="1"/>
  <c r="AT562" i="1" s="1"/>
  <c r="AL562" i="1"/>
  <c r="AG562" i="1"/>
  <c r="AQ561" i="1"/>
  <c r="AR561" i="1" s="1"/>
  <c r="AS561" i="1" s="1"/>
  <c r="AL561" i="1"/>
  <c r="AG561" i="1"/>
  <c r="AM561" i="1" s="1"/>
  <c r="AQ560" i="1"/>
  <c r="AT560" i="1" s="1"/>
  <c r="AU560" i="1" s="1"/>
  <c r="AL560" i="1"/>
  <c r="AG560" i="1"/>
  <c r="AH560" i="1" s="1"/>
  <c r="AQ559" i="1"/>
  <c r="AL559" i="1"/>
  <c r="AG559" i="1"/>
  <c r="AQ558" i="1"/>
  <c r="AL558" i="1"/>
  <c r="AG558" i="1"/>
  <c r="AH558" i="1" s="1"/>
  <c r="AQ557" i="1"/>
  <c r="AL557" i="1"/>
  <c r="AG557" i="1"/>
  <c r="AH557" i="1" s="1"/>
  <c r="AQ556" i="1"/>
  <c r="AT556" i="1" s="1"/>
  <c r="AL556" i="1"/>
  <c r="AG556" i="1"/>
  <c r="AQ555" i="1"/>
  <c r="AL555" i="1"/>
  <c r="AG555" i="1"/>
  <c r="AM555" i="1" s="1"/>
  <c r="AQ554" i="1"/>
  <c r="AT554" i="1" s="1"/>
  <c r="AL554" i="1"/>
  <c r="AG554" i="1"/>
  <c r="AQ553" i="1"/>
  <c r="AR553" i="1" s="1"/>
  <c r="AS553" i="1" s="1"/>
  <c r="AL553" i="1"/>
  <c r="AG553" i="1"/>
  <c r="AM553" i="1" s="1"/>
  <c r="AQ552" i="1"/>
  <c r="AT552" i="1" s="1"/>
  <c r="AL552" i="1"/>
  <c r="AG552" i="1"/>
  <c r="AM552" i="1" s="1"/>
  <c r="AQ551" i="1"/>
  <c r="AL551" i="1"/>
  <c r="AG551" i="1"/>
  <c r="AM551" i="1" s="1"/>
  <c r="AQ550" i="1"/>
  <c r="AR550" i="1" s="1"/>
  <c r="AS550" i="1" s="1"/>
  <c r="AL550" i="1"/>
  <c r="AG550" i="1"/>
  <c r="AQ549" i="1"/>
  <c r="AL549" i="1"/>
  <c r="AG549" i="1"/>
  <c r="AM549" i="1" s="1"/>
  <c r="AQ548" i="1"/>
  <c r="AT548" i="1" s="1"/>
  <c r="AL548" i="1"/>
  <c r="AG548" i="1"/>
  <c r="AQ547" i="1"/>
  <c r="AT547" i="1" s="1"/>
  <c r="AL547" i="1"/>
  <c r="AG547" i="1"/>
  <c r="AM547" i="1" s="1"/>
  <c r="AQ546" i="1"/>
  <c r="AT546" i="1" s="1"/>
  <c r="AL546" i="1"/>
  <c r="AG546" i="1"/>
  <c r="AQ545" i="1"/>
  <c r="AR545" i="1" s="1"/>
  <c r="AS545" i="1" s="1"/>
  <c r="AL545" i="1"/>
  <c r="AG545" i="1"/>
  <c r="AM545" i="1" s="1"/>
  <c r="AQ544" i="1"/>
  <c r="AT544" i="1" s="1"/>
  <c r="AL544" i="1"/>
  <c r="AG544" i="1"/>
  <c r="AQ543" i="1"/>
  <c r="AL543" i="1"/>
  <c r="AG543" i="1"/>
  <c r="AM543" i="1" s="1"/>
  <c r="AQ542" i="1"/>
  <c r="AT542" i="1" s="1"/>
  <c r="AL542" i="1"/>
  <c r="AG542" i="1"/>
  <c r="AH542" i="1" s="1"/>
  <c r="AQ541" i="1"/>
  <c r="AL541" i="1"/>
  <c r="AG541" i="1"/>
  <c r="AM541" i="1" s="1"/>
  <c r="AQ540" i="1"/>
  <c r="AR540" i="1" s="1"/>
  <c r="AS540" i="1" s="1"/>
  <c r="AL540" i="1"/>
  <c r="AG540" i="1"/>
  <c r="AQ539" i="1"/>
  <c r="AT539" i="1" s="1"/>
  <c r="AV539" i="1" s="1"/>
  <c r="AL539" i="1"/>
  <c r="AG539" i="1"/>
  <c r="AM539" i="1" s="1"/>
  <c r="AQ538" i="1"/>
  <c r="AL538" i="1"/>
  <c r="AG538" i="1"/>
  <c r="AQ537" i="1"/>
  <c r="AR537" i="1" s="1"/>
  <c r="AS537" i="1" s="1"/>
  <c r="AL537" i="1"/>
  <c r="AG537" i="1"/>
  <c r="AM537" i="1" s="1"/>
  <c r="AQ536" i="1"/>
  <c r="AT536" i="1" s="1"/>
  <c r="AL536" i="1"/>
  <c r="AG536" i="1"/>
  <c r="AH536" i="1" s="1"/>
  <c r="AQ535" i="1"/>
  <c r="AL535" i="1"/>
  <c r="AG535" i="1"/>
  <c r="AQ534" i="1"/>
  <c r="AL534" i="1"/>
  <c r="AG534" i="1"/>
  <c r="AH534" i="1" s="1"/>
  <c r="AQ533" i="1"/>
  <c r="AL533" i="1"/>
  <c r="AG533" i="1"/>
  <c r="AH533" i="1" s="1"/>
  <c r="AQ532" i="1"/>
  <c r="AT532" i="1" s="1"/>
  <c r="AL532" i="1"/>
  <c r="AG532" i="1"/>
  <c r="AQ531" i="1"/>
  <c r="AT531" i="1" s="1"/>
  <c r="AV531" i="1" s="1"/>
  <c r="AL531" i="1"/>
  <c r="AG531" i="1"/>
  <c r="AM531" i="1" s="1"/>
  <c r="AQ530" i="1"/>
  <c r="AT530" i="1" s="1"/>
  <c r="AL530" i="1"/>
  <c r="AG530" i="1"/>
  <c r="AQ529" i="1"/>
  <c r="AR529" i="1" s="1"/>
  <c r="AS529" i="1" s="1"/>
  <c r="AL529" i="1"/>
  <c r="AG529" i="1"/>
  <c r="AM529" i="1" s="1"/>
  <c r="AQ528" i="1"/>
  <c r="AT528" i="1" s="1"/>
  <c r="AL528" i="1"/>
  <c r="AG528" i="1"/>
  <c r="AM528" i="1" s="1"/>
  <c r="AQ527" i="1"/>
  <c r="AL527" i="1"/>
  <c r="AG527" i="1"/>
  <c r="AQ526" i="1"/>
  <c r="AT526" i="1" s="1"/>
  <c r="AU526" i="1" s="1"/>
  <c r="AL526" i="1"/>
  <c r="AG526" i="1"/>
  <c r="AH526" i="1" s="1"/>
  <c r="AQ525" i="1"/>
  <c r="AL525" i="1"/>
  <c r="AG525" i="1"/>
  <c r="AM525" i="1" s="1"/>
  <c r="AQ524" i="1"/>
  <c r="AR524" i="1" s="1"/>
  <c r="AS524" i="1" s="1"/>
  <c r="AL524" i="1"/>
  <c r="AG524" i="1"/>
  <c r="AQ523" i="1"/>
  <c r="AT523" i="1" s="1"/>
  <c r="AV523" i="1" s="1"/>
  <c r="AL523" i="1"/>
  <c r="AG523" i="1"/>
  <c r="AM523" i="1" s="1"/>
  <c r="AQ522" i="1"/>
  <c r="AL522" i="1"/>
  <c r="AG522" i="1"/>
  <c r="AQ521" i="1"/>
  <c r="AL521" i="1"/>
  <c r="AG521" i="1"/>
  <c r="AM521" i="1" s="1"/>
  <c r="AQ520" i="1"/>
  <c r="AR520" i="1" s="1"/>
  <c r="AS520" i="1" s="1"/>
  <c r="AL520" i="1"/>
  <c r="AG520" i="1"/>
  <c r="AQ519" i="1"/>
  <c r="AL519" i="1"/>
  <c r="AG519" i="1"/>
  <c r="AM519" i="1" s="1"/>
  <c r="AQ518" i="1"/>
  <c r="AT518" i="1" s="1"/>
  <c r="AU518" i="1" s="1"/>
  <c r="AL518" i="1"/>
  <c r="AG518" i="1"/>
  <c r="AH518" i="1" s="1"/>
  <c r="AQ517" i="1"/>
  <c r="AL517" i="1"/>
  <c r="AG517" i="1"/>
  <c r="AM517" i="1" s="1"/>
  <c r="AQ516" i="1"/>
  <c r="AL516" i="1"/>
  <c r="AG516" i="1"/>
  <c r="AQ515" i="1"/>
  <c r="AT515" i="1" s="1"/>
  <c r="AV515" i="1" s="1"/>
  <c r="AL515" i="1"/>
  <c r="AG515" i="1"/>
  <c r="AQ514" i="1"/>
  <c r="AT514" i="1" s="1"/>
  <c r="AV514" i="1" s="1"/>
  <c r="AL514" i="1"/>
  <c r="AG514" i="1"/>
  <c r="AH514" i="1" s="1"/>
  <c r="AQ513" i="1"/>
  <c r="AL513" i="1"/>
  <c r="AG513" i="1"/>
  <c r="AQ512" i="1"/>
  <c r="AL512" i="1"/>
  <c r="AG512" i="1"/>
  <c r="AM512" i="1" s="1"/>
  <c r="AQ511" i="1"/>
  <c r="AT511" i="1" s="1"/>
  <c r="AV511" i="1" s="1"/>
  <c r="AL511" i="1"/>
  <c r="AG511" i="1"/>
  <c r="AH511" i="1" s="1"/>
  <c r="AQ510" i="1"/>
  <c r="AT510" i="1" s="1"/>
  <c r="AL510" i="1"/>
  <c r="AG510" i="1"/>
  <c r="AQ509" i="1"/>
  <c r="AR509" i="1" s="1"/>
  <c r="AS509" i="1" s="1"/>
  <c r="AL509" i="1"/>
  <c r="AG509" i="1"/>
  <c r="AM509" i="1" s="1"/>
  <c r="AQ508" i="1"/>
  <c r="AR508" i="1" s="1"/>
  <c r="AS508" i="1" s="1"/>
  <c r="AL508" i="1"/>
  <c r="AG508" i="1"/>
  <c r="AM508" i="1" s="1"/>
  <c r="AQ507" i="1"/>
  <c r="AL507" i="1"/>
  <c r="AG507" i="1"/>
  <c r="AH507" i="1" s="1"/>
  <c r="AQ506" i="1"/>
  <c r="AL506" i="1"/>
  <c r="AG506" i="1"/>
  <c r="AQ505" i="1"/>
  <c r="AT505" i="1" s="1"/>
  <c r="AL505" i="1"/>
  <c r="AG505" i="1"/>
  <c r="AH505" i="1" s="1"/>
  <c r="AQ504" i="1"/>
  <c r="AT504" i="1" s="1"/>
  <c r="AV504" i="1" s="1"/>
  <c r="AL504" i="1"/>
  <c r="AG504" i="1"/>
  <c r="AQ503" i="1"/>
  <c r="AT503" i="1" s="1"/>
  <c r="AL503" i="1"/>
  <c r="AG503" i="1"/>
  <c r="AM503" i="1" s="1"/>
  <c r="AQ502" i="1"/>
  <c r="AT502" i="1" s="1"/>
  <c r="AL502" i="1"/>
  <c r="AG502" i="1"/>
  <c r="AQ501" i="1"/>
  <c r="AL501" i="1"/>
  <c r="AG501" i="1"/>
  <c r="AQ500" i="1"/>
  <c r="AR500" i="1" s="1"/>
  <c r="AS500" i="1" s="1"/>
  <c r="AL500" i="1"/>
  <c r="AG500" i="1"/>
  <c r="AQ499" i="1"/>
  <c r="AL499" i="1"/>
  <c r="AG499" i="1"/>
  <c r="AQ498" i="1"/>
  <c r="AL498" i="1"/>
  <c r="AG498" i="1"/>
  <c r="AQ497" i="1"/>
  <c r="AT497" i="1" s="1"/>
  <c r="AV497" i="1" s="1"/>
  <c r="AL497" i="1"/>
  <c r="AG497" i="1"/>
  <c r="AH497" i="1" s="1"/>
  <c r="AQ496" i="1"/>
  <c r="AT496" i="1" s="1"/>
  <c r="AU496" i="1" s="1"/>
  <c r="AL496" i="1"/>
  <c r="AG496" i="1"/>
  <c r="AQ495" i="1"/>
  <c r="AT495" i="1" s="1"/>
  <c r="AV495" i="1" s="1"/>
  <c r="AL495" i="1"/>
  <c r="AG495" i="1"/>
  <c r="AM495" i="1" s="1"/>
  <c r="AQ494" i="1"/>
  <c r="AT494" i="1" s="1"/>
  <c r="AV494" i="1" s="1"/>
  <c r="AL494" i="1"/>
  <c r="AG494" i="1"/>
  <c r="AH494" i="1" s="1"/>
  <c r="AQ493" i="1"/>
  <c r="AL493" i="1"/>
  <c r="AG493" i="1"/>
  <c r="AM493" i="1" s="1"/>
  <c r="AQ492" i="1"/>
  <c r="AL492" i="1"/>
  <c r="AG492" i="1"/>
  <c r="AM492" i="1" s="1"/>
  <c r="AQ491" i="1"/>
  <c r="AL491" i="1"/>
  <c r="AG491" i="1"/>
  <c r="AH491" i="1" s="1"/>
  <c r="AQ490" i="1"/>
  <c r="AL490" i="1"/>
  <c r="AG490" i="1"/>
  <c r="AQ489" i="1"/>
  <c r="AL489" i="1"/>
  <c r="AG489" i="1"/>
  <c r="AH489" i="1" s="1"/>
  <c r="AQ488" i="1"/>
  <c r="AT488" i="1" s="1"/>
  <c r="AU488" i="1" s="1"/>
  <c r="AL488" i="1"/>
  <c r="AG488" i="1"/>
  <c r="AQ487" i="1"/>
  <c r="AL487" i="1"/>
  <c r="AG487" i="1"/>
  <c r="AQ486" i="1"/>
  <c r="AL486" i="1"/>
  <c r="AG486" i="1"/>
  <c r="AM486" i="1" s="1"/>
  <c r="AQ485" i="1"/>
  <c r="AL485" i="1"/>
  <c r="AG485" i="1"/>
  <c r="AQ484" i="1"/>
  <c r="AR484" i="1" s="1"/>
  <c r="AS484" i="1" s="1"/>
  <c r="AL484" i="1"/>
  <c r="AG484" i="1"/>
  <c r="AQ483" i="1"/>
  <c r="AL483" i="1"/>
  <c r="AG483" i="1"/>
  <c r="AQ482" i="1"/>
  <c r="AR482" i="1" s="1"/>
  <c r="AS482" i="1" s="1"/>
  <c r="AL482" i="1"/>
  <c r="AG482" i="1"/>
  <c r="AQ481" i="1"/>
  <c r="AT481" i="1" s="1"/>
  <c r="AL481" i="1"/>
  <c r="AG481" i="1"/>
  <c r="AH481" i="1" s="1"/>
  <c r="AQ480" i="1"/>
  <c r="AL480" i="1"/>
  <c r="AG480" i="1"/>
  <c r="AQ479" i="1"/>
  <c r="AL479" i="1"/>
  <c r="AG479" i="1"/>
  <c r="AM479" i="1" s="1"/>
  <c r="AQ478" i="1"/>
  <c r="AL478" i="1"/>
  <c r="AG478" i="1"/>
  <c r="AQ477" i="1"/>
  <c r="AL477" i="1"/>
  <c r="AG477" i="1"/>
  <c r="AM477" i="1" s="1"/>
  <c r="AQ476" i="1"/>
  <c r="AL476" i="1"/>
  <c r="AG476" i="1"/>
  <c r="AH476" i="1" s="1"/>
  <c r="AQ475" i="1"/>
  <c r="AL475" i="1"/>
  <c r="AG475" i="1"/>
  <c r="AH475" i="1" s="1"/>
  <c r="AQ474" i="1"/>
  <c r="AT474" i="1" s="1"/>
  <c r="AL474" i="1"/>
  <c r="AG474" i="1"/>
  <c r="AQ473" i="1"/>
  <c r="AT473" i="1" s="1"/>
  <c r="AV473" i="1" s="1"/>
  <c r="AL473" i="1"/>
  <c r="AG473" i="1"/>
  <c r="AH473" i="1" s="1"/>
  <c r="AQ472" i="1"/>
  <c r="AL472" i="1"/>
  <c r="AG472" i="1"/>
  <c r="AQ471" i="1"/>
  <c r="AT471" i="1" s="1"/>
  <c r="AL471" i="1"/>
  <c r="AG471" i="1"/>
  <c r="AM471" i="1" s="1"/>
  <c r="AQ470" i="1"/>
  <c r="AR470" i="1" s="1"/>
  <c r="AS470" i="1" s="1"/>
  <c r="AL470" i="1"/>
  <c r="AG470" i="1"/>
  <c r="AQ469" i="1"/>
  <c r="AL469" i="1"/>
  <c r="AG469" i="1"/>
  <c r="AM469" i="1" s="1"/>
  <c r="AQ468" i="1"/>
  <c r="AL468" i="1"/>
  <c r="AG468" i="1"/>
  <c r="AM468" i="1" s="1"/>
  <c r="AQ467" i="1"/>
  <c r="AL467" i="1"/>
  <c r="AG467" i="1"/>
  <c r="AM467" i="1" s="1"/>
  <c r="AQ466" i="1"/>
  <c r="AR466" i="1" s="1"/>
  <c r="AS466" i="1" s="1"/>
  <c r="AL466" i="1"/>
  <c r="AG466" i="1"/>
  <c r="AQ465" i="1"/>
  <c r="AR465" i="1" s="1"/>
  <c r="AS465" i="1" s="1"/>
  <c r="AL465" i="1"/>
  <c r="AG465" i="1"/>
  <c r="AH465" i="1" s="1"/>
  <c r="AQ464" i="1"/>
  <c r="AT464" i="1" s="1"/>
  <c r="AL464" i="1"/>
  <c r="AG464" i="1"/>
  <c r="AQ463" i="1"/>
  <c r="AL463" i="1"/>
  <c r="AG463" i="1"/>
  <c r="AQ462" i="1"/>
  <c r="AT462" i="1" s="1"/>
  <c r="AL462" i="1"/>
  <c r="AG462" i="1"/>
  <c r="AM462" i="1" s="1"/>
  <c r="AQ461" i="1"/>
  <c r="AL461" i="1"/>
  <c r="AG461" i="1"/>
  <c r="AQ460" i="1"/>
  <c r="AL460" i="1"/>
  <c r="AG460" i="1"/>
  <c r="AM460" i="1" s="1"/>
  <c r="AQ459" i="1"/>
  <c r="AL459" i="1"/>
  <c r="AG459" i="1"/>
  <c r="AM459" i="1" s="1"/>
  <c r="AQ458" i="1"/>
  <c r="AR458" i="1" s="1"/>
  <c r="AS458" i="1" s="1"/>
  <c r="AL458" i="1"/>
  <c r="AG458" i="1"/>
  <c r="AQ457" i="1"/>
  <c r="AR457" i="1" s="1"/>
  <c r="AS457" i="1" s="1"/>
  <c r="AL457" i="1"/>
  <c r="AG457" i="1"/>
  <c r="AH457" i="1" s="1"/>
  <c r="AQ456" i="1"/>
  <c r="AT456" i="1" s="1"/>
  <c r="AL456" i="1"/>
  <c r="AG456" i="1"/>
  <c r="AQ455" i="1"/>
  <c r="AL455" i="1"/>
  <c r="AG455" i="1"/>
  <c r="AM455" i="1" s="1"/>
  <c r="AQ454" i="1"/>
  <c r="AT454" i="1" s="1"/>
  <c r="AV454" i="1" s="1"/>
  <c r="AL454" i="1"/>
  <c r="AG454" i="1"/>
  <c r="AQ453" i="1"/>
  <c r="AL453" i="1"/>
  <c r="AG453" i="1"/>
  <c r="AH453" i="1" s="1"/>
  <c r="AQ452" i="1"/>
  <c r="AR452" i="1" s="1"/>
  <c r="AS452" i="1" s="1"/>
  <c r="AL452" i="1"/>
  <c r="AG452" i="1"/>
  <c r="AM452" i="1" s="1"/>
  <c r="AQ451" i="1"/>
  <c r="AL451" i="1"/>
  <c r="AG451" i="1"/>
  <c r="AQ450" i="1"/>
  <c r="AT450" i="1" s="1"/>
  <c r="AL450" i="1"/>
  <c r="AG450" i="1"/>
  <c r="AQ449" i="1"/>
  <c r="AT449" i="1" s="1"/>
  <c r="AV449" i="1" s="1"/>
  <c r="AL449" i="1"/>
  <c r="AG449" i="1"/>
  <c r="AH449" i="1" s="1"/>
  <c r="AQ448" i="1"/>
  <c r="AT448" i="1" s="1"/>
  <c r="AL448" i="1"/>
  <c r="AG448" i="1"/>
  <c r="AQ447" i="1"/>
  <c r="AL447" i="1"/>
  <c r="AG447" i="1"/>
  <c r="AM447" i="1" s="1"/>
  <c r="AQ446" i="1"/>
  <c r="AL446" i="1"/>
  <c r="AG446" i="1"/>
  <c r="AQ445" i="1"/>
  <c r="AL445" i="1"/>
  <c r="AG445" i="1"/>
  <c r="AM445" i="1" s="1"/>
  <c r="AQ444" i="1"/>
  <c r="AR444" i="1" s="1"/>
  <c r="AS444" i="1" s="1"/>
  <c r="AL444" i="1"/>
  <c r="AG444" i="1"/>
  <c r="AM444" i="1" s="1"/>
  <c r="AQ443" i="1"/>
  <c r="AL443" i="1"/>
  <c r="AG443" i="1"/>
  <c r="AM443" i="1" s="1"/>
  <c r="AQ442" i="1"/>
  <c r="AT442" i="1" s="1"/>
  <c r="AL442" i="1"/>
  <c r="AG442" i="1"/>
  <c r="AQ441" i="1"/>
  <c r="AR441" i="1" s="1"/>
  <c r="AS441" i="1" s="1"/>
  <c r="AL441" i="1"/>
  <c r="AG441" i="1"/>
  <c r="AH441" i="1" s="1"/>
  <c r="AQ440" i="1"/>
  <c r="AT440" i="1" s="1"/>
  <c r="AL440" i="1"/>
  <c r="AG440" i="1"/>
  <c r="AQ439" i="1"/>
  <c r="AT439" i="1" s="1"/>
  <c r="AL439" i="1"/>
  <c r="AG439" i="1"/>
  <c r="AQ438" i="1"/>
  <c r="AR438" i="1" s="1"/>
  <c r="AS438" i="1" s="1"/>
  <c r="AL438" i="1"/>
  <c r="AG438" i="1"/>
  <c r="AQ437" i="1"/>
  <c r="AL437" i="1"/>
  <c r="AG437" i="1"/>
  <c r="AM437" i="1" s="1"/>
  <c r="AQ436" i="1"/>
  <c r="AR436" i="1" s="1"/>
  <c r="AS436" i="1" s="1"/>
  <c r="AL436" i="1"/>
  <c r="AG436" i="1"/>
  <c r="AH436" i="1" s="1"/>
  <c r="AQ435" i="1"/>
  <c r="AL435" i="1"/>
  <c r="AG435" i="1"/>
  <c r="AQ434" i="1"/>
  <c r="AL434" i="1"/>
  <c r="AG434" i="1"/>
  <c r="AQ433" i="1"/>
  <c r="AT433" i="1" s="1"/>
  <c r="AL433" i="1"/>
  <c r="AG433" i="1"/>
  <c r="AH433" i="1" s="1"/>
  <c r="AQ432" i="1"/>
  <c r="AT432" i="1" s="1"/>
  <c r="AL432" i="1"/>
  <c r="AG432" i="1"/>
  <c r="AQ431" i="1"/>
  <c r="AT431" i="1" s="1"/>
  <c r="AV431" i="1" s="1"/>
  <c r="AL431" i="1"/>
  <c r="AG431" i="1"/>
  <c r="AM431" i="1" s="1"/>
  <c r="AQ430" i="1"/>
  <c r="AT430" i="1" s="1"/>
  <c r="AV430" i="1" s="1"/>
  <c r="AL430" i="1"/>
  <c r="AG430" i="1"/>
  <c r="AQ429" i="1"/>
  <c r="AL429" i="1"/>
  <c r="AG429" i="1"/>
  <c r="AM429" i="1" s="1"/>
  <c r="AQ428" i="1"/>
  <c r="AR428" i="1" s="1"/>
  <c r="AS428" i="1" s="1"/>
  <c r="AL428" i="1"/>
  <c r="AG428" i="1"/>
  <c r="AM428" i="1" s="1"/>
  <c r="AQ427" i="1"/>
  <c r="AL427" i="1"/>
  <c r="AG427" i="1"/>
  <c r="AM427" i="1" s="1"/>
  <c r="AQ426" i="1"/>
  <c r="AR426" i="1" s="1"/>
  <c r="AS426" i="1" s="1"/>
  <c r="AL426" i="1"/>
  <c r="AG426" i="1"/>
  <c r="AQ425" i="1"/>
  <c r="AT425" i="1" s="1"/>
  <c r="AL425" i="1"/>
  <c r="AG425" i="1"/>
  <c r="AH425" i="1" s="1"/>
  <c r="AQ424" i="1"/>
  <c r="AT424" i="1" s="1"/>
  <c r="AL424" i="1"/>
  <c r="AG424" i="1"/>
  <c r="AQ423" i="1"/>
  <c r="AT423" i="1" s="1"/>
  <c r="AL423" i="1"/>
  <c r="AG423" i="1"/>
  <c r="AQ422" i="1"/>
  <c r="AR422" i="1" s="1"/>
  <c r="AS422" i="1" s="1"/>
  <c r="AL422" i="1"/>
  <c r="AG422" i="1"/>
  <c r="AM422" i="1" s="1"/>
  <c r="AQ421" i="1"/>
  <c r="AL421" i="1"/>
  <c r="AG421" i="1"/>
  <c r="AM421" i="1" s="1"/>
  <c r="AQ420" i="1"/>
  <c r="AL420" i="1"/>
  <c r="AG420" i="1"/>
  <c r="AM420" i="1" s="1"/>
  <c r="AQ419" i="1"/>
  <c r="AR419" i="1" s="1"/>
  <c r="AS419" i="1" s="1"/>
  <c r="AL419" i="1"/>
  <c r="AG419" i="1"/>
  <c r="AM419" i="1" s="1"/>
  <c r="AQ418" i="1"/>
  <c r="AT418" i="1" s="1"/>
  <c r="AL418" i="1"/>
  <c r="AG418" i="1"/>
  <c r="AQ417" i="1"/>
  <c r="AR417" i="1" s="1"/>
  <c r="AS417" i="1" s="1"/>
  <c r="AL417" i="1"/>
  <c r="AG417" i="1"/>
  <c r="AQ416" i="1"/>
  <c r="AL416" i="1"/>
  <c r="AG416" i="1"/>
  <c r="AQ415" i="1"/>
  <c r="AT415" i="1" s="1"/>
  <c r="AV415" i="1" s="1"/>
  <c r="AL415" i="1"/>
  <c r="AG415" i="1"/>
  <c r="AM415" i="1" s="1"/>
  <c r="AQ414" i="1"/>
  <c r="AT414" i="1" s="1"/>
  <c r="AU414" i="1" s="1"/>
  <c r="AL414" i="1"/>
  <c r="AG414" i="1"/>
  <c r="AH414" i="1" s="1"/>
  <c r="AQ413" i="1"/>
  <c r="AL413" i="1"/>
  <c r="AG413" i="1"/>
  <c r="AQ412" i="1"/>
  <c r="AR412" i="1" s="1"/>
  <c r="AS412" i="1" s="1"/>
  <c r="AL412" i="1"/>
  <c r="AG412" i="1"/>
  <c r="AM412" i="1" s="1"/>
  <c r="AQ411" i="1"/>
  <c r="AR411" i="1" s="1"/>
  <c r="AS411" i="1" s="1"/>
  <c r="AL411" i="1"/>
  <c r="AG411" i="1"/>
  <c r="AM411" i="1" s="1"/>
  <c r="AQ410" i="1"/>
  <c r="AL410" i="1"/>
  <c r="AG410" i="1"/>
  <c r="AQ409" i="1"/>
  <c r="AT409" i="1" s="1"/>
  <c r="AL409" i="1"/>
  <c r="AG409" i="1"/>
  <c r="AQ408" i="1"/>
  <c r="AT408" i="1" s="1"/>
  <c r="AV408" i="1" s="1"/>
  <c r="AL408" i="1"/>
  <c r="AG408" i="1"/>
  <c r="AQ407" i="1"/>
  <c r="AT407" i="1" s="1"/>
  <c r="AL407" i="1"/>
  <c r="AG407" i="1"/>
  <c r="AM407" i="1" s="1"/>
  <c r="AQ406" i="1"/>
  <c r="AT406" i="1" s="1"/>
  <c r="AU406" i="1" s="1"/>
  <c r="AL406" i="1"/>
  <c r="AG406" i="1"/>
  <c r="AQ405" i="1"/>
  <c r="AL405" i="1"/>
  <c r="AG405" i="1"/>
  <c r="AQ404" i="1"/>
  <c r="AL404" i="1"/>
  <c r="AG404" i="1"/>
  <c r="AQ403" i="1"/>
  <c r="AR403" i="1" s="1"/>
  <c r="AS403" i="1" s="1"/>
  <c r="AL403" i="1"/>
  <c r="AG403" i="1"/>
  <c r="AQ402" i="1"/>
  <c r="AL402" i="1"/>
  <c r="AG402" i="1"/>
  <c r="AQ401" i="1"/>
  <c r="AT401" i="1" s="1"/>
  <c r="AL401" i="1"/>
  <c r="AG401" i="1"/>
  <c r="AQ400" i="1"/>
  <c r="AL400" i="1"/>
  <c r="AG400" i="1"/>
  <c r="AQ399" i="1"/>
  <c r="AL399" i="1"/>
  <c r="AG399" i="1"/>
  <c r="AM399" i="1" s="1"/>
  <c r="AQ398" i="1"/>
  <c r="AT398" i="1" s="1"/>
  <c r="AV398" i="1" s="1"/>
  <c r="AL398" i="1"/>
  <c r="AG398" i="1"/>
  <c r="AH398" i="1" s="1"/>
  <c r="AQ397" i="1"/>
  <c r="AL397" i="1"/>
  <c r="AG397" i="1"/>
  <c r="AM397" i="1" s="1"/>
  <c r="AQ396" i="1"/>
  <c r="AR396" i="1" s="1"/>
  <c r="AS396" i="1" s="1"/>
  <c r="AL396" i="1"/>
  <c r="AG396" i="1"/>
  <c r="AQ395" i="1"/>
  <c r="AR395" i="1" s="1"/>
  <c r="AS395" i="1" s="1"/>
  <c r="AL395" i="1"/>
  <c r="AG395" i="1"/>
  <c r="AQ394" i="1"/>
  <c r="AR394" i="1" s="1"/>
  <c r="AS394" i="1" s="1"/>
  <c r="AL394" i="1"/>
  <c r="AG394" i="1"/>
  <c r="AQ393" i="1"/>
  <c r="AT393" i="1" s="1"/>
  <c r="AV393" i="1" s="1"/>
  <c r="AL393" i="1"/>
  <c r="AG393" i="1"/>
  <c r="AQ392" i="1"/>
  <c r="AT392" i="1" s="1"/>
  <c r="AL392" i="1"/>
  <c r="AG392" i="1"/>
  <c r="AQ391" i="1"/>
  <c r="AT391" i="1" s="1"/>
  <c r="AV391" i="1" s="1"/>
  <c r="AL391" i="1"/>
  <c r="AG391" i="1"/>
  <c r="AQ390" i="1"/>
  <c r="AL390" i="1"/>
  <c r="AG390" i="1"/>
  <c r="AH390" i="1" s="1"/>
  <c r="AQ389" i="1"/>
  <c r="AL389" i="1"/>
  <c r="AG389" i="1"/>
  <c r="AM389" i="1" s="1"/>
  <c r="AQ388" i="1"/>
  <c r="AR388" i="1" s="1"/>
  <c r="AS388" i="1" s="1"/>
  <c r="AL388" i="1"/>
  <c r="AG388" i="1"/>
  <c r="AM388" i="1" s="1"/>
  <c r="AQ387" i="1"/>
  <c r="AR387" i="1" s="1"/>
  <c r="AS387" i="1" s="1"/>
  <c r="AL387" i="1"/>
  <c r="AG387" i="1"/>
  <c r="AM387" i="1" s="1"/>
  <c r="AQ386" i="1"/>
  <c r="AR386" i="1" s="1"/>
  <c r="AS386" i="1" s="1"/>
  <c r="AL386" i="1"/>
  <c r="AG386" i="1"/>
  <c r="AQ385" i="1"/>
  <c r="AT385" i="1" s="1"/>
  <c r="AL385" i="1"/>
  <c r="AG385" i="1"/>
  <c r="AQ384" i="1"/>
  <c r="AR384" i="1" s="1"/>
  <c r="AS384" i="1" s="1"/>
  <c r="AL384" i="1"/>
  <c r="AG384" i="1"/>
  <c r="AQ383" i="1"/>
  <c r="AT383" i="1" s="1"/>
  <c r="AL383" i="1"/>
  <c r="AG383" i="1"/>
  <c r="AM383" i="1" s="1"/>
  <c r="AQ382" i="1"/>
  <c r="AT382" i="1" s="1"/>
  <c r="AL382" i="1"/>
  <c r="AG382" i="1"/>
  <c r="AM382" i="1" s="1"/>
  <c r="AQ381" i="1"/>
  <c r="AL381" i="1"/>
  <c r="AG381" i="1"/>
  <c r="AM381" i="1" s="1"/>
  <c r="AQ380" i="1"/>
  <c r="AL380" i="1"/>
  <c r="AG380" i="1"/>
  <c r="AQ379" i="1"/>
  <c r="AR379" i="1" s="1"/>
  <c r="AS379" i="1" s="1"/>
  <c r="AL379" i="1"/>
  <c r="AG379" i="1"/>
  <c r="AH379" i="1" s="1"/>
  <c r="AQ378" i="1"/>
  <c r="AT378" i="1" s="1"/>
  <c r="AL378" i="1"/>
  <c r="AG378" i="1"/>
  <c r="AQ377" i="1"/>
  <c r="AT377" i="1" s="1"/>
  <c r="AL377" i="1"/>
  <c r="AG377" i="1"/>
  <c r="AQ376" i="1"/>
  <c r="AT376" i="1" s="1"/>
  <c r="AV376" i="1" s="1"/>
  <c r="AL376" i="1"/>
  <c r="AG376" i="1"/>
  <c r="AQ375" i="1"/>
  <c r="AT375" i="1" s="1"/>
  <c r="AV375" i="1" s="1"/>
  <c r="AL375" i="1"/>
  <c r="AG375" i="1"/>
  <c r="AM375" i="1" s="1"/>
  <c r="AQ374" i="1"/>
  <c r="AT374" i="1" s="1"/>
  <c r="AL374" i="1"/>
  <c r="AG374" i="1"/>
  <c r="AM374" i="1" s="1"/>
  <c r="AQ373" i="1"/>
  <c r="AL373" i="1"/>
  <c r="AG373" i="1"/>
  <c r="AM373" i="1" s="1"/>
  <c r="AQ372" i="1"/>
  <c r="AL372" i="1"/>
  <c r="AG372" i="1"/>
  <c r="AH372" i="1" s="1"/>
  <c r="AQ371" i="1"/>
  <c r="AR371" i="1" s="1"/>
  <c r="AS371" i="1" s="1"/>
  <c r="AL371" i="1"/>
  <c r="AG371" i="1"/>
  <c r="AH371" i="1" s="1"/>
  <c r="AQ370" i="1"/>
  <c r="AR370" i="1" s="1"/>
  <c r="AS370" i="1" s="1"/>
  <c r="AL370" i="1"/>
  <c r="AG370" i="1"/>
  <c r="AQ369" i="1"/>
  <c r="AT369" i="1" s="1"/>
  <c r="AL369" i="1"/>
  <c r="AG369" i="1"/>
  <c r="AQ368" i="1"/>
  <c r="AT368" i="1" s="1"/>
  <c r="AL368" i="1"/>
  <c r="AG368" i="1"/>
  <c r="AQ367" i="1"/>
  <c r="AT367" i="1" s="1"/>
  <c r="AV367" i="1" s="1"/>
  <c r="AL367" i="1"/>
  <c r="AG367" i="1"/>
  <c r="AQ366" i="1"/>
  <c r="AR366" i="1" s="1"/>
  <c r="AS366" i="1" s="1"/>
  <c r="AL366" i="1"/>
  <c r="AG366" i="1"/>
  <c r="AM366" i="1" s="1"/>
  <c r="AQ365" i="1"/>
  <c r="AL365" i="1"/>
  <c r="AG365" i="1"/>
  <c r="AH365" i="1" s="1"/>
  <c r="AQ364" i="1"/>
  <c r="AR364" i="1" s="1"/>
  <c r="AS364" i="1" s="1"/>
  <c r="AL364" i="1"/>
  <c r="AG364" i="1"/>
  <c r="AH364" i="1" s="1"/>
  <c r="AQ363" i="1"/>
  <c r="AR363" i="1" s="1"/>
  <c r="AS363" i="1" s="1"/>
  <c r="AL363" i="1"/>
  <c r="AG363" i="1"/>
  <c r="AM363" i="1" s="1"/>
  <c r="AQ362" i="1"/>
  <c r="AR362" i="1" s="1"/>
  <c r="AS362" i="1" s="1"/>
  <c r="AL362" i="1"/>
  <c r="AG362" i="1"/>
  <c r="AQ361" i="1"/>
  <c r="AR361" i="1" s="1"/>
  <c r="AS361" i="1" s="1"/>
  <c r="AL361" i="1"/>
  <c r="AG361" i="1"/>
  <c r="AQ360" i="1"/>
  <c r="AT360" i="1" s="1"/>
  <c r="AL360" i="1"/>
  <c r="AG360" i="1"/>
  <c r="AQ359" i="1"/>
  <c r="AT359" i="1" s="1"/>
  <c r="AL359" i="1"/>
  <c r="AG359" i="1"/>
  <c r="AM359" i="1" s="1"/>
  <c r="AQ358" i="1"/>
  <c r="AL358" i="1"/>
  <c r="AG358" i="1"/>
  <c r="AM358" i="1" s="1"/>
  <c r="AQ357" i="1"/>
  <c r="AL357" i="1"/>
  <c r="AG357" i="1"/>
  <c r="AH357" i="1" s="1"/>
  <c r="AQ356" i="1"/>
  <c r="AT356" i="1" s="1"/>
  <c r="AL356" i="1"/>
  <c r="AG356" i="1"/>
  <c r="AQ355" i="1"/>
  <c r="AR355" i="1" s="1"/>
  <c r="AS355" i="1" s="1"/>
  <c r="AL355" i="1"/>
  <c r="AG355" i="1"/>
  <c r="AH355" i="1" s="1"/>
  <c r="AQ354" i="1"/>
  <c r="AR354" i="1" s="1"/>
  <c r="AS354" i="1" s="1"/>
  <c r="AL354" i="1"/>
  <c r="AG354" i="1"/>
  <c r="AH354" i="1" s="1"/>
  <c r="AQ353" i="1"/>
  <c r="AL353" i="1"/>
  <c r="AG353" i="1"/>
  <c r="AH353" i="1" s="1"/>
  <c r="AQ352" i="1"/>
  <c r="AT352" i="1" s="1"/>
  <c r="AL352" i="1"/>
  <c r="AG352" i="1"/>
  <c r="AQ351" i="1"/>
  <c r="AR351" i="1" s="1"/>
  <c r="AS351" i="1" s="1"/>
  <c r="AL351" i="1"/>
  <c r="AG351" i="1"/>
  <c r="AM351" i="1" s="1"/>
  <c r="AQ350" i="1"/>
  <c r="AR350" i="1" s="1"/>
  <c r="AS350" i="1" s="1"/>
  <c r="AL350" i="1"/>
  <c r="AG350" i="1"/>
  <c r="AM350" i="1" s="1"/>
  <c r="AQ349" i="1"/>
  <c r="AL349" i="1"/>
  <c r="AG349" i="1"/>
  <c r="AH349" i="1" s="1"/>
  <c r="AQ348" i="1"/>
  <c r="AL348" i="1"/>
  <c r="AG348" i="1"/>
  <c r="AQ347" i="1"/>
  <c r="AT347" i="1" s="1"/>
  <c r="AU347" i="1" s="1"/>
  <c r="AL347" i="1"/>
  <c r="AG347" i="1"/>
  <c r="AH347" i="1" s="1"/>
  <c r="AQ346" i="1"/>
  <c r="AT346" i="1" s="1"/>
  <c r="AL346" i="1"/>
  <c r="AG346" i="1"/>
  <c r="AQ345" i="1"/>
  <c r="AR345" i="1" s="1"/>
  <c r="AS345" i="1" s="1"/>
  <c r="AL345" i="1"/>
  <c r="AG345" i="1"/>
  <c r="AM345" i="1" s="1"/>
  <c r="AQ344" i="1"/>
  <c r="AT344" i="1" s="1"/>
  <c r="AV344" i="1" s="1"/>
  <c r="AL344" i="1"/>
  <c r="AG344" i="1"/>
  <c r="AM344" i="1" s="1"/>
  <c r="AQ343" i="1"/>
  <c r="AT343" i="1" s="1"/>
  <c r="AL343" i="1"/>
  <c r="AG343" i="1"/>
  <c r="AM343" i="1" s="1"/>
  <c r="AQ342" i="1"/>
  <c r="AR342" i="1" s="1"/>
  <c r="AS342" i="1" s="1"/>
  <c r="AL342" i="1"/>
  <c r="AG342" i="1"/>
  <c r="AM342" i="1" s="1"/>
  <c r="AQ341" i="1"/>
  <c r="AL341" i="1"/>
  <c r="AG341" i="1"/>
  <c r="AM341" i="1" s="1"/>
  <c r="AQ340" i="1"/>
  <c r="AR340" i="1" s="1"/>
  <c r="AS340" i="1" s="1"/>
  <c r="AL340" i="1"/>
  <c r="AG340" i="1"/>
  <c r="AH340" i="1" s="1"/>
  <c r="AQ339" i="1"/>
  <c r="AL339" i="1"/>
  <c r="AG339" i="1"/>
  <c r="AQ338" i="1"/>
  <c r="AL338" i="1"/>
  <c r="AG338" i="1"/>
  <c r="AQ337" i="1"/>
  <c r="AR337" i="1" s="1"/>
  <c r="AS337" i="1" s="1"/>
  <c r="AL337" i="1"/>
  <c r="AG337" i="1"/>
  <c r="AM337" i="1" s="1"/>
  <c r="AQ336" i="1"/>
  <c r="AR336" i="1" s="1"/>
  <c r="AS336" i="1" s="1"/>
  <c r="AL336" i="1"/>
  <c r="AG336" i="1"/>
  <c r="AQ335" i="1"/>
  <c r="AT335" i="1" s="1"/>
  <c r="AL335" i="1"/>
  <c r="AG335" i="1"/>
  <c r="AQ334" i="1"/>
  <c r="AR334" i="1" s="1"/>
  <c r="AS334" i="1" s="1"/>
  <c r="AL334" i="1"/>
  <c r="AG334" i="1"/>
  <c r="AM334" i="1" s="1"/>
  <c r="AQ333" i="1"/>
  <c r="AL333" i="1"/>
  <c r="AG333" i="1"/>
  <c r="AM333" i="1" s="1"/>
  <c r="AQ332" i="1"/>
  <c r="AR332" i="1" s="1"/>
  <c r="AS332" i="1" s="1"/>
  <c r="AL332" i="1"/>
  <c r="AG332" i="1"/>
  <c r="AM332" i="1" s="1"/>
  <c r="AQ331" i="1"/>
  <c r="AR331" i="1" s="1"/>
  <c r="AS331" i="1" s="1"/>
  <c r="AL331" i="1"/>
  <c r="AG331" i="1"/>
  <c r="AH331" i="1" s="1"/>
  <c r="AQ330" i="1"/>
  <c r="AT330" i="1" s="1"/>
  <c r="AL330" i="1"/>
  <c r="AG330" i="1"/>
  <c r="AQ329" i="1"/>
  <c r="AR329" i="1" s="1"/>
  <c r="AS329" i="1" s="1"/>
  <c r="AL329" i="1"/>
  <c r="AG329" i="1"/>
  <c r="AM329" i="1" s="1"/>
  <c r="AQ328" i="1"/>
  <c r="AL328" i="1"/>
  <c r="AG328" i="1"/>
  <c r="AM328" i="1" s="1"/>
  <c r="AQ327" i="1"/>
  <c r="AT327" i="1" s="1"/>
  <c r="AL327" i="1"/>
  <c r="AG327" i="1"/>
  <c r="AM327" i="1" s="1"/>
  <c r="AQ326" i="1"/>
  <c r="AR326" i="1" s="1"/>
  <c r="AS326" i="1" s="1"/>
  <c r="AL326" i="1"/>
  <c r="AG326" i="1"/>
  <c r="AM326" i="1" s="1"/>
  <c r="AQ325" i="1"/>
  <c r="AL325" i="1"/>
  <c r="AG325" i="1"/>
  <c r="AH325" i="1" s="1"/>
  <c r="AQ324" i="1"/>
  <c r="AR324" i="1" s="1"/>
  <c r="AS324" i="1" s="1"/>
  <c r="AL324" i="1"/>
  <c r="AG324" i="1"/>
  <c r="AQ323" i="1"/>
  <c r="AL323" i="1"/>
  <c r="AG323" i="1"/>
  <c r="AQ322" i="1"/>
  <c r="AT322" i="1" s="1"/>
  <c r="AL322" i="1"/>
  <c r="AG322" i="1"/>
  <c r="AQ321" i="1"/>
  <c r="AT321" i="1" s="1"/>
  <c r="AL321" i="1"/>
  <c r="AG321" i="1"/>
  <c r="AM321" i="1" s="1"/>
  <c r="AQ320" i="1"/>
  <c r="AT320" i="1" s="1"/>
  <c r="AL320" i="1"/>
  <c r="AG320" i="1"/>
  <c r="AM320" i="1" s="1"/>
  <c r="AQ319" i="1"/>
  <c r="AT319" i="1" s="1"/>
  <c r="AL319" i="1"/>
  <c r="AG319" i="1"/>
  <c r="AM319" i="1" s="1"/>
  <c r="AQ318" i="1"/>
  <c r="AR318" i="1" s="1"/>
  <c r="AS318" i="1" s="1"/>
  <c r="AL318" i="1"/>
  <c r="AG318" i="1"/>
  <c r="AM318" i="1" s="1"/>
  <c r="AQ317" i="1"/>
  <c r="AL317" i="1"/>
  <c r="AG317" i="1"/>
  <c r="AH317" i="1" s="1"/>
  <c r="AQ316" i="1"/>
  <c r="AL316" i="1"/>
  <c r="AG316" i="1"/>
  <c r="AQ315" i="1"/>
  <c r="AL315" i="1"/>
  <c r="AG315" i="1"/>
  <c r="AH315" i="1" s="1"/>
  <c r="AQ314" i="1"/>
  <c r="AT314" i="1" s="1"/>
  <c r="AL314" i="1"/>
  <c r="AG314" i="1"/>
  <c r="AQ313" i="1"/>
  <c r="AT313" i="1" s="1"/>
  <c r="AL313" i="1"/>
  <c r="AG313" i="1"/>
  <c r="AM313" i="1" s="1"/>
  <c r="AQ312" i="1"/>
  <c r="AT312" i="1" s="1"/>
  <c r="AV312" i="1" s="1"/>
  <c r="AL312" i="1"/>
  <c r="AG312" i="1"/>
  <c r="AM312" i="1" s="1"/>
  <c r="AQ311" i="1"/>
  <c r="AT311" i="1" s="1"/>
  <c r="AL311" i="1"/>
  <c r="AG311" i="1"/>
  <c r="AM311" i="1" s="1"/>
  <c r="AQ310" i="1"/>
  <c r="AR310" i="1" s="1"/>
  <c r="AS310" i="1" s="1"/>
  <c r="AL310" i="1"/>
  <c r="AG310" i="1"/>
  <c r="AQ309" i="1"/>
  <c r="AL309" i="1"/>
  <c r="AG309" i="1"/>
  <c r="AQ308" i="1"/>
  <c r="AL308" i="1"/>
  <c r="AG308" i="1"/>
  <c r="AM308" i="1" s="1"/>
  <c r="AQ307" i="1"/>
  <c r="AR307" i="1" s="1"/>
  <c r="AS307" i="1" s="1"/>
  <c r="AL307" i="1"/>
  <c r="AG307" i="1"/>
  <c r="AH307" i="1" s="1"/>
  <c r="AQ306" i="1"/>
  <c r="AT306" i="1" s="1"/>
  <c r="AL306" i="1"/>
  <c r="AG306" i="1"/>
  <c r="AQ305" i="1"/>
  <c r="AL305" i="1"/>
  <c r="AG305" i="1"/>
  <c r="AM305" i="1" s="1"/>
  <c r="AQ304" i="1"/>
  <c r="AT304" i="1" s="1"/>
  <c r="AL304" i="1"/>
  <c r="AG304" i="1"/>
  <c r="AM304" i="1" s="1"/>
  <c r="AQ303" i="1"/>
  <c r="AT303" i="1" s="1"/>
  <c r="AL303" i="1"/>
  <c r="AG303" i="1"/>
  <c r="AM303" i="1" s="1"/>
  <c r="AQ302" i="1"/>
  <c r="AR302" i="1" s="1"/>
  <c r="AS302" i="1" s="1"/>
  <c r="AL302" i="1"/>
  <c r="AG302" i="1"/>
  <c r="AM302" i="1" s="1"/>
  <c r="AQ301" i="1"/>
  <c r="AL301" i="1"/>
  <c r="AG301" i="1"/>
  <c r="AQ300" i="1"/>
  <c r="AR300" i="1" s="1"/>
  <c r="AS300" i="1" s="1"/>
  <c r="AL300" i="1"/>
  <c r="AG300" i="1"/>
  <c r="AM300" i="1" s="1"/>
  <c r="AQ299" i="1"/>
  <c r="AT299" i="1" s="1"/>
  <c r="AL299" i="1"/>
  <c r="AG299" i="1"/>
  <c r="AH299" i="1" s="1"/>
  <c r="AQ298" i="1"/>
  <c r="AT298" i="1" s="1"/>
  <c r="AL298" i="1"/>
  <c r="AG298" i="1"/>
  <c r="AQ297" i="1"/>
  <c r="AL297" i="1"/>
  <c r="AG297" i="1"/>
  <c r="AM297" i="1" s="1"/>
  <c r="AQ296" i="1"/>
  <c r="AT296" i="1" s="1"/>
  <c r="AL296" i="1"/>
  <c r="AG296" i="1"/>
  <c r="AM296" i="1" s="1"/>
  <c r="AQ295" i="1"/>
  <c r="AL295" i="1"/>
  <c r="AG295" i="1"/>
  <c r="AM295" i="1" s="1"/>
  <c r="AQ294" i="1"/>
  <c r="AR294" i="1" s="1"/>
  <c r="AS294" i="1" s="1"/>
  <c r="AL294" i="1"/>
  <c r="AG294" i="1"/>
  <c r="AQ293" i="1"/>
  <c r="AL293" i="1"/>
  <c r="AG293" i="1"/>
  <c r="AQ292" i="1"/>
  <c r="AR292" i="1" s="1"/>
  <c r="AS292" i="1" s="1"/>
  <c r="AL292" i="1"/>
  <c r="AG292" i="1"/>
  <c r="AM292" i="1" s="1"/>
  <c r="AQ291" i="1"/>
  <c r="AT291" i="1" s="1"/>
  <c r="AL291" i="1"/>
  <c r="AG291" i="1"/>
  <c r="AQ290" i="1"/>
  <c r="AL290" i="1"/>
  <c r="AG290" i="1"/>
  <c r="AQ289" i="1"/>
  <c r="AT289" i="1" s="1"/>
  <c r="AL289" i="1"/>
  <c r="AG289" i="1"/>
  <c r="AM289" i="1" s="1"/>
  <c r="AQ288" i="1"/>
  <c r="AT288" i="1" s="1"/>
  <c r="AL288" i="1"/>
  <c r="AG288" i="1"/>
  <c r="AM288" i="1" s="1"/>
  <c r="AQ287" i="1"/>
  <c r="AT287" i="1" s="1"/>
  <c r="AL287" i="1"/>
  <c r="AG287" i="1"/>
  <c r="AM287" i="1" s="1"/>
  <c r="AQ286" i="1"/>
  <c r="AR286" i="1" s="1"/>
  <c r="AS286" i="1" s="1"/>
  <c r="AL286" i="1"/>
  <c r="AG286" i="1"/>
  <c r="AM286" i="1" s="1"/>
  <c r="AQ285" i="1"/>
  <c r="AL285" i="1"/>
  <c r="AG285" i="1"/>
  <c r="AM285" i="1" s="1"/>
  <c r="AQ284" i="1"/>
  <c r="AR284" i="1" s="1"/>
  <c r="AS284" i="1" s="1"/>
  <c r="AL284" i="1"/>
  <c r="AG284" i="1"/>
  <c r="AH284" i="1" s="1"/>
  <c r="AQ283" i="1"/>
  <c r="AR283" i="1" s="1"/>
  <c r="AS283" i="1" s="1"/>
  <c r="AL283" i="1"/>
  <c r="AG283" i="1"/>
  <c r="AQ282" i="1"/>
  <c r="AT282" i="1" s="1"/>
  <c r="AL282" i="1"/>
  <c r="AG282" i="1"/>
  <c r="AQ281" i="1"/>
  <c r="AT281" i="1" s="1"/>
  <c r="AV281" i="1" s="1"/>
  <c r="AL281" i="1"/>
  <c r="AG281" i="1"/>
  <c r="AM281" i="1" s="1"/>
  <c r="AQ280" i="1"/>
  <c r="AT280" i="1" s="1"/>
  <c r="AL280" i="1"/>
  <c r="AG280" i="1"/>
  <c r="AM280" i="1" s="1"/>
  <c r="AQ279" i="1"/>
  <c r="AT279" i="1" s="1"/>
  <c r="AL279" i="1"/>
  <c r="AG279" i="1"/>
  <c r="AM279" i="1" s="1"/>
  <c r="AQ278" i="1"/>
  <c r="AR278" i="1" s="1"/>
  <c r="AS278" i="1" s="1"/>
  <c r="AL278" i="1"/>
  <c r="AG278" i="1"/>
  <c r="AQ277" i="1"/>
  <c r="AL277" i="1"/>
  <c r="AG277" i="1"/>
  <c r="AM277" i="1" s="1"/>
  <c r="AQ276" i="1"/>
  <c r="AR276" i="1" s="1"/>
  <c r="AS276" i="1" s="1"/>
  <c r="AL276" i="1"/>
  <c r="AG276" i="1"/>
  <c r="AQ275" i="1"/>
  <c r="AT275" i="1" s="1"/>
  <c r="AL275" i="1"/>
  <c r="AG275" i="1"/>
  <c r="AH275" i="1" s="1"/>
  <c r="AQ274" i="1"/>
  <c r="AT274" i="1" s="1"/>
  <c r="AL274" i="1"/>
  <c r="AG274" i="1"/>
  <c r="AQ273" i="1"/>
  <c r="AR273" i="1" s="1"/>
  <c r="AS273" i="1" s="1"/>
  <c r="AL273" i="1"/>
  <c r="AG273" i="1"/>
  <c r="AM273" i="1" s="1"/>
  <c r="AQ272" i="1"/>
  <c r="AL272" i="1"/>
  <c r="AG272" i="1"/>
  <c r="AQ271" i="1"/>
  <c r="AL271" i="1"/>
  <c r="AG271" i="1"/>
  <c r="AM271" i="1" s="1"/>
  <c r="AQ270" i="1"/>
  <c r="AR270" i="1" s="1"/>
  <c r="AS270" i="1" s="1"/>
  <c r="AL270" i="1"/>
  <c r="AG270" i="1"/>
  <c r="AM270" i="1" s="1"/>
  <c r="AQ269" i="1"/>
  <c r="AL269" i="1"/>
  <c r="AG269" i="1"/>
  <c r="AH269" i="1" s="1"/>
  <c r="AQ268" i="1"/>
  <c r="AL268" i="1"/>
  <c r="AG268" i="1"/>
  <c r="AM268" i="1" s="1"/>
  <c r="AQ267" i="1"/>
  <c r="AR267" i="1" s="1"/>
  <c r="AS267" i="1" s="1"/>
  <c r="AL267" i="1"/>
  <c r="AG267" i="1"/>
  <c r="AQ266" i="1"/>
  <c r="AL266" i="1"/>
  <c r="AG266" i="1"/>
  <c r="AQ265" i="1"/>
  <c r="AT265" i="1" s="1"/>
  <c r="AL265" i="1"/>
  <c r="AG265" i="1"/>
  <c r="AQ264" i="1"/>
  <c r="AT264" i="1" s="1"/>
  <c r="AV264" i="1" s="1"/>
  <c r="AL264" i="1"/>
  <c r="AG264" i="1"/>
  <c r="AQ263" i="1"/>
  <c r="AT263" i="1" s="1"/>
  <c r="AL263" i="1"/>
  <c r="AG263" i="1"/>
  <c r="AM263" i="1" s="1"/>
  <c r="AQ262" i="1"/>
  <c r="AR262" i="1" s="1"/>
  <c r="AS262" i="1" s="1"/>
  <c r="AL262" i="1"/>
  <c r="AG262" i="1"/>
  <c r="AQ261" i="1"/>
  <c r="AL261" i="1"/>
  <c r="AG261" i="1"/>
  <c r="AQ260" i="1"/>
  <c r="AR260" i="1" s="1"/>
  <c r="AS260" i="1" s="1"/>
  <c r="AL260" i="1"/>
  <c r="AG260" i="1"/>
  <c r="AH260" i="1" s="1"/>
  <c r="AQ259" i="1"/>
  <c r="AR259" i="1" s="1"/>
  <c r="AS259" i="1" s="1"/>
  <c r="AL259" i="1"/>
  <c r="AG259" i="1"/>
  <c r="AH259" i="1" s="1"/>
  <c r="AQ258" i="1"/>
  <c r="AT258" i="1" s="1"/>
  <c r="AL258" i="1"/>
  <c r="AG258" i="1"/>
  <c r="AQ257" i="1"/>
  <c r="AT257" i="1" s="1"/>
  <c r="AL257" i="1"/>
  <c r="AG257" i="1"/>
  <c r="AQ256" i="1"/>
  <c r="AR256" i="1" s="1"/>
  <c r="AS256" i="1" s="1"/>
  <c r="AL256" i="1"/>
  <c r="AG256" i="1"/>
  <c r="AQ255" i="1"/>
  <c r="AT255" i="1" s="1"/>
  <c r="AL255" i="1"/>
  <c r="AG255" i="1"/>
  <c r="AM255" i="1" s="1"/>
  <c r="AQ254" i="1"/>
  <c r="AR254" i="1" s="1"/>
  <c r="AS254" i="1" s="1"/>
  <c r="AL254" i="1"/>
  <c r="AG254" i="1"/>
  <c r="AQ253" i="1"/>
  <c r="AL253" i="1"/>
  <c r="AG253" i="1"/>
  <c r="AQ252" i="1"/>
  <c r="AR252" i="1" s="1"/>
  <c r="AS252" i="1" s="1"/>
  <c r="AL252" i="1"/>
  <c r="AG252" i="1"/>
  <c r="AH252" i="1" s="1"/>
  <c r="AQ251" i="1"/>
  <c r="AT251" i="1" s="1"/>
  <c r="AU251" i="1" s="1"/>
  <c r="AL251" i="1"/>
  <c r="AG251" i="1"/>
  <c r="AH251" i="1" s="1"/>
  <c r="AQ250" i="1"/>
  <c r="AT250" i="1" s="1"/>
  <c r="AL250" i="1"/>
  <c r="AG250" i="1"/>
  <c r="AQ249" i="1"/>
  <c r="AR249" i="1" s="1"/>
  <c r="AS249" i="1" s="1"/>
  <c r="AL249" i="1"/>
  <c r="AG249" i="1"/>
  <c r="AQ248" i="1"/>
  <c r="AL248" i="1"/>
  <c r="AG248" i="1"/>
  <c r="AM248" i="1" s="1"/>
  <c r="AQ247" i="1"/>
  <c r="AT247" i="1" s="1"/>
  <c r="AL247" i="1"/>
  <c r="AG247" i="1"/>
  <c r="AH247" i="1" s="1"/>
  <c r="AQ246" i="1"/>
  <c r="AL246" i="1"/>
  <c r="AG246" i="1"/>
  <c r="AM246" i="1" s="1"/>
  <c r="AQ245" i="1"/>
  <c r="AL245" i="1"/>
  <c r="AG245" i="1"/>
  <c r="AM245" i="1" s="1"/>
  <c r="AQ244" i="1"/>
  <c r="AL244" i="1"/>
  <c r="AG244" i="1"/>
  <c r="AM244" i="1" s="1"/>
  <c r="AQ243" i="1"/>
  <c r="AT243" i="1" s="1"/>
  <c r="AL243" i="1"/>
  <c r="AG243" i="1"/>
  <c r="AH243" i="1" s="1"/>
  <c r="AQ242" i="1"/>
  <c r="AL242" i="1"/>
  <c r="AG242" i="1"/>
  <c r="AQ241" i="1"/>
  <c r="AL241" i="1"/>
  <c r="AG241" i="1"/>
  <c r="AQ240" i="1"/>
  <c r="AT240" i="1" s="1"/>
  <c r="AV240" i="1" s="1"/>
  <c r="AL240" i="1"/>
  <c r="AG240" i="1"/>
  <c r="AM240" i="1" s="1"/>
  <c r="AQ239" i="1"/>
  <c r="AT239" i="1" s="1"/>
  <c r="AU239" i="1" s="1"/>
  <c r="AL239" i="1"/>
  <c r="AG239" i="1"/>
  <c r="AM239" i="1" s="1"/>
  <c r="AQ238" i="1"/>
  <c r="AL238" i="1"/>
  <c r="AG238" i="1"/>
  <c r="AH238" i="1" s="1"/>
  <c r="AQ237" i="1"/>
  <c r="AL237" i="1"/>
  <c r="AG237" i="1"/>
  <c r="AM237" i="1" s="1"/>
  <c r="AQ236" i="1"/>
  <c r="AR236" i="1" s="1"/>
  <c r="AS236" i="1" s="1"/>
  <c r="AL236" i="1"/>
  <c r="AG236" i="1"/>
  <c r="AM236" i="1" s="1"/>
  <c r="AQ235" i="1"/>
  <c r="AT235" i="1" s="1"/>
  <c r="AU235" i="1" s="1"/>
  <c r="AL235" i="1"/>
  <c r="AG235" i="1"/>
  <c r="AH235" i="1" s="1"/>
  <c r="AQ234" i="1"/>
  <c r="AT234" i="1" s="1"/>
  <c r="AV234" i="1" s="1"/>
  <c r="AL234" i="1"/>
  <c r="AG234" i="1"/>
  <c r="AQ233" i="1"/>
  <c r="AT233" i="1" s="1"/>
  <c r="AV233" i="1" s="1"/>
  <c r="AL233" i="1"/>
  <c r="AG233" i="1"/>
  <c r="AQ232" i="1"/>
  <c r="AT232" i="1" s="1"/>
  <c r="AL232" i="1"/>
  <c r="AG232" i="1"/>
  <c r="AM232" i="1" s="1"/>
  <c r="AQ231" i="1"/>
  <c r="AL231" i="1"/>
  <c r="AG231" i="1"/>
  <c r="AH231" i="1" s="1"/>
  <c r="AQ230" i="1"/>
  <c r="AL230" i="1"/>
  <c r="AG230" i="1"/>
  <c r="AH230" i="1" s="1"/>
  <c r="AQ229" i="1"/>
  <c r="AL229" i="1"/>
  <c r="AG229" i="1"/>
  <c r="AQ228" i="1"/>
  <c r="AL228" i="1"/>
  <c r="AG228" i="1"/>
  <c r="AH228" i="1" s="1"/>
  <c r="AQ227" i="1"/>
  <c r="AT227" i="1" s="1"/>
  <c r="AU227" i="1" s="1"/>
  <c r="AL227" i="1"/>
  <c r="AG227" i="1"/>
  <c r="AH227" i="1" s="1"/>
  <c r="AQ226" i="1"/>
  <c r="AT226" i="1" s="1"/>
  <c r="AL226" i="1"/>
  <c r="AG226" i="1"/>
  <c r="AQ225" i="1"/>
  <c r="AL225" i="1"/>
  <c r="AG225" i="1"/>
  <c r="AQ224" i="1"/>
  <c r="AL224" i="1"/>
  <c r="AG224" i="1"/>
  <c r="AM224" i="1" s="1"/>
  <c r="AQ223" i="1"/>
  <c r="AT223" i="1" s="1"/>
  <c r="AV223" i="1" s="1"/>
  <c r="AL223" i="1"/>
  <c r="AG223" i="1"/>
  <c r="AH223" i="1" s="1"/>
  <c r="AQ222" i="1"/>
  <c r="AL222" i="1"/>
  <c r="AG222" i="1"/>
  <c r="AQ221" i="1"/>
  <c r="AR221" i="1" s="1"/>
  <c r="AS221" i="1" s="1"/>
  <c r="AL221" i="1"/>
  <c r="AG221" i="1"/>
  <c r="AM221" i="1" s="1"/>
  <c r="AQ220" i="1"/>
  <c r="AL220" i="1"/>
  <c r="AG220" i="1"/>
  <c r="AM220" i="1" s="1"/>
  <c r="AQ219" i="1"/>
  <c r="AT219" i="1" s="1"/>
  <c r="AL219" i="1"/>
  <c r="AG219" i="1"/>
  <c r="AQ218" i="1"/>
  <c r="AT218" i="1" s="1"/>
  <c r="AL218" i="1"/>
  <c r="AG218" i="1"/>
  <c r="AQ217" i="1"/>
  <c r="AL217" i="1"/>
  <c r="AG217" i="1"/>
  <c r="AQ216" i="1"/>
  <c r="AT216" i="1" s="1"/>
  <c r="AV216" i="1" s="1"/>
  <c r="AL216" i="1"/>
  <c r="AG216" i="1"/>
  <c r="AM216" i="1" s="1"/>
  <c r="AQ215" i="1"/>
  <c r="AT215" i="1" s="1"/>
  <c r="AV215" i="1" s="1"/>
  <c r="AL215" i="1"/>
  <c r="AG215" i="1"/>
  <c r="AH215" i="1" s="1"/>
  <c r="AQ214" i="1"/>
  <c r="AL214" i="1"/>
  <c r="AG214" i="1"/>
  <c r="AM214" i="1" s="1"/>
  <c r="AQ213" i="1"/>
  <c r="AR213" i="1" s="1"/>
  <c r="AS213" i="1" s="1"/>
  <c r="AL213" i="1"/>
  <c r="AG213" i="1"/>
  <c r="AM213" i="1" s="1"/>
  <c r="AQ212" i="1"/>
  <c r="AL212" i="1"/>
  <c r="AG212" i="1"/>
  <c r="AM212" i="1" s="1"/>
  <c r="AQ211" i="1"/>
  <c r="AL211" i="1"/>
  <c r="AG211" i="1"/>
  <c r="AH211" i="1" s="1"/>
  <c r="AQ210" i="1"/>
  <c r="AT210" i="1" s="1"/>
  <c r="AL210" i="1"/>
  <c r="AG210" i="1"/>
  <c r="AQ209" i="1"/>
  <c r="AL209" i="1"/>
  <c r="AG209" i="1"/>
  <c r="AQ208" i="1"/>
  <c r="AL208" i="1"/>
  <c r="AG208" i="1"/>
  <c r="AM208" i="1" s="1"/>
  <c r="AQ207" i="1"/>
  <c r="AT207" i="1" s="1"/>
  <c r="AV207" i="1" s="1"/>
  <c r="AL207" i="1"/>
  <c r="AG207" i="1"/>
  <c r="AQ206" i="1"/>
  <c r="AL206" i="1"/>
  <c r="AG206" i="1"/>
  <c r="AM206" i="1" s="1"/>
  <c r="AQ205" i="1"/>
  <c r="AR205" i="1" s="1"/>
  <c r="AS205" i="1" s="1"/>
  <c r="AL205" i="1"/>
  <c r="AG205" i="1"/>
  <c r="AM205" i="1" s="1"/>
  <c r="AQ204" i="1"/>
  <c r="AL204" i="1"/>
  <c r="AG204" i="1"/>
  <c r="AM204" i="1" s="1"/>
  <c r="AQ203" i="1"/>
  <c r="AL203" i="1"/>
  <c r="AG203" i="1"/>
  <c r="AH203" i="1" s="1"/>
  <c r="AQ202" i="1"/>
  <c r="AT202" i="1" s="1"/>
  <c r="AL202" i="1"/>
  <c r="AG202" i="1"/>
  <c r="AQ201" i="1"/>
  <c r="AL201" i="1"/>
  <c r="AG201" i="1"/>
  <c r="AM201" i="1" s="1"/>
  <c r="AQ200" i="1"/>
  <c r="AT200" i="1" s="1"/>
  <c r="AL200" i="1"/>
  <c r="AG200" i="1"/>
  <c r="AM200" i="1" s="1"/>
  <c r="AQ199" i="1"/>
  <c r="AT199" i="1" s="1"/>
  <c r="AL199" i="1"/>
  <c r="AG199" i="1"/>
  <c r="AM199" i="1" s="1"/>
  <c r="AQ198" i="1"/>
  <c r="AR198" i="1" s="1"/>
  <c r="AS198" i="1" s="1"/>
  <c r="AL198" i="1"/>
  <c r="AG198" i="1"/>
  <c r="AM198" i="1" s="1"/>
  <c r="AQ197" i="1"/>
  <c r="AL197" i="1"/>
  <c r="AG197" i="1"/>
  <c r="AM197" i="1" s="1"/>
  <c r="AQ196" i="1"/>
  <c r="AR196" i="1" s="1"/>
  <c r="AS196" i="1" s="1"/>
  <c r="AL196" i="1"/>
  <c r="AG196" i="1"/>
  <c r="AH196" i="1" s="1"/>
  <c r="AQ195" i="1"/>
  <c r="AR195" i="1" s="1"/>
  <c r="AS195" i="1" s="1"/>
  <c r="AL195" i="1"/>
  <c r="AG195" i="1"/>
  <c r="AH195" i="1" s="1"/>
  <c r="AQ194" i="1"/>
  <c r="AT194" i="1" s="1"/>
  <c r="AL194" i="1"/>
  <c r="AG194" i="1"/>
  <c r="AQ193" i="1"/>
  <c r="AR193" i="1" s="1"/>
  <c r="AS193" i="1" s="1"/>
  <c r="AL193" i="1"/>
  <c r="AG193" i="1"/>
  <c r="AM193" i="1" s="1"/>
  <c r="AQ192" i="1"/>
  <c r="AL192" i="1"/>
  <c r="AG192" i="1"/>
  <c r="AM192" i="1" s="1"/>
  <c r="AQ191" i="1"/>
  <c r="AT191" i="1" s="1"/>
  <c r="AL191" i="1"/>
  <c r="AG191" i="1"/>
  <c r="AM191" i="1" s="1"/>
  <c r="AQ190" i="1"/>
  <c r="AR190" i="1" s="1"/>
  <c r="AS190" i="1" s="1"/>
  <c r="AL190" i="1"/>
  <c r="AG190" i="1"/>
  <c r="AM190" i="1" s="1"/>
  <c r="AQ189" i="1"/>
  <c r="AL189" i="1"/>
  <c r="AG189" i="1"/>
  <c r="AM189" i="1" s="1"/>
  <c r="AQ188" i="1"/>
  <c r="AL188" i="1"/>
  <c r="AG188" i="1"/>
  <c r="AM188" i="1" s="1"/>
  <c r="AQ187" i="1"/>
  <c r="AT187" i="1" s="1"/>
  <c r="AL187" i="1"/>
  <c r="AG187" i="1"/>
  <c r="AH187" i="1" s="1"/>
  <c r="AQ186" i="1"/>
  <c r="AT186" i="1" s="1"/>
  <c r="AL186" i="1"/>
  <c r="AG186" i="1"/>
  <c r="AQ185" i="1"/>
  <c r="AT185" i="1" s="1"/>
  <c r="AV185" i="1" s="1"/>
  <c r="AL185" i="1"/>
  <c r="AG185" i="1"/>
  <c r="AM185" i="1" s="1"/>
  <c r="AQ184" i="1"/>
  <c r="AT184" i="1" s="1"/>
  <c r="AL184" i="1"/>
  <c r="AG184" i="1"/>
  <c r="AM184" i="1" s="1"/>
  <c r="AQ183" i="1"/>
  <c r="AT183" i="1" s="1"/>
  <c r="AL183" i="1"/>
  <c r="AG183" i="1"/>
  <c r="AM183" i="1" s="1"/>
  <c r="AQ182" i="1"/>
  <c r="AR182" i="1" s="1"/>
  <c r="AS182" i="1" s="1"/>
  <c r="AL182" i="1"/>
  <c r="AG182" i="1"/>
  <c r="AH182" i="1" s="1"/>
  <c r="AQ181" i="1"/>
  <c r="AL181" i="1"/>
  <c r="AG181" i="1"/>
  <c r="AH181" i="1" s="1"/>
  <c r="AQ180" i="1"/>
  <c r="AR180" i="1" s="1"/>
  <c r="AS180" i="1" s="1"/>
  <c r="AL180" i="1"/>
  <c r="AG180" i="1"/>
  <c r="AQ179" i="1"/>
  <c r="AT179" i="1" s="1"/>
  <c r="AL179" i="1"/>
  <c r="AG179" i="1"/>
  <c r="AH179" i="1" s="1"/>
  <c r="AQ178" i="1"/>
  <c r="AT178" i="1" s="1"/>
  <c r="AL178" i="1"/>
  <c r="AG178" i="1"/>
  <c r="AQ177" i="1"/>
  <c r="AT177" i="1" s="1"/>
  <c r="AL177" i="1"/>
  <c r="AG177" i="1"/>
  <c r="AM177" i="1" s="1"/>
  <c r="AQ176" i="1"/>
  <c r="AT176" i="1" s="1"/>
  <c r="AL176" i="1"/>
  <c r="AG176" i="1"/>
  <c r="AM176" i="1" s="1"/>
  <c r="AQ175" i="1"/>
  <c r="AT175" i="1" s="1"/>
  <c r="AL175" i="1"/>
  <c r="AG175" i="1"/>
  <c r="AM175" i="1" s="1"/>
  <c r="AQ174" i="1"/>
  <c r="AR174" i="1" s="1"/>
  <c r="AS174" i="1" s="1"/>
  <c r="AL174" i="1"/>
  <c r="AG174" i="1"/>
  <c r="AM174" i="1" s="1"/>
  <c r="AQ173" i="1"/>
  <c r="AL173" i="1"/>
  <c r="AG173" i="1"/>
  <c r="AH173" i="1" s="1"/>
  <c r="AQ172" i="1"/>
  <c r="AR172" i="1" s="1"/>
  <c r="AS172" i="1" s="1"/>
  <c r="AL172" i="1"/>
  <c r="AG172" i="1"/>
  <c r="AQ171" i="1"/>
  <c r="AL171" i="1"/>
  <c r="AG171" i="1"/>
  <c r="AQ170" i="1"/>
  <c r="AT170" i="1" s="1"/>
  <c r="AL170" i="1"/>
  <c r="AG170" i="1"/>
  <c r="AQ169" i="1"/>
  <c r="AT169" i="1" s="1"/>
  <c r="AV169" i="1" s="1"/>
  <c r="AL169" i="1"/>
  <c r="AG169" i="1"/>
  <c r="AM169" i="1" s="1"/>
  <c r="AQ168" i="1"/>
  <c r="AT168" i="1" s="1"/>
  <c r="AL168" i="1"/>
  <c r="AG168" i="1"/>
  <c r="AM168" i="1" s="1"/>
  <c r="AQ167" i="1"/>
  <c r="AT167" i="1" s="1"/>
  <c r="AL167" i="1"/>
  <c r="AG167" i="1"/>
  <c r="AM167" i="1" s="1"/>
  <c r="AQ166" i="1"/>
  <c r="AR166" i="1" s="1"/>
  <c r="AS166" i="1" s="1"/>
  <c r="AL166" i="1"/>
  <c r="AG166" i="1"/>
  <c r="AM166" i="1" s="1"/>
  <c r="AQ165" i="1"/>
  <c r="AL165" i="1"/>
  <c r="AG165" i="1"/>
  <c r="AH165" i="1" s="1"/>
  <c r="AQ164" i="1"/>
  <c r="AL164" i="1"/>
  <c r="AG164" i="1"/>
  <c r="AM164" i="1" s="1"/>
  <c r="AQ163" i="1"/>
  <c r="AT163" i="1" s="1"/>
  <c r="AL163" i="1"/>
  <c r="AG163" i="1"/>
  <c r="AQ162" i="1"/>
  <c r="AT162" i="1" s="1"/>
  <c r="AL162" i="1"/>
  <c r="AG162" i="1"/>
  <c r="AQ161" i="1"/>
  <c r="AT161" i="1" s="1"/>
  <c r="AV161" i="1" s="1"/>
  <c r="AL161" i="1"/>
  <c r="AG161" i="1"/>
  <c r="AM161" i="1" s="1"/>
  <c r="AQ160" i="1"/>
  <c r="AT160" i="1" s="1"/>
  <c r="AL160" i="1"/>
  <c r="AG160" i="1"/>
  <c r="AQ159" i="1"/>
  <c r="AL159" i="1"/>
  <c r="AG159" i="1"/>
  <c r="AM159" i="1" s="1"/>
  <c r="AQ158" i="1"/>
  <c r="AR158" i="1" s="1"/>
  <c r="AS158" i="1" s="1"/>
  <c r="AL158" i="1"/>
  <c r="AG158" i="1"/>
  <c r="AQ157" i="1"/>
  <c r="AL157" i="1"/>
  <c r="AG157" i="1"/>
  <c r="AM157" i="1" s="1"/>
  <c r="AQ156" i="1"/>
  <c r="AR156" i="1" s="1"/>
  <c r="AS156" i="1" s="1"/>
  <c r="AL156" i="1"/>
  <c r="AG156" i="1"/>
  <c r="AH156" i="1" s="1"/>
  <c r="AQ155" i="1"/>
  <c r="AT155" i="1" s="1"/>
  <c r="AU155" i="1" s="1"/>
  <c r="AL155" i="1"/>
  <c r="AG155" i="1"/>
  <c r="AH155" i="1" s="1"/>
  <c r="AQ154" i="1"/>
  <c r="AT154" i="1" s="1"/>
  <c r="AL154" i="1"/>
  <c r="AG154" i="1"/>
  <c r="AQ153" i="1"/>
  <c r="AL153" i="1"/>
  <c r="AG153" i="1"/>
  <c r="AM153" i="1" s="1"/>
  <c r="AQ152" i="1"/>
  <c r="AT152" i="1" s="1"/>
  <c r="AL152" i="1"/>
  <c r="AG152" i="1"/>
  <c r="AM152" i="1" s="1"/>
  <c r="AQ151" i="1"/>
  <c r="AT151" i="1" s="1"/>
  <c r="AL151" i="1"/>
  <c r="AG151" i="1"/>
  <c r="AM151" i="1" s="1"/>
  <c r="AQ150" i="1"/>
  <c r="AR150" i="1" s="1"/>
  <c r="AS150" i="1" s="1"/>
  <c r="AL150" i="1"/>
  <c r="AG150" i="1"/>
  <c r="AM150" i="1" s="1"/>
  <c r="AQ149" i="1"/>
  <c r="AL149" i="1"/>
  <c r="AG149" i="1"/>
  <c r="AH149" i="1" s="1"/>
  <c r="AQ148" i="1"/>
  <c r="AR148" i="1" s="1"/>
  <c r="AS148" i="1" s="1"/>
  <c r="AL148" i="1"/>
  <c r="AG148" i="1"/>
  <c r="AQ147" i="1"/>
  <c r="AT147" i="1" s="1"/>
  <c r="AU147" i="1" s="1"/>
  <c r="AL147" i="1"/>
  <c r="AG147" i="1"/>
  <c r="AH147" i="1" s="1"/>
  <c r="AQ146" i="1"/>
  <c r="AT146" i="1" s="1"/>
  <c r="AL146" i="1"/>
  <c r="AG146" i="1"/>
  <c r="AQ145" i="1"/>
  <c r="AL145" i="1"/>
  <c r="AG145" i="1"/>
  <c r="AM145" i="1" s="1"/>
  <c r="AQ144" i="1"/>
  <c r="AT144" i="1" s="1"/>
  <c r="AL144" i="1"/>
  <c r="AG144" i="1"/>
  <c r="AM144" i="1" s="1"/>
  <c r="AQ143" i="1"/>
  <c r="AL143" i="1"/>
  <c r="AG143" i="1"/>
  <c r="AM143" i="1" s="1"/>
  <c r="AQ142" i="1"/>
  <c r="AR142" i="1" s="1"/>
  <c r="AS142" i="1" s="1"/>
  <c r="AL142" i="1"/>
  <c r="AG142" i="1"/>
  <c r="AH142" i="1" s="1"/>
  <c r="AQ141" i="1"/>
  <c r="AL141" i="1"/>
  <c r="AG141" i="1"/>
  <c r="AM141" i="1" s="1"/>
  <c r="AQ140" i="1"/>
  <c r="AR140" i="1" s="1"/>
  <c r="AS140" i="1" s="1"/>
  <c r="AL140" i="1"/>
  <c r="AG140" i="1"/>
  <c r="AQ139" i="1"/>
  <c r="AT139" i="1" s="1"/>
  <c r="AU139" i="1" s="1"/>
  <c r="AL139" i="1"/>
  <c r="AG139" i="1"/>
  <c r="AQ138" i="1"/>
  <c r="AT138" i="1" s="1"/>
  <c r="AL138" i="1"/>
  <c r="AG138" i="1"/>
  <c r="AQ137" i="1"/>
  <c r="AT137" i="1" s="1"/>
  <c r="AV137" i="1" s="1"/>
  <c r="AL137" i="1"/>
  <c r="AG137" i="1"/>
  <c r="AM137" i="1" s="1"/>
  <c r="AQ136" i="1"/>
  <c r="AL136" i="1"/>
  <c r="AG136" i="1"/>
  <c r="AM136" i="1" s="1"/>
  <c r="AQ135" i="1"/>
  <c r="AT135" i="1" s="1"/>
  <c r="AL135" i="1"/>
  <c r="AG135" i="1"/>
  <c r="AM135" i="1" s="1"/>
  <c r="AQ134" i="1"/>
  <c r="AR134" i="1" s="1"/>
  <c r="AS134" i="1" s="1"/>
  <c r="AL134" i="1"/>
  <c r="AG134" i="1"/>
  <c r="AM134" i="1" s="1"/>
  <c r="AQ133" i="1"/>
  <c r="AL133" i="1"/>
  <c r="AG133" i="1"/>
  <c r="AQ132" i="1"/>
  <c r="AL132" i="1"/>
  <c r="AG132" i="1"/>
  <c r="AM132" i="1" s="1"/>
  <c r="AQ131" i="1"/>
  <c r="AT131" i="1" s="1"/>
  <c r="AU131" i="1" s="1"/>
  <c r="AL131" i="1"/>
  <c r="AG131" i="1"/>
  <c r="AH131" i="1" s="1"/>
  <c r="AQ130" i="1"/>
  <c r="AT130" i="1" s="1"/>
  <c r="AL130" i="1"/>
  <c r="AG130" i="1"/>
  <c r="AQ129" i="1"/>
  <c r="AL129" i="1"/>
  <c r="AG129" i="1"/>
  <c r="AM129" i="1" s="1"/>
  <c r="AQ128" i="1"/>
  <c r="AT128" i="1" s="1"/>
  <c r="AL128" i="1"/>
  <c r="AG128" i="1"/>
  <c r="AM128" i="1" s="1"/>
  <c r="AQ127" i="1"/>
  <c r="AT127" i="1" s="1"/>
  <c r="AV127" i="1" s="1"/>
  <c r="AL127" i="1"/>
  <c r="AG127" i="1"/>
  <c r="AM127" i="1" s="1"/>
  <c r="AQ126" i="1"/>
  <c r="AR126" i="1" s="1"/>
  <c r="AS126" i="1" s="1"/>
  <c r="AL126" i="1"/>
  <c r="AG126" i="1"/>
  <c r="AM126" i="1" s="1"/>
  <c r="AQ125" i="1"/>
  <c r="AL125" i="1"/>
  <c r="AG125" i="1"/>
  <c r="AM125" i="1" s="1"/>
  <c r="AQ124" i="1"/>
  <c r="AR124" i="1" s="1"/>
  <c r="AS124" i="1" s="1"/>
  <c r="AL124" i="1"/>
  <c r="AG124" i="1"/>
  <c r="AM124" i="1" s="1"/>
  <c r="AQ123" i="1"/>
  <c r="AT123" i="1" s="1"/>
  <c r="AL123" i="1"/>
  <c r="AG123" i="1"/>
  <c r="AH123" i="1" s="1"/>
  <c r="AQ122" i="1"/>
  <c r="AT122" i="1" s="1"/>
  <c r="AL122" i="1"/>
  <c r="AG122" i="1"/>
  <c r="AQ121" i="1"/>
  <c r="AT121" i="1" s="1"/>
  <c r="AV121" i="1" s="1"/>
  <c r="AL121" i="1"/>
  <c r="AG121" i="1"/>
  <c r="AM121" i="1" s="1"/>
  <c r="AQ120" i="1"/>
  <c r="AT120" i="1" s="1"/>
  <c r="AL120" i="1"/>
  <c r="AG120" i="1"/>
  <c r="AQ119" i="1"/>
  <c r="AT119" i="1" s="1"/>
  <c r="AL119" i="1"/>
  <c r="AG119" i="1"/>
  <c r="AM119" i="1" s="1"/>
  <c r="AQ118" i="1"/>
  <c r="AR118" i="1" s="1"/>
  <c r="AS118" i="1" s="1"/>
  <c r="AL118" i="1"/>
  <c r="AG118" i="1"/>
  <c r="AQ117" i="1"/>
  <c r="AL117" i="1"/>
  <c r="AG117" i="1"/>
  <c r="AH117" i="1" s="1"/>
  <c r="AQ116" i="1"/>
  <c r="AR116" i="1" s="1"/>
  <c r="AS116" i="1" s="1"/>
  <c r="AL116" i="1"/>
  <c r="AG116" i="1"/>
  <c r="AH116" i="1" s="1"/>
  <c r="AQ115" i="1"/>
  <c r="AT115" i="1" s="1"/>
  <c r="AU115" i="1" s="1"/>
  <c r="AL115" i="1"/>
  <c r="AG115" i="1"/>
  <c r="AQ114" i="1"/>
  <c r="AT114" i="1" s="1"/>
  <c r="AL114" i="1"/>
  <c r="AG114" i="1"/>
  <c r="AQ113" i="1"/>
  <c r="AT113" i="1" s="1"/>
  <c r="AV113" i="1" s="1"/>
  <c r="AL113" i="1"/>
  <c r="AG113" i="1"/>
  <c r="AM113" i="1" s="1"/>
  <c r="AQ112" i="1"/>
  <c r="AT112" i="1" s="1"/>
  <c r="AL112" i="1"/>
  <c r="AG112" i="1"/>
  <c r="AM112" i="1" s="1"/>
  <c r="AQ111" i="1"/>
  <c r="AL111" i="1"/>
  <c r="AG111" i="1"/>
  <c r="AM111" i="1" s="1"/>
  <c r="AQ110" i="1"/>
  <c r="AR110" i="1" s="1"/>
  <c r="AS110" i="1" s="1"/>
  <c r="AL110" i="1"/>
  <c r="AG110" i="1"/>
  <c r="AH110" i="1" s="1"/>
  <c r="AQ109" i="1"/>
  <c r="AL109" i="1"/>
  <c r="AG109" i="1"/>
  <c r="AH109" i="1" s="1"/>
  <c r="AQ108" i="1"/>
  <c r="AR108" i="1" s="1"/>
  <c r="AS108" i="1" s="1"/>
  <c r="AL108" i="1"/>
  <c r="AG108" i="1"/>
  <c r="AM108" i="1" s="1"/>
  <c r="AQ107" i="1"/>
  <c r="AT107" i="1" s="1"/>
  <c r="AU107" i="1" s="1"/>
  <c r="AL107" i="1"/>
  <c r="AG107" i="1"/>
  <c r="AQ106" i="1"/>
  <c r="AL106" i="1"/>
  <c r="AG106" i="1"/>
  <c r="AQ105" i="1"/>
  <c r="AT105" i="1" s="1"/>
  <c r="AV105" i="1" s="1"/>
  <c r="AL105" i="1"/>
  <c r="AG105" i="1"/>
  <c r="AM105" i="1" s="1"/>
  <c r="AQ104" i="1"/>
  <c r="AL104" i="1"/>
  <c r="AG104" i="1"/>
  <c r="AM104" i="1" s="1"/>
  <c r="AQ103" i="1"/>
  <c r="AT103" i="1" s="1"/>
  <c r="AL103" i="1"/>
  <c r="AG103" i="1"/>
  <c r="AM103" i="1" s="1"/>
  <c r="AQ102" i="1"/>
  <c r="AR102" i="1" s="1"/>
  <c r="AS102" i="1" s="1"/>
  <c r="AL102" i="1"/>
  <c r="AG102" i="1"/>
  <c r="AM102" i="1" s="1"/>
  <c r="AQ101" i="1"/>
  <c r="AL101" i="1"/>
  <c r="AG101" i="1"/>
  <c r="AH101" i="1" s="1"/>
  <c r="AQ100" i="1"/>
  <c r="AL100" i="1"/>
  <c r="AG100" i="1"/>
  <c r="AH100" i="1" s="1"/>
  <c r="AQ99" i="1"/>
  <c r="AL99" i="1"/>
  <c r="AG99" i="1"/>
  <c r="AH99" i="1" s="1"/>
  <c r="AQ98" i="1"/>
  <c r="AT98" i="1" s="1"/>
  <c r="AL98" i="1"/>
  <c r="AG98" i="1"/>
  <c r="AQ97" i="1"/>
  <c r="AL97" i="1"/>
  <c r="AG97" i="1"/>
  <c r="AM97" i="1" s="1"/>
  <c r="AQ96" i="1"/>
  <c r="AT96" i="1" s="1"/>
  <c r="AL96" i="1"/>
  <c r="AG96" i="1"/>
  <c r="AM96" i="1" s="1"/>
  <c r="AQ95" i="1"/>
  <c r="AT95" i="1" s="1"/>
  <c r="AL95" i="1"/>
  <c r="AG95" i="1"/>
  <c r="AH95" i="1" s="1"/>
  <c r="AQ94" i="1"/>
  <c r="AL94" i="1"/>
  <c r="AG94" i="1"/>
  <c r="AM94" i="1" s="1"/>
  <c r="AQ93" i="1"/>
  <c r="AR93" i="1" s="1"/>
  <c r="AS93" i="1" s="1"/>
  <c r="AL93" i="1"/>
  <c r="AG93" i="1"/>
  <c r="AH93" i="1" s="1"/>
  <c r="AQ92" i="1"/>
  <c r="AR92" i="1" s="1"/>
  <c r="AS92" i="1" s="1"/>
  <c r="AL92" i="1"/>
  <c r="AG92" i="1"/>
  <c r="AM92" i="1" s="1"/>
  <c r="AQ91" i="1"/>
  <c r="AT91" i="1" s="1"/>
  <c r="AU91" i="1" s="1"/>
  <c r="AL91" i="1"/>
  <c r="AG91" i="1"/>
  <c r="AH91" i="1" s="1"/>
  <c r="AQ90" i="1"/>
  <c r="AR90" i="1" s="1"/>
  <c r="AS90" i="1" s="1"/>
  <c r="AL90" i="1"/>
  <c r="AG90" i="1"/>
  <c r="AQ89" i="1"/>
  <c r="AT89" i="1" s="1"/>
  <c r="AL89" i="1"/>
  <c r="AG89" i="1"/>
  <c r="AQ88" i="1"/>
  <c r="AT88" i="1" s="1"/>
  <c r="AV88" i="1" s="1"/>
  <c r="AL88" i="1"/>
  <c r="AG88" i="1"/>
  <c r="AM88" i="1" s="1"/>
  <c r="AQ87" i="1"/>
  <c r="AT87" i="1" s="1"/>
  <c r="AV87" i="1" s="1"/>
  <c r="AL87" i="1"/>
  <c r="AG87" i="1"/>
  <c r="AH87" i="1" s="1"/>
  <c r="AQ86" i="1"/>
  <c r="AL86" i="1"/>
  <c r="AG86" i="1"/>
  <c r="AM86" i="1" s="1"/>
  <c r="AQ85" i="1"/>
  <c r="AR85" i="1" s="1"/>
  <c r="AS85" i="1" s="1"/>
  <c r="AL85" i="1"/>
  <c r="AG85" i="1"/>
  <c r="AM85" i="1" s="1"/>
  <c r="AQ84" i="1"/>
  <c r="AR84" i="1" s="1"/>
  <c r="AS84" i="1" s="1"/>
  <c r="AL84" i="1"/>
  <c r="AG84" i="1"/>
  <c r="AH84" i="1" s="1"/>
  <c r="AQ83" i="1"/>
  <c r="AL83" i="1"/>
  <c r="AG83" i="1"/>
  <c r="AH83" i="1" s="1"/>
  <c r="AQ82" i="1"/>
  <c r="AT82" i="1" s="1"/>
  <c r="AV82" i="1" s="1"/>
  <c r="AL82" i="1"/>
  <c r="AG82" i="1"/>
  <c r="AQ81" i="1"/>
  <c r="AR81" i="1" s="1"/>
  <c r="AS81" i="1" s="1"/>
  <c r="AL81" i="1"/>
  <c r="AG81" i="1"/>
  <c r="AQ80" i="1"/>
  <c r="AT80" i="1" s="1"/>
  <c r="AV80" i="1" s="1"/>
  <c r="AL80" i="1"/>
  <c r="AG80" i="1"/>
  <c r="AM80" i="1" s="1"/>
  <c r="AQ79" i="1"/>
  <c r="AT79" i="1" s="1"/>
  <c r="AU79" i="1" s="1"/>
  <c r="AL79" i="1"/>
  <c r="AG79" i="1"/>
  <c r="AH79" i="1" s="1"/>
  <c r="AQ78" i="1"/>
  <c r="AT78" i="1" s="1"/>
  <c r="AL78" i="1"/>
  <c r="AG78" i="1"/>
  <c r="AH78" i="1" s="1"/>
  <c r="AQ77" i="1"/>
  <c r="AR77" i="1" s="1"/>
  <c r="AS77" i="1" s="1"/>
  <c r="AL77" i="1"/>
  <c r="AG77" i="1"/>
  <c r="AQ76" i="1"/>
  <c r="AT76" i="1" s="1"/>
  <c r="AL76" i="1"/>
  <c r="AG76" i="1"/>
  <c r="AQ75" i="1"/>
  <c r="AR75" i="1" s="1"/>
  <c r="AS75" i="1" s="1"/>
  <c r="AL75" i="1"/>
  <c r="AG75" i="1"/>
  <c r="AH75" i="1" s="1"/>
  <c r="AQ74" i="1"/>
  <c r="AL74" i="1"/>
  <c r="AG74" i="1"/>
  <c r="AQ73" i="1"/>
  <c r="AT73" i="1" s="1"/>
  <c r="AL73" i="1"/>
  <c r="AG73" i="1"/>
  <c r="AM73" i="1" s="1"/>
  <c r="AQ72" i="1"/>
  <c r="AT72" i="1" s="1"/>
  <c r="AV72" i="1" s="1"/>
  <c r="AL72" i="1"/>
  <c r="AG72" i="1"/>
  <c r="AM72" i="1" s="1"/>
  <c r="AQ71" i="1"/>
  <c r="AT71" i="1" s="1"/>
  <c r="AL71" i="1"/>
  <c r="AG71" i="1"/>
  <c r="AH71" i="1" s="1"/>
  <c r="AQ70" i="1"/>
  <c r="AT70" i="1" s="1"/>
  <c r="AL70" i="1"/>
  <c r="AG70" i="1"/>
  <c r="AM70" i="1" s="1"/>
  <c r="AQ69" i="1"/>
  <c r="AR69" i="1" s="1"/>
  <c r="AS69" i="1" s="1"/>
  <c r="AL69" i="1"/>
  <c r="AG69" i="1"/>
  <c r="AH69" i="1" s="1"/>
  <c r="AQ68" i="1"/>
  <c r="AT68" i="1" s="1"/>
  <c r="AL68" i="1"/>
  <c r="AG68" i="1"/>
  <c r="AH68" i="1" s="1"/>
  <c r="AQ67" i="1"/>
  <c r="AR67" i="1" s="1"/>
  <c r="AS67" i="1" s="1"/>
  <c r="AL67" i="1"/>
  <c r="AG67" i="1"/>
  <c r="AH67" i="1" s="1"/>
  <c r="AQ66" i="1"/>
  <c r="AR66" i="1" s="1"/>
  <c r="AS66" i="1" s="1"/>
  <c r="AL66" i="1"/>
  <c r="AG66" i="1"/>
  <c r="AQ65" i="1"/>
  <c r="AT65" i="1" s="1"/>
  <c r="AL65" i="1"/>
  <c r="AG65" i="1"/>
  <c r="AM65" i="1" s="1"/>
  <c r="AQ64" i="1"/>
  <c r="AL64" i="1"/>
  <c r="AG64" i="1"/>
  <c r="AM64" i="1" s="1"/>
  <c r="AQ63" i="1"/>
  <c r="AT63" i="1" s="1"/>
  <c r="AL63" i="1"/>
  <c r="AG63" i="1"/>
  <c r="AH63" i="1" s="1"/>
  <c r="AQ62" i="1"/>
  <c r="AT62" i="1" s="1"/>
  <c r="AL62" i="1"/>
  <c r="AG62" i="1"/>
  <c r="AH62" i="1" s="1"/>
  <c r="AQ61" i="1"/>
  <c r="AR61" i="1" s="1"/>
  <c r="AS61" i="1" s="1"/>
  <c r="AL61" i="1"/>
  <c r="AG61" i="1"/>
  <c r="AH61" i="1" s="1"/>
  <c r="AQ60" i="1"/>
  <c r="AT60" i="1" s="1"/>
  <c r="AL60" i="1"/>
  <c r="AG60" i="1"/>
  <c r="AH60" i="1" s="1"/>
  <c r="AQ59" i="1"/>
  <c r="AR59" i="1" s="1"/>
  <c r="AS59" i="1" s="1"/>
  <c r="AL59" i="1"/>
  <c r="AG59" i="1"/>
  <c r="AH59" i="1" s="1"/>
  <c r="AQ58" i="1"/>
  <c r="AR58" i="1" s="1"/>
  <c r="AS58" i="1" s="1"/>
  <c r="AL58" i="1"/>
  <c r="AG58" i="1"/>
  <c r="AQ57" i="1"/>
  <c r="AT57" i="1" s="1"/>
  <c r="AL57" i="1"/>
  <c r="AG57" i="1"/>
  <c r="AM57" i="1" s="1"/>
  <c r="AQ56" i="1"/>
  <c r="AR56" i="1" s="1"/>
  <c r="AS56" i="1" s="1"/>
  <c r="AL56" i="1"/>
  <c r="AG56" i="1"/>
  <c r="AM56" i="1" s="1"/>
  <c r="AQ55" i="1"/>
  <c r="AT55" i="1" s="1"/>
  <c r="AL55" i="1"/>
  <c r="AG55" i="1"/>
  <c r="AH55" i="1" s="1"/>
  <c r="AQ54" i="1"/>
  <c r="AT54" i="1" s="1"/>
  <c r="AV54" i="1" s="1"/>
  <c r="AL54" i="1"/>
  <c r="AG54" i="1"/>
  <c r="AM54" i="1" s="1"/>
  <c r="AQ53" i="1"/>
  <c r="AR53" i="1" s="1"/>
  <c r="AS53" i="1" s="1"/>
  <c r="AL53" i="1"/>
  <c r="AG53" i="1"/>
  <c r="AM53" i="1" s="1"/>
  <c r="AQ52" i="1"/>
  <c r="AT52" i="1" s="1"/>
  <c r="AL52" i="1"/>
  <c r="AG52" i="1"/>
  <c r="AM52" i="1" s="1"/>
  <c r="AQ51" i="1"/>
  <c r="AL51" i="1"/>
  <c r="AG51" i="1"/>
  <c r="AM51" i="1" s="1"/>
  <c r="AQ50" i="1"/>
  <c r="AR50" i="1" s="1"/>
  <c r="AS50" i="1" s="1"/>
  <c r="AL50" i="1"/>
  <c r="AG50" i="1"/>
  <c r="AH50" i="1" s="1"/>
  <c r="AQ49" i="1"/>
  <c r="AT49" i="1" s="1"/>
  <c r="AL49" i="1"/>
  <c r="AG49" i="1"/>
  <c r="AM49" i="1" s="1"/>
  <c r="AQ48" i="1"/>
  <c r="AT48" i="1" s="1"/>
  <c r="AU48" i="1" s="1"/>
  <c r="AL48" i="1"/>
  <c r="AG48" i="1"/>
  <c r="AM48" i="1" s="1"/>
  <c r="AQ47" i="1"/>
  <c r="AR47" i="1" s="1"/>
  <c r="AS47" i="1" s="1"/>
  <c r="AL47" i="1"/>
  <c r="AG47" i="1"/>
  <c r="AH47" i="1" s="1"/>
  <c r="AQ46" i="1"/>
  <c r="AT46" i="1" s="1"/>
  <c r="AL46" i="1"/>
  <c r="AG46" i="1"/>
  <c r="AH46" i="1" s="1"/>
  <c r="AQ45" i="1"/>
  <c r="AR45" i="1" s="1"/>
  <c r="AS45" i="1" s="1"/>
  <c r="AL45" i="1"/>
  <c r="AG45" i="1"/>
  <c r="AM45" i="1" s="1"/>
  <c r="AQ44" i="1"/>
  <c r="AT44" i="1" s="1"/>
  <c r="AL44" i="1"/>
  <c r="AG44" i="1"/>
  <c r="AH44" i="1" s="1"/>
  <c r="AQ43" i="1"/>
  <c r="AL43" i="1"/>
  <c r="AG43" i="1"/>
  <c r="AM43" i="1" s="1"/>
  <c r="AQ42" i="1"/>
  <c r="AR42" i="1" s="1"/>
  <c r="AS42" i="1" s="1"/>
  <c r="AL42" i="1"/>
  <c r="AG42" i="1"/>
  <c r="AH42" i="1" s="1"/>
  <c r="AQ41" i="1"/>
  <c r="AR41" i="1" s="1"/>
  <c r="AS41" i="1" s="1"/>
  <c r="AL41" i="1"/>
  <c r="AG41" i="1"/>
  <c r="AM41" i="1" s="1"/>
  <c r="AQ40" i="1"/>
  <c r="AT40" i="1" s="1"/>
  <c r="AV40" i="1" s="1"/>
  <c r="AL40" i="1"/>
  <c r="AG40" i="1"/>
  <c r="AM40" i="1" s="1"/>
  <c r="AQ39" i="1"/>
  <c r="AL39" i="1"/>
  <c r="AG39" i="1"/>
  <c r="AH39" i="1" s="1"/>
  <c r="AQ38" i="1"/>
  <c r="AT38" i="1" s="1"/>
  <c r="AL38" i="1"/>
  <c r="AG38" i="1"/>
  <c r="AH38" i="1" s="1"/>
  <c r="AQ37" i="1"/>
  <c r="AR37" i="1" s="1"/>
  <c r="AS37" i="1" s="1"/>
  <c r="AL37" i="1"/>
  <c r="AG37" i="1"/>
  <c r="AM37" i="1" s="1"/>
  <c r="AQ36" i="1"/>
  <c r="AT36" i="1" s="1"/>
  <c r="AL36" i="1"/>
  <c r="AG36" i="1"/>
  <c r="AQ35" i="1"/>
  <c r="AR35" i="1" s="1"/>
  <c r="AS35" i="1" s="1"/>
  <c r="AL35" i="1"/>
  <c r="AG35" i="1"/>
  <c r="AM35" i="1" s="1"/>
  <c r="AQ34" i="1"/>
  <c r="AR34" i="1" s="1"/>
  <c r="AS34" i="1" s="1"/>
  <c r="AL34" i="1"/>
  <c r="AG34" i="1"/>
  <c r="AH34" i="1" s="1"/>
  <c r="AQ33" i="1"/>
  <c r="AR33" i="1" s="1"/>
  <c r="AS33" i="1" s="1"/>
  <c r="AL33" i="1"/>
  <c r="AG33" i="1"/>
  <c r="AM33" i="1" s="1"/>
  <c r="AQ32" i="1"/>
  <c r="AT32" i="1" s="1"/>
  <c r="AV32" i="1" s="1"/>
  <c r="AL32" i="1"/>
  <c r="AG32" i="1"/>
  <c r="AM32" i="1" s="1"/>
  <c r="AQ31" i="1"/>
  <c r="AT31" i="1" s="1"/>
  <c r="AL31" i="1"/>
  <c r="AG31" i="1"/>
  <c r="AH31" i="1" s="1"/>
  <c r="AQ30" i="1"/>
  <c r="AT30" i="1" s="1"/>
  <c r="AL30" i="1"/>
  <c r="AG30" i="1"/>
  <c r="AM30" i="1" s="1"/>
  <c r="AQ29" i="1"/>
  <c r="AT29" i="1" s="1"/>
  <c r="AL29" i="1"/>
  <c r="AG29" i="1"/>
  <c r="AQ28" i="1"/>
  <c r="AT28" i="1" s="1"/>
  <c r="AL28" i="1"/>
  <c r="AG28" i="1"/>
  <c r="AM28" i="1" s="1"/>
  <c r="AQ27" i="1"/>
  <c r="AR27" i="1" s="1"/>
  <c r="AS27" i="1" s="1"/>
  <c r="AL27" i="1"/>
  <c r="AG27" i="1"/>
  <c r="AH27" i="1" s="1"/>
  <c r="AQ26" i="1"/>
  <c r="AL26" i="1"/>
  <c r="AG26" i="1"/>
  <c r="AH26" i="1" s="1"/>
  <c r="AQ25" i="1"/>
  <c r="AT25" i="1" s="1"/>
  <c r="AL25" i="1"/>
  <c r="AG25" i="1"/>
  <c r="AM25" i="1" s="1"/>
  <c r="AQ24" i="1"/>
  <c r="AR24" i="1" s="1"/>
  <c r="AS24" i="1" s="1"/>
  <c r="AL24" i="1"/>
  <c r="AG24" i="1"/>
  <c r="AM24" i="1" s="1"/>
  <c r="AQ23" i="1"/>
  <c r="AT23" i="1" s="1"/>
  <c r="AL23" i="1"/>
  <c r="AG23" i="1"/>
  <c r="AH23" i="1" s="1"/>
  <c r="AQ22" i="1"/>
  <c r="AT22" i="1" s="1"/>
  <c r="AL22" i="1"/>
  <c r="AG22" i="1"/>
  <c r="AH22" i="1" s="1"/>
  <c r="AQ21" i="1"/>
  <c r="AR21" i="1" s="1"/>
  <c r="AS21" i="1" s="1"/>
  <c r="AL21" i="1"/>
  <c r="AG21" i="1"/>
  <c r="AM21" i="1" s="1"/>
  <c r="AQ20" i="1"/>
  <c r="AT20" i="1" s="1"/>
  <c r="AL20" i="1"/>
  <c r="AG20" i="1"/>
  <c r="AH20" i="1" s="1"/>
  <c r="AQ19" i="1"/>
  <c r="AL19" i="1"/>
  <c r="AG19" i="1"/>
  <c r="AM19" i="1" s="1"/>
  <c r="AQ18" i="1"/>
  <c r="AR18" i="1" s="1"/>
  <c r="AS18" i="1" s="1"/>
  <c r="AL18" i="1"/>
  <c r="AG18" i="1"/>
  <c r="AH18" i="1" s="1"/>
  <c r="AQ17" i="1"/>
  <c r="AT17" i="1" s="1"/>
  <c r="AL17" i="1"/>
  <c r="AG17" i="1"/>
  <c r="AM17" i="1" s="1"/>
  <c r="AQ16" i="1"/>
  <c r="AT16" i="1" s="1"/>
  <c r="AV16" i="1" s="1"/>
  <c r="AL16" i="1"/>
  <c r="AG16" i="1"/>
  <c r="AM16" i="1" s="1"/>
  <c r="AQ15" i="1"/>
  <c r="AL15" i="1"/>
  <c r="AG15" i="1"/>
  <c r="AH15" i="1" s="1"/>
  <c r="AQ14" i="1"/>
  <c r="AT14" i="1" s="1"/>
  <c r="AL14" i="1"/>
  <c r="AG14" i="1"/>
  <c r="AM14" i="1" s="1"/>
  <c r="AQ13" i="1"/>
  <c r="AR13" i="1" s="1"/>
  <c r="AS13" i="1" s="1"/>
  <c r="AL13" i="1"/>
  <c r="AG13" i="1"/>
  <c r="AQ12" i="1"/>
  <c r="AT12" i="1" s="1"/>
  <c r="AL12" i="1"/>
  <c r="AG12" i="1"/>
  <c r="AQ11" i="1"/>
  <c r="AR11" i="1" s="1"/>
  <c r="AS11" i="1" s="1"/>
  <c r="AL11" i="1"/>
  <c r="AG11" i="1"/>
  <c r="AM11" i="1" s="1"/>
  <c r="AQ10" i="1"/>
  <c r="AR10" i="1" s="1"/>
  <c r="AS10" i="1" s="1"/>
  <c r="AL10" i="1"/>
  <c r="AG10" i="1"/>
  <c r="AH10" i="1" s="1"/>
  <c r="AQ9" i="1"/>
  <c r="AT9" i="1" s="1"/>
  <c r="AL9" i="1"/>
  <c r="AG9" i="1"/>
  <c r="AM9" i="1" s="1"/>
  <c r="AQ8" i="1"/>
  <c r="AT8" i="1" s="1"/>
  <c r="AU8" i="1" s="1"/>
  <c r="AL8" i="1"/>
  <c r="AG8" i="1"/>
  <c r="AM8" i="1" s="1"/>
  <c r="AQ7" i="1"/>
  <c r="AT7" i="1" s="1"/>
  <c r="AL7" i="1"/>
  <c r="AG7" i="1"/>
  <c r="AH7" i="1" s="1"/>
  <c r="AQ6" i="1"/>
  <c r="AT6" i="1" s="1"/>
  <c r="AL6" i="1"/>
  <c r="AG6" i="1"/>
  <c r="AH6" i="1" s="1"/>
  <c r="AQ5" i="1"/>
  <c r="AT5" i="1" s="1"/>
  <c r="AL5" i="1"/>
  <c r="AG5" i="1"/>
  <c r="AM5" i="1" s="1"/>
  <c r="AQ4" i="1"/>
  <c r="AR4" i="1" s="1"/>
  <c r="AS4" i="1" s="1"/>
  <c r="AL4" i="1"/>
  <c r="AG4" i="1"/>
  <c r="AM4" i="1" s="1"/>
  <c r="AQ3" i="1"/>
  <c r="AR3" i="1" s="1"/>
  <c r="AS3" i="1" s="1"/>
  <c r="AL3" i="1"/>
  <c r="AG3" i="1"/>
  <c r="CI2" i="1"/>
  <c r="CC2" i="1"/>
  <c r="BT2" i="1"/>
  <c r="BS2" i="1"/>
  <c r="AQ2" i="1"/>
  <c r="AT2" i="1" s="1"/>
  <c r="AV2" i="1" s="1"/>
  <c r="BA2" i="1" s="1"/>
  <c r="AO2" i="1"/>
  <c r="AN2" i="1"/>
  <c r="AL2" i="1"/>
  <c r="AG2" i="1"/>
  <c r="AH2" i="1" s="1"/>
  <c r="H671" i="1"/>
  <c r="H672" i="1"/>
  <c r="H673" i="1"/>
  <c r="H165" i="1"/>
  <c r="H162" i="1"/>
  <c r="H105" i="1"/>
  <c r="H1084" i="1"/>
  <c r="AD1084" i="1" s="1"/>
  <c r="H1082" i="1"/>
  <c r="AD1082" i="1" s="1"/>
  <c r="H1068" i="1"/>
  <c r="H1054" i="1"/>
  <c r="H1017" i="1"/>
  <c r="H1015" i="1"/>
  <c r="H985" i="1"/>
  <c r="H983" i="1"/>
  <c r="H953" i="1"/>
  <c r="H939" i="1"/>
  <c r="H902" i="1"/>
  <c r="H900" i="1"/>
  <c r="H871" i="1"/>
  <c r="H869" i="1"/>
  <c r="H837" i="1"/>
  <c r="H816" i="1"/>
  <c r="H792" i="1"/>
  <c r="H1192" i="1"/>
  <c r="H1115" i="1"/>
  <c r="H1110" i="1"/>
  <c r="H1089" i="1"/>
  <c r="H1088" i="1"/>
  <c r="H670" i="1"/>
  <c r="H655" i="1"/>
  <c r="H654" i="1"/>
  <c r="H2" i="1"/>
  <c r="AD2" i="1" s="1"/>
  <c r="AD984" i="1"/>
  <c r="V3" i="1"/>
  <c r="W3" i="1"/>
  <c r="BW3" i="1" s="1"/>
  <c r="X3" i="1"/>
  <c r="Y3" i="1"/>
  <c r="V4" i="1"/>
  <c r="W4" i="1"/>
  <c r="BW4" i="1" s="1"/>
  <c r="X4" i="1"/>
  <c r="Y4" i="1"/>
  <c r="V5" i="1"/>
  <c r="W5" i="1"/>
  <c r="BW5" i="1" s="1"/>
  <c r="X5" i="1"/>
  <c r="Y5" i="1"/>
  <c r="V6" i="1"/>
  <c r="W6" i="1"/>
  <c r="BW6" i="1" s="1"/>
  <c r="X6" i="1"/>
  <c r="Y6" i="1"/>
  <c r="V7" i="1"/>
  <c r="W7" i="1"/>
  <c r="BW7" i="1" s="1"/>
  <c r="X7" i="1"/>
  <c r="Y7" i="1"/>
  <c r="V8" i="1"/>
  <c r="W8" i="1"/>
  <c r="BW8" i="1" s="1"/>
  <c r="X8" i="1"/>
  <c r="Y8" i="1"/>
  <c r="V9" i="1"/>
  <c r="W9" i="1"/>
  <c r="BW9" i="1" s="1"/>
  <c r="X9" i="1"/>
  <c r="Y9" i="1"/>
  <c r="V10" i="1"/>
  <c r="W10" i="1"/>
  <c r="BW10" i="1" s="1"/>
  <c r="X10" i="1"/>
  <c r="Y10" i="1"/>
  <c r="V11" i="1"/>
  <c r="W11" i="1"/>
  <c r="BW11" i="1" s="1"/>
  <c r="X11" i="1"/>
  <c r="Y11" i="1"/>
  <c r="V12" i="1"/>
  <c r="W12" i="1"/>
  <c r="BW12" i="1" s="1"/>
  <c r="X12" i="1"/>
  <c r="Y12" i="1"/>
  <c r="V13" i="1"/>
  <c r="W13" i="1"/>
  <c r="BW13" i="1" s="1"/>
  <c r="X13" i="1"/>
  <c r="Y13" i="1"/>
  <c r="V14" i="1"/>
  <c r="W14" i="1"/>
  <c r="BW14" i="1" s="1"/>
  <c r="X14" i="1"/>
  <c r="Y14" i="1"/>
  <c r="V15" i="1"/>
  <c r="W15" i="1"/>
  <c r="BW15" i="1" s="1"/>
  <c r="X15" i="1"/>
  <c r="Y15" i="1"/>
  <c r="V16" i="1"/>
  <c r="W16" i="1"/>
  <c r="BW16" i="1" s="1"/>
  <c r="X16" i="1"/>
  <c r="Y16" i="1"/>
  <c r="V17" i="1"/>
  <c r="W17" i="1"/>
  <c r="BW17" i="1" s="1"/>
  <c r="X17" i="1"/>
  <c r="Y17" i="1"/>
  <c r="V18" i="1"/>
  <c r="W18" i="1"/>
  <c r="BW18" i="1" s="1"/>
  <c r="X18" i="1"/>
  <c r="Y18" i="1"/>
  <c r="V19" i="1"/>
  <c r="W19" i="1"/>
  <c r="BW19" i="1" s="1"/>
  <c r="X19" i="1"/>
  <c r="Y19" i="1"/>
  <c r="V20" i="1"/>
  <c r="W20" i="1"/>
  <c r="BW20" i="1" s="1"/>
  <c r="X20" i="1"/>
  <c r="Y20" i="1"/>
  <c r="V21" i="1"/>
  <c r="W21" i="1"/>
  <c r="BW21" i="1" s="1"/>
  <c r="X21" i="1"/>
  <c r="Y21" i="1"/>
  <c r="V22" i="1"/>
  <c r="W22" i="1"/>
  <c r="BW22" i="1" s="1"/>
  <c r="X22" i="1"/>
  <c r="Y22" i="1"/>
  <c r="V23" i="1"/>
  <c r="W23" i="1"/>
  <c r="BW23" i="1" s="1"/>
  <c r="X23" i="1"/>
  <c r="Y23" i="1"/>
  <c r="V24" i="1"/>
  <c r="W24" i="1"/>
  <c r="BW24" i="1" s="1"/>
  <c r="X24" i="1"/>
  <c r="Y24" i="1"/>
  <c r="V25" i="1"/>
  <c r="W25" i="1"/>
  <c r="BW25" i="1" s="1"/>
  <c r="X25" i="1"/>
  <c r="Y25" i="1"/>
  <c r="V26" i="1"/>
  <c r="W26" i="1"/>
  <c r="BW26" i="1" s="1"/>
  <c r="X26" i="1"/>
  <c r="Y26" i="1"/>
  <c r="V27" i="1"/>
  <c r="W27" i="1"/>
  <c r="BW27" i="1" s="1"/>
  <c r="X27" i="1"/>
  <c r="Y27" i="1"/>
  <c r="V28" i="1"/>
  <c r="W28" i="1"/>
  <c r="BW28" i="1" s="1"/>
  <c r="X28" i="1"/>
  <c r="Y28" i="1"/>
  <c r="V29" i="1"/>
  <c r="W29" i="1"/>
  <c r="BW29" i="1" s="1"/>
  <c r="X29" i="1"/>
  <c r="Y29" i="1"/>
  <c r="V30" i="1"/>
  <c r="W30" i="1"/>
  <c r="BW30" i="1" s="1"/>
  <c r="X30" i="1"/>
  <c r="Y30" i="1"/>
  <c r="V31" i="1"/>
  <c r="W31" i="1"/>
  <c r="BW31" i="1" s="1"/>
  <c r="X31" i="1"/>
  <c r="Y31" i="1"/>
  <c r="V32" i="1"/>
  <c r="W32" i="1"/>
  <c r="BW32" i="1" s="1"/>
  <c r="X32" i="1"/>
  <c r="Y32" i="1"/>
  <c r="V33" i="1"/>
  <c r="W33" i="1"/>
  <c r="BW33" i="1" s="1"/>
  <c r="X33" i="1"/>
  <c r="Y33" i="1"/>
  <c r="V34" i="1"/>
  <c r="W34" i="1"/>
  <c r="BW34" i="1" s="1"/>
  <c r="X34" i="1"/>
  <c r="Y34" i="1"/>
  <c r="V35" i="1"/>
  <c r="W35" i="1"/>
  <c r="BW35" i="1" s="1"/>
  <c r="X35" i="1"/>
  <c r="Y35" i="1"/>
  <c r="V36" i="1"/>
  <c r="W36" i="1"/>
  <c r="BW36" i="1" s="1"/>
  <c r="X36" i="1"/>
  <c r="Y36" i="1"/>
  <c r="V37" i="1"/>
  <c r="W37" i="1"/>
  <c r="BW37" i="1" s="1"/>
  <c r="X37" i="1"/>
  <c r="Y37" i="1"/>
  <c r="V38" i="1"/>
  <c r="W38" i="1"/>
  <c r="BW38" i="1" s="1"/>
  <c r="X38" i="1"/>
  <c r="Y38" i="1"/>
  <c r="V39" i="1"/>
  <c r="W39" i="1"/>
  <c r="BW39" i="1" s="1"/>
  <c r="X39" i="1"/>
  <c r="Y39" i="1"/>
  <c r="V40" i="1"/>
  <c r="W40" i="1"/>
  <c r="BW40" i="1" s="1"/>
  <c r="X40" i="1"/>
  <c r="Y40" i="1"/>
  <c r="V41" i="1"/>
  <c r="W41" i="1"/>
  <c r="BW41" i="1" s="1"/>
  <c r="X41" i="1"/>
  <c r="Y41" i="1"/>
  <c r="V42" i="1"/>
  <c r="W42" i="1"/>
  <c r="BW42" i="1" s="1"/>
  <c r="X42" i="1"/>
  <c r="Y42" i="1"/>
  <c r="V43" i="1"/>
  <c r="W43" i="1"/>
  <c r="BW43" i="1" s="1"/>
  <c r="X43" i="1"/>
  <c r="Y43" i="1"/>
  <c r="V44" i="1"/>
  <c r="W44" i="1"/>
  <c r="BW44" i="1" s="1"/>
  <c r="X44" i="1"/>
  <c r="Y44" i="1"/>
  <c r="V45" i="1"/>
  <c r="W45" i="1"/>
  <c r="BW45" i="1" s="1"/>
  <c r="X45" i="1"/>
  <c r="Y45" i="1"/>
  <c r="V46" i="1"/>
  <c r="W46" i="1"/>
  <c r="BW46" i="1" s="1"/>
  <c r="X46" i="1"/>
  <c r="Y46" i="1"/>
  <c r="V47" i="1"/>
  <c r="W47" i="1"/>
  <c r="BW47" i="1" s="1"/>
  <c r="X47" i="1"/>
  <c r="Y47" i="1"/>
  <c r="V48" i="1"/>
  <c r="W48" i="1"/>
  <c r="BW48" i="1" s="1"/>
  <c r="X48" i="1"/>
  <c r="Y48" i="1"/>
  <c r="V49" i="1"/>
  <c r="W49" i="1"/>
  <c r="BW49" i="1" s="1"/>
  <c r="X49" i="1"/>
  <c r="Y49" i="1"/>
  <c r="V50" i="1"/>
  <c r="W50" i="1"/>
  <c r="BW50" i="1" s="1"/>
  <c r="X50" i="1"/>
  <c r="Y50" i="1"/>
  <c r="V51" i="1"/>
  <c r="W51" i="1"/>
  <c r="BW51" i="1" s="1"/>
  <c r="X51" i="1"/>
  <c r="Y51" i="1"/>
  <c r="V52" i="1"/>
  <c r="W52" i="1"/>
  <c r="BW52" i="1" s="1"/>
  <c r="X52" i="1"/>
  <c r="Y52" i="1"/>
  <c r="V53" i="1"/>
  <c r="W53" i="1"/>
  <c r="BW53" i="1" s="1"/>
  <c r="X53" i="1"/>
  <c r="Y53" i="1"/>
  <c r="V54" i="1"/>
  <c r="CM54" i="1" s="1"/>
  <c r="CN54" i="1" s="1"/>
  <c r="CO54" i="1" s="1"/>
  <c r="CP54" i="1" s="1"/>
  <c r="CQ54" i="1" s="1"/>
  <c r="W54" i="1"/>
  <c r="BW54" i="1" s="1"/>
  <c r="X54" i="1"/>
  <c r="Y54" i="1"/>
  <c r="V55" i="1"/>
  <c r="W55" i="1"/>
  <c r="BW55" i="1" s="1"/>
  <c r="X55" i="1"/>
  <c r="Y55" i="1"/>
  <c r="V56" i="1"/>
  <c r="W56" i="1"/>
  <c r="BW56" i="1" s="1"/>
  <c r="X56" i="1"/>
  <c r="Y56" i="1"/>
  <c r="V57" i="1"/>
  <c r="W57" i="1"/>
  <c r="BW57" i="1" s="1"/>
  <c r="X57" i="1"/>
  <c r="Y57" i="1"/>
  <c r="V58" i="1"/>
  <c r="W58" i="1"/>
  <c r="BW58" i="1" s="1"/>
  <c r="X58" i="1"/>
  <c r="Y58" i="1"/>
  <c r="V59" i="1"/>
  <c r="W59" i="1"/>
  <c r="BW59" i="1" s="1"/>
  <c r="X59" i="1"/>
  <c r="Y59" i="1"/>
  <c r="V60" i="1"/>
  <c r="W60" i="1"/>
  <c r="BW60" i="1" s="1"/>
  <c r="X60" i="1"/>
  <c r="Y60" i="1"/>
  <c r="V61" i="1"/>
  <c r="W61" i="1"/>
  <c r="BW61" i="1" s="1"/>
  <c r="X61" i="1"/>
  <c r="Y61" i="1"/>
  <c r="V62" i="1"/>
  <c r="W62" i="1"/>
  <c r="BW62" i="1" s="1"/>
  <c r="X62" i="1"/>
  <c r="Y62" i="1"/>
  <c r="V63" i="1"/>
  <c r="W63" i="1"/>
  <c r="BW63" i="1" s="1"/>
  <c r="X63" i="1"/>
  <c r="Y63" i="1"/>
  <c r="V64" i="1"/>
  <c r="W64" i="1"/>
  <c r="BW64" i="1" s="1"/>
  <c r="X64" i="1"/>
  <c r="Y64" i="1"/>
  <c r="V65" i="1"/>
  <c r="W65" i="1"/>
  <c r="BW65" i="1" s="1"/>
  <c r="X65" i="1"/>
  <c r="Y65" i="1"/>
  <c r="V66" i="1"/>
  <c r="W66" i="1"/>
  <c r="BW66" i="1" s="1"/>
  <c r="X66" i="1"/>
  <c r="Y66" i="1"/>
  <c r="V67" i="1"/>
  <c r="W67" i="1"/>
  <c r="BW67" i="1" s="1"/>
  <c r="X67" i="1"/>
  <c r="Y67" i="1"/>
  <c r="V68" i="1"/>
  <c r="W68" i="1"/>
  <c r="BW68" i="1" s="1"/>
  <c r="X68" i="1"/>
  <c r="Y68" i="1"/>
  <c r="V69" i="1"/>
  <c r="W69" i="1"/>
  <c r="BW69" i="1" s="1"/>
  <c r="X69" i="1"/>
  <c r="Y69" i="1"/>
  <c r="V70" i="1"/>
  <c r="W70" i="1"/>
  <c r="BW70" i="1" s="1"/>
  <c r="X70" i="1"/>
  <c r="Y70" i="1"/>
  <c r="V71" i="1"/>
  <c r="W71" i="1"/>
  <c r="BW71" i="1" s="1"/>
  <c r="X71" i="1"/>
  <c r="Y71" i="1"/>
  <c r="V72" i="1"/>
  <c r="W72" i="1"/>
  <c r="BW72" i="1" s="1"/>
  <c r="X72" i="1"/>
  <c r="Y72" i="1"/>
  <c r="V73" i="1"/>
  <c r="W73" i="1"/>
  <c r="BW73" i="1" s="1"/>
  <c r="X73" i="1"/>
  <c r="Y73" i="1"/>
  <c r="V74" i="1"/>
  <c r="W74" i="1"/>
  <c r="BW74" i="1" s="1"/>
  <c r="X74" i="1"/>
  <c r="Y74" i="1"/>
  <c r="V75" i="1"/>
  <c r="W75" i="1"/>
  <c r="BW75" i="1" s="1"/>
  <c r="X75" i="1"/>
  <c r="Y75" i="1"/>
  <c r="V76" i="1"/>
  <c r="W76" i="1"/>
  <c r="BW76" i="1" s="1"/>
  <c r="X76" i="1"/>
  <c r="Y76" i="1"/>
  <c r="V77" i="1"/>
  <c r="W77" i="1"/>
  <c r="BW77" i="1" s="1"/>
  <c r="X77" i="1"/>
  <c r="Y77" i="1"/>
  <c r="V78" i="1"/>
  <c r="W78" i="1"/>
  <c r="BW78" i="1" s="1"/>
  <c r="X78" i="1"/>
  <c r="Y78" i="1"/>
  <c r="V79" i="1"/>
  <c r="W79" i="1"/>
  <c r="BW79" i="1" s="1"/>
  <c r="X79" i="1"/>
  <c r="Y79" i="1"/>
  <c r="V80" i="1"/>
  <c r="W80" i="1"/>
  <c r="BW80" i="1" s="1"/>
  <c r="X80" i="1"/>
  <c r="Y80" i="1"/>
  <c r="V81" i="1"/>
  <c r="W81" i="1"/>
  <c r="BW81" i="1" s="1"/>
  <c r="X81" i="1"/>
  <c r="Y81" i="1"/>
  <c r="V82" i="1"/>
  <c r="W82" i="1"/>
  <c r="BW82" i="1" s="1"/>
  <c r="X82" i="1"/>
  <c r="Y82" i="1"/>
  <c r="V83" i="1"/>
  <c r="W83" i="1"/>
  <c r="BW83" i="1" s="1"/>
  <c r="X83" i="1"/>
  <c r="Y83" i="1"/>
  <c r="V84" i="1"/>
  <c r="W84" i="1"/>
  <c r="BW84" i="1" s="1"/>
  <c r="X84" i="1"/>
  <c r="Y84" i="1"/>
  <c r="V85" i="1"/>
  <c r="W85" i="1"/>
  <c r="BW85" i="1" s="1"/>
  <c r="X85" i="1"/>
  <c r="Y85" i="1"/>
  <c r="V86" i="1"/>
  <c r="CM86" i="1" s="1"/>
  <c r="CN86" i="1" s="1"/>
  <c r="CO86" i="1" s="1"/>
  <c r="CP86" i="1" s="1"/>
  <c r="CQ86" i="1" s="1"/>
  <c r="W86" i="1"/>
  <c r="BW86" i="1" s="1"/>
  <c r="X86" i="1"/>
  <c r="Y86" i="1"/>
  <c r="V87" i="1"/>
  <c r="W87" i="1"/>
  <c r="BW87" i="1" s="1"/>
  <c r="X87" i="1"/>
  <c r="Y87" i="1"/>
  <c r="V88" i="1"/>
  <c r="W88" i="1"/>
  <c r="BW88" i="1" s="1"/>
  <c r="X88" i="1"/>
  <c r="Y88" i="1"/>
  <c r="V89" i="1"/>
  <c r="W89" i="1"/>
  <c r="BW89" i="1" s="1"/>
  <c r="X89" i="1"/>
  <c r="Y89" i="1"/>
  <c r="V90" i="1"/>
  <c r="W90" i="1"/>
  <c r="BW90" i="1" s="1"/>
  <c r="X90" i="1"/>
  <c r="Y90" i="1"/>
  <c r="V91" i="1"/>
  <c r="W91" i="1"/>
  <c r="BW91" i="1" s="1"/>
  <c r="X91" i="1"/>
  <c r="Y91" i="1"/>
  <c r="V92" i="1"/>
  <c r="W92" i="1"/>
  <c r="BW92" i="1" s="1"/>
  <c r="X92" i="1"/>
  <c r="Y92" i="1"/>
  <c r="V93" i="1"/>
  <c r="W93" i="1"/>
  <c r="BW93" i="1" s="1"/>
  <c r="X93" i="1"/>
  <c r="Y93" i="1"/>
  <c r="V94" i="1"/>
  <c r="W94" i="1"/>
  <c r="BW94" i="1" s="1"/>
  <c r="X94" i="1"/>
  <c r="Y94" i="1"/>
  <c r="V95" i="1"/>
  <c r="W95" i="1"/>
  <c r="BW95" i="1" s="1"/>
  <c r="X95" i="1"/>
  <c r="Y95" i="1"/>
  <c r="V96" i="1"/>
  <c r="CM96" i="1" s="1"/>
  <c r="CN96" i="1" s="1"/>
  <c r="CO96" i="1" s="1"/>
  <c r="CP96" i="1" s="1"/>
  <c r="CQ96" i="1" s="1"/>
  <c r="W96" i="1"/>
  <c r="BW96" i="1" s="1"/>
  <c r="X96" i="1"/>
  <c r="Y96" i="1"/>
  <c r="V97" i="1"/>
  <c r="W97" i="1"/>
  <c r="BW97" i="1" s="1"/>
  <c r="X97" i="1"/>
  <c r="Y97" i="1"/>
  <c r="V98" i="1"/>
  <c r="W98" i="1"/>
  <c r="BW98" i="1" s="1"/>
  <c r="X98" i="1"/>
  <c r="Y98" i="1"/>
  <c r="V99" i="1"/>
  <c r="W99" i="1"/>
  <c r="BW99" i="1" s="1"/>
  <c r="X99" i="1"/>
  <c r="Y99" i="1"/>
  <c r="V100" i="1"/>
  <c r="W100" i="1"/>
  <c r="BW100" i="1" s="1"/>
  <c r="X100" i="1"/>
  <c r="Y100" i="1"/>
  <c r="V101" i="1"/>
  <c r="W101" i="1"/>
  <c r="BW101" i="1" s="1"/>
  <c r="X101" i="1"/>
  <c r="Y101" i="1"/>
  <c r="V102" i="1"/>
  <c r="W102" i="1"/>
  <c r="BW102" i="1" s="1"/>
  <c r="X102" i="1"/>
  <c r="Y102" i="1"/>
  <c r="V103" i="1"/>
  <c r="W103" i="1"/>
  <c r="BW103" i="1" s="1"/>
  <c r="X103" i="1"/>
  <c r="Y103" i="1"/>
  <c r="V104" i="1"/>
  <c r="W104" i="1"/>
  <c r="BW104" i="1" s="1"/>
  <c r="X104" i="1"/>
  <c r="Y104" i="1"/>
  <c r="V105" i="1"/>
  <c r="W105" i="1"/>
  <c r="BW105" i="1" s="1"/>
  <c r="X105" i="1"/>
  <c r="Y105" i="1"/>
  <c r="V106" i="1"/>
  <c r="W106" i="1"/>
  <c r="BW106" i="1" s="1"/>
  <c r="X106" i="1"/>
  <c r="Y106" i="1"/>
  <c r="V107" i="1"/>
  <c r="W107" i="1"/>
  <c r="BW107" i="1" s="1"/>
  <c r="X107" i="1"/>
  <c r="Y107" i="1"/>
  <c r="V108" i="1"/>
  <c r="W108" i="1"/>
  <c r="BW108" i="1" s="1"/>
  <c r="X108" i="1"/>
  <c r="Y108" i="1"/>
  <c r="V109" i="1"/>
  <c r="W109" i="1"/>
  <c r="BW109" i="1" s="1"/>
  <c r="X109" i="1"/>
  <c r="Y109" i="1"/>
  <c r="V110" i="1"/>
  <c r="W110" i="1"/>
  <c r="BW110" i="1" s="1"/>
  <c r="X110" i="1"/>
  <c r="Y110" i="1"/>
  <c r="V111" i="1"/>
  <c r="W111" i="1"/>
  <c r="BW111" i="1" s="1"/>
  <c r="X111" i="1"/>
  <c r="Y111" i="1"/>
  <c r="V112" i="1"/>
  <c r="W112" i="1"/>
  <c r="BW112" i="1" s="1"/>
  <c r="X112" i="1"/>
  <c r="Y112" i="1"/>
  <c r="V113" i="1"/>
  <c r="W113" i="1"/>
  <c r="BW113" i="1" s="1"/>
  <c r="X113" i="1"/>
  <c r="Y113" i="1"/>
  <c r="V114" i="1"/>
  <c r="W114" i="1"/>
  <c r="BW114" i="1" s="1"/>
  <c r="X114" i="1"/>
  <c r="Y114" i="1"/>
  <c r="V115" i="1"/>
  <c r="W115" i="1"/>
  <c r="BW115" i="1" s="1"/>
  <c r="X115" i="1"/>
  <c r="Y115" i="1"/>
  <c r="V116" i="1"/>
  <c r="W116" i="1"/>
  <c r="BW116" i="1" s="1"/>
  <c r="X116" i="1"/>
  <c r="Y116" i="1"/>
  <c r="V117" i="1"/>
  <c r="W117" i="1"/>
  <c r="BW117" i="1" s="1"/>
  <c r="X117" i="1"/>
  <c r="Y117" i="1"/>
  <c r="V118" i="1"/>
  <c r="W118" i="1"/>
  <c r="BW118" i="1" s="1"/>
  <c r="X118" i="1"/>
  <c r="Y118" i="1"/>
  <c r="V119" i="1"/>
  <c r="W119" i="1"/>
  <c r="BW119" i="1" s="1"/>
  <c r="X119" i="1"/>
  <c r="Y119" i="1"/>
  <c r="V120" i="1"/>
  <c r="W120" i="1"/>
  <c r="BW120" i="1" s="1"/>
  <c r="X120" i="1"/>
  <c r="Y120" i="1"/>
  <c r="V121" i="1"/>
  <c r="W121" i="1"/>
  <c r="BW121" i="1" s="1"/>
  <c r="X121" i="1"/>
  <c r="Y121" i="1"/>
  <c r="V122" i="1"/>
  <c r="CM122" i="1" s="1"/>
  <c r="CN122" i="1" s="1"/>
  <c r="CO122" i="1" s="1"/>
  <c r="CP122" i="1" s="1"/>
  <c r="CQ122" i="1" s="1"/>
  <c r="W122" i="1"/>
  <c r="BW122" i="1" s="1"/>
  <c r="X122" i="1"/>
  <c r="Y122" i="1"/>
  <c r="V123" i="1"/>
  <c r="W123" i="1"/>
  <c r="BW123" i="1" s="1"/>
  <c r="X123" i="1"/>
  <c r="Y123" i="1"/>
  <c r="V124" i="1"/>
  <c r="W124" i="1"/>
  <c r="BW124" i="1" s="1"/>
  <c r="X124" i="1"/>
  <c r="Y124" i="1"/>
  <c r="V125" i="1"/>
  <c r="W125" i="1"/>
  <c r="BW125" i="1" s="1"/>
  <c r="X125" i="1"/>
  <c r="Y125" i="1"/>
  <c r="V126" i="1"/>
  <c r="W126" i="1"/>
  <c r="BW126" i="1" s="1"/>
  <c r="X126" i="1"/>
  <c r="Y126" i="1"/>
  <c r="V127" i="1"/>
  <c r="W127" i="1"/>
  <c r="BW127" i="1" s="1"/>
  <c r="X127" i="1"/>
  <c r="Y127" i="1"/>
  <c r="V128" i="1"/>
  <c r="W128" i="1"/>
  <c r="BW128" i="1" s="1"/>
  <c r="X128" i="1"/>
  <c r="Y128" i="1"/>
  <c r="V129" i="1"/>
  <c r="W129" i="1"/>
  <c r="BW129" i="1" s="1"/>
  <c r="X129" i="1"/>
  <c r="Y129" i="1"/>
  <c r="V130" i="1"/>
  <c r="W130" i="1"/>
  <c r="BW130" i="1" s="1"/>
  <c r="X130" i="1"/>
  <c r="Y130" i="1"/>
  <c r="V131" i="1"/>
  <c r="W131" i="1"/>
  <c r="BW131" i="1" s="1"/>
  <c r="X131" i="1"/>
  <c r="Y131" i="1"/>
  <c r="V132" i="1"/>
  <c r="W132" i="1"/>
  <c r="BW132" i="1" s="1"/>
  <c r="X132" i="1"/>
  <c r="Y132" i="1"/>
  <c r="V133" i="1"/>
  <c r="W133" i="1"/>
  <c r="BW133" i="1" s="1"/>
  <c r="X133" i="1"/>
  <c r="Y133" i="1"/>
  <c r="V134" i="1"/>
  <c r="W134" i="1"/>
  <c r="BW134" i="1" s="1"/>
  <c r="X134" i="1"/>
  <c r="Y134" i="1"/>
  <c r="V135" i="1"/>
  <c r="W135" i="1"/>
  <c r="BW135" i="1" s="1"/>
  <c r="X135" i="1"/>
  <c r="Y135" i="1"/>
  <c r="V136" i="1"/>
  <c r="W136" i="1"/>
  <c r="BW136" i="1" s="1"/>
  <c r="X136" i="1"/>
  <c r="Y136" i="1"/>
  <c r="V137" i="1"/>
  <c r="W137" i="1"/>
  <c r="BW137" i="1" s="1"/>
  <c r="X137" i="1"/>
  <c r="Y137" i="1"/>
  <c r="V138" i="1"/>
  <c r="W138" i="1"/>
  <c r="BW138" i="1" s="1"/>
  <c r="X138" i="1"/>
  <c r="Y138" i="1"/>
  <c r="V139" i="1"/>
  <c r="W139" i="1"/>
  <c r="BW139" i="1" s="1"/>
  <c r="X139" i="1"/>
  <c r="Y139" i="1"/>
  <c r="V140" i="1"/>
  <c r="W140" i="1"/>
  <c r="BW140" i="1" s="1"/>
  <c r="X140" i="1"/>
  <c r="Y140" i="1"/>
  <c r="V141" i="1"/>
  <c r="W141" i="1"/>
  <c r="BW141" i="1" s="1"/>
  <c r="X141" i="1"/>
  <c r="Y141" i="1"/>
  <c r="V142" i="1"/>
  <c r="CM142" i="1" s="1"/>
  <c r="CN142" i="1" s="1"/>
  <c r="CO142" i="1" s="1"/>
  <c r="CP142" i="1" s="1"/>
  <c r="CQ142" i="1" s="1"/>
  <c r="W142" i="1"/>
  <c r="BW142" i="1" s="1"/>
  <c r="X142" i="1"/>
  <c r="Y142" i="1"/>
  <c r="V143" i="1"/>
  <c r="W143" i="1"/>
  <c r="BW143" i="1" s="1"/>
  <c r="X143" i="1"/>
  <c r="Y143" i="1"/>
  <c r="V144" i="1"/>
  <c r="W144" i="1"/>
  <c r="BW144" i="1" s="1"/>
  <c r="X144" i="1"/>
  <c r="Y144" i="1"/>
  <c r="V145" i="1"/>
  <c r="W145" i="1"/>
  <c r="BW145" i="1" s="1"/>
  <c r="X145" i="1"/>
  <c r="Y145" i="1"/>
  <c r="V146" i="1"/>
  <c r="W146" i="1"/>
  <c r="BW146" i="1" s="1"/>
  <c r="X146" i="1"/>
  <c r="Y146" i="1"/>
  <c r="V147" i="1"/>
  <c r="W147" i="1"/>
  <c r="BW147" i="1" s="1"/>
  <c r="X147" i="1"/>
  <c r="Y147" i="1"/>
  <c r="V148" i="1"/>
  <c r="W148" i="1"/>
  <c r="BW148" i="1" s="1"/>
  <c r="X148" i="1"/>
  <c r="Y148" i="1"/>
  <c r="V149" i="1"/>
  <c r="W149" i="1"/>
  <c r="BW149" i="1" s="1"/>
  <c r="X149" i="1"/>
  <c r="Y149" i="1"/>
  <c r="V150" i="1"/>
  <c r="W150" i="1"/>
  <c r="BW150" i="1" s="1"/>
  <c r="X150" i="1"/>
  <c r="Y150" i="1"/>
  <c r="V151" i="1"/>
  <c r="W151" i="1"/>
  <c r="BW151" i="1" s="1"/>
  <c r="X151" i="1"/>
  <c r="Y151" i="1"/>
  <c r="V152" i="1"/>
  <c r="W152" i="1"/>
  <c r="BW152" i="1" s="1"/>
  <c r="X152" i="1"/>
  <c r="Y152" i="1"/>
  <c r="V153" i="1"/>
  <c r="W153" i="1"/>
  <c r="BW153" i="1" s="1"/>
  <c r="X153" i="1"/>
  <c r="Y153" i="1"/>
  <c r="V154" i="1"/>
  <c r="W154" i="1"/>
  <c r="BW154" i="1" s="1"/>
  <c r="X154" i="1"/>
  <c r="Y154" i="1"/>
  <c r="V155" i="1"/>
  <c r="W155" i="1"/>
  <c r="BW155" i="1" s="1"/>
  <c r="X155" i="1"/>
  <c r="Y155" i="1"/>
  <c r="V156" i="1"/>
  <c r="W156" i="1"/>
  <c r="BW156" i="1" s="1"/>
  <c r="X156" i="1"/>
  <c r="Y156" i="1"/>
  <c r="V157" i="1"/>
  <c r="W157" i="1"/>
  <c r="BW157" i="1" s="1"/>
  <c r="X157" i="1"/>
  <c r="Y157" i="1"/>
  <c r="V158" i="1"/>
  <c r="W158" i="1"/>
  <c r="BW158" i="1" s="1"/>
  <c r="X158" i="1"/>
  <c r="Y158" i="1"/>
  <c r="V159" i="1"/>
  <c r="W159" i="1"/>
  <c r="BW159" i="1" s="1"/>
  <c r="X159" i="1"/>
  <c r="Y159" i="1"/>
  <c r="V160" i="1"/>
  <c r="W160" i="1"/>
  <c r="BW160" i="1" s="1"/>
  <c r="X160" i="1"/>
  <c r="Y160" i="1"/>
  <c r="V161" i="1"/>
  <c r="W161" i="1"/>
  <c r="BW161" i="1" s="1"/>
  <c r="X161" i="1"/>
  <c r="Y161" i="1"/>
  <c r="V162" i="1"/>
  <c r="W162" i="1"/>
  <c r="BW162" i="1" s="1"/>
  <c r="X162" i="1"/>
  <c r="Y162" i="1"/>
  <c r="V163" i="1"/>
  <c r="W163" i="1"/>
  <c r="BW163" i="1" s="1"/>
  <c r="X163" i="1"/>
  <c r="Y163" i="1"/>
  <c r="V164" i="1"/>
  <c r="W164" i="1"/>
  <c r="BW164" i="1" s="1"/>
  <c r="X164" i="1"/>
  <c r="Y164" i="1"/>
  <c r="V165" i="1"/>
  <c r="W165" i="1"/>
  <c r="BW165" i="1" s="1"/>
  <c r="X165" i="1"/>
  <c r="Y165" i="1"/>
  <c r="V166" i="1"/>
  <c r="W166" i="1"/>
  <c r="BW166" i="1" s="1"/>
  <c r="X166" i="1"/>
  <c r="Y166" i="1"/>
  <c r="V167" i="1"/>
  <c r="W167" i="1"/>
  <c r="BW167" i="1" s="1"/>
  <c r="X167" i="1"/>
  <c r="Y167" i="1"/>
  <c r="V168" i="1"/>
  <c r="W168" i="1"/>
  <c r="BW168" i="1" s="1"/>
  <c r="X168" i="1"/>
  <c r="Y168" i="1"/>
  <c r="V169" i="1"/>
  <c r="W169" i="1"/>
  <c r="BW169" i="1" s="1"/>
  <c r="X169" i="1"/>
  <c r="Y169" i="1"/>
  <c r="V170" i="1"/>
  <c r="W170" i="1"/>
  <c r="BW170" i="1" s="1"/>
  <c r="X170" i="1"/>
  <c r="Y170" i="1"/>
  <c r="V171" i="1"/>
  <c r="W171" i="1"/>
  <c r="BW171" i="1" s="1"/>
  <c r="X171" i="1"/>
  <c r="Y171" i="1"/>
  <c r="V172" i="1"/>
  <c r="CM172" i="1" s="1"/>
  <c r="CN172" i="1" s="1"/>
  <c r="CO172" i="1" s="1"/>
  <c r="CP172" i="1" s="1"/>
  <c r="CQ172" i="1" s="1"/>
  <c r="W172" i="1"/>
  <c r="BW172" i="1" s="1"/>
  <c r="X172" i="1"/>
  <c r="Y172" i="1"/>
  <c r="V173" i="1"/>
  <c r="CM173" i="1" s="1"/>
  <c r="CN173" i="1" s="1"/>
  <c r="CO173" i="1" s="1"/>
  <c r="CP173" i="1" s="1"/>
  <c r="CQ173" i="1" s="1"/>
  <c r="W173" i="1"/>
  <c r="BW173" i="1" s="1"/>
  <c r="X173" i="1"/>
  <c r="Y173" i="1"/>
  <c r="V174" i="1"/>
  <c r="CM174" i="1" s="1"/>
  <c r="CN174" i="1" s="1"/>
  <c r="CO174" i="1" s="1"/>
  <c r="CP174" i="1" s="1"/>
  <c r="CQ174" i="1" s="1"/>
  <c r="W174" i="1"/>
  <c r="BW174" i="1" s="1"/>
  <c r="X174" i="1"/>
  <c r="Y174" i="1"/>
  <c r="V175" i="1"/>
  <c r="CM175" i="1" s="1"/>
  <c r="CN175" i="1" s="1"/>
  <c r="CO175" i="1" s="1"/>
  <c r="CP175" i="1" s="1"/>
  <c r="CQ175" i="1" s="1"/>
  <c r="W175" i="1"/>
  <c r="BW175" i="1" s="1"/>
  <c r="X175" i="1"/>
  <c r="Y175" i="1"/>
  <c r="V176" i="1"/>
  <c r="CM176" i="1" s="1"/>
  <c r="CN176" i="1" s="1"/>
  <c r="CO176" i="1" s="1"/>
  <c r="CP176" i="1" s="1"/>
  <c r="CQ176" i="1" s="1"/>
  <c r="W176" i="1"/>
  <c r="BW176" i="1" s="1"/>
  <c r="X176" i="1"/>
  <c r="Y176" i="1"/>
  <c r="V177" i="1"/>
  <c r="CM177" i="1" s="1"/>
  <c r="CN177" i="1" s="1"/>
  <c r="CO177" i="1" s="1"/>
  <c r="CP177" i="1" s="1"/>
  <c r="CQ177" i="1" s="1"/>
  <c r="W177" i="1"/>
  <c r="BW177" i="1" s="1"/>
  <c r="X177" i="1"/>
  <c r="Y177" i="1"/>
  <c r="V178" i="1"/>
  <c r="CM178" i="1" s="1"/>
  <c r="CN178" i="1" s="1"/>
  <c r="CO178" i="1" s="1"/>
  <c r="CP178" i="1" s="1"/>
  <c r="CQ178" i="1" s="1"/>
  <c r="W178" i="1"/>
  <c r="BW178" i="1" s="1"/>
  <c r="X178" i="1"/>
  <c r="Y178" i="1"/>
  <c r="V179" i="1"/>
  <c r="CM179" i="1" s="1"/>
  <c r="CN179" i="1" s="1"/>
  <c r="CO179" i="1" s="1"/>
  <c r="CP179" i="1" s="1"/>
  <c r="CQ179" i="1" s="1"/>
  <c r="W179" i="1"/>
  <c r="BW179" i="1" s="1"/>
  <c r="X179" i="1"/>
  <c r="Y179" i="1"/>
  <c r="V180" i="1"/>
  <c r="CM180" i="1" s="1"/>
  <c r="CN180" i="1" s="1"/>
  <c r="CO180" i="1" s="1"/>
  <c r="CP180" i="1" s="1"/>
  <c r="CQ180" i="1" s="1"/>
  <c r="W180" i="1"/>
  <c r="BW180" i="1" s="1"/>
  <c r="X180" i="1"/>
  <c r="Y180" i="1"/>
  <c r="V181" i="1"/>
  <c r="CM181" i="1" s="1"/>
  <c r="CN181" i="1" s="1"/>
  <c r="CO181" i="1" s="1"/>
  <c r="CP181" i="1" s="1"/>
  <c r="CQ181" i="1" s="1"/>
  <c r="W181" i="1"/>
  <c r="BW181" i="1" s="1"/>
  <c r="X181" i="1"/>
  <c r="Y181" i="1"/>
  <c r="V182" i="1"/>
  <c r="CM182" i="1" s="1"/>
  <c r="CN182" i="1" s="1"/>
  <c r="CO182" i="1" s="1"/>
  <c r="CP182" i="1" s="1"/>
  <c r="CQ182" i="1" s="1"/>
  <c r="W182" i="1"/>
  <c r="BW182" i="1" s="1"/>
  <c r="X182" i="1"/>
  <c r="Y182" i="1"/>
  <c r="V183" i="1"/>
  <c r="CM183" i="1" s="1"/>
  <c r="CN183" i="1" s="1"/>
  <c r="CO183" i="1" s="1"/>
  <c r="CP183" i="1" s="1"/>
  <c r="CQ183" i="1" s="1"/>
  <c r="W183" i="1"/>
  <c r="BW183" i="1" s="1"/>
  <c r="X183" i="1"/>
  <c r="Y183" i="1"/>
  <c r="V184" i="1"/>
  <c r="CM184" i="1" s="1"/>
  <c r="CN184" i="1" s="1"/>
  <c r="CO184" i="1" s="1"/>
  <c r="CP184" i="1" s="1"/>
  <c r="CQ184" i="1" s="1"/>
  <c r="W184" i="1"/>
  <c r="BW184" i="1" s="1"/>
  <c r="X184" i="1"/>
  <c r="Y184" i="1"/>
  <c r="V185" i="1"/>
  <c r="CM185" i="1" s="1"/>
  <c r="CN185" i="1" s="1"/>
  <c r="CO185" i="1" s="1"/>
  <c r="CP185" i="1" s="1"/>
  <c r="CQ185" i="1" s="1"/>
  <c r="W185" i="1"/>
  <c r="BW185" i="1" s="1"/>
  <c r="X185" i="1"/>
  <c r="Y185" i="1"/>
  <c r="V186" i="1"/>
  <c r="CM186" i="1" s="1"/>
  <c r="CN186" i="1" s="1"/>
  <c r="CO186" i="1" s="1"/>
  <c r="CP186" i="1" s="1"/>
  <c r="CQ186" i="1" s="1"/>
  <c r="W186" i="1"/>
  <c r="BW186" i="1" s="1"/>
  <c r="X186" i="1"/>
  <c r="Y186" i="1"/>
  <c r="V187" i="1"/>
  <c r="CM187" i="1" s="1"/>
  <c r="CN187" i="1" s="1"/>
  <c r="CO187" i="1" s="1"/>
  <c r="CP187" i="1" s="1"/>
  <c r="CQ187" i="1" s="1"/>
  <c r="W187" i="1"/>
  <c r="BW187" i="1" s="1"/>
  <c r="X187" i="1"/>
  <c r="Y187" i="1"/>
  <c r="V188" i="1"/>
  <c r="CM188" i="1" s="1"/>
  <c r="CN188" i="1" s="1"/>
  <c r="CO188" i="1" s="1"/>
  <c r="CP188" i="1" s="1"/>
  <c r="CQ188" i="1" s="1"/>
  <c r="W188" i="1"/>
  <c r="BW188" i="1" s="1"/>
  <c r="X188" i="1"/>
  <c r="Y188" i="1"/>
  <c r="V189" i="1"/>
  <c r="CM189" i="1" s="1"/>
  <c r="CN189" i="1" s="1"/>
  <c r="CO189" i="1" s="1"/>
  <c r="CP189" i="1" s="1"/>
  <c r="CQ189" i="1" s="1"/>
  <c r="W189" i="1"/>
  <c r="BW189" i="1" s="1"/>
  <c r="X189" i="1"/>
  <c r="Y189" i="1"/>
  <c r="V190" i="1"/>
  <c r="CM190" i="1" s="1"/>
  <c r="CN190" i="1" s="1"/>
  <c r="CO190" i="1" s="1"/>
  <c r="CP190" i="1" s="1"/>
  <c r="CQ190" i="1" s="1"/>
  <c r="W190" i="1"/>
  <c r="BW190" i="1" s="1"/>
  <c r="X190" i="1"/>
  <c r="Y190" i="1"/>
  <c r="V191" i="1"/>
  <c r="CM191" i="1" s="1"/>
  <c r="CN191" i="1" s="1"/>
  <c r="CO191" i="1" s="1"/>
  <c r="CP191" i="1" s="1"/>
  <c r="CQ191" i="1" s="1"/>
  <c r="W191" i="1"/>
  <c r="BW191" i="1" s="1"/>
  <c r="X191" i="1"/>
  <c r="Y191" i="1"/>
  <c r="V192" i="1"/>
  <c r="CM192" i="1" s="1"/>
  <c r="CN192" i="1" s="1"/>
  <c r="CO192" i="1" s="1"/>
  <c r="CP192" i="1" s="1"/>
  <c r="CQ192" i="1" s="1"/>
  <c r="W192" i="1"/>
  <c r="BW192" i="1" s="1"/>
  <c r="X192" i="1"/>
  <c r="Y192" i="1"/>
  <c r="V193" i="1"/>
  <c r="CM193" i="1" s="1"/>
  <c r="CN193" i="1" s="1"/>
  <c r="CO193" i="1" s="1"/>
  <c r="CP193" i="1" s="1"/>
  <c r="CQ193" i="1" s="1"/>
  <c r="W193" i="1"/>
  <c r="BW193" i="1" s="1"/>
  <c r="X193" i="1"/>
  <c r="Y193" i="1"/>
  <c r="V194" i="1"/>
  <c r="CM194" i="1" s="1"/>
  <c r="CN194" i="1" s="1"/>
  <c r="CO194" i="1" s="1"/>
  <c r="CP194" i="1" s="1"/>
  <c r="CQ194" i="1" s="1"/>
  <c r="W194" i="1"/>
  <c r="BW194" i="1" s="1"/>
  <c r="X194" i="1"/>
  <c r="Y194" i="1"/>
  <c r="V195" i="1"/>
  <c r="CM195" i="1" s="1"/>
  <c r="CN195" i="1" s="1"/>
  <c r="CO195" i="1" s="1"/>
  <c r="CP195" i="1" s="1"/>
  <c r="CQ195" i="1" s="1"/>
  <c r="W195" i="1"/>
  <c r="BW195" i="1" s="1"/>
  <c r="X195" i="1"/>
  <c r="Y195" i="1"/>
  <c r="V196" i="1"/>
  <c r="CM196" i="1" s="1"/>
  <c r="CN196" i="1" s="1"/>
  <c r="CO196" i="1" s="1"/>
  <c r="CP196" i="1" s="1"/>
  <c r="CQ196" i="1" s="1"/>
  <c r="W196" i="1"/>
  <c r="BW196" i="1" s="1"/>
  <c r="X196" i="1"/>
  <c r="Y196" i="1"/>
  <c r="V197" i="1"/>
  <c r="CM197" i="1" s="1"/>
  <c r="CN197" i="1" s="1"/>
  <c r="CO197" i="1" s="1"/>
  <c r="CP197" i="1" s="1"/>
  <c r="CQ197" i="1" s="1"/>
  <c r="W197" i="1"/>
  <c r="BW197" i="1" s="1"/>
  <c r="X197" i="1"/>
  <c r="Y197" i="1"/>
  <c r="V198" i="1"/>
  <c r="CM198" i="1" s="1"/>
  <c r="CN198" i="1" s="1"/>
  <c r="CO198" i="1" s="1"/>
  <c r="CP198" i="1" s="1"/>
  <c r="CQ198" i="1" s="1"/>
  <c r="W198" i="1"/>
  <c r="BW198" i="1" s="1"/>
  <c r="X198" i="1"/>
  <c r="Y198" i="1"/>
  <c r="V199" i="1"/>
  <c r="CM199" i="1" s="1"/>
  <c r="CN199" i="1" s="1"/>
  <c r="CO199" i="1" s="1"/>
  <c r="CP199" i="1" s="1"/>
  <c r="CQ199" i="1" s="1"/>
  <c r="W199" i="1"/>
  <c r="BW199" i="1" s="1"/>
  <c r="X199" i="1"/>
  <c r="Y199" i="1"/>
  <c r="V200" i="1"/>
  <c r="CM200" i="1" s="1"/>
  <c r="CN200" i="1" s="1"/>
  <c r="CO200" i="1" s="1"/>
  <c r="CP200" i="1" s="1"/>
  <c r="CQ200" i="1" s="1"/>
  <c r="W200" i="1"/>
  <c r="BW200" i="1" s="1"/>
  <c r="X200" i="1"/>
  <c r="Y200" i="1"/>
  <c r="V201" i="1"/>
  <c r="CM201" i="1" s="1"/>
  <c r="CN201" i="1" s="1"/>
  <c r="CO201" i="1" s="1"/>
  <c r="CP201" i="1" s="1"/>
  <c r="CQ201" i="1" s="1"/>
  <c r="W201" i="1"/>
  <c r="BW201" i="1" s="1"/>
  <c r="X201" i="1"/>
  <c r="Y201" i="1"/>
  <c r="V202" i="1"/>
  <c r="CM202" i="1" s="1"/>
  <c r="CN202" i="1" s="1"/>
  <c r="CO202" i="1" s="1"/>
  <c r="CP202" i="1" s="1"/>
  <c r="CQ202" i="1" s="1"/>
  <c r="W202" i="1"/>
  <c r="BW202" i="1" s="1"/>
  <c r="X202" i="1"/>
  <c r="Y202" i="1"/>
  <c r="V203" i="1"/>
  <c r="CM203" i="1" s="1"/>
  <c r="CN203" i="1" s="1"/>
  <c r="CO203" i="1" s="1"/>
  <c r="CP203" i="1" s="1"/>
  <c r="CQ203" i="1" s="1"/>
  <c r="W203" i="1"/>
  <c r="BW203" i="1" s="1"/>
  <c r="X203" i="1"/>
  <c r="Y203" i="1"/>
  <c r="V204" i="1"/>
  <c r="CM204" i="1" s="1"/>
  <c r="CN204" i="1" s="1"/>
  <c r="CO204" i="1" s="1"/>
  <c r="CP204" i="1" s="1"/>
  <c r="CQ204" i="1" s="1"/>
  <c r="W204" i="1"/>
  <c r="BW204" i="1" s="1"/>
  <c r="X204" i="1"/>
  <c r="Y204" i="1"/>
  <c r="V205" i="1"/>
  <c r="CM205" i="1" s="1"/>
  <c r="CN205" i="1" s="1"/>
  <c r="CO205" i="1" s="1"/>
  <c r="CP205" i="1" s="1"/>
  <c r="CQ205" i="1" s="1"/>
  <c r="W205" i="1"/>
  <c r="BW205" i="1" s="1"/>
  <c r="X205" i="1"/>
  <c r="Y205" i="1"/>
  <c r="V206" i="1"/>
  <c r="CM206" i="1" s="1"/>
  <c r="CN206" i="1" s="1"/>
  <c r="CO206" i="1" s="1"/>
  <c r="CP206" i="1" s="1"/>
  <c r="CQ206" i="1" s="1"/>
  <c r="W206" i="1"/>
  <c r="BW206" i="1" s="1"/>
  <c r="X206" i="1"/>
  <c r="Y206" i="1"/>
  <c r="V207" i="1"/>
  <c r="CM207" i="1" s="1"/>
  <c r="CN207" i="1" s="1"/>
  <c r="CO207" i="1" s="1"/>
  <c r="CP207" i="1" s="1"/>
  <c r="CQ207" i="1" s="1"/>
  <c r="W207" i="1"/>
  <c r="BW207" i="1" s="1"/>
  <c r="X207" i="1"/>
  <c r="Y207" i="1"/>
  <c r="V208" i="1"/>
  <c r="CM208" i="1" s="1"/>
  <c r="CN208" i="1" s="1"/>
  <c r="CO208" i="1" s="1"/>
  <c r="CP208" i="1" s="1"/>
  <c r="CQ208" i="1" s="1"/>
  <c r="BW208" i="1"/>
  <c r="X208" i="1"/>
  <c r="V209" i="1"/>
  <c r="W209" i="1"/>
  <c r="BW209" i="1" s="1"/>
  <c r="X209" i="1"/>
  <c r="Y209" i="1"/>
  <c r="V210" i="1"/>
  <c r="CM210" i="1" s="1"/>
  <c r="CN210" i="1" s="1"/>
  <c r="CO210" i="1" s="1"/>
  <c r="CP210" i="1" s="1"/>
  <c r="CQ210" i="1" s="1"/>
  <c r="W210" i="1"/>
  <c r="BW210" i="1" s="1"/>
  <c r="X210" i="1"/>
  <c r="Y210" i="1"/>
  <c r="V211" i="1"/>
  <c r="CM211" i="1" s="1"/>
  <c r="CN211" i="1" s="1"/>
  <c r="CO211" i="1" s="1"/>
  <c r="CP211" i="1" s="1"/>
  <c r="CQ211" i="1" s="1"/>
  <c r="W211" i="1"/>
  <c r="BW211" i="1" s="1"/>
  <c r="X211" i="1"/>
  <c r="Y211" i="1"/>
  <c r="V212" i="1"/>
  <c r="CM212" i="1" s="1"/>
  <c r="CN212" i="1" s="1"/>
  <c r="CO212" i="1" s="1"/>
  <c r="CP212" i="1" s="1"/>
  <c r="CQ212" i="1" s="1"/>
  <c r="W212" i="1"/>
  <c r="BW212" i="1" s="1"/>
  <c r="X212" i="1"/>
  <c r="Y212" i="1"/>
  <c r="V213" i="1"/>
  <c r="CM213" i="1" s="1"/>
  <c r="CN213" i="1" s="1"/>
  <c r="CO213" i="1" s="1"/>
  <c r="CP213" i="1" s="1"/>
  <c r="CQ213" i="1" s="1"/>
  <c r="W213" i="1"/>
  <c r="BW213" i="1" s="1"/>
  <c r="X213" i="1"/>
  <c r="Y213" i="1"/>
  <c r="V214" i="1"/>
  <c r="CM214" i="1" s="1"/>
  <c r="CN214" i="1" s="1"/>
  <c r="CO214" i="1" s="1"/>
  <c r="CP214" i="1" s="1"/>
  <c r="CQ214" i="1" s="1"/>
  <c r="W214" i="1"/>
  <c r="BW214" i="1" s="1"/>
  <c r="X214" i="1"/>
  <c r="Y214" i="1"/>
  <c r="V215" i="1"/>
  <c r="CM215" i="1" s="1"/>
  <c r="CN215" i="1" s="1"/>
  <c r="CO215" i="1" s="1"/>
  <c r="CP215" i="1" s="1"/>
  <c r="CQ215" i="1" s="1"/>
  <c r="W215" i="1"/>
  <c r="BW215" i="1" s="1"/>
  <c r="X215" i="1"/>
  <c r="Y215" i="1"/>
  <c r="V216" i="1"/>
  <c r="CM216" i="1" s="1"/>
  <c r="CN216" i="1" s="1"/>
  <c r="CO216" i="1" s="1"/>
  <c r="CP216" i="1" s="1"/>
  <c r="CQ216" i="1" s="1"/>
  <c r="W216" i="1"/>
  <c r="BW216" i="1" s="1"/>
  <c r="X216" i="1"/>
  <c r="Y216" i="1"/>
  <c r="V217" i="1"/>
  <c r="CM217" i="1" s="1"/>
  <c r="CN217" i="1" s="1"/>
  <c r="CO217" i="1" s="1"/>
  <c r="CP217" i="1" s="1"/>
  <c r="CQ217" i="1" s="1"/>
  <c r="W217" i="1"/>
  <c r="BW217" i="1" s="1"/>
  <c r="X217" i="1"/>
  <c r="Y217" i="1"/>
  <c r="V218" i="1"/>
  <c r="CM218" i="1" s="1"/>
  <c r="CN218" i="1" s="1"/>
  <c r="CO218" i="1" s="1"/>
  <c r="CP218" i="1" s="1"/>
  <c r="CQ218" i="1" s="1"/>
  <c r="W218" i="1"/>
  <c r="BW218" i="1" s="1"/>
  <c r="X218" i="1"/>
  <c r="Y218" i="1"/>
  <c r="V219" i="1"/>
  <c r="CM219" i="1" s="1"/>
  <c r="CN219" i="1" s="1"/>
  <c r="CO219" i="1" s="1"/>
  <c r="CP219" i="1" s="1"/>
  <c r="CQ219" i="1" s="1"/>
  <c r="W219" i="1"/>
  <c r="BW219" i="1" s="1"/>
  <c r="X219" i="1"/>
  <c r="Y219" i="1"/>
  <c r="V220" i="1"/>
  <c r="CM220" i="1" s="1"/>
  <c r="CN220" i="1" s="1"/>
  <c r="CO220" i="1" s="1"/>
  <c r="CP220" i="1" s="1"/>
  <c r="CQ220" i="1" s="1"/>
  <c r="W220" i="1"/>
  <c r="BW220" i="1" s="1"/>
  <c r="X220" i="1"/>
  <c r="Y220" i="1"/>
  <c r="V221" i="1"/>
  <c r="CM221" i="1" s="1"/>
  <c r="CN221" i="1" s="1"/>
  <c r="CO221" i="1" s="1"/>
  <c r="CP221" i="1" s="1"/>
  <c r="CQ221" i="1" s="1"/>
  <c r="W221" i="1"/>
  <c r="BW221" i="1" s="1"/>
  <c r="X221" i="1"/>
  <c r="Y221" i="1"/>
  <c r="V222" i="1"/>
  <c r="CM222" i="1" s="1"/>
  <c r="CN222" i="1" s="1"/>
  <c r="CO222" i="1" s="1"/>
  <c r="CP222" i="1" s="1"/>
  <c r="CQ222" i="1" s="1"/>
  <c r="W222" i="1"/>
  <c r="BW222" i="1" s="1"/>
  <c r="X222" i="1"/>
  <c r="Y222" i="1"/>
  <c r="V223" i="1"/>
  <c r="CM223" i="1" s="1"/>
  <c r="CN223" i="1" s="1"/>
  <c r="CO223" i="1" s="1"/>
  <c r="CP223" i="1" s="1"/>
  <c r="CQ223" i="1" s="1"/>
  <c r="W223" i="1"/>
  <c r="BW223" i="1" s="1"/>
  <c r="X223" i="1"/>
  <c r="Y223" i="1"/>
  <c r="V224" i="1"/>
  <c r="CM224" i="1" s="1"/>
  <c r="CN224" i="1" s="1"/>
  <c r="CO224" i="1" s="1"/>
  <c r="CP224" i="1" s="1"/>
  <c r="CQ224" i="1" s="1"/>
  <c r="W224" i="1"/>
  <c r="BW224" i="1" s="1"/>
  <c r="X224" i="1"/>
  <c r="Y224" i="1"/>
  <c r="V225" i="1"/>
  <c r="W225" i="1"/>
  <c r="BW225" i="1" s="1"/>
  <c r="X225" i="1"/>
  <c r="Y225" i="1"/>
  <c r="V226" i="1"/>
  <c r="CM226" i="1" s="1"/>
  <c r="CN226" i="1" s="1"/>
  <c r="CO226" i="1" s="1"/>
  <c r="CP226" i="1" s="1"/>
  <c r="CQ226" i="1" s="1"/>
  <c r="W226" i="1"/>
  <c r="BW226" i="1" s="1"/>
  <c r="X226" i="1"/>
  <c r="Y226" i="1"/>
  <c r="V227" i="1"/>
  <c r="CM227" i="1" s="1"/>
  <c r="CN227" i="1" s="1"/>
  <c r="CO227" i="1" s="1"/>
  <c r="CP227" i="1" s="1"/>
  <c r="CQ227" i="1" s="1"/>
  <c r="W227" i="1"/>
  <c r="BW227" i="1" s="1"/>
  <c r="X227" i="1"/>
  <c r="Y227" i="1"/>
  <c r="V228" i="1"/>
  <c r="CM228" i="1" s="1"/>
  <c r="CN228" i="1" s="1"/>
  <c r="CO228" i="1" s="1"/>
  <c r="CP228" i="1" s="1"/>
  <c r="CQ228" i="1" s="1"/>
  <c r="W228" i="1"/>
  <c r="BW228" i="1" s="1"/>
  <c r="X228" i="1"/>
  <c r="Y228" i="1"/>
  <c r="V229" i="1"/>
  <c r="CM229" i="1" s="1"/>
  <c r="CN229" i="1" s="1"/>
  <c r="CO229" i="1" s="1"/>
  <c r="CP229" i="1" s="1"/>
  <c r="CQ229" i="1" s="1"/>
  <c r="W229" i="1"/>
  <c r="BW229" i="1" s="1"/>
  <c r="X229" i="1"/>
  <c r="Y229" i="1"/>
  <c r="V230" i="1"/>
  <c r="CM230" i="1" s="1"/>
  <c r="CN230" i="1" s="1"/>
  <c r="CO230" i="1" s="1"/>
  <c r="CP230" i="1" s="1"/>
  <c r="CQ230" i="1" s="1"/>
  <c r="W230" i="1"/>
  <c r="BW230" i="1" s="1"/>
  <c r="X230" i="1"/>
  <c r="Y230" i="1"/>
  <c r="V231" i="1"/>
  <c r="CM231" i="1" s="1"/>
  <c r="CN231" i="1" s="1"/>
  <c r="CO231" i="1" s="1"/>
  <c r="CP231" i="1" s="1"/>
  <c r="CQ231" i="1" s="1"/>
  <c r="W231" i="1"/>
  <c r="BW231" i="1" s="1"/>
  <c r="X231" i="1"/>
  <c r="Y231" i="1"/>
  <c r="V232" i="1"/>
  <c r="CM232" i="1" s="1"/>
  <c r="CN232" i="1" s="1"/>
  <c r="CO232" i="1" s="1"/>
  <c r="CP232" i="1" s="1"/>
  <c r="CQ232" i="1" s="1"/>
  <c r="W232" i="1"/>
  <c r="BW232" i="1" s="1"/>
  <c r="X232" i="1"/>
  <c r="Y232" i="1"/>
  <c r="V233" i="1"/>
  <c r="CM233" i="1" s="1"/>
  <c r="CN233" i="1" s="1"/>
  <c r="CO233" i="1" s="1"/>
  <c r="CP233" i="1" s="1"/>
  <c r="CQ233" i="1" s="1"/>
  <c r="W233" i="1"/>
  <c r="BW233" i="1" s="1"/>
  <c r="X233" i="1"/>
  <c r="Y233" i="1"/>
  <c r="V234" i="1"/>
  <c r="CM234" i="1" s="1"/>
  <c r="CN234" i="1" s="1"/>
  <c r="CO234" i="1" s="1"/>
  <c r="CP234" i="1" s="1"/>
  <c r="CQ234" i="1" s="1"/>
  <c r="W234" i="1"/>
  <c r="BW234" i="1" s="1"/>
  <c r="X234" i="1"/>
  <c r="Y234" i="1"/>
  <c r="V235" i="1"/>
  <c r="CM235" i="1" s="1"/>
  <c r="CN235" i="1" s="1"/>
  <c r="CO235" i="1" s="1"/>
  <c r="CP235" i="1" s="1"/>
  <c r="CQ235" i="1" s="1"/>
  <c r="W235" i="1"/>
  <c r="BW235" i="1" s="1"/>
  <c r="X235" i="1"/>
  <c r="Y235" i="1"/>
  <c r="V236" i="1"/>
  <c r="CM236" i="1" s="1"/>
  <c r="CN236" i="1" s="1"/>
  <c r="CO236" i="1" s="1"/>
  <c r="CP236" i="1" s="1"/>
  <c r="CQ236" i="1" s="1"/>
  <c r="W236" i="1"/>
  <c r="BW236" i="1" s="1"/>
  <c r="X236" i="1"/>
  <c r="Y236" i="1"/>
  <c r="V237" i="1"/>
  <c r="CM237" i="1" s="1"/>
  <c r="CN237" i="1" s="1"/>
  <c r="CO237" i="1" s="1"/>
  <c r="CP237" i="1" s="1"/>
  <c r="CQ237" i="1" s="1"/>
  <c r="W237" i="1"/>
  <c r="BW237" i="1" s="1"/>
  <c r="X237" i="1"/>
  <c r="Y237" i="1"/>
  <c r="V238" i="1"/>
  <c r="CM238" i="1" s="1"/>
  <c r="CN238" i="1" s="1"/>
  <c r="CO238" i="1" s="1"/>
  <c r="CP238" i="1" s="1"/>
  <c r="CQ238" i="1" s="1"/>
  <c r="W238" i="1"/>
  <c r="BW238" i="1" s="1"/>
  <c r="X238" i="1"/>
  <c r="Y238" i="1"/>
  <c r="V239" i="1"/>
  <c r="CM239" i="1" s="1"/>
  <c r="CN239" i="1" s="1"/>
  <c r="CO239" i="1" s="1"/>
  <c r="CP239" i="1" s="1"/>
  <c r="CQ239" i="1" s="1"/>
  <c r="W239" i="1"/>
  <c r="BW239" i="1" s="1"/>
  <c r="X239" i="1"/>
  <c r="Y239" i="1"/>
  <c r="V240" i="1"/>
  <c r="CM240" i="1" s="1"/>
  <c r="CN240" i="1" s="1"/>
  <c r="CO240" i="1" s="1"/>
  <c r="CP240" i="1" s="1"/>
  <c r="CQ240" i="1" s="1"/>
  <c r="W240" i="1"/>
  <c r="BW240" i="1" s="1"/>
  <c r="X240" i="1"/>
  <c r="Y240" i="1"/>
  <c r="V241" i="1"/>
  <c r="CM241" i="1" s="1"/>
  <c r="CN241" i="1" s="1"/>
  <c r="CO241" i="1" s="1"/>
  <c r="CP241" i="1" s="1"/>
  <c r="CQ241" i="1" s="1"/>
  <c r="W241" i="1"/>
  <c r="BW241" i="1" s="1"/>
  <c r="X241" i="1"/>
  <c r="Y241" i="1"/>
  <c r="V242" i="1"/>
  <c r="CM242" i="1" s="1"/>
  <c r="CN242" i="1" s="1"/>
  <c r="CO242" i="1" s="1"/>
  <c r="CP242" i="1" s="1"/>
  <c r="CQ242" i="1" s="1"/>
  <c r="W242" i="1"/>
  <c r="BW242" i="1" s="1"/>
  <c r="X242" i="1"/>
  <c r="Y242" i="1"/>
  <c r="V243" i="1"/>
  <c r="CM243" i="1" s="1"/>
  <c r="CN243" i="1" s="1"/>
  <c r="CO243" i="1" s="1"/>
  <c r="CP243" i="1" s="1"/>
  <c r="CQ243" i="1" s="1"/>
  <c r="W243" i="1"/>
  <c r="BW243" i="1" s="1"/>
  <c r="X243" i="1"/>
  <c r="Y243" i="1"/>
  <c r="V244" i="1"/>
  <c r="CM244" i="1" s="1"/>
  <c r="CN244" i="1" s="1"/>
  <c r="CO244" i="1" s="1"/>
  <c r="CP244" i="1" s="1"/>
  <c r="CQ244" i="1" s="1"/>
  <c r="W244" i="1"/>
  <c r="BW244" i="1" s="1"/>
  <c r="X244" i="1"/>
  <c r="Y244" i="1"/>
  <c r="V245" i="1"/>
  <c r="CM245" i="1" s="1"/>
  <c r="CN245" i="1" s="1"/>
  <c r="CO245" i="1" s="1"/>
  <c r="CP245" i="1" s="1"/>
  <c r="CQ245" i="1" s="1"/>
  <c r="W245" i="1"/>
  <c r="BW245" i="1" s="1"/>
  <c r="X245" i="1"/>
  <c r="Y245" i="1"/>
  <c r="V246" i="1"/>
  <c r="CM246" i="1" s="1"/>
  <c r="CN246" i="1" s="1"/>
  <c r="CO246" i="1" s="1"/>
  <c r="CP246" i="1" s="1"/>
  <c r="CQ246" i="1" s="1"/>
  <c r="W246" i="1"/>
  <c r="BW246" i="1" s="1"/>
  <c r="X246" i="1"/>
  <c r="Y246" i="1"/>
  <c r="V247" i="1"/>
  <c r="CM247" i="1" s="1"/>
  <c r="CN247" i="1" s="1"/>
  <c r="CO247" i="1" s="1"/>
  <c r="CP247" i="1" s="1"/>
  <c r="CQ247" i="1" s="1"/>
  <c r="W247" i="1"/>
  <c r="BW247" i="1" s="1"/>
  <c r="X247" i="1"/>
  <c r="Y247" i="1"/>
  <c r="V248" i="1"/>
  <c r="CM248" i="1" s="1"/>
  <c r="CN248" i="1" s="1"/>
  <c r="CO248" i="1" s="1"/>
  <c r="CP248" i="1" s="1"/>
  <c r="CQ248" i="1" s="1"/>
  <c r="W248" i="1"/>
  <c r="BW248" i="1" s="1"/>
  <c r="X248" i="1"/>
  <c r="Y248" i="1"/>
  <c r="V249" i="1"/>
  <c r="CM249" i="1" s="1"/>
  <c r="CN249" i="1" s="1"/>
  <c r="CO249" i="1" s="1"/>
  <c r="CP249" i="1" s="1"/>
  <c r="CQ249" i="1" s="1"/>
  <c r="W249" i="1"/>
  <c r="BW249" i="1" s="1"/>
  <c r="X249" i="1"/>
  <c r="Y249" i="1"/>
  <c r="V250" i="1"/>
  <c r="CM250" i="1" s="1"/>
  <c r="CN250" i="1" s="1"/>
  <c r="CO250" i="1" s="1"/>
  <c r="CP250" i="1" s="1"/>
  <c r="CQ250" i="1" s="1"/>
  <c r="W250" i="1"/>
  <c r="BW250" i="1" s="1"/>
  <c r="X250" i="1"/>
  <c r="Y250" i="1"/>
  <c r="V251" i="1"/>
  <c r="CM251" i="1" s="1"/>
  <c r="CN251" i="1" s="1"/>
  <c r="CO251" i="1" s="1"/>
  <c r="CP251" i="1" s="1"/>
  <c r="CQ251" i="1" s="1"/>
  <c r="W251" i="1"/>
  <c r="BW251" i="1" s="1"/>
  <c r="X251" i="1"/>
  <c r="Y251" i="1"/>
  <c r="V252" i="1"/>
  <c r="W252" i="1"/>
  <c r="BW252" i="1" s="1"/>
  <c r="X252" i="1"/>
  <c r="Y252" i="1"/>
  <c r="V253" i="1"/>
  <c r="CM253" i="1" s="1"/>
  <c r="CN253" i="1" s="1"/>
  <c r="CO253" i="1" s="1"/>
  <c r="CP253" i="1" s="1"/>
  <c r="CQ253" i="1" s="1"/>
  <c r="W253" i="1"/>
  <c r="BW253" i="1" s="1"/>
  <c r="X253" i="1"/>
  <c r="Y253" i="1"/>
  <c r="V254" i="1"/>
  <c r="CM254" i="1" s="1"/>
  <c r="CN254" i="1" s="1"/>
  <c r="CO254" i="1" s="1"/>
  <c r="CP254" i="1" s="1"/>
  <c r="CQ254" i="1" s="1"/>
  <c r="W254" i="1"/>
  <c r="BW254" i="1" s="1"/>
  <c r="X254" i="1"/>
  <c r="Y254" i="1"/>
  <c r="V255" i="1"/>
  <c r="CM255" i="1" s="1"/>
  <c r="CN255" i="1" s="1"/>
  <c r="CO255" i="1" s="1"/>
  <c r="CP255" i="1" s="1"/>
  <c r="CQ255" i="1" s="1"/>
  <c r="W255" i="1"/>
  <c r="BW255" i="1" s="1"/>
  <c r="X255" i="1"/>
  <c r="Y255" i="1"/>
  <c r="V256" i="1"/>
  <c r="CM256" i="1" s="1"/>
  <c r="CN256" i="1" s="1"/>
  <c r="CO256" i="1" s="1"/>
  <c r="CP256" i="1" s="1"/>
  <c r="CQ256" i="1" s="1"/>
  <c r="W256" i="1"/>
  <c r="BW256" i="1" s="1"/>
  <c r="X256" i="1"/>
  <c r="Y256" i="1"/>
  <c r="V257" i="1"/>
  <c r="W257" i="1"/>
  <c r="BW257" i="1" s="1"/>
  <c r="X257" i="1"/>
  <c r="Y257" i="1"/>
  <c r="V258" i="1"/>
  <c r="CM258" i="1" s="1"/>
  <c r="CN258" i="1" s="1"/>
  <c r="CO258" i="1" s="1"/>
  <c r="CP258" i="1" s="1"/>
  <c r="CQ258" i="1" s="1"/>
  <c r="W258" i="1"/>
  <c r="BW258" i="1" s="1"/>
  <c r="X258" i="1"/>
  <c r="Y258" i="1"/>
  <c r="V259" i="1"/>
  <c r="CM259" i="1" s="1"/>
  <c r="CN259" i="1" s="1"/>
  <c r="CO259" i="1" s="1"/>
  <c r="CP259" i="1" s="1"/>
  <c r="CQ259" i="1" s="1"/>
  <c r="W259" i="1"/>
  <c r="BW259" i="1" s="1"/>
  <c r="X259" i="1"/>
  <c r="Y259" i="1"/>
  <c r="V260" i="1"/>
  <c r="CM260" i="1" s="1"/>
  <c r="CN260" i="1" s="1"/>
  <c r="CO260" i="1" s="1"/>
  <c r="CP260" i="1" s="1"/>
  <c r="CQ260" i="1" s="1"/>
  <c r="W260" i="1"/>
  <c r="BW260" i="1" s="1"/>
  <c r="X260" i="1"/>
  <c r="Y260" i="1"/>
  <c r="V261" i="1"/>
  <c r="CM261" i="1" s="1"/>
  <c r="CN261" i="1" s="1"/>
  <c r="CO261" i="1" s="1"/>
  <c r="CP261" i="1" s="1"/>
  <c r="CQ261" i="1" s="1"/>
  <c r="W261" i="1"/>
  <c r="BW261" i="1" s="1"/>
  <c r="X261" i="1"/>
  <c r="Y261" i="1"/>
  <c r="V262" i="1"/>
  <c r="CM262" i="1" s="1"/>
  <c r="CN262" i="1" s="1"/>
  <c r="CO262" i="1" s="1"/>
  <c r="CP262" i="1" s="1"/>
  <c r="CQ262" i="1" s="1"/>
  <c r="W262" i="1"/>
  <c r="BW262" i="1" s="1"/>
  <c r="X262" i="1"/>
  <c r="Y262" i="1"/>
  <c r="V263" i="1"/>
  <c r="CM263" i="1" s="1"/>
  <c r="CN263" i="1" s="1"/>
  <c r="CO263" i="1" s="1"/>
  <c r="CP263" i="1" s="1"/>
  <c r="CQ263" i="1" s="1"/>
  <c r="W263" i="1"/>
  <c r="BW263" i="1" s="1"/>
  <c r="X263" i="1"/>
  <c r="Y263" i="1"/>
  <c r="V264" i="1"/>
  <c r="CM264" i="1" s="1"/>
  <c r="CN264" i="1" s="1"/>
  <c r="CO264" i="1" s="1"/>
  <c r="CP264" i="1" s="1"/>
  <c r="CQ264" i="1" s="1"/>
  <c r="W264" i="1"/>
  <c r="BW264" i="1" s="1"/>
  <c r="X264" i="1"/>
  <c r="Y264" i="1"/>
  <c r="V265" i="1"/>
  <c r="CM265" i="1" s="1"/>
  <c r="CN265" i="1" s="1"/>
  <c r="CO265" i="1" s="1"/>
  <c r="CP265" i="1" s="1"/>
  <c r="CQ265" i="1" s="1"/>
  <c r="W265" i="1"/>
  <c r="BW265" i="1" s="1"/>
  <c r="X265" i="1"/>
  <c r="Y265" i="1"/>
  <c r="V266" i="1"/>
  <c r="CM266" i="1" s="1"/>
  <c r="CN266" i="1" s="1"/>
  <c r="CO266" i="1" s="1"/>
  <c r="CP266" i="1" s="1"/>
  <c r="CQ266" i="1" s="1"/>
  <c r="W266" i="1"/>
  <c r="BW266" i="1" s="1"/>
  <c r="X266" i="1"/>
  <c r="Y266" i="1"/>
  <c r="V267" i="1"/>
  <c r="CM267" i="1" s="1"/>
  <c r="CN267" i="1" s="1"/>
  <c r="CO267" i="1" s="1"/>
  <c r="CP267" i="1" s="1"/>
  <c r="CQ267" i="1" s="1"/>
  <c r="W267" i="1"/>
  <c r="BW267" i="1" s="1"/>
  <c r="X267" i="1"/>
  <c r="Y267" i="1"/>
  <c r="V268" i="1"/>
  <c r="CM268" i="1" s="1"/>
  <c r="CN268" i="1" s="1"/>
  <c r="CO268" i="1" s="1"/>
  <c r="CP268" i="1" s="1"/>
  <c r="CQ268" i="1" s="1"/>
  <c r="W268" i="1"/>
  <c r="BW268" i="1" s="1"/>
  <c r="X268" i="1"/>
  <c r="Y268" i="1"/>
  <c r="V269" i="1"/>
  <c r="CM269" i="1" s="1"/>
  <c r="CN269" i="1" s="1"/>
  <c r="CO269" i="1" s="1"/>
  <c r="CP269" i="1" s="1"/>
  <c r="CQ269" i="1" s="1"/>
  <c r="W269" i="1"/>
  <c r="BW269" i="1" s="1"/>
  <c r="X269" i="1"/>
  <c r="Y269" i="1"/>
  <c r="V270" i="1"/>
  <c r="CM270" i="1" s="1"/>
  <c r="CN270" i="1" s="1"/>
  <c r="CO270" i="1" s="1"/>
  <c r="CP270" i="1" s="1"/>
  <c r="CQ270" i="1" s="1"/>
  <c r="W270" i="1"/>
  <c r="BW270" i="1" s="1"/>
  <c r="X270" i="1"/>
  <c r="Y270" i="1"/>
  <c r="V271" i="1"/>
  <c r="CM271" i="1" s="1"/>
  <c r="CN271" i="1" s="1"/>
  <c r="CO271" i="1" s="1"/>
  <c r="CP271" i="1" s="1"/>
  <c r="CQ271" i="1" s="1"/>
  <c r="W271" i="1"/>
  <c r="BW271" i="1" s="1"/>
  <c r="X271" i="1"/>
  <c r="Y271" i="1"/>
  <c r="V272" i="1"/>
  <c r="CM272" i="1" s="1"/>
  <c r="CN272" i="1" s="1"/>
  <c r="CO272" i="1" s="1"/>
  <c r="CP272" i="1" s="1"/>
  <c r="CQ272" i="1" s="1"/>
  <c r="W272" i="1"/>
  <c r="BW272" i="1" s="1"/>
  <c r="X272" i="1"/>
  <c r="Y272" i="1"/>
  <c r="V273" i="1"/>
  <c r="CM273" i="1" s="1"/>
  <c r="CN273" i="1" s="1"/>
  <c r="CO273" i="1" s="1"/>
  <c r="CP273" i="1" s="1"/>
  <c r="CQ273" i="1" s="1"/>
  <c r="W273" i="1"/>
  <c r="BW273" i="1" s="1"/>
  <c r="X273" i="1"/>
  <c r="Y273" i="1"/>
  <c r="V274" i="1"/>
  <c r="CM274" i="1" s="1"/>
  <c r="CN274" i="1" s="1"/>
  <c r="CO274" i="1" s="1"/>
  <c r="CP274" i="1" s="1"/>
  <c r="CQ274" i="1" s="1"/>
  <c r="W274" i="1"/>
  <c r="BW274" i="1" s="1"/>
  <c r="X274" i="1"/>
  <c r="Y274" i="1"/>
  <c r="V275" i="1"/>
  <c r="CM275" i="1" s="1"/>
  <c r="CN275" i="1" s="1"/>
  <c r="CO275" i="1" s="1"/>
  <c r="CP275" i="1" s="1"/>
  <c r="CQ275" i="1" s="1"/>
  <c r="W275" i="1"/>
  <c r="BW275" i="1" s="1"/>
  <c r="X275" i="1"/>
  <c r="Y275" i="1"/>
  <c r="V276" i="1"/>
  <c r="CM276" i="1" s="1"/>
  <c r="CN276" i="1" s="1"/>
  <c r="CO276" i="1" s="1"/>
  <c r="CP276" i="1" s="1"/>
  <c r="CQ276" i="1" s="1"/>
  <c r="W276" i="1"/>
  <c r="BW276" i="1" s="1"/>
  <c r="X276" i="1"/>
  <c r="Y276" i="1"/>
  <c r="V277" i="1"/>
  <c r="CM277" i="1" s="1"/>
  <c r="CN277" i="1" s="1"/>
  <c r="CO277" i="1" s="1"/>
  <c r="CP277" i="1" s="1"/>
  <c r="CQ277" i="1" s="1"/>
  <c r="W277" i="1"/>
  <c r="BW277" i="1" s="1"/>
  <c r="X277" i="1"/>
  <c r="Y277" i="1"/>
  <c r="V278" i="1"/>
  <c r="CM278" i="1" s="1"/>
  <c r="CN278" i="1" s="1"/>
  <c r="CO278" i="1" s="1"/>
  <c r="CP278" i="1" s="1"/>
  <c r="CQ278" i="1" s="1"/>
  <c r="W278" i="1"/>
  <c r="BW278" i="1" s="1"/>
  <c r="X278" i="1"/>
  <c r="Y278" i="1"/>
  <c r="V279" i="1"/>
  <c r="CM279" i="1" s="1"/>
  <c r="CN279" i="1" s="1"/>
  <c r="CO279" i="1" s="1"/>
  <c r="CP279" i="1" s="1"/>
  <c r="CQ279" i="1" s="1"/>
  <c r="W279" i="1"/>
  <c r="BW279" i="1" s="1"/>
  <c r="X279" i="1"/>
  <c r="Y279" i="1"/>
  <c r="V280" i="1"/>
  <c r="CM280" i="1" s="1"/>
  <c r="CN280" i="1" s="1"/>
  <c r="CO280" i="1" s="1"/>
  <c r="CP280" i="1" s="1"/>
  <c r="CQ280" i="1" s="1"/>
  <c r="W280" i="1"/>
  <c r="BW280" i="1" s="1"/>
  <c r="X280" i="1"/>
  <c r="Y280" i="1"/>
  <c r="V281" i="1"/>
  <c r="CM281" i="1" s="1"/>
  <c r="CN281" i="1" s="1"/>
  <c r="CO281" i="1" s="1"/>
  <c r="CP281" i="1" s="1"/>
  <c r="CQ281" i="1" s="1"/>
  <c r="W281" i="1"/>
  <c r="BW281" i="1" s="1"/>
  <c r="X281" i="1"/>
  <c r="Y281" i="1"/>
  <c r="V282" i="1"/>
  <c r="CM282" i="1" s="1"/>
  <c r="CN282" i="1" s="1"/>
  <c r="CO282" i="1" s="1"/>
  <c r="CP282" i="1" s="1"/>
  <c r="CQ282" i="1" s="1"/>
  <c r="W282" i="1"/>
  <c r="BW282" i="1" s="1"/>
  <c r="X282" i="1"/>
  <c r="Y282" i="1"/>
  <c r="V283" i="1"/>
  <c r="CM283" i="1" s="1"/>
  <c r="CN283" i="1" s="1"/>
  <c r="CO283" i="1" s="1"/>
  <c r="CP283" i="1" s="1"/>
  <c r="CQ283" i="1" s="1"/>
  <c r="W283" i="1"/>
  <c r="BW283" i="1" s="1"/>
  <c r="X283" i="1"/>
  <c r="Y283" i="1"/>
  <c r="V284" i="1"/>
  <c r="CM284" i="1" s="1"/>
  <c r="CN284" i="1" s="1"/>
  <c r="CO284" i="1" s="1"/>
  <c r="CP284" i="1" s="1"/>
  <c r="CQ284" i="1" s="1"/>
  <c r="W284" i="1"/>
  <c r="BW284" i="1" s="1"/>
  <c r="X284" i="1"/>
  <c r="Y284" i="1"/>
  <c r="V285" i="1"/>
  <c r="CM285" i="1" s="1"/>
  <c r="CN285" i="1" s="1"/>
  <c r="CO285" i="1" s="1"/>
  <c r="CP285" i="1" s="1"/>
  <c r="CQ285" i="1" s="1"/>
  <c r="W285" i="1"/>
  <c r="BW285" i="1" s="1"/>
  <c r="X285" i="1"/>
  <c r="Y285" i="1"/>
  <c r="V286" i="1"/>
  <c r="CM286" i="1" s="1"/>
  <c r="CN286" i="1" s="1"/>
  <c r="CO286" i="1" s="1"/>
  <c r="CP286" i="1" s="1"/>
  <c r="CQ286" i="1" s="1"/>
  <c r="W286" i="1"/>
  <c r="BW286" i="1" s="1"/>
  <c r="X286" i="1"/>
  <c r="Y286" i="1"/>
  <c r="V287" i="1"/>
  <c r="CM287" i="1" s="1"/>
  <c r="CN287" i="1" s="1"/>
  <c r="CO287" i="1" s="1"/>
  <c r="CP287" i="1" s="1"/>
  <c r="CQ287" i="1" s="1"/>
  <c r="W287" i="1"/>
  <c r="BW287" i="1" s="1"/>
  <c r="X287" i="1"/>
  <c r="Y287" i="1"/>
  <c r="V288" i="1"/>
  <c r="CM288" i="1" s="1"/>
  <c r="CN288" i="1" s="1"/>
  <c r="CO288" i="1" s="1"/>
  <c r="CP288" i="1" s="1"/>
  <c r="CQ288" i="1" s="1"/>
  <c r="W288" i="1"/>
  <c r="BW288" i="1" s="1"/>
  <c r="X288" i="1"/>
  <c r="Y288" i="1"/>
  <c r="V289" i="1"/>
  <c r="CM289" i="1" s="1"/>
  <c r="CN289" i="1" s="1"/>
  <c r="CO289" i="1" s="1"/>
  <c r="CP289" i="1" s="1"/>
  <c r="CQ289" i="1" s="1"/>
  <c r="W289" i="1"/>
  <c r="BW289" i="1" s="1"/>
  <c r="X289" i="1"/>
  <c r="Y289" i="1"/>
  <c r="V290" i="1"/>
  <c r="CM290" i="1" s="1"/>
  <c r="CN290" i="1" s="1"/>
  <c r="CO290" i="1" s="1"/>
  <c r="CP290" i="1" s="1"/>
  <c r="CQ290" i="1" s="1"/>
  <c r="W290" i="1"/>
  <c r="BW290" i="1" s="1"/>
  <c r="X290" i="1"/>
  <c r="Y290" i="1"/>
  <c r="V291" i="1"/>
  <c r="CM291" i="1" s="1"/>
  <c r="CN291" i="1" s="1"/>
  <c r="CO291" i="1" s="1"/>
  <c r="CP291" i="1" s="1"/>
  <c r="CQ291" i="1" s="1"/>
  <c r="W291" i="1"/>
  <c r="BW291" i="1" s="1"/>
  <c r="X291" i="1"/>
  <c r="Y291" i="1"/>
  <c r="V292" i="1"/>
  <c r="CM292" i="1" s="1"/>
  <c r="CN292" i="1" s="1"/>
  <c r="CO292" i="1" s="1"/>
  <c r="CP292" i="1" s="1"/>
  <c r="CQ292" i="1" s="1"/>
  <c r="W292" i="1"/>
  <c r="BW292" i="1" s="1"/>
  <c r="X292" i="1"/>
  <c r="Y292" i="1"/>
  <c r="V293" i="1"/>
  <c r="CM293" i="1" s="1"/>
  <c r="CN293" i="1" s="1"/>
  <c r="CO293" i="1" s="1"/>
  <c r="CP293" i="1" s="1"/>
  <c r="CQ293" i="1" s="1"/>
  <c r="W293" i="1"/>
  <c r="BW293" i="1" s="1"/>
  <c r="X293" i="1"/>
  <c r="Y293" i="1"/>
  <c r="V294" i="1"/>
  <c r="CM294" i="1" s="1"/>
  <c r="CN294" i="1" s="1"/>
  <c r="CO294" i="1" s="1"/>
  <c r="CP294" i="1" s="1"/>
  <c r="CQ294" i="1" s="1"/>
  <c r="W294" i="1"/>
  <c r="BW294" i="1" s="1"/>
  <c r="X294" i="1"/>
  <c r="Y294" i="1"/>
  <c r="V295" i="1"/>
  <c r="CM295" i="1" s="1"/>
  <c r="CN295" i="1" s="1"/>
  <c r="CO295" i="1" s="1"/>
  <c r="CP295" i="1" s="1"/>
  <c r="CQ295" i="1" s="1"/>
  <c r="W295" i="1"/>
  <c r="BW295" i="1" s="1"/>
  <c r="X295" i="1"/>
  <c r="Y295" i="1"/>
  <c r="V296" i="1"/>
  <c r="CM296" i="1" s="1"/>
  <c r="CN296" i="1" s="1"/>
  <c r="CO296" i="1" s="1"/>
  <c r="CP296" i="1" s="1"/>
  <c r="CQ296" i="1" s="1"/>
  <c r="W296" i="1"/>
  <c r="BW296" i="1" s="1"/>
  <c r="X296" i="1"/>
  <c r="Y296" i="1"/>
  <c r="V297" i="1"/>
  <c r="CM297" i="1" s="1"/>
  <c r="CN297" i="1" s="1"/>
  <c r="CO297" i="1" s="1"/>
  <c r="CP297" i="1" s="1"/>
  <c r="CQ297" i="1" s="1"/>
  <c r="W297" i="1"/>
  <c r="BW297" i="1" s="1"/>
  <c r="X297" i="1"/>
  <c r="Y297" i="1"/>
  <c r="V298" i="1"/>
  <c r="CM298" i="1" s="1"/>
  <c r="CN298" i="1" s="1"/>
  <c r="CO298" i="1" s="1"/>
  <c r="CP298" i="1" s="1"/>
  <c r="CQ298" i="1" s="1"/>
  <c r="W298" i="1"/>
  <c r="BW298" i="1" s="1"/>
  <c r="X298" i="1"/>
  <c r="Y298" i="1"/>
  <c r="V299" i="1"/>
  <c r="CM299" i="1" s="1"/>
  <c r="CN299" i="1" s="1"/>
  <c r="CO299" i="1" s="1"/>
  <c r="CP299" i="1" s="1"/>
  <c r="CQ299" i="1" s="1"/>
  <c r="W299" i="1"/>
  <c r="BW299" i="1" s="1"/>
  <c r="X299" i="1"/>
  <c r="Y299" i="1"/>
  <c r="V300" i="1"/>
  <c r="CM300" i="1" s="1"/>
  <c r="CN300" i="1" s="1"/>
  <c r="CO300" i="1" s="1"/>
  <c r="CP300" i="1" s="1"/>
  <c r="CQ300" i="1" s="1"/>
  <c r="W300" i="1"/>
  <c r="BW300" i="1" s="1"/>
  <c r="X300" i="1"/>
  <c r="Y300" i="1"/>
  <c r="V301" i="1"/>
  <c r="CM301" i="1" s="1"/>
  <c r="CN301" i="1" s="1"/>
  <c r="CO301" i="1" s="1"/>
  <c r="CP301" i="1" s="1"/>
  <c r="CQ301" i="1" s="1"/>
  <c r="W301" i="1"/>
  <c r="BW301" i="1" s="1"/>
  <c r="X301" i="1"/>
  <c r="Y301" i="1"/>
  <c r="V302" i="1"/>
  <c r="CM302" i="1" s="1"/>
  <c r="CN302" i="1" s="1"/>
  <c r="CO302" i="1" s="1"/>
  <c r="CP302" i="1" s="1"/>
  <c r="CQ302" i="1" s="1"/>
  <c r="W302" i="1"/>
  <c r="BW302" i="1" s="1"/>
  <c r="X302" i="1"/>
  <c r="Y302" i="1"/>
  <c r="V303" i="1"/>
  <c r="CM303" i="1" s="1"/>
  <c r="CN303" i="1" s="1"/>
  <c r="CO303" i="1" s="1"/>
  <c r="CP303" i="1" s="1"/>
  <c r="CQ303" i="1" s="1"/>
  <c r="W303" i="1"/>
  <c r="BW303" i="1" s="1"/>
  <c r="X303" i="1"/>
  <c r="Y303" i="1"/>
  <c r="V304" i="1"/>
  <c r="CM304" i="1" s="1"/>
  <c r="CN304" i="1" s="1"/>
  <c r="CO304" i="1" s="1"/>
  <c r="CP304" i="1" s="1"/>
  <c r="CQ304" i="1" s="1"/>
  <c r="W304" i="1"/>
  <c r="BW304" i="1" s="1"/>
  <c r="X304" i="1"/>
  <c r="Y304" i="1"/>
  <c r="V305" i="1"/>
  <c r="CM305" i="1" s="1"/>
  <c r="CN305" i="1" s="1"/>
  <c r="CO305" i="1" s="1"/>
  <c r="CP305" i="1" s="1"/>
  <c r="CQ305" i="1" s="1"/>
  <c r="W305" i="1"/>
  <c r="BW305" i="1" s="1"/>
  <c r="X305" i="1"/>
  <c r="Y305" i="1"/>
  <c r="V306" i="1"/>
  <c r="CM306" i="1" s="1"/>
  <c r="CN306" i="1" s="1"/>
  <c r="CO306" i="1" s="1"/>
  <c r="CP306" i="1" s="1"/>
  <c r="CQ306" i="1" s="1"/>
  <c r="W306" i="1"/>
  <c r="BW306" i="1" s="1"/>
  <c r="X306" i="1"/>
  <c r="Y306" i="1"/>
  <c r="V307" i="1"/>
  <c r="CM307" i="1" s="1"/>
  <c r="CN307" i="1" s="1"/>
  <c r="CO307" i="1" s="1"/>
  <c r="CP307" i="1" s="1"/>
  <c r="CQ307" i="1" s="1"/>
  <c r="W307" i="1"/>
  <c r="BW307" i="1" s="1"/>
  <c r="X307" i="1"/>
  <c r="Y307" i="1"/>
  <c r="V308" i="1"/>
  <c r="CM308" i="1" s="1"/>
  <c r="CN308" i="1" s="1"/>
  <c r="CO308" i="1" s="1"/>
  <c r="CP308" i="1" s="1"/>
  <c r="CQ308" i="1" s="1"/>
  <c r="W308" i="1"/>
  <c r="BW308" i="1" s="1"/>
  <c r="X308" i="1"/>
  <c r="Y308" i="1"/>
  <c r="V309" i="1"/>
  <c r="CM309" i="1" s="1"/>
  <c r="CN309" i="1" s="1"/>
  <c r="CO309" i="1" s="1"/>
  <c r="CP309" i="1" s="1"/>
  <c r="CQ309" i="1" s="1"/>
  <c r="W309" i="1"/>
  <c r="BW309" i="1" s="1"/>
  <c r="X309" i="1"/>
  <c r="Y309" i="1"/>
  <c r="V310" i="1"/>
  <c r="CM310" i="1" s="1"/>
  <c r="CN310" i="1" s="1"/>
  <c r="CO310" i="1" s="1"/>
  <c r="CP310" i="1" s="1"/>
  <c r="CQ310" i="1" s="1"/>
  <c r="W310" i="1"/>
  <c r="BW310" i="1" s="1"/>
  <c r="X310" i="1"/>
  <c r="Y310" i="1"/>
  <c r="V311" i="1"/>
  <c r="CM311" i="1" s="1"/>
  <c r="CN311" i="1" s="1"/>
  <c r="CO311" i="1" s="1"/>
  <c r="CP311" i="1" s="1"/>
  <c r="CQ311" i="1" s="1"/>
  <c r="W311" i="1"/>
  <c r="BW311" i="1" s="1"/>
  <c r="X311" i="1"/>
  <c r="Y311" i="1"/>
  <c r="V312" i="1"/>
  <c r="CM312" i="1" s="1"/>
  <c r="CN312" i="1" s="1"/>
  <c r="CO312" i="1" s="1"/>
  <c r="CP312" i="1" s="1"/>
  <c r="CQ312" i="1" s="1"/>
  <c r="W312" i="1"/>
  <c r="BW312" i="1" s="1"/>
  <c r="X312" i="1"/>
  <c r="Y312" i="1"/>
  <c r="V313" i="1"/>
  <c r="CM313" i="1" s="1"/>
  <c r="CN313" i="1" s="1"/>
  <c r="CO313" i="1" s="1"/>
  <c r="CP313" i="1" s="1"/>
  <c r="CQ313" i="1" s="1"/>
  <c r="W313" i="1"/>
  <c r="BW313" i="1" s="1"/>
  <c r="X313" i="1"/>
  <c r="Y313" i="1"/>
  <c r="V314" i="1"/>
  <c r="CM314" i="1" s="1"/>
  <c r="CN314" i="1" s="1"/>
  <c r="CO314" i="1" s="1"/>
  <c r="CP314" i="1" s="1"/>
  <c r="CQ314" i="1" s="1"/>
  <c r="W314" i="1"/>
  <c r="BW314" i="1" s="1"/>
  <c r="X314" i="1"/>
  <c r="Y314" i="1"/>
  <c r="V315" i="1"/>
  <c r="CM315" i="1" s="1"/>
  <c r="CN315" i="1" s="1"/>
  <c r="CO315" i="1" s="1"/>
  <c r="CP315" i="1" s="1"/>
  <c r="CQ315" i="1" s="1"/>
  <c r="W315" i="1"/>
  <c r="BW315" i="1" s="1"/>
  <c r="X315" i="1"/>
  <c r="Y315" i="1"/>
  <c r="V316" i="1"/>
  <c r="CM316" i="1" s="1"/>
  <c r="CN316" i="1" s="1"/>
  <c r="CO316" i="1" s="1"/>
  <c r="CP316" i="1" s="1"/>
  <c r="CQ316" i="1" s="1"/>
  <c r="W316" i="1"/>
  <c r="BW316" i="1" s="1"/>
  <c r="X316" i="1"/>
  <c r="Y316" i="1"/>
  <c r="V317" i="1"/>
  <c r="CM317" i="1" s="1"/>
  <c r="CN317" i="1" s="1"/>
  <c r="CO317" i="1" s="1"/>
  <c r="CP317" i="1" s="1"/>
  <c r="CQ317" i="1" s="1"/>
  <c r="W317" i="1"/>
  <c r="BW317" i="1" s="1"/>
  <c r="X317" i="1"/>
  <c r="Y317" i="1"/>
  <c r="V318" i="1"/>
  <c r="CM318" i="1" s="1"/>
  <c r="CN318" i="1" s="1"/>
  <c r="CO318" i="1" s="1"/>
  <c r="CP318" i="1" s="1"/>
  <c r="CQ318" i="1" s="1"/>
  <c r="W318" i="1"/>
  <c r="BW318" i="1" s="1"/>
  <c r="X318" i="1"/>
  <c r="Y318" i="1"/>
  <c r="V319" i="1"/>
  <c r="CM319" i="1" s="1"/>
  <c r="CN319" i="1" s="1"/>
  <c r="CO319" i="1" s="1"/>
  <c r="CP319" i="1" s="1"/>
  <c r="CQ319" i="1" s="1"/>
  <c r="W319" i="1"/>
  <c r="BW319" i="1" s="1"/>
  <c r="X319" i="1"/>
  <c r="Y319" i="1"/>
  <c r="V320" i="1"/>
  <c r="CM320" i="1" s="1"/>
  <c r="CN320" i="1" s="1"/>
  <c r="CO320" i="1" s="1"/>
  <c r="CP320" i="1" s="1"/>
  <c r="CQ320" i="1" s="1"/>
  <c r="W320" i="1"/>
  <c r="BW320" i="1" s="1"/>
  <c r="X320" i="1"/>
  <c r="Y320" i="1"/>
  <c r="V321" i="1"/>
  <c r="CM321" i="1" s="1"/>
  <c r="CN321" i="1" s="1"/>
  <c r="CO321" i="1" s="1"/>
  <c r="CP321" i="1" s="1"/>
  <c r="CQ321" i="1" s="1"/>
  <c r="W321" i="1"/>
  <c r="BW321" i="1" s="1"/>
  <c r="X321" i="1"/>
  <c r="Y321" i="1"/>
  <c r="V322" i="1"/>
  <c r="CM322" i="1" s="1"/>
  <c r="CN322" i="1" s="1"/>
  <c r="CO322" i="1" s="1"/>
  <c r="CP322" i="1" s="1"/>
  <c r="CQ322" i="1" s="1"/>
  <c r="W322" i="1"/>
  <c r="BW322" i="1" s="1"/>
  <c r="X322" i="1"/>
  <c r="Y322" i="1"/>
  <c r="V323" i="1"/>
  <c r="CM323" i="1" s="1"/>
  <c r="CN323" i="1" s="1"/>
  <c r="CO323" i="1" s="1"/>
  <c r="CP323" i="1" s="1"/>
  <c r="CQ323" i="1" s="1"/>
  <c r="W323" i="1"/>
  <c r="BW323" i="1" s="1"/>
  <c r="X323" i="1"/>
  <c r="Y323" i="1"/>
  <c r="V324" i="1"/>
  <c r="CM324" i="1" s="1"/>
  <c r="CN324" i="1" s="1"/>
  <c r="CO324" i="1" s="1"/>
  <c r="CP324" i="1" s="1"/>
  <c r="CQ324" i="1" s="1"/>
  <c r="W324" i="1"/>
  <c r="BW324" i="1" s="1"/>
  <c r="X324" i="1"/>
  <c r="Y324" i="1"/>
  <c r="V325" i="1"/>
  <c r="CM325" i="1" s="1"/>
  <c r="CN325" i="1" s="1"/>
  <c r="CO325" i="1" s="1"/>
  <c r="CP325" i="1" s="1"/>
  <c r="CQ325" i="1" s="1"/>
  <c r="W325" i="1"/>
  <c r="BW325" i="1" s="1"/>
  <c r="X325" i="1"/>
  <c r="Y325" i="1"/>
  <c r="V326" i="1"/>
  <c r="CM326" i="1" s="1"/>
  <c r="CN326" i="1" s="1"/>
  <c r="CO326" i="1" s="1"/>
  <c r="CP326" i="1" s="1"/>
  <c r="CQ326" i="1" s="1"/>
  <c r="W326" i="1"/>
  <c r="BW326" i="1" s="1"/>
  <c r="X326" i="1"/>
  <c r="Y326" i="1"/>
  <c r="V327" i="1"/>
  <c r="CM327" i="1" s="1"/>
  <c r="CN327" i="1" s="1"/>
  <c r="CO327" i="1" s="1"/>
  <c r="CP327" i="1" s="1"/>
  <c r="CQ327" i="1" s="1"/>
  <c r="W327" i="1"/>
  <c r="BW327" i="1" s="1"/>
  <c r="X327" i="1"/>
  <c r="Y327" i="1"/>
  <c r="V328" i="1"/>
  <c r="CM328" i="1" s="1"/>
  <c r="CN328" i="1" s="1"/>
  <c r="CO328" i="1" s="1"/>
  <c r="CP328" i="1" s="1"/>
  <c r="CQ328" i="1" s="1"/>
  <c r="W328" i="1"/>
  <c r="BW328" i="1" s="1"/>
  <c r="X328" i="1"/>
  <c r="Y328" i="1"/>
  <c r="V329" i="1"/>
  <c r="CM329" i="1" s="1"/>
  <c r="CN329" i="1" s="1"/>
  <c r="CO329" i="1" s="1"/>
  <c r="CP329" i="1" s="1"/>
  <c r="CQ329" i="1" s="1"/>
  <c r="W329" i="1"/>
  <c r="BW329" i="1" s="1"/>
  <c r="X329" i="1"/>
  <c r="Y329" i="1"/>
  <c r="V330" i="1"/>
  <c r="CM330" i="1" s="1"/>
  <c r="CN330" i="1" s="1"/>
  <c r="CO330" i="1" s="1"/>
  <c r="CP330" i="1" s="1"/>
  <c r="CQ330" i="1" s="1"/>
  <c r="W330" i="1"/>
  <c r="BW330" i="1" s="1"/>
  <c r="X330" i="1"/>
  <c r="Y330" i="1"/>
  <c r="V331" i="1"/>
  <c r="CM331" i="1" s="1"/>
  <c r="CN331" i="1" s="1"/>
  <c r="CO331" i="1" s="1"/>
  <c r="CP331" i="1" s="1"/>
  <c r="CQ331" i="1" s="1"/>
  <c r="W331" i="1"/>
  <c r="BW331" i="1" s="1"/>
  <c r="X331" i="1"/>
  <c r="Y331" i="1"/>
  <c r="V332" i="1"/>
  <c r="CM332" i="1" s="1"/>
  <c r="CN332" i="1" s="1"/>
  <c r="CO332" i="1" s="1"/>
  <c r="CP332" i="1" s="1"/>
  <c r="CQ332" i="1" s="1"/>
  <c r="W332" i="1"/>
  <c r="BW332" i="1" s="1"/>
  <c r="X332" i="1"/>
  <c r="Y332" i="1"/>
  <c r="V333" i="1"/>
  <c r="CM333" i="1" s="1"/>
  <c r="CN333" i="1" s="1"/>
  <c r="CO333" i="1" s="1"/>
  <c r="CP333" i="1" s="1"/>
  <c r="CQ333" i="1" s="1"/>
  <c r="W333" i="1"/>
  <c r="BW333" i="1" s="1"/>
  <c r="X333" i="1"/>
  <c r="Y333" i="1"/>
  <c r="V334" i="1"/>
  <c r="CM334" i="1" s="1"/>
  <c r="CN334" i="1" s="1"/>
  <c r="CO334" i="1" s="1"/>
  <c r="CP334" i="1" s="1"/>
  <c r="CQ334" i="1" s="1"/>
  <c r="W334" i="1"/>
  <c r="BW334" i="1" s="1"/>
  <c r="X334" i="1"/>
  <c r="Y334" i="1"/>
  <c r="V335" i="1"/>
  <c r="CM335" i="1" s="1"/>
  <c r="CN335" i="1" s="1"/>
  <c r="CO335" i="1" s="1"/>
  <c r="CP335" i="1" s="1"/>
  <c r="CQ335" i="1" s="1"/>
  <c r="W335" i="1"/>
  <c r="BW335" i="1" s="1"/>
  <c r="X335" i="1"/>
  <c r="Y335" i="1"/>
  <c r="V336" i="1"/>
  <c r="CM336" i="1" s="1"/>
  <c r="CN336" i="1" s="1"/>
  <c r="CO336" i="1" s="1"/>
  <c r="CP336" i="1" s="1"/>
  <c r="CQ336" i="1" s="1"/>
  <c r="W336" i="1"/>
  <c r="BW336" i="1" s="1"/>
  <c r="X336" i="1"/>
  <c r="Y336" i="1"/>
  <c r="V337" i="1"/>
  <c r="CM337" i="1" s="1"/>
  <c r="CN337" i="1" s="1"/>
  <c r="CO337" i="1" s="1"/>
  <c r="CP337" i="1" s="1"/>
  <c r="CQ337" i="1" s="1"/>
  <c r="W337" i="1"/>
  <c r="BW337" i="1" s="1"/>
  <c r="X337" i="1"/>
  <c r="Y337" i="1"/>
  <c r="V338" i="1"/>
  <c r="CM338" i="1" s="1"/>
  <c r="CN338" i="1" s="1"/>
  <c r="CO338" i="1" s="1"/>
  <c r="CP338" i="1" s="1"/>
  <c r="CQ338" i="1" s="1"/>
  <c r="W338" i="1"/>
  <c r="BW338" i="1" s="1"/>
  <c r="X338" i="1"/>
  <c r="Y338" i="1"/>
  <c r="V339" i="1"/>
  <c r="CM339" i="1" s="1"/>
  <c r="CN339" i="1" s="1"/>
  <c r="CO339" i="1" s="1"/>
  <c r="CP339" i="1" s="1"/>
  <c r="CQ339" i="1" s="1"/>
  <c r="W339" i="1"/>
  <c r="BW339" i="1" s="1"/>
  <c r="X339" i="1"/>
  <c r="Y339" i="1"/>
  <c r="V340" i="1"/>
  <c r="CM340" i="1" s="1"/>
  <c r="CN340" i="1" s="1"/>
  <c r="CO340" i="1" s="1"/>
  <c r="CP340" i="1" s="1"/>
  <c r="CQ340" i="1" s="1"/>
  <c r="W340" i="1"/>
  <c r="BW340" i="1" s="1"/>
  <c r="X340" i="1"/>
  <c r="Y340" i="1"/>
  <c r="V341" i="1"/>
  <c r="CM341" i="1" s="1"/>
  <c r="CN341" i="1" s="1"/>
  <c r="CO341" i="1" s="1"/>
  <c r="CP341" i="1" s="1"/>
  <c r="CQ341" i="1" s="1"/>
  <c r="W341" i="1"/>
  <c r="BW341" i="1" s="1"/>
  <c r="X341" i="1"/>
  <c r="Y341" i="1"/>
  <c r="V342" i="1"/>
  <c r="CM342" i="1" s="1"/>
  <c r="CN342" i="1" s="1"/>
  <c r="CO342" i="1" s="1"/>
  <c r="CP342" i="1" s="1"/>
  <c r="CQ342" i="1" s="1"/>
  <c r="W342" i="1"/>
  <c r="BW342" i="1" s="1"/>
  <c r="X342" i="1"/>
  <c r="Y342" i="1"/>
  <c r="V343" i="1"/>
  <c r="CM343" i="1" s="1"/>
  <c r="CN343" i="1" s="1"/>
  <c r="CO343" i="1" s="1"/>
  <c r="CP343" i="1" s="1"/>
  <c r="CQ343" i="1" s="1"/>
  <c r="W343" i="1"/>
  <c r="BW343" i="1" s="1"/>
  <c r="X343" i="1"/>
  <c r="Y343" i="1"/>
  <c r="V344" i="1"/>
  <c r="CM344" i="1" s="1"/>
  <c r="CN344" i="1" s="1"/>
  <c r="CO344" i="1" s="1"/>
  <c r="CP344" i="1" s="1"/>
  <c r="CQ344" i="1" s="1"/>
  <c r="W344" i="1"/>
  <c r="BW344" i="1" s="1"/>
  <c r="X344" i="1"/>
  <c r="Y344" i="1"/>
  <c r="V345" i="1"/>
  <c r="CM345" i="1" s="1"/>
  <c r="CN345" i="1" s="1"/>
  <c r="CO345" i="1" s="1"/>
  <c r="CP345" i="1" s="1"/>
  <c r="CQ345" i="1" s="1"/>
  <c r="W345" i="1"/>
  <c r="BW345" i="1" s="1"/>
  <c r="X345" i="1"/>
  <c r="Y345" i="1"/>
  <c r="V346" i="1"/>
  <c r="CM346" i="1" s="1"/>
  <c r="CN346" i="1" s="1"/>
  <c r="CO346" i="1" s="1"/>
  <c r="CP346" i="1" s="1"/>
  <c r="CQ346" i="1" s="1"/>
  <c r="W346" i="1"/>
  <c r="BW346" i="1" s="1"/>
  <c r="X346" i="1"/>
  <c r="Y346" i="1"/>
  <c r="V347" i="1"/>
  <c r="CM347" i="1" s="1"/>
  <c r="CN347" i="1" s="1"/>
  <c r="CO347" i="1" s="1"/>
  <c r="CP347" i="1" s="1"/>
  <c r="CQ347" i="1" s="1"/>
  <c r="W347" i="1"/>
  <c r="BW347" i="1" s="1"/>
  <c r="X347" i="1"/>
  <c r="Y347" i="1"/>
  <c r="V348" i="1"/>
  <c r="CM348" i="1" s="1"/>
  <c r="CN348" i="1" s="1"/>
  <c r="CO348" i="1" s="1"/>
  <c r="CP348" i="1" s="1"/>
  <c r="CQ348" i="1" s="1"/>
  <c r="W348" i="1"/>
  <c r="BW348" i="1" s="1"/>
  <c r="X348" i="1"/>
  <c r="Y348" i="1"/>
  <c r="V349" i="1"/>
  <c r="CM349" i="1" s="1"/>
  <c r="CN349" i="1" s="1"/>
  <c r="CO349" i="1" s="1"/>
  <c r="CP349" i="1" s="1"/>
  <c r="CQ349" i="1" s="1"/>
  <c r="W349" i="1"/>
  <c r="BW349" i="1" s="1"/>
  <c r="X349" i="1"/>
  <c r="Y349" i="1"/>
  <c r="V350" i="1"/>
  <c r="CM350" i="1" s="1"/>
  <c r="CN350" i="1" s="1"/>
  <c r="CO350" i="1" s="1"/>
  <c r="CP350" i="1" s="1"/>
  <c r="CQ350" i="1" s="1"/>
  <c r="W350" i="1"/>
  <c r="BW350" i="1" s="1"/>
  <c r="X350" i="1"/>
  <c r="Y350" i="1"/>
  <c r="V351" i="1"/>
  <c r="CM351" i="1" s="1"/>
  <c r="CN351" i="1" s="1"/>
  <c r="CO351" i="1" s="1"/>
  <c r="CP351" i="1" s="1"/>
  <c r="CQ351" i="1" s="1"/>
  <c r="W351" i="1"/>
  <c r="BW351" i="1" s="1"/>
  <c r="X351" i="1"/>
  <c r="Y351" i="1"/>
  <c r="V352" i="1"/>
  <c r="CM352" i="1" s="1"/>
  <c r="CN352" i="1" s="1"/>
  <c r="CO352" i="1" s="1"/>
  <c r="CP352" i="1" s="1"/>
  <c r="CQ352" i="1" s="1"/>
  <c r="W352" i="1"/>
  <c r="BW352" i="1" s="1"/>
  <c r="X352" i="1"/>
  <c r="Y352" i="1"/>
  <c r="V353" i="1"/>
  <c r="CM353" i="1" s="1"/>
  <c r="CN353" i="1" s="1"/>
  <c r="CO353" i="1" s="1"/>
  <c r="CP353" i="1" s="1"/>
  <c r="CQ353" i="1" s="1"/>
  <c r="W353" i="1"/>
  <c r="BW353" i="1" s="1"/>
  <c r="X353" i="1"/>
  <c r="Y353" i="1"/>
  <c r="V354" i="1"/>
  <c r="CM354" i="1" s="1"/>
  <c r="CN354" i="1" s="1"/>
  <c r="CO354" i="1" s="1"/>
  <c r="CP354" i="1" s="1"/>
  <c r="CQ354" i="1" s="1"/>
  <c r="W354" i="1"/>
  <c r="BW354" i="1" s="1"/>
  <c r="X354" i="1"/>
  <c r="Y354" i="1"/>
  <c r="V355" i="1"/>
  <c r="CM355" i="1" s="1"/>
  <c r="CN355" i="1" s="1"/>
  <c r="CO355" i="1" s="1"/>
  <c r="CP355" i="1" s="1"/>
  <c r="CQ355" i="1" s="1"/>
  <c r="W355" i="1"/>
  <c r="BW355" i="1" s="1"/>
  <c r="X355" i="1"/>
  <c r="Y355" i="1"/>
  <c r="V356" i="1"/>
  <c r="CM356" i="1" s="1"/>
  <c r="CN356" i="1" s="1"/>
  <c r="CO356" i="1" s="1"/>
  <c r="CP356" i="1" s="1"/>
  <c r="CQ356" i="1" s="1"/>
  <c r="W356" i="1"/>
  <c r="BW356" i="1" s="1"/>
  <c r="X356" i="1"/>
  <c r="Y356" i="1"/>
  <c r="V357" i="1"/>
  <c r="CM357" i="1" s="1"/>
  <c r="CN357" i="1" s="1"/>
  <c r="CO357" i="1" s="1"/>
  <c r="CP357" i="1" s="1"/>
  <c r="CQ357" i="1" s="1"/>
  <c r="W357" i="1"/>
  <c r="BW357" i="1" s="1"/>
  <c r="X357" i="1"/>
  <c r="Y357" i="1"/>
  <c r="V358" i="1"/>
  <c r="CM358" i="1" s="1"/>
  <c r="CN358" i="1" s="1"/>
  <c r="CO358" i="1" s="1"/>
  <c r="CP358" i="1" s="1"/>
  <c r="CQ358" i="1" s="1"/>
  <c r="W358" i="1"/>
  <c r="BW358" i="1" s="1"/>
  <c r="X358" i="1"/>
  <c r="Y358" i="1"/>
  <c r="V359" i="1"/>
  <c r="CM359" i="1" s="1"/>
  <c r="CN359" i="1" s="1"/>
  <c r="CO359" i="1" s="1"/>
  <c r="CP359" i="1" s="1"/>
  <c r="CQ359" i="1" s="1"/>
  <c r="W359" i="1"/>
  <c r="BW359" i="1" s="1"/>
  <c r="X359" i="1"/>
  <c r="Y359" i="1"/>
  <c r="V360" i="1"/>
  <c r="CM360" i="1" s="1"/>
  <c r="CN360" i="1" s="1"/>
  <c r="CO360" i="1" s="1"/>
  <c r="CP360" i="1" s="1"/>
  <c r="CQ360" i="1" s="1"/>
  <c r="W360" i="1"/>
  <c r="BW360" i="1" s="1"/>
  <c r="X360" i="1"/>
  <c r="Y360" i="1"/>
  <c r="V361" i="1"/>
  <c r="CM361" i="1" s="1"/>
  <c r="CN361" i="1" s="1"/>
  <c r="CO361" i="1" s="1"/>
  <c r="CP361" i="1" s="1"/>
  <c r="CQ361" i="1" s="1"/>
  <c r="W361" i="1"/>
  <c r="BW361" i="1" s="1"/>
  <c r="X361" i="1"/>
  <c r="Y361" i="1"/>
  <c r="V362" i="1"/>
  <c r="CM362" i="1" s="1"/>
  <c r="CN362" i="1" s="1"/>
  <c r="CO362" i="1" s="1"/>
  <c r="CP362" i="1" s="1"/>
  <c r="CQ362" i="1" s="1"/>
  <c r="W362" i="1"/>
  <c r="BW362" i="1" s="1"/>
  <c r="X362" i="1"/>
  <c r="Y362" i="1"/>
  <c r="V363" i="1"/>
  <c r="CM363" i="1" s="1"/>
  <c r="CN363" i="1" s="1"/>
  <c r="CO363" i="1" s="1"/>
  <c r="CP363" i="1" s="1"/>
  <c r="CQ363" i="1" s="1"/>
  <c r="W363" i="1"/>
  <c r="BW363" i="1" s="1"/>
  <c r="X363" i="1"/>
  <c r="Y363" i="1"/>
  <c r="V364" i="1"/>
  <c r="CM364" i="1" s="1"/>
  <c r="CN364" i="1" s="1"/>
  <c r="CO364" i="1" s="1"/>
  <c r="CP364" i="1" s="1"/>
  <c r="CQ364" i="1" s="1"/>
  <c r="W364" i="1"/>
  <c r="BW364" i="1" s="1"/>
  <c r="X364" i="1"/>
  <c r="Y364" i="1"/>
  <c r="V365" i="1"/>
  <c r="CM365" i="1" s="1"/>
  <c r="CN365" i="1" s="1"/>
  <c r="CO365" i="1" s="1"/>
  <c r="CP365" i="1" s="1"/>
  <c r="CQ365" i="1" s="1"/>
  <c r="W365" i="1"/>
  <c r="BW365" i="1" s="1"/>
  <c r="X365" i="1"/>
  <c r="Y365" i="1"/>
  <c r="V366" i="1"/>
  <c r="CM366" i="1" s="1"/>
  <c r="CN366" i="1" s="1"/>
  <c r="CO366" i="1" s="1"/>
  <c r="CP366" i="1" s="1"/>
  <c r="CQ366" i="1" s="1"/>
  <c r="W366" i="1"/>
  <c r="BW366" i="1" s="1"/>
  <c r="X366" i="1"/>
  <c r="Y366" i="1"/>
  <c r="V367" i="1"/>
  <c r="CM367" i="1" s="1"/>
  <c r="CN367" i="1" s="1"/>
  <c r="CO367" i="1" s="1"/>
  <c r="CP367" i="1" s="1"/>
  <c r="CQ367" i="1" s="1"/>
  <c r="W367" i="1"/>
  <c r="BW367" i="1" s="1"/>
  <c r="X367" i="1"/>
  <c r="Y367" i="1"/>
  <c r="V368" i="1"/>
  <c r="CM368" i="1" s="1"/>
  <c r="CN368" i="1" s="1"/>
  <c r="CO368" i="1" s="1"/>
  <c r="CP368" i="1" s="1"/>
  <c r="CQ368" i="1" s="1"/>
  <c r="W368" i="1"/>
  <c r="BW368" i="1" s="1"/>
  <c r="X368" i="1"/>
  <c r="Y368" i="1"/>
  <c r="V369" i="1"/>
  <c r="CM369" i="1" s="1"/>
  <c r="CN369" i="1" s="1"/>
  <c r="CO369" i="1" s="1"/>
  <c r="CP369" i="1" s="1"/>
  <c r="CQ369" i="1" s="1"/>
  <c r="W369" i="1"/>
  <c r="BW369" i="1" s="1"/>
  <c r="X369" i="1"/>
  <c r="Y369" i="1"/>
  <c r="V370" i="1"/>
  <c r="CM370" i="1" s="1"/>
  <c r="CN370" i="1" s="1"/>
  <c r="CO370" i="1" s="1"/>
  <c r="CP370" i="1" s="1"/>
  <c r="CQ370" i="1" s="1"/>
  <c r="W370" i="1"/>
  <c r="BW370" i="1" s="1"/>
  <c r="X370" i="1"/>
  <c r="Y370" i="1"/>
  <c r="V371" i="1"/>
  <c r="CM371" i="1" s="1"/>
  <c r="CN371" i="1" s="1"/>
  <c r="CO371" i="1" s="1"/>
  <c r="CP371" i="1" s="1"/>
  <c r="CQ371" i="1" s="1"/>
  <c r="W371" i="1"/>
  <c r="BW371" i="1" s="1"/>
  <c r="X371" i="1"/>
  <c r="Y371" i="1"/>
  <c r="V372" i="1"/>
  <c r="CM372" i="1" s="1"/>
  <c r="CN372" i="1" s="1"/>
  <c r="CO372" i="1" s="1"/>
  <c r="CP372" i="1" s="1"/>
  <c r="CQ372" i="1" s="1"/>
  <c r="W372" i="1"/>
  <c r="BW372" i="1" s="1"/>
  <c r="X372" i="1"/>
  <c r="Y372" i="1"/>
  <c r="V373" i="1"/>
  <c r="CM373" i="1" s="1"/>
  <c r="CN373" i="1" s="1"/>
  <c r="CO373" i="1" s="1"/>
  <c r="CP373" i="1" s="1"/>
  <c r="CQ373" i="1" s="1"/>
  <c r="W373" i="1"/>
  <c r="BW373" i="1" s="1"/>
  <c r="X373" i="1"/>
  <c r="Y373" i="1"/>
  <c r="V374" i="1"/>
  <c r="CM374" i="1" s="1"/>
  <c r="CN374" i="1" s="1"/>
  <c r="CO374" i="1" s="1"/>
  <c r="CP374" i="1" s="1"/>
  <c r="CQ374" i="1" s="1"/>
  <c r="W374" i="1"/>
  <c r="BW374" i="1" s="1"/>
  <c r="X374" i="1"/>
  <c r="Y374" i="1"/>
  <c r="V375" i="1"/>
  <c r="CM375" i="1" s="1"/>
  <c r="CN375" i="1" s="1"/>
  <c r="CO375" i="1" s="1"/>
  <c r="CP375" i="1" s="1"/>
  <c r="CQ375" i="1" s="1"/>
  <c r="W375" i="1"/>
  <c r="BW375" i="1" s="1"/>
  <c r="X375" i="1"/>
  <c r="Y375" i="1"/>
  <c r="V376" i="1"/>
  <c r="CM376" i="1" s="1"/>
  <c r="CN376" i="1" s="1"/>
  <c r="CO376" i="1" s="1"/>
  <c r="CP376" i="1" s="1"/>
  <c r="CQ376" i="1" s="1"/>
  <c r="W376" i="1"/>
  <c r="BW376" i="1" s="1"/>
  <c r="X376" i="1"/>
  <c r="Y376" i="1"/>
  <c r="V377" i="1"/>
  <c r="CM377" i="1" s="1"/>
  <c r="CN377" i="1" s="1"/>
  <c r="CO377" i="1" s="1"/>
  <c r="CP377" i="1" s="1"/>
  <c r="CQ377" i="1" s="1"/>
  <c r="W377" i="1"/>
  <c r="BW377" i="1" s="1"/>
  <c r="X377" i="1"/>
  <c r="Y377" i="1"/>
  <c r="V378" i="1"/>
  <c r="CM378" i="1" s="1"/>
  <c r="CN378" i="1" s="1"/>
  <c r="CO378" i="1" s="1"/>
  <c r="CP378" i="1" s="1"/>
  <c r="CQ378" i="1" s="1"/>
  <c r="W378" i="1"/>
  <c r="BW378" i="1" s="1"/>
  <c r="X378" i="1"/>
  <c r="Y378" i="1"/>
  <c r="V379" i="1"/>
  <c r="CM379" i="1" s="1"/>
  <c r="CN379" i="1" s="1"/>
  <c r="CO379" i="1" s="1"/>
  <c r="CP379" i="1" s="1"/>
  <c r="CQ379" i="1" s="1"/>
  <c r="W379" i="1"/>
  <c r="BW379" i="1" s="1"/>
  <c r="X379" i="1"/>
  <c r="Y379" i="1"/>
  <c r="V380" i="1"/>
  <c r="CM380" i="1" s="1"/>
  <c r="CN380" i="1" s="1"/>
  <c r="CO380" i="1" s="1"/>
  <c r="CP380" i="1" s="1"/>
  <c r="CQ380" i="1" s="1"/>
  <c r="W380" i="1"/>
  <c r="BW380" i="1" s="1"/>
  <c r="X380" i="1"/>
  <c r="Y380" i="1"/>
  <c r="V381" i="1"/>
  <c r="CM381" i="1" s="1"/>
  <c r="CN381" i="1" s="1"/>
  <c r="CO381" i="1" s="1"/>
  <c r="CP381" i="1" s="1"/>
  <c r="CQ381" i="1" s="1"/>
  <c r="W381" i="1"/>
  <c r="BW381" i="1" s="1"/>
  <c r="X381" i="1"/>
  <c r="Y381" i="1"/>
  <c r="V382" i="1"/>
  <c r="CM382" i="1" s="1"/>
  <c r="CN382" i="1" s="1"/>
  <c r="CO382" i="1" s="1"/>
  <c r="CP382" i="1" s="1"/>
  <c r="CQ382" i="1" s="1"/>
  <c r="W382" i="1"/>
  <c r="BW382" i="1" s="1"/>
  <c r="X382" i="1"/>
  <c r="Y382" i="1"/>
  <c r="V383" i="1"/>
  <c r="CM383" i="1" s="1"/>
  <c r="CN383" i="1" s="1"/>
  <c r="CO383" i="1" s="1"/>
  <c r="CP383" i="1" s="1"/>
  <c r="CQ383" i="1" s="1"/>
  <c r="W383" i="1"/>
  <c r="BW383" i="1" s="1"/>
  <c r="X383" i="1"/>
  <c r="Y383" i="1"/>
  <c r="V384" i="1"/>
  <c r="CM384" i="1" s="1"/>
  <c r="CN384" i="1" s="1"/>
  <c r="CO384" i="1" s="1"/>
  <c r="CP384" i="1" s="1"/>
  <c r="CQ384" i="1" s="1"/>
  <c r="W384" i="1"/>
  <c r="BW384" i="1" s="1"/>
  <c r="X384" i="1"/>
  <c r="Y384" i="1"/>
  <c r="V385" i="1"/>
  <c r="CM385" i="1" s="1"/>
  <c r="CN385" i="1" s="1"/>
  <c r="CO385" i="1" s="1"/>
  <c r="CP385" i="1" s="1"/>
  <c r="CQ385" i="1" s="1"/>
  <c r="W385" i="1"/>
  <c r="BW385" i="1" s="1"/>
  <c r="X385" i="1"/>
  <c r="Y385" i="1"/>
  <c r="V386" i="1"/>
  <c r="CM386" i="1" s="1"/>
  <c r="CN386" i="1" s="1"/>
  <c r="CO386" i="1" s="1"/>
  <c r="CP386" i="1" s="1"/>
  <c r="CQ386" i="1" s="1"/>
  <c r="W386" i="1"/>
  <c r="BW386" i="1" s="1"/>
  <c r="X386" i="1"/>
  <c r="Y386" i="1"/>
  <c r="V387" i="1"/>
  <c r="CM387" i="1" s="1"/>
  <c r="CN387" i="1" s="1"/>
  <c r="CO387" i="1" s="1"/>
  <c r="CP387" i="1" s="1"/>
  <c r="CQ387" i="1" s="1"/>
  <c r="W387" i="1"/>
  <c r="BW387" i="1" s="1"/>
  <c r="X387" i="1"/>
  <c r="Y387" i="1"/>
  <c r="V388" i="1"/>
  <c r="CM388" i="1" s="1"/>
  <c r="CN388" i="1" s="1"/>
  <c r="CO388" i="1" s="1"/>
  <c r="CP388" i="1" s="1"/>
  <c r="CQ388" i="1" s="1"/>
  <c r="W388" i="1"/>
  <c r="BW388" i="1" s="1"/>
  <c r="X388" i="1"/>
  <c r="Y388" i="1"/>
  <c r="V389" i="1"/>
  <c r="CM389" i="1" s="1"/>
  <c r="CN389" i="1" s="1"/>
  <c r="CO389" i="1" s="1"/>
  <c r="CP389" i="1" s="1"/>
  <c r="CQ389" i="1" s="1"/>
  <c r="W389" i="1"/>
  <c r="BW389" i="1" s="1"/>
  <c r="X389" i="1"/>
  <c r="Y389" i="1"/>
  <c r="V390" i="1"/>
  <c r="CM390" i="1" s="1"/>
  <c r="CN390" i="1" s="1"/>
  <c r="CO390" i="1" s="1"/>
  <c r="CP390" i="1" s="1"/>
  <c r="CQ390" i="1" s="1"/>
  <c r="W390" i="1"/>
  <c r="BW390" i="1" s="1"/>
  <c r="X390" i="1"/>
  <c r="Y390" i="1"/>
  <c r="V391" i="1"/>
  <c r="CM391" i="1" s="1"/>
  <c r="CN391" i="1" s="1"/>
  <c r="CO391" i="1" s="1"/>
  <c r="CP391" i="1" s="1"/>
  <c r="CQ391" i="1" s="1"/>
  <c r="W391" i="1"/>
  <c r="BW391" i="1" s="1"/>
  <c r="X391" i="1"/>
  <c r="Y391" i="1"/>
  <c r="V392" i="1"/>
  <c r="CM392" i="1" s="1"/>
  <c r="CN392" i="1" s="1"/>
  <c r="CO392" i="1" s="1"/>
  <c r="CP392" i="1" s="1"/>
  <c r="CQ392" i="1" s="1"/>
  <c r="W392" i="1"/>
  <c r="BW392" i="1" s="1"/>
  <c r="X392" i="1"/>
  <c r="Y392" i="1"/>
  <c r="V393" i="1"/>
  <c r="CM393" i="1" s="1"/>
  <c r="CN393" i="1" s="1"/>
  <c r="CO393" i="1" s="1"/>
  <c r="CP393" i="1" s="1"/>
  <c r="CQ393" i="1" s="1"/>
  <c r="W393" i="1"/>
  <c r="BW393" i="1" s="1"/>
  <c r="X393" i="1"/>
  <c r="Y393" i="1"/>
  <c r="V394" i="1"/>
  <c r="CM394" i="1" s="1"/>
  <c r="CN394" i="1" s="1"/>
  <c r="CO394" i="1" s="1"/>
  <c r="CP394" i="1" s="1"/>
  <c r="CQ394" i="1" s="1"/>
  <c r="W394" i="1"/>
  <c r="BW394" i="1" s="1"/>
  <c r="X394" i="1"/>
  <c r="Y394" i="1"/>
  <c r="V395" i="1"/>
  <c r="CM395" i="1" s="1"/>
  <c r="CN395" i="1" s="1"/>
  <c r="CO395" i="1" s="1"/>
  <c r="CP395" i="1" s="1"/>
  <c r="CQ395" i="1" s="1"/>
  <c r="W395" i="1"/>
  <c r="BW395" i="1" s="1"/>
  <c r="X395" i="1"/>
  <c r="Y395" i="1"/>
  <c r="V396" i="1"/>
  <c r="CM396" i="1" s="1"/>
  <c r="CN396" i="1" s="1"/>
  <c r="CO396" i="1" s="1"/>
  <c r="CP396" i="1" s="1"/>
  <c r="CQ396" i="1" s="1"/>
  <c r="W396" i="1"/>
  <c r="BW396" i="1" s="1"/>
  <c r="X396" i="1"/>
  <c r="Y396" i="1"/>
  <c r="V397" i="1"/>
  <c r="CM397" i="1" s="1"/>
  <c r="CN397" i="1" s="1"/>
  <c r="CO397" i="1" s="1"/>
  <c r="CP397" i="1" s="1"/>
  <c r="CQ397" i="1" s="1"/>
  <c r="W397" i="1"/>
  <c r="BW397" i="1" s="1"/>
  <c r="X397" i="1"/>
  <c r="Y397" i="1"/>
  <c r="V398" i="1"/>
  <c r="CM398" i="1" s="1"/>
  <c r="CN398" i="1" s="1"/>
  <c r="CO398" i="1" s="1"/>
  <c r="CP398" i="1" s="1"/>
  <c r="CQ398" i="1" s="1"/>
  <c r="W398" i="1"/>
  <c r="BW398" i="1" s="1"/>
  <c r="X398" i="1"/>
  <c r="Y398" i="1"/>
  <c r="V399" i="1"/>
  <c r="CM399" i="1" s="1"/>
  <c r="CN399" i="1" s="1"/>
  <c r="CO399" i="1" s="1"/>
  <c r="CP399" i="1" s="1"/>
  <c r="CQ399" i="1" s="1"/>
  <c r="W399" i="1"/>
  <c r="BW399" i="1" s="1"/>
  <c r="X399" i="1"/>
  <c r="Y399" i="1"/>
  <c r="V400" i="1"/>
  <c r="CM400" i="1" s="1"/>
  <c r="CN400" i="1" s="1"/>
  <c r="CO400" i="1" s="1"/>
  <c r="CP400" i="1" s="1"/>
  <c r="CQ400" i="1" s="1"/>
  <c r="W400" i="1"/>
  <c r="BW400" i="1" s="1"/>
  <c r="X400" i="1"/>
  <c r="Y400" i="1"/>
  <c r="V401" i="1"/>
  <c r="CM401" i="1" s="1"/>
  <c r="CN401" i="1" s="1"/>
  <c r="CO401" i="1" s="1"/>
  <c r="CP401" i="1" s="1"/>
  <c r="CQ401" i="1" s="1"/>
  <c r="W401" i="1"/>
  <c r="BW401" i="1" s="1"/>
  <c r="X401" i="1"/>
  <c r="Y401" i="1"/>
  <c r="V402" i="1"/>
  <c r="CM402" i="1" s="1"/>
  <c r="CN402" i="1" s="1"/>
  <c r="CO402" i="1" s="1"/>
  <c r="CP402" i="1" s="1"/>
  <c r="CQ402" i="1" s="1"/>
  <c r="W402" i="1"/>
  <c r="BW402" i="1" s="1"/>
  <c r="X402" i="1"/>
  <c r="Y402" i="1"/>
  <c r="V403" i="1"/>
  <c r="CM403" i="1" s="1"/>
  <c r="CN403" i="1" s="1"/>
  <c r="CO403" i="1" s="1"/>
  <c r="CP403" i="1" s="1"/>
  <c r="CQ403" i="1" s="1"/>
  <c r="W403" i="1"/>
  <c r="BW403" i="1" s="1"/>
  <c r="X403" i="1"/>
  <c r="Y403" i="1"/>
  <c r="V404" i="1"/>
  <c r="CM404" i="1" s="1"/>
  <c r="CN404" i="1" s="1"/>
  <c r="CO404" i="1" s="1"/>
  <c r="CP404" i="1" s="1"/>
  <c r="CQ404" i="1" s="1"/>
  <c r="W404" i="1"/>
  <c r="BW404" i="1" s="1"/>
  <c r="X404" i="1"/>
  <c r="Y404" i="1"/>
  <c r="V405" i="1"/>
  <c r="CM405" i="1" s="1"/>
  <c r="CN405" i="1" s="1"/>
  <c r="CO405" i="1" s="1"/>
  <c r="CP405" i="1" s="1"/>
  <c r="CQ405" i="1" s="1"/>
  <c r="W405" i="1"/>
  <c r="BW405" i="1" s="1"/>
  <c r="X405" i="1"/>
  <c r="Y405" i="1"/>
  <c r="V406" i="1"/>
  <c r="CM406" i="1" s="1"/>
  <c r="CN406" i="1" s="1"/>
  <c r="CO406" i="1" s="1"/>
  <c r="CP406" i="1" s="1"/>
  <c r="CQ406" i="1" s="1"/>
  <c r="W406" i="1"/>
  <c r="BW406" i="1" s="1"/>
  <c r="X406" i="1"/>
  <c r="Y406" i="1"/>
  <c r="V407" i="1"/>
  <c r="CM407" i="1" s="1"/>
  <c r="CN407" i="1" s="1"/>
  <c r="CO407" i="1" s="1"/>
  <c r="CP407" i="1" s="1"/>
  <c r="CQ407" i="1" s="1"/>
  <c r="W407" i="1"/>
  <c r="BW407" i="1" s="1"/>
  <c r="X407" i="1"/>
  <c r="Y407" i="1"/>
  <c r="V408" i="1"/>
  <c r="CM408" i="1" s="1"/>
  <c r="CN408" i="1" s="1"/>
  <c r="CO408" i="1" s="1"/>
  <c r="CP408" i="1" s="1"/>
  <c r="CQ408" i="1" s="1"/>
  <c r="W408" i="1"/>
  <c r="BW408" i="1" s="1"/>
  <c r="X408" i="1"/>
  <c r="Y408" i="1"/>
  <c r="V409" i="1"/>
  <c r="CM409" i="1" s="1"/>
  <c r="CN409" i="1" s="1"/>
  <c r="CO409" i="1" s="1"/>
  <c r="CP409" i="1" s="1"/>
  <c r="CQ409" i="1" s="1"/>
  <c r="W409" i="1"/>
  <c r="BW409" i="1" s="1"/>
  <c r="X409" i="1"/>
  <c r="Y409" i="1"/>
  <c r="V410" i="1"/>
  <c r="CM410" i="1" s="1"/>
  <c r="CN410" i="1" s="1"/>
  <c r="CO410" i="1" s="1"/>
  <c r="CP410" i="1" s="1"/>
  <c r="CQ410" i="1" s="1"/>
  <c r="W410" i="1"/>
  <c r="BW410" i="1" s="1"/>
  <c r="X410" i="1"/>
  <c r="Y410" i="1"/>
  <c r="V411" i="1"/>
  <c r="CM411" i="1" s="1"/>
  <c r="CN411" i="1" s="1"/>
  <c r="CO411" i="1" s="1"/>
  <c r="CP411" i="1" s="1"/>
  <c r="CQ411" i="1" s="1"/>
  <c r="W411" i="1"/>
  <c r="BW411" i="1" s="1"/>
  <c r="X411" i="1"/>
  <c r="Y411" i="1"/>
  <c r="V412" i="1"/>
  <c r="CM412" i="1" s="1"/>
  <c r="CN412" i="1" s="1"/>
  <c r="CO412" i="1" s="1"/>
  <c r="CP412" i="1" s="1"/>
  <c r="CQ412" i="1" s="1"/>
  <c r="W412" i="1"/>
  <c r="BW412" i="1" s="1"/>
  <c r="X412" i="1"/>
  <c r="Y412" i="1"/>
  <c r="V413" i="1"/>
  <c r="CM413" i="1" s="1"/>
  <c r="CN413" i="1" s="1"/>
  <c r="CO413" i="1" s="1"/>
  <c r="CP413" i="1" s="1"/>
  <c r="CQ413" i="1" s="1"/>
  <c r="W413" i="1"/>
  <c r="BW413" i="1" s="1"/>
  <c r="X413" i="1"/>
  <c r="Y413" i="1"/>
  <c r="V414" i="1"/>
  <c r="CM414" i="1" s="1"/>
  <c r="CN414" i="1" s="1"/>
  <c r="CO414" i="1" s="1"/>
  <c r="CP414" i="1" s="1"/>
  <c r="CQ414" i="1" s="1"/>
  <c r="W414" i="1"/>
  <c r="BW414" i="1" s="1"/>
  <c r="X414" i="1"/>
  <c r="Y414" i="1"/>
  <c r="V415" i="1"/>
  <c r="CM415" i="1" s="1"/>
  <c r="CN415" i="1" s="1"/>
  <c r="CO415" i="1" s="1"/>
  <c r="CP415" i="1" s="1"/>
  <c r="CQ415" i="1" s="1"/>
  <c r="W415" i="1"/>
  <c r="BW415" i="1" s="1"/>
  <c r="X415" i="1"/>
  <c r="Y415" i="1"/>
  <c r="V416" i="1"/>
  <c r="CM416" i="1" s="1"/>
  <c r="CN416" i="1" s="1"/>
  <c r="CO416" i="1" s="1"/>
  <c r="CP416" i="1" s="1"/>
  <c r="CQ416" i="1" s="1"/>
  <c r="W416" i="1"/>
  <c r="BW416" i="1" s="1"/>
  <c r="X416" i="1"/>
  <c r="Y416" i="1"/>
  <c r="V417" i="1"/>
  <c r="CM417" i="1" s="1"/>
  <c r="CN417" i="1" s="1"/>
  <c r="CO417" i="1" s="1"/>
  <c r="CP417" i="1" s="1"/>
  <c r="CQ417" i="1" s="1"/>
  <c r="W417" i="1"/>
  <c r="BW417" i="1" s="1"/>
  <c r="X417" i="1"/>
  <c r="Y417" i="1"/>
  <c r="V418" i="1"/>
  <c r="CM418" i="1" s="1"/>
  <c r="CN418" i="1" s="1"/>
  <c r="CO418" i="1" s="1"/>
  <c r="CP418" i="1" s="1"/>
  <c r="CQ418" i="1" s="1"/>
  <c r="W418" i="1"/>
  <c r="BW418" i="1" s="1"/>
  <c r="X418" i="1"/>
  <c r="Y418" i="1"/>
  <c r="V419" i="1"/>
  <c r="CM419" i="1" s="1"/>
  <c r="CN419" i="1" s="1"/>
  <c r="CO419" i="1" s="1"/>
  <c r="CP419" i="1" s="1"/>
  <c r="CQ419" i="1" s="1"/>
  <c r="W419" i="1"/>
  <c r="BW419" i="1" s="1"/>
  <c r="X419" i="1"/>
  <c r="Y419" i="1"/>
  <c r="V420" i="1"/>
  <c r="CM420" i="1" s="1"/>
  <c r="CN420" i="1" s="1"/>
  <c r="CO420" i="1" s="1"/>
  <c r="CP420" i="1" s="1"/>
  <c r="CQ420" i="1" s="1"/>
  <c r="W420" i="1"/>
  <c r="BW420" i="1" s="1"/>
  <c r="X420" i="1"/>
  <c r="Y420" i="1"/>
  <c r="V421" i="1"/>
  <c r="CM421" i="1" s="1"/>
  <c r="CN421" i="1" s="1"/>
  <c r="CO421" i="1" s="1"/>
  <c r="CP421" i="1" s="1"/>
  <c r="CQ421" i="1" s="1"/>
  <c r="W421" i="1"/>
  <c r="BW421" i="1" s="1"/>
  <c r="X421" i="1"/>
  <c r="Y421" i="1"/>
  <c r="V422" i="1"/>
  <c r="CM422" i="1" s="1"/>
  <c r="CN422" i="1" s="1"/>
  <c r="CO422" i="1" s="1"/>
  <c r="CP422" i="1" s="1"/>
  <c r="CQ422" i="1" s="1"/>
  <c r="W422" i="1"/>
  <c r="BW422" i="1" s="1"/>
  <c r="X422" i="1"/>
  <c r="Y422" i="1"/>
  <c r="V423" i="1"/>
  <c r="CM423" i="1" s="1"/>
  <c r="CN423" i="1" s="1"/>
  <c r="CO423" i="1" s="1"/>
  <c r="CP423" i="1" s="1"/>
  <c r="CQ423" i="1" s="1"/>
  <c r="W423" i="1"/>
  <c r="BW423" i="1" s="1"/>
  <c r="X423" i="1"/>
  <c r="Y423" i="1"/>
  <c r="V424" i="1"/>
  <c r="CM424" i="1" s="1"/>
  <c r="CN424" i="1" s="1"/>
  <c r="CO424" i="1" s="1"/>
  <c r="CP424" i="1" s="1"/>
  <c r="CQ424" i="1" s="1"/>
  <c r="W424" i="1"/>
  <c r="BW424" i="1" s="1"/>
  <c r="X424" i="1"/>
  <c r="Y424" i="1"/>
  <c r="V425" i="1"/>
  <c r="CM425" i="1" s="1"/>
  <c r="CN425" i="1" s="1"/>
  <c r="CO425" i="1" s="1"/>
  <c r="CP425" i="1" s="1"/>
  <c r="CQ425" i="1" s="1"/>
  <c r="W425" i="1"/>
  <c r="BW425" i="1" s="1"/>
  <c r="X425" i="1"/>
  <c r="Y425" i="1"/>
  <c r="V426" i="1"/>
  <c r="CM426" i="1" s="1"/>
  <c r="CN426" i="1" s="1"/>
  <c r="CO426" i="1" s="1"/>
  <c r="CP426" i="1" s="1"/>
  <c r="CQ426" i="1" s="1"/>
  <c r="W426" i="1"/>
  <c r="BW426" i="1" s="1"/>
  <c r="X426" i="1"/>
  <c r="Y426" i="1"/>
  <c r="V427" i="1"/>
  <c r="CM427" i="1" s="1"/>
  <c r="CN427" i="1" s="1"/>
  <c r="CO427" i="1" s="1"/>
  <c r="CP427" i="1" s="1"/>
  <c r="CQ427" i="1" s="1"/>
  <c r="W427" i="1"/>
  <c r="BW427" i="1" s="1"/>
  <c r="X427" i="1"/>
  <c r="Y427" i="1"/>
  <c r="V428" i="1"/>
  <c r="CM428" i="1" s="1"/>
  <c r="CN428" i="1" s="1"/>
  <c r="CO428" i="1" s="1"/>
  <c r="CP428" i="1" s="1"/>
  <c r="CQ428" i="1" s="1"/>
  <c r="W428" i="1"/>
  <c r="BW428" i="1" s="1"/>
  <c r="X428" i="1"/>
  <c r="Y428" i="1"/>
  <c r="V429" i="1"/>
  <c r="CM429" i="1" s="1"/>
  <c r="CN429" i="1" s="1"/>
  <c r="CO429" i="1" s="1"/>
  <c r="CP429" i="1" s="1"/>
  <c r="CQ429" i="1" s="1"/>
  <c r="W429" i="1"/>
  <c r="BW429" i="1" s="1"/>
  <c r="X429" i="1"/>
  <c r="Y429" i="1"/>
  <c r="V430" i="1"/>
  <c r="CM430" i="1" s="1"/>
  <c r="CN430" i="1" s="1"/>
  <c r="CO430" i="1" s="1"/>
  <c r="CP430" i="1" s="1"/>
  <c r="CQ430" i="1" s="1"/>
  <c r="W430" i="1"/>
  <c r="BW430" i="1" s="1"/>
  <c r="X430" i="1"/>
  <c r="Y430" i="1"/>
  <c r="V431" i="1"/>
  <c r="W431" i="1"/>
  <c r="BW431" i="1" s="1"/>
  <c r="X431" i="1"/>
  <c r="Y431" i="1"/>
  <c r="V432" i="1"/>
  <c r="CM432" i="1" s="1"/>
  <c r="CN432" i="1" s="1"/>
  <c r="CO432" i="1" s="1"/>
  <c r="CP432" i="1" s="1"/>
  <c r="CQ432" i="1" s="1"/>
  <c r="W432" i="1"/>
  <c r="BW432" i="1" s="1"/>
  <c r="X432" i="1"/>
  <c r="Y432" i="1"/>
  <c r="V433" i="1"/>
  <c r="W433" i="1"/>
  <c r="BW433" i="1" s="1"/>
  <c r="X433" i="1"/>
  <c r="Y433" i="1"/>
  <c r="V434" i="1"/>
  <c r="CM434" i="1" s="1"/>
  <c r="CN434" i="1" s="1"/>
  <c r="CO434" i="1" s="1"/>
  <c r="CP434" i="1" s="1"/>
  <c r="CQ434" i="1" s="1"/>
  <c r="W434" i="1"/>
  <c r="BW434" i="1" s="1"/>
  <c r="X434" i="1"/>
  <c r="Y434" i="1"/>
  <c r="V435" i="1"/>
  <c r="CM435" i="1" s="1"/>
  <c r="CN435" i="1" s="1"/>
  <c r="CO435" i="1" s="1"/>
  <c r="CP435" i="1" s="1"/>
  <c r="CQ435" i="1" s="1"/>
  <c r="W435" i="1"/>
  <c r="BW435" i="1" s="1"/>
  <c r="X435" i="1"/>
  <c r="Y435" i="1"/>
  <c r="V436" i="1"/>
  <c r="CM436" i="1" s="1"/>
  <c r="CN436" i="1" s="1"/>
  <c r="CO436" i="1" s="1"/>
  <c r="CP436" i="1" s="1"/>
  <c r="CQ436" i="1" s="1"/>
  <c r="W436" i="1"/>
  <c r="BW436" i="1" s="1"/>
  <c r="X436" i="1"/>
  <c r="Y436" i="1"/>
  <c r="V437" i="1"/>
  <c r="CM437" i="1" s="1"/>
  <c r="CN437" i="1" s="1"/>
  <c r="CO437" i="1" s="1"/>
  <c r="CP437" i="1" s="1"/>
  <c r="CQ437" i="1" s="1"/>
  <c r="W437" i="1"/>
  <c r="BW437" i="1" s="1"/>
  <c r="X437" i="1"/>
  <c r="Y437" i="1"/>
  <c r="V438" i="1"/>
  <c r="CM438" i="1" s="1"/>
  <c r="CN438" i="1" s="1"/>
  <c r="CO438" i="1" s="1"/>
  <c r="CP438" i="1" s="1"/>
  <c r="CQ438" i="1" s="1"/>
  <c r="W438" i="1"/>
  <c r="BW438" i="1" s="1"/>
  <c r="X438" i="1"/>
  <c r="Y438" i="1"/>
  <c r="V439" i="1"/>
  <c r="CM439" i="1" s="1"/>
  <c r="CN439" i="1" s="1"/>
  <c r="CO439" i="1" s="1"/>
  <c r="CP439" i="1" s="1"/>
  <c r="CQ439" i="1" s="1"/>
  <c r="W439" i="1"/>
  <c r="BW439" i="1" s="1"/>
  <c r="X439" i="1"/>
  <c r="Y439" i="1"/>
  <c r="V440" i="1"/>
  <c r="CM440" i="1" s="1"/>
  <c r="CN440" i="1" s="1"/>
  <c r="CO440" i="1" s="1"/>
  <c r="CP440" i="1" s="1"/>
  <c r="CQ440" i="1" s="1"/>
  <c r="W440" i="1"/>
  <c r="BW440" i="1" s="1"/>
  <c r="X440" i="1"/>
  <c r="Y440" i="1"/>
  <c r="V441" i="1"/>
  <c r="CM441" i="1" s="1"/>
  <c r="CN441" i="1" s="1"/>
  <c r="CO441" i="1" s="1"/>
  <c r="CP441" i="1" s="1"/>
  <c r="CQ441" i="1" s="1"/>
  <c r="W441" i="1"/>
  <c r="BW441" i="1" s="1"/>
  <c r="X441" i="1"/>
  <c r="Y441" i="1"/>
  <c r="V442" i="1"/>
  <c r="CM442" i="1" s="1"/>
  <c r="CN442" i="1" s="1"/>
  <c r="CO442" i="1" s="1"/>
  <c r="CP442" i="1" s="1"/>
  <c r="CQ442" i="1" s="1"/>
  <c r="W442" i="1"/>
  <c r="BW442" i="1" s="1"/>
  <c r="X442" i="1"/>
  <c r="Y442" i="1"/>
  <c r="V443" i="1"/>
  <c r="CM443" i="1" s="1"/>
  <c r="CN443" i="1" s="1"/>
  <c r="CO443" i="1" s="1"/>
  <c r="CP443" i="1" s="1"/>
  <c r="CQ443" i="1" s="1"/>
  <c r="W443" i="1"/>
  <c r="BW443" i="1" s="1"/>
  <c r="X443" i="1"/>
  <c r="Y443" i="1"/>
  <c r="V444" i="1"/>
  <c r="CM444" i="1" s="1"/>
  <c r="CN444" i="1" s="1"/>
  <c r="CO444" i="1" s="1"/>
  <c r="CP444" i="1" s="1"/>
  <c r="CQ444" i="1" s="1"/>
  <c r="W444" i="1"/>
  <c r="BW444" i="1" s="1"/>
  <c r="X444" i="1"/>
  <c r="Y444" i="1"/>
  <c r="V445" i="1"/>
  <c r="CM445" i="1" s="1"/>
  <c r="CN445" i="1" s="1"/>
  <c r="CO445" i="1" s="1"/>
  <c r="CP445" i="1" s="1"/>
  <c r="CQ445" i="1" s="1"/>
  <c r="W445" i="1"/>
  <c r="BW445" i="1" s="1"/>
  <c r="X445" i="1"/>
  <c r="Y445" i="1"/>
  <c r="V446" i="1"/>
  <c r="CM446" i="1" s="1"/>
  <c r="CN446" i="1" s="1"/>
  <c r="CO446" i="1" s="1"/>
  <c r="CP446" i="1" s="1"/>
  <c r="CQ446" i="1" s="1"/>
  <c r="W446" i="1"/>
  <c r="BW446" i="1" s="1"/>
  <c r="X446" i="1"/>
  <c r="Y446" i="1"/>
  <c r="V447" i="1"/>
  <c r="CM447" i="1" s="1"/>
  <c r="CN447" i="1" s="1"/>
  <c r="CO447" i="1" s="1"/>
  <c r="CP447" i="1" s="1"/>
  <c r="CQ447" i="1" s="1"/>
  <c r="W447" i="1"/>
  <c r="BW447" i="1" s="1"/>
  <c r="X447" i="1"/>
  <c r="Y447" i="1"/>
  <c r="V448" i="1"/>
  <c r="CM448" i="1" s="1"/>
  <c r="CN448" i="1" s="1"/>
  <c r="CO448" i="1" s="1"/>
  <c r="CP448" i="1" s="1"/>
  <c r="CQ448" i="1" s="1"/>
  <c r="W448" i="1"/>
  <c r="BW448" i="1" s="1"/>
  <c r="X448" i="1"/>
  <c r="Y448" i="1"/>
  <c r="V449" i="1"/>
  <c r="CM449" i="1" s="1"/>
  <c r="CN449" i="1" s="1"/>
  <c r="CO449" i="1" s="1"/>
  <c r="CP449" i="1" s="1"/>
  <c r="CQ449" i="1" s="1"/>
  <c r="W449" i="1"/>
  <c r="BW449" i="1" s="1"/>
  <c r="X449" i="1"/>
  <c r="Y449" i="1"/>
  <c r="V450" i="1"/>
  <c r="CM450" i="1" s="1"/>
  <c r="CN450" i="1" s="1"/>
  <c r="CO450" i="1" s="1"/>
  <c r="CP450" i="1" s="1"/>
  <c r="CQ450" i="1" s="1"/>
  <c r="W450" i="1"/>
  <c r="BW450" i="1" s="1"/>
  <c r="X450" i="1"/>
  <c r="Y450" i="1"/>
  <c r="V451" i="1"/>
  <c r="CM451" i="1" s="1"/>
  <c r="CN451" i="1" s="1"/>
  <c r="CO451" i="1" s="1"/>
  <c r="CP451" i="1" s="1"/>
  <c r="CQ451" i="1" s="1"/>
  <c r="W451" i="1"/>
  <c r="BW451" i="1" s="1"/>
  <c r="X451" i="1"/>
  <c r="Y451" i="1"/>
  <c r="V452" i="1"/>
  <c r="CM452" i="1" s="1"/>
  <c r="CN452" i="1" s="1"/>
  <c r="CO452" i="1" s="1"/>
  <c r="CP452" i="1" s="1"/>
  <c r="CQ452" i="1" s="1"/>
  <c r="W452" i="1"/>
  <c r="BW452" i="1" s="1"/>
  <c r="X452" i="1"/>
  <c r="Y452" i="1"/>
  <c r="V453" i="1"/>
  <c r="CM453" i="1" s="1"/>
  <c r="CN453" i="1" s="1"/>
  <c r="CO453" i="1" s="1"/>
  <c r="CP453" i="1" s="1"/>
  <c r="CQ453" i="1" s="1"/>
  <c r="W453" i="1"/>
  <c r="BW453" i="1" s="1"/>
  <c r="X453" i="1"/>
  <c r="Y453" i="1"/>
  <c r="V454" i="1"/>
  <c r="CM454" i="1" s="1"/>
  <c r="CN454" i="1" s="1"/>
  <c r="CO454" i="1" s="1"/>
  <c r="CP454" i="1" s="1"/>
  <c r="CQ454" i="1" s="1"/>
  <c r="W454" i="1"/>
  <c r="BW454" i="1" s="1"/>
  <c r="X454" i="1"/>
  <c r="Y454" i="1"/>
  <c r="V455" i="1"/>
  <c r="CM455" i="1" s="1"/>
  <c r="CN455" i="1" s="1"/>
  <c r="CO455" i="1" s="1"/>
  <c r="CP455" i="1" s="1"/>
  <c r="CQ455" i="1" s="1"/>
  <c r="W455" i="1"/>
  <c r="BW455" i="1" s="1"/>
  <c r="X455" i="1"/>
  <c r="Y455" i="1"/>
  <c r="V456" i="1"/>
  <c r="CM456" i="1" s="1"/>
  <c r="CN456" i="1" s="1"/>
  <c r="CO456" i="1" s="1"/>
  <c r="CP456" i="1" s="1"/>
  <c r="CQ456" i="1" s="1"/>
  <c r="W456" i="1"/>
  <c r="BW456" i="1" s="1"/>
  <c r="X456" i="1"/>
  <c r="Y456" i="1"/>
  <c r="V457" i="1"/>
  <c r="CM457" i="1" s="1"/>
  <c r="CN457" i="1" s="1"/>
  <c r="CO457" i="1" s="1"/>
  <c r="CP457" i="1" s="1"/>
  <c r="CQ457" i="1" s="1"/>
  <c r="W457" i="1"/>
  <c r="BW457" i="1" s="1"/>
  <c r="X457" i="1"/>
  <c r="Y457" i="1"/>
  <c r="V458" i="1"/>
  <c r="CM458" i="1" s="1"/>
  <c r="CN458" i="1" s="1"/>
  <c r="CO458" i="1" s="1"/>
  <c r="CP458" i="1" s="1"/>
  <c r="CQ458" i="1" s="1"/>
  <c r="W458" i="1"/>
  <c r="BW458" i="1" s="1"/>
  <c r="X458" i="1"/>
  <c r="Y458" i="1"/>
  <c r="V459" i="1"/>
  <c r="CM459" i="1" s="1"/>
  <c r="CN459" i="1" s="1"/>
  <c r="CO459" i="1" s="1"/>
  <c r="CP459" i="1" s="1"/>
  <c r="CQ459" i="1" s="1"/>
  <c r="W459" i="1"/>
  <c r="BW459" i="1" s="1"/>
  <c r="X459" i="1"/>
  <c r="Y459" i="1"/>
  <c r="V460" i="1"/>
  <c r="CM460" i="1" s="1"/>
  <c r="CN460" i="1" s="1"/>
  <c r="CO460" i="1" s="1"/>
  <c r="CP460" i="1" s="1"/>
  <c r="CQ460" i="1" s="1"/>
  <c r="W460" i="1"/>
  <c r="BW460" i="1" s="1"/>
  <c r="X460" i="1"/>
  <c r="Y460" i="1"/>
  <c r="V461" i="1"/>
  <c r="CM461" i="1" s="1"/>
  <c r="CN461" i="1" s="1"/>
  <c r="CO461" i="1" s="1"/>
  <c r="CP461" i="1" s="1"/>
  <c r="CQ461" i="1" s="1"/>
  <c r="W461" i="1"/>
  <c r="BW461" i="1" s="1"/>
  <c r="X461" i="1"/>
  <c r="Y461" i="1"/>
  <c r="V462" i="1"/>
  <c r="CM462" i="1" s="1"/>
  <c r="CN462" i="1" s="1"/>
  <c r="CO462" i="1" s="1"/>
  <c r="CP462" i="1" s="1"/>
  <c r="CQ462" i="1" s="1"/>
  <c r="W462" i="1"/>
  <c r="BW462" i="1" s="1"/>
  <c r="X462" i="1"/>
  <c r="Y462" i="1"/>
  <c r="V463" i="1"/>
  <c r="CM463" i="1" s="1"/>
  <c r="CN463" i="1" s="1"/>
  <c r="CO463" i="1" s="1"/>
  <c r="CP463" i="1" s="1"/>
  <c r="CQ463" i="1" s="1"/>
  <c r="W463" i="1"/>
  <c r="BW463" i="1" s="1"/>
  <c r="X463" i="1"/>
  <c r="Y463" i="1"/>
  <c r="V464" i="1"/>
  <c r="CM464" i="1" s="1"/>
  <c r="CN464" i="1" s="1"/>
  <c r="CO464" i="1" s="1"/>
  <c r="CP464" i="1" s="1"/>
  <c r="CQ464" i="1" s="1"/>
  <c r="W464" i="1"/>
  <c r="BW464" i="1" s="1"/>
  <c r="X464" i="1"/>
  <c r="Y464" i="1"/>
  <c r="V465" i="1"/>
  <c r="CM465" i="1" s="1"/>
  <c r="CN465" i="1" s="1"/>
  <c r="CO465" i="1" s="1"/>
  <c r="CP465" i="1" s="1"/>
  <c r="CQ465" i="1" s="1"/>
  <c r="W465" i="1"/>
  <c r="BW465" i="1" s="1"/>
  <c r="X465" i="1"/>
  <c r="Y465" i="1"/>
  <c r="V466" i="1"/>
  <c r="CM466" i="1" s="1"/>
  <c r="CN466" i="1" s="1"/>
  <c r="CO466" i="1" s="1"/>
  <c r="CP466" i="1" s="1"/>
  <c r="CQ466" i="1" s="1"/>
  <c r="W466" i="1"/>
  <c r="BW466" i="1" s="1"/>
  <c r="X466" i="1"/>
  <c r="Y466" i="1"/>
  <c r="V467" i="1"/>
  <c r="CM467" i="1" s="1"/>
  <c r="CN467" i="1" s="1"/>
  <c r="CO467" i="1" s="1"/>
  <c r="CP467" i="1" s="1"/>
  <c r="CQ467" i="1" s="1"/>
  <c r="W467" i="1"/>
  <c r="BW467" i="1" s="1"/>
  <c r="X467" i="1"/>
  <c r="Y467" i="1"/>
  <c r="V468" i="1"/>
  <c r="CM468" i="1" s="1"/>
  <c r="CN468" i="1" s="1"/>
  <c r="CO468" i="1" s="1"/>
  <c r="CP468" i="1" s="1"/>
  <c r="CQ468" i="1" s="1"/>
  <c r="W468" i="1"/>
  <c r="BW468" i="1" s="1"/>
  <c r="X468" i="1"/>
  <c r="Y468" i="1"/>
  <c r="V469" i="1"/>
  <c r="CM469" i="1" s="1"/>
  <c r="CN469" i="1" s="1"/>
  <c r="CO469" i="1" s="1"/>
  <c r="CP469" i="1" s="1"/>
  <c r="CQ469" i="1" s="1"/>
  <c r="W469" i="1"/>
  <c r="BW469" i="1" s="1"/>
  <c r="X469" i="1"/>
  <c r="Y469" i="1"/>
  <c r="V470" i="1"/>
  <c r="CM470" i="1" s="1"/>
  <c r="CN470" i="1" s="1"/>
  <c r="CO470" i="1" s="1"/>
  <c r="CP470" i="1" s="1"/>
  <c r="CQ470" i="1" s="1"/>
  <c r="W470" i="1"/>
  <c r="BW470" i="1" s="1"/>
  <c r="X470" i="1"/>
  <c r="Y470" i="1"/>
  <c r="V471" i="1"/>
  <c r="CM471" i="1" s="1"/>
  <c r="CN471" i="1" s="1"/>
  <c r="CO471" i="1" s="1"/>
  <c r="CP471" i="1" s="1"/>
  <c r="CQ471" i="1" s="1"/>
  <c r="W471" i="1"/>
  <c r="BW471" i="1" s="1"/>
  <c r="X471" i="1"/>
  <c r="Y471" i="1"/>
  <c r="V472" i="1"/>
  <c r="CM472" i="1" s="1"/>
  <c r="CN472" i="1" s="1"/>
  <c r="CO472" i="1" s="1"/>
  <c r="CP472" i="1" s="1"/>
  <c r="CQ472" i="1" s="1"/>
  <c r="W472" i="1"/>
  <c r="BW472" i="1" s="1"/>
  <c r="X472" i="1"/>
  <c r="Y472" i="1"/>
  <c r="V473" i="1"/>
  <c r="CM473" i="1" s="1"/>
  <c r="CN473" i="1" s="1"/>
  <c r="CO473" i="1" s="1"/>
  <c r="CP473" i="1" s="1"/>
  <c r="CQ473" i="1" s="1"/>
  <c r="W473" i="1"/>
  <c r="BW473" i="1" s="1"/>
  <c r="X473" i="1"/>
  <c r="Y473" i="1"/>
  <c r="V474" i="1"/>
  <c r="CM474" i="1" s="1"/>
  <c r="CN474" i="1" s="1"/>
  <c r="CO474" i="1" s="1"/>
  <c r="CP474" i="1" s="1"/>
  <c r="CQ474" i="1" s="1"/>
  <c r="W474" i="1"/>
  <c r="BW474" i="1" s="1"/>
  <c r="X474" i="1"/>
  <c r="Y474" i="1"/>
  <c r="V475" i="1"/>
  <c r="CM475" i="1" s="1"/>
  <c r="CN475" i="1" s="1"/>
  <c r="CO475" i="1" s="1"/>
  <c r="CP475" i="1" s="1"/>
  <c r="CQ475" i="1" s="1"/>
  <c r="W475" i="1"/>
  <c r="BW475" i="1" s="1"/>
  <c r="X475" i="1"/>
  <c r="Y475" i="1"/>
  <c r="V476" i="1"/>
  <c r="CM476" i="1" s="1"/>
  <c r="CN476" i="1" s="1"/>
  <c r="CO476" i="1" s="1"/>
  <c r="CP476" i="1" s="1"/>
  <c r="CQ476" i="1" s="1"/>
  <c r="W476" i="1"/>
  <c r="BW476" i="1" s="1"/>
  <c r="X476" i="1"/>
  <c r="Y476" i="1"/>
  <c r="V477" i="1"/>
  <c r="CM477" i="1" s="1"/>
  <c r="CN477" i="1" s="1"/>
  <c r="CO477" i="1" s="1"/>
  <c r="CP477" i="1" s="1"/>
  <c r="CQ477" i="1" s="1"/>
  <c r="W477" i="1"/>
  <c r="BW477" i="1" s="1"/>
  <c r="X477" i="1"/>
  <c r="Y477" i="1"/>
  <c r="V478" i="1"/>
  <c r="CM478" i="1" s="1"/>
  <c r="CN478" i="1" s="1"/>
  <c r="CO478" i="1" s="1"/>
  <c r="CP478" i="1" s="1"/>
  <c r="CQ478" i="1" s="1"/>
  <c r="W478" i="1"/>
  <c r="BW478" i="1" s="1"/>
  <c r="X478" i="1"/>
  <c r="Y478" i="1"/>
  <c r="V479" i="1"/>
  <c r="CM479" i="1" s="1"/>
  <c r="CN479" i="1" s="1"/>
  <c r="CO479" i="1" s="1"/>
  <c r="CP479" i="1" s="1"/>
  <c r="CQ479" i="1" s="1"/>
  <c r="W479" i="1"/>
  <c r="BW479" i="1" s="1"/>
  <c r="X479" i="1"/>
  <c r="Y479" i="1"/>
  <c r="V480" i="1"/>
  <c r="CM480" i="1" s="1"/>
  <c r="CN480" i="1" s="1"/>
  <c r="CO480" i="1" s="1"/>
  <c r="CP480" i="1" s="1"/>
  <c r="CQ480" i="1" s="1"/>
  <c r="W480" i="1"/>
  <c r="BW480" i="1" s="1"/>
  <c r="X480" i="1"/>
  <c r="Y480" i="1"/>
  <c r="V481" i="1"/>
  <c r="CM481" i="1" s="1"/>
  <c r="CN481" i="1" s="1"/>
  <c r="CO481" i="1" s="1"/>
  <c r="CP481" i="1" s="1"/>
  <c r="CQ481" i="1" s="1"/>
  <c r="W481" i="1"/>
  <c r="BW481" i="1" s="1"/>
  <c r="X481" i="1"/>
  <c r="Y481" i="1"/>
  <c r="V482" i="1"/>
  <c r="CM482" i="1" s="1"/>
  <c r="CN482" i="1" s="1"/>
  <c r="CO482" i="1" s="1"/>
  <c r="CP482" i="1" s="1"/>
  <c r="CQ482" i="1" s="1"/>
  <c r="W482" i="1"/>
  <c r="BW482" i="1" s="1"/>
  <c r="X482" i="1"/>
  <c r="Y482" i="1"/>
  <c r="V483" i="1"/>
  <c r="CM483" i="1" s="1"/>
  <c r="CN483" i="1" s="1"/>
  <c r="CO483" i="1" s="1"/>
  <c r="CP483" i="1" s="1"/>
  <c r="CQ483" i="1" s="1"/>
  <c r="W483" i="1"/>
  <c r="BW483" i="1" s="1"/>
  <c r="X483" i="1"/>
  <c r="Y483" i="1"/>
  <c r="V484" i="1"/>
  <c r="CM484" i="1" s="1"/>
  <c r="CN484" i="1" s="1"/>
  <c r="CO484" i="1" s="1"/>
  <c r="CP484" i="1" s="1"/>
  <c r="CQ484" i="1" s="1"/>
  <c r="W484" i="1"/>
  <c r="BW484" i="1" s="1"/>
  <c r="X484" i="1"/>
  <c r="Y484" i="1"/>
  <c r="V485" i="1"/>
  <c r="CM485" i="1" s="1"/>
  <c r="CN485" i="1" s="1"/>
  <c r="CO485" i="1" s="1"/>
  <c r="CP485" i="1" s="1"/>
  <c r="CQ485" i="1" s="1"/>
  <c r="W485" i="1"/>
  <c r="BW485" i="1" s="1"/>
  <c r="X485" i="1"/>
  <c r="Y485" i="1"/>
  <c r="V486" i="1"/>
  <c r="CM486" i="1" s="1"/>
  <c r="CN486" i="1" s="1"/>
  <c r="CO486" i="1" s="1"/>
  <c r="CP486" i="1" s="1"/>
  <c r="CQ486" i="1" s="1"/>
  <c r="W486" i="1"/>
  <c r="BW486" i="1" s="1"/>
  <c r="X486" i="1"/>
  <c r="Y486" i="1"/>
  <c r="V487" i="1"/>
  <c r="CM487" i="1" s="1"/>
  <c r="CN487" i="1" s="1"/>
  <c r="CO487" i="1" s="1"/>
  <c r="CP487" i="1" s="1"/>
  <c r="CQ487" i="1" s="1"/>
  <c r="W487" i="1"/>
  <c r="BW487" i="1" s="1"/>
  <c r="X487" i="1"/>
  <c r="Y487" i="1"/>
  <c r="V488" i="1"/>
  <c r="CM488" i="1" s="1"/>
  <c r="CN488" i="1" s="1"/>
  <c r="CO488" i="1" s="1"/>
  <c r="CP488" i="1" s="1"/>
  <c r="CQ488" i="1" s="1"/>
  <c r="W488" i="1"/>
  <c r="BW488" i="1" s="1"/>
  <c r="X488" i="1"/>
  <c r="Y488" i="1"/>
  <c r="V489" i="1"/>
  <c r="CM489" i="1" s="1"/>
  <c r="CN489" i="1" s="1"/>
  <c r="CO489" i="1" s="1"/>
  <c r="CP489" i="1" s="1"/>
  <c r="CQ489" i="1" s="1"/>
  <c r="W489" i="1"/>
  <c r="BW489" i="1" s="1"/>
  <c r="X489" i="1"/>
  <c r="Y489" i="1"/>
  <c r="V490" i="1"/>
  <c r="CM490" i="1" s="1"/>
  <c r="CN490" i="1" s="1"/>
  <c r="CO490" i="1" s="1"/>
  <c r="CP490" i="1" s="1"/>
  <c r="CQ490" i="1" s="1"/>
  <c r="BW490" i="1"/>
  <c r="X490" i="1"/>
  <c r="V491" i="1"/>
  <c r="CM491" i="1" s="1"/>
  <c r="CN491" i="1" s="1"/>
  <c r="CO491" i="1" s="1"/>
  <c r="CP491" i="1" s="1"/>
  <c r="CQ491" i="1" s="1"/>
  <c r="W491" i="1"/>
  <c r="BW491" i="1" s="1"/>
  <c r="X491" i="1"/>
  <c r="Y491" i="1"/>
  <c r="V492" i="1"/>
  <c r="CM492" i="1" s="1"/>
  <c r="CN492" i="1" s="1"/>
  <c r="CO492" i="1" s="1"/>
  <c r="CP492" i="1" s="1"/>
  <c r="CQ492" i="1" s="1"/>
  <c r="W492" i="1"/>
  <c r="BW492" i="1" s="1"/>
  <c r="X492" i="1"/>
  <c r="Y492" i="1"/>
  <c r="V493" i="1"/>
  <c r="CM493" i="1" s="1"/>
  <c r="CN493" i="1" s="1"/>
  <c r="CO493" i="1" s="1"/>
  <c r="CP493" i="1" s="1"/>
  <c r="CQ493" i="1" s="1"/>
  <c r="W493" i="1"/>
  <c r="BW493" i="1" s="1"/>
  <c r="X493" i="1"/>
  <c r="Y493" i="1"/>
  <c r="V494" i="1"/>
  <c r="CM494" i="1" s="1"/>
  <c r="CN494" i="1" s="1"/>
  <c r="CO494" i="1" s="1"/>
  <c r="CP494" i="1" s="1"/>
  <c r="CQ494" i="1" s="1"/>
  <c r="W494" i="1"/>
  <c r="BW494" i="1" s="1"/>
  <c r="X494" i="1"/>
  <c r="Y494" i="1"/>
  <c r="V495" i="1"/>
  <c r="CM495" i="1" s="1"/>
  <c r="CN495" i="1" s="1"/>
  <c r="CO495" i="1" s="1"/>
  <c r="CP495" i="1" s="1"/>
  <c r="CQ495" i="1" s="1"/>
  <c r="W495" i="1"/>
  <c r="BW495" i="1" s="1"/>
  <c r="X495" i="1"/>
  <c r="Y495" i="1"/>
  <c r="V496" i="1"/>
  <c r="CM496" i="1" s="1"/>
  <c r="CN496" i="1" s="1"/>
  <c r="CO496" i="1" s="1"/>
  <c r="CP496" i="1" s="1"/>
  <c r="CQ496" i="1" s="1"/>
  <c r="W496" i="1"/>
  <c r="BW496" i="1" s="1"/>
  <c r="X496" i="1"/>
  <c r="Y496" i="1"/>
  <c r="V497" i="1"/>
  <c r="CM497" i="1" s="1"/>
  <c r="CN497" i="1" s="1"/>
  <c r="CO497" i="1" s="1"/>
  <c r="CP497" i="1" s="1"/>
  <c r="CQ497" i="1" s="1"/>
  <c r="W497" i="1"/>
  <c r="BW497" i="1" s="1"/>
  <c r="X497" i="1"/>
  <c r="Y497" i="1"/>
  <c r="V498" i="1"/>
  <c r="CM498" i="1" s="1"/>
  <c r="CN498" i="1" s="1"/>
  <c r="CO498" i="1" s="1"/>
  <c r="CP498" i="1" s="1"/>
  <c r="CQ498" i="1" s="1"/>
  <c r="W498" i="1"/>
  <c r="BW498" i="1" s="1"/>
  <c r="X498" i="1"/>
  <c r="Y498" i="1"/>
  <c r="V499" i="1"/>
  <c r="CM499" i="1" s="1"/>
  <c r="CN499" i="1" s="1"/>
  <c r="CO499" i="1" s="1"/>
  <c r="CP499" i="1" s="1"/>
  <c r="CQ499" i="1" s="1"/>
  <c r="W499" i="1"/>
  <c r="BW499" i="1" s="1"/>
  <c r="X499" i="1"/>
  <c r="Y499" i="1"/>
  <c r="V500" i="1"/>
  <c r="CM500" i="1" s="1"/>
  <c r="CN500" i="1" s="1"/>
  <c r="CO500" i="1" s="1"/>
  <c r="CP500" i="1" s="1"/>
  <c r="CQ500" i="1" s="1"/>
  <c r="W500" i="1"/>
  <c r="BW500" i="1" s="1"/>
  <c r="X500" i="1"/>
  <c r="Y500" i="1"/>
  <c r="V501" i="1"/>
  <c r="CM501" i="1" s="1"/>
  <c r="CN501" i="1" s="1"/>
  <c r="CO501" i="1" s="1"/>
  <c r="CP501" i="1" s="1"/>
  <c r="CQ501" i="1" s="1"/>
  <c r="W501" i="1"/>
  <c r="BW501" i="1" s="1"/>
  <c r="X501" i="1"/>
  <c r="Y501" i="1"/>
  <c r="V502" i="1"/>
  <c r="CM502" i="1" s="1"/>
  <c r="CN502" i="1" s="1"/>
  <c r="CO502" i="1" s="1"/>
  <c r="CP502" i="1" s="1"/>
  <c r="CQ502" i="1" s="1"/>
  <c r="W502" i="1"/>
  <c r="BW502" i="1" s="1"/>
  <c r="X502" i="1"/>
  <c r="Y502" i="1"/>
  <c r="V503" i="1"/>
  <c r="CM503" i="1" s="1"/>
  <c r="CN503" i="1" s="1"/>
  <c r="CO503" i="1" s="1"/>
  <c r="CP503" i="1" s="1"/>
  <c r="CQ503" i="1" s="1"/>
  <c r="W503" i="1"/>
  <c r="BW503" i="1" s="1"/>
  <c r="X503" i="1"/>
  <c r="Y503" i="1"/>
  <c r="V504" i="1"/>
  <c r="CM504" i="1" s="1"/>
  <c r="CN504" i="1" s="1"/>
  <c r="CO504" i="1" s="1"/>
  <c r="CP504" i="1" s="1"/>
  <c r="CQ504" i="1" s="1"/>
  <c r="W504" i="1"/>
  <c r="BW504" i="1" s="1"/>
  <c r="X504" i="1"/>
  <c r="Y504" i="1"/>
  <c r="V505" i="1"/>
  <c r="CM505" i="1" s="1"/>
  <c r="CN505" i="1" s="1"/>
  <c r="CO505" i="1" s="1"/>
  <c r="CP505" i="1" s="1"/>
  <c r="CQ505" i="1" s="1"/>
  <c r="W505" i="1"/>
  <c r="BW505" i="1" s="1"/>
  <c r="X505" i="1"/>
  <c r="Y505" i="1"/>
  <c r="V506" i="1"/>
  <c r="CM506" i="1" s="1"/>
  <c r="CN506" i="1" s="1"/>
  <c r="CO506" i="1" s="1"/>
  <c r="CP506" i="1" s="1"/>
  <c r="CQ506" i="1" s="1"/>
  <c r="W506" i="1"/>
  <c r="BW506" i="1" s="1"/>
  <c r="X506" i="1"/>
  <c r="Y506" i="1"/>
  <c r="V507" i="1"/>
  <c r="CM507" i="1" s="1"/>
  <c r="CN507" i="1" s="1"/>
  <c r="CO507" i="1" s="1"/>
  <c r="CP507" i="1" s="1"/>
  <c r="CQ507" i="1" s="1"/>
  <c r="W507" i="1"/>
  <c r="BW507" i="1" s="1"/>
  <c r="X507" i="1"/>
  <c r="Y507" i="1"/>
  <c r="V508" i="1"/>
  <c r="CM508" i="1" s="1"/>
  <c r="CN508" i="1" s="1"/>
  <c r="CO508" i="1" s="1"/>
  <c r="CP508" i="1" s="1"/>
  <c r="CQ508" i="1" s="1"/>
  <c r="W508" i="1"/>
  <c r="BW508" i="1" s="1"/>
  <c r="X508" i="1"/>
  <c r="Y508" i="1"/>
  <c r="V509" i="1"/>
  <c r="CM509" i="1" s="1"/>
  <c r="CN509" i="1" s="1"/>
  <c r="CO509" i="1" s="1"/>
  <c r="CP509" i="1" s="1"/>
  <c r="CQ509" i="1" s="1"/>
  <c r="W509" i="1"/>
  <c r="BW509" i="1" s="1"/>
  <c r="X509" i="1"/>
  <c r="Y509" i="1"/>
  <c r="V510" i="1"/>
  <c r="CM510" i="1" s="1"/>
  <c r="CN510" i="1" s="1"/>
  <c r="CO510" i="1" s="1"/>
  <c r="CP510" i="1" s="1"/>
  <c r="CQ510" i="1" s="1"/>
  <c r="W510" i="1"/>
  <c r="BW510" i="1" s="1"/>
  <c r="X510" i="1"/>
  <c r="Y510" i="1"/>
  <c r="V511" i="1"/>
  <c r="CM511" i="1" s="1"/>
  <c r="CN511" i="1" s="1"/>
  <c r="CO511" i="1" s="1"/>
  <c r="CP511" i="1" s="1"/>
  <c r="CQ511" i="1" s="1"/>
  <c r="W511" i="1"/>
  <c r="BW511" i="1" s="1"/>
  <c r="X511" i="1"/>
  <c r="Y511" i="1"/>
  <c r="V512" i="1"/>
  <c r="CM512" i="1" s="1"/>
  <c r="CN512" i="1" s="1"/>
  <c r="CO512" i="1" s="1"/>
  <c r="CP512" i="1" s="1"/>
  <c r="CQ512" i="1" s="1"/>
  <c r="W512" i="1"/>
  <c r="BW512" i="1" s="1"/>
  <c r="X512" i="1"/>
  <c r="Y512" i="1"/>
  <c r="V513" i="1"/>
  <c r="CM513" i="1" s="1"/>
  <c r="CN513" i="1" s="1"/>
  <c r="CO513" i="1" s="1"/>
  <c r="CP513" i="1" s="1"/>
  <c r="CQ513" i="1" s="1"/>
  <c r="W513" i="1"/>
  <c r="BW513" i="1" s="1"/>
  <c r="X513" i="1"/>
  <c r="Y513" i="1"/>
  <c r="V514" i="1"/>
  <c r="CM514" i="1" s="1"/>
  <c r="CN514" i="1" s="1"/>
  <c r="CO514" i="1" s="1"/>
  <c r="CP514" i="1" s="1"/>
  <c r="CQ514" i="1" s="1"/>
  <c r="W514" i="1"/>
  <c r="BW514" i="1" s="1"/>
  <c r="X514" i="1"/>
  <c r="Y514" i="1"/>
  <c r="V515" i="1"/>
  <c r="CM515" i="1" s="1"/>
  <c r="CN515" i="1" s="1"/>
  <c r="CO515" i="1" s="1"/>
  <c r="CP515" i="1" s="1"/>
  <c r="CQ515" i="1" s="1"/>
  <c r="W515" i="1"/>
  <c r="BW515" i="1" s="1"/>
  <c r="X515" i="1"/>
  <c r="Y515" i="1"/>
  <c r="V516" i="1"/>
  <c r="CM516" i="1" s="1"/>
  <c r="CN516" i="1" s="1"/>
  <c r="CO516" i="1" s="1"/>
  <c r="CP516" i="1" s="1"/>
  <c r="CQ516" i="1" s="1"/>
  <c r="W516" i="1"/>
  <c r="BW516" i="1" s="1"/>
  <c r="X516" i="1"/>
  <c r="Y516" i="1"/>
  <c r="V517" i="1"/>
  <c r="CM517" i="1" s="1"/>
  <c r="CN517" i="1" s="1"/>
  <c r="CO517" i="1" s="1"/>
  <c r="CP517" i="1" s="1"/>
  <c r="CQ517" i="1" s="1"/>
  <c r="W517" i="1"/>
  <c r="BW517" i="1" s="1"/>
  <c r="X517" i="1"/>
  <c r="Y517" i="1"/>
  <c r="V518" i="1"/>
  <c r="CM518" i="1" s="1"/>
  <c r="CN518" i="1" s="1"/>
  <c r="CO518" i="1" s="1"/>
  <c r="CP518" i="1" s="1"/>
  <c r="CQ518" i="1" s="1"/>
  <c r="W518" i="1"/>
  <c r="BW518" i="1" s="1"/>
  <c r="X518" i="1"/>
  <c r="Y518" i="1"/>
  <c r="V519" i="1"/>
  <c r="CM519" i="1" s="1"/>
  <c r="CN519" i="1" s="1"/>
  <c r="CO519" i="1" s="1"/>
  <c r="CP519" i="1" s="1"/>
  <c r="CQ519" i="1" s="1"/>
  <c r="W519" i="1"/>
  <c r="BW519" i="1" s="1"/>
  <c r="X519" i="1"/>
  <c r="Y519" i="1"/>
  <c r="V520" i="1"/>
  <c r="CM520" i="1" s="1"/>
  <c r="CN520" i="1" s="1"/>
  <c r="CO520" i="1" s="1"/>
  <c r="CP520" i="1" s="1"/>
  <c r="CQ520" i="1" s="1"/>
  <c r="W520" i="1"/>
  <c r="BW520" i="1" s="1"/>
  <c r="X520" i="1"/>
  <c r="Y520" i="1"/>
  <c r="V521" i="1"/>
  <c r="CM521" i="1" s="1"/>
  <c r="CN521" i="1" s="1"/>
  <c r="CO521" i="1" s="1"/>
  <c r="CP521" i="1" s="1"/>
  <c r="CQ521" i="1" s="1"/>
  <c r="W521" i="1"/>
  <c r="BW521" i="1" s="1"/>
  <c r="X521" i="1"/>
  <c r="Y521" i="1"/>
  <c r="V522" i="1"/>
  <c r="CM522" i="1" s="1"/>
  <c r="CN522" i="1" s="1"/>
  <c r="CO522" i="1" s="1"/>
  <c r="CP522" i="1" s="1"/>
  <c r="CQ522" i="1" s="1"/>
  <c r="W522" i="1"/>
  <c r="BW522" i="1" s="1"/>
  <c r="X522" i="1"/>
  <c r="Y522" i="1"/>
  <c r="V523" i="1"/>
  <c r="CM523" i="1" s="1"/>
  <c r="CN523" i="1" s="1"/>
  <c r="CO523" i="1" s="1"/>
  <c r="CP523" i="1" s="1"/>
  <c r="CQ523" i="1" s="1"/>
  <c r="W523" i="1"/>
  <c r="BW523" i="1" s="1"/>
  <c r="X523" i="1"/>
  <c r="Y523" i="1"/>
  <c r="V524" i="1"/>
  <c r="CM524" i="1" s="1"/>
  <c r="CN524" i="1" s="1"/>
  <c r="CO524" i="1" s="1"/>
  <c r="CP524" i="1" s="1"/>
  <c r="CQ524" i="1" s="1"/>
  <c r="W524" i="1"/>
  <c r="BW524" i="1" s="1"/>
  <c r="X524" i="1"/>
  <c r="Y524" i="1"/>
  <c r="V525" i="1"/>
  <c r="CM525" i="1" s="1"/>
  <c r="CN525" i="1" s="1"/>
  <c r="CO525" i="1" s="1"/>
  <c r="CP525" i="1" s="1"/>
  <c r="CQ525" i="1" s="1"/>
  <c r="W525" i="1"/>
  <c r="BW525" i="1" s="1"/>
  <c r="X525" i="1"/>
  <c r="Y525" i="1"/>
  <c r="V526" i="1"/>
  <c r="CM526" i="1" s="1"/>
  <c r="CN526" i="1" s="1"/>
  <c r="CO526" i="1" s="1"/>
  <c r="CP526" i="1" s="1"/>
  <c r="CQ526" i="1" s="1"/>
  <c r="W526" i="1"/>
  <c r="BW526" i="1" s="1"/>
  <c r="X526" i="1"/>
  <c r="Y526" i="1"/>
  <c r="V527" i="1"/>
  <c r="CM527" i="1" s="1"/>
  <c r="CN527" i="1" s="1"/>
  <c r="CO527" i="1" s="1"/>
  <c r="CP527" i="1" s="1"/>
  <c r="CQ527" i="1" s="1"/>
  <c r="W527" i="1"/>
  <c r="BW527" i="1" s="1"/>
  <c r="X527" i="1"/>
  <c r="Y527" i="1"/>
  <c r="V528" i="1"/>
  <c r="CM528" i="1" s="1"/>
  <c r="CN528" i="1" s="1"/>
  <c r="CO528" i="1" s="1"/>
  <c r="CP528" i="1" s="1"/>
  <c r="CQ528" i="1" s="1"/>
  <c r="W528" i="1"/>
  <c r="BW528" i="1" s="1"/>
  <c r="X528" i="1"/>
  <c r="Y528" i="1"/>
  <c r="V529" i="1"/>
  <c r="CM529" i="1" s="1"/>
  <c r="CN529" i="1" s="1"/>
  <c r="CO529" i="1" s="1"/>
  <c r="CP529" i="1" s="1"/>
  <c r="CQ529" i="1" s="1"/>
  <c r="W529" i="1"/>
  <c r="BW529" i="1" s="1"/>
  <c r="X529" i="1"/>
  <c r="Y529" i="1"/>
  <c r="V530" i="1"/>
  <c r="CM530" i="1" s="1"/>
  <c r="CN530" i="1" s="1"/>
  <c r="CO530" i="1" s="1"/>
  <c r="CP530" i="1" s="1"/>
  <c r="CQ530" i="1" s="1"/>
  <c r="W530" i="1"/>
  <c r="BW530" i="1" s="1"/>
  <c r="X530" i="1"/>
  <c r="Y530" i="1"/>
  <c r="V531" i="1"/>
  <c r="CM531" i="1" s="1"/>
  <c r="CN531" i="1" s="1"/>
  <c r="CO531" i="1" s="1"/>
  <c r="CP531" i="1" s="1"/>
  <c r="CQ531" i="1" s="1"/>
  <c r="W531" i="1"/>
  <c r="BW531" i="1" s="1"/>
  <c r="X531" i="1"/>
  <c r="Y531" i="1"/>
  <c r="V532" i="1"/>
  <c r="CM532" i="1" s="1"/>
  <c r="CN532" i="1" s="1"/>
  <c r="CO532" i="1" s="1"/>
  <c r="CP532" i="1" s="1"/>
  <c r="CQ532" i="1" s="1"/>
  <c r="W532" i="1"/>
  <c r="BW532" i="1" s="1"/>
  <c r="X532" i="1"/>
  <c r="Y532" i="1"/>
  <c r="V533" i="1"/>
  <c r="CM533" i="1" s="1"/>
  <c r="CN533" i="1" s="1"/>
  <c r="CO533" i="1" s="1"/>
  <c r="CP533" i="1" s="1"/>
  <c r="CQ533" i="1" s="1"/>
  <c r="W533" i="1"/>
  <c r="BW533" i="1" s="1"/>
  <c r="X533" i="1"/>
  <c r="Y533" i="1"/>
  <c r="V534" i="1"/>
  <c r="CM534" i="1" s="1"/>
  <c r="CN534" i="1" s="1"/>
  <c r="CO534" i="1" s="1"/>
  <c r="CP534" i="1" s="1"/>
  <c r="CQ534" i="1" s="1"/>
  <c r="W534" i="1"/>
  <c r="BW534" i="1" s="1"/>
  <c r="X534" i="1"/>
  <c r="Y534" i="1"/>
  <c r="V535" i="1"/>
  <c r="CM535" i="1" s="1"/>
  <c r="CN535" i="1" s="1"/>
  <c r="CO535" i="1" s="1"/>
  <c r="CP535" i="1" s="1"/>
  <c r="CQ535" i="1" s="1"/>
  <c r="W535" i="1"/>
  <c r="BW535" i="1" s="1"/>
  <c r="X535" i="1"/>
  <c r="Y535" i="1"/>
  <c r="V536" i="1"/>
  <c r="CM536" i="1" s="1"/>
  <c r="CN536" i="1" s="1"/>
  <c r="CO536" i="1" s="1"/>
  <c r="CP536" i="1" s="1"/>
  <c r="CQ536" i="1" s="1"/>
  <c r="W536" i="1"/>
  <c r="BW536" i="1" s="1"/>
  <c r="X536" i="1"/>
  <c r="Y536" i="1"/>
  <c r="V537" i="1"/>
  <c r="CM537" i="1" s="1"/>
  <c r="CN537" i="1" s="1"/>
  <c r="CO537" i="1" s="1"/>
  <c r="CP537" i="1" s="1"/>
  <c r="CQ537" i="1" s="1"/>
  <c r="W537" i="1"/>
  <c r="BW537" i="1" s="1"/>
  <c r="X537" i="1"/>
  <c r="Y537" i="1"/>
  <c r="V538" i="1"/>
  <c r="CM538" i="1" s="1"/>
  <c r="CN538" i="1" s="1"/>
  <c r="CO538" i="1" s="1"/>
  <c r="CP538" i="1" s="1"/>
  <c r="CQ538" i="1" s="1"/>
  <c r="W538" i="1"/>
  <c r="BW538" i="1" s="1"/>
  <c r="X538" i="1"/>
  <c r="Y538" i="1"/>
  <c r="V539" i="1"/>
  <c r="CM539" i="1" s="1"/>
  <c r="CN539" i="1" s="1"/>
  <c r="CO539" i="1" s="1"/>
  <c r="CP539" i="1" s="1"/>
  <c r="CQ539" i="1" s="1"/>
  <c r="W539" i="1"/>
  <c r="BW539" i="1" s="1"/>
  <c r="X539" i="1"/>
  <c r="Y539" i="1"/>
  <c r="V540" i="1"/>
  <c r="CM540" i="1" s="1"/>
  <c r="CN540" i="1" s="1"/>
  <c r="CO540" i="1" s="1"/>
  <c r="CP540" i="1" s="1"/>
  <c r="CQ540" i="1" s="1"/>
  <c r="W540" i="1"/>
  <c r="BW540" i="1" s="1"/>
  <c r="X540" i="1"/>
  <c r="Y540" i="1"/>
  <c r="V541" i="1"/>
  <c r="CM541" i="1" s="1"/>
  <c r="CN541" i="1" s="1"/>
  <c r="CO541" i="1" s="1"/>
  <c r="CP541" i="1" s="1"/>
  <c r="CQ541" i="1" s="1"/>
  <c r="W541" i="1"/>
  <c r="BW541" i="1" s="1"/>
  <c r="X541" i="1"/>
  <c r="Y541" i="1"/>
  <c r="V542" i="1"/>
  <c r="CM542" i="1" s="1"/>
  <c r="CN542" i="1" s="1"/>
  <c r="CO542" i="1" s="1"/>
  <c r="CP542" i="1" s="1"/>
  <c r="CQ542" i="1" s="1"/>
  <c r="W542" i="1"/>
  <c r="BW542" i="1" s="1"/>
  <c r="X542" i="1"/>
  <c r="Y542" i="1"/>
  <c r="V543" i="1"/>
  <c r="CM543" i="1" s="1"/>
  <c r="CN543" i="1" s="1"/>
  <c r="CO543" i="1" s="1"/>
  <c r="CP543" i="1" s="1"/>
  <c r="CQ543" i="1" s="1"/>
  <c r="W543" i="1"/>
  <c r="BW543" i="1" s="1"/>
  <c r="X543" i="1"/>
  <c r="Y543" i="1"/>
  <c r="V544" i="1"/>
  <c r="CM544" i="1" s="1"/>
  <c r="CN544" i="1" s="1"/>
  <c r="CO544" i="1" s="1"/>
  <c r="CP544" i="1" s="1"/>
  <c r="CQ544" i="1" s="1"/>
  <c r="W544" i="1"/>
  <c r="BW544" i="1" s="1"/>
  <c r="X544" i="1"/>
  <c r="Y544" i="1"/>
  <c r="V545" i="1"/>
  <c r="CM545" i="1" s="1"/>
  <c r="CN545" i="1" s="1"/>
  <c r="CO545" i="1" s="1"/>
  <c r="CP545" i="1" s="1"/>
  <c r="CQ545" i="1" s="1"/>
  <c r="W545" i="1"/>
  <c r="BW545" i="1" s="1"/>
  <c r="X545" i="1"/>
  <c r="Y545" i="1"/>
  <c r="V546" i="1"/>
  <c r="CM546" i="1" s="1"/>
  <c r="CN546" i="1" s="1"/>
  <c r="CO546" i="1" s="1"/>
  <c r="CP546" i="1" s="1"/>
  <c r="CQ546" i="1" s="1"/>
  <c r="W546" i="1"/>
  <c r="BW546" i="1" s="1"/>
  <c r="X546" i="1"/>
  <c r="Y546" i="1"/>
  <c r="V547" i="1"/>
  <c r="CM547" i="1" s="1"/>
  <c r="CN547" i="1" s="1"/>
  <c r="CO547" i="1" s="1"/>
  <c r="CP547" i="1" s="1"/>
  <c r="CQ547" i="1" s="1"/>
  <c r="W547" i="1"/>
  <c r="BW547" i="1" s="1"/>
  <c r="X547" i="1"/>
  <c r="Y547" i="1"/>
  <c r="V548" i="1"/>
  <c r="CM548" i="1" s="1"/>
  <c r="CN548" i="1" s="1"/>
  <c r="CO548" i="1" s="1"/>
  <c r="CP548" i="1" s="1"/>
  <c r="CQ548" i="1" s="1"/>
  <c r="W548" i="1"/>
  <c r="BW548" i="1" s="1"/>
  <c r="X548" i="1"/>
  <c r="Y548" i="1"/>
  <c r="V549" i="1"/>
  <c r="CM549" i="1" s="1"/>
  <c r="CN549" i="1" s="1"/>
  <c r="CO549" i="1" s="1"/>
  <c r="CP549" i="1" s="1"/>
  <c r="CQ549" i="1" s="1"/>
  <c r="W549" i="1"/>
  <c r="BW549" i="1" s="1"/>
  <c r="X549" i="1"/>
  <c r="Y549" i="1"/>
  <c r="V550" i="1"/>
  <c r="CM550" i="1" s="1"/>
  <c r="CN550" i="1" s="1"/>
  <c r="CO550" i="1" s="1"/>
  <c r="CP550" i="1" s="1"/>
  <c r="CQ550" i="1" s="1"/>
  <c r="W550" i="1"/>
  <c r="BW550" i="1" s="1"/>
  <c r="X550" i="1"/>
  <c r="Y550" i="1"/>
  <c r="V551" i="1"/>
  <c r="CM551" i="1" s="1"/>
  <c r="CN551" i="1" s="1"/>
  <c r="CO551" i="1" s="1"/>
  <c r="CP551" i="1" s="1"/>
  <c r="CQ551" i="1" s="1"/>
  <c r="W551" i="1"/>
  <c r="BW551" i="1" s="1"/>
  <c r="X551" i="1"/>
  <c r="Y551" i="1"/>
  <c r="V552" i="1"/>
  <c r="CM552" i="1" s="1"/>
  <c r="CN552" i="1" s="1"/>
  <c r="CO552" i="1" s="1"/>
  <c r="CP552" i="1" s="1"/>
  <c r="CQ552" i="1" s="1"/>
  <c r="W552" i="1"/>
  <c r="BW552" i="1" s="1"/>
  <c r="X552" i="1"/>
  <c r="Y552" i="1"/>
  <c r="V553" i="1"/>
  <c r="CM553" i="1" s="1"/>
  <c r="CN553" i="1" s="1"/>
  <c r="CO553" i="1" s="1"/>
  <c r="CP553" i="1" s="1"/>
  <c r="CQ553" i="1" s="1"/>
  <c r="W553" i="1"/>
  <c r="BW553" i="1" s="1"/>
  <c r="X553" i="1"/>
  <c r="Y553" i="1"/>
  <c r="V554" i="1"/>
  <c r="CM554" i="1" s="1"/>
  <c r="CN554" i="1" s="1"/>
  <c r="CO554" i="1" s="1"/>
  <c r="CP554" i="1" s="1"/>
  <c r="CQ554" i="1" s="1"/>
  <c r="W554" i="1"/>
  <c r="BW554" i="1" s="1"/>
  <c r="X554" i="1"/>
  <c r="Y554" i="1"/>
  <c r="V555" i="1"/>
  <c r="CM555" i="1" s="1"/>
  <c r="CN555" i="1" s="1"/>
  <c r="CO555" i="1" s="1"/>
  <c r="CP555" i="1" s="1"/>
  <c r="CQ555" i="1" s="1"/>
  <c r="W555" i="1"/>
  <c r="BW555" i="1" s="1"/>
  <c r="X555" i="1"/>
  <c r="Y555" i="1"/>
  <c r="V556" i="1"/>
  <c r="CM556" i="1" s="1"/>
  <c r="CN556" i="1" s="1"/>
  <c r="CO556" i="1" s="1"/>
  <c r="CP556" i="1" s="1"/>
  <c r="CQ556" i="1" s="1"/>
  <c r="W556" i="1"/>
  <c r="BW556" i="1" s="1"/>
  <c r="X556" i="1"/>
  <c r="Y556" i="1"/>
  <c r="V557" i="1"/>
  <c r="CM557" i="1" s="1"/>
  <c r="CN557" i="1" s="1"/>
  <c r="CO557" i="1" s="1"/>
  <c r="CP557" i="1" s="1"/>
  <c r="CQ557" i="1" s="1"/>
  <c r="BW557" i="1"/>
  <c r="X557" i="1"/>
  <c r="V558" i="1"/>
  <c r="CM558" i="1" s="1"/>
  <c r="CN558" i="1" s="1"/>
  <c r="CO558" i="1" s="1"/>
  <c r="CP558" i="1" s="1"/>
  <c r="CQ558" i="1" s="1"/>
  <c r="W558" i="1"/>
  <c r="BW558" i="1" s="1"/>
  <c r="X558" i="1"/>
  <c r="Y558" i="1"/>
  <c r="V559" i="1"/>
  <c r="CM559" i="1" s="1"/>
  <c r="CN559" i="1" s="1"/>
  <c r="CO559" i="1" s="1"/>
  <c r="CP559" i="1" s="1"/>
  <c r="CQ559" i="1" s="1"/>
  <c r="W559" i="1"/>
  <c r="BW559" i="1" s="1"/>
  <c r="X559" i="1"/>
  <c r="Y559" i="1"/>
  <c r="V560" i="1"/>
  <c r="CM560" i="1" s="1"/>
  <c r="CN560" i="1" s="1"/>
  <c r="CO560" i="1" s="1"/>
  <c r="CP560" i="1" s="1"/>
  <c r="CQ560" i="1" s="1"/>
  <c r="W560" i="1"/>
  <c r="BW560" i="1" s="1"/>
  <c r="X560" i="1"/>
  <c r="Y560" i="1"/>
  <c r="V561" i="1"/>
  <c r="CM561" i="1" s="1"/>
  <c r="CN561" i="1" s="1"/>
  <c r="CO561" i="1" s="1"/>
  <c r="CP561" i="1" s="1"/>
  <c r="CQ561" i="1" s="1"/>
  <c r="W561" i="1"/>
  <c r="BW561" i="1" s="1"/>
  <c r="X561" i="1"/>
  <c r="Y561" i="1"/>
  <c r="V562" i="1"/>
  <c r="CM562" i="1" s="1"/>
  <c r="CN562" i="1" s="1"/>
  <c r="CO562" i="1" s="1"/>
  <c r="CP562" i="1" s="1"/>
  <c r="CQ562" i="1" s="1"/>
  <c r="W562" i="1"/>
  <c r="BW562" i="1" s="1"/>
  <c r="X562" i="1"/>
  <c r="Y562" i="1"/>
  <c r="V563" i="1"/>
  <c r="CM563" i="1" s="1"/>
  <c r="CN563" i="1" s="1"/>
  <c r="CO563" i="1" s="1"/>
  <c r="CP563" i="1" s="1"/>
  <c r="CQ563" i="1" s="1"/>
  <c r="W563" i="1"/>
  <c r="BW563" i="1" s="1"/>
  <c r="X563" i="1"/>
  <c r="Y563" i="1"/>
  <c r="V564" i="1"/>
  <c r="CM564" i="1" s="1"/>
  <c r="CN564" i="1" s="1"/>
  <c r="CO564" i="1" s="1"/>
  <c r="CP564" i="1" s="1"/>
  <c r="CQ564" i="1" s="1"/>
  <c r="W564" i="1"/>
  <c r="BW564" i="1" s="1"/>
  <c r="X564" i="1"/>
  <c r="Y564" i="1"/>
  <c r="V565" i="1"/>
  <c r="CM565" i="1" s="1"/>
  <c r="CN565" i="1" s="1"/>
  <c r="CO565" i="1" s="1"/>
  <c r="CP565" i="1" s="1"/>
  <c r="CQ565" i="1" s="1"/>
  <c r="W565" i="1"/>
  <c r="BW565" i="1" s="1"/>
  <c r="X565" i="1"/>
  <c r="Y565" i="1"/>
  <c r="V566" i="1"/>
  <c r="CM566" i="1" s="1"/>
  <c r="CN566" i="1" s="1"/>
  <c r="CO566" i="1" s="1"/>
  <c r="CP566" i="1" s="1"/>
  <c r="CQ566" i="1" s="1"/>
  <c r="W566" i="1"/>
  <c r="BW566" i="1" s="1"/>
  <c r="X566" i="1"/>
  <c r="Y566" i="1"/>
  <c r="V567" i="1"/>
  <c r="CM567" i="1" s="1"/>
  <c r="CN567" i="1" s="1"/>
  <c r="CO567" i="1" s="1"/>
  <c r="CP567" i="1" s="1"/>
  <c r="CQ567" i="1" s="1"/>
  <c r="W567" i="1"/>
  <c r="BW567" i="1" s="1"/>
  <c r="X567" i="1"/>
  <c r="Y567" i="1"/>
  <c r="V568" i="1"/>
  <c r="CM568" i="1" s="1"/>
  <c r="CN568" i="1" s="1"/>
  <c r="CO568" i="1" s="1"/>
  <c r="CP568" i="1" s="1"/>
  <c r="CQ568" i="1" s="1"/>
  <c r="W568" i="1"/>
  <c r="BW568" i="1" s="1"/>
  <c r="X568" i="1"/>
  <c r="Y568" i="1"/>
  <c r="V569" i="1"/>
  <c r="CM569" i="1" s="1"/>
  <c r="CN569" i="1" s="1"/>
  <c r="CO569" i="1" s="1"/>
  <c r="CP569" i="1" s="1"/>
  <c r="CQ569" i="1" s="1"/>
  <c r="W569" i="1"/>
  <c r="BW569" i="1" s="1"/>
  <c r="X569" i="1"/>
  <c r="Y569" i="1"/>
  <c r="V570" i="1"/>
  <c r="CM570" i="1" s="1"/>
  <c r="CN570" i="1" s="1"/>
  <c r="CO570" i="1" s="1"/>
  <c r="CP570" i="1" s="1"/>
  <c r="CQ570" i="1" s="1"/>
  <c r="W570" i="1"/>
  <c r="BW570" i="1" s="1"/>
  <c r="X570" i="1"/>
  <c r="Y570" i="1"/>
  <c r="V571" i="1"/>
  <c r="CM571" i="1" s="1"/>
  <c r="CN571" i="1" s="1"/>
  <c r="CO571" i="1" s="1"/>
  <c r="CP571" i="1" s="1"/>
  <c r="CQ571" i="1" s="1"/>
  <c r="W571" i="1"/>
  <c r="BW571" i="1" s="1"/>
  <c r="X571" i="1"/>
  <c r="Y571" i="1"/>
  <c r="V572" i="1"/>
  <c r="CM572" i="1" s="1"/>
  <c r="CN572" i="1" s="1"/>
  <c r="CO572" i="1" s="1"/>
  <c r="CP572" i="1" s="1"/>
  <c r="CQ572" i="1" s="1"/>
  <c r="W572" i="1"/>
  <c r="BW572" i="1" s="1"/>
  <c r="X572" i="1"/>
  <c r="Y572" i="1"/>
  <c r="V573" i="1"/>
  <c r="CM573" i="1" s="1"/>
  <c r="CN573" i="1" s="1"/>
  <c r="CO573" i="1" s="1"/>
  <c r="CP573" i="1" s="1"/>
  <c r="CQ573" i="1" s="1"/>
  <c r="W573" i="1"/>
  <c r="BW573" i="1" s="1"/>
  <c r="X573" i="1"/>
  <c r="Y573" i="1"/>
  <c r="V574" i="1"/>
  <c r="CM574" i="1" s="1"/>
  <c r="CN574" i="1" s="1"/>
  <c r="CO574" i="1" s="1"/>
  <c r="CP574" i="1" s="1"/>
  <c r="CQ574" i="1" s="1"/>
  <c r="W574" i="1"/>
  <c r="BW574" i="1" s="1"/>
  <c r="X574" i="1"/>
  <c r="Y574" i="1"/>
  <c r="V575" i="1"/>
  <c r="CM575" i="1" s="1"/>
  <c r="CN575" i="1" s="1"/>
  <c r="CO575" i="1" s="1"/>
  <c r="CP575" i="1" s="1"/>
  <c r="CQ575" i="1" s="1"/>
  <c r="W575" i="1"/>
  <c r="BW575" i="1" s="1"/>
  <c r="X575" i="1"/>
  <c r="Y575" i="1"/>
  <c r="V576" i="1"/>
  <c r="CM576" i="1" s="1"/>
  <c r="CN576" i="1" s="1"/>
  <c r="CO576" i="1" s="1"/>
  <c r="CP576" i="1" s="1"/>
  <c r="CQ576" i="1" s="1"/>
  <c r="W576" i="1"/>
  <c r="BW576" i="1" s="1"/>
  <c r="X576" i="1"/>
  <c r="Y576" i="1"/>
  <c r="V577" i="1"/>
  <c r="CM577" i="1" s="1"/>
  <c r="CN577" i="1" s="1"/>
  <c r="CO577" i="1" s="1"/>
  <c r="CP577" i="1" s="1"/>
  <c r="CQ577" i="1" s="1"/>
  <c r="W577" i="1"/>
  <c r="BW577" i="1" s="1"/>
  <c r="X577" i="1"/>
  <c r="Y577" i="1"/>
  <c r="V578" i="1"/>
  <c r="CM578" i="1" s="1"/>
  <c r="CN578" i="1" s="1"/>
  <c r="CO578" i="1" s="1"/>
  <c r="CP578" i="1" s="1"/>
  <c r="CQ578" i="1" s="1"/>
  <c r="W578" i="1"/>
  <c r="BW578" i="1" s="1"/>
  <c r="X578" i="1"/>
  <c r="Y578" i="1"/>
  <c r="V579" i="1"/>
  <c r="CM579" i="1" s="1"/>
  <c r="CN579" i="1" s="1"/>
  <c r="CO579" i="1" s="1"/>
  <c r="CP579" i="1" s="1"/>
  <c r="CQ579" i="1" s="1"/>
  <c r="W579" i="1"/>
  <c r="BW579" i="1" s="1"/>
  <c r="X579" i="1"/>
  <c r="Y579" i="1"/>
  <c r="V580" i="1"/>
  <c r="CM580" i="1" s="1"/>
  <c r="CN580" i="1" s="1"/>
  <c r="CO580" i="1" s="1"/>
  <c r="CP580" i="1" s="1"/>
  <c r="CQ580" i="1" s="1"/>
  <c r="W580" i="1"/>
  <c r="BW580" i="1" s="1"/>
  <c r="X580" i="1"/>
  <c r="Y580" i="1"/>
  <c r="V581" i="1"/>
  <c r="CM581" i="1" s="1"/>
  <c r="CN581" i="1" s="1"/>
  <c r="CO581" i="1" s="1"/>
  <c r="CP581" i="1" s="1"/>
  <c r="CQ581" i="1" s="1"/>
  <c r="W581" i="1"/>
  <c r="BW581" i="1" s="1"/>
  <c r="X581" i="1"/>
  <c r="Y581" i="1"/>
  <c r="V582" i="1"/>
  <c r="CM582" i="1" s="1"/>
  <c r="CN582" i="1" s="1"/>
  <c r="CO582" i="1" s="1"/>
  <c r="CP582" i="1" s="1"/>
  <c r="CQ582" i="1" s="1"/>
  <c r="W582" i="1"/>
  <c r="BW582" i="1" s="1"/>
  <c r="X582" i="1"/>
  <c r="Y582" i="1"/>
  <c r="V583" i="1"/>
  <c r="CM583" i="1" s="1"/>
  <c r="CN583" i="1" s="1"/>
  <c r="CO583" i="1" s="1"/>
  <c r="CP583" i="1" s="1"/>
  <c r="CQ583" i="1" s="1"/>
  <c r="W583" i="1"/>
  <c r="BW583" i="1" s="1"/>
  <c r="X583" i="1"/>
  <c r="Y583" i="1"/>
  <c r="V584" i="1"/>
  <c r="CM584" i="1" s="1"/>
  <c r="CN584" i="1" s="1"/>
  <c r="CO584" i="1" s="1"/>
  <c r="CP584" i="1" s="1"/>
  <c r="CQ584" i="1" s="1"/>
  <c r="W584" i="1"/>
  <c r="BW584" i="1" s="1"/>
  <c r="X584" i="1"/>
  <c r="Y584" i="1"/>
  <c r="V585" i="1"/>
  <c r="CM585" i="1" s="1"/>
  <c r="CN585" i="1" s="1"/>
  <c r="CO585" i="1" s="1"/>
  <c r="CP585" i="1" s="1"/>
  <c r="CQ585" i="1" s="1"/>
  <c r="W585" i="1"/>
  <c r="BW585" i="1" s="1"/>
  <c r="X585" i="1"/>
  <c r="Y585" i="1"/>
  <c r="V586" i="1"/>
  <c r="CM586" i="1" s="1"/>
  <c r="CN586" i="1" s="1"/>
  <c r="CO586" i="1" s="1"/>
  <c r="CP586" i="1" s="1"/>
  <c r="CQ586" i="1" s="1"/>
  <c r="W586" i="1"/>
  <c r="BW586" i="1" s="1"/>
  <c r="X586" i="1"/>
  <c r="Y586" i="1"/>
  <c r="V587" i="1"/>
  <c r="CM587" i="1" s="1"/>
  <c r="CN587" i="1" s="1"/>
  <c r="CO587" i="1" s="1"/>
  <c r="CP587" i="1" s="1"/>
  <c r="CQ587" i="1" s="1"/>
  <c r="W587" i="1"/>
  <c r="BW587" i="1" s="1"/>
  <c r="X587" i="1"/>
  <c r="Y587" i="1"/>
  <c r="V588" i="1"/>
  <c r="CM588" i="1" s="1"/>
  <c r="CN588" i="1" s="1"/>
  <c r="CO588" i="1" s="1"/>
  <c r="CP588" i="1" s="1"/>
  <c r="CQ588" i="1" s="1"/>
  <c r="W588" i="1"/>
  <c r="BW588" i="1" s="1"/>
  <c r="X588" i="1"/>
  <c r="Y588" i="1"/>
  <c r="V589" i="1"/>
  <c r="CM589" i="1" s="1"/>
  <c r="CN589" i="1" s="1"/>
  <c r="CO589" i="1" s="1"/>
  <c r="CP589" i="1" s="1"/>
  <c r="CQ589" i="1" s="1"/>
  <c r="W589" i="1"/>
  <c r="BW589" i="1" s="1"/>
  <c r="X589" i="1"/>
  <c r="Y589" i="1"/>
  <c r="V590" i="1"/>
  <c r="CM590" i="1" s="1"/>
  <c r="CN590" i="1" s="1"/>
  <c r="CO590" i="1" s="1"/>
  <c r="CP590" i="1" s="1"/>
  <c r="CQ590" i="1" s="1"/>
  <c r="W590" i="1"/>
  <c r="BW590" i="1" s="1"/>
  <c r="X590" i="1"/>
  <c r="Y590" i="1"/>
  <c r="V591" i="1"/>
  <c r="CM591" i="1" s="1"/>
  <c r="CN591" i="1" s="1"/>
  <c r="CO591" i="1" s="1"/>
  <c r="CP591" i="1" s="1"/>
  <c r="CQ591" i="1" s="1"/>
  <c r="W591" i="1"/>
  <c r="BW591" i="1" s="1"/>
  <c r="X591" i="1"/>
  <c r="Y591" i="1"/>
  <c r="V592" i="1"/>
  <c r="CM592" i="1" s="1"/>
  <c r="CN592" i="1" s="1"/>
  <c r="CO592" i="1" s="1"/>
  <c r="CP592" i="1" s="1"/>
  <c r="CQ592" i="1" s="1"/>
  <c r="W592" i="1"/>
  <c r="BW592" i="1" s="1"/>
  <c r="X592" i="1"/>
  <c r="Y592" i="1"/>
  <c r="V593" i="1"/>
  <c r="CM593" i="1" s="1"/>
  <c r="CN593" i="1" s="1"/>
  <c r="CO593" i="1" s="1"/>
  <c r="CP593" i="1" s="1"/>
  <c r="CQ593" i="1" s="1"/>
  <c r="W593" i="1"/>
  <c r="BW593" i="1" s="1"/>
  <c r="X593" i="1"/>
  <c r="Y593" i="1"/>
  <c r="V594" i="1"/>
  <c r="CM594" i="1" s="1"/>
  <c r="CN594" i="1" s="1"/>
  <c r="CO594" i="1" s="1"/>
  <c r="CP594" i="1" s="1"/>
  <c r="CQ594" i="1" s="1"/>
  <c r="W594" i="1"/>
  <c r="BW594" i="1" s="1"/>
  <c r="X594" i="1"/>
  <c r="Y594" i="1"/>
  <c r="V595" i="1"/>
  <c r="CM595" i="1" s="1"/>
  <c r="CN595" i="1" s="1"/>
  <c r="CO595" i="1" s="1"/>
  <c r="CP595" i="1" s="1"/>
  <c r="CQ595" i="1" s="1"/>
  <c r="W595" i="1"/>
  <c r="BW595" i="1" s="1"/>
  <c r="X595" i="1"/>
  <c r="Y595" i="1"/>
  <c r="V596" i="1"/>
  <c r="CM596" i="1" s="1"/>
  <c r="CN596" i="1" s="1"/>
  <c r="CO596" i="1" s="1"/>
  <c r="CP596" i="1" s="1"/>
  <c r="CQ596" i="1" s="1"/>
  <c r="W596" i="1"/>
  <c r="BW596" i="1" s="1"/>
  <c r="X596" i="1"/>
  <c r="Y596" i="1"/>
  <c r="V597" i="1"/>
  <c r="CM597" i="1" s="1"/>
  <c r="CN597" i="1" s="1"/>
  <c r="CO597" i="1" s="1"/>
  <c r="CP597" i="1" s="1"/>
  <c r="CQ597" i="1" s="1"/>
  <c r="W597" i="1"/>
  <c r="BW597" i="1" s="1"/>
  <c r="X597" i="1"/>
  <c r="Y597" i="1"/>
  <c r="V598" i="1"/>
  <c r="CM598" i="1" s="1"/>
  <c r="CN598" i="1" s="1"/>
  <c r="CO598" i="1" s="1"/>
  <c r="CP598" i="1" s="1"/>
  <c r="CQ598" i="1" s="1"/>
  <c r="W598" i="1"/>
  <c r="BW598" i="1" s="1"/>
  <c r="X598" i="1"/>
  <c r="Y598" i="1"/>
  <c r="V599" i="1"/>
  <c r="CM599" i="1" s="1"/>
  <c r="CN599" i="1" s="1"/>
  <c r="CO599" i="1" s="1"/>
  <c r="CP599" i="1" s="1"/>
  <c r="CQ599" i="1" s="1"/>
  <c r="W599" i="1"/>
  <c r="BW599" i="1" s="1"/>
  <c r="X599" i="1"/>
  <c r="Y599" i="1"/>
  <c r="V600" i="1"/>
  <c r="CM600" i="1" s="1"/>
  <c r="CN600" i="1" s="1"/>
  <c r="CO600" i="1" s="1"/>
  <c r="CP600" i="1" s="1"/>
  <c r="CQ600" i="1" s="1"/>
  <c r="W600" i="1"/>
  <c r="BW600" i="1" s="1"/>
  <c r="X600" i="1"/>
  <c r="Y600" i="1"/>
  <c r="V601" i="1"/>
  <c r="CM601" i="1" s="1"/>
  <c r="CN601" i="1" s="1"/>
  <c r="CO601" i="1" s="1"/>
  <c r="CP601" i="1" s="1"/>
  <c r="CQ601" i="1" s="1"/>
  <c r="W601" i="1"/>
  <c r="BW601" i="1" s="1"/>
  <c r="X601" i="1"/>
  <c r="Y601" i="1"/>
  <c r="V602" i="1"/>
  <c r="CM602" i="1" s="1"/>
  <c r="CN602" i="1" s="1"/>
  <c r="CO602" i="1" s="1"/>
  <c r="CP602" i="1" s="1"/>
  <c r="CQ602" i="1" s="1"/>
  <c r="W602" i="1"/>
  <c r="BW602" i="1" s="1"/>
  <c r="X602" i="1"/>
  <c r="Y602" i="1"/>
  <c r="V603" i="1"/>
  <c r="CM603" i="1" s="1"/>
  <c r="CN603" i="1" s="1"/>
  <c r="CO603" i="1" s="1"/>
  <c r="CP603" i="1" s="1"/>
  <c r="CQ603" i="1" s="1"/>
  <c r="W603" i="1"/>
  <c r="BW603" i="1" s="1"/>
  <c r="X603" i="1"/>
  <c r="Y603" i="1"/>
  <c r="V604" i="1"/>
  <c r="CM604" i="1" s="1"/>
  <c r="CN604" i="1" s="1"/>
  <c r="CO604" i="1" s="1"/>
  <c r="CP604" i="1" s="1"/>
  <c r="CQ604" i="1" s="1"/>
  <c r="W604" i="1"/>
  <c r="BW604" i="1" s="1"/>
  <c r="X604" i="1"/>
  <c r="Y604" i="1"/>
  <c r="V605" i="1"/>
  <c r="CM605" i="1" s="1"/>
  <c r="CN605" i="1" s="1"/>
  <c r="CO605" i="1" s="1"/>
  <c r="CP605" i="1" s="1"/>
  <c r="CQ605" i="1" s="1"/>
  <c r="W605" i="1"/>
  <c r="BW605" i="1" s="1"/>
  <c r="X605" i="1"/>
  <c r="Y605" i="1"/>
  <c r="V606" i="1"/>
  <c r="CM606" i="1" s="1"/>
  <c r="CN606" i="1" s="1"/>
  <c r="CO606" i="1" s="1"/>
  <c r="CP606" i="1" s="1"/>
  <c r="CQ606" i="1" s="1"/>
  <c r="W606" i="1"/>
  <c r="BW606" i="1" s="1"/>
  <c r="X606" i="1"/>
  <c r="Y606" i="1"/>
  <c r="V607" i="1"/>
  <c r="CM607" i="1" s="1"/>
  <c r="CN607" i="1" s="1"/>
  <c r="CO607" i="1" s="1"/>
  <c r="CP607" i="1" s="1"/>
  <c r="CQ607" i="1" s="1"/>
  <c r="W607" i="1"/>
  <c r="BW607" i="1" s="1"/>
  <c r="X607" i="1"/>
  <c r="Y607" i="1"/>
  <c r="V608" i="1"/>
  <c r="CM608" i="1" s="1"/>
  <c r="CN608" i="1" s="1"/>
  <c r="CO608" i="1" s="1"/>
  <c r="CP608" i="1" s="1"/>
  <c r="CQ608" i="1" s="1"/>
  <c r="W608" i="1"/>
  <c r="BW608" i="1" s="1"/>
  <c r="X608" i="1"/>
  <c r="Y608" i="1"/>
  <c r="V609" i="1"/>
  <c r="CM609" i="1" s="1"/>
  <c r="CN609" i="1" s="1"/>
  <c r="CO609" i="1" s="1"/>
  <c r="CP609" i="1" s="1"/>
  <c r="CQ609" i="1" s="1"/>
  <c r="W609" i="1"/>
  <c r="BW609" i="1" s="1"/>
  <c r="X609" i="1"/>
  <c r="Y609" i="1"/>
  <c r="V610" i="1"/>
  <c r="CM610" i="1" s="1"/>
  <c r="CN610" i="1" s="1"/>
  <c r="CO610" i="1" s="1"/>
  <c r="CP610" i="1" s="1"/>
  <c r="CQ610" i="1" s="1"/>
  <c r="W610" i="1"/>
  <c r="BW610" i="1" s="1"/>
  <c r="X610" i="1"/>
  <c r="Y610" i="1"/>
  <c r="V611" i="1"/>
  <c r="CM611" i="1" s="1"/>
  <c r="CN611" i="1" s="1"/>
  <c r="CO611" i="1" s="1"/>
  <c r="CP611" i="1" s="1"/>
  <c r="CQ611" i="1" s="1"/>
  <c r="W611" i="1"/>
  <c r="BW611" i="1" s="1"/>
  <c r="X611" i="1"/>
  <c r="Y611" i="1"/>
  <c r="V612" i="1"/>
  <c r="CM612" i="1" s="1"/>
  <c r="CN612" i="1" s="1"/>
  <c r="CO612" i="1" s="1"/>
  <c r="CP612" i="1" s="1"/>
  <c r="CQ612" i="1" s="1"/>
  <c r="W612" i="1"/>
  <c r="BW612" i="1" s="1"/>
  <c r="X612" i="1"/>
  <c r="Y612" i="1"/>
  <c r="V613" i="1"/>
  <c r="CM613" i="1" s="1"/>
  <c r="CN613" i="1" s="1"/>
  <c r="CO613" i="1" s="1"/>
  <c r="CP613" i="1" s="1"/>
  <c r="CQ613" i="1" s="1"/>
  <c r="W613" i="1"/>
  <c r="BW613" i="1" s="1"/>
  <c r="X613" i="1"/>
  <c r="Y613" i="1"/>
  <c r="V614" i="1"/>
  <c r="CM614" i="1" s="1"/>
  <c r="CN614" i="1" s="1"/>
  <c r="CO614" i="1" s="1"/>
  <c r="CP614" i="1" s="1"/>
  <c r="CQ614" i="1" s="1"/>
  <c r="W614" i="1"/>
  <c r="BW614" i="1" s="1"/>
  <c r="X614" i="1"/>
  <c r="Y614" i="1"/>
  <c r="V615" i="1"/>
  <c r="CM615" i="1" s="1"/>
  <c r="CN615" i="1" s="1"/>
  <c r="CO615" i="1" s="1"/>
  <c r="CP615" i="1" s="1"/>
  <c r="CQ615" i="1" s="1"/>
  <c r="W615" i="1"/>
  <c r="BW615" i="1" s="1"/>
  <c r="X615" i="1"/>
  <c r="Y615" i="1"/>
  <c r="V616" i="1"/>
  <c r="CM616" i="1" s="1"/>
  <c r="CN616" i="1" s="1"/>
  <c r="CO616" i="1" s="1"/>
  <c r="CP616" i="1" s="1"/>
  <c r="CQ616" i="1" s="1"/>
  <c r="W616" i="1"/>
  <c r="BW616" i="1" s="1"/>
  <c r="X616" i="1"/>
  <c r="Y616" i="1"/>
  <c r="V617" i="1"/>
  <c r="CM617" i="1" s="1"/>
  <c r="CN617" i="1" s="1"/>
  <c r="CO617" i="1" s="1"/>
  <c r="CP617" i="1" s="1"/>
  <c r="CQ617" i="1" s="1"/>
  <c r="W617" i="1"/>
  <c r="BW617" i="1" s="1"/>
  <c r="X617" i="1"/>
  <c r="Y617" i="1"/>
  <c r="V618" i="1"/>
  <c r="CM618" i="1" s="1"/>
  <c r="CN618" i="1" s="1"/>
  <c r="CO618" i="1" s="1"/>
  <c r="CP618" i="1" s="1"/>
  <c r="CQ618" i="1" s="1"/>
  <c r="W618" i="1"/>
  <c r="BW618" i="1" s="1"/>
  <c r="X618" i="1"/>
  <c r="Y618" i="1"/>
  <c r="V619" i="1"/>
  <c r="CM619" i="1" s="1"/>
  <c r="CN619" i="1" s="1"/>
  <c r="CO619" i="1" s="1"/>
  <c r="CP619" i="1" s="1"/>
  <c r="CQ619" i="1" s="1"/>
  <c r="W619" i="1"/>
  <c r="BW619" i="1" s="1"/>
  <c r="X619" i="1"/>
  <c r="Y619" i="1"/>
  <c r="V620" i="1"/>
  <c r="CM620" i="1" s="1"/>
  <c r="CN620" i="1" s="1"/>
  <c r="CO620" i="1" s="1"/>
  <c r="CP620" i="1" s="1"/>
  <c r="CQ620" i="1" s="1"/>
  <c r="W620" i="1"/>
  <c r="BW620" i="1" s="1"/>
  <c r="X620" i="1"/>
  <c r="Y620" i="1"/>
  <c r="V621" i="1"/>
  <c r="CM621" i="1" s="1"/>
  <c r="CN621" i="1" s="1"/>
  <c r="CO621" i="1" s="1"/>
  <c r="CP621" i="1" s="1"/>
  <c r="CQ621" i="1" s="1"/>
  <c r="W621" i="1"/>
  <c r="BW621" i="1" s="1"/>
  <c r="X621" i="1"/>
  <c r="Y621" i="1"/>
  <c r="V622" i="1"/>
  <c r="CM622" i="1" s="1"/>
  <c r="CN622" i="1" s="1"/>
  <c r="CO622" i="1" s="1"/>
  <c r="CP622" i="1" s="1"/>
  <c r="CQ622" i="1" s="1"/>
  <c r="W622" i="1"/>
  <c r="BW622" i="1" s="1"/>
  <c r="X622" i="1"/>
  <c r="Y622" i="1"/>
  <c r="V623" i="1"/>
  <c r="CM623" i="1" s="1"/>
  <c r="CN623" i="1" s="1"/>
  <c r="CO623" i="1" s="1"/>
  <c r="CP623" i="1" s="1"/>
  <c r="CQ623" i="1" s="1"/>
  <c r="W623" i="1"/>
  <c r="BW623" i="1" s="1"/>
  <c r="X623" i="1"/>
  <c r="Y623" i="1"/>
  <c r="V624" i="1"/>
  <c r="CM624" i="1" s="1"/>
  <c r="CN624" i="1" s="1"/>
  <c r="CO624" i="1" s="1"/>
  <c r="CP624" i="1" s="1"/>
  <c r="CQ624" i="1" s="1"/>
  <c r="W624" i="1"/>
  <c r="BW624" i="1" s="1"/>
  <c r="X624" i="1"/>
  <c r="Y624" i="1"/>
  <c r="V625" i="1"/>
  <c r="CM625" i="1" s="1"/>
  <c r="CN625" i="1" s="1"/>
  <c r="CO625" i="1" s="1"/>
  <c r="CP625" i="1" s="1"/>
  <c r="CQ625" i="1" s="1"/>
  <c r="W625" i="1"/>
  <c r="BW625" i="1" s="1"/>
  <c r="X625" i="1"/>
  <c r="Y625" i="1"/>
  <c r="V626" i="1"/>
  <c r="CM626" i="1" s="1"/>
  <c r="CN626" i="1" s="1"/>
  <c r="CO626" i="1" s="1"/>
  <c r="CP626" i="1" s="1"/>
  <c r="CQ626" i="1" s="1"/>
  <c r="W626" i="1"/>
  <c r="BW626" i="1" s="1"/>
  <c r="X626" i="1"/>
  <c r="Y626" i="1"/>
  <c r="V627" i="1"/>
  <c r="CM627" i="1" s="1"/>
  <c r="CN627" i="1" s="1"/>
  <c r="CO627" i="1" s="1"/>
  <c r="CP627" i="1" s="1"/>
  <c r="CQ627" i="1" s="1"/>
  <c r="W627" i="1"/>
  <c r="BW627" i="1" s="1"/>
  <c r="X627" i="1"/>
  <c r="Y627" i="1"/>
  <c r="V628" i="1"/>
  <c r="CM628" i="1" s="1"/>
  <c r="CN628" i="1" s="1"/>
  <c r="CO628" i="1" s="1"/>
  <c r="CP628" i="1" s="1"/>
  <c r="CQ628" i="1" s="1"/>
  <c r="W628" i="1"/>
  <c r="BW628" i="1" s="1"/>
  <c r="X628" i="1"/>
  <c r="Y628" i="1"/>
  <c r="V629" i="1"/>
  <c r="CM629" i="1" s="1"/>
  <c r="CN629" i="1" s="1"/>
  <c r="CO629" i="1" s="1"/>
  <c r="CP629" i="1" s="1"/>
  <c r="CQ629" i="1" s="1"/>
  <c r="W629" i="1"/>
  <c r="BW629" i="1" s="1"/>
  <c r="X629" i="1"/>
  <c r="Y629" i="1"/>
  <c r="V630" i="1"/>
  <c r="CM630" i="1" s="1"/>
  <c r="CN630" i="1" s="1"/>
  <c r="CO630" i="1" s="1"/>
  <c r="CP630" i="1" s="1"/>
  <c r="CQ630" i="1" s="1"/>
  <c r="W630" i="1"/>
  <c r="BW630" i="1" s="1"/>
  <c r="X630" i="1"/>
  <c r="Y630" i="1"/>
  <c r="V631" i="1"/>
  <c r="CM631" i="1" s="1"/>
  <c r="CN631" i="1" s="1"/>
  <c r="CO631" i="1" s="1"/>
  <c r="CP631" i="1" s="1"/>
  <c r="CQ631" i="1" s="1"/>
  <c r="W631" i="1"/>
  <c r="BW631" i="1" s="1"/>
  <c r="X631" i="1"/>
  <c r="Y631" i="1"/>
  <c r="V632" i="1"/>
  <c r="CM632" i="1" s="1"/>
  <c r="CN632" i="1" s="1"/>
  <c r="CO632" i="1" s="1"/>
  <c r="CP632" i="1" s="1"/>
  <c r="CQ632" i="1" s="1"/>
  <c r="W632" i="1"/>
  <c r="BW632" i="1" s="1"/>
  <c r="X632" i="1"/>
  <c r="Y632" i="1"/>
  <c r="V633" i="1"/>
  <c r="CM633" i="1" s="1"/>
  <c r="CN633" i="1" s="1"/>
  <c r="CO633" i="1" s="1"/>
  <c r="CP633" i="1" s="1"/>
  <c r="CQ633" i="1" s="1"/>
  <c r="W633" i="1"/>
  <c r="BW633" i="1" s="1"/>
  <c r="X633" i="1"/>
  <c r="Y633" i="1"/>
  <c r="V634" i="1"/>
  <c r="CM634" i="1" s="1"/>
  <c r="CN634" i="1" s="1"/>
  <c r="CO634" i="1" s="1"/>
  <c r="CP634" i="1" s="1"/>
  <c r="CQ634" i="1" s="1"/>
  <c r="W634" i="1"/>
  <c r="BW634" i="1" s="1"/>
  <c r="X634" i="1"/>
  <c r="Y634" i="1"/>
  <c r="V635" i="1"/>
  <c r="CM635" i="1" s="1"/>
  <c r="CN635" i="1" s="1"/>
  <c r="CO635" i="1" s="1"/>
  <c r="CP635" i="1" s="1"/>
  <c r="CQ635" i="1" s="1"/>
  <c r="W635" i="1"/>
  <c r="BW635" i="1" s="1"/>
  <c r="X635" i="1"/>
  <c r="Y635" i="1"/>
  <c r="V636" i="1"/>
  <c r="CM636" i="1" s="1"/>
  <c r="CN636" i="1" s="1"/>
  <c r="CO636" i="1" s="1"/>
  <c r="CP636" i="1" s="1"/>
  <c r="CQ636" i="1" s="1"/>
  <c r="W636" i="1"/>
  <c r="BW636" i="1" s="1"/>
  <c r="X636" i="1"/>
  <c r="Y636" i="1"/>
  <c r="V637" i="1"/>
  <c r="CM637" i="1" s="1"/>
  <c r="CN637" i="1" s="1"/>
  <c r="CO637" i="1" s="1"/>
  <c r="CP637" i="1" s="1"/>
  <c r="CQ637" i="1" s="1"/>
  <c r="W637" i="1"/>
  <c r="BW637" i="1" s="1"/>
  <c r="X637" i="1"/>
  <c r="Y637" i="1"/>
  <c r="V638" i="1"/>
  <c r="CM638" i="1" s="1"/>
  <c r="CN638" i="1" s="1"/>
  <c r="CO638" i="1" s="1"/>
  <c r="CP638" i="1" s="1"/>
  <c r="CQ638" i="1" s="1"/>
  <c r="W638" i="1"/>
  <c r="BW638" i="1" s="1"/>
  <c r="X638" i="1"/>
  <c r="Y638" i="1"/>
  <c r="V639" i="1"/>
  <c r="CM639" i="1" s="1"/>
  <c r="CN639" i="1" s="1"/>
  <c r="CO639" i="1" s="1"/>
  <c r="CP639" i="1" s="1"/>
  <c r="CQ639" i="1" s="1"/>
  <c r="W639" i="1"/>
  <c r="BW639" i="1" s="1"/>
  <c r="X639" i="1"/>
  <c r="Y639" i="1"/>
  <c r="V640" i="1"/>
  <c r="CM640" i="1" s="1"/>
  <c r="CN640" i="1" s="1"/>
  <c r="CO640" i="1" s="1"/>
  <c r="CP640" i="1" s="1"/>
  <c r="CQ640" i="1" s="1"/>
  <c r="W640" i="1"/>
  <c r="BW640" i="1" s="1"/>
  <c r="X640" i="1"/>
  <c r="Y640" i="1"/>
  <c r="V641" i="1"/>
  <c r="CM641" i="1" s="1"/>
  <c r="CN641" i="1" s="1"/>
  <c r="CO641" i="1" s="1"/>
  <c r="CP641" i="1" s="1"/>
  <c r="CQ641" i="1" s="1"/>
  <c r="W641" i="1"/>
  <c r="BW641" i="1" s="1"/>
  <c r="X641" i="1"/>
  <c r="Y641" i="1"/>
  <c r="V642" i="1"/>
  <c r="CM642" i="1" s="1"/>
  <c r="CN642" i="1" s="1"/>
  <c r="CO642" i="1" s="1"/>
  <c r="CP642" i="1" s="1"/>
  <c r="CQ642" i="1" s="1"/>
  <c r="W642" i="1"/>
  <c r="BW642" i="1" s="1"/>
  <c r="X642" i="1"/>
  <c r="Y642" i="1"/>
  <c r="V643" i="1"/>
  <c r="CM643" i="1" s="1"/>
  <c r="CN643" i="1" s="1"/>
  <c r="CO643" i="1" s="1"/>
  <c r="CP643" i="1" s="1"/>
  <c r="CQ643" i="1" s="1"/>
  <c r="W643" i="1"/>
  <c r="BW643" i="1" s="1"/>
  <c r="X643" i="1"/>
  <c r="Y643" i="1"/>
  <c r="V644" i="1"/>
  <c r="CM644" i="1" s="1"/>
  <c r="CN644" i="1" s="1"/>
  <c r="CO644" i="1" s="1"/>
  <c r="CP644" i="1" s="1"/>
  <c r="CQ644" i="1" s="1"/>
  <c r="W644" i="1"/>
  <c r="BW644" i="1" s="1"/>
  <c r="X644" i="1"/>
  <c r="Y644" i="1"/>
  <c r="V645" i="1"/>
  <c r="CM645" i="1" s="1"/>
  <c r="CN645" i="1" s="1"/>
  <c r="CO645" i="1" s="1"/>
  <c r="CP645" i="1" s="1"/>
  <c r="CQ645" i="1" s="1"/>
  <c r="W645" i="1"/>
  <c r="BW645" i="1" s="1"/>
  <c r="X645" i="1"/>
  <c r="Y645" i="1"/>
  <c r="V646" i="1"/>
  <c r="CM646" i="1" s="1"/>
  <c r="CN646" i="1" s="1"/>
  <c r="CO646" i="1" s="1"/>
  <c r="CP646" i="1" s="1"/>
  <c r="CQ646" i="1" s="1"/>
  <c r="W646" i="1"/>
  <c r="BW646" i="1" s="1"/>
  <c r="X646" i="1"/>
  <c r="Y646" i="1"/>
  <c r="V647" i="1"/>
  <c r="CM647" i="1" s="1"/>
  <c r="CN647" i="1" s="1"/>
  <c r="CO647" i="1" s="1"/>
  <c r="CP647" i="1" s="1"/>
  <c r="CQ647" i="1" s="1"/>
  <c r="W647" i="1"/>
  <c r="BW647" i="1" s="1"/>
  <c r="X647" i="1"/>
  <c r="Y647" i="1"/>
  <c r="V648" i="1"/>
  <c r="CM648" i="1" s="1"/>
  <c r="CN648" i="1" s="1"/>
  <c r="CO648" i="1" s="1"/>
  <c r="CP648" i="1" s="1"/>
  <c r="CQ648" i="1" s="1"/>
  <c r="W648" i="1"/>
  <c r="BW648" i="1" s="1"/>
  <c r="X648" i="1"/>
  <c r="Y648" i="1"/>
  <c r="V649" i="1"/>
  <c r="CM649" i="1" s="1"/>
  <c r="CN649" i="1" s="1"/>
  <c r="CO649" i="1" s="1"/>
  <c r="CP649" i="1" s="1"/>
  <c r="CQ649" i="1" s="1"/>
  <c r="W649" i="1"/>
  <c r="BW649" i="1" s="1"/>
  <c r="X649" i="1"/>
  <c r="Y649" i="1"/>
  <c r="V650" i="1"/>
  <c r="CM650" i="1" s="1"/>
  <c r="CN650" i="1" s="1"/>
  <c r="CO650" i="1" s="1"/>
  <c r="CP650" i="1" s="1"/>
  <c r="CQ650" i="1" s="1"/>
  <c r="W650" i="1"/>
  <c r="BW650" i="1" s="1"/>
  <c r="X650" i="1"/>
  <c r="Y650" i="1"/>
  <c r="V651" i="1"/>
  <c r="CM651" i="1" s="1"/>
  <c r="CN651" i="1" s="1"/>
  <c r="CO651" i="1" s="1"/>
  <c r="CP651" i="1" s="1"/>
  <c r="CQ651" i="1" s="1"/>
  <c r="W651" i="1"/>
  <c r="BW651" i="1" s="1"/>
  <c r="X651" i="1"/>
  <c r="Y651" i="1"/>
  <c r="V652" i="1"/>
  <c r="CM652" i="1" s="1"/>
  <c r="CN652" i="1" s="1"/>
  <c r="CO652" i="1" s="1"/>
  <c r="CP652" i="1" s="1"/>
  <c r="CQ652" i="1" s="1"/>
  <c r="W652" i="1"/>
  <c r="BW652" i="1" s="1"/>
  <c r="X652" i="1"/>
  <c r="Y652" i="1"/>
  <c r="V653" i="1"/>
  <c r="CM653" i="1" s="1"/>
  <c r="CN653" i="1" s="1"/>
  <c r="CO653" i="1" s="1"/>
  <c r="CP653" i="1" s="1"/>
  <c r="CQ653" i="1" s="1"/>
  <c r="W653" i="1"/>
  <c r="BW653" i="1" s="1"/>
  <c r="X653" i="1"/>
  <c r="Y653" i="1"/>
  <c r="V654" i="1"/>
  <c r="CM654" i="1" s="1"/>
  <c r="CN654" i="1" s="1"/>
  <c r="CO654" i="1" s="1"/>
  <c r="CP654" i="1" s="1"/>
  <c r="CQ654" i="1" s="1"/>
  <c r="W654" i="1"/>
  <c r="BW654" i="1" s="1"/>
  <c r="X654" i="1"/>
  <c r="Y654" i="1"/>
  <c r="V655" i="1"/>
  <c r="CM655" i="1" s="1"/>
  <c r="CN655" i="1" s="1"/>
  <c r="CO655" i="1" s="1"/>
  <c r="CP655" i="1" s="1"/>
  <c r="CQ655" i="1" s="1"/>
  <c r="W655" i="1"/>
  <c r="BW655" i="1" s="1"/>
  <c r="X655" i="1"/>
  <c r="Y655" i="1"/>
  <c r="V656" i="1"/>
  <c r="CM656" i="1" s="1"/>
  <c r="CN656" i="1" s="1"/>
  <c r="CO656" i="1" s="1"/>
  <c r="CP656" i="1" s="1"/>
  <c r="CQ656" i="1" s="1"/>
  <c r="W656" i="1"/>
  <c r="BW656" i="1" s="1"/>
  <c r="X656" i="1"/>
  <c r="Y656" i="1"/>
  <c r="V657" i="1"/>
  <c r="CM657" i="1" s="1"/>
  <c r="CN657" i="1" s="1"/>
  <c r="CO657" i="1" s="1"/>
  <c r="CP657" i="1" s="1"/>
  <c r="CQ657" i="1" s="1"/>
  <c r="W657" i="1"/>
  <c r="BW657" i="1" s="1"/>
  <c r="X657" i="1"/>
  <c r="Y657" i="1"/>
  <c r="V658" i="1"/>
  <c r="CM658" i="1" s="1"/>
  <c r="CN658" i="1" s="1"/>
  <c r="CO658" i="1" s="1"/>
  <c r="CP658" i="1" s="1"/>
  <c r="CQ658" i="1" s="1"/>
  <c r="W658" i="1"/>
  <c r="BW658" i="1" s="1"/>
  <c r="X658" i="1"/>
  <c r="Y658" i="1"/>
  <c r="V659" i="1"/>
  <c r="CM659" i="1" s="1"/>
  <c r="CN659" i="1" s="1"/>
  <c r="CO659" i="1" s="1"/>
  <c r="CP659" i="1" s="1"/>
  <c r="CQ659" i="1" s="1"/>
  <c r="W659" i="1"/>
  <c r="BW659" i="1" s="1"/>
  <c r="X659" i="1"/>
  <c r="Y659" i="1"/>
  <c r="V660" i="1"/>
  <c r="CM660" i="1" s="1"/>
  <c r="CN660" i="1" s="1"/>
  <c r="CO660" i="1" s="1"/>
  <c r="CP660" i="1" s="1"/>
  <c r="CQ660" i="1" s="1"/>
  <c r="W660" i="1"/>
  <c r="BW660" i="1" s="1"/>
  <c r="X660" i="1"/>
  <c r="Y660" i="1"/>
  <c r="V661" i="1"/>
  <c r="CM661" i="1" s="1"/>
  <c r="CN661" i="1" s="1"/>
  <c r="CO661" i="1" s="1"/>
  <c r="CP661" i="1" s="1"/>
  <c r="CQ661" i="1" s="1"/>
  <c r="W661" i="1"/>
  <c r="BW661" i="1" s="1"/>
  <c r="X661" i="1"/>
  <c r="Y661" i="1"/>
  <c r="V662" i="1"/>
  <c r="CM662" i="1" s="1"/>
  <c r="CN662" i="1" s="1"/>
  <c r="CO662" i="1" s="1"/>
  <c r="CP662" i="1" s="1"/>
  <c r="CQ662" i="1" s="1"/>
  <c r="W662" i="1"/>
  <c r="BW662" i="1" s="1"/>
  <c r="X662" i="1"/>
  <c r="Y662" i="1"/>
  <c r="V663" i="1"/>
  <c r="CM663" i="1" s="1"/>
  <c r="CN663" i="1" s="1"/>
  <c r="CO663" i="1" s="1"/>
  <c r="CP663" i="1" s="1"/>
  <c r="CQ663" i="1" s="1"/>
  <c r="W663" i="1"/>
  <c r="BW663" i="1" s="1"/>
  <c r="X663" i="1"/>
  <c r="Y663" i="1"/>
  <c r="V664" i="1"/>
  <c r="CM664" i="1" s="1"/>
  <c r="CN664" i="1" s="1"/>
  <c r="CO664" i="1" s="1"/>
  <c r="CP664" i="1" s="1"/>
  <c r="CQ664" i="1" s="1"/>
  <c r="W664" i="1"/>
  <c r="BW664" i="1" s="1"/>
  <c r="X664" i="1"/>
  <c r="Y664" i="1"/>
  <c r="V665" i="1"/>
  <c r="CM665" i="1" s="1"/>
  <c r="CN665" i="1" s="1"/>
  <c r="CO665" i="1" s="1"/>
  <c r="CP665" i="1" s="1"/>
  <c r="CQ665" i="1" s="1"/>
  <c r="W665" i="1"/>
  <c r="BW665" i="1" s="1"/>
  <c r="X665" i="1"/>
  <c r="Y665" i="1"/>
  <c r="V666" i="1"/>
  <c r="CM666" i="1" s="1"/>
  <c r="CN666" i="1" s="1"/>
  <c r="CO666" i="1" s="1"/>
  <c r="CP666" i="1" s="1"/>
  <c r="CQ666" i="1" s="1"/>
  <c r="W666" i="1"/>
  <c r="BW666" i="1" s="1"/>
  <c r="X666" i="1"/>
  <c r="Y666" i="1"/>
  <c r="V667" i="1"/>
  <c r="CM667" i="1" s="1"/>
  <c r="CN667" i="1" s="1"/>
  <c r="CO667" i="1" s="1"/>
  <c r="CP667" i="1" s="1"/>
  <c r="CQ667" i="1" s="1"/>
  <c r="W667" i="1"/>
  <c r="BW667" i="1" s="1"/>
  <c r="X667" i="1"/>
  <c r="Y667" i="1"/>
  <c r="V668" i="1"/>
  <c r="CM668" i="1" s="1"/>
  <c r="CN668" i="1" s="1"/>
  <c r="CO668" i="1" s="1"/>
  <c r="CP668" i="1" s="1"/>
  <c r="CQ668" i="1" s="1"/>
  <c r="W668" i="1"/>
  <c r="BW668" i="1" s="1"/>
  <c r="X668" i="1"/>
  <c r="Y668" i="1"/>
  <c r="V669" i="1"/>
  <c r="CM669" i="1" s="1"/>
  <c r="CN669" i="1" s="1"/>
  <c r="CO669" i="1" s="1"/>
  <c r="CP669" i="1" s="1"/>
  <c r="CQ669" i="1" s="1"/>
  <c r="W669" i="1"/>
  <c r="BW669" i="1" s="1"/>
  <c r="X669" i="1"/>
  <c r="Y669" i="1"/>
  <c r="V670" i="1"/>
  <c r="CM670" i="1" s="1"/>
  <c r="CN670" i="1" s="1"/>
  <c r="CO670" i="1" s="1"/>
  <c r="CP670" i="1" s="1"/>
  <c r="CQ670" i="1" s="1"/>
  <c r="W670" i="1"/>
  <c r="BW670" i="1" s="1"/>
  <c r="X670" i="1"/>
  <c r="Y670" i="1"/>
  <c r="V671" i="1"/>
  <c r="CM671" i="1" s="1"/>
  <c r="CN671" i="1" s="1"/>
  <c r="CO671" i="1" s="1"/>
  <c r="CP671" i="1" s="1"/>
  <c r="CQ671" i="1" s="1"/>
  <c r="W671" i="1"/>
  <c r="BW671" i="1" s="1"/>
  <c r="X671" i="1"/>
  <c r="Y671" i="1"/>
  <c r="V672" i="1"/>
  <c r="CM672" i="1" s="1"/>
  <c r="CN672" i="1" s="1"/>
  <c r="CO672" i="1" s="1"/>
  <c r="CP672" i="1" s="1"/>
  <c r="CQ672" i="1" s="1"/>
  <c r="W672" i="1"/>
  <c r="BW672" i="1" s="1"/>
  <c r="X672" i="1"/>
  <c r="Y672" i="1"/>
  <c r="V673" i="1"/>
  <c r="CM673" i="1" s="1"/>
  <c r="CN673" i="1" s="1"/>
  <c r="CO673" i="1" s="1"/>
  <c r="CP673" i="1" s="1"/>
  <c r="CQ673" i="1" s="1"/>
  <c r="CR673" i="1" s="1"/>
  <c r="W673" i="1"/>
  <c r="BW673" i="1" s="1"/>
  <c r="X673" i="1"/>
  <c r="Y673" i="1"/>
  <c r="V674" i="1"/>
  <c r="CM674" i="1" s="1"/>
  <c r="CN674" i="1" s="1"/>
  <c r="CO674" i="1" s="1"/>
  <c r="CP674" i="1" s="1"/>
  <c r="CQ674" i="1" s="1"/>
  <c r="W674" i="1"/>
  <c r="BW674" i="1" s="1"/>
  <c r="X674" i="1"/>
  <c r="Y674" i="1"/>
  <c r="V675" i="1"/>
  <c r="CM675" i="1" s="1"/>
  <c r="CN675" i="1" s="1"/>
  <c r="CO675" i="1" s="1"/>
  <c r="CP675" i="1" s="1"/>
  <c r="CQ675" i="1" s="1"/>
  <c r="W675" i="1"/>
  <c r="BW675" i="1" s="1"/>
  <c r="X675" i="1"/>
  <c r="Y675" i="1"/>
  <c r="V676" i="1"/>
  <c r="CM676" i="1" s="1"/>
  <c r="CN676" i="1" s="1"/>
  <c r="CO676" i="1" s="1"/>
  <c r="CP676" i="1" s="1"/>
  <c r="CQ676" i="1" s="1"/>
  <c r="W676" i="1"/>
  <c r="BW676" i="1" s="1"/>
  <c r="X676" i="1"/>
  <c r="Y676" i="1"/>
  <c r="V677" i="1"/>
  <c r="CM677" i="1" s="1"/>
  <c r="CN677" i="1" s="1"/>
  <c r="CO677" i="1" s="1"/>
  <c r="CP677" i="1" s="1"/>
  <c r="CQ677" i="1" s="1"/>
  <c r="W677" i="1"/>
  <c r="BW677" i="1" s="1"/>
  <c r="X677" i="1"/>
  <c r="Y677" i="1"/>
  <c r="V678" i="1"/>
  <c r="CM678" i="1" s="1"/>
  <c r="CN678" i="1" s="1"/>
  <c r="CO678" i="1" s="1"/>
  <c r="CP678" i="1" s="1"/>
  <c r="CQ678" i="1" s="1"/>
  <c r="W678" i="1"/>
  <c r="BW678" i="1" s="1"/>
  <c r="X678" i="1"/>
  <c r="Y678" i="1"/>
  <c r="V679" i="1"/>
  <c r="CM679" i="1" s="1"/>
  <c r="CN679" i="1" s="1"/>
  <c r="CO679" i="1" s="1"/>
  <c r="CP679" i="1" s="1"/>
  <c r="CQ679" i="1" s="1"/>
  <c r="W679" i="1"/>
  <c r="BW679" i="1" s="1"/>
  <c r="X679" i="1"/>
  <c r="Y679" i="1"/>
  <c r="V680" i="1"/>
  <c r="CM680" i="1" s="1"/>
  <c r="CN680" i="1" s="1"/>
  <c r="CO680" i="1" s="1"/>
  <c r="CP680" i="1" s="1"/>
  <c r="CQ680" i="1" s="1"/>
  <c r="W680" i="1"/>
  <c r="BW680" i="1" s="1"/>
  <c r="X680" i="1"/>
  <c r="Y680" i="1"/>
  <c r="V681" i="1"/>
  <c r="CM681" i="1" s="1"/>
  <c r="CN681" i="1" s="1"/>
  <c r="CO681" i="1" s="1"/>
  <c r="CP681" i="1" s="1"/>
  <c r="CQ681" i="1" s="1"/>
  <c r="W681" i="1"/>
  <c r="BW681" i="1" s="1"/>
  <c r="X681" i="1"/>
  <c r="Y681" i="1"/>
  <c r="V682" i="1"/>
  <c r="CM682" i="1" s="1"/>
  <c r="CN682" i="1" s="1"/>
  <c r="CO682" i="1" s="1"/>
  <c r="CP682" i="1" s="1"/>
  <c r="CQ682" i="1" s="1"/>
  <c r="W682" i="1"/>
  <c r="BW682" i="1" s="1"/>
  <c r="X682" i="1"/>
  <c r="Y682" i="1"/>
  <c r="V683" i="1"/>
  <c r="CM683" i="1" s="1"/>
  <c r="CN683" i="1" s="1"/>
  <c r="CO683" i="1" s="1"/>
  <c r="CP683" i="1" s="1"/>
  <c r="CQ683" i="1" s="1"/>
  <c r="W683" i="1"/>
  <c r="BW683" i="1" s="1"/>
  <c r="X683" i="1"/>
  <c r="Y683" i="1"/>
  <c r="V684" i="1"/>
  <c r="CM684" i="1" s="1"/>
  <c r="CN684" i="1" s="1"/>
  <c r="CO684" i="1" s="1"/>
  <c r="CP684" i="1" s="1"/>
  <c r="CQ684" i="1" s="1"/>
  <c r="W684" i="1"/>
  <c r="BW684" i="1" s="1"/>
  <c r="X684" i="1"/>
  <c r="Y684" i="1"/>
  <c r="V685" i="1"/>
  <c r="CM685" i="1" s="1"/>
  <c r="CN685" i="1" s="1"/>
  <c r="CO685" i="1" s="1"/>
  <c r="CP685" i="1" s="1"/>
  <c r="CQ685" i="1" s="1"/>
  <c r="W685" i="1"/>
  <c r="BW685" i="1" s="1"/>
  <c r="X685" i="1"/>
  <c r="Y685" i="1"/>
  <c r="V686" i="1"/>
  <c r="CM686" i="1" s="1"/>
  <c r="CN686" i="1" s="1"/>
  <c r="CO686" i="1" s="1"/>
  <c r="CP686" i="1" s="1"/>
  <c r="CQ686" i="1" s="1"/>
  <c r="W686" i="1"/>
  <c r="BW686" i="1" s="1"/>
  <c r="X686" i="1"/>
  <c r="Y686" i="1"/>
  <c r="V687" i="1"/>
  <c r="CM687" i="1" s="1"/>
  <c r="CN687" i="1" s="1"/>
  <c r="CO687" i="1" s="1"/>
  <c r="CP687" i="1" s="1"/>
  <c r="CQ687" i="1" s="1"/>
  <c r="W687" i="1"/>
  <c r="BW687" i="1" s="1"/>
  <c r="X687" i="1"/>
  <c r="Y687" i="1"/>
  <c r="V688" i="1"/>
  <c r="CM688" i="1" s="1"/>
  <c r="CN688" i="1" s="1"/>
  <c r="CO688" i="1" s="1"/>
  <c r="CP688" i="1" s="1"/>
  <c r="CQ688" i="1" s="1"/>
  <c r="W688" i="1"/>
  <c r="BW688" i="1" s="1"/>
  <c r="X688" i="1"/>
  <c r="Y688" i="1"/>
  <c r="V689" i="1"/>
  <c r="CM689" i="1" s="1"/>
  <c r="CN689" i="1" s="1"/>
  <c r="CO689" i="1" s="1"/>
  <c r="CP689" i="1" s="1"/>
  <c r="CQ689" i="1" s="1"/>
  <c r="W689" i="1"/>
  <c r="BW689" i="1" s="1"/>
  <c r="X689" i="1"/>
  <c r="Y689" i="1"/>
  <c r="V690" i="1"/>
  <c r="CM690" i="1" s="1"/>
  <c r="CN690" i="1" s="1"/>
  <c r="CO690" i="1" s="1"/>
  <c r="CP690" i="1" s="1"/>
  <c r="CQ690" i="1" s="1"/>
  <c r="W690" i="1"/>
  <c r="BW690" i="1" s="1"/>
  <c r="X690" i="1"/>
  <c r="Y690" i="1"/>
  <c r="V691" i="1"/>
  <c r="CM691" i="1" s="1"/>
  <c r="CN691" i="1" s="1"/>
  <c r="CO691" i="1" s="1"/>
  <c r="CP691" i="1" s="1"/>
  <c r="CQ691" i="1" s="1"/>
  <c r="W691" i="1"/>
  <c r="BW691" i="1" s="1"/>
  <c r="X691" i="1"/>
  <c r="Y691" i="1"/>
  <c r="V692" i="1"/>
  <c r="CM692" i="1" s="1"/>
  <c r="CN692" i="1" s="1"/>
  <c r="CO692" i="1" s="1"/>
  <c r="CP692" i="1" s="1"/>
  <c r="CQ692" i="1" s="1"/>
  <c r="W692" i="1"/>
  <c r="BW692" i="1" s="1"/>
  <c r="X692" i="1"/>
  <c r="Y692" i="1"/>
  <c r="V693" i="1"/>
  <c r="CM693" i="1" s="1"/>
  <c r="CN693" i="1" s="1"/>
  <c r="CO693" i="1" s="1"/>
  <c r="CP693" i="1" s="1"/>
  <c r="CQ693" i="1" s="1"/>
  <c r="W693" i="1"/>
  <c r="BW693" i="1" s="1"/>
  <c r="X693" i="1"/>
  <c r="Y693" i="1"/>
  <c r="V694" i="1"/>
  <c r="CM694" i="1" s="1"/>
  <c r="CN694" i="1" s="1"/>
  <c r="CO694" i="1" s="1"/>
  <c r="CP694" i="1" s="1"/>
  <c r="CQ694" i="1" s="1"/>
  <c r="W694" i="1"/>
  <c r="BW694" i="1" s="1"/>
  <c r="X694" i="1"/>
  <c r="Y694" i="1"/>
  <c r="V695" i="1"/>
  <c r="CM695" i="1" s="1"/>
  <c r="CN695" i="1" s="1"/>
  <c r="CO695" i="1" s="1"/>
  <c r="CP695" i="1" s="1"/>
  <c r="CQ695" i="1" s="1"/>
  <c r="W695" i="1"/>
  <c r="BW695" i="1" s="1"/>
  <c r="X695" i="1"/>
  <c r="Y695" i="1"/>
  <c r="V696" i="1"/>
  <c r="CM696" i="1" s="1"/>
  <c r="CN696" i="1" s="1"/>
  <c r="CO696" i="1" s="1"/>
  <c r="CP696" i="1" s="1"/>
  <c r="CQ696" i="1" s="1"/>
  <c r="W696" i="1"/>
  <c r="BW696" i="1" s="1"/>
  <c r="X696" i="1"/>
  <c r="Y696" i="1"/>
  <c r="V697" i="1"/>
  <c r="CM697" i="1" s="1"/>
  <c r="CN697" i="1" s="1"/>
  <c r="CO697" i="1" s="1"/>
  <c r="CP697" i="1" s="1"/>
  <c r="CQ697" i="1" s="1"/>
  <c r="W697" i="1"/>
  <c r="BW697" i="1" s="1"/>
  <c r="X697" i="1"/>
  <c r="Y697" i="1"/>
  <c r="V698" i="1"/>
  <c r="CM698" i="1" s="1"/>
  <c r="CN698" i="1" s="1"/>
  <c r="CO698" i="1" s="1"/>
  <c r="CP698" i="1" s="1"/>
  <c r="CQ698" i="1" s="1"/>
  <c r="W698" i="1"/>
  <c r="BW698" i="1" s="1"/>
  <c r="X698" i="1"/>
  <c r="Y698" i="1"/>
  <c r="V699" i="1"/>
  <c r="CM699" i="1" s="1"/>
  <c r="CN699" i="1" s="1"/>
  <c r="CO699" i="1" s="1"/>
  <c r="CP699" i="1" s="1"/>
  <c r="CQ699" i="1" s="1"/>
  <c r="W699" i="1"/>
  <c r="BW699" i="1" s="1"/>
  <c r="X699" i="1"/>
  <c r="Y699" i="1"/>
  <c r="V700" i="1"/>
  <c r="CM700" i="1" s="1"/>
  <c r="CN700" i="1" s="1"/>
  <c r="CO700" i="1" s="1"/>
  <c r="CP700" i="1" s="1"/>
  <c r="CQ700" i="1" s="1"/>
  <c r="W700" i="1"/>
  <c r="BW700" i="1" s="1"/>
  <c r="X700" i="1"/>
  <c r="Y700" i="1"/>
  <c r="V701" i="1"/>
  <c r="CM701" i="1" s="1"/>
  <c r="CN701" i="1" s="1"/>
  <c r="CO701" i="1" s="1"/>
  <c r="CP701" i="1" s="1"/>
  <c r="CQ701" i="1" s="1"/>
  <c r="W701" i="1"/>
  <c r="BW701" i="1" s="1"/>
  <c r="X701" i="1"/>
  <c r="Y701" i="1"/>
  <c r="V702" i="1"/>
  <c r="CM702" i="1" s="1"/>
  <c r="CN702" i="1" s="1"/>
  <c r="CO702" i="1" s="1"/>
  <c r="CP702" i="1" s="1"/>
  <c r="CQ702" i="1" s="1"/>
  <c r="W702" i="1"/>
  <c r="BW702" i="1" s="1"/>
  <c r="X702" i="1"/>
  <c r="Y702" i="1"/>
  <c r="V703" i="1"/>
  <c r="CM703" i="1" s="1"/>
  <c r="CN703" i="1" s="1"/>
  <c r="CO703" i="1" s="1"/>
  <c r="CP703" i="1" s="1"/>
  <c r="CQ703" i="1" s="1"/>
  <c r="W703" i="1"/>
  <c r="BW703" i="1" s="1"/>
  <c r="X703" i="1"/>
  <c r="Y703" i="1"/>
  <c r="V704" i="1"/>
  <c r="CM704" i="1" s="1"/>
  <c r="CN704" i="1" s="1"/>
  <c r="CO704" i="1" s="1"/>
  <c r="CP704" i="1" s="1"/>
  <c r="CQ704" i="1" s="1"/>
  <c r="W704" i="1"/>
  <c r="BW704" i="1" s="1"/>
  <c r="X704" i="1"/>
  <c r="Y704" i="1"/>
  <c r="V705" i="1"/>
  <c r="CM705" i="1" s="1"/>
  <c r="CN705" i="1" s="1"/>
  <c r="CO705" i="1" s="1"/>
  <c r="CP705" i="1" s="1"/>
  <c r="CQ705" i="1" s="1"/>
  <c r="W705" i="1"/>
  <c r="BW705" i="1" s="1"/>
  <c r="X705" i="1"/>
  <c r="Y705" i="1"/>
  <c r="V706" i="1"/>
  <c r="CM706" i="1" s="1"/>
  <c r="CN706" i="1" s="1"/>
  <c r="CO706" i="1" s="1"/>
  <c r="CP706" i="1" s="1"/>
  <c r="CQ706" i="1" s="1"/>
  <c r="W706" i="1"/>
  <c r="BW706" i="1" s="1"/>
  <c r="X706" i="1"/>
  <c r="Y706" i="1"/>
  <c r="V707" i="1"/>
  <c r="CM707" i="1" s="1"/>
  <c r="CN707" i="1" s="1"/>
  <c r="CO707" i="1" s="1"/>
  <c r="CP707" i="1" s="1"/>
  <c r="CQ707" i="1" s="1"/>
  <c r="W707" i="1"/>
  <c r="BW707" i="1" s="1"/>
  <c r="X707" i="1"/>
  <c r="Y707" i="1"/>
  <c r="V708" i="1"/>
  <c r="CM708" i="1" s="1"/>
  <c r="CN708" i="1" s="1"/>
  <c r="CO708" i="1" s="1"/>
  <c r="CP708" i="1" s="1"/>
  <c r="CQ708" i="1" s="1"/>
  <c r="W708" i="1"/>
  <c r="BW708" i="1" s="1"/>
  <c r="X708" i="1"/>
  <c r="Y708" i="1"/>
  <c r="V709" i="1"/>
  <c r="CM709" i="1" s="1"/>
  <c r="CN709" i="1" s="1"/>
  <c r="CO709" i="1" s="1"/>
  <c r="CP709" i="1" s="1"/>
  <c r="CQ709" i="1" s="1"/>
  <c r="W709" i="1"/>
  <c r="BW709" i="1" s="1"/>
  <c r="X709" i="1"/>
  <c r="Y709" i="1"/>
  <c r="V710" i="1"/>
  <c r="CM710" i="1" s="1"/>
  <c r="CN710" i="1" s="1"/>
  <c r="CO710" i="1" s="1"/>
  <c r="CP710" i="1" s="1"/>
  <c r="CQ710" i="1" s="1"/>
  <c r="W710" i="1"/>
  <c r="BW710" i="1" s="1"/>
  <c r="X710" i="1"/>
  <c r="Y710" i="1"/>
  <c r="V711" i="1"/>
  <c r="CM711" i="1" s="1"/>
  <c r="CN711" i="1" s="1"/>
  <c r="CO711" i="1" s="1"/>
  <c r="CP711" i="1" s="1"/>
  <c r="CQ711" i="1" s="1"/>
  <c r="W711" i="1"/>
  <c r="BW711" i="1" s="1"/>
  <c r="X711" i="1"/>
  <c r="Y711" i="1"/>
  <c r="V712" i="1"/>
  <c r="CM712" i="1" s="1"/>
  <c r="CN712" i="1" s="1"/>
  <c r="CO712" i="1" s="1"/>
  <c r="CP712" i="1" s="1"/>
  <c r="CQ712" i="1" s="1"/>
  <c r="W712" i="1"/>
  <c r="BW712" i="1" s="1"/>
  <c r="X712" i="1"/>
  <c r="Y712" i="1"/>
  <c r="V713" i="1"/>
  <c r="CM713" i="1" s="1"/>
  <c r="CN713" i="1" s="1"/>
  <c r="CO713" i="1" s="1"/>
  <c r="CP713" i="1" s="1"/>
  <c r="CQ713" i="1" s="1"/>
  <c r="W713" i="1"/>
  <c r="BW713" i="1" s="1"/>
  <c r="X713" i="1"/>
  <c r="Y713" i="1"/>
  <c r="V714" i="1"/>
  <c r="CM714" i="1" s="1"/>
  <c r="CN714" i="1" s="1"/>
  <c r="CO714" i="1" s="1"/>
  <c r="CP714" i="1" s="1"/>
  <c r="CQ714" i="1" s="1"/>
  <c r="W714" i="1"/>
  <c r="BW714" i="1" s="1"/>
  <c r="X714" i="1"/>
  <c r="Y714" i="1"/>
  <c r="V715" i="1"/>
  <c r="CM715" i="1" s="1"/>
  <c r="CN715" i="1" s="1"/>
  <c r="CO715" i="1" s="1"/>
  <c r="CP715" i="1" s="1"/>
  <c r="CQ715" i="1" s="1"/>
  <c r="W715" i="1"/>
  <c r="BW715" i="1" s="1"/>
  <c r="X715" i="1"/>
  <c r="Y715" i="1"/>
  <c r="V716" i="1"/>
  <c r="CM716" i="1" s="1"/>
  <c r="CN716" i="1" s="1"/>
  <c r="CO716" i="1" s="1"/>
  <c r="CP716" i="1" s="1"/>
  <c r="CQ716" i="1" s="1"/>
  <c r="W716" i="1"/>
  <c r="BW716" i="1" s="1"/>
  <c r="X716" i="1"/>
  <c r="Y716" i="1"/>
  <c r="V717" i="1"/>
  <c r="CM717" i="1" s="1"/>
  <c r="CN717" i="1" s="1"/>
  <c r="CO717" i="1" s="1"/>
  <c r="CP717" i="1" s="1"/>
  <c r="CQ717" i="1" s="1"/>
  <c r="W717" i="1"/>
  <c r="BW717" i="1" s="1"/>
  <c r="X717" i="1"/>
  <c r="Y717" i="1"/>
  <c r="V718" i="1"/>
  <c r="CM718" i="1" s="1"/>
  <c r="CN718" i="1" s="1"/>
  <c r="CO718" i="1" s="1"/>
  <c r="CP718" i="1" s="1"/>
  <c r="CQ718" i="1" s="1"/>
  <c r="W718" i="1"/>
  <c r="BW718" i="1" s="1"/>
  <c r="X718" i="1"/>
  <c r="Y718" i="1"/>
  <c r="V719" i="1"/>
  <c r="CM719" i="1" s="1"/>
  <c r="CN719" i="1" s="1"/>
  <c r="CO719" i="1" s="1"/>
  <c r="CP719" i="1" s="1"/>
  <c r="CQ719" i="1" s="1"/>
  <c r="W719" i="1"/>
  <c r="BW719" i="1" s="1"/>
  <c r="X719" i="1"/>
  <c r="Y719" i="1"/>
  <c r="V720" i="1"/>
  <c r="CM720" i="1" s="1"/>
  <c r="CN720" i="1" s="1"/>
  <c r="CO720" i="1" s="1"/>
  <c r="CP720" i="1" s="1"/>
  <c r="CQ720" i="1" s="1"/>
  <c r="W720" i="1"/>
  <c r="BW720" i="1" s="1"/>
  <c r="X720" i="1"/>
  <c r="Y720" i="1"/>
  <c r="V721" i="1"/>
  <c r="CM721" i="1" s="1"/>
  <c r="CN721" i="1" s="1"/>
  <c r="CO721" i="1" s="1"/>
  <c r="CP721" i="1" s="1"/>
  <c r="CQ721" i="1" s="1"/>
  <c r="W721" i="1"/>
  <c r="BW721" i="1" s="1"/>
  <c r="X721" i="1"/>
  <c r="Y721" i="1"/>
  <c r="V722" i="1"/>
  <c r="CM722" i="1" s="1"/>
  <c r="CN722" i="1" s="1"/>
  <c r="CO722" i="1" s="1"/>
  <c r="CP722" i="1" s="1"/>
  <c r="CQ722" i="1" s="1"/>
  <c r="W722" i="1"/>
  <c r="BW722" i="1" s="1"/>
  <c r="X722" i="1"/>
  <c r="Y722" i="1"/>
  <c r="V723" i="1"/>
  <c r="CM723" i="1" s="1"/>
  <c r="CN723" i="1" s="1"/>
  <c r="CO723" i="1" s="1"/>
  <c r="CP723" i="1" s="1"/>
  <c r="CQ723" i="1" s="1"/>
  <c r="W723" i="1"/>
  <c r="BW723" i="1" s="1"/>
  <c r="X723" i="1"/>
  <c r="Y723" i="1"/>
  <c r="V724" i="1"/>
  <c r="CM724" i="1" s="1"/>
  <c r="CN724" i="1" s="1"/>
  <c r="CO724" i="1" s="1"/>
  <c r="CP724" i="1" s="1"/>
  <c r="CQ724" i="1" s="1"/>
  <c r="W724" i="1"/>
  <c r="BW724" i="1" s="1"/>
  <c r="X724" i="1"/>
  <c r="Y724" i="1"/>
  <c r="V725" i="1"/>
  <c r="CM725" i="1" s="1"/>
  <c r="CN725" i="1" s="1"/>
  <c r="CO725" i="1" s="1"/>
  <c r="CP725" i="1" s="1"/>
  <c r="CQ725" i="1" s="1"/>
  <c r="W725" i="1"/>
  <c r="BW725" i="1" s="1"/>
  <c r="X725" i="1"/>
  <c r="Y725" i="1"/>
  <c r="V726" i="1"/>
  <c r="CM726" i="1" s="1"/>
  <c r="CN726" i="1" s="1"/>
  <c r="CO726" i="1" s="1"/>
  <c r="CP726" i="1" s="1"/>
  <c r="CQ726" i="1" s="1"/>
  <c r="W726" i="1"/>
  <c r="BW726" i="1" s="1"/>
  <c r="X726" i="1"/>
  <c r="Y726" i="1"/>
  <c r="V727" i="1"/>
  <c r="CM727" i="1" s="1"/>
  <c r="CN727" i="1" s="1"/>
  <c r="CO727" i="1" s="1"/>
  <c r="CP727" i="1" s="1"/>
  <c r="CQ727" i="1" s="1"/>
  <c r="W727" i="1"/>
  <c r="BW727" i="1" s="1"/>
  <c r="X727" i="1"/>
  <c r="Y727" i="1"/>
  <c r="V728" i="1"/>
  <c r="CM728" i="1" s="1"/>
  <c r="CN728" i="1" s="1"/>
  <c r="CO728" i="1" s="1"/>
  <c r="CP728" i="1" s="1"/>
  <c r="CQ728" i="1" s="1"/>
  <c r="W728" i="1"/>
  <c r="BW728" i="1" s="1"/>
  <c r="X728" i="1"/>
  <c r="Y728" i="1"/>
  <c r="V729" i="1"/>
  <c r="CM729" i="1" s="1"/>
  <c r="CN729" i="1" s="1"/>
  <c r="CO729" i="1" s="1"/>
  <c r="CP729" i="1" s="1"/>
  <c r="CQ729" i="1" s="1"/>
  <c r="W729" i="1"/>
  <c r="BW729" i="1" s="1"/>
  <c r="X729" i="1"/>
  <c r="Y729" i="1"/>
  <c r="V730" i="1"/>
  <c r="CM730" i="1" s="1"/>
  <c r="CN730" i="1" s="1"/>
  <c r="CO730" i="1" s="1"/>
  <c r="CP730" i="1" s="1"/>
  <c r="CQ730" i="1" s="1"/>
  <c r="W730" i="1"/>
  <c r="BW730" i="1" s="1"/>
  <c r="X730" i="1"/>
  <c r="Y730" i="1"/>
  <c r="V731" i="1"/>
  <c r="CM731" i="1" s="1"/>
  <c r="CN731" i="1" s="1"/>
  <c r="CO731" i="1" s="1"/>
  <c r="CP731" i="1" s="1"/>
  <c r="CQ731" i="1" s="1"/>
  <c r="W731" i="1"/>
  <c r="BW731" i="1" s="1"/>
  <c r="X731" i="1"/>
  <c r="Y731" i="1"/>
  <c r="V732" i="1"/>
  <c r="CM732" i="1" s="1"/>
  <c r="CN732" i="1" s="1"/>
  <c r="CO732" i="1" s="1"/>
  <c r="CP732" i="1" s="1"/>
  <c r="CQ732" i="1" s="1"/>
  <c r="W732" i="1"/>
  <c r="BW732" i="1" s="1"/>
  <c r="X732" i="1"/>
  <c r="Y732" i="1"/>
  <c r="V733" i="1"/>
  <c r="CM733" i="1" s="1"/>
  <c r="CN733" i="1" s="1"/>
  <c r="CO733" i="1" s="1"/>
  <c r="CP733" i="1" s="1"/>
  <c r="CQ733" i="1" s="1"/>
  <c r="W733" i="1"/>
  <c r="BW733" i="1" s="1"/>
  <c r="X733" i="1"/>
  <c r="Y733" i="1"/>
  <c r="V734" i="1"/>
  <c r="CM734" i="1" s="1"/>
  <c r="CN734" i="1" s="1"/>
  <c r="CO734" i="1" s="1"/>
  <c r="CP734" i="1" s="1"/>
  <c r="CQ734" i="1" s="1"/>
  <c r="W734" i="1"/>
  <c r="BW734" i="1" s="1"/>
  <c r="X734" i="1"/>
  <c r="Y734" i="1"/>
  <c r="V735" i="1"/>
  <c r="CM735" i="1" s="1"/>
  <c r="CN735" i="1" s="1"/>
  <c r="CO735" i="1" s="1"/>
  <c r="CP735" i="1" s="1"/>
  <c r="CQ735" i="1" s="1"/>
  <c r="W735" i="1"/>
  <c r="BW735" i="1" s="1"/>
  <c r="X735" i="1"/>
  <c r="Y735" i="1"/>
  <c r="V736" i="1"/>
  <c r="CM736" i="1" s="1"/>
  <c r="CN736" i="1" s="1"/>
  <c r="CO736" i="1" s="1"/>
  <c r="CP736" i="1" s="1"/>
  <c r="CQ736" i="1" s="1"/>
  <c r="W736" i="1"/>
  <c r="BW736" i="1" s="1"/>
  <c r="X736" i="1"/>
  <c r="Y736" i="1"/>
  <c r="V737" i="1"/>
  <c r="CM737" i="1" s="1"/>
  <c r="CN737" i="1" s="1"/>
  <c r="CO737" i="1" s="1"/>
  <c r="CP737" i="1" s="1"/>
  <c r="CQ737" i="1" s="1"/>
  <c r="W737" i="1"/>
  <c r="BW737" i="1" s="1"/>
  <c r="X737" i="1"/>
  <c r="Y737" i="1"/>
  <c r="V738" i="1"/>
  <c r="CM738" i="1" s="1"/>
  <c r="CN738" i="1" s="1"/>
  <c r="CO738" i="1" s="1"/>
  <c r="CP738" i="1" s="1"/>
  <c r="CQ738" i="1" s="1"/>
  <c r="W738" i="1"/>
  <c r="BW738" i="1" s="1"/>
  <c r="X738" i="1"/>
  <c r="Y738" i="1"/>
  <c r="V739" i="1"/>
  <c r="CM739" i="1" s="1"/>
  <c r="CN739" i="1" s="1"/>
  <c r="CO739" i="1" s="1"/>
  <c r="CP739" i="1" s="1"/>
  <c r="CQ739" i="1" s="1"/>
  <c r="W739" i="1"/>
  <c r="BW739" i="1" s="1"/>
  <c r="X739" i="1"/>
  <c r="Y739" i="1"/>
  <c r="V740" i="1"/>
  <c r="CM740" i="1" s="1"/>
  <c r="CN740" i="1" s="1"/>
  <c r="CO740" i="1" s="1"/>
  <c r="CP740" i="1" s="1"/>
  <c r="CQ740" i="1" s="1"/>
  <c r="W740" i="1"/>
  <c r="BW740" i="1" s="1"/>
  <c r="X740" i="1"/>
  <c r="Y740" i="1"/>
  <c r="V741" i="1"/>
  <c r="CM741" i="1" s="1"/>
  <c r="CN741" i="1" s="1"/>
  <c r="CO741" i="1" s="1"/>
  <c r="CP741" i="1" s="1"/>
  <c r="CQ741" i="1" s="1"/>
  <c r="W741" i="1"/>
  <c r="BW741" i="1" s="1"/>
  <c r="X741" i="1"/>
  <c r="Y741" i="1"/>
  <c r="V742" i="1"/>
  <c r="CM742" i="1" s="1"/>
  <c r="CN742" i="1" s="1"/>
  <c r="CO742" i="1" s="1"/>
  <c r="CP742" i="1" s="1"/>
  <c r="CQ742" i="1" s="1"/>
  <c r="W742" i="1"/>
  <c r="BW742" i="1" s="1"/>
  <c r="X742" i="1"/>
  <c r="Y742" i="1"/>
  <c r="V743" i="1"/>
  <c r="CM743" i="1" s="1"/>
  <c r="CN743" i="1" s="1"/>
  <c r="CO743" i="1" s="1"/>
  <c r="CP743" i="1" s="1"/>
  <c r="CQ743" i="1" s="1"/>
  <c r="W743" i="1"/>
  <c r="BW743" i="1" s="1"/>
  <c r="X743" i="1"/>
  <c r="Y743" i="1"/>
  <c r="V744" i="1"/>
  <c r="CM744" i="1" s="1"/>
  <c r="CN744" i="1" s="1"/>
  <c r="CO744" i="1" s="1"/>
  <c r="CP744" i="1" s="1"/>
  <c r="CQ744" i="1" s="1"/>
  <c r="W744" i="1"/>
  <c r="BW744" i="1" s="1"/>
  <c r="X744" i="1"/>
  <c r="Y744" i="1"/>
  <c r="V745" i="1"/>
  <c r="CM745" i="1" s="1"/>
  <c r="CN745" i="1" s="1"/>
  <c r="CO745" i="1" s="1"/>
  <c r="CP745" i="1" s="1"/>
  <c r="CQ745" i="1" s="1"/>
  <c r="W745" i="1"/>
  <c r="BW745" i="1" s="1"/>
  <c r="X745" i="1"/>
  <c r="Y745" i="1"/>
  <c r="V746" i="1"/>
  <c r="CM746" i="1" s="1"/>
  <c r="CN746" i="1" s="1"/>
  <c r="CO746" i="1" s="1"/>
  <c r="CP746" i="1" s="1"/>
  <c r="CQ746" i="1" s="1"/>
  <c r="W746" i="1"/>
  <c r="BW746" i="1" s="1"/>
  <c r="X746" i="1"/>
  <c r="Y746" i="1"/>
  <c r="V747" i="1"/>
  <c r="CM747" i="1" s="1"/>
  <c r="CN747" i="1" s="1"/>
  <c r="CO747" i="1" s="1"/>
  <c r="CP747" i="1" s="1"/>
  <c r="CQ747" i="1" s="1"/>
  <c r="W747" i="1"/>
  <c r="BW747" i="1" s="1"/>
  <c r="X747" i="1"/>
  <c r="Y747" i="1"/>
  <c r="V748" i="1"/>
  <c r="CM748" i="1" s="1"/>
  <c r="CN748" i="1" s="1"/>
  <c r="CO748" i="1" s="1"/>
  <c r="CP748" i="1" s="1"/>
  <c r="CQ748" i="1" s="1"/>
  <c r="W748" i="1"/>
  <c r="BW748" i="1" s="1"/>
  <c r="X748" i="1"/>
  <c r="Y748" i="1"/>
  <c r="V749" i="1"/>
  <c r="CM749" i="1" s="1"/>
  <c r="CN749" i="1" s="1"/>
  <c r="CO749" i="1" s="1"/>
  <c r="CP749" i="1" s="1"/>
  <c r="CQ749" i="1" s="1"/>
  <c r="W749" i="1"/>
  <c r="BW749" i="1" s="1"/>
  <c r="X749" i="1"/>
  <c r="Y749" i="1"/>
  <c r="V750" i="1"/>
  <c r="CM750" i="1" s="1"/>
  <c r="CN750" i="1" s="1"/>
  <c r="CO750" i="1" s="1"/>
  <c r="CP750" i="1" s="1"/>
  <c r="CQ750" i="1" s="1"/>
  <c r="W750" i="1"/>
  <c r="BW750" i="1" s="1"/>
  <c r="X750" i="1"/>
  <c r="Y750" i="1"/>
  <c r="V751" i="1"/>
  <c r="CM751" i="1" s="1"/>
  <c r="CN751" i="1" s="1"/>
  <c r="CO751" i="1" s="1"/>
  <c r="CP751" i="1" s="1"/>
  <c r="CQ751" i="1" s="1"/>
  <c r="W751" i="1"/>
  <c r="BW751" i="1" s="1"/>
  <c r="X751" i="1"/>
  <c r="Y751" i="1"/>
  <c r="V752" i="1"/>
  <c r="CM752" i="1" s="1"/>
  <c r="CN752" i="1" s="1"/>
  <c r="CO752" i="1" s="1"/>
  <c r="CP752" i="1" s="1"/>
  <c r="CQ752" i="1" s="1"/>
  <c r="W752" i="1"/>
  <c r="BW752" i="1" s="1"/>
  <c r="X752" i="1"/>
  <c r="Y752" i="1"/>
  <c r="V753" i="1"/>
  <c r="CM753" i="1" s="1"/>
  <c r="CN753" i="1" s="1"/>
  <c r="CO753" i="1" s="1"/>
  <c r="CP753" i="1" s="1"/>
  <c r="CQ753" i="1" s="1"/>
  <c r="W753" i="1"/>
  <c r="BW753" i="1" s="1"/>
  <c r="X753" i="1"/>
  <c r="Y753" i="1"/>
  <c r="V754" i="1"/>
  <c r="CM754" i="1" s="1"/>
  <c r="CN754" i="1" s="1"/>
  <c r="CO754" i="1" s="1"/>
  <c r="CP754" i="1" s="1"/>
  <c r="CQ754" i="1" s="1"/>
  <c r="W754" i="1"/>
  <c r="BW754" i="1" s="1"/>
  <c r="X754" i="1"/>
  <c r="Y754" i="1"/>
  <c r="V755" i="1"/>
  <c r="CM755" i="1" s="1"/>
  <c r="CN755" i="1" s="1"/>
  <c r="CO755" i="1" s="1"/>
  <c r="CP755" i="1" s="1"/>
  <c r="CQ755" i="1" s="1"/>
  <c r="W755" i="1"/>
  <c r="BW755" i="1" s="1"/>
  <c r="X755" i="1"/>
  <c r="Y755" i="1"/>
  <c r="V756" i="1"/>
  <c r="CM756" i="1" s="1"/>
  <c r="CN756" i="1" s="1"/>
  <c r="CO756" i="1" s="1"/>
  <c r="CP756" i="1" s="1"/>
  <c r="CQ756" i="1" s="1"/>
  <c r="W756" i="1"/>
  <c r="BW756" i="1" s="1"/>
  <c r="X756" i="1"/>
  <c r="Y756" i="1"/>
  <c r="V757" i="1"/>
  <c r="CM757" i="1" s="1"/>
  <c r="CN757" i="1" s="1"/>
  <c r="CO757" i="1" s="1"/>
  <c r="CP757" i="1" s="1"/>
  <c r="CQ757" i="1" s="1"/>
  <c r="W757" i="1"/>
  <c r="BW757" i="1" s="1"/>
  <c r="X757" i="1"/>
  <c r="Y757" i="1"/>
  <c r="V758" i="1"/>
  <c r="CM758" i="1" s="1"/>
  <c r="CN758" i="1" s="1"/>
  <c r="CO758" i="1" s="1"/>
  <c r="CP758" i="1" s="1"/>
  <c r="CQ758" i="1" s="1"/>
  <c r="W758" i="1"/>
  <c r="BW758" i="1" s="1"/>
  <c r="X758" i="1"/>
  <c r="Y758" i="1"/>
  <c r="V759" i="1"/>
  <c r="CM759" i="1" s="1"/>
  <c r="CN759" i="1" s="1"/>
  <c r="CO759" i="1" s="1"/>
  <c r="CP759" i="1" s="1"/>
  <c r="CQ759" i="1" s="1"/>
  <c r="W759" i="1"/>
  <c r="BW759" i="1" s="1"/>
  <c r="X759" i="1"/>
  <c r="Y759" i="1"/>
  <c r="V760" i="1"/>
  <c r="CM760" i="1" s="1"/>
  <c r="CN760" i="1" s="1"/>
  <c r="CO760" i="1" s="1"/>
  <c r="CP760" i="1" s="1"/>
  <c r="CQ760" i="1" s="1"/>
  <c r="W760" i="1"/>
  <c r="BW760" i="1" s="1"/>
  <c r="X760" i="1"/>
  <c r="Y760" i="1"/>
  <c r="V761" i="1"/>
  <c r="CM761" i="1" s="1"/>
  <c r="CN761" i="1" s="1"/>
  <c r="CO761" i="1" s="1"/>
  <c r="CP761" i="1" s="1"/>
  <c r="CQ761" i="1" s="1"/>
  <c r="W761" i="1"/>
  <c r="BW761" i="1" s="1"/>
  <c r="X761" i="1"/>
  <c r="Y761" i="1"/>
  <c r="V762" i="1"/>
  <c r="CM762" i="1" s="1"/>
  <c r="CN762" i="1" s="1"/>
  <c r="CO762" i="1" s="1"/>
  <c r="CP762" i="1" s="1"/>
  <c r="CQ762" i="1" s="1"/>
  <c r="W762" i="1"/>
  <c r="BW762" i="1" s="1"/>
  <c r="X762" i="1"/>
  <c r="Y762" i="1"/>
  <c r="V763" i="1"/>
  <c r="CM763" i="1" s="1"/>
  <c r="CN763" i="1" s="1"/>
  <c r="CO763" i="1" s="1"/>
  <c r="CP763" i="1" s="1"/>
  <c r="CQ763" i="1" s="1"/>
  <c r="W763" i="1"/>
  <c r="BW763" i="1" s="1"/>
  <c r="X763" i="1"/>
  <c r="Y763" i="1"/>
  <c r="V764" i="1"/>
  <c r="CM764" i="1" s="1"/>
  <c r="CN764" i="1" s="1"/>
  <c r="CO764" i="1" s="1"/>
  <c r="CP764" i="1" s="1"/>
  <c r="CQ764" i="1" s="1"/>
  <c r="W764" i="1"/>
  <c r="BW764" i="1" s="1"/>
  <c r="X764" i="1"/>
  <c r="Y764" i="1"/>
  <c r="V765" i="1"/>
  <c r="CM765" i="1" s="1"/>
  <c r="CN765" i="1" s="1"/>
  <c r="CO765" i="1" s="1"/>
  <c r="CP765" i="1" s="1"/>
  <c r="CQ765" i="1" s="1"/>
  <c r="W765" i="1"/>
  <c r="BW765" i="1" s="1"/>
  <c r="X765" i="1"/>
  <c r="Y765" i="1"/>
  <c r="V766" i="1"/>
  <c r="CM766" i="1" s="1"/>
  <c r="CN766" i="1" s="1"/>
  <c r="CO766" i="1" s="1"/>
  <c r="CP766" i="1" s="1"/>
  <c r="CQ766" i="1" s="1"/>
  <c r="W766" i="1"/>
  <c r="BW766" i="1" s="1"/>
  <c r="X766" i="1"/>
  <c r="Y766" i="1"/>
  <c r="V767" i="1"/>
  <c r="CM767" i="1" s="1"/>
  <c r="CN767" i="1" s="1"/>
  <c r="CO767" i="1" s="1"/>
  <c r="CP767" i="1" s="1"/>
  <c r="CQ767" i="1" s="1"/>
  <c r="W767" i="1"/>
  <c r="BW767" i="1" s="1"/>
  <c r="X767" i="1"/>
  <c r="Y767" i="1"/>
  <c r="V768" i="1"/>
  <c r="CM768" i="1" s="1"/>
  <c r="CN768" i="1" s="1"/>
  <c r="CO768" i="1" s="1"/>
  <c r="CP768" i="1" s="1"/>
  <c r="CQ768" i="1" s="1"/>
  <c r="W768" i="1"/>
  <c r="BW768" i="1" s="1"/>
  <c r="X768" i="1"/>
  <c r="Y768" i="1"/>
  <c r="V769" i="1"/>
  <c r="CM769" i="1" s="1"/>
  <c r="CN769" i="1" s="1"/>
  <c r="CO769" i="1" s="1"/>
  <c r="CP769" i="1" s="1"/>
  <c r="CQ769" i="1" s="1"/>
  <c r="W769" i="1"/>
  <c r="BW769" i="1" s="1"/>
  <c r="X769" i="1"/>
  <c r="Y769" i="1"/>
  <c r="V770" i="1"/>
  <c r="CM770" i="1" s="1"/>
  <c r="CN770" i="1" s="1"/>
  <c r="CO770" i="1" s="1"/>
  <c r="CP770" i="1" s="1"/>
  <c r="CQ770" i="1" s="1"/>
  <c r="W770" i="1"/>
  <c r="BW770" i="1" s="1"/>
  <c r="X770" i="1"/>
  <c r="Y770" i="1"/>
  <c r="V771" i="1"/>
  <c r="CM771" i="1" s="1"/>
  <c r="CN771" i="1" s="1"/>
  <c r="CO771" i="1" s="1"/>
  <c r="CP771" i="1" s="1"/>
  <c r="CQ771" i="1" s="1"/>
  <c r="W771" i="1"/>
  <c r="BW771" i="1" s="1"/>
  <c r="X771" i="1"/>
  <c r="Y771" i="1"/>
  <c r="V772" i="1"/>
  <c r="CM772" i="1" s="1"/>
  <c r="CN772" i="1" s="1"/>
  <c r="CO772" i="1" s="1"/>
  <c r="CP772" i="1" s="1"/>
  <c r="CQ772" i="1" s="1"/>
  <c r="W772" i="1"/>
  <c r="BW772" i="1" s="1"/>
  <c r="X772" i="1"/>
  <c r="Y772" i="1"/>
  <c r="V773" i="1"/>
  <c r="CM773" i="1" s="1"/>
  <c r="CN773" i="1" s="1"/>
  <c r="CO773" i="1" s="1"/>
  <c r="CP773" i="1" s="1"/>
  <c r="CQ773" i="1" s="1"/>
  <c r="W773" i="1"/>
  <c r="BW773" i="1" s="1"/>
  <c r="X773" i="1"/>
  <c r="Y773" i="1"/>
  <c r="V774" i="1"/>
  <c r="CM774" i="1" s="1"/>
  <c r="CN774" i="1" s="1"/>
  <c r="CO774" i="1" s="1"/>
  <c r="CP774" i="1" s="1"/>
  <c r="CQ774" i="1" s="1"/>
  <c r="W774" i="1"/>
  <c r="BW774" i="1" s="1"/>
  <c r="X774" i="1"/>
  <c r="Y774" i="1"/>
  <c r="V775" i="1"/>
  <c r="CM775" i="1" s="1"/>
  <c r="CN775" i="1" s="1"/>
  <c r="CO775" i="1" s="1"/>
  <c r="CP775" i="1" s="1"/>
  <c r="CQ775" i="1" s="1"/>
  <c r="W775" i="1"/>
  <c r="BW775" i="1" s="1"/>
  <c r="X775" i="1"/>
  <c r="Y775" i="1"/>
  <c r="V776" i="1"/>
  <c r="CM776" i="1" s="1"/>
  <c r="CN776" i="1" s="1"/>
  <c r="CO776" i="1" s="1"/>
  <c r="CP776" i="1" s="1"/>
  <c r="CQ776" i="1" s="1"/>
  <c r="W776" i="1"/>
  <c r="BW776" i="1" s="1"/>
  <c r="X776" i="1"/>
  <c r="Y776" i="1"/>
  <c r="V777" i="1"/>
  <c r="CM777" i="1" s="1"/>
  <c r="CN777" i="1" s="1"/>
  <c r="CO777" i="1" s="1"/>
  <c r="CP777" i="1" s="1"/>
  <c r="CQ777" i="1" s="1"/>
  <c r="W777" i="1"/>
  <c r="BW777" i="1" s="1"/>
  <c r="X777" i="1"/>
  <c r="Y777" i="1"/>
  <c r="V778" i="1"/>
  <c r="CM778" i="1" s="1"/>
  <c r="CN778" i="1" s="1"/>
  <c r="CO778" i="1" s="1"/>
  <c r="CP778" i="1" s="1"/>
  <c r="CQ778" i="1" s="1"/>
  <c r="W778" i="1"/>
  <c r="BW778" i="1" s="1"/>
  <c r="X778" i="1"/>
  <c r="Y778" i="1"/>
  <c r="V779" i="1"/>
  <c r="CM779" i="1" s="1"/>
  <c r="CN779" i="1" s="1"/>
  <c r="CO779" i="1" s="1"/>
  <c r="CP779" i="1" s="1"/>
  <c r="CQ779" i="1" s="1"/>
  <c r="W779" i="1"/>
  <c r="BW779" i="1" s="1"/>
  <c r="X779" i="1"/>
  <c r="Y779" i="1"/>
  <c r="V780" i="1"/>
  <c r="CM780" i="1" s="1"/>
  <c r="CN780" i="1" s="1"/>
  <c r="CO780" i="1" s="1"/>
  <c r="CP780" i="1" s="1"/>
  <c r="CQ780" i="1" s="1"/>
  <c r="W780" i="1"/>
  <c r="BW780" i="1" s="1"/>
  <c r="X780" i="1"/>
  <c r="Y780" i="1"/>
  <c r="V781" i="1"/>
  <c r="CM781" i="1" s="1"/>
  <c r="CN781" i="1" s="1"/>
  <c r="CO781" i="1" s="1"/>
  <c r="CP781" i="1" s="1"/>
  <c r="CQ781" i="1" s="1"/>
  <c r="W781" i="1"/>
  <c r="BW781" i="1" s="1"/>
  <c r="X781" i="1"/>
  <c r="Y781" i="1"/>
  <c r="V782" i="1"/>
  <c r="CM782" i="1" s="1"/>
  <c r="CN782" i="1" s="1"/>
  <c r="CO782" i="1" s="1"/>
  <c r="CP782" i="1" s="1"/>
  <c r="CQ782" i="1" s="1"/>
  <c r="W782" i="1"/>
  <c r="BW782" i="1" s="1"/>
  <c r="X782" i="1"/>
  <c r="Y782" i="1"/>
  <c r="V783" i="1"/>
  <c r="CM783" i="1" s="1"/>
  <c r="CN783" i="1" s="1"/>
  <c r="CO783" i="1" s="1"/>
  <c r="CP783" i="1" s="1"/>
  <c r="CQ783" i="1" s="1"/>
  <c r="W783" i="1"/>
  <c r="BW783" i="1" s="1"/>
  <c r="X783" i="1"/>
  <c r="Y783" i="1"/>
  <c r="V784" i="1"/>
  <c r="CM784" i="1" s="1"/>
  <c r="CN784" i="1" s="1"/>
  <c r="CO784" i="1" s="1"/>
  <c r="CP784" i="1" s="1"/>
  <c r="CQ784" i="1" s="1"/>
  <c r="W784" i="1"/>
  <c r="BW784" i="1" s="1"/>
  <c r="X784" i="1"/>
  <c r="Y784" i="1"/>
  <c r="V785" i="1"/>
  <c r="CM785" i="1" s="1"/>
  <c r="CN785" i="1" s="1"/>
  <c r="CO785" i="1" s="1"/>
  <c r="CP785" i="1" s="1"/>
  <c r="CQ785" i="1" s="1"/>
  <c r="W785" i="1"/>
  <c r="BW785" i="1" s="1"/>
  <c r="X785" i="1"/>
  <c r="Y785" i="1"/>
  <c r="V786" i="1"/>
  <c r="CM786" i="1" s="1"/>
  <c r="CN786" i="1" s="1"/>
  <c r="CO786" i="1" s="1"/>
  <c r="CP786" i="1" s="1"/>
  <c r="CQ786" i="1" s="1"/>
  <c r="W786" i="1"/>
  <c r="BW786" i="1" s="1"/>
  <c r="X786" i="1"/>
  <c r="Y786" i="1"/>
  <c r="V787" i="1"/>
  <c r="CM787" i="1" s="1"/>
  <c r="CN787" i="1" s="1"/>
  <c r="CO787" i="1" s="1"/>
  <c r="CP787" i="1" s="1"/>
  <c r="CQ787" i="1" s="1"/>
  <c r="W787" i="1"/>
  <c r="BW787" i="1" s="1"/>
  <c r="X787" i="1"/>
  <c r="Y787" i="1"/>
  <c r="V788" i="1"/>
  <c r="CM788" i="1" s="1"/>
  <c r="CN788" i="1" s="1"/>
  <c r="CO788" i="1" s="1"/>
  <c r="CP788" i="1" s="1"/>
  <c r="CQ788" i="1" s="1"/>
  <c r="W788" i="1"/>
  <c r="BW788" i="1" s="1"/>
  <c r="X788" i="1"/>
  <c r="Y788" i="1"/>
  <c r="V789" i="1"/>
  <c r="CM789" i="1" s="1"/>
  <c r="CN789" i="1" s="1"/>
  <c r="CO789" i="1" s="1"/>
  <c r="CP789" i="1" s="1"/>
  <c r="CQ789" i="1" s="1"/>
  <c r="W789" i="1"/>
  <c r="BW789" i="1" s="1"/>
  <c r="X789" i="1"/>
  <c r="Y789" i="1"/>
  <c r="V790" i="1"/>
  <c r="CM790" i="1" s="1"/>
  <c r="CN790" i="1" s="1"/>
  <c r="CO790" i="1" s="1"/>
  <c r="CP790" i="1" s="1"/>
  <c r="CQ790" i="1" s="1"/>
  <c r="W790" i="1"/>
  <c r="BW790" i="1" s="1"/>
  <c r="X790" i="1"/>
  <c r="Y790" i="1"/>
  <c r="V791" i="1"/>
  <c r="CM791" i="1" s="1"/>
  <c r="CN791" i="1" s="1"/>
  <c r="CO791" i="1" s="1"/>
  <c r="CP791" i="1" s="1"/>
  <c r="CQ791" i="1" s="1"/>
  <c r="W791" i="1"/>
  <c r="BW791" i="1" s="1"/>
  <c r="X791" i="1"/>
  <c r="Y791" i="1"/>
  <c r="V792" i="1"/>
  <c r="CM792" i="1" s="1"/>
  <c r="CN792" i="1" s="1"/>
  <c r="CO792" i="1" s="1"/>
  <c r="CP792" i="1" s="1"/>
  <c r="CQ792" i="1" s="1"/>
  <c r="W792" i="1"/>
  <c r="BW792" i="1" s="1"/>
  <c r="X792" i="1"/>
  <c r="Y792" i="1"/>
  <c r="V793" i="1"/>
  <c r="CM793" i="1" s="1"/>
  <c r="CN793" i="1" s="1"/>
  <c r="CO793" i="1" s="1"/>
  <c r="CP793" i="1" s="1"/>
  <c r="CQ793" i="1" s="1"/>
  <c r="W793" i="1"/>
  <c r="BW793" i="1" s="1"/>
  <c r="X793" i="1"/>
  <c r="Y793" i="1"/>
  <c r="V794" i="1"/>
  <c r="CM794" i="1" s="1"/>
  <c r="CN794" i="1" s="1"/>
  <c r="CO794" i="1" s="1"/>
  <c r="CP794" i="1" s="1"/>
  <c r="CQ794" i="1" s="1"/>
  <c r="W794" i="1"/>
  <c r="BW794" i="1" s="1"/>
  <c r="X794" i="1"/>
  <c r="Y794" i="1"/>
  <c r="V795" i="1"/>
  <c r="CM795" i="1" s="1"/>
  <c r="CN795" i="1" s="1"/>
  <c r="CO795" i="1" s="1"/>
  <c r="CP795" i="1" s="1"/>
  <c r="CQ795" i="1" s="1"/>
  <c r="W795" i="1"/>
  <c r="BW795" i="1" s="1"/>
  <c r="X795" i="1"/>
  <c r="Y795" i="1"/>
  <c r="V796" i="1"/>
  <c r="CM796" i="1" s="1"/>
  <c r="CN796" i="1" s="1"/>
  <c r="CO796" i="1" s="1"/>
  <c r="CP796" i="1" s="1"/>
  <c r="CQ796" i="1" s="1"/>
  <c r="W796" i="1"/>
  <c r="BW796" i="1" s="1"/>
  <c r="X796" i="1"/>
  <c r="Y796" i="1"/>
  <c r="V797" i="1"/>
  <c r="CM797" i="1" s="1"/>
  <c r="CN797" i="1" s="1"/>
  <c r="CO797" i="1" s="1"/>
  <c r="CP797" i="1" s="1"/>
  <c r="CQ797" i="1" s="1"/>
  <c r="W797" i="1"/>
  <c r="BW797" i="1" s="1"/>
  <c r="X797" i="1"/>
  <c r="Y797" i="1"/>
  <c r="V798" i="1"/>
  <c r="CM798" i="1" s="1"/>
  <c r="CN798" i="1" s="1"/>
  <c r="CO798" i="1" s="1"/>
  <c r="CP798" i="1" s="1"/>
  <c r="CQ798" i="1" s="1"/>
  <c r="W798" i="1"/>
  <c r="BW798" i="1" s="1"/>
  <c r="X798" i="1"/>
  <c r="Y798" i="1"/>
  <c r="V799" i="1"/>
  <c r="CM799" i="1" s="1"/>
  <c r="CN799" i="1" s="1"/>
  <c r="CO799" i="1" s="1"/>
  <c r="CP799" i="1" s="1"/>
  <c r="CQ799" i="1" s="1"/>
  <c r="W799" i="1"/>
  <c r="BW799" i="1" s="1"/>
  <c r="X799" i="1"/>
  <c r="Y799" i="1"/>
  <c r="V800" i="1"/>
  <c r="CM800" i="1" s="1"/>
  <c r="CN800" i="1" s="1"/>
  <c r="CO800" i="1" s="1"/>
  <c r="CP800" i="1" s="1"/>
  <c r="CQ800" i="1" s="1"/>
  <c r="W800" i="1"/>
  <c r="BW800" i="1" s="1"/>
  <c r="X800" i="1"/>
  <c r="Y800" i="1"/>
  <c r="V801" i="1"/>
  <c r="CM801" i="1" s="1"/>
  <c r="CN801" i="1" s="1"/>
  <c r="CO801" i="1" s="1"/>
  <c r="CP801" i="1" s="1"/>
  <c r="CQ801" i="1" s="1"/>
  <c r="W801" i="1"/>
  <c r="BW801" i="1" s="1"/>
  <c r="X801" i="1"/>
  <c r="Y801" i="1"/>
  <c r="V802" i="1"/>
  <c r="CM802" i="1" s="1"/>
  <c r="CN802" i="1" s="1"/>
  <c r="CO802" i="1" s="1"/>
  <c r="CP802" i="1" s="1"/>
  <c r="CQ802" i="1" s="1"/>
  <c r="W802" i="1"/>
  <c r="BW802" i="1" s="1"/>
  <c r="X802" i="1"/>
  <c r="Y802" i="1"/>
  <c r="V803" i="1"/>
  <c r="CM803" i="1" s="1"/>
  <c r="CN803" i="1" s="1"/>
  <c r="CO803" i="1" s="1"/>
  <c r="CP803" i="1" s="1"/>
  <c r="CQ803" i="1" s="1"/>
  <c r="W803" i="1"/>
  <c r="BW803" i="1" s="1"/>
  <c r="X803" i="1"/>
  <c r="Y803" i="1"/>
  <c r="V804" i="1"/>
  <c r="CM804" i="1" s="1"/>
  <c r="CN804" i="1" s="1"/>
  <c r="CO804" i="1" s="1"/>
  <c r="CP804" i="1" s="1"/>
  <c r="CQ804" i="1" s="1"/>
  <c r="W804" i="1"/>
  <c r="BW804" i="1" s="1"/>
  <c r="X804" i="1"/>
  <c r="Y804" i="1"/>
  <c r="V805" i="1"/>
  <c r="CM805" i="1" s="1"/>
  <c r="CN805" i="1" s="1"/>
  <c r="CO805" i="1" s="1"/>
  <c r="CP805" i="1" s="1"/>
  <c r="CQ805" i="1" s="1"/>
  <c r="W805" i="1"/>
  <c r="BW805" i="1" s="1"/>
  <c r="X805" i="1"/>
  <c r="Y805" i="1"/>
  <c r="V806" i="1"/>
  <c r="CM806" i="1" s="1"/>
  <c r="CN806" i="1" s="1"/>
  <c r="CO806" i="1" s="1"/>
  <c r="CP806" i="1" s="1"/>
  <c r="CQ806" i="1" s="1"/>
  <c r="W806" i="1"/>
  <c r="BW806" i="1" s="1"/>
  <c r="X806" i="1"/>
  <c r="Y806" i="1"/>
  <c r="V807" i="1"/>
  <c r="CM807" i="1" s="1"/>
  <c r="CN807" i="1" s="1"/>
  <c r="CO807" i="1" s="1"/>
  <c r="CP807" i="1" s="1"/>
  <c r="CQ807" i="1" s="1"/>
  <c r="W807" i="1"/>
  <c r="BW807" i="1" s="1"/>
  <c r="X807" i="1"/>
  <c r="Y807" i="1"/>
  <c r="V808" i="1"/>
  <c r="CM808" i="1" s="1"/>
  <c r="CN808" i="1" s="1"/>
  <c r="CO808" i="1" s="1"/>
  <c r="CP808" i="1" s="1"/>
  <c r="CQ808" i="1" s="1"/>
  <c r="W808" i="1"/>
  <c r="BW808" i="1" s="1"/>
  <c r="X808" i="1"/>
  <c r="Y808" i="1"/>
  <c r="V809" i="1"/>
  <c r="CM809" i="1" s="1"/>
  <c r="CN809" i="1" s="1"/>
  <c r="CO809" i="1" s="1"/>
  <c r="CP809" i="1" s="1"/>
  <c r="CQ809" i="1" s="1"/>
  <c r="W809" i="1"/>
  <c r="BW809" i="1" s="1"/>
  <c r="X809" i="1"/>
  <c r="Y809" i="1"/>
  <c r="V810" i="1"/>
  <c r="CM810" i="1" s="1"/>
  <c r="CN810" i="1" s="1"/>
  <c r="CO810" i="1" s="1"/>
  <c r="CP810" i="1" s="1"/>
  <c r="CQ810" i="1" s="1"/>
  <c r="W810" i="1"/>
  <c r="BW810" i="1" s="1"/>
  <c r="X810" i="1"/>
  <c r="Y810" i="1"/>
  <c r="V811" i="1"/>
  <c r="CM811" i="1" s="1"/>
  <c r="CN811" i="1" s="1"/>
  <c r="CO811" i="1" s="1"/>
  <c r="CP811" i="1" s="1"/>
  <c r="CQ811" i="1" s="1"/>
  <c r="W811" i="1"/>
  <c r="BW811" i="1" s="1"/>
  <c r="X811" i="1"/>
  <c r="Y811" i="1"/>
  <c r="V812" i="1"/>
  <c r="CM812" i="1" s="1"/>
  <c r="CN812" i="1" s="1"/>
  <c r="CO812" i="1" s="1"/>
  <c r="CP812" i="1" s="1"/>
  <c r="CQ812" i="1" s="1"/>
  <c r="W812" i="1"/>
  <c r="BW812" i="1" s="1"/>
  <c r="X812" i="1"/>
  <c r="Y812" i="1"/>
  <c r="V813" i="1"/>
  <c r="CM813" i="1" s="1"/>
  <c r="CN813" i="1" s="1"/>
  <c r="CO813" i="1" s="1"/>
  <c r="CP813" i="1" s="1"/>
  <c r="CQ813" i="1" s="1"/>
  <c r="W813" i="1"/>
  <c r="BW813" i="1" s="1"/>
  <c r="X813" i="1"/>
  <c r="Y813" i="1"/>
  <c r="V814" i="1"/>
  <c r="CM814" i="1" s="1"/>
  <c r="CN814" i="1" s="1"/>
  <c r="CO814" i="1" s="1"/>
  <c r="CP814" i="1" s="1"/>
  <c r="CQ814" i="1" s="1"/>
  <c r="W814" i="1"/>
  <c r="BW814" i="1" s="1"/>
  <c r="X814" i="1"/>
  <c r="Y814" i="1"/>
  <c r="V815" i="1"/>
  <c r="CM815" i="1" s="1"/>
  <c r="CN815" i="1" s="1"/>
  <c r="CO815" i="1" s="1"/>
  <c r="CP815" i="1" s="1"/>
  <c r="CQ815" i="1" s="1"/>
  <c r="W815" i="1"/>
  <c r="BW815" i="1" s="1"/>
  <c r="X815" i="1"/>
  <c r="Y815" i="1"/>
  <c r="V816" i="1"/>
  <c r="CM816" i="1" s="1"/>
  <c r="CN816" i="1" s="1"/>
  <c r="CO816" i="1" s="1"/>
  <c r="CP816" i="1" s="1"/>
  <c r="CQ816" i="1" s="1"/>
  <c r="W816" i="1"/>
  <c r="BW816" i="1" s="1"/>
  <c r="X816" i="1"/>
  <c r="Y816" i="1"/>
  <c r="V817" i="1"/>
  <c r="CM817" i="1" s="1"/>
  <c r="CN817" i="1" s="1"/>
  <c r="CO817" i="1" s="1"/>
  <c r="CP817" i="1" s="1"/>
  <c r="CQ817" i="1" s="1"/>
  <c r="W817" i="1"/>
  <c r="BW817" i="1" s="1"/>
  <c r="X817" i="1"/>
  <c r="Y817" i="1"/>
  <c r="V818" i="1"/>
  <c r="CM818" i="1" s="1"/>
  <c r="CN818" i="1" s="1"/>
  <c r="CO818" i="1" s="1"/>
  <c r="CP818" i="1" s="1"/>
  <c r="CQ818" i="1" s="1"/>
  <c r="W818" i="1"/>
  <c r="BW818" i="1" s="1"/>
  <c r="X818" i="1"/>
  <c r="Y818" i="1"/>
  <c r="V819" i="1"/>
  <c r="CM819" i="1" s="1"/>
  <c r="CN819" i="1" s="1"/>
  <c r="CO819" i="1" s="1"/>
  <c r="CP819" i="1" s="1"/>
  <c r="CQ819" i="1" s="1"/>
  <c r="W819" i="1"/>
  <c r="BW819" i="1" s="1"/>
  <c r="X819" i="1"/>
  <c r="Y819" i="1"/>
  <c r="V820" i="1"/>
  <c r="CM820" i="1" s="1"/>
  <c r="CN820" i="1" s="1"/>
  <c r="CO820" i="1" s="1"/>
  <c r="CP820" i="1" s="1"/>
  <c r="CQ820" i="1" s="1"/>
  <c r="W820" i="1"/>
  <c r="BW820" i="1" s="1"/>
  <c r="X820" i="1"/>
  <c r="Y820" i="1"/>
  <c r="V821" i="1"/>
  <c r="CM821" i="1" s="1"/>
  <c r="CN821" i="1" s="1"/>
  <c r="CO821" i="1" s="1"/>
  <c r="CP821" i="1" s="1"/>
  <c r="CQ821" i="1" s="1"/>
  <c r="W821" i="1"/>
  <c r="BW821" i="1" s="1"/>
  <c r="X821" i="1"/>
  <c r="Y821" i="1"/>
  <c r="V822" i="1"/>
  <c r="CM822" i="1" s="1"/>
  <c r="CN822" i="1" s="1"/>
  <c r="CO822" i="1" s="1"/>
  <c r="CP822" i="1" s="1"/>
  <c r="CQ822" i="1" s="1"/>
  <c r="W822" i="1"/>
  <c r="BW822" i="1" s="1"/>
  <c r="X822" i="1"/>
  <c r="Y822" i="1"/>
  <c r="V823" i="1"/>
  <c r="CM823" i="1" s="1"/>
  <c r="CN823" i="1" s="1"/>
  <c r="CO823" i="1" s="1"/>
  <c r="CP823" i="1" s="1"/>
  <c r="CQ823" i="1" s="1"/>
  <c r="W823" i="1"/>
  <c r="BW823" i="1" s="1"/>
  <c r="X823" i="1"/>
  <c r="Y823" i="1"/>
  <c r="V824" i="1"/>
  <c r="CM824" i="1" s="1"/>
  <c r="CN824" i="1" s="1"/>
  <c r="CO824" i="1" s="1"/>
  <c r="CP824" i="1" s="1"/>
  <c r="CQ824" i="1" s="1"/>
  <c r="W824" i="1"/>
  <c r="BW824" i="1" s="1"/>
  <c r="X824" i="1"/>
  <c r="Y824" i="1"/>
  <c r="V825" i="1"/>
  <c r="CM825" i="1" s="1"/>
  <c r="CN825" i="1" s="1"/>
  <c r="CO825" i="1" s="1"/>
  <c r="CP825" i="1" s="1"/>
  <c r="CQ825" i="1" s="1"/>
  <c r="W825" i="1"/>
  <c r="BW825" i="1" s="1"/>
  <c r="X825" i="1"/>
  <c r="Y825" i="1"/>
  <c r="V826" i="1"/>
  <c r="CM826" i="1" s="1"/>
  <c r="CN826" i="1" s="1"/>
  <c r="CO826" i="1" s="1"/>
  <c r="CP826" i="1" s="1"/>
  <c r="CQ826" i="1" s="1"/>
  <c r="W826" i="1"/>
  <c r="BW826" i="1" s="1"/>
  <c r="X826" i="1"/>
  <c r="Y826" i="1"/>
  <c r="V827" i="1"/>
  <c r="CM827" i="1" s="1"/>
  <c r="CN827" i="1" s="1"/>
  <c r="CO827" i="1" s="1"/>
  <c r="CP827" i="1" s="1"/>
  <c r="CQ827" i="1" s="1"/>
  <c r="W827" i="1"/>
  <c r="BW827" i="1" s="1"/>
  <c r="X827" i="1"/>
  <c r="Y827" i="1"/>
  <c r="V828" i="1"/>
  <c r="CM828" i="1" s="1"/>
  <c r="CN828" i="1" s="1"/>
  <c r="CO828" i="1" s="1"/>
  <c r="CP828" i="1" s="1"/>
  <c r="CQ828" i="1" s="1"/>
  <c r="W828" i="1"/>
  <c r="BW828" i="1" s="1"/>
  <c r="X828" i="1"/>
  <c r="Y828" i="1"/>
  <c r="V829" i="1"/>
  <c r="CM829" i="1" s="1"/>
  <c r="CN829" i="1" s="1"/>
  <c r="CO829" i="1" s="1"/>
  <c r="CP829" i="1" s="1"/>
  <c r="CQ829" i="1" s="1"/>
  <c r="W829" i="1"/>
  <c r="BW829" i="1" s="1"/>
  <c r="X829" i="1"/>
  <c r="Y829" i="1"/>
  <c r="V830" i="1"/>
  <c r="CM830" i="1" s="1"/>
  <c r="CN830" i="1" s="1"/>
  <c r="CO830" i="1" s="1"/>
  <c r="CP830" i="1" s="1"/>
  <c r="CQ830" i="1" s="1"/>
  <c r="W830" i="1"/>
  <c r="BW830" i="1" s="1"/>
  <c r="X830" i="1"/>
  <c r="Y830" i="1"/>
  <c r="V831" i="1"/>
  <c r="CM831" i="1" s="1"/>
  <c r="CN831" i="1" s="1"/>
  <c r="CO831" i="1" s="1"/>
  <c r="CP831" i="1" s="1"/>
  <c r="CQ831" i="1" s="1"/>
  <c r="W831" i="1"/>
  <c r="BW831" i="1" s="1"/>
  <c r="X831" i="1"/>
  <c r="Y831" i="1"/>
  <c r="V832" i="1"/>
  <c r="CM832" i="1" s="1"/>
  <c r="CN832" i="1" s="1"/>
  <c r="CO832" i="1" s="1"/>
  <c r="CP832" i="1" s="1"/>
  <c r="CQ832" i="1" s="1"/>
  <c r="W832" i="1"/>
  <c r="BW832" i="1" s="1"/>
  <c r="X832" i="1"/>
  <c r="Y832" i="1"/>
  <c r="V833" i="1"/>
  <c r="CM833" i="1" s="1"/>
  <c r="CN833" i="1" s="1"/>
  <c r="CO833" i="1" s="1"/>
  <c r="CP833" i="1" s="1"/>
  <c r="CQ833" i="1" s="1"/>
  <c r="W833" i="1"/>
  <c r="BW833" i="1" s="1"/>
  <c r="X833" i="1"/>
  <c r="Y833" i="1"/>
  <c r="V834" i="1"/>
  <c r="CM834" i="1" s="1"/>
  <c r="CN834" i="1" s="1"/>
  <c r="CO834" i="1" s="1"/>
  <c r="CP834" i="1" s="1"/>
  <c r="CQ834" i="1" s="1"/>
  <c r="W834" i="1"/>
  <c r="BW834" i="1" s="1"/>
  <c r="X834" i="1"/>
  <c r="Y834" i="1"/>
  <c r="V835" i="1"/>
  <c r="CM835" i="1" s="1"/>
  <c r="CN835" i="1" s="1"/>
  <c r="CO835" i="1" s="1"/>
  <c r="CP835" i="1" s="1"/>
  <c r="CQ835" i="1" s="1"/>
  <c r="W835" i="1"/>
  <c r="BW835" i="1" s="1"/>
  <c r="X835" i="1"/>
  <c r="Y835" i="1"/>
  <c r="V836" i="1"/>
  <c r="CM836" i="1" s="1"/>
  <c r="CN836" i="1" s="1"/>
  <c r="CO836" i="1" s="1"/>
  <c r="CP836" i="1" s="1"/>
  <c r="CQ836" i="1" s="1"/>
  <c r="W836" i="1"/>
  <c r="BW836" i="1" s="1"/>
  <c r="X836" i="1"/>
  <c r="Y836" i="1"/>
  <c r="V837" i="1"/>
  <c r="CM837" i="1" s="1"/>
  <c r="CN837" i="1" s="1"/>
  <c r="CO837" i="1" s="1"/>
  <c r="CP837" i="1" s="1"/>
  <c r="CQ837" i="1" s="1"/>
  <c r="W837" i="1"/>
  <c r="BW837" i="1" s="1"/>
  <c r="X837" i="1"/>
  <c r="Y837" i="1"/>
  <c r="V838" i="1"/>
  <c r="CM838" i="1" s="1"/>
  <c r="CN838" i="1" s="1"/>
  <c r="CO838" i="1" s="1"/>
  <c r="CP838" i="1" s="1"/>
  <c r="CQ838" i="1" s="1"/>
  <c r="W838" i="1"/>
  <c r="BW838" i="1" s="1"/>
  <c r="X838" i="1"/>
  <c r="Y838" i="1"/>
  <c r="V839" i="1"/>
  <c r="CM839" i="1" s="1"/>
  <c r="CN839" i="1" s="1"/>
  <c r="CO839" i="1" s="1"/>
  <c r="CP839" i="1" s="1"/>
  <c r="CQ839" i="1" s="1"/>
  <c r="W839" i="1"/>
  <c r="BW839" i="1" s="1"/>
  <c r="X839" i="1"/>
  <c r="Y839" i="1"/>
  <c r="V840" i="1"/>
  <c r="CM840" i="1" s="1"/>
  <c r="CN840" i="1" s="1"/>
  <c r="CO840" i="1" s="1"/>
  <c r="CP840" i="1" s="1"/>
  <c r="CQ840" i="1" s="1"/>
  <c r="W840" i="1"/>
  <c r="BW840" i="1" s="1"/>
  <c r="X840" i="1"/>
  <c r="Y840" i="1"/>
  <c r="V841" i="1"/>
  <c r="CM841" i="1" s="1"/>
  <c r="CN841" i="1" s="1"/>
  <c r="CO841" i="1" s="1"/>
  <c r="CP841" i="1" s="1"/>
  <c r="CQ841" i="1" s="1"/>
  <c r="W841" i="1"/>
  <c r="BW841" i="1" s="1"/>
  <c r="X841" i="1"/>
  <c r="Y841" i="1"/>
  <c r="V842" i="1"/>
  <c r="CM842" i="1" s="1"/>
  <c r="CN842" i="1" s="1"/>
  <c r="CO842" i="1" s="1"/>
  <c r="CP842" i="1" s="1"/>
  <c r="CQ842" i="1" s="1"/>
  <c r="W842" i="1"/>
  <c r="BW842" i="1" s="1"/>
  <c r="X842" i="1"/>
  <c r="Y842" i="1"/>
  <c r="V843" i="1"/>
  <c r="CM843" i="1" s="1"/>
  <c r="CN843" i="1" s="1"/>
  <c r="CO843" i="1" s="1"/>
  <c r="CP843" i="1" s="1"/>
  <c r="CQ843" i="1" s="1"/>
  <c r="W843" i="1"/>
  <c r="BW843" i="1" s="1"/>
  <c r="X843" i="1"/>
  <c r="Y843" i="1"/>
  <c r="V844" i="1"/>
  <c r="CM844" i="1" s="1"/>
  <c r="CN844" i="1" s="1"/>
  <c r="CO844" i="1" s="1"/>
  <c r="CP844" i="1" s="1"/>
  <c r="CQ844" i="1" s="1"/>
  <c r="W844" i="1"/>
  <c r="BW844" i="1" s="1"/>
  <c r="X844" i="1"/>
  <c r="Y844" i="1"/>
  <c r="V845" i="1"/>
  <c r="CM845" i="1" s="1"/>
  <c r="CN845" i="1" s="1"/>
  <c r="CO845" i="1" s="1"/>
  <c r="CP845" i="1" s="1"/>
  <c r="CQ845" i="1" s="1"/>
  <c r="W845" i="1"/>
  <c r="BW845" i="1" s="1"/>
  <c r="X845" i="1"/>
  <c r="Y845" i="1"/>
  <c r="V846" i="1"/>
  <c r="CM846" i="1" s="1"/>
  <c r="CN846" i="1" s="1"/>
  <c r="CO846" i="1" s="1"/>
  <c r="CP846" i="1" s="1"/>
  <c r="CQ846" i="1" s="1"/>
  <c r="W846" i="1"/>
  <c r="BW846" i="1" s="1"/>
  <c r="X846" i="1"/>
  <c r="Y846" i="1"/>
  <c r="V847" i="1"/>
  <c r="CM847" i="1" s="1"/>
  <c r="CN847" i="1" s="1"/>
  <c r="CO847" i="1" s="1"/>
  <c r="CP847" i="1" s="1"/>
  <c r="CQ847" i="1" s="1"/>
  <c r="W847" i="1"/>
  <c r="BW847" i="1" s="1"/>
  <c r="X847" i="1"/>
  <c r="Y847" i="1"/>
  <c r="V848" i="1"/>
  <c r="CM848" i="1" s="1"/>
  <c r="CN848" i="1" s="1"/>
  <c r="CO848" i="1" s="1"/>
  <c r="CP848" i="1" s="1"/>
  <c r="CQ848" i="1" s="1"/>
  <c r="W848" i="1"/>
  <c r="BW848" i="1" s="1"/>
  <c r="X848" i="1"/>
  <c r="Y848" i="1"/>
  <c r="V849" i="1"/>
  <c r="CM849" i="1" s="1"/>
  <c r="CN849" i="1" s="1"/>
  <c r="CO849" i="1" s="1"/>
  <c r="CP849" i="1" s="1"/>
  <c r="CQ849" i="1" s="1"/>
  <c r="W849" i="1"/>
  <c r="BW849" i="1" s="1"/>
  <c r="X849" i="1"/>
  <c r="Y849" i="1"/>
  <c r="V850" i="1"/>
  <c r="CM850" i="1" s="1"/>
  <c r="CN850" i="1" s="1"/>
  <c r="CO850" i="1" s="1"/>
  <c r="CP850" i="1" s="1"/>
  <c r="CQ850" i="1" s="1"/>
  <c r="W850" i="1"/>
  <c r="BW850" i="1" s="1"/>
  <c r="X850" i="1"/>
  <c r="Y850" i="1"/>
  <c r="V851" i="1"/>
  <c r="CM851" i="1" s="1"/>
  <c r="CN851" i="1" s="1"/>
  <c r="CO851" i="1" s="1"/>
  <c r="CP851" i="1" s="1"/>
  <c r="CQ851" i="1" s="1"/>
  <c r="W851" i="1"/>
  <c r="BW851" i="1" s="1"/>
  <c r="X851" i="1"/>
  <c r="Y851" i="1"/>
  <c r="V852" i="1"/>
  <c r="CM852" i="1" s="1"/>
  <c r="CN852" i="1" s="1"/>
  <c r="CO852" i="1" s="1"/>
  <c r="CP852" i="1" s="1"/>
  <c r="CQ852" i="1" s="1"/>
  <c r="W852" i="1"/>
  <c r="BW852" i="1" s="1"/>
  <c r="X852" i="1"/>
  <c r="Y852" i="1"/>
  <c r="V853" i="1"/>
  <c r="CM853" i="1" s="1"/>
  <c r="CN853" i="1" s="1"/>
  <c r="CO853" i="1" s="1"/>
  <c r="CP853" i="1" s="1"/>
  <c r="CQ853" i="1" s="1"/>
  <c r="W853" i="1"/>
  <c r="BW853" i="1" s="1"/>
  <c r="X853" i="1"/>
  <c r="Y853" i="1"/>
  <c r="V854" i="1"/>
  <c r="CM854" i="1" s="1"/>
  <c r="CN854" i="1" s="1"/>
  <c r="CO854" i="1" s="1"/>
  <c r="CP854" i="1" s="1"/>
  <c r="CQ854" i="1" s="1"/>
  <c r="W854" i="1"/>
  <c r="BW854" i="1" s="1"/>
  <c r="X854" i="1"/>
  <c r="Y854" i="1"/>
  <c r="V855" i="1"/>
  <c r="CM855" i="1" s="1"/>
  <c r="CN855" i="1" s="1"/>
  <c r="CO855" i="1" s="1"/>
  <c r="CP855" i="1" s="1"/>
  <c r="CQ855" i="1" s="1"/>
  <c r="W855" i="1"/>
  <c r="BW855" i="1" s="1"/>
  <c r="X855" i="1"/>
  <c r="Y855" i="1"/>
  <c r="V856" i="1"/>
  <c r="CM856" i="1" s="1"/>
  <c r="CN856" i="1" s="1"/>
  <c r="CO856" i="1" s="1"/>
  <c r="CP856" i="1" s="1"/>
  <c r="CQ856" i="1" s="1"/>
  <c r="W856" i="1"/>
  <c r="BW856" i="1" s="1"/>
  <c r="X856" i="1"/>
  <c r="Y856" i="1"/>
  <c r="V857" i="1"/>
  <c r="CM857" i="1" s="1"/>
  <c r="CN857" i="1" s="1"/>
  <c r="CO857" i="1" s="1"/>
  <c r="CP857" i="1" s="1"/>
  <c r="CQ857" i="1" s="1"/>
  <c r="W857" i="1"/>
  <c r="BW857" i="1" s="1"/>
  <c r="X857" i="1"/>
  <c r="Y857" i="1"/>
  <c r="V858" i="1"/>
  <c r="CM858" i="1" s="1"/>
  <c r="CN858" i="1" s="1"/>
  <c r="CO858" i="1" s="1"/>
  <c r="CP858" i="1" s="1"/>
  <c r="CQ858" i="1" s="1"/>
  <c r="W858" i="1"/>
  <c r="BW858" i="1" s="1"/>
  <c r="X858" i="1"/>
  <c r="Y858" i="1"/>
  <c r="V859" i="1"/>
  <c r="CM859" i="1" s="1"/>
  <c r="CN859" i="1" s="1"/>
  <c r="CO859" i="1" s="1"/>
  <c r="CP859" i="1" s="1"/>
  <c r="CQ859" i="1" s="1"/>
  <c r="W859" i="1"/>
  <c r="BW859" i="1" s="1"/>
  <c r="X859" i="1"/>
  <c r="Y859" i="1"/>
  <c r="V860" i="1"/>
  <c r="CM860" i="1" s="1"/>
  <c r="CN860" i="1" s="1"/>
  <c r="CO860" i="1" s="1"/>
  <c r="CP860" i="1" s="1"/>
  <c r="CQ860" i="1" s="1"/>
  <c r="W860" i="1"/>
  <c r="BW860" i="1" s="1"/>
  <c r="X860" i="1"/>
  <c r="Y860" i="1"/>
  <c r="V861" i="1"/>
  <c r="CM861" i="1" s="1"/>
  <c r="CN861" i="1" s="1"/>
  <c r="CO861" i="1" s="1"/>
  <c r="CP861" i="1" s="1"/>
  <c r="CQ861" i="1" s="1"/>
  <c r="W861" i="1"/>
  <c r="BW861" i="1" s="1"/>
  <c r="X861" i="1"/>
  <c r="Y861" i="1"/>
  <c r="V862" i="1"/>
  <c r="CM862" i="1" s="1"/>
  <c r="CN862" i="1" s="1"/>
  <c r="CO862" i="1" s="1"/>
  <c r="CP862" i="1" s="1"/>
  <c r="CQ862" i="1" s="1"/>
  <c r="W862" i="1"/>
  <c r="BW862" i="1" s="1"/>
  <c r="X862" i="1"/>
  <c r="Y862" i="1"/>
  <c r="V863" i="1"/>
  <c r="CM863" i="1" s="1"/>
  <c r="CN863" i="1" s="1"/>
  <c r="CO863" i="1" s="1"/>
  <c r="CP863" i="1" s="1"/>
  <c r="CQ863" i="1" s="1"/>
  <c r="W863" i="1"/>
  <c r="BW863" i="1" s="1"/>
  <c r="X863" i="1"/>
  <c r="Y863" i="1"/>
  <c r="V864" i="1"/>
  <c r="CM864" i="1" s="1"/>
  <c r="CN864" i="1" s="1"/>
  <c r="CO864" i="1" s="1"/>
  <c r="CP864" i="1" s="1"/>
  <c r="CQ864" i="1" s="1"/>
  <c r="W864" i="1"/>
  <c r="BW864" i="1" s="1"/>
  <c r="X864" i="1"/>
  <c r="Y864" i="1"/>
  <c r="V865" i="1"/>
  <c r="CM865" i="1" s="1"/>
  <c r="CN865" i="1" s="1"/>
  <c r="CO865" i="1" s="1"/>
  <c r="CP865" i="1" s="1"/>
  <c r="CQ865" i="1" s="1"/>
  <c r="W865" i="1"/>
  <c r="BW865" i="1" s="1"/>
  <c r="X865" i="1"/>
  <c r="Y865" i="1"/>
  <c r="V866" i="1"/>
  <c r="CM866" i="1" s="1"/>
  <c r="CN866" i="1" s="1"/>
  <c r="CO866" i="1" s="1"/>
  <c r="CP866" i="1" s="1"/>
  <c r="CQ866" i="1" s="1"/>
  <c r="W866" i="1"/>
  <c r="BW866" i="1" s="1"/>
  <c r="X866" i="1"/>
  <c r="Y866" i="1"/>
  <c r="V867" i="1"/>
  <c r="CM867" i="1" s="1"/>
  <c r="CN867" i="1" s="1"/>
  <c r="CO867" i="1" s="1"/>
  <c r="CP867" i="1" s="1"/>
  <c r="CQ867" i="1" s="1"/>
  <c r="W867" i="1"/>
  <c r="BW867" i="1" s="1"/>
  <c r="X867" i="1"/>
  <c r="Y867" i="1"/>
  <c r="V868" i="1"/>
  <c r="CM868" i="1" s="1"/>
  <c r="CN868" i="1" s="1"/>
  <c r="CO868" i="1" s="1"/>
  <c r="CP868" i="1" s="1"/>
  <c r="CQ868" i="1" s="1"/>
  <c r="W868" i="1"/>
  <c r="BW868" i="1" s="1"/>
  <c r="X868" i="1"/>
  <c r="Y868" i="1"/>
  <c r="V869" i="1"/>
  <c r="CM869" i="1" s="1"/>
  <c r="CN869" i="1" s="1"/>
  <c r="CO869" i="1" s="1"/>
  <c r="CP869" i="1" s="1"/>
  <c r="CQ869" i="1" s="1"/>
  <c r="W869" i="1"/>
  <c r="BW869" i="1" s="1"/>
  <c r="X869" i="1"/>
  <c r="Y869" i="1"/>
  <c r="V870" i="1"/>
  <c r="CM870" i="1" s="1"/>
  <c r="CN870" i="1" s="1"/>
  <c r="CO870" i="1" s="1"/>
  <c r="CP870" i="1" s="1"/>
  <c r="CQ870" i="1" s="1"/>
  <c r="W870" i="1"/>
  <c r="BW870" i="1" s="1"/>
  <c r="X870" i="1"/>
  <c r="Y870" i="1"/>
  <c r="V871" i="1"/>
  <c r="CM871" i="1" s="1"/>
  <c r="CN871" i="1" s="1"/>
  <c r="CO871" i="1" s="1"/>
  <c r="CP871" i="1" s="1"/>
  <c r="CQ871" i="1" s="1"/>
  <c r="W871" i="1"/>
  <c r="BW871" i="1" s="1"/>
  <c r="X871" i="1"/>
  <c r="Y871" i="1"/>
  <c r="V872" i="1"/>
  <c r="CM872" i="1" s="1"/>
  <c r="CN872" i="1" s="1"/>
  <c r="CO872" i="1" s="1"/>
  <c r="CP872" i="1" s="1"/>
  <c r="CQ872" i="1" s="1"/>
  <c r="W872" i="1"/>
  <c r="BW872" i="1" s="1"/>
  <c r="X872" i="1"/>
  <c r="Y872" i="1"/>
  <c r="V873" i="1"/>
  <c r="CM873" i="1" s="1"/>
  <c r="CN873" i="1" s="1"/>
  <c r="CO873" i="1" s="1"/>
  <c r="CP873" i="1" s="1"/>
  <c r="CQ873" i="1" s="1"/>
  <c r="W873" i="1"/>
  <c r="BW873" i="1" s="1"/>
  <c r="X873" i="1"/>
  <c r="Y873" i="1"/>
  <c r="V874" i="1"/>
  <c r="CM874" i="1" s="1"/>
  <c r="CN874" i="1" s="1"/>
  <c r="CO874" i="1" s="1"/>
  <c r="CP874" i="1" s="1"/>
  <c r="CQ874" i="1" s="1"/>
  <c r="W874" i="1"/>
  <c r="BW874" i="1" s="1"/>
  <c r="X874" i="1"/>
  <c r="Y874" i="1"/>
  <c r="V875" i="1"/>
  <c r="CM875" i="1" s="1"/>
  <c r="CN875" i="1" s="1"/>
  <c r="CO875" i="1" s="1"/>
  <c r="CP875" i="1" s="1"/>
  <c r="CQ875" i="1" s="1"/>
  <c r="W875" i="1"/>
  <c r="BW875" i="1" s="1"/>
  <c r="X875" i="1"/>
  <c r="Y875" i="1"/>
  <c r="V876" i="1"/>
  <c r="CM876" i="1" s="1"/>
  <c r="CN876" i="1" s="1"/>
  <c r="CO876" i="1" s="1"/>
  <c r="CP876" i="1" s="1"/>
  <c r="CQ876" i="1" s="1"/>
  <c r="W876" i="1"/>
  <c r="BW876" i="1" s="1"/>
  <c r="X876" i="1"/>
  <c r="Y876" i="1"/>
  <c r="V877" i="1"/>
  <c r="CM877" i="1" s="1"/>
  <c r="CN877" i="1" s="1"/>
  <c r="CO877" i="1" s="1"/>
  <c r="CP877" i="1" s="1"/>
  <c r="CQ877" i="1" s="1"/>
  <c r="W877" i="1"/>
  <c r="BW877" i="1" s="1"/>
  <c r="X877" i="1"/>
  <c r="Y877" i="1"/>
  <c r="V878" i="1"/>
  <c r="CM878" i="1" s="1"/>
  <c r="CN878" i="1" s="1"/>
  <c r="CO878" i="1" s="1"/>
  <c r="CP878" i="1" s="1"/>
  <c r="CQ878" i="1" s="1"/>
  <c r="W878" i="1"/>
  <c r="BW878" i="1" s="1"/>
  <c r="X878" i="1"/>
  <c r="Y878" i="1"/>
  <c r="V879" i="1"/>
  <c r="CM879" i="1" s="1"/>
  <c r="CN879" i="1" s="1"/>
  <c r="CO879" i="1" s="1"/>
  <c r="CP879" i="1" s="1"/>
  <c r="CQ879" i="1" s="1"/>
  <c r="W879" i="1"/>
  <c r="BW879" i="1" s="1"/>
  <c r="X879" i="1"/>
  <c r="Y879" i="1"/>
  <c r="V880" i="1"/>
  <c r="CM880" i="1" s="1"/>
  <c r="CN880" i="1" s="1"/>
  <c r="CO880" i="1" s="1"/>
  <c r="CP880" i="1" s="1"/>
  <c r="CQ880" i="1" s="1"/>
  <c r="W880" i="1"/>
  <c r="BW880" i="1" s="1"/>
  <c r="X880" i="1"/>
  <c r="Y880" i="1"/>
  <c r="V881" i="1"/>
  <c r="CM881" i="1" s="1"/>
  <c r="CN881" i="1" s="1"/>
  <c r="CO881" i="1" s="1"/>
  <c r="CP881" i="1" s="1"/>
  <c r="CQ881" i="1" s="1"/>
  <c r="W881" i="1"/>
  <c r="BW881" i="1" s="1"/>
  <c r="X881" i="1"/>
  <c r="Y881" i="1"/>
  <c r="V882" i="1"/>
  <c r="CM882" i="1" s="1"/>
  <c r="CN882" i="1" s="1"/>
  <c r="CO882" i="1" s="1"/>
  <c r="CP882" i="1" s="1"/>
  <c r="CQ882" i="1" s="1"/>
  <c r="W882" i="1"/>
  <c r="BW882" i="1" s="1"/>
  <c r="X882" i="1"/>
  <c r="Y882" i="1"/>
  <c r="V883" i="1"/>
  <c r="CM883" i="1" s="1"/>
  <c r="CN883" i="1" s="1"/>
  <c r="CO883" i="1" s="1"/>
  <c r="CP883" i="1" s="1"/>
  <c r="CQ883" i="1" s="1"/>
  <c r="W883" i="1"/>
  <c r="BW883" i="1" s="1"/>
  <c r="X883" i="1"/>
  <c r="Y883" i="1"/>
  <c r="V884" i="1"/>
  <c r="CM884" i="1" s="1"/>
  <c r="CN884" i="1" s="1"/>
  <c r="CO884" i="1" s="1"/>
  <c r="CP884" i="1" s="1"/>
  <c r="CQ884" i="1" s="1"/>
  <c r="W884" i="1"/>
  <c r="BW884" i="1" s="1"/>
  <c r="X884" i="1"/>
  <c r="Y884" i="1"/>
  <c r="V885" i="1"/>
  <c r="CM885" i="1" s="1"/>
  <c r="CN885" i="1" s="1"/>
  <c r="CO885" i="1" s="1"/>
  <c r="CP885" i="1" s="1"/>
  <c r="CQ885" i="1" s="1"/>
  <c r="W885" i="1"/>
  <c r="BW885" i="1" s="1"/>
  <c r="X885" i="1"/>
  <c r="Y885" i="1"/>
  <c r="V886" i="1"/>
  <c r="CM886" i="1" s="1"/>
  <c r="CN886" i="1" s="1"/>
  <c r="CO886" i="1" s="1"/>
  <c r="CP886" i="1" s="1"/>
  <c r="CQ886" i="1" s="1"/>
  <c r="W886" i="1"/>
  <c r="BW886" i="1" s="1"/>
  <c r="X886" i="1"/>
  <c r="Y886" i="1"/>
  <c r="V887" i="1"/>
  <c r="CM887" i="1" s="1"/>
  <c r="CN887" i="1" s="1"/>
  <c r="CO887" i="1" s="1"/>
  <c r="CP887" i="1" s="1"/>
  <c r="CQ887" i="1" s="1"/>
  <c r="W887" i="1"/>
  <c r="BW887" i="1" s="1"/>
  <c r="X887" i="1"/>
  <c r="Y887" i="1"/>
  <c r="V888" i="1"/>
  <c r="CM888" i="1" s="1"/>
  <c r="CN888" i="1" s="1"/>
  <c r="CO888" i="1" s="1"/>
  <c r="CP888" i="1" s="1"/>
  <c r="CQ888" i="1" s="1"/>
  <c r="W888" i="1"/>
  <c r="BW888" i="1" s="1"/>
  <c r="X888" i="1"/>
  <c r="Y888" i="1"/>
  <c r="V889" i="1"/>
  <c r="CM889" i="1" s="1"/>
  <c r="CN889" i="1" s="1"/>
  <c r="CO889" i="1" s="1"/>
  <c r="CP889" i="1" s="1"/>
  <c r="CQ889" i="1" s="1"/>
  <c r="W889" i="1"/>
  <c r="BW889" i="1" s="1"/>
  <c r="X889" i="1"/>
  <c r="Y889" i="1"/>
  <c r="V890" i="1"/>
  <c r="CM890" i="1" s="1"/>
  <c r="CN890" i="1" s="1"/>
  <c r="CO890" i="1" s="1"/>
  <c r="CP890" i="1" s="1"/>
  <c r="CQ890" i="1" s="1"/>
  <c r="W890" i="1"/>
  <c r="BW890" i="1" s="1"/>
  <c r="X890" i="1"/>
  <c r="Y890" i="1"/>
  <c r="V891" i="1"/>
  <c r="CM891" i="1" s="1"/>
  <c r="CN891" i="1" s="1"/>
  <c r="CO891" i="1" s="1"/>
  <c r="CP891" i="1" s="1"/>
  <c r="CQ891" i="1" s="1"/>
  <c r="W891" i="1"/>
  <c r="BW891" i="1" s="1"/>
  <c r="X891" i="1"/>
  <c r="Y891" i="1"/>
  <c r="V892" i="1"/>
  <c r="CM892" i="1" s="1"/>
  <c r="CN892" i="1" s="1"/>
  <c r="CO892" i="1" s="1"/>
  <c r="CP892" i="1" s="1"/>
  <c r="CQ892" i="1" s="1"/>
  <c r="W892" i="1"/>
  <c r="BW892" i="1" s="1"/>
  <c r="X892" i="1"/>
  <c r="Y892" i="1"/>
  <c r="V893" i="1"/>
  <c r="CM893" i="1" s="1"/>
  <c r="CN893" i="1" s="1"/>
  <c r="CO893" i="1" s="1"/>
  <c r="CP893" i="1" s="1"/>
  <c r="CQ893" i="1" s="1"/>
  <c r="W893" i="1"/>
  <c r="BW893" i="1" s="1"/>
  <c r="X893" i="1"/>
  <c r="Y893" i="1"/>
  <c r="V894" i="1"/>
  <c r="CM894" i="1" s="1"/>
  <c r="CN894" i="1" s="1"/>
  <c r="CO894" i="1" s="1"/>
  <c r="CP894" i="1" s="1"/>
  <c r="CQ894" i="1" s="1"/>
  <c r="W894" i="1"/>
  <c r="BW894" i="1" s="1"/>
  <c r="X894" i="1"/>
  <c r="Y894" i="1"/>
  <c r="V895" i="1"/>
  <c r="CM895" i="1" s="1"/>
  <c r="CN895" i="1" s="1"/>
  <c r="CO895" i="1" s="1"/>
  <c r="CP895" i="1" s="1"/>
  <c r="CQ895" i="1" s="1"/>
  <c r="W895" i="1"/>
  <c r="BW895" i="1" s="1"/>
  <c r="X895" i="1"/>
  <c r="Y895" i="1"/>
  <c r="V896" i="1"/>
  <c r="CM896" i="1" s="1"/>
  <c r="CN896" i="1" s="1"/>
  <c r="CO896" i="1" s="1"/>
  <c r="CP896" i="1" s="1"/>
  <c r="CQ896" i="1" s="1"/>
  <c r="W896" i="1"/>
  <c r="BW896" i="1" s="1"/>
  <c r="X896" i="1"/>
  <c r="Y896" i="1"/>
  <c r="V897" i="1"/>
  <c r="CM897" i="1" s="1"/>
  <c r="CN897" i="1" s="1"/>
  <c r="CO897" i="1" s="1"/>
  <c r="CP897" i="1" s="1"/>
  <c r="CQ897" i="1" s="1"/>
  <c r="W897" i="1"/>
  <c r="BW897" i="1" s="1"/>
  <c r="X897" i="1"/>
  <c r="Y897" i="1"/>
  <c r="V898" i="1"/>
  <c r="CM898" i="1" s="1"/>
  <c r="CN898" i="1" s="1"/>
  <c r="CO898" i="1" s="1"/>
  <c r="CP898" i="1" s="1"/>
  <c r="CQ898" i="1" s="1"/>
  <c r="W898" i="1"/>
  <c r="BW898" i="1" s="1"/>
  <c r="BZ898" i="1" s="1"/>
  <c r="CA898" i="1" s="1"/>
  <c r="X898" i="1"/>
  <c r="Y898" i="1"/>
  <c r="V899" i="1"/>
  <c r="CM899" i="1" s="1"/>
  <c r="CN899" i="1" s="1"/>
  <c r="CO899" i="1" s="1"/>
  <c r="CP899" i="1" s="1"/>
  <c r="CQ899" i="1" s="1"/>
  <c r="W899" i="1"/>
  <c r="BW899" i="1" s="1"/>
  <c r="X899" i="1"/>
  <c r="Y899" i="1"/>
  <c r="V900" i="1"/>
  <c r="CM900" i="1" s="1"/>
  <c r="CN900" i="1" s="1"/>
  <c r="CO900" i="1" s="1"/>
  <c r="CP900" i="1" s="1"/>
  <c r="CQ900" i="1" s="1"/>
  <c r="W900" i="1"/>
  <c r="BW900" i="1" s="1"/>
  <c r="X900" i="1"/>
  <c r="Y900" i="1"/>
  <c r="V901" i="1"/>
  <c r="CM901" i="1" s="1"/>
  <c r="CN901" i="1" s="1"/>
  <c r="CO901" i="1" s="1"/>
  <c r="CP901" i="1" s="1"/>
  <c r="CQ901" i="1" s="1"/>
  <c r="W901" i="1"/>
  <c r="BW901" i="1" s="1"/>
  <c r="X901" i="1"/>
  <c r="Y901" i="1"/>
  <c r="V902" i="1"/>
  <c r="CM902" i="1" s="1"/>
  <c r="CN902" i="1" s="1"/>
  <c r="CO902" i="1" s="1"/>
  <c r="CP902" i="1" s="1"/>
  <c r="CQ902" i="1" s="1"/>
  <c r="W902" i="1"/>
  <c r="BW902" i="1" s="1"/>
  <c r="X902" i="1"/>
  <c r="Y902" i="1"/>
  <c r="V903" i="1"/>
  <c r="CM903" i="1" s="1"/>
  <c r="CN903" i="1" s="1"/>
  <c r="CO903" i="1" s="1"/>
  <c r="CP903" i="1" s="1"/>
  <c r="CQ903" i="1" s="1"/>
  <c r="W903" i="1"/>
  <c r="BW903" i="1" s="1"/>
  <c r="X903" i="1"/>
  <c r="Y903" i="1"/>
  <c r="V904" i="1"/>
  <c r="CM904" i="1" s="1"/>
  <c r="CN904" i="1" s="1"/>
  <c r="CO904" i="1" s="1"/>
  <c r="CP904" i="1" s="1"/>
  <c r="CQ904" i="1" s="1"/>
  <c r="W904" i="1"/>
  <c r="BW904" i="1" s="1"/>
  <c r="X904" i="1"/>
  <c r="Y904" i="1"/>
  <c r="V905" i="1"/>
  <c r="CM905" i="1" s="1"/>
  <c r="CN905" i="1" s="1"/>
  <c r="CO905" i="1" s="1"/>
  <c r="CP905" i="1" s="1"/>
  <c r="CQ905" i="1" s="1"/>
  <c r="W905" i="1"/>
  <c r="BW905" i="1" s="1"/>
  <c r="X905" i="1"/>
  <c r="Y905" i="1"/>
  <c r="V906" i="1"/>
  <c r="CM906" i="1" s="1"/>
  <c r="CN906" i="1" s="1"/>
  <c r="CO906" i="1" s="1"/>
  <c r="CP906" i="1" s="1"/>
  <c r="CQ906" i="1" s="1"/>
  <c r="W906" i="1"/>
  <c r="BW906" i="1" s="1"/>
  <c r="X906" i="1"/>
  <c r="Y906" i="1"/>
  <c r="V907" i="1"/>
  <c r="CM907" i="1" s="1"/>
  <c r="CN907" i="1" s="1"/>
  <c r="CO907" i="1" s="1"/>
  <c r="CP907" i="1" s="1"/>
  <c r="CQ907" i="1" s="1"/>
  <c r="W907" i="1"/>
  <c r="BW907" i="1" s="1"/>
  <c r="X907" i="1"/>
  <c r="Y907" i="1"/>
  <c r="V908" i="1"/>
  <c r="CM908" i="1" s="1"/>
  <c r="CN908" i="1" s="1"/>
  <c r="CO908" i="1" s="1"/>
  <c r="CP908" i="1" s="1"/>
  <c r="CQ908" i="1" s="1"/>
  <c r="W908" i="1"/>
  <c r="BW908" i="1" s="1"/>
  <c r="X908" i="1"/>
  <c r="Y908" i="1"/>
  <c r="V909" i="1"/>
  <c r="CM909" i="1" s="1"/>
  <c r="CN909" i="1" s="1"/>
  <c r="CO909" i="1" s="1"/>
  <c r="CP909" i="1" s="1"/>
  <c r="CQ909" i="1" s="1"/>
  <c r="W909" i="1"/>
  <c r="BW909" i="1" s="1"/>
  <c r="X909" i="1"/>
  <c r="Y909" i="1"/>
  <c r="V910" i="1"/>
  <c r="CM910" i="1" s="1"/>
  <c r="CN910" i="1" s="1"/>
  <c r="CO910" i="1" s="1"/>
  <c r="CP910" i="1" s="1"/>
  <c r="CQ910" i="1" s="1"/>
  <c r="W910" i="1"/>
  <c r="BW910" i="1" s="1"/>
  <c r="X910" i="1"/>
  <c r="Y910" i="1"/>
  <c r="V911" i="1"/>
  <c r="CM911" i="1" s="1"/>
  <c r="CN911" i="1" s="1"/>
  <c r="CO911" i="1" s="1"/>
  <c r="CP911" i="1" s="1"/>
  <c r="CQ911" i="1" s="1"/>
  <c r="W911" i="1"/>
  <c r="BW911" i="1" s="1"/>
  <c r="X911" i="1"/>
  <c r="Y911" i="1"/>
  <c r="V912" i="1"/>
  <c r="CM912" i="1" s="1"/>
  <c r="CN912" i="1" s="1"/>
  <c r="CO912" i="1" s="1"/>
  <c r="CP912" i="1" s="1"/>
  <c r="CQ912" i="1" s="1"/>
  <c r="W912" i="1"/>
  <c r="BW912" i="1" s="1"/>
  <c r="X912" i="1"/>
  <c r="Y912" i="1"/>
  <c r="V913" i="1"/>
  <c r="CM913" i="1" s="1"/>
  <c r="CN913" i="1" s="1"/>
  <c r="CO913" i="1" s="1"/>
  <c r="CP913" i="1" s="1"/>
  <c r="CQ913" i="1" s="1"/>
  <c r="W913" i="1"/>
  <c r="BW913" i="1" s="1"/>
  <c r="X913" i="1"/>
  <c r="Y913" i="1"/>
  <c r="V914" i="1"/>
  <c r="CM914" i="1" s="1"/>
  <c r="CN914" i="1" s="1"/>
  <c r="CO914" i="1" s="1"/>
  <c r="CP914" i="1" s="1"/>
  <c r="CQ914" i="1" s="1"/>
  <c r="W914" i="1"/>
  <c r="BW914" i="1" s="1"/>
  <c r="X914" i="1"/>
  <c r="Y914" i="1"/>
  <c r="V915" i="1"/>
  <c r="CM915" i="1" s="1"/>
  <c r="CN915" i="1" s="1"/>
  <c r="CO915" i="1" s="1"/>
  <c r="CP915" i="1" s="1"/>
  <c r="CQ915" i="1" s="1"/>
  <c r="W915" i="1"/>
  <c r="BW915" i="1" s="1"/>
  <c r="X915" i="1"/>
  <c r="Y915" i="1"/>
  <c r="V916" i="1"/>
  <c r="CM916" i="1" s="1"/>
  <c r="CN916" i="1" s="1"/>
  <c r="CO916" i="1" s="1"/>
  <c r="CP916" i="1" s="1"/>
  <c r="CQ916" i="1" s="1"/>
  <c r="W916" i="1"/>
  <c r="BW916" i="1" s="1"/>
  <c r="X916" i="1"/>
  <c r="Y916" i="1"/>
  <c r="V917" i="1"/>
  <c r="CM917" i="1" s="1"/>
  <c r="CN917" i="1" s="1"/>
  <c r="CO917" i="1" s="1"/>
  <c r="CP917" i="1" s="1"/>
  <c r="CQ917" i="1" s="1"/>
  <c r="W917" i="1"/>
  <c r="BW917" i="1" s="1"/>
  <c r="X917" i="1"/>
  <c r="Y917" i="1"/>
  <c r="V918" i="1"/>
  <c r="CM918" i="1" s="1"/>
  <c r="CN918" i="1" s="1"/>
  <c r="CO918" i="1" s="1"/>
  <c r="CP918" i="1" s="1"/>
  <c r="CQ918" i="1" s="1"/>
  <c r="W918" i="1"/>
  <c r="BW918" i="1" s="1"/>
  <c r="X918" i="1"/>
  <c r="Y918" i="1"/>
  <c r="V919" i="1"/>
  <c r="CM919" i="1" s="1"/>
  <c r="CN919" i="1" s="1"/>
  <c r="CO919" i="1" s="1"/>
  <c r="CP919" i="1" s="1"/>
  <c r="CQ919" i="1" s="1"/>
  <c r="W919" i="1"/>
  <c r="BW919" i="1" s="1"/>
  <c r="X919" i="1"/>
  <c r="Y919" i="1"/>
  <c r="V920" i="1"/>
  <c r="CM920" i="1" s="1"/>
  <c r="CN920" i="1" s="1"/>
  <c r="CO920" i="1" s="1"/>
  <c r="CP920" i="1" s="1"/>
  <c r="CQ920" i="1" s="1"/>
  <c r="W920" i="1"/>
  <c r="BW920" i="1" s="1"/>
  <c r="X920" i="1"/>
  <c r="Y920" i="1"/>
  <c r="V921" i="1"/>
  <c r="CM921" i="1" s="1"/>
  <c r="CN921" i="1" s="1"/>
  <c r="CO921" i="1" s="1"/>
  <c r="CP921" i="1" s="1"/>
  <c r="CQ921" i="1" s="1"/>
  <c r="W921" i="1"/>
  <c r="BW921" i="1" s="1"/>
  <c r="X921" i="1"/>
  <c r="Y921" i="1"/>
  <c r="V922" i="1"/>
  <c r="CM922" i="1" s="1"/>
  <c r="CN922" i="1" s="1"/>
  <c r="CO922" i="1" s="1"/>
  <c r="CP922" i="1" s="1"/>
  <c r="CQ922" i="1" s="1"/>
  <c r="W922" i="1"/>
  <c r="BW922" i="1" s="1"/>
  <c r="X922" i="1"/>
  <c r="Y922" i="1"/>
  <c r="V923" i="1"/>
  <c r="CM923" i="1" s="1"/>
  <c r="CN923" i="1" s="1"/>
  <c r="CO923" i="1" s="1"/>
  <c r="CP923" i="1" s="1"/>
  <c r="CQ923" i="1" s="1"/>
  <c r="W923" i="1"/>
  <c r="BW923" i="1" s="1"/>
  <c r="X923" i="1"/>
  <c r="Y923" i="1"/>
  <c r="V924" i="1"/>
  <c r="CM924" i="1" s="1"/>
  <c r="CN924" i="1" s="1"/>
  <c r="CO924" i="1" s="1"/>
  <c r="CP924" i="1" s="1"/>
  <c r="CQ924" i="1" s="1"/>
  <c r="W924" i="1"/>
  <c r="BW924" i="1" s="1"/>
  <c r="X924" i="1"/>
  <c r="Y924" i="1"/>
  <c r="V925" i="1"/>
  <c r="CM925" i="1" s="1"/>
  <c r="CN925" i="1" s="1"/>
  <c r="CO925" i="1" s="1"/>
  <c r="CP925" i="1" s="1"/>
  <c r="CQ925" i="1" s="1"/>
  <c r="W925" i="1"/>
  <c r="BW925" i="1" s="1"/>
  <c r="X925" i="1"/>
  <c r="Y925" i="1"/>
  <c r="V926" i="1"/>
  <c r="CM926" i="1" s="1"/>
  <c r="CN926" i="1" s="1"/>
  <c r="CO926" i="1" s="1"/>
  <c r="CP926" i="1" s="1"/>
  <c r="CQ926" i="1" s="1"/>
  <c r="W926" i="1"/>
  <c r="BW926" i="1" s="1"/>
  <c r="X926" i="1"/>
  <c r="Y926" i="1"/>
  <c r="V927" i="1"/>
  <c r="CM927" i="1" s="1"/>
  <c r="CN927" i="1" s="1"/>
  <c r="CO927" i="1" s="1"/>
  <c r="CP927" i="1" s="1"/>
  <c r="CQ927" i="1" s="1"/>
  <c r="W927" i="1"/>
  <c r="BW927" i="1" s="1"/>
  <c r="X927" i="1"/>
  <c r="Y927" i="1"/>
  <c r="V928" i="1"/>
  <c r="CM928" i="1" s="1"/>
  <c r="CN928" i="1" s="1"/>
  <c r="CO928" i="1" s="1"/>
  <c r="CP928" i="1" s="1"/>
  <c r="CQ928" i="1" s="1"/>
  <c r="W928" i="1"/>
  <c r="BW928" i="1" s="1"/>
  <c r="X928" i="1"/>
  <c r="Y928" i="1"/>
  <c r="V929" i="1"/>
  <c r="CM929" i="1" s="1"/>
  <c r="CN929" i="1" s="1"/>
  <c r="CO929" i="1" s="1"/>
  <c r="CP929" i="1" s="1"/>
  <c r="CQ929" i="1" s="1"/>
  <c r="W929" i="1"/>
  <c r="BW929" i="1" s="1"/>
  <c r="X929" i="1"/>
  <c r="Y929" i="1"/>
  <c r="V930" i="1"/>
  <c r="CM930" i="1" s="1"/>
  <c r="CN930" i="1" s="1"/>
  <c r="CO930" i="1" s="1"/>
  <c r="CP930" i="1" s="1"/>
  <c r="CQ930" i="1" s="1"/>
  <c r="W930" i="1"/>
  <c r="BW930" i="1" s="1"/>
  <c r="X930" i="1"/>
  <c r="Y930" i="1"/>
  <c r="V931" i="1"/>
  <c r="CM931" i="1" s="1"/>
  <c r="CN931" i="1" s="1"/>
  <c r="CO931" i="1" s="1"/>
  <c r="CP931" i="1" s="1"/>
  <c r="CQ931" i="1" s="1"/>
  <c r="W931" i="1"/>
  <c r="BW931" i="1" s="1"/>
  <c r="X931" i="1"/>
  <c r="Y931" i="1"/>
  <c r="V932" i="1"/>
  <c r="CM932" i="1" s="1"/>
  <c r="CN932" i="1" s="1"/>
  <c r="CO932" i="1" s="1"/>
  <c r="CP932" i="1" s="1"/>
  <c r="CQ932" i="1" s="1"/>
  <c r="W932" i="1"/>
  <c r="BW932" i="1" s="1"/>
  <c r="X932" i="1"/>
  <c r="Y932" i="1"/>
  <c r="V933" i="1"/>
  <c r="CM933" i="1" s="1"/>
  <c r="CN933" i="1" s="1"/>
  <c r="CO933" i="1" s="1"/>
  <c r="CP933" i="1" s="1"/>
  <c r="CQ933" i="1" s="1"/>
  <c r="W933" i="1"/>
  <c r="BW933" i="1" s="1"/>
  <c r="X933" i="1"/>
  <c r="Y933" i="1"/>
  <c r="V934" i="1"/>
  <c r="CM934" i="1" s="1"/>
  <c r="CN934" i="1" s="1"/>
  <c r="CO934" i="1" s="1"/>
  <c r="CP934" i="1" s="1"/>
  <c r="CQ934" i="1" s="1"/>
  <c r="W934" i="1"/>
  <c r="BW934" i="1" s="1"/>
  <c r="X934" i="1"/>
  <c r="Y934" i="1"/>
  <c r="V935" i="1"/>
  <c r="CM935" i="1" s="1"/>
  <c r="CN935" i="1" s="1"/>
  <c r="CO935" i="1" s="1"/>
  <c r="CP935" i="1" s="1"/>
  <c r="CQ935" i="1" s="1"/>
  <c r="W935" i="1"/>
  <c r="BW935" i="1" s="1"/>
  <c r="X935" i="1"/>
  <c r="Y935" i="1"/>
  <c r="V936" i="1"/>
  <c r="CM936" i="1" s="1"/>
  <c r="CN936" i="1" s="1"/>
  <c r="CO936" i="1" s="1"/>
  <c r="CP936" i="1" s="1"/>
  <c r="CQ936" i="1" s="1"/>
  <c r="W936" i="1"/>
  <c r="BW936" i="1" s="1"/>
  <c r="X936" i="1"/>
  <c r="Y936" i="1"/>
  <c r="V937" i="1"/>
  <c r="CM937" i="1" s="1"/>
  <c r="CN937" i="1" s="1"/>
  <c r="CO937" i="1" s="1"/>
  <c r="CP937" i="1" s="1"/>
  <c r="CQ937" i="1" s="1"/>
  <c r="W937" i="1"/>
  <c r="BW937" i="1" s="1"/>
  <c r="X937" i="1"/>
  <c r="Y937" i="1"/>
  <c r="V938" i="1"/>
  <c r="CM938" i="1" s="1"/>
  <c r="CN938" i="1" s="1"/>
  <c r="CO938" i="1" s="1"/>
  <c r="CP938" i="1" s="1"/>
  <c r="CQ938" i="1" s="1"/>
  <c r="W938" i="1"/>
  <c r="BW938" i="1" s="1"/>
  <c r="X938" i="1"/>
  <c r="Y938" i="1"/>
  <c r="V939" i="1"/>
  <c r="CM939" i="1" s="1"/>
  <c r="CN939" i="1" s="1"/>
  <c r="CO939" i="1" s="1"/>
  <c r="CP939" i="1" s="1"/>
  <c r="CQ939" i="1" s="1"/>
  <c r="CR939" i="1" s="1"/>
  <c r="W939" i="1"/>
  <c r="BW939" i="1" s="1"/>
  <c r="X939" i="1"/>
  <c r="Y939" i="1"/>
  <c r="V940" i="1"/>
  <c r="CM940" i="1" s="1"/>
  <c r="CN940" i="1" s="1"/>
  <c r="CO940" i="1" s="1"/>
  <c r="CP940" i="1" s="1"/>
  <c r="CQ940" i="1" s="1"/>
  <c r="W940" i="1"/>
  <c r="BW940" i="1" s="1"/>
  <c r="X940" i="1"/>
  <c r="Y940" i="1"/>
  <c r="V941" i="1"/>
  <c r="CM941" i="1" s="1"/>
  <c r="CN941" i="1" s="1"/>
  <c r="CO941" i="1" s="1"/>
  <c r="CP941" i="1" s="1"/>
  <c r="CQ941" i="1" s="1"/>
  <c r="W941" i="1"/>
  <c r="BW941" i="1" s="1"/>
  <c r="X941" i="1"/>
  <c r="Y941" i="1"/>
  <c r="V942" i="1"/>
  <c r="CM942" i="1" s="1"/>
  <c r="CN942" i="1" s="1"/>
  <c r="CO942" i="1" s="1"/>
  <c r="CP942" i="1" s="1"/>
  <c r="CQ942" i="1" s="1"/>
  <c r="W942" i="1"/>
  <c r="BW942" i="1" s="1"/>
  <c r="X942" i="1"/>
  <c r="Y942" i="1"/>
  <c r="V943" i="1"/>
  <c r="CM943" i="1" s="1"/>
  <c r="CN943" i="1" s="1"/>
  <c r="CO943" i="1" s="1"/>
  <c r="CP943" i="1" s="1"/>
  <c r="CQ943" i="1" s="1"/>
  <c r="W943" i="1"/>
  <c r="BW943" i="1" s="1"/>
  <c r="X943" i="1"/>
  <c r="Y943" i="1"/>
  <c r="V944" i="1"/>
  <c r="CM944" i="1" s="1"/>
  <c r="CN944" i="1" s="1"/>
  <c r="CO944" i="1" s="1"/>
  <c r="CP944" i="1" s="1"/>
  <c r="CQ944" i="1" s="1"/>
  <c r="W944" i="1"/>
  <c r="BW944" i="1" s="1"/>
  <c r="X944" i="1"/>
  <c r="Y944" i="1"/>
  <c r="V945" i="1"/>
  <c r="CM945" i="1" s="1"/>
  <c r="CN945" i="1" s="1"/>
  <c r="CO945" i="1" s="1"/>
  <c r="CP945" i="1" s="1"/>
  <c r="CQ945" i="1" s="1"/>
  <c r="W945" i="1"/>
  <c r="BW945" i="1" s="1"/>
  <c r="X945" i="1"/>
  <c r="Y945" i="1"/>
  <c r="V946" i="1"/>
  <c r="CM946" i="1" s="1"/>
  <c r="CN946" i="1" s="1"/>
  <c r="CO946" i="1" s="1"/>
  <c r="CP946" i="1" s="1"/>
  <c r="CQ946" i="1" s="1"/>
  <c r="W946" i="1"/>
  <c r="BW946" i="1" s="1"/>
  <c r="X946" i="1"/>
  <c r="Y946" i="1"/>
  <c r="V947" i="1"/>
  <c r="CM947" i="1" s="1"/>
  <c r="CN947" i="1" s="1"/>
  <c r="CO947" i="1" s="1"/>
  <c r="CP947" i="1" s="1"/>
  <c r="CQ947" i="1" s="1"/>
  <c r="W947" i="1"/>
  <c r="BW947" i="1" s="1"/>
  <c r="X947" i="1"/>
  <c r="Y947" i="1"/>
  <c r="V948" i="1"/>
  <c r="CM948" i="1" s="1"/>
  <c r="CN948" i="1" s="1"/>
  <c r="CO948" i="1" s="1"/>
  <c r="CP948" i="1" s="1"/>
  <c r="CQ948" i="1" s="1"/>
  <c r="W948" i="1"/>
  <c r="BW948" i="1" s="1"/>
  <c r="X948" i="1"/>
  <c r="Y948" i="1"/>
  <c r="V949" i="1"/>
  <c r="CM949" i="1" s="1"/>
  <c r="CN949" i="1" s="1"/>
  <c r="CO949" i="1" s="1"/>
  <c r="CP949" i="1" s="1"/>
  <c r="CQ949" i="1" s="1"/>
  <c r="W949" i="1"/>
  <c r="BW949" i="1" s="1"/>
  <c r="X949" i="1"/>
  <c r="Y949" i="1"/>
  <c r="V950" i="1"/>
  <c r="CM950" i="1" s="1"/>
  <c r="CN950" i="1" s="1"/>
  <c r="CO950" i="1" s="1"/>
  <c r="CP950" i="1" s="1"/>
  <c r="CQ950" i="1" s="1"/>
  <c r="W950" i="1"/>
  <c r="BW950" i="1" s="1"/>
  <c r="X950" i="1"/>
  <c r="Y950" i="1"/>
  <c r="V951" i="1"/>
  <c r="CM951" i="1" s="1"/>
  <c r="CN951" i="1" s="1"/>
  <c r="CO951" i="1" s="1"/>
  <c r="CP951" i="1" s="1"/>
  <c r="CQ951" i="1" s="1"/>
  <c r="W951" i="1"/>
  <c r="BW951" i="1" s="1"/>
  <c r="X951" i="1"/>
  <c r="Y951" i="1"/>
  <c r="V952" i="1"/>
  <c r="CM952" i="1" s="1"/>
  <c r="CN952" i="1" s="1"/>
  <c r="CO952" i="1" s="1"/>
  <c r="CP952" i="1" s="1"/>
  <c r="CQ952" i="1" s="1"/>
  <c r="W952" i="1"/>
  <c r="BW952" i="1" s="1"/>
  <c r="X952" i="1"/>
  <c r="Y952" i="1"/>
  <c r="V953" i="1"/>
  <c r="CM953" i="1" s="1"/>
  <c r="CN953" i="1" s="1"/>
  <c r="CO953" i="1" s="1"/>
  <c r="CP953" i="1" s="1"/>
  <c r="CQ953" i="1" s="1"/>
  <c r="W953" i="1"/>
  <c r="BW953" i="1" s="1"/>
  <c r="X953" i="1"/>
  <c r="Y953" i="1"/>
  <c r="V954" i="1"/>
  <c r="CM954" i="1" s="1"/>
  <c r="CN954" i="1" s="1"/>
  <c r="CO954" i="1" s="1"/>
  <c r="CP954" i="1" s="1"/>
  <c r="CQ954" i="1" s="1"/>
  <c r="W954" i="1"/>
  <c r="BW954" i="1" s="1"/>
  <c r="X954" i="1"/>
  <c r="Y954" i="1"/>
  <c r="V955" i="1"/>
  <c r="CM955" i="1" s="1"/>
  <c r="CN955" i="1" s="1"/>
  <c r="CO955" i="1" s="1"/>
  <c r="CP955" i="1" s="1"/>
  <c r="CQ955" i="1" s="1"/>
  <c r="W955" i="1"/>
  <c r="BW955" i="1" s="1"/>
  <c r="X955" i="1"/>
  <c r="Y955" i="1"/>
  <c r="V956" i="1"/>
  <c r="CM956" i="1" s="1"/>
  <c r="CN956" i="1" s="1"/>
  <c r="CO956" i="1" s="1"/>
  <c r="CP956" i="1" s="1"/>
  <c r="CQ956" i="1" s="1"/>
  <c r="W956" i="1"/>
  <c r="BW956" i="1" s="1"/>
  <c r="X956" i="1"/>
  <c r="Y956" i="1"/>
  <c r="V957" i="1"/>
  <c r="CM957" i="1" s="1"/>
  <c r="CN957" i="1" s="1"/>
  <c r="CO957" i="1" s="1"/>
  <c r="CP957" i="1" s="1"/>
  <c r="CQ957" i="1" s="1"/>
  <c r="W957" i="1"/>
  <c r="BW957" i="1" s="1"/>
  <c r="X957" i="1"/>
  <c r="Y957" i="1"/>
  <c r="V958" i="1"/>
  <c r="CM958" i="1" s="1"/>
  <c r="CN958" i="1" s="1"/>
  <c r="CO958" i="1" s="1"/>
  <c r="CP958" i="1" s="1"/>
  <c r="CQ958" i="1" s="1"/>
  <c r="W958" i="1"/>
  <c r="BW958" i="1" s="1"/>
  <c r="X958" i="1"/>
  <c r="Y958" i="1"/>
  <c r="V959" i="1"/>
  <c r="CM959" i="1" s="1"/>
  <c r="CN959" i="1" s="1"/>
  <c r="CO959" i="1" s="1"/>
  <c r="CP959" i="1" s="1"/>
  <c r="CQ959" i="1" s="1"/>
  <c r="W959" i="1"/>
  <c r="BW959" i="1" s="1"/>
  <c r="X959" i="1"/>
  <c r="Y959" i="1"/>
  <c r="V960" i="1"/>
  <c r="CM960" i="1" s="1"/>
  <c r="CN960" i="1" s="1"/>
  <c r="CO960" i="1" s="1"/>
  <c r="CP960" i="1" s="1"/>
  <c r="CQ960" i="1" s="1"/>
  <c r="W960" i="1"/>
  <c r="BW960" i="1" s="1"/>
  <c r="X960" i="1"/>
  <c r="Y960" i="1"/>
  <c r="V961" i="1"/>
  <c r="CM961" i="1" s="1"/>
  <c r="CN961" i="1" s="1"/>
  <c r="CO961" i="1" s="1"/>
  <c r="CP961" i="1" s="1"/>
  <c r="CQ961" i="1" s="1"/>
  <c r="W961" i="1"/>
  <c r="BW961" i="1" s="1"/>
  <c r="X961" i="1"/>
  <c r="Y961" i="1"/>
  <c r="V962" i="1"/>
  <c r="CM962" i="1" s="1"/>
  <c r="CN962" i="1" s="1"/>
  <c r="CO962" i="1" s="1"/>
  <c r="CP962" i="1" s="1"/>
  <c r="CQ962" i="1" s="1"/>
  <c r="W962" i="1"/>
  <c r="BW962" i="1" s="1"/>
  <c r="X962" i="1"/>
  <c r="Y962" i="1"/>
  <c r="V963" i="1"/>
  <c r="CM963" i="1" s="1"/>
  <c r="CN963" i="1" s="1"/>
  <c r="CO963" i="1" s="1"/>
  <c r="CP963" i="1" s="1"/>
  <c r="CQ963" i="1" s="1"/>
  <c r="W963" i="1"/>
  <c r="BW963" i="1" s="1"/>
  <c r="X963" i="1"/>
  <c r="Y963" i="1"/>
  <c r="V964" i="1"/>
  <c r="CM964" i="1" s="1"/>
  <c r="CN964" i="1" s="1"/>
  <c r="CO964" i="1" s="1"/>
  <c r="CP964" i="1" s="1"/>
  <c r="CQ964" i="1" s="1"/>
  <c r="W964" i="1"/>
  <c r="BW964" i="1" s="1"/>
  <c r="X964" i="1"/>
  <c r="Y964" i="1"/>
  <c r="V965" i="1"/>
  <c r="CM965" i="1" s="1"/>
  <c r="CN965" i="1" s="1"/>
  <c r="CO965" i="1" s="1"/>
  <c r="CP965" i="1" s="1"/>
  <c r="CQ965" i="1" s="1"/>
  <c r="W965" i="1"/>
  <c r="BW965" i="1" s="1"/>
  <c r="X965" i="1"/>
  <c r="Y965" i="1"/>
  <c r="V966" i="1"/>
  <c r="CM966" i="1" s="1"/>
  <c r="CN966" i="1" s="1"/>
  <c r="CO966" i="1" s="1"/>
  <c r="CP966" i="1" s="1"/>
  <c r="CQ966" i="1" s="1"/>
  <c r="W966" i="1"/>
  <c r="BW966" i="1" s="1"/>
  <c r="X966" i="1"/>
  <c r="Y966" i="1"/>
  <c r="V967" i="1"/>
  <c r="CM967" i="1" s="1"/>
  <c r="CN967" i="1" s="1"/>
  <c r="CO967" i="1" s="1"/>
  <c r="CP967" i="1" s="1"/>
  <c r="CQ967" i="1" s="1"/>
  <c r="W967" i="1"/>
  <c r="BW967" i="1" s="1"/>
  <c r="X967" i="1"/>
  <c r="Y967" i="1"/>
  <c r="V968" i="1"/>
  <c r="CM968" i="1" s="1"/>
  <c r="CN968" i="1" s="1"/>
  <c r="CO968" i="1" s="1"/>
  <c r="CP968" i="1" s="1"/>
  <c r="CQ968" i="1" s="1"/>
  <c r="W968" i="1"/>
  <c r="BW968" i="1" s="1"/>
  <c r="X968" i="1"/>
  <c r="Y968" i="1"/>
  <c r="V969" i="1"/>
  <c r="CM969" i="1" s="1"/>
  <c r="CN969" i="1" s="1"/>
  <c r="CO969" i="1" s="1"/>
  <c r="CP969" i="1" s="1"/>
  <c r="CQ969" i="1" s="1"/>
  <c r="W969" i="1"/>
  <c r="BW969" i="1" s="1"/>
  <c r="X969" i="1"/>
  <c r="Y969" i="1"/>
  <c r="V970" i="1"/>
  <c r="CM970" i="1" s="1"/>
  <c r="CN970" i="1" s="1"/>
  <c r="CO970" i="1" s="1"/>
  <c r="CP970" i="1" s="1"/>
  <c r="CQ970" i="1" s="1"/>
  <c r="W970" i="1"/>
  <c r="BW970" i="1" s="1"/>
  <c r="X970" i="1"/>
  <c r="Y970" i="1"/>
  <c r="V971" i="1"/>
  <c r="CM971" i="1" s="1"/>
  <c r="CN971" i="1" s="1"/>
  <c r="CO971" i="1" s="1"/>
  <c r="CP971" i="1" s="1"/>
  <c r="CQ971" i="1" s="1"/>
  <c r="W971" i="1"/>
  <c r="BW971" i="1" s="1"/>
  <c r="X971" i="1"/>
  <c r="Y971" i="1"/>
  <c r="V972" i="1"/>
  <c r="CM972" i="1" s="1"/>
  <c r="CN972" i="1" s="1"/>
  <c r="CO972" i="1" s="1"/>
  <c r="CP972" i="1" s="1"/>
  <c r="CQ972" i="1" s="1"/>
  <c r="W972" i="1"/>
  <c r="BW972" i="1" s="1"/>
  <c r="X972" i="1"/>
  <c r="Y972" i="1"/>
  <c r="V973" i="1"/>
  <c r="CM973" i="1" s="1"/>
  <c r="CN973" i="1" s="1"/>
  <c r="CO973" i="1" s="1"/>
  <c r="CP973" i="1" s="1"/>
  <c r="CQ973" i="1" s="1"/>
  <c r="W973" i="1"/>
  <c r="BW973" i="1" s="1"/>
  <c r="X973" i="1"/>
  <c r="Y973" i="1"/>
  <c r="V974" i="1"/>
  <c r="CM974" i="1" s="1"/>
  <c r="CN974" i="1" s="1"/>
  <c r="CO974" i="1" s="1"/>
  <c r="CP974" i="1" s="1"/>
  <c r="CQ974" i="1" s="1"/>
  <c r="W974" i="1"/>
  <c r="BW974" i="1" s="1"/>
  <c r="X974" i="1"/>
  <c r="Y974" i="1"/>
  <c r="V975" i="1"/>
  <c r="CM975" i="1" s="1"/>
  <c r="CN975" i="1" s="1"/>
  <c r="CO975" i="1" s="1"/>
  <c r="CP975" i="1" s="1"/>
  <c r="CQ975" i="1" s="1"/>
  <c r="W975" i="1"/>
  <c r="BW975" i="1" s="1"/>
  <c r="X975" i="1"/>
  <c r="Y975" i="1"/>
  <c r="V976" i="1"/>
  <c r="CM976" i="1" s="1"/>
  <c r="CN976" i="1" s="1"/>
  <c r="CO976" i="1" s="1"/>
  <c r="CP976" i="1" s="1"/>
  <c r="CQ976" i="1" s="1"/>
  <c r="W976" i="1"/>
  <c r="BW976" i="1" s="1"/>
  <c r="X976" i="1"/>
  <c r="Y976" i="1"/>
  <c r="V977" i="1"/>
  <c r="CM977" i="1" s="1"/>
  <c r="CN977" i="1" s="1"/>
  <c r="CO977" i="1" s="1"/>
  <c r="CP977" i="1" s="1"/>
  <c r="CQ977" i="1" s="1"/>
  <c r="W977" i="1"/>
  <c r="BW977" i="1" s="1"/>
  <c r="X977" i="1"/>
  <c r="Y977" i="1"/>
  <c r="V978" i="1"/>
  <c r="CM978" i="1" s="1"/>
  <c r="CN978" i="1" s="1"/>
  <c r="CO978" i="1" s="1"/>
  <c r="CP978" i="1" s="1"/>
  <c r="CQ978" i="1" s="1"/>
  <c r="W978" i="1"/>
  <c r="BW978" i="1" s="1"/>
  <c r="X978" i="1"/>
  <c r="Y978" i="1"/>
  <c r="V979" i="1"/>
  <c r="CM979" i="1" s="1"/>
  <c r="CN979" i="1" s="1"/>
  <c r="CO979" i="1" s="1"/>
  <c r="CP979" i="1" s="1"/>
  <c r="CQ979" i="1" s="1"/>
  <c r="W979" i="1"/>
  <c r="BW979" i="1" s="1"/>
  <c r="X979" i="1"/>
  <c r="Y979" i="1"/>
  <c r="V980" i="1"/>
  <c r="CM980" i="1" s="1"/>
  <c r="CN980" i="1" s="1"/>
  <c r="CO980" i="1" s="1"/>
  <c r="CP980" i="1" s="1"/>
  <c r="CQ980" i="1" s="1"/>
  <c r="W980" i="1"/>
  <c r="BW980" i="1" s="1"/>
  <c r="X980" i="1"/>
  <c r="Y980" i="1"/>
  <c r="V981" i="1"/>
  <c r="CM981" i="1" s="1"/>
  <c r="CN981" i="1" s="1"/>
  <c r="CO981" i="1" s="1"/>
  <c r="CP981" i="1" s="1"/>
  <c r="CQ981" i="1" s="1"/>
  <c r="W981" i="1"/>
  <c r="BW981" i="1" s="1"/>
  <c r="X981" i="1"/>
  <c r="Y981" i="1"/>
  <c r="V982" i="1"/>
  <c r="CM982" i="1" s="1"/>
  <c r="CN982" i="1" s="1"/>
  <c r="CO982" i="1" s="1"/>
  <c r="CP982" i="1" s="1"/>
  <c r="CQ982" i="1" s="1"/>
  <c r="W982" i="1"/>
  <c r="BW982" i="1" s="1"/>
  <c r="X982" i="1"/>
  <c r="Y982" i="1"/>
  <c r="V983" i="1"/>
  <c r="CM983" i="1" s="1"/>
  <c r="CN983" i="1" s="1"/>
  <c r="CO983" i="1" s="1"/>
  <c r="CP983" i="1" s="1"/>
  <c r="CQ983" i="1" s="1"/>
  <c r="W983" i="1"/>
  <c r="BW983" i="1" s="1"/>
  <c r="X983" i="1"/>
  <c r="Y983" i="1"/>
  <c r="V984" i="1"/>
  <c r="CM984" i="1" s="1"/>
  <c r="CN984" i="1" s="1"/>
  <c r="CO984" i="1" s="1"/>
  <c r="CP984" i="1" s="1"/>
  <c r="CQ984" i="1" s="1"/>
  <c r="W984" i="1"/>
  <c r="BW984" i="1" s="1"/>
  <c r="X984" i="1"/>
  <c r="Y984" i="1"/>
  <c r="V985" i="1"/>
  <c r="CM985" i="1" s="1"/>
  <c r="CN985" i="1" s="1"/>
  <c r="CO985" i="1" s="1"/>
  <c r="CP985" i="1" s="1"/>
  <c r="CQ985" i="1" s="1"/>
  <c r="W985" i="1"/>
  <c r="BW985" i="1" s="1"/>
  <c r="X985" i="1"/>
  <c r="Y985" i="1"/>
  <c r="V986" i="1"/>
  <c r="CM986" i="1" s="1"/>
  <c r="CN986" i="1" s="1"/>
  <c r="CO986" i="1" s="1"/>
  <c r="CP986" i="1" s="1"/>
  <c r="CQ986" i="1" s="1"/>
  <c r="W986" i="1"/>
  <c r="BW986" i="1" s="1"/>
  <c r="X986" i="1"/>
  <c r="Y986" i="1"/>
  <c r="V987" i="1"/>
  <c r="CM987" i="1" s="1"/>
  <c r="CN987" i="1" s="1"/>
  <c r="CO987" i="1" s="1"/>
  <c r="CP987" i="1" s="1"/>
  <c r="CQ987" i="1" s="1"/>
  <c r="W987" i="1"/>
  <c r="BW987" i="1" s="1"/>
  <c r="X987" i="1"/>
  <c r="Y987" i="1"/>
  <c r="V988" i="1"/>
  <c r="CM988" i="1" s="1"/>
  <c r="CN988" i="1" s="1"/>
  <c r="CO988" i="1" s="1"/>
  <c r="CP988" i="1" s="1"/>
  <c r="CQ988" i="1" s="1"/>
  <c r="W988" i="1"/>
  <c r="BW988" i="1" s="1"/>
  <c r="X988" i="1"/>
  <c r="Y988" i="1"/>
  <c r="V989" i="1"/>
  <c r="CM989" i="1" s="1"/>
  <c r="CN989" i="1" s="1"/>
  <c r="CO989" i="1" s="1"/>
  <c r="CP989" i="1" s="1"/>
  <c r="CQ989" i="1" s="1"/>
  <c r="W989" i="1"/>
  <c r="BW989" i="1" s="1"/>
  <c r="X989" i="1"/>
  <c r="Y989" i="1"/>
  <c r="V990" i="1"/>
  <c r="CM990" i="1" s="1"/>
  <c r="CN990" i="1" s="1"/>
  <c r="CO990" i="1" s="1"/>
  <c r="CP990" i="1" s="1"/>
  <c r="CQ990" i="1" s="1"/>
  <c r="W990" i="1"/>
  <c r="BW990" i="1" s="1"/>
  <c r="X990" i="1"/>
  <c r="Y990" i="1"/>
  <c r="V991" i="1"/>
  <c r="CM991" i="1" s="1"/>
  <c r="CN991" i="1" s="1"/>
  <c r="CO991" i="1" s="1"/>
  <c r="CP991" i="1" s="1"/>
  <c r="CQ991" i="1" s="1"/>
  <c r="W991" i="1"/>
  <c r="BW991" i="1" s="1"/>
  <c r="X991" i="1"/>
  <c r="Y991" i="1"/>
  <c r="V992" i="1"/>
  <c r="CM992" i="1" s="1"/>
  <c r="CN992" i="1" s="1"/>
  <c r="CO992" i="1" s="1"/>
  <c r="CP992" i="1" s="1"/>
  <c r="CQ992" i="1" s="1"/>
  <c r="W992" i="1"/>
  <c r="BW992" i="1" s="1"/>
  <c r="X992" i="1"/>
  <c r="Y992" i="1"/>
  <c r="V993" i="1"/>
  <c r="CM993" i="1" s="1"/>
  <c r="CN993" i="1" s="1"/>
  <c r="CO993" i="1" s="1"/>
  <c r="CP993" i="1" s="1"/>
  <c r="CQ993" i="1" s="1"/>
  <c r="W993" i="1"/>
  <c r="BW993" i="1" s="1"/>
  <c r="X993" i="1"/>
  <c r="Y993" i="1"/>
  <c r="V994" i="1"/>
  <c r="CM994" i="1" s="1"/>
  <c r="CN994" i="1" s="1"/>
  <c r="CO994" i="1" s="1"/>
  <c r="CP994" i="1" s="1"/>
  <c r="CQ994" i="1" s="1"/>
  <c r="W994" i="1"/>
  <c r="BW994" i="1" s="1"/>
  <c r="X994" i="1"/>
  <c r="Y994" i="1"/>
  <c r="V995" i="1"/>
  <c r="CM995" i="1" s="1"/>
  <c r="CN995" i="1" s="1"/>
  <c r="CO995" i="1" s="1"/>
  <c r="CP995" i="1" s="1"/>
  <c r="CQ995" i="1" s="1"/>
  <c r="W995" i="1"/>
  <c r="BW995" i="1" s="1"/>
  <c r="X995" i="1"/>
  <c r="Y995" i="1"/>
  <c r="V996" i="1"/>
  <c r="CM996" i="1" s="1"/>
  <c r="CN996" i="1" s="1"/>
  <c r="CO996" i="1" s="1"/>
  <c r="CP996" i="1" s="1"/>
  <c r="CQ996" i="1" s="1"/>
  <c r="W996" i="1"/>
  <c r="BW996" i="1" s="1"/>
  <c r="X996" i="1"/>
  <c r="Y996" i="1"/>
  <c r="V997" i="1"/>
  <c r="CM997" i="1" s="1"/>
  <c r="CN997" i="1" s="1"/>
  <c r="CO997" i="1" s="1"/>
  <c r="CP997" i="1" s="1"/>
  <c r="CQ997" i="1" s="1"/>
  <c r="W997" i="1"/>
  <c r="BW997" i="1" s="1"/>
  <c r="X997" i="1"/>
  <c r="Y997" i="1"/>
  <c r="V998" i="1"/>
  <c r="CM998" i="1" s="1"/>
  <c r="CN998" i="1" s="1"/>
  <c r="CO998" i="1" s="1"/>
  <c r="CP998" i="1" s="1"/>
  <c r="CQ998" i="1" s="1"/>
  <c r="W998" i="1"/>
  <c r="BW998" i="1" s="1"/>
  <c r="X998" i="1"/>
  <c r="Y998" i="1"/>
  <c r="V999" i="1"/>
  <c r="CM999" i="1" s="1"/>
  <c r="CN999" i="1" s="1"/>
  <c r="CO999" i="1" s="1"/>
  <c r="CP999" i="1" s="1"/>
  <c r="CQ999" i="1" s="1"/>
  <c r="W999" i="1"/>
  <c r="BW999" i="1" s="1"/>
  <c r="X999" i="1"/>
  <c r="Y999" i="1"/>
  <c r="V1000" i="1"/>
  <c r="CM1000" i="1" s="1"/>
  <c r="CN1000" i="1" s="1"/>
  <c r="CO1000" i="1" s="1"/>
  <c r="CP1000" i="1" s="1"/>
  <c r="CQ1000" i="1" s="1"/>
  <c r="W1000" i="1"/>
  <c r="BW1000" i="1" s="1"/>
  <c r="X1000" i="1"/>
  <c r="Y1000" i="1"/>
  <c r="V1001" i="1"/>
  <c r="CM1001" i="1" s="1"/>
  <c r="CN1001" i="1" s="1"/>
  <c r="CO1001" i="1" s="1"/>
  <c r="CP1001" i="1" s="1"/>
  <c r="CQ1001" i="1" s="1"/>
  <c r="W1001" i="1"/>
  <c r="BW1001" i="1" s="1"/>
  <c r="X1001" i="1"/>
  <c r="Y1001" i="1"/>
  <c r="V1002" i="1"/>
  <c r="CM1002" i="1" s="1"/>
  <c r="CN1002" i="1" s="1"/>
  <c r="CO1002" i="1" s="1"/>
  <c r="CP1002" i="1" s="1"/>
  <c r="CQ1002" i="1" s="1"/>
  <c r="W1002" i="1"/>
  <c r="BW1002" i="1" s="1"/>
  <c r="X1002" i="1"/>
  <c r="Y1002" i="1"/>
  <c r="V1003" i="1"/>
  <c r="CM1003" i="1" s="1"/>
  <c r="CN1003" i="1" s="1"/>
  <c r="CO1003" i="1" s="1"/>
  <c r="CP1003" i="1" s="1"/>
  <c r="CQ1003" i="1" s="1"/>
  <c r="W1003" i="1"/>
  <c r="BW1003" i="1" s="1"/>
  <c r="X1003" i="1"/>
  <c r="Y1003" i="1"/>
  <c r="V1004" i="1"/>
  <c r="CM1004" i="1" s="1"/>
  <c r="CN1004" i="1" s="1"/>
  <c r="CO1004" i="1" s="1"/>
  <c r="CP1004" i="1" s="1"/>
  <c r="CQ1004" i="1" s="1"/>
  <c r="W1004" i="1"/>
  <c r="BW1004" i="1" s="1"/>
  <c r="X1004" i="1"/>
  <c r="Y1004" i="1"/>
  <c r="V1005" i="1"/>
  <c r="CM1005" i="1" s="1"/>
  <c r="CN1005" i="1" s="1"/>
  <c r="CO1005" i="1" s="1"/>
  <c r="CP1005" i="1" s="1"/>
  <c r="CQ1005" i="1" s="1"/>
  <c r="W1005" i="1"/>
  <c r="BW1005" i="1" s="1"/>
  <c r="X1005" i="1"/>
  <c r="Y1005" i="1"/>
  <c r="V1006" i="1"/>
  <c r="CM1006" i="1" s="1"/>
  <c r="CN1006" i="1" s="1"/>
  <c r="CO1006" i="1" s="1"/>
  <c r="CP1006" i="1" s="1"/>
  <c r="CQ1006" i="1" s="1"/>
  <c r="W1006" i="1"/>
  <c r="BW1006" i="1" s="1"/>
  <c r="X1006" i="1"/>
  <c r="Y1006" i="1"/>
  <c r="V1007" i="1"/>
  <c r="CM1007" i="1" s="1"/>
  <c r="CN1007" i="1" s="1"/>
  <c r="CO1007" i="1" s="1"/>
  <c r="CP1007" i="1" s="1"/>
  <c r="CQ1007" i="1" s="1"/>
  <c r="W1007" i="1"/>
  <c r="BW1007" i="1" s="1"/>
  <c r="X1007" i="1"/>
  <c r="Y1007" i="1"/>
  <c r="V1008" i="1"/>
  <c r="CM1008" i="1" s="1"/>
  <c r="CN1008" i="1" s="1"/>
  <c r="CO1008" i="1" s="1"/>
  <c r="CP1008" i="1" s="1"/>
  <c r="CQ1008" i="1" s="1"/>
  <c r="W1008" i="1"/>
  <c r="BW1008" i="1" s="1"/>
  <c r="X1008" i="1"/>
  <c r="Y1008" i="1"/>
  <c r="V1009" i="1"/>
  <c r="CM1009" i="1" s="1"/>
  <c r="CN1009" i="1" s="1"/>
  <c r="CO1009" i="1" s="1"/>
  <c r="CP1009" i="1" s="1"/>
  <c r="CQ1009" i="1" s="1"/>
  <c r="W1009" i="1"/>
  <c r="BW1009" i="1" s="1"/>
  <c r="X1009" i="1"/>
  <c r="Y1009" i="1"/>
  <c r="V1010" i="1"/>
  <c r="CM1010" i="1" s="1"/>
  <c r="CN1010" i="1" s="1"/>
  <c r="CO1010" i="1" s="1"/>
  <c r="CP1010" i="1" s="1"/>
  <c r="CQ1010" i="1" s="1"/>
  <c r="W1010" i="1"/>
  <c r="BW1010" i="1" s="1"/>
  <c r="X1010" i="1"/>
  <c r="Y1010" i="1"/>
  <c r="V1011" i="1"/>
  <c r="CM1011" i="1" s="1"/>
  <c r="CN1011" i="1" s="1"/>
  <c r="CO1011" i="1" s="1"/>
  <c r="CP1011" i="1" s="1"/>
  <c r="CQ1011" i="1" s="1"/>
  <c r="W1011" i="1"/>
  <c r="BW1011" i="1" s="1"/>
  <c r="X1011" i="1"/>
  <c r="Y1011" i="1"/>
  <c r="V1012" i="1"/>
  <c r="CM1012" i="1" s="1"/>
  <c r="CN1012" i="1" s="1"/>
  <c r="CO1012" i="1" s="1"/>
  <c r="CP1012" i="1" s="1"/>
  <c r="CQ1012" i="1" s="1"/>
  <c r="W1012" i="1"/>
  <c r="BW1012" i="1" s="1"/>
  <c r="X1012" i="1"/>
  <c r="Y1012" i="1"/>
  <c r="V1013" i="1"/>
  <c r="CM1013" i="1" s="1"/>
  <c r="CN1013" i="1" s="1"/>
  <c r="CO1013" i="1" s="1"/>
  <c r="CP1013" i="1" s="1"/>
  <c r="CQ1013" i="1" s="1"/>
  <c r="W1013" i="1"/>
  <c r="BW1013" i="1" s="1"/>
  <c r="X1013" i="1"/>
  <c r="Y1013" i="1"/>
  <c r="V1014" i="1"/>
  <c r="CM1014" i="1" s="1"/>
  <c r="CN1014" i="1" s="1"/>
  <c r="CO1014" i="1" s="1"/>
  <c r="CP1014" i="1" s="1"/>
  <c r="CQ1014" i="1" s="1"/>
  <c r="W1014" i="1"/>
  <c r="BW1014" i="1" s="1"/>
  <c r="X1014" i="1"/>
  <c r="Y1014" i="1"/>
  <c r="V1015" i="1"/>
  <c r="CM1015" i="1" s="1"/>
  <c r="CN1015" i="1" s="1"/>
  <c r="CO1015" i="1" s="1"/>
  <c r="CP1015" i="1" s="1"/>
  <c r="CQ1015" i="1" s="1"/>
  <c r="W1015" i="1"/>
  <c r="BW1015" i="1" s="1"/>
  <c r="X1015" i="1"/>
  <c r="Y1015" i="1"/>
  <c r="V1016" i="1"/>
  <c r="CM1016" i="1" s="1"/>
  <c r="CN1016" i="1" s="1"/>
  <c r="CO1016" i="1" s="1"/>
  <c r="CP1016" i="1" s="1"/>
  <c r="CQ1016" i="1" s="1"/>
  <c r="W1016" i="1"/>
  <c r="BW1016" i="1" s="1"/>
  <c r="X1016" i="1"/>
  <c r="Y1016" i="1"/>
  <c r="V1017" i="1"/>
  <c r="CM1017" i="1" s="1"/>
  <c r="CN1017" i="1" s="1"/>
  <c r="CO1017" i="1" s="1"/>
  <c r="CP1017" i="1" s="1"/>
  <c r="CQ1017" i="1" s="1"/>
  <c r="W1017" i="1"/>
  <c r="BW1017" i="1" s="1"/>
  <c r="X1017" i="1"/>
  <c r="Y1017" i="1"/>
  <c r="V1018" i="1"/>
  <c r="CM1018" i="1" s="1"/>
  <c r="CN1018" i="1" s="1"/>
  <c r="CO1018" i="1" s="1"/>
  <c r="CP1018" i="1" s="1"/>
  <c r="CQ1018" i="1" s="1"/>
  <c r="W1018" i="1"/>
  <c r="BW1018" i="1" s="1"/>
  <c r="X1018" i="1"/>
  <c r="Y1018" i="1"/>
  <c r="V1019" i="1"/>
  <c r="CM1019" i="1" s="1"/>
  <c r="CN1019" i="1" s="1"/>
  <c r="CO1019" i="1" s="1"/>
  <c r="CP1019" i="1" s="1"/>
  <c r="CQ1019" i="1" s="1"/>
  <c r="W1019" i="1"/>
  <c r="BW1019" i="1" s="1"/>
  <c r="X1019" i="1"/>
  <c r="Y1019" i="1"/>
  <c r="V1020" i="1"/>
  <c r="CM1020" i="1" s="1"/>
  <c r="CN1020" i="1" s="1"/>
  <c r="CO1020" i="1" s="1"/>
  <c r="CP1020" i="1" s="1"/>
  <c r="CQ1020" i="1" s="1"/>
  <c r="W1020" i="1"/>
  <c r="BW1020" i="1" s="1"/>
  <c r="X1020" i="1"/>
  <c r="Y1020" i="1"/>
  <c r="V1021" i="1"/>
  <c r="CM1021" i="1" s="1"/>
  <c r="CN1021" i="1" s="1"/>
  <c r="CO1021" i="1" s="1"/>
  <c r="CP1021" i="1" s="1"/>
  <c r="CQ1021" i="1" s="1"/>
  <c r="W1021" i="1"/>
  <c r="BW1021" i="1" s="1"/>
  <c r="X1021" i="1"/>
  <c r="Y1021" i="1"/>
  <c r="V1022" i="1"/>
  <c r="CM1022" i="1" s="1"/>
  <c r="CN1022" i="1" s="1"/>
  <c r="CO1022" i="1" s="1"/>
  <c r="CP1022" i="1" s="1"/>
  <c r="CQ1022" i="1" s="1"/>
  <c r="W1022" i="1"/>
  <c r="BW1022" i="1" s="1"/>
  <c r="X1022" i="1"/>
  <c r="Y1022" i="1"/>
  <c r="V1023" i="1"/>
  <c r="CM1023" i="1" s="1"/>
  <c r="CN1023" i="1" s="1"/>
  <c r="CO1023" i="1" s="1"/>
  <c r="CP1023" i="1" s="1"/>
  <c r="CQ1023" i="1" s="1"/>
  <c r="W1023" i="1"/>
  <c r="BW1023" i="1" s="1"/>
  <c r="X1023" i="1"/>
  <c r="Y1023" i="1"/>
  <c r="V1024" i="1"/>
  <c r="CM1024" i="1" s="1"/>
  <c r="CN1024" i="1" s="1"/>
  <c r="CO1024" i="1" s="1"/>
  <c r="CP1024" i="1" s="1"/>
  <c r="CQ1024" i="1" s="1"/>
  <c r="W1024" i="1"/>
  <c r="BW1024" i="1" s="1"/>
  <c r="X1024" i="1"/>
  <c r="Y1024" i="1"/>
  <c r="V1025" i="1"/>
  <c r="CM1025" i="1" s="1"/>
  <c r="CN1025" i="1" s="1"/>
  <c r="CO1025" i="1" s="1"/>
  <c r="CP1025" i="1" s="1"/>
  <c r="CQ1025" i="1" s="1"/>
  <c r="W1025" i="1"/>
  <c r="BW1025" i="1" s="1"/>
  <c r="X1025" i="1"/>
  <c r="Y1025" i="1"/>
  <c r="V1026" i="1"/>
  <c r="CM1026" i="1" s="1"/>
  <c r="CN1026" i="1" s="1"/>
  <c r="CO1026" i="1" s="1"/>
  <c r="CP1026" i="1" s="1"/>
  <c r="CQ1026" i="1" s="1"/>
  <c r="W1026" i="1"/>
  <c r="BW1026" i="1" s="1"/>
  <c r="X1026" i="1"/>
  <c r="Y1026" i="1"/>
  <c r="V1027" i="1"/>
  <c r="CM1027" i="1" s="1"/>
  <c r="CN1027" i="1" s="1"/>
  <c r="CO1027" i="1" s="1"/>
  <c r="CP1027" i="1" s="1"/>
  <c r="CQ1027" i="1" s="1"/>
  <c r="W1027" i="1"/>
  <c r="BW1027" i="1" s="1"/>
  <c r="X1027" i="1"/>
  <c r="Y1027" i="1"/>
  <c r="V1028" i="1"/>
  <c r="CM1028" i="1" s="1"/>
  <c r="CN1028" i="1" s="1"/>
  <c r="CO1028" i="1" s="1"/>
  <c r="CP1028" i="1" s="1"/>
  <c r="CQ1028" i="1" s="1"/>
  <c r="W1028" i="1"/>
  <c r="BW1028" i="1" s="1"/>
  <c r="X1028" i="1"/>
  <c r="Y1028" i="1"/>
  <c r="V1029" i="1"/>
  <c r="CM1029" i="1" s="1"/>
  <c r="CN1029" i="1" s="1"/>
  <c r="CO1029" i="1" s="1"/>
  <c r="CP1029" i="1" s="1"/>
  <c r="CQ1029" i="1" s="1"/>
  <c r="W1029" i="1"/>
  <c r="BW1029" i="1" s="1"/>
  <c r="X1029" i="1"/>
  <c r="Y1029" i="1"/>
  <c r="V1030" i="1"/>
  <c r="CM1030" i="1" s="1"/>
  <c r="CN1030" i="1" s="1"/>
  <c r="CO1030" i="1" s="1"/>
  <c r="CP1030" i="1" s="1"/>
  <c r="CQ1030" i="1" s="1"/>
  <c r="W1030" i="1"/>
  <c r="BW1030" i="1" s="1"/>
  <c r="X1030" i="1"/>
  <c r="Y1030" i="1"/>
  <c r="V1031" i="1"/>
  <c r="CM1031" i="1" s="1"/>
  <c r="CN1031" i="1" s="1"/>
  <c r="CO1031" i="1" s="1"/>
  <c r="CP1031" i="1" s="1"/>
  <c r="CQ1031" i="1" s="1"/>
  <c r="W1031" i="1"/>
  <c r="BW1031" i="1" s="1"/>
  <c r="X1031" i="1"/>
  <c r="Y1031" i="1"/>
  <c r="V1032" i="1"/>
  <c r="CM1032" i="1" s="1"/>
  <c r="CN1032" i="1" s="1"/>
  <c r="CO1032" i="1" s="1"/>
  <c r="CP1032" i="1" s="1"/>
  <c r="CQ1032" i="1" s="1"/>
  <c r="W1032" i="1"/>
  <c r="BW1032" i="1" s="1"/>
  <c r="X1032" i="1"/>
  <c r="Y1032" i="1"/>
  <c r="V1033" i="1"/>
  <c r="CM1033" i="1" s="1"/>
  <c r="CN1033" i="1" s="1"/>
  <c r="CO1033" i="1" s="1"/>
  <c r="CP1033" i="1" s="1"/>
  <c r="CQ1033" i="1" s="1"/>
  <c r="W1033" i="1"/>
  <c r="BW1033" i="1" s="1"/>
  <c r="X1033" i="1"/>
  <c r="Y1033" i="1"/>
  <c r="V1034" i="1"/>
  <c r="CM1034" i="1" s="1"/>
  <c r="CN1034" i="1" s="1"/>
  <c r="CO1034" i="1" s="1"/>
  <c r="CP1034" i="1" s="1"/>
  <c r="CQ1034" i="1" s="1"/>
  <c r="W1034" i="1"/>
  <c r="BW1034" i="1" s="1"/>
  <c r="X1034" i="1"/>
  <c r="Y1034" i="1"/>
  <c r="V1035" i="1"/>
  <c r="CM1035" i="1" s="1"/>
  <c r="CN1035" i="1" s="1"/>
  <c r="CO1035" i="1" s="1"/>
  <c r="CP1035" i="1" s="1"/>
  <c r="CQ1035" i="1" s="1"/>
  <c r="W1035" i="1"/>
  <c r="BW1035" i="1" s="1"/>
  <c r="X1035" i="1"/>
  <c r="Y1035" i="1"/>
  <c r="V1036" i="1"/>
  <c r="CM1036" i="1" s="1"/>
  <c r="CN1036" i="1" s="1"/>
  <c r="CO1036" i="1" s="1"/>
  <c r="CP1036" i="1" s="1"/>
  <c r="CQ1036" i="1" s="1"/>
  <c r="W1036" i="1"/>
  <c r="BW1036" i="1" s="1"/>
  <c r="X1036" i="1"/>
  <c r="Y1036" i="1"/>
  <c r="V1037" i="1"/>
  <c r="CM1037" i="1" s="1"/>
  <c r="CN1037" i="1" s="1"/>
  <c r="CO1037" i="1" s="1"/>
  <c r="CP1037" i="1" s="1"/>
  <c r="CQ1037" i="1" s="1"/>
  <c r="W1037" i="1"/>
  <c r="BW1037" i="1" s="1"/>
  <c r="X1037" i="1"/>
  <c r="Y1037" i="1"/>
  <c r="V1038" i="1"/>
  <c r="CM1038" i="1" s="1"/>
  <c r="CN1038" i="1" s="1"/>
  <c r="CO1038" i="1" s="1"/>
  <c r="CP1038" i="1" s="1"/>
  <c r="CQ1038" i="1" s="1"/>
  <c r="W1038" i="1"/>
  <c r="BW1038" i="1" s="1"/>
  <c r="X1038" i="1"/>
  <c r="Y1038" i="1"/>
  <c r="V1039" i="1"/>
  <c r="CM1039" i="1" s="1"/>
  <c r="CN1039" i="1" s="1"/>
  <c r="CO1039" i="1" s="1"/>
  <c r="CP1039" i="1" s="1"/>
  <c r="CQ1039" i="1" s="1"/>
  <c r="W1039" i="1"/>
  <c r="BW1039" i="1" s="1"/>
  <c r="X1039" i="1"/>
  <c r="Y1039" i="1"/>
  <c r="V1040" i="1"/>
  <c r="CM1040" i="1" s="1"/>
  <c r="CN1040" i="1" s="1"/>
  <c r="CO1040" i="1" s="1"/>
  <c r="CP1040" i="1" s="1"/>
  <c r="CQ1040" i="1" s="1"/>
  <c r="W1040" i="1"/>
  <c r="BW1040" i="1" s="1"/>
  <c r="X1040" i="1"/>
  <c r="Y1040" i="1"/>
  <c r="V1041" i="1"/>
  <c r="CM1041" i="1" s="1"/>
  <c r="CN1041" i="1" s="1"/>
  <c r="CO1041" i="1" s="1"/>
  <c r="CP1041" i="1" s="1"/>
  <c r="CQ1041" i="1" s="1"/>
  <c r="W1041" i="1"/>
  <c r="BW1041" i="1" s="1"/>
  <c r="X1041" i="1"/>
  <c r="Y1041" i="1"/>
  <c r="V1042" i="1"/>
  <c r="CM1042" i="1" s="1"/>
  <c r="CN1042" i="1" s="1"/>
  <c r="CO1042" i="1" s="1"/>
  <c r="CP1042" i="1" s="1"/>
  <c r="CQ1042" i="1" s="1"/>
  <c r="W1042" i="1"/>
  <c r="BW1042" i="1" s="1"/>
  <c r="X1042" i="1"/>
  <c r="Y1042" i="1"/>
  <c r="V1043" i="1"/>
  <c r="CM1043" i="1" s="1"/>
  <c r="CN1043" i="1" s="1"/>
  <c r="CO1043" i="1" s="1"/>
  <c r="CP1043" i="1" s="1"/>
  <c r="CQ1043" i="1" s="1"/>
  <c r="W1043" i="1"/>
  <c r="BW1043" i="1" s="1"/>
  <c r="X1043" i="1"/>
  <c r="Y1043" i="1"/>
  <c r="V1044" i="1"/>
  <c r="CM1044" i="1" s="1"/>
  <c r="CN1044" i="1" s="1"/>
  <c r="CO1044" i="1" s="1"/>
  <c r="CP1044" i="1" s="1"/>
  <c r="CQ1044" i="1" s="1"/>
  <c r="W1044" i="1"/>
  <c r="BW1044" i="1" s="1"/>
  <c r="X1044" i="1"/>
  <c r="Y1044" i="1"/>
  <c r="V1045" i="1"/>
  <c r="CM1045" i="1" s="1"/>
  <c r="CN1045" i="1" s="1"/>
  <c r="CO1045" i="1" s="1"/>
  <c r="CP1045" i="1" s="1"/>
  <c r="CQ1045" i="1" s="1"/>
  <c r="W1045" i="1"/>
  <c r="BW1045" i="1" s="1"/>
  <c r="X1045" i="1"/>
  <c r="Y1045" i="1"/>
  <c r="V1046" i="1"/>
  <c r="CM1046" i="1" s="1"/>
  <c r="CN1046" i="1" s="1"/>
  <c r="CO1046" i="1" s="1"/>
  <c r="CP1046" i="1" s="1"/>
  <c r="CQ1046" i="1" s="1"/>
  <c r="W1046" i="1"/>
  <c r="BW1046" i="1" s="1"/>
  <c r="X1046" i="1"/>
  <c r="Y1046" i="1"/>
  <c r="V1047" i="1"/>
  <c r="CM1047" i="1" s="1"/>
  <c r="CN1047" i="1" s="1"/>
  <c r="CO1047" i="1" s="1"/>
  <c r="CP1047" i="1" s="1"/>
  <c r="CQ1047" i="1" s="1"/>
  <c r="W1047" i="1"/>
  <c r="BW1047" i="1" s="1"/>
  <c r="X1047" i="1"/>
  <c r="Y1047" i="1"/>
  <c r="V1048" i="1"/>
  <c r="CM1048" i="1" s="1"/>
  <c r="CN1048" i="1" s="1"/>
  <c r="CO1048" i="1" s="1"/>
  <c r="CP1048" i="1" s="1"/>
  <c r="CQ1048" i="1" s="1"/>
  <c r="W1048" i="1"/>
  <c r="BW1048" i="1" s="1"/>
  <c r="X1048" i="1"/>
  <c r="Y1048" i="1"/>
  <c r="V1049" i="1"/>
  <c r="CM1049" i="1" s="1"/>
  <c r="CN1049" i="1" s="1"/>
  <c r="CO1049" i="1" s="1"/>
  <c r="CP1049" i="1" s="1"/>
  <c r="CQ1049" i="1" s="1"/>
  <c r="W1049" i="1"/>
  <c r="BW1049" i="1" s="1"/>
  <c r="X1049" i="1"/>
  <c r="Y1049" i="1"/>
  <c r="V1050" i="1"/>
  <c r="CM1050" i="1" s="1"/>
  <c r="CN1050" i="1" s="1"/>
  <c r="CO1050" i="1" s="1"/>
  <c r="CP1050" i="1" s="1"/>
  <c r="CQ1050" i="1" s="1"/>
  <c r="W1050" i="1"/>
  <c r="BW1050" i="1" s="1"/>
  <c r="X1050" i="1"/>
  <c r="Y1050" i="1"/>
  <c r="V1051" i="1"/>
  <c r="CM1051" i="1" s="1"/>
  <c r="CN1051" i="1" s="1"/>
  <c r="CO1051" i="1" s="1"/>
  <c r="CP1051" i="1" s="1"/>
  <c r="CQ1051" i="1" s="1"/>
  <c r="W1051" i="1"/>
  <c r="BW1051" i="1" s="1"/>
  <c r="X1051" i="1"/>
  <c r="Y1051" i="1"/>
  <c r="V1052" i="1"/>
  <c r="CM1052" i="1" s="1"/>
  <c r="CN1052" i="1" s="1"/>
  <c r="CO1052" i="1" s="1"/>
  <c r="CP1052" i="1" s="1"/>
  <c r="CQ1052" i="1" s="1"/>
  <c r="W1052" i="1"/>
  <c r="BW1052" i="1" s="1"/>
  <c r="X1052" i="1"/>
  <c r="Y1052" i="1"/>
  <c r="V1053" i="1"/>
  <c r="CM1053" i="1" s="1"/>
  <c r="CN1053" i="1" s="1"/>
  <c r="CO1053" i="1" s="1"/>
  <c r="CP1053" i="1" s="1"/>
  <c r="CQ1053" i="1" s="1"/>
  <c r="W1053" i="1"/>
  <c r="BW1053" i="1" s="1"/>
  <c r="X1053" i="1"/>
  <c r="Y1053" i="1"/>
  <c r="V1054" i="1"/>
  <c r="CM1054" i="1" s="1"/>
  <c r="CN1054" i="1" s="1"/>
  <c r="CO1054" i="1" s="1"/>
  <c r="CP1054" i="1" s="1"/>
  <c r="CQ1054" i="1" s="1"/>
  <c r="W1054" i="1"/>
  <c r="BW1054" i="1" s="1"/>
  <c r="X1054" i="1"/>
  <c r="Y1054" i="1"/>
  <c r="V1055" i="1"/>
  <c r="CM1055" i="1" s="1"/>
  <c r="CN1055" i="1" s="1"/>
  <c r="CO1055" i="1" s="1"/>
  <c r="CP1055" i="1" s="1"/>
  <c r="CQ1055" i="1" s="1"/>
  <c r="W1055" i="1"/>
  <c r="BW1055" i="1" s="1"/>
  <c r="X1055" i="1"/>
  <c r="Y1055" i="1"/>
  <c r="V1056" i="1"/>
  <c r="CM1056" i="1" s="1"/>
  <c r="CN1056" i="1" s="1"/>
  <c r="CO1056" i="1" s="1"/>
  <c r="CP1056" i="1" s="1"/>
  <c r="CQ1056" i="1" s="1"/>
  <c r="W1056" i="1"/>
  <c r="BW1056" i="1" s="1"/>
  <c r="X1056" i="1"/>
  <c r="Y1056" i="1"/>
  <c r="V1057" i="1"/>
  <c r="CM1057" i="1" s="1"/>
  <c r="CN1057" i="1" s="1"/>
  <c r="CO1057" i="1" s="1"/>
  <c r="CP1057" i="1" s="1"/>
  <c r="CQ1057" i="1" s="1"/>
  <c r="W1057" i="1"/>
  <c r="BW1057" i="1" s="1"/>
  <c r="X1057" i="1"/>
  <c r="Y1057" i="1"/>
  <c r="V1058" i="1"/>
  <c r="CM1058" i="1" s="1"/>
  <c r="CN1058" i="1" s="1"/>
  <c r="CO1058" i="1" s="1"/>
  <c r="CP1058" i="1" s="1"/>
  <c r="CQ1058" i="1" s="1"/>
  <c r="W1058" i="1"/>
  <c r="BW1058" i="1" s="1"/>
  <c r="X1058" i="1"/>
  <c r="Y1058" i="1"/>
  <c r="V1059" i="1"/>
  <c r="CM1059" i="1" s="1"/>
  <c r="CN1059" i="1" s="1"/>
  <c r="CO1059" i="1" s="1"/>
  <c r="CP1059" i="1" s="1"/>
  <c r="CQ1059" i="1" s="1"/>
  <c r="W1059" i="1"/>
  <c r="BW1059" i="1" s="1"/>
  <c r="X1059" i="1"/>
  <c r="Y1059" i="1"/>
  <c r="V1060" i="1"/>
  <c r="CM1060" i="1" s="1"/>
  <c r="CN1060" i="1" s="1"/>
  <c r="CO1060" i="1" s="1"/>
  <c r="CP1060" i="1" s="1"/>
  <c r="CQ1060" i="1" s="1"/>
  <c r="W1060" i="1"/>
  <c r="BW1060" i="1" s="1"/>
  <c r="X1060" i="1"/>
  <c r="Y1060" i="1"/>
  <c r="V1061" i="1"/>
  <c r="CM1061" i="1" s="1"/>
  <c r="CN1061" i="1" s="1"/>
  <c r="CO1061" i="1" s="1"/>
  <c r="CP1061" i="1" s="1"/>
  <c r="CQ1061" i="1" s="1"/>
  <c r="W1061" i="1"/>
  <c r="BW1061" i="1" s="1"/>
  <c r="X1061" i="1"/>
  <c r="Y1061" i="1"/>
  <c r="V1062" i="1"/>
  <c r="CM1062" i="1" s="1"/>
  <c r="CN1062" i="1" s="1"/>
  <c r="CO1062" i="1" s="1"/>
  <c r="CP1062" i="1" s="1"/>
  <c r="CQ1062" i="1" s="1"/>
  <c r="W1062" i="1"/>
  <c r="BW1062" i="1" s="1"/>
  <c r="X1062" i="1"/>
  <c r="Y1062" i="1"/>
  <c r="V1063" i="1"/>
  <c r="CM1063" i="1" s="1"/>
  <c r="CN1063" i="1" s="1"/>
  <c r="CO1063" i="1" s="1"/>
  <c r="CP1063" i="1" s="1"/>
  <c r="CQ1063" i="1" s="1"/>
  <c r="W1063" i="1"/>
  <c r="BW1063" i="1" s="1"/>
  <c r="X1063" i="1"/>
  <c r="Y1063" i="1"/>
  <c r="V1064" i="1"/>
  <c r="CM1064" i="1" s="1"/>
  <c r="CN1064" i="1" s="1"/>
  <c r="CO1064" i="1" s="1"/>
  <c r="CP1064" i="1" s="1"/>
  <c r="CQ1064" i="1" s="1"/>
  <c r="W1064" i="1"/>
  <c r="BW1064" i="1" s="1"/>
  <c r="X1064" i="1"/>
  <c r="Y1064" i="1"/>
  <c r="V1065" i="1"/>
  <c r="CM1065" i="1" s="1"/>
  <c r="CN1065" i="1" s="1"/>
  <c r="CO1065" i="1" s="1"/>
  <c r="CP1065" i="1" s="1"/>
  <c r="CQ1065" i="1" s="1"/>
  <c r="W1065" i="1"/>
  <c r="BW1065" i="1" s="1"/>
  <c r="X1065" i="1"/>
  <c r="Y1065" i="1"/>
  <c r="V1066" i="1"/>
  <c r="CM1066" i="1" s="1"/>
  <c r="CN1066" i="1" s="1"/>
  <c r="CO1066" i="1" s="1"/>
  <c r="CP1066" i="1" s="1"/>
  <c r="CQ1066" i="1" s="1"/>
  <c r="W1066" i="1"/>
  <c r="BW1066" i="1" s="1"/>
  <c r="X1066" i="1"/>
  <c r="Y1066" i="1"/>
  <c r="V1067" i="1"/>
  <c r="CM1067" i="1" s="1"/>
  <c r="CN1067" i="1" s="1"/>
  <c r="CO1067" i="1" s="1"/>
  <c r="CP1067" i="1" s="1"/>
  <c r="CQ1067" i="1" s="1"/>
  <c r="W1067" i="1"/>
  <c r="BW1067" i="1" s="1"/>
  <c r="X1067" i="1"/>
  <c r="Y1067" i="1"/>
  <c r="V1068" i="1"/>
  <c r="CM1068" i="1" s="1"/>
  <c r="CN1068" i="1" s="1"/>
  <c r="CO1068" i="1" s="1"/>
  <c r="CP1068" i="1" s="1"/>
  <c r="CQ1068" i="1" s="1"/>
  <c r="W1068" i="1"/>
  <c r="BW1068" i="1" s="1"/>
  <c r="X1068" i="1"/>
  <c r="Y1068" i="1"/>
  <c r="V1069" i="1"/>
  <c r="CM1069" i="1" s="1"/>
  <c r="CN1069" i="1" s="1"/>
  <c r="CO1069" i="1" s="1"/>
  <c r="CP1069" i="1" s="1"/>
  <c r="CQ1069" i="1" s="1"/>
  <c r="W1069" i="1"/>
  <c r="BW1069" i="1" s="1"/>
  <c r="X1069" i="1"/>
  <c r="Y1069" i="1"/>
  <c r="V1070" i="1"/>
  <c r="CM1070" i="1" s="1"/>
  <c r="CN1070" i="1" s="1"/>
  <c r="CO1070" i="1" s="1"/>
  <c r="CP1070" i="1" s="1"/>
  <c r="CQ1070" i="1" s="1"/>
  <c r="W1070" i="1"/>
  <c r="BW1070" i="1" s="1"/>
  <c r="X1070" i="1"/>
  <c r="Y1070" i="1"/>
  <c r="V1071" i="1"/>
  <c r="CM1071" i="1" s="1"/>
  <c r="CN1071" i="1" s="1"/>
  <c r="CO1071" i="1" s="1"/>
  <c r="CP1071" i="1" s="1"/>
  <c r="CQ1071" i="1" s="1"/>
  <c r="W1071" i="1"/>
  <c r="BW1071" i="1" s="1"/>
  <c r="X1071" i="1"/>
  <c r="Y1071" i="1"/>
  <c r="V1072" i="1"/>
  <c r="CM1072" i="1" s="1"/>
  <c r="CN1072" i="1" s="1"/>
  <c r="CO1072" i="1" s="1"/>
  <c r="CP1072" i="1" s="1"/>
  <c r="CQ1072" i="1" s="1"/>
  <c r="W1072" i="1"/>
  <c r="BW1072" i="1" s="1"/>
  <c r="X1072" i="1"/>
  <c r="Y1072" i="1"/>
  <c r="V1073" i="1"/>
  <c r="CM1073" i="1" s="1"/>
  <c r="CN1073" i="1" s="1"/>
  <c r="CO1073" i="1" s="1"/>
  <c r="CP1073" i="1" s="1"/>
  <c r="CQ1073" i="1" s="1"/>
  <c r="W1073" i="1"/>
  <c r="BW1073" i="1" s="1"/>
  <c r="X1073" i="1"/>
  <c r="Y1073" i="1"/>
  <c r="V1074" i="1"/>
  <c r="CM1074" i="1" s="1"/>
  <c r="CN1074" i="1" s="1"/>
  <c r="CO1074" i="1" s="1"/>
  <c r="CP1074" i="1" s="1"/>
  <c r="CQ1074" i="1" s="1"/>
  <c r="W1074" i="1"/>
  <c r="BW1074" i="1" s="1"/>
  <c r="X1074" i="1"/>
  <c r="Y1074" i="1"/>
  <c r="V1075" i="1"/>
  <c r="CM1075" i="1" s="1"/>
  <c r="CN1075" i="1" s="1"/>
  <c r="CO1075" i="1" s="1"/>
  <c r="CP1075" i="1" s="1"/>
  <c r="CQ1075" i="1" s="1"/>
  <c r="W1075" i="1"/>
  <c r="BW1075" i="1" s="1"/>
  <c r="X1075" i="1"/>
  <c r="Y1075" i="1"/>
  <c r="V1076" i="1"/>
  <c r="CM1076" i="1" s="1"/>
  <c r="CN1076" i="1" s="1"/>
  <c r="CO1076" i="1" s="1"/>
  <c r="CP1076" i="1" s="1"/>
  <c r="CQ1076" i="1" s="1"/>
  <c r="W1076" i="1"/>
  <c r="BW1076" i="1" s="1"/>
  <c r="X1076" i="1"/>
  <c r="Y1076" i="1"/>
  <c r="V1077" i="1"/>
  <c r="CM1077" i="1" s="1"/>
  <c r="CN1077" i="1" s="1"/>
  <c r="CO1077" i="1" s="1"/>
  <c r="CP1077" i="1" s="1"/>
  <c r="CQ1077" i="1" s="1"/>
  <c r="W1077" i="1"/>
  <c r="BW1077" i="1" s="1"/>
  <c r="X1077" i="1"/>
  <c r="Y1077" i="1"/>
  <c r="V1078" i="1"/>
  <c r="CM1078" i="1" s="1"/>
  <c r="CN1078" i="1" s="1"/>
  <c r="CO1078" i="1" s="1"/>
  <c r="CP1078" i="1" s="1"/>
  <c r="CQ1078" i="1" s="1"/>
  <c r="W1078" i="1"/>
  <c r="BW1078" i="1" s="1"/>
  <c r="X1078" i="1"/>
  <c r="Y1078" i="1"/>
  <c r="V1079" i="1"/>
  <c r="CM1079" i="1" s="1"/>
  <c r="CN1079" i="1" s="1"/>
  <c r="CO1079" i="1" s="1"/>
  <c r="CP1079" i="1" s="1"/>
  <c r="CQ1079" i="1" s="1"/>
  <c r="W1079" i="1"/>
  <c r="BW1079" i="1" s="1"/>
  <c r="X1079" i="1"/>
  <c r="Y1079" i="1"/>
  <c r="V1080" i="1"/>
  <c r="CM1080" i="1" s="1"/>
  <c r="CN1080" i="1" s="1"/>
  <c r="CO1080" i="1" s="1"/>
  <c r="CP1080" i="1" s="1"/>
  <c r="CQ1080" i="1" s="1"/>
  <c r="W1080" i="1"/>
  <c r="BW1080" i="1" s="1"/>
  <c r="X1080" i="1"/>
  <c r="Y1080" i="1"/>
  <c r="V1081" i="1"/>
  <c r="CM1081" i="1" s="1"/>
  <c r="CN1081" i="1" s="1"/>
  <c r="CO1081" i="1" s="1"/>
  <c r="CP1081" i="1" s="1"/>
  <c r="CQ1081" i="1" s="1"/>
  <c r="W1081" i="1"/>
  <c r="BW1081" i="1" s="1"/>
  <c r="X1081" i="1"/>
  <c r="Y1081" i="1"/>
  <c r="V1082" i="1"/>
  <c r="CM1082" i="1" s="1"/>
  <c r="CN1082" i="1" s="1"/>
  <c r="CO1082" i="1" s="1"/>
  <c r="CP1082" i="1" s="1"/>
  <c r="CQ1082" i="1" s="1"/>
  <c r="W1082" i="1"/>
  <c r="BW1082" i="1" s="1"/>
  <c r="X1082" i="1"/>
  <c r="Y1082" i="1"/>
  <c r="V1083" i="1"/>
  <c r="CM1083" i="1" s="1"/>
  <c r="CN1083" i="1" s="1"/>
  <c r="CO1083" i="1" s="1"/>
  <c r="CP1083" i="1" s="1"/>
  <c r="CQ1083" i="1" s="1"/>
  <c r="W1083" i="1"/>
  <c r="BW1083" i="1" s="1"/>
  <c r="X1083" i="1"/>
  <c r="Y1083" i="1"/>
  <c r="V1084" i="1"/>
  <c r="CM1084" i="1" s="1"/>
  <c r="CN1084" i="1" s="1"/>
  <c r="CO1084" i="1" s="1"/>
  <c r="CP1084" i="1" s="1"/>
  <c r="CQ1084" i="1" s="1"/>
  <c r="W1084" i="1"/>
  <c r="BW1084" i="1" s="1"/>
  <c r="X1084" i="1"/>
  <c r="Y1084" i="1"/>
  <c r="V1085" i="1"/>
  <c r="CM1085" i="1" s="1"/>
  <c r="CN1085" i="1" s="1"/>
  <c r="CO1085" i="1" s="1"/>
  <c r="CP1085" i="1" s="1"/>
  <c r="CQ1085" i="1" s="1"/>
  <c r="W1085" i="1"/>
  <c r="BW1085" i="1" s="1"/>
  <c r="X1085" i="1"/>
  <c r="Y1085" i="1"/>
  <c r="V1086" i="1"/>
  <c r="CM1086" i="1" s="1"/>
  <c r="CN1086" i="1" s="1"/>
  <c r="CO1086" i="1" s="1"/>
  <c r="CP1086" i="1" s="1"/>
  <c r="CQ1086" i="1" s="1"/>
  <c r="W1086" i="1"/>
  <c r="BW1086" i="1" s="1"/>
  <c r="X1086" i="1"/>
  <c r="Y1086" i="1"/>
  <c r="V1087" i="1"/>
  <c r="CM1087" i="1" s="1"/>
  <c r="CN1087" i="1" s="1"/>
  <c r="CO1087" i="1" s="1"/>
  <c r="CP1087" i="1" s="1"/>
  <c r="CQ1087" i="1" s="1"/>
  <c r="W1087" i="1"/>
  <c r="BW1087" i="1" s="1"/>
  <c r="X1087" i="1"/>
  <c r="Y1087" i="1"/>
  <c r="V1088" i="1"/>
  <c r="CM1088" i="1" s="1"/>
  <c r="CN1088" i="1" s="1"/>
  <c r="CO1088" i="1" s="1"/>
  <c r="CP1088" i="1" s="1"/>
  <c r="CQ1088" i="1" s="1"/>
  <c r="W1088" i="1"/>
  <c r="BW1088" i="1" s="1"/>
  <c r="X1088" i="1"/>
  <c r="Y1088" i="1"/>
  <c r="V1089" i="1"/>
  <c r="CM1089" i="1" s="1"/>
  <c r="CN1089" i="1" s="1"/>
  <c r="CO1089" i="1" s="1"/>
  <c r="CP1089" i="1" s="1"/>
  <c r="CQ1089" i="1" s="1"/>
  <c r="W1089" i="1"/>
  <c r="BW1089" i="1" s="1"/>
  <c r="X1089" i="1"/>
  <c r="Y1089" i="1"/>
  <c r="V1090" i="1"/>
  <c r="CM1090" i="1" s="1"/>
  <c r="CN1090" i="1" s="1"/>
  <c r="CO1090" i="1" s="1"/>
  <c r="CP1090" i="1" s="1"/>
  <c r="CQ1090" i="1" s="1"/>
  <c r="W1090" i="1"/>
  <c r="BW1090" i="1" s="1"/>
  <c r="X1090" i="1"/>
  <c r="Y1090" i="1"/>
  <c r="V1091" i="1"/>
  <c r="CM1091" i="1" s="1"/>
  <c r="CN1091" i="1" s="1"/>
  <c r="CO1091" i="1" s="1"/>
  <c r="CP1091" i="1" s="1"/>
  <c r="CQ1091" i="1" s="1"/>
  <c r="W1091" i="1"/>
  <c r="BW1091" i="1" s="1"/>
  <c r="X1091" i="1"/>
  <c r="Y1091" i="1"/>
  <c r="V1092" i="1"/>
  <c r="CM1092" i="1" s="1"/>
  <c r="CN1092" i="1" s="1"/>
  <c r="CO1092" i="1" s="1"/>
  <c r="CP1092" i="1" s="1"/>
  <c r="CQ1092" i="1" s="1"/>
  <c r="W1092" i="1"/>
  <c r="BW1092" i="1" s="1"/>
  <c r="X1092" i="1"/>
  <c r="Y1092" i="1"/>
  <c r="V1093" i="1"/>
  <c r="CM1093" i="1" s="1"/>
  <c r="CN1093" i="1" s="1"/>
  <c r="CO1093" i="1" s="1"/>
  <c r="CP1093" i="1" s="1"/>
  <c r="CQ1093" i="1" s="1"/>
  <c r="W1093" i="1"/>
  <c r="BW1093" i="1" s="1"/>
  <c r="X1093" i="1"/>
  <c r="Y1093" i="1"/>
  <c r="V1094" i="1"/>
  <c r="CM1094" i="1" s="1"/>
  <c r="CN1094" i="1" s="1"/>
  <c r="CO1094" i="1" s="1"/>
  <c r="CP1094" i="1" s="1"/>
  <c r="CQ1094" i="1" s="1"/>
  <c r="W1094" i="1"/>
  <c r="BW1094" i="1" s="1"/>
  <c r="X1094" i="1"/>
  <c r="Y1094" i="1"/>
  <c r="V1095" i="1"/>
  <c r="CM1095" i="1" s="1"/>
  <c r="CN1095" i="1" s="1"/>
  <c r="CO1095" i="1" s="1"/>
  <c r="CP1095" i="1" s="1"/>
  <c r="CQ1095" i="1" s="1"/>
  <c r="W1095" i="1"/>
  <c r="BW1095" i="1" s="1"/>
  <c r="X1095" i="1"/>
  <c r="Y1095" i="1"/>
  <c r="V1096" i="1"/>
  <c r="CM1096" i="1" s="1"/>
  <c r="CN1096" i="1" s="1"/>
  <c r="CO1096" i="1" s="1"/>
  <c r="CP1096" i="1" s="1"/>
  <c r="CQ1096" i="1" s="1"/>
  <c r="W1096" i="1"/>
  <c r="BW1096" i="1" s="1"/>
  <c r="X1096" i="1"/>
  <c r="Y1096" i="1"/>
  <c r="V1097" i="1"/>
  <c r="CM1097" i="1" s="1"/>
  <c r="CN1097" i="1" s="1"/>
  <c r="CO1097" i="1" s="1"/>
  <c r="CP1097" i="1" s="1"/>
  <c r="CQ1097" i="1" s="1"/>
  <c r="W1097" i="1"/>
  <c r="BW1097" i="1" s="1"/>
  <c r="X1097" i="1"/>
  <c r="Y1097" i="1"/>
  <c r="V1098" i="1"/>
  <c r="CM1098" i="1" s="1"/>
  <c r="CN1098" i="1" s="1"/>
  <c r="CO1098" i="1" s="1"/>
  <c r="CP1098" i="1" s="1"/>
  <c r="CQ1098" i="1" s="1"/>
  <c r="W1098" i="1"/>
  <c r="BW1098" i="1" s="1"/>
  <c r="X1098" i="1"/>
  <c r="Y1098" i="1"/>
  <c r="V1099" i="1"/>
  <c r="CM1099" i="1" s="1"/>
  <c r="CN1099" i="1" s="1"/>
  <c r="CO1099" i="1" s="1"/>
  <c r="CP1099" i="1" s="1"/>
  <c r="CQ1099" i="1" s="1"/>
  <c r="W1099" i="1"/>
  <c r="BW1099" i="1" s="1"/>
  <c r="X1099" i="1"/>
  <c r="Y1099" i="1"/>
  <c r="V1100" i="1"/>
  <c r="CM1100" i="1" s="1"/>
  <c r="CN1100" i="1" s="1"/>
  <c r="CO1100" i="1" s="1"/>
  <c r="CP1100" i="1" s="1"/>
  <c r="CQ1100" i="1" s="1"/>
  <c r="W1100" i="1"/>
  <c r="BW1100" i="1" s="1"/>
  <c r="X1100" i="1"/>
  <c r="Y1100" i="1"/>
  <c r="V1101" i="1"/>
  <c r="CM1101" i="1" s="1"/>
  <c r="CN1101" i="1" s="1"/>
  <c r="CO1101" i="1" s="1"/>
  <c r="CP1101" i="1" s="1"/>
  <c r="CQ1101" i="1" s="1"/>
  <c r="W1101" i="1"/>
  <c r="BW1101" i="1" s="1"/>
  <c r="X1101" i="1"/>
  <c r="Y1101" i="1"/>
  <c r="V1102" i="1"/>
  <c r="CM1102" i="1" s="1"/>
  <c r="CN1102" i="1" s="1"/>
  <c r="CO1102" i="1" s="1"/>
  <c r="CP1102" i="1" s="1"/>
  <c r="CQ1102" i="1" s="1"/>
  <c r="W1102" i="1"/>
  <c r="BW1102" i="1" s="1"/>
  <c r="X1102" i="1"/>
  <c r="Y1102" i="1"/>
  <c r="V1103" i="1"/>
  <c r="CM1103" i="1" s="1"/>
  <c r="CN1103" i="1" s="1"/>
  <c r="CO1103" i="1" s="1"/>
  <c r="CP1103" i="1" s="1"/>
  <c r="CQ1103" i="1" s="1"/>
  <c r="W1103" i="1"/>
  <c r="BW1103" i="1" s="1"/>
  <c r="X1103" i="1"/>
  <c r="Y1103" i="1"/>
  <c r="V1104" i="1"/>
  <c r="CM1104" i="1" s="1"/>
  <c r="CN1104" i="1" s="1"/>
  <c r="CO1104" i="1" s="1"/>
  <c r="CP1104" i="1" s="1"/>
  <c r="CQ1104" i="1" s="1"/>
  <c r="W1104" i="1"/>
  <c r="BW1104" i="1" s="1"/>
  <c r="X1104" i="1"/>
  <c r="Y1104" i="1"/>
  <c r="V1105" i="1"/>
  <c r="CM1105" i="1" s="1"/>
  <c r="CN1105" i="1" s="1"/>
  <c r="CO1105" i="1" s="1"/>
  <c r="CP1105" i="1" s="1"/>
  <c r="CQ1105" i="1" s="1"/>
  <c r="W1105" i="1"/>
  <c r="BW1105" i="1" s="1"/>
  <c r="X1105" i="1"/>
  <c r="Y1105" i="1"/>
  <c r="V1106" i="1"/>
  <c r="CM1106" i="1" s="1"/>
  <c r="CN1106" i="1" s="1"/>
  <c r="CO1106" i="1" s="1"/>
  <c r="CP1106" i="1" s="1"/>
  <c r="CQ1106" i="1" s="1"/>
  <c r="W1106" i="1"/>
  <c r="BW1106" i="1" s="1"/>
  <c r="X1106" i="1"/>
  <c r="Y1106" i="1"/>
  <c r="V1107" i="1"/>
  <c r="CM1107" i="1" s="1"/>
  <c r="CN1107" i="1" s="1"/>
  <c r="CO1107" i="1" s="1"/>
  <c r="CP1107" i="1" s="1"/>
  <c r="CQ1107" i="1" s="1"/>
  <c r="W1107" i="1"/>
  <c r="BW1107" i="1" s="1"/>
  <c r="X1107" i="1"/>
  <c r="Y1107" i="1"/>
  <c r="V1108" i="1"/>
  <c r="CM1108" i="1" s="1"/>
  <c r="CN1108" i="1" s="1"/>
  <c r="CO1108" i="1" s="1"/>
  <c r="CP1108" i="1" s="1"/>
  <c r="CQ1108" i="1" s="1"/>
  <c r="W1108" i="1"/>
  <c r="BW1108" i="1" s="1"/>
  <c r="X1108" i="1"/>
  <c r="Y1108" i="1"/>
  <c r="V1109" i="1"/>
  <c r="CM1109" i="1" s="1"/>
  <c r="CN1109" i="1" s="1"/>
  <c r="CO1109" i="1" s="1"/>
  <c r="CP1109" i="1" s="1"/>
  <c r="CQ1109" i="1" s="1"/>
  <c r="W1109" i="1"/>
  <c r="BW1109" i="1" s="1"/>
  <c r="X1109" i="1"/>
  <c r="Y1109" i="1"/>
  <c r="V1110" i="1"/>
  <c r="CM1110" i="1" s="1"/>
  <c r="CN1110" i="1" s="1"/>
  <c r="CO1110" i="1" s="1"/>
  <c r="CP1110" i="1" s="1"/>
  <c r="CQ1110" i="1" s="1"/>
  <c r="W1110" i="1"/>
  <c r="BW1110" i="1" s="1"/>
  <c r="X1110" i="1"/>
  <c r="Y1110" i="1"/>
  <c r="V1111" i="1"/>
  <c r="CM1111" i="1" s="1"/>
  <c r="CN1111" i="1" s="1"/>
  <c r="CO1111" i="1" s="1"/>
  <c r="CP1111" i="1" s="1"/>
  <c r="CQ1111" i="1" s="1"/>
  <c r="W1111" i="1"/>
  <c r="BW1111" i="1" s="1"/>
  <c r="X1111" i="1"/>
  <c r="Y1111" i="1"/>
  <c r="V1112" i="1"/>
  <c r="CM1112" i="1" s="1"/>
  <c r="CN1112" i="1" s="1"/>
  <c r="CO1112" i="1" s="1"/>
  <c r="CP1112" i="1" s="1"/>
  <c r="CQ1112" i="1" s="1"/>
  <c r="W1112" i="1"/>
  <c r="BW1112" i="1" s="1"/>
  <c r="X1112" i="1"/>
  <c r="Y1112" i="1"/>
  <c r="V1113" i="1"/>
  <c r="CM1113" i="1" s="1"/>
  <c r="CN1113" i="1" s="1"/>
  <c r="CO1113" i="1" s="1"/>
  <c r="CP1113" i="1" s="1"/>
  <c r="CQ1113" i="1" s="1"/>
  <c r="W1113" i="1"/>
  <c r="BW1113" i="1" s="1"/>
  <c r="X1113" i="1"/>
  <c r="Y1113" i="1"/>
  <c r="V1114" i="1"/>
  <c r="CM1114" i="1" s="1"/>
  <c r="CN1114" i="1" s="1"/>
  <c r="CO1114" i="1" s="1"/>
  <c r="CP1114" i="1" s="1"/>
  <c r="CQ1114" i="1" s="1"/>
  <c r="W1114" i="1"/>
  <c r="BW1114" i="1" s="1"/>
  <c r="X1114" i="1"/>
  <c r="Y1114" i="1"/>
  <c r="V1115" i="1"/>
  <c r="CM1115" i="1" s="1"/>
  <c r="CN1115" i="1" s="1"/>
  <c r="CO1115" i="1" s="1"/>
  <c r="CP1115" i="1" s="1"/>
  <c r="CQ1115" i="1" s="1"/>
  <c r="W1115" i="1"/>
  <c r="BW1115" i="1" s="1"/>
  <c r="X1115" i="1"/>
  <c r="Y1115" i="1"/>
  <c r="V1116" i="1"/>
  <c r="CM1116" i="1" s="1"/>
  <c r="CN1116" i="1" s="1"/>
  <c r="CO1116" i="1" s="1"/>
  <c r="CP1116" i="1" s="1"/>
  <c r="CQ1116" i="1" s="1"/>
  <c r="W1116" i="1"/>
  <c r="BW1116" i="1" s="1"/>
  <c r="X1116" i="1"/>
  <c r="Y1116" i="1"/>
  <c r="V1117" i="1"/>
  <c r="CM1117" i="1" s="1"/>
  <c r="CN1117" i="1" s="1"/>
  <c r="CO1117" i="1" s="1"/>
  <c r="CP1117" i="1" s="1"/>
  <c r="CQ1117" i="1" s="1"/>
  <c r="W1117" i="1"/>
  <c r="BW1117" i="1" s="1"/>
  <c r="X1117" i="1"/>
  <c r="Y1117" i="1"/>
  <c r="V1118" i="1"/>
  <c r="CM1118" i="1" s="1"/>
  <c r="CN1118" i="1" s="1"/>
  <c r="CO1118" i="1" s="1"/>
  <c r="CP1118" i="1" s="1"/>
  <c r="CQ1118" i="1" s="1"/>
  <c r="W1118" i="1"/>
  <c r="BW1118" i="1" s="1"/>
  <c r="X1118" i="1"/>
  <c r="Y1118" i="1"/>
  <c r="V1119" i="1"/>
  <c r="CM1119" i="1" s="1"/>
  <c r="CN1119" i="1" s="1"/>
  <c r="CO1119" i="1" s="1"/>
  <c r="CP1119" i="1" s="1"/>
  <c r="CQ1119" i="1" s="1"/>
  <c r="W1119" i="1"/>
  <c r="BW1119" i="1" s="1"/>
  <c r="X1119" i="1"/>
  <c r="Y1119" i="1"/>
  <c r="V1120" i="1"/>
  <c r="CM1120" i="1" s="1"/>
  <c r="CN1120" i="1" s="1"/>
  <c r="CO1120" i="1" s="1"/>
  <c r="CP1120" i="1" s="1"/>
  <c r="CQ1120" i="1" s="1"/>
  <c r="W1120" i="1"/>
  <c r="BW1120" i="1" s="1"/>
  <c r="X1120" i="1"/>
  <c r="Y1120" i="1"/>
  <c r="V1121" i="1"/>
  <c r="CM1121" i="1" s="1"/>
  <c r="CN1121" i="1" s="1"/>
  <c r="CO1121" i="1" s="1"/>
  <c r="CP1121" i="1" s="1"/>
  <c r="CQ1121" i="1" s="1"/>
  <c r="W1121" i="1"/>
  <c r="BW1121" i="1" s="1"/>
  <c r="X1121" i="1"/>
  <c r="Y1121" i="1"/>
  <c r="V1122" i="1"/>
  <c r="CM1122" i="1" s="1"/>
  <c r="CN1122" i="1" s="1"/>
  <c r="CO1122" i="1" s="1"/>
  <c r="CP1122" i="1" s="1"/>
  <c r="CQ1122" i="1" s="1"/>
  <c r="W1122" i="1"/>
  <c r="BW1122" i="1" s="1"/>
  <c r="X1122" i="1"/>
  <c r="Y1122" i="1"/>
  <c r="V1123" i="1"/>
  <c r="CM1123" i="1" s="1"/>
  <c r="CN1123" i="1" s="1"/>
  <c r="CO1123" i="1" s="1"/>
  <c r="CP1123" i="1" s="1"/>
  <c r="CQ1123" i="1" s="1"/>
  <c r="W1123" i="1"/>
  <c r="BW1123" i="1" s="1"/>
  <c r="X1123" i="1"/>
  <c r="Y1123" i="1"/>
  <c r="V1124" i="1"/>
  <c r="CM1124" i="1" s="1"/>
  <c r="CN1124" i="1" s="1"/>
  <c r="CO1124" i="1" s="1"/>
  <c r="CP1124" i="1" s="1"/>
  <c r="CQ1124" i="1" s="1"/>
  <c r="W1124" i="1"/>
  <c r="BW1124" i="1" s="1"/>
  <c r="X1124" i="1"/>
  <c r="Y1124" i="1"/>
  <c r="V1125" i="1"/>
  <c r="CM1125" i="1" s="1"/>
  <c r="CN1125" i="1" s="1"/>
  <c r="CO1125" i="1" s="1"/>
  <c r="CP1125" i="1" s="1"/>
  <c r="CQ1125" i="1" s="1"/>
  <c r="W1125" i="1"/>
  <c r="BW1125" i="1" s="1"/>
  <c r="X1125" i="1"/>
  <c r="Y1125" i="1"/>
  <c r="V1126" i="1"/>
  <c r="CM1126" i="1" s="1"/>
  <c r="CN1126" i="1" s="1"/>
  <c r="CO1126" i="1" s="1"/>
  <c r="CP1126" i="1" s="1"/>
  <c r="CQ1126" i="1" s="1"/>
  <c r="W1126" i="1"/>
  <c r="BW1126" i="1" s="1"/>
  <c r="X1126" i="1"/>
  <c r="Y1126" i="1"/>
  <c r="V1127" i="1"/>
  <c r="CM1127" i="1" s="1"/>
  <c r="CN1127" i="1" s="1"/>
  <c r="CO1127" i="1" s="1"/>
  <c r="CP1127" i="1" s="1"/>
  <c r="CQ1127" i="1" s="1"/>
  <c r="W1127" i="1"/>
  <c r="BW1127" i="1" s="1"/>
  <c r="X1127" i="1"/>
  <c r="Y1127" i="1"/>
  <c r="V1128" i="1"/>
  <c r="CM1128" i="1" s="1"/>
  <c r="CN1128" i="1" s="1"/>
  <c r="CO1128" i="1" s="1"/>
  <c r="CP1128" i="1" s="1"/>
  <c r="CQ1128" i="1" s="1"/>
  <c r="W1128" i="1"/>
  <c r="BW1128" i="1" s="1"/>
  <c r="X1128" i="1"/>
  <c r="Y1128" i="1"/>
  <c r="V1129" i="1"/>
  <c r="CM1129" i="1" s="1"/>
  <c r="CN1129" i="1" s="1"/>
  <c r="CO1129" i="1" s="1"/>
  <c r="CP1129" i="1" s="1"/>
  <c r="CQ1129" i="1" s="1"/>
  <c r="W1129" i="1"/>
  <c r="BW1129" i="1" s="1"/>
  <c r="X1129" i="1"/>
  <c r="Y1129" i="1"/>
  <c r="V1130" i="1"/>
  <c r="CM1130" i="1" s="1"/>
  <c r="CN1130" i="1" s="1"/>
  <c r="CO1130" i="1" s="1"/>
  <c r="CP1130" i="1" s="1"/>
  <c r="CQ1130" i="1" s="1"/>
  <c r="W1130" i="1"/>
  <c r="BW1130" i="1" s="1"/>
  <c r="X1130" i="1"/>
  <c r="Y1130" i="1"/>
  <c r="V1131" i="1"/>
  <c r="CM1131" i="1" s="1"/>
  <c r="CN1131" i="1" s="1"/>
  <c r="CO1131" i="1" s="1"/>
  <c r="CP1131" i="1" s="1"/>
  <c r="CQ1131" i="1" s="1"/>
  <c r="W1131" i="1"/>
  <c r="BW1131" i="1" s="1"/>
  <c r="X1131" i="1"/>
  <c r="Y1131" i="1"/>
  <c r="V1132" i="1"/>
  <c r="CM1132" i="1" s="1"/>
  <c r="CN1132" i="1" s="1"/>
  <c r="CO1132" i="1" s="1"/>
  <c r="CP1132" i="1" s="1"/>
  <c r="CQ1132" i="1" s="1"/>
  <c r="W1132" i="1"/>
  <c r="BW1132" i="1" s="1"/>
  <c r="X1132" i="1"/>
  <c r="Y1132" i="1"/>
  <c r="V1133" i="1"/>
  <c r="CM1133" i="1" s="1"/>
  <c r="CN1133" i="1" s="1"/>
  <c r="CO1133" i="1" s="1"/>
  <c r="CP1133" i="1" s="1"/>
  <c r="CQ1133" i="1" s="1"/>
  <c r="W1133" i="1"/>
  <c r="BW1133" i="1" s="1"/>
  <c r="X1133" i="1"/>
  <c r="Y1133" i="1"/>
  <c r="V1134" i="1"/>
  <c r="CM1134" i="1" s="1"/>
  <c r="CN1134" i="1" s="1"/>
  <c r="CO1134" i="1" s="1"/>
  <c r="CP1134" i="1" s="1"/>
  <c r="CQ1134" i="1" s="1"/>
  <c r="W1134" i="1"/>
  <c r="BW1134" i="1" s="1"/>
  <c r="X1134" i="1"/>
  <c r="Y1134" i="1"/>
  <c r="V1135" i="1"/>
  <c r="CM1135" i="1" s="1"/>
  <c r="CN1135" i="1" s="1"/>
  <c r="CO1135" i="1" s="1"/>
  <c r="CP1135" i="1" s="1"/>
  <c r="CQ1135" i="1" s="1"/>
  <c r="W1135" i="1"/>
  <c r="BW1135" i="1" s="1"/>
  <c r="X1135" i="1"/>
  <c r="Y1135" i="1"/>
  <c r="V1136" i="1"/>
  <c r="CM1136" i="1" s="1"/>
  <c r="CN1136" i="1" s="1"/>
  <c r="CO1136" i="1" s="1"/>
  <c r="CP1136" i="1" s="1"/>
  <c r="CQ1136" i="1" s="1"/>
  <c r="W1136" i="1"/>
  <c r="BW1136" i="1" s="1"/>
  <c r="X1136" i="1"/>
  <c r="Y1136" i="1"/>
  <c r="V1137" i="1"/>
  <c r="CM1137" i="1" s="1"/>
  <c r="CN1137" i="1" s="1"/>
  <c r="CO1137" i="1" s="1"/>
  <c r="CP1137" i="1" s="1"/>
  <c r="CQ1137" i="1" s="1"/>
  <c r="W1137" i="1"/>
  <c r="BW1137" i="1" s="1"/>
  <c r="X1137" i="1"/>
  <c r="Y1137" i="1"/>
  <c r="V1138" i="1"/>
  <c r="CM1138" i="1" s="1"/>
  <c r="CN1138" i="1" s="1"/>
  <c r="CO1138" i="1" s="1"/>
  <c r="CP1138" i="1" s="1"/>
  <c r="CQ1138" i="1" s="1"/>
  <c r="W1138" i="1"/>
  <c r="BW1138" i="1" s="1"/>
  <c r="X1138" i="1"/>
  <c r="Y1138" i="1"/>
  <c r="V1139" i="1"/>
  <c r="CM1139" i="1" s="1"/>
  <c r="CN1139" i="1" s="1"/>
  <c r="CO1139" i="1" s="1"/>
  <c r="CP1139" i="1" s="1"/>
  <c r="CQ1139" i="1" s="1"/>
  <c r="W1139" i="1"/>
  <c r="BW1139" i="1" s="1"/>
  <c r="X1139" i="1"/>
  <c r="Y1139" i="1"/>
  <c r="V1140" i="1"/>
  <c r="CM1140" i="1" s="1"/>
  <c r="CN1140" i="1" s="1"/>
  <c r="CO1140" i="1" s="1"/>
  <c r="CP1140" i="1" s="1"/>
  <c r="CQ1140" i="1" s="1"/>
  <c r="W1140" i="1"/>
  <c r="BW1140" i="1" s="1"/>
  <c r="X1140" i="1"/>
  <c r="Y1140" i="1"/>
  <c r="V1141" i="1"/>
  <c r="CM1141" i="1" s="1"/>
  <c r="CN1141" i="1" s="1"/>
  <c r="CO1141" i="1" s="1"/>
  <c r="CP1141" i="1" s="1"/>
  <c r="CQ1141" i="1" s="1"/>
  <c r="W1141" i="1"/>
  <c r="BW1141" i="1" s="1"/>
  <c r="X1141" i="1"/>
  <c r="Y1141" i="1"/>
  <c r="V1142" i="1"/>
  <c r="CM1142" i="1" s="1"/>
  <c r="CN1142" i="1" s="1"/>
  <c r="CO1142" i="1" s="1"/>
  <c r="CP1142" i="1" s="1"/>
  <c r="CQ1142" i="1" s="1"/>
  <c r="W1142" i="1"/>
  <c r="BW1142" i="1" s="1"/>
  <c r="X1142" i="1"/>
  <c r="Y1142" i="1"/>
  <c r="V1143" i="1"/>
  <c r="CM1143" i="1" s="1"/>
  <c r="CN1143" i="1" s="1"/>
  <c r="CO1143" i="1" s="1"/>
  <c r="CP1143" i="1" s="1"/>
  <c r="CQ1143" i="1" s="1"/>
  <c r="W1143" i="1"/>
  <c r="BW1143" i="1" s="1"/>
  <c r="X1143" i="1"/>
  <c r="Y1143" i="1"/>
  <c r="V1144" i="1"/>
  <c r="CM1144" i="1" s="1"/>
  <c r="CN1144" i="1" s="1"/>
  <c r="CO1144" i="1" s="1"/>
  <c r="CP1144" i="1" s="1"/>
  <c r="CQ1144" i="1" s="1"/>
  <c r="W1144" i="1"/>
  <c r="BW1144" i="1" s="1"/>
  <c r="X1144" i="1"/>
  <c r="Y1144" i="1"/>
  <c r="V1145" i="1"/>
  <c r="CM1145" i="1" s="1"/>
  <c r="CN1145" i="1" s="1"/>
  <c r="CO1145" i="1" s="1"/>
  <c r="CP1145" i="1" s="1"/>
  <c r="CQ1145" i="1" s="1"/>
  <c r="W1145" i="1"/>
  <c r="BW1145" i="1" s="1"/>
  <c r="X1145" i="1"/>
  <c r="Y1145" i="1"/>
  <c r="V1146" i="1"/>
  <c r="CM1146" i="1" s="1"/>
  <c r="CN1146" i="1" s="1"/>
  <c r="CO1146" i="1" s="1"/>
  <c r="CP1146" i="1" s="1"/>
  <c r="CQ1146" i="1" s="1"/>
  <c r="W1146" i="1"/>
  <c r="BW1146" i="1" s="1"/>
  <c r="X1146" i="1"/>
  <c r="Y1146" i="1"/>
  <c r="V1147" i="1"/>
  <c r="CM1147" i="1" s="1"/>
  <c r="CN1147" i="1" s="1"/>
  <c r="CO1147" i="1" s="1"/>
  <c r="CP1147" i="1" s="1"/>
  <c r="CQ1147" i="1" s="1"/>
  <c r="W1147" i="1"/>
  <c r="BW1147" i="1" s="1"/>
  <c r="X1147" i="1"/>
  <c r="Y1147" i="1"/>
  <c r="V1148" i="1"/>
  <c r="CM1148" i="1" s="1"/>
  <c r="CN1148" i="1" s="1"/>
  <c r="CO1148" i="1" s="1"/>
  <c r="CP1148" i="1" s="1"/>
  <c r="CQ1148" i="1" s="1"/>
  <c r="W1148" i="1"/>
  <c r="BW1148" i="1" s="1"/>
  <c r="X1148" i="1"/>
  <c r="Y1148" i="1"/>
  <c r="V1149" i="1"/>
  <c r="CM1149" i="1" s="1"/>
  <c r="CN1149" i="1" s="1"/>
  <c r="CO1149" i="1" s="1"/>
  <c r="CP1149" i="1" s="1"/>
  <c r="CQ1149" i="1" s="1"/>
  <c r="W1149" i="1"/>
  <c r="BW1149" i="1" s="1"/>
  <c r="X1149" i="1"/>
  <c r="Y1149" i="1"/>
  <c r="V1150" i="1"/>
  <c r="CM1150" i="1" s="1"/>
  <c r="CN1150" i="1" s="1"/>
  <c r="CO1150" i="1" s="1"/>
  <c r="CP1150" i="1" s="1"/>
  <c r="CQ1150" i="1" s="1"/>
  <c r="W1150" i="1"/>
  <c r="BW1150" i="1" s="1"/>
  <c r="X1150" i="1"/>
  <c r="Y1150" i="1"/>
  <c r="V1151" i="1"/>
  <c r="CM1151" i="1" s="1"/>
  <c r="CN1151" i="1" s="1"/>
  <c r="CO1151" i="1" s="1"/>
  <c r="CP1151" i="1" s="1"/>
  <c r="CQ1151" i="1" s="1"/>
  <c r="W1151" i="1"/>
  <c r="BW1151" i="1" s="1"/>
  <c r="X1151" i="1"/>
  <c r="Y1151" i="1"/>
  <c r="V1152" i="1"/>
  <c r="CM1152" i="1" s="1"/>
  <c r="CN1152" i="1" s="1"/>
  <c r="CO1152" i="1" s="1"/>
  <c r="CP1152" i="1" s="1"/>
  <c r="CQ1152" i="1" s="1"/>
  <c r="W1152" i="1"/>
  <c r="BW1152" i="1" s="1"/>
  <c r="X1152" i="1"/>
  <c r="Y1152" i="1"/>
  <c r="V1153" i="1"/>
  <c r="CM1153" i="1" s="1"/>
  <c r="CN1153" i="1" s="1"/>
  <c r="CO1153" i="1" s="1"/>
  <c r="CP1153" i="1" s="1"/>
  <c r="CQ1153" i="1" s="1"/>
  <c r="W1153" i="1"/>
  <c r="BW1153" i="1" s="1"/>
  <c r="X1153" i="1"/>
  <c r="Y1153" i="1"/>
  <c r="V1154" i="1"/>
  <c r="CM1154" i="1" s="1"/>
  <c r="CN1154" i="1" s="1"/>
  <c r="CO1154" i="1" s="1"/>
  <c r="CP1154" i="1" s="1"/>
  <c r="CQ1154" i="1" s="1"/>
  <c r="W1154" i="1"/>
  <c r="BW1154" i="1" s="1"/>
  <c r="X1154" i="1"/>
  <c r="Y1154" i="1"/>
  <c r="V1155" i="1"/>
  <c r="CM1155" i="1" s="1"/>
  <c r="CN1155" i="1" s="1"/>
  <c r="CO1155" i="1" s="1"/>
  <c r="CP1155" i="1" s="1"/>
  <c r="CQ1155" i="1" s="1"/>
  <c r="W1155" i="1"/>
  <c r="BW1155" i="1" s="1"/>
  <c r="X1155" i="1"/>
  <c r="Y1155" i="1"/>
  <c r="V1156" i="1"/>
  <c r="CM1156" i="1" s="1"/>
  <c r="CN1156" i="1" s="1"/>
  <c r="CO1156" i="1" s="1"/>
  <c r="CP1156" i="1" s="1"/>
  <c r="CQ1156" i="1" s="1"/>
  <c r="W1156" i="1"/>
  <c r="BW1156" i="1" s="1"/>
  <c r="X1156" i="1"/>
  <c r="Y1156" i="1"/>
  <c r="V1157" i="1"/>
  <c r="CM1157" i="1" s="1"/>
  <c r="CN1157" i="1" s="1"/>
  <c r="CO1157" i="1" s="1"/>
  <c r="CP1157" i="1" s="1"/>
  <c r="CQ1157" i="1" s="1"/>
  <c r="W1157" i="1"/>
  <c r="BW1157" i="1" s="1"/>
  <c r="X1157" i="1"/>
  <c r="Y1157" i="1"/>
  <c r="V1158" i="1"/>
  <c r="CM1158" i="1" s="1"/>
  <c r="CN1158" i="1" s="1"/>
  <c r="CO1158" i="1" s="1"/>
  <c r="CP1158" i="1" s="1"/>
  <c r="CQ1158" i="1" s="1"/>
  <c r="W1158" i="1"/>
  <c r="BW1158" i="1" s="1"/>
  <c r="X1158" i="1"/>
  <c r="Y1158" i="1"/>
  <c r="V1159" i="1"/>
  <c r="CM1159" i="1" s="1"/>
  <c r="CN1159" i="1" s="1"/>
  <c r="CO1159" i="1" s="1"/>
  <c r="CP1159" i="1" s="1"/>
  <c r="CQ1159" i="1" s="1"/>
  <c r="W1159" i="1"/>
  <c r="BW1159" i="1" s="1"/>
  <c r="X1159" i="1"/>
  <c r="Y1159" i="1"/>
  <c r="V1160" i="1"/>
  <c r="CM1160" i="1" s="1"/>
  <c r="CN1160" i="1" s="1"/>
  <c r="CO1160" i="1" s="1"/>
  <c r="CP1160" i="1" s="1"/>
  <c r="CQ1160" i="1" s="1"/>
  <c r="W1160" i="1"/>
  <c r="BW1160" i="1" s="1"/>
  <c r="X1160" i="1"/>
  <c r="Y1160" i="1"/>
  <c r="V1161" i="1"/>
  <c r="CM1161" i="1" s="1"/>
  <c r="CN1161" i="1" s="1"/>
  <c r="CO1161" i="1" s="1"/>
  <c r="CP1161" i="1" s="1"/>
  <c r="CQ1161" i="1" s="1"/>
  <c r="W1161" i="1"/>
  <c r="BW1161" i="1" s="1"/>
  <c r="X1161" i="1"/>
  <c r="Y1161" i="1"/>
  <c r="V1162" i="1"/>
  <c r="CM1162" i="1" s="1"/>
  <c r="CN1162" i="1" s="1"/>
  <c r="CO1162" i="1" s="1"/>
  <c r="CP1162" i="1" s="1"/>
  <c r="CQ1162" i="1" s="1"/>
  <c r="W1162" i="1"/>
  <c r="BW1162" i="1" s="1"/>
  <c r="X1162" i="1"/>
  <c r="Y1162" i="1"/>
  <c r="V1163" i="1"/>
  <c r="CM1163" i="1" s="1"/>
  <c r="CN1163" i="1" s="1"/>
  <c r="CO1163" i="1" s="1"/>
  <c r="CP1163" i="1" s="1"/>
  <c r="CQ1163" i="1" s="1"/>
  <c r="W1163" i="1"/>
  <c r="BW1163" i="1" s="1"/>
  <c r="X1163" i="1"/>
  <c r="Y1163" i="1"/>
  <c r="V1164" i="1"/>
  <c r="CM1164" i="1" s="1"/>
  <c r="CN1164" i="1" s="1"/>
  <c r="CO1164" i="1" s="1"/>
  <c r="CP1164" i="1" s="1"/>
  <c r="CQ1164" i="1" s="1"/>
  <c r="W1164" i="1"/>
  <c r="BW1164" i="1" s="1"/>
  <c r="X1164" i="1"/>
  <c r="Y1164" i="1"/>
  <c r="V1165" i="1"/>
  <c r="CM1165" i="1" s="1"/>
  <c r="CN1165" i="1" s="1"/>
  <c r="CO1165" i="1" s="1"/>
  <c r="CP1165" i="1" s="1"/>
  <c r="CQ1165" i="1" s="1"/>
  <c r="W1165" i="1"/>
  <c r="BW1165" i="1" s="1"/>
  <c r="X1165" i="1"/>
  <c r="Y1165" i="1"/>
  <c r="V1166" i="1"/>
  <c r="CM1166" i="1" s="1"/>
  <c r="CN1166" i="1" s="1"/>
  <c r="CO1166" i="1" s="1"/>
  <c r="CP1166" i="1" s="1"/>
  <c r="CQ1166" i="1" s="1"/>
  <c r="W1166" i="1"/>
  <c r="BW1166" i="1" s="1"/>
  <c r="X1166" i="1"/>
  <c r="Y1166" i="1"/>
  <c r="V1167" i="1"/>
  <c r="CM1167" i="1" s="1"/>
  <c r="CN1167" i="1" s="1"/>
  <c r="CO1167" i="1" s="1"/>
  <c r="CP1167" i="1" s="1"/>
  <c r="CQ1167" i="1" s="1"/>
  <c r="W1167" i="1"/>
  <c r="BW1167" i="1" s="1"/>
  <c r="X1167" i="1"/>
  <c r="Y1167" i="1"/>
  <c r="V1168" i="1"/>
  <c r="CM1168" i="1" s="1"/>
  <c r="CN1168" i="1" s="1"/>
  <c r="CO1168" i="1" s="1"/>
  <c r="CP1168" i="1" s="1"/>
  <c r="CQ1168" i="1" s="1"/>
  <c r="W1168" i="1"/>
  <c r="BW1168" i="1" s="1"/>
  <c r="X1168" i="1"/>
  <c r="Y1168" i="1"/>
  <c r="V1169" i="1"/>
  <c r="CM1169" i="1" s="1"/>
  <c r="CN1169" i="1" s="1"/>
  <c r="CO1169" i="1" s="1"/>
  <c r="CP1169" i="1" s="1"/>
  <c r="CQ1169" i="1" s="1"/>
  <c r="W1169" i="1"/>
  <c r="BW1169" i="1" s="1"/>
  <c r="X1169" i="1"/>
  <c r="Y1169" i="1"/>
  <c r="V1170" i="1"/>
  <c r="CM1170" i="1" s="1"/>
  <c r="CN1170" i="1" s="1"/>
  <c r="CO1170" i="1" s="1"/>
  <c r="CP1170" i="1" s="1"/>
  <c r="CQ1170" i="1" s="1"/>
  <c r="W1170" i="1"/>
  <c r="BW1170" i="1" s="1"/>
  <c r="X1170" i="1"/>
  <c r="Y1170" i="1"/>
  <c r="V1171" i="1"/>
  <c r="CM1171" i="1" s="1"/>
  <c r="CN1171" i="1" s="1"/>
  <c r="CO1171" i="1" s="1"/>
  <c r="CP1171" i="1" s="1"/>
  <c r="CQ1171" i="1" s="1"/>
  <c r="W1171" i="1"/>
  <c r="BW1171" i="1" s="1"/>
  <c r="X1171" i="1"/>
  <c r="Y1171" i="1"/>
  <c r="V1172" i="1"/>
  <c r="CM1172" i="1" s="1"/>
  <c r="CN1172" i="1" s="1"/>
  <c r="CO1172" i="1" s="1"/>
  <c r="CP1172" i="1" s="1"/>
  <c r="CQ1172" i="1" s="1"/>
  <c r="W1172" i="1"/>
  <c r="BW1172" i="1" s="1"/>
  <c r="X1172" i="1"/>
  <c r="Y1172" i="1"/>
  <c r="V1173" i="1"/>
  <c r="CM1173" i="1" s="1"/>
  <c r="CN1173" i="1" s="1"/>
  <c r="CO1173" i="1" s="1"/>
  <c r="CP1173" i="1" s="1"/>
  <c r="CQ1173" i="1" s="1"/>
  <c r="W1173" i="1"/>
  <c r="BW1173" i="1" s="1"/>
  <c r="X1173" i="1"/>
  <c r="Y1173" i="1"/>
  <c r="V1174" i="1"/>
  <c r="CM1174" i="1" s="1"/>
  <c r="CN1174" i="1" s="1"/>
  <c r="CO1174" i="1" s="1"/>
  <c r="CP1174" i="1" s="1"/>
  <c r="CQ1174" i="1" s="1"/>
  <c r="W1174" i="1"/>
  <c r="BW1174" i="1" s="1"/>
  <c r="X1174" i="1"/>
  <c r="Y1174" i="1"/>
  <c r="V1175" i="1"/>
  <c r="CM1175" i="1" s="1"/>
  <c r="CN1175" i="1" s="1"/>
  <c r="CO1175" i="1" s="1"/>
  <c r="CP1175" i="1" s="1"/>
  <c r="CQ1175" i="1" s="1"/>
  <c r="W1175" i="1"/>
  <c r="BW1175" i="1" s="1"/>
  <c r="X1175" i="1"/>
  <c r="Y1175" i="1"/>
  <c r="V1176" i="1"/>
  <c r="CM1176" i="1" s="1"/>
  <c r="CN1176" i="1" s="1"/>
  <c r="CO1176" i="1" s="1"/>
  <c r="CP1176" i="1" s="1"/>
  <c r="CQ1176" i="1" s="1"/>
  <c r="W1176" i="1"/>
  <c r="BW1176" i="1" s="1"/>
  <c r="X1176" i="1"/>
  <c r="Y1176" i="1"/>
  <c r="V1177" i="1"/>
  <c r="CM1177" i="1" s="1"/>
  <c r="CN1177" i="1" s="1"/>
  <c r="CO1177" i="1" s="1"/>
  <c r="CP1177" i="1" s="1"/>
  <c r="CQ1177" i="1" s="1"/>
  <c r="W1177" i="1"/>
  <c r="BW1177" i="1" s="1"/>
  <c r="X1177" i="1"/>
  <c r="Y1177" i="1"/>
  <c r="V1178" i="1"/>
  <c r="CM1178" i="1" s="1"/>
  <c r="CN1178" i="1" s="1"/>
  <c r="CO1178" i="1" s="1"/>
  <c r="CP1178" i="1" s="1"/>
  <c r="CQ1178" i="1" s="1"/>
  <c r="W1178" i="1"/>
  <c r="BW1178" i="1" s="1"/>
  <c r="X1178" i="1"/>
  <c r="Y1178" i="1"/>
  <c r="V1179" i="1"/>
  <c r="CM1179" i="1" s="1"/>
  <c r="CN1179" i="1" s="1"/>
  <c r="CO1179" i="1" s="1"/>
  <c r="CP1179" i="1" s="1"/>
  <c r="CQ1179" i="1" s="1"/>
  <c r="W1179" i="1"/>
  <c r="BW1179" i="1" s="1"/>
  <c r="X1179" i="1"/>
  <c r="Y1179" i="1"/>
  <c r="V1180" i="1"/>
  <c r="CM1180" i="1" s="1"/>
  <c r="CN1180" i="1" s="1"/>
  <c r="CO1180" i="1" s="1"/>
  <c r="CP1180" i="1" s="1"/>
  <c r="CQ1180" i="1" s="1"/>
  <c r="W1180" i="1"/>
  <c r="BW1180" i="1" s="1"/>
  <c r="X1180" i="1"/>
  <c r="Y1180" i="1"/>
  <c r="V1181" i="1"/>
  <c r="CM1181" i="1" s="1"/>
  <c r="CN1181" i="1" s="1"/>
  <c r="CO1181" i="1" s="1"/>
  <c r="CP1181" i="1" s="1"/>
  <c r="CQ1181" i="1" s="1"/>
  <c r="W1181" i="1"/>
  <c r="BW1181" i="1" s="1"/>
  <c r="X1181" i="1"/>
  <c r="Y1181" i="1"/>
  <c r="V1182" i="1"/>
  <c r="CM1182" i="1" s="1"/>
  <c r="CN1182" i="1" s="1"/>
  <c r="CO1182" i="1" s="1"/>
  <c r="CP1182" i="1" s="1"/>
  <c r="CQ1182" i="1" s="1"/>
  <c r="W1182" i="1"/>
  <c r="BW1182" i="1" s="1"/>
  <c r="X1182" i="1"/>
  <c r="Y1182" i="1"/>
  <c r="V1183" i="1"/>
  <c r="CM1183" i="1" s="1"/>
  <c r="CN1183" i="1" s="1"/>
  <c r="CO1183" i="1" s="1"/>
  <c r="CP1183" i="1" s="1"/>
  <c r="CQ1183" i="1" s="1"/>
  <c r="W1183" i="1"/>
  <c r="BW1183" i="1" s="1"/>
  <c r="X1183" i="1"/>
  <c r="Y1183" i="1"/>
  <c r="V1184" i="1"/>
  <c r="CM1184" i="1" s="1"/>
  <c r="CN1184" i="1" s="1"/>
  <c r="CO1184" i="1" s="1"/>
  <c r="CP1184" i="1" s="1"/>
  <c r="CQ1184" i="1" s="1"/>
  <c r="W1184" i="1"/>
  <c r="BW1184" i="1" s="1"/>
  <c r="X1184" i="1"/>
  <c r="Y1184" i="1"/>
  <c r="V1185" i="1"/>
  <c r="CM1185" i="1" s="1"/>
  <c r="CN1185" i="1" s="1"/>
  <c r="CO1185" i="1" s="1"/>
  <c r="CP1185" i="1" s="1"/>
  <c r="CQ1185" i="1" s="1"/>
  <c r="W1185" i="1"/>
  <c r="BW1185" i="1" s="1"/>
  <c r="X1185" i="1"/>
  <c r="Y1185" i="1"/>
  <c r="V1186" i="1"/>
  <c r="CM1186" i="1" s="1"/>
  <c r="CN1186" i="1" s="1"/>
  <c r="CO1186" i="1" s="1"/>
  <c r="CP1186" i="1" s="1"/>
  <c r="CQ1186" i="1" s="1"/>
  <c r="W1186" i="1"/>
  <c r="BW1186" i="1" s="1"/>
  <c r="X1186" i="1"/>
  <c r="Y1186" i="1"/>
  <c r="V1187" i="1"/>
  <c r="CM1187" i="1" s="1"/>
  <c r="CN1187" i="1" s="1"/>
  <c r="CO1187" i="1" s="1"/>
  <c r="CP1187" i="1" s="1"/>
  <c r="CQ1187" i="1" s="1"/>
  <c r="W1187" i="1"/>
  <c r="BW1187" i="1" s="1"/>
  <c r="X1187" i="1"/>
  <c r="Y1187" i="1"/>
  <c r="V1188" i="1"/>
  <c r="CM1188" i="1" s="1"/>
  <c r="CN1188" i="1" s="1"/>
  <c r="CO1188" i="1" s="1"/>
  <c r="CP1188" i="1" s="1"/>
  <c r="CQ1188" i="1" s="1"/>
  <c r="W1188" i="1"/>
  <c r="BW1188" i="1" s="1"/>
  <c r="X1188" i="1"/>
  <c r="Y1188" i="1"/>
  <c r="V1189" i="1"/>
  <c r="CM1189" i="1" s="1"/>
  <c r="CN1189" i="1" s="1"/>
  <c r="CO1189" i="1" s="1"/>
  <c r="CP1189" i="1" s="1"/>
  <c r="CQ1189" i="1" s="1"/>
  <c r="W1189" i="1"/>
  <c r="BW1189" i="1" s="1"/>
  <c r="X1189" i="1"/>
  <c r="Y1189" i="1"/>
  <c r="V1190" i="1"/>
  <c r="CM1190" i="1" s="1"/>
  <c r="CN1190" i="1" s="1"/>
  <c r="CO1190" i="1" s="1"/>
  <c r="CP1190" i="1" s="1"/>
  <c r="CQ1190" i="1" s="1"/>
  <c r="W1190" i="1"/>
  <c r="BW1190" i="1" s="1"/>
  <c r="X1190" i="1"/>
  <c r="Y1190" i="1"/>
  <c r="V1191" i="1"/>
  <c r="CM1191" i="1" s="1"/>
  <c r="CN1191" i="1" s="1"/>
  <c r="CO1191" i="1" s="1"/>
  <c r="CP1191" i="1" s="1"/>
  <c r="CQ1191" i="1" s="1"/>
  <c r="W1191" i="1"/>
  <c r="BW1191" i="1" s="1"/>
  <c r="X1191" i="1"/>
  <c r="Y1191" i="1"/>
  <c r="V1192" i="1"/>
  <c r="CM1192" i="1" s="1"/>
  <c r="CN1192" i="1" s="1"/>
  <c r="CO1192" i="1" s="1"/>
  <c r="CP1192" i="1" s="1"/>
  <c r="CQ1192" i="1" s="1"/>
  <c r="CR1192" i="1" s="1"/>
  <c r="W1192" i="1"/>
  <c r="BW1192" i="1" s="1"/>
  <c r="X1192" i="1"/>
  <c r="Y1192" i="1"/>
  <c r="V1193" i="1"/>
  <c r="CM1193" i="1" s="1"/>
  <c r="CN1193" i="1" s="1"/>
  <c r="CO1193" i="1" s="1"/>
  <c r="CP1193" i="1" s="1"/>
  <c r="CQ1193" i="1" s="1"/>
  <c r="W1193" i="1"/>
  <c r="BW1193" i="1" s="1"/>
  <c r="X1193" i="1"/>
  <c r="Y1193" i="1"/>
  <c r="V1194" i="1"/>
  <c r="CM1194" i="1" s="1"/>
  <c r="CN1194" i="1" s="1"/>
  <c r="CO1194" i="1" s="1"/>
  <c r="CP1194" i="1" s="1"/>
  <c r="CQ1194" i="1" s="1"/>
  <c r="W1194" i="1"/>
  <c r="BW1194" i="1" s="1"/>
  <c r="X1194" i="1"/>
  <c r="Y1194" i="1"/>
  <c r="V1195" i="1"/>
  <c r="CM1195" i="1" s="1"/>
  <c r="CN1195" i="1" s="1"/>
  <c r="CO1195" i="1" s="1"/>
  <c r="CP1195" i="1" s="1"/>
  <c r="CQ1195" i="1" s="1"/>
  <c r="W1195" i="1"/>
  <c r="BW1195" i="1" s="1"/>
  <c r="X1195" i="1"/>
  <c r="Y1195" i="1"/>
  <c r="V1196" i="1"/>
  <c r="CM1196" i="1" s="1"/>
  <c r="CN1196" i="1" s="1"/>
  <c r="CO1196" i="1" s="1"/>
  <c r="CP1196" i="1" s="1"/>
  <c r="CQ1196" i="1" s="1"/>
  <c r="W1196" i="1"/>
  <c r="BW1196" i="1" s="1"/>
  <c r="X1196" i="1"/>
  <c r="Y1196" i="1"/>
  <c r="V1197" i="1"/>
  <c r="CM1197" i="1" s="1"/>
  <c r="CN1197" i="1" s="1"/>
  <c r="CO1197" i="1" s="1"/>
  <c r="CP1197" i="1" s="1"/>
  <c r="CQ1197" i="1" s="1"/>
  <c r="W1197" i="1"/>
  <c r="BW1197" i="1" s="1"/>
  <c r="X1197" i="1"/>
  <c r="Y1197" i="1"/>
  <c r="V1198" i="1"/>
  <c r="CM1198" i="1" s="1"/>
  <c r="CN1198" i="1" s="1"/>
  <c r="CO1198" i="1" s="1"/>
  <c r="CP1198" i="1" s="1"/>
  <c r="CQ1198" i="1" s="1"/>
  <c r="W1198" i="1"/>
  <c r="BW1198" i="1" s="1"/>
  <c r="X1198" i="1"/>
  <c r="Y1198" i="1"/>
  <c r="V1199" i="1"/>
  <c r="CM1199" i="1" s="1"/>
  <c r="CN1199" i="1" s="1"/>
  <c r="CO1199" i="1" s="1"/>
  <c r="CP1199" i="1" s="1"/>
  <c r="CQ1199" i="1" s="1"/>
  <c r="W1199" i="1"/>
  <c r="BW1199" i="1" s="1"/>
  <c r="X1199" i="1"/>
  <c r="Y1199" i="1"/>
  <c r="V1200" i="1"/>
  <c r="CM1200" i="1" s="1"/>
  <c r="CN1200" i="1" s="1"/>
  <c r="CO1200" i="1" s="1"/>
  <c r="CP1200" i="1" s="1"/>
  <c r="CQ1200" i="1" s="1"/>
  <c r="W1200" i="1"/>
  <c r="BW1200" i="1" s="1"/>
  <c r="X1200" i="1"/>
  <c r="Y1200" i="1"/>
  <c r="V1201" i="1"/>
  <c r="CM1201" i="1" s="1"/>
  <c r="CN1201" i="1" s="1"/>
  <c r="CO1201" i="1" s="1"/>
  <c r="CP1201" i="1" s="1"/>
  <c r="CQ1201" i="1" s="1"/>
  <c r="W1201" i="1"/>
  <c r="BW1201" i="1" s="1"/>
  <c r="X1201" i="1"/>
  <c r="Y1201" i="1"/>
  <c r="V1202" i="1"/>
  <c r="CM1202" i="1" s="1"/>
  <c r="CN1202" i="1" s="1"/>
  <c r="CO1202" i="1" s="1"/>
  <c r="CP1202" i="1" s="1"/>
  <c r="CQ1202" i="1" s="1"/>
  <c r="W1202" i="1"/>
  <c r="BW1202" i="1" s="1"/>
  <c r="X1202" i="1"/>
  <c r="Y1202" i="1"/>
  <c r="Y2" i="1"/>
  <c r="X2" i="1"/>
  <c r="W2" i="1"/>
  <c r="BW2" i="1" s="1"/>
  <c r="V2" i="1"/>
  <c r="CM2" i="1" s="1"/>
  <c r="CN2" i="1" s="1"/>
  <c r="CO2" i="1" s="1"/>
  <c r="CP2" i="1" s="1"/>
  <c r="CQ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2" i="1"/>
  <c r="CD1180" i="1" l="1"/>
  <c r="CE1180" i="1" s="1"/>
  <c r="CD950" i="1"/>
  <c r="CE950" i="1" s="1"/>
  <c r="CD1152" i="1"/>
  <c r="CE1152" i="1" s="1"/>
  <c r="CD872" i="1"/>
  <c r="CE872" i="1" s="1"/>
  <c r="CD864" i="1"/>
  <c r="CE864" i="1" s="1"/>
  <c r="BZ1025" i="1"/>
  <c r="CA1025" i="1" s="1"/>
  <c r="BZ602" i="1"/>
  <c r="CA602" i="1" s="1"/>
  <c r="X1212" i="1"/>
  <c r="X1213" i="1" s="1"/>
  <c r="X1214" i="1" s="1"/>
  <c r="X1215" i="1" s="1"/>
  <c r="X1216" i="1" s="1"/>
  <c r="X1217" i="1" s="1"/>
  <c r="X1218" i="1" s="1"/>
  <c r="X1219" i="1" s="1"/>
  <c r="X1220" i="1" s="1"/>
  <c r="X1221" i="1" s="1"/>
  <c r="X1222" i="1" s="1"/>
  <c r="X1223" i="1" s="1"/>
  <c r="X1224" i="1" s="1"/>
  <c r="X1226" i="1" s="1"/>
  <c r="X1227" i="1" s="1"/>
  <c r="BZ1198" i="1"/>
  <c r="CA1198" i="1" s="1"/>
  <c r="BZ1201" i="1"/>
  <c r="CA1201" i="1" s="1"/>
  <c r="BZ1005" i="1"/>
  <c r="CA1005" i="1" s="1"/>
  <c r="BZ1194" i="1"/>
  <c r="CA1194" i="1" s="1"/>
  <c r="BZ984" i="1"/>
  <c r="CA984" i="1" s="1"/>
  <c r="CR1082" i="1"/>
  <c r="CR1084" i="1"/>
  <c r="CR792" i="1"/>
  <c r="CR654" i="1"/>
  <c r="CR953" i="1"/>
  <c r="BZ1169" i="1"/>
  <c r="CA1169" i="1" s="1"/>
  <c r="CR1115" i="1"/>
  <c r="CR1089" i="1"/>
  <c r="CR1017" i="1"/>
  <c r="CR871" i="1"/>
  <c r="CR1068" i="1"/>
  <c r="CR902" i="1"/>
  <c r="CR698" i="1"/>
  <c r="CR1015" i="1"/>
  <c r="CR869" i="1"/>
  <c r="BZ1014" i="1"/>
  <c r="CA1014" i="1" s="1"/>
  <c r="BZ896" i="1"/>
  <c r="CA896" i="1" s="1"/>
  <c r="BZ590" i="1"/>
  <c r="CA590" i="1" s="1"/>
  <c r="BZ566" i="1"/>
  <c r="CA566" i="1" s="1"/>
  <c r="BZ550" i="1"/>
  <c r="CA550" i="1" s="1"/>
  <c r="BZ372" i="1"/>
  <c r="CA372" i="1" s="1"/>
  <c r="CR1088" i="1"/>
  <c r="CR672" i="1"/>
  <c r="CR2" i="1"/>
  <c r="BZ614" i="1"/>
  <c r="CA614" i="1" s="1"/>
  <c r="BZ598" i="1"/>
  <c r="CA598" i="1" s="1"/>
  <c r="BZ594" i="1"/>
  <c r="CA594" i="1" s="1"/>
  <c r="BZ570" i="1"/>
  <c r="CA570" i="1" s="1"/>
  <c r="BZ360" i="1"/>
  <c r="CA360" i="1" s="1"/>
  <c r="CR1110" i="1"/>
  <c r="CR1054" i="1"/>
  <c r="CR984" i="1"/>
  <c r="CR900" i="1"/>
  <c r="CD1121" i="1"/>
  <c r="CE1121" i="1" s="1"/>
  <c r="CD1117" i="1"/>
  <c r="CE1117" i="1" s="1"/>
  <c r="CD1192" i="1"/>
  <c r="CE1192" i="1" s="1"/>
  <c r="CD1070" i="1"/>
  <c r="CE1070" i="1" s="1"/>
  <c r="CD1004" i="1"/>
  <c r="CE1004" i="1" s="1"/>
  <c r="CD998" i="1"/>
  <c r="CE998" i="1" s="1"/>
  <c r="CD977" i="1"/>
  <c r="CE977" i="1" s="1"/>
  <c r="CD849" i="1"/>
  <c r="CE849" i="1" s="1"/>
  <c r="CD765" i="1"/>
  <c r="CE765" i="1" s="1"/>
  <c r="CR985" i="1"/>
  <c r="CR837" i="1"/>
  <c r="CD1156" i="1"/>
  <c r="CE1156" i="1" s="1"/>
  <c r="CD1020" i="1"/>
  <c r="CE1020" i="1" s="1"/>
  <c r="CD1010" i="1"/>
  <c r="CE1010" i="1" s="1"/>
  <c r="CD1000" i="1"/>
  <c r="CE1000" i="1" s="1"/>
  <c r="CD600" i="1"/>
  <c r="CE600" i="1" s="1"/>
  <c r="CD847" i="1"/>
  <c r="CE847" i="1" s="1"/>
  <c r="CD537" i="1"/>
  <c r="CE537" i="1" s="1"/>
  <c r="CD399" i="1"/>
  <c r="CE399" i="1" s="1"/>
  <c r="CD962" i="1"/>
  <c r="CE962" i="1" s="1"/>
  <c r="CD946" i="1"/>
  <c r="CE946" i="1" s="1"/>
  <c r="CD750" i="1"/>
  <c r="CE750" i="1" s="1"/>
  <c r="CD632" i="1"/>
  <c r="CE632" i="1" s="1"/>
  <c r="CD620" i="1"/>
  <c r="CE620" i="1" s="1"/>
  <c r="CD560" i="1"/>
  <c r="CE560" i="1" s="1"/>
  <c r="CR670" i="1"/>
  <c r="BZ963" i="1"/>
  <c r="CA963" i="1" s="1"/>
  <c r="CR983" i="1"/>
  <c r="CR655" i="1"/>
  <c r="CR816" i="1"/>
  <c r="CR671" i="1"/>
  <c r="CD1131" i="1"/>
  <c r="CE1131" i="1" s="1"/>
  <c r="CD1119" i="1"/>
  <c r="CE1119" i="1" s="1"/>
  <c r="CD1113" i="1"/>
  <c r="CE1113" i="1" s="1"/>
  <c r="BZ539" i="1"/>
  <c r="CA539" i="1" s="1"/>
  <c r="BZ401" i="1"/>
  <c r="CA401" i="1" s="1"/>
  <c r="CD1078" i="1"/>
  <c r="CE1078" i="1" s="1"/>
  <c r="CD882" i="1"/>
  <c r="CE882" i="1" s="1"/>
  <c r="CD728" i="1"/>
  <c r="CE728" i="1" s="1"/>
  <c r="BZ622" i="1"/>
  <c r="CA622" i="1" s="1"/>
  <c r="CD454" i="1"/>
  <c r="CE454" i="1" s="1"/>
  <c r="CD434" i="1"/>
  <c r="CE434" i="1" s="1"/>
  <c r="CD362" i="1"/>
  <c r="CE362" i="1" s="1"/>
  <c r="CD354" i="1"/>
  <c r="CE354" i="1" s="1"/>
  <c r="CD518" i="1"/>
  <c r="CE518" i="1" s="1"/>
  <c r="CD458" i="1"/>
  <c r="CE458" i="1" s="1"/>
  <c r="CD853" i="1"/>
  <c r="CE853" i="1" s="1"/>
  <c r="CD541" i="1"/>
  <c r="CE541" i="1" s="1"/>
  <c r="BV170" i="1"/>
  <c r="CF170" i="1" s="1"/>
  <c r="CG170" i="1" s="1"/>
  <c r="CM170" i="1"/>
  <c r="CN170" i="1" s="1"/>
  <c r="CO170" i="1" s="1"/>
  <c r="CP170" i="1" s="1"/>
  <c r="CQ170" i="1" s="1"/>
  <c r="BV168" i="1"/>
  <c r="BX168" i="1" s="1"/>
  <c r="BY168" i="1" s="1"/>
  <c r="CM168" i="1"/>
  <c r="CN168" i="1" s="1"/>
  <c r="CO168" i="1" s="1"/>
  <c r="CP168" i="1" s="1"/>
  <c r="CQ168" i="1" s="1"/>
  <c r="BV166" i="1"/>
  <c r="BX166" i="1" s="1"/>
  <c r="BY166" i="1" s="1"/>
  <c r="CM166" i="1"/>
  <c r="CN166" i="1" s="1"/>
  <c r="CO166" i="1" s="1"/>
  <c r="CP166" i="1" s="1"/>
  <c r="CQ166" i="1" s="1"/>
  <c r="BV164" i="1"/>
  <c r="BX164" i="1" s="1"/>
  <c r="BY164" i="1" s="1"/>
  <c r="CM164" i="1"/>
  <c r="CN164" i="1" s="1"/>
  <c r="CO164" i="1" s="1"/>
  <c r="CP164" i="1" s="1"/>
  <c r="CQ164" i="1" s="1"/>
  <c r="BV158" i="1"/>
  <c r="CF158" i="1" s="1"/>
  <c r="CG158" i="1" s="1"/>
  <c r="CM158" i="1"/>
  <c r="CN158" i="1" s="1"/>
  <c r="CO158" i="1" s="1"/>
  <c r="CP158" i="1" s="1"/>
  <c r="CQ158" i="1" s="1"/>
  <c r="BV156" i="1"/>
  <c r="BX156" i="1" s="1"/>
  <c r="BY156" i="1" s="1"/>
  <c r="CM156" i="1"/>
  <c r="CN156" i="1" s="1"/>
  <c r="CO156" i="1" s="1"/>
  <c r="CP156" i="1" s="1"/>
  <c r="CQ156" i="1" s="1"/>
  <c r="BV154" i="1"/>
  <c r="CF154" i="1" s="1"/>
  <c r="CG154" i="1" s="1"/>
  <c r="CM154" i="1"/>
  <c r="CN154" i="1" s="1"/>
  <c r="CO154" i="1" s="1"/>
  <c r="CP154" i="1" s="1"/>
  <c r="CQ154" i="1" s="1"/>
  <c r="BV152" i="1"/>
  <c r="BX152" i="1" s="1"/>
  <c r="BY152" i="1" s="1"/>
  <c r="CM152" i="1"/>
  <c r="CN152" i="1" s="1"/>
  <c r="CO152" i="1" s="1"/>
  <c r="CP152" i="1" s="1"/>
  <c r="CQ152" i="1" s="1"/>
  <c r="BV150" i="1"/>
  <c r="BX150" i="1" s="1"/>
  <c r="BY150" i="1" s="1"/>
  <c r="CM150" i="1"/>
  <c r="CN150" i="1" s="1"/>
  <c r="CO150" i="1" s="1"/>
  <c r="CP150" i="1" s="1"/>
  <c r="CQ150" i="1" s="1"/>
  <c r="BV146" i="1"/>
  <c r="CM146" i="1"/>
  <c r="CN146" i="1" s="1"/>
  <c r="CO146" i="1" s="1"/>
  <c r="CP146" i="1" s="1"/>
  <c r="CQ146" i="1" s="1"/>
  <c r="BV140" i="1"/>
  <c r="CF140" i="1" s="1"/>
  <c r="CG140" i="1" s="1"/>
  <c r="CM140" i="1"/>
  <c r="CN140" i="1" s="1"/>
  <c r="CO140" i="1" s="1"/>
  <c r="CP140" i="1" s="1"/>
  <c r="CQ140" i="1" s="1"/>
  <c r="BV138" i="1"/>
  <c r="BX138" i="1" s="1"/>
  <c r="BY138" i="1" s="1"/>
  <c r="CM138" i="1"/>
  <c r="CN138" i="1" s="1"/>
  <c r="CO138" i="1" s="1"/>
  <c r="CP138" i="1" s="1"/>
  <c r="CQ138" i="1" s="1"/>
  <c r="BV134" i="1"/>
  <c r="BX134" i="1" s="1"/>
  <c r="BY134" i="1" s="1"/>
  <c r="CM134" i="1"/>
  <c r="CN134" i="1" s="1"/>
  <c r="CO134" i="1" s="1"/>
  <c r="CP134" i="1" s="1"/>
  <c r="CQ134" i="1" s="1"/>
  <c r="BV132" i="1"/>
  <c r="BX132" i="1" s="1"/>
  <c r="BY132" i="1" s="1"/>
  <c r="CM132" i="1"/>
  <c r="CN132" i="1" s="1"/>
  <c r="CO132" i="1" s="1"/>
  <c r="CP132" i="1" s="1"/>
  <c r="CQ132" i="1" s="1"/>
  <c r="BV130" i="1"/>
  <c r="CF130" i="1" s="1"/>
  <c r="CG130" i="1" s="1"/>
  <c r="CM130" i="1"/>
  <c r="CN130" i="1" s="1"/>
  <c r="CO130" i="1" s="1"/>
  <c r="CP130" i="1" s="1"/>
  <c r="CQ130" i="1" s="1"/>
  <c r="BV128" i="1"/>
  <c r="BX128" i="1" s="1"/>
  <c r="BY128" i="1" s="1"/>
  <c r="CM128" i="1"/>
  <c r="CN128" i="1" s="1"/>
  <c r="CO128" i="1" s="1"/>
  <c r="CP128" i="1" s="1"/>
  <c r="CQ128" i="1" s="1"/>
  <c r="BV126" i="1"/>
  <c r="BX126" i="1" s="1"/>
  <c r="BY126" i="1" s="1"/>
  <c r="CM126" i="1"/>
  <c r="CN126" i="1" s="1"/>
  <c r="CO126" i="1" s="1"/>
  <c r="CP126" i="1" s="1"/>
  <c r="CQ126" i="1" s="1"/>
  <c r="BV124" i="1"/>
  <c r="BX124" i="1" s="1"/>
  <c r="BY124" i="1" s="1"/>
  <c r="CM124" i="1"/>
  <c r="CN124" i="1" s="1"/>
  <c r="CO124" i="1" s="1"/>
  <c r="CP124" i="1" s="1"/>
  <c r="CQ124" i="1" s="1"/>
  <c r="BV120" i="1"/>
  <c r="BX120" i="1" s="1"/>
  <c r="BY120" i="1" s="1"/>
  <c r="CM120" i="1"/>
  <c r="CN120" i="1" s="1"/>
  <c r="CO120" i="1" s="1"/>
  <c r="CP120" i="1" s="1"/>
  <c r="CQ120" i="1" s="1"/>
  <c r="BV118" i="1"/>
  <c r="BX118" i="1" s="1"/>
  <c r="BY118" i="1" s="1"/>
  <c r="CM118" i="1"/>
  <c r="CN118" i="1" s="1"/>
  <c r="CO118" i="1" s="1"/>
  <c r="CP118" i="1" s="1"/>
  <c r="CQ118" i="1" s="1"/>
  <c r="BV114" i="1"/>
  <c r="CF114" i="1" s="1"/>
  <c r="CG114" i="1" s="1"/>
  <c r="CM114" i="1"/>
  <c r="CN114" i="1" s="1"/>
  <c r="CO114" i="1" s="1"/>
  <c r="CP114" i="1" s="1"/>
  <c r="CQ114" i="1" s="1"/>
  <c r="BV112" i="1"/>
  <c r="BX112" i="1" s="1"/>
  <c r="BY112" i="1" s="1"/>
  <c r="CM112" i="1"/>
  <c r="CN112" i="1" s="1"/>
  <c r="CO112" i="1" s="1"/>
  <c r="CP112" i="1" s="1"/>
  <c r="CQ112" i="1" s="1"/>
  <c r="BV110" i="1"/>
  <c r="CF110" i="1" s="1"/>
  <c r="CG110" i="1" s="1"/>
  <c r="CM110" i="1"/>
  <c r="CN110" i="1" s="1"/>
  <c r="CO110" i="1" s="1"/>
  <c r="CP110" i="1" s="1"/>
  <c r="CQ110" i="1" s="1"/>
  <c r="BV108" i="1"/>
  <c r="CF108" i="1" s="1"/>
  <c r="CG108" i="1" s="1"/>
  <c r="CM108" i="1"/>
  <c r="CN108" i="1" s="1"/>
  <c r="CO108" i="1" s="1"/>
  <c r="CP108" i="1" s="1"/>
  <c r="CQ108" i="1" s="1"/>
  <c r="BV106" i="1"/>
  <c r="CF106" i="1" s="1"/>
  <c r="CG106" i="1" s="1"/>
  <c r="CM106" i="1"/>
  <c r="CN106" i="1" s="1"/>
  <c r="CO106" i="1" s="1"/>
  <c r="CP106" i="1" s="1"/>
  <c r="CQ106" i="1" s="1"/>
  <c r="BV104" i="1"/>
  <c r="BX104" i="1" s="1"/>
  <c r="BY104" i="1" s="1"/>
  <c r="CM104" i="1"/>
  <c r="CN104" i="1" s="1"/>
  <c r="CO104" i="1" s="1"/>
  <c r="CP104" i="1" s="1"/>
  <c r="CQ104" i="1" s="1"/>
  <c r="BV102" i="1"/>
  <c r="CF102" i="1" s="1"/>
  <c r="CG102" i="1" s="1"/>
  <c r="CM102" i="1"/>
  <c r="CN102" i="1" s="1"/>
  <c r="CO102" i="1" s="1"/>
  <c r="CP102" i="1" s="1"/>
  <c r="CQ102" i="1" s="1"/>
  <c r="BV100" i="1"/>
  <c r="BX100" i="1" s="1"/>
  <c r="BY100" i="1" s="1"/>
  <c r="CM100" i="1"/>
  <c r="CN100" i="1" s="1"/>
  <c r="CO100" i="1" s="1"/>
  <c r="CP100" i="1" s="1"/>
  <c r="CQ100" i="1" s="1"/>
  <c r="BV98" i="1"/>
  <c r="BX98" i="1" s="1"/>
  <c r="BY98" i="1" s="1"/>
  <c r="CM98" i="1"/>
  <c r="CN98" i="1" s="1"/>
  <c r="CO98" i="1" s="1"/>
  <c r="CP98" i="1" s="1"/>
  <c r="CQ98" i="1" s="1"/>
  <c r="BV94" i="1"/>
  <c r="BX94" i="1" s="1"/>
  <c r="BY94" i="1" s="1"/>
  <c r="CM94" i="1"/>
  <c r="CN94" i="1" s="1"/>
  <c r="CO94" i="1" s="1"/>
  <c r="CP94" i="1" s="1"/>
  <c r="CQ94" i="1" s="1"/>
  <c r="BV92" i="1"/>
  <c r="CF92" i="1" s="1"/>
  <c r="CG92" i="1" s="1"/>
  <c r="CM92" i="1"/>
  <c r="CN92" i="1" s="1"/>
  <c r="CO92" i="1" s="1"/>
  <c r="CP92" i="1" s="1"/>
  <c r="CQ92" i="1" s="1"/>
  <c r="BV90" i="1"/>
  <c r="BX90" i="1" s="1"/>
  <c r="BY90" i="1" s="1"/>
  <c r="CM90" i="1"/>
  <c r="CN90" i="1" s="1"/>
  <c r="CO90" i="1" s="1"/>
  <c r="CP90" i="1" s="1"/>
  <c r="CQ90" i="1" s="1"/>
  <c r="BV88" i="1"/>
  <c r="BX88" i="1" s="1"/>
  <c r="BY88" i="1" s="1"/>
  <c r="CM88" i="1"/>
  <c r="CN88" i="1" s="1"/>
  <c r="CO88" i="1" s="1"/>
  <c r="CP88" i="1" s="1"/>
  <c r="CQ88" i="1" s="1"/>
  <c r="BV84" i="1"/>
  <c r="CF84" i="1" s="1"/>
  <c r="CG84" i="1" s="1"/>
  <c r="CM84" i="1"/>
  <c r="CN84" i="1" s="1"/>
  <c r="CO84" i="1" s="1"/>
  <c r="CP84" i="1" s="1"/>
  <c r="CQ84" i="1" s="1"/>
  <c r="BV82" i="1"/>
  <c r="BX82" i="1" s="1"/>
  <c r="BY82" i="1" s="1"/>
  <c r="CM82" i="1"/>
  <c r="CN82" i="1" s="1"/>
  <c r="CO82" i="1" s="1"/>
  <c r="CP82" i="1" s="1"/>
  <c r="CQ82" i="1" s="1"/>
  <c r="BV80" i="1"/>
  <c r="CF80" i="1" s="1"/>
  <c r="CG80" i="1" s="1"/>
  <c r="CM80" i="1"/>
  <c r="CN80" i="1" s="1"/>
  <c r="CO80" i="1" s="1"/>
  <c r="CP80" i="1" s="1"/>
  <c r="CQ80" i="1" s="1"/>
  <c r="BV78" i="1"/>
  <c r="BX78" i="1" s="1"/>
  <c r="BY78" i="1" s="1"/>
  <c r="CM78" i="1"/>
  <c r="CN78" i="1" s="1"/>
  <c r="CO78" i="1" s="1"/>
  <c r="CP78" i="1" s="1"/>
  <c r="CQ78" i="1" s="1"/>
  <c r="BV76" i="1"/>
  <c r="CF76" i="1" s="1"/>
  <c r="CG76" i="1" s="1"/>
  <c r="CM76" i="1"/>
  <c r="CN76" i="1" s="1"/>
  <c r="CO76" i="1" s="1"/>
  <c r="CP76" i="1" s="1"/>
  <c r="CQ76" i="1" s="1"/>
  <c r="BV74" i="1"/>
  <c r="BX74" i="1" s="1"/>
  <c r="BY74" i="1" s="1"/>
  <c r="CM74" i="1"/>
  <c r="CN74" i="1" s="1"/>
  <c r="CO74" i="1" s="1"/>
  <c r="CP74" i="1" s="1"/>
  <c r="CQ74" i="1" s="1"/>
  <c r="BV72" i="1"/>
  <c r="BX72" i="1" s="1"/>
  <c r="BY72" i="1" s="1"/>
  <c r="CM72" i="1"/>
  <c r="CN72" i="1" s="1"/>
  <c r="CO72" i="1" s="1"/>
  <c r="CP72" i="1" s="1"/>
  <c r="CQ72" i="1" s="1"/>
  <c r="BV70" i="1"/>
  <c r="BX70" i="1" s="1"/>
  <c r="BY70" i="1" s="1"/>
  <c r="CM70" i="1"/>
  <c r="CN70" i="1" s="1"/>
  <c r="CO70" i="1" s="1"/>
  <c r="CP70" i="1" s="1"/>
  <c r="CQ70" i="1" s="1"/>
  <c r="BV68" i="1"/>
  <c r="BX68" i="1" s="1"/>
  <c r="BY68" i="1" s="1"/>
  <c r="CM68" i="1"/>
  <c r="CN68" i="1" s="1"/>
  <c r="CO68" i="1" s="1"/>
  <c r="CP68" i="1" s="1"/>
  <c r="CQ68" i="1" s="1"/>
  <c r="BV66" i="1"/>
  <c r="BX66" i="1" s="1"/>
  <c r="BY66" i="1" s="1"/>
  <c r="CM66" i="1"/>
  <c r="CN66" i="1" s="1"/>
  <c r="CO66" i="1" s="1"/>
  <c r="CP66" i="1" s="1"/>
  <c r="CQ66" i="1" s="1"/>
  <c r="BV64" i="1"/>
  <c r="BX64" i="1" s="1"/>
  <c r="BY64" i="1" s="1"/>
  <c r="CM64" i="1"/>
  <c r="CN64" i="1" s="1"/>
  <c r="CO64" i="1" s="1"/>
  <c r="CP64" i="1" s="1"/>
  <c r="CQ64" i="1" s="1"/>
  <c r="BV62" i="1"/>
  <c r="BX62" i="1" s="1"/>
  <c r="BY62" i="1" s="1"/>
  <c r="CM62" i="1"/>
  <c r="CN62" i="1" s="1"/>
  <c r="CO62" i="1" s="1"/>
  <c r="CP62" i="1" s="1"/>
  <c r="CQ62" i="1" s="1"/>
  <c r="BV60" i="1"/>
  <c r="CM60" i="1"/>
  <c r="CN60" i="1" s="1"/>
  <c r="CO60" i="1" s="1"/>
  <c r="CP60" i="1" s="1"/>
  <c r="CQ60" i="1" s="1"/>
  <c r="BV58" i="1"/>
  <c r="BX58" i="1" s="1"/>
  <c r="BY58" i="1" s="1"/>
  <c r="CM58" i="1"/>
  <c r="CN58" i="1" s="1"/>
  <c r="CO58" i="1" s="1"/>
  <c r="CP58" i="1" s="1"/>
  <c r="CQ58" i="1" s="1"/>
  <c r="BV56" i="1"/>
  <c r="CF56" i="1" s="1"/>
  <c r="CG56" i="1" s="1"/>
  <c r="CM56" i="1"/>
  <c r="CN56" i="1" s="1"/>
  <c r="CO56" i="1" s="1"/>
  <c r="CP56" i="1" s="1"/>
  <c r="CQ56" i="1" s="1"/>
  <c r="BV52" i="1"/>
  <c r="CF52" i="1" s="1"/>
  <c r="CG52" i="1" s="1"/>
  <c r="CM52" i="1"/>
  <c r="CN52" i="1" s="1"/>
  <c r="CO52" i="1" s="1"/>
  <c r="CP52" i="1" s="1"/>
  <c r="CQ52" i="1" s="1"/>
  <c r="BV50" i="1"/>
  <c r="CF50" i="1" s="1"/>
  <c r="CG50" i="1" s="1"/>
  <c r="CM50" i="1"/>
  <c r="CN50" i="1" s="1"/>
  <c r="CO50" i="1" s="1"/>
  <c r="CP50" i="1" s="1"/>
  <c r="CQ50" i="1" s="1"/>
  <c r="BV48" i="1"/>
  <c r="CF48" i="1" s="1"/>
  <c r="CG48" i="1" s="1"/>
  <c r="CM48" i="1"/>
  <c r="CN48" i="1" s="1"/>
  <c r="CO48" i="1" s="1"/>
  <c r="CP48" i="1" s="1"/>
  <c r="CQ48" i="1" s="1"/>
  <c r="BV46" i="1"/>
  <c r="BX46" i="1" s="1"/>
  <c r="BY46" i="1" s="1"/>
  <c r="CM46" i="1"/>
  <c r="CN46" i="1" s="1"/>
  <c r="CO46" i="1" s="1"/>
  <c r="CP46" i="1" s="1"/>
  <c r="CQ46" i="1" s="1"/>
  <c r="BV44" i="1"/>
  <c r="CF44" i="1" s="1"/>
  <c r="CG44" i="1" s="1"/>
  <c r="CM44" i="1"/>
  <c r="CN44" i="1" s="1"/>
  <c r="CO44" i="1" s="1"/>
  <c r="CP44" i="1" s="1"/>
  <c r="CQ44" i="1" s="1"/>
  <c r="BV42" i="1"/>
  <c r="BX42" i="1" s="1"/>
  <c r="BY42" i="1" s="1"/>
  <c r="CM42" i="1"/>
  <c r="CN42" i="1" s="1"/>
  <c r="CO42" i="1" s="1"/>
  <c r="CP42" i="1" s="1"/>
  <c r="CQ42" i="1" s="1"/>
  <c r="BV40" i="1"/>
  <c r="CF40" i="1" s="1"/>
  <c r="CG40" i="1" s="1"/>
  <c r="CM40" i="1"/>
  <c r="CN40" i="1" s="1"/>
  <c r="CO40" i="1" s="1"/>
  <c r="CP40" i="1" s="1"/>
  <c r="CQ40" i="1" s="1"/>
  <c r="BV38" i="1"/>
  <c r="BX38" i="1" s="1"/>
  <c r="BY38" i="1" s="1"/>
  <c r="CM38" i="1"/>
  <c r="CN38" i="1" s="1"/>
  <c r="CO38" i="1" s="1"/>
  <c r="CP38" i="1" s="1"/>
  <c r="CQ38" i="1" s="1"/>
  <c r="BV36" i="1"/>
  <c r="CF36" i="1" s="1"/>
  <c r="CG36" i="1" s="1"/>
  <c r="CM36" i="1"/>
  <c r="CN36" i="1" s="1"/>
  <c r="CO36" i="1" s="1"/>
  <c r="CP36" i="1" s="1"/>
  <c r="CQ36" i="1" s="1"/>
  <c r="BV34" i="1"/>
  <c r="CM34" i="1"/>
  <c r="CN34" i="1" s="1"/>
  <c r="CO34" i="1" s="1"/>
  <c r="CP34" i="1" s="1"/>
  <c r="CQ34" i="1" s="1"/>
  <c r="BV32" i="1"/>
  <c r="BX32" i="1" s="1"/>
  <c r="BY32" i="1" s="1"/>
  <c r="CM32" i="1"/>
  <c r="CN32" i="1" s="1"/>
  <c r="CO32" i="1" s="1"/>
  <c r="CP32" i="1" s="1"/>
  <c r="CQ32" i="1" s="1"/>
  <c r="BV30" i="1"/>
  <c r="BX30" i="1" s="1"/>
  <c r="BY30" i="1" s="1"/>
  <c r="CM30" i="1"/>
  <c r="CN30" i="1" s="1"/>
  <c r="CO30" i="1" s="1"/>
  <c r="CP30" i="1" s="1"/>
  <c r="CQ30" i="1" s="1"/>
  <c r="BV28" i="1"/>
  <c r="BX28" i="1" s="1"/>
  <c r="BY28" i="1" s="1"/>
  <c r="CM28" i="1"/>
  <c r="CN28" i="1" s="1"/>
  <c r="CO28" i="1" s="1"/>
  <c r="CP28" i="1" s="1"/>
  <c r="CQ28" i="1" s="1"/>
  <c r="BV26" i="1"/>
  <c r="BX26" i="1" s="1"/>
  <c r="BY26" i="1" s="1"/>
  <c r="CM26" i="1"/>
  <c r="CN26" i="1" s="1"/>
  <c r="CO26" i="1" s="1"/>
  <c r="CP26" i="1" s="1"/>
  <c r="CQ26" i="1" s="1"/>
  <c r="BV24" i="1"/>
  <c r="CF24" i="1" s="1"/>
  <c r="CG24" i="1" s="1"/>
  <c r="CM24" i="1"/>
  <c r="CN24" i="1" s="1"/>
  <c r="CO24" i="1" s="1"/>
  <c r="CP24" i="1" s="1"/>
  <c r="CQ24" i="1" s="1"/>
  <c r="BV22" i="1"/>
  <c r="BX22" i="1" s="1"/>
  <c r="BY22" i="1" s="1"/>
  <c r="CM22" i="1"/>
  <c r="CN22" i="1" s="1"/>
  <c r="CO22" i="1" s="1"/>
  <c r="CP22" i="1" s="1"/>
  <c r="CQ22" i="1" s="1"/>
  <c r="BV20" i="1"/>
  <c r="BX20" i="1" s="1"/>
  <c r="BY20" i="1" s="1"/>
  <c r="CM20" i="1"/>
  <c r="CN20" i="1" s="1"/>
  <c r="CO20" i="1" s="1"/>
  <c r="CP20" i="1" s="1"/>
  <c r="CQ20" i="1" s="1"/>
  <c r="BV18" i="1"/>
  <c r="BX18" i="1" s="1"/>
  <c r="BY18" i="1" s="1"/>
  <c r="CM18" i="1"/>
  <c r="CN18" i="1" s="1"/>
  <c r="CO18" i="1" s="1"/>
  <c r="CP18" i="1" s="1"/>
  <c r="CQ18" i="1" s="1"/>
  <c r="BV16" i="1"/>
  <c r="CF16" i="1" s="1"/>
  <c r="CG16" i="1" s="1"/>
  <c r="CM16" i="1"/>
  <c r="CN16" i="1" s="1"/>
  <c r="CO16" i="1" s="1"/>
  <c r="CP16" i="1" s="1"/>
  <c r="CQ16" i="1" s="1"/>
  <c r="BV14" i="1"/>
  <c r="BX14" i="1" s="1"/>
  <c r="BY14" i="1" s="1"/>
  <c r="CM14" i="1"/>
  <c r="CN14" i="1" s="1"/>
  <c r="CO14" i="1" s="1"/>
  <c r="CP14" i="1" s="1"/>
  <c r="CQ14" i="1" s="1"/>
  <c r="BV12" i="1"/>
  <c r="BX12" i="1" s="1"/>
  <c r="BY12" i="1" s="1"/>
  <c r="CM12" i="1"/>
  <c r="CN12" i="1" s="1"/>
  <c r="CO12" i="1" s="1"/>
  <c r="CP12" i="1" s="1"/>
  <c r="CQ12" i="1" s="1"/>
  <c r="BV10" i="1"/>
  <c r="CM10" i="1"/>
  <c r="CN10" i="1" s="1"/>
  <c r="CO10" i="1" s="1"/>
  <c r="CP10" i="1" s="1"/>
  <c r="CQ10" i="1" s="1"/>
  <c r="BV8" i="1"/>
  <c r="CF8" i="1" s="1"/>
  <c r="CG8" i="1" s="1"/>
  <c r="CM8" i="1"/>
  <c r="CN8" i="1" s="1"/>
  <c r="CO8" i="1" s="1"/>
  <c r="CP8" i="1" s="1"/>
  <c r="CQ8" i="1" s="1"/>
  <c r="BV6" i="1"/>
  <c r="BX6" i="1" s="1"/>
  <c r="BY6" i="1" s="1"/>
  <c r="CM6" i="1"/>
  <c r="CN6" i="1" s="1"/>
  <c r="CO6" i="1" s="1"/>
  <c r="CP6" i="1" s="1"/>
  <c r="CQ6" i="1" s="1"/>
  <c r="BV4" i="1"/>
  <c r="BX4" i="1" s="1"/>
  <c r="BY4" i="1" s="1"/>
  <c r="CM4" i="1"/>
  <c r="CN4" i="1" s="1"/>
  <c r="CO4" i="1" s="1"/>
  <c r="CP4" i="1" s="1"/>
  <c r="CQ4" i="1" s="1"/>
  <c r="BV252" i="1"/>
  <c r="CF252" i="1" s="1"/>
  <c r="CG252" i="1" s="1"/>
  <c r="CM252" i="1"/>
  <c r="CN252" i="1" s="1"/>
  <c r="CO252" i="1" s="1"/>
  <c r="CP252" i="1" s="1"/>
  <c r="CQ252" i="1" s="1"/>
  <c r="BV116" i="1"/>
  <c r="BX116" i="1" s="1"/>
  <c r="BY116" i="1" s="1"/>
  <c r="CM116" i="1"/>
  <c r="CN116" i="1" s="1"/>
  <c r="CO116" i="1" s="1"/>
  <c r="CP116" i="1" s="1"/>
  <c r="CQ116" i="1" s="1"/>
  <c r="BV162" i="1"/>
  <c r="BX162" i="1" s="1"/>
  <c r="BY162" i="1" s="1"/>
  <c r="CM162" i="1"/>
  <c r="CN162" i="1" s="1"/>
  <c r="CO162" i="1" s="1"/>
  <c r="CP162" i="1" s="1"/>
  <c r="CQ162" i="1" s="1"/>
  <c r="CR162" i="1" s="1"/>
  <c r="BV144" i="1"/>
  <c r="BX144" i="1" s="1"/>
  <c r="BY144" i="1" s="1"/>
  <c r="CM144" i="1"/>
  <c r="CN144" i="1" s="1"/>
  <c r="CO144" i="1" s="1"/>
  <c r="CP144" i="1" s="1"/>
  <c r="CQ144" i="1" s="1"/>
  <c r="BV433" i="1"/>
  <c r="CF433" i="1" s="1"/>
  <c r="CG433" i="1" s="1"/>
  <c r="CM433" i="1"/>
  <c r="CN433" i="1" s="1"/>
  <c r="CO433" i="1" s="1"/>
  <c r="CP433" i="1" s="1"/>
  <c r="CQ433" i="1" s="1"/>
  <c r="BV431" i="1"/>
  <c r="CF431" i="1" s="1"/>
  <c r="CG431" i="1" s="1"/>
  <c r="CM431" i="1"/>
  <c r="CN431" i="1" s="1"/>
  <c r="CO431" i="1" s="1"/>
  <c r="CP431" i="1" s="1"/>
  <c r="CQ431" i="1" s="1"/>
  <c r="BV257" i="1"/>
  <c r="CF257" i="1" s="1"/>
  <c r="CG257" i="1" s="1"/>
  <c r="CM257" i="1"/>
  <c r="CN257" i="1" s="1"/>
  <c r="CO257" i="1" s="1"/>
  <c r="CP257" i="1" s="1"/>
  <c r="CQ257" i="1" s="1"/>
  <c r="BV225" i="1"/>
  <c r="CF225" i="1" s="1"/>
  <c r="CG225" i="1" s="1"/>
  <c r="CM225" i="1"/>
  <c r="CN225" i="1" s="1"/>
  <c r="CO225" i="1" s="1"/>
  <c r="CP225" i="1" s="1"/>
  <c r="CQ225" i="1" s="1"/>
  <c r="BV209" i="1"/>
  <c r="CM209" i="1"/>
  <c r="CN209" i="1" s="1"/>
  <c r="CO209" i="1" s="1"/>
  <c r="CP209" i="1" s="1"/>
  <c r="CQ209" i="1" s="1"/>
  <c r="BV171" i="1"/>
  <c r="CF171" i="1" s="1"/>
  <c r="CG171" i="1" s="1"/>
  <c r="CM171" i="1"/>
  <c r="CN171" i="1" s="1"/>
  <c r="CO171" i="1" s="1"/>
  <c r="CP171" i="1" s="1"/>
  <c r="CQ171" i="1" s="1"/>
  <c r="BV169" i="1"/>
  <c r="CF169" i="1" s="1"/>
  <c r="CG169" i="1" s="1"/>
  <c r="CM169" i="1"/>
  <c r="CN169" i="1" s="1"/>
  <c r="CO169" i="1" s="1"/>
  <c r="CP169" i="1" s="1"/>
  <c r="CQ169" i="1" s="1"/>
  <c r="BV167" i="1"/>
  <c r="CF167" i="1" s="1"/>
  <c r="CG167" i="1" s="1"/>
  <c r="CM167" i="1"/>
  <c r="CN167" i="1" s="1"/>
  <c r="CO167" i="1" s="1"/>
  <c r="CP167" i="1" s="1"/>
  <c r="CQ167" i="1" s="1"/>
  <c r="BV165" i="1"/>
  <c r="BX165" i="1" s="1"/>
  <c r="BY165" i="1" s="1"/>
  <c r="CM165" i="1"/>
  <c r="CN165" i="1" s="1"/>
  <c r="CO165" i="1" s="1"/>
  <c r="CP165" i="1" s="1"/>
  <c r="CQ165" i="1" s="1"/>
  <c r="CR165" i="1" s="1"/>
  <c r="BV163" i="1"/>
  <c r="CF163" i="1" s="1"/>
  <c r="CG163" i="1" s="1"/>
  <c r="CM163" i="1"/>
  <c r="CN163" i="1" s="1"/>
  <c r="CO163" i="1" s="1"/>
  <c r="CP163" i="1" s="1"/>
  <c r="CQ163" i="1" s="1"/>
  <c r="BV161" i="1"/>
  <c r="CF161" i="1" s="1"/>
  <c r="CG161" i="1" s="1"/>
  <c r="CM161" i="1"/>
  <c r="CN161" i="1" s="1"/>
  <c r="CO161" i="1" s="1"/>
  <c r="CP161" i="1" s="1"/>
  <c r="CQ161" i="1" s="1"/>
  <c r="BV159" i="1"/>
  <c r="CF159" i="1" s="1"/>
  <c r="CG159" i="1" s="1"/>
  <c r="CM159" i="1"/>
  <c r="CN159" i="1" s="1"/>
  <c r="CO159" i="1" s="1"/>
  <c r="CP159" i="1" s="1"/>
  <c r="CQ159" i="1" s="1"/>
  <c r="BV157" i="1"/>
  <c r="CF157" i="1" s="1"/>
  <c r="CG157" i="1" s="1"/>
  <c r="CM157" i="1"/>
  <c r="CN157" i="1" s="1"/>
  <c r="CO157" i="1" s="1"/>
  <c r="CP157" i="1" s="1"/>
  <c r="CQ157" i="1" s="1"/>
  <c r="BV155" i="1"/>
  <c r="CF155" i="1" s="1"/>
  <c r="CG155" i="1" s="1"/>
  <c r="CM155" i="1"/>
  <c r="CN155" i="1" s="1"/>
  <c r="CO155" i="1" s="1"/>
  <c r="CP155" i="1" s="1"/>
  <c r="CQ155" i="1" s="1"/>
  <c r="BV153" i="1"/>
  <c r="BX153" i="1" s="1"/>
  <c r="BY153" i="1" s="1"/>
  <c r="CM153" i="1"/>
  <c r="CN153" i="1" s="1"/>
  <c r="CO153" i="1" s="1"/>
  <c r="CP153" i="1" s="1"/>
  <c r="CQ153" i="1" s="1"/>
  <c r="BV151" i="1"/>
  <c r="BX151" i="1" s="1"/>
  <c r="BY151" i="1" s="1"/>
  <c r="CM151" i="1"/>
  <c r="CN151" i="1" s="1"/>
  <c r="CO151" i="1" s="1"/>
  <c r="CP151" i="1" s="1"/>
  <c r="CQ151" i="1" s="1"/>
  <c r="BV149" i="1"/>
  <c r="CM149" i="1"/>
  <c r="CN149" i="1" s="1"/>
  <c r="CO149" i="1" s="1"/>
  <c r="CP149" i="1" s="1"/>
  <c r="CQ149" i="1" s="1"/>
  <c r="BV147" i="1"/>
  <c r="CF147" i="1" s="1"/>
  <c r="CG147" i="1" s="1"/>
  <c r="CM147" i="1"/>
  <c r="CN147" i="1" s="1"/>
  <c r="CO147" i="1" s="1"/>
  <c r="CP147" i="1" s="1"/>
  <c r="CQ147" i="1" s="1"/>
  <c r="BV145" i="1"/>
  <c r="BX145" i="1" s="1"/>
  <c r="BY145" i="1" s="1"/>
  <c r="CM145" i="1"/>
  <c r="CN145" i="1" s="1"/>
  <c r="CO145" i="1" s="1"/>
  <c r="CP145" i="1" s="1"/>
  <c r="CQ145" i="1" s="1"/>
  <c r="BV143" i="1"/>
  <c r="CF143" i="1" s="1"/>
  <c r="CG143" i="1" s="1"/>
  <c r="CM143" i="1"/>
  <c r="CN143" i="1" s="1"/>
  <c r="CO143" i="1" s="1"/>
  <c r="CP143" i="1" s="1"/>
  <c r="CQ143" i="1" s="1"/>
  <c r="BV141" i="1"/>
  <c r="BX141" i="1" s="1"/>
  <c r="BY141" i="1" s="1"/>
  <c r="CM141" i="1"/>
  <c r="CN141" i="1" s="1"/>
  <c r="CO141" i="1" s="1"/>
  <c r="CP141" i="1" s="1"/>
  <c r="CQ141" i="1" s="1"/>
  <c r="BV139" i="1"/>
  <c r="CF139" i="1" s="1"/>
  <c r="CG139" i="1" s="1"/>
  <c r="CM139" i="1"/>
  <c r="CN139" i="1" s="1"/>
  <c r="CO139" i="1" s="1"/>
  <c r="CP139" i="1" s="1"/>
  <c r="CQ139" i="1" s="1"/>
  <c r="BV137" i="1"/>
  <c r="BX137" i="1" s="1"/>
  <c r="BY137" i="1" s="1"/>
  <c r="CM137" i="1"/>
  <c r="CN137" i="1" s="1"/>
  <c r="CO137" i="1" s="1"/>
  <c r="CP137" i="1" s="1"/>
  <c r="CQ137" i="1" s="1"/>
  <c r="BV135" i="1"/>
  <c r="CF135" i="1" s="1"/>
  <c r="CG135" i="1" s="1"/>
  <c r="CM135" i="1"/>
  <c r="CN135" i="1" s="1"/>
  <c r="CO135" i="1" s="1"/>
  <c r="CP135" i="1" s="1"/>
  <c r="CQ135" i="1" s="1"/>
  <c r="BV133" i="1"/>
  <c r="CF133" i="1" s="1"/>
  <c r="CG133" i="1" s="1"/>
  <c r="CM133" i="1"/>
  <c r="CN133" i="1" s="1"/>
  <c r="CO133" i="1" s="1"/>
  <c r="CP133" i="1" s="1"/>
  <c r="CQ133" i="1" s="1"/>
  <c r="BV131" i="1"/>
  <c r="CF131" i="1" s="1"/>
  <c r="CG131" i="1" s="1"/>
  <c r="CM131" i="1"/>
  <c r="CN131" i="1" s="1"/>
  <c r="CO131" i="1" s="1"/>
  <c r="CP131" i="1" s="1"/>
  <c r="CQ131" i="1" s="1"/>
  <c r="BV129" i="1"/>
  <c r="BX129" i="1" s="1"/>
  <c r="BY129" i="1" s="1"/>
  <c r="CM129" i="1"/>
  <c r="CN129" i="1" s="1"/>
  <c r="CO129" i="1" s="1"/>
  <c r="CP129" i="1" s="1"/>
  <c r="CQ129" i="1" s="1"/>
  <c r="BV127" i="1"/>
  <c r="CF127" i="1" s="1"/>
  <c r="CG127" i="1" s="1"/>
  <c r="CM127" i="1"/>
  <c r="CN127" i="1" s="1"/>
  <c r="CO127" i="1" s="1"/>
  <c r="CP127" i="1" s="1"/>
  <c r="CQ127" i="1" s="1"/>
  <c r="BV125" i="1"/>
  <c r="CM125" i="1"/>
  <c r="CN125" i="1" s="1"/>
  <c r="CO125" i="1" s="1"/>
  <c r="CP125" i="1" s="1"/>
  <c r="CQ125" i="1" s="1"/>
  <c r="BV123" i="1"/>
  <c r="CF123" i="1" s="1"/>
  <c r="CG123" i="1" s="1"/>
  <c r="CM123" i="1"/>
  <c r="CN123" i="1" s="1"/>
  <c r="CO123" i="1" s="1"/>
  <c r="CP123" i="1" s="1"/>
  <c r="CQ123" i="1" s="1"/>
  <c r="BV121" i="1"/>
  <c r="BX121" i="1" s="1"/>
  <c r="BY121" i="1" s="1"/>
  <c r="CM121" i="1"/>
  <c r="CN121" i="1" s="1"/>
  <c r="CO121" i="1" s="1"/>
  <c r="CP121" i="1" s="1"/>
  <c r="CQ121" i="1" s="1"/>
  <c r="BV119" i="1"/>
  <c r="CF119" i="1" s="1"/>
  <c r="CG119" i="1" s="1"/>
  <c r="CM119" i="1"/>
  <c r="CN119" i="1" s="1"/>
  <c r="CO119" i="1" s="1"/>
  <c r="CP119" i="1" s="1"/>
  <c r="CQ119" i="1" s="1"/>
  <c r="BV117" i="1"/>
  <c r="CF117" i="1" s="1"/>
  <c r="CG117" i="1" s="1"/>
  <c r="CM117" i="1"/>
  <c r="CN117" i="1" s="1"/>
  <c r="CO117" i="1" s="1"/>
  <c r="CP117" i="1" s="1"/>
  <c r="CQ117" i="1" s="1"/>
  <c r="BV115" i="1"/>
  <c r="CF115" i="1" s="1"/>
  <c r="CG115" i="1" s="1"/>
  <c r="CM115" i="1"/>
  <c r="CN115" i="1" s="1"/>
  <c r="CO115" i="1" s="1"/>
  <c r="CP115" i="1" s="1"/>
  <c r="CQ115" i="1" s="1"/>
  <c r="BV113" i="1"/>
  <c r="CF113" i="1" s="1"/>
  <c r="CG113" i="1" s="1"/>
  <c r="CM113" i="1"/>
  <c r="CN113" i="1" s="1"/>
  <c r="CO113" i="1" s="1"/>
  <c r="CP113" i="1" s="1"/>
  <c r="CQ113" i="1" s="1"/>
  <c r="BV111" i="1"/>
  <c r="CF111" i="1" s="1"/>
  <c r="CG111" i="1" s="1"/>
  <c r="CM111" i="1"/>
  <c r="CN111" i="1" s="1"/>
  <c r="CO111" i="1" s="1"/>
  <c r="CP111" i="1" s="1"/>
  <c r="CQ111" i="1" s="1"/>
  <c r="BV109" i="1"/>
  <c r="CF109" i="1" s="1"/>
  <c r="CG109" i="1" s="1"/>
  <c r="CM109" i="1"/>
  <c r="CN109" i="1" s="1"/>
  <c r="CO109" i="1" s="1"/>
  <c r="CP109" i="1" s="1"/>
  <c r="CQ109" i="1" s="1"/>
  <c r="BV107" i="1"/>
  <c r="CF107" i="1" s="1"/>
  <c r="CG107" i="1" s="1"/>
  <c r="CM107" i="1"/>
  <c r="CN107" i="1" s="1"/>
  <c r="CO107" i="1" s="1"/>
  <c r="CP107" i="1" s="1"/>
  <c r="CQ107" i="1" s="1"/>
  <c r="BV105" i="1"/>
  <c r="BX105" i="1" s="1"/>
  <c r="BY105" i="1" s="1"/>
  <c r="CM105" i="1"/>
  <c r="CN105" i="1" s="1"/>
  <c r="CO105" i="1" s="1"/>
  <c r="CP105" i="1" s="1"/>
  <c r="CQ105" i="1" s="1"/>
  <c r="CR105" i="1" s="1"/>
  <c r="BV103" i="1"/>
  <c r="CF103" i="1" s="1"/>
  <c r="CG103" i="1" s="1"/>
  <c r="CM103" i="1"/>
  <c r="CN103" i="1" s="1"/>
  <c r="CO103" i="1" s="1"/>
  <c r="CP103" i="1" s="1"/>
  <c r="CQ103" i="1" s="1"/>
  <c r="BV101" i="1"/>
  <c r="CM101" i="1"/>
  <c r="CN101" i="1" s="1"/>
  <c r="CO101" i="1" s="1"/>
  <c r="CP101" i="1" s="1"/>
  <c r="CQ101" i="1" s="1"/>
  <c r="BV99" i="1"/>
  <c r="BX99" i="1" s="1"/>
  <c r="BY99" i="1" s="1"/>
  <c r="CM99" i="1"/>
  <c r="CN99" i="1" s="1"/>
  <c r="CO99" i="1" s="1"/>
  <c r="CP99" i="1" s="1"/>
  <c r="CQ99" i="1" s="1"/>
  <c r="BV97" i="1"/>
  <c r="CF97" i="1" s="1"/>
  <c r="CG97" i="1" s="1"/>
  <c r="CM97" i="1"/>
  <c r="CN97" i="1" s="1"/>
  <c r="CO97" i="1" s="1"/>
  <c r="CP97" i="1" s="1"/>
  <c r="CQ97" i="1" s="1"/>
  <c r="BV95" i="1"/>
  <c r="BX95" i="1" s="1"/>
  <c r="BY95" i="1" s="1"/>
  <c r="CM95" i="1"/>
  <c r="CN95" i="1" s="1"/>
  <c r="CO95" i="1" s="1"/>
  <c r="CP95" i="1" s="1"/>
  <c r="CQ95" i="1" s="1"/>
  <c r="BV93" i="1"/>
  <c r="BX93" i="1" s="1"/>
  <c r="BY93" i="1" s="1"/>
  <c r="CM93" i="1"/>
  <c r="CN93" i="1" s="1"/>
  <c r="CO93" i="1" s="1"/>
  <c r="CP93" i="1" s="1"/>
  <c r="CQ93" i="1" s="1"/>
  <c r="BV91" i="1"/>
  <c r="BX91" i="1" s="1"/>
  <c r="BY91" i="1" s="1"/>
  <c r="CM91" i="1"/>
  <c r="CN91" i="1" s="1"/>
  <c r="CO91" i="1" s="1"/>
  <c r="CP91" i="1" s="1"/>
  <c r="CQ91" i="1" s="1"/>
  <c r="BV89" i="1"/>
  <c r="BX89" i="1" s="1"/>
  <c r="BY89" i="1" s="1"/>
  <c r="CM89" i="1"/>
  <c r="CN89" i="1" s="1"/>
  <c r="CO89" i="1" s="1"/>
  <c r="CP89" i="1" s="1"/>
  <c r="CQ89" i="1" s="1"/>
  <c r="BV87" i="1"/>
  <c r="BX87" i="1" s="1"/>
  <c r="BY87" i="1" s="1"/>
  <c r="CM87" i="1"/>
  <c r="CN87" i="1" s="1"/>
  <c r="CO87" i="1" s="1"/>
  <c r="CP87" i="1" s="1"/>
  <c r="CQ87" i="1" s="1"/>
  <c r="BV85" i="1"/>
  <c r="CF85" i="1" s="1"/>
  <c r="CG85" i="1" s="1"/>
  <c r="CM85" i="1"/>
  <c r="CN85" i="1" s="1"/>
  <c r="CO85" i="1" s="1"/>
  <c r="CP85" i="1" s="1"/>
  <c r="CQ85" i="1" s="1"/>
  <c r="BV83" i="1"/>
  <c r="BX83" i="1" s="1"/>
  <c r="BY83" i="1" s="1"/>
  <c r="CM83" i="1"/>
  <c r="CN83" i="1" s="1"/>
  <c r="CO83" i="1" s="1"/>
  <c r="CP83" i="1" s="1"/>
  <c r="CQ83" i="1" s="1"/>
  <c r="BV81" i="1"/>
  <c r="BX81" i="1" s="1"/>
  <c r="BY81" i="1" s="1"/>
  <c r="CM81" i="1"/>
  <c r="CN81" i="1" s="1"/>
  <c r="CO81" i="1" s="1"/>
  <c r="CP81" i="1" s="1"/>
  <c r="CQ81" i="1" s="1"/>
  <c r="BV79" i="1"/>
  <c r="BX79" i="1" s="1"/>
  <c r="BY79" i="1" s="1"/>
  <c r="CM79" i="1"/>
  <c r="CN79" i="1" s="1"/>
  <c r="CO79" i="1" s="1"/>
  <c r="CP79" i="1" s="1"/>
  <c r="CQ79" i="1" s="1"/>
  <c r="BV77" i="1"/>
  <c r="CM77" i="1"/>
  <c r="CN77" i="1" s="1"/>
  <c r="CO77" i="1" s="1"/>
  <c r="CP77" i="1" s="1"/>
  <c r="CQ77" i="1" s="1"/>
  <c r="BV75" i="1"/>
  <c r="CF75" i="1" s="1"/>
  <c r="CG75" i="1" s="1"/>
  <c r="CM75" i="1"/>
  <c r="CN75" i="1" s="1"/>
  <c r="CO75" i="1" s="1"/>
  <c r="CP75" i="1" s="1"/>
  <c r="CQ75" i="1" s="1"/>
  <c r="BV73" i="1"/>
  <c r="BX73" i="1" s="1"/>
  <c r="BY73" i="1" s="1"/>
  <c r="CM73" i="1"/>
  <c r="CN73" i="1" s="1"/>
  <c r="CO73" i="1" s="1"/>
  <c r="CP73" i="1" s="1"/>
  <c r="CQ73" i="1" s="1"/>
  <c r="BV71" i="1"/>
  <c r="CF71" i="1" s="1"/>
  <c r="CG71" i="1" s="1"/>
  <c r="CM71" i="1"/>
  <c r="CN71" i="1" s="1"/>
  <c r="CO71" i="1" s="1"/>
  <c r="CP71" i="1" s="1"/>
  <c r="CQ71" i="1" s="1"/>
  <c r="BV69" i="1"/>
  <c r="BX69" i="1" s="1"/>
  <c r="BY69" i="1" s="1"/>
  <c r="CM69" i="1"/>
  <c r="CN69" i="1" s="1"/>
  <c r="CO69" i="1" s="1"/>
  <c r="CP69" i="1" s="1"/>
  <c r="CQ69" i="1" s="1"/>
  <c r="BV67" i="1"/>
  <c r="BX67" i="1" s="1"/>
  <c r="BY67" i="1" s="1"/>
  <c r="CM67" i="1"/>
  <c r="CN67" i="1" s="1"/>
  <c r="CO67" i="1" s="1"/>
  <c r="CP67" i="1" s="1"/>
  <c r="CQ67" i="1" s="1"/>
  <c r="BV65" i="1"/>
  <c r="BX65" i="1" s="1"/>
  <c r="BY65" i="1" s="1"/>
  <c r="CM65" i="1"/>
  <c r="CN65" i="1" s="1"/>
  <c r="CO65" i="1" s="1"/>
  <c r="CP65" i="1" s="1"/>
  <c r="CQ65" i="1" s="1"/>
  <c r="BV63" i="1"/>
  <c r="BX63" i="1" s="1"/>
  <c r="BY63" i="1" s="1"/>
  <c r="CM63" i="1"/>
  <c r="CN63" i="1" s="1"/>
  <c r="CO63" i="1" s="1"/>
  <c r="CP63" i="1" s="1"/>
  <c r="CQ63" i="1" s="1"/>
  <c r="BV61" i="1"/>
  <c r="BX61" i="1" s="1"/>
  <c r="BY61" i="1" s="1"/>
  <c r="CM61" i="1"/>
  <c r="CN61" i="1" s="1"/>
  <c r="CO61" i="1" s="1"/>
  <c r="CP61" i="1" s="1"/>
  <c r="CQ61" i="1" s="1"/>
  <c r="BV59" i="1"/>
  <c r="CF59" i="1" s="1"/>
  <c r="CG59" i="1" s="1"/>
  <c r="CM59" i="1"/>
  <c r="CN59" i="1" s="1"/>
  <c r="CO59" i="1" s="1"/>
  <c r="CP59" i="1" s="1"/>
  <c r="CQ59" i="1" s="1"/>
  <c r="BV57" i="1"/>
  <c r="BX57" i="1" s="1"/>
  <c r="BY57" i="1" s="1"/>
  <c r="CM57" i="1"/>
  <c r="CN57" i="1" s="1"/>
  <c r="CO57" i="1" s="1"/>
  <c r="CP57" i="1" s="1"/>
  <c r="CQ57" i="1" s="1"/>
  <c r="BV55" i="1"/>
  <c r="CF55" i="1" s="1"/>
  <c r="CG55" i="1" s="1"/>
  <c r="CM55" i="1"/>
  <c r="CN55" i="1" s="1"/>
  <c r="CO55" i="1" s="1"/>
  <c r="CP55" i="1" s="1"/>
  <c r="CQ55" i="1" s="1"/>
  <c r="BV53" i="1"/>
  <c r="CM53" i="1"/>
  <c r="CN53" i="1" s="1"/>
  <c r="CO53" i="1" s="1"/>
  <c r="CP53" i="1" s="1"/>
  <c r="CQ53" i="1" s="1"/>
  <c r="BV51" i="1"/>
  <c r="CF51" i="1" s="1"/>
  <c r="CG51" i="1" s="1"/>
  <c r="CM51" i="1"/>
  <c r="CN51" i="1" s="1"/>
  <c r="CO51" i="1" s="1"/>
  <c r="CP51" i="1" s="1"/>
  <c r="CQ51" i="1" s="1"/>
  <c r="BV49" i="1"/>
  <c r="BX49" i="1" s="1"/>
  <c r="BY49" i="1" s="1"/>
  <c r="CM49" i="1"/>
  <c r="CN49" i="1" s="1"/>
  <c r="CO49" i="1" s="1"/>
  <c r="CP49" i="1" s="1"/>
  <c r="CQ49" i="1" s="1"/>
  <c r="BV47" i="1"/>
  <c r="CF47" i="1" s="1"/>
  <c r="CG47" i="1" s="1"/>
  <c r="CM47" i="1"/>
  <c r="CN47" i="1" s="1"/>
  <c r="CO47" i="1" s="1"/>
  <c r="CP47" i="1" s="1"/>
  <c r="CQ47" i="1" s="1"/>
  <c r="BV45" i="1"/>
  <c r="CF45" i="1" s="1"/>
  <c r="CG45" i="1" s="1"/>
  <c r="CM45" i="1"/>
  <c r="CN45" i="1" s="1"/>
  <c r="CO45" i="1" s="1"/>
  <c r="CP45" i="1" s="1"/>
  <c r="CQ45" i="1" s="1"/>
  <c r="BV43" i="1"/>
  <c r="CF43" i="1" s="1"/>
  <c r="CG43" i="1" s="1"/>
  <c r="CM43" i="1"/>
  <c r="CN43" i="1" s="1"/>
  <c r="CO43" i="1" s="1"/>
  <c r="CP43" i="1" s="1"/>
  <c r="CQ43" i="1" s="1"/>
  <c r="BV41" i="1"/>
  <c r="CF41" i="1" s="1"/>
  <c r="CG41" i="1" s="1"/>
  <c r="CM41" i="1"/>
  <c r="CN41" i="1" s="1"/>
  <c r="CO41" i="1" s="1"/>
  <c r="CP41" i="1" s="1"/>
  <c r="CQ41" i="1" s="1"/>
  <c r="BV39" i="1"/>
  <c r="BX39" i="1" s="1"/>
  <c r="BY39" i="1" s="1"/>
  <c r="CM39" i="1"/>
  <c r="CN39" i="1" s="1"/>
  <c r="CO39" i="1" s="1"/>
  <c r="CP39" i="1" s="1"/>
  <c r="CQ39" i="1" s="1"/>
  <c r="BV37" i="1"/>
  <c r="CF37" i="1" s="1"/>
  <c r="CG37" i="1" s="1"/>
  <c r="CM37" i="1"/>
  <c r="CN37" i="1" s="1"/>
  <c r="CO37" i="1" s="1"/>
  <c r="CP37" i="1" s="1"/>
  <c r="CQ37" i="1" s="1"/>
  <c r="BV35" i="1"/>
  <c r="BX35" i="1" s="1"/>
  <c r="BY35" i="1" s="1"/>
  <c r="CM35" i="1"/>
  <c r="CN35" i="1" s="1"/>
  <c r="CO35" i="1" s="1"/>
  <c r="CP35" i="1" s="1"/>
  <c r="CQ35" i="1" s="1"/>
  <c r="BV33" i="1"/>
  <c r="BX33" i="1" s="1"/>
  <c r="BY33" i="1" s="1"/>
  <c r="CM33" i="1"/>
  <c r="CN33" i="1" s="1"/>
  <c r="CO33" i="1" s="1"/>
  <c r="CP33" i="1" s="1"/>
  <c r="CQ33" i="1" s="1"/>
  <c r="BV31" i="1"/>
  <c r="BX31" i="1" s="1"/>
  <c r="BY31" i="1" s="1"/>
  <c r="CM31" i="1"/>
  <c r="CN31" i="1" s="1"/>
  <c r="CO31" i="1" s="1"/>
  <c r="CP31" i="1" s="1"/>
  <c r="CQ31" i="1" s="1"/>
  <c r="BV29" i="1"/>
  <c r="CM29" i="1"/>
  <c r="CN29" i="1" s="1"/>
  <c r="CO29" i="1" s="1"/>
  <c r="CP29" i="1" s="1"/>
  <c r="CQ29" i="1" s="1"/>
  <c r="BV27" i="1"/>
  <c r="BX27" i="1" s="1"/>
  <c r="BY27" i="1" s="1"/>
  <c r="CM27" i="1"/>
  <c r="CN27" i="1" s="1"/>
  <c r="CO27" i="1" s="1"/>
  <c r="CP27" i="1" s="1"/>
  <c r="CQ27" i="1" s="1"/>
  <c r="BV25" i="1"/>
  <c r="BX25" i="1" s="1"/>
  <c r="BY25" i="1" s="1"/>
  <c r="CM25" i="1"/>
  <c r="CN25" i="1" s="1"/>
  <c r="CO25" i="1" s="1"/>
  <c r="CP25" i="1" s="1"/>
  <c r="CQ25" i="1" s="1"/>
  <c r="BV23" i="1"/>
  <c r="BX23" i="1" s="1"/>
  <c r="BY23" i="1" s="1"/>
  <c r="CM23" i="1"/>
  <c r="CN23" i="1" s="1"/>
  <c r="CO23" i="1" s="1"/>
  <c r="CP23" i="1" s="1"/>
  <c r="CQ23" i="1" s="1"/>
  <c r="BV21" i="1"/>
  <c r="CF21" i="1" s="1"/>
  <c r="CG21" i="1" s="1"/>
  <c r="CM21" i="1"/>
  <c r="CN21" i="1" s="1"/>
  <c r="CO21" i="1" s="1"/>
  <c r="CP21" i="1" s="1"/>
  <c r="CQ21" i="1" s="1"/>
  <c r="BV19" i="1"/>
  <c r="BX19" i="1" s="1"/>
  <c r="BY19" i="1" s="1"/>
  <c r="CM19" i="1"/>
  <c r="CN19" i="1" s="1"/>
  <c r="CO19" i="1" s="1"/>
  <c r="CP19" i="1" s="1"/>
  <c r="CQ19" i="1" s="1"/>
  <c r="BV17" i="1"/>
  <c r="CF17" i="1" s="1"/>
  <c r="CG17" i="1" s="1"/>
  <c r="CM17" i="1"/>
  <c r="CN17" i="1" s="1"/>
  <c r="CO17" i="1" s="1"/>
  <c r="CP17" i="1" s="1"/>
  <c r="CQ17" i="1" s="1"/>
  <c r="BV15" i="1"/>
  <c r="BX15" i="1" s="1"/>
  <c r="BY15" i="1" s="1"/>
  <c r="CM15" i="1"/>
  <c r="CN15" i="1" s="1"/>
  <c r="CO15" i="1" s="1"/>
  <c r="CP15" i="1" s="1"/>
  <c r="CQ15" i="1" s="1"/>
  <c r="BV13" i="1"/>
  <c r="CF13" i="1" s="1"/>
  <c r="CG13" i="1" s="1"/>
  <c r="CM13" i="1"/>
  <c r="CN13" i="1" s="1"/>
  <c r="CO13" i="1" s="1"/>
  <c r="CP13" i="1" s="1"/>
  <c r="CQ13" i="1" s="1"/>
  <c r="BV11" i="1"/>
  <c r="BX11" i="1" s="1"/>
  <c r="BY11" i="1" s="1"/>
  <c r="CM11" i="1"/>
  <c r="CN11" i="1" s="1"/>
  <c r="CO11" i="1" s="1"/>
  <c r="CP11" i="1" s="1"/>
  <c r="CQ11" i="1" s="1"/>
  <c r="BV9" i="1"/>
  <c r="BX9" i="1" s="1"/>
  <c r="BY9" i="1" s="1"/>
  <c r="CM9" i="1"/>
  <c r="CN9" i="1" s="1"/>
  <c r="CO9" i="1" s="1"/>
  <c r="CP9" i="1" s="1"/>
  <c r="CQ9" i="1" s="1"/>
  <c r="BV7" i="1"/>
  <c r="CF7" i="1" s="1"/>
  <c r="CG7" i="1" s="1"/>
  <c r="CM7" i="1"/>
  <c r="CN7" i="1" s="1"/>
  <c r="CO7" i="1" s="1"/>
  <c r="CP7" i="1" s="1"/>
  <c r="CQ7" i="1" s="1"/>
  <c r="BV5" i="1"/>
  <c r="CM5" i="1"/>
  <c r="CN5" i="1" s="1"/>
  <c r="CO5" i="1" s="1"/>
  <c r="CP5" i="1" s="1"/>
  <c r="CQ5" i="1" s="1"/>
  <c r="BV3" i="1"/>
  <c r="BX3" i="1" s="1"/>
  <c r="BY3" i="1" s="1"/>
  <c r="CM3" i="1"/>
  <c r="CN3" i="1" s="1"/>
  <c r="CO3" i="1" s="1"/>
  <c r="CP3" i="1" s="1"/>
  <c r="CQ3" i="1" s="1"/>
  <c r="BV148" i="1"/>
  <c r="CF148" i="1" s="1"/>
  <c r="CG148" i="1" s="1"/>
  <c r="CM148" i="1"/>
  <c r="CN148" i="1" s="1"/>
  <c r="CO148" i="1" s="1"/>
  <c r="CP148" i="1" s="1"/>
  <c r="CQ148" i="1" s="1"/>
  <c r="BV136" i="1"/>
  <c r="BX136" i="1" s="1"/>
  <c r="BY136" i="1" s="1"/>
  <c r="CM136" i="1"/>
  <c r="CN136" i="1" s="1"/>
  <c r="CO136" i="1" s="1"/>
  <c r="CP136" i="1" s="1"/>
  <c r="CQ136" i="1" s="1"/>
  <c r="BV160" i="1"/>
  <c r="CF160" i="1" s="1"/>
  <c r="CG160" i="1" s="1"/>
  <c r="CM160" i="1"/>
  <c r="CN160" i="1" s="1"/>
  <c r="CO160" i="1" s="1"/>
  <c r="CP160" i="1" s="1"/>
  <c r="CQ160" i="1" s="1"/>
  <c r="BZ558" i="1"/>
  <c r="CA558" i="1" s="1"/>
  <c r="BZ1103" i="1"/>
  <c r="CA1103" i="1" s="1"/>
  <c r="BZ1045" i="1"/>
  <c r="CA1045" i="1" s="1"/>
  <c r="CD649" i="1"/>
  <c r="CE649" i="1" s="1"/>
  <c r="BZ333" i="1"/>
  <c r="CA333" i="1" s="1"/>
  <c r="CD1160" i="1"/>
  <c r="CE1160" i="1" s="1"/>
  <c r="CD988" i="1"/>
  <c r="CE988" i="1" s="1"/>
  <c r="BZ744" i="1"/>
  <c r="CA744" i="1" s="1"/>
  <c r="BZ606" i="1"/>
  <c r="CA606" i="1" s="1"/>
  <c r="CD695" i="1"/>
  <c r="CE695" i="1" s="1"/>
  <c r="CD647" i="1"/>
  <c r="CE647" i="1" s="1"/>
  <c r="CD1031" i="1"/>
  <c r="CE1031" i="1" s="1"/>
  <c r="CD969" i="1"/>
  <c r="CE969" i="1" s="1"/>
  <c r="CD819" i="1"/>
  <c r="CE819" i="1" s="1"/>
  <c r="CD817" i="1"/>
  <c r="CE817" i="1" s="1"/>
  <c r="BZ755" i="1"/>
  <c r="CA755" i="1" s="1"/>
  <c r="CD689" i="1"/>
  <c r="CE689" i="1" s="1"/>
  <c r="BZ841" i="1"/>
  <c r="CA841" i="1" s="1"/>
  <c r="CD829" i="1"/>
  <c r="CE829" i="1" s="1"/>
  <c r="CD827" i="1"/>
  <c r="CE827" i="1" s="1"/>
  <c r="CD825" i="1"/>
  <c r="CE825" i="1" s="1"/>
  <c r="BZ759" i="1"/>
  <c r="CA759" i="1" s="1"/>
  <c r="CD791" i="1"/>
  <c r="CE791" i="1" s="1"/>
  <c r="CD671" i="1"/>
  <c r="CE671" i="1" s="1"/>
  <c r="BZ615" i="1"/>
  <c r="CA615" i="1" s="1"/>
  <c r="BZ603" i="1"/>
  <c r="CA603" i="1" s="1"/>
  <c r="CD577" i="1"/>
  <c r="CE577" i="1" s="1"/>
  <c r="CD443" i="1"/>
  <c r="CE443" i="1" s="1"/>
  <c r="BZ1177" i="1"/>
  <c r="CA1177" i="1" s="1"/>
  <c r="CD1085" i="1"/>
  <c r="CE1085" i="1" s="1"/>
  <c r="BZ935" i="1"/>
  <c r="CA935" i="1" s="1"/>
  <c r="BZ923" i="1"/>
  <c r="CA923" i="1" s="1"/>
  <c r="CD637" i="1"/>
  <c r="CE637" i="1" s="1"/>
  <c r="CD419" i="1"/>
  <c r="CE419" i="1" s="1"/>
  <c r="BZ1181" i="1"/>
  <c r="CA1181" i="1" s="1"/>
  <c r="CD1175" i="1"/>
  <c r="CE1175" i="1" s="1"/>
  <c r="BZ1099" i="1"/>
  <c r="CA1099" i="1" s="1"/>
  <c r="BZ889" i="1"/>
  <c r="CA889" i="1" s="1"/>
  <c r="CD801" i="1"/>
  <c r="CE801" i="1" s="1"/>
  <c r="BZ727" i="1"/>
  <c r="CA727" i="1" s="1"/>
  <c r="CD665" i="1"/>
  <c r="CE665" i="1" s="1"/>
  <c r="BZ623" i="1"/>
  <c r="CA623" i="1" s="1"/>
  <c r="BZ599" i="1"/>
  <c r="CA599" i="1" s="1"/>
  <c r="BZ543" i="1"/>
  <c r="CA543" i="1" s="1"/>
  <c r="CD315" i="1"/>
  <c r="CE315" i="1" s="1"/>
  <c r="BZ301" i="1"/>
  <c r="CA301" i="1" s="1"/>
  <c r="CD1188" i="1"/>
  <c r="CE1188" i="1" s="1"/>
  <c r="CD1164" i="1"/>
  <c r="CE1164" i="1" s="1"/>
  <c r="CD996" i="1"/>
  <c r="CE996" i="1" s="1"/>
  <c r="CD974" i="1"/>
  <c r="CE974" i="1" s="1"/>
  <c r="BZ762" i="1"/>
  <c r="CA762" i="1" s="1"/>
  <c r="CD564" i="1"/>
  <c r="CE564" i="1" s="1"/>
  <c r="BZ538" i="1"/>
  <c r="CA538" i="1" s="1"/>
  <c r="CD522" i="1"/>
  <c r="CE522" i="1" s="1"/>
  <c r="CD470" i="1"/>
  <c r="CE470" i="1" s="1"/>
  <c r="CD585" i="1"/>
  <c r="CE585" i="1" s="1"/>
  <c r="BZ429" i="1"/>
  <c r="CA429" i="1" s="1"/>
  <c r="BZ1189" i="1"/>
  <c r="CA1189" i="1" s="1"/>
  <c r="CD1179" i="1"/>
  <c r="CE1179" i="1" s="1"/>
  <c r="BZ1173" i="1"/>
  <c r="CA1173" i="1" s="1"/>
  <c r="CD1151" i="1"/>
  <c r="CE1151" i="1" s="1"/>
  <c r="CD1066" i="1"/>
  <c r="CE1066" i="1" s="1"/>
  <c r="BZ976" i="1"/>
  <c r="CA976" i="1" s="1"/>
  <c r="CD920" i="1"/>
  <c r="CE920" i="1" s="1"/>
  <c r="CD1163" i="1"/>
  <c r="CE1163" i="1" s="1"/>
  <c r="CD1155" i="1"/>
  <c r="CE1155" i="1" s="1"/>
  <c r="CD1143" i="1"/>
  <c r="CE1143" i="1" s="1"/>
  <c r="CD1137" i="1"/>
  <c r="CE1137" i="1" s="1"/>
  <c r="BZ1107" i="1"/>
  <c r="CA1107" i="1" s="1"/>
  <c r="CD1089" i="1"/>
  <c r="CE1089" i="1" s="1"/>
  <c r="CD1074" i="1"/>
  <c r="CE1074" i="1" s="1"/>
  <c r="CD1016" i="1"/>
  <c r="CE1016" i="1" s="1"/>
  <c r="BZ972" i="1"/>
  <c r="CA972" i="1" s="1"/>
  <c r="BZ766" i="1"/>
  <c r="CA766" i="1" s="1"/>
  <c r="BZ764" i="1"/>
  <c r="CA764" i="1" s="1"/>
  <c r="BZ736" i="1"/>
  <c r="CA736" i="1" s="1"/>
  <c r="CD528" i="1"/>
  <c r="CE528" i="1" s="1"/>
  <c r="BZ500" i="1"/>
  <c r="CA500" i="1" s="1"/>
  <c r="BZ446" i="1"/>
  <c r="CA446" i="1" s="1"/>
  <c r="BZ432" i="1"/>
  <c r="CA432" i="1" s="1"/>
  <c r="BZ420" i="1"/>
  <c r="CA420" i="1" s="1"/>
  <c r="BZ408" i="1"/>
  <c r="CA408" i="1" s="1"/>
  <c r="BZ404" i="1"/>
  <c r="CA404" i="1" s="1"/>
  <c r="BZ186" i="1"/>
  <c r="CA186" i="1" s="1"/>
  <c r="CD128" i="1"/>
  <c r="CE128" i="1" s="1"/>
  <c r="BZ106" i="1"/>
  <c r="CA106" i="1" s="1"/>
  <c r="CD1123" i="1"/>
  <c r="CE1123" i="1" s="1"/>
  <c r="BZ897" i="1"/>
  <c r="CA897" i="1" s="1"/>
  <c r="BZ775" i="1"/>
  <c r="CA775" i="1" s="1"/>
  <c r="BZ751" i="1"/>
  <c r="CA751" i="1" s="1"/>
  <c r="CD675" i="1"/>
  <c r="CE675" i="1" s="1"/>
  <c r="BZ643" i="1"/>
  <c r="CA643" i="1" s="1"/>
  <c r="BZ631" i="1"/>
  <c r="CA631" i="1" s="1"/>
  <c r="CD557" i="1"/>
  <c r="CE557" i="1" s="1"/>
  <c r="CD549" i="1"/>
  <c r="CE549" i="1" s="1"/>
  <c r="CD533" i="1"/>
  <c r="CE533" i="1" s="1"/>
  <c r="BZ249" i="1"/>
  <c r="CA249" i="1" s="1"/>
  <c r="CD175" i="1"/>
  <c r="CE175" i="1" s="1"/>
  <c r="BZ141" i="1"/>
  <c r="CA141" i="1" s="1"/>
  <c r="BZ117" i="1"/>
  <c r="CA117" i="1" s="1"/>
  <c r="BZ97" i="1"/>
  <c r="CA97" i="1" s="1"/>
  <c r="CD93" i="1"/>
  <c r="CE93" i="1" s="1"/>
  <c r="CD69" i="1"/>
  <c r="CE69" i="1" s="1"/>
  <c r="CD13" i="1"/>
  <c r="CE13" i="1" s="1"/>
  <c r="CD1168" i="1"/>
  <c r="CE1168" i="1" s="1"/>
  <c r="CD1026" i="1"/>
  <c r="CE1026" i="1" s="1"/>
  <c r="BZ1006" i="1"/>
  <c r="CA1006" i="1" s="1"/>
  <c r="BZ1193" i="1"/>
  <c r="CA1193" i="1" s="1"/>
  <c r="CD1191" i="1"/>
  <c r="CE1191" i="1" s="1"/>
  <c r="BZ1017" i="1"/>
  <c r="CA1017" i="1" s="1"/>
  <c r="CD843" i="1"/>
  <c r="CE843" i="1" s="1"/>
  <c r="CD811" i="1"/>
  <c r="CE811" i="1" s="1"/>
  <c r="CD809" i="1"/>
  <c r="CE809" i="1" s="1"/>
  <c r="CJ1132" i="1"/>
  <c r="BD1132" i="1" s="1"/>
  <c r="CJ1160" i="1"/>
  <c r="BD1160" i="1" s="1"/>
  <c r="CD1105" i="1"/>
  <c r="CE1105" i="1" s="1"/>
  <c r="BZ1095" i="1"/>
  <c r="CA1095" i="1" s="1"/>
  <c r="CD1071" i="1"/>
  <c r="CE1071" i="1" s="1"/>
  <c r="BZ1013" i="1"/>
  <c r="CA1013" i="1" s="1"/>
  <c r="CD949" i="1"/>
  <c r="CE949" i="1" s="1"/>
  <c r="CD945" i="1"/>
  <c r="CE945" i="1" s="1"/>
  <c r="CD941" i="1"/>
  <c r="CE941" i="1" s="1"/>
  <c r="BZ927" i="1"/>
  <c r="CA927" i="1" s="1"/>
  <c r="CD857" i="1"/>
  <c r="CE857" i="1" s="1"/>
  <c r="CD795" i="1"/>
  <c r="CE795" i="1" s="1"/>
  <c r="CD793" i="1"/>
  <c r="CE793" i="1" s="1"/>
  <c r="BZ779" i="1"/>
  <c r="CA779" i="1" s="1"/>
  <c r="BZ771" i="1"/>
  <c r="CA771" i="1" s="1"/>
  <c r="CD653" i="1"/>
  <c r="CE653" i="1" s="1"/>
  <c r="CD629" i="1"/>
  <c r="CE629" i="1" s="1"/>
  <c r="BZ523" i="1"/>
  <c r="CA523" i="1" s="1"/>
  <c r="BZ519" i="1"/>
  <c r="CA519" i="1" s="1"/>
  <c r="BZ515" i="1"/>
  <c r="CA515" i="1" s="1"/>
  <c r="BZ511" i="1"/>
  <c r="CA511" i="1" s="1"/>
  <c r="BZ373" i="1"/>
  <c r="CA373" i="1" s="1"/>
  <c r="CD355" i="1"/>
  <c r="CE355" i="1" s="1"/>
  <c r="BZ221" i="1"/>
  <c r="CA221" i="1" s="1"/>
  <c r="CD191" i="1"/>
  <c r="CE191" i="1" s="1"/>
  <c r="CJ826" i="1"/>
  <c r="BD826" i="1" s="1"/>
  <c r="CD57" i="1"/>
  <c r="CE57" i="1" s="1"/>
  <c r="CD43" i="1"/>
  <c r="CE43" i="1" s="1"/>
  <c r="CD27" i="1"/>
  <c r="CE27" i="1" s="1"/>
  <c r="CD3" i="1"/>
  <c r="CE3" i="1" s="1"/>
  <c r="CJ904" i="1"/>
  <c r="BD904" i="1" s="1"/>
  <c r="CJ944" i="1"/>
  <c r="BD944" i="1" s="1"/>
  <c r="X1228" i="1"/>
  <c r="X1229" i="1" s="1"/>
  <c r="X1230" i="1" s="1"/>
  <c r="X1231" i="1" s="1"/>
  <c r="X1232" i="1" s="1"/>
  <c r="X1233" i="1" s="1"/>
  <c r="X1234" i="1" s="1"/>
  <c r="X1235" i="1" s="1"/>
  <c r="X1236" i="1" s="1"/>
  <c r="X1237" i="1" s="1"/>
  <c r="X1238" i="1" s="1"/>
  <c r="X1239" i="1" s="1"/>
  <c r="X1240" i="1" s="1"/>
  <c r="X1241" i="1" s="1"/>
  <c r="X1242" i="1" s="1"/>
  <c r="X1243" i="1" s="1"/>
  <c r="X1244" i="1" s="1"/>
  <c r="X1245" i="1" s="1"/>
  <c r="X1246" i="1" s="1"/>
  <c r="X1247" i="1" s="1"/>
  <c r="X1248" i="1" s="1"/>
  <c r="X1249" i="1" s="1"/>
  <c r="X1250" i="1" s="1"/>
  <c r="X1251" i="1" s="1"/>
  <c r="X1252" i="1" s="1"/>
  <c r="X1253" i="1" s="1"/>
  <c r="X1254" i="1" s="1"/>
  <c r="X1255" i="1" s="1"/>
  <c r="X1256" i="1" s="1"/>
  <c r="X1257" i="1" s="1"/>
  <c r="X1258" i="1" s="1"/>
  <c r="X1259" i="1" s="1"/>
  <c r="X1260" i="1" s="1"/>
  <c r="X1261" i="1" s="1"/>
  <c r="X1262" i="1" s="1"/>
  <c r="X1263" i="1" s="1"/>
  <c r="X1264" i="1" s="1"/>
  <c r="X1265" i="1" s="1"/>
  <c r="X1266" i="1" s="1"/>
  <c r="X1267" i="1" s="1"/>
  <c r="X1268" i="1" s="1"/>
  <c r="X1269" i="1" s="1"/>
  <c r="X1270" i="1" s="1"/>
  <c r="X1271" i="1" s="1"/>
  <c r="X1272" i="1" s="1"/>
  <c r="X1273" i="1" s="1"/>
  <c r="X1274" i="1" s="1"/>
  <c r="X1275" i="1" s="1"/>
  <c r="X1276" i="1" s="1"/>
  <c r="X1277" i="1" s="1"/>
  <c r="X1278" i="1" s="1"/>
  <c r="X1279" i="1" s="1"/>
  <c r="X1280" i="1" s="1"/>
  <c r="X1281" i="1" s="1"/>
  <c r="X1282" i="1" s="1"/>
  <c r="X1283" i="1" s="1"/>
  <c r="X1284" i="1" s="1"/>
  <c r="X1285" i="1" s="1"/>
  <c r="X1286" i="1" s="1"/>
  <c r="X1287" i="1" s="1"/>
  <c r="X1288" i="1" s="1"/>
  <c r="X1289" i="1" s="1"/>
  <c r="X1290" i="1" s="1"/>
  <c r="X1291" i="1" s="1"/>
  <c r="X1292" i="1" s="1"/>
  <c r="X1293" i="1" s="1"/>
  <c r="X1294" i="1" s="1"/>
  <c r="X1295" i="1" s="1"/>
  <c r="X1296" i="1" s="1"/>
  <c r="X1297" i="1" s="1"/>
  <c r="X1298" i="1" s="1"/>
  <c r="X1299" i="1" s="1"/>
  <c r="X1300" i="1" s="1"/>
  <c r="X1301" i="1" s="1"/>
  <c r="X1302" i="1" s="1"/>
  <c r="X1303" i="1" s="1"/>
  <c r="X1304" i="1" s="1"/>
  <c r="X1305" i="1" s="1"/>
  <c r="X1306" i="1" s="1"/>
  <c r="X1307" i="1" s="1"/>
  <c r="X1308" i="1" s="1"/>
  <c r="X1309" i="1" s="1"/>
  <c r="X1310" i="1" s="1"/>
  <c r="X1311" i="1" s="1"/>
  <c r="X1312" i="1" s="1"/>
  <c r="X1313" i="1" s="1"/>
  <c r="X1314" i="1" s="1"/>
  <c r="X1315" i="1" s="1"/>
  <c r="X1316" i="1" s="1"/>
  <c r="X1317" i="1" s="1"/>
  <c r="X1318" i="1" s="1"/>
  <c r="X1319" i="1" s="1"/>
  <c r="X1320" i="1" s="1"/>
  <c r="X1321" i="1" s="1"/>
  <c r="X1322" i="1" s="1"/>
  <c r="X1323" i="1" s="1"/>
  <c r="X1324" i="1" s="1"/>
  <c r="X1325" i="1" s="1"/>
  <c r="CD754" i="1"/>
  <c r="CE754" i="1" s="1"/>
  <c r="BZ748" i="1"/>
  <c r="CA748" i="1" s="1"/>
  <c r="CD544" i="1"/>
  <c r="CE544" i="1" s="1"/>
  <c r="BZ492" i="1"/>
  <c r="CA492" i="1" s="1"/>
  <c r="BZ484" i="1"/>
  <c r="CA484" i="1" s="1"/>
  <c r="CD184" i="1"/>
  <c r="CE184" i="1" s="1"/>
  <c r="BZ162" i="1"/>
  <c r="CA162" i="1" s="1"/>
  <c r="BZ138" i="1"/>
  <c r="CA138" i="1" s="1"/>
  <c r="CD693" i="1"/>
  <c r="CE693" i="1" s="1"/>
  <c r="CD687" i="1"/>
  <c r="CE687" i="1" s="1"/>
  <c r="CD661" i="1"/>
  <c r="CE661" i="1" s="1"/>
  <c r="CD645" i="1"/>
  <c r="CE645" i="1" s="1"/>
  <c r="CD593" i="1"/>
  <c r="CE593" i="1" s="1"/>
  <c r="BZ575" i="1"/>
  <c r="CA575" i="1" s="1"/>
  <c r="BZ571" i="1"/>
  <c r="CA571" i="1" s="1"/>
  <c r="BZ567" i="1"/>
  <c r="CA567" i="1" s="1"/>
  <c r="CD529" i="1"/>
  <c r="CE529" i="1" s="1"/>
  <c r="CD527" i="1"/>
  <c r="CE527" i="1" s="1"/>
  <c r="CD525" i="1"/>
  <c r="CE525" i="1" s="1"/>
  <c r="CD311" i="1"/>
  <c r="CE311" i="1" s="1"/>
  <c r="BZ289" i="1"/>
  <c r="CA289" i="1" s="1"/>
  <c r="BZ273" i="1"/>
  <c r="CA273" i="1" s="1"/>
  <c r="CD235" i="1"/>
  <c r="CE235" i="1" s="1"/>
  <c r="CD223" i="1"/>
  <c r="CE223" i="1" s="1"/>
  <c r="CD47" i="1"/>
  <c r="CE47" i="1" s="1"/>
  <c r="CD21" i="1"/>
  <c r="CE21" i="1" s="1"/>
  <c r="CD7" i="1"/>
  <c r="CE7" i="1" s="1"/>
  <c r="CJ341" i="1"/>
  <c r="BD341" i="1" s="1"/>
  <c r="CJ738" i="1"/>
  <c r="BD738" i="1" s="1"/>
  <c r="CJ60" i="1"/>
  <c r="BD60" i="1" s="1"/>
  <c r="AR1041" i="1"/>
  <c r="AS1041" i="1" s="1"/>
  <c r="CJ150" i="1"/>
  <c r="BD150" i="1" s="1"/>
  <c r="AR360" i="1"/>
  <c r="AS360" i="1" s="1"/>
  <c r="CJ747" i="1"/>
  <c r="BD747" i="1" s="1"/>
  <c r="AT193" i="1"/>
  <c r="AV193" i="1" s="1"/>
  <c r="CJ294" i="1"/>
  <c r="BD294" i="1" s="1"/>
  <c r="CJ402" i="1"/>
  <c r="BD402" i="1" s="1"/>
  <c r="CD1200" i="1"/>
  <c r="CE1200" i="1" s="1"/>
  <c r="CJ618" i="1"/>
  <c r="BD618" i="1" s="1"/>
  <c r="CJ327" i="1"/>
  <c r="BD327" i="1" s="1"/>
  <c r="CJ372" i="1"/>
  <c r="BD372" i="1" s="1"/>
  <c r="BZ176" i="1"/>
  <c r="CA176" i="1" s="1"/>
  <c r="BZ174" i="1"/>
  <c r="CA174" i="1" s="1"/>
  <c r="BZ158" i="1"/>
  <c r="CA158" i="1" s="1"/>
  <c r="CD156" i="1"/>
  <c r="CE156" i="1" s="1"/>
  <c r="BZ150" i="1"/>
  <c r="CA150" i="1" s="1"/>
  <c r="AR560" i="1"/>
  <c r="AS560" i="1" s="1"/>
  <c r="CJ530" i="1"/>
  <c r="BD530" i="1" s="1"/>
  <c r="CD863" i="1"/>
  <c r="CE863" i="1" s="1"/>
  <c r="BZ845" i="1"/>
  <c r="CA845" i="1" s="1"/>
  <c r="CD839" i="1"/>
  <c r="CE839" i="1" s="1"/>
  <c r="CD813" i="1"/>
  <c r="CE813" i="1" s="1"/>
  <c r="CD787" i="1"/>
  <c r="CE787" i="1" s="1"/>
  <c r="CD679" i="1"/>
  <c r="CE679" i="1" s="1"/>
  <c r="CD307" i="1"/>
  <c r="CE307" i="1" s="1"/>
  <c r="BZ269" i="1"/>
  <c r="CA269" i="1" s="1"/>
  <c r="BZ233" i="1"/>
  <c r="CA233" i="1" s="1"/>
  <c r="CD231" i="1"/>
  <c r="CE231" i="1" s="1"/>
  <c r="CD207" i="1"/>
  <c r="CE207" i="1" s="1"/>
  <c r="CD131" i="1"/>
  <c r="CE131" i="1" s="1"/>
  <c r="CD123" i="1"/>
  <c r="CE123" i="1" s="1"/>
  <c r="CD81" i="1"/>
  <c r="CE81" i="1" s="1"/>
  <c r="CD73" i="1"/>
  <c r="CE73" i="1" s="1"/>
  <c r="CD59" i="1"/>
  <c r="CE59" i="1" s="1"/>
  <c r="CD33" i="1"/>
  <c r="CE33" i="1" s="1"/>
  <c r="CD17" i="1"/>
  <c r="CE17" i="1" s="1"/>
  <c r="AR1078" i="1"/>
  <c r="AS1078" i="1" s="1"/>
  <c r="BZ595" i="1"/>
  <c r="CA595" i="1" s="1"/>
  <c r="CD569" i="1"/>
  <c r="CE569" i="1" s="1"/>
  <c r="CD565" i="1"/>
  <c r="CE565" i="1" s="1"/>
  <c r="BZ559" i="1"/>
  <c r="CA559" i="1" s="1"/>
  <c r="CD439" i="1"/>
  <c r="CE439" i="1" s="1"/>
  <c r="BZ417" i="1"/>
  <c r="CA417" i="1" s="1"/>
  <c r="CD363" i="1"/>
  <c r="CE363" i="1" s="1"/>
  <c r="BZ361" i="1"/>
  <c r="CA361" i="1" s="1"/>
  <c r="CD359" i="1"/>
  <c r="CE359" i="1" s="1"/>
  <c r="CD263" i="1"/>
  <c r="CE263" i="1" s="1"/>
  <c r="CD247" i="1"/>
  <c r="CE247" i="1" s="1"/>
  <c r="CD195" i="1"/>
  <c r="CE195" i="1" s="1"/>
  <c r="BZ193" i="1"/>
  <c r="CA193" i="1" s="1"/>
  <c r="CD167" i="1"/>
  <c r="CE167" i="1" s="1"/>
  <c r="CD143" i="1"/>
  <c r="CE143" i="1" s="1"/>
  <c r="CD119" i="1"/>
  <c r="CE119" i="1" s="1"/>
  <c r="CD79" i="1"/>
  <c r="CE79" i="1" s="1"/>
  <c r="CD77" i="1"/>
  <c r="CE77" i="1" s="1"/>
  <c r="CD71" i="1"/>
  <c r="CE71" i="1" s="1"/>
  <c r="CD61" i="1"/>
  <c r="CE61" i="1" s="1"/>
  <c r="CD45" i="1"/>
  <c r="CE45" i="1" s="1"/>
  <c r="CD31" i="1"/>
  <c r="CE31" i="1" s="1"/>
  <c r="CD29" i="1"/>
  <c r="CE29" i="1" s="1"/>
  <c r="CD15" i="1"/>
  <c r="CE15" i="1" s="1"/>
  <c r="AR215" i="1"/>
  <c r="AS215" i="1" s="1"/>
  <c r="AH608" i="1"/>
  <c r="AR346" i="1"/>
  <c r="AS346" i="1" s="1"/>
  <c r="AH721" i="1"/>
  <c r="AT943" i="1"/>
  <c r="AV943" i="1" s="1"/>
  <c r="AR62" i="1"/>
  <c r="AS62" i="1" s="1"/>
  <c r="AH164" i="1"/>
  <c r="AT67" i="1"/>
  <c r="AV67" i="1" s="1"/>
  <c r="BZ964" i="1"/>
  <c r="CA964" i="1" s="1"/>
  <c r="BZ960" i="1"/>
  <c r="CA960" i="1" s="1"/>
  <c r="BZ956" i="1"/>
  <c r="CA956" i="1" s="1"/>
  <c r="BZ926" i="1"/>
  <c r="CA926" i="1" s="1"/>
  <c r="CD608" i="1"/>
  <c r="CE608" i="1" s="1"/>
  <c r="CD540" i="1"/>
  <c r="CE540" i="1" s="1"/>
  <c r="CD478" i="1"/>
  <c r="CE478" i="1" s="1"/>
  <c r="CD450" i="1"/>
  <c r="CE450" i="1" s="1"/>
  <c r="CD402" i="1"/>
  <c r="CE402" i="1" s="1"/>
  <c r="BZ380" i="1"/>
  <c r="CA380" i="1" s="1"/>
  <c r="CD350" i="1"/>
  <c r="CE350" i="1" s="1"/>
  <c r="CD346" i="1"/>
  <c r="CE346" i="1" s="1"/>
  <c r="CD342" i="1"/>
  <c r="CE342" i="1" s="1"/>
  <c r="CD334" i="1"/>
  <c r="CE334" i="1" s="1"/>
  <c r="CD108" i="1"/>
  <c r="CE108" i="1" s="1"/>
  <c r="AT81" i="1"/>
  <c r="AV81" i="1" s="1"/>
  <c r="CJ744" i="1"/>
  <c r="BD744" i="1" s="1"/>
  <c r="CJ986" i="1"/>
  <c r="BD986" i="1" s="1"/>
  <c r="CJ954" i="1"/>
  <c r="BD954" i="1" s="1"/>
  <c r="AR31" i="1"/>
  <c r="AS31" i="1" s="1"/>
  <c r="AV115" i="1"/>
  <c r="AR264" i="1"/>
  <c r="AS264" i="1" s="1"/>
  <c r="AT417" i="1"/>
  <c r="AV417" i="1" s="1"/>
  <c r="AR847" i="1"/>
  <c r="AS847" i="1" s="1"/>
  <c r="AT1149" i="1"/>
  <c r="AU1149" i="1" s="1"/>
  <c r="CJ177" i="1"/>
  <c r="BD177" i="1" s="1"/>
  <c r="CD1184" i="1"/>
  <c r="CE1184" i="1" s="1"/>
  <c r="CD1176" i="1"/>
  <c r="CE1176" i="1" s="1"/>
  <c r="CD1024" i="1"/>
  <c r="CE1024" i="1" s="1"/>
  <c r="BZ992" i="1"/>
  <c r="CA992" i="1" s="1"/>
  <c r="BZ892" i="1"/>
  <c r="CA892" i="1" s="1"/>
  <c r="CD596" i="1"/>
  <c r="CE596" i="1" s="1"/>
  <c r="CD592" i="1"/>
  <c r="CE592" i="1" s="1"/>
  <c r="BZ582" i="1"/>
  <c r="CA582" i="1" s="1"/>
  <c r="CD580" i="1"/>
  <c r="CE580" i="1" s="1"/>
  <c r="BZ578" i="1"/>
  <c r="CA578" i="1" s="1"/>
  <c r="CD394" i="1"/>
  <c r="CE394" i="1" s="1"/>
  <c r="CD378" i="1"/>
  <c r="CE378" i="1" s="1"/>
  <c r="CD374" i="1"/>
  <c r="CE374" i="1" s="1"/>
  <c r="CD358" i="1"/>
  <c r="CE358" i="1" s="1"/>
  <c r="AT47" i="1"/>
  <c r="AV47" i="1" s="1"/>
  <c r="AM181" i="1"/>
  <c r="AR312" i="1"/>
  <c r="AS312" i="1" s="1"/>
  <c r="AT441" i="1"/>
  <c r="AV441" i="1" s="1"/>
  <c r="AH517" i="1"/>
  <c r="AT678" i="1"/>
  <c r="AV678" i="1" s="1"/>
  <c r="AH104" i="1"/>
  <c r="AM182" i="1"/>
  <c r="AT331" i="1"/>
  <c r="AU331" i="1" s="1"/>
  <c r="AH373" i="1"/>
  <c r="AT457" i="1"/>
  <c r="AV457" i="1" s="1"/>
  <c r="AT939" i="1"/>
  <c r="AU939" i="1" s="1"/>
  <c r="CJ109" i="1"/>
  <c r="BD109" i="1" s="1"/>
  <c r="CJ146" i="1"/>
  <c r="BD146" i="1" s="1"/>
  <c r="AH21" i="1"/>
  <c r="AH388" i="1"/>
  <c r="AR496" i="1"/>
  <c r="AS496" i="1" s="1"/>
  <c r="CJ910" i="1"/>
  <c r="BD910" i="1" s="1"/>
  <c r="AR510" i="1"/>
  <c r="AS510" i="1" s="1"/>
  <c r="BZ1197" i="1"/>
  <c r="CA1197" i="1" s="1"/>
  <c r="CD1159" i="1"/>
  <c r="CE1159" i="1" s="1"/>
  <c r="CD1147" i="1"/>
  <c r="CE1147" i="1" s="1"/>
  <c r="CD1133" i="1"/>
  <c r="CE1133" i="1" s="1"/>
  <c r="CD1097" i="1"/>
  <c r="CE1097" i="1" s="1"/>
  <c r="BZ1029" i="1"/>
  <c r="CA1029" i="1" s="1"/>
  <c r="CD861" i="1"/>
  <c r="CE861" i="1" s="1"/>
  <c r="CD835" i="1"/>
  <c r="CE835" i="1" s="1"/>
  <c r="CD677" i="1"/>
  <c r="CE677" i="1" s="1"/>
  <c r="CD651" i="1"/>
  <c r="CE651" i="1" s="1"/>
  <c r="BZ627" i="1"/>
  <c r="CA627" i="1" s="1"/>
  <c r="BZ433" i="1"/>
  <c r="CA433" i="1" s="1"/>
  <c r="BZ409" i="1"/>
  <c r="CA409" i="1" s="1"/>
  <c r="CD407" i="1"/>
  <c r="CE407" i="1" s="1"/>
  <c r="BZ389" i="1"/>
  <c r="CA389" i="1" s="1"/>
  <c r="BZ385" i="1"/>
  <c r="CA385" i="1" s="1"/>
  <c r="BZ381" i="1"/>
  <c r="CA381" i="1" s="1"/>
  <c r="CD351" i="1"/>
  <c r="CE351" i="1" s="1"/>
  <c r="CD343" i="1"/>
  <c r="CE343" i="1" s="1"/>
  <c r="BZ341" i="1"/>
  <c r="CA341" i="1" s="1"/>
  <c r="CD339" i="1"/>
  <c r="CE339" i="1" s="1"/>
  <c r="BZ337" i="1"/>
  <c r="CA337" i="1" s="1"/>
  <c r="CD335" i="1"/>
  <c r="CE335" i="1" s="1"/>
  <c r="BZ329" i="1"/>
  <c r="CA329" i="1" s="1"/>
  <c r="CD319" i="1"/>
  <c r="CE319" i="1" s="1"/>
  <c r="CD295" i="1"/>
  <c r="CE295" i="1" s="1"/>
  <c r="BZ293" i="1"/>
  <c r="CA293" i="1" s="1"/>
  <c r="CD279" i="1"/>
  <c r="CE279" i="1" s="1"/>
  <c r="CD271" i="1"/>
  <c r="CE271" i="1" s="1"/>
  <c r="CD239" i="1"/>
  <c r="CE239" i="1" s="1"/>
  <c r="CD215" i="1"/>
  <c r="CE215" i="1" s="1"/>
  <c r="CD211" i="1"/>
  <c r="CE211" i="1" s="1"/>
  <c r="CD187" i="1"/>
  <c r="CE187" i="1" s="1"/>
  <c r="BZ149" i="1"/>
  <c r="CA149" i="1" s="1"/>
  <c r="BZ91" i="1"/>
  <c r="CA91" i="1" s="1"/>
  <c r="CD85" i="1"/>
  <c r="CE85" i="1" s="1"/>
  <c r="CD75" i="1"/>
  <c r="CE75" i="1" s="1"/>
  <c r="CD65" i="1"/>
  <c r="CE65" i="1" s="1"/>
  <c r="CD53" i="1"/>
  <c r="CE53" i="1" s="1"/>
  <c r="CD39" i="1"/>
  <c r="CE39" i="1" s="1"/>
  <c r="CD37" i="1"/>
  <c r="CE37" i="1" s="1"/>
  <c r="CD23" i="1"/>
  <c r="CE23" i="1" s="1"/>
  <c r="CD5" i="1"/>
  <c r="CE5" i="1" s="1"/>
  <c r="AM659" i="1"/>
  <c r="CJ3" i="1"/>
  <c r="BD3" i="1" s="1"/>
  <c r="CJ6" i="1"/>
  <c r="BD6" i="1" s="1"/>
  <c r="CJ173" i="1"/>
  <c r="BD173" i="1" s="1"/>
  <c r="CJ515" i="1"/>
  <c r="BD515" i="1" s="1"/>
  <c r="CJ767" i="1"/>
  <c r="BD767" i="1" s="1"/>
  <c r="CJ1090" i="1"/>
  <c r="BD1090" i="1" s="1"/>
  <c r="AR38" i="1"/>
  <c r="AS38" i="1" s="1"/>
  <c r="AM59" i="1"/>
  <c r="AT90" i="1"/>
  <c r="AV90" i="1" s="1"/>
  <c r="AH127" i="1"/>
  <c r="AT370" i="1"/>
  <c r="AV370" i="1" s="1"/>
  <c r="AH397" i="1"/>
  <c r="AR514" i="1"/>
  <c r="AS514" i="1" s="1"/>
  <c r="AT616" i="1"/>
  <c r="AU616" i="1" s="1"/>
  <c r="AT961" i="1"/>
  <c r="AU961" i="1" s="1"/>
  <c r="AR1143" i="1"/>
  <c r="AS1143" i="1" s="1"/>
  <c r="CJ194" i="1"/>
  <c r="BD194" i="1" s="1"/>
  <c r="CJ266" i="1"/>
  <c r="BD266" i="1" s="1"/>
  <c r="CJ457" i="1"/>
  <c r="BD457" i="1" s="1"/>
  <c r="CJ599" i="1"/>
  <c r="BD599" i="1" s="1"/>
  <c r="CJ656" i="1"/>
  <c r="BD656" i="1" s="1"/>
  <c r="CJ989" i="1"/>
  <c r="BD989" i="1" s="1"/>
  <c r="AM18" i="1"/>
  <c r="AT854" i="1"/>
  <c r="AV854" i="1" s="1"/>
  <c r="AM934" i="1"/>
  <c r="CD879" i="1"/>
  <c r="CE879" i="1" s="1"/>
  <c r="CD851" i="1"/>
  <c r="CE851" i="1" s="1"/>
  <c r="CD833" i="1"/>
  <c r="CE833" i="1" s="1"/>
  <c r="CD805" i="1"/>
  <c r="CE805" i="1" s="1"/>
  <c r="CD719" i="1"/>
  <c r="CE719" i="1" s="1"/>
  <c r="CD613" i="1"/>
  <c r="CE613" i="1" s="1"/>
  <c r="CD609" i="1"/>
  <c r="CE609" i="1" s="1"/>
  <c r="BZ583" i="1"/>
  <c r="CA583" i="1" s="1"/>
  <c r="BZ535" i="1"/>
  <c r="CA535" i="1" s="1"/>
  <c r="BZ531" i="1"/>
  <c r="CA531" i="1" s="1"/>
  <c r="CD435" i="1"/>
  <c r="CE435" i="1" s="1"/>
  <c r="BZ413" i="1"/>
  <c r="CA413" i="1" s="1"/>
  <c r="CD327" i="1"/>
  <c r="CE327" i="1" s="1"/>
  <c r="CD299" i="1"/>
  <c r="CE299" i="1" s="1"/>
  <c r="CD259" i="1"/>
  <c r="CE259" i="1" s="1"/>
  <c r="CD227" i="1"/>
  <c r="CE227" i="1" s="1"/>
  <c r="CD203" i="1"/>
  <c r="CE203" i="1" s="1"/>
  <c r="CD49" i="1"/>
  <c r="CE49" i="1" s="1"/>
  <c r="CD35" i="1"/>
  <c r="CE35" i="1" s="1"/>
  <c r="CD19" i="1"/>
  <c r="CE19" i="1" s="1"/>
  <c r="CD9" i="1"/>
  <c r="CE9" i="1" s="1"/>
  <c r="AT56" i="1"/>
  <c r="AU56" i="1" s="1"/>
  <c r="AH246" i="1"/>
  <c r="AR376" i="1"/>
  <c r="AS376" i="1" s="1"/>
  <c r="AR546" i="1"/>
  <c r="AS546" i="1" s="1"/>
  <c r="AT1022" i="1"/>
  <c r="AU1022" i="1" s="1"/>
  <c r="AM27" i="1"/>
  <c r="AM414" i="1"/>
  <c r="AM507" i="1"/>
  <c r="AV807" i="1"/>
  <c r="AM845" i="1"/>
  <c r="AM155" i="1"/>
  <c r="AH300" i="1"/>
  <c r="AT466" i="1"/>
  <c r="AV466" i="1" s="1"/>
  <c r="AR566" i="1"/>
  <c r="AS566" i="1" s="1"/>
  <c r="AU709" i="1"/>
  <c r="AM746" i="1"/>
  <c r="AT817" i="1"/>
  <c r="AV817" i="1" s="1"/>
  <c r="AM1141" i="1"/>
  <c r="CJ872" i="1"/>
  <c r="BD872" i="1" s="1"/>
  <c r="CJ578" i="1"/>
  <c r="BD578" i="1" s="1"/>
  <c r="BZ768" i="1"/>
  <c r="CA768" i="1" s="1"/>
  <c r="CD746" i="1"/>
  <c r="CE746" i="1" s="1"/>
  <c r="CD730" i="1"/>
  <c r="CE730" i="1" s="1"/>
  <c r="CD502" i="1"/>
  <c r="CE502" i="1" s="1"/>
  <c r="BZ448" i="1"/>
  <c r="CA448" i="1" s="1"/>
  <c r="CD442" i="1"/>
  <c r="CE442" i="1" s="1"/>
  <c r="AR352" i="1"/>
  <c r="AS352" i="1" s="1"/>
  <c r="AH444" i="1"/>
  <c r="AT598" i="1"/>
  <c r="AU598" i="1" s="1"/>
  <c r="CJ822" i="1"/>
  <c r="BD822" i="1" s="1"/>
  <c r="CJ1129" i="1"/>
  <c r="BD1129" i="1" s="1"/>
  <c r="AR200" i="1"/>
  <c r="AS200" i="1" s="1"/>
  <c r="AT267" i="1"/>
  <c r="AU267" i="1" s="1"/>
  <c r="AU504" i="1"/>
  <c r="AH512" i="1"/>
  <c r="AR518" i="1"/>
  <c r="AS518" i="1" s="1"/>
  <c r="AR638" i="1"/>
  <c r="AS638" i="1" s="1"/>
  <c r="AR734" i="1"/>
  <c r="AS734" i="1" s="1"/>
  <c r="AR781" i="1"/>
  <c r="AS781" i="1" s="1"/>
  <c r="AH846" i="1"/>
  <c r="AT917" i="1"/>
  <c r="AU917" i="1" s="1"/>
  <c r="AT1010" i="1"/>
  <c r="AV1010" i="1" s="1"/>
  <c r="CJ247" i="1"/>
  <c r="BD247" i="1" s="1"/>
  <c r="CJ296" i="1"/>
  <c r="BD296" i="1" s="1"/>
  <c r="CJ365" i="1"/>
  <c r="BD365" i="1" s="1"/>
  <c r="CJ369" i="1"/>
  <c r="BD369" i="1" s="1"/>
  <c r="CJ388" i="1"/>
  <c r="BD388" i="1" s="1"/>
  <c r="CJ469" i="1"/>
  <c r="BD469" i="1" s="1"/>
  <c r="CJ842" i="1"/>
  <c r="BD842" i="1" s="1"/>
  <c r="AM110" i="1"/>
  <c r="AM247" i="1"/>
  <c r="AM476" i="1"/>
  <c r="AM536" i="1"/>
  <c r="AH541" i="1"/>
  <c r="AH569" i="1"/>
  <c r="AR592" i="1"/>
  <c r="AS592" i="1" s="1"/>
  <c r="AM615" i="1"/>
  <c r="AM903" i="1"/>
  <c r="AH904" i="1"/>
  <c r="AR922" i="1"/>
  <c r="AS922" i="1" s="1"/>
  <c r="AH972" i="1"/>
  <c r="AR1017" i="1"/>
  <c r="AS1017" i="1" s="1"/>
  <c r="AT1067" i="1"/>
  <c r="AU1067" i="1" s="1"/>
  <c r="AR1186" i="1"/>
  <c r="AS1186" i="1" s="1"/>
  <c r="CJ751" i="1"/>
  <c r="BD751" i="1" s="1"/>
  <c r="CJ906" i="1"/>
  <c r="BD906" i="1" s="1"/>
  <c r="BZ893" i="1"/>
  <c r="CA893" i="1" s="1"/>
  <c r="BZ877" i="1"/>
  <c r="CA877" i="1" s="1"/>
  <c r="CD855" i="1"/>
  <c r="CE855" i="1" s="1"/>
  <c r="CD823" i="1"/>
  <c r="CE823" i="1" s="1"/>
  <c r="CD821" i="1"/>
  <c r="CE821" i="1" s="1"/>
  <c r="CD797" i="1"/>
  <c r="CE797" i="1" s="1"/>
  <c r="BZ747" i="1"/>
  <c r="CA747" i="1" s="1"/>
  <c r="CD715" i="1"/>
  <c r="CE715" i="1" s="1"/>
  <c r="CD711" i="1"/>
  <c r="CE711" i="1" s="1"/>
  <c r="CD703" i="1"/>
  <c r="CE703" i="1" s="1"/>
  <c r="CD699" i="1"/>
  <c r="CE699" i="1" s="1"/>
  <c r="CD673" i="1"/>
  <c r="CE673" i="1" s="1"/>
  <c r="CD589" i="1"/>
  <c r="CE589" i="1" s="1"/>
  <c r="BZ555" i="1"/>
  <c r="CA555" i="1" s="1"/>
  <c r="CD545" i="1"/>
  <c r="CE545" i="1" s="1"/>
  <c r="CD375" i="1"/>
  <c r="CE375" i="1" s="1"/>
  <c r="BZ285" i="1"/>
  <c r="CA285" i="1" s="1"/>
  <c r="CD283" i="1"/>
  <c r="CE283" i="1" s="1"/>
  <c r="BZ253" i="1"/>
  <c r="CA253" i="1" s="1"/>
  <c r="CD251" i="1"/>
  <c r="CE251" i="1" s="1"/>
  <c r="CD243" i="1"/>
  <c r="CE243" i="1" s="1"/>
  <c r="CD219" i="1"/>
  <c r="CE219" i="1" s="1"/>
  <c r="BZ177" i="1"/>
  <c r="CA177" i="1" s="1"/>
  <c r="BZ161" i="1"/>
  <c r="CA161" i="1" s="1"/>
  <c r="CD89" i="1"/>
  <c r="CE89" i="1" s="1"/>
  <c r="BZ87" i="1"/>
  <c r="CA87" i="1" s="1"/>
  <c r="CD67" i="1"/>
  <c r="CE67" i="1" s="1"/>
  <c r="CD41" i="1"/>
  <c r="CE41" i="1" s="1"/>
  <c r="CD25" i="1"/>
  <c r="CE25" i="1" s="1"/>
  <c r="CD11" i="1"/>
  <c r="CE11" i="1" s="1"/>
  <c r="AH52" i="1"/>
  <c r="AH88" i="1"/>
  <c r="AH126" i="1"/>
  <c r="AM196" i="1"/>
  <c r="AH198" i="1"/>
  <c r="AR239" i="1"/>
  <c r="AS239" i="1" s="1"/>
  <c r="AR424" i="1"/>
  <c r="AS424" i="1" s="1"/>
  <c r="AH452" i="1"/>
  <c r="AH486" i="1"/>
  <c r="AH545" i="1"/>
  <c r="AH573" i="1"/>
  <c r="AH624" i="1"/>
  <c r="AM682" i="1"/>
  <c r="AM814" i="1"/>
  <c r="AH816" i="1"/>
  <c r="AM1106" i="1"/>
  <c r="CJ484" i="1"/>
  <c r="BD484" i="1" s="1"/>
  <c r="CJ1196" i="1"/>
  <c r="BD1196" i="1" s="1"/>
  <c r="AR2" i="1"/>
  <c r="AS2" i="1" s="1"/>
  <c r="BC2" i="1" s="1"/>
  <c r="AT273" i="1"/>
  <c r="AR474" i="1"/>
  <c r="AS474" i="1" s="1"/>
  <c r="AH632" i="1"/>
  <c r="AR807" i="1"/>
  <c r="AS807" i="1" s="1"/>
  <c r="AT897" i="1"/>
  <c r="AV897" i="1" s="1"/>
  <c r="AR937" i="1"/>
  <c r="AS937" i="1" s="1"/>
  <c r="AR965" i="1"/>
  <c r="AS965" i="1" s="1"/>
  <c r="AH994" i="1"/>
  <c r="AT1026" i="1"/>
  <c r="AV1026" i="1" s="1"/>
  <c r="AH1053" i="1"/>
  <c r="AT1090" i="1"/>
  <c r="AU1090" i="1" s="1"/>
  <c r="AR1145" i="1"/>
  <c r="AS1145" i="1" s="1"/>
  <c r="AM1181" i="1"/>
  <c r="AH1183" i="1"/>
  <c r="CJ1063" i="1"/>
  <c r="BD1063" i="1" s="1"/>
  <c r="AR163" i="1"/>
  <c r="AS163" i="1" s="1"/>
  <c r="AM173" i="1"/>
  <c r="AH459" i="1"/>
  <c r="AH551" i="1"/>
  <c r="AR568" i="1"/>
  <c r="AS568" i="1" s="1"/>
  <c r="AR1032" i="1"/>
  <c r="AS1032" i="1" s="1"/>
  <c r="CJ250" i="1"/>
  <c r="BD250" i="1" s="1"/>
  <c r="AH521" i="1"/>
  <c r="AH553" i="1"/>
  <c r="AM819" i="1"/>
  <c r="AM1133" i="1"/>
  <c r="AR1176" i="1"/>
  <c r="AS1176" i="1" s="1"/>
  <c r="CJ913" i="1"/>
  <c r="BD913" i="1" s="1"/>
  <c r="CJ965" i="1"/>
  <c r="BD965" i="1" s="1"/>
  <c r="CD912" i="1"/>
  <c r="CE912" i="1" s="1"/>
  <c r="CD900" i="1"/>
  <c r="CE900" i="1" s="1"/>
  <c r="BZ780" i="1"/>
  <c r="CA780" i="1" s="1"/>
  <c r="BZ774" i="1"/>
  <c r="CA774" i="1" s="1"/>
  <c r="BZ520" i="1"/>
  <c r="CA520" i="1" s="1"/>
  <c r="BZ512" i="1"/>
  <c r="CA512" i="1" s="1"/>
  <c r="BZ452" i="1"/>
  <c r="CA452" i="1" s="1"/>
  <c r="BZ104" i="1"/>
  <c r="CA104" i="1" s="1"/>
  <c r="CJ2" i="1"/>
  <c r="BD2" i="1" s="1"/>
  <c r="BE2" i="1" s="1"/>
  <c r="AM100" i="1"/>
  <c r="AU169" i="1"/>
  <c r="AM269" i="1"/>
  <c r="AH270" i="1"/>
  <c r="AR311" i="1"/>
  <c r="AS311" i="1" s="1"/>
  <c r="AH381" i="1"/>
  <c r="AU398" i="1"/>
  <c r="AR515" i="1"/>
  <c r="AS515" i="1" s="1"/>
  <c r="AH528" i="1"/>
  <c r="AM641" i="1"/>
  <c r="AT765" i="1"/>
  <c r="AM786" i="1"/>
  <c r="AH844" i="1"/>
  <c r="AU848" i="1"/>
  <c r="AM857" i="1"/>
  <c r="AR941" i="1"/>
  <c r="AS941" i="1" s="1"/>
  <c r="AM961" i="1"/>
  <c r="AT1049" i="1"/>
  <c r="AV1049" i="1" s="1"/>
  <c r="AU1127" i="1"/>
  <c r="CJ95" i="1"/>
  <c r="BD95" i="1" s="1"/>
  <c r="CJ756" i="1"/>
  <c r="BD756" i="1" s="1"/>
  <c r="CJ795" i="1"/>
  <c r="BD795" i="1" s="1"/>
  <c r="AM544" i="1"/>
  <c r="AH544" i="1"/>
  <c r="AM863" i="1"/>
  <c r="AH863" i="1"/>
  <c r="AM910" i="1"/>
  <c r="AH910" i="1"/>
  <c r="AM950" i="1"/>
  <c r="AT980" i="1"/>
  <c r="AU980" i="1" s="1"/>
  <c r="AT985" i="1"/>
  <c r="AU985" i="1" s="1"/>
  <c r="AR985" i="1"/>
  <c r="AS985" i="1" s="1"/>
  <c r="AR1151" i="1"/>
  <c r="AS1151" i="1" s="1"/>
  <c r="AT1151" i="1"/>
  <c r="AT75" i="1"/>
  <c r="AR168" i="1"/>
  <c r="AS168" i="1" s="1"/>
  <c r="AH175" i="1"/>
  <c r="AU207" i="1"/>
  <c r="AR209" i="1"/>
  <c r="AS209" i="1" s="1"/>
  <c r="AT209" i="1"/>
  <c r="AV209" i="1" s="1"/>
  <c r="AH318" i="1"/>
  <c r="AT337" i="1"/>
  <c r="AV337" i="1" s="1"/>
  <c r="AT339" i="1"/>
  <c r="AR339" i="1"/>
  <c r="AS339" i="1" s="1"/>
  <c r="AT470" i="1"/>
  <c r="AU470" i="1" s="1"/>
  <c r="AH477" i="1"/>
  <c r="AV488" i="1"/>
  <c r="AT490" i="1"/>
  <c r="AV490" i="1" s="1"/>
  <c r="AR490" i="1"/>
  <c r="AS490" i="1" s="1"/>
  <c r="AH603" i="1"/>
  <c r="AH705" i="1"/>
  <c r="AM771" i="1"/>
  <c r="AR819" i="1"/>
  <c r="AS819" i="1" s="1"/>
  <c r="AR898" i="1"/>
  <c r="AS898" i="1" s="1"/>
  <c r="AH1037" i="1"/>
  <c r="AH1076" i="1"/>
  <c r="AM1076" i="1"/>
  <c r="AH36" i="1"/>
  <c r="AM36" i="1"/>
  <c r="AM60" i="1"/>
  <c r="AH163" i="1"/>
  <c r="AM163" i="1"/>
  <c r="AM180" i="1"/>
  <c r="AH180" i="1"/>
  <c r="AR268" i="1"/>
  <c r="AS268" i="1" s="1"/>
  <c r="AT268" i="1"/>
  <c r="AU268" i="1" s="1"/>
  <c r="AM430" i="1"/>
  <c r="AH430" i="1"/>
  <c r="AH614" i="1"/>
  <c r="AM614" i="1"/>
  <c r="AT664" i="1"/>
  <c r="AU664" i="1" s="1"/>
  <c r="AR664" i="1"/>
  <c r="AS664" i="1" s="1"/>
  <c r="AM714" i="1"/>
  <c r="AH714" i="1"/>
  <c r="AU799" i="1"/>
  <c r="AV799" i="1"/>
  <c r="AR945" i="1"/>
  <c r="AS945" i="1" s="1"/>
  <c r="AT945" i="1"/>
  <c r="AV945" i="1" s="1"/>
  <c r="AT148" i="1"/>
  <c r="AV148" i="1" s="1"/>
  <c r="AM156" i="1"/>
  <c r="AT195" i="1"/>
  <c r="AR226" i="1"/>
  <c r="AS226" i="1" s="1"/>
  <c r="AR316" i="1"/>
  <c r="AS316" i="1" s="1"/>
  <c r="AT316" i="1"/>
  <c r="AV316" i="1" s="1"/>
  <c r="AV406" i="1"/>
  <c r="AH469" i="1"/>
  <c r="AH485" i="1"/>
  <c r="AM485" i="1"/>
  <c r="AR503" i="1"/>
  <c r="AS503" i="1" s="1"/>
  <c r="AU515" i="1"/>
  <c r="AH525" i="1"/>
  <c r="AM527" i="1"/>
  <c r="AH527" i="1"/>
  <c r="AT637" i="1"/>
  <c r="AV637" i="1" s="1"/>
  <c r="AH642" i="1"/>
  <c r="AR701" i="1"/>
  <c r="AS701" i="1" s="1"/>
  <c r="AU704" i="1"/>
  <c r="AV704" i="1"/>
  <c r="AT855" i="1"/>
  <c r="AV855" i="1" s="1"/>
  <c r="AR855" i="1"/>
  <c r="AS855" i="1" s="1"/>
  <c r="AM894" i="1"/>
  <c r="AH894" i="1"/>
  <c r="AR934" i="1"/>
  <c r="AS934" i="1" s="1"/>
  <c r="AT934" i="1"/>
  <c r="AV934" i="1" s="1"/>
  <c r="AH940" i="1"/>
  <c r="AM940" i="1"/>
  <c r="AH1013" i="1"/>
  <c r="AT1027" i="1"/>
  <c r="AV1027" i="1" s="1"/>
  <c r="AR1062" i="1"/>
  <c r="AS1062" i="1" s="1"/>
  <c r="AR153" i="1"/>
  <c r="AS153" i="1" s="1"/>
  <c r="AT153" i="1"/>
  <c r="AV153" i="1" s="1"/>
  <c r="AH253" i="1"/>
  <c r="AM253" i="1"/>
  <c r="AH310" i="1"/>
  <c r="AM310" i="1"/>
  <c r="AH643" i="1"/>
  <c r="AM650" i="1"/>
  <c r="AH650" i="1"/>
  <c r="AH683" i="1"/>
  <c r="AR704" i="1"/>
  <c r="AS704" i="1" s="1"/>
  <c r="AT841" i="1"/>
  <c r="AT967" i="1"/>
  <c r="AV967" i="1" s="1"/>
  <c r="AT969" i="1"/>
  <c r="AU969" i="1" s="1"/>
  <c r="AR969" i="1"/>
  <c r="AS969" i="1" s="1"/>
  <c r="AH1021" i="1"/>
  <c r="AM1021" i="1"/>
  <c r="AU1062" i="1"/>
  <c r="AH1093" i="1"/>
  <c r="AM1093" i="1"/>
  <c r="AM1102" i="1"/>
  <c r="AH1102" i="1"/>
  <c r="AH1164" i="1"/>
  <c r="AM1164" i="1"/>
  <c r="AT4" i="1"/>
  <c r="AU4" i="1" s="1"/>
  <c r="AH13" i="1"/>
  <c r="AM13" i="1"/>
  <c r="AT124" i="1"/>
  <c r="AH132" i="1"/>
  <c r="AH139" i="1"/>
  <c r="AM139" i="1"/>
  <c r="AH140" i="1"/>
  <c r="AM140" i="1"/>
  <c r="AH190" i="1"/>
  <c r="AH375" i="1"/>
  <c r="AR385" i="1"/>
  <c r="AS385" i="1" s="1"/>
  <c r="AT639" i="1"/>
  <c r="AV639" i="1" s="1"/>
  <c r="AR680" i="1"/>
  <c r="AS680" i="1" s="1"/>
  <c r="AH689" i="1"/>
  <c r="AH724" i="1"/>
  <c r="AR742" i="1"/>
  <c r="AS742" i="1" s="1"/>
  <c r="AH794" i="1"/>
  <c r="AH851" i="1"/>
  <c r="AM851" i="1"/>
  <c r="AT874" i="1"/>
  <c r="AU874" i="1" s="1"/>
  <c r="AR874" i="1"/>
  <c r="AS874" i="1" s="1"/>
  <c r="AH919" i="1"/>
  <c r="AH920" i="1"/>
  <c r="AM920" i="1"/>
  <c r="AM921" i="1"/>
  <c r="AH921" i="1"/>
  <c r="AR959" i="1"/>
  <c r="AS959" i="1" s="1"/>
  <c r="AT996" i="1"/>
  <c r="AV996" i="1" s="1"/>
  <c r="AT1006" i="1"/>
  <c r="AU1006" i="1" s="1"/>
  <c r="AR1006" i="1"/>
  <c r="AS1006" i="1" s="1"/>
  <c r="AT1201" i="1"/>
  <c r="AV1201" i="1" s="1"/>
  <c r="AR1201" i="1"/>
  <c r="AS1201" i="1" s="1"/>
  <c r="AH219" i="1"/>
  <c r="AM219" i="1"/>
  <c r="AR279" i="1"/>
  <c r="AS279" i="1" s="1"/>
  <c r="AT290" i="1"/>
  <c r="AV290" i="1" s="1"/>
  <c r="AR290" i="1"/>
  <c r="AS290" i="1" s="1"/>
  <c r="AH445" i="1"/>
  <c r="AM451" i="1"/>
  <c r="AH451" i="1"/>
  <c r="AH499" i="1"/>
  <c r="AM499" i="1"/>
  <c r="AM633" i="1"/>
  <c r="AH633" i="1"/>
  <c r="AM693" i="1"/>
  <c r="AH693" i="1"/>
  <c r="AH733" i="1"/>
  <c r="AH803" i="1"/>
  <c r="AM803" i="1"/>
  <c r="AH806" i="1"/>
  <c r="AM806" i="1"/>
  <c r="AR914" i="1"/>
  <c r="AS914" i="1" s="1"/>
  <c r="AH993" i="1"/>
  <c r="AM993" i="1"/>
  <c r="AH1059" i="1"/>
  <c r="AM1059" i="1"/>
  <c r="AR1086" i="1"/>
  <c r="AS1086" i="1" s="1"/>
  <c r="AT1086" i="1"/>
  <c r="AV1086" i="1" s="1"/>
  <c r="AH86" i="1"/>
  <c r="AM380" i="1"/>
  <c r="AH380" i="1"/>
  <c r="AH537" i="1"/>
  <c r="AT718" i="1"/>
  <c r="AV718" i="1" s="1"/>
  <c r="AR782" i="1"/>
  <c r="AS782" i="1" s="1"/>
  <c r="AM830" i="1"/>
  <c r="AH830" i="1"/>
  <c r="AH953" i="1"/>
  <c r="AM953" i="1"/>
  <c r="AT977" i="1"/>
  <c r="AU977" i="1" s="1"/>
  <c r="CJ76" i="1"/>
  <c r="BD76" i="1" s="1"/>
  <c r="CJ112" i="1"/>
  <c r="BD112" i="1" s="1"/>
  <c r="CJ198" i="1"/>
  <c r="BD198" i="1" s="1"/>
  <c r="CJ338" i="1"/>
  <c r="BD338" i="1" s="1"/>
  <c r="CJ559" i="1"/>
  <c r="BD559" i="1" s="1"/>
  <c r="CJ593" i="1"/>
  <c r="BD593" i="1" s="1"/>
  <c r="CJ670" i="1"/>
  <c r="BD670" i="1" s="1"/>
  <c r="BE670" i="1" s="1"/>
  <c r="CJ724" i="1"/>
  <c r="BD724" i="1" s="1"/>
  <c r="CJ741" i="1"/>
  <c r="BD741" i="1" s="1"/>
  <c r="CJ796" i="1"/>
  <c r="BD796" i="1" s="1"/>
  <c r="CJ818" i="1"/>
  <c r="BD818" i="1" s="1"/>
  <c r="CJ832" i="1"/>
  <c r="BD832" i="1" s="1"/>
  <c r="CJ955" i="1"/>
  <c r="BD955" i="1" s="1"/>
  <c r="CJ959" i="1"/>
  <c r="BD959" i="1" s="1"/>
  <c r="CJ1021" i="1"/>
  <c r="BD1021" i="1" s="1"/>
  <c r="CJ1100" i="1"/>
  <c r="BD1100" i="1" s="1"/>
  <c r="CJ1135" i="1"/>
  <c r="BD1135" i="1" s="1"/>
  <c r="BZ464" i="1"/>
  <c r="CA464" i="1" s="1"/>
  <c r="BZ460" i="1"/>
  <c r="CA460" i="1" s="1"/>
  <c r="CD444" i="1"/>
  <c r="CE444" i="1" s="1"/>
  <c r="CD440" i="1"/>
  <c r="CE440" i="1" s="1"/>
  <c r="BZ412" i="1"/>
  <c r="CA412" i="1" s="1"/>
  <c r="BZ392" i="1"/>
  <c r="CA392" i="1" s="1"/>
  <c r="BZ388" i="1"/>
  <c r="CA388" i="1" s="1"/>
  <c r="BZ356" i="1"/>
  <c r="CA356" i="1" s="1"/>
  <c r="BZ340" i="1"/>
  <c r="CA340" i="1" s="1"/>
  <c r="BZ336" i="1"/>
  <c r="CA336" i="1" s="1"/>
  <c r="BZ166" i="1"/>
  <c r="CA166" i="1" s="1"/>
  <c r="CD164" i="1"/>
  <c r="CE164" i="1" s="1"/>
  <c r="BZ142" i="1"/>
  <c r="CA142" i="1" s="1"/>
  <c r="CD136" i="1"/>
  <c r="CE136" i="1" s="1"/>
  <c r="BZ124" i="1"/>
  <c r="CA124" i="1" s="1"/>
  <c r="BZ116" i="1"/>
  <c r="CA116" i="1" s="1"/>
  <c r="BZ114" i="1"/>
  <c r="CA114" i="1" s="1"/>
  <c r="CD98" i="1"/>
  <c r="CE98" i="1" s="1"/>
  <c r="AH762" i="1"/>
  <c r="AT768" i="1"/>
  <c r="AU768" i="1" s="1"/>
  <c r="AH778" i="1"/>
  <c r="AH832" i="1"/>
  <c r="AH852" i="1"/>
  <c r="CJ375" i="1"/>
  <c r="BD375" i="1" s="1"/>
  <c r="CJ717" i="1"/>
  <c r="BD717" i="1" s="1"/>
  <c r="CJ799" i="1"/>
  <c r="BD799" i="1" s="1"/>
  <c r="CJ883" i="1"/>
  <c r="BD883" i="1" s="1"/>
  <c r="CJ948" i="1"/>
  <c r="BD948" i="1" s="1"/>
  <c r="CJ987" i="1"/>
  <c r="BD987" i="1" s="1"/>
  <c r="AZ382" i="1"/>
  <c r="AZ374" i="1"/>
  <c r="AK322" i="1"/>
  <c r="AZ312" i="1"/>
  <c r="AZ290" i="1"/>
  <c r="AZ288" i="1"/>
  <c r="AK284" i="1"/>
  <c r="AZ278" i="1"/>
  <c r="AK268" i="1"/>
  <c r="AK242" i="1"/>
  <c r="AK240" i="1"/>
  <c r="AK238" i="1"/>
  <c r="AZ234" i="1"/>
  <c r="AK216" i="1"/>
  <c r="AK202" i="1"/>
  <c r="AR131" i="1"/>
  <c r="AS131" i="1" s="1"/>
  <c r="AR185" i="1"/>
  <c r="AS185" i="1" s="1"/>
  <c r="AT213" i="1"/>
  <c r="AU213" i="1" s="1"/>
  <c r="AT576" i="1"/>
  <c r="AU576" i="1" s="1"/>
  <c r="AR602" i="1"/>
  <c r="AS602" i="1" s="1"/>
  <c r="AT630" i="1"/>
  <c r="AR788" i="1"/>
  <c r="AS788" i="1" s="1"/>
  <c r="AU802" i="1"/>
  <c r="AR859" i="1"/>
  <c r="AS859" i="1" s="1"/>
  <c r="AM870" i="1"/>
  <c r="AM956" i="1"/>
  <c r="AM977" i="1"/>
  <c r="AR1033" i="1"/>
  <c r="AS1033" i="1" s="1"/>
  <c r="AV1054" i="1"/>
  <c r="AM1061" i="1"/>
  <c r="AT1072" i="1"/>
  <c r="AU1072" i="1" s="1"/>
  <c r="AH1083" i="1"/>
  <c r="AM1149" i="1"/>
  <c r="AR1159" i="1"/>
  <c r="AS1159" i="1" s="1"/>
  <c r="AM1165" i="1"/>
  <c r="AH1191" i="1"/>
  <c r="AH19" i="1"/>
  <c r="AM203" i="1"/>
  <c r="AH204" i="1"/>
  <c r="AH286" i="1"/>
  <c r="AT340" i="1"/>
  <c r="AV340" i="1" s="1"/>
  <c r="AH351" i="1"/>
  <c r="AT361" i="1"/>
  <c r="AV361" i="1" s="1"/>
  <c r="AH382" i="1"/>
  <c r="AR392" i="1"/>
  <c r="AS392" i="1" s="1"/>
  <c r="AT419" i="1"/>
  <c r="AV419" i="1" s="1"/>
  <c r="AM436" i="1"/>
  <c r="AR449" i="1"/>
  <c r="AS449" i="1" s="1"/>
  <c r="AR497" i="1"/>
  <c r="AS497" i="1" s="1"/>
  <c r="AT540" i="1"/>
  <c r="AV540" i="1" s="1"/>
  <c r="AH657" i="1"/>
  <c r="AM698" i="1"/>
  <c r="AR724" i="1"/>
  <c r="AS724" i="1" s="1"/>
  <c r="AM871" i="1"/>
  <c r="AT1056" i="1"/>
  <c r="AV1056" i="1" s="1"/>
  <c r="AT1075" i="1"/>
  <c r="AU1075" i="1" s="1"/>
  <c r="AM1117" i="1"/>
  <c r="AH1151" i="1"/>
  <c r="AU1159" i="1"/>
  <c r="AM1174" i="1"/>
  <c r="AT1183" i="1"/>
  <c r="AM68" i="1"/>
  <c r="AR199" i="1"/>
  <c r="AS199" i="1" s="1"/>
  <c r="AU216" i="1"/>
  <c r="AH268" i="1"/>
  <c r="AH288" i="1"/>
  <c r="AR327" i="1"/>
  <c r="AS327" i="1" s="1"/>
  <c r="AT364" i="1"/>
  <c r="AU364" i="1" s="1"/>
  <c r="AM372" i="1"/>
  <c r="AU497" i="1"/>
  <c r="AH531" i="1"/>
  <c r="AH547" i="1"/>
  <c r="AT582" i="1"/>
  <c r="AU582" i="1" s="1"/>
  <c r="AR646" i="1"/>
  <c r="AS646" i="1" s="1"/>
  <c r="AH681" i="1"/>
  <c r="AR758" i="1"/>
  <c r="AS758" i="1" s="1"/>
  <c r="AT777" i="1"/>
  <c r="AU777" i="1" s="1"/>
  <c r="AM799" i="1"/>
  <c r="AM811" i="1"/>
  <c r="AM902" i="1"/>
  <c r="AR973" i="1"/>
  <c r="AS973" i="1" s="1"/>
  <c r="AH1030" i="1"/>
  <c r="AM1197" i="1"/>
  <c r="CJ347" i="1"/>
  <c r="BD347" i="1" s="1"/>
  <c r="CJ691" i="1"/>
  <c r="BD691" i="1" s="1"/>
  <c r="CJ704" i="1"/>
  <c r="BD704" i="1" s="1"/>
  <c r="CJ773" i="1"/>
  <c r="BD773" i="1" s="1"/>
  <c r="CJ827" i="1"/>
  <c r="BD827" i="1" s="1"/>
  <c r="CJ878" i="1"/>
  <c r="BD878" i="1" s="1"/>
  <c r="CJ882" i="1"/>
  <c r="BD882" i="1" s="1"/>
  <c r="CJ916" i="1"/>
  <c r="BD916" i="1" s="1"/>
  <c r="CJ962" i="1"/>
  <c r="BD962" i="1" s="1"/>
  <c r="CJ971" i="1"/>
  <c r="BD971" i="1" s="1"/>
  <c r="AZ8" i="1"/>
  <c r="AK44" i="1"/>
  <c r="AU95" i="1"/>
  <c r="AV95" i="1"/>
  <c r="AZ118" i="1"/>
  <c r="AH158" i="1"/>
  <c r="AM158" i="1"/>
  <c r="AM229" i="1"/>
  <c r="AH229" i="1"/>
  <c r="AV359" i="1"/>
  <c r="AU359" i="1"/>
  <c r="AT399" i="1"/>
  <c r="AR399" i="1"/>
  <c r="AS399" i="1" s="1"/>
  <c r="AM461" i="1"/>
  <c r="AH461" i="1"/>
  <c r="AH501" i="1"/>
  <c r="AM501" i="1"/>
  <c r="AR516" i="1"/>
  <c r="AS516" i="1" s="1"/>
  <c r="AT516" i="1"/>
  <c r="AV516" i="1" s="1"/>
  <c r="AT654" i="1"/>
  <c r="AV654" i="1" s="1"/>
  <c r="AR654" i="1"/>
  <c r="AS654" i="1" s="1"/>
  <c r="AM748" i="1"/>
  <c r="AH748" i="1"/>
  <c r="AR891" i="1"/>
  <c r="AS891" i="1" s="1"/>
  <c r="AT891" i="1"/>
  <c r="AV891" i="1" s="1"/>
  <c r="AT906" i="1"/>
  <c r="AR906" i="1"/>
  <c r="AS906" i="1" s="1"/>
  <c r="AT1050" i="1"/>
  <c r="AU1050" i="1" s="1"/>
  <c r="AR1050" i="1"/>
  <c r="AS1050" i="1" s="1"/>
  <c r="AR1147" i="1"/>
  <c r="AS1147" i="1" s="1"/>
  <c r="AT1147" i="1"/>
  <c r="AV1147" i="1" s="1"/>
  <c r="AZ12" i="1"/>
  <c r="AT24" i="1"/>
  <c r="AU24" i="1" s="1"/>
  <c r="AH28" i="1"/>
  <c r="AR30" i="1"/>
  <c r="AS30" i="1" s="1"/>
  <c r="AH45" i="1"/>
  <c r="AR54" i="1"/>
  <c r="AS54" i="1" s="1"/>
  <c r="AT64" i="1"/>
  <c r="AU64" i="1" s="1"/>
  <c r="AR64" i="1"/>
  <c r="AS64" i="1" s="1"/>
  <c r="AV79" i="1"/>
  <c r="AM101" i="1"/>
  <c r="AH103" i="1"/>
  <c r="AK128" i="1"/>
  <c r="AM142" i="1"/>
  <c r="AK144" i="1"/>
  <c r="AK158" i="1"/>
  <c r="AM160" i="1"/>
  <c r="AH160" i="1"/>
  <c r="AR178" i="1"/>
  <c r="AS178" i="1" s="1"/>
  <c r="AH214" i="1"/>
  <c r="AR218" i="1"/>
  <c r="AS218" i="1" s="1"/>
  <c r="AH237" i="1"/>
  <c r="AH339" i="1"/>
  <c r="AM339" i="1"/>
  <c r="AR359" i="1"/>
  <c r="AS359" i="1" s="1"/>
  <c r="AH437" i="1"/>
  <c r="AM438" i="1"/>
  <c r="AH438" i="1"/>
  <c r="AR480" i="1"/>
  <c r="AS480" i="1" s="1"/>
  <c r="AT480" i="1"/>
  <c r="AU480" i="1" s="1"/>
  <c r="AV496" i="1"/>
  <c r="AM515" i="1"/>
  <c r="AH515" i="1"/>
  <c r="AH552" i="1"/>
  <c r="AR578" i="1"/>
  <c r="AS578" i="1" s="1"/>
  <c r="AH590" i="1"/>
  <c r="AM590" i="1"/>
  <c r="AH635" i="1"/>
  <c r="AR741" i="1"/>
  <c r="AS741" i="1" s="1"/>
  <c r="AT867" i="1"/>
  <c r="AV867" i="1" s="1"/>
  <c r="AU971" i="1"/>
  <c r="AV971" i="1"/>
  <c r="AH1135" i="1"/>
  <c r="BV142" i="1"/>
  <c r="CF142" i="1" s="1"/>
  <c r="CG142" i="1" s="1"/>
  <c r="AK142" i="1"/>
  <c r="BV122" i="1"/>
  <c r="BX122" i="1" s="1"/>
  <c r="BY122" i="1" s="1"/>
  <c r="AZ122" i="1"/>
  <c r="BV96" i="1"/>
  <c r="BX96" i="1" s="1"/>
  <c r="BY96" i="1" s="1"/>
  <c r="AK96" i="1"/>
  <c r="BV86" i="1"/>
  <c r="CF86" i="1" s="1"/>
  <c r="CG86" i="1" s="1"/>
  <c r="AK86" i="1"/>
  <c r="BV54" i="1"/>
  <c r="BX54" i="1" s="1"/>
  <c r="BY54" i="1" s="1"/>
  <c r="AZ54" i="1"/>
  <c r="AT83" i="1"/>
  <c r="AU83" i="1" s="1"/>
  <c r="AR83" i="1"/>
  <c r="AS83" i="1" s="1"/>
  <c r="AH107" i="1"/>
  <c r="AM107" i="1"/>
  <c r="AT111" i="1"/>
  <c r="AV111" i="1" s="1"/>
  <c r="AR111" i="1"/>
  <c r="AS111" i="1" s="1"/>
  <c r="AK130" i="1"/>
  <c r="AT211" i="1"/>
  <c r="AR211" i="1"/>
  <c r="AS211" i="1" s="1"/>
  <c r="AH261" i="1"/>
  <c r="AM261" i="1"/>
  <c r="AM262" i="1"/>
  <c r="AH262" i="1"/>
  <c r="AH323" i="1"/>
  <c r="AM323" i="1"/>
  <c r="AM396" i="1"/>
  <c r="AH396" i="1"/>
  <c r="AT472" i="1"/>
  <c r="AR472" i="1"/>
  <c r="AS472" i="1" s="1"/>
  <c r="AT580" i="1"/>
  <c r="AV580" i="1" s="1"/>
  <c r="AR580" i="1"/>
  <c r="AS580" i="1" s="1"/>
  <c r="AM651" i="1"/>
  <c r="AH651" i="1"/>
  <c r="AR720" i="1"/>
  <c r="AS720" i="1" s="1"/>
  <c r="AT720" i="1"/>
  <c r="AU720" i="1" s="1"/>
  <c r="AH995" i="1"/>
  <c r="AM995" i="1"/>
  <c r="AR14" i="1"/>
  <c r="AS14" i="1" s="1"/>
  <c r="AK20" i="1"/>
  <c r="AM34" i="1"/>
  <c r="AT42" i="1"/>
  <c r="AU42" i="1" s="1"/>
  <c r="AH76" i="1"/>
  <c r="AM76" i="1"/>
  <c r="AR100" i="1"/>
  <c r="AS100" i="1" s="1"/>
  <c r="AT100" i="1"/>
  <c r="AU100" i="1" s="1"/>
  <c r="AR171" i="1"/>
  <c r="AS171" i="1" s="1"/>
  <c r="AT171" i="1"/>
  <c r="AU171" i="1" s="1"/>
  <c r="AH176" i="1"/>
  <c r="AR202" i="1"/>
  <c r="AS202" i="1" s="1"/>
  <c r="AH206" i="1"/>
  <c r="AH207" i="1"/>
  <c r="AM207" i="1"/>
  <c r="AT225" i="1"/>
  <c r="AV225" i="1" s="1"/>
  <c r="AR225" i="1"/>
  <c r="AS225" i="1" s="1"/>
  <c r="AR280" i="1"/>
  <c r="AS280" i="1" s="1"/>
  <c r="AH291" i="1"/>
  <c r="AM291" i="1"/>
  <c r="AM294" i="1"/>
  <c r="AH294" i="1"/>
  <c r="AR306" i="1"/>
  <c r="AS306" i="1" s="1"/>
  <c r="AH312" i="1"/>
  <c r="AR347" i="1"/>
  <c r="AS347" i="1" s="1"/>
  <c r="AR408" i="1"/>
  <c r="AS408" i="1" s="1"/>
  <c r="AR432" i="1"/>
  <c r="AS432" i="1" s="1"/>
  <c r="AT434" i="1"/>
  <c r="AV434" i="1" s="1"/>
  <c r="AR434" i="1"/>
  <c r="AS434" i="1" s="1"/>
  <c r="AT498" i="1"/>
  <c r="AV498" i="1" s="1"/>
  <c r="AR498" i="1"/>
  <c r="AS498" i="1" s="1"/>
  <c r="AV510" i="1"/>
  <c r="AU510" i="1"/>
  <c r="AT550" i="1"/>
  <c r="AU550" i="1" s="1"/>
  <c r="AH576" i="1"/>
  <c r="AM576" i="1"/>
  <c r="AT603" i="1"/>
  <c r="AR603" i="1"/>
  <c r="AS603" i="1" s="1"/>
  <c r="AH625" i="1"/>
  <c r="AT658" i="1"/>
  <c r="AU658" i="1" s="1"/>
  <c r="AR705" i="1"/>
  <c r="AS705" i="1" s="1"/>
  <c r="AT705" i="1"/>
  <c r="AU705" i="1" s="1"/>
  <c r="AM717" i="1"/>
  <c r="AH717" i="1"/>
  <c r="AR849" i="1"/>
  <c r="AS849" i="1" s="1"/>
  <c r="AR1014" i="1"/>
  <c r="AS1014" i="1" s="1"/>
  <c r="AT1014" i="1"/>
  <c r="AU1014" i="1" s="1"/>
  <c r="AH1108" i="1"/>
  <c r="AM1108" i="1"/>
  <c r="AT27" i="1"/>
  <c r="AV27" i="1" s="1"/>
  <c r="AK30" i="1"/>
  <c r="AR32" i="1"/>
  <c r="AS32" i="1" s="1"/>
  <c r="AK52" i="1"/>
  <c r="AZ58" i="1"/>
  <c r="AR70" i="1"/>
  <c r="AS70" i="1" s="1"/>
  <c r="AR113" i="1"/>
  <c r="AS113" i="1" s="1"/>
  <c r="AM117" i="1"/>
  <c r="AR251" i="1"/>
  <c r="AS251" i="1" s="1"/>
  <c r="AT283" i="1"/>
  <c r="AU283" i="1" s="1"/>
  <c r="AT307" i="1"/>
  <c r="AT520" i="1"/>
  <c r="AU520" i="1" s="1"/>
  <c r="AT538" i="1"/>
  <c r="AV538" i="1" s="1"/>
  <c r="AR538" i="1"/>
  <c r="AS538" i="1" s="1"/>
  <c r="AM574" i="1"/>
  <c r="AR620" i="1"/>
  <c r="AS620" i="1" s="1"/>
  <c r="AH627" i="1"/>
  <c r="AH672" i="1"/>
  <c r="AM672" i="1"/>
  <c r="AH688" i="1"/>
  <c r="AM688" i="1"/>
  <c r="AM704" i="1"/>
  <c r="AT835" i="1"/>
  <c r="AU835" i="1" s="1"/>
  <c r="AR837" i="1"/>
  <c r="AS837" i="1" s="1"/>
  <c r="AT837" i="1"/>
  <c r="AU837" i="1" s="1"/>
  <c r="AH854" i="1"/>
  <c r="AU856" i="1"/>
  <c r="AV856" i="1"/>
  <c r="AR929" i="1"/>
  <c r="AS929" i="1" s="1"/>
  <c r="AH935" i="1"/>
  <c r="AM947" i="1"/>
  <c r="AH947" i="1"/>
  <c r="AR991" i="1"/>
  <c r="AS991" i="1" s="1"/>
  <c r="AT18" i="1"/>
  <c r="AU18" i="1" s="1"/>
  <c r="AR72" i="1"/>
  <c r="AS72" i="1" s="1"/>
  <c r="AR74" i="1"/>
  <c r="AS74" i="1" s="1"/>
  <c r="AT74" i="1"/>
  <c r="AR87" i="1"/>
  <c r="AS87" i="1" s="1"/>
  <c r="AM109" i="1"/>
  <c r="AR115" i="1"/>
  <c r="AS115" i="1" s="1"/>
  <c r="AM133" i="1"/>
  <c r="AH133" i="1"/>
  <c r="AT203" i="1"/>
  <c r="AR203" i="1"/>
  <c r="AS203" i="1" s="1"/>
  <c r="AT252" i="1"/>
  <c r="AV252" i="1" s="1"/>
  <c r="AH276" i="1"/>
  <c r="AM276" i="1"/>
  <c r="AR348" i="1"/>
  <c r="AS348" i="1" s="1"/>
  <c r="AT348" i="1"/>
  <c r="AV348" i="1" s="1"/>
  <c r="AR390" i="1"/>
  <c r="AS390" i="1" s="1"/>
  <c r="AT390" i="1"/>
  <c r="AH404" i="1"/>
  <c r="AM404" i="1"/>
  <c r="AM406" i="1"/>
  <c r="AH406" i="1"/>
  <c r="AH427" i="1"/>
  <c r="AU449" i="1"/>
  <c r="AM453" i="1"/>
  <c r="AT465" i="1"/>
  <c r="AM470" i="1"/>
  <c r="AH470" i="1"/>
  <c r="AM478" i="1"/>
  <c r="AH478" i="1"/>
  <c r="AM484" i="1"/>
  <c r="AH484" i="1"/>
  <c r="AH508" i="1"/>
  <c r="AT522" i="1"/>
  <c r="AR522" i="1"/>
  <c r="AS522" i="1" s="1"/>
  <c r="AT571" i="1"/>
  <c r="AV571" i="1" s="1"/>
  <c r="AR571" i="1"/>
  <c r="AS571" i="1" s="1"/>
  <c r="AR586" i="1"/>
  <c r="AS586" i="1" s="1"/>
  <c r="AM600" i="1"/>
  <c r="AH600" i="1"/>
  <c r="AT647" i="1"/>
  <c r="AV647" i="1" s="1"/>
  <c r="AR648" i="1"/>
  <c r="AS648" i="1" s="1"/>
  <c r="AT648" i="1"/>
  <c r="AU648" i="1" s="1"/>
  <c r="AH690" i="1"/>
  <c r="AM690" i="1"/>
  <c r="AM804" i="1"/>
  <c r="AH804" i="1"/>
  <c r="AH1085" i="1"/>
  <c r="AK707" i="1"/>
  <c r="AZ6" i="1"/>
  <c r="AH58" i="1"/>
  <c r="AM58" i="1"/>
  <c r="AT145" i="1"/>
  <c r="AV145" i="1" s="1"/>
  <c r="AR145" i="1"/>
  <c r="AS145" i="1" s="1"/>
  <c r="AZ160" i="1"/>
  <c r="AM301" i="1"/>
  <c r="AH301" i="1"/>
  <c r="AM446" i="1"/>
  <c r="AH446" i="1"/>
  <c r="AM566" i="1"/>
  <c r="AH567" i="1"/>
  <c r="AM567" i="1"/>
  <c r="AR681" i="1"/>
  <c r="AS681" i="1" s="1"/>
  <c r="AT681" i="1"/>
  <c r="AV681" i="1" s="1"/>
  <c r="AM763" i="1"/>
  <c r="AH763" i="1"/>
  <c r="AM781" i="1"/>
  <c r="AH781" i="1"/>
  <c r="AM909" i="1"/>
  <c r="AV1143" i="1"/>
  <c r="AU1143" i="1"/>
  <c r="AM1196" i="1"/>
  <c r="AH1196" i="1"/>
  <c r="AR29" i="1"/>
  <c r="AS29" i="1" s="1"/>
  <c r="AK32" i="1"/>
  <c r="AT35" i="1"/>
  <c r="AV35" i="1" s="1"/>
  <c r="AK58" i="1"/>
  <c r="AK84" i="1"/>
  <c r="AZ88" i="1"/>
  <c r="AT108" i="1"/>
  <c r="AV108" i="1" s="1"/>
  <c r="AM172" i="1"/>
  <c r="AH172" i="1"/>
  <c r="AH213" i="1"/>
  <c r="AR216" i="1"/>
  <c r="AS216" i="1" s="1"/>
  <c r="AH220" i="1"/>
  <c r="AM222" i="1"/>
  <c r="AH222" i="1"/>
  <c r="AR243" i="1"/>
  <c r="AS243" i="1" s="1"/>
  <c r="AT272" i="1"/>
  <c r="AU272" i="1" s="1"/>
  <c r="AR272" i="1"/>
  <c r="AS272" i="1" s="1"/>
  <c r="AT295" i="1"/>
  <c r="AV295" i="1" s="1"/>
  <c r="AR295" i="1"/>
  <c r="AS295" i="1" s="1"/>
  <c r="AT324" i="1"/>
  <c r="AV324" i="1" s="1"/>
  <c r="AH374" i="1"/>
  <c r="AR378" i="1"/>
  <c r="AS378" i="1" s="1"/>
  <c r="AR440" i="1"/>
  <c r="AS440" i="1" s="1"/>
  <c r="AH519" i="1"/>
  <c r="AM520" i="1"/>
  <c r="AH520" i="1"/>
  <c r="AM584" i="1"/>
  <c r="AH584" i="1"/>
  <c r="AR614" i="1"/>
  <c r="AS614" i="1" s="1"/>
  <c r="AM644" i="1"/>
  <c r="AH644" i="1"/>
  <c r="AR653" i="1"/>
  <c r="AS653" i="1" s="1"/>
  <c r="AT668" i="1"/>
  <c r="AH680" i="1"/>
  <c r="AM680" i="1"/>
  <c r="AM722" i="1"/>
  <c r="AH722" i="1"/>
  <c r="AR756" i="1"/>
  <c r="AS756" i="1" s="1"/>
  <c r="AT757" i="1"/>
  <c r="AV757" i="1" s="1"/>
  <c r="AR757" i="1"/>
  <c r="AS757" i="1" s="1"/>
  <c r="AR773" i="1"/>
  <c r="AS773" i="1" s="1"/>
  <c r="AR790" i="1"/>
  <c r="AS790" i="1" s="1"/>
  <c r="AT790" i="1"/>
  <c r="AU790" i="1" s="1"/>
  <c r="AU792" i="1"/>
  <c r="AV792" i="1"/>
  <c r="AM1075" i="1"/>
  <c r="AH1075" i="1"/>
  <c r="AT1154" i="1"/>
  <c r="AV1154" i="1" s="1"/>
  <c r="AR1154" i="1"/>
  <c r="AS1154" i="1" s="1"/>
  <c r="AT1199" i="1"/>
  <c r="AU1199" i="1" s="1"/>
  <c r="AR1199" i="1"/>
  <c r="AS1199" i="1" s="1"/>
  <c r="AH1189" i="1"/>
  <c r="AT700" i="1"/>
  <c r="AV700" i="1" s="1"/>
  <c r="AR700" i="1"/>
  <c r="AS700" i="1" s="1"/>
  <c r="AH768" i="1"/>
  <c r="AM768" i="1"/>
  <c r="AR774" i="1"/>
  <c r="AS774" i="1" s="1"/>
  <c r="AT774" i="1"/>
  <c r="AV774" i="1" s="1"/>
  <c r="AT815" i="1"/>
  <c r="AV815" i="1" s="1"/>
  <c r="AR815" i="1"/>
  <c r="AS815" i="1" s="1"/>
  <c r="AR1030" i="1"/>
  <c r="AS1030" i="1" s="1"/>
  <c r="AT1030" i="1"/>
  <c r="AU1030" i="1" s="1"/>
  <c r="AM1116" i="1"/>
  <c r="AH1116" i="1"/>
  <c r="AR1148" i="1"/>
  <c r="AS1148" i="1" s="1"/>
  <c r="AT1148" i="1"/>
  <c r="AU1148" i="1" s="1"/>
  <c r="AT1160" i="1"/>
  <c r="AR1160" i="1"/>
  <c r="AS1160" i="1" s="1"/>
  <c r="AH387" i="1"/>
  <c r="AR391" i="1"/>
  <c r="AS391" i="1" s="1"/>
  <c r="AH420" i="1"/>
  <c r="AT426" i="1"/>
  <c r="AV426" i="1" s="1"/>
  <c r="AT458" i="1"/>
  <c r="AH462" i="1"/>
  <c r="AR481" i="1"/>
  <c r="AS481" i="1" s="1"/>
  <c r="AR494" i="1"/>
  <c r="AS494" i="1" s="1"/>
  <c r="AH509" i="1"/>
  <c r="AR511" i="1"/>
  <c r="AS511" i="1" s="1"/>
  <c r="AR523" i="1"/>
  <c r="AS523" i="1" s="1"/>
  <c r="AR539" i="1"/>
  <c r="AS539" i="1" s="1"/>
  <c r="AH543" i="1"/>
  <c r="AH549" i="1"/>
  <c r="AT564" i="1"/>
  <c r="AV564" i="1" s="1"/>
  <c r="AR587" i="1"/>
  <c r="AS587" i="1" s="1"/>
  <c r="AR596" i="1"/>
  <c r="AS596" i="1" s="1"/>
  <c r="AH601" i="1"/>
  <c r="AH652" i="1"/>
  <c r="AT655" i="1"/>
  <c r="AV655" i="1" s="1"/>
  <c r="AH658" i="1"/>
  <c r="AH667" i="1"/>
  <c r="AR670" i="1"/>
  <c r="AS670" i="1" s="1"/>
  <c r="AH674" i="1"/>
  <c r="AR677" i="1"/>
  <c r="AS677" i="1" s="1"/>
  <c r="AR712" i="1"/>
  <c r="AS712" i="1" s="1"/>
  <c r="AT745" i="1"/>
  <c r="AM798" i="1"/>
  <c r="AH798" i="1"/>
  <c r="AU827" i="1"/>
  <c r="AV827" i="1"/>
  <c r="AM864" i="1"/>
  <c r="AH864" i="1"/>
  <c r="AH926" i="1"/>
  <c r="AM926" i="1"/>
  <c r="AM928" i="1"/>
  <c r="AH928" i="1"/>
  <c r="AH969" i="1"/>
  <c r="AM969" i="1"/>
  <c r="AR981" i="1"/>
  <c r="AS981" i="1" s="1"/>
  <c r="AT982" i="1"/>
  <c r="AV982" i="1" s="1"/>
  <c r="AR982" i="1"/>
  <c r="AS982" i="1" s="1"/>
  <c r="AH1007" i="1"/>
  <c r="AR1020" i="1"/>
  <c r="AS1020" i="1" s="1"/>
  <c r="AH1045" i="1"/>
  <c r="AM1045" i="1"/>
  <c r="CJ1126" i="1"/>
  <c r="BD1126" i="1" s="1"/>
  <c r="AH108" i="1"/>
  <c r="AH125" i="1"/>
  <c r="AR127" i="1"/>
  <c r="AS127" i="1" s="1"/>
  <c r="AR175" i="1"/>
  <c r="AS175" i="1" s="1"/>
  <c r="AR219" i="1"/>
  <c r="AS219" i="1" s="1"/>
  <c r="AR235" i="1"/>
  <c r="AS235" i="1" s="1"/>
  <c r="AT259" i="1"/>
  <c r="AT329" i="1"/>
  <c r="AV329" i="1" s="1"/>
  <c r="AH332" i="1"/>
  <c r="AR344" i="1"/>
  <c r="AS344" i="1" s="1"/>
  <c r="AR367" i="1"/>
  <c r="AS367" i="1" s="1"/>
  <c r="AH422" i="1"/>
  <c r="AT436" i="1"/>
  <c r="AU436" i="1" s="1"/>
  <c r="AH479" i="1"/>
  <c r="AR495" i="1"/>
  <c r="AS495" i="1" s="1"/>
  <c r="AT500" i="1"/>
  <c r="AU500" i="1" s="1"/>
  <c r="AT524" i="1"/>
  <c r="AV524" i="1" s="1"/>
  <c r="AM533" i="1"/>
  <c r="AM557" i="1"/>
  <c r="AH585" i="1"/>
  <c r="AU587" i="1"/>
  <c r="AM591" i="1"/>
  <c r="AH631" i="1"/>
  <c r="AH707" i="1"/>
  <c r="AM707" i="1"/>
  <c r="AM812" i="1"/>
  <c r="AH812" i="1"/>
  <c r="AR829" i="1"/>
  <c r="AS829" i="1" s="1"/>
  <c r="AT829" i="1"/>
  <c r="AU829" i="1" s="1"/>
  <c r="AM840" i="1"/>
  <c r="AH840" i="1"/>
  <c r="AM886" i="1"/>
  <c r="AH886" i="1"/>
  <c r="AR944" i="1"/>
  <c r="AS944" i="1" s="1"/>
  <c r="AM954" i="1"/>
  <c r="AH954" i="1"/>
  <c r="AH979" i="1"/>
  <c r="AM979" i="1"/>
  <c r="AV1020" i="1"/>
  <c r="AT1071" i="1"/>
  <c r="AV1071" i="1" s="1"/>
  <c r="AR1071" i="1"/>
  <c r="AS1071" i="1" s="1"/>
  <c r="AR1103" i="1"/>
  <c r="AS1103" i="1" s="1"/>
  <c r="AH1120" i="1"/>
  <c r="AH1156" i="1"/>
  <c r="AM1156" i="1"/>
  <c r="AH1158" i="1"/>
  <c r="AM1158" i="1"/>
  <c r="AU1162" i="1"/>
  <c r="AH1167" i="1"/>
  <c r="AR321" i="1"/>
  <c r="AS321" i="1" s="1"/>
  <c r="AH327" i="1"/>
  <c r="AM365" i="1"/>
  <c r="AU367" i="1"/>
  <c r="AT384" i="1"/>
  <c r="AR393" i="1"/>
  <c r="AS393" i="1" s="1"/>
  <c r="AR454" i="1"/>
  <c r="AS454" i="1" s="1"/>
  <c r="AH471" i="1"/>
  <c r="AR473" i="1"/>
  <c r="AS473" i="1" s="1"/>
  <c r="AT482" i="1"/>
  <c r="AV482" i="1" s="1"/>
  <c r="AR488" i="1"/>
  <c r="AS488" i="1" s="1"/>
  <c r="AH821" i="1"/>
  <c r="AM821" i="1"/>
  <c r="AV966" i="1"/>
  <c r="AU966" i="1"/>
  <c r="AT1163" i="1"/>
  <c r="AV1163" i="1" s="1"/>
  <c r="AH174" i="1"/>
  <c r="AR177" i="1"/>
  <c r="AS177" i="1" s="1"/>
  <c r="AR183" i="1"/>
  <c r="AS183" i="1" s="1"/>
  <c r="AM187" i="1"/>
  <c r="AH189" i="1"/>
  <c r="AM223" i="1"/>
  <c r="AH224" i="1"/>
  <c r="AV227" i="1"/>
  <c r="AM231" i="1"/>
  <c r="AH232" i="1"/>
  <c r="AH244" i="1"/>
  <c r="AT249" i="1"/>
  <c r="AV249" i="1" s="1"/>
  <c r="AH295" i="1"/>
  <c r="AM307" i="1"/>
  <c r="AH333" i="1"/>
  <c r="AH341" i="1"/>
  <c r="AT345" i="1"/>
  <c r="AV345" i="1" s="1"/>
  <c r="AT351" i="1"/>
  <c r="AV351" i="1" s="1"/>
  <c r="AM354" i="1"/>
  <c r="AH366" i="1"/>
  <c r="AH411" i="1"/>
  <c r="AT428" i="1"/>
  <c r="AU428" i="1" s="1"/>
  <c r="AH467" i="1"/>
  <c r="AM491" i="1"/>
  <c r="AH493" i="1"/>
  <c r="AR502" i="1"/>
  <c r="AS502" i="1" s="1"/>
  <c r="AT508" i="1"/>
  <c r="AR526" i="1"/>
  <c r="AS526" i="1" s="1"/>
  <c r="AH529" i="1"/>
  <c r="AR532" i="1"/>
  <c r="AS532" i="1" s="1"/>
  <c r="AR542" i="1"/>
  <c r="AS542" i="1" s="1"/>
  <c r="AR547" i="1"/>
  <c r="AS547" i="1" s="1"/>
  <c r="AR556" i="1"/>
  <c r="AS556" i="1" s="1"/>
  <c r="AH563" i="1"/>
  <c r="AH587" i="1"/>
  <c r="AR590" i="1"/>
  <c r="AS590" i="1" s="1"/>
  <c r="AR612" i="1"/>
  <c r="AS612" i="1" s="1"/>
  <c r="AR618" i="1"/>
  <c r="AS618" i="1" s="1"/>
  <c r="AH623" i="1"/>
  <c r="AR628" i="1"/>
  <c r="AS628" i="1" s="1"/>
  <c r="AT666" i="1"/>
  <c r="AU666" i="1" s="1"/>
  <c r="AH669" i="1"/>
  <c r="AR672" i="1"/>
  <c r="AS672" i="1" s="1"/>
  <c r="AH677" i="1"/>
  <c r="AT692" i="1"/>
  <c r="AR692" i="1"/>
  <c r="AS692" i="1" s="1"/>
  <c r="AM745" i="1"/>
  <c r="AH745" i="1"/>
  <c r="AM793" i="1"/>
  <c r="AH793" i="1"/>
  <c r="AT862" i="1"/>
  <c r="AU862" i="1" s="1"/>
  <c r="AR881" i="1"/>
  <c r="AS881" i="1" s="1"/>
  <c r="AV882" i="1"/>
  <c r="AU882" i="1"/>
  <c r="AH896" i="1"/>
  <c r="AR913" i="1"/>
  <c r="AS913" i="1" s="1"/>
  <c r="AH964" i="1"/>
  <c r="AR974" i="1"/>
  <c r="AS974" i="1" s="1"/>
  <c r="AR988" i="1"/>
  <c r="AS988" i="1" s="1"/>
  <c r="AT988" i="1"/>
  <c r="AR1038" i="1"/>
  <c r="AS1038" i="1" s="1"/>
  <c r="AT1038" i="1"/>
  <c r="AU1038" i="1" s="1"/>
  <c r="AM1098" i="1"/>
  <c r="AH1099" i="1"/>
  <c r="AH1100" i="1"/>
  <c r="AM1100" i="1"/>
  <c r="AR1137" i="1"/>
  <c r="AS1137" i="1" s="1"/>
  <c r="AT1138" i="1"/>
  <c r="AV1138" i="1" s="1"/>
  <c r="AR1138" i="1"/>
  <c r="AS1138" i="1" s="1"/>
  <c r="AH1175" i="1"/>
  <c r="CJ137" i="1"/>
  <c r="BD137" i="1" s="1"/>
  <c r="CJ116" i="1"/>
  <c r="BD116" i="1" s="1"/>
  <c r="CJ130" i="1"/>
  <c r="BD130" i="1" s="1"/>
  <c r="CJ378" i="1"/>
  <c r="BD378" i="1" s="1"/>
  <c r="CJ507" i="1"/>
  <c r="BD507" i="1" s="1"/>
  <c r="CJ615" i="1"/>
  <c r="BD615" i="1" s="1"/>
  <c r="CJ699" i="1"/>
  <c r="BD699" i="1" s="1"/>
  <c r="CJ857" i="1"/>
  <c r="BD857" i="1" s="1"/>
  <c r="CJ967" i="1"/>
  <c r="BD967" i="1" s="1"/>
  <c r="CJ1125" i="1"/>
  <c r="BD1125" i="1" s="1"/>
  <c r="CJ762" i="1"/>
  <c r="BD762" i="1" s="1"/>
  <c r="CJ1116" i="1"/>
  <c r="BD1116" i="1" s="1"/>
  <c r="CJ1162" i="1"/>
  <c r="BD1162" i="1" s="1"/>
  <c r="CJ362" i="1"/>
  <c r="BD362" i="1" s="1"/>
  <c r="AT951" i="1"/>
  <c r="AU958" i="1"/>
  <c r="AT983" i="1"/>
  <c r="AV983" i="1" s="1"/>
  <c r="AH986" i="1"/>
  <c r="AH990" i="1"/>
  <c r="AT1004" i="1"/>
  <c r="AU1004" i="1" s="1"/>
  <c r="AU1016" i="1"/>
  <c r="AH1019" i="1"/>
  <c r="AU1040" i="1"/>
  <c r="AH1067" i="1"/>
  <c r="AT1118" i="1"/>
  <c r="AU1118" i="1" s="1"/>
  <c r="AH1124" i="1"/>
  <c r="AH1132" i="1"/>
  <c r="AH1173" i="1"/>
  <c r="AR1185" i="1"/>
  <c r="AS1185" i="1" s="1"/>
  <c r="AH1190" i="1"/>
  <c r="AR1193" i="1"/>
  <c r="AS1193" i="1" s="1"/>
  <c r="CJ545" i="1"/>
  <c r="BD545" i="1" s="1"/>
  <c r="CJ608" i="1"/>
  <c r="BD608" i="1" s="1"/>
  <c r="CJ612" i="1"/>
  <c r="BD612" i="1" s="1"/>
  <c r="CJ1025" i="1"/>
  <c r="BD1025" i="1" s="1"/>
  <c r="AM738" i="1"/>
  <c r="AT883" i="1"/>
  <c r="AV883" i="1" s="1"/>
  <c r="AH888" i="1"/>
  <c r="AT894" i="1"/>
  <c r="CJ1174" i="1"/>
  <c r="BD1174" i="1" s="1"/>
  <c r="CJ1180" i="1"/>
  <c r="BD1180" i="1" s="1"/>
  <c r="AH700" i="1"/>
  <c r="AR703" i="1"/>
  <c r="AS703" i="1" s="1"/>
  <c r="AT736" i="1"/>
  <c r="AR744" i="1"/>
  <c r="AS744" i="1" s="1"/>
  <c r="AR750" i="1"/>
  <c r="AS750" i="1" s="1"/>
  <c r="AR780" i="1"/>
  <c r="AS780" i="1" s="1"/>
  <c r="AR792" i="1"/>
  <c r="AS792" i="1" s="1"/>
  <c r="AR795" i="1"/>
  <c r="AS795" i="1" s="1"/>
  <c r="AT801" i="1"/>
  <c r="AV801" i="1" s="1"/>
  <c r="AR809" i="1"/>
  <c r="AS809" i="1" s="1"/>
  <c r="AR839" i="1"/>
  <c r="AS839" i="1" s="1"/>
  <c r="AR858" i="1"/>
  <c r="AS858" i="1" s="1"/>
  <c r="AM880" i="1"/>
  <c r="AM912" i="1"/>
  <c r="AR915" i="1"/>
  <c r="AS915" i="1" s="1"/>
  <c r="AV941" i="1"/>
  <c r="AR946" i="1"/>
  <c r="AS946" i="1" s="1"/>
  <c r="AT953" i="1"/>
  <c r="AU953" i="1" s="1"/>
  <c r="AT964" i="1"/>
  <c r="AH970" i="1"/>
  <c r="AT972" i="1"/>
  <c r="AH998" i="1"/>
  <c r="AR1018" i="1"/>
  <c r="AS1018" i="1" s="1"/>
  <c r="AU1032" i="1"/>
  <c r="AT1042" i="1"/>
  <c r="AV1042" i="1" s="1"/>
  <c r="AR1054" i="1"/>
  <c r="AS1054" i="1" s="1"/>
  <c r="AT1114" i="1"/>
  <c r="AV1114" i="1" s="1"/>
  <c r="AR1120" i="1"/>
  <c r="AS1120" i="1" s="1"/>
  <c r="AH1148" i="1"/>
  <c r="AH1152" i="1"/>
  <c r="AH1160" i="1"/>
  <c r="AR1162" i="1"/>
  <c r="AS1162" i="1" s="1"/>
  <c r="AU1168" i="1"/>
  <c r="AH1199" i="1"/>
  <c r="AR1202" i="1"/>
  <c r="AS1202" i="1" s="1"/>
  <c r="CJ330" i="1"/>
  <c r="BD330" i="1" s="1"/>
  <c r="CJ454" i="1"/>
  <c r="BD454" i="1" s="1"/>
  <c r="CJ477" i="1"/>
  <c r="BD477" i="1" s="1"/>
  <c r="CJ479" i="1"/>
  <c r="BD479" i="1" s="1"/>
  <c r="CJ993" i="1"/>
  <c r="BD993" i="1" s="1"/>
  <c r="CJ1031" i="1"/>
  <c r="BD1031" i="1" s="1"/>
  <c r="CJ1091" i="1"/>
  <c r="BD1091" i="1" s="1"/>
  <c r="CJ1136" i="1"/>
  <c r="BD1136" i="1" s="1"/>
  <c r="CJ1184" i="1"/>
  <c r="BD1184" i="1" s="1"/>
  <c r="AR688" i="1"/>
  <c r="AS688" i="1" s="1"/>
  <c r="AT697" i="1"/>
  <c r="AV697" i="1" s="1"/>
  <c r="AR709" i="1"/>
  <c r="AS709" i="1" s="1"/>
  <c r="AH713" i="1"/>
  <c r="AR717" i="1"/>
  <c r="AS717" i="1" s="1"/>
  <c r="AH765" i="1"/>
  <c r="AM813" i="1"/>
  <c r="AM827" i="1"/>
  <c r="AM843" i="1"/>
  <c r="AM861" i="1"/>
  <c r="AM901" i="1"/>
  <c r="AR942" i="1"/>
  <c r="AS942" i="1" s="1"/>
  <c r="AH962" i="1"/>
  <c r="AH1002" i="1"/>
  <c r="AR1008" i="1"/>
  <c r="AS1008" i="1" s="1"/>
  <c r="AU1122" i="1"/>
  <c r="AT1131" i="1"/>
  <c r="AV1131" i="1" s="1"/>
  <c r="AT1135" i="1"/>
  <c r="AU1135" i="1" s="1"/>
  <c r="AU1170" i="1"/>
  <c r="AT1175" i="1"/>
  <c r="AH1192" i="1"/>
  <c r="CJ75" i="1"/>
  <c r="BD75" i="1" s="1"/>
  <c r="CJ89" i="1"/>
  <c r="BD89" i="1" s="1"/>
  <c r="CJ144" i="1"/>
  <c r="BD144" i="1" s="1"/>
  <c r="CJ271" i="1"/>
  <c r="BD271" i="1" s="1"/>
  <c r="CJ299" i="1"/>
  <c r="BD299" i="1" s="1"/>
  <c r="CJ308" i="1"/>
  <c r="BD308" i="1" s="1"/>
  <c r="CJ332" i="1"/>
  <c r="BD332" i="1" s="1"/>
  <c r="CJ424" i="1"/>
  <c r="BD424" i="1" s="1"/>
  <c r="CJ428" i="1"/>
  <c r="BD428" i="1" s="1"/>
  <c r="CJ443" i="1"/>
  <c r="BD443" i="1" s="1"/>
  <c r="CJ473" i="1"/>
  <c r="BD473" i="1" s="1"/>
  <c r="CJ526" i="1"/>
  <c r="BD526" i="1" s="1"/>
  <c r="CJ550" i="1"/>
  <c r="BD550" i="1" s="1"/>
  <c r="CJ794" i="1"/>
  <c r="BD794" i="1" s="1"/>
  <c r="CJ852" i="1"/>
  <c r="BD852" i="1" s="1"/>
  <c r="CJ1155" i="1"/>
  <c r="BD1155" i="1" s="1"/>
  <c r="AM29" i="1"/>
  <c r="AH29" i="1"/>
  <c r="AT39" i="1"/>
  <c r="AR39" i="1"/>
  <c r="AS39" i="1" s="1"/>
  <c r="AM120" i="1"/>
  <c r="AH120" i="1"/>
  <c r="AM3" i="1"/>
  <c r="AH3" i="1"/>
  <c r="AZ41" i="1"/>
  <c r="AK61" i="1"/>
  <c r="AH74" i="1"/>
  <c r="AM74" i="1"/>
  <c r="AK105" i="1"/>
  <c r="AK135" i="1"/>
  <c r="AT159" i="1"/>
  <c r="AV159" i="1" s="1"/>
  <c r="AR159" i="1"/>
  <c r="AS159" i="1" s="1"/>
  <c r="CD1046" i="1"/>
  <c r="CE1046" i="1" s="1"/>
  <c r="BZ1046" i="1"/>
  <c r="CA1046" i="1" s="1"/>
  <c r="BZ1030" i="1"/>
  <c r="CA1030" i="1" s="1"/>
  <c r="CD1030" i="1"/>
  <c r="CE1030" i="1" s="1"/>
  <c r="CD1028" i="1"/>
  <c r="CE1028" i="1" s="1"/>
  <c r="BZ1028" i="1"/>
  <c r="CA1028" i="1" s="1"/>
  <c r="BZ980" i="1"/>
  <c r="CA980" i="1" s="1"/>
  <c r="CD980" i="1"/>
  <c r="CE980" i="1" s="1"/>
  <c r="CD970" i="1"/>
  <c r="CE970" i="1" s="1"/>
  <c r="BZ970" i="1"/>
  <c r="CA970" i="1" s="1"/>
  <c r="BZ968" i="1"/>
  <c r="CA968" i="1" s="1"/>
  <c r="CD968" i="1"/>
  <c r="CE968" i="1" s="1"/>
  <c r="AV5" i="1"/>
  <c r="AU5" i="1"/>
  <c r="AR19" i="1"/>
  <c r="AS19" i="1" s="1"/>
  <c r="AT19" i="1"/>
  <c r="AV19" i="1" s="1"/>
  <c r="AZ27" i="1"/>
  <c r="AR43" i="1"/>
  <c r="AS43" i="1" s="1"/>
  <c r="AT43" i="1"/>
  <c r="AV43" i="1" s="1"/>
  <c r="AK137" i="1"/>
  <c r="AZ139" i="1"/>
  <c r="AK149" i="1"/>
  <c r="AZ257" i="1"/>
  <c r="AR460" i="1"/>
  <c r="AS460" i="1" s="1"/>
  <c r="AT460" i="1"/>
  <c r="AU460" i="1" s="1"/>
  <c r="AM675" i="1"/>
  <c r="AH675" i="1"/>
  <c r="BV1202" i="1"/>
  <c r="CF1202" i="1" s="1"/>
  <c r="CG1202" i="1" s="1"/>
  <c r="AK1202" i="1"/>
  <c r="AZ1202" i="1"/>
  <c r="BV1200" i="1"/>
  <c r="CF1200" i="1" s="1"/>
  <c r="CG1200" i="1" s="1"/>
  <c r="AK1200" i="1"/>
  <c r="AZ1200" i="1"/>
  <c r="BV1198" i="1"/>
  <c r="AK1198" i="1"/>
  <c r="AZ1198" i="1"/>
  <c r="BV1196" i="1"/>
  <c r="CF1196" i="1" s="1"/>
  <c r="CG1196" i="1" s="1"/>
  <c r="AK1196" i="1"/>
  <c r="AZ1196" i="1"/>
  <c r="BV1194" i="1"/>
  <c r="BX1194" i="1" s="1"/>
  <c r="BY1194" i="1" s="1"/>
  <c r="CB1194" i="1" s="1"/>
  <c r="CC1194" i="1" s="1"/>
  <c r="AZ1194" i="1"/>
  <c r="AK1194" i="1"/>
  <c r="BV1192" i="1"/>
  <c r="CF1192" i="1" s="1"/>
  <c r="CG1192" i="1" s="1"/>
  <c r="AK1192" i="1"/>
  <c r="AZ1192" i="1"/>
  <c r="BV1190" i="1"/>
  <c r="CF1190" i="1" s="1"/>
  <c r="CG1190" i="1" s="1"/>
  <c r="AZ1190" i="1"/>
  <c r="AK1190" i="1"/>
  <c r="BV1188" i="1"/>
  <c r="CF1188" i="1" s="1"/>
  <c r="CG1188" i="1" s="1"/>
  <c r="AK1188" i="1"/>
  <c r="AZ1188" i="1"/>
  <c r="BV1186" i="1"/>
  <c r="CF1186" i="1" s="1"/>
  <c r="CG1186" i="1" s="1"/>
  <c r="AZ1186" i="1"/>
  <c r="AK1186" i="1"/>
  <c r="BV1184" i="1"/>
  <c r="BX1184" i="1" s="1"/>
  <c r="BY1184" i="1" s="1"/>
  <c r="AK1184" i="1"/>
  <c r="AZ1184" i="1"/>
  <c r="BV1182" i="1"/>
  <c r="AK1182" i="1"/>
  <c r="AZ1182" i="1"/>
  <c r="BV1180" i="1"/>
  <c r="CF1180" i="1" s="1"/>
  <c r="CG1180" i="1" s="1"/>
  <c r="CH1180" i="1" s="1"/>
  <c r="AK1180" i="1"/>
  <c r="AZ1180" i="1"/>
  <c r="BV1178" i="1"/>
  <c r="CF1178" i="1" s="1"/>
  <c r="CG1178" i="1" s="1"/>
  <c r="AK1178" i="1"/>
  <c r="AZ1178" i="1"/>
  <c r="BV1176" i="1"/>
  <c r="CF1176" i="1" s="1"/>
  <c r="CG1176" i="1" s="1"/>
  <c r="AZ1176" i="1"/>
  <c r="AK1176" i="1"/>
  <c r="BV1174" i="1"/>
  <c r="CF1174" i="1" s="1"/>
  <c r="CG1174" i="1" s="1"/>
  <c r="AK1174" i="1"/>
  <c r="AZ1174" i="1"/>
  <c r="BV1172" i="1"/>
  <c r="BX1172" i="1" s="1"/>
  <c r="BY1172" i="1" s="1"/>
  <c r="AZ1172" i="1"/>
  <c r="AK1172" i="1"/>
  <c r="BV1170" i="1"/>
  <c r="BX1170" i="1" s="1"/>
  <c r="BY1170" i="1" s="1"/>
  <c r="AZ1170" i="1"/>
  <c r="AK1170" i="1"/>
  <c r="BV1168" i="1"/>
  <c r="BX1168" i="1" s="1"/>
  <c r="BY1168" i="1" s="1"/>
  <c r="AZ1168" i="1"/>
  <c r="AK1168" i="1"/>
  <c r="BV1166" i="1"/>
  <c r="BX1166" i="1" s="1"/>
  <c r="BY1166" i="1" s="1"/>
  <c r="AK1166" i="1"/>
  <c r="AZ1166" i="1"/>
  <c r="BV1164" i="1"/>
  <c r="BX1164" i="1" s="1"/>
  <c r="BY1164" i="1" s="1"/>
  <c r="AK1164" i="1"/>
  <c r="AZ1164" i="1"/>
  <c r="BV1162" i="1"/>
  <c r="BX1162" i="1" s="1"/>
  <c r="BY1162" i="1" s="1"/>
  <c r="AZ1162" i="1"/>
  <c r="AK1162" i="1"/>
  <c r="BV1160" i="1"/>
  <c r="BX1160" i="1" s="1"/>
  <c r="BY1160" i="1" s="1"/>
  <c r="AK1160" i="1"/>
  <c r="AZ1160" i="1"/>
  <c r="BV1158" i="1"/>
  <c r="CF1158" i="1" s="1"/>
  <c r="CG1158" i="1" s="1"/>
  <c r="AK1158" i="1"/>
  <c r="AZ1158" i="1"/>
  <c r="BV1156" i="1"/>
  <c r="BX1156" i="1" s="1"/>
  <c r="BY1156" i="1" s="1"/>
  <c r="AK1156" i="1"/>
  <c r="AZ1156" i="1"/>
  <c r="BV1154" i="1"/>
  <c r="BX1154" i="1" s="1"/>
  <c r="BY1154" i="1" s="1"/>
  <c r="AK1154" i="1"/>
  <c r="AZ1154" i="1"/>
  <c r="BV1152" i="1"/>
  <c r="BX1152" i="1" s="1"/>
  <c r="BY1152" i="1" s="1"/>
  <c r="AZ1152" i="1"/>
  <c r="AK1152" i="1"/>
  <c r="BV1150" i="1"/>
  <c r="CF1150" i="1" s="1"/>
  <c r="CG1150" i="1" s="1"/>
  <c r="AK1150" i="1"/>
  <c r="AZ1150" i="1"/>
  <c r="BV1148" i="1"/>
  <c r="BX1148" i="1" s="1"/>
  <c r="BY1148" i="1" s="1"/>
  <c r="AK1148" i="1"/>
  <c r="AZ1148" i="1"/>
  <c r="BV1146" i="1"/>
  <c r="BX1146" i="1" s="1"/>
  <c r="BY1146" i="1" s="1"/>
  <c r="AZ1146" i="1"/>
  <c r="AK1146" i="1"/>
  <c r="BV1144" i="1"/>
  <c r="AK1144" i="1"/>
  <c r="AZ1144" i="1"/>
  <c r="BV1142" i="1"/>
  <c r="CF1142" i="1" s="1"/>
  <c r="CG1142" i="1" s="1"/>
  <c r="AZ1142" i="1"/>
  <c r="AK1142" i="1"/>
  <c r="BV1140" i="1"/>
  <c r="BX1140" i="1" s="1"/>
  <c r="BY1140" i="1" s="1"/>
  <c r="AK1140" i="1"/>
  <c r="AZ1140" i="1"/>
  <c r="BV1138" i="1"/>
  <c r="CF1138" i="1" s="1"/>
  <c r="CG1138" i="1" s="1"/>
  <c r="AK1138" i="1"/>
  <c r="AZ1138" i="1"/>
  <c r="BV1136" i="1"/>
  <c r="CF1136" i="1" s="1"/>
  <c r="CG1136" i="1" s="1"/>
  <c r="AZ1136" i="1"/>
  <c r="AK1136" i="1"/>
  <c r="BV1134" i="1"/>
  <c r="CF1134" i="1" s="1"/>
  <c r="CG1134" i="1" s="1"/>
  <c r="AK1134" i="1"/>
  <c r="AZ1134" i="1"/>
  <c r="BV1132" i="1"/>
  <c r="CF1132" i="1" s="1"/>
  <c r="CG1132" i="1" s="1"/>
  <c r="AZ1132" i="1"/>
  <c r="AK1132" i="1"/>
  <c r="BV1130" i="1"/>
  <c r="CF1130" i="1" s="1"/>
  <c r="CG1130" i="1" s="1"/>
  <c r="AK1130" i="1"/>
  <c r="AZ1130" i="1"/>
  <c r="BV1128" i="1"/>
  <c r="CF1128" i="1" s="1"/>
  <c r="CG1128" i="1" s="1"/>
  <c r="AZ1128" i="1"/>
  <c r="AK1128" i="1"/>
  <c r="BV1126" i="1"/>
  <c r="CF1126" i="1" s="1"/>
  <c r="CG1126" i="1" s="1"/>
  <c r="AK1126" i="1"/>
  <c r="AZ1126" i="1"/>
  <c r="BV1124" i="1"/>
  <c r="BX1124" i="1" s="1"/>
  <c r="BY1124" i="1" s="1"/>
  <c r="AK1124" i="1"/>
  <c r="AZ1124" i="1"/>
  <c r="BV1122" i="1"/>
  <c r="CF1122" i="1" s="1"/>
  <c r="CG1122" i="1" s="1"/>
  <c r="AZ1122" i="1"/>
  <c r="AK1122" i="1"/>
  <c r="BV1120" i="1"/>
  <c r="BX1120" i="1" s="1"/>
  <c r="BY1120" i="1" s="1"/>
  <c r="AK1120" i="1"/>
  <c r="AZ1120" i="1"/>
  <c r="BV1118" i="1"/>
  <c r="AZ1118" i="1"/>
  <c r="AK1118" i="1"/>
  <c r="BV1116" i="1"/>
  <c r="CF1116" i="1" s="1"/>
  <c r="CG1116" i="1" s="1"/>
  <c r="AK1116" i="1"/>
  <c r="AZ1116" i="1"/>
  <c r="BV1114" i="1"/>
  <c r="BX1114" i="1" s="1"/>
  <c r="BY1114" i="1" s="1"/>
  <c r="AZ1114" i="1"/>
  <c r="AK1114" i="1"/>
  <c r="BV1112" i="1"/>
  <c r="BX1112" i="1" s="1"/>
  <c r="BY1112" i="1" s="1"/>
  <c r="AK1112" i="1"/>
  <c r="AZ1112" i="1"/>
  <c r="BV1110" i="1"/>
  <c r="BX1110" i="1" s="1"/>
  <c r="BY1110" i="1" s="1"/>
  <c r="AK1110" i="1"/>
  <c r="AZ1110" i="1"/>
  <c r="BV1108" i="1"/>
  <c r="CF1108" i="1" s="1"/>
  <c r="CG1108" i="1" s="1"/>
  <c r="AZ1108" i="1"/>
  <c r="AK1108" i="1"/>
  <c r="BV1106" i="1"/>
  <c r="CF1106" i="1" s="1"/>
  <c r="CG1106" i="1" s="1"/>
  <c r="AK1106" i="1"/>
  <c r="AZ1106" i="1"/>
  <c r="BV1104" i="1"/>
  <c r="BX1104" i="1" s="1"/>
  <c r="BY1104" i="1" s="1"/>
  <c r="AZ1104" i="1"/>
  <c r="AK1104" i="1"/>
  <c r="BV1102" i="1"/>
  <c r="AZ1102" i="1"/>
  <c r="AK1102" i="1"/>
  <c r="BV1100" i="1"/>
  <c r="BX1100" i="1" s="1"/>
  <c r="BY1100" i="1" s="1"/>
  <c r="AK1100" i="1"/>
  <c r="AZ1100" i="1"/>
  <c r="BV1098" i="1"/>
  <c r="BX1098" i="1" s="1"/>
  <c r="BY1098" i="1" s="1"/>
  <c r="AZ1098" i="1"/>
  <c r="AK1098" i="1"/>
  <c r="BV1096" i="1"/>
  <c r="CF1096" i="1" s="1"/>
  <c r="CG1096" i="1" s="1"/>
  <c r="AK1096" i="1"/>
  <c r="AZ1096" i="1"/>
  <c r="BV1094" i="1"/>
  <c r="BX1094" i="1" s="1"/>
  <c r="BY1094" i="1" s="1"/>
  <c r="AZ1094" i="1"/>
  <c r="AK1094" i="1"/>
  <c r="BV1092" i="1"/>
  <c r="CF1092" i="1" s="1"/>
  <c r="CG1092" i="1" s="1"/>
  <c r="AZ1092" i="1"/>
  <c r="AK1092" i="1"/>
  <c r="BV1090" i="1"/>
  <c r="BX1090" i="1" s="1"/>
  <c r="BY1090" i="1" s="1"/>
  <c r="AK1090" i="1"/>
  <c r="AZ1090" i="1"/>
  <c r="BV1088" i="1"/>
  <c r="BX1088" i="1" s="1"/>
  <c r="BY1088" i="1" s="1"/>
  <c r="AK1088" i="1"/>
  <c r="AZ1088" i="1"/>
  <c r="BV1086" i="1"/>
  <c r="AK1086" i="1"/>
  <c r="AZ1086" i="1"/>
  <c r="BV1084" i="1"/>
  <c r="BX1084" i="1" s="1"/>
  <c r="BY1084" i="1" s="1"/>
  <c r="AZ1084" i="1"/>
  <c r="AK1084" i="1"/>
  <c r="BV1082" i="1"/>
  <c r="CF1082" i="1" s="1"/>
  <c r="CG1082" i="1" s="1"/>
  <c r="AZ1082" i="1"/>
  <c r="AK1082" i="1"/>
  <c r="BV1080" i="1"/>
  <c r="BX1080" i="1" s="1"/>
  <c r="BY1080" i="1" s="1"/>
  <c r="AK1080" i="1"/>
  <c r="AZ1080" i="1"/>
  <c r="BV1078" i="1"/>
  <c r="CF1078" i="1" s="1"/>
  <c r="CG1078" i="1" s="1"/>
  <c r="AZ1078" i="1"/>
  <c r="AK1078" i="1"/>
  <c r="BV1076" i="1"/>
  <c r="CF1076" i="1" s="1"/>
  <c r="CG1076" i="1" s="1"/>
  <c r="AK1076" i="1"/>
  <c r="AZ1076" i="1"/>
  <c r="BV1074" i="1"/>
  <c r="CF1074" i="1" s="1"/>
  <c r="CG1074" i="1" s="1"/>
  <c r="AK1074" i="1"/>
  <c r="AZ1074" i="1"/>
  <c r="BV1072" i="1"/>
  <c r="BX1072" i="1" s="1"/>
  <c r="BY1072" i="1" s="1"/>
  <c r="AK1072" i="1"/>
  <c r="AZ1072" i="1"/>
  <c r="BV1070" i="1"/>
  <c r="AK1070" i="1"/>
  <c r="AZ1070" i="1"/>
  <c r="BV1068" i="1"/>
  <c r="CF1068" i="1" s="1"/>
  <c r="CG1068" i="1" s="1"/>
  <c r="AK1068" i="1"/>
  <c r="AZ1068" i="1"/>
  <c r="BV1066" i="1"/>
  <c r="BX1066" i="1" s="1"/>
  <c r="BY1066" i="1" s="1"/>
  <c r="AK1066" i="1"/>
  <c r="AZ1066" i="1"/>
  <c r="BV1064" i="1"/>
  <c r="CF1064" i="1" s="1"/>
  <c r="CG1064" i="1" s="1"/>
  <c r="AZ1064" i="1"/>
  <c r="AK1064" i="1"/>
  <c r="BV1062" i="1"/>
  <c r="BX1062" i="1" s="1"/>
  <c r="BY1062" i="1" s="1"/>
  <c r="AK1062" i="1"/>
  <c r="AZ1062" i="1"/>
  <c r="BV1060" i="1"/>
  <c r="BX1060" i="1" s="1"/>
  <c r="BY1060" i="1" s="1"/>
  <c r="AK1060" i="1"/>
  <c r="AZ1060" i="1"/>
  <c r="BV1058" i="1"/>
  <c r="BX1058" i="1" s="1"/>
  <c r="BY1058" i="1" s="1"/>
  <c r="AK1058" i="1"/>
  <c r="AZ1058" i="1"/>
  <c r="BV1056" i="1"/>
  <c r="BX1056" i="1" s="1"/>
  <c r="BY1056" i="1" s="1"/>
  <c r="AZ1056" i="1"/>
  <c r="AK1056" i="1"/>
  <c r="BV1054" i="1"/>
  <c r="AZ1054" i="1"/>
  <c r="AK1054" i="1"/>
  <c r="BV1052" i="1"/>
  <c r="CF1052" i="1" s="1"/>
  <c r="CG1052" i="1" s="1"/>
  <c r="AK1052" i="1"/>
  <c r="AZ1052" i="1"/>
  <c r="BV1050" i="1"/>
  <c r="CF1050" i="1" s="1"/>
  <c r="CG1050" i="1" s="1"/>
  <c r="AK1050" i="1"/>
  <c r="AZ1050" i="1"/>
  <c r="BV1048" i="1"/>
  <c r="CF1048" i="1" s="1"/>
  <c r="CG1048" i="1" s="1"/>
  <c r="AK1048" i="1"/>
  <c r="AZ1048" i="1"/>
  <c r="BV1046" i="1"/>
  <c r="BX1046" i="1" s="1"/>
  <c r="BY1046" i="1" s="1"/>
  <c r="AK1046" i="1"/>
  <c r="AZ1046" i="1"/>
  <c r="BV1044" i="1"/>
  <c r="BX1044" i="1" s="1"/>
  <c r="BY1044" i="1" s="1"/>
  <c r="AK1044" i="1"/>
  <c r="AZ1044" i="1"/>
  <c r="BV1042" i="1"/>
  <c r="CF1042" i="1" s="1"/>
  <c r="CG1042" i="1" s="1"/>
  <c r="AK1042" i="1"/>
  <c r="AZ1042" i="1"/>
  <c r="BV1040" i="1"/>
  <c r="CF1040" i="1" s="1"/>
  <c r="CG1040" i="1" s="1"/>
  <c r="AZ1040" i="1"/>
  <c r="AK1040" i="1"/>
  <c r="BV1038" i="1"/>
  <c r="AZ1038" i="1"/>
  <c r="AK1038" i="1"/>
  <c r="BV1036" i="1"/>
  <c r="BX1036" i="1" s="1"/>
  <c r="BY1036" i="1" s="1"/>
  <c r="AZ1036" i="1"/>
  <c r="AK1036" i="1"/>
  <c r="BV1034" i="1"/>
  <c r="BX1034" i="1" s="1"/>
  <c r="BY1034" i="1" s="1"/>
  <c r="AK1034" i="1"/>
  <c r="AZ1034" i="1"/>
  <c r="BV1032" i="1"/>
  <c r="BX1032" i="1" s="1"/>
  <c r="BY1032" i="1" s="1"/>
  <c r="AZ1032" i="1"/>
  <c r="AK1032" i="1"/>
  <c r="BV1030" i="1"/>
  <c r="BX1030" i="1" s="1"/>
  <c r="BY1030" i="1" s="1"/>
  <c r="AZ1030" i="1"/>
  <c r="AK1030" i="1"/>
  <c r="BV1028" i="1"/>
  <c r="BX1028" i="1" s="1"/>
  <c r="BY1028" i="1" s="1"/>
  <c r="AK1028" i="1"/>
  <c r="AZ1028" i="1"/>
  <c r="BV1026" i="1"/>
  <c r="BX1026" i="1" s="1"/>
  <c r="BY1026" i="1" s="1"/>
  <c r="AK1026" i="1"/>
  <c r="AZ1026" i="1"/>
  <c r="BV1024" i="1"/>
  <c r="BX1024" i="1" s="1"/>
  <c r="BY1024" i="1" s="1"/>
  <c r="AK1024" i="1"/>
  <c r="AZ1024" i="1"/>
  <c r="BV1022" i="1"/>
  <c r="AZ1022" i="1"/>
  <c r="AK1022" i="1"/>
  <c r="BV1020" i="1"/>
  <c r="CF1020" i="1" s="1"/>
  <c r="CG1020" i="1" s="1"/>
  <c r="AZ1020" i="1"/>
  <c r="AK1020" i="1"/>
  <c r="BV1018" i="1"/>
  <c r="CF1018" i="1" s="1"/>
  <c r="CG1018" i="1" s="1"/>
  <c r="AK1018" i="1"/>
  <c r="AZ1018" i="1"/>
  <c r="BV1016" i="1"/>
  <c r="AK1016" i="1"/>
  <c r="AZ1016" i="1"/>
  <c r="BV1014" i="1"/>
  <c r="BX1014" i="1" s="1"/>
  <c r="BY1014" i="1" s="1"/>
  <c r="AZ1014" i="1"/>
  <c r="AK1014" i="1"/>
  <c r="BV1012" i="1"/>
  <c r="CF1012" i="1" s="1"/>
  <c r="CG1012" i="1" s="1"/>
  <c r="AZ1012" i="1"/>
  <c r="AK1012" i="1"/>
  <c r="BV1010" i="1"/>
  <c r="CF1010" i="1" s="1"/>
  <c r="CG1010" i="1" s="1"/>
  <c r="CH1010" i="1" s="1"/>
  <c r="CI1010" i="1" s="1"/>
  <c r="AK1010" i="1"/>
  <c r="AZ1010" i="1"/>
  <c r="BV1008" i="1"/>
  <c r="CF1008" i="1" s="1"/>
  <c r="CG1008" i="1" s="1"/>
  <c r="AK1008" i="1"/>
  <c r="AZ1008" i="1"/>
  <c r="BV1006" i="1"/>
  <c r="AK1006" i="1"/>
  <c r="AZ1006" i="1"/>
  <c r="BV1004" i="1"/>
  <c r="AZ1004" i="1"/>
  <c r="AK1004" i="1"/>
  <c r="BV1002" i="1"/>
  <c r="BX1002" i="1" s="1"/>
  <c r="BY1002" i="1" s="1"/>
  <c r="AK1002" i="1"/>
  <c r="AZ1002" i="1"/>
  <c r="BV1000" i="1"/>
  <c r="BX1000" i="1" s="1"/>
  <c r="BY1000" i="1" s="1"/>
  <c r="AK1000" i="1"/>
  <c r="AZ1000" i="1"/>
  <c r="BV998" i="1"/>
  <c r="BX998" i="1" s="1"/>
  <c r="BY998" i="1" s="1"/>
  <c r="AK998" i="1"/>
  <c r="AZ998" i="1"/>
  <c r="BV996" i="1"/>
  <c r="BX996" i="1" s="1"/>
  <c r="BY996" i="1" s="1"/>
  <c r="AZ996" i="1"/>
  <c r="AK996" i="1"/>
  <c r="BV994" i="1"/>
  <c r="BX994" i="1" s="1"/>
  <c r="BY994" i="1" s="1"/>
  <c r="AK994" i="1"/>
  <c r="AZ994" i="1"/>
  <c r="BV992" i="1"/>
  <c r="AZ992" i="1"/>
  <c r="AK992" i="1"/>
  <c r="BV990" i="1"/>
  <c r="AZ990" i="1"/>
  <c r="AK990" i="1"/>
  <c r="BV988" i="1"/>
  <c r="BX988" i="1" s="1"/>
  <c r="BY988" i="1" s="1"/>
  <c r="AZ988" i="1"/>
  <c r="AK988" i="1"/>
  <c r="BV986" i="1"/>
  <c r="CF986" i="1" s="1"/>
  <c r="CG986" i="1" s="1"/>
  <c r="AK986" i="1"/>
  <c r="AZ986" i="1"/>
  <c r="BV984" i="1"/>
  <c r="AK984" i="1"/>
  <c r="AZ984" i="1"/>
  <c r="BV982" i="1"/>
  <c r="CF982" i="1" s="1"/>
  <c r="CG982" i="1" s="1"/>
  <c r="AZ982" i="1"/>
  <c r="AK982" i="1"/>
  <c r="BV980" i="1"/>
  <c r="CF980" i="1" s="1"/>
  <c r="CG980" i="1" s="1"/>
  <c r="AK980" i="1"/>
  <c r="AZ980" i="1"/>
  <c r="BV978" i="1"/>
  <c r="CF978" i="1" s="1"/>
  <c r="CG978" i="1" s="1"/>
  <c r="AZ978" i="1"/>
  <c r="AK978" i="1"/>
  <c r="BV976" i="1"/>
  <c r="CF976" i="1" s="1"/>
  <c r="CG976" i="1" s="1"/>
  <c r="AZ976" i="1"/>
  <c r="AK976" i="1"/>
  <c r="BV974" i="1"/>
  <c r="AZ974" i="1"/>
  <c r="AK974" i="1"/>
  <c r="BV972" i="1"/>
  <c r="CF972" i="1" s="1"/>
  <c r="CG972" i="1" s="1"/>
  <c r="AZ972" i="1"/>
  <c r="AK972" i="1"/>
  <c r="BV970" i="1"/>
  <c r="AK970" i="1"/>
  <c r="AZ970" i="1"/>
  <c r="BV968" i="1"/>
  <c r="CF968" i="1" s="1"/>
  <c r="CG968" i="1" s="1"/>
  <c r="AK968" i="1"/>
  <c r="AZ968" i="1"/>
  <c r="BV966" i="1"/>
  <c r="AZ966" i="1"/>
  <c r="AK966" i="1"/>
  <c r="BV964" i="1"/>
  <c r="BX964" i="1" s="1"/>
  <c r="BY964" i="1" s="1"/>
  <c r="AZ964" i="1"/>
  <c r="AK964" i="1"/>
  <c r="BV962" i="1"/>
  <c r="BX962" i="1" s="1"/>
  <c r="BY962" i="1" s="1"/>
  <c r="AK962" i="1"/>
  <c r="AZ962" i="1"/>
  <c r="BV960" i="1"/>
  <c r="CF960" i="1" s="1"/>
  <c r="CG960" i="1" s="1"/>
  <c r="AK960" i="1"/>
  <c r="AZ960" i="1"/>
  <c r="BV958" i="1"/>
  <c r="AZ958" i="1"/>
  <c r="AK958" i="1"/>
  <c r="BV956" i="1"/>
  <c r="CF956" i="1" s="1"/>
  <c r="CG956" i="1" s="1"/>
  <c r="AZ956" i="1"/>
  <c r="AK956" i="1"/>
  <c r="BV954" i="1"/>
  <c r="BX954" i="1" s="1"/>
  <c r="BY954" i="1" s="1"/>
  <c r="AK954" i="1"/>
  <c r="AZ954" i="1"/>
  <c r="BV952" i="1"/>
  <c r="CF952" i="1" s="1"/>
  <c r="CG952" i="1" s="1"/>
  <c r="AK952" i="1"/>
  <c r="AZ952" i="1"/>
  <c r="BV950" i="1"/>
  <c r="CF950" i="1" s="1"/>
  <c r="CG950" i="1" s="1"/>
  <c r="CH950" i="1" s="1"/>
  <c r="CI950" i="1" s="1"/>
  <c r="AZ950" i="1"/>
  <c r="AK950" i="1"/>
  <c r="BV948" i="1"/>
  <c r="BX948" i="1" s="1"/>
  <c r="BY948" i="1" s="1"/>
  <c r="AZ948" i="1"/>
  <c r="AK948" i="1"/>
  <c r="BV946" i="1"/>
  <c r="BX946" i="1" s="1"/>
  <c r="BY946" i="1" s="1"/>
  <c r="AZ946" i="1"/>
  <c r="AK946" i="1"/>
  <c r="BV944" i="1"/>
  <c r="BX944" i="1" s="1"/>
  <c r="BY944" i="1" s="1"/>
  <c r="AK944" i="1"/>
  <c r="AZ944" i="1"/>
  <c r="BV942" i="1"/>
  <c r="CF942" i="1" s="1"/>
  <c r="CG942" i="1" s="1"/>
  <c r="AK942" i="1"/>
  <c r="AZ942" i="1"/>
  <c r="BV940" i="1"/>
  <c r="BX940" i="1" s="1"/>
  <c r="BY940" i="1" s="1"/>
  <c r="AK940" i="1"/>
  <c r="AZ940" i="1"/>
  <c r="BV938" i="1"/>
  <c r="CF938" i="1" s="1"/>
  <c r="CG938" i="1" s="1"/>
  <c r="AZ938" i="1"/>
  <c r="AK938" i="1"/>
  <c r="BV936" i="1"/>
  <c r="BX936" i="1" s="1"/>
  <c r="BY936" i="1" s="1"/>
  <c r="AZ936" i="1"/>
  <c r="AK936" i="1"/>
  <c r="BV934" i="1"/>
  <c r="BX934" i="1" s="1"/>
  <c r="BY934" i="1" s="1"/>
  <c r="AZ934" i="1"/>
  <c r="AK934" i="1"/>
  <c r="BV932" i="1"/>
  <c r="CF932" i="1" s="1"/>
  <c r="CG932" i="1" s="1"/>
  <c r="AK932" i="1"/>
  <c r="AZ932" i="1"/>
  <c r="BV930" i="1"/>
  <c r="CF930" i="1" s="1"/>
  <c r="CG930" i="1" s="1"/>
  <c r="AZ930" i="1"/>
  <c r="AK930" i="1"/>
  <c r="BV928" i="1"/>
  <c r="BX928" i="1" s="1"/>
  <c r="BY928" i="1" s="1"/>
  <c r="AK928" i="1"/>
  <c r="AZ928" i="1"/>
  <c r="BV926" i="1"/>
  <c r="AK926" i="1"/>
  <c r="AZ926" i="1"/>
  <c r="BV924" i="1"/>
  <c r="CF924" i="1" s="1"/>
  <c r="CG924" i="1" s="1"/>
  <c r="AZ924" i="1"/>
  <c r="AK924" i="1"/>
  <c r="BV922" i="1"/>
  <c r="BX922" i="1" s="1"/>
  <c r="BY922" i="1" s="1"/>
  <c r="AK922" i="1"/>
  <c r="AZ922" i="1"/>
  <c r="BV920" i="1"/>
  <c r="BX920" i="1" s="1"/>
  <c r="BY920" i="1" s="1"/>
  <c r="AZ920" i="1"/>
  <c r="AK920" i="1"/>
  <c r="BV918" i="1"/>
  <c r="BX918" i="1" s="1"/>
  <c r="BY918" i="1" s="1"/>
  <c r="AZ918" i="1"/>
  <c r="AK918" i="1"/>
  <c r="BV916" i="1"/>
  <c r="BX916" i="1" s="1"/>
  <c r="BY916" i="1" s="1"/>
  <c r="AK916" i="1"/>
  <c r="AZ916" i="1"/>
  <c r="BV914" i="1"/>
  <c r="CF914" i="1" s="1"/>
  <c r="CG914" i="1" s="1"/>
  <c r="AZ914" i="1"/>
  <c r="AK914" i="1"/>
  <c r="BV912" i="1"/>
  <c r="BX912" i="1" s="1"/>
  <c r="BY912" i="1" s="1"/>
  <c r="AK912" i="1"/>
  <c r="AZ912" i="1"/>
  <c r="BV910" i="1"/>
  <c r="AK910" i="1"/>
  <c r="AZ910" i="1"/>
  <c r="BV908" i="1"/>
  <c r="BX908" i="1" s="1"/>
  <c r="BY908" i="1" s="1"/>
  <c r="AZ908" i="1"/>
  <c r="AK908" i="1"/>
  <c r="BV906" i="1"/>
  <c r="BX906" i="1" s="1"/>
  <c r="BY906" i="1" s="1"/>
  <c r="AZ906" i="1"/>
  <c r="AK906" i="1"/>
  <c r="BV904" i="1"/>
  <c r="BX904" i="1" s="1"/>
  <c r="BY904" i="1" s="1"/>
  <c r="AK904" i="1"/>
  <c r="AZ904" i="1"/>
  <c r="BV902" i="1"/>
  <c r="CF902" i="1" s="1"/>
  <c r="CG902" i="1" s="1"/>
  <c r="AZ902" i="1"/>
  <c r="AK902" i="1"/>
  <c r="BV900" i="1"/>
  <c r="BX900" i="1" s="1"/>
  <c r="BY900" i="1" s="1"/>
  <c r="AZ900" i="1"/>
  <c r="AK900" i="1"/>
  <c r="BV898" i="1"/>
  <c r="BX898" i="1" s="1"/>
  <c r="BY898" i="1" s="1"/>
  <c r="CB898" i="1" s="1"/>
  <c r="CC898" i="1" s="1"/>
  <c r="AZ898" i="1"/>
  <c r="AK898" i="1"/>
  <c r="BV896" i="1"/>
  <c r="BX896" i="1" s="1"/>
  <c r="BY896" i="1" s="1"/>
  <c r="AK896" i="1"/>
  <c r="AZ896" i="1"/>
  <c r="BV894" i="1"/>
  <c r="AK894" i="1"/>
  <c r="AZ894" i="1"/>
  <c r="BV892" i="1"/>
  <c r="CF892" i="1" s="1"/>
  <c r="CG892" i="1" s="1"/>
  <c r="AK892" i="1"/>
  <c r="AZ892" i="1"/>
  <c r="BV890" i="1"/>
  <c r="BX890" i="1" s="1"/>
  <c r="BY890" i="1" s="1"/>
  <c r="AZ890" i="1"/>
  <c r="AK890" i="1"/>
  <c r="BV888" i="1"/>
  <c r="BX888" i="1" s="1"/>
  <c r="BY888" i="1" s="1"/>
  <c r="AK888" i="1"/>
  <c r="AZ888" i="1"/>
  <c r="BV886" i="1"/>
  <c r="BX886" i="1" s="1"/>
  <c r="BY886" i="1" s="1"/>
  <c r="AZ886" i="1"/>
  <c r="AK886" i="1"/>
  <c r="BV884" i="1"/>
  <c r="CF884" i="1" s="1"/>
  <c r="CG884" i="1" s="1"/>
  <c r="AK884" i="1"/>
  <c r="AZ884" i="1"/>
  <c r="BV882" i="1"/>
  <c r="BX882" i="1" s="1"/>
  <c r="BY882" i="1" s="1"/>
  <c r="AZ882" i="1"/>
  <c r="AK882" i="1"/>
  <c r="BV880" i="1"/>
  <c r="BX880" i="1" s="1"/>
  <c r="BY880" i="1" s="1"/>
  <c r="AK880" i="1"/>
  <c r="AZ880" i="1"/>
  <c r="BV878" i="1"/>
  <c r="AK878" i="1"/>
  <c r="AZ878" i="1"/>
  <c r="BV876" i="1"/>
  <c r="BX876" i="1" s="1"/>
  <c r="BY876" i="1" s="1"/>
  <c r="AZ876" i="1"/>
  <c r="AK876" i="1"/>
  <c r="BV874" i="1"/>
  <c r="BX874" i="1" s="1"/>
  <c r="BY874" i="1" s="1"/>
  <c r="AZ874" i="1"/>
  <c r="AK874" i="1"/>
  <c r="BV872" i="1"/>
  <c r="CF872" i="1" s="1"/>
  <c r="CG872" i="1" s="1"/>
  <c r="CH872" i="1" s="1"/>
  <c r="AK872" i="1"/>
  <c r="AZ872" i="1"/>
  <c r="BV870" i="1"/>
  <c r="BX870" i="1" s="1"/>
  <c r="BY870" i="1" s="1"/>
  <c r="AK870" i="1"/>
  <c r="AZ870" i="1"/>
  <c r="BV868" i="1"/>
  <c r="BX868" i="1" s="1"/>
  <c r="BY868" i="1" s="1"/>
  <c r="AK868" i="1"/>
  <c r="AZ868" i="1"/>
  <c r="BV866" i="1"/>
  <c r="BX866" i="1" s="1"/>
  <c r="BY866" i="1" s="1"/>
  <c r="AZ866" i="1"/>
  <c r="AK866" i="1"/>
  <c r="BV864" i="1"/>
  <c r="BX864" i="1" s="1"/>
  <c r="BY864" i="1" s="1"/>
  <c r="AK864" i="1"/>
  <c r="AZ864" i="1"/>
  <c r="BV862" i="1"/>
  <c r="AZ862" i="1"/>
  <c r="AK862" i="1"/>
  <c r="BV860" i="1"/>
  <c r="BX860" i="1" s="1"/>
  <c r="BY860" i="1" s="1"/>
  <c r="AK860" i="1"/>
  <c r="AZ860" i="1"/>
  <c r="BV858" i="1"/>
  <c r="CF858" i="1" s="1"/>
  <c r="CG858" i="1" s="1"/>
  <c r="AK858" i="1"/>
  <c r="AZ858" i="1"/>
  <c r="BV856" i="1"/>
  <c r="BX856" i="1" s="1"/>
  <c r="BY856" i="1" s="1"/>
  <c r="AK856" i="1"/>
  <c r="AZ856" i="1"/>
  <c r="BV854" i="1"/>
  <c r="BX854" i="1" s="1"/>
  <c r="BY854" i="1" s="1"/>
  <c r="AZ854" i="1"/>
  <c r="AK854" i="1"/>
  <c r="BV852" i="1"/>
  <c r="BX852" i="1" s="1"/>
  <c r="BY852" i="1" s="1"/>
  <c r="AZ852" i="1"/>
  <c r="AK852" i="1"/>
  <c r="BV850" i="1"/>
  <c r="BX850" i="1" s="1"/>
  <c r="BY850" i="1" s="1"/>
  <c r="AZ850" i="1"/>
  <c r="AK850" i="1"/>
  <c r="BV848" i="1"/>
  <c r="BX848" i="1" s="1"/>
  <c r="BY848" i="1" s="1"/>
  <c r="AK848" i="1"/>
  <c r="AZ848" i="1"/>
  <c r="BV846" i="1"/>
  <c r="AZ846" i="1"/>
  <c r="AK846" i="1"/>
  <c r="BV844" i="1"/>
  <c r="CF844" i="1" s="1"/>
  <c r="CG844" i="1" s="1"/>
  <c r="AZ844" i="1"/>
  <c r="AK844" i="1"/>
  <c r="BV842" i="1"/>
  <c r="CF842" i="1" s="1"/>
  <c r="CG842" i="1" s="1"/>
  <c r="AZ842" i="1"/>
  <c r="AK842" i="1"/>
  <c r="BV840" i="1"/>
  <c r="BX840" i="1" s="1"/>
  <c r="BY840" i="1" s="1"/>
  <c r="AK840" i="1"/>
  <c r="AZ840" i="1"/>
  <c r="BV838" i="1"/>
  <c r="CF838" i="1" s="1"/>
  <c r="CG838" i="1" s="1"/>
  <c r="AK838" i="1"/>
  <c r="AZ838" i="1"/>
  <c r="BV836" i="1"/>
  <c r="CF836" i="1" s="1"/>
  <c r="CG836" i="1" s="1"/>
  <c r="AZ836" i="1"/>
  <c r="AK836" i="1"/>
  <c r="BV834" i="1"/>
  <c r="BX834" i="1" s="1"/>
  <c r="BY834" i="1" s="1"/>
  <c r="AZ834" i="1"/>
  <c r="AK834" i="1"/>
  <c r="BV832" i="1"/>
  <c r="BX832" i="1" s="1"/>
  <c r="BY832" i="1" s="1"/>
  <c r="AZ832" i="1"/>
  <c r="AK832" i="1"/>
  <c r="BV830" i="1"/>
  <c r="BX830" i="1" s="1"/>
  <c r="BY830" i="1" s="1"/>
  <c r="AZ830" i="1"/>
  <c r="AK830" i="1"/>
  <c r="BV828" i="1"/>
  <c r="CF828" i="1" s="1"/>
  <c r="CG828" i="1" s="1"/>
  <c r="AZ828" i="1"/>
  <c r="AK828" i="1"/>
  <c r="BV826" i="1"/>
  <c r="CF826" i="1" s="1"/>
  <c r="CG826" i="1" s="1"/>
  <c r="AK826" i="1"/>
  <c r="AZ826" i="1"/>
  <c r="BV824" i="1"/>
  <c r="BX824" i="1" s="1"/>
  <c r="BY824" i="1" s="1"/>
  <c r="AK824" i="1"/>
  <c r="AZ824" i="1"/>
  <c r="BV822" i="1"/>
  <c r="BX822" i="1" s="1"/>
  <c r="BY822" i="1" s="1"/>
  <c r="AK822" i="1"/>
  <c r="AZ822" i="1"/>
  <c r="BV820" i="1"/>
  <c r="BX820" i="1" s="1"/>
  <c r="BY820" i="1" s="1"/>
  <c r="AK820" i="1"/>
  <c r="AZ820" i="1"/>
  <c r="BV818" i="1"/>
  <c r="BX818" i="1" s="1"/>
  <c r="BY818" i="1" s="1"/>
  <c r="AK818" i="1"/>
  <c r="AZ818" i="1"/>
  <c r="BV816" i="1"/>
  <c r="CF816" i="1" s="1"/>
  <c r="CG816" i="1" s="1"/>
  <c r="AK816" i="1"/>
  <c r="AZ816" i="1"/>
  <c r="BV814" i="1"/>
  <c r="AK814" i="1"/>
  <c r="AZ814" i="1"/>
  <c r="BV812" i="1"/>
  <c r="AK812" i="1"/>
  <c r="AZ812" i="1"/>
  <c r="BV810" i="1"/>
  <c r="BX810" i="1" s="1"/>
  <c r="BY810" i="1" s="1"/>
  <c r="AK810" i="1"/>
  <c r="AZ810" i="1"/>
  <c r="BV808" i="1"/>
  <c r="CF808" i="1" s="1"/>
  <c r="CG808" i="1" s="1"/>
  <c r="AK808" i="1"/>
  <c r="AZ808" i="1"/>
  <c r="BV806" i="1"/>
  <c r="BX806" i="1" s="1"/>
  <c r="BY806" i="1" s="1"/>
  <c r="AK806" i="1"/>
  <c r="AZ806" i="1"/>
  <c r="BV804" i="1"/>
  <c r="BX804" i="1" s="1"/>
  <c r="BY804" i="1" s="1"/>
  <c r="AK804" i="1"/>
  <c r="AZ804" i="1"/>
  <c r="BV802" i="1"/>
  <c r="CF802" i="1" s="1"/>
  <c r="CG802" i="1" s="1"/>
  <c r="AK802" i="1"/>
  <c r="AZ802" i="1"/>
  <c r="BV800" i="1"/>
  <c r="BX800" i="1" s="1"/>
  <c r="BY800" i="1" s="1"/>
  <c r="AK800" i="1"/>
  <c r="AZ800" i="1"/>
  <c r="BV798" i="1"/>
  <c r="BX798" i="1" s="1"/>
  <c r="BY798" i="1" s="1"/>
  <c r="AK798" i="1"/>
  <c r="AZ798" i="1"/>
  <c r="BV796" i="1"/>
  <c r="BX796" i="1" s="1"/>
  <c r="BY796" i="1" s="1"/>
  <c r="AK796" i="1"/>
  <c r="AZ796" i="1"/>
  <c r="BV794" i="1"/>
  <c r="BX794" i="1" s="1"/>
  <c r="BY794" i="1" s="1"/>
  <c r="AZ794" i="1"/>
  <c r="AK794" i="1"/>
  <c r="BV792" i="1"/>
  <c r="CF792" i="1" s="1"/>
  <c r="CG792" i="1" s="1"/>
  <c r="AZ792" i="1"/>
  <c r="AK792" i="1"/>
  <c r="BV790" i="1"/>
  <c r="CF790" i="1" s="1"/>
  <c r="CG790" i="1" s="1"/>
  <c r="AZ790" i="1"/>
  <c r="AK790" i="1"/>
  <c r="BV788" i="1"/>
  <c r="CF788" i="1" s="1"/>
  <c r="CG788" i="1" s="1"/>
  <c r="AZ788" i="1"/>
  <c r="AK788" i="1"/>
  <c r="BV786" i="1"/>
  <c r="BX786" i="1" s="1"/>
  <c r="BY786" i="1" s="1"/>
  <c r="AZ786" i="1"/>
  <c r="AK786" i="1"/>
  <c r="BV784" i="1"/>
  <c r="BX784" i="1" s="1"/>
  <c r="BY784" i="1" s="1"/>
  <c r="AZ784" i="1"/>
  <c r="AK784" i="1"/>
  <c r="BV782" i="1"/>
  <c r="AZ782" i="1"/>
  <c r="AK782" i="1"/>
  <c r="BV780" i="1"/>
  <c r="CF780" i="1" s="1"/>
  <c r="CG780" i="1" s="1"/>
  <c r="AZ780" i="1"/>
  <c r="AK780" i="1"/>
  <c r="BV778" i="1"/>
  <c r="CF778" i="1" s="1"/>
  <c r="CG778" i="1" s="1"/>
  <c r="AK778" i="1"/>
  <c r="AZ778" i="1"/>
  <c r="BV776" i="1"/>
  <c r="CF776" i="1" s="1"/>
  <c r="CG776" i="1" s="1"/>
  <c r="AK776" i="1"/>
  <c r="AZ776" i="1"/>
  <c r="BV774" i="1"/>
  <c r="BX774" i="1" s="1"/>
  <c r="BY774" i="1" s="1"/>
  <c r="AK774" i="1"/>
  <c r="AZ774" i="1"/>
  <c r="BV772" i="1"/>
  <c r="CF772" i="1" s="1"/>
  <c r="CG772" i="1" s="1"/>
  <c r="AK772" i="1"/>
  <c r="AZ772" i="1"/>
  <c r="BV770" i="1"/>
  <c r="BX770" i="1" s="1"/>
  <c r="BY770" i="1" s="1"/>
  <c r="AK770" i="1"/>
  <c r="AZ770" i="1"/>
  <c r="BV768" i="1"/>
  <c r="CF768" i="1" s="1"/>
  <c r="CG768" i="1" s="1"/>
  <c r="AZ768" i="1"/>
  <c r="AK768" i="1"/>
  <c r="BV766" i="1"/>
  <c r="AZ766" i="1"/>
  <c r="AK766" i="1"/>
  <c r="BV764" i="1"/>
  <c r="BX764" i="1" s="1"/>
  <c r="BY764" i="1" s="1"/>
  <c r="AK764" i="1"/>
  <c r="AZ764" i="1"/>
  <c r="BV762" i="1"/>
  <c r="BX762" i="1" s="1"/>
  <c r="BY762" i="1" s="1"/>
  <c r="AZ762" i="1"/>
  <c r="AK762" i="1"/>
  <c r="BV760" i="1"/>
  <c r="BX760" i="1" s="1"/>
  <c r="BY760" i="1" s="1"/>
  <c r="AZ760" i="1"/>
  <c r="AK760" i="1"/>
  <c r="BV758" i="1"/>
  <c r="CF758" i="1" s="1"/>
  <c r="CG758" i="1" s="1"/>
  <c r="AK758" i="1"/>
  <c r="AZ758" i="1"/>
  <c r="BV756" i="1"/>
  <c r="BX756" i="1" s="1"/>
  <c r="BY756" i="1" s="1"/>
  <c r="AZ756" i="1"/>
  <c r="AK756" i="1"/>
  <c r="BV754" i="1"/>
  <c r="AZ754" i="1"/>
  <c r="AK754" i="1"/>
  <c r="BV752" i="1"/>
  <c r="CF752" i="1" s="1"/>
  <c r="CG752" i="1" s="1"/>
  <c r="AZ752" i="1"/>
  <c r="AK752" i="1"/>
  <c r="BV750" i="1"/>
  <c r="AZ750" i="1"/>
  <c r="AK750" i="1"/>
  <c r="BV748" i="1"/>
  <c r="CF748" i="1" s="1"/>
  <c r="CG748" i="1" s="1"/>
  <c r="AK748" i="1"/>
  <c r="AZ748" i="1"/>
  <c r="BV746" i="1"/>
  <c r="CF746" i="1" s="1"/>
  <c r="CG746" i="1" s="1"/>
  <c r="AZ746" i="1"/>
  <c r="AK746" i="1"/>
  <c r="BV744" i="1"/>
  <c r="CF744" i="1" s="1"/>
  <c r="CG744" i="1" s="1"/>
  <c r="AZ744" i="1"/>
  <c r="AK744" i="1"/>
  <c r="BV742" i="1"/>
  <c r="CF742" i="1" s="1"/>
  <c r="CG742" i="1" s="1"/>
  <c r="AK742" i="1"/>
  <c r="AZ742" i="1"/>
  <c r="BV740" i="1"/>
  <c r="CF740" i="1" s="1"/>
  <c r="CG740" i="1" s="1"/>
  <c r="AZ740" i="1"/>
  <c r="AK740" i="1"/>
  <c r="BV738" i="1"/>
  <c r="BX738" i="1" s="1"/>
  <c r="BY738" i="1" s="1"/>
  <c r="AK738" i="1"/>
  <c r="AZ738" i="1"/>
  <c r="BV736" i="1"/>
  <c r="CF736" i="1" s="1"/>
  <c r="CG736" i="1" s="1"/>
  <c r="AZ736" i="1"/>
  <c r="AK736" i="1"/>
  <c r="BV734" i="1"/>
  <c r="AK734" i="1"/>
  <c r="AZ734" i="1"/>
  <c r="BV732" i="1"/>
  <c r="BX732" i="1" s="1"/>
  <c r="BY732" i="1" s="1"/>
  <c r="AK732" i="1"/>
  <c r="AZ732" i="1"/>
  <c r="BV730" i="1"/>
  <c r="BX730" i="1" s="1"/>
  <c r="BY730" i="1" s="1"/>
  <c r="AZ730" i="1"/>
  <c r="AK730" i="1"/>
  <c r="BV728" i="1"/>
  <c r="BX728" i="1" s="1"/>
  <c r="BY728" i="1" s="1"/>
  <c r="AZ728" i="1"/>
  <c r="AK728" i="1"/>
  <c r="BV726" i="1"/>
  <c r="BX726" i="1" s="1"/>
  <c r="BY726" i="1" s="1"/>
  <c r="AZ726" i="1"/>
  <c r="AK726" i="1"/>
  <c r="BV724" i="1"/>
  <c r="CF724" i="1" s="1"/>
  <c r="CG724" i="1" s="1"/>
  <c r="AK724" i="1"/>
  <c r="AZ724" i="1"/>
  <c r="BV722" i="1"/>
  <c r="BX722" i="1" s="1"/>
  <c r="BY722" i="1" s="1"/>
  <c r="AK722" i="1"/>
  <c r="AZ722" i="1"/>
  <c r="BV720" i="1"/>
  <c r="CF720" i="1" s="1"/>
  <c r="CG720" i="1" s="1"/>
  <c r="AZ720" i="1"/>
  <c r="AK720" i="1"/>
  <c r="BV718" i="1"/>
  <c r="AZ718" i="1"/>
  <c r="AK718" i="1"/>
  <c r="BV716" i="1"/>
  <c r="BX716" i="1" s="1"/>
  <c r="BY716" i="1" s="1"/>
  <c r="AZ716" i="1"/>
  <c r="AK716" i="1"/>
  <c r="BV714" i="1"/>
  <c r="BX714" i="1" s="1"/>
  <c r="BY714" i="1" s="1"/>
  <c r="AK714" i="1"/>
  <c r="AZ714" i="1"/>
  <c r="BV712" i="1"/>
  <c r="BX712" i="1" s="1"/>
  <c r="BY712" i="1" s="1"/>
  <c r="AK712" i="1"/>
  <c r="AZ712" i="1"/>
  <c r="BV710" i="1"/>
  <c r="BX710" i="1" s="1"/>
  <c r="BY710" i="1" s="1"/>
  <c r="AK710" i="1"/>
  <c r="AZ710" i="1"/>
  <c r="BV708" i="1"/>
  <c r="CF708" i="1" s="1"/>
  <c r="CG708" i="1" s="1"/>
  <c r="AK708" i="1"/>
  <c r="AZ708" i="1"/>
  <c r="BV706" i="1"/>
  <c r="BX706" i="1" s="1"/>
  <c r="BY706" i="1" s="1"/>
  <c r="AK706" i="1"/>
  <c r="AZ706" i="1"/>
  <c r="BV704" i="1"/>
  <c r="CF704" i="1" s="1"/>
  <c r="CG704" i="1" s="1"/>
  <c r="AZ704" i="1"/>
  <c r="AK704" i="1"/>
  <c r="BV702" i="1"/>
  <c r="AZ702" i="1"/>
  <c r="AK702" i="1"/>
  <c r="BV700" i="1"/>
  <c r="CF700" i="1" s="1"/>
  <c r="CG700" i="1" s="1"/>
  <c r="AZ700" i="1"/>
  <c r="AK700" i="1"/>
  <c r="BV698" i="1"/>
  <c r="BX698" i="1" s="1"/>
  <c r="BY698" i="1" s="1"/>
  <c r="AZ698" i="1"/>
  <c r="AK698" i="1"/>
  <c r="BV696" i="1"/>
  <c r="BX696" i="1" s="1"/>
  <c r="BY696" i="1" s="1"/>
  <c r="AZ696" i="1"/>
  <c r="AK696" i="1"/>
  <c r="BV694" i="1"/>
  <c r="CF694" i="1" s="1"/>
  <c r="CG694" i="1" s="1"/>
  <c r="AZ694" i="1"/>
  <c r="AK694" i="1"/>
  <c r="BV692" i="1"/>
  <c r="CF692" i="1" s="1"/>
  <c r="CG692" i="1" s="1"/>
  <c r="AZ692" i="1"/>
  <c r="AK692" i="1"/>
  <c r="BV690" i="1"/>
  <c r="CF690" i="1" s="1"/>
  <c r="CG690" i="1" s="1"/>
  <c r="AZ690" i="1"/>
  <c r="AK690" i="1"/>
  <c r="BV688" i="1"/>
  <c r="CF688" i="1" s="1"/>
  <c r="CG688" i="1" s="1"/>
  <c r="AZ688" i="1"/>
  <c r="AK688" i="1"/>
  <c r="BV686" i="1"/>
  <c r="AK686" i="1"/>
  <c r="AZ686" i="1"/>
  <c r="BV684" i="1"/>
  <c r="CF684" i="1" s="1"/>
  <c r="CG684" i="1" s="1"/>
  <c r="AZ684" i="1"/>
  <c r="AK684" i="1"/>
  <c r="BV682" i="1"/>
  <c r="BX682" i="1" s="1"/>
  <c r="BY682" i="1" s="1"/>
  <c r="AK682" i="1"/>
  <c r="AZ682" i="1"/>
  <c r="BV680" i="1"/>
  <c r="CF680" i="1" s="1"/>
  <c r="CG680" i="1" s="1"/>
  <c r="AZ680" i="1"/>
  <c r="AK680" i="1"/>
  <c r="BV678" i="1"/>
  <c r="CF678" i="1" s="1"/>
  <c r="CG678" i="1" s="1"/>
  <c r="AK678" i="1"/>
  <c r="AZ678" i="1"/>
  <c r="BV676" i="1"/>
  <c r="CF676" i="1" s="1"/>
  <c r="CG676" i="1" s="1"/>
  <c r="AK676" i="1"/>
  <c r="AZ676" i="1"/>
  <c r="BV674" i="1"/>
  <c r="BX674" i="1" s="1"/>
  <c r="BY674" i="1" s="1"/>
  <c r="AK674" i="1"/>
  <c r="AZ674" i="1"/>
  <c r="BV672" i="1"/>
  <c r="CF672" i="1" s="1"/>
  <c r="CG672" i="1" s="1"/>
  <c r="AZ672" i="1"/>
  <c r="BB672" i="1" s="1"/>
  <c r="AK672" i="1"/>
  <c r="BV670" i="1"/>
  <c r="AK670" i="1"/>
  <c r="AZ670" i="1"/>
  <c r="BV668" i="1"/>
  <c r="BX668" i="1" s="1"/>
  <c r="BY668" i="1" s="1"/>
  <c r="AZ668" i="1"/>
  <c r="AK668" i="1"/>
  <c r="BV666" i="1"/>
  <c r="BX666" i="1" s="1"/>
  <c r="BY666" i="1" s="1"/>
  <c r="AK666" i="1"/>
  <c r="AZ666" i="1"/>
  <c r="BV664" i="1"/>
  <c r="CF664" i="1" s="1"/>
  <c r="CG664" i="1" s="1"/>
  <c r="AK664" i="1"/>
  <c r="AZ664" i="1"/>
  <c r="BV662" i="1"/>
  <c r="AK662" i="1"/>
  <c r="AZ662" i="1"/>
  <c r="BV660" i="1"/>
  <c r="BX660" i="1" s="1"/>
  <c r="BY660" i="1" s="1"/>
  <c r="AK660" i="1"/>
  <c r="AZ660" i="1"/>
  <c r="BV658" i="1"/>
  <c r="BX658" i="1" s="1"/>
  <c r="BY658" i="1" s="1"/>
  <c r="AK658" i="1"/>
  <c r="AZ658" i="1"/>
  <c r="BV656" i="1"/>
  <c r="CF656" i="1" s="1"/>
  <c r="CG656" i="1" s="1"/>
  <c r="AK656" i="1"/>
  <c r="AZ656" i="1"/>
  <c r="BV654" i="1"/>
  <c r="AK654" i="1"/>
  <c r="AZ654" i="1"/>
  <c r="BV652" i="1"/>
  <c r="BX652" i="1" s="1"/>
  <c r="BY652" i="1" s="1"/>
  <c r="AZ652" i="1"/>
  <c r="AK652" i="1"/>
  <c r="BV650" i="1"/>
  <c r="BX650" i="1" s="1"/>
  <c r="BY650" i="1" s="1"/>
  <c r="AZ650" i="1"/>
  <c r="AK650" i="1"/>
  <c r="BV648" i="1"/>
  <c r="BX648" i="1" s="1"/>
  <c r="BY648" i="1" s="1"/>
  <c r="AZ648" i="1"/>
  <c r="AK648" i="1"/>
  <c r="BV646" i="1"/>
  <c r="CF646" i="1" s="1"/>
  <c r="CG646" i="1" s="1"/>
  <c r="AK646" i="1"/>
  <c r="AZ646" i="1"/>
  <c r="BV644" i="1"/>
  <c r="BX644" i="1" s="1"/>
  <c r="BY644" i="1" s="1"/>
  <c r="AZ644" i="1"/>
  <c r="AK644" i="1"/>
  <c r="BV642" i="1"/>
  <c r="BX642" i="1" s="1"/>
  <c r="BY642" i="1" s="1"/>
  <c r="AK642" i="1"/>
  <c r="AZ642" i="1"/>
  <c r="BV640" i="1"/>
  <c r="BX640" i="1" s="1"/>
  <c r="BY640" i="1" s="1"/>
  <c r="AK640" i="1"/>
  <c r="AZ640" i="1"/>
  <c r="BV638" i="1"/>
  <c r="BX638" i="1" s="1"/>
  <c r="BY638" i="1" s="1"/>
  <c r="AK638" i="1"/>
  <c r="AZ638" i="1"/>
  <c r="BV636" i="1"/>
  <c r="BX636" i="1" s="1"/>
  <c r="BY636" i="1" s="1"/>
  <c r="AK636" i="1"/>
  <c r="AZ636" i="1"/>
  <c r="BV634" i="1"/>
  <c r="CF634" i="1" s="1"/>
  <c r="CG634" i="1" s="1"/>
  <c r="AK634" i="1"/>
  <c r="AZ634" i="1"/>
  <c r="BV632" i="1"/>
  <c r="AZ632" i="1"/>
  <c r="AK632" i="1"/>
  <c r="BV630" i="1"/>
  <c r="CF630" i="1" s="1"/>
  <c r="CG630" i="1" s="1"/>
  <c r="AZ630" i="1"/>
  <c r="AK630" i="1"/>
  <c r="BV628" i="1"/>
  <c r="BX628" i="1" s="1"/>
  <c r="BY628" i="1" s="1"/>
  <c r="AK628" i="1"/>
  <c r="AZ628" i="1"/>
  <c r="BV626" i="1"/>
  <c r="CF626" i="1" s="1"/>
  <c r="CG626" i="1" s="1"/>
  <c r="AK626" i="1"/>
  <c r="AZ626" i="1"/>
  <c r="BV624" i="1"/>
  <c r="CF624" i="1" s="1"/>
  <c r="CG624" i="1" s="1"/>
  <c r="AZ624" i="1"/>
  <c r="AK624" i="1"/>
  <c r="BV622" i="1"/>
  <c r="AZ622" i="1"/>
  <c r="AK622" i="1"/>
  <c r="BV620" i="1"/>
  <c r="CF620" i="1" s="1"/>
  <c r="CG620" i="1" s="1"/>
  <c r="AK620" i="1"/>
  <c r="AZ620" i="1"/>
  <c r="BV618" i="1"/>
  <c r="CF618" i="1" s="1"/>
  <c r="CG618" i="1" s="1"/>
  <c r="AK618" i="1"/>
  <c r="AZ618" i="1"/>
  <c r="BV616" i="1"/>
  <c r="CF616" i="1" s="1"/>
  <c r="CG616" i="1" s="1"/>
  <c r="AZ616" i="1"/>
  <c r="AK616" i="1"/>
  <c r="BV614" i="1"/>
  <c r="BX614" i="1" s="1"/>
  <c r="BY614" i="1" s="1"/>
  <c r="AZ614" i="1"/>
  <c r="AK614" i="1"/>
  <c r="BV612" i="1"/>
  <c r="BX612" i="1" s="1"/>
  <c r="BY612" i="1" s="1"/>
  <c r="AK612" i="1"/>
  <c r="AZ612" i="1"/>
  <c r="BV610" i="1"/>
  <c r="CF610" i="1" s="1"/>
  <c r="CG610" i="1" s="1"/>
  <c r="AZ610" i="1"/>
  <c r="AK610" i="1"/>
  <c r="BV608" i="1"/>
  <c r="AZ608" i="1"/>
  <c r="AK608" i="1"/>
  <c r="BV606" i="1"/>
  <c r="AZ606" i="1"/>
  <c r="AK606" i="1"/>
  <c r="BV604" i="1"/>
  <c r="CF604" i="1" s="1"/>
  <c r="CG604" i="1" s="1"/>
  <c r="AK604" i="1"/>
  <c r="AZ604" i="1"/>
  <c r="BV602" i="1"/>
  <c r="CF602" i="1" s="1"/>
  <c r="CG602" i="1" s="1"/>
  <c r="AK602" i="1"/>
  <c r="AZ602" i="1"/>
  <c r="BV600" i="1"/>
  <c r="BX600" i="1" s="1"/>
  <c r="BY600" i="1" s="1"/>
  <c r="AZ600" i="1"/>
  <c r="AK600" i="1"/>
  <c r="BV598" i="1"/>
  <c r="CF598" i="1" s="1"/>
  <c r="CG598" i="1" s="1"/>
  <c r="AZ598" i="1"/>
  <c r="AK598" i="1"/>
  <c r="BV596" i="1"/>
  <c r="AK596" i="1"/>
  <c r="AZ596" i="1"/>
  <c r="BV594" i="1"/>
  <c r="CF594" i="1" s="1"/>
  <c r="CG594" i="1" s="1"/>
  <c r="AZ594" i="1"/>
  <c r="AK594" i="1"/>
  <c r="BV592" i="1"/>
  <c r="BX592" i="1" s="1"/>
  <c r="BY592" i="1" s="1"/>
  <c r="AZ592" i="1"/>
  <c r="AK592" i="1"/>
  <c r="BV590" i="1"/>
  <c r="AZ590" i="1"/>
  <c r="AK590" i="1"/>
  <c r="BV588" i="1"/>
  <c r="BX588" i="1" s="1"/>
  <c r="BY588" i="1" s="1"/>
  <c r="AK588" i="1"/>
  <c r="AZ588" i="1"/>
  <c r="BV586" i="1"/>
  <c r="CF586" i="1" s="1"/>
  <c r="CG586" i="1" s="1"/>
  <c r="AK586" i="1"/>
  <c r="AZ586" i="1"/>
  <c r="BV584" i="1"/>
  <c r="CF584" i="1" s="1"/>
  <c r="CG584" i="1" s="1"/>
  <c r="AZ584" i="1"/>
  <c r="AK584" i="1"/>
  <c r="BV582" i="1"/>
  <c r="BX582" i="1" s="1"/>
  <c r="BY582" i="1" s="1"/>
  <c r="AZ582" i="1"/>
  <c r="AK582" i="1"/>
  <c r="BV580" i="1"/>
  <c r="BX580" i="1" s="1"/>
  <c r="BY580" i="1" s="1"/>
  <c r="AK580" i="1"/>
  <c r="AZ580" i="1"/>
  <c r="AZ452" i="1"/>
  <c r="AK448" i="1"/>
  <c r="AH66" i="1"/>
  <c r="AM66" i="1"/>
  <c r="AH115" i="1"/>
  <c r="AM115" i="1"/>
  <c r="AR132" i="1"/>
  <c r="AS132" i="1" s="1"/>
  <c r="AT132" i="1"/>
  <c r="AV132" i="1" s="1"/>
  <c r="AK165" i="1"/>
  <c r="AT455" i="1"/>
  <c r="AV455" i="1" s="1"/>
  <c r="AR455" i="1"/>
  <c r="AS455" i="1" s="1"/>
  <c r="AZ2" i="1"/>
  <c r="BV2" i="1"/>
  <c r="BX2" i="1" s="1"/>
  <c r="BY2" i="1" s="1"/>
  <c r="AV55" i="1"/>
  <c r="AU55" i="1"/>
  <c r="AV71" i="1"/>
  <c r="AU71" i="1"/>
  <c r="AZ77" i="1"/>
  <c r="AT104" i="1"/>
  <c r="AV104" i="1" s="1"/>
  <c r="AR104" i="1"/>
  <c r="AS104" i="1" s="1"/>
  <c r="AK139" i="1"/>
  <c r="AK151" i="1"/>
  <c r="AU163" i="1"/>
  <c r="AV163" i="1"/>
  <c r="AK167" i="1"/>
  <c r="AK225" i="1"/>
  <c r="AM254" i="1"/>
  <c r="AH254" i="1"/>
  <c r="AM405" i="1"/>
  <c r="AH405" i="1"/>
  <c r="AK2" i="1"/>
  <c r="AZ23" i="1"/>
  <c r="AT106" i="1"/>
  <c r="AV106" i="1" s="1"/>
  <c r="AR106" i="1"/>
  <c r="AS106" i="1" s="1"/>
  <c r="AU127" i="1"/>
  <c r="AT136" i="1"/>
  <c r="AV136" i="1" s="1"/>
  <c r="AR136" i="1"/>
  <c r="AS136" i="1" s="1"/>
  <c r="AZ155" i="1"/>
  <c r="AM316" i="1"/>
  <c r="AH316" i="1"/>
  <c r="CD1125" i="1"/>
  <c r="CE1125" i="1" s="1"/>
  <c r="BZ1125" i="1"/>
  <c r="CA1125" i="1" s="1"/>
  <c r="CD1115" i="1"/>
  <c r="CE1115" i="1" s="1"/>
  <c r="BZ1115" i="1"/>
  <c r="CA1115" i="1" s="1"/>
  <c r="CD723" i="1"/>
  <c r="CE723" i="1" s="1"/>
  <c r="BZ723" i="1"/>
  <c r="CA723" i="1" s="1"/>
  <c r="CD707" i="1"/>
  <c r="CE707" i="1" s="1"/>
  <c r="BZ707" i="1"/>
  <c r="CA707" i="1" s="1"/>
  <c r="CD683" i="1"/>
  <c r="CE683" i="1" s="1"/>
  <c r="BZ683" i="1"/>
  <c r="CA683" i="1" s="1"/>
  <c r="CD663" i="1"/>
  <c r="CE663" i="1" s="1"/>
  <c r="BZ663" i="1"/>
  <c r="CA663" i="1" s="1"/>
  <c r="CD659" i="1"/>
  <c r="CE659" i="1" s="1"/>
  <c r="BZ659" i="1"/>
  <c r="CA659" i="1" s="1"/>
  <c r="CD655" i="1"/>
  <c r="CE655" i="1" s="1"/>
  <c r="BZ655" i="1"/>
  <c r="CA655" i="1" s="1"/>
  <c r="CD633" i="1"/>
  <c r="CE633" i="1" s="1"/>
  <c r="BZ633" i="1"/>
  <c r="CA633" i="1" s="1"/>
  <c r="CD625" i="1"/>
  <c r="CE625" i="1" s="1"/>
  <c r="BZ625" i="1"/>
  <c r="CA625" i="1" s="1"/>
  <c r="CD621" i="1"/>
  <c r="CE621" i="1" s="1"/>
  <c r="BZ621" i="1"/>
  <c r="CA621" i="1" s="1"/>
  <c r="BZ619" i="1"/>
  <c r="CA619" i="1" s="1"/>
  <c r="CD619" i="1"/>
  <c r="CE619" i="1" s="1"/>
  <c r="CD617" i="1"/>
  <c r="CE617" i="1" s="1"/>
  <c r="BZ617" i="1"/>
  <c r="CA617" i="1" s="1"/>
  <c r="BZ611" i="1"/>
  <c r="CA611" i="1" s="1"/>
  <c r="CD611" i="1"/>
  <c r="CE611" i="1" s="1"/>
  <c r="BZ607" i="1"/>
  <c r="CA607" i="1" s="1"/>
  <c r="CD607" i="1"/>
  <c r="CE607" i="1" s="1"/>
  <c r="CD605" i="1"/>
  <c r="CE605" i="1" s="1"/>
  <c r="BZ605" i="1"/>
  <c r="CA605" i="1" s="1"/>
  <c r="CD601" i="1"/>
  <c r="CE601" i="1" s="1"/>
  <c r="BZ601" i="1"/>
  <c r="CA601" i="1" s="1"/>
  <c r="BZ591" i="1"/>
  <c r="CA591" i="1" s="1"/>
  <c r="CD591" i="1"/>
  <c r="CE591" i="1" s="1"/>
  <c r="BZ587" i="1"/>
  <c r="CA587" i="1" s="1"/>
  <c r="CD587" i="1"/>
  <c r="CE587" i="1" s="1"/>
  <c r="BZ579" i="1"/>
  <c r="CA579" i="1" s="1"/>
  <c r="CD579" i="1"/>
  <c r="CE579" i="1" s="1"/>
  <c r="BZ563" i="1"/>
  <c r="CA563" i="1" s="1"/>
  <c r="CD563" i="1"/>
  <c r="CE563" i="1" s="1"/>
  <c r="CD561" i="1"/>
  <c r="CE561" i="1" s="1"/>
  <c r="BZ561" i="1"/>
  <c r="CA561" i="1" s="1"/>
  <c r="BZ551" i="1"/>
  <c r="CA551" i="1" s="1"/>
  <c r="CD551" i="1"/>
  <c r="CE551" i="1" s="1"/>
  <c r="BZ95" i="1"/>
  <c r="CA95" i="1" s="1"/>
  <c r="CD95" i="1"/>
  <c r="CE95" i="1" s="1"/>
  <c r="AT15" i="1"/>
  <c r="AV15" i="1" s="1"/>
  <c r="AR15" i="1"/>
  <c r="AS15" i="1" s="1"/>
  <c r="AR26" i="1"/>
  <c r="AS26" i="1" s="1"/>
  <c r="AT26" i="1"/>
  <c r="AV63" i="1"/>
  <c r="AU63" i="1"/>
  <c r="AV89" i="1"/>
  <c r="AU89" i="1"/>
  <c r="AK93" i="1"/>
  <c r="AT97" i="1"/>
  <c r="AR97" i="1"/>
  <c r="AS97" i="1" s="1"/>
  <c r="AT99" i="1"/>
  <c r="AR99" i="1"/>
  <c r="AS99" i="1" s="1"/>
  <c r="AU123" i="1"/>
  <c r="AV123" i="1"/>
  <c r="AT129" i="1"/>
  <c r="AV129" i="1" s="1"/>
  <c r="AR129" i="1"/>
  <c r="AS129" i="1" s="1"/>
  <c r="AT143" i="1"/>
  <c r="AV143" i="1" s="1"/>
  <c r="AR143" i="1"/>
  <c r="AS143" i="1" s="1"/>
  <c r="AR164" i="1"/>
  <c r="AS164" i="1" s="1"/>
  <c r="AT164" i="1"/>
  <c r="AV164" i="1" s="1"/>
  <c r="AH171" i="1"/>
  <c r="AM171" i="1"/>
  <c r="AZ275" i="1"/>
  <c r="AZ311" i="1"/>
  <c r="BV1201" i="1"/>
  <c r="CF1201" i="1" s="1"/>
  <c r="CG1201" i="1" s="1"/>
  <c r="AZ1201" i="1"/>
  <c r="AK1201" i="1"/>
  <c r="BV1199" i="1"/>
  <c r="BX1199" i="1" s="1"/>
  <c r="BY1199" i="1" s="1"/>
  <c r="AZ1199" i="1"/>
  <c r="AK1199" i="1"/>
  <c r="BV1197" i="1"/>
  <c r="BX1197" i="1" s="1"/>
  <c r="BY1197" i="1" s="1"/>
  <c r="AZ1197" i="1"/>
  <c r="AK1197" i="1"/>
  <c r="BV1195" i="1"/>
  <c r="BX1195" i="1" s="1"/>
  <c r="BY1195" i="1" s="1"/>
  <c r="AK1195" i="1"/>
  <c r="AZ1195" i="1"/>
  <c r="BV1193" i="1"/>
  <c r="CF1193" i="1" s="1"/>
  <c r="CG1193" i="1" s="1"/>
  <c r="AZ1193" i="1"/>
  <c r="AK1193" i="1"/>
  <c r="BV1191" i="1"/>
  <c r="CF1191" i="1" s="1"/>
  <c r="CG1191" i="1" s="1"/>
  <c r="AK1191" i="1"/>
  <c r="AZ1191" i="1"/>
  <c r="BV1189" i="1"/>
  <c r="CF1189" i="1" s="1"/>
  <c r="CG1189" i="1" s="1"/>
  <c r="AZ1189" i="1"/>
  <c r="AK1189" i="1"/>
  <c r="BV1187" i="1"/>
  <c r="CF1187" i="1" s="1"/>
  <c r="CG1187" i="1" s="1"/>
  <c r="AK1187" i="1"/>
  <c r="AZ1187" i="1"/>
  <c r="BV1185" i="1"/>
  <c r="BX1185" i="1" s="1"/>
  <c r="BY1185" i="1" s="1"/>
  <c r="AK1185" i="1"/>
  <c r="AZ1185" i="1"/>
  <c r="BV1183" i="1"/>
  <c r="CF1183" i="1" s="1"/>
  <c r="CG1183" i="1" s="1"/>
  <c r="AK1183" i="1"/>
  <c r="AZ1183" i="1"/>
  <c r="BV1181" i="1"/>
  <c r="BX1181" i="1" s="1"/>
  <c r="BY1181" i="1" s="1"/>
  <c r="AK1181" i="1"/>
  <c r="AZ1181" i="1"/>
  <c r="BV1179" i="1"/>
  <c r="CF1179" i="1" s="1"/>
  <c r="CG1179" i="1" s="1"/>
  <c r="AK1179" i="1"/>
  <c r="AZ1179" i="1"/>
  <c r="BV1177" i="1"/>
  <c r="CF1177" i="1" s="1"/>
  <c r="CG1177" i="1" s="1"/>
  <c r="AK1177" i="1"/>
  <c r="AZ1177" i="1"/>
  <c r="BV1175" i="1"/>
  <c r="AZ1175" i="1"/>
  <c r="AK1175" i="1"/>
  <c r="BV1173" i="1"/>
  <c r="CF1173" i="1" s="1"/>
  <c r="CG1173" i="1" s="1"/>
  <c r="AK1173" i="1"/>
  <c r="AZ1173" i="1"/>
  <c r="BV1171" i="1"/>
  <c r="BX1171" i="1" s="1"/>
  <c r="BY1171" i="1" s="1"/>
  <c r="AK1171" i="1"/>
  <c r="AZ1171" i="1"/>
  <c r="BV1169" i="1"/>
  <c r="AK1169" i="1"/>
  <c r="AZ1169" i="1"/>
  <c r="BV1167" i="1"/>
  <c r="BX1167" i="1" s="1"/>
  <c r="BY1167" i="1" s="1"/>
  <c r="AZ1167" i="1"/>
  <c r="AK1167" i="1"/>
  <c r="BV1165" i="1"/>
  <c r="CF1165" i="1" s="1"/>
  <c r="CG1165" i="1" s="1"/>
  <c r="AZ1165" i="1"/>
  <c r="AK1165" i="1"/>
  <c r="BV1163" i="1"/>
  <c r="BX1163" i="1" s="1"/>
  <c r="BY1163" i="1" s="1"/>
  <c r="AZ1163" i="1"/>
  <c r="AK1163" i="1"/>
  <c r="BV1161" i="1"/>
  <c r="CF1161" i="1" s="1"/>
  <c r="CG1161" i="1" s="1"/>
  <c r="AK1161" i="1"/>
  <c r="AZ1161" i="1"/>
  <c r="BV1159" i="1"/>
  <c r="AZ1159" i="1"/>
  <c r="AK1159" i="1"/>
  <c r="BV1157" i="1"/>
  <c r="BX1157" i="1" s="1"/>
  <c r="BY1157" i="1" s="1"/>
  <c r="AK1157" i="1"/>
  <c r="AZ1157" i="1"/>
  <c r="BV1155" i="1"/>
  <c r="BX1155" i="1" s="1"/>
  <c r="BY1155" i="1" s="1"/>
  <c r="AZ1155" i="1"/>
  <c r="AK1155" i="1"/>
  <c r="BV1153" i="1"/>
  <c r="CF1153" i="1" s="1"/>
  <c r="CG1153" i="1" s="1"/>
  <c r="AZ1153" i="1"/>
  <c r="AK1153" i="1"/>
  <c r="BV1151" i="1"/>
  <c r="BX1151" i="1" s="1"/>
  <c r="BY1151" i="1" s="1"/>
  <c r="AZ1151" i="1"/>
  <c r="AK1151" i="1"/>
  <c r="BV1149" i="1"/>
  <c r="BX1149" i="1" s="1"/>
  <c r="BY1149" i="1" s="1"/>
  <c r="AZ1149" i="1"/>
  <c r="AK1149" i="1"/>
  <c r="BV1147" i="1"/>
  <c r="BX1147" i="1" s="1"/>
  <c r="BY1147" i="1" s="1"/>
  <c r="AK1147" i="1"/>
  <c r="AZ1147" i="1"/>
  <c r="BV1145" i="1"/>
  <c r="BX1145" i="1" s="1"/>
  <c r="BY1145" i="1" s="1"/>
  <c r="AK1145" i="1"/>
  <c r="AZ1145" i="1"/>
  <c r="BV1143" i="1"/>
  <c r="AK1143" i="1"/>
  <c r="AZ1143" i="1"/>
  <c r="BV1141" i="1"/>
  <c r="CF1141" i="1" s="1"/>
  <c r="CG1141" i="1" s="1"/>
  <c r="AK1141" i="1"/>
  <c r="AZ1141" i="1"/>
  <c r="BV1139" i="1"/>
  <c r="BX1139" i="1" s="1"/>
  <c r="BY1139" i="1" s="1"/>
  <c r="AK1139" i="1"/>
  <c r="AZ1139" i="1"/>
  <c r="BV1137" i="1"/>
  <c r="BX1137" i="1" s="1"/>
  <c r="BY1137" i="1" s="1"/>
  <c r="AZ1137" i="1"/>
  <c r="AK1137" i="1"/>
  <c r="BV1135" i="1"/>
  <c r="BX1135" i="1" s="1"/>
  <c r="BY1135" i="1" s="1"/>
  <c r="AZ1135" i="1"/>
  <c r="AK1135" i="1"/>
  <c r="BV1133" i="1"/>
  <c r="BX1133" i="1" s="1"/>
  <c r="BY1133" i="1" s="1"/>
  <c r="AK1133" i="1"/>
  <c r="AZ1133" i="1"/>
  <c r="BV1131" i="1"/>
  <c r="CF1131" i="1" s="1"/>
  <c r="CG1131" i="1" s="1"/>
  <c r="AK1131" i="1"/>
  <c r="AZ1131" i="1"/>
  <c r="BV1129" i="1"/>
  <c r="BX1129" i="1" s="1"/>
  <c r="BY1129" i="1" s="1"/>
  <c r="AK1129" i="1"/>
  <c r="AZ1129" i="1"/>
  <c r="BV1127" i="1"/>
  <c r="BX1127" i="1" s="1"/>
  <c r="BY1127" i="1" s="1"/>
  <c r="AK1127" i="1"/>
  <c r="AZ1127" i="1"/>
  <c r="BV1125" i="1"/>
  <c r="BX1125" i="1" s="1"/>
  <c r="BY1125" i="1" s="1"/>
  <c r="AZ1125" i="1"/>
  <c r="AK1125" i="1"/>
  <c r="BV1123" i="1"/>
  <c r="CF1123" i="1" s="1"/>
  <c r="CG1123" i="1" s="1"/>
  <c r="AK1123" i="1"/>
  <c r="AZ1123" i="1"/>
  <c r="BV1121" i="1"/>
  <c r="BX1121" i="1" s="1"/>
  <c r="BY1121" i="1" s="1"/>
  <c r="AK1121" i="1"/>
  <c r="AZ1121" i="1"/>
  <c r="BV1119" i="1"/>
  <c r="BX1119" i="1" s="1"/>
  <c r="BY1119" i="1" s="1"/>
  <c r="AZ1119" i="1"/>
  <c r="AK1119" i="1"/>
  <c r="BV1117" i="1"/>
  <c r="CF1117" i="1" s="1"/>
  <c r="CG1117" i="1" s="1"/>
  <c r="AK1117" i="1"/>
  <c r="AZ1117" i="1"/>
  <c r="BV1115" i="1"/>
  <c r="BX1115" i="1" s="1"/>
  <c r="BY1115" i="1" s="1"/>
  <c r="AZ1115" i="1"/>
  <c r="AK1115" i="1"/>
  <c r="BV1113" i="1"/>
  <c r="BX1113" i="1" s="1"/>
  <c r="BY1113" i="1" s="1"/>
  <c r="AZ1113" i="1"/>
  <c r="AK1113" i="1"/>
  <c r="BV1111" i="1"/>
  <c r="AK1111" i="1"/>
  <c r="AZ1111" i="1"/>
  <c r="BV1109" i="1"/>
  <c r="BX1109" i="1" s="1"/>
  <c r="BY1109" i="1" s="1"/>
  <c r="AK1109" i="1"/>
  <c r="AZ1109" i="1"/>
  <c r="BV1107" i="1"/>
  <c r="CF1107" i="1" s="1"/>
  <c r="CG1107" i="1" s="1"/>
  <c r="AZ1107" i="1"/>
  <c r="AK1107" i="1"/>
  <c r="BV1105" i="1"/>
  <c r="BX1105" i="1" s="1"/>
  <c r="BY1105" i="1" s="1"/>
  <c r="AK1105" i="1"/>
  <c r="AZ1105" i="1"/>
  <c r="BV1103" i="1"/>
  <c r="CF1103" i="1" s="1"/>
  <c r="CG1103" i="1" s="1"/>
  <c r="AK1103" i="1"/>
  <c r="AZ1103" i="1"/>
  <c r="BV1101" i="1"/>
  <c r="BX1101" i="1" s="1"/>
  <c r="BY1101" i="1" s="1"/>
  <c r="AK1101" i="1"/>
  <c r="AZ1101" i="1"/>
  <c r="BV1099" i="1"/>
  <c r="BX1099" i="1" s="1"/>
  <c r="BY1099" i="1" s="1"/>
  <c r="AK1099" i="1"/>
  <c r="AZ1099" i="1"/>
  <c r="BV1097" i="1"/>
  <c r="BX1097" i="1" s="1"/>
  <c r="BY1097" i="1" s="1"/>
  <c r="AK1097" i="1"/>
  <c r="AZ1097" i="1"/>
  <c r="BV1095" i="1"/>
  <c r="AK1095" i="1"/>
  <c r="AZ1095" i="1"/>
  <c r="BV1093" i="1"/>
  <c r="BX1093" i="1" s="1"/>
  <c r="BY1093" i="1" s="1"/>
  <c r="AK1093" i="1"/>
  <c r="AZ1093" i="1"/>
  <c r="BV1091" i="1"/>
  <c r="BX1091" i="1" s="1"/>
  <c r="BY1091" i="1" s="1"/>
  <c r="AZ1091" i="1"/>
  <c r="AK1091" i="1"/>
  <c r="BV1089" i="1"/>
  <c r="BX1089" i="1" s="1"/>
  <c r="BY1089" i="1" s="1"/>
  <c r="AK1089" i="1"/>
  <c r="AZ1089" i="1"/>
  <c r="BV1087" i="1"/>
  <c r="BX1087" i="1" s="1"/>
  <c r="BY1087" i="1" s="1"/>
  <c r="AK1087" i="1"/>
  <c r="AZ1087" i="1"/>
  <c r="BV1085" i="1"/>
  <c r="BX1085" i="1" s="1"/>
  <c r="BY1085" i="1" s="1"/>
  <c r="AK1085" i="1"/>
  <c r="AZ1085" i="1"/>
  <c r="BV1083" i="1"/>
  <c r="CF1083" i="1" s="1"/>
  <c r="CG1083" i="1" s="1"/>
  <c r="AK1083" i="1"/>
  <c r="AZ1083" i="1"/>
  <c r="BV1081" i="1"/>
  <c r="BX1081" i="1" s="1"/>
  <c r="BY1081" i="1" s="1"/>
  <c r="AK1081" i="1"/>
  <c r="AZ1081" i="1"/>
  <c r="BV1079" i="1"/>
  <c r="AZ1079" i="1"/>
  <c r="AK1079" i="1"/>
  <c r="BV1077" i="1"/>
  <c r="BX1077" i="1" s="1"/>
  <c r="BY1077" i="1" s="1"/>
  <c r="AK1077" i="1"/>
  <c r="AZ1077" i="1"/>
  <c r="BV1075" i="1"/>
  <c r="CF1075" i="1" s="1"/>
  <c r="CG1075" i="1" s="1"/>
  <c r="AZ1075" i="1"/>
  <c r="AK1075" i="1"/>
  <c r="BV1073" i="1"/>
  <c r="CF1073" i="1" s="1"/>
  <c r="CG1073" i="1" s="1"/>
  <c r="AZ1073" i="1"/>
  <c r="AK1073" i="1"/>
  <c r="BV1071" i="1"/>
  <c r="CF1071" i="1" s="1"/>
  <c r="CG1071" i="1" s="1"/>
  <c r="AK1071" i="1"/>
  <c r="AZ1071" i="1"/>
  <c r="BV1069" i="1"/>
  <c r="BX1069" i="1" s="1"/>
  <c r="BY1069" i="1" s="1"/>
  <c r="AK1069" i="1"/>
  <c r="AZ1069" i="1"/>
  <c r="BV1067" i="1"/>
  <c r="CF1067" i="1" s="1"/>
  <c r="CG1067" i="1" s="1"/>
  <c r="AZ1067" i="1"/>
  <c r="AK1067" i="1"/>
  <c r="BV1065" i="1"/>
  <c r="BX1065" i="1" s="1"/>
  <c r="BY1065" i="1" s="1"/>
  <c r="AZ1065" i="1"/>
  <c r="AK1065" i="1"/>
  <c r="BV1063" i="1"/>
  <c r="AZ1063" i="1"/>
  <c r="AK1063" i="1"/>
  <c r="BV1061" i="1"/>
  <c r="BX1061" i="1" s="1"/>
  <c r="BY1061" i="1" s="1"/>
  <c r="AK1061" i="1"/>
  <c r="AZ1061" i="1"/>
  <c r="BV1059" i="1"/>
  <c r="CF1059" i="1" s="1"/>
  <c r="CG1059" i="1" s="1"/>
  <c r="AK1059" i="1"/>
  <c r="AZ1059" i="1"/>
  <c r="BV1057" i="1"/>
  <c r="BX1057" i="1" s="1"/>
  <c r="BY1057" i="1" s="1"/>
  <c r="AK1057" i="1"/>
  <c r="AZ1057" i="1"/>
  <c r="BV1055" i="1"/>
  <c r="CF1055" i="1" s="1"/>
  <c r="CG1055" i="1" s="1"/>
  <c r="AZ1055" i="1"/>
  <c r="AK1055" i="1"/>
  <c r="BV1053" i="1"/>
  <c r="CF1053" i="1" s="1"/>
  <c r="CG1053" i="1" s="1"/>
  <c r="AZ1053" i="1"/>
  <c r="AK1053" i="1"/>
  <c r="BV1051" i="1"/>
  <c r="CF1051" i="1" s="1"/>
  <c r="CG1051" i="1" s="1"/>
  <c r="AZ1051" i="1"/>
  <c r="AK1051" i="1"/>
  <c r="BV1049" i="1"/>
  <c r="BX1049" i="1" s="1"/>
  <c r="BY1049" i="1" s="1"/>
  <c r="AZ1049" i="1"/>
  <c r="AK1049" i="1"/>
  <c r="BV1047" i="1"/>
  <c r="AK1047" i="1"/>
  <c r="AZ1047" i="1"/>
  <c r="BV1045" i="1"/>
  <c r="CF1045" i="1" s="1"/>
  <c r="CG1045" i="1" s="1"/>
  <c r="AK1045" i="1"/>
  <c r="AZ1045" i="1"/>
  <c r="BV1043" i="1"/>
  <c r="CF1043" i="1" s="1"/>
  <c r="CG1043" i="1" s="1"/>
  <c r="AZ1043" i="1"/>
  <c r="AK1043" i="1"/>
  <c r="BV1041" i="1"/>
  <c r="CF1041" i="1" s="1"/>
  <c r="CG1041" i="1" s="1"/>
  <c r="AK1041" i="1"/>
  <c r="AZ1041" i="1"/>
  <c r="BV1039" i="1"/>
  <c r="CF1039" i="1" s="1"/>
  <c r="CG1039" i="1" s="1"/>
  <c r="AK1039" i="1"/>
  <c r="AZ1039" i="1"/>
  <c r="BV1037" i="1"/>
  <c r="CF1037" i="1" s="1"/>
  <c r="CG1037" i="1" s="1"/>
  <c r="AK1037" i="1"/>
  <c r="AZ1037" i="1"/>
  <c r="BV1035" i="1"/>
  <c r="CF1035" i="1" s="1"/>
  <c r="CG1035" i="1" s="1"/>
  <c r="AK1035" i="1"/>
  <c r="AZ1035" i="1"/>
  <c r="BV1033" i="1"/>
  <c r="CF1033" i="1" s="1"/>
  <c r="CG1033" i="1" s="1"/>
  <c r="AZ1033" i="1"/>
  <c r="AK1033" i="1"/>
  <c r="BV1031" i="1"/>
  <c r="AK1031" i="1"/>
  <c r="AZ1031" i="1"/>
  <c r="BV1029" i="1"/>
  <c r="CF1029" i="1" s="1"/>
  <c r="CG1029" i="1" s="1"/>
  <c r="AZ1029" i="1"/>
  <c r="AK1029" i="1"/>
  <c r="BV1027" i="1"/>
  <c r="CF1027" i="1" s="1"/>
  <c r="CG1027" i="1" s="1"/>
  <c r="AK1027" i="1"/>
  <c r="AZ1027" i="1"/>
  <c r="BV1025" i="1"/>
  <c r="CF1025" i="1" s="1"/>
  <c r="CG1025" i="1" s="1"/>
  <c r="AK1025" i="1"/>
  <c r="AZ1025" i="1"/>
  <c r="BV1023" i="1"/>
  <c r="BX1023" i="1" s="1"/>
  <c r="BY1023" i="1" s="1"/>
  <c r="AK1023" i="1"/>
  <c r="AZ1023" i="1"/>
  <c r="BV1021" i="1"/>
  <c r="BX1021" i="1" s="1"/>
  <c r="BY1021" i="1" s="1"/>
  <c r="AK1021" i="1"/>
  <c r="AZ1021" i="1"/>
  <c r="BV1019" i="1"/>
  <c r="CF1019" i="1" s="1"/>
  <c r="CG1019" i="1" s="1"/>
  <c r="AZ1019" i="1"/>
  <c r="AK1019" i="1"/>
  <c r="BV1017" i="1"/>
  <c r="CF1017" i="1" s="1"/>
  <c r="CG1017" i="1" s="1"/>
  <c r="AZ1017" i="1"/>
  <c r="AK1017" i="1"/>
  <c r="BV1015" i="1"/>
  <c r="AZ1015" i="1"/>
  <c r="AK1015" i="1"/>
  <c r="BV1013" i="1"/>
  <c r="AK1013" i="1"/>
  <c r="AZ1013" i="1"/>
  <c r="BV1011" i="1"/>
  <c r="BX1011" i="1" s="1"/>
  <c r="BY1011" i="1" s="1"/>
  <c r="AK1011" i="1"/>
  <c r="AZ1011" i="1"/>
  <c r="BV1009" i="1"/>
  <c r="CF1009" i="1" s="1"/>
  <c r="CG1009" i="1" s="1"/>
  <c r="AZ1009" i="1"/>
  <c r="AK1009" i="1"/>
  <c r="BV1007" i="1"/>
  <c r="CF1007" i="1" s="1"/>
  <c r="CG1007" i="1" s="1"/>
  <c r="AK1007" i="1"/>
  <c r="AZ1007" i="1"/>
  <c r="BV1005" i="1"/>
  <c r="CF1005" i="1" s="1"/>
  <c r="CG1005" i="1" s="1"/>
  <c r="AK1005" i="1"/>
  <c r="AZ1005" i="1"/>
  <c r="BV1003" i="1"/>
  <c r="BX1003" i="1" s="1"/>
  <c r="BY1003" i="1" s="1"/>
  <c r="AZ1003" i="1"/>
  <c r="AK1003" i="1"/>
  <c r="BV1001" i="1"/>
  <c r="CF1001" i="1" s="1"/>
  <c r="CG1001" i="1" s="1"/>
  <c r="AK1001" i="1"/>
  <c r="AZ1001" i="1"/>
  <c r="BV999" i="1"/>
  <c r="AK999" i="1"/>
  <c r="AZ999" i="1"/>
  <c r="BV997" i="1"/>
  <c r="BX997" i="1" s="1"/>
  <c r="BY997" i="1" s="1"/>
  <c r="AZ997" i="1"/>
  <c r="AK997" i="1"/>
  <c r="BV995" i="1"/>
  <c r="CF995" i="1" s="1"/>
  <c r="CG995" i="1" s="1"/>
  <c r="AK995" i="1"/>
  <c r="AZ995" i="1"/>
  <c r="BV993" i="1"/>
  <c r="BX993" i="1" s="1"/>
  <c r="BY993" i="1" s="1"/>
  <c r="AZ993" i="1"/>
  <c r="AK993" i="1"/>
  <c r="BV991" i="1"/>
  <c r="BX991" i="1" s="1"/>
  <c r="BY991" i="1" s="1"/>
  <c r="AK991" i="1"/>
  <c r="AZ991" i="1"/>
  <c r="BV989" i="1"/>
  <c r="AK989" i="1"/>
  <c r="AZ989" i="1"/>
  <c r="BV987" i="1"/>
  <c r="BX987" i="1" s="1"/>
  <c r="BY987" i="1" s="1"/>
  <c r="AZ987" i="1"/>
  <c r="AK987" i="1"/>
  <c r="BV985" i="1"/>
  <c r="CF985" i="1" s="1"/>
  <c r="CG985" i="1" s="1"/>
  <c r="AZ985" i="1"/>
  <c r="AK985" i="1"/>
  <c r="BV983" i="1"/>
  <c r="AK983" i="1"/>
  <c r="AZ983" i="1"/>
  <c r="BV981" i="1"/>
  <c r="CF981" i="1" s="1"/>
  <c r="CG981" i="1" s="1"/>
  <c r="AK981" i="1"/>
  <c r="AZ981" i="1"/>
  <c r="BV979" i="1"/>
  <c r="CF979" i="1" s="1"/>
  <c r="CG979" i="1" s="1"/>
  <c r="AK979" i="1"/>
  <c r="AZ979" i="1"/>
  <c r="BV977" i="1"/>
  <c r="AZ977" i="1"/>
  <c r="AK977" i="1"/>
  <c r="BV975" i="1"/>
  <c r="CF975" i="1" s="1"/>
  <c r="CG975" i="1" s="1"/>
  <c r="AK975" i="1"/>
  <c r="AZ975" i="1"/>
  <c r="BV973" i="1"/>
  <c r="CF973" i="1" s="1"/>
  <c r="CG973" i="1" s="1"/>
  <c r="AK973" i="1"/>
  <c r="AZ973" i="1"/>
  <c r="BV971" i="1"/>
  <c r="BX971" i="1" s="1"/>
  <c r="BY971" i="1" s="1"/>
  <c r="AK971" i="1"/>
  <c r="AZ971" i="1"/>
  <c r="BV969" i="1"/>
  <c r="AZ969" i="1"/>
  <c r="AK969" i="1"/>
  <c r="BV967" i="1"/>
  <c r="AK967" i="1"/>
  <c r="AZ967" i="1"/>
  <c r="BV965" i="1"/>
  <c r="AK965" i="1"/>
  <c r="AZ965" i="1"/>
  <c r="BV963" i="1"/>
  <c r="CF963" i="1" s="1"/>
  <c r="CG963" i="1" s="1"/>
  <c r="AZ963" i="1"/>
  <c r="AK963" i="1"/>
  <c r="BV961" i="1"/>
  <c r="CF961" i="1" s="1"/>
  <c r="CG961" i="1" s="1"/>
  <c r="AZ961" i="1"/>
  <c r="AK961" i="1"/>
  <c r="BV959" i="1"/>
  <c r="CF959" i="1" s="1"/>
  <c r="CG959" i="1" s="1"/>
  <c r="AK959" i="1"/>
  <c r="AZ959" i="1"/>
  <c r="BV957" i="1"/>
  <c r="CF957" i="1" s="1"/>
  <c r="CG957" i="1" s="1"/>
  <c r="AK957" i="1"/>
  <c r="AZ957" i="1"/>
  <c r="BV955" i="1"/>
  <c r="CF955" i="1" s="1"/>
  <c r="CG955" i="1" s="1"/>
  <c r="AZ955" i="1"/>
  <c r="AK955" i="1"/>
  <c r="BV953" i="1"/>
  <c r="CF953" i="1" s="1"/>
  <c r="CG953" i="1" s="1"/>
  <c r="AZ953" i="1"/>
  <c r="AK953" i="1"/>
  <c r="BV951" i="1"/>
  <c r="AZ951" i="1"/>
  <c r="AK951" i="1"/>
  <c r="BV949" i="1"/>
  <c r="CF949" i="1" s="1"/>
  <c r="CG949" i="1" s="1"/>
  <c r="AK949" i="1"/>
  <c r="AZ949" i="1"/>
  <c r="BV947" i="1"/>
  <c r="CF947" i="1" s="1"/>
  <c r="CG947" i="1" s="1"/>
  <c r="AK947" i="1"/>
  <c r="AZ947" i="1"/>
  <c r="BV945" i="1"/>
  <c r="CF945" i="1" s="1"/>
  <c r="CG945" i="1" s="1"/>
  <c r="AK945" i="1"/>
  <c r="AZ945" i="1"/>
  <c r="BV943" i="1"/>
  <c r="CF943" i="1" s="1"/>
  <c r="CG943" i="1" s="1"/>
  <c r="AK943" i="1"/>
  <c r="AZ943" i="1"/>
  <c r="BV941" i="1"/>
  <c r="BX941" i="1" s="1"/>
  <c r="BY941" i="1" s="1"/>
  <c r="AZ941" i="1"/>
  <c r="AK941" i="1"/>
  <c r="BV939" i="1"/>
  <c r="CF939" i="1" s="1"/>
  <c r="CG939" i="1" s="1"/>
  <c r="AK939" i="1"/>
  <c r="AZ939" i="1"/>
  <c r="BV937" i="1"/>
  <c r="CF937" i="1" s="1"/>
  <c r="CG937" i="1" s="1"/>
  <c r="AZ937" i="1"/>
  <c r="AK937" i="1"/>
  <c r="BV935" i="1"/>
  <c r="AK935" i="1"/>
  <c r="AZ935" i="1"/>
  <c r="BV933" i="1"/>
  <c r="BX933" i="1" s="1"/>
  <c r="BY933" i="1" s="1"/>
  <c r="AK933" i="1"/>
  <c r="AZ933" i="1"/>
  <c r="BV931" i="1"/>
  <c r="BX931" i="1" s="1"/>
  <c r="BY931" i="1" s="1"/>
  <c r="AK931" i="1"/>
  <c r="AZ931" i="1"/>
  <c r="BV929" i="1"/>
  <c r="BX929" i="1" s="1"/>
  <c r="BY929" i="1" s="1"/>
  <c r="AZ929" i="1"/>
  <c r="AK929" i="1"/>
  <c r="BV927" i="1"/>
  <c r="CF927" i="1" s="1"/>
  <c r="CG927" i="1" s="1"/>
  <c r="AZ927" i="1"/>
  <c r="AK927" i="1"/>
  <c r="BV925" i="1"/>
  <c r="CF925" i="1" s="1"/>
  <c r="CG925" i="1" s="1"/>
  <c r="AZ925" i="1"/>
  <c r="AK925" i="1"/>
  <c r="BV923" i="1"/>
  <c r="CF923" i="1" s="1"/>
  <c r="CG923" i="1" s="1"/>
  <c r="AK923" i="1"/>
  <c r="AZ923" i="1"/>
  <c r="BV921" i="1"/>
  <c r="BX921" i="1" s="1"/>
  <c r="BY921" i="1" s="1"/>
  <c r="AK921" i="1"/>
  <c r="AZ921" i="1"/>
  <c r="BV919" i="1"/>
  <c r="AK919" i="1"/>
  <c r="AZ919" i="1"/>
  <c r="BV917" i="1"/>
  <c r="CF917" i="1" s="1"/>
  <c r="CG917" i="1" s="1"/>
  <c r="AZ917" i="1"/>
  <c r="AK917" i="1"/>
  <c r="BV915" i="1"/>
  <c r="CF915" i="1" s="1"/>
  <c r="CG915" i="1" s="1"/>
  <c r="AZ915" i="1"/>
  <c r="AK915" i="1"/>
  <c r="BV913" i="1"/>
  <c r="BX913" i="1" s="1"/>
  <c r="BY913" i="1" s="1"/>
  <c r="AK913" i="1"/>
  <c r="AZ913" i="1"/>
  <c r="BV911" i="1"/>
  <c r="CF911" i="1" s="1"/>
  <c r="CG911" i="1" s="1"/>
  <c r="AK911" i="1"/>
  <c r="AZ911" i="1"/>
  <c r="BV909" i="1"/>
  <c r="BX909" i="1" s="1"/>
  <c r="BY909" i="1" s="1"/>
  <c r="AZ909" i="1"/>
  <c r="AK909" i="1"/>
  <c r="BV907" i="1"/>
  <c r="CF907" i="1" s="1"/>
  <c r="CG907" i="1" s="1"/>
  <c r="AZ907" i="1"/>
  <c r="AK907" i="1"/>
  <c r="BV905" i="1"/>
  <c r="BX905" i="1" s="1"/>
  <c r="BY905" i="1" s="1"/>
  <c r="AK905" i="1"/>
  <c r="AZ905" i="1"/>
  <c r="BV903" i="1"/>
  <c r="AZ903" i="1"/>
  <c r="AK903" i="1"/>
  <c r="BV901" i="1"/>
  <c r="BX901" i="1" s="1"/>
  <c r="BY901" i="1" s="1"/>
  <c r="AZ901" i="1"/>
  <c r="AK901" i="1"/>
  <c r="BV899" i="1"/>
  <c r="BX899" i="1" s="1"/>
  <c r="BY899" i="1" s="1"/>
  <c r="AK899" i="1"/>
  <c r="AZ899" i="1"/>
  <c r="BV897" i="1"/>
  <c r="BX897" i="1" s="1"/>
  <c r="BY897" i="1" s="1"/>
  <c r="AZ897" i="1"/>
  <c r="AK897" i="1"/>
  <c r="BV895" i="1"/>
  <c r="AK895" i="1"/>
  <c r="AZ895" i="1"/>
  <c r="BV893" i="1"/>
  <c r="BX893" i="1" s="1"/>
  <c r="BY893" i="1" s="1"/>
  <c r="AZ893" i="1"/>
  <c r="AK893" i="1"/>
  <c r="BV891" i="1"/>
  <c r="CF891" i="1" s="1"/>
  <c r="CG891" i="1" s="1"/>
  <c r="AZ891" i="1"/>
  <c r="AK891" i="1"/>
  <c r="BV889" i="1"/>
  <c r="CF889" i="1" s="1"/>
  <c r="CG889" i="1" s="1"/>
  <c r="AK889" i="1"/>
  <c r="AZ889" i="1"/>
  <c r="BV887" i="1"/>
  <c r="AK887" i="1"/>
  <c r="AZ887" i="1"/>
  <c r="BV885" i="1"/>
  <c r="BX885" i="1" s="1"/>
  <c r="BY885" i="1" s="1"/>
  <c r="AZ885" i="1"/>
  <c r="AK885" i="1"/>
  <c r="BV883" i="1"/>
  <c r="CF883" i="1" s="1"/>
  <c r="CG883" i="1" s="1"/>
  <c r="AZ883" i="1"/>
  <c r="AK883" i="1"/>
  <c r="BV881" i="1"/>
  <c r="BX881" i="1" s="1"/>
  <c r="BY881" i="1" s="1"/>
  <c r="AK881" i="1"/>
  <c r="AZ881" i="1"/>
  <c r="BV879" i="1"/>
  <c r="CF879" i="1" s="1"/>
  <c r="CG879" i="1" s="1"/>
  <c r="AK879" i="1"/>
  <c r="AZ879" i="1"/>
  <c r="BV877" i="1"/>
  <c r="BX877" i="1" s="1"/>
  <c r="BY877" i="1" s="1"/>
  <c r="AK877" i="1"/>
  <c r="AZ877" i="1"/>
  <c r="BV875" i="1"/>
  <c r="CF875" i="1" s="1"/>
  <c r="CG875" i="1" s="1"/>
  <c r="AZ875" i="1"/>
  <c r="AK875" i="1"/>
  <c r="BV873" i="1"/>
  <c r="CF873" i="1" s="1"/>
  <c r="CG873" i="1" s="1"/>
  <c r="AK873" i="1"/>
  <c r="AZ873" i="1"/>
  <c r="BV871" i="1"/>
  <c r="CF871" i="1" s="1"/>
  <c r="CG871" i="1" s="1"/>
  <c r="AK871" i="1"/>
  <c r="AZ871" i="1"/>
  <c r="BV869" i="1"/>
  <c r="CF869" i="1" s="1"/>
  <c r="CG869" i="1" s="1"/>
  <c r="AK869" i="1"/>
  <c r="AZ869" i="1"/>
  <c r="BV867" i="1"/>
  <c r="BX867" i="1" s="1"/>
  <c r="BY867" i="1" s="1"/>
  <c r="AZ867" i="1"/>
  <c r="AK867" i="1"/>
  <c r="BV865" i="1"/>
  <c r="CF865" i="1" s="1"/>
  <c r="CG865" i="1" s="1"/>
  <c r="AK865" i="1"/>
  <c r="AZ865" i="1"/>
  <c r="BV863" i="1"/>
  <c r="BX863" i="1" s="1"/>
  <c r="BY863" i="1" s="1"/>
  <c r="AK863" i="1"/>
  <c r="AZ863" i="1"/>
  <c r="BV861" i="1"/>
  <c r="BX861" i="1" s="1"/>
  <c r="BY861" i="1" s="1"/>
  <c r="AK861" i="1"/>
  <c r="AZ861" i="1"/>
  <c r="BV859" i="1"/>
  <c r="BX859" i="1" s="1"/>
  <c r="BY859" i="1" s="1"/>
  <c r="AZ859" i="1"/>
  <c r="AK859" i="1"/>
  <c r="BV857" i="1"/>
  <c r="CF857" i="1" s="1"/>
  <c r="CG857" i="1" s="1"/>
  <c r="AZ857" i="1"/>
  <c r="AK857" i="1"/>
  <c r="BV855" i="1"/>
  <c r="AK855" i="1"/>
  <c r="AZ855" i="1"/>
  <c r="BV853" i="1"/>
  <c r="CF853" i="1" s="1"/>
  <c r="CG853" i="1" s="1"/>
  <c r="AZ853" i="1"/>
  <c r="AK853" i="1"/>
  <c r="BV851" i="1"/>
  <c r="BX851" i="1" s="1"/>
  <c r="BY851" i="1" s="1"/>
  <c r="AK851" i="1"/>
  <c r="AZ851" i="1"/>
  <c r="BV849" i="1"/>
  <c r="CF849" i="1" s="1"/>
  <c r="CG849" i="1" s="1"/>
  <c r="CH849" i="1" s="1"/>
  <c r="CI849" i="1" s="1"/>
  <c r="AK849" i="1"/>
  <c r="AZ849" i="1"/>
  <c r="BV847" i="1"/>
  <c r="BX847" i="1" s="1"/>
  <c r="BY847" i="1" s="1"/>
  <c r="AK847" i="1"/>
  <c r="AZ847" i="1"/>
  <c r="BV845" i="1"/>
  <c r="BX845" i="1" s="1"/>
  <c r="BY845" i="1" s="1"/>
  <c r="AZ845" i="1"/>
  <c r="AK845" i="1"/>
  <c r="BV843" i="1"/>
  <c r="BX843" i="1" s="1"/>
  <c r="BY843" i="1" s="1"/>
  <c r="AK843" i="1"/>
  <c r="AZ843" i="1"/>
  <c r="BV841" i="1"/>
  <c r="CF841" i="1" s="1"/>
  <c r="CG841" i="1" s="1"/>
  <c r="AK841" i="1"/>
  <c r="AZ841" i="1"/>
  <c r="BV839" i="1"/>
  <c r="AZ839" i="1"/>
  <c r="AK839" i="1"/>
  <c r="BV837" i="1"/>
  <c r="BX837" i="1" s="1"/>
  <c r="BY837" i="1" s="1"/>
  <c r="AZ837" i="1"/>
  <c r="AK837" i="1"/>
  <c r="BV835" i="1"/>
  <c r="CF835" i="1" s="1"/>
  <c r="CG835" i="1" s="1"/>
  <c r="AK835" i="1"/>
  <c r="AZ835" i="1"/>
  <c r="BV833" i="1"/>
  <c r="BX833" i="1" s="1"/>
  <c r="BY833" i="1" s="1"/>
  <c r="AK833" i="1"/>
  <c r="AZ833" i="1"/>
  <c r="BV831" i="1"/>
  <c r="BX831" i="1" s="1"/>
  <c r="BY831" i="1" s="1"/>
  <c r="AK831" i="1"/>
  <c r="AZ831" i="1"/>
  <c r="BV829" i="1"/>
  <c r="CF829" i="1" s="1"/>
  <c r="CG829" i="1" s="1"/>
  <c r="AZ829" i="1"/>
  <c r="AK829" i="1"/>
  <c r="BV827" i="1"/>
  <c r="BX827" i="1" s="1"/>
  <c r="BY827" i="1" s="1"/>
  <c r="AZ827" i="1"/>
  <c r="AK827" i="1"/>
  <c r="BV825" i="1"/>
  <c r="CF825" i="1" s="1"/>
  <c r="CG825" i="1" s="1"/>
  <c r="AK825" i="1"/>
  <c r="AZ825" i="1"/>
  <c r="BV823" i="1"/>
  <c r="BX823" i="1" s="1"/>
  <c r="BY823" i="1" s="1"/>
  <c r="AK823" i="1"/>
  <c r="AZ823" i="1"/>
  <c r="BV821" i="1"/>
  <c r="CF821" i="1" s="1"/>
  <c r="CG821" i="1" s="1"/>
  <c r="AZ821" i="1"/>
  <c r="AK821" i="1"/>
  <c r="BV819" i="1"/>
  <c r="CF819" i="1" s="1"/>
  <c r="CG819" i="1" s="1"/>
  <c r="AZ819" i="1"/>
  <c r="AK819" i="1"/>
  <c r="BV817" i="1"/>
  <c r="CF817" i="1" s="1"/>
  <c r="CG817" i="1" s="1"/>
  <c r="AK817" i="1"/>
  <c r="AZ817" i="1"/>
  <c r="BV815" i="1"/>
  <c r="CF815" i="1" s="1"/>
  <c r="CG815" i="1" s="1"/>
  <c r="AK815" i="1"/>
  <c r="AZ815" i="1"/>
  <c r="BV813" i="1"/>
  <c r="BX813" i="1" s="1"/>
  <c r="BY813" i="1" s="1"/>
  <c r="AZ813" i="1"/>
  <c r="AK813" i="1"/>
  <c r="BV811" i="1"/>
  <c r="CF811" i="1" s="1"/>
  <c r="CG811" i="1" s="1"/>
  <c r="AZ811" i="1"/>
  <c r="AK811" i="1"/>
  <c r="BV809" i="1"/>
  <c r="CF809" i="1" s="1"/>
  <c r="CG809" i="1" s="1"/>
  <c r="AK809" i="1"/>
  <c r="AZ809" i="1"/>
  <c r="BV807" i="1"/>
  <c r="AZ807" i="1"/>
  <c r="AK807" i="1"/>
  <c r="BV805" i="1"/>
  <c r="CF805" i="1" s="1"/>
  <c r="CG805" i="1" s="1"/>
  <c r="AK805" i="1"/>
  <c r="AZ805" i="1"/>
  <c r="BV803" i="1"/>
  <c r="BX803" i="1" s="1"/>
  <c r="BY803" i="1" s="1"/>
  <c r="AZ803" i="1"/>
  <c r="AK803" i="1"/>
  <c r="BV801" i="1"/>
  <c r="BX801" i="1" s="1"/>
  <c r="BY801" i="1" s="1"/>
  <c r="AZ801" i="1"/>
  <c r="AK801" i="1"/>
  <c r="BV799" i="1"/>
  <c r="BX799" i="1" s="1"/>
  <c r="BY799" i="1" s="1"/>
  <c r="AZ799" i="1"/>
  <c r="AK799" i="1"/>
  <c r="BV797" i="1"/>
  <c r="CF797" i="1" s="1"/>
  <c r="CG797" i="1" s="1"/>
  <c r="AZ797" i="1"/>
  <c r="AK797" i="1"/>
  <c r="BV795" i="1"/>
  <c r="BX795" i="1" s="1"/>
  <c r="BY795" i="1" s="1"/>
  <c r="AZ795" i="1"/>
  <c r="AK795" i="1"/>
  <c r="BV793" i="1"/>
  <c r="CF793" i="1" s="1"/>
  <c r="CG793" i="1" s="1"/>
  <c r="AK793" i="1"/>
  <c r="AZ793" i="1"/>
  <c r="BV791" i="1"/>
  <c r="BX791" i="1" s="1"/>
  <c r="BY791" i="1" s="1"/>
  <c r="AZ791" i="1"/>
  <c r="AK791" i="1"/>
  <c r="BV789" i="1"/>
  <c r="CF789" i="1" s="1"/>
  <c r="CG789" i="1" s="1"/>
  <c r="AZ789" i="1"/>
  <c r="AK789" i="1"/>
  <c r="BV787" i="1"/>
  <c r="BX787" i="1" s="1"/>
  <c r="BY787" i="1" s="1"/>
  <c r="AK787" i="1"/>
  <c r="AZ787" i="1"/>
  <c r="BV785" i="1"/>
  <c r="BX785" i="1" s="1"/>
  <c r="BY785" i="1" s="1"/>
  <c r="AZ785" i="1"/>
  <c r="AK785" i="1"/>
  <c r="BV783" i="1"/>
  <c r="BX783" i="1" s="1"/>
  <c r="BY783" i="1" s="1"/>
  <c r="AZ783" i="1"/>
  <c r="AK783" i="1"/>
  <c r="BV781" i="1"/>
  <c r="CF781" i="1" s="1"/>
  <c r="CG781" i="1" s="1"/>
  <c r="AK781" i="1"/>
  <c r="AZ781" i="1"/>
  <c r="BV779" i="1"/>
  <c r="CF779" i="1" s="1"/>
  <c r="CG779" i="1" s="1"/>
  <c r="AK779" i="1"/>
  <c r="AZ779" i="1"/>
  <c r="BV777" i="1"/>
  <c r="CF777" i="1" s="1"/>
  <c r="CG777" i="1" s="1"/>
  <c r="AK777" i="1"/>
  <c r="AZ777" i="1"/>
  <c r="BV775" i="1"/>
  <c r="AK775" i="1"/>
  <c r="AZ775" i="1"/>
  <c r="BV773" i="1"/>
  <c r="CF773" i="1" s="1"/>
  <c r="CG773" i="1" s="1"/>
  <c r="AZ773" i="1"/>
  <c r="AK773" i="1"/>
  <c r="BV771" i="1"/>
  <c r="AZ771" i="1"/>
  <c r="AK771" i="1"/>
  <c r="BV769" i="1"/>
  <c r="CF769" i="1" s="1"/>
  <c r="CG769" i="1" s="1"/>
  <c r="AK769" i="1"/>
  <c r="AZ769" i="1"/>
  <c r="BV767" i="1"/>
  <c r="CF767" i="1" s="1"/>
  <c r="CG767" i="1" s="1"/>
  <c r="AK767" i="1"/>
  <c r="AZ767" i="1"/>
  <c r="BV765" i="1"/>
  <c r="CF765" i="1" s="1"/>
  <c r="CG765" i="1" s="1"/>
  <c r="AZ765" i="1"/>
  <c r="AK765" i="1"/>
  <c r="BV763" i="1"/>
  <c r="CF763" i="1" s="1"/>
  <c r="CG763" i="1" s="1"/>
  <c r="AZ763" i="1"/>
  <c r="AK763" i="1"/>
  <c r="BV761" i="1"/>
  <c r="CF761" i="1" s="1"/>
  <c r="CG761" i="1" s="1"/>
  <c r="AZ761" i="1"/>
  <c r="AK761" i="1"/>
  <c r="BV759" i="1"/>
  <c r="BX759" i="1" s="1"/>
  <c r="BY759" i="1" s="1"/>
  <c r="AZ759" i="1"/>
  <c r="AK759" i="1"/>
  <c r="BV757" i="1"/>
  <c r="CF757" i="1" s="1"/>
  <c r="CG757" i="1" s="1"/>
  <c r="AK757" i="1"/>
  <c r="AZ757" i="1"/>
  <c r="BV755" i="1"/>
  <c r="AK755" i="1"/>
  <c r="AZ755" i="1"/>
  <c r="BV753" i="1"/>
  <c r="CF753" i="1" s="1"/>
  <c r="CG753" i="1" s="1"/>
  <c r="AZ753" i="1"/>
  <c r="AK753" i="1"/>
  <c r="BV751" i="1"/>
  <c r="BX751" i="1" s="1"/>
  <c r="BY751" i="1" s="1"/>
  <c r="CB751" i="1" s="1"/>
  <c r="AZ751" i="1"/>
  <c r="AK751" i="1"/>
  <c r="BV749" i="1"/>
  <c r="CF749" i="1" s="1"/>
  <c r="CG749" i="1" s="1"/>
  <c r="AK749" i="1"/>
  <c r="AZ749" i="1"/>
  <c r="BV747" i="1"/>
  <c r="CF747" i="1" s="1"/>
  <c r="CG747" i="1" s="1"/>
  <c r="AK747" i="1"/>
  <c r="AZ747" i="1"/>
  <c r="BV745" i="1"/>
  <c r="CF745" i="1" s="1"/>
  <c r="CG745" i="1" s="1"/>
  <c r="AK745" i="1"/>
  <c r="AZ745" i="1"/>
  <c r="BV743" i="1"/>
  <c r="AZ743" i="1"/>
  <c r="AK743" i="1"/>
  <c r="BV741" i="1"/>
  <c r="CF741" i="1" s="1"/>
  <c r="CG741" i="1" s="1"/>
  <c r="AZ741" i="1"/>
  <c r="AK741" i="1"/>
  <c r="BV739" i="1"/>
  <c r="BX739" i="1" s="1"/>
  <c r="BY739" i="1" s="1"/>
  <c r="AK739" i="1"/>
  <c r="AZ739" i="1"/>
  <c r="BV737" i="1"/>
  <c r="CF737" i="1" s="1"/>
  <c r="CG737" i="1" s="1"/>
  <c r="AZ737" i="1"/>
  <c r="AK737" i="1"/>
  <c r="BV735" i="1"/>
  <c r="BX735" i="1" s="1"/>
  <c r="BY735" i="1" s="1"/>
  <c r="AZ735" i="1"/>
  <c r="AK735" i="1"/>
  <c r="BV733" i="1"/>
  <c r="CF733" i="1" s="1"/>
  <c r="CG733" i="1" s="1"/>
  <c r="AZ733" i="1"/>
  <c r="AK733" i="1"/>
  <c r="BV731" i="1"/>
  <c r="CF731" i="1" s="1"/>
  <c r="CG731" i="1" s="1"/>
  <c r="AK731" i="1"/>
  <c r="AZ731" i="1"/>
  <c r="BV729" i="1"/>
  <c r="CF729" i="1" s="1"/>
  <c r="CG729" i="1" s="1"/>
  <c r="AK729" i="1"/>
  <c r="AZ729" i="1"/>
  <c r="BV727" i="1"/>
  <c r="BX727" i="1" s="1"/>
  <c r="BY727" i="1" s="1"/>
  <c r="AK727" i="1"/>
  <c r="AZ727" i="1"/>
  <c r="BV725" i="1"/>
  <c r="BX725" i="1" s="1"/>
  <c r="BY725" i="1" s="1"/>
  <c r="AZ725" i="1"/>
  <c r="AK725" i="1"/>
  <c r="BV723" i="1"/>
  <c r="BX723" i="1" s="1"/>
  <c r="BY723" i="1" s="1"/>
  <c r="AK723" i="1"/>
  <c r="AZ723" i="1"/>
  <c r="BV721" i="1"/>
  <c r="BX721" i="1" s="1"/>
  <c r="BY721" i="1" s="1"/>
  <c r="AZ721" i="1"/>
  <c r="AK721" i="1"/>
  <c r="BV719" i="1"/>
  <c r="BX719" i="1" s="1"/>
  <c r="BY719" i="1" s="1"/>
  <c r="AK719" i="1"/>
  <c r="AZ719" i="1"/>
  <c r="BV717" i="1"/>
  <c r="BX717" i="1" s="1"/>
  <c r="BY717" i="1" s="1"/>
  <c r="AZ717" i="1"/>
  <c r="AK717" i="1"/>
  <c r="BV715" i="1"/>
  <c r="CF715" i="1" s="1"/>
  <c r="CG715" i="1" s="1"/>
  <c r="AK715" i="1"/>
  <c r="AZ715" i="1"/>
  <c r="BV713" i="1"/>
  <c r="BX713" i="1" s="1"/>
  <c r="BY713" i="1" s="1"/>
  <c r="AK713" i="1"/>
  <c r="AZ713" i="1"/>
  <c r="BV711" i="1"/>
  <c r="AK711" i="1"/>
  <c r="AZ711" i="1"/>
  <c r="BV709" i="1"/>
  <c r="BX709" i="1" s="1"/>
  <c r="BY709" i="1" s="1"/>
  <c r="AZ709" i="1"/>
  <c r="AK709" i="1"/>
  <c r="BV707" i="1"/>
  <c r="BX707" i="1" s="1"/>
  <c r="BY707" i="1" s="1"/>
  <c r="AZ707" i="1"/>
  <c r="BV705" i="1"/>
  <c r="AK705" i="1"/>
  <c r="AZ705" i="1"/>
  <c r="BV703" i="1"/>
  <c r="BX703" i="1" s="1"/>
  <c r="BY703" i="1" s="1"/>
  <c r="AK703" i="1"/>
  <c r="AZ703" i="1"/>
  <c r="BV701" i="1"/>
  <c r="BX701" i="1" s="1"/>
  <c r="BY701" i="1" s="1"/>
  <c r="AZ701" i="1"/>
  <c r="AK701" i="1"/>
  <c r="BV699" i="1"/>
  <c r="BX699" i="1" s="1"/>
  <c r="BY699" i="1" s="1"/>
  <c r="AK699" i="1"/>
  <c r="AZ699" i="1"/>
  <c r="BV697" i="1"/>
  <c r="BX697" i="1" s="1"/>
  <c r="BY697" i="1" s="1"/>
  <c r="AZ697" i="1"/>
  <c r="AK697" i="1"/>
  <c r="BV695" i="1"/>
  <c r="BX695" i="1" s="1"/>
  <c r="BY695" i="1" s="1"/>
  <c r="AZ695" i="1"/>
  <c r="AK695" i="1"/>
  <c r="BV693" i="1"/>
  <c r="BX693" i="1" s="1"/>
  <c r="BY693" i="1" s="1"/>
  <c r="AZ693" i="1"/>
  <c r="AK693" i="1"/>
  <c r="BV691" i="1"/>
  <c r="BX691" i="1" s="1"/>
  <c r="BY691" i="1" s="1"/>
  <c r="AK691" i="1"/>
  <c r="AZ691" i="1"/>
  <c r="BV689" i="1"/>
  <c r="AK689" i="1"/>
  <c r="AZ689" i="1"/>
  <c r="BV687" i="1"/>
  <c r="CF687" i="1" s="1"/>
  <c r="CG687" i="1" s="1"/>
  <c r="AZ687" i="1"/>
  <c r="AK687" i="1"/>
  <c r="BV685" i="1"/>
  <c r="BX685" i="1" s="1"/>
  <c r="BY685" i="1" s="1"/>
  <c r="AK685" i="1"/>
  <c r="AZ685" i="1"/>
  <c r="BV683" i="1"/>
  <c r="CF683" i="1" s="1"/>
  <c r="CG683" i="1" s="1"/>
  <c r="AK683" i="1"/>
  <c r="AZ683" i="1"/>
  <c r="BV681" i="1"/>
  <c r="BX681" i="1" s="1"/>
  <c r="BY681" i="1" s="1"/>
  <c r="AK681" i="1"/>
  <c r="AZ681" i="1"/>
  <c r="BV679" i="1"/>
  <c r="CF679" i="1" s="1"/>
  <c r="CG679" i="1" s="1"/>
  <c r="AK679" i="1"/>
  <c r="AZ679" i="1"/>
  <c r="BV677" i="1"/>
  <c r="BX677" i="1" s="1"/>
  <c r="BY677" i="1" s="1"/>
  <c r="AK677" i="1"/>
  <c r="AZ677" i="1"/>
  <c r="BV675" i="1"/>
  <c r="CF675" i="1" s="1"/>
  <c r="CG675" i="1" s="1"/>
  <c r="AK675" i="1"/>
  <c r="AZ675" i="1"/>
  <c r="BV673" i="1"/>
  <c r="AK673" i="1"/>
  <c r="AZ673" i="1"/>
  <c r="BV671" i="1"/>
  <c r="BX671" i="1" s="1"/>
  <c r="BY671" i="1" s="1"/>
  <c r="AZ671" i="1"/>
  <c r="AK671" i="1"/>
  <c r="BV669" i="1"/>
  <c r="BX669" i="1" s="1"/>
  <c r="BY669" i="1" s="1"/>
  <c r="AK669" i="1"/>
  <c r="AZ669" i="1"/>
  <c r="BV667" i="1"/>
  <c r="BX667" i="1" s="1"/>
  <c r="BY667" i="1" s="1"/>
  <c r="AK667" i="1"/>
  <c r="AZ667" i="1"/>
  <c r="BV665" i="1"/>
  <c r="BX665" i="1" s="1"/>
  <c r="BY665" i="1" s="1"/>
  <c r="AK665" i="1"/>
  <c r="AZ665" i="1"/>
  <c r="BV663" i="1"/>
  <c r="BX663" i="1" s="1"/>
  <c r="BY663" i="1" s="1"/>
  <c r="AK663" i="1"/>
  <c r="AZ663" i="1"/>
  <c r="BV661" i="1"/>
  <c r="BX661" i="1" s="1"/>
  <c r="BY661" i="1" s="1"/>
  <c r="AK661" i="1"/>
  <c r="AZ661" i="1"/>
  <c r="BV659" i="1"/>
  <c r="BX659" i="1" s="1"/>
  <c r="BY659" i="1" s="1"/>
  <c r="AK659" i="1"/>
  <c r="AZ659" i="1"/>
  <c r="BV657" i="1"/>
  <c r="AK657" i="1"/>
  <c r="AZ657" i="1"/>
  <c r="BV655" i="1"/>
  <c r="BX655" i="1" s="1"/>
  <c r="BY655" i="1" s="1"/>
  <c r="AZ655" i="1"/>
  <c r="BC655" i="1" s="1"/>
  <c r="AK655" i="1"/>
  <c r="BV653" i="1"/>
  <c r="BX653" i="1" s="1"/>
  <c r="BY653" i="1" s="1"/>
  <c r="AK653" i="1"/>
  <c r="AZ653" i="1"/>
  <c r="BV651" i="1"/>
  <c r="BX651" i="1" s="1"/>
  <c r="BY651" i="1" s="1"/>
  <c r="AK651" i="1"/>
  <c r="AZ651" i="1"/>
  <c r="BV649" i="1"/>
  <c r="BX649" i="1" s="1"/>
  <c r="BY649" i="1" s="1"/>
  <c r="AK649" i="1"/>
  <c r="AZ649" i="1"/>
  <c r="BV647" i="1"/>
  <c r="BX647" i="1" s="1"/>
  <c r="BY647" i="1" s="1"/>
  <c r="AK647" i="1"/>
  <c r="AZ647" i="1"/>
  <c r="AM12" i="1"/>
  <c r="AH12" i="1"/>
  <c r="AZ17" i="1"/>
  <c r="AV31" i="1"/>
  <c r="AU31" i="1"/>
  <c r="AZ49" i="1"/>
  <c r="AR51" i="1"/>
  <c r="AS51" i="1" s="1"/>
  <c r="AT51" i="1"/>
  <c r="AV51" i="1" s="1"/>
  <c r="AK69" i="1"/>
  <c r="AM77" i="1"/>
  <c r="AH77" i="1"/>
  <c r="AK95" i="1"/>
  <c r="AM118" i="1"/>
  <c r="AH118" i="1"/>
  <c r="AM148" i="1"/>
  <c r="AH148" i="1"/>
  <c r="AK155" i="1"/>
  <c r="AV304" i="1"/>
  <c r="AU304" i="1"/>
  <c r="AT305" i="1"/>
  <c r="AR305" i="1"/>
  <c r="AS305" i="1" s="1"/>
  <c r="AM309" i="1"/>
  <c r="AH309" i="1"/>
  <c r="AK353" i="1"/>
  <c r="AM423" i="1"/>
  <c r="AH423" i="1"/>
  <c r="AK554" i="1"/>
  <c r="BV645" i="1"/>
  <c r="BX645" i="1" s="1"/>
  <c r="BY645" i="1" s="1"/>
  <c r="AZ645" i="1"/>
  <c r="AK645" i="1"/>
  <c r="BV643" i="1"/>
  <c r="AZ643" i="1"/>
  <c r="AK643" i="1"/>
  <c r="BV641" i="1"/>
  <c r="BX641" i="1" s="1"/>
  <c r="BY641" i="1" s="1"/>
  <c r="AZ641" i="1"/>
  <c r="AK641" i="1"/>
  <c r="BV639" i="1"/>
  <c r="CF639" i="1" s="1"/>
  <c r="CG639" i="1" s="1"/>
  <c r="AZ639" i="1"/>
  <c r="AK639" i="1"/>
  <c r="BV637" i="1"/>
  <c r="CF637" i="1" s="1"/>
  <c r="CG637" i="1" s="1"/>
  <c r="AK637" i="1"/>
  <c r="BV635" i="1"/>
  <c r="CF635" i="1" s="1"/>
  <c r="CG635" i="1" s="1"/>
  <c r="AZ635" i="1"/>
  <c r="AK635" i="1"/>
  <c r="BV633" i="1"/>
  <c r="AK633" i="1"/>
  <c r="AZ633" i="1"/>
  <c r="BV631" i="1"/>
  <c r="BX631" i="1" s="1"/>
  <c r="BY631" i="1" s="1"/>
  <c r="AK631" i="1"/>
  <c r="AZ631" i="1"/>
  <c r="BV629" i="1"/>
  <c r="BX629" i="1" s="1"/>
  <c r="BY629" i="1" s="1"/>
  <c r="AK629" i="1"/>
  <c r="AZ629" i="1"/>
  <c r="BV627" i="1"/>
  <c r="CF627" i="1" s="1"/>
  <c r="CG627" i="1" s="1"/>
  <c r="AZ627" i="1"/>
  <c r="AK627" i="1"/>
  <c r="BV625" i="1"/>
  <c r="CF625" i="1" s="1"/>
  <c r="CG625" i="1" s="1"/>
  <c r="AK625" i="1"/>
  <c r="AZ625" i="1"/>
  <c r="BV623" i="1"/>
  <c r="BX623" i="1" s="1"/>
  <c r="BY623" i="1" s="1"/>
  <c r="AK623" i="1"/>
  <c r="AZ623" i="1"/>
  <c r="BV621" i="1"/>
  <c r="AK621" i="1"/>
  <c r="AZ621" i="1"/>
  <c r="BV619" i="1"/>
  <c r="CF619" i="1" s="1"/>
  <c r="CG619" i="1" s="1"/>
  <c r="AZ619" i="1"/>
  <c r="AK619" i="1"/>
  <c r="BV617" i="1"/>
  <c r="CF617" i="1" s="1"/>
  <c r="CG617" i="1" s="1"/>
  <c r="AK617" i="1"/>
  <c r="BV615" i="1"/>
  <c r="AK615" i="1"/>
  <c r="AZ615" i="1"/>
  <c r="BV613" i="1"/>
  <c r="CF613" i="1" s="1"/>
  <c r="CG613" i="1" s="1"/>
  <c r="AK613" i="1"/>
  <c r="AZ613" i="1"/>
  <c r="BV611" i="1"/>
  <c r="BX611" i="1" s="1"/>
  <c r="BY611" i="1" s="1"/>
  <c r="AZ611" i="1"/>
  <c r="AK611" i="1"/>
  <c r="BV609" i="1"/>
  <c r="BX609" i="1" s="1"/>
  <c r="BY609" i="1" s="1"/>
  <c r="AK609" i="1"/>
  <c r="AZ609" i="1"/>
  <c r="BV607" i="1"/>
  <c r="CF607" i="1" s="1"/>
  <c r="CG607" i="1" s="1"/>
  <c r="AK607" i="1"/>
  <c r="AZ607" i="1"/>
  <c r="BV605" i="1"/>
  <c r="BX605" i="1" s="1"/>
  <c r="BY605" i="1" s="1"/>
  <c r="AK605" i="1"/>
  <c r="AZ605" i="1"/>
  <c r="BV603" i="1"/>
  <c r="BX603" i="1" s="1"/>
  <c r="BY603" i="1" s="1"/>
  <c r="AZ603" i="1"/>
  <c r="AK603" i="1"/>
  <c r="BV601" i="1"/>
  <c r="AK601" i="1"/>
  <c r="AZ601" i="1"/>
  <c r="BV599" i="1"/>
  <c r="BX599" i="1" s="1"/>
  <c r="BY599" i="1" s="1"/>
  <c r="AK599" i="1"/>
  <c r="AZ599" i="1"/>
  <c r="BV597" i="1"/>
  <c r="AK597" i="1"/>
  <c r="AZ597" i="1"/>
  <c r="BV595" i="1"/>
  <c r="CF595" i="1" s="1"/>
  <c r="CG595" i="1" s="1"/>
  <c r="AZ595" i="1"/>
  <c r="AK595" i="1"/>
  <c r="BV593" i="1"/>
  <c r="BX593" i="1" s="1"/>
  <c r="BY593" i="1" s="1"/>
  <c r="AK593" i="1"/>
  <c r="AZ593" i="1"/>
  <c r="BV591" i="1"/>
  <c r="CF591" i="1" s="1"/>
  <c r="CG591" i="1" s="1"/>
  <c r="AZ591" i="1"/>
  <c r="AK591" i="1"/>
  <c r="BV589" i="1"/>
  <c r="CF589" i="1" s="1"/>
  <c r="CG589" i="1" s="1"/>
  <c r="AZ589" i="1"/>
  <c r="AK589" i="1"/>
  <c r="BV587" i="1"/>
  <c r="CF587" i="1" s="1"/>
  <c r="CG587" i="1" s="1"/>
  <c r="AZ587" i="1"/>
  <c r="AK587" i="1"/>
  <c r="BV585" i="1"/>
  <c r="BX585" i="1" s="1"/>
  <c r="BY585" i="1" s="1"/>
  <c r="AZ585" i="1"/>
  <c r="AK585" i="1"/>
  <c r="BV583" i="1"/>
  <c r="AK583" i="1"/>
  <c r="AZ583" i="1"/>
  <c r="BV581" i="1"/>
  <c r="CF581" i="1" s="1"/>
  <c r="CG581" i="1" s="1"/>
  <c r="AK581" i="1"/>
  <c r="AZ581" i="1"/>
  <c r="BV579" i="1"/>
  <c r="CF579" i="1" s="1"/>
  <c r="CG579" i="1" s="1"/>
  <c r="AZ579" i="1"/>
  <c r="AK579" i="1"/>
  <c r="BV577" i="1"/>
  <c r="BX577" i="1" s="1"/>
  <c r="BY577" i="1" s="1"/>
  <c r="AZ577" i="1"/>
  <c r="AK577" i="1"/>
  <c r="BV575" i="1"/>
  <c r="BX575" i="1" s="1"/>
  <c r="BY575" i="1" s="1"/>
  <c r="AK575" i="1"/>
  <c r="AZ575" i="1"/>
  <c r="BV573" i="1"/>
  <c r="AZ573" i="1"/>
  <c r="AK573" i="1"/>
  <c r="BV571" i="1"/>
  <c r="BX571" i="1" s="1"/>
  <c r="BY571" i="1" s="1"/>
  <c r="AZ571" i="1"/>
  <c r="AK571" i="1"/>
  <c r="BV569" i="1"/>
  <c r="BX569" i="1" s="1"/>
  <c r="BY569" i="1" s="1"/>
  <c r="AK569" i="1"/>
  <c r="AZ569" i="1"/>
  <c r="BV567" i="1"/>
  <c r="AZ567" i="1"/>
  <c r="AK567" i="1"/>
  <c r="BV565" i="1"/>
  <c r="AK565" i="1"/>
  <c r="AZ565" i="1"/>
  <c r="BV563" i="1"/>
  <c r="CF563" i="1" s="1"/>
  <c r="CG563" i="1" s="1"/>
  <c r="AK563" i="1"/>
  <c r="AZ563" i="1"/>
  <c r="BV561" i="1"/>
  <c r="BX561" i="1" s="1"/>
  <c r="BY561" i="1" s="1"/>
  <c r="AK561" i="1"/>
  <c r="AZ561" i="1"/>
  <c r="BV559" i="1"/>
  <c r="BX559" i="1" s="1"/>
  <c r="BY559" i="1" s="1"/>
  <c r="AK559" i="1"/>
  <c r="BV557" i="1"/>
  <c r="BX557" i="1" s="1"/>
  <c r="BY557" i="1" s="1"/>
  <c r="AZ557" i="1"/>
  <c r="AK557" i="1"/>
  <c r="BV555" i="1"/>
  <c r="CF555" i="1" s="1"/>
  <c r="CG555" i="1" s="1"/>
  <c r="AZ555" i="1"/>
  <c r="AK555" i="1"/>
  <c r="BV553" i="1"/>
  <c r="CF553" i="1" s="1"/>
  <c r="CG553" i="1" s="1"/>
  <c r="AK553" i="1"/>
  <c r="AZ553" i="1"/>
  <c r="BV551" i="1"/>
  <c r="CF551" i="1" s="1"/>
  <c r="CG551" i="1" s="1"/>
  <c r="AZ551" i="1"/>
  <c r="AK551" i="1"/>
  <c r="BV549" i="1"/>
  <c r="CF549" i="1" s="1"/>
  <c r="CG549" i="1" s="1"/>
  <c r="AK549" i="1"/>
  <c r="AZ549" i="1"/>
  <c r="BV547" i="1"/>
  <c r="BX547" i="1" s="1"/>
  <c r="BY547" i="1" s="1"/>
  <c r="AK547" i="1"/>
  <c r="AZ547" i="1"/>
  <c r="BV545" i="1"/>
  <c r="AK545" i="1"/>
  <c r="AZ545" i="1"/>
  <c r="BV543" i="1"/>
  <c r="CF543" i="1" s="1"/>
  <c r="CG543" i="1" s="1"/>
  <c r="AZ543" i="1"/>
  <c r="AK543" i="1"/>
  <c r="BV541" i="1"/>
  <c r="CF541" i="1" s="1"/>
  <c r="CG541" i="1" s="1"/>
  <c r="CH541" i="1" s="1"/>
  <c r="CI541" i="1" s="1"/>
  <c r="AK541" i="1"/>
  <c r="AZ541" i="1"/>
  <c r="BV539" i="1"/>
  <c r="CF539" i="1" s="1"/>
  <c r="CG539" i="1" s="1"/>
  <c r="AZ539" i="1"/>
  <c r="AK539" i="1"/>
  <c r="BV537" i="1"/>
  <c r="BX537" i="1" s="1"/>
  <c r="BY537" i="1" s="1"/>
  <c r="AK537" i="1"/>
  <c r="AZ537" i="1"/>
  <c r="BV535" i="1"/>
  <c r="CF535" i="1" s="1"/>
  <c r="CG535" i="1" s="1"/>
  <c r="AK535" i="1"/>
  <c r="AZ535" i="1"/>
  <c r="BV533" i="1"/>
  <c r="CF533" i="1" s="1"/>
  <c r="CG533" i="1" s="1"/>
  <c r="AZ533" i="1"/>
  <c r="AK533" i="1"/>
  <c r="BV531" i="1"/>
  <c r="BX531" i="1" s="1"/>
  <c r="BY531" i="1" s="1"/>
  <c r="AK531" i="1"/>
  <c r="AZ531" i="1"/>
  <c r="BV529" i="1"/>
  <c r="AK529" i="1"/>
  <c r="AZ529" i="1"/>
  <c r="BV527" i="1"/>
  <c r="BX527" i="1" s="1"/>
  <c r="BY527" i="1" s="1"/>
  <c r="AZ527" i="1"/>
  <c r="AK527" i="1"/>
  <c r="BV525" i="1"/>
  <c r="CF525" i="1" s="1"/>
  <c r="CG525" i="1" s="1"/>
  <c r="AK525" i="1"/>
  <c r="AZ525" i="1"/>
  <c r="BV523" i="1"/>
  <c r="BX523" i="1" s="1"/>
  <c r="BY523" i="1" s="1"/>
  <c r="AZ523" i="1"/>
  <c r="AK523" i="1"/>
  <c r="BV521" i="1"/>
  <c r="CF521" i="1" s="1"/>
  <c r="CG521" i="1" s="1"/>
  <c r="AK521" i="1"/>
  <c r="AZ521" i="1"/>
  <c r="BV519" i="1"/>
  <c r="CF519" i="1" s="1"/>
  <c r="CG519" i="1" s="1"/>
  <c r="AZ519" i="1"/>
  <c r="AK519" i="1"/>
  <c r="BV517" i="1"/>
  <c r="CF517" i="1" s="1"/>
  <c r="CG517" i="1" s="1"/>
  <c r="AK517" i="1"/>
  <c r="AZ517" i="1"/>
  <c r="BV515" i="1"/>
  <c r="CF515" i="1" s="1"/>
  <c r="CG515" i="1" s="1"/>
  <c r="AZ515" i="1"/>
  <c r="AK515" i="1"/>
  <c r="BV513" i="1"/>
  <c r="AZ513" i="1"/>
  <c r="AK513" i="1"/>
  <c r="BV511" i="1"/>
  <c r="CF511" i="1" s="1"/>
  <c r="CG511" i="1" s="1"/>
  <c r="AZ511" i="1"/>
  <c r="AK511" i="1"/>
  <c r="BV509" i="1"/>
  <c r="CF509" i="1" s="1"/>
  <c r="CG509" i="1" s="1"/>
  <c r="AK509" i="1"/>
  <c r="AZ509" i="1"/>
  <c r="BV507" i="1"/>
  <c r="BX507" i="1" s="1"/>
  <c r="BY507" i="1" s="1"/>
  <c r="AZ507" i="1"/>
  <c r="AK507" i="1"/>
  <c r="BV505" i="1"/>
  <c r="BX505" i="1" s="1"/>
  <c r="BY505" i="1" s="1"/>
  <c r="AZ505" i="1"/>
  <c r="AK505" i="1"/>
  <c r="BV503" i="1"/>
  <c r="CF503" i="1" s="1"/>
  <c r="CG503" i="1" s="1"/>
  <c r="AK503" i="1"/>
  <c r="AZ503" i="1"/>
  <c r="BV501" i="1"/>
  <c r="BX501" i="1" s="1"/>
  <c r="BY501" i="1" s="1"/>
  <c r="AZ501" i="1"/>
  <c r="AK501" i="1"/>
  <c r="BV499" i="1"/>
  <c r="BX499" i="1" s="1"/>
  <c r="BY499" i="1" s="1"/>
  <c r="AK499" i="1"/>
  <c r="AZ499" i="1"/>
  <c r="BV497" i="1"/>
  <c r="AZ497" i="1"/>
  <c r="AK497" i="1"/>
  <c r="BV495" i="1"/>
  <c r="AZ495" i="1"/>
  <c r="AK495" i="1"/>
  <c r="BV493" i="1"/>
  <c r="CF493" i="1" s="1"/>
  <c r="CG493" i="1" s="1"/>
  <c r="AK493" i="1"/>
  <c r="AZ493" i="1"/>
  <c r="BV491" i="1"/>
  <c r="CF491" i="1" s="1"/>
  <c r="CG491" i="1" s="1"/>
  <c r="AZ491" i="1"/>
  <c r="AK491" i="1"/>
  <c r="BV489" i="1"/>
  <c r="BX489" i="1" s="1"/>
  <c r="BY489" i="1" s="1"/>
  <c r="AZ489" i="1"/>
  <c r="AK489" i="1"/>
  <c r="BV487" i="1"/>
  <c r="CF487" i="1" s="1"/>
  <c r="CG487" i="1" s="1"/>
  <c r="AK487" i="1"/>
  <c r="AZ487" i="1"/>
  <c r="BV485" i="1"/>
  <c r="CF485" i="1" s="1"/>
  <c r="CG485" i="1" s="1"/>
  <c r="AK485" i="1"/>
  <c r="AZ485" i="1"/>
  <c r="BV483" i="1"/>
  <c r="CF483" i="1" s="1"/>
  <c r="CG483" i="1" s="1"/>
  <c r="AK483" i="1"/>
  <c r="AZ483" i="1"/>
  <c r="BV481" i="1"/>
  <c r="AK481" i="1"/>
  <c r="AZ481" i="1"/>
  <c r="BV479" i="1"/>
  <c r="CF479" i="1" s="1"/>
  <c r="CG479" i="1" s="1"/>
  <c r="AZ479" i="1"/>
  <c r="AK479" i="1"/>
  <c r="BV477" i="1"/>
  <c r="BX477" i="1" s="1"/>
  <c r="BY477" i="1" s="1"/>
  <c r="AZ477" i="1"/>
  <c r="AK477" i="1"/>
  <c r="BV475" i="1"/>
  <c r="CF475" i="1" s="1"/>
  <c r="CG475" i="1" s="1"/>
  <c r="AK475" i="1"/>
  <c r="AZ475" i="1"/>
  <c r="BV473" i="1"/>
  <c r="CF473" i="1" s="1"/>
  <c r="CG473" i="1" s="1"/>
  <c r="AZ473" i="1"/>
  <c r="AK473" i="1"/>
  <c r="BV471" i="1"/>
  <c r="CF471" i="1" s="1"/>
  <c r="CG471" i="1" s="1"/>
  <c r="AK471" i="1"/>
  <c r="AZ471" i="1"/>
  <c r="BV469" i="1"/>
  <c r="BX469" i="1" s="1"/>
  <c r="BY469" i="1" s="1"/>
  <c r="AK469" i="1"/>
  <c r="AZ469" i="1"/>
  <c r="BV467" i="1"/>
  <c r="BX467" i="1" s="1"/>
  <c r="BY467" i="1" s="1"/>
  <c r="AZ467" i="1"/>
  <c r="AK467" i="1"/>
  <c r="BV465" i="1"/>
  <c r="AZ465" i="1"/>
  <c r="AK465" i="1"/>
  <c r="BV463" i="1"/>
  <c r="AZ463" i="1"/>
  <c r="AK463" i="1"/>
  <c r="BV461" i="1"/>
  <c r="CF461" i="1" s="1"/>
  <c r="CG461" i="1" s="1"/>
  <c r="AZ461" i="1"/>
  <c r="AK461" i="1"/>
  <c r="BV459" i="1"/>
  <c r="BX459" i="1" s="1"/>
  <c r="BY459" i="1" s="1"/>
  <c r="AK459" i="1"/>
  <c r="AZ459" i="1"/>
  <c r="BV457" i="1"/>
  <c r="CF457" i="1" s="1"/>
  <c r="CG457" i="1" s="1"/>
  <c r="AZ457" i="1"/>
  <c r="AK457" i="1"/>
  <c r="BV455" i="1"/>
  <c r="BX455" i="1" s="1"/>
  <c r="BY455" i="1" s="1"/>
  <c r="AK455" i="1"/>
  <c r="AZ455" i="1"/>
  <c r="BV453" i="1"/>
  <c r="BX453" i="1" s="1"/>
  <c r="BY453" i="1" s="1"/>
  <c r="AK453" i="1"/>
  <c r="AZ453" i="1"/>
  <c r="BV451" i="1"/>
  <c r="CF451" i="1" s="1"/>
  <c r="CG451" i="1" s="1"/>
  <c r="AK451" i="1"/>
  <c r="AZ451" i="1"/>
  <c r="BV449" i="1"/>
  <c r="AZ449" i="1"/>
  <c r="AK449" i="1"/>
  <c r="BV447" i="1"/>
  <c r="BX447" i="1" s="1"/>
  <c r="BY447" i="1" s="1"/>
  <c r="AK447" i="1"/>
  <c r="AZ447" i="1"/>
  <c r="BV445" i="1"/>
  <c r="CF445" i="1" s="1"/>
  <c r="CG445" i="1" s="1"/>
  <c r="AK445" i="1"/>
  <c r="AZ445" i="1"/>
  <c r="BV443" i="1"/>
  <c r="CF443" i="1" s="1"/>
  <c r="CG443" i="1" s="1"/>
  <c r="AK443" i="1"/>
  <c r="AZ443" i="1"/>
  <c r="BV441" i="1"/>
  <c r="CF441" i="1" s="1"/>
  <c r="CG441" i="1" s="1"/>
  <c r="AZ441" i="1"/>
  <c r="AK441" i="1"/>
  <c r="BV439" i="1"/>
  <c r="CF439" i="1" s="1"/>
  <c r="CG439" i="1" s="1"/>
  <c r="AK439" i="1"/>
  <c r="AZ439" i="1"/>
  <c r="BV437" i="1"/>
  <c r="BX437" i="1" s="1"/>
  <c r="BY437" i="1" s="1"/>
  <c r="AK437" i="1"/>
  <c r="AZ437" i="1"/>
  <c r="BV435" i="1"/>
  <c r="BX435" i="1" s="1"/>
  <c r="BY435" i="1" s="1"/>
  <c r="AK435" i="1"/>
  <c r="BV429" i="1"/>
  <c r="CF429" i="1" s="1"/>
  <c r="CG429" i="1" s="1"/>
  <c r="AK429" i="1"/>
  <c r="AZ429" i="1"/>
  <c r="BV427" i="1"/>
  <c r="BX427" i="1" s="1"/>
  <c r="BY427" i="1" s="1"/>
  <c r="AK427" i="1"/>
  <c r="AZ427" i="1"/>
  <c r="BV425" i="1"/>
  <c r="CF425" i="1" s="1"/>
  <c r="CG425" i="1" s="1"/>
  <c r="AZ425" i="1"/>
  <c r="AK425" i="1"/>
  <c r="BV423" i="1"/>
  <c r="AK423" i="1"/>
  <c r="AZ423" i="1"/>
  <c r="BV421" i="1"/>
  <c r="CF421" i="1" s="1"/>
  <c r="CG421" i="1" s="1"/>
  <c r="AK421" i="1"/>
  <c r="AZ421" i="1"/>
  <c r="BV419" i="1"/>
  <c r="CF419" i="1" s="1"/>
  <c r="CG419" i="1" s="1"/>
  <c r="AK419" i="1"/>
  <c r="AZ419" i="1"/>
  <c r="BV417" i="1"/>
  <c r="CF417" i="1" s="1"/>
  <c r="CG417" i="1" s="1"/>
  <c r="AZ417" i="1"/>
  <c r="AK417" i="1"/>
  <c r="BV415" i="1"/>
  <c r="CF415" i="1" s="1"/>
  <c r="CG415" i="1" s="1"/>
  <c r="AK415" i="1"/>
  <c r="AZ415" i="1"/>
  <c r="BV413" i="1"/>
  <c r="BX413" i="1" s="1"/>
  <c r="BY413" i="1" s="1"/>
  <c r="AK413" i="1"/>
  <c r="BV411" i="1"/>
  <c r="CF411" i="1" s="1"/>
  <c r="CG411" i="1" s="1"/>
  <c r="AZ411" i="1"/>
  <c r="BV409" i="1"/>
  <c r="CF409" i="1" s="1"/>
  <c r="CG409" i="1" s="1"/>
  <c r="AZ409" i="1"/>
  <c r="AK409" i="1"/>
  <c r="BV407" i="1"/>
  <c r="CF407" i="1" s="1"/>
  <c r="CG407" i="1" s="1"/>
  <c r="AK407" i="1"/>
  <c r="AZ407" i="1"/>
  <c r="BV405" i="1"/>
  <c r="BX405" i="1" s="1"/>
  <c r="BY405" i="1" s="1"/>
  <c r="AK405" i="1"/>
  <c r="BV403" i="1"/>
  <c r="BX403" i="1" s="1"/>
  <c r="BY403" i="1" s="1"/>
  <c r="AK403" i="1"/>
  <c r="BV401" i="1"/>
  <c r="BX401" i="1" s="1"/>
  <c r="BY401" i="1" s="1"/>
  <c r="AZ401" i="1"/>
  <c r="AK401" i="1"/>
  <c r="BV399" i="1"/>
  <c r="AZ399" i="1"/>
  <c r="BV397" i="1"/>
  <c r="BX397" i="1" s="1"/>
  <c r="BY397" i="1" s="1"/>
  <c r="AK397" i="1"/>
  <c r="AZ397" i="1"/>
  <c r="BV395" i="1"/>
  <c r="BX395" i="1" s="1"/>
  <c r="BY395" i="1" s="1"/>
  <c r="AK395" i="1"/>
  <c r="BV393" i="1"/>
  <c r="CF393" i="1" s="1"/>
  <c r="CG393" i="1" s="1"/>
  <c r="AZ393" i="1"/>
  <c r="AK393" i="1"/>
  <c r="BV391" i="1"/>
  <c r="CF391" i="1" s="1"/>
  <c r="CG391" i="1" s="1"/>
  <c r="AZ391" i="1"/>
  <c r="BV389" i="1"/>
  <c r="BX389" i="1" s="1"/>
  <c r="BY389" i="1" s="1"/>
  <c r="AK389" i="1"/>
  <c r="AZ389" i="1"/>
  <c r="BV387" i="1"/>
  <c r="CF387" i="1" s="1"/>
  <c r="CG387" i="1" s="1"/>
  <c r="AZ387" i="1"/>
  <c r="AK387" i="1"/>
  <c r="BV385" i="1"/>
  <c r="BX385" i="1" s="1"/>
  <c r="BY385" i="1" s="1"/>
  <c r="AK385" i="1"/>
  <c r="BV383" i="1"/>
  <c r="CF383" i="1" s="1"/>
  <c r="CG383" i="1" s="1"/>
  <c r="AK383" i="1"/>
  <c r="AZ383" i="1"/>
  <c r="BV381" i="1"/>
  <c r="CF381" i="1" s="1"/>
  <c r="CG381" i="1" s="1"/>
  <c r="AZ381" i="1"/>
  <c r="AK381" i="1"/>
  <c r="BV379" i="1"/>
  <c r="BX379" i="1" s="1"/>
  <c r="BY379" i="1" s="1"/>
  <c r="AZ379" i="1"/>
  <c r="BV377" i="1"/>
  <c r="BX377" i="1" s="1"/>
  <c r="BY377" i="1" s="1"/>
  <c r="AZ377" i="1"/>
  <c r="AK377" i="1"/>
  <c r="BV375" i="1"/>
  <c r="CF375" i="1" s="1"/>
  <c r="CG375" i="1" s="1"/>
  <c r="AK375" i="1"/>
  <c r="AZ375" i="1"/>
  <c r="BV373" i="1"/>
  <c r="CF373" i="1" s="1"/>
  <c r="CG373" i="1" s="1"/>
  <c r="AZ373" i="1"/>
  <c r="AK373" i="1"/>
  <c r="BV371" i="1"/>
  <c r="CF371" i="1" s="1"/>
  <c r="CG371" i="1" s="1"/>
  <c r="AK371" i="1"/>
  <c r="AZ371" i="1"/>
  <c r="BV369" i="1"/>
  <c r="AZ369" i="1"/>
  <c r="AK369" i="1"/>
  <c r="BV367" i="1"/>
  <c r="BX367" i="1" s="1"/>
  <c r="BY367" i="1" s="1"/>
  <c r="AZ367" i="1"/>
  <c r="AK367" i="1"/>
  <c r="BV365" i="1"/>
  <c r="CF365" i="1" s="1"/>
  <c r="CG365" i="1" s="1"/>
  <c r="AK365" i="1"/>
  <c r="AZ365" i="1"/>
  <c r="BV363" i="1"/>
  <c r="AK363" i="1"/>
  <c r="AZ363" i="1"/>
  <c r="BV361" i="1"/>
  <c r="CF361" i="1" s="1"/>
  <c r="CG361" i="1" s="1"/>
  <c r="AK361" i="1"/>
  <c r="AZ361" i="1"/>
  <c r="BV359" i="1"/>
  <c r="AK359" i="1"/>
  <c r="AZ359" i="1"/>
  <c r="BV357" i="1"/>
  <c r="BX357" i="1" s="1"/>
  <c r="BY357" i="1" s="1"/>
  <c r="AK357" i="1"/>
  <c r="AZ357" i="1"/>
  <c r="BV355" i="1"/>
  <c r="AZ355" i="1"/>
  <c r="BV353" i="1"/>
  <c r="CF353" i="1" s="1"/>
  <c r="CG353" i="1" s="1"/>
  <c r="AZ353" i="1"/>
  <c r="BV351" i="1"/>
  <c r="BX351" i="1" s="1"/>
  <c r="BY351" i="1" s="1"/>
  <c r="AK351" i="1"/>
  <c r="AZ351" i="1"/>
  <c r="BV349" i="1"/>
  <c r="CF349" i="1" s="1"/>
  <c r="CG349" i="1" s="1"/>
  <c r="AK349" i="1"/>
  <c r="AZ349" i="1"/>
  <c r="BV347" i="1"/>
  <c r="BX347" i="1" s="1"/>
  <c r="BY347" i="1" s="1"/>
  <c r="AZ347" i="1"/>
  <c r="AK347" i="1"/>
  <c r="BV345" i="1"/>
  <c r="BX345" i="1" s="1"/>
  <c r="BY345" i="1" s="1"/>
  <c r="AZ345" i="1"/>
  <c r="AK345" i="1"/>
  <c r="BV343" i="1"/>
  <c r="BX343" i="1" s="1"/>
  <c r="BY343" i="1" s="1"/>
  <c r="AK343" i="1"/>
  <c r="AZ343" i="1"/>
  <c r="BV341" i="1"/>
  <c r="AK341" i="1"/>
  <c r="AZ341" i="1"/>
  <c r="BV339" i="1"/>
  <c r="AZ339" i="1"/>
  <c r="BV337" i="1"/>
  <c r="BX337" i="1" s="1"/>
  <c r="BY337" i="1" s="1"/>
  <c r="AZ337" i="1"/>
  <c r="BV335" i="1"/>
  <c r="AK335" i="1"/>
  <c r="AZ335" i="1"/>
  <c r="BV333" i="1"/>
  <c r="BX333" i="1" s="1"/>
  <c r="BY333" i="1" s="1"/>
  <c r="AK333" i="1"/>
  <c r="AZ333" i="1"/>
  <c r="BV331" i="1"/>
  <c r="BX331" i="1" s="1"/>
  <c r="BY331" i="1" s="1"/>
  <c r="AZ331" i="1"/>
  <c r="AK331" i="1"/>
  <c r="BV329" i="1"/>
  <c r="CF329" i="1" s="1"/>
  <c r="CG329" i="1" s="1"/>
  <c r="AZ329" i="1"/>
  <c r="AK329" i="1"/>
  <c r="BV327" i="1"/>
  <c r="BX327" i="1" s="1"/>
  <c r="BY327" i="1" s="1"/>
  <c r="AK327" i="1"/>
  <c r="AZ327" i="1"/>
  <c r="BV325" i="1"/>
  <c r="BX325" i="1" s="1"/>
  <c r="BY325" i="1" s="1"/>
  <c r="AK325" i="1"/>
  <c r="AZ325" i="1"/>
  <c r="BV323" i="1"/>
  <c r="BX323" i="1" s="1"/>
  <c r="BY323" i="1" s="1"/>
  <c r="AZ323" i="1"/>
  <c r="AK323" i="1"/>
  <c r="BV321" i="1"/>
  <c r="CF321" i="1" s="1"/>
  <c r="CG321" i="1" s="1"/>
  <c r="AZ321" i="1"/>
  <c r="AK321" i="1"/>
  <c r="BV319" i="1"/>
  <c r="BX319" i="1" s="1"/>
  <c r="BY319" i="1" s="1"/>
  <c r="AZ319" i="1"/>
  <c r="BV317" i="1"/>
  <c r="BX317" i="1" s="1"/>
  <c r="BY317" i="1" s="1"/>
  <c r="AZ317" i="1"/>
  <c r="BV315" i="1"/>
  <c r="BX315" i="1" s="1"/>
  <c r="BY315" i="1" s="1"/>
  <c r="AZ315" i="1"/>
  <c r="AK315" i="1"/>
  <c r="BV313" i="1"/>
  <c r="CF313" i="1" s="1"/>
  <c r="CG313" i="1" s="1"/>
  <c r="AK313" i="1"/>
  <c r="AZ313" i="1"/>
  <c r="BV311" i="1"/>
  <c r="BX311" i="1" s="1"/>
  <c r="BY311" i="1" s="1"/>
  <c r="AK311" i="1"/>
  <c r="BV309" i="1"/>
  <c r="CF309" i="1" s="1"/>
  <c r="CG309" i="1" s="1"/>
  <c r="AK309" i="1"/>
  <c r="BV307" i="1"/>
  <c r="BX307" i="1" s="1"/>
  <c r="BY307" i="1" s="1"/>
  <c r="AZ307" i="1"/>
  <c r="AK307" i="1"/>
  <c r="BV305" i="1"/>
  <c r="AZ305" i="1"/>
  <c r="AK305" i="1"/>
  <c r="BV303" i="1"/>
  <c r="BX303" i="1" s="1"/>
  <c r="BY303" i="1" s="1"/>
  <c r="AZ303" i="1"/>
  <c r="BV301" i="1"/>
  <c r="CF301" i="1" s="1"/>
  <c r="CG301" i="1" s="1"/>
  <c r="AZ301" i="1"/>
  <c r="AK301" i="1"/>
  <c r="BV299" i="1"/>
  <c r="AZ299" i="1"/>
  <c r="AK299" i="1"/>
  <c r="BV297" i="1"/>
  <c r="CF297" i="1" s="1"/>
  <c r="CG297" i="1" s="1"/>
  <c r="AZ297" i="1"/>
  <c r="AK297" i="1"/>
  <c r="BV295" i="1"/>
  <c r="BX295" i="1" s="1"/>
  <c r="BY295" i="1" s="1"/>
  <c r="AK295" i="1"/>
  <c r="AZ295" i="1"/>
  <c r="BV293" i="1"/>
  <c r="BX293" i="1" s="1"/>
  <c r="BY293" i="1" s="1"/>
  <c r="AK293" i="1"/>
  <c r="BV291" i="1"/>
  <c r="BX291" i="1" s="1"/>
  <c r="BY291" i="1" s="1"/>
  <c r="AZ291" i="1"/>
  <c r="AK291" i="1"/>
  <c r="BV289" i="1"/>
  <c r="BX289" i="1" s="1"/>
  <c r="BY289" i="1" s="1"/>
  <c r="AZ289" i="1"/>
  <c r="AK289" i="1"/>
  <c r="BV287" i="1"/>
  <c r="BX287" i="1" s="1"/>
  <c r="BY287" i="1" s="1"/>
  <c r="AK287" i="1"/>
  <c r="AZ287" i="1"/>
  <c r="BV285" i="1"/>
  <c r="CF285" i="1" s="1"/>
  <c r="CG285" i="1" s="1"/>
  <c r="AK285" i="1"/>
  <c r="AZ285" i="1"/>
  <c r="BV283" i="1"/>
  <c r="BX283" i="1" s="1"/>
  <c r="BY283" i="1" s="1"/>
  <c r="AZ283" i="1"/>
  <c r="AK283" i="1"/>
  <c r="BV281" i="1"/>
  <c r="BX281" i="1" s="1"/>
  <c r="BY281" i="1" s="1"/>
  <c r="AZ281" i="1"/>
  <c r="AK281" i="1"/>
  <c r="BV279" i="1"/>
  <c r="BX279" i="1" s="1"/>
  <c r="BY279" i="1" s="1"/>
  <c r="AK279" i="1"/>
  <c r="AZ279" i="1"/>
  <c r="BV277" i="1"/>
  <c r="AK277" i="1"/>
  <c r="AZ277" i="1"/>
  <c r="BV275" i="1"/>
  <c r="BX275" i="1" s="1"/>
  <c r="BY275" i="1" s="1"/>
  <c r="AK275" i="1"/>
  <c r="BV273" i="1"/>
  <c r="BX273" i="1" s="1"/>
  <c r="BY273" i="1" s="1"/>
  <c r="AZ273" i="1"/>
  <c r="BV271" i="1"/>
  <c r="BX271" i="1" s="1"/>
  <c r="BY271" i="1" s="1"/>
  <c r="AK271" i="1"/>
  <c r="AZ271" i="1"/>
  <c r="BV269" i="1"/>
  <c r="BX269" i="1" s="1"/>
  <c r="BY269" i="1" s="1"/>
  <c r="AK269" i="1"/>
  <c r="AZ269" i="1"/>
  <c r="BV267" i="1"/>
  <c r="BX267" i="1" s="1"/>
  <c r="BY267" i="1" s="1"/>
  <c r="AZ267" i="1"/>
  <c r="AK267" i="1"/>
  <c r="BV265" i="1"/>
  <c r="BX265" i="1" s="1"/>
  <c r="BY265" i="1" s="1"/>
  <c r="AZ265" i="1"/>
  <c r="AK265" i="1"/>
  <c r="BV263" i="1"/>
  <c r="BX263" i="1" s="1"/>
  <c r="BY263" i="1" s="1"/>
  <c r="AK263" i="1"/>
  <c r="AZ263" i="1"/>
  <c r="BV261" i="1"/>
  <c r="BX261" i="1" s="1"/>
  <c r="BY261" i="1" s="1"/>
  <c r="AK261" i="1"/>
  <c r="AZ261" i="1"/>
  <c r="BV259" i="1"/>
  <c r="BX259" i="1" s="1"/>
  <c r="BY259" i="1" s="1"/>
  <c r="AZ259" i="1"/>
  <c r="BV255" i="1"/>
  <c r="BX255" i="1" s="1"/>
  <c r="BY255" i="1" s="1"/>
  <c r="AK255" i="1"/>
  <c r="AZ255" i="1"/>
  <c r="BV253" i="1"/>
  <c r="CF253" i="1" s="1"/>
  <c r="CG253" i="1" s="1"/>
  <c r="AK253" i="1"/>
  <c r="AZ253" i="1"/>
  <c r="BV251" i="1"/>
  <c r="BX251" i="1" s="1"/>
  <c r="BY251" i="1" s="1"/>
  <c r="AZ251" i="1"/>
  <c r="AK251" i="1"/>
  <c r="BV249" i="1"/>
  <c r="CF249" i="1" s="1"/>
  <c r="CG249" i="1" s="1"/>
  <c r="AK249" i="1"/>
  <c r="AZ249" i="1"/>
  <c r="BV247" i="1"/>
  <c r="BX247" i="1" s="1"/>
  <c r="BY247" i="1" s="1"/>
  <c r="AZ247" i="1"/>
  <c r="AK247" i="1"/>
  <c r="BV245" i="1"/>
  <c r="BX245" i="1" s="1"/>
  <c r="BY245" i="1" s="1"/>
  <c r="AK245" i="1"/>
  <c r="AZ245" i="1"/>
  <c r="BV243" i="1"/>
  <c r="BX243" i="1" s="1"/>
  <c r="BY243" i="1" s="1"/>
  <c r="AZ243" i="1"/>
  <c r="AK243" i="1"/>
  <c r="BV241" i="1"/>
  <c r="BX241" i="1" s="1"/>
  <c r="BY241" i="1" s="1"/>
  <c r="AK241" i="1"/>
  <c r="AZ241" i="1"/>
  <c r="BV239" i="1"/>
  <c r="BX239" i="1" s="1"/>
  <c r="BY239" i="1" s="1"/>
  <c r="AK239" i="1"/>
  <c r="AZ239" i="1"/>
  <c r="BV237" i="1"/>
  <c r="BX237" i="1" s="1"/>
  <c r="BY237" i="1" s="1"/>
  <c r="AK237" i="1"/>
  <c r="AZ237" i="1"/>
  <c r="BV235" i="1"/>
  <c r="BX235" i="1" s="1"/>
  <c r="BY235" i="1" s="1"/>
  <c r="AZ235" i="1"/>
  <c r="AK235" i="1"/>
  <c r="BV233" i="1"/>
  <c r="BX233" i="1" s="1"/>
  <c r="BY233" i="1" s="1"/>
  <c r="AK233" i="1"/>
  <c r="AZ233" i="1"/>
  <c r="BV231" i="1"/>
  <c r="BX231" i="1" s="1"/>
  <c r="BY231" i="1" s="1"/>
  <c r="AZ231" i="1"/>
  <c r="AK231" i="1"/>
  <c r="BV229" i="1"/>
  <c r="BX229" i="1" s="1"/>
  <c r="BY229" i="1" s="1"/>
  <c r="AK229" i="1"/>
  <c r="AZ229" i="1"/>
  <c r="BV227" i="1"/>
  <c r="BX227" i="1" s="1"/>
  <c r="BY227" i="1" s="1"/>
  <c r="AZ227" i="1"/>
  <c r="BV223" i="1"/>
  <c r="BX223" i="1" s="1"/>
  <c r="BY223" i="1" s="1"/>
  <c r="AZ223" i="1"/>
  <c r="AK223" i="1"/>
  <c r="BV221" i="1"/>
  <c r="CF221" i="1" s="1"/>
  <c r="CG221" i="1" s="1"/>
  <c r="AZ221" i="1"/>
  <c r="AK221" i="1"/>
  <c r="BV219" i="1"/>
  <c r="BX219" i="1" s="1"/>
  <c r="BY219" i="1" s="1"/>
  <c r="AK219" i="1"/>
  <c r="AZ219" i="1"/>
  <c r="BV217" i="1"/>
  <c r="AZ217" i="1"/>
  <c r="AK217" i="1"/>
  <c r="BV215" i="1"/>
  <c r="BX215" i="1" s="1"/>
  <c r="BY215" i="1" s="1"/>
  <c r="AZ215" i="1"/>
  <c r="AK215" i="1"/>
  <c r="BV213" i="1"/>
  <c r="CF213" i="1" s="1"/>
  <c r="CG213" i="1" s="1"/>
  <c r="AZ213" i="1"/>
  <c r="AK213" i="1"/>
  <c r="BV211" i="1"/>
  <c r="BX211" i="1" s="1"/>
  <c r="BY211" i="1" s="1"/>
  <c r="AZ211" i="1"/>
  <c r="BV207" i="1"/>
  <c r="BX207" i="1" s="1"/>
  <c r="BY207" i="1" s="1"/>
  <c r="AZ207" i="1"/>
  <c r="AK207" i="1"/>
  <c r="BV205" i="1"/>
  <c r="BX205" i="1" s="1"/>
  <c r="BY205" i="1" s="1"/>
  <c r="AZ205" i="1"/>
  <c r="AK205" i="1"/>
  <c r="BV203" i="1"/>
  <c r="BX203" i="1" s="1"/>
  <c r="BY203" i="1" s="1"/>
  <c r="AK203" i="1"/>
  <c r="AZ203" i="1"/>
  <c r="BV201" i="1"/>
  <c r="CF201" i="1" s="1"/>
  <c r="CG201" i="1" s="1"/>
  <c r="AK201" i="1"/>
  <c r="AZ201" i="1"/>
  <c r="BV199" i="1"/>
  <c r="BX199" i="1" s="1"/>
  <c r="BY199" i="1" s="1"/>
  <c r="AK199" i="1"/>
  <c r="AZ199" i="1"/>
  <c r="BV197" i="1"/>
  <c r="CF197" i="1" s="1"/>
  <c r="CG197" i="1" s="1"/>
  <c r="AK197" i="1"/>
  <c r="AZ197" i="1"/>
  <c r="BV195" i="1"/>
  <c r="BX195" i="1" s="1"/>
  <c r="BY195" i="1" s="1"/>
  <c r="AK195" i="1"/>
  <c r="BV193" i="1"/>
  <c r="CF193" i="1" s="1"/>
  <c r="CG193" i="1" s="1"/>
  <c r="AZ193" i="1"/>
  <c r="BV191" i="1"/>
  <c r="BX191" i="1" s="1"/>
  <c r="BY191" i="1" s="1"/>
  <c r="AZ191" i="1"/>
  <c r="BV189" i="1"/>
  <c r="CF189" i="1" s="1"/>
  <c r="CG189" i="1" s="1"/>
  <c r="AZ189" i="1"/>
  <c r="AK189" i="1"/>
  <c r="BV187" i="1"/>
  <c r="CF187" i="1" s="1"/>
  <c r="CG187" i="1" s="1"/>
  <c r="CH187" i="1" s="1"/>
  <c r="CI187" i="1" s="1"/>
  <c r="AZ187" i="1"/>
  <c r="AK187" i="1"/>
  <c r="BV185" i="1"/>
  <c r="CF185" i="1" s="1"/>
  <c r="CG185" i="1" s="1"/>
  <c r="AZ185" i="1"/>
  <c r="AK185" i="1"/>
  <c r="BV183" i="1"/>
  <c r="CF183" i="1" s="1"/>
  <c r="CG183" i="1" s="1"/>
  <c r="AK183" i="1"/>
  <c r="BV181" i="1"/>
  <c r="BX181" i="1" s="1"/>
  <c r="BY181" i="1" s="1"/>
  <c r="AZ181" i="1"/>
  <c r="AK181" i="1"/>
  <c r="BV179" i="1"/>
  <c r="CF179" i="1" s="1"/>
  <c r="CG179" i="1" s="1"/>
  <c r="AZ179" i="1"/>
  <c r="AK179" i="1"/>
  <c r="BV177" i="1"/>
  <c r="CF177" i="1" s="1"/>
  <c r="CG177" i="1" s="1"/>
  <c r="AZ177" i="1"/>
  <c r="AK177" i="1"/>
  <c r="BV175" i="1"/>
  <c r="CF175" i="1" s="1"/>
  <c r="CG175" i="1" s="1"/>
  <c r="AK175" i="1"/>
  <c r="AZ175" i="1"/>
  <c r="BV173" i="1"/>
  <c r="BX173" i="1" s="1"/>
  <c r="BY173" i="1" s="1"/>
  <c r="AK173" i="1"/>
  <c r="BX149" i="1"/>
  <c r="BY149" i="1" s="1"/>
  <c r="CF149" i="1"/>
  <c r="CG149" i="1" s="1"/>
  <c r="AK8" i="1"/>
  <c r="AM10" i="1"/>
  <c r="AK14" i="1"/>
  <c r="AK25" i="1"/>
  <c r="AK27" i="1"/>
  <c r="AZ33" i="1"/>
  <c r="AK36" i="1"/>
  <c r="AK38" i="1"/>
  <c r="AZ56" i="1"/>
  <c r="AZ60" i="1"/>
  <c r="AZ62" i="1"/>
  <c r="AK66" i="1"/>
  <c r="AZ66" i="1"/>
  <c r="AM67" i="1"/>
  <c r="AZ70" i="1"/>
  <c r="AK74" i="1"/>
  <c r="AZ74" i="1"/>
  <c r="AM75" i="1"/>
  <c r="AK79" i="1"/>
  <c r="AZ79" i="1"/>
  <c r="AU87" i="1"/>
  <c r="AK88" i="1"/>
  <c r="AZ95" i="1"/>
  <c r="AK98" i="1"/>
  <c r="AK100" i="1"/>
  <c r="AZ100" i="1"/>
  <c r="AZ102" i="1"/>
  <c r="AK109" i="1"/>
  <c r="AK111" i="1"/>
  <c r="AK115" i="1"/>
  <c r="AZ115" i="1"/>
  <c r="AM116" i="1"/>
  <c r="AZ120" i="1"/>
  <c r="AK125" i="1"/>
  <c r="AK127" i="1"/>
  <c r="AK133" i="1"/>
  <c r="AK146" i="1"/>
  <c r="AZ153" i="1"/>
  <c r="AK160" i="1"/>
  <c r="AK162" i="1"/>
  <c r="AK169" i="1"/>
  <c r="AZ169" i="1"/>
  <c r="AK171" i="1"/>
  <c r="AK191" i="1"/>
  <c r="AZ209" i="1"/>
  <c r="AM256" i="1"/>
  <c r="AH256" i="1"/>
  <c r="AV265" i="1"/>
  <c r="AU265" i="1"/>
  <c r="AT266" i="1"/>
  <c r="AV266" i="1" s="1"/>
  <c r="AR266" i="1"/>
  <c r="AS266" i="1" s="1"/>
  <c r="AT271" i="1"/>
  <c r="AV271" i="1" s="1"/>
  <c r="AR271" i="1"/>
  <c r="AS271" i="1" s="1"/>
  <c r="AK273" i="1"/>
  <c r="AH283" i="1"/>
  <c r="AM283" i="1"/>
  <c r="AM293" i="1"/>
  <c r="AH293" i="1"/>
  <c r="AM324" i="1"/>
  <c r="AH324" i="1"/>
  <c r="AT328" i="1"/>
  <c r="AR328" i="1"/>
  <c r="AS328" i="1" s="1"/>
  <c r="AM348" i="1"/>
  <c r="AH348" i="1"/>
  <c r="AV374" i="1"/>
  <c r="AU374" i="1"/>
  <c r="AK391" i="1"/>
  <c r="AU393" i="1"/>
  <c r="AT400" i="1"/>
  <c r="AV400" i="1" s="1"/>
  <c r="AR400" i="1"/>
  <c r="AS400" i="1" s="1"/>
  <c r="AV401" i="1"/>
  <c r="AU401" i="1"/>
  <c r="AT402" i="1"/>
  <c r="AV402" i="1" s="1"/>
  <c r="AR402" i="1"/>
  <c r="AS402" i="1" s="1"/>
  <c r="AV409" i="1"/>
  <c r="AU409" i="1"/>
  <c r="AR410" i="1"/>
  <c r="AS410" i="1" s="1"/>
  <c r="AT410" i="1"/>
  <c r="AV410" i="1" s="1"/>
  <c r="AZ431" i="1"/>
  <c r="AM435" i="1"/>
  <c r="AH435" i="1"/>
  <c r="AM454" i="1"/>
  <c r="AH454" i="1"/>
  <c r="AV701" i="1"/>
  <c r="AU701" i="1"/>
  <c r="AK3" i="1"/>
  <c r="AK4" i="1"/>
  <c r="AK6" i="1"/>
  <c r="AZ9" i="1"/>
  <c r="AK12" i="1"/>
  <c r="AZ15" i="1"/>
  <c r="AZ19" i="1"/>
  <c r="AM20" i="1"/>
  <c r="AZ21" i="1"/>
  <c r="AK23" i="1"/>
  <c r="AK29" i="1"/>
  <c r="AZ29" i="1"/>
  <c r="AZ39" i="1"/>
  <c r="AH43" i="1"/>
  <c r="AZ43" i="1"/>
  <c r="AM44" i="1"/>
  <c r="AZ45" i="1"/>
  <c r="AK47" i="1"/>
  <c r="AZ47" i="1"/>
  <c r="AH51" i="1"/>
  <c r="AZ51" i="1"/>
  <c r="AZ53" i="1"/>
  <c r="AR55" i="1"/>
  <c r="AS55" i="1" s="1"/>
  <c r="AK56" i="1"/>
  <c r="AM61" i="1"/>
  <c r="AZ64" i="1"/>
  <c r="AZ68" i="1"/>
  <c r="AM69" i="1"/>
  <c r="AZ72" i="1"/>
  <c r="AK77" i="1"/>
  <c r="AK81" i="1"/>
  <c r="AZ81" i="1"/>
  <c r="AZ83" i="1"/>
  <c r="AM84" i="1"/>
  <c r="AZ85" i="1"/>
  <c r="AR89" i="1"/>
  <c r="AS89" i="1" s="1"/>
  <c r="AZ90" i="1"/>
  <c r="AZ92" i="1"/>
  <c r="AM93" i="1"/>
  <c r="AZ94" i="1"/>
  <c r="AM95" i="1"/>
  <c r="AH102" i="1"/>
  <c r="AZ106" i="1"/>
  <c r="AZ113" i="1"/>
  <c r="AK118" i="1"/>
  <c r="AK120" i="1"/>
  <c r="AK122" i="1"/>
  <c r="AZ127" i="1"/>
  <c r="AZ141" i="1"/>
  <c r="AZ143" i="1"/>
  <c r="AK148" i="1"/>
  <c r="AZ148" i="1"/>
  <c r="AM149" i="1"/>
  <c r="AZ150" i="1"/>
  <c r="AR152" i="1"/>
  <c r="AS152" i="1" s="1"/>
  <c r="AK153" i="1"/>
  <c r="AZ157" i="1"/>
  <c r="AZ159" i="1"/>
  <c r="AR161" i="1"/>
  <c r="AS161" i="1" s="1"/>
  <c r="AZ164" i="1"/>
  <c r="AM165" i="1"/>
  <c r="AZ166" i="1"/>
  <c r="AZ171" i="1"/>
  <c r="AU187" i="1"/>
  <c r="AV187" i="1"/>
  <c r="AR188" i="1"/>
  <c r="AS188" i="1" s="1"/>
  <c r="AT188" i="1"/>
  <c r="AU188" i="1" s="1"/>
  <c r="AK193" i="1"/>
  <c r="AK209" i="1"/>
  <c r="AT217" i="1"/>
  <c r="AR217" i="1"/>
  <c r="AS217" i="1" s="1"/>
  <c r="AV289" i="1"/>
  <c r="AU289" i="1"/>
  <c r="AV320" i="1"/>
  <c r="AU320" i="1"/>
  <c r="AV321" i="1"/>
  <c r="AU321" i="1"/>
  <c r="AK339" i="1"/>
  <c r="AK355" i="1"/>
  <c r="AV368" i="1"/>
  <c r="AU368" i="1"/>
  <c r="AV369" i="1"/>
  <c r="AU369" i="1"/>
  <c r="AZ395" i="1"/>
  <c r="AU462" i="1"/>
  <c r="AV462" i="1"/>
  <c r="AZ637" i="1"/>
  <c r="AZ4" i="1"/>
  <c r="AR7" i="1"/>
  <c r="AS7" i="1" s="1"/>
  <c r="AT11" i="1"/>
  <c r="AV11" i="1" s="1"/>
  <c r="AK17" i="1"/>
  <c r="AK19" i="1"/>
  <c r="AK26" i="1"/>
  <c r="AZ26" i="1"/>
  <c r="AK31" i="1"/>
  <c r="AZ31" i="1"/>
  <c r="AH35" i="1"/>
  <c r="AZ35" i="1"/>
  <c r="AZ37" i="1"/>
  <c r="AK41" i="1"/>
  <c r="AK43" i="1"/>
  <c r="AK49" i="1"/>
  <c r="AT50" i="1"/>
  <c r="AK51" i="1"/>
  <c r="AH53" i="1"/>
  <c r="AZ57" i="1"/>
  <c r="AK60" i="1"/>
  <c r="AK62" i="1"/>
  <c r="AR63" i="1"/>
  <c r="AS63" i="1" s="1"/>
  <c r="AK64" i="1"/>
  <c r="AK70" i="1"/>
  <c r="AR71" i="1"/>
  <c r="AS71" i="1" s="1"/>
  <c r="AK72" i="1"/>
  <c r="AZ76" i="1"/>
  <c r="AR78" i="1"/>
  <c r="AS78" i="1" s="1"/>
  <c r="AR80" i="1"/>
  <c r="AS80" i="1" s="1"/>
  <c r="AK83" i="1"/>
  <c r="AH85" i="1"/>
  <c r="AK87" i="1"/>
  <c r="AZ87" i="1"/>
  <c r="AK90" i="1"/>
  <c r="AH92" i="1"/>
  <c r="AH94" i="1"/>
  <c r="AK99" i="1"/>
  <c r="AZ99" i="1"/>
  <c r="AK102" i="1"/>
  <c r="AZ104" i="1"/>
  <c r="AZ108" i="1"/>
  <c r="AR112" i="1"/>
  <c r="AS112" i="1" s="1"/>
  <c r="AK113" i="1"/>
  <c r="AR119" i="1"/>
  <c r="AS119" i="1" s="1"/>
  <c r="AR121" i="1"/>
  <c r="AS121" i="1" s="1"/>
  <c r="AR123" i="1"/>
  <c r="AS123" i="1" s="1"/>
  <c r="AH124" i="1"/>
  <c r="AZ124" i="1"/>
  <c r="AZ126" i="1"/>
  <c r="AZ129" i="1"/>
  <c r="AZ131" i="1"/>
  <c r="AK132" i="1"/>
  <c r="AZ132" i="1"/>
  <c r="AZ134" i="1"/>
  <c r="AH136" i="1"/>
  <c r="AZ136" i="1"/>
  <c r="AZ138" i="1"/>
  <c r="AH141" i="1"/>
  <c r="AH143" i="1"/>
  <c r="AR147" i="1"/>
  <c r="AS147" i="1" s="1"/>
  <c r="AH150" i="1"/>
  <c r="AZ154" i="1"/>
  <c r="AH157" i="1"/>
  <c r="AH159" i="1"/>
  <c r="AK164" i="1"/>
  <c r="AH166" i="1"/>
  <c r="AR170" i="1"/>
  <c r="AS170" i="1" s="1"/>
  <c r="AZ195" i="1"/>
  <c r="AT201" i="1"/>
  <c r="AV201" i="1" s="1"/>
  <c r="AR201" i="1"/>
  <c r="AS201" i="1" s="1"/>
  <c r="AT224" i="1"/>
  <c r="AR224" i="1"/>
  <c r="AS224" i="1" s="1"/>
  <c r="AR237" i="1"/>
  <c r="AS237" i="1" s="1"/>
  <c r="AT237" i="1"/>
  <c r="AU237" i="1" s="1"/>
  <c r="AZ252" i="1"/>
  <c r="AK257" i="1"/>
  <c r="AM264" i="1"/>
  <c r="AH264" i="1"/>
  <c r="AV280" i="1"/>
  <c r="AU280" i="1"/>
  <c r="AR308" i="1"/>
  <c r="AS308" i="1" s="1"/>
  <c r="AT308" i="1"/>
  <c r="AV308" i="1" s="1"/>
  <c r="AK317" i="1"/>
  <c r="AV382" i="1"/>
  <c r="AU382" i="1"/>
  <c r="AK399" i="1"/>
  <c r="AZ403" i="1"/>
  <c r="AV433" i="1"/>
  <c r="AU433" i="1"/>
  <c r="AV464" i="1"/>
  <c r="AU464" i="1"/>
  <c r="BZ144" i="1"/>
  <c r="CA144" i="1" s="1"/>
  <c r="CD144" i="1"/>
  <c r="CE144" i="1" s="1"/>
  <c r="CD120" i="1"/>
  <c r="CE120" i="1" s="1"/>
  <c r="BZ120" i="1"/>
  <c r="CA120" i="1" s="1"/>
  <c r="CD100" i="1"/>
  <c r="CE100" i="1" s="1"/>
  <c r="BZ100" i="1"/>
  <c r="CA100" i="1" s="1"/>
  <c r="BZ2" i="1"/>
  <c r="CA2" i="1" s="1"/>
  <c r="AR5" i="1"/>
  <c r="AS5" i="1" s="1"/>
  <c r="AZ7" i="1"/>
  <c r="AH11" i="1"/>
  <c r="AZ11" i="1"/>
  <c r="AZ13" i="1"/>
  <c r="AK15" i="1"/>
  <c r="AR16" i="1"/>
  <c r="AS16" i="1" s="1"/>
  <c r="AK21" i="1"/>
  <c r="AR22" i="1"/>
  <c r="AS22" i="1" s="1"/>
  <c r="AZ24" i="1"/>
  <c r="AZ28" i="1"/>
  <c r="AK33" i="1"/>
  <c r="AT34" i="1"/>
  <c r="AK35" i="1"/>
  <c r="AH37" i="1"/>
  <c r="AK39" i="1"/>
  <c r="AR40" i="1"/>
  <c r="AS40" i="1" s="1"/>
  <c r="AK45" i="1"/>
  <c r="AR46" i="1"/>
  <c r="AS46" i="1" s="1"/>
  <c r="AR48" i="1"/>
  <c r="AS48" i="1" s="1"/>
  <c r="AK53" i="1"/>
  <c r="AT59" i="1"/>
  <c r="AV59" i="1" s="1"/>
  <c r="AZ65" i="1"/>
  <c r="AK68" i="1"/>
  <c r="AZ73" i="1"/>
  <c r="AZ78" i="1"/>
  <c r="AU80" i="1"/>
  <c r="AR82" i="1"/>
  <c r="AS82" i="1" s="1"/>
  <c r="AK85" i="1"/>
  <c r="AR91" i="1"/>
  <c r="AS91" i="1" s="1"/>
  <c r="AK92" i="1"/>
  <c r="AK94" i="1"/>
  <c r="AK97" i="1"/>
  <c r="AZ97" i="1"/>
  <c r="AR103" i="1"/>
  <c r="AS103" i="1" s="1"/>
  <c r="AK104" i="1"/>
  <c r="AK106" i="1"/>
  <c r="AK108" i="1"/>
  <c r="AZ110" i="1"/>
  <c r="AZ114" i="1"/>
  <c r="AZ117" i="1"/>
  <c r="AZ119" i="1"/>
  <c r="AK124" i="1"/>
  <c r="AK129" i="1"/>
  <c r="AK131" i="1"/>
  <c r="AH134" i="1"/>
  <c r="AK136" i="1"/>
  <c r="AK141" i="1"/>
  <c r="AK143" i="1"/>
  <c r="AZ145" i="1"/>
  <c r="AZ147" i="1"/>
  <c r="AK150" i="1"/>
  <c r="AH152" i="1"/>
  <c r="AZ152" i="1"/>
  <c r="AK157" i="1"/>
  <c r="AK159" i="1"/>
  <c r="AZ161" i="1"/>
  <c r="AK163" i="1"/>
  <c r="AK166" i="1"/>
  <c r="AH168" i="1"/>
  <c r="AZ168" i="1"/>
  <c r="AZ170" i="1"/>
  <c r="AV177" i="1"/>
  <c r="AU177" i="1"/>
  <c r="AT248" i="1"/>
  <c r="AR248" i="1"/>
  <c r="AS248" i="1" s="1"/>
  <c r="AT297" i="1"/>
  <c r="AR297" i="1"/>
  <c r="AS297" i="1" s="1"/>
  <c r="AU299" i="1"/>
  <c r="AV299" i="1"/>
  <c r="AK303" i="1"/>
  <c r="AT315" i="1"/>
  <c r="AR315" i="1"/>
  <c r="AS315" i="1" s="1"/>
  <c r="AT338" i="1"/>
  <c r="AV338" i="1" s="1"/>
  <c r="AR338" i="1"/>
  <c r="AS338" i="1" s="1"/>
  <c r="AK379" i="1"/>
  <c r="AZ413" i="1"/>
  <c r="AK431" i="1"/>
  <c r="AZ433" i="1"/>
  <c r="AT446" i="1"/>
  <c r="AR446" i="1"/>
  <c r="AS446" i="1" s="1"/>
  <c r="AT447" i="1"/>
  <c r="AV447" i="1" s="1"/>
  <c r="AR447" i="1"/>
  <c r="AS447" i="1" s="1"/>
  <c r="AH630" i="1"/>
  <c r="AM630" i="1"/>
  <c r="AR632" i="1"/>
  <c r="AS632" i="1" s="1"/>
  <c r="AT632" i="1"/>
  <c r="BV578" i="1"/>
  <c r="BX578" i="1" s="1"/>
  <c r="BY578" i="1" s="1"/>
  <c r="AK578" i="1"/>
  <c r="AZ578" i="1"/>
  <c r="BV576" i="1"/>
  <c r="BX576" i="1" s="1"/>
  <c r="BY576" i="1" s="1"/>
  <c r="AZ576" i="1"/>
  <c r="AK576" i="1"/>
  <c r="BV574" i="1"/>
  <c r="CF574" i="1" s="1"/>
  <c r="CG574" i="1" s="1"/>
  <c r="AZ574" i="1"/>
  <c r="AK574" i="1"/>
  <c r="BV572" i="1"/>
  <c r="BX572" i="1" s="1"/>
  <c r="BY572" i="1" s="1"/>
  <c r="AK572" i="1"/>
  <c r="AZ572" i="1"/>
  <c r="BV570" i="1"/>
  <c r="CF570" i="1" s="1"/>
  <c r="CG570" i="1" s="1"/>
  <c r="AZ570" i="1"/>
  <c r="AK570" i="1"/>
  <c r="BV568" i="1"/>
  <c r="BX568" i="1" s="1"/>
  <c r="BY568" i="1" s="1"/>
  <c r="AZ568" i="1"/>
  <c r="AK568" i="1"/>
  <c r="BV566" i="1"/>
  <c r="BX566" i="1" s="1"/>
  <c r="BY566" i="1" s="1"/>
  <c r="AZ566" i="1"/>
  <c r="AK566" i="1"/>
  <c r="BV564" i="1"/>
  <c r="BX564" i="1" s="1"/>
  <c r="BY564" i="1" s="1"/>
  <c r="AK564" i="1"/>
  <c r="AZ564" i="1"/>
  <c r="BV562" i="1"/>
  <c r="BX562" i="1" s="1"/>
  <c r="BY562" i="1" s="1"/>
  <c r="AK562" i="1"/>
  <c r="AZ562" i="1"/>
  <c r="BV560" i="1"/>
  <c r="BX560" i="1" s="1"/>
  <c r="BY560" i="1" s="1"/>
  <c r="AK560" i="1"/>
  <c r="AZ560" i="1"/>
  <c r="BV558" i="1"/>
  <c r="CF558" i="1" s="1"/>
  <c r="CG558" i="1" s="1"/>
  <c r="AZ558" i="1"/>
  <c r="AK558" i="1"/>
  <c r="BV556" i="1"/>
  <c r="BX556" i="1" s="1"/>
  <c r="BY556" i="1" s="1"/>
  <c r="AK556" i="1"/>
  <c r="AZ556" i="1"/>
  <c r="BV554" i="1"/>
  <c r="BX554" i="1" s="1"/>
  <c r="BY554" i="1" s="1"/>
  <c r="AZ554" i="1"/>
  <c r="BV552" i="1"/>
  <c r="BX552" i="1" s="1"/>
  <c r="BY552" i="1" s="1"/>
  <c r="AZ552" i="1"/>
  <c r="AK552" i="1"/>
  <c r="BV550" i="1"/>
  <c r="BX550" i="1" s="1"/>
  <c r="BY550" i="1" s="1"/>
  <c r="AZ550" i="1"/>
  <c r="AK550" i="1"/>
  <c r="BV548" i="1"/>
  <c r="AK548" i="1"/>
  <c r="AZ548" i="1"/>
  <c r="BV546" i="1"/>
  <c r="BX546" i="1" s="1"/>
  <c r="BY546" i="1" s="1"/>
  <c r="AZ546" i="1"/>
  <c r="AK546" i="1"/>
  <c r="BV544" i="1"/>
  <c r="CF544" i="1" s="1"/>
  <c r="CG544" i="1" s="1"/>
  <c r="AZ544" i="1"/>
  <c r="AK544" i="1"/>
  <c r="BV542" i="1"/>
  <c r="AZ542" i="1"/>
  <c r="AK542" i="1"/>
  <c r="BV540" i="1"/>
  <c r="BX540" i="1" s="1"/>
  <c r="BY540" i="1" s="1"/>
  <c r="AK540" i="1"/>
  <c r="AZ540" i="1"/>
  <c r="BV538" i="1"/>
  <c r="CF538" i="1" s="1"/>
  <c r="CG538" i="1" s="1"/>
  <c r="AZ538" i="1"/>
  <c r="AK538" i="1"/>
  <c r="BV536" i="1"/>
  <c r="BX536" i="1" s="1"/>
  <c r="BY536" i="1" s="1"/>
  <c r="AK536" i="1"/>
  <c r="AZ536" i="1"/>
  <c r="BV534" i="1"/>
  <c r="CF534" i="1" s="1"/>
  <c r="CG534" i="1" s="1"/>
  <c r="AZ534" i="1"/>
  <c r="AK534" i="1"/>
  <c r="BV532" i="1"/>
  <c r="BX532" i="1" s="1"/>
  <c r="BY532" i="1" s="1"/>
  <c r="AK532" i="1"/>
  <c r="AZ532" i="1"/>
  <c r="BV530" i="1"/>
  <c r="CF530" i="1" s="1"/>
  <c r="CG530" i="1" s="1"/>
  <c r="AZ530" i="1"/>
  <c r="AK530" i="1"/>
  <c r="BV528" i="1"/>
  <c r="BX528" i="1" s="1"/>
  <c r="BY528" i="1" s="1"/>
  <c r="AZ528" i="1"/>
  <c r="AK528" i="1"/>
  <c r="BV526" i="1"/>
  <c r="AZ526" i="1"/>
  <c r="AK526" i="1"/>
  <c r="BV524" i="1"/>
  <c r="BX524" i="1" s="1"/>
  <c r="BY524" i="1" s="1"/>
  <c r="AK524" i="1"/>
  <c r="AZ524" i="1"/>
  <c r="BV522" i="1"/>
  <c r="BX522" i="1" s="1"/>
  <c r="BY522" i="1" s="1"/>
  <c r="AZ522" i="1"/>
  <c r="AK522" i="1"/>
  <c r="BV520" i="1"/>
  <c r="CF520" i="1" s="1"/>
  <c r="CG520" i="1" s="1"/>
  <c r="AK520" i="1"/>
  <c r="AZ520" i="1"/>
  <c r="BV518" i="1"/>
  <c r="BX518" i="1" s="1"/>
  <c r="BY518" i="1" s="1"/>
  <c r="AZ518" i="1"/>
  <c r="AK518" i="1"/>
  <c r="BV516" i="1"/>
  <c r="CF516" i="1" s="1"/>
  <c r="CG516" i="1" s="1"/>
  <c r="AZ516" i="1"/>
  <c r="AK516" i="1"/>
  <c r="BV514" i="1"/>
  <c r="BX514" i="1" s="1"/>
  <c r="BY514" i="1" s="1"/>
  <c r="AZ514" i="1"/>
  <c r="AK514" i="1"/>
  <c r="BV512" i="1"/>
  <c r="BX512" i="1" s="1"/>
  <c r="BY512" i="1" s="1"/>
  <c r="AZ512" i="1"/>
  <c r="AK512" i="1"/>
  <c r="BV510" i="1"/>
  <c r="AK510" i="1"/>
  <c r="AZ510" i="1"/>
  <c r="BV508" i="1"/>
  <c r="BX508" i="1" s="1"/>
  <c r="BY508" i="1" s="1"/>
  <c r="AK508" i="1"/>
  <c r="AZ508" i="1"/>
  <c r="BV506" i="1"/>
  <c r="BX506" i="1" s="1"/>
  <c r="BY506" i="1" s="1"/>
  <c r="AK506" i="1"/>
  <c r="AZ506" i="1"/>
  <c r="BV504" i="1"/>
  <c r="CF504" i="1" s="1"/>
  <c r="CG504" i="1" s="1"/>
  <c r="AK504" i="1"/>
  <c r="BV502" i="1"/>
  <c r="BX502" i="1" s="1"/>
  <c r="BY502" i="1" s="1"/>
  <c r="AZ502" i="1"/>
  <c r="AK502" i="1"/>
  <c r="BV500" i="1"/>
  <c r="BX500" i="1" s="1"/>
  <c r="BY500" i="1" s="1"/>
  <c r="AK500" i="1"/>
  <c r="AZ500" i="1"/>
  <c r="BV498" i="1"/>
  <c r="BX498" i="1" s="1"/>
  <c r="BY498" i="1" s="1"/>
  <c r="AZ498" i="1"/>
  <c r="AK498" i="1"/>
  <c r="BV496" i="1"/>
  <c r="CF496" i="1" s="1"/>
  <c r="CG496" i="1" s="1"/>
  <c r="AZ496" i="1"/>
  <c r="AK496" i="1"/>
  <c r="BV494" i="1"/>
  <c r="BX494" i="1" s="1"/>
  <c r="BY494" i="1" s="1"/>
  <c r="AK494" i="1"/>
  <c r="AZ494" i="1"/>
  <c r="BV492" i="1"/>
  <c r="CF492" i="1" s="1"/>
  <c r="CG492" i="1" s="1"/>
  <c r="AZ492" i="1"/>
  <c r="AK492" i="1"/>
  <c r="BV490" i="1"/>
  <c r="BX490" i="1" s="1"/>
  <c r="BY490" i="1" s="1"/>
  <c r="AK490" i="1"/>
  <c r="AZ490" i="1"/>
  <c r="BV488" i="1"/>
  <c r="AZ488" i="1"/>
  <c r="AK488" i="1"/>
  <c r="BV486" i="1"/>
  <c r="BX486" i="1" s="1"/>
  <c r="BY486" i="1" s="1"/>
  <c r="AZ486" i="1"/>
  <c r="AK486" i="1"/>
  <c r="BV484" i="1"/>
  <c r="BX484" i="1" s="1"/>
  <c r="BY484" i="1" s="1"/>
  <c r="AZ484" i="1"/>
  <c r="AK484" i="1"/>
  <c r="BV482" i="1"/>
  <c r="BX482" i="1" s="1"/>
  <c r="BY482" i="1" s="1"/>
  <c r="AK482" i="1"/>
  <c r="AZ482" i="1"/>
  <c r="BV480" i="1"/>
  <c r="BX480" i="1" s="1"/>
  <c r="BY480" i="1" s="1"/>
  <c r="AZ480" i="1"/>
  <c r="AK480" i="1"/>
  <c r="BV478" i="1"/>
  <c r="BX478" i="1" s="1"/>
  <c r="BY478" i="1" s="1"/>
  <c r="AK478" i="1"/>
  <c r="AZ478" i="1"/>
  <c r="BV476" i="1"/>
  <c r="BX476" i="1" s="1"/>
  <c r="BY476" i="1" s="1"/>
  <c r="AK476" i="1"/>
  <c r="AZ476" i="1"/>
  <c r="BV474" i="1"/>
  <c r="BX474" i="1" s="1"/>
  <c r="BY474" i="1" s="1"/>
  <c r="AZ474" i="1"/>
  <c r="AK474" i="1"/>
  <c r="BV472" i="1"/>
  <c r="CF472" i="1" s="1"/>
  <c r="CG472" i="1" s="1"/>
  <c r="AZ472" i="1"/>
  <c r="AK472" i="1"/>
  <c r="BV470" i="1"/>
  <c r="BX470" i="1" s="1"/>
  <c r="BY470" i="1" s="1"/>
  <c r="AZ470" i="1"/>
  <c r="AK470" i="1"/>
  <c r="BV468" i="1"/>
  <c r="CF468" i="1" s="1"/>
  <c r="CG468" i="1" s="1"/>
  <c r="AZ468" i="1"/>
  <c r="AK468" i="1"/>
  <c r="BV466" i="1"/>
  <c r="BX466" i="1" s="1"/>
  <c r="BY466" i="1" s="1"/>
  <c r="AK466" i="1"/>
  <c r="AZ466" i="1"/>
  <c r="BV464" i="1"/>
  <c r="BX464" i="1" s="1"/>
  <c r="BY464" i="1" s="1"/>
  <c r="AK464" i="1"/>
  <c r="AZ464" i="1"/>
  <c r="BV462" i="1"/>
  <c r="BX462" i="1" s="1"/>
  <c r="BY462" i="1" s="1"/>
  <c r="AZ462" i="1"/>
  <c r="AK462" i="1"/>
  <c r="BV460" i="1"/>
  <c r="BX460" i="1" s="1"/>
  <c r="BY460" i="1" s="1"/>
  <c r="AK460" i="1"/>
  <c r="AZ460" i="1"/>
  <c r="BV458" i="1"/>
  <c r="BX458" i="1" s="1"/>
  <c r="BY458" i="1" s="1"/>
  <c r="AK458" i="1"/>
  <c r="AZ458" i="1"/>
  <c r="BV456" i="1"/>
  <c r="AZ456" i="1"/>
  <c r="BV454" i="1"/>
  <c r="BX454" i="1" s="1"/>
  <c r="BY454" i="1" s="1"/>
  <c r="AZ454" i="1"/>
  <c r="AK454" i="1"/>
  <c r="BV452" i="1"/>
  <c r="CF452" i="1" s="1"/>
  <c r="CG452" i="1" s="1"/>
  <c r="AK452" i="1"/>
  <c r="BV450" i="1"/>
  <c r="BX450" i="1" s="1"/>
  <c r="BY450" i="1" s="1"/>
  <c r="AZ450" i="1"/>
  <c r="BV448" i="1"/>
  <c r="BX448" i="1" s="1"/>
  <c r="BY448" i="1" s="1"/>
  <c r="AZ448" i="1"/>
  <c r="BV446" i="1"/>
  <c r="BX446" i="1" s="1"/>
  <c r="BY446" i="1" s="1"/>
  <c r="AZ446" i="1"/>
  <c r="AK446" i="1"/>
  <c r="BV444" i="1"/>
  <c r="CF444" i="1" s="1"/>
  <c r="CG444" i="1" s="1"/>
  <c r="AZ444" i="1"/>
  <c r="AK444" i="1"/>
  <c r="BV442" i="1"/>
  <c r="BX442" i="1" s="1"/>
  <c r="BY442" i="1" s="1"/>
  <c r="AK442" i="1"/>
  <c r="AZ442" i="1"/>
  <c r="BV440" i="1"/>
  <c r="CF440" i="1" s="1"/>
  <c r="CG440" i="1" s="1"/>
  <c r="AK440" i="1"/>
  <c r="AZ440" i="1"/>
  <c r="BV438" i="1"/>
  <c r="CF438" i="1" s="1"/>
  <c r="CG438" i="1" s="1"/>
  <c r="AZ438" i="1"/>
  <c r="AK438" i="1"/>
  <c r="BV436" i="1"/>
  <c r="CF436" i="1" s="1"/>
  <c r="CG436" i="1" s="1"/>
  <c r="AZ436" i="1"/>
  <c r="AK436" i="1"/>
  <c r="BV434" i="1"/>
  <c r="CF434" i="1" s="1"/>
  <c r="CG434" i="1" s="1"/>
  <c r="AK434" i="1"/>
  <c r="AZ434" i="1"/>
  <c r="BV432" i="1"/>
  <c r="AK432" i="1"/>
  <c r="AZ432" i="1"/>
  <c r="BV430" i="1"/>
  <c r="CF430" i="1" s="1"/>
  <c r="CG430" i="1" s="1"/>
  <c r="AK430" i="1"/>
  <c r="AZ430" i="1"/>
  <c r="BV428" i="1"/>
  <c r="CF428" i="1" s="1"/>
  <c r="CG428" i="1" s="1"/>
  <c r="AK428" i="1"/>
  <c r="AZ428" i="1"/>
  <c r="BV426" i="1"/>
  <c r="BX426" i="1" s="1"/>
  <c r="BY426" i="1" s="1"/>
  <c r="AK426" i="1"/>
  <c r="AZ426" i="1"/>
  <c r="BV424" i="1"/>
  <c r="CF424" i="1" s="1"/>
  <c r="CG424" i="1" s="1"/>
  <c r="AZ424" i="1"/>
  <c r="AK424" i="1"/>
  <c r="BV422" i="1"/>
  <c r="CF422" i="1" s="1"/>
  <c r="CG422" i="1" s="1"/>
  <c r="AZ422" i="1"/>
  <c r="AK422" i="1"/>
  <c r="BV420" i="1"/>
  <c r="BX420" i="1" s="1"/>
  <c r="BY420" i="1" s="1"/>
  <c r="AZ420" i="1"/>
  <c r="AK420" i="1"/>
  <c r="BV418" i="1"/>
  <c r="CF418" i="1" s="1"/>
  <c r="CG418" i="1" s="1"/>
  <c r="AK418" i="1"/>
  <c r="AZ418" i="1"/>
  <c r="BV416" i="1"/>
  <c r="AZ416" i="1"/>
  <c r="AK416" i="1"/>
  <c r="BV414" i="1"/>
  <c r="BX414" i="1" s="1"/>
  <c r="BY414" i="1" s="1"/>
  <c r="AK414" i="1"/>
  <c r="AZ414" i="1"/>
  <c r="BV412" i="1"/>
  <c r="BX412" i="1" s="1"/>
  <c r="BY412" i="1" s="1"/>
  <c r="AK412" i="1"/>
  <c r="AZ412" i="1"/>
  <c r="BV410" i="1"/>
  <c r="CF410" i="1" s="1"/>
  <c r="CG410" i="1" s="1"/>
  <c r="AK410" i="1"/>
  <c r="AZ410" i="1"/>
  <c r="BV408" i="1"/>
  <c r="BX408" i="1" s="1"/>
  <c r="BY408" i="1" s="1"/>
  <c r="AK408" i="1"/>
  <c r="AZ408" i="1"/>
  <c r="BV406" i="1"/>
  <c r="BX406" i="1" s="1"/>
  <c r="BY406" i="1" s="1"/>
  <c r="AK406" i="1"/>
  <c r="AZ406" i="1"/>
  <c r="BV404" i="1"/>
  <c r="CF404" i="1" s="1"/>
  <c r="CG404" i="1" s="1"/>
  <c r="AK404" i="1"/>
  <c r="AZ404" i="1"/>
  <c r="BV402" i="1"/>
  <c r="BX402" i="1" s="1"/>
  <c r="BY402" i="1" s="1"/>
  <c r="AK402" i="1"/>
  <c r="AZ402" i="1"/>
  <c r="BV400" i="1"/>
  <c r="AK400" i="1"/>
  <c r="AZ400" i="1"/>
  <c r="BV398" i="1"/>
  <c r="BX398" i="1" s="1"/>
  <c r="BY398" i="1" s="1"/>
  <c r="AK398" i="1"/>
  <c r="AZ398" i="1"/>
  <c r="BV396" i="1"/>
  <c r="CF396" i="1" s="1"/>
  <c r="CG396" i="1" s="1"/>
  <c r="AK396" i="1"/>
  <c r="AZ396" i="1"/>
  <c r="BV394" i="1"/>
  <c r="BX394" i="1" s="1"/>
  <c r="BY394" i="1" s="1"/>
  <c r="AK394" i="1"/>
  <c r="AZ394" i="1"/>
  <c r="BV392" i="1"/>
  <c r="CF392" i="1" s="1"/>
  <c r="CG392" i="1" s="1"/>
  <c r="AZ392" i="1"/>
  <c r="AK392" i="1"/>
  <c r="BV390" i="1"/>
  <c r="BX390" i="1" s="1"/>
  <c r="BY390" i="1" s="1"/>
  <c r="AZ390" i="1"/>
  <c r="BV388" i="1"/>
  <c r="BX388" i="1" s="1"/>
  <c r="BY388" i="1" s="1"/>
  <c r="AZ388" i="1"/>
  <c r="AK388" i="1"/>
  <c r="BV386" i="1"/>
  <c r="CF386" i="1" s="1"/>
  <c r="CG386" i="1" s="1"/>
  <c r="AK386" i="1"/>
  <c r="AZ386" i="1"/>
  <c r="BV384" i="1"/>
  <c r="CF384" i="1" s="1"/>
  <c r="CG384" i="1" s="1"/>
  <c r="AZ384" i="1"/>
  <c r="AK384" i="1"/>
  <c r="BV382" i="1"/>
  <c r="BX382" i="1" s="1"/>
  <c r="BY382" i="1" s="1"/>
  <c r="AK382" i="1"/>
  <c r="BV380" i="1"/>
  <c r="CF380" i="1" s="1"/>
  <c r="CG380" i="1" s="1"/>
  <c r="AK380" i="1"/>
  <c r="AZ380" i="1"/>
  <c r="BV378" i="1"/>
  <c r="CF378" i="1" s="1"/>
  <c r="CG378" i="1" s="1"/>
  <c r="AK378" i="1"/>
  <c r="AZ378" i="1"/>
  <c r="BV376" i="1"/>
  <c r="BX376" i="1" s="1"/>
  <c r="BY376" i="1" s="1"/>
  <c r="AK376" i="1"/>
  <c r="AZ376" i="1"/>
  <c r="BV374" i="1"/>
  <c r="BX374" i="1" s="1"/>
  <c r="BY374" i="1" s="1"/>
  <c r="AK374" i="1"/>
  <c r="BV372" i="1"/>
  <c r="AK372" i="1"/>
  <c r="AZ372" i="1"/>
  <c r="BV370" i="1"/>
  <c r="CF370" i="1" s="1"/>
  <c r="CG370" i="1" s="1"/>
  <c r="AK370" i="1"/>
  <c r="AZ370" i="1"/>
  <c r="BV368" i="1"/>
  <c r="BX368" i="1" s="1"/>
  <c r="BY368" i="1" s="1"/>
  <c r="AZ368" i="1"/>
  <c r="AK368" i="1"/>
  <c r="BV366" i="1"/>
  <c r="AZ366" i="1"/>
  <c r="AK366" i="1"/>
  <c r="BV364" i="1"/>
  <c r="BX364" i="1" s="1"/>
  <c r="BY364" i="1" s="1"/>
  <c r="AK364" i="1"/>
  <c r="AZ364" i="1"/>
  <c r="BV362" i="1"/>
  <c r="BX362" i="1" s="1"/>
  <c r="BY362" i="1" s="1"/>
  <c r="AK362" i="1"/>
  <c r="AZ362" i="1"/>
  <c r="BV360" i="1"/>
  <c r="AK360" i="1"/>
  <c r="AZ360" i="1"/>
  <c r="BV358" i="1"/>
  <c r="BX358" i="1" s="1"/>
  <c r="BY358" i="1" s="1"/>
  <c r="AZ358" i="1"/>
  <c r="AK358" i="1"/>
  <c r="BV356" i="1"/>
  <c r="BX356" i="1" s="1"/>
  <c r="BY356" i="1" s="1"/>
  <c r="AK356" i="1"/>
  <c r="AZ356" i="1"/>
  <c r="BV354" i="1"/>
  <c r="BX354" i="1" s="1"/>
  <c r="BY354" i="1" s="1"/>
  <c r="AK354" i="1"/>
  <c r="AZ354" i="1"/>
  <c r="BV352" i="1"/>
  <c r="BX352" i="1" s="1"/>
  <c r="BY352" i="1" s="1"/>
  <c r="AK352" i="1"/>
  <c r="AZ352" i="1"/>
  <c r="BV350" i="1"/>
  <c r="AK350" i="1"/>
  <c r="AZ350" i="1"/>
  <c r="BV348" i="1"/>
  <c r="CF348" i="1" s="1"/>
  <c r="CG348" i="1" s="1"/>
  <c r="AK348" i="1"/>
  <c r="AZ348" i="1"/>
  <c r="BV346" i="1"/>
  <c r="BX346" i="1" s="1"/>
  <c r="BY346" i="1" s="1"/>
  <c r="AK346" i="1"/>
  <c r="AZ346" i="1"/>
  <c r="BV344" i="1"/>
  <c r="BX344" i="1" s="1"/>
  <c r="BY344" i="1" s="1"/>
  <c r="AZ344" i="1"/>
  <c r="AK344" i="1"/>
  <c r="BV342" i="1"/>
  <c r="CF342" i="1" s="1"/>
  <c r="CG342" i="1" s="1"/>
  <c r="AK342" i="1"/>
  <c r="AZ342" i="1"/>
  <c r="BV340" i="1"/>
  <c r="BX340" i="1" s="1"/>
  <c r="BY340" i="1" s="1"/>
  <c r="AZ340" i="1"/>
  <c r="AK340" i="1"/>
  <c r="BV338" i="1"/>
  <c r="CF338" i="1" s="1"/>
  <c r="CG338" i="1" s="1"/>
  <c r="AK338" i="1"/>
  <c r="AZ338" i="1"/>
  <c r="BV336" i="1"/>
  <c r="BX336" i="1" s="1"/>
  <c r="BY336" i="1" s="1"/>
  <c r="AZ336" i="1"/>
  <c r="AK336" i="1"/>
  <c r="BV334" i="1"/>
  <c r="CF334" i="1" s="1"/>
  <c r="CG334" i="1" s="1"/>
  <c r="AK334" i="1"/>
  <c r="AZ334" i="1"/>
  <c r="BV332" i="1"/>
  <c r="CF332" i="1" s="1"/>
  <c r="CG332" i="1" s="1"/>
  <c r="AK332" i="1"/>
  <c r="BV330" i="1"/>
  <c r="BX330" i="1" s="1"/>
  <c r="BY330" i="1" s="1"/>
  <c r="AK330" i="1"/>
  <c r="AZ330" i="1"/>
  <c r="BV328" i="1"/>
  <c r="AZ328" i="1"/>
  <c r="AK328" i="1"/>
  <c r="BV326" i="1"/>
  <c r="BX326" i="1" s="1"/>
  <c r="BY326" i="1" s="1"/>
  <c r="AK326" i="1"/>
  <c r="AZ326" i="1"/>
  <c r="BV324" i="1"/>
  <c r="BX324" i="1" s="1"/>
  <c r="BY324" i="1" s="1"/>
  <c r="AK324" i="1"/>
  <c r="AZ324" i="1"/>
  <c r="BV322" i="1"/>
  <c r="CF322" i="1" s="1"/>
  <c r="CG322" i="1" s="1"/>
  <c r="AZ322" i="1"/>
  <c r="BV320" i="1"/>
  <c r="BX320" i="1" s="1"/>
  <c r="BY320" i="1" s="1"/>
  <c r="AZ320" i="1"/>
  <c r="AK320" i="1"/>
  <c r="BV318" i="1"/>
  <c r="BX318" i="1" s="1"/>
  <c r="BY318" i="1" s="1"/>
  <c r="AK318" i="1"/>
  <c r="AZ318" i="1"/>
  <c r="BV316" i="1"/>
  <c r="BX316" i="1" s="1"/>
  <c r="BY316" i="1" s="1"/>
  <c r="AZ316" i="1"/>
  <c r="AK316" i="1"/>
  <c r="BV314" i="1"/>
  <c r="BX314" i="1" s="1"/>
  <c r="BY314" i="1" s="1"/>
  <c r="AZ314" i="1"/>
  <c r="AK314" i="1"/>
  <c r="BV312" i="1"/>
  <c r="CF312" i="1" s="1"/>
  <c r="CG312" i="1" s="1"/>
  <c r="AK312" i="1"/>
  <c r="BV310" i="1"/>
  <c r="BX310" i="1" s="1"/>
  <c r="BY310" i="1" s="1"/>
  <c r="AK310" i="1"/>
  <c r="AZ310" i="1"/>
  <c r="BV308" i="1"/>
  <c r="BX308" i="1" s="1"/>
  <c r="BY308" i="1" s="1"/>
  <c r="AK308" i="1"/>
  <c r="AZ308" i="1"/>
  <c r="BV306" i="1"/>
  <c r="BX306" i="1" s="1"/>
  <c r="BY306" i="1" s="1"/>
  <c r="AZ306" i="1"/>
  <c r="AK306" i="1"/>
  <c r="BV304" i="1"/>
  <c r="BX304" i="1" s="1"/>
  <c r="BY304" i="1" s="1"/>
  <c r="AZ304" i="1"/>
  <c r="AK304" i="1"/>
  <c r="BV302" i="1"/>
  <c r="CF302" i="1" s="1"/>
  <c r="CG302" i="1" s="1"/>
  <c r="AK302" i="1"/>
  <c r="AZ302" i="1"/>
  <c r="BV300" i="1"/>
  <c r="AK300" i="1"/>
  <c r="AZ300" i="1"/>
  <c r="BV298" i="1"/>
  <c r="BX298" i="1" s="1"/>
  <c r="BY298" i="1" s="1"/>
  <c r="AZ298" i="1"/>
  <c r="AK298" i="1"/>
  <c r="BV296" i="1"/>
  <c r="BX296" i="1" s="1"/>
  <c r="BY296" i="1" s="1"/>
  <c r="AK296" i="1"/>
  <c r="AZ296" i="1"/>
  <c r="BV294" i="1"/>
  <c r="BX294" i="1" s="1"/>
  <c r="BY294" i="1" s="1"/>
  <c r="AK294" i="1"/>
  <c r="AZ294" i="1"/>
  <c r="BV292" i="1"/>
  <c r="BX292" i="1" s="1"/>
  <c r="BY292" i="1" s="1"/>
  <c r="AK292" i="1"/>
  <c r="AZ292" i="1"/>
  <c r="BV290" i="1"/>
  <c r="CF290" i="1" s="1"/>
  <c r="CG290" i="1" s="1"/>
  <c r="AK290" i="1"/>
  <c r="BV288" i="1"/>
  <c r="BX288" i="1" s="1"/>
  <c r="BY288" i="1" s="1"/>
  <c r="AK288" i="1"/>
  <c r="BV286" i="1"/>
  <c r="CF286" i="1" s="1"/>
  <c r="CG286" i="1" s="1"/>
  <c r="AZ286" i="1"/>
  <c r="AK286" i="1"/>
  <c r="BV284" i="1"/>
  <c r="AZ284" i="1"/>
  <c r="BV282" i="1"/>
  <c r="AK282" i="1"/>
  <c r="AZ282" i="1"/>
  <c r="BV280" i="1"/>
  <c r="CF280" i="1" s="1"/>
  <c r="CG280" i="1" s="1"/>
  <c r="AZ280" i="1"/>
  <c r="AK280" i="1"/>
  <c r="BV278" i="1"/>
  <c r="CF278" i="1" s="1"/>
  <c r="CG278" i="1" s="1"/>
  <c r="AK278" i="1"/>
  <c r="BV276" i="1"/>
  <c r="AZ276" i="1"/>
  <c r="AK276" i="1"/>
  <c r="BV274" i="1"/>
  <c r="CF274" i="1" s="1"/>
  <c r="CG274" i="1" s="1"/>
  <c r="AK274" i="1"/>
  <c r="AZ274" i="1"/>
  <c r="BV272" i="1"/>
  <c r="AZ272" i="1"/>
  <c r="AK272" i="1"/>
  <c r="BV270" i="1"/>
  <c r="BX270" i="1" s="1"/>
  <c r="BY270" i="1" s="1"/>
  <c r="AZ270" i="1"/>
  <c r="AK270" i="1"/>
  <c r="BV268" i="1"/>
  <c r="CF268" i="1" s="1"/>
  <c r="CG268" i="1" s="1"/>
  <c r="AZ268" i="1"/>
  <c r="BV266" i="1"/>
  <c r="BX266" i="1" s="1"/>
  <c r="BY266" i="1" s="1"/>
  <c r="AK266" i="1"/>
  <c r="AZ266" i="1"/>
  <c r="BV264" i="1"/>
  <c r="CF264" i="1" s="1"/>
  <c r="CG264" i="1" s="1"/>
  <c r="AZ264" i="1"/>
  <c r="AK264" i="1"/>
  <c r="BV262" i="1"/>
  <c r="BX262" i="1" s="1"/>
  <c r="BY262" i="1" s="1"/>
  <c r="AK262" i="1"/>
  <c r="BV260" i="1"/>
  <c r="BX260" i="1" s="1"/>
  <c r="BY260" i="1" s="1"/>
  <c r="AK260" i="1"/>
  <c r="AZ260" i="1"/>
  <c r="BV258" i="1"/>
  <c r="CF258" i="1" s="1"/>
  <c r="CG258" i="1" s="1"/>
  <c r="AK258" i="1"/>
  <c r="AZ258" i="1"/>
  <c r="BV256" i="1"/>
  <c r="CF256" i="1" s="1"/>
  <c r="CG256" i="1" s="1"/>
  <c r="AZ256" i="1"/>
  <c r="AK256" i="1"/>
  <c r="BV254" i="1"/>
  <c r="BX254" i="1" s="1"/>
  <c r="BY254" i="1" s="1"/>
  <c r="AK254" i="1"/>
  <c r="BV250" i="1"/>
  <c r="BX250" i="1" s="1"/>
  <c r="BY250" i="1" s="1"/>
  <c r="AK250" i="1"/>
  <c r="AZ250" i="1"/>
  <c r="BV248" i="1"/>
  <c r="CF248" i="1" s="1"/>
  <c r="CG248" i="1" s="1"/>
  <c r="AZ248" i="1"/>
  <c r="AK248" i="1"/>
  <c r="BV246" i="1"/>
  <c r="CF246" i="1" s="1"/>
  <c r="CG246" i="1" s="1"/>
  <c r="AZ246" i="1"/>
  <c r="AK246" i="1"/>
  <c r="BV244" i="1"/>
  <c r="CF244" i="1" s="1"/>
  <c r="CG244" i="1" s="1"/>
  <c r="AZ244" i="1"/>
  <c r="AK244" i="1"/>
  <c r="BV242" i="1"/>
  <c r="CF242" i="1" s="1"/>
  <c r="CG242" i="1" s="1"/>
  <c r="AZ242" i="1"/>
  <c r="BV240" i="1"/>
  <c r="CF240" i="1" s="1"/>
  <c r="CG240" i="1" s="1"/>
  <c r="AZ240" i="1"/>
  <c r="BV238" i="1"/>
  <c r="CF238" i="1" s="1"/>
  <c r="CG238" i="1" s="1"/>
  <c r="AZ238" i="1"/>
  <c r="BV236" i="1"/>
  <c r="BX236" i="1" s="1"/>
  <c r="BY236" i="1" s="1"/>
  <c r="AZ236" i="1"/>
  <c r="AK236" i="1"/>
  <c r="BV234" i="1"/>
  <c r="CF234" i="1" s="1"/>
  <c r="CG234" i="1" s="1"/>
  <c r="AK234" i="1"/>
  <c r="BV232" i="1"/>
  <c r="BX232" i="1" s="1"/>
  <c r="BY232" i="1" s="1"/>
  <c r="AK232" i="1"/>
  <c r="BV230" i="1"/>
  <c r="CF230" i="1" s="1"/>
  <c r="CG230" i="1" s="1"/>
  <c r="AK230" i="1"/>
  <c r="AZ230" i="1"/>
  <c r="BV228" i="1"/>
  <c r="BX228" i="1" s="1"/>
  <c r="BY228" i="1" s="1"/>
  <c r="AK228" i="1"/>
  <c r="AZ228" i="1"/>
  <c r="BV226" i="1"/>
  <c r="AK226" i="1"/>
  <c r="AZ226" i="1"/>
  <c r="BV224" i="1"/>
  <c r="BX224" i="1" s="1"/>
  <c r="BY224" i="1" s="1"/>
  <c r="AK224" i="1"/>
  <c r="AZ224" i="1"/>
  <c r="BV222" i="1"/>
  <c r="CF222" i="1" s="1"/>
  <c r="CG222" i="1" s="1"/>
  <c r="AK222" i="1"/>
  <c r="AZ222" i="1"/>
  <c r="BV220" i="1"/>
  <c r="BX220" i="1" s="1"/>
  <c r="BY220" i="1" s="1"/>
  <c r="AZ220" i="1"/>
  <c r="AK220" i="1"/>
  <c r="BV218" i="1"/>
  <c r="CF218" i="1" s="1"/>
  <c r="CG218" i="1" s="1"/>
  <c r="AZ218" i="1"/>
  <c r="AK218" i="1"/>
  <c r="BV216" i="1"/>
  <c r="CF216" i="1" s="1"/>
  <c r="CG216" i="1" s="1"/>
  <c r="AZ216" i="1"/>
  <c r="BV214" i="1"/>
  <c r="CF214" i="1" s="1"/>
  <c r="CG214" i="1" s="1"/>
  <c r="AK214" i="1"/>
  <c r="AZ214" i="1"/>
  <c r="BV212" i="1"/>
  <c r="BX212" i="1" s="1"/>
  <c r="BY212" i="1" s="1"/>
  <c r="AK212" i="1"/>
  <c r="AZ212" i="1"/>
  <c r="BV210" i="1"/>
  <c r="CF210" i="1" s="1"/>
  <c r="CG210" i="1" s="1"/>
  <c r="AK210" i="1"/>
  <c r="AZ210" i="1"/>
  <c r="BV208" i="1"/>
  <c r="BX208" i="1" s="1"/>
  <c r="BY208" i="1" s="1"/>
  <c r="AK208" i="1"/>
  <c r="AZ208" i="1"/>
  <c r="BV206" i="1"/>
  <c r="BX206" i="1" s="1"/>
  <c r="BY206" i="1" s="1"/>
  <c r="AK206" i="1"/>
  <c r="AZ206" i="1"/>
  <c r="BV204" i="1"/>
  <c r="AZ204" i="1"/>
  <c r="AK204" i="1"/>
  <c r="BV202" i="1"/>
  <c r="BX202" i="1" s="1"/>
  <c r="BY202" i="1" s="1"/>
  <c r="AZ202" i="1"/>
  <c r="BV200" i="1"/>
  <c r="BX200" i="1" s="1"/>
  <c r="BY200" i="1" s="1"/>
  <c r="AZ200" i="1"/>
  <c r="BV198" i="1"/>
  <c r="BX198" i="1" s="1"/>
  <c r="BY198" i="1" s="1"/>
  <c r="AK198" i="1"/>
  <c r="AZ198" i="1"/>
  <c r="BV196" i="1"/>
  <c r="BX196" i="1" s="1"/>
  <c r="BY196" i="1" s="1"/>
  <c r="AK196" i="1"/>
  <c r="AZ196" i="1"/>
  <c r="BV194" i="1"/>
  <c r="CF194" i="1" s="1"/>
  <c r="CG194" i="1" s="1"/>
  <c r="AK194" i="1"/>
  <c r="AZ194" i="1"/>
  <c r="BV192" i="1"/>
  <c r="BX192" i="1" s="1"/>
  <c r="BY192" i="1" s="1"/>
  <c r="AK192" i="1"/>
  <c r="AZ192" i="1"/>
  <c r="BV190" i="1"/>
  <c r="BX190" i="1" s="1"/>
  <c r="BY190" i="1" s="1"/>
  <c r="AK190" i="1"/>
  <c r="AZ190" i="1"/>
  <c r="BV188" i="1"/>
  <c r="BX188" i="1" s="1"/>
  <c r="BY188" i="1" s="1"/>
  <c r="AZ188" i="1"/>
  <c r="AK188" i="1"/>
  <c r="BV186" i="1"/>
  <c r="CF186" i="1" s="1"/>
  <c r="CG186" i="1" s="1"/>
  <c r="AZ186" i="1"/>
  <c r="AK186" i="1"/>
  <c r="BV184" i="1"/>
  <c r="BX184" i="1" s="1"/>
  <c r="BY184" i="1" s="1"/>
  <c r="AK184" i="1"/>
  <c r="AZ184" i="1"/>
  <c r="BV182" i="1"/>
  <c r="CF182" i="1" s="1"/>
  <c r="CG182" i="1" s="1"/>
  <c r="AK182" i="1"/>
  <c r="AZ182" i="1"/>
  <c r="BV180" i="1"/>
  <c r="AK180" i="1"/>
  <c r="AZ180" i="1"/>
  <c r="BV178" i="1"/>
  <c r="CF178" i="1" s="1"/>
  <c r="CG178" i="1" s="1"/>
  <c r="AZ178" i="1"/>
  <c r="AK178" i="1"/>
  <c r="BV176" i="1"/>
  <c r="AK176" i="1"/>
  <c r="AZ176" i="1"/>
  <c r="BV174" i="1"/>
  <c r="CF174" i="1" s="1"/>
  <c r="CG174" i="1" s="1"/>
  <c r="AK174" i="1"/>
  <c r="AZ174" i="1"/>
  <c r="BV172" i="1"/>
  <c r="BX172" i="1" s="1"/>
  <c r="BY172" i="1" s="1"/>
  <c r="AK172" i="1"/>
  <c r="CF60" i="1"/>
  <c r="CG60" i="1" s="1"/>
  <c r="BX60" i="1"/>
  <c r="BY60" i="1" s="1"/>
  <c r="AK9" i="1"/>
  <c r="AT10" i="1"/>
  <c r="AK11" i="1"/>
  <c r="AK18" i="1"/>
  <c r="AZ18" i="1"/>
  <c r="AZ22" i="1"/>
  <c r="AK24" i="1"/>
  <c r="AM26" i="1"/>
  <c r="AK37" i="1"/>
  <c r="AK42" i="1"/>
  <c r="AZ42" i="1"/>
  <c r="AZ46" i="1"/>
  <c r="AK50" i="1"/>
  <c r="AZ50" i="1"/>
  <c r="AK55" i="1"/>
  <c r="AZ55" i="1"/>
  <c r="AZ59" i="1"/>
  <c r="AK76" i="1"/>
  <c r="AZ80" i="1"/>
  <c r="AK89" i="1"/>
  <c r="AZ89" i="1"/>
  <c r="AR96" i="1"/>
  <c r="AS96" i="1" s="1"/>
  <c r="AM99" i="1"/>
  <c r="AZ101" i="1"/>
  <c r="AR105" i="1"/>
  <c r="AS105" i="1" s="1"/>
  <c r="AR107" i="1"/>
  <c r="AS107" i="1" s="1"/>
  <c r="AH112" i="1"/>
  <c r="AZ112" i="1"/>
  <c r="AH119" i="1"/>
  <c r="AZ121" i="1"/>
  <c r="AK123" i="1"/>
  <c r="AK126" i="1"/>
  <c r="AR128" i="1"/>
  <c r="AS128" i="1" s="1"/>
  <c r="AR130" i="1"/>
  <c r="AS130" i="1" s="1"/>
  <c r="AK134" i="1"/>
  <c r="AR135" i="1"/>
  <c r="AS135" i="1" s="1"/>
  <c r="AR137" i="1"/>
  <c r="AS137" i="1" s="1"/>
  <c r="AT140" i="1"/>
  <c r="AU140" i="1" s="1"/>
  <c r="AR144" i="1"/>
  <c r="AS144" i="1" s="1"/>
  <c r="AK145" i="1"/>
  <c r="AK147" i="1"/>
  <c r="AR151" i="1"/>
  <c r="AS151" i="1" s="1"/>
  <c r="AK152" i="1"/>
  <c r="AT156" i="1"/>
  <c r="AV156" i="1" s="1"/>
  <c r="AK161" i="1"/>
  <c r="AZ163" i="1"/>
  <c r="AR167" i="1"/>
  <c r="AS167" i="1" s="1"/>
  <c r="AK168" i="1"/>
  <c r="AZ172" i="1"/>
  <c r="AT192" i="1"/>
  <c r="AV192" i="1" s="1"/>
  <c r="AR192" i="1"/>
  <c r="AS192" i="1" s="1"/>
  <c r="AK200" i="1"/>
  <c r="AT208" i="1"/>
  <c r="AR208" i="1"/>
  <c r="AS208" i="1" s="1"/>
  <c r="AK227" i="1"/>
  <c r="AT231" i="1"/>
  <c r="AV231" i="1" s="1"/>
  <c r="AR231" i="1"/>
  <c r="AS231" i="1" s="1"/>
  <c r="AK252" i="1"/>
  <c r="AZ254" i="1"/>
  <c r="AK259" i="1"/>
  <c r="AM278" i="1"/>
  <c r="AH278" i="1"/>
  <c r="AU281" i="1"/>
  <c r="AU291" i="1"/>
  <c r="AV291" i="1"/>
  <c r="AZ309" i="1"/>
  <c r="AT323" i="1"/>
  <c r="AR323" i="1"/>
  <c r="AS323" i="1" s="1"/>
  <c r="AM336" i="1"/>
  <c r="AH336" i="1"/>
  <c r="AV377" i="1"/>
  <c r="AU377" i="1"/>
  <c r="AM395" i="1"/>
  <c r="AH395" i="1"/>
  <c r="AZ405" i="1"/>
  <c r="AV424" i="1"/>
  <c r="AU424" i="1"/>
  <c r="AK450" i="1"/>
  <c r="AK456" i="1"/>
  <c r="AR492" i="1"/>
  <c r="AS492" i="1" s="1"/>
  <c r="AT492" i="1"/>
  <c r="AM502" i="1"/>
  <c r="AH502" i="1"/>
  <c r="AZ504" i="1"/>
  <c r="AV505" i="1"/>
  <c r="AU505" i="1"/>
  <c r="AR506" i="1"/>
  <c r="AS506" i="1" s="1"/>
  <c r="AT506" i="1"/>
  <c r="AV506" i="1" s="1"/>
  <c r="AR689" i="1"/>
  <c r="AS689" i="1" s="1"/>
  <c r="AT689" i="1"/>
  <c r="AV689" i="1" s="1"/>
  <c r="AH5" i="1"/>
  <c r="AK7" i="1"/>
  <c r="AR8" i="1"/>
  <c r="AS8" i="1" s="1"/>
  <c r="AK13" i="1"/>
  <c r="AZ16" i="1"/>
  <c r="AZ20" i="1"/>
  <c r="AZ25" i="1"/>
  <c r="AK28" i="1"/>
  <c r="AZ30" i="1"/>
  <c r="AK34" i="1"/>
  <c r="AZ34" i="1"/>
  <c r="AZ40" i="1"/>
  <c r="AZ44" i="1"/>
  <c r="AZ48" i="1"/>
  <c r="AZ52" i="1"/>
  <c r="AU54" i="1"/>
  <c r="AK57" i="1"/>
  <c r="AT58" i="1"/>
  <c r="AK59" i="1"/>
  <c r="AZ61" i="1"/>
  <c r="AK63" i="1"/>
  <c r="AZ63" i="1"/>
  <c r="AZ67" i="1"/>
  <c r="AZ69" i="1"/>
  <c r="AK71" i="1"/>
  <c r="AZ71" i="1"/>
  <c r="AZ75" i="1"/>
  <c r="AK78" i="1"/>
  <c r="AR79" i="1"/>
  <c r="AS79" i="1" s="1"/>
  <c r="AK80" i="1"/>
  <c r="AZ82" i="1"/>
  <c r="AZ84" i="1"/>
  <c r="AZ86" i="1"/>
  <c r="AR88" i="1"/>
  <c r="AS88" i="1" s="1"/>
  <c r="AZ91" i="1"/>
  <c r="AZ93" i="1"/>
  <c r="AR95" i="1"/>
  <c r="AS95" i="1" s="1"/>
  <c r="AZ98" i="1"/>
  <c r="AZ103" i="1"/>
  <c r="AZ107" i="1"/>
  <c r="AK110" i="1"/>
  <c r="AK112" i="1"/>
  <c r="AT116" i="1"/>
  <c r="AU116" i="1" s="1"/>
  <c r="AK117" i="1"/>
  <c r="AK119" i="1"/>
  <c r="AK121" i="1"/>
  <c r="AZ123" i="1"/>
  <c r="AZ130" i="1"/>
  <c r="AM131" i="1"/>
  <c r="AZ135" i="1"/>
  <c r="AK138" i="1"/>
  <c r="AR139" i="1"/>
  <c r="AS139" i="1" s="1"/>
  <c r="AK140" i="1"/>
  <c r="AZ140" i="1"/>
  <c r="AZ142" i="1"/>
  <c r="AR146" i="1"/>
  <c r="AS146" i="1" s="1"/>
  <c r="AZ149" i="1"/>
  <c r="AZ151" i="1"/>
  <c r="AK154" i="1"/>
  <c r="AR155" i="1"/>
  <c r="AS155" i="1" s="1"/>
  <c r="AK156" i="1"/>
  <c r="AZ156" i="1"/>
  <c r="AZ158" i="1"/>
  <c r="AR160" i="1"/>
  <c r="AS160" i="1" s="1"/>
  <c r="AR162" i="1"/>
  <c r="AS162" i="1" s="1"/>
  <c r="AZ165" i="1"/>
  <c r="AZ167" i="1"/>
  <c r="AR169" i="1"/>
  <c r="AS169" i="1" s="1"/>
  <c r="AK170" i="1"/>
  <c r="AZ183" i="1"/>
  <c r="AK211" i="1"/>
  <c r="AT241" i="1"/>
  <c r="AV241" i="1" s="1"/>
  <c r="AR241" i="1"/>
  <c r="AS241" i="1" s="1"/>
  <c r="AH267" i="1"/>
  <c r="AM267" i="1"/>
  <c r="AM272" i="1"/>
  <c r="AH272" i="1"/>
  <c r="AZ293" i="1"/>
  <c r="AK319" i="1"/>
  <c r="AT358" i="1"/>
  <c r="AR358" i="1"/>
  <c r="AS358" i="1" s="1"/>
  <c r="AR372" i="1"/>
  <c r="AS372" i="1" s="1"/>
  <c r="AT372" i="1"/>
  <c r="AU372" i="1" s="1"/>
  <c r="AV392" i="1"/>
  <c r="AU392" i="1"/>
  <c r="AM403" i="1"/>
  <c r="AH403" i="1"/>
  <c r="AZ435" i="1"/>
  <c r="AM685" i="1"/>
  <c r="AH685" i="1"/>
  <c r="AZ3" i="1"/>
  <c r="AK5" i="1"/>
  <c r="AZ5" i="1"/>
  <c r="AR6" i="1"/>
  <c r="AS6" i="1" s="1"/>
  <c r="AK10" i="1"/>
  <c r="AZ10" i="1"/>
  <c r="AZ14" i="1"/>
  <c r="AK16" i="1"/>
  <c r="AK22" i="1"/>
  <c r="AR23" i="1"/>
  <c r="AS23" i="1" s="1"/>
  <c r="AZ32" i="1"/>
  <c r="AZ36" i="1"/>
  <c r="AZ38" i="1"/>
  <c r="AK40" i="1"/>
  <c r="AM42" i="1"/>
  <c r="AK46" i="1"/>
  <c r="AK48" i="1"/>
  <c r="AM50" i="1"/>
  <c r="AK54" i="1"/>
  <c r="AK65" i="1"/>
  <c r="AT66" i="1"/>
  <c r="AK67" i="1"/>
  <c r="AK73" i="1"/>
  <c r="AK75" i="1"/>
  <c r="AK82" i="1"/>
  <c r="AU88" i="1"/>
  <c r="AK91" i="1"/>
  <c r="AH96" i="1"/>
  <c r="AZ96" i="1"/>
  <c r="AK101" i="1"/>
  <c r="AK103" i="1"/>
  <c r="AZ105" i="1"/>
  <c r="AK107" i="1"/>
  <c r="AZ109" i="1"/>
  <c r="AZ111" i="1"/>
  <c r="AK114" i="1"/>
  <c r="AK116" i="1"/>
  <c r="AZ116" i="1"/>
  <c r="AR120" i="1"/>
  <c r="AS120" i="1" s="1"/>
  <c r="AR122" i="1"/>
  <c r="AS122" i="1" s="1"/>
  <c r="AM123" i="1"/>
  <c r="AZ125" i="1"/>
  <c r="AH128" i="1"/>
  <c r="AZ128" i="1"/>
  <c r="AZ133" i="1"/>
  <c r="AZ137" i="1"/>
  <c r="AV139" i="1"/>
  <c r="AH144" i="1"/>
  <c r="AZ144" i="1"/>
  <c r="AZ146" i="1"/>
  <c r="AM147" i="1"/>
  <c r="AV155" i="1"/>
  <c r="AZ162" i="1"/>
  <c r="AH167" i="1"/>
  <c r="AZ173" i="1"/>
  <c r="AU179" i="1"/>
  <c r="AV179" i="1"/>
  <c r="AZ225" i="1"/>
  <c r="AZ232" i="1"/>
  <c r="AU243" i="1"/>
  <c r="AV243" i="1"/>
  <c r="AV257" i="1"/>
  <c r="AU257" i="1"/>
  <c r="AZ262" i="1"/>
  <c r="AU275" i="1"/>
  <c r="AV275" i="1"/>
  <c r="AZ332" i="1"/>
  <c r="AK337" i="1"/>
  <c r="AZ385" i="1"/>
  <c r="AK390" i="1"/>
  <c r="AK411" i="1"/>
  <c r="AM413" i="1"/>
  <c r="AH413" i="1"/>
  <c r="AV414" i="1"/>
  <c r="AT416" i="1"/>
  <c r="AR416" i="1"/>
  <c r="AS416" i="1" s="1"/>
  <c r="AV425" i="1"/>
  <c r="AU425" i="1"/>
  <c r="AU430" i="1"/>
  <c r="AK433" i="1"/>
  <c r="AM439" i="1"/>
  <c r="AH439" i="1"/>
  <c r="AZ559" i="1"/>
  <c r="AZ617" i="1"/>
  <c r="AM195" i="1"/>
  <c r="AU215" i="1"/>
  <c r="AM228" i="1"/>
  <c r="AM230" i="1"/>
  <c r="AM235" i="1"/>
  <c r="AV239" i="1"/>
  <c r="AT256" i="1"/>
  <c r="AM260" i="1"/>
  <c r="AU264" i="1"/>
  <c r="AM275" i="1"/>
  <c r="AM325" i="1"/>
  <c r="AT336" i="1"/>
  <c r="AM340" i="1"/>
  <c r="AM349" i="1"/>
  <c r="AM357" i="1"/>
  <c r="AM364" i="1"/>
  <c r="AT366" i="1"/>
  <c r="AM371" i="1"/>
  <c r="AM398" i="1"/>
  <c r="AU408" i="1"/>
  <c r="AT422" i="1"/>
  <c r="AT438" i="1"/>
  <c r="AV481" i="1"/>
  <c r="AU481" i="1"/>
  <c r="AU606" i="1"/>
  <c r="AV606" i="1"/>
  <c r="AT645" i="1"/>
  <c r="AR645" i="1"/>
  <c r="AS645" i="1" s="1"/>
  <c r="AR843" i="1"/>
  <c r="AS843" i="1" s="1"/>
  <c r="AT843" i="1"/>
  <c r="AU843" i="1" s="1"/>
  <c r="AR179" i="1"/>
  <c r="AS179" i="1" s="1"/>
  <c r="AT180" i="1"/>
  <c r="AV180" i="1" s="1"/>
  <c r="AU185" i="1"/>
  <c r="AR187" i="1"/>
  <c r="AS187" i="1" s="1"/>
  <c r="AH188" i="1"/>
  <c r="AH197" i="1"/>
  <c r="AR210" i="1"/>
  <c r="AS210" i="1" s="1"/>
  <c r="AM211" i="1"/>
  <c r="AM227" i="1"/>
  <c r="AR233" i="1"/>
  <c r="AS233" i="1" s="1"/>
  <c r="AM238" i="1"/>
  <c r="AM252" i="1"/>
  <c r="AR258" i="1"/>
  <c r="AS258" i="1" s="1"/>
  <c r="AM259" i="1"/>
  <c r="AR263" i="1"/>
  <c r="AS263" i="1" s="1"/>
  <c r="AH280" i="1"/>
  <c r="AM284" i="1"/>
  <c r="AR287" i="1"/>
  <c r="AS287" i="1" s="1"/>
  <c r="AR289" i="1"/>
  <c r="AS289" i="1" s="1"/>
  <c r="AR299" i="1"/>
  <c r="AS299" i="1" s="1"/>
  <c r="AT300" i="1"/>
  <c r="AR304" i="1"/>
  <c r="AS304" i="1" s="1"/>
  <c r="AH308" i="1"/>
  <c r="AR313" i="1"/>
  <c r="AS313" i="1" s="1"/>
  <c r="AM317" i="1"/>
  <c r="AR320" i="1"/>
  <c r="AS320" i="1" s="1"/>
  <c r="AH326" i="1"/>
  <c r="AH334" i="1"/>
  <c r="AH342" i="1"/>
  <c r="AH344" i="1"/>
  <c r="AV347" i="1"/>
  <c r="AH350" i="1"/>
  <c r="AM353" i="1"/>
  <c r="AM355" i="1"/>
  <c r="AH358" i="1"/>
  <c r="AH359" i="1"/>
  <c r="AH363" i="1"/>
  <c r="AR369" i="1"/>
  <c r="AS369" i="1" s="1"/>
  <c r="AM379" i="1"/>
  <c r="AT386" i="1"/>
  <c r="AV386" i="1" s="1"/>
  <c r="AM390" i="1"/>
  <c r="AT412" i="1"/>
  <c r="AU412" i="1" s="1"/>
  <c r="AR425" i="1"/>
  <c r="AS425" i="1" s="1"/>
  <c r="AH429" i="1"/>
  <c r="AH460" i="1"/>
  <c r="AT478" i="1"/>
  <c r="AR478" i="1"/>
  <c r="AS478" i="1" s="1"/>
  <c r="AM487" i="1"/>
  <c r="AH487" i="1"/>
  <c r="AU528" i="1"/>
  <c r="AV528" i="1"/>
  <c r="AT534" i="1"/>
  <c r="AR534" i="1"/>
  <c r="AS534" i="1" s="1"/>
  <c r="AU542" i="1"/>
  <c r="AV542" i="1"/>
  <c r="AH550" i="1"/>
  <c r="AM550" i="1"/>
  <c r="AU552" i="1"/>
  <c r="AV552" i="1"/>
  <c r="AU579" i="1"/>
  <c r="AT600" i="1"/>
  <c r="AR600" i="1"/>
  <c r="AS600" i="1" s="1"/>
  <c r="AR640" i="1"/>
  <c r="AS640" i="1" s="1"/>
  <c r="AT640" i="1"/>
  <c r="AU640" i="1" s="1"/>
  <c r="AR656" i="1"/>
  <c r="AS656" i="1" s="1"/>
  <c r="AT656" i="1"/>
  <c r="AU656" i="1" s="1"/>
  <c r="AM665" i="1"/>
  <c r="AH665" i="1"/>
  <c r="AT172" i="1"/>
  <c r="AV172" i="1" s="1"/>
  <c r="AR184" i="1"/>
  <c r="AS184" i="1" s="1"/>
  <c r="AH192" i="1"/>
  <c r="AH208" i="1"/>
  <c r="AR247" i="1"/>
  <c r="AS247" i="1" s="1"/>
  <c r="AH248" i="1"/>
  <c r="AR255" i="1"/>
  <c r="AS255" i="1" s="1"/>
  <c r="AH277" i="1"/>
  <c r="AR282" i="1"/>
  <c r="AS282" i="1" s="1"/>
  <c r="AT292" i="1"/>
  <c r="AV292" i="1" s="1"/>
  <c r="AH328" i="1"/>
  <c r="AR335" i="1"/>
  <c r="AS335" i="1" s="1"/>
  <c r="AR343" i="1"/>
  <c r="AS343" i="1" s="1"/>
  <c r="AU344" i="1"/>
  <c r="AT362" i="1"/>
  <c r="AV362" i="1" s="1"/>
  <c r="AR368" i="1"/>
  <c r="AS368" i="1" s="1"/>
  <c r="AR374" i="1"/>
  <c r="AS374" i="1" s="1"/>
  <c r="AR375" i="1"/>
  <c r="AS375" i="1" s="1"/>
  <c r="AR377" i="1"/>
  <c r="AS377" i="1" s="1"/>
  <c r="AR382" i="1"/>
  <c r="AS382" i="1" s="1"/>
  <c r="AR383" i="1"/>
  <c r="AS383" i="1" s="1"/>
  <c r="AT388" i="1"/>
  <c r="AH389" i="1"/>
  <c r="AT394" i="1"/>
  <c r="AV394" i="1" s="1"/>
  <c r="AH412" i="1"/>
  <c r="AH419" i="1"/>
  <c r="AH428" i="1"/>
  <c r="AH443" i="1"/>
  <c r="AH447" i="1"/>
  <c r="AU454" i="1"/>
  <c r="AH455" i="1"/>
  <c r="AR462" i="1"/>
  <c r="AS462" i="1" s="1"/>
  <c r="AM463" i="1"/>
  <c r="AH463" i="1"/>
  <c r="AR476" i="1"/>
  <c r="AS476" i="1" s="1"/>
  <c r="AT476" i="1"/>
  <c r="AU476" i="1" s="1"/>
  <c r="AT489" i="1"/>
  <c r="AR489" i="1"/>
  <c r="AS489" i="1" s="1"/>
  <c r="AU494" i="1"/>
  <c r="AM500" i="1"/>
  <c r="AH500" i="1"/>
  <c r="AM559" i="1"/>
  <c r="AH559" i="1"/>
  <c r="AV560" i="1"/>
  <c r="AH598" i="1"/>
  <c r="AM598" i="1"/>
  <c r="AV614" i="1"/>
  <c r="AM617" i="1"/>
  <c r="AH617" i="1"/>
  <c r="AM697" i="1"/>
  <c r="AH697" i="1"/>
  <c r="AV702" i="1"/>
  <c r="AU702" i="1"/>
  <c r="AR176" i="1"/>
  <c r="AS176" i="1" s="1"/>
  <c r="AT196" i="1"/>
  <c r="AV196" i="1" s="1"/>
  <c r="AH205" i="1"/>
  <c r="AT205" i="1"/>
  <c r="AU205" i="1" s="1"/>
  <c r="AR207" i="1"/>
  <c r="AS207" i="1" s="1"/>
  <c r="AH212" i="1"/>
  <c r="AM215" i="1"/>
  <c r="AH221" i="1"/>
  <c r="AT221" i="1"/>
  <c r="AU221" i="1" s="1"/>
  <c r="AR223" i="1"/>
  <c r="AS223" i="1" s="1"/>
  <c r="AH236" i="1"/>
  <c r="AT236" i="1"/>
  <c r="AV236" i="1" s="1"/>
  <c r="AM243" i="1"/>
  <c r="AH245" i="1"/>
  <c r="AM251" i="1"/>
  <c r="AR265" i="1"/>
  <c r="AS265" i="1" s="1"/>
  <c r="AH285" i="1"/>
  <c r="AH287" i="1"/>
  <c r="AR291" i="1"/>
  <c r="AS291" i="1" s="1"/>
  <c r="AH292" i="1"/>
  <c r="AR296" i="1"/>
  <c r="AS296" i="1" s="1"/>
  <c r="AH302" i="1"/>
  <c r="AH304" i="1"/>
  <c r="AH320" i="1"/>
  <c r="AM331" i="1"/>
  <c r="AM347" i="1"/>
  <c r="AU375" i="1"/>
  <c r="AT396" i="1"/>
  <c r="AU396" i="1" s="1"/>
  <c r="AR401" i="1"/>
  <c r="AS401" i="1" s="1"/>
  <c r="AR406" i="1"/>
  <c r="AS406" i="1" s="1"/>
  <c r="AR407" i="1"/>
  <c r="AS407" i="1" s="1"/>
  <c r="AR409" i="1"/>
  <c r="AS409" i="1" s="1"/>
  <c r="AR414" i="1"/>
  <c r="AS414" i="1" s="1"/>
  <c r="AR415" i="1"/>
  <c r="AS415" i="1" s="1"/>
  <c r="AR418" i="1"/>
  <c r="AS418" i="1" s="1"/>
  <c r="AH421" i="1"/>
  <c r="AR442" i="1"/>
  <c r="AS442" i="1" s="1"/>
  <c r="AU473" i="1"/>
  <c r="AT479" i="1"/>
  <c r="AR479" i="1"/>
  <c r="AS479" i="1" s="1"/>
  <c r="AV502" i="1"/>
  <c r="AU502" i="1"/>
  <c r="AM513" i="1"/>
  <c r="AH513" i="1"/>
  <c r="AV518" i="1"/>
  <c r="AU536" i="1"/>
  <c r="AV536" i="1"/>
  <c r="AT555" i="1"/>
  <c r="AR555" i="1"/>
  <c r="AS555" i="1" s="1"/>
  <c r="AT611" i="1"/>
  <c r="AR611" i="1"/>
  <c r="AS611" i="1" s="1"/>
  <c r="AT636" i="1"/>
  <c r="AV636" i="1" s="1"/>
  <c r="AR636" i="1"/>
  <c r="AS636" i="1" s="1"/>
  <c r="AH184" i="1"/>
  <c r="AR191" i="1"/>
  <c r="AS191" i="1" s="1"/>
  <c r="AU223" i="1"/>
  <c r="AR240" i="1"/>
  <c r="AS240" i="1" s="1"/>
  <c r="AH255" i="1"/>
  <c r="AR257" i="1"/>
  <c r="AS257" i="1" s="1"/>
  <c r="AT260" i="1"/>
  <c r="AV260" i="1" s="1"/>
  <c r="AR275" i="1"/>
  <c r="AS275" i="1" s="1"/>
  <c r="AT276" i="1"/>
  <c r="AH279" i="1"/>
  <c r="AR303" i="1"/>
  <c r="AS303" i="1" s="1"/>
  <c r="AM315" i="1"/>
  <c r="AR319" i="1"/>
  <c r="AS319" i="1" s="1"/>
  <c r="AR322" i="1"/>
  <c r="AS322" i="1" s="1"/>
  <c r="AH383" i="1"/>
  <c r="AR398" i="1"/>
  <c r="AS398" i="1" s="1"/>
  <c r="AU415" i="1"/>
  <c r="AR430" i="1"/>
  <c r="AS430" i="1" s="1"/>
  <c r="AR431" i="1"/>
  <c r="AS431" i="1" s="1"/>
  <c r="AR433" i="1"/>
  <c r="AS433" i="1" s="1"/>
  <c r="AR448" i="1"/>
  <c r="AS448" i="1" s="1"/>
  <c r="AR450" i="1"/>
  <c r="AS450" i="1" s="1"/>
  <c r="AR456" i="1"/>
  <c r="AS456" i="1" s="1"/>
  <c r="AR468" i="1"/>
  <c r="AS468" i="1" s="1"/>
  <c r="AT468" i="1"/>
  <c r="AT486" i="1"/>
  <c r="AR486" i="1"/>
  <c r="AS486" i="1" s="1"/>
  <c r="AU544" i="1"/>
  <c r="AV544" i="1"/>
  <c r="AT588" i="1"/>
  <c r="AV588" i="1" s="1"/>
  <c r="AR588" i="1"/>
  <c r="AS588" i="1" s="1"/>
  <c r="AM673" i="1"/>
  <c r="AH673" i="1"/>
  <c r="AT708" i="1"/>
  <c r="AV708" i="1" s="1"/>
  <c r="AR708" i="1"/>
  <c r="AS708" i="1" s="1"/>
  <c r="AM179" i="1"/>
  <c r="AR227" i="1"/>
  <c r="AS227" i="1" s="1"/>
  <c r="AR232" i="1"/>
  <c r="AS232" i="1" s="1"/>
  <c r="AR234" i="1"/>
  <c r="AS234" i="1" s="1"/>
  <c r="AR281" i="1"/>
  <c r="AS281" i="1" s="1"/>
  <c r="AT284" i="1"/>
  <c r="AV284" i="1" s="1"/>
  <c r="AR288" i="1"/>
  <c r="AS288" i="1" s="1"/>
  <c r="AH296" i="1"/>
  <c r="AR298" i="1"/>
  <c r="AS298" i="1" s="1"/>
  <c r="AM299" i="1"/>
  <c r="AT355" i="1"/>
  <c r="AV355" i="1" s="1"/>
  <c r="AH407" i="1"/>
  <c r="AH415" i="1"/>
  <c r="AT487" i="1"/>
  <c r="AV487" i="1" s="1"/>
  <c r="AR487" i="1"/>
  <c r="AS487" i="1" s="1"/>
  <c r="AM535" i="1"/>
  <c r="AH535" i="1"/>
  <c r="AT595" i="1"/>
  <c r="AR595" i="1"/>
  <c r="AS595" i="1" s="1"/>
  <c r="AM619" i="1"/>
  <c r="AH619" i="1"/>
  <c r="AH668" i="1"/>
  <c r="AM668" i="1"/>
  <c r="AU688" i="1"/>
  <c r="AV688" i="1"/>
  <c r="AT831" i="1"/>
  <c r="AV831" i="1" s="1"/>
  <c r="AR831" i="1"/>
  <c r="AS831" i="1" s="1"/>
  <c r="AH200" i="1"/>
  <c r="AH216" i="1"/>
  <c r="AU234" i="1"/>
  <c r="AH240" i="1"/>
  <c r="AU312" i="1"/>
  <c r="AH319" i="1"/>
  <c r="AT332" i="1"/>
  <c r="AV332" i="1" s="1"/>
  <c r="AH399" i="1"/>
  <c r="AR423" i="1"/>
  <c r="AS423" i="1" s="1"/>
  <c r="AH431" i="1"/>
  <c r="AU431" i="1"/>
  <c r="AR439" i="1"/>
  <c r="AS439" i="1" s="1"/>
  <c r="AT444" i="1"/>
  <c r="AT452" i="1"/>
  <c r="AU452" i="1" s="1"/>
  <c r="AT463" i="1"/>
  <c r="AR463" i="1"/>
  <c r="AS463" i="1" s="1"/>
  <c r="AM483" i="1"/>
  <c r="AH483" i="1"/>
  <c r="AT512" i="1"/>
  <c r="AR512" i="1"/>
  <c r="AS512" i="1" s="1"/>
  <c r="AT558" i="1"/>
  <c r="AR558" i="1"/>
  <c r="AS558" i="1" s="1"/>
  <c r="AT572" i="1"/>
  <c r="AV572" i="1" s="1"/>
  <c r="AR572" i="1"/>
  <c r="AS572" i="1" s="1"/>
  <c r="AM661" i="1"/>
  <c r="AH661" i="1"/>
  <c r="AV693" i="1"/>
  <c r="AU693" i="1"/>
  <c r="AT694" i="1"/>
  <c r="AR694" i="1"/>
  <c r="AS694" i="1" s="1"/>
  <c r="AT696" i="1"/>
  <c r="AR696" i="1"/>
  <c r="AS696" i="1" s="1"/>
  <c r="AM475" i="1"/>
  <c r="AM494" i="1"/>
  <c r="AM560" i="1"/>
  <c r="AM565" i="1"/>
  <c r="AM582" i="1"/>
  <c r="AT584" i="1"/>
  <c r="AU619" i="1"/>
  <c r="AU652" i="1"/>
  <c r="AM666" i="1"/>
  <c r="AT684" i="1"/>
  <c r="AT733" i="1"/>
  <c r="AR733" i="1"/>
  <c r="AS733" i="1" s="1"/>
  <c r="AV741" i="1"/>
  <c r="AU741" i="1"/>
  <c r="AH744" i="1"/>
  <c r="AM744" i="1"/>
  <c r="AT760" i="1"/>
  <c r="AR760" i="1"/>
  <c r="AS760" i="1" s="1"/>
  <c r="AT772" i="1"/>
  <c r="AV772" i="1" s="1"/>
  <c r="AR772" i="1"/>
  <c r="AS772" i="1" s="1"/>
  <c r="AT803" i="1"/>
  <c r="AR803" i="1"/>
  <c r="AS803" i="1" s="1"/>
  <c r="AT1079" i="1"/>
  <c r="AR1079" i="1"/>
  <c r="AS1079" i="1" s="1"/>
  <c r="AT752" i="1"/>
  <c r="AR752" i="1"/>
  <c r="AS752" i="1" s="1"/>
  <c r="AM770" i="1"/>
  <c r="AH770" i="1"/>
  <c r="AV1041" i="1"/>
  <c r="AU1041" i="1"/>
  <c r="AU511" i="1"/>
  <c r="AU514" i="1"/>
  <c r="AR528" i="1"/>
  <c r="AS528" i="1" s="1"/>
  <c r="AR531" i="1"/>
  <c r="AS531" i="1" s="1"/>
  <c r="AR544" i="1"/>
  <c r="AS544" i="1" s="1"/>
  <c r="AR552" i="1"/>
  <c r="AS552" i="1" s="1"/>
  <c r="AH555" i="1"/>
  <c r="AR563" i="1"/>
  <c r="AS563" i="1" s="1"/>
  <c r="AH568" i="1"/>
  <c r="AH575" i="1"/>
  <c r="AH581" i="1"/>
  <c r="AH592" i="1"/>
  <c r="AH593" i="1"/>
  <c r="AH595" i="1"/>
  <c r="AR604" i="1"/>
  <c r="AS604" i="1" s="1"/>
  <c r="AR606" i="1"/>
  <c r="AS606" i="1" s="1"/>
  <c r="AH607" i="1"/>
  <c r="AH611" i="1"/>
  <c r="AH616" i="1"/>
  <c r="AR622" i="1"/>
  <c r="AS622" i="1" s="1"/>
  <c r="AR627" i="1"/>
  <c r="AS627" i="1" s="1"/>
  <c r="AR644" i="1"/>
  <c r="AS644" i="1" s="1"/>
  <c r="AH645" i="1"/>
  <c r="AH649" i="1"/>
  <c r="AR660" i="1"/>
  <c r="AS660" i="1" s="1"/>
  <c r="AR662" i="1"/>
  <c r="AS662" i="1" s="1"/>
  <c r="AR676" i="1"/>
  <c r="AS676" i="1" s="1"/>
  <c r="AR686" i="1"/>
  <c r="AS686" i="1" s="1"/>
  <c r="AH691" i="1"/>
  <c r="AR693" i="1"/>
  <c r="AS693" i="1" s="1"/>
  <c r="AH699" i="1"/>
  <c r="AR702" i="1"/>
  <c r="AS702" i="1" s="1"/>
  <c r="AH706" i="1"/>
  <c r="AH708" i="1"/>
  <c r="AR710" i="1"/>
  <c r="AS710" i="1" s="1"/>
  <c r="AV717" i="1"/>
  <c r="AU717" i="1"/>
  <c r="AR721" i="1"/>
  <c r="AS721" i="1" s="1"/>
  <c r="AT721" i="1"/>
  <c r="AV721" i="1" s="1"/>
  <c r="AT766" i="1"/>
  <c r="AR766" i="1"/>
  <c r="AS766" i="1" s="1"/>
  <c r="AM785" i="1"/>
  <c r="AH785" i="1"/>
  <c r="AM808" i="1"/>
  <c r="AH808" i="1"/>
  <c r="AT811" i="1"/>
  <c r="AU811" i="1" s="1"/>
  <c r="AR811" i="1"/>
  <c r="AS811" i="1" s="1"/>
  <c r="AH468" i="1"/>
  <c r="AH492" i="1"/>
  <c r="AH503" i="1"/>
  <c r="AR505" i="1"/>
  <c r="AS505" i="1" s="1"/>
  <c r="AM518" i="1"/>
  <c r="AH523" i="1"/>
  <c r="AU523" i="1"/>
  <c r="AM526" i="1"/>
  <c r="AR536" i="1"/>
  <c r="AS536" i="1" s="1"/>
  <c r="AH539" i="1"/>
  <c r="AU539" i="1"/>
  <c r="AM542" i="1"/>
  <c r="AH571" i="1"/>
  <c r="AR574" i="1"/>
  <c r="AS574" i="1" s="1"/>
  <c r="AH583" i="1"/>
  <c r="AM739" i="1"/>
  <c r="AH739" i="1"/>
  <c r="AU773" i="1"/>
  <c r="AV781" i="1"/>
  <c r="AU781" i="1"/>
  <c r="AT789" i="1"/>
  <c r="AR789" i="1"/>
  <c r="AS789" i="1" s="1"/>
  <c r="AT833" i="1"/>
  <c r="AV833" i="1" s="1"/>
  <c r="AR833" i="1"/>
  <c r="AS833" i="1" s="1"/>
  <c r="AR530" i="1"/>
  <c r="AS530" i="1" s="1"/>
  <c r="AM534" i="1"/>
  <c r="AR554" i="1"/>
  <c r="AS554" i="1" s="1"/>
  <c r="AM558" i="1"/>
  <c r="AV568" i="1"/>
  <c r="AR579" i="1"/>
  <c r="AS579" i="1" s="1"/>
  <c r="AV592" i="1"/>
  <c r="AR594" i="1"/>
  <c r="AS594" i="1" s="1"/>
  <c r="AT608" i="1"/>
  <c r="AH609" i="1"/>
  <c r="AR610" i="1"/>
  <c r="AS610" i="1" s="1"/>
  <c r="AT624" i="1"/>
  <c r="AU627" i="1"/>
  <c r="AU644" i="1"/>
  <c r="AM696" i="1"/>
  <c r="AU712" i="1"/>
  <c r="AV712" i="1"/>
  <c r="AM761" i="1"/>
  <c r="AH761" i="1"/>
  <c r="AV782" i="1"/>
  <c r="AU782" i="1"/>
  <c r="AR813" i="1"/>
  <c r="AS813" i="1" s="1"/>
  <c r="AT813" i="1"/>
  <c r="AR846" i="1"/>
  <c r="AS846" i="1" s="1"/>
  <c r="AT846" i="1"/>
  <c r="AV1033" i="1"/>
  <c r="AU1033" i="1"/>
  <c r="AR464" i="1"/>
  <c r="AS464" i="1" s="1"/>
  <c r="AR471" i="1"/>
  <c r="AS471" i="1" s="1"/>
  <c r="AT484" i="1"/>
  <c r="AU484" i="1" s="1"/>
  <c r="AR504" i="1"/>
  <c r="AS504" i="1" s="1"/>
  <c r="AR548" i="1"/>
  <c r="AS548" i="1" s="1"/>
  <c r="AH561" i="1"/>
  <c r="AR570" i="1"/>
  <c r="AS570" i="1" s="1"/>
  <c r="AH599" i="1"/>
  <c r="AR669" i="1"/>
  <c r="AS669" i="1" s="1"/>
  <c r="AM753" i="1"/>
  <c r="AH753" i="1"/>
  <c r="AV795" i="1"/>
  <c r="AU795" i="1"/>
  <c r="AH495" i="1"/>
  <c r="AU495" i="1"/>
  <c r="AR562" i="1"/>
  <c r="AS562" i="1" s="1"/>
  <c r="AH577" i="1"/>
  <c r="AH579" i="1"/>
  <c r="AM606" i="1"/>
  <c r="AR619" i="1"/>
  <c r="AS619" i="1" s="1"/>
  <c r="AM622" i="1"/>
  <c r="AR626" i="1"/>
  <c r="AS626" i="1" s="1"/>
  <c r="AH637" i="1"/>
  <c r="AR652" i="1"/>
  <c r="AS652" i="1" s="1"/>
  <c r="AH653" i="1"/>
  <c r="AU653" i="1"/>
  <c r="AR661" i="1"/>
  <c r="AS661" i="1" s="1"/>
  <c r="AR663" i="1"/>
  <c r="AS663" i="1" s="1"/>
  <c r="AR685" i="1"/>
  <c r="AS685" i="1" s="1"/>
  <c r="AH701" i="1"/>
  <c r="AH709" i="1"/>
  <c r="AV725" i="1"/>
  <c r="AU725" i="1"/>
  <c r="AT726" i="1"/>
  <c r="AR726" i="1"/>
  <c r="AS726" i="1" s="1"/>
  <c r="AU728" i="1"/>
  <c r="AV728" i="1"/>
  <c r="AR729" i="1"/>
  <c r="AS729" i="1" s="1"/>
  <c r="AT729" i="1"/>
  <c r="AU729" i="1" s="1"/>
  <c r="AU744" i="1"/>
  <c r="AV744" i="1"/>
  <c r="AV749" i="1"/>
  <c r="AU749" i="1"/>
  <c r="AV750" i="1"/>
  <c r="AU750" i="1"/>
  <c r="AU776" i="1"/>
  <c r="AV776" i="1"/>
  <c r="AT784" i="1"/>
  <c r="AR784" i="1"/>
  <c r="AS784" i="1" s="1"/>
  <c r="AM720" i="1"/>
  <c r="AR727" i="1"/>
  <c r="AS727" i="1" s="1"/>
  <c r="AM728" i="1"/>
  <c r="AM731" i="1"/>
  <c r="AH737" i="1"/>
  <c r="AT737" i="1"/>
  <c r="AV737" i="1" s="1"/>
  <c r="AM747" i="1"/>
  <c r="AR748" i="1"/>
  <c r="AS748" i="1" s="1"/>
  <c r="AM755" i="1"/>
  <c r="AR764" i="1"/>
  <c r="AS764" i="1" s="1"/>
  <c r="AR767" i="1"/>
  <c r="AS767" i="1" s="1"/>
  <c r="AM777" i="1"/>
  <c r="AM787" i="1"/>
  <c r="AM807" i="1"/>
  <c r="AM822" i="1"/>
  <c r="AR823" i="1"/>
  <c r="AS823" i="1" s="1"/>
  <c r="AR825" i="1"/>
  <c r="AS825" i="1" s="1"/>
  <c r="AR827" i="1"/>
  <c r="AS827" i="1" s="1"/>
  <c r="AM838" i="1"/>
  <c r="AM848" i="1"/>
  <c r="AH848" i="1"/>
  <c r="AH856" i="1"/>
  <c r="AM856" i="1"/>
  <c r="AM862" i="1"/>
  <c r="AH862" i="1"/>
  <c r="AT975" i="1"/>
  <c r="AR975" i="1"/>
  <c r="AS975" i="1" s="1"/>
  <c r="AT989" i="1"/>
  <c r="AU989" i="1" s="1"/>
  <c r="AR989" i="1"/>
  <c r="AS989" i="1" s="1"/>
  <c r="AT1123" i="1"/>
  <c r="AV1123" i="1" s="1"/>
  <c r="AR1123" i="1"/>
  <c r="AS1123" i="1" s="1"/>
  <c r="CD63" i="1"/>
  <c r="CE63" i="1" s="1"/>
  <c r="AM712" i="1"/>
  <c r="AM715" i="1"/>
  <c r="AM723" i="1"/>
  <c r="AH730" i="1"/>
  <c r="AH754" i="1"/>
  <c r="AM769" i="1"/>
  <c r="AH773" i="1"/>
  <c r="AM776" i="1"/>
  <c r="AM779" i="1"/>
  <c r="AH788" i="1"/>
  <c r="AT793" i="1"/>
  <c r="AV793" i="1" s="1"/>
  <c r="AM800" i="1"/>
  <c r="AM805" i="1"/>
  <c r="AU816" i="1"/>
  <c r="AM824" i="1"/>
  <c r="AH828" i="1"/>
  <c r="AH837" i="1"/>
  <c r="AM837" i="1"/>
  <c r="AU851" i="1"/>
  <c r="AV851" i="1"/>
  <c r="AH869" i="1"/>
  <c r="AM869" i="1"/>
  <c r="AR901" i="1"/>
  <c r="AS901" i="1" s="1"/>
  <c r="AT901" i="1"/>
  <c r="AT916" i="1"/>
  <c r="AV916" i="1" s="1"/>
  <c r="AR916" i="1"/>
  <c r="AS916" i="1" s="1"/>
  <c r="AV922" i="1"/>
  <c r="AU922" i="1"/>
  <c r="AT930" i="1"/>
  <c r="AR930" i="1"/>
  <c r="AS930" i="1" s="1"/>
  <c r="AH1043" i="1"/>
  <c r="AM1043" i="1"/>
  <c r="CD180" i="1"/>
  <c r="CE180" i="1" s="1"/>
  <c r="BZ364" i="1"/>
  <c r="CA364" i="1" s="1"/>
  <c r="AT753" i="1"/>
  <c r="AV753" i="1" s="1"/>
  <c r="AT761" i="1"/>
  <c r="AU761" i="1" s="1"/>
  <c r="AT785" i="1"/>
  <c r="AU785" i="1" s="1"/>
  <c r="AM797" i="1"/>
  <c r="AH835" i="1"/>
  <c r="AM835" i="1"/>
  <c r="AT873" i="1"/>
  <c r="AV873" i="1" s="1"/>
  <c r="AR873" i="1"/>
  <c r="AS873" i="1" s="1"/>
  <c r="AH893" i="1"/>
  <c r="AM893" i="1"/>
  <c r="AR902" i="1"/>
  <c r="AS902" i="1" s="1"/>
  <c r="AT902" i="1"/>
  <c r="AV902" i="1" s="1"/>
  <c r="AU925" i="1"/>
  <c r="AV925" i="1"/>
  <c r="AM1142" i="1"/>
  <c r="AH1142" i="1"/>
  <c r="AT713" i="1"/>
  <c r="AV713" i="1" s="1"/>
  <c r="AR728" i="1"/>
  <c r="AS728" i="1" s="1"/>
  <c r="AH729" i="1"/>
  <c r="AM736" i="1"/>
  <c r="AH741" i="1"/>
  <c r="AR749" i="1"/>
  <c r="AS749" i="1" s="1"/>
  <c r="AV866" i="1"/>
  <c r="AU866" i="1"/>
  <c r="AR926" i="1"/>
  <c r="AS926" i="1" s="1"/>
  <c r="AT926" i="1"/>
  <c r="AU926" i="1" s="1"/>
  <c r="AR725" i="1"/>
  <c r="AS725" i="1" s="1"/>
  <c r="AR740" i="1"/>
  <c r="AS740" i="1" s="1"/>
  <c r="AR743" i="1"/>
  <c r="AS743" i="1" s="1"/>
  <c r="AT769" i="1"/>
  <c r="AV769" i="1" s="1"/>
  <c r="AH772" i="1"/>
  <c r="AR776" i="1"/>
  <c r="AS776" i="1" s="1"/>
  <c r="AH789" i="1"/>
  <c r="AH796" i="1"/>
  <c r="AV800" i="1"/>
  <c r="AH820" i="1"/>
  <c r="AU824" i="1"/>
  <c r="AM895" i="1"/>
  <c r="AH895" i="1"/>
  <c r="AT907" i="1"/>
  <c r="AR907" i="1"/>
  <c r="AS907" i="1" s="1"/>
  <c r="AH1040" i="1"/>
  <c r="AM1040" i="1"/>
  <c r="AT1055" i="1"/>
  <c r="AR1055" i="1"/>
  <c r="AS1055" i="1" s="1"/>
  <c r="AV1063" i="1"/>
  <c r="AU1063" i="1"/>
  <c r="BZ109" i="1"/>
  <c r="CA109" i="1" s="1"/>
  <c r="AR732" i="1"/>
  <c r="AS732" i="1" s="1"/>
  <c r="AH749" i="1"/>
  <c r="AH757" i="1"/>
  <c r="AR759" i="1"/>
  <c r="AS759" i="1" s="1"/>
  <c r="AR791" i="1"/>
  <c r="AS791" i="1" s="1"/>
  <c r="AM792" i="1"/>
  <c r="AM795" i="1"/>
  <c r="AR799" i="1"/>
  <c r="AS799" i="1" s="1"/>
  <c r="AR802" i="1"/>
  <c r="AS802" i="1" s="1"/>
  <c r="AV819" i="1"/>
  <c r="AT821" i="1"/>
  <c r="AM829" i="1"/>
  <c r="AU853" i="1"/>
  <c r="AV853" i="1"/>
  <c r="AT857" i="1"/>
  <c r="AR857" i="1"/>
  <c r="AS857" i="1" s="1"/>
  <c r="AV875" i="1"/>
  <c r="AU875" i="1"/>
  <c r="AM887" i="1"/>
  <c r="AH887" i="1"/>
  <c r="AV890" i="1"/>
  <c r="AU890" i="1"/>
  <c r="AV898" i="1"/>
  <c r="AU898" i="1"/>
  <c r="AR909" i="1"/>
  <c r="AS909" i="1" s="1"/>
  <c r="AT909" i="1"/>
  <c r="AH917" i="1"/>
  <c r="AM917" i="1"/>
  <c r="AV938" i="1"/>
  <c r="AT957" i="1"/>
  <c r="AU957" i="1" s="1"/>
  <c r="AR957" i="1"/>
  <c r="AS957" i="1" s="1"/>
  <c r="AM982" i="1"/>
  <c r="AH982" i="1"/>
  <c r="AM996" i="1"/>
  <c r="AH996" i="1"/>
  <c r="AV1064" i="1"/>
  <c r="AU1064" i="1"/>
  <c r="AR716" i="1"/>
  <c r="AS716" i="1" s="1"/>
  <c r="AH725" i="1"/>
  <c r="AH740" i="1"/>
  <c r="AM752" i="1"/>
  <c r="AM760" i="1"/>
  <c r="AM784" i="1"/>
  <c r="AM836" i="1"/>
  <c r="AH836" i="1"/>
  <c r="AU845" i="1"/>
  <c r="AV845" i="1"/>
  <c r="AM1005" i="1"/>
  <c r="AH1005" i="1"/>
  <c r="AM872" i="1"/>
  <c r="AM879" i="1"/>
  <c r="AM911" i="1"/>
  <c r="AM939" i="1"/>
  <c r="AU950" i="1"/>
  <c r="AM971" i="1"/>
  <c r="AM974" i="1"/>
  <c r="AM980" i="1"/>
  <c r="AM1006" i="1"/>
  <c r="AM1046" i="1"/>
  <c r="AM1068" i="1"/>
  <c r="AM1090" i="1"/>
  <c r="AM1101" i="1"/>
  <c r="AH1101" i="1"/>
  <c r="AT1104" i="1"/>
  <c r="AR1104" i="1"/>
  <c r="AS1104" i="1" s="1"/>
  <c r="AM1115" i="1"/>
  <c r="AH1115" i="1"/>
  <c r="CF72" i="1"/>
  <c r="CG72" i="1" s="1"/>
  <c r="AR851" i="1"/>
  <c r="AS851" i="1" s="1"/>
  <c r="AM853" i="1"/>
  <c r="AH858" i="1"/>
  <c r="AR866" i="1"/>
  <c r="AS866" i="1" s="1"/>
  <c r="AR875" i="1"/>
  <c r="AS875" i="1" s="1"/>
  <c r="AM878" i="1"/>
  <c r="AM885" i="1"/>
  <c r="AR890" i="1"/>
  <c r="AS890" i="1" s="1"/>
  <c r="AR899" i="1"/>
  <c r="AS899" i="1" s="1"/>
  <c r="AU914" i="1"/>
  <c r="AM918" i="1"/>
  <c r="AR921" i="1"/>
  <c r="AS921" i="1" s="1"/>
  <c r="AR923" i="1"/>
  <c r="AS923" i="1" s="1"/>
  <c r="AR925" i="1"/>
  <c r="AS925" i="1" s="1"/>
  <c r="AM927" i="1"/>
  <c r="AR932" i="1"/>
  <c r="AS932" i="1" s="1"/>
  <c r="AM933" i="1"/>
  <c r="AM936" i="1"/>
  <c r="AU937" i="1"/>
  <c r="AH943" i="1"/>
  <c r="AM948" i="1"/>
  <c r="AR949" i="1"/>
  <c r="AS949" i="1" s="1"/>
  <c r="AM955" i="1"/>
  <c r="AM958" i="1"/>
  <c r="AM963" i="1"/>
  <c r="AM966" i="1"/>
  <c r="AM987" i="1"/>
  <c r="AR993" i="1"/>
  <c r="AS993" i="1" s="1"/>
  <c r="AM1001" i="1"/>
  <c r="AR1009" i="1"/>
  <c r="AS1009" i="1" s="1"/>
  <c r="AM1014" i="1"/>
  <c r="AM1022" i="1"/>
  <c r="AR1025" i="1"/>
  <c r="AS1025" i="1" s="1"/>
  <c r="AM1029" i="1"/>
  <c r="AH1031" i="1"/>
  <c r="AM1036" i="1"/>
  <c r="AM1038" i="1"/>
  <c r="AM1048" i="1"/>
  <c r="AM1051" i="1"/>
  <c r="AH1060" i="1"/>
  <c r="AH1062" i="1"/>
  <c r="AR1064" i="1"/>
  <c r="AS1064" i="1" s="1"/>
  <c r="AT1066" i="1"/>
  <c r="AU1066" i="1" s="1"/>
  <c r="AH1069" i="1"/>
  <c r="AT1074" i="1"/>
  <c r="AU1074" i="1" s="1"/>
  <c r="AH1077" i="1"/>
  <c r="AT1081" i="1"/>
  <c r="AU1081" i="1" s="1"/>
  <c r="AM1082" i="1"/>
  <c r="AM1084" i="1"/>
  <c r="AR1087" i="1"/>
  <c r="AS1087" i="1" s="1"/>
  <c r="AT1091" i="1"/>
  <c r="AV1091" i="1" s="1"/>
  <c r="AR1098" i="1"/>
  <c r="AS1098" i="1" s="1"/>
  <c r="AT1098" i="1"/>
  <c r="AR1124" i="1"/>
  <c r="AS1124" i="1" s="1"/>
  <c r="AT1124" i="1"/>
  <c r="AU1124" i="1" s="1"/>
  <c r="AM1134" i="1"/>
  <c r="AH1134" i="1"/>
  <c r="AT1153" i="1"/>
  <c r="AT1169" i="1"/>
  <c r="AV1169" i="1" s="1"/>
  <c r="AR1169" i="1"/>
  <c r="AS1169" i="1" s="1"/>
  <c r="AT1177" i="1"/>
  <c r="AR1177" i="1"/>
  <c r="AS1177" i="1" s="1"/>
  <c r="AV1191" i="1"/>
  <c r="AU1191" i="1"/>
  <c r="CD16" i="1"/>
  <c r="CE16" i="1" s="1"/>
  <c r="BZ76" i="1"/>
  <c r="CA76" i="1" s="1"/>
  <c r="AT886" i="1"/>
  <c r="AU1087" i="1"/>
  <c r="AR1106" i="1"/>
  <c r="AS1106" i="1" s="1"/>
  <c r="AT1106" i="1"/>
  <c r="AU1106" i="1" s="1"/>
  <c r="AT1112" i="1"/>
  <c r="AV1112" i="1" s="1"/>
  <c r="AR1112" i="1"/>
  <c r="AS1112" i="1" s="1"/>
  <c r="AM1126" i="1"/>
  <c r="AH1126" i="1"/>
  <c r="AT1161" i="1"/>
  <c r="AV1161" i="1" s="1"/>
  <c r="AR1161" i="1"/>
  <c r="AS1161" i="1" s="1"/>
  <c r="AT1171" i="1"/>
  <c r="AV1171" i="1" s="1"/>
  <c r="AR1171" i="1"/>
  <c r="AS1171" i="1" s="1"/>
  <c r="CD84" i="1"/>
  <c r="CE84" i="1" s="1"/>
  <c r="BX84" i="1"/>
  <c r="BY84" i="1" s="1"/>
  <c r="CD104" i="1"/>
  <c r="CE104" i="1" s="1"/>
  <c r="CD132" i="1"/>
  <c r="CE132" i="1" s="1"/>
  <c r="CD172" i="1"/>
  <c r="CE172" i="1" s="1"/>
  <c r="CD287" i="1"/>
  <c r="CE287" i="1" s="1"/>
  <c r="AH949" i="1"/>
  <c r="AT956" i="1"/>
  <c r="AH988" i="1"/>
  <c r="AU1009" i="1"/>
  <c r="AH1052" i="1"/>
  <c r="AH1054" i="1"/>
  <c r="AR1057" i="1"/>
  <c r="AS1057" i="1" s="1"/>
  <c r="AM1058" i="1"/>
  <c r="AR1063" i="1"/>
  <c r="AS1063" i="1" s="1"/>
  <c r="AR1070" i="1"/>
  <c r="AS1070" i="1" s="1"/>
  <c r="AH1091" i="1"/>
  <c r="AM1109" i="1"/>
  <c r="AH1109" i="1"/>
  <c r="AV1146" i="1"/>
  <c r="AU1146" i="1"/>
  <c r="AM1157" i="1"/>
  <c r="AH1157" i="1"/>
  <c r="AM1168" i="1"/>
  <c r="AH1168" i="1"/>
  <c r="AM1182" i="1"/>
  <c r="AH1182" i="1"/>
  <c r="BZ8" i="1"/>
  <c r="CA8" i="1" s="1"/>
  <c r="CD28" i="1"/>
  <c r="CE28" i="1" s="1"/>
  <c r="BZ148" i="1"/>
  <c r="CA148" i="1" s="1"/>
  <c r="AR1046" i="1"/>
  <c r="AS1046" i="1" s="1"/>
  <c r="AH1047" i="1"/>
  <c r="AH1049" i="1"/>
  <c r="AT1119" i="1"/>
  <c r="AV1119" i="1" s="1"/>
  <c r="AR1119" i="1"/>
  <c r="AS1119" i="1" s="1"/>
  <c r="AT1129" i="1"/>
  <c r="AV1129" i="1" s="1"/>
  <c r="AR1129" i="1"/>
  <c r="AS1129" i="1" s="1"/>
  <c r="AM1140" i="1"/>
  <c r="AH1140" i="1"/>
  <c r="BZ64" i="1"/>
  <c r="CA64" i="1" s="1"/>
  <c r="CD83" i="1"/>
  <c r="CE83" i="1" s="1"/>
  <c r="CF112" i="1"/>
  <c r="CG112" i="1" s="1"/>
  <c r="AU859" i="1"/>
  <c r="AR865" i="1"/>
  <c r="AS865" i="1" s="1"/>
  <c r="AM877" i="1"/>
  <c r="AR882" i="1"/>
  <c r="AS882" i="1" s="1"/>
  <c r="AU883" i="1"/>
  <c r="AR889" i="1"/>
  <c r="AS889" i="1" s="1"/>
  <c r="AH913" i="1"/>
  <c r="AT918" i="1"/>
  <c r="AU918" i="1" s="1"/>
  <c r="AR924" i="1"/>
  <c r="AS924" i="1" s="1"/>
  <c r="AM925" i="1"/>
  <c r="AR931" i="1"/>
  <c r="AS931" i="1" s="1"/>
  <c r="AT933" i="1"/>
  <c r="AR938" i="1"/>
  <c r="AS938" i="1" s="1"/>
  <c r="AV955" i="1"/>
  <c r="AR958" i="1"/>
  <c r="AS958" i="1" s="1"/>
  <c r="AV963" i="1"/>
  <c r="AR966" i="1"/>
  <c r="AS966" i="1" s="1"/>
  <c r="AR997" i="1"/>
  <c r="AS997" i="1" s="1"/>
  <c r="AR999" i="1"/>
  <c r="AS999" i="1" s="1"/>
  <c r="AR1001" i="1"/>
  <c r="AS1001" i="1" s="1"/>
  <c r="AU1008" i="1"/>
  <c r="AH1011" i="1"/>
  <c r="AH1023" i="1"/>
  <c r="AR1024" i="1"/>
  <c r="AS1024" i="1" s="1"/>
  <c r="AH1027" i="1"/>
  <c r="AR1034" i="1"/>
  <c r="AS1034" i="1" s="1"/>
  <c r="AH1039" i="1"/>
  <c r="AR1048" i="1"/>
  <c r="AS1048" i="1" s="1"/>
  <c r="AM1066" i="1"/>
  <c r="AM1074" i="1"/>
  <c r="AR1080" i="1"/>
  <c r="AS1080" i="1" s="1"/>
  <c r="AR1088" i="1"/>
  <c r="AS1088" i="1" s="1"/>
  <c r="AV1137" i="1"/>
  <c r="AU1137" i="1"/>
  <c r="AM1150" i="1"/>
  <c r="AH1150" i="1"/>
  <c r="AV1193" i="1"/>
  <c r="AU1193" i="1"/>
  <c r="BX77" i="1"/>
  <c r="BY77" i="1" s="1"/>
  <c r="BZ278" i="1"/>
  <c r="CA278" i="1" s="1"/>
  <c r="AT863" i="1"/>
  <c r="AU865" i="1"/>
  <c r="AT869" i="1"/>
  <c r="AU869" i="1" s="1"/>
  <c r="AT878" i="1"/>
  <c r="AV878" i="1" s="1"/>
  <c r="AR905" i="1"/>
  <c r="AS905" i="1" s="1"/>
  <c r="AT910" i="1"/>
  <c r="AU910" i="1" s="1"/>
  <c r="AH929" i="1"/>
  <c r="AH946" i="1"/>
  <c r="AR950" i="1"/>
  <c r="AS950" i="1" s="1"/>
  <c r="AH978" i="1"/>
  <c r="AM985" i="1"/>
  <c r="AR990" i="1"/>
  <c r="AS990" i="1" s="1"/>
  <c r="AH1015" i="1"/>
  <c r="AR1016" i="1"/>
  <c r="AS1016" i="1" s="1"/>
  <c r="AM1020" i="1"/>
  <c r="AU1024" i="1"/>
  <c r="AT1028" i="1"/>
  <c r="AM1035" i="1"/>
  <c r="AR1040" i="1"/>
  <c r="AS1040" i="1" s="1"/>
  <c r="AT1043" i="1"/>
  <c r="AV1048" i="1"/>
  <c r="AM1092" i="1"/>
  <c r="AH1092" i="1"/>
  <c r="AT1095" i="1"/>
  <c r="AV1095" i="1" s="1"/>
  <c r="AR1095" i="1"/>
  <c r="AS1095" i="1" s="1"/>
  <c r="AM1107" i="1"/>
  <c r="AH1107" i="1"/>
  <c r="AT1121" i="1"/>
  <c r="AV1121" i="1" s="1"/>
  <c r="AR1121" i="1"/>
  <c r="AS1121" i="1" s="1"/>
  <c r="AM1125" i="1"/>
  <c r="AH1125" i="1"/>
  <c r="AM1159" i="1"/>
  <c r="AH1159" i="1"/>
  <c r="AR1189" i="1"/>
  <c r="AS1189" i="1" s="1"/>
  <c r="AT1189" i="1"/>
  <c r="AU1194" i="1"/>
  <c r="CD51" i="1"/>
  <c r="CE51" i="1" s="1"/>
  <c r="CD124" i="1"/>
  <c r="CE124" i="1" s="1"/>
  <c r="CD159" i="1"/>
  <c r="CE159" i="1" s="1"/>
  <c r="BZ165" i="1"/>
  <c r="CA165" i="1" s="1"/>
  <c r="AT1107" i="1"/>
  <c r="AV1107" i="1" s="1"/>
  <c r="AT1125" i="1"/>
  <c r="AU1125" i="1" s="1"/>
  <c r="AM1127" i="1"/>
  <c r="AM1143" i="1"/>
  <c r="AU1145" i="1"/>
  <c r="AT1167" i="1"/>
  <c r="AM1180" i="1"/>
  <c r="AU1185" i="1"/>
  <c r="AM1188" i="1"/>
  <c r="BZ16" i="1"/>
  <c r="CA16" i="1" s="1"/>
  <c r="BZ28" i="1"/>
  <c r="CA28" i="1" s="1"/>
  <c r="CD36" i="1"/>
  <c r="CE36" i="1" s="1"/>
  <c r="CD42" i="1"/>
  <c r="CE42" i="1" s="1"/>
  <c r="CD46" i="1"/>
  <c r="CE46" i="1" s="1"/>
  <c r="CD68" i="1"/>
  <c r="CE68" i="1" s="1"/>
  <c r="BZ74" i="1"/>
  <c r="CA74" i="1" s="1"/>
  <c r="BZ84" i="1"/>
  <c r="CA84" i="1" s="1"/>
  <c r="BZ102" i="1"/>
  <c r="CA102" i="1" s="1"/>
  <c r="CD116" i="1"/>
  <c r="CE116" i="1" s="1"/>
  <c r="BZ153" i="1"/>
  <c r="CA153" i="1" s="1"/>
  <c r="CD157" i="1"/>
  <c r="CE157" i="1" s="1"/>
  <c r="CJ167" i="1"/>
  <c r="BD167" i="1" s="1"/>
  <c r="BZ180" i="1"/>
  <c r="CA180" i="1" s="1"/>
  <c r="CD196" i="1"/>
  <c r="CE196" i="1" s="1"/>
  <c r="CD204" i="1"/>
  <c r="CE204" i="1" s="1"/>
  <c r="BZ229" i="1"/>
  <c r="CA229" i="1" s="1"/>
  <c r="BZ260" i="1"/>
  <c r="CA260" i="1" s="1"/>
  <c r="CD368" i="1"/>
  <c r="CE368" i="1" s="1"/>
  <c r="BX5" i="1"/>
  <c r="BY5" i="1" s="1"/>
  <c r="BZ6" i="1"/>
  <c r="CA6" i="1" s="1"/>
  <c r="CD24" i="1"/>
  <c r="CE24" i="1" s="1"/>
  <c r="BX29" i="1"/>
  <c r="BY29" i="1" s="1"/>
  <c r="BZ30" i="1"/>
  <c r="CA30" i="1" s="1"/>
  <c r="BZ36" i="1"/>
  <c r="CA36" i="1" s="1"/>
  <c r="CD40" i="1"/>
  <c r="CE40" i="1" s="1"/>
  <c r="BZ42" i="1"/>
  <c r="CA42" i="1" s="1"/>
  <c r="CD44" i="1"/>
  <c r="CE44" i="1" s="1"/>
  <c r="BZ46" i="1"/>
  <c r="CA46" i="1" s="1"/>
  <c r="BZ50" i="1"/>
  <c r="CA50" i="1" s="1"/>
  <c r="CD56" i="1"/>
  <c r="CE56" i="1" s="1"/>
  <c r="BZ68" i="1"/>
  <c r="CA68" i="1" s="1"/>
  <c r="CD92" i="1"/>
  <c r="CE92" i="1" s="1"/>
  <c r="BZ108" i="1"/>
  <c r="CA108" i="1" s="1"/>
  <c r="CD111" i="1"/>
  <c r="CE111" i="1" s="1"/>
  <c r="CF116" i="1"/>
  <c r="CG116" i="1" s="1"/>
  <c r="BZ129" i="1"/>
  <c r="CA129" i="1" s="1"/>
  <c r="BZ134" i="1"/>
  <c r="CA134" i="1" s="1"/>
  <c r="BZ137" i="1"/>
  <c r="CA137" i="1" s="1"/>
  <c r="BZ157" i="1"/>
  <c r="CA157" i="1" s="1"/>
  <c r="BZ182" i="1"/>
  <c r="CA182" i="1" s="1"/>
  <c r="CD185" i="1"/>
  <c r="CE185" i="1" s="1"/>
  <c r="CD291" i="1"/>
  <c r="CE291" i="1" s="1"/>
  <c r="BZ295" i="1"/>
  <c r="CA295" i="1" s="1"/>
  <c r="BZ342" i="1"/>
  <c r="CA342" i="1" s="1"/>
  <c r="AR1184" i="1"/>
  <c r="AS1184" i="1" s="1"/>
  <c r="AR1191" i="1"/>
  <c r="AS1191" i="1" s="1"/>
  <c r="AR1192" i="1"/>
  <c r="AS1192" i="1" s="1"/>
  <c r="AR1195" i="1"/>
  <c r="AS1195" i="1" s="1"/>
  <c r="CD12" i="1"/>
  <c r="CE12" i="1" s="1"/>
  <c r="CD20" i="1"/>
  <c r="CE20" i="1" s="1"/>
  <c r="BZ24" i="1"/>
  <c r="CA24" i="1" s="1"/>
  <c r="BZ40" i="1"/>
  <c r="CA40" i="1" s="1"/>
  <c r="BZ44" i="1"/>
  <c r="CA44" i="1" s="1"/>
  <c r="BZ56" i="1"/>
  <c r="CA56" i="1" s="1"/>
  <c r="BZ62" i="1"/>
  <c r="CA62" i="1" s="1"/>
  <c r="CD72" i="1"/>
  <c r="CE72" i="1" s="1"/>
  <c r="CD88" i="1"/>
  <c r="CE88" i="1" s="1"/>
  <c r="BZ92" i="1"/>
  <c r="CA92" i="1" s="1"/>
  <c r="BZ99" i="1"/>
  <c r="CA99" i="1" s="1"/>
  <c r="BZ126" i="1"/>
  <c r="CA126" i="1" s="1"/>
  <c r="CD139" i="1"/>
  <c r="CE139" i="1" s="1"/>
  <c r="CD147" i="1"/>
  <c r="CE147" i="1" s="1"/>
  <c r="CD152" i="1"/>
  <c r="CE152" i="1" s="1"/>
  <c r="CD171" i="1"/>
  <c r="CE171" i="1" s="1"/>
  <c r="CD179" i="1"/>
  <c r="CE179" i="1" s="1"/>
  <c r="BZ185" i="1"/>
  <c r="CA185" i="1" s="1"/>
  <c r="CF209" i="1"/>
  <c r="CG209" i="1" s="1"/>
  <c r="BZ225" i="1"/>
  <c r="CA225" i="1" s="1"/>
  <c r="CD248" i="1"/>
  <c r="CE248" i="1" s="1"/>
  <c r="CD267" i="1"/>
  <c r="CE267" i="1" s="1"/>
  <c r="CD275" i="1"/>
  <c r="CE275" i="1" s="1"/>
  <c r="BZ277" i="1"/>
  <c r="CA277" i="1" s="1"/>
  <c r="CD514" i="1"/>
  <c r="CE514" i="1" s="1"/>
  <c r="AR1096" i="1"/>
  <c r="AS1096" i="1" s="1"/>
  <c r="AR1110" i="1"/>
  <c r="AS1110" i="1" s="1"/>
  <c r="AH1119" i="1"/>
  <c r="AT1133" i="1"/>
  <c r="AU1133" i="1" s="1"/>
  <c r="AR1144" i="1"/>
  <c r="AS1144" i="1" s="1"/>
  <c r="AR1146" i="1"/>
  <c r="AS1146" i="1" s="1"/>
  <c r="AH1166" i="1"/>
  <c r="AM1172" i="1"/>
  <c r="AH1198" i="1"/>
  <c r="AR1200" i="1"/>
  <c r="AS1200" i="1" s="1"/>
  <c r="BZ12" i="1"/>
  <c r="CA12" i="1" s="1"/>
  <c r="BZ20" i="1"/>
  <c r="CA20" i="1" s="1"/>
  <c r="CD22" i="1"/>
  <c r="CE22" i="1" s="1"/>
  <c r="CD54" i="1"/>
  <c r="CE54" i="1" s="1"/>
  <c r="CD60" i="1"/>
  <c r="CE60" i="1" s="1"/>
  <c r="BZ72" i="1"/>
  <c r="CA72" i="1" s="1"/>
  <c r="CJ77" i="1"/>
  <c r="BD77" i="1" s="1"/>
  <c r="BZ88" i="1"/>
  <c r="CA88" i="1" s="1"/>
  <c r="BZ90" i="1"/>
  <c r="CA90" i="1" s="1"/>
  <c r="CD105" i="1"/>
  <c r="CE105" i="1" s="1"/>
  <c r="CJ131" i="1"/>
  <c r="BD131" i="1" s="1"/>
  <c r="BZ154" i="1"/>
  <c r="CA154" i="1" s="1"/>
  <c r="CD160" i="1"/>
  <c r="CE160" i="1" s="1"/>
  <c r="BZ164" i="1"/>
  <c r="CA164" i="1" s="1"/>
  <c r="CD176" i="1"/>
  <c r="CE176" i="1" s="1"/>
  <c r="CJ185" i="1"/>
  <c r="BD185" i="1" s="1"/>
  <c r="CD255" i="1"/>
  <c r="CE255" i="1" s="1"/>
  <c r="BZ261" i="1"/>
  <c r="CA261" i="1" s="1"/>
  <c r="CD303" i="1"/>
  <c r="CE303" i="1" s="1"/>
  <c r="BZ416" i="1"/>
  <c r="CA416" i="1" s="1"/>
  <c r="AR1102" i="1"/>
  <c r="AS1102" i="1" s="1"/>
  <c r="AR1127" i="1"/>
  <c r="AS1127" i="1" s="1"/>
  <c r="AR1128" i="1"/>
  <c r="AS1128" i="1" s="1"/>
  <c r="BZ22" i="1"/>
  <c r="CA22" i="1" s="1"/>
  <c r="CD48" i="1"/>
  <c r="CE48" i="1" s="1"/>
  <c r="BZ54" i="1"/>
  <c r="CA54" i="1" s="1"/>
  <c r="BZ60" i="1"/>
  <c r="CA60" i="1" s="1"/>
  <c r="BZ66" i="1"/>
  <c r="CA66" i="1" s="1"/>
  <c r="CD80" i="1"/>
  <c r="CE80" i="1" s="1"/>
  <c r="BZ103" i="1"/>
  <c r="CA103" i="1" s="1"/>
  <c r="CD115" i="1"/>
  <c r="CE115" i="1" s="1"/>
  <c r="CF146" i="1"/>
  <c r="CG146" i="1" s="1"/>
  <c r="BZ146" i="1"/>
  <c r="CA146" i="1" s="1"/>
  <c r="BZ160" i="1"/>
  <c r="CA160" i="1" s="1"/>
  <c r="CD168" i="1"/>
  <c r="CE168" i="1" s="1"/>
  <c r="BZ197" i="1"/>
  <c r="CA197" i="1" s="1"/>
  <c r="CD199" i="1"/>
  <c r="CE199" i="1" s="1"/>
  <c r="BZ294" i="1"/>
  <c r="CA294" i="1" s="1"/>
  <c r="BZ307" i="1"/>
  <c r="CA307" i="1" s="1"/>
  <c r="CD383" i="1"/>
  <c r="CE383" i="1" s="1"/>
  <c r="AR1094" i="1"/>
  <c r="AS1094" i="1" s="1"/>
  <c r="AM1114" i="1"/>
  <c r="AH1118" i="1"/>
  <c r="AR1122" i="1"/>
  <c r="AS1122" i="1" s="1"/>
  <c r="AU1128" i="1"/>
  <c r="AR1130" i="1"/>
  <c r="AS1130" i="1" s="1"/>
  <c r="AR1136" i="1"/>
  <c r="AS1136" i="1" s="1"/>
  <c r="AR1152" i="1"/>
  <c r="AS1152" i="1" s="1"/>
  <c r="AT1155" i="1"/>
  <c r="AU1155" i="1" s="1"/>
  <c r="AT1165" i="1"/>
  <c r="AU1165" i="1" s="1"/>
  <c r="AR1170" i="1"/>
  <c r="AS1170" i="1" s="1"/>
  <c r="AR1178" i="1"/>
  <c r="AS1178" i="1" s="1"/>
  <c r="AR1194" i="1"/>
  <c r="AS1194" i="1" s="1"/>
  <c r="AT1197" i="1"/>
  <c r="AU1197" i="1" s="1"/>
  <c r="AH1200" i="1"/>
  <c r="CD4" i="1"/>
  <c r="CE4" i="1" s="1"/>
  <c r="CJ5" i="1"/>
  <c r="BD5" i="1" s="1"/>
  <c r="CJ29" i="1"/>
  <c r="BD29" i="1" s="1"/>
  <c r="CD32" i="1"/>
  <c r="CE32" i="1" s="1"/>
  <c r="BZ34" i="1"/>
  <c r="CA34" i="1" s="1"/>
  <c r="BZ48" i="1"/>
  <c r="CA48" i="1" s="1"/>
  <c r="CD52" i="1"/>
  <c r="CE52" i="1" s="1"/>
  <c r="CD55" i="1"/>
  <c r="CE55" i="1" s="1"/>
  <c r="CD58" i="1"/>
  <c r="CE58" i="1" s="1"/>
  <c r="BZ80" i="1"/>
  <c r="CA80" i="1" s="1"/>
  <c r="CD87" i="1"/>
  <c r="CE87" i="1" s="1"/>
  <c r="CD91" i="1"/>
  <c r="CE91" i="1" s="1"/>
  <c r="CD96" i="1"/>
  <c r="CE96" i="1" s="1"/>
  <c r="CD97" i="1"/>
  <c r="CE97" i="1" s="1"/>
  <c r="CF101" i="1"/>
  <c r="CG101" i="1" s="1"/>
  <c r="BZ101" i="1"/>
  <c r="CA101" i="1" s="1"/>
  <c r="BZ110" i="1"/>
  <c r="CA110" i="1" s="1"/>
  <c r="CD113" i="1"/>
  <c r="CE113" i="1" s="1"/>
  <c r="BZ115" i="1"/>
  <c r="CA115" i="1" s="1"/>
  <c r="BX125" i="1"/>
  <c r="BY125" i="1" s="1"/>
  <c r="CD135" i="1"/>
  <c r="CE135" i="1" s="1"/>
  <c r="CD151" i="1"/>
  <c r="CE151" i="1" s="1"/>
  <c r="CD183" i="1"/>
  <c r="CE183" i="1" s="1"/>
  <c r="BZ257" i="1"/>
  <c r="CA257" i="1" s="1"/>
  <c r="BZ305" i="1"/>
  <c r="CA305" i="1" s="1"/>
  <c r="CD338" i="1"/>
  <c r="CE338" i="1" s="1"/>
  <c r="AR1111" i="1"/>
  <c r="AS1111" i="1" s="1"/>
  <c r="AH1128" i="1"/>
  <c r="AR1168" i="1"/>
  <c r="AS1168" i="1" s="1"/>
  <c r="AU1202" i="1"/>
  <c r="BZ4" i="1"/>
  <c r="CA4" i="1" s="1"/>
  <c r="CD8" i="1"/>
  <c r="CE8" i="1" s="1"/>
  <c r="BZ18" i="1"/>
  <c r="CA18" i="1" s="1"/>
  <c r="BZ32" i="1"/>
  <c r="CA32" i="1" s="1"/>
  <c r="CJ37" i="1"/>
  <c r="BD37" i="1" s="1"/>
  <c r="BZ52" i="1"/>
  <c r="CA52" i="1" s="1"/>
  <c r="BX53" i="1"/>
  <c r="BY53" i="1" s="1"/>
  <c r="BZ58" i="1"/>
  <c r="CA58" i="1" s="1"/>
  <c r="CD64" i="1"/>
  <c r="CE64" i="1" s="1"/>
  <c r="BZ70" i="1"/>
  <c r="CA70" i="1" s="1"/>
  <c r="CD76" i="1"/>
  <c r="CE76" i="1" s="1"/>
  <c r="BZ94" i="1"/>
  <c r="CA94" i="1" s="1"/>
  <c r="BZ96" i="1"/>
  <c r="CA96" i="1" s="1"/>
  <c r="CD106" i="1"/>
  <c r="CE106" i="1" s="1"/>
  <c r="CD112" i="1"/>
  <c r="CE112" i="1" s="1"/>
  <c r="BZ113" i="1"/>
  <c r="CA113" i="1" s="1"/>
  <c r="BZ122" i="1"/>
  <c r="CA122" i="1" s="1"/>
  <c r="CF125" i="1"/>
  <c r="CG125" i="1" s="1"/>
  <c r="CD127" i="1"/>
  <c r="CE127" i="1" s="1"/>
  <c r="CD140" i="1"/>
  <c r="CE140" i="1" s="1"/>
  <c r="CD148" i="1"/>
  <c r="CE148" i="1" s="1"/>
  <c r="CD155" i="1"/>
  <c r="CE155" i="1" s="1"/>
  <c r="CD163" i="1"/>
  <c r="CE163" i="1" s="1"/>
  <c r="BZ170" i="1"/>
  <c r="CA170" i="1" s="1"/>
  <c r="BZ173" i="1"/>
  <c r="CA173" i="1" s="1"/>
  <c r="BZ178" i="1"/>
  <c r="CA178" i="1" s="1"/>
  <c r="BZ201" i="1"/>
  <c r="CA201" i="1" s="1"/>
  <c r="BZ216" i="1"/>
  <c r="CA216" i="1" s="1"/>
  <c r="CD268" i="1"/>
  <c r="CE268" i="1" s="1"/>
  <c r="CD276" i="1"/>
  <c r="CE276" i="1" s="1"/>
  <c r="CJ290" i="1"/>
  <c r="BD290" i="1" s="1"/>
  <c r="BZ309" i="1"/>
  <c r="CA309" i="1" s="1"/>
  <c r="BZ480" i="1"/>
  <c r="CA480" i="1" s="1"/>
  <c r="BZ105" i="1"/>
  <c r="CA105" i="1" s="1"/>
  <c r="CD109" i="1"/>
  <c r="CE109" i="1" s="1"/>
  <c r="BZ112" i="1"/>
  <c r="CA112" i="1" s="1"/>
  <c r="CB112" i="1" s="1"/>
  <c r="BZ121" i="1"/>
  <c r="CA121" i="1" s="1"/>
  <c r="BZ128" i="1"/>
  <c r="CA128" i="1" s="1"/>
  <c r="BZ132" i="1"/>
  <c r="CA132" i="1" s="1"/>
  <c r="BZ136" i="1"/>
  <c r="CA136" i="1" s="1"/>
  <c r="BZ159" i="1"/>
  <c r="CA159" i="1" s="1"/>
  <c r="CD161" i="1"/>
  <c r="CE161" i="1" s="1"/>
  <c r="BZ163" i="1"/>
  <c r="CA163" i="1" s="1"/>
  <c r="BZ168" i="1"/>
  <c r="CA168" i="1" s="1"/>
  <c r="BZ172" i="1"/>
  <c r="CA172" i="1" s="1"/>
  <c r="BZ184" i="1"/>
  <c r="CA184" i="1" s="1"/>
  <c r="BZ196" i="1"/>
  <c r="CA196" i="1" s="1"/>
  <c r="CD228" i="1"/>
  <c r="CE228" i="1" s="1"/>
  <c r="BZ248" i="1"/>
  <c r="CA248" i="1" s="1"/>
  <c r="CD264" i="1"/>
  <c r="CE264" i="1" s="1"/>
  <c r="BZ267" i="1"/>
  <c r="CA267" i="1" s="1"/>
  <c r="BZ268" i="1"/>
  <c r="CA268" i="1" s="1"/>
  <c r="BZ276" i="1"/>
  <c r="CA276" i="1" s="1"/>
  <c r="BZ282" i="1"/>
  <c r="CA282" i="1" s="1"/>
  <c r="CD347" i="1"/>
  <c r="CE347" i="1" s="1"/>
  <c r="BZ350" i="1"/>
  <c r="CA350" i="1" s="1"/>
  <c r="CD367" i="1"/>
  <c r="CE367" i="1" s="1"/>
  <c r="BZ368" i="1"/>
  <c r="CA368" i="1" s="1"/>
  <c r="BZ396" i="1"/>
  <c r="CA396" i="1" s="1"/>
  <c r="CD423" i="1"/>
  <c r="CE423" i="1" s="1"/>
  <c r="BZ436" i="1"/>
  <c r="CA436" i="1" s="1"/>
  <c r="BZ444" i="1"/>
  <c r="CA444" i="1" s="1"/>
  <c r="CD494" i="1"/>
  <c r="CE494" i="1" s="1"/>
  <c r="BZ139" i="1"/>
  <c r="CA139" i="1" s="1"/>
  <c r="BZ147" i="1"/>
  <c r="CA147" i="1" s="1"/>
  <c r="BZ152" i="1"/>
  <c r="CA152" i="1" s="1"/>
  <c r="BZ156" i="1"/>
  <c r="CA156" i="1" s="1"/>
  <c r="CD165" i="1"/>
  <c r="CE165" i="1" s="1"/>
  <c r="BZ175" i="1"/>
  <c r="CA175" i="1" s="1"/>
  <c r="BZ228" i="1"/>
  <c r="CA228" i="1" s="1"/>
  <c r="CD236" i="1"/>
  <c r="CE236" i="1" s="1"/>
  <c r="BZ259" i="1"/>
  <c r="CA259" i="1" s="1"/>
  <c r="BZ264" i="1"/>
  <c r="CA264" i="1" s="1"/>
  <c r="BZ275" i="1"/>
  <c r="CA275" i="1" s="1"/>
  <c r="BZ286" i="1"/>
  <c r="CA286" i="1" s="1"/>
  <c r="CD292" i="1"/>
  <c r="CE292" i="1" s="1"/>
  <c r="BZ302" i="1"/>
  <c r="CA302" i="1" s="1"/>
  <c r="CD312" i="1"/>
  <c r="CE312" i="1" s="1"/>
  <c r="BZ313" i="1"/>
  <c r="CA313" i="1" s="1"/>
  <c r="BZ315" i="1"/>
  <c r="CA315" i="1" s="1"/>
  <c r="BZ324" i="1"/>
  <c r="CA324" i="1" s="1"/>
  <c r="CD331" i="1"/>
  <c r="CE331" i="1" s="1"/>
  <c r="CD332" i="1"/>
  <c r="CE332" i="1" s="1"/>
  <c r="CD348" i="1"/>
  <c r="CE348" i="1" s="1"/>
  <c r="BZ367" i="1"/>
  <c r="CA367" i="1" s="1"/>
  <c r="CD370" i="1"/>
  <c r="CE370" i="1" s="1"/>
  <c r="CD411" i="1"/>
  <c r="CE411" i="1" s="1"/>
  <c r="CD431" i="1"/>
  <c r="CE431" i="1" s="1"/>
  <c r="CD532" i="1"/>
  <c r="CE532" i="1" s="1"/>
  <c r="CD536" i="1"/>
  <c r="CE536" i="1" s="1"/>
  <c r="CD117" i="1"/>
  <c r="CE117" i="1" s="1"/>
  <c r="BZ119" i="1"/>
  <c r="CA119" i="1" s="1"/>
  <c r="BZ125" i="1"/>
  <c r="CA125" i="1" s="1"/>
  <c r="BZ131" i="1"/>
  <c r="CA131" i="1" s="1"/>
  <c r="BZ133" i="1"/>
  <c r="CA133" i="1" s="1"/>
  <c r="CD141" i="1"/>
  <c r="CE141" i="1" s="1"/>
  <c r="BZ143" i="1"/>
  <c r="CA143" i="1" s="1"/>
  <c r="BZ145" i="1"/>
  <c r="CA145" i="1" s="1"/>
  <c r="CD149" i="1"/>
  <c r="CE149" i="1" s="1"/>
  <c r="BZ167" i="1"/>
  <c r="CA167" i="1" s="1"/>
  <c r="BZ169" i="1"/>
  <c r="CA169" i="1" s="1"/>
  <c r="CD177" i="1"/>
  <c r="CE177" i="1" s="1"/>
  <c r="BZ181" i="1"/>
  <c r="CA181" i="1" s="1"/>
  <c r="BZ187" i="1"/>
  <c r="CA187" i="1" s="1"/>
  <c r="CD212" i="1"/>
  <c r="CE212" i="1" s="1"/>
  <c r="CD252" i="1"/>
  <c r="CE252" i="1" s="1"/>
  <c r="CD280" i="1"/>
  <c r="CE280" i="1" s="1"/>
  <c r="BZ292" i="1"/>
  <c r="CA292" i="1" s="1"/>
  <c r="BZ311" i="1"/>
  <c r="CA311" i="1" s="1"/>
  <c r="BZ312" i="1"/>
  <c r="CA312" i="1" s="1"/>
  <c r="BZ325" i="1"/>
  <c r="CA325" i="1" s="1"/>
  <c r="BZ332" i="1"/>
  <c r="CA332" i="1" s="1"/>
  <c r="BZ346" i="1"/>
  <c r="CA346" i="1" s="1"/>
  <c r="BZ348" i="1"/>
  <c r="CA348" i="1" s="1"/>
  <c r="BZ353" i="1"/>
  <c r="CA353" i="1" s="1"/>
  <c r="BZ357" i="1"/>
  <c r="CA357" i="1" s="1"/>
  <c r="BZ465" i="1"/>
  <c r="CA465" i="1" s="1"/>
  <c r="BZ525" i="1"/>
  <c r="CA525" i="1" s="1"/>
  <c r="CD575" i="1"/>
  <c r="CE575" i="1" s="1"/>
  <c r="CD121" i="1"/>
  <c r="CE121" i="1" s="1"/>
  <c r="BZ130" i="1"/>
  <c r="CA130" i="1" s="1"/>
  <c r="BZ212" i="1"/>
  <c r="CA212" i="1" s="1"/>
  <c r="CD272" i="1"/>
  <c r="CE272" i="1" s="1"/>
  <c r="CJ277" i="1"/>
  <c r="BD277" i="1" s="1"/>
  <c r="BZ280" i="1"/>
  <c r="CA280" i="1" s="1"/>
  <c r="CD284" i="1"/>
  <c r="CE284" i="1" s="1"/>
  <c r="BZ290" i="1"/>
  <c r="CA290" i="1" s="1"/>
  <c r="BZ291" i="1"/>
  <c r="CA291" i="1" s="1"/>
  <c r="BZ297" i="1"/>
  <c r="CA297" i="1" s="1"/>
  <c r="BZ299" i="1"/>
  <c r="CA299" i="1" s="1"/>
  <c r="CD300" i="1"/>
  <c r="CE300" i="1" s="1"/>
  <c r="BZ306" i="1"/>
  <c r="CA306" i="1" s="1"/>
  <c r="CD323" i="1"/>
  <c r="CE323" i="1" s="1"/>
  <c r="CD366" i="1"/>
  <c r="CE366" i="1" s="1"/>
  <c r="BZ377" i="1"/>
  <c r="CA377" i="1" s="1"/>
  <c r="CD382" i="1"/>
  <c r="CE382" i="1" s="1"/>
  <c r="BZ395" i="1"/>
  <c r="CA395" i="1" s="1"/>
  <c r="CD403" i="1"/>
  <c r="CE403" i="1" s="1"/>
  <c r="BZ439" i="1"/>
  <c r="CA439" i="1" s="1"/>
  <c r="BZ527" i="1"/>
  <c r="CA527" i="1" s="1"/>
  <c r="CD531" i="1"/>
  <c r="CE531" i="1" s="1"/>
  <c r="BZ111" i="1"/>
  <c r="CA111" i="1" s="1"/>
  <c r="BZ123" i="1"/>
  <c r="CA123" i="1" s="1"/>
  <c r="BZ140" i="1"/>
  <c r="CA140" i="1" s="1"/>
  <c r="CJ184" i="1"/>
  <c r="BD184" i="1" s="1"/>
  <c r="BZ224" i="1"/>
  <c r="CA224" i="1" s="1"/>
  <c r="BZ245" i="1"/>
  <c r="CA245" i="1" s="1"/>
  <c r="CD256" i="1"/>
  <c r="CE256" i="1" s="1"/>
  <c r="BZ271" i="1"/>
  <c r="CA271" i="1" s="1"/>
  <c r="BZ272" i="1"/>
  <c r="CA272" i="1" s="1"/>
  <c r="BZ279" i="1"/>
  <c r="CA279" i="1" s="1"/>
  <c r="BZ284" i="1"/>
  <c r="CA284" i="1" s="1"/>
  <c r="CD288" i="1"/>
  <c r="CE288" i="1" s="1"/>
  <c r="BZ300" i="1"/>
  <c r="CA300" i="1" s="1"/>
  <c r="CD304" i="1"/>
  <c r="CE304" i="1" s="1"/>
  <c r="BZ314" i="1"/>
  <c r="CA314" i="1" s="1"/>
  <c r="BZ323" i="1"/>
  <c r="CA323" i="1" s="1"/>
  <c r="BZ365" i="1"/>
  <c r="CA365" i="1" s="1"/>
  <c r="BZ366" i="1"/>
  <c r="CA366" i="1" s="1"/>
  <c r="BZ382" i="1"/>
  <c r="CA382" i="1" s="1"/>
  <c r="CD466" i="1"/>
  <c r="CE466" i="1" s="1"/>
  <c r="CD568" i="1"/>
  <c r="CE568" i="1" s="1"/>
  <c r="CD107" i="1"/>
  <c r="CE107" i="1" s="1"/>
  <c r="CD125" i="1"/>
  <c r="CE125" i="1" s="1"/>
  <c r="BZ127" i="1"/>
  <c r="CA127" i="1" s="1"/>
  <c r="CD133" i="1"/>
  <c r="CE133" i="1" s="1"/>
  <c r="BZ135" i="1"/>
  <c r="CA135" i="1" s="1"/>
  <c r="CD145" i="1"/>
  <c r="CE145" i="1" s="1"/>
  <c r="CD169" i="1"/>
  <c r="CE169" i="1" s="1"/>
  <c r="BZ171" i="1"/>
  <c r="CA171" i="1" s="1"/>
  <c r="BZ179" i="1"/>
  <c r="CA179" i="1" s="1"/>
  <c r="CD181" i="1"/>
  <c r="CE181" i="1" s="1"/>
  <c r="BZ183" i="1"/>
  <c r="CA183" i="1" s="1"/>
  <c r="CJ234" i="1"/>
  <c r="BD234" i="1" s="1"/>
  <c r="BZ255" i="1"/>
  <c r="CA255" i="1" s="1"/>
  <c r="BZ256" i="1"/>
  <c r="CA256" i="1" s="1"/>
  <c r="BZ265" i="1"/>
  <c r="CA265" i="1" s="1"/>
  <c r="CJ274" i="1"/>
  <c r="BD274" i="1" s="1"/>
  <c r="BZ281" i="1"/>
  <c r="CA281" i="1" s="1"/>
  <c r="BZ283" i="1"/>
  <c r="CA283" i="1" s="1"/>
  <c r="BZ288" i="1"/>
  <c r="CA288" i="1" s="1"/>
  <c r="CD296" i="1"/>
  <c r="CE296" i="1" s="1"/>
  <c r="BZ304" i="1"/>
  <c r="CA304" i="1" s="1"/>
  <c r="BZ349" i="1"/>
  <c r="CA349" i="1" s="1"/>
  <c r="BZ352" i="1"/>
  <c r="CA352" i="1" s="1"/>
  <c r="CD371" i="1"/>
  <c r="CE371" i="1" s="1"/>
  <c r="CD379" i="1"/>
  <c r="CE379" i="1" s="1"/>
  <c r="BZ384" i="1"/>
  <c r="CA384" i="1" s="1"/>
  <c r="CD386" i="1"/>
  <c r="CE386" i="1" s="1"/>
  <c r="CD448" i="1"/>
  <c r="CE448" i="1" s="1"/>
  <c r="CD462" i="1"/>
  <c r="CE462" i="1" s="1"/>
  <c r="CD482" i="1"/>
  <c r="CE482" i="1" s="1"/>
  <c r="CD524" i="1"/>
  <c r="CE524" i="1" s="1"/>
  <c r="CD103" i="1"/>
  <c r="CE103" i="1" s="1"/>
  <c r="BZ107" i="1"/>
  <c r="CA107" i="1" s="1"/>
  <c r="BZ118" i="1"/>
  <c r="CA118" i="1" s="1"/>
  <c r="CD129" i="1"/>
  <c r="CE129" i="1" s="1"/>
  <c r="CD137" i="1"/>
  <c r="CE137" i="1" s="1"/>
  <c r="BZ151" i="1"/>
  <c r="CA151" i="1" s="1"/>
  <c r="CD153" i="1"/>
  <c r="CE153" i="1" s="1"/>
  <c r="BZ155" i="1"/>
  <c r="CA155" i="1" s="1"/>
  <c r="CD173" i="1"/>
  <c r="CE173" i="1" s="1"/>
  <c r="BX209" i="1"/>
  <c r="BY209" i="1" s="1"/>
  <c r="CD260" i="1"/>
  <c r="CE260" i="1" s="1"/>
  <c r="BZ287" i="1"/>
  <c r="CA287" i="1" s="1"/>
  <c r="BZ296" i="1"/>
  <c r="CA296" i="1" s="1"/>
  <c r="BZ298" i="1"/>
  <c r="CA298" i="1" s="1"/>
  <c r="BZ303" i="1"/>
  <c r="CA303" i="1" s="1"/>
  <c r="BZ308" i="1"/>
  <c r="CA308" i="1" s="1"/>
  <c r="BZ344" i="1"/>
  <c r="CA344" i="1" s="1"/>
  <c r="BZ345" i="1"/>
  <c r="CA345" i="1" s="1"/>
  <c r="BZ376" i="1"/>
  <c r="CA376" i="1" s="1"/>
  <c r="BZ428" i="1"/>
  <c r="CA428" i="1" s="1"/>
  <c r="CD438" i="1"/>
  <c r="CE438" i="1" s="1"/>
  <c r="CD474" i="1"/>
  <c r="CE474" i="1" s="1"/>
  <c r="BZ379" i="1"/>
  <c r="CA379" i="1" s="1"/>
  <c r="BZ383" i="1"/>
  <c r="CA383" i="1" s="1"/>
  <c r="CD384" i="1"/>
  <c r="CE384" i="1" s="1"/>
  <c r="BZ386" i="1"/>
  <c r="CA386" i="1" s="1"/>
  <c r="BZ393" i="1"/>
  <c r="CA393" i="1" s="1"/>
  <c r="CD416" i="1"/>
  <c r="CE416" i="1" s="1"/>
  <c r="CD418" i="1"/>
  <c r="CE418" i="1" s="1"/>
  <c r="BZ421" i="1"/>
  <c r="CA421" i="1" s="1"/>
  <c r="CD446" i="1"/>
  <c r="CE446" i="1" s="1"/>
  <c r="BZ485" i="1"/>
  <c r="CA485" i="1" s="1"/>
  <c r="BZ504" i="1"/>
  <c r="CA504" i="1" s="1"/>
  <c r="CD506" i="1"/>
  <c r="CE506" i="1" s="1"/>
  <c r="BZ371" i="1"/>
  <c r="CA371" i="1" s="1"/>
  <c r="CD380" i="1"/>
  <c r="CE380" i="1" s="1"/>
  <c r="CD395" i="1"/>
  <c r="CE395" i="1" s="1"/>
  <c r="CD398" i="1"/>
  <c r="CE398" i="1" s="1"/>
  <c r="CD400" i="1"/>
  <c r="CE400" i="1" s="1"/>
  <c r="CD406" i="1"/>
  <c r="CE406" i="1" s="1"/>
  <c r="CD408" i="1"/>
  <c r="CE408" i="1" s="1"/>
  <c r="CD410" i="1"/>
  <c r="CE410" i="1" s="1"/>
  <c r="CD415" i="1"/>
  <c r="CE415" i="1" s="1"/>
  <c r="BZ529" i="1"/>
  <c r="CA529" i="1" s="1"/>
  <c r="CD535" i="1"/>
  <c r="CE535" i="1" s="1"/>
  <c r="CD555" i="1"/>
  <c r="CE555" i="1" s="1"/>
  <c r="BZ613" i="1"/>
  <c r="CA613" i="1" s="1"/>
  <c r="CD709" i="1"/>
  <c r="CE709" i="1" s="1"/>
  <c r="BZ338" i="1"/>
  <c r="CA338" i="1" s="1"/>
  <c r="BZ362" i="1"/>
  <c r="CA362" i="1" s="1"/>
  <c r="BZ370" i="1"/>
  <c r="CA370" i="1" s="1"/>
  <c r="CD372" i="1"/>
  <c r="CE372" i="1" s="1"/>
  <c r="BZ375" i="1"/>
  <c r="CA375" i="1" s="1"/>
  <c r="CD391" i="1"/>
  <c r="CE391" i="1" s="1"/>
  <c r="BZ402" i="1"/>
  <c r="CA402" i="1" s="1"/>
  <c r="BZ410" i="1"/>
  <c r="CA410" i="1" s="1"/>
  <c r="CD427" i="1"/>
  <c r="CE427" i="1" s="1"/>
  <c r="BZ435" i="1"/>
  <c r="CA435" i="1" s="1"/>
  <c r="BZ456" i="1"/>
  <c r="CA456" i="1" s="1"/>
  <c r="BZ496" i="1"/>
  <c r="CA496" i="1" s="1"/>
  <c r="BZ501" i="1"/>
  <c r="CA501" i="1" s="1"/>
  <c r="CD548" i="1"/>
  <c r="CE548" i="1" s="1"/>
  <c r="CD567" i="1"/>
  <c r="CE567" i="1" s="1"/>
  <c r="CD308" i="1"/>
  <c r="CE308" i="1" s="1"/>
  <c r="BZ310" i="1"/>
  <c r="CA310" i="1" s="1"/>
  <c r="CJ311" i="1"/>
  <c r="BD311" i="1" s="1"/>
  <c r="CD328" i="1"/>
  <c r="CE328" i="1" s="1"/>
  <c r="BZ330" i="1"/>
  <c r="CA330" i="1" s="1"/>
  <c r="CJ344" i="1"/>
  <c r="BD344" i="1" s="1"/>
  <c r="BZ355" i="1"/>
  <c r="CA355" i="1" s="1"/>
  <c r="BZ359" i="1"/>
  <c r="CA359" i="1" s="1"/>
  <c r="CD360" i="1"/>
  <c r="CE360" i="1" s="1"/>
  <c r="BZ374" i="1"/>
  <c r="CA374" i="1" s="1"/>
  <c r="CJ379" i="1"/>
  <c r="BD379" i="1" s="1"/>
  <c r="CD387" i="1"/>
  <c r="CE387" i="1" s="1"/>
  <c r="BZ425" i="1"/>
  <c r="CA425" i="1" s="1"/>
  <c r="CD486" i="1"/>
  <c r="CE486" i="1" s="1"/>
  <c r="CD498" i="1"/>
  <c r="CE498" i="1" s="1"/>
  <c r="CD507" i="1"/>
  <c r="CE507" i="1" s="1"/>
  <c r="BZ516" i="1"/>
  <c r="CA516" i="1" s="1"/>
  <c r="BZ526" i="1"/>
  <c r="CA526" i="1" s="1"/>
  <c r="CD552" i="1"/>
  <c r="CE552" i="1" s="1"/>
  <c r="BZ557" i="1"/>
  <c r="CA557" i="1" s="1"/>
  <c r="CD571" i="1"/>
  <c r="CE571" i="1" s="1"/>
  <c r="CD576" i="1"/>
  <c r="CE576" i="1" s="1"/>
  <c r="BZ585" i="1"/>
  <c r="CA585" i="1" s="1"/>
  <c r="BZ629" i="1"/>
  <c r="CA629" i="1" s="1"/>
  <c r="BZ328" i="1"/>
  <c r="CA328" i="1" s="1"/>
  <c r="BZ335" i="1"/>
  <c r="CA335" i="1" s="1"/>
  <c r="CD336" i="1"/>
  <c r="CE336" i="1" s="1"/>
  <c r="BZ339" i="1"/>
  <c r="CA339" i="1" s="1"/>
  <c r="CD340" i="1"/>
  <c r="CE340" i="1" s="1"/>
  <c r="BZ354" i="1"/>
  <c r="CA354" i="1" s="1"/>
  <c r="CD356" i="1"/>
  <c r="CE356" i="1" s="1"/>
  <c r="BZ358" i="1"/>
  <c r="CA358" i="1" s="1"/>
  <c r="BZ363" i="1"/>
  <c r="CA363" i="1" s="1"/>
  <c r="BZ369" i="1"/>
  <c r="CA369" i="1" s="1"/>
  <c r="BZ397" i="1"/>
  <c r="CA397" i="1" s="1"/>
  <c r="BZ405" i="1"/>
  <c r="CA405" i="1" s="1"/>
  <c r="CD412" i="1"/>
  <c r="CE412" i="1" s="1"/>
  <c r="BZ424" i="1"/>
  <c r="CA424" i="1" s="1"/>
  <c r="BZ442" i="1"/>
  <c r="CA442" i="1" s="1"/>
  <c r="CD447" i="1"/>
  <c r="CE447" i="1" s="1"/>
  <c r="BZ451" i="1"/>
  <c r="CA451" i="1" s="1"/>
  <c r="CD510" i="1"/>
  <c r="CE510" i="1" s="1"/>
  <c r="CD523" i="1"/>
  <c r="CE523" i="1" s="1"/>
  <c r="BZ528" i="1"/>
  <c r="CA528" i="1" s="1"/>
  <c r="BZ331" i="1"/>
  <c r="CA331" i="1" s="1"/>
  <c r="BZ334" i="1"/>
  <c r="CA334" i="1" s="1"/>
  <c r="BZ343" i="1"/>
  <c r="CA343" i="1" s="1"/>
  <c r="CD344" i="1"/>
  <c r="CE344" i="1" s="1"/>
  <c r="BZ347" i="1"/>
  <c r="CA347" i="1" s="1"/>
  <c r="BZ351" i="1"/>
  <c r="CA351" i="1" s="1"/>
  <c r="CD352" i="1"/>
  <c r="CE352" i="1" s="1"/>
  <c r="CD364" i="1"/>
  <c r="CE364" i="1" s="1"/>
  <c r="CD376" i="1"/>
  <c r="CE376" i="1" s="1"/>
  <c r="BZ378" i="1"/>
  <c r="CA378" i="1" s="1"/>
  <c r="CJ384" i="1"/>
  <c r="BD384" i="1" s="1"/>
  <c r="CD390" i="1"/>
  <c r="CE390" i="1" s="1"/>
  <c r="BZ399" i="1"/>
  <c r="CA399" i="1" s="1"/>
  <c r="BZ407" i="1"/>
  <c r="CA407" i="1" s="1"/>
  <c r="BZ414" i="1"/>
  <c r="CA414" i="1" s="1"/>
  <c r="BZ455" i="1"/>
  <c r="CA455" i="1" s="1"/>
  <c r="CD490" i="1"/>
  <c r="CE490" i="1" s="1"/>
  <c r="BZ493" i="1"/>
  <c r="CA493" i="1" s="1"/>
  <c r="BZ545" i="1"/>
  <c r="CA545" i="1" s="1"/>
  <c r="BZ752" i="1"/>
  <c r="CA752" i="1" s="1"/>
  <c r="BZ400" i="1"/>
  <c r="CA400" i="1" s="1"/>
  <c r="BZ423" i="1"/>
  <c r="CA423" i="1" s="1"/>
  <c r="CD424" i="1"/>
  <c r="CE424" i="1" s="1"/>
  <c r="BZ427" i="1"/>
  <c r="CA427" i="1" s="1"/>
  <c r="BZ434" i="1"/>
  <c r="CA434" i="1" s="1"/>
  <c r="CD436" i="1"/>
  <c r="CE436" i="1" s="1"/>
  <c r="BZ438" i="1"/>
  <c r="CA438" i="1" s="1"/>
  <c r="BZ447" i="1"/>
  <c r="CA447" i="1" s="1"/>
  <c r="CJ485" i="1"/>
  <c r="BD485" i="1" s="1"/>
  <c r="CD487" i="1"/>
  <c r="CE487" i="1" s="1"/>
  <c r="CD511" i="1"/>
  <c r="CE511" i="1" s="1"/>
  <c r="CJ513" i="1"/>
  <c r="BD513" i="1" s="1"/>
  <c r="CD519" i="1"/>
  <c r="CE519" i="1" s="1"/>
  <c r="CD556" i="1"/>
  <c r="CE556" i="1" s="1"/>
  <c r="CD603" i="1"/>
  <c r="CE603" i="1" s="1"/>
  <c r="BZ635" i="1"/>
  <c r="CA635" i="1" s="1"/>
  <c r="BZ639" i="1"/>
  <c r="CA639" i="1" s="1"/>
  <c r="CD681" i="1"/>
  <c r="CE681" i="1" s="1"/>
  <c r="CD690" i="1"/>
  <c r="CE690" i="1" s="1"/>
  <c r="CD770" i="1"/>
  <c r="CE770" i="1" s="1"/>
  <c r="BZ411" i="1"/>
  <c r="CA411" i="1" s="1"/>
  <c r="BZ415" i="1"/>
  <c r="CA415" i="1" s="1"/>
  <c r="BZ419" i="1"/>
  <c r="CA419" i="1" s="1"/>
  <c r="BZ422" i="1"/>
  <c r="CA422" i="1" s="1"/>
  <c r="BZ426" i="1"/>
  <c r="CA426" i="1" s="1"/>
  <c r="CD428" i="1"/>
  <c r="CE428" i="1" s="1"/>
  <c r="BZ431" i="1"/>
  <c r="CA431" i="1" s="1"/>
  <c r="CD432" i="1"/>
  <c r="CE432" i="1" s="1"/>
  <c r="CD467" i="1"/>
  <c r="CE467" i="1" s="1"/>
  <c r="CD471" i="1"/>
  <c r="CE471" i="1" s="1"/>
  <c r="CD475" i="1"/>
  <c r="CE475" i="1" s="1"/>
  <c r="CD479" i="1"/>
  <c r="CE479" i="1" s="1"/>
  <c r="BZ491" i="1"/>
  <c r="CA491" i="1" s="1"/>
  <c r="BZ497" i="1"/>
  <c r="CA497" i="1" s="1"/>
  <c r="CJ499" i="1"/>
  <c r="BD499" i="1" s="1"/>
  <c r="CD503" i="1"/>
  <c r="CE503" i="1" s="1"/>
  <c r="BZ521" i="1"/>
  <c r="CA521" i="1" s="1"/>
  <c r="BZ537" i="1"/>
  <c r="CA537" i="1" s="1"/>
  <c r="CJ561" i="1"/>
  <c r="BD561" i="1" s="1"/>
  <c r="CD624" i="1"/>
  <c r="CE624" i="1" s="1"/>
  <c r="CD628" i="1"/>
  <c r="CE628" i="1" s="1"/>
  <c r="CD669" i="1"/>
  <c r="CE669" i="1" s="1"/>
  <c r="BZ740" i="1"/>
  <c r="CA740" i="1" s="1"/>
  <c r="BZ418" i="1"/>
  <c r="CA418" i="1" s="1"/>
  <c r="CD420" i="1"/>
  <c r="CE420" i="1" s="1"/>
  <c r="BZ430" i="1"/>
  <c r="CA430" i="1" s="1"/>
  <c r="CD451" i="1"/>
  <c r="CE451" i="1" s="1"/>
  <c r="BZ461" i="1"/>
  <c r="CA461" i="1" s="1"/>
  <c r="BZ532" i="1"/>
  <c r="CA532" i="1" s="1"/>
  <c r="BZ536" i="1"/>
  <c r="CA536" i="1" s="1"/>
  <c r="BZ548" i="1"/>
  <c r="CA548" i="1" s="1"/>
  <c r="BZ549" i="1"/>
  <c r="CA549" i="1" s="1"/>
  <c r="BZ552" i="1"/>
  <c r="CA552" i="1" s="1"/>
  <c r="BZ556" i="1"/>
  <c r="CA556" i="1" s="1"/>
  <c r="BZ568" i="1"/>
  <c r="CA568" i="1" s="1"/>
  <c r="CD584" i="1"/>
  <c r="CE584" i="1" s="1"/>
  <c r="BZ624" i="1"/>
  <c r="CA624" i="1" s="1"/>
  <c r="BZ628" i="1"/>
  <c r="CA628" i="1" s="1"/>
  <c r="BZ560" i="1"/>
  <c r="CA560" i="1" s="1"/>
  <c r="BZ584" i="1"/>
  <c r="CA584" i="1" s="1"/>
  <c r="BZ610" i="1"/>
  <c r="CA610" i="1" s="1"/>
  <c r="BZ630" i="1"/>
  <c r="CA630" i="1" s="1"/>
  <c r="CD636" i="1"/>
  <c r="CE636" i="1" s="1"/>
  <c r="CD705" i="1"/>
  <c r="CE705" i="1" s="1"/>
  <c r="CD717" i="1"/>
  <c r="CE717" i="1" s="1"/>
  <c r="BZ394" i="1"/>
  <c r="CA394" i="1" s="1"/>
  <c r="CD396" i="1"/>
  <c r="CE396" i="1" s="1"/>
  <c r="BZ398" i="1"/>
  <c r="CA398" i="1" s="1"/>
  <c r="BZ403" i="1"/>
  <c r="CA403" i="1" s="1"/>
  <c r="BZ406" i="1"/>
  <c r="CA406" i="1" s="1"/>
  <c r="CD422" i="1"/>
  <c r="CE422" i="1" s="1"/>
  <c r="CD426" i="1"/>
  <c r="CE426" i="1" s="1"/>
  <c r="BZ441" i="1"/>
  <c r="CA441" i="1" s="1"/>
  <c r="BZ445" i="1"/>
  <c r="CA445" i="1" s="1"/>
  <c r="CD459" i="1"/>
  <c r="CE459" i="1" s="1"/>
  <c r="BZ469" i="1"/>
  <c r="CA469" i="1" s="1"/>
  <c r="BZ473" i="1"/>
  <c r="CA473" i="1" s="1"/>
  <c r="BZ477" i="1"/>
  <c r="CA477" i="1" s="1"/>
  <c r="BZ481" i="1"/>
  <c r="CA481" i="1" s="1"/>
  <c r="BZ505" i="1"/>
  <c r="CA505" i="1" s="1"/>
  <c r="BZ509" i="1"/>
  <c r="CA509" i="1" s="1"/>
  <c r="BZ513" i="1"/>
  <c r="CA513" i="1" s="1"/>
  <c r="BZ544" i="1"/>
  <c r="CA544" i="1" s="1"/>
  <c r="BZ586" i="1"/>
  <c r="CA586" i="1" s="1"/>
  <c r="CD604" i="1"/>
  <c r="CE604" i="1" s="1"/>
  <c r="CD616" i="1"/>
  <c r="CE616" i="1" s="1"/>
  <c r="BZ640" i="1"/>
  <c r="CA640" i="1" s="1"/>
  <c r="CD734" i="1"/>
  <c r="CE734" i="1" s="1"/>
  <c r="CD785" i="1"/>
  <c r="CE785" i="1" s="1"/>
  <c r="BZ387" i="1"/>
  <c r="CA387" i="1" s="1"/>
  <c r="CD388" i="1"/>
  <c r="CE388" i="1" s="1"/>
  <c r="BZ391" i="1"/>
  <c r="CA391" i="1" s="1"/>
  <c r="CD392" i="1"/>
  <c r="CE392" i="1" s="1"/>
  <c r="CD404" i="1"/>
  <c r="CE404" i="1" s="1"/>
  <c r="CD414" i="1"/>
  <c r="CE414" i="1" s="1"/>
  <c r="CD430" i="1"/>
  <c r="CE430" i="1" s="1"/>
  <c r="BZ437" i="1"/>
  <c r="CA437" i="1" s="1"/>
  <c r="BZ440" i="1"/>
  <c r="CA440" i="1" s="1"/>
  <c r="BZ459" i="1"/>
  <c r="CA459" i="1" s="1"/>
  <c r="CJ460" i="1"/>
  <c r="BD460" i="1" s="1"/>
  <c r="BZ489" i="1"/>
  <c r="CA489" i="1" s="1"/>
  <c r="CJ491" i="1"/>
  <c r="BD491" i="1" s="1"/>
  <c r="CD495" i="1"/>
  <c r="CE495" i="1" s="1"/>
  <c r="BZ499" i="1"/>
  <c r="CA499" i="1" s="1"/>
  <c r="BZ517" i="1"/>
  <c r="CA517" i="1" s="1"/>
  <c r="CJ531" i="1"/>
  <c r="BD531" i="1" s="1"/>
  <c r="BZ533" i="1"/>
  <c r="CA533" i="1" s="1"/>
  <c r="BZ540" i="1"/>
  <c r="CA540" i="1" s="1"/>
  <c r="CJ568" i="1"/>
  <c r="BD568" i="1" s="1"/>
  <c r="CD572" i="1"/>
  <c r="CE572" i="1" s="1"/>
  <c r="BZ574" i="1"/>
  <c r="CA574" i="1" s="1"/>
  <c r="BZ580" i="1"/>
  <c r="CA580" i="1" s="1"/>
  <c r="BZ604" i="1"/>
  <c r="CA604" i="1" s="1"/>
  <c r="CD612" i="1"/>
  <c r="CE612" i="1" s="1"/>
  <c r="CD615" i="1"/>
  <c r="CE615" i="1" s="1"/>
  <c r="CD623" i="1"/>
  <c r="CE623" i="1" s="1"/>
  <c r="CD646" i="1"/>
  <c r="CE646" i="1" s="1"/>
  <c r="CD657" i="1"/>
  <c r="CE657" i="1" s="1"/>
  <c r="CD670" i="1"/>
  <c r="CE670" i="1" s="1"/>
  <c r="BZ679" i="1"/>
  <c r="CA679" i="1" s="1"/>
  <c r="BZ682" i="1"/>
  <c r="CA682" i="1" s="1"/>
  <c r="CD758" i="1"/>
  <c r="CE758" i="1" s="1"/>
  <c r="BZ390" i="1"/>
  <c r="CA390" i="1" s="1"/>
  <c r="BZ443" i="1"/>
  <c r="CA443" i="1" s="1"/>
  <c r="CD449" i="1"/>
  <c r="CE449" i="1" s="1"/>
  <c r="CD455" i="1"/>
  <c r="CE455" i="1" s="1"/>
  <c r="BZ468" i="1"/>
  <c r="CA468" i="1" s="1"/>
  <c r="BZ472" i="1"/>
  <c r="CA472" i="1" s="1"/>
  <c r="BZ476" i="1"/>
  <c r="CA476" i="1" s="1"/>
  <c r="BZ488" i="1"/>
  <c r="CA488" i="1" s="1"/>
  <c r="BZ508" i="1"/>
  <c r="CA508" i="1" s="1"/>
  <c r="CJ521" i="1"/>
  <c r="BD521" i="1" s="1"/>
  <c r="CJ553" i="1"/>
  <c r="BD553" i="1" s="1"/>
  <c r="BZ554" i="1"/>
  <c r="CA554" i="1" s="1"/>
  <c r="BZ572" i="1"/>
  <c r="CA572" i="1" s="1"/>
  <c r="CD588" i="1"/>
  <c r="CE588" i="1" s="1"/>
  <c r="BZ589" i="1"/>
  <c r="CA589" i="1" s="1"/>
  <c r="BZ609" i="1"/>
  <c r="CA609" i="1" s="1"/>
  <c r="CD641" i="1"/>
  <c r="CE641" i="1" s="1"/>
  <c r="CD773" i="1"/>
  <c r="CE773" i="1" s="1"/>
  <c r="BZ778" i="1"/>
  <c r="CA778" i="1" s="1"/>
  <c r="BZ564" i="1"/>
  <c r="CA564" i="1" s="1"/>
  <c r="BZ565" i="1"/>
  <c r="CA565" i="1" s="1"/>
  <c r="CJ573" i="1"/>
  <c r="BD573" i="1" s="1"/>
  <c r="CJ577" i="1"/>
  <c r="BD577" i="1" s="1"/>
  <c r="CD595" i="1"/>
  <c r="CE595" i="1" s="1"/>
  <c r="BZ616" i="1"/>
  <c r="CA616" i="1" s="1"/>
  <c r="BZ646" i="1"/>
  <c r="CA646" i="1" s="1"/>
  <c r="CD706" i="1"/>
  <c r="CE706" i="1" s="1"/>
  <c r="BZ730" i="1"/>
  <c r="CA730" i="1" s="1"/>
  <c r="BZ756" i="1"/>
  <c r="CA756" i="1" s="1"/>
  <c r="BZ596" i="1"/>
  <c r="CA596" i="1" s="1"/>
  <c r="BZ608" i="1"/>
  <c r="CA608" i="1" s="1"/>
  <c r="BZ620" i="1"/>
  <c r="CA620" i="1" s="1"/>
  <c r="BZ632" i="1"/>
  <c r="CA632" i="1" s="1"/>
  <c r="CD662" i="1"/>
  <c r="CE662" i="1" s="1"/>
  <c r="CD697" i="1"/>
  <c r="CE697" i="1" s="1"/>
  <c r="BZ711" i="1"/>
  <c r="CA711" i="1" s="1"/>
  <c r="CD722" i="1"/>
  <c r="CE722" i="1" s="1"/>
  <c r="CD738" i="1"/>
  <c r="CE738" i="1" s="1"/>
  <c r="CD739" i="1"/>
  <c r="CE739" i="1" s="1"/>
  <c r="CD742" i="1"/>
  <c r="CE742" i="1" s="1"/>
  <c r="BZ746" i="1"/>
  <c r="CA746" i="1" s="1"/>
  <c r="CD757" i="1"/>
  <c r="CE757" i="1" s="1"/>
  <c r="BZ760" i="1"/>
  <c r="CA760" i="1" s="1"/>
  <c r="CD766" i="1"/>
  <c r="CE766" i="1" s="1"/>
  <c r="BZ772" i="1"/>
  <c r="CA772" i="1" s="1"/>
  <c r="CD815" i="1"/>
  <c r="CE815" i="1" s="1"/>
  <c r="CD1019" i="1"/>
  <c r="CE1019" i="1" s="1"/>
  <c r="CD654" i="1"/>
  <c r="CE654" i="1" s="1"/>
  <c r="CD658" i="1"/>
  <c r="CE658" i="1" s="1"/>
  <c r="BZ666" i="1"/>
  <c r="CA666" i="1" s="1"/>
  <c r="CD701" i="1"/>
  <c r="CE701" i="1" s="1"/>
  <c r="CD726" i="1"/>
  <c r="CE726" i="1" s="1"/>
  <c r="CD735" i="1"/>
  <c r="CE735" i="1" s="1"/>
  <c r="BZ738" i="1"/>
  <c r="CA738" i="1" s="1"/>
  <c r="BZ741" i="1"/>
  <c r="CA741" i="1" s="1"/>
  <c r="BZ742" i="1"/>
  <c r="CA742" i="1" s="1"/>
  <c r="CD845" i="1"/>
  <c r="CE845" i="1" s="1"/>
  <c r="BZ592" i="1"/>
  <c r="CA592" i="1" s="1"/>
  <c r="CJ604" i="1"/>
  <c r="BD604" i="1" s="1"/>
  <c r="BZ612" i="1"/>
  <c r="CA612" i="1" s="1"/>
  <c r="BZ637" i="1"/>
  <c r="CA637" i="1" s="1"/>
  <c r="CD642" i="1"/>
  <c r="CE642" i="1" s="1"/>
  <c r="CD643" i="1"/>
  <c r="CE643" i="1" s="1"/>
  <c r="CD685" i="1"/>
  <c r="CE685" i="1" s="1"/>
  <c r="CD713" i="1"/>
  <c r="CE713" i="1" s="1"/>
  <c r="CD721" i="1"/>
  <c r="CE721" i="1" s="1"/>
  <c r="CD762" i="1"/>
  <c r="CE762" i="1" s="1"/>
  <c r="BZ588" i="1"/>
  <c r="CA588" i="1" s="1"/>
  <c r="BZ618" i="1"/>
  <c r="CA618" i="1" s="1"/>
  <c r="BZ626" i="1"/>
  <c r="CA626" i="1" s="1"/>
  <c r="BZ634" i="1"/>
  <c r="CA634" i="1" s="1"/>
  <c r="BZ650" i="1"/>
  <c r="CA650" i="1" s="1"/>
  <c r="CJ679" i="1"/>
  <c r="BD679" i="1" s="1"/>
  <c r="CJ680" i="1"/>
  <c r="BD680" i="1" s="1"/>
  <c r="BZ695" i="1"/>
  <c r="CA695" i="1" s="1"/>
  <c r="BZ715" i="1"/>
  <c r="CA715" i="1" s="1"/>
  <c r="BZ719" i="1"/>
  <c r="CA719" i="1" s="1"/>
  <c r="CD725" i="1"/>
  <c r="CE725" i="1" s="1"/>
  <c r="BZ763" i="1"/>
  <c r="CA763" i="1" s="1"/>
  <c r="CD774" i="1"/>
  <c r="CE774" i="1" s="1"/>
  <c r="BZ776" i="1"/>
  <c r="CA776" i="1" s="1"/>
  <c r="CD778" i="1"/>
  <c r="CE778" i="1" s="1"/>
  <c r="BZ884" i="1"/>
  <c r="CA884" i="1" s="1"/>
  <c r="CD908" i="1"/>
  <c r="CE908" i="1" s="1"/>
  <c r="CD933" i="1"/>
  <c r="CE933" i="1" s="1"/>
  <c r="CD640" i="1"/>
  <c r="CE640" i="1" s="1"/>
  <c r="CJ666" i="1"/>
  <c r="BD666" i="1" s="1"/>
  <c r="CJ692" i="1"/>
  <c r="BD692" i="1" s="1"/>
  <c r="BZ734" i="1"/>
  <c r="CA734" i="1" s="1"/>
  <c r="CD743" i="1"/>
  <c r="CE743" i="1" s="1"/>
  <c r="BZ758" i="1"/>
  <c r="CA758" i="1" s="1"/>
  <c r="BZ785" i="1"/>
  <c r="CA785" i="1" s="1"/>
  <c r="CD880" i="1"/>
  <c r="CE880" i="1" s="1"/>
  <c r="CF696" i="1"/>
  <c r="CG696" i="1" s="1"/>
  <c r="BZ718" i="1"/>
  <c r="CA718" i="1" s="1"/>
  <c r="CD729" i="1"/>
  <c r="CE729" i="1" s="1"/>
  <c r="BZ733" i="1"/>
  <c r="CA733" i="1" s="1"/>
  <c r="BZ745" i="1"/>
  <c r="CA745" i="1" s="1"/>
  <c r="BZ757" i="1"/>
  <c r="CA757" i="1" s="1"/>
  <c r="CJ759" i="1"/>
  <c r="BD759" i="1" s="1"/>
  <c r="CD763" i="1"/>
  <c r="CE763" i="1" s="1"/>
  <c r="BZ769" i="1"/>
  <c r="CA769" i="1" s="1"/>
  <c r="CD775" i="1"/>
  <c r="CE775" i="1" s="1"/>
  <c r="BZ809" i="1"/>
  <c r="CA809" i="1" s="1"/>
  <c r="BZ843" i="1"/>
  <c r="CA843" i="1" s="1"/>
  <c r="CD868" i="1"/>
  <c r="CE868" i="1" s="1"/>
  <c r="CD747" i="1"/>
  <c r="CE747" i="1" s="1"/>
  <c r="CD751" i="1"/>
  <c r="CE751" i="1" s="1"/>
  <c r="BZ777" i="1"/>
  <c r="CA777" i="1" s="1"/>
  <c r="CD779" i="1"/>
  <c r="CE779" i="1" s="1"/>
  <c r="BZ782" i="1"/>
  <c r="CA782" i="1" s="1"/>
  <c r="CD784" i="1"/>
  <c r="CE784" i="1" s="1"/>
  <c r="BZ868" i="1"/>
  <c r="CA868" i="1" s="1"/>
  <c r="BZ947" i="1"/>
  <c r="CA947" i="1" s="1"/>
  <c r="BZ750" i="1"/>
  <c r="CA750" i="1" s="1"/>
  <c r="CD759" i="1"/>
  <c r="CE759" i="1" s="1"/>
  <c r="BZ767" i="1"/>
  <c r="CA767" i="1" s="1"/>
  <c r="BZ770" i="1"/>
  <c r="CA770" i="1" s="1"/>
  <c r="BZ784" i="1"/>
  <c r="CA784" i="1" s="1"/>
  <c r="CD789" i="1"/>
  <c r="CE789" i="1" s="1"/>
  <c r="CD831" i="1"/>
  <c r="CE831" i="1" s="1"/>
  <c r="CD841" i="1"/>
  <c r="CE841" i="1" s="1"/>
  <c r="CD876" i="1"/>
  <c r="CE876" i="1" s="1"/>
  <c r="BZ885" i="1"/>
  <c r="CA885" i="1" s="1"/>
  <c r="CD1003" i="1"/>
  <c r="CE1003" i="1" s="1"/>
  <c r="CD755" i="1"/>
  <c r="CE755" i="1" s="1"/>
  <c r="BZ765" i="1"/>
  <c r="CA765" i="1" s="1"/>
  <c r="CD771" i="1"/>
  <c r="CE771" i="1" s="1"/>
  <c r="CD682" i="1"/>
  <c r="CE682" i="1" s="1"/>
  <c r="CJ716" i="1"/>
  <c r="BD716" i="1" s="1"/>
  <c r="BZ737" i="1"/>
  <c r="CA737" i="1" s="1"/>
  <c r="BZ749" i="1"/>
  <c r="CA749" i="1" s="1"/>
  <c r="BZ754" i="1"/>
  <c r="CA754" i="1" s="1"/>
  <c r="CJ770" i="1"/>
  <c r="BD770" i="1" s="1"/>
  <c r="BZ787" i="1"/>
  <c r="CA787" i="1" s="1"/>
  <c r="BZ829" i="1"/>
  <c r="CA829" i="1" s="1"/>
  <c r="BZ835" i="1"/>
  <c r="CA835" i="1" s="1"/>
  <c r="BX872" i="1"/>
  <c r="BY872" i="1" s="1"/>
  <c r="CD896" i="1"/>
  <c r="CE896" i="1" s="1"/>
  <c r="CD694" i="1"/>
  <c r="CE694" i="1" s="1"/>
  <c r="BZ698" i="1"/>
  <c r="CA698" i="1" s="1"/>
  <c r="BZ702" i="1"/>
  <c r="CA702" i="1" s="1"/>
  <c r="BZ710" i="1"/>
  <c r="CA710" i="1" s="1"/>
  <c r="CJ711" i="1"/>
  <c r="BD711" i="1" s="1"/>
  <c r="CD714" i="1"/>
  <c r="CE714" i="1" s="1"/>
  <c r="BZ753" i="1"/>
  <c r="CA753" i="1" s="1"/>
  <c r="BZ761" i="1"/>
  <c r="CA761" i="1" s="1"/>
  <c r="CD767" i="1"/>
  <c r="CE767" i="1" s="1"/>
  <c r="BX792" i="1"/>
  <c r="BY792" i="1" s="1"/>
  <c r="CD799" i="1"/>
  <c r="CE799" i="1" s="1"/>
  <c r="BZ821" i="1"/>
  <c r="CA821" i="1" s="1"/>
  <c r="BZ833" i="1"/>
  <c r="CA833" i="1" s="1"/>
  <c r="CD869" i="1"/>
  <c r="CE869" i="1" s="1"/>
  <c r="BZ872" i="1"/>
  <c r="CA872" i="1" s="1"/>
  <c r="CD886" i="1"/>
  <c r="CE886" i="1" s="1"/>
  <c r="BZ994" i="1"/>
  <c r="CA994" i="1" s="1"/>
  <c r="BZ773" i="1"/>
  <c r="CA773" i="1" s="1"/>
  <c r="CJ783" i="1"/>
  <c r="BD783" i="1" s="1"/>
  <c r="CD803" i="1"/>
  <c r="CE803" i="1" s="1"/>
  <c r="CD807" i="1"/>
  <c r="CE807" i="1" s="1"/>
  <c r="CD859" i="1"/>
  <c r="CE859" i="1" s="1"/>
  <c r="CD884" i="1"/>
  <c r="CE884" i="1" s="1"/>
  <c r="BZ894" i="1"/>
  <c r="CA894" i="1" s="1"/>
  <c r="CD800" i="1"/>
  <c r="CE800" i="1" s="1"/>
  <c r="BZ871" i="1"/>
  <c r="CA871" i="1" s="1"/>
  <c r="BZ908" i="1"/>
  <c r="CA908" i="1" s="1"/>
  <c r="CD925" i="1"/>
  <c r="CE925" i="1" s="1"/>
  <c r="CD929" i="1"/>
  <c r="CE929" i="1" s="1"/>
  <c r="CD937" i="1"/>
  <c r="CE937" i="1" s="1"/>
  <c r="CD953" i="1"/>
  <c r="CE953" i="1" s="1"/>
  <c r="CD966" i="1"/>
  <c r="CE966" i="1" s="1"/>
  <c r="CD1027" i="1"/>
  <c r="CE1027" i="1" s="1"/>
  <c r="CD788" i="1"/>
  <c r="CE788" i="1" s="1"/>
  <c r="BZ800" i="1"/>
  <c r="CA800" i="1" s="1"/>
  <c r="CD860" i="1"/>
  <c r="CE860" i="1" s="1"/>
  <c r="CD888" i="1"/>
  <c r="CE888" i="1" s="1"/>
  <c r="CD907" i="1"/>
  <c r="CE907" i="1" s="1"/>
  <c r="CD958" i="1"/>
  <c r="CE958" i="1" s="1"/>
  <c r="CD965" i="1"/>
  <c r="CE965" i="1" s="1"/>
  <c r="BZ966" i="1"/>
  <c r="CA966" i="1" s="1"/>
  <c r="BZ788" i="1"/>
  <c r="CA788" i="1" s="1"/>
  <c r="BZ789" i="1"/>
  <c r="CA789" i="1" s="1"/>
  <c r="CD828" i="1"/>
  <c r="CE828" i="1" s="1"/>
  <c r="BZ832" i="1"/>
  <c r="CA832" i="1" s="1"/>
  <c r="BZ860" i="1"/>
  <c r="CA860" i="1" s="1"/>
  <c r="CD909" i="1"/>
  <c r="CE909" i="1" s="1"/>
  <c r="CD948" i="1"/>
  <c r="CE948" i="1" s="1"/>
  <c r="BZ958" i="1"/>
  <c r="CA958" i="1" s="1"/>
  <c r="BZ975" i="1"/>
  <c r="CA975" i="1" s="1"/>
  <c r="CD1040" i="1"/>
  <c r="CE1040" i="1" s="1"/>
  <c r="CD812" i="1"/>
  <c r="CE812" i="1" s="1"/>
  <c r="CD824" i="1"/>
  <c r="CE824" i="1" s="1"/>
  <c r="BZ828" i="1"/>
  <c r="CA828" i="1" s="1"/>
  <c r="CD836" i="1"/>
  <c r="CE836" i="1" s="1"/>
  <c r="BZ852" i="1"/>
  <c r="CA852" i="1" s="1"/>
  <c r="BZ853" i="1"/>
  <c r="CA853" i="1" s="1"/>
  <c r="CD856" i="1"/>
  <c r="CE856" i="1" s="1"/>
  <c r="CD903" i="1"/>
  <c r="CE903" i="1" s="1"/>
  <c r="CD911" i="1"/>
  <c r="CE911" i="1" s="1"/>
  <c r="CD1002" i="1"/>
  <c r="CE1002" i="1" s="1"/>
  <c r="CD1012" i="1"/>
  <c r="CE1012" i="1" s="1"/>
  <c r="BZ797" i="1"/>
  <c r="CA797" i="1" s="1"/>
  <c r="CD808" i="1"/>
  <c r="CE808" i="1" s="1"/>
  <c r="BZ812" i="1"/>
  <c r="CA812" i="1" s="1"/>
  <c r="BZ820" i="1"/>
  <c r="CA820" i="1" s="1"/>
  <c r="BZ824" i="1"/>
  <c r="CA824" i="1" s="1"/>
  <c r="BZ836" i="1"/>
  <c r="CA836" i="1" s="1"/>
  <c r="CD844" i="1"/>
  <c r="CE844" i="1" s="1"/>
  <c r="BZ856" i="1"/>
  <c r="CA856" i="1" s="1"/>
  <c r="CD873" i="1"/>
  <c r="CE873" i="1" s="1"/>
  <c r="BZ903" i="1"/>
  <c r="CA903" i="1" s="1"/>
  <c r="BZ911" i="1"/>
  <c r="CA911" i="1" s="1"/>
  <c r="CD930" i="1"/>
  <c r="CE930" i="1" s="1"/>
  <c r="BZ932" i="1"/>
  <c r="CA932" i="1" s="1"/>
  <c r="CD944" i="1"/>
  <c r="CE944" i="1" s="1"/>
  <c r="CD952" i="1"/>
  <c r="CE952" i="1" s="1"/>
  <c r="BZ962" i="1"/>
  <c r="CA962" i="1" s="1"/>
  <c r="BZ1012" i="1"/>
  <c r="CA1012" i="1" s="1"/>
  <c r="BZ1026" i="1"/>
  <c r="CA1026" i="1" s="1"/>
  <c r="CD792" i="1"/>
  <c r="CE792" i="1" s="1"/>
  <c r="BZ801" i="1"/>
  <c r="CA801" i="1" s="1"/>
  <c r="BZ844" i="1"/>
  <c r="CA844" i="1" s="1"/>
  <c r="CJ851" i="1"/>
  <c r="BD851" i="1" s="1"/>
  <c r="BZ873" i="1"/>
  <c r="CA873" i="1" s="1"/>
  <c r="CD890" i="1"/>
  <c r="CE890" i="1" s="1"/>
  <c r="CD915" i="1"/>
  <c r="CE915" i="1" s="1"/>
  <c r="BZ930" i="1"/>
  <c r="CA930" i="1" s="1"/>
  <c r="CD954" i="1"/>
  <c r="CE954" i="1" s="1"/>
  <c r="CD957" i="1"/>
  <c r="CE957" i="1" s="1"/>
  <c r="CD964" i="1"/>
  <c r="CE964" i="1" s="1"/>
  <c r="CD978" i="1"/>
  <c r="CE978" i="1" s="1"/>
  <c r="BZ792" i="1"/>
  <c r="CA792" i="1" s="1"/>
  <c r="BZ796" i="1"/>
  <c r="CA796" i="1" s="1"/>
  <c r="CJ819" i="1"/>
  <c r="BD819" i="1" s="1"/>
  <c r="CD892" i="1"/>
  <c r="CE892" i="1" s="1"/>
  <c r="BZ901" i="1"/>
  <c r="CA901" i="1" s="1"/>
  <c r="BZ938" i="1"/>
  <c r="CA938" i="1" s="1"/>
  <c r="CD942" i="1"/>
  <c r="CE942" i="1" s="1"/>
  <c r="CD961" i="1"/>
  <c r="CE961" i="1" s="1"/>
  <c r="BZ967" i="1"/>
  <c r="CA967" i="1" s="1"/>
  <c r="BZ900" i="1"/>
  <c r="CA900" i="1" s="1"/>
  <c r="CD904" i="1"/>
  <c r="CE904" i="1" s="1"/>
  <c r="CD916" i="1"/>
  <c r="CE916" i="1" s="1"/>
  <c r="BZ929" i="1"/>
  <c r="CA929" i="1" s="1"/>
  <c r="BZ934" i="1"/>
  <c r="CA934" i="1" s="1"/>
  <c r="BZ937" i="1"/>
  <c r="CA937" i="1" s="1"/>
  <c r="CD938" i="1"/>
  <c r="CE938" i="1" s="1"/>
  <c r="BZ940" i="1"/>
  <c r="CA940" i="1" s="1"/>
  <c r="BZ944" i="1"/>
  <c r="CA944" i="1" s="1"/>
  <c r="BZ946" i="1"/>
  <c r="CA946" i="1" s="1"/>
  <c r="BZ952" i="1"/>
  <c r="CA952" i="1" s="1"/>
  <c r="BZ957" i="1"/>
  <c r="CA957" i="1" s="1"/>
  <c r="BZ961" i="1"/>
  <c r="CA961" i="1" s="1"/>
  <c r="BZ978" i="1"/>
  <c r="CA978" i="1" s="1"/>
  <c r="BZ983" i="1"/>
  <c r="CA983" i="1" s="1"/>
  <c r="BZ988" i="1"/>
  <c r="CA988" i="1" s="1"/>
  <c r="CD992" i="1"/>
  <c r="CE992" i="1" s="1"/>
  <c r="CD1023" i="1"/>
  <c r="CE1023" i="1" s="1"/>
  <c r="BZ1040" i="1"/>
  <c r="CA1040" i="1" s="1"/>
  <c r="BZ915" i="1"/>
  <c r="CA915" i="1" s="1"/>
  <c r="BZ925" i="1"/>
  <c r="CA925" i="1" s="1"/>
  <c r="CD926" i="1"/>
  <c r="CE926" i="1" s="1"/>
  <c r="CD928" i="1"/>
  <c r="CE928" i="1" s="1"/>
  <c r="BZ954" i="1"/>
  <c r="CA954" i="1" s="1"/>
  <c r="BZ965" i="1"/>
  <c r="CA965" i="1" s="1"/>
  <c r="BZ971" i="1"/>
  <c r="CA971" i="1" s="1"/>
  <c r="BZ974" i="1"/>
  <c r="CA974" i="1" s="1"/>
  <c r="BZ986" i="1"/>
  <c r="CA986" i="1" s="1"/>
  <c r="CD987" i="1"/>
  <c r="CE987" i="1" s="1"/>
  <c r="BZ1018" i="1"/>
  <c r="CA1018" i="1" s="1"/>
  <c r="BZ1023" i="1"/>
  <c r="CA1023" i="1" s="1"/>
  <c r="BZ1034" i="1"/>
  <c r="CA1034" i="1" s="1"/>
  <c r="BZ1126" i="1"/>
  <c r="CA1126" i="1" s="1"/>
  <c r="BX1128" i="1"/>
  <c r="BY1128" i="1" s="1"/>
  <c r="BZ904" i="1"/>
  <c r="CA904" i="1" s="1"/>
  <c r="BZ912" i="1"/>
  <c r="CA912" i="1" s="1"/>
  <c r="BZ916" i="1"/>
  <c r="CA916" i="1" s="1"/>
  <c r="BZ928" i="1"/>
  <c r="CA928" i="1" s="1"/>
  <c r="BZ936" i="1"/>
  <c r="CA936" i="1" s="1"/>
  <c r="BZ945" i="1"/>
  <c r="CA945" i="1" s="1"/>
  <c r="CD976" i="1"/>
  <c r="CE976" i="1" s="1"/>
  <c r="BZ987" i="1"/>
  <c r="CA987" i="1" s="1"/>
  <c r="CD991" i="1"/>
  <c r="CE991" i="1" s="1"/>
  <c r="BZ1009" i="1"/>
  <c r="CA1009" i="1" s="1"/>
  <c r="CD1014" i="1"/>
  <c r="CE1014" i="1" s="1"/>
  <c r="CD1039" i="1"/>
  <c r="CE1039" i="1" s="1"/>
  <c r="BZ1042" i="1"/>
  <c r="CA1042" i="1" s="1"/>
  <c r="CD895" i="1"/>
  <c r="CE895" i="1" s="1"/>
  <c r="CD905" i="1"/>
  <c r="CE905" i="1" s="1"/>
  <c r="BZ907" i="1"/>
  <c r="CA907" i="1" s="1"/>
  <c r="BZ920" i="1"/>
  <c r="CA920" i="1" s="1"/>
  <c r="CD922" i="1"/>
  <c r="CE922" i="1" s="1"/>
  <c r="CD934" i="1"/>
  <c r="CE934" i="1" s="1"/>
  <c r="CD973" i="1"/>
  <c r="CE973" i="1" s="1"/>
  <c r="BZ998" i="1"/>
  <c r="CA998" i="1" s="1"/>
  <c r="BZ1002" i="1"/>
  <c r="CA1002" i="1" s="1"/>
  <c r="BZ1004" i="1"/>
  <c r="CA1004" i="1" s="1"/>
  <c r="CD1011" i="1"/>
  <c r="CE1011" i="1" s="1"/>
  <c r="CD1036" i="1"/>
  <c r="CE1036" i="1" s="1"/>
  <c r="BZ895" i="1"/>
  <c r="CA895" i="1" s="1"/>
  <c r="BZ902" i="1"/>
  <c r="CA902" i="1" s="1"/>
  <c r="BZ931" i="1"/>
  <c r="CA931" i="1" s="1"/>
  <c r="BZ942" i="1"/>
  <c r="CA942" i="1" s="1"/>
  <c r="BZ948" i="1"/>
  <c r="CA948" i="1" s="1"/>
  <c r="BZ950" i="1"/>
  <c r="CA950" i="1" s="1"/>
  <c r="BZ955" i="1"/>
  <c r="CA955" i="1" s="1"/>
  <c r="BZ959" i="1"/>
  <c r="CA959" i="1" s="1"/>
  <c r="BZ973" i="1"/>
  <c r="CA973" i="1" s="1"/>
  <c r="CD984" i="1"/>
  <c r="CE984" i="1" s="1"/>
  <c r="CD989" i="1"/>
  <c r="CE989" i="1" s="1"/>
  <c r="BZ1022" i="1"/>
  <c r="CA1022" i="1" s="1"/>
  <c r="CD1044" i="1"/>
  <c r="CE1044" i="1" s="1"/>
  <c r="CF888" i="1"/>
  <c r="CG888" i="1" s="1"/>
  <c r="CJ903" i="1"/>
  <c r="BD903" i="1" s="1"/>
  <c r="CD917" i="1"/>
  <c r="CE917" i="1" s="1"/>
  <c r="BZ933" i="1"/>
  <c r="CA933" i="1" s="1"/>
  <c r="BZ939" i="1"/>
  <c r="CA939" i="1" s="1"/>
  <c r="BZ943" i="1"/>
  <c r="CA943" i="1" s="1"/>
  <c r="BZ951" i="1"/>
  <c r="CA951" i="1" s="1"/>
  <c r="BZ979" i="1"/>
  <c r="CA979" i="1" s="1"/>
  <c r="BZ989" i="1"/>
  <c r="CA989" i="1" s="1"/>
  <c r="BZ990" i="1"/>
  <c r="CA990" i="1" s="1"/>
  <c r="CD1001" i="1"/>
  <c r="CE1001" i="1" s="1"/>
  <c r="BZ1016" i="1"/>
  <c r="CA1016" i="1" s="1"/>
  <c r="CD1032" i="1"/>
  <c r="CE1032" i="1" s="1"/>
  <c r="BZ1033" i="1"/>
  <c r="CA1033" i="1" s="1"/>
  <c r="CD1035" i="1"/>
  <c r="CE1035" i="1" s="1"/>
  <c r="BZ1044" i="1"/>
  <c r="CA1044" i="1" s="1"/>
  <c r="CD901" i="1"/>
  <c r="CE901" i="1" s="1"/>
  <c r="CD919" i="1"/>
  <c r="CE919" i="1" s="1"/>
  <c r="BZ921" i="1"/>
  <c r="CA921" i="1" s="1"/>
  <c r="BZ941" i="1"/>
  <c r="CA941" i="1" s="1"/>
  <c r="BZ949" i="1"/>
  <c r="CA949" i="1" s="1"/>
  <c r="BZ953" i="1"/>
  <c r="CA953" i="1" s="1"/>
  <c r="BZ969" i="1"/>
  <c r="CA969" i="1" s="1"/>
  <c r="CD994" i="1"/>
  <c r="CE994" i="1" s="1"/>
  <c r="CJ998" i="1"/>
  <c r="BD998" i="1" s="1"/>
  <c r="BZ1001" i="1"/>
  <c r="CA1001" i="1" s="1"/>
  <c r="BZ1021" i="1"/>
  <c r="CA1021" i="1" s="1"/>
  <c r="BZ1038" i="1"/>
  <c r="CA1038" i="1" s="1"/>
  <c r="BZ1041" i="1"/>
  <c r="CA1041" i="1" s="1"/>
  <c r="CD1043" i="1"/>
  <c r="CE1043" i="1" s="1"/>
  <c r="CD1047" i="1"/>
  <c r="CE1047" i="1" s="1"/>
  <c r="CD981" i="1"/>
  <c r="CE981" i="1" s="1"/>
  <c r="BZ985" i="1"/>
  <c r="CA985" i="1" s="1"/>
  <c r="BZ993" i="1"/>
  <c r="CA993" i="1" s="1"/>
  <c r="BZ995" i="1"/>
  <c r="CA995" i="1" s="1"/>
  <c r="BZ996" i="1"/>
  <c r="CA996" i="1" s="1"/>
  <c r="BZ997" i="1"/>
  <c r="CA997" i="1" s="1"/>
  <c r="BZ999" i="1"/>
  <c r="CA999" i="1" s="1"/>
  <c r="BZ1000" i="1"/>
  <c r="CA1000" i="1" s="1"/>
  <c r="CD1005" i="1"/>
  <c r="CE1005" i="1" s="1"/>
  <c r="CD1009" i="1"/>
  <c r="CE1009" i="1" s="1"/>
  <c r="CJ1028" i="1"/>
  <c r="BD1028" i="1" s="1"/>
  <c r="BZ1032" i="1"/>
  <c r="CA1032" i="1" s="1"/>
  <c r="BZ1036" i="1"/>
  <c r="CA1036" i="1" s="1"/>
  <c r="BZ1047" i="1"/>
  <c r="CA1047" i="1" s="1"/>
  <c r="BX1048" i="1"/>
  <c r="BY1048" i="1" s="1"/>
  <c r="CD1098" i="1"/>
  <c r="CE1098" i="1" s="1"/>
  <c r="CD1135" i="1"/>
  <c r="CE1135" i="1" s="1"/>
  <c r="CD1172" i="1"/>
  <c r="CE1172" i="1" s="1"/>
  <c r="BZ1178" i="1"/>
  <c r="CA1178" i="1" s="1"/>
  <c r="CJ1000" i="1"/>
  <c r="BD1000" i="1" s="1"/>
  <c r="CD1013" i="1"/>
  <c r="CE1013" i="1" s="1"/>
  <c r="CD1017" i="1"/>
  <c r="CE1017" i="1" s="1"/>
  <c r="CJ1018" i="1"/>
  <c r="BD1018" i="1" s="1"/>
  <c r="CJ1019" i="1"/>
  <c r="BD1019" i="1" s="1"/>
  <c r="BZ1024" i="1"/>
  <c r="CA1024" i="1" s="1"/>
  <c r="BZ1037" i="1"/>
  <c r="CA1037" i="1" s="1"/>
  <c r="CD1054" i="1"/>
  <c r="CE1054" i="1" s="1"/>
  <c r="CD1062" i="1"/>
  <c r="CE1062" i="1" s="1"/>
  <c r="BZ1133" i="1"/>
  <c r="CA1133" i="1" s="1"/>
  <c r="BX1144" i="1"/>
  <c r="BY1144" i="1" s="1"/>
  <c r="CD1201" i="1"/>
  <c r="CE1201" i="1" s="1"/>
  <c r="BZ977" i="1"/>
  <c r="CA977" i="1" s="1"/>
  <c r="CJ1004" i="1"/>
  <c r="BD1004" i="1" s="1"/>
  <c r="BZ1007" i="1"/>
  <c r="CA1007" i="1" s="1"/>
  <c r="BZ1031" i="1"/>
  <c r="CA1031" i="1" s="1"/>
  <c r="CD1050" i="1"/>
  <c r="CE1050" i="1" s="1"/>
  <c r="BZ1054" i="1"/>
  <c r="CA1054" i="1" s="1"/>
  <c r="CD1082" i="1"/>
  <c r="CE1082" i="1" s="1"/>
  <c r="BZ1050" i="1"/>
  <c r="CA1050" i="1" s="1"/>
  <c r="CD1079" i="1"/>
  <c r="CE1079" i="1" s="1"/>
  <c r="CD1129" i="1"/>
  <c r="CE1129" i="1" s="1"/>
  <c r="BZ1174" i="1"/>
  <c r="CA1174" i="1" s="1"/>
  <c r="CD1196" i="1"/>
  <c r="CE1196" i="1" s="1"/>
  <c r="BZ981" i="1"/>
  <c r="CA981" i="1" s="1"/>
  <c r="CD997" i="1"/>
  <c r="CE997" i="1" s="1"/>
  <c r="BZ1010" i="1"/>
  <c r="CA1010" i="1" s="1"/>
  <c r="BZ1015" i="1"/>
  <c r="CA1015" i="1" s="1"/>
  <c r="BZ1027" i="1"/>
  <c r="CA1027" i="1" s="1"/>
  <c r="BZ1039" i="1"/>
  <c r="CA1039" i="1" s="1"/>
  <c r="CJ1059" i="1"/>
  <c r="BD1059" i="1" s="1"/>
  <c r="CD1067" i="1"/>
  <c r="CE1067" i="1" s="1"/>
  <c r="BZ1079" i="1"/>
  <c r="CA1079" i="1" s="1"/>
  <c r="CD1107" i="1"/>
  <c r="CE1107" i="1" s="1"/>
  <c r="BZ1119" i="1"/>
  <c r="CA1119" i="1" s="1"/>
  <c r="BZ1121" i="1"/>
  <c r="CA1121" i="1" s="1"/>
  <c r="CJ1124" i="1"/>
  <c r="BD1124" i="1" s="1"/>
  <c r="CD1127" i="1"/>
  <c r="CE1127" i="1" s="1"/>
  <c r="BZ1129" i="1"/>
  <c r="CA1129" i="1" s="1"/>
  <c r="CD1141" i="1"/>
  <c r="CE1141" i="1" s="1"/>
  <c r="CD1171" i="1"/>
  <c r="CE1171" i="1" s="1"/>
  <c r="CD1173" i="1"/>
  <c r="CE1173" i="1" s="1"/>
  <c r="BX1192" i="1"/>
  <c r="BY1192" i="1" s="1"/>
  <c r="CD983" i="1"/>
  <c r="CE983" i="1" s="1"/>
  <c r="BZ1019" i="1"/>
  <c r="CA1019" i="1" s="1"/>
  <c r="CD1034" i="1"/>
  <c r="CE1034" i="1" s="1"/>
  <c r="BZ1035" i="1"/>
  <c r="CA1035" i="1" s="1"/>
  <c r="BZ1043" i="1"/>
  <c r="CA1043" i="1" s="1"/>
  <c r="BZ1067" i="1"/>
  <c r="CA1067" i="1" s="1"/>
  <c r="CD1075" i="1"/>
  <c r="CE1075" i="1" s="1"/>
  <c r="CD1081" i="1"/>
  <c r="CE1081" i="1" s="1"/>
  <c r="CD1101" i="1"/>
  <c r="CE1101" i="1" s="1"/>
  <c r="CD1109" i="1"/>
  <c r="CE1109" i="1" s="1"/>
  <c r="BZ1141" i="1"/>
  <c r="CA1141" i="1" s="1"/>
  <c r="BZ1190" i="1"/>
  <c r="CA1190" i="1" s="1"/>
  <c r="BZ1071" i="1"/>
  <c r="CA1071" i="1" s="1"/>
  <c r="CD1090" i="1"/>
  <c r="CE1090" i="1" s="1"/>
  <c r="CD1093" i="1"/>
  <c r="CE1093" i="1" s="1"/>
  <c r="BZ1134" i="1"/>
  <c r="CA1134" i="1" s="1"/>
  <c r="BZ1186" i="1"/>
  <c r="CA1186" i="1" s="1"/>
  <c r="BZ1082" i="1"/>
  <c r="CA1082" i="1" s="1"/>
  <c r="CJ1111" i="1"/>
  <c r="BD1111" i="1" s="1"/>
  <c r="BZ1132" i="1"/>
  <c r="CA1132" i="1" s="1"/>
  <c r="CD1140" i="1"/>
  <c r="CE1140" i="1" s="1"/>
  <c r="CJ1142" i="1"/>
  <c r="BD1142" i="1" s="1"/>
  <c r="CJ1154" i="1"/>
  <c r="BD1154" i="1" s="1"/>
  <c r="CJ1177" i="1"/>
  <c r="BD1177" i="1" s="1"/>
  <c r="CD1106" i="1"/>
  <c r="CE1106" i="1" s="1"/>
  <c r="CD1189" i="1"/>
  <c r="CE1189" i="1" s="1"/>
  <c r="CD1193" i="1"/>
  <c r="CE1193" i="1" s="1"/>
  <c r="BZ1075" i="1"/>
  <c r="CA1075" i="1" s="1"/>
  <c r="CD1103" i="1"/>
  <c r="CE1103" i="1" s="1"/>
  <c r="CD1169" i="1"/>
  <c r="CE1169" i="1" s="1"/>
  <c r="CD1177" i="1"/>
  <c r="CE1177" i="1" s="1"/>
  <c r="CJ1181" i="1"/>
  <c r="BD1181" i="1" s="1"/>
  <c r="BZ1185" i="1"/>
  <c r="CA1185" i="1" s="1"/>
  <c r="BZ1192" i="1"/>
  <c r="CA1192" i="1" s="1"/>
  <c r="CD1197" i="1"/>
  <c r="CE1197" i="1" s="1"/>
  <c r="BZ1122" i="1"/>
  <c r="CA1122" i="1" s="1"/>
  <c r="BZ1130" i="1"/>
  <c r="CA1130" i="1" s="1"/>
  <c r="CD1148" i="1"/>
  <c r="CE1148" i="1" s="1"/>
  <c r="BZ1182" i="1"/>
  <c r="CA1182" i="1" s="1"/>
  <c r="BZ1188" i="1"/>
  <c r="CA1188" i="1" s="1"/>
  <c r="BZ1091" i="1"/>
  <c r="CA1091" i="1" s="1"/>
  <c r="CD1102" i="1"/>
  <c r="CE1102" i="1" s="1"/>
  <c r="CD1111" i="1"/>
  <c r="CE1111" i="1" s="1"/>
  <c r="CD1114" i="1"/>
  <c r="CE1114" i="1" s="1"/>
  <c r="BZ1118" i="1"/>
  <c r="CA1118" i="1" s="1"/>
  <c r="BZ1138" i="1"/>
  <c r="CA1138" i="1" s="1"/>
  <c r="BZ1156" i="1"/>
  <c r="CA1156" i="1" s="1"/>
  <c r="BZ1164" i="1"/>
  <c r="CA1164" i="1" s="1"/>
  <c r="CD1181" i="1"/>
  <c r="CE1181" i="1" s="1"/>
  <c r="BZ1184" i="1"/>
  <c r="CA1184" i="1" s="1"/>
  <c r="BZ1202" i="1"/>
  <c r="CA1202" i="1" s="1"/>
  <c r="CJ1077" i="1"/>
  <c r="BD1077" i="1" s="1"/>
  <c r="CD1087" i="1"/>
  <c r="CE1087" i="1" s="1"/>
  <c r="BX1096" i="1"/>
  <c r="BY1096" i="1" s="1"/>
  <c r="CD1185" i="1"/>
  <c r="CE1185" i="1" s="1"/>
  <c r="CD1187" i="1"/>
  <c r="CE1187" i="1" s="1"/>
  <c r="CD1195" i="1"/>
  <c r="CE1195" i="1" s="1"/>
  <c r="CD1080" i="1"/>
  <c r="CE1080" i="1" s="1"/>
  <c r="CD1110" i="1"/>
  <c r="CE1110" i="1" s="1"/>
  <c r="CD1126" i="1"/>
  <c r="CE1126" i="1" s="1"/>
  <c r="BZ1137" i="1"/>
  <c r="CA1137" i="1" s="1"/>
  <c r="CD1139" i="1"/>
  <c r="CE1139" i="1" s="1"/>
  <c r="CJ1173" i="1"/>
  <c r="BD1173" i="1" s="1"/>
  <c r="CD1183" i="1"/>
  <c r="CE1183" i="1" s="1"/>
  <c r="BZ81" i="1"/>
  <c r="CA81" i="1" s="1"/>
  <c r="BZ5" i="1"/>
  <c r="CA5" i="1" s="1"/>
  <c r="CF5" i="1"/>
  <c r="CG5" i="1" s="1"/>
  <c r="BZ29" i="1"/>
  <c r="CA29" i="1" s="1"/>
  <c r="CF29" i="1"/>
  <c r="CG29" i="1" s="1"/>
  <c r="CD34" i="1"/>
  <c r="CE34" i="1" s="1"/>
  <c r="BZ41" i="1"/>
  <c r="CA41" i="1" s="1"/>
  <c r="CD62" i="1"/>
  <c r="CE62" i="1" s="1"/>
  <c r="CD66" i="1"/>
  <c r="CE66" i="1" s="1"/>
  <c r="CD70" i="1"/>
  <c r="CE70" i="1" s="1"/>
  <c r="CD74" i="1"/>
  <c r="CE74" i="1" s="1"/>
  <c r="BZ89" i="1"/>
  <c r="CA89" i="1" s="1"/>
  <c r="BZ13" i="1"/>
  <c r="CA13" i="1" s="1"/>
  <c r="BZ17" i="1"/>
  <c r="CA17" i="1" s="1"/>
  <c r="BZ49" i="1"/>
  <c r="CA49" i="1" s="1"/>
  <c r="BZ93" i="1"/>
  <c r="CA93" i="1" s="1"/>
  <c r="CD114" i="1"/>
  <c r="CE114" i="1" s="1"/>
  <c r="CJ4" i="1"/>
  <c r="BD4" i="1" s="1"/>
  <c r="CD10" i="1"/>
  <c r="CE10" i="1" s="1"/>
  <c r="BZ45" i="1"/>
  <c r="CA45" i="1" s="1"/>
  <c r="BZ53" i="1"/>
  <c r="CA53" i="1" s="1"/>
  <c r="CF53" i="1"/>
  <c r="CG53" i="1" s="1"/>
  <c r="BZ57" i="1"/>
  <c r="CA57" i="1" s="1"/>
  <c r="CD99" i="1"/>
  <c r="CE99" i="1" s="1"/>
  <c r="BZ270" i="1"/>
  <c r="CA270" i="1" s="1"/>
  <c r="BZ10" i="1"/>
  <c r="CA10" i="1" s="1"/>
  <c r="CD26" i="1"/>
  <c r="CE26" i="1" s="1"/>
  <c r="BZ33" i="1"/>
  <c r="CA33" i="1" s="1"/>
  <c r="CD38" i="1"/>
  <c r="CE38" i="1" s="1"/>
  <c r="BZ61" i="1"/>
  <c r="CA61" i="1" s="1"/>
  <c r="BZ65" i="1"/>
  <c r="CA65" i="1" s="1"/>
  <c r="BZ69" i="1"/>
  <c r="CA69" i="1" s="1"/>
  <c r="BZ73" i="1"/>
  <c r="CA73" i="1" s="1"/>
  <c r="CJ88" i="1"/>
  <c r="BD88" i="1" s="1"/>
  <c r="CD154" i="1"/>
  <c r="CE154" i="1" s="1"/>
  <c r="CD14" i="1"/>
  <c r="CE14" i="1" s="1"/>
  <c r="BZ21" i="1"/>
  <c r="CA21" i="1" s="1"/>
  <c r="BZ26" i="1"/>
  <c r="CA26" i="1" s="1"/>
  <c r="BZ38" i="1"/>
  <c r="CA38" i="1" s="1"/>
  <c r="CD78" i="1"/>
  <c r="CE78" i="1" s="1"/>
  <c r="CD82" i="1"/>
  <c r="CE82" i="1" s="1"/>
  <c r="CD86" i="1"/>
  <c r="CE86" i="1" s="1"/>
  <c r="CD102" i="1"/>
  <c r="CE102" i="1" s="1"/>
  <c r="BZ9" i="1"/>
  <c r="CA9" i="1" s="1"/>
  <c r="BZ14" i="1"/>
  <c r="CA14" i="1" s="1"/>
  <c r="BZ37" i="1"/>
  <c r="CA37" i="1" s="1"/>
  <c r="CJ52" i="1"/>
  <c r="BD52" i="1" s="1"/>
  <c r="BZ78" i="1"/>
  <c r="CA78" i="1" s="1"/>
  <c r="BZ82" i="1"/>
  <c r="CA82" i="1" s="1"/>
  <c r="BZ86" i="1"/>
  <c r="CA86" i="1" s="1"/>
  <c r="CD101" i="1"/>
  <c r="CE101" i="1" s="1"/>
  <c r="BX101" i="1"/>
  <c r="BY101" i="1" s="1"/>
  <c r="CD162" i="1"/>
  <c r="CE162" i="1" s="1"/>
  <c r="BZ85" i="1"/>
  <c r="CA85" i="1" s="1"/>
  <c r="CD6" i="1"/>
  <c r="CE6" i="1" s="1"/>
  <c r="CD18" i="1"/>
  <c r="CE18" i="1" s="1"/>
  <c r="CJ20" i="1"/>
  <c r="BD20" i="1" s="1"/>
  <c r="BZ25" i="1"/>
  <c r="CA25" i="1" s="1"/>
  <c r="CD30" i="1"/>
  <c r="CE30" i="1" s="1"/>
  <c r="CD50" i="1"/>
  <c r="CE50" i="1" s="1"/>
  <c r="BZ77" i="1"/>
  <c r="CA77" i="1" s="1"/>
  <c r="CF77" i="1"/>
  <c r="CG77" i="1" s="1"/>
  <c r="CD90" i="1"/>
  <c r="CE90" i="1" s="1"/>
  <c r="CD94" i="1"/>
  <c r="CE94" i="1" s="1"/>
  <c r="BZ3" i="1"/>
  <c r="CA3" i="1" s="1"/>
  <c r="BZ7" i="1"/>
  <c r="CA7" i="1" s="1"/>
  <c r="BX10" i="1"/>
  <c r="BY10" i="1" s="1"/>
  <c r="CF10" i="1"/>
  <c r="CG10" i="1" s="1"/>
  <c r="BZ11" i="1"/>
  <c r="CA11" i="1" s="1"/>
  <c r="BZ15" i="1"/>
  <c r="CA15" i="1" s="1"/>
  <c r="BZ19" i="1"/>
  <c r="CA19" i="1" s="1"/>
  <c r="BZ23" i="1"/>
  <c r="CA23" i="1" s="1"/>
  <c r="BZ27" i="1"/>
  <c r="CA27" i="1" s="1"/>
  <c r="BZ31" i="1"/>
  <c r="CA31" i="1" s="1"/>
  <c r="BX34" i="1"/>
  <c r="BY34" i="1" s="1"/>
  <c r="CF34" i="1"/>
  <c r="CG34" i="1" s="1"/>
  <c r="BZ35" i="1"/>
  <c r="CA35" i="1" s="1"/>
  <c r="BZ39" i="1"/>
  <c r="CA39" i="1" s="1"/>
  <c r="BZ43" i="1"/>
  <c r="CA43" i="1" s="1"/>
  <c r="BZ47" i="1"/>
  <c r="CA47" i="1" s="1"/>
  <c r="BZ51" i="1"/>
  <c r="CA51" i="1" s="1"/>
  <c r="BZ55" i="1"/>
  <c r="CA55" i="1" s="1"/>
  <c r="BZ59" i="1"/>
  <c r="CA59" i="1" s="1"/>
  <c r="BZ63" i="1"/>
  <c r="CA63" i="1" s="1"/>
  <c r="BZ67" i="1"/>
  <c r="CA67" i="1" s="1"/>
  <c r="BZ71" i="1"/>
  <c r="CA71" i="1" s="1"/>
  <c r="BZ75" i="1"/>
  <c r="CA75" i="1" s="1"/>
  <c r="BZ79" i="1"/>
  <c r="CA79" i="1" s="1"/>
  <c r="BZ83" i="1"/>
  <c r="CA83" i="1" s="1"/>
  <c r="CF99" i="1"/>
  <c r="CG99" i="1" s="1"/>
  <c r="CD178" i="1"/>
  <c r="CE178" i="1" s="1"/>
  <c r="CD122" i="1"/>
  <c r="CE122" i="1" s="1"/>
  <c r="CD130" i="1"/>
  <c r="CE130" i="1" s="1"/>
  <c r="CD138" i="1"/>
  <c r="CE138" i="1" s="1"/>
  <c r="CD150" i="1"/>
  <c r="CE150" i="1" s="1"/>
  <c r="CD174" i="1"/>
  <c r="CE174" i="1" s="1"/>
  <c r="BZ217" i="1"/>
  <c r="CA217" i="1" s="1"/>
  <c r="BZ227" i="1"/>
  <c r="CA227" i="1" s="1"/>
  <c r="CD134" i="1"/>
  <c r="CE134" i="1" s="1"/>
  <c r="CD170" i="1"/>
  <c r="CE170" i="1" s="1"/>
  <c r="CD226" i="1"/>
  <c r="CE226" i="1" s="1"/>
  <c r="CD250" i="1"/>
  <c r="CE250" i="1" s="1"/>
  <c r="BZ252" i="1"/>
  <c r="CA252" i="1" s="1"/>
  <c r="BZ98" i="1"/>
  <c r="CA98" i="1" s="1"/>
  <c r="BX146" i="1"/>
  <c r="BY146" i="1" s="1"/>
  <c r="CD146" i="1"/>
  <c r="CE146" i="1" s="1"/>
  <c r="CD158" i="1"/>
  <c r="CE158" i="1" s="1"/>
  <c r="CD166" i="1"/>
  <c r="CE166" i="1" s="1"/>
  <c r="BZ191" i="1"/>
  <c r="CA191" i="1" s="1"/>
  <c r="BZ238" i="1"/>
  <c r="CA238" i="1" s="1"/>
  <c r="BZ258" i="1"/>
  <c r="CA258" i="1" s="1"/>
  <c r="CD314" i="1"/>
  <c r="CE314" i="1" s="1"/>
  <c r="CD182" i="1"/>
  <c r="CE182" i="1" s="1"/>
  <c r="BZ206" i="1"/>
  <c r="CA206" i="1" s="1"/>
  <c r="CD118" i="1"/>
  <c r="CE118" i="1" s="1"/>
  <c r="CD126" i="1"/>
  <c r="CE126" i="1" s="1"/>
  <c r="CD142" i="1"/>
  <c r="CE142" i="1" s="1"/>
  <c r="CD186" i="1"/>
  <c r="CE186" i="1" s="1"/>
  <c r="CD110" i="1"/>
  <c r="CE110" i="1" s="1"/>
  <c r="CD190" i="1"/>
  <c r="CE190" i="1" s="1"/>
  <c r="BZ195" i="1"/>
  <c r="CA195" i="1" s="1"/>
  <c r="BZ198" i="1"/>
  <c r="CA198" i="1" s="1"/>
  <c r="BZ208" i="1"/>
  <c r="CA208" i="1" s="1"/>
  <c r="CJ216" i="1"/>
  <c r="BD216" i="1" s="1"/>
  <c r="CD218" i="1"/>
  <c r="CE218" i="1" s="1"/>
  <c r="BZ219" i="1"/>
  <c r="CA219" i="1" s="1"/>
  <c r="BZ230" i="1"/>
  <c r="CA230" i="1" s="1"/>
  <c r="BZ240" i="1"/>
  <c r="CA240" i="1" s="1"/>
  <c r="BZ247" i="1"/>
  <c r="CA247" i="1" s="1"/>
  <c r="CD254" i="1"/>
  <c r="CE254" i="1" s="1"/>
  <c r="CD274" i="1"/>
  <c r="CE274" i="1" s="1"/>
  <c r="CD290" i="1"/>
  <c r="CE290" i="1" s="1"/>
  <c r="CD298" i="1"/>
  <c r="CE298" i="1" s="1"/>
  <c r="CD317" i="1"/>
  <c r="CE317" i="1" s="1"/>
  <c r="BZ190" i="1"/>
  <c r="CA190" i="1" s="1"/>
  <c r="BZ192" i="1"/>
  <c r="CA192" i="1" s="1"/>
  <c r="CD206" i="1"/>
  <c r="CE206" i="1" s="1"/>
  <c r="BZ207" i="1"/>
  <c r="CA207" i="1" s="1"/>
  <c r="BZ213" i="1"/>
  <c r="CA213" i="1" s="1"/>
  <c r="CD216" i="1"/>
  <c r="CE216" i="1" s="1"/>
  <c r="BZ218" i="1"/>
  <c r="CA218" i="1" s="1"/>
  <c r="CJ235" i="1"/>
  <c r="BD235" i="1" s="1"/>
  <c r="CD238" i="1"/>
  <c r="CE238" i="1" s="1"/>
  <c r="BZ239" i="1"/>
  <c r="CA239" i="1" s="1"/>
  <c r="BZ254" i="1"/>
  <c r="CA254" i="1" s="1"/>
  <c r="CD258" i="1"/>
  <c r="CE258" i="1" s="1"/>
  <c r="CD270" i="1"/>
  <c r="CE270" i="1" s="1"/>
  <c r="BZ274" i="1"/>
  <c r="CA274" i="1" s="1"/>
  <c r="CD278" i="1"/>
  <c r="CE278" i="1" s="1"/>
  <c r="BZ188" i="1"/>
  <c r="CA188" i="1" s="1"/>
  <c r="CD192" i="1"/>
  <c r="CE192" i="1" s="1"/>
  <c r="BZ204" i="1"/>
  <c r="CA204" i="1" s="1"/>
  <c r="CJ211" i="1"/>
  <c r="BD211" i="1" s="1"/>
  <c r="CJ213" i="1"/>
  <c r="BD213" i="1" s="1"/>
  <c r="CD214" i="1"/>
  <c r="CE214" i="1" s="1"/>
  <c r="BZ215" i="1"/>
  <c r="CA215" i="1" s="1"/>
  <c r="CD224" i="1"/>
  <c r="CE224" i="1" s="1"/>
  <c r="BZ226" i="1"/>
  <c r="CA226" i="1" s="1"/>
  <c r="BZ236" i="1"/>
  <c r="CA236" i="1" s="1"/>
  <c r="BZ243" i="1"/>
  <c r="CA243" i="1" s="1"/>
  <c r="CJ245" i="1"/>
  <c r="BD245" i="1" s="1"/>
  <c r="CD246" i="1"/>
  <c r="CE246" i="1" s="1"/>
  <c r="BZ250" i="1"/>
  <c r="CA250" i="1" s="1"/>
  <c r="CD266" i="1"/>
  <c r="CE266" i="1" s="1"/>
  <c r="CD286" i="1"/>
  <c r="CE286" i="1" s="1"/>
  <c r="CD310" i="1"/>
  <c r="CE310" i="1" s="1"/>
  <c r="BZ322" i="1"/>
  <c r="CA322" i="1" s="1"/>
  <c r="BZ189" i="1"/>
  <c r="CA189" i="1" s="1"/>
  <c r="CD202" i="1"/>
  <c r="CE202" i="1" s="1"/>
  <c r="BZ203" i="1"/>
  <c r="CA203" i="1" s="1"/>
  <c r="BZ209" i="1"/>
  <c r="CA209" i="1" s="1"/>
  <c r="BZ214" i="1"/>
  <c r="CA214" i="1" s="1"/>
  <c r="CD234" i="1"/>
  <c r="CE234" i="1" s="1"/>
  <c r="BZ235" i="1"/>
  <c r="CA235" i="1" s="1"/>
  <c r="BZ241" i="1"/>
  <c r="CA241" i="1" s="1"/>
  <c r="BZ246" i="1"/>
  <c r="CA246" i="1" s="1"/>
  <c r="BZ266" i="1"/>
  <c r="CA266" i="1" s="1"/>
  <c r="CD306" i="1"/>
  <c r="CE306" i="1" s="1"/>
  <c r="CD188" i="1"/>
  <c r="CE188" i="1" s="1"/>
  <c r="CD193" i="1"/>
  <c r="CE193" i="1" s="1"/>
  <c r="CD200" i="1"/>
  <c r="CE200" i="1" s="1"/>
  <c r="BZ202" i="1"/>
  <c r="CA202" i="1" s="1"/>
  <c r="CD222" i="1"/>
  <c r="CE222" i="1" s="1"/>
  <c r="BZ223" i="1"/>
  <c r="CA223" i="1" s="1"/>
  <c r="CF223" i="1"/>
  <c r="CG223" i="1" s="1"/>
  <c r="CD232" i="1"/>
  <c r="CE232" i="1" s="1"/>
  <c r="BZ234" i="1"/>
  <c r="CA234" i="1" s="1"/>
  <c r="CD242" i="1"/>
  <c r="CE242" i="1" s="1"/>
  <c r="CD393" i="1"/>
  <c r="CE393" i="1" s="1"/>
  <c r="CD194" i="1"/>
  <c r="CE194" i="1" s="1"/>
  <c r="BZ200" i="1"/>
  <c r="CA200" i="1" s="1"/>
  <c r="CD210" i="1"/>
  <c r="CE210" i="1" s="1"/>
  <c r="BZ211" i="1"/>
  <c r="CA211" i="1" s="1"/>
  <c r="CD220" i="1"/>
  <c r="CE220" i="1" s="1"/>
  <c r="BZ222" i="1"/>
  <c r="CA222" i="1" s="1"/>
  <c r="BZ232" i="1"/>
  <c r="CA232" i="1" s="1"/>
  <c r="BZ242" i="1"/>
  <c r="CA242" i="1" s="1"/>
  <c r="CD244" i="1"/>
  <c r="CE244" i="1" s="1"/>
  <c r="CD262" i="1"/>
  <c r="CE262" i="1" s="1"/>
  <c r="CD282" i="1"/>
  <c r="CE282" i="1" s="1"/>
  <c r="CD189" i="1"/>
  <c r="CE189" i="1" s="1"/>
  <c r="BZ194" i="1"/>
  <c r="CA194" i="1" s="1"/>
  <c r="CD198" i="1"/>
  <c r="CE198" i="1" s="1"/>
  <c r="BZ199" i="1"/>
  <c r="CA199" i="1" s="1"/>
  <c r="BZ205" i="1"/>
  <c r="CA205" i="1" s="1"/>
  <c r="CD208" i="1"/>
  <c r="CE208" i="1" s="1"/>
  <c r="BZ210" i="1"/>
  <c r="CA210" i="1" s="1"/>
  <c r="BZ220" i="1"/>
  <c r="CA220" i="1" s="1"/>
  <c r="CD230" i="1"/>
  <c r="CE230" i="1" s="1"/>
  <c r="BZ231" i="1"/>
  <c r="CA231" i="1" s="1"/>
  <c r="BZ237" i="1"/>
  <c r="CA237" i="1" s="1"/>
  <c r="CD240" i="1"/>
  <c r="CE240" i="1" s="1"/>
  <c r="BZ244" i="1"/>
  <c r="CA244" i="1" s="1"/>
  <c r="BZ251" i="1"/>
  <c r="CA251" i="1" s="1"/>
  <c r="BZ262" i="1"/>
  <c r="CA262" i="1" s="1"/>
  <c r="BZ263" i="1"/>
  <c r="CA263" i="1" s="1"/>
  <c r="CD294" i="1"/>
  <c r="CE294" i="1" s="1"/>
  <c r="CD302" i="1"/>
  <c r="CE302" i="1" s="1"/>
  <c r="CD353" i="1"/>
  <c r="CE353" i="1" s="1"/>
  <c r="CD318" i="1"/>
  <c r="CE318" i="1" s="1"/>
  <c r="CD365" i="1"/>
  <c r="CE365" i="1" s="1"/>
  <c r="CD405" i="1"/>
  <c r="CE405" i="1" s="1"/>
  <c r="CD421" i="1"/>
  <c r="CE421" i="1" s="1"/>
  <c r="CD429" i="1"/>
  <c r="CE429" i="1" s="1"/>
  <c r="BZ316" i="1"/>
  <c r="CA316" i="1" s="1"/>
  <c r="BZ318" i="1"/>
  <c r="CA318" i="1" s="1"/>
  <c r="BZ320" i="1"/>
  <c r="CA320" i="1" s="1"/>
  <c r="CD324" i="1"/>
  <c r="CE324" i="1" s="1"/>
  <c r="CJ324" i="1"/>
  <c r="BD324" i="1" s="1"/>
  <c r="CD329" i="1"/>
  <c r="CE329" i="1" s="1"/>
  <c r="CD345" i="1"/>
  <c r="CE345" i="1" s="1"/>
  <c r="CD357" i="1"/>
  <c r="CE357" i="1" s="1"/>
  <c r="CD385" i="1"/>
  <c r="CE385" i="1" s="1"/>
  <c r="CD397" i="1"/>
  <c r="CE397" i="1" s="1"/>
  <c r="BZ661" i="1"/>
  <c r="CA661" i="1" s="1"/>
  <c r="BZ319" i="1"/>
  <c r="CA319" i="1" s="1"/>
  <c r="BZ321" i="1"/>
  <c r="CA321" i="1" s="1"/>
  <c r="CD330" i="1"/>
  <c r="CE330" i="1" s="1"/>
  <c r="CD373" i="1"/>
  <c r="CE373" i="1" s="1"/>
  <c r="CD409" i="1"/>
  <c r="CE409" i="1" s="1"/>
  <c r="CD433" i="1"/>
  <c r="CE433" i="1" s="1"/>
  <c r="CD445" i="1"/>
  <c r="CE445" i="1" s="1"/>
  <c r="CD197" i="1"/>
  <c r="CE197" i="1" s="1"/>
  <c r="CD201" i="1"/>
  <c r="CE201" i="1" s="1"/>
  <c r="CD205" i="1"/>
  <c r="CE205" i="1" s="1"/>
  <c r="CD209" i="1"/>
  <c r="CE209" i="1" s="1"/>
  <c r="CD213" i="1"/>
  <c r="CE213" i="1" s="1"/>
  <c r="CD217" i="1"/>
  <c r="CE217" i="1" s="1"/>
  <c r="CD221" i="1"/>
  <c r="CE221" i="1" s="1"/>
  <c r="CD225" i="1"/>
  <c r="CE225" i="1" s="1"/>
  <c r="CD229" i="1"/>
  <c r="CE229" i="1" s="1"/>
  <c r="CD233" i="1"/>
  <c r="CE233" i="1" s="1"/>
  <c r="CD237" i="1"/>
  <c r="CE237" i="1" s="1"/>
  <c r="CD241" i="1"/>
  <c r="CE241" i="1" s="1"/>
  <c r="CD245" i="1"/>
  <c r="CE245" i="1" s="1"/>
  <c r="CD249" i="1"/>
  <c r="CE249" i="1" s="1"/>
  <c r="CD253" i="1"/>
  <c r="CE253" i="1" s="1"/>
  <c r="CD257" i="1"/>
  <c r="CE257" i="1" s="1"/>
  <c r="CD261" i="1"/>
  <c r="CE261" i="1" s="1"/>
  <c r="CD265" i="1"/>
  <c r="CE265" i="1" s="1"/>
  <c r="CD269" i="1"/>
  <c r="CE269" i="1" s="1"/>
  <c r="CD273" i="1"/>
  <c r="CE273" i="1" s="1"/>
  <c r="CD277" i="1"/>
  <c r="CE277" i="1" s="1"/>
  <c r="CD281" i="1"/>
  <c r="CE281" i="1" s="1"/>
  <c r="CD285" i="1"/>
  <c r="CE285" i="1" s="1"/>
  <c r="CD289" i="1"/>
  <c r="CE289" i="1" s="1"/>
  <c r="CD293" i="1"/>
  <c r="CE293" i="1" s="1"/>
  <c r="CD297" i="1"/>
  <c r="CE297" i="1" s="1"/>
  <c r="CD301" i="1"/>
  <c r="CE301" i="1" s="1"/>
  <c r="CD305" i="1"/>
  <c r="CE305" i="1" s="1"/>
  <c r="CD309" i="1"/>
  <c r="CE309" i="1" s="1"/>
  <c r="CD313" i="1"/>
  <c r="CE313" i="1" s="1"/>
  <c r="CD316" i="1"/>
  <c r="CE316" i="1" s="1"/>
  <c r="CD320" i="1"/>
  <c r="CE320" i="1" s="1"/>
  <c r="CJ320" i="1"/>
  <c r="BD320" i="1" s="1"/>
  <c r="CD325" i="1"/>
  <c r="CE325" i="1" s="1"/>
  <c r="CD341" i="1"/>
  <c r="CE341" i="1" s="1"/>
  <c r="CD361" i="1"/>
  <c r="CE361" i="1" s="1"/>
  <c r="CD401" i="1"/>
  <c r="CE401" i="1" s="1"/>
  <c r="BZ506" i="1"/>
  <c r="CA506" i="1" s="1"/>
  <c r="BZ317" i="1"/>
  <c r="CA317" i="1" s="1"/>
  <c r="CD326" i="1"/>
  <c r="CE326" i="1" s="1"/>
  <c r="CD369" i="1"/>
  <c r="CE369" i="1" s="1"/>
  <c r="CD413" i="1"/>
  <c r="CE413" i="1" s="1"/>
  <c r="CD425" i="1"/>
  <c r="CE425" i="1" s="1"/>
  <c r="CD437" i="1"/>
  <c r="CE437" i="1" s="1"/>
  <c r="CD461" i="1"/>
  <c r="CE461" i="1" s="1"/>
  <c r="BZ547" i="1"/>
  <c r="CA547" i="1" s="1"/>
  <c r="CD547" i="1"/>
  <c r="CE547" i="1" s="1"/>
  <c r="CD321" i="1"/>
  <c r="CE321" i="1" s="1"/>
  <c r="BZ326" i="1"/>
  <c r="CA326" i="1" s="1"/>
  <c r="CD349" i="1"/>
  <c r="CE349" i="1" s="1"/>
  <c r="CD381" i="1"/>
  <c r="CE381" i="1" s="1"/>
  <c r="CD389" i="1"/>
  <c r="CE389" i="1" s="1"/>
  <c r="CD322" i="1"/>
  <c r="CE322" i="1" s="1"/>
  <c r="BZ327" i="1"/>
  <c r="CA327" i="1" s="1"/>
  <c r="CD333" i="1"/>
  <c r="CE333" i="1" s="1"/>
  <c r="CD337" i="1"/>
  <c r="CE337" i="1" s="1"/>
  <c r="CD377" i="1"/>
  <c r="CE377" i="1" s="1"/>
  <c r="CD417" i="1"/>
  <c r="CE417" i="1" s="1"/>
  <c r="CD441" i="1"/>
  <c r="CE441" i="1" s="1"/>
  <c r="CD481" i="1"/>
  <c r="CE481" i="1" s="1"/>
  <c r="BZ569" i="1"/>
  <c r="CA569" i="1" s="1"/>
  <c r="CD469" i="1"/>
  <c r="CE469" i="1" s="1"/>
  <c r="CD473" i="1"/>
  <c r="CE473" i="1" s="1"/>
  <c r="CD477" i="1"/>
  <c r="CE477" i="1" s="1"/>
  <c r="BZ518" i="1"/>
  <c r="CA518" i="1" s="1"/>
  <c r="CD530" i="1"/>
  <c r="CE530" i="1" s="1"/>
  <c r="CD546" i="1"/>
  <c r="CE546" i="1" s="1"/>
  <c r="CD465" i="1"/>
  <c r="CE465" i="1" s="1"/>
  <c r="BZ507" i="1"/>
  <c r="CA507" i="1" s="1"/>
  <c r="CD515" i="1"/>
  <c r="CE515" i="1" s="1"/>
  <c r="CD597" i="1"/>
  <c r="CE597" i="1" s="1"/>
  <c r="BZ597" i="1"/>
  <c r="CA597" i="1" s="1"/>
  <c r="BZ450" i="1"/>
  <c r="CA450" i="1" s="1"/>
  <c r="CD453" i="1"/>
  <c r="CE453" i="1" s="1"/>
  <c r="CD463" i="1"/>
  <c r="CE463" i="1" s="1"/>
  <c r="BZ466" i="1"/>
  <c r="CA466" i="1" s="1"/>
  <c r="BZ467" i="1"/>
  <c r="CA467" i="1" s="1"/>
  <c r="BZ470" i="1"/>
  <c r="CA470" i="1" s="1"/>
  <c r="BZ471" i="1"/>
  <c r="CA471" i="1" s="1"/>
  <c r="BZ474" i="1"/>
  <c r="CA474" i="1" s="1"/>
  <c r="BZ475" i="1"/>
  <c r="CA475" i="1" s="1"/>
  <c r="BZ478" i="1"/>
  <c r="CA478" i="1" s="1"/>
  <c r="BZ479" i="1"/>
  <c r="CA479" i="1" s="1"/>
  <c r="CD483" i="1"/>
  <c r="CE483" i="1" s="1"/>
  <c r="CD485" i="1"/>
  <c r="CE485" i="1" s="1"/>
  <c r="CD489" i="1"/>
  <c r="CE489" i="1" s="1"/>
  <c r="CD497" i="1"/>
  <c r="CE497" i="1" s="1"/>
  <c r="BZ514" i="1"/>
  <c r="CA514" i="1" s="1"/>
  <c r="CD553" i="1"/>
  <c r="CE553" i="1" s="1"/>
  <c r="BZ553" i="1"/>
  <c r="CA553" i="1" s="1"/>
  <c r="BZ453" i="1"/>
  <c r="CA453" i="1" s="1"/>
  <c r="CD457" i="1"/>
  <c r="CE457" i="1" s="1"/>
  <c r="BZ462" i="1"/>
  <c r="CA462" i="1" s="1"/>
  <c r="BZ463" i="1"/>
  <c r="CA463" i="1" s="1"/>
  <c r="BZ482" i="1"/>
  <c r="CA482" i="1" s="1"/>
  <c r="BZ483" i="1"/>
  <c r="CA483" i="1" s="1"/>
  <c r="CD491" i="1"/>
  <c r="CE491" i="1" s="1"/>
  <c r="CD493" i="1"/>
  <c r="CE493" i="1" s="1"/>
  <c r="CD499" i="1"/>
  <c r="CE499" i="1" s="1"/>
  <c r="CD501" i="1"/>
  <c r="CE501" i="1" s="1"/>
  <c r="BZ522" i="1"/>
  <c r="CA522" i="1" s="1"/>
  <c r="BZ449" i="1"/>
  <c r="CA449" i="1" s="1"/>
  <c r="BZ457" i="1"/>
  <c r="CA457" i="1" s="1"/>
  <c r="BZ490" i="1"/>
  <c r="CA490" i="1" s="1"/>
  <c r="BZ498" i="1"/>
  <c r="CA498" i="1" s="1"/>
  <c r="BZ524" i="1"/>
  <c r="CA524" i="1" s="1"/>
  <c r="BZ486" i="1"/>
  <c r="CA486" i="1" s="1"/>
  <c r="BZ487" i="1"/>
  <c r="CA487" i="1" s="1"/>
  <c r="BZ494" i="1"/>
  <c r="CA494" i="1" s="1"/>
  <c r="BZ495" i="1"/>
  <c r="CA495" i="1" s="1"/>
  <c r="BZ502" i="1"/>
  <c r="CA502" i="1" s="1"/>
  <c r="BZ503" i="1"/>
  <c r="CA503" i="1" s="1"/>
  <c r="CD534" i="1"/>
  <c r="CE534" i="1" s="1"/>
  <c r="BZ454" i="1"/>
  <c r="CA454" i="1" s="1"/>
  <c r="BZ458" i="1"/>
  <c r="CA458" i="1" s="1"/>
  <c r="BZ510" i="1"/>
  <c r="CA510" i="1" s="1"/>
  <c r="CD626" i="1"/>
  <c r="CE626" i="1" s="1"/>
  <c r="CD526" i="1"/>
  <c r="CE526" i="1" s="1"/>
  <c r="CD554" i="1"/>
  <c r="CE554" i="1" s="1"/>
  <c r="BZ600" i="1"/>
  <c r="CA600" i="1" s="1"/>
  <c r="CB600" i="1" s="1"/>
  <c r="CC600" i="1" s="1"/>
  <c r="BZ541" i="1"/>
  <c r="CA541" i="1" s="1"/>
  <c r="BZ576" i="1"/>
  <c r="CA576" i="1" s="1"/>
  <c r="CD505" i="1"/>
  <c r="CE505" i="1" s="1"/>
  <c r="CD509" i="1"/>
  <c r="CE509" i="1" s="1"/>
  <c r="CD513" i="1"/>
  <c r="CE513" i="1" s="1"/>
  <c r="CD517" i="1"/>
  <c r="CE517" i="1" s="1"/>
  <c r="CD521" i="1"/>
  <c r="CE521" i="1" s="1"/>
  <c r="CD583" i="1"/>
  <c r="CE583" i="1" s="1"/>
  <c r="BZ656" i="1"/>
  <c r="CA656" i="1" s="1"/>
  <c r="BZ674" i="1"/>
  <c r="CA674" i="1" s="1"/>
  <c r="CD539" i="1"/>
  <c r="CE539" i="1" s="1"/>
  <c r="CJ540" i="1"/>
  <c r="BD540" i="1" s="1"/>
  <c r="CD542" i="1"/>
  <c r="CE542" i="1" s="1"/>
  <c r="BZ546" i="1"/>
  <c r="CA546" i="1" s="1"/>
  <c r="BZ593" i="1"/>
  <c r="CA593" i="1" s="1"/>
  <c r="CD599" i="1"/>
  <c r="CE599" i="1" s="1"/>
  <c r="CD631" i="1"/>
  <c r="CE631" i="1" s="1"/>
  <c r="CD452" i="1"/>
  <c r="CE452" i="1" s="1"/>
  <c r="CD456" i="1"/>
  <c r="CE456" i="1" s="1"/>
  <c r="CD460" i="1"/>
  <c r="CE460" i="1" s="1"/>
  <c r="CD464" i="1"/>
  <c r="CE464" i="1" s="1"/>
  <c r="CD468" i="1"/>
  <c r="CE468" i="1" s="1"/>
  <c r="CD472" i="1"/>
  <c r="CE472" i="1" s="1"/>
  <c r="CD476" i="1"/>
  <c r="CE476" i="1" s="1"/>
  <c r="CD480" i="1"/>
  <c r="CE480" i="1" s="1"/>
  <c r="CD484" i="1"/>
  <c r="CE484" i="1" s="1"/>
  <c r="CD488" i="1"/>
  <c r="CE488" i="1" s="1"/>
  <c r="CD492" i="1"/>
  <c r="CE492" i="1" s="1"/>
  <c r="CD496" i="1"/>
  <c r="CE496" i="1" s="1"/>
  <c r="CD500" i="1"/>
  <c r="CE500" i="1" s="1"/>
  <c r="CD504" i="1"/>
  <c r="CE504" i="1" s="1"/>
  <c r="CD508" i="1"/>
  <c r="CE508" i="1" s="1"/>
  <c r="CD512" i="1"/>
  <c r="CE512" i="1" s="1"/>
  <c r="CD516" i="1"/>
  <c r="CE516" i="1" s="1"/>
  <c r="CD520" i="1"/>
  <c r="CE520" i="1" s="1"/>
  <c r="BZ530" i="1"/>
  <c r="CA530" i="1" s="1"/>
  <c r="BZ534" i="1"/>
  <c r="CA534" i="1" s="1"/>
  <c r="BZ542" i="1"/>
  <c r="CA542" i="1" s="1"/>
  <c r="CD550" i="1"/>
  <c r="CE550" i="1" s="1"/>
  <c r="CD558" i="1"/>
  <c r="CE558" i="1" s="1"/>
  <c r="BX616" i="1"/>
  <c r="BY616" i="1" s="1"/>
  <c r="CD538" i="1"/>
  <c r="CE538" i="1" s="1"/>
  <c r="CD573" i="1"/>
  <c r="CE573" i="1" s="1"/>
  <c r="BZ573" i="1"/>
  <c r="CA573" i="1" s="1"/>
  <c r="BZ577" i="1"/>
  <c r="CA577" i="1" s="1"/>
  <c r="CD581" i="1"/>
  <c r="CE581" i="1" s="1"/>
  <c r="BZ581" i="1"/>
  <c r="CA581" i="1" s="1"/>
  <c r="CD543" i="1"/>
  <c r="CE543" i="1" s="1"/>
  <c r="CD586" i="1"/>
  <c r="CE586" i="1" s="1"/>
  <c r="CD691" i="1"/>
  <c r="CE691" i="1" s="1"/>
  <c r="BZ691" i="1"/>
  <c r="CA691" i="1" s="1"/>
  <c r="CD559" i="1"/>
  <c r="CE559" i="1" s="1"/>
  <c r="CD562" i="1"/>
  <c r="CE562" i="1" s="1"/>
  <c r="CD578" i="1"/>
  <c r="CE578" i="1" s="1"/>
  <c r="CD582" i="1"/>
  <c r="CE582" i="1" s="1"/>
  <c r="BZ652" i="1"/>
  <c r="CA652" i="1" s="1"/>
  <c r="CD574" i="1"/>
  <c r="CE574" i="1" s="1"/>
  <c r="CD598" i="1"/>
  <c r="CE598" i="1" s="1"/>
  <c r="CD602" i="1"/>
  <c r="CE602" i="1" s="1"/>
  <c r="CD606" i="1"/>
  <c r="CE606" i="1" s="1"/>
  <c r="CD610" i="1"/>
  <c r="CE610" i="1" s="1"/>
  <c r="CD614" i="1"/>
  <c r="CE614" i="1" s="1"/>
  <c r="CD618" i="1"/>
  <c r="CE618" i="1" s="1"/>
  <c r="CD622" i="1"/>
  <c r="CE622" i="1" s="1"/>
  <c r="BZ638" i="1"/>
  <c r="CA638" i="1" s="1"/>
  <c r="BZ665" i="1"/>
  <c r="CA665" i="1" s="1"/>
  <c r="CD570" i="1"/>
  <c r="CE570" i="1" s="1"/>
  <c r="BZ697" i="1"/>
  <c r="CA697" i="1" s="1"/>
  <c r="CD594" i="1"/>
  <c r="CE594" i="1" s="1"/>
  <c r="CD634" i="1"/>
  <c r="CE634" i="1" s="1"/>
  <c r="CD667" i="1"/>
  <c r="CE667" i="1" s="1"/>
  <c r="BZ667" i="1"/>
  <c r="CA667" i="1" s="1"/>
  <c r="BZ701" i="1"/>
  <c r="CA701" i="1" s="1"/>
  <c r="CD566" i="1"/>
  <c r="CE566" i="1" s="1"/>
  <c r="CD590" i="1"/>
  <c r="CE590" i="1" s="1"/>
  <c r="CD635" i="1"/>
  <c r="CE635" i="1" s="1"/>
  <c r="BZ709" i="1"/>
  <c r="CA709" i="1" s="1"/>
  <c r="BZ562" i="1"/>
  <c r="CA562" i="1" s="1"/>
  <c r="CD627" i="1"/>
  <c r="CE627" i="1" s="1"/>
  <c r="CD630" i="1"/>
  <c r="CE630" i="1" s="1"/>
  <c r="BZ739" i="1"/>
  <c r="CA739" i="1" s="1"/>
  <c r="CD639" i="1"/>
  <c r="CE639" i="1" s="1"/>
  <c r="BZ642" i="1"/>
  <c r="CA642" i="1" s="1"/>
  <c r="BZ647" i="1"/>
  <c r="CA647" i="1" s="1"/>
  <c r="BZ649" i="1"/>
  <c r="CA649" i="1" s="1"/>
  <c r="CD652" i="1"/>
  <c r="CE652" i="1" s="1"/>
  <c r="BZ658" i="1"/>
  <c r="CA658" i="1" s="1"/>
  <c r="CD666" i="1"/>
  <c r="CE666" i="1" s="1"/>
  <c r="BZ670" i="1"/>
  <c r="CA670" i="1" s="1"/>
  <c r="BZ671" i="1"/>
  <c r="CA671" i="1" s="1"/>
  <c r="CD672" i="1"/>
  <c r="CE672" i="1" s="1"/>
  <c r="BZ689" i="1"/>
  <c r="CA689" i="1" s="1"/>
  <c r="CD698" i="1"/>
  <c r="CE698" i="1" s="1"/>
  <c r="BZ699" i="1"/>
  <c r="CA699" i="1" s="1"/>
  <c r="CD702" i="1"/>
  <c r="CE702" i="1" s="1"/>
  <c r="BZ703" i="1"/>
  <c r="CA703" i="1" s="1"/>
  <c r="CD704" i="1"/>
  <c r="CE704" i="1" s="1"/>
  <c r="BZ706" i="1"/>
  <c r="CA706" i="1" s="1"/>
  <c r="BZ713" i="1"/>
  <c r="CA713" i="1" s="1"/>
  <c r="BZ714" i="1"/>
  <c r="CA714" i="1" s="1"/>
  <c r="BZ717" i="1"/>
  <c r="CA717" i="1" s="1"/>
  <c r="CD718" i="1"/>
  <c r="CE718" i="1" s="1"/>
  <c r="BZ721" i="1"/>
  <c r="CA721" i="1" s="1"/>
  <c r="BZ722" i="1"/>
  <c r="CA722" i="1" s="1"/>
  <c r="BZ725" i="1"/>
  <c r="CA725" i="1" s="1"/>
  <c r="BZ726" i="1"/>
  <c r="CA726" i="1" s="1"/>
  <c r="CD668" i="1"/>
  <c r="CE668" i="1" s="1"/>
  <c r="BZ693" i="1"/>
  <c r="CA693" i="1" s="1"/>
  <c r="CD749" i="1"/>
  <c r="CE749" i="1" s="1"/>
  <c r="CD772" i="1"/>
  <c r="CE772" i="1" s="1"/>
  <c r="CD834" i="1"/>
  <c r="CE834" i="1" s="1"/>
  <c r="BZ645" i="1"/>
  <c r="CA645" i="1" s="1"/>
  <c r="CD648" i="1"/>
  <c r="CE648" i="1" s="1"/>
  <c r="BZ654" i="1"/>
  <c r="CA654" i="1" s="1"/>
  <c r="BX664" i="1"/>
  <c r="BY664" i="1" s="1"/>
  <c r="CD664" i="1"/>
  <c r="CE664" i="1" s="1"/>
  <c r="BZ685" i="1"/>
  <c r="CA685" i="1" s="1"/>
  <c r="BZ690" i="1"/>
  <c r="CA690" i="1" s="1"/>
  <c r="CD696" i="1"/>
  <c r="CE696" i="1" s="1"/>
  <c r="CD700" i="1"/>
  <c r="CE700" i="1" s="1"/>
  <c r="CJ705" i="1"/>
  <c r="BD705" i="1" s="1"/>
  <c r="BZ743" i="1"/>
  <c r="CA743" i="1" s="1"/>
  <c r="CD798" i="1"/>
  <c r="CE798" i="1" s="1"/>
  <c r="BZ805" i="1"/>
  <c r="CA805" i="1" s="1"/>
  <c r="BZ636" i="1"/>
  <c r="CA636" i="1" s="1"/>
  <c r="CF648" i="1"/>
  <c r="CG648" i="1" s="1"/>
  <c r="BZ648" i="1"/>
  <c r="CA648" i="1" s="1"/>
  <c r="CD650" i="1"/>
  <c r="CE650" i="1" s="1"/>
  <c r="BZ662" i="1"/>
  <c r="CA662" i="1" s="1"/>
  <c r="BZ677" i="1"/>
  <c r="CA677" i="1" s="1"/>
  <c r="CD686" i="1"/>
  <c r="CE686" i="1" s="1"/>
  <c r="BZ687" i="1"/>
  <c r="CA687" i="1" s="1"/>
  <c r="CD688" i="1"/>
  <c r="CE688" i="1" s="1"/>
  <c r="CD692" i="1"/>
  <c r="CE692" i="1" s="1"/>
  <c r="BZ694" i="1"/>
  <c r="CA694" i="1" s="1"/>
  <c r="CD745" i="1"/>
  <c r="CE745" i="1" s="1"/>
  <c r="CD764" i="1"/>
  <c r="CE764" i="1" s="1"/>
  <c r="CD769" i="1"/>
  <c r="CE769" i="1" s="1"/>
  <c r="CD783" i="1"/>
  <c r="CE783" i="1" s="1"/>
  <c r="BZ783" i="1"/>
  <c r="CA783" i="1" s="1"/>
  <c r="BZ641" i="1"/>
  <c r="CA641" i="1" s="1"/>
  <c r="CD644" i="1"/>
  <c r="CE644" i="1" s="1"/>
  <c r="BZ657" i="1"/>
  <c r="CA657" i="1" s="1"/>
  <c r="CD660" i="1"/>
  <c r="CE660" i="1" s="1"/>
  <c r="CD678" i="1"/>
  <c r="CE678" i="1" s="1"/>
  <c r="BZ681" i="1"/>
  <c r="CA681" i="1" s="1"/>
  <c r="BZ686" i="1"/>
  <c r="CA686" i="1" s="1"/>
  <c r="BZ728" i="1"/>
  <c r="CA728" i="1" s="1"/>
  <c r="CD731" i="1"/>
  <c r="CE731" i="1" s="1"/>
  <c r="CD732" i="1"/>
  <c r="CE732" i="1" s="1"/>
  <c r="BZ644" i="1"/>
  <c r="CA644" i="1" s="1"/>
  <c r="BZ673" i="1"/>
  <c r="CA673" i="1" s="1"/>
  <c r="BZ678" i="1"/>
  <c r="CA678" i="1" s="1"/>
  <c r="CD684" i="1"/>
  <c r="CE684" i="1" s="1"/>
  <c r="CD708" i="1"/>
  <c r="CE708" i="1" s="1"/>
  <c r="CD716" i="1"/>
  <c r="CE716" i="1" s="1"/>
  <c r="CD724" i="1"/>
  <c r="CE724" i="1" s="1"/>
  <c r="BZ731" i="1"/>
  <c r="CA731" i="1" s="1"/>
  <c r="BZ732" i="1"/>
  <c r="CA732" i="1" s="1"/>
  <c r="BZ735" i="1"/>
  <c r="CA735" i="1" s="1"/>
  <c r="CD761" i="1"/>
  <c r="CE761" i="1" s="1"/>
  <c r="CD638" i="1"/>
  <c r="CE638" i="1" s="1"/>
  <c r="BZ651" i="1"/>
  <c r="CA651" i="1" s="1"/>
  <c r="BZ653" i="1"/>
  <c r="CA653" i="1" s="1"/>
  <c r="CD656" i="1"/>
  <c r="CE656" i="1" s="1"/>
  <c r="BZ669" i="1"/>
  <c r="CA669" i="1" s="1"/>
  <c r="CD674" i="1"/>
  <c r="CE674" i="1" s="1"/>
  <c r="BZ675" i="1"/>
  <c r="CA675" i="1" s="1"/>
  <c r="CD676" i="1"/>
  <c r="CE676" i="1" s="1"/>
  <c r="CD680" i="1"/>
  <c r="CE680" i="1" s="1"/>
  <c r="BZ705" i="1"/>
  <c r="CA705" i="1" s="1"/>
  <c r="CD710" i="1"/>
  <c r="CE710" i="1" s="1"/>
  <c r="CD712" i="1"/>
  <c r="CE712" i="1" s="1"/>
  <c r="CD720" i="1"/>
  <c r="CE720" i="1" s="1"/>
  <c r="CD777" i="1"/>
  <c r="CE777" i="1" s="1"/>
  <c r="BZ838" i="1"/>
  <c r="CA838" i="1" s="1"/>
  <c r="CD883" i="1"/>
  <c r="CE883" i="1" s="1"/>
  <c r="BZ857" i="1"/>
  <c r="CA857" i="1" s="1"/>
  <c r="BZ660" i="1"/>
  <c r="CA660" i="1" s="1"/>
  <c r="BZ664" i="1"/>
  <c r="CA664" i="1" s="1"/>
  <c r="BZ668" i="1"/>
  <c r="CA668" i="1" s="1"/>
  <c r="BZ672" i="1"/>
  <c r="CA672" i="1" s="1"/>
  <c r="BZ676" i="1"/>
  <c r="CA676" i="1" s="1"/>
  <c r="BZ680" i="1"/>
  <c r="CA680" i="1" s="1"/>
  <c r="BZ684" i="1"/>
  <c r="CA684" i="1" s="1"/>
  <c r="BZ688" i="1"/>
  <c r="CA688" i="1" s="1"/>
  <c r="BZ692" i="1"/>
  <c r="CA692" i="1" s="1"/>
  <c r="BZ696" i="1"/>
  <c r="CA696" i="1" s="1"/>
  <c r="BZ700" i="1"/>
  <c r="CA700" i="1" s="1"/>
  <c r="BZ704" i="1"/>
  <c r="CA704" i="1" s="1"/>
  <c r="BZ708" i="1"/>
  <c r="CA708" i="1" s="1"/>
  <c r="BZ712" i="1"/>
  <c r="CA712" i="1" s="1"/>
  <c r="BZ716" i="1"/>
  <c r="CA716" i="1" s="1"/>
  <c r="BZ720" i="1"/>
  <c r="CA720" i="1" s="1"/>
  <c r="BZ724" i="1"/>
  <c r="CA724" i="1" s="1"/>
  <c r="CD752" i="1"/>
  <c r="CE752" i="1" s="1"/>
  <c r="CD753" i="1"/>
  <c r="CE753" i="1" s="1"/>
  <c r="CD756" i="1"/>
  <c r="CE756" i="1" s="1"/>
  <c r="CD780" i="1"/>
  <c r="CE780" i="1" s="1"/>
  <c r="CD781" i="1"/>
  <c r="CE781" i="1" s="1"/>
  <c r="BZ813" i="1"/>
  <c r="CA813" i="1" s="1"/>
  <c r="BZ818" i="1"/>
  <c r="CA818" i="1" s="1"/>
  <c r="CD740" i="1"/>
  <c r="CE740" i="1" s="1"/>
  <c r="BZ802" i="1"/>
  <c r="CA802" i="1" s="1"/>
  <c r="BZ825" i="1"/>
  <c r="CA825" i="1" s="1"/>
  <c r="CD830" i="1"/>
  <c r="CE830" i="1" s="1"/>
  <c r="BZ863" i="1"/>
  <c r="CA863" i="1" s="1"/>
  <c r="CD727" i="1"/>
  <c r="CE727" i="1" s="1"/>
  <c r="BZ729" i="1"/>
  <c r="CA729" i="1" s="1"/>
  <c r="CD736" i="1"/>
  <c r="CE736" i="1" s="1"/>
  <c r="CD744" i="1"/>
  <c r="CE744" i="1" s="1"/>
  <c r="BZ799" i="1"/>
  <c r="CA799" i="1" s="1"/>
  <c r="CD866" i="1"/>
  <c r="CE866" i="1" s="1"/>
  <c r="BZ866" i="1"/>
  <c r="CA866" i="1" s="1"/>
  <c r="CD737" i="1"/>
  <c r="CE737" i="1" s="1"/>
  <c r="BZ790" i="1"/>
  <c r="CA790" i="1" s="1"/>
  <c r="BZ791" i="1"/>
  <c r="CA791" i="1" s="1"/>
  <c r="BZ810" i="1"/>
  <c r="CA810" i="1" s="1"/>
  <c r="CJ847" i="1"/>
  <c r="BD847" i="1" s="1"/>
  <c r="CD733" i="1"/>
  <c r="CE733" i="1" s="1"/>
  <c r="CD741" i="1"/>
  <c r="CE741" i="1" s="1"/>
  <c r="CD748" i="1"/>
  <c r="CE748" i="1" s="1"/>
  <c r="CD760" i="1"/>
  <c r="CE760" i="1" s="1"/>
  <c r="CD768" i="1"/>
  <c r="CE768" i="1" s="1"/>
  <c r="CD776" i="1"/>
  <c r="CE776" i="1" s="1"/>
  <c r="CJ784" i="1"/>
  <c r="BD784" i="1" s="1"/>
  <c r="BZ786" i="1"/>
  <c r="CA786" i="1" s="1"/>
  <c r="BZ822" i="1"/>
  <c r="CA822" i="1" s="1"/>
  <c r="BZ858" i="1"/>
  <c r="CA858" i="1" s="1"/>
  <c r="CD786" i="1"/>
  <c r="CE786" i="1" s="1"/>
  <c r="CJ809" i="1"/>
  <c r="BD809" i="1" s="1"/>
  <c r="BZ815" i="1"/>
  <c r="CA815" i="1" s="1"/>
  <c r="BZ817" i="1"/>
  <c r="CA817" i="1" s="1"/>
  <c r="CD818" i="1"/>
  <c r="CE818" i="1" s="1"/>
  <c r="BZ827" i="1"/>
  <c r="CA827" i="1" s="1"/>
  <c r="BZ834" i="1"/>
  <c r="CA834" i="1" s="1"/>
  <c r="CD854" i="1"/>
  <c r="CE854" i="1" s="1"/>
  <c r="CD858" i="1"/>
  <c r="CE858" i="1" s="1"/>
  <c r="CD782" i="1"/>
  <c r="CE782" i="1" s="1"/>
  <c r="BZ793" i="1"/>
  <c r="CA793" i="1" s="1"/>
  <c r="CD796" i="1"/>
  <c r="CE796" i="1" s="1"/>
  <c r="BZ798" i="1"/>
  <c r="CA798" i="1" s="1"/>
  <c r="BZ808" i="1"/>
  <c r="CA808" i="1" s="1"/>
  <c r="CD820" i="1"/>
  <c r="CE820" i="1" s="1"/>
  <c r="BZ830" i="1"/>
  <c r="CA830" i="1" s="1"/>
  <c r="CD832" i="1"/>
  <c r="CE832" i="1" s="1"/>
  <c r="CD875" i="1"/>
  <c r="CE875" i="1" s="1"/>
  <c r="CD878" i="1"/>
  <c r="CE878" i="1" s="1"/>
  <c r="BZ881" i="1"/>
  <c r="CA881" i="1" s="1"/>
  <c r="CD885" i="1"/>
  <c r="CE885" i="1" s="1"/>
  <c r="CD891" i="1"/>
  <c r="CE891" i="1" s="1"/>
  <c r="CJ804" i="1"/>
  <c r="BD804" i="1" s="1"/>
  <c r="CD806" i="1"/>
  <c r="CE806" i="1" s="1"/>
  <c r="BZ807" i="1"/>
  <c r="CA807" i="1" s="1"/>
  <c r="BZ811" i="1"/>
  <c r="CA811" i="1" s="1"/>
  <c r="CD814" i="1"/>
  <c r="CE814" i="1" s="1"/>
  <c r="BZ823" i="1"/>
  <c r="CA823" i="1" s="1"/>
  <c r="CD826" i="1"/>
  <c r="CE826" i="1" s="1"/>
  <c r="BZ855" i="1"/>
  <c r="CA855" i="1" s="1"/>
  <c r="CD865" i="1"/>
  <c r="CE865" i="1" s="1"/>
  <c r="BZ878" i="1"/>
  <c r="CA878" i="1" s="1"/>
  <c r="CD794" i="1"/>
  <c r="CE794" i="1" s="1"/>
  <c r="BZ795" i="1"/>
  <c r="CA795" i="1" s="1"/>
  <c r="CD804" i="1"/>
  <c r="CE804" i="1" s="1"/>
  <c r="BZ806" i="1"/>
  <c r="CA806" i="1" s="1"/>
  <c r="BZ814" i="1"/>
  <c r="CA814" i="1" s="1"/>
  <c r="CD816" i="1"/>
  <c r="CE816" i="1" s="1"/>
  <c r="BZ826" i="1"/>
  <c r="CA826" i="1" s="1"/>
  <c r="BZ839" i="1"/>
  <c r="CA839" i="1" s="1"/>
  <c r="CD867" i="1"/>
  <c r="CE867" i="1" s="1"/>
  <c r="CD870" i="1"/>
  <c r="CE870" i="1" s="1"/>
  <c r="CD887" i="1"/>
  <c r="CE887" i="1" s="1"/>
  <c r="BZ781" i="1"/>
  <c r="CA781" i="1" s="1"/>
  <c r="BZ794" i="1"/>
  <c r="CA794" i="1" s="1"/>
  <c r="BZ804" i="1"/>
  <c r="CA804" i="1" s="1"/>
  <c r="BZ816" i="1"/>
  <c r="CA816" i="1" s="1"/>
  <c r="BZ819" i="1"/>
  <c r="CA819" i="1" s="1"/>
  <c r="BZ846" i="1"/>
  <c r="CA846" i="1" s="1"/>
  <c r="BZ867" i="1"/>
  <c r="CA867" i="1" s="1"/>
  <c r="CD874" i="1"/>
  <c r="CE874" i="1" s="1"/>
  <c r="CD902" i="1"/>
  <c r="CE902" i="1" s="1"/>
  <c r="CD790" i="1"/>
  <c r="CE790" i="1" s="1"/>
  <c r="CD802" i="1"/>
  <c r="CE802" i="1" s="1"/>
  <c r="BZ803" i="1"/>
  <c r="CA803" i="1" s="1"/>
  <c r="CD810" i="1"/>
  <c r="CE810" i="1" s="1"/>
  <c r="CD822" i="1"/>
  <c r="CE822" i="1" s="1"/>
  <c r="BZ831" i="1"/>
  <c r="CA831" i="1" s="1"/>
  <c r="CD837" i="1"/>
  <c r="CE837" i="1" s="1"/>
  <c r="BZ837" i="1"/>
  <c r="CA837" i="1" s="1"/>
  <c r="CD840" i="1"/>
  <c r="CE840" i="1" s="1"/>
  <c r="BZ847" i="1"/>
  <c r="CA847" i="1" s="1"/>
  <c r="BZ861" i="1"/>
  <c r="CA861" i="1" s="1"/>
  <c r="BZ874" i="1"/>
  <c r="CA874" i="1" s="1"/>
  <c r="BZ840" i="1"/>
  <c r="CA840" i="1" s="1"/>
  <c r="CJ841" i="1"/>
  <c r="BD841" i="1" s="1"/>
  <c r="CD846" i="1"/>
  <c r="CE846" i="1" s="1"/>
  <c r="BZ849" i="1"/>
  <c r="CA849" i="1" s="1"/>
  <c r="CD852" i="1"/>
  <c r="CE852" i="1" s="1"/>
  <c r="BZ854" i="1"/>
  <c r="CA854" i="1" s="1"/>
  <c r="BZ865" i="1"/>
  <c r="CA865" i="1" s="1"/>
  <c r="CJ873" i="1"/>
  <c r="BD873" i="1" s="1"/>
  <c r="BZ891" i="1"/>
  <c r="CA891" i="1" s="1"/>
  <c r="BZ909" i="1"/>
  <c r="CA909" i="1" s="1"/>
  <c r="BZ913" i="1"/>
  <c r="CA913" i="1" s="1"/>
  <c r="CD932" i="1"/>
  <c r="CE932" i="1" s="1"/>
  <c r="CD842" i="1"/>
  <c r="CE842" i="1" s="1"/>
  <c r="CD850" i="1"/>
  <c r="CE850" i="1" s="1"/>
  <c r="BZ851" i="1"/>
  <c r="CA851" i="1" s="1"/>
  <c r="BZ859" i="1"/>
  <c r="CA859" i="1" s="1"/>
  <c r="CD862" i="1"/>
  <c r="CE862" i="1" s="1"/>
  <c r="BZ882" i="1"/>
  <c r="CA882" i="1" s="1"/>
  <c r="BZ924" i="1"/>
  <c r="CA924" i="1" s="1"/>
  <c r="BZ842" i="1"/>
  <c r="CA842" i="1" s="1"/>
  <c r="CD848" i="1"/>
  <c r="CE848" i="1" s="1"/>
  <c r="BZ850" i="1"/>
  <c r="CA850" i="1" s="1"/>
  <c r="BZ862" i="1"/>
  <c r="CA862" i="1" s="1"/>
  <c r="BZ869" i="1"/>
  <c r="CA869" i="1" s="1"/>
  <c r="BZ886" i="1"/>
  <c r="CA886" i="1" s="1"/>
  <c r="CD936" i="1"/>
  <c r="CE936" i="1" s="1"/>
  <c r="CD939" i="1"/>
  <c r="CE939" i="1" s="1"/>
  <c r="CD838" i="1"/>
  <c r="CE838" i="1" s="1"/>
  <c r="BZ848" i="1"/>
  <c r="CA848" i="1" s="1"/>
  <c r="BZ864" i="1"/>
  <c r="CA864" i="1" s="1"/>
  <c r="BZ890" i="1"/>
  <c r="CA890" i="1" s="1"/>
  <c r="CD899" i="1"/>
  <c r="CE899" i="1" s="1"/>
  <c r="CD1008" i="1"/>
  <c r="CE1008" i="1" s="1"/>
  <c r="BZ1008" i="1"/>
  <c r="CA1008" i="1" s="1"/>
  <c r="BZ899" i="1"/>
  <c r="CA899" i="1" s="1"/>
  <c r="BZ905" i="1"/>
  <c r="CA905" i="1" s="1"/>
  <c r="CD871" i="1"/>
  <c r="CE871" i="1" s="1"/>
  <c r="BZ875" i="1"/>
  <c r="CA875" i="1" s="1"/>
  <c r="BZ876" i="1"/>
  <c r="CA876" i="1" s="1"/>
  <c r="BZ879" i="1"/>
  <c r="CA879" i="1" s="1"/>
  <c r="BZ880" i="1"/>
  <c r="CA880" i="1" s="1"/>
  <c r="BZ883" i="1"/>
  <c r="CA883" i="1" s="1"/>
  <c r="BZ887" i="1"/>
  <c r="CA887" i="1" s="1"/>
  <c r="BZ888" i="1"/>
  <c r="CA888" i="1" s="1"/>
  <c r="BZ919" i="1"/>
  <c r="CA919" i="1" s="1"/>
  <c r="CD940" i="1"/>
  <c r="CE940" i="1" s="1"/>
  <c r="CD963" i="1"/>
  <c r="CE963" i="1" s="1"/>
  <c r="CJ888" i="1"/>
  <c r="BD888" i="1" s="1"/>
  <c r="CD897" i="1"/>
  <c r="CE897" i="1" s="1"/>
  <c r="BZ917" i="1"/>
  <c r="CA917" i="1" s="1"/>
  <c r="CD918" i="1"/>
  <c r="CE918" i="1" s="1"/>
  <c r="CD967" i="1"/>
  <c r="CE967" i="1" s="1"/>
  <c r="CD1015" i="1"/>
  <c r="CE1015" i="1" s="1"/>
  <c r="CD893" i="1"/>
  <c r="CE893" i="1" s="1"/>
  <c r="CD898" i="1"/>
  <c r="CE898" i="1" s="1"/>
  <c r="CD906" i="1"/>
  <c r="CE906" i="1" s="1"/>
  <c r="CD910" i="1"/>
  <c r="CE910" i="1" s="1"/>
  <c r="CD914" i="1"/>
  <c r="CE914" i="1" s="1"/>
  <c r="BZ918" i="1"/>
  <c r="CA918" i="1" s="1"/>
  <c r="BZ870" i="1"/>
  <c r="CA870" i="1" s="1"/>
  <c r="CD877" i="1"/>
  <c r="CE877" i="1" s="1"/>
  <c r="CD881" i="1"/>
  <c r="CE881" i="1" s="1"/>
  <c r="CD889" i="1"/>
  <c r="CE889" i="1" s="1"/>
  <c r="CD894" i="1"/>
  <c r="CE894" i="1" s="1"/>
  <c r="BZ906" i="1"/>
  <c r="CA906" i="1" s="1"/>
  <c r="BZ910" i="1"/>
  <c r="CA910" i="1" s="1"/>
  <c r="BZ914" i="1"/>
  <c r="CA914" i="1" s="1"/>
  <c r="CD921" i="1"/>
  <c r="CE921" i="1" s="1"/>
  <c r="CD999" i="1"/>
  <c r="CE999" i="1" s="1"/>
  <c r="CD1042" i="1"/>
  <c r="CE1042" i="1" s="1"/>
  <c r="CD1041" i="1"/>
  <c r="CE1041" i="1" s="1"/>
  <c r="CD913" i="1"/>
  <c r="CE913" i="1" s="1"/>
  <c r="CD960" i="1"/>
  <c r="CE960" i="1" s="1"/>
  <c r="BZ922" i="1"/>
  <c r="CA922" i="1" s="1"/>
  <c r="CD931" i="1"/>
  <c r="CE931" i="1" s="1"/>
  <c r="BZ982" i="1"/>
  <c r="CA982" i="1" s="1"/>
  <c r="CD923" i="1"/>
  <c r="CE923" i="1" s="1"/>
  <c r="CD927" i="1"/>
  <c r="CE927" i="1" s="1"/>
  <c r="CD943" i="1"/>
  <c r="CE943" i="1" s="1"/>
  <c r="CD947" i="1"/>
  <c r="CE947" i="1" s="1"/>
  <c r="CD951" i="1"/>
  <c r="CE951" i="1" s="1"/>
  <c r="CD995" i="1"/>
  <c r="CE995" i="1" s="1"/>
  <c r="CD924" i="1"/>
  <c r="CE924" i="1" s="1"/>
  <c r="CD955" i="1"/>
  <c r="CE955" i="1" s="1"/>
  <c r="CD956" i="1"/>
  <c r="CE956" i="1" s="1"/>
  <c r="CD971" i="1"/>
  <c r="CE971" i="1" s="1"/>
  <c r="CD972" i="1"/>
  <c r="CE972" i="1" s="1"/>
  <c r="CD979" i="1"/>
  <c r="CE979" i="1" s="1"/>
  <c r="CD990" i="1"/>
  <c r="CE990" i="1" s="1"/>
  <c r="BZ1003" i="1"/>
  <c r="CA1003" i="1" s="1"/>
  <c r="BZ1011" i="1"/>
  <c r="CA1011" i="1" s="1"/>
  <c r="CD959" i="1"/>
  <c r="CE959" i="1" s="1"/>
  <c r="CD975" i="1"/>
  <c r="CE975" i="1" s="1"/>
  <c r="CD1045" i="1"/>
  <c r="CE1045" i="1" s="1"/>
  <c r="BZ991" i="1"/>
  <c r="CA991" i="1" s="1"/>
  <c r="CD1038" i="1"/>
  <c r="CE1038" i="1" s="1"/>
  <c r="CD935" i="1"/>
  <c r="CE935" i="1" s="1"/>
  <c r="CD985" i="1"/>
  <c r="CE985" i="1" s="1"/>
  <c r="CD993" i="1"/>
  <c r="CE993" i="1" s="1"/>
  <c r="CD1007" i="1"/>
  <c r="CE1007" i="1" s="1"/>
  <c r="CD1018" i="1"/>
  <c r="CE1018" i="1" s="1"/>
  <c r="CF1080" i="1"/>
  <c r="CG1080" i="1" s="1"/>
  <c r="BZ1080" i="1"/>
  <c r="CA1080" i="1" s="1"/>
  <c r="CD1006" i="1"/>
  <c r="CE1006" i="1" s="1"/>
  <c r="CD1022" i="1"/>
  <c r="CE1022" i="1" s="1"/>
  <c r="CD1033" i="1"/>
  <c r="CE1033" i="1" s="1"/>
  <c r="CD1025" i="1"/>
  <c r="CE1025" i="1" s="1"/>
  <c r="CD1029" i="1"/>
  <c r="CE1029" i="1" s="1"/>
  <c r="CD1037" i="1"/>
  <c r="CE1037" i="1" s="1"/>
  <c r="BZ1078" i="1"/>
  <c r="CA1078" i="1" s="1"/>
  <c r="CD982" i="1"/>
  <c r="CE982" i="1" s="1"/>
  <c r="CD986" i="1"/>
  <c r="CE986" i="1" s="1"/>
  <c r="BZ1020" i="1"/>
  <c r="CA1020" i="1" s="1"/>
  <c r="CD1021" i="1"/>
  <c r="CE1021" i="1" s="1"/>
  <c r="BZ1048" i="1"/>
  <c r="CA1048" i="1" s="1"/>
  <c r="BZ1060" i="1"/>
  <c r="CA1060" i="1" s="1"/>
  <c r="BZ1061" i="1"/>
  <c r="CA1061" i="1" s="1"/>
  <c r="BZ1062" i="1"/>
  <c r="CA1062" i="1" s="1"/>
  <c r="BZ1102" i="1"/>
  <c r="CA1102" i="1" s="1"/>
  <c r="CD1120" i="1"/>
  <c r="CE1120" i="1" s="1"/>
  <c r="BZ1049" i="1"/>
  <c r="CA1049" i="1" s="1"/>
  <c r="CD1058" i="1"/>
  <c r="CE1058" i="1" s="1"/>
  <c r="CJ1076" i="1"/>
  <c r="BD1076" i="1" s="1"/>
  <c r="BZ1110" i="1"/>
  <c r="CA1110" i="1" s="1"/>
  <c r="BZ1056" i="1"/>
  <c r="CA1056" i="1" s="1"/>
  <c r="BZ1057" i="1"/>
  <c r="CA1057" i="1" s="1"/>
  <c r="BZ1058" i="1"/>
  <c r="CA1058" i="1" s="1"/>
  <c r="BZ1081" i="1"/>
  <c r="CA1081" i="1" s="1"/>
  <c r="BZ1090" i="1"/>
  <c r="CA1090" i="1" s="1"/>
  <c r="BZ1097" i="1"/>
  <c r="CA1097" i="1" s="1"/>
  <c r="BZ1068" i="1"/>
  <c r="CA1068" i="1" s="1"/>
  <c r="BZ1069" i="1"/>
  <c r="CA1069" i="1" s="1"/>
  <c r="BZ1070" i="1"/>
  <c r="CA1070" i="1" s="1"/>
  <c r="BZ1072" i="1"/>
  <c r="CA1072" i="1" s="1"/>
  <c r="BZ1073" i="1"/>
  <c r="CA1073" i="1" s="1"/>
  <c r="BZ1074" i="1"/>
  <c r="CA1074" i="1" s="1"/>
  <c r="CJ1055" i="1"/>
  <c r="BD1055" i="1" s="1"/>
  <c r="BZ1064" i="1"/>
  <c r="CA1064" i="1" s="1"/>
  <c r="BZ1065" i="1"/>
  <c r="CA1065" i="1" s="1"/>
  <c r="BZ1066" i="1"/>
  <c r="CA1066" i="1" s="1"/>
  <c r="BZ1106" i="1"/>
  <c r="CA1106" i="1" s="1"/>
  <c r="BZ1052" i="1"/>
  <c r="CA1052" i="1" s="1"/>
  <c r="BZ1053" i="1"/>
  <c r="CA1053" i="1" s="1"/>
  <c r="BZ1076" i="1"/>
  <c r="CA1076" i="1" s="1"/>
  <c r="BZ1077" i="1"/>
  <c r="CA1077" i="1" s="1"/>
  <c r="BZ1083" i="1"/>
  <c r="CA1083" i="1" s="1"/>
  <c r="BZ1085" i="1"/>
  <c r="CA1085" i="1" s="1"/>
  <c r="BZ1089" i="1"/>
  <c r="CA1089" i="1" s="1"/>
  <c r="CD1049" i="1"/>
  <c r="CE1049" i="1" s="1"/>
  <c r="BZ1051" i="1"/>
  <c r="CA1051" i="1" s="1"/>
  <c r="CD1053" i="1"/>
  <c r="CE1053" i="1" s="1"/>
  <c r="BZ1055" i="1"/>
  <c r="CA1055" i="1" s="1"/>
  <c r="CD1057" i="1"/>
  <c r="CE1057" i="1" s="1"/>
  <c r="BZ1059" i="1"/>
  <c r="CA1059" i="1" s="1"/>
  <c r="CD1061" i="1"/>
  <c r="CE1061" i="1" s="1"/>
  <c r="BZ1063" i="1"/>
  <c r="CA1063" i="1" s="1"/>
  <c r="CD1065" i="1"/>
  <c r="CE1065" i="1" s="1"/>
  <c r="CD1069" i="1"/>
  <c r="CE1069" i="1" s="1"/>
  <c r="CD1073" i="1"/>
  <c r="CE1073" i="1" s="1"/>
  <c r="CD1077" i="1"/>
  <c r="CE1077" i="1" s="1"/>
  <c r="BZ1101" i="1"/>
  <c r="CA1101" i="1" s="1"/>
  <c r="BZ1105" i="1"/>
  <c r="CA1105" i="1" s="1"/>
  <c r="BZ1109" i="1"/>
  <c r="CA1109" i="1" s="1"/>
  <c r="BZ1117" i="1"/>
  <c r="CA1117" i="1" s="1"/>
  <c r="CD1118" i="1"/>
  <c r="CE1118" i="1" s="1"/>
  <c r="BZ1123" i="1"/>
  <c r="CA1123" i="1" s="1"/>
  <c r="CD1142" i="1"/>
  <c r="CE1142" i="1" s="1"/>
  <c r="CD1048" i="1"/>
  <c r="CE1048" i="1" s="1"/>
  <c r="CD1052" i="1"/>
  <c r="CE1052" i="1" s="1"/>
  <c r="CD1056" i="1"/>
  <c r="CE1056" i="1" s="1"/>
  <c r="CD1060" i="1"/>
  <c r="CE1060" i="1" s="1"/>
  <c r="CD1064" i="1"/>
  <c r="CE1064" i="1" s="1"/>
  <c r="CD1068" i="1"/>
  <c r="CE1068" i="1" s="1"/>
  <c r="CD1072" i="1"/>
  <c r="CE1072" i="1" s="1"/>
  <c r="CD1076" i="1"/>
  <c r="CE1076" i="1" s="1"/>
  <c r="BZ1087" i="1"/>
  <c r="CA1087" i="1" s="1"/>
  <c r="BZ1098" i="1"/>
  <c r="CA1098" i="1" s="1"/>
  <c r="CD1099" i="1"/>
  <c r="CE1099" i="1" s="1"/>
  <c r="BZ1111" i="1"/>
  <c r="CA1111" i="1" s="1"/>
  <c r="BZ1113" i="1"/>
  <c r="CA1113" i="1" s="1"/>
  <c r="CD1091" i="1"/>
  <c r="CE1091" i="1" s="1"/>
  <c r="BZ1093" i="1"/>
  <c r="CA1093" i="1" s="1"/>
  <c r="CD1094" i="1"/>
  <c r="CE1094" i="1" s="1"/>
  <c r="BZ1114" i="1"/>
  <c r="CA1114" i="1" s="1"/>
  <c r="CD1051" i="1"/>
  <c r="CE1051" i="1" s="1"/>
  <c r="CD1055" i="1"/>
  <c r="CE1055" i="1" s="1"/>
  <c r="CD1059" i="1"/>
  <c r="CE1059" i="1" s="1"/>
  <c r="CD1063" i="1"/>
  <c r="CE1063" i="1" s="1"/>
  <c r="BZ1084" i="1"/>
  <c r="CA1084" i="1" s="1"/>
  <c r="BZ1094" i="1"/>
  <c r="CA1094" i="1" s="1"/>
  <c r="CD1095" i="1"/>
  <c r="CE1095" i="1" s="1"/>
  <c r="BZ1116" i="1"/>
  <c r="CA1116" i="1" s="1"/>
  <c r="BZ1127" i="1"/>
  <c r="CA1127" i="1" s="1"/>
  <c r="CD1086" i="1"/>
  <c r="CE1086" i="1" s="1"/>
  <c r="CJ1092" i="1"/>
  <c r="BD1092" i="1" s="1"/>
  <c r="CD1122" i="1"/>
  <c r="CE1122" i="1" s="1"/>
  <c r="BZ1131" i="1"/>
  <c r="CA1131" i="1" s="1"/>
  <c r="CD1083" i="1"/>
  <c r="CE1083" i="1" s="1"/>
  <c r="BZ1086" i="1"/>
  <c r="CA1086" i="1" s="1"/>
  <c r="BZ1088" i="1"/>
  <c r="CA1088" i="1" s="1"/>
  <c r="CJ1113" i="1"/>
  <c r="BD1113" i="1" s="1"/>
  <c r="BZ1092" i="1"/>
  <c r="CA1092" i="1" s="1"/>
  <c r="BZ1096" i="1"/>
  <c r="CA1096" i="1" s="1"/>
  <c r="BZ1100" i="1"/>
  <c r="CA1100" i="1" s="1"/>
  <c r="BZ1104" i="1"/>
  <c r="CA1104" i="1" s="1"/>
  <c r="BZ1108" i="1"/>
  <c r="CA1108" i="1" s="1"/>
  <c r="BZ1112" i="1"/>
  <c r="CA1112" i="1" s="1"/>
  <c r="BZ1120" i="1"/>
  <c r="CA1120" i="1" s="1"/>
  <c r="CD1132" i="1"/>
  <c r="CE1132" i="1" s="1"/>
  <c r="BZ1139" i="1"/>
  <c r="CA1139" i="1" s="1"/>
  <c r="BZ1140" i="1"/>
  <c r="CA1140" i="1" s="1"/>
  <c r="BZ1142" i="1"/>
  <c r="CA1142" i="1" s="1"/>
  <c r="BZ1168" i="1"/>
  <c r="CA1168" i="1" s="1"/>
  <c r="CB1168" i="1" s="1"/>
  <c r="CC1168" i="1" s="1"/>
  <c r="CD1134" i="1"/>
  <c r="CE1134" i="1" s="1"/>
  <c r="CD1124" i="1"/>
  <c r="CE1124" i="1" s="1"/>
  <c r="BZ1143" i="1"/>
  <c r="CA1143" i="1" s="1"/>
  <c r="BZ1124" i="1"/>
  <c r="CA1124" i="1" s="1"/>
  <c r="BZ1149" i="1"/>
  <c r="CA1149" i="1" s="1"/>
  <c r="BZ1167" i="1"/>
  <c r="CA1167" i="1" s="1"/>
  <c r="CD1084" i="1"/>
  <c r="CE1084" i="1" s="1"/>
  <c r="CD1088" i="1"/>
  <c r="CE1088" i="1" s="1"/>
  <c r="CD1092" i="1"/>
  <c r="CE1092" i="1" s="1"/>
  <c r="CD1096" i="1"/>
  <c r="CE1096" i="1" s="1"/>
  <c r="CD1100" i="1"/>
  <c r="CE1100" i="1" s="1"/>
  <c r="CD1104" i="1"/>
  <c r="CE1104" i="1" s="1"/>
  <c r="CD1108" i="1"/>
  <c r="CE1108" i="1" s="1"/>
  <c r="CD1112" i="1"/>
  <c r="CE1112" i="1" s="1"/>
  <c r="CD1128" i="1"/>
  <c r="CE1128" i="1" s="1"/>
  <c r="CH1128" i="1" s="1"/>
  <c r="CI1128" i="1" s="1"/>
  <c r="BZ1135" i="1"/>
  <c r="CA1135" i="1" s="1"/>
  <c r="CD1136" i="1"/>
  <c r="CE1136" i="1" s="1"/>
  <c r="CD1166" i="1"/>
  <c r="CE1166" i="1" s="1"/>
  <c r="BZ1128" i="1"/>
  <c r="CA1128" i="1" s="1"/>
  <c r="BZ1136" i="1"/>
  <c r="CA1136" i="1" s="1"/>
  <c r="CD1138" i="1"/>
  <c r="CE1138" i="1" s="1"/>
  <c r="CD1116" i="1"/>
  <c r="CE1116" i="1" s="1"/>
  <c r="CD1130" i="1"/>
  <c r="CE1130" i="1" s="1"/>
  <c r="CD1144" i="1"/>
  <c r="CE1144" i="1" s="1"/>
  <c r="BZ1146" i="1"/>
  <c r="CA1146" i="1" s="1"/>
  <c r="BZ1144" i="1"/>
  <c r="CA1144" i="1" s="1"/>
  <c r="CF1144" i="1"/>
  <c r="CG1144" i="1" s="1"/>
  <c r="BZ1152" i="1"/>
  <c r="CA1152" i="1" s="1"/>
  <c r="CF1152" i="1"/>
  <c r="CG1152" i="1" s="1"/>
  <c r="CH1152" i="1" s="1"/>
  <c r="CI1152" i="1" s="1"/>
  <c r="BZ1154" i="1"/>
  <c r="CA1154" i="1" s="1"/>
  <c r="BZ1155" i="1"/>
  <c r="CA1155" i="1" s="1"/>
  <c r="CJ1161" i="1"/>
  <c r="BD1161" i="1" s="1"/>
  <c r="CD1174" i="1"/>
  <c r="CE1174" i="1" s="1"/>
  <c r="BZ1148" i="1"/>
  <c r="CA1148" i="1" s="1"/>
  <c r="BZ1151" i="1"/>
  <c r="CA1151" i="1" s="1"/>
  <c r="BZ1170" i="1"/>
  <c r="CA1170" i="1" s="1"/>
  <c r="BZ1145" i="1"/>
  <c r="CA1145" i="1" s="1"/>
  <c r="CD1199" i="1"/>
  <c r="CE1199" i="1" s="1"/>
  <c r="CJ1141" i="1"/>
  <c r="BD1141" i="1" s="1"/>
  <c r="BX1176" i="1"/>
  <c r="BY1176" i="1" s="1"/>
  <c r="CJ1143" i="1"/>
  <c r="BD1143" i="1" s="1"/>
  <c r="CD1146" i="1"/>
  <c r="CE1146" i="1" s="1"/>
  <c r="BZ1147" i="1"/>
  <c r="CA1147" i="1" s="1"/>
  <c r="BZ1150" i="1"/>
  <c r="CA1150" i="1" s="1"/>
  <c r="BZ1153" i="1"/>
  <c r="CA1153" i="1" s="1"/>
  <c r="BZ1158" i="1"/>
  <c r="CA1158" i="1" s="1"/>
  <c r="BZ1159" i="1"/>
  <c r="CA1159" i="1" s="1"/>
  <c r="BZ1160" i="1"/>
  <c r="CA1160" i="1" s="1"/>
  <c r="CB1160" i="1" s="1"/>
  <c r="BZ1162" i="1"/>
  <c r="CA1162" i="1" s="1"/>
  <c r="BZ1163" i="1"/>
  <c r="CA1163" i="1" s="1"/>
  <c r="BZ1157" i="1"/>
  <c r="CA1157" i="1" s="1"/>
  <c r="CF1160" i="1"/>
  <c r="CG1160" i="1" s="1"/>
  <c r="BZ1161" i="1"/>
  <c r="CA1161" i="1" s="1"/>
  <c r="BZ1165" i="1"/>
  <c r="CA1165" i="1" s="1"/>
  <c r="CD1167" i="1"/>
  <c r="CE1167" i="1" s="1"/>
  <c r="CD1178" i="1"/>
  <c r="CE1178" i="1" s="1"/>
  <c r="CD1190" i="1"/>
  <c r="CE1190" i="1" s="1"/>
  <c r="CD1150" i="1"/>
  <c r="CE1150" i="1" s="1"/>
  <c r="CD1154" i="1"/>
  <c r="CE1154" i="1" s="1"/>
  <c r="CD1158" i="1"/>
  <c r="CE1158" i="1" s="1"/>
  <c r="CD1162" i="1"/>
  <c r="CE1162" i="1" s="1"/>
  <c r="CD1182" i="1"/>
  <c r="CE1182" i="1" s="1"/>
  <c r="CD1186" i="1"/>
  <c r="CE1186" i="1" s="1"/>
  <c r="BZ1195" i="1"/>
  <c r="CA1195" i="1" s="1"/>
  <c r="BZ1199" i="1"/>
  <c r="CA1199" i="1" s="1"/>
  <c r="BZ1171" i="1"/>
  <c r="CA1171" i="1" s="1"/>
  <c r="CD1145" i="1"/>
  <c r="CE1145" i="1" s="1"/>
  <c r="CD1149" i="1"/>
  <c r="CE1149" i="1" s="1"/>
  <c r="CD1153" i="1"/>
  <c r="CE1153" i="1" s="1"/>
  <c r="CD1157" i="1"/>
  <c r="CE1157" i="1" s="1"/>
  <c r="CD1161" i="1"/>
  <c r="CE1161" i="1" s="1"/>
  <c r="CD1165" i="1"/>
  <c r="CE1165" i="1" s="1"/>
  <c r="BZ1166" i="1"/>
  <c r="CA1166" i="1" s="1"/>
  <c r="BZ1175" i="1"/>
  <c r="CA1175" i="1" s="1"/>
  <c r="BZ1179" i="1"/>
  <c r="CA1179" i="1" s="1"/>
  <c r="BZ1191" i="1"/>
  <c r="CA1191" i="1" s="1"/>
  <c r="BZ1196" i="1"/>
  <c r="CA1196" i="1" s="1"/>
  <c r="BZ1200" i="1"/>
  <c r="CA1200" i="1" s="1"/>
  <c r="CD1202" i="1"/>
  <c r="CE1202" i="1" s="1"/>
  <c r="BZ1172" i="1"/>
  <c r="CA1172" i="1" s="1"/>
  <c r="CD1170" i="1"/>
  <c r="CE1170" i="1" s="1"/>
  <c r="BZ1176" i="1"/>
  <c r="CA1176" i="1" s="1"/>
  <c r="BZ1180" i="1"/>
  <c r="CA1180" i="1" s="1"/>
  <c r="BZ1183" i="1"/>
  <c r="CA1183" i="1" s="1"/>
  <c r="BZ1187" i="1"/>
  <c r="CA1187" i="1" s="1"/>
  <c r="CD1194" i="1"/>
  <c r="CE1194" i="1" s="1"/>
  <c r="CD1198" i="1"/>
  <c r="CE1198" i="1" s="1"/>
  <c r="AV6" i="1"/>
  <c r="AU6" i="1"/>
  <c r="AV25" i="1"/>
  <c r="AU25" i="1"/>
  <c r="AV29" i="1"/>
  <c r="AU29" i="1"/>
  <c r="AU36" i="1"/>
  <c r="AV36" i="1"/>
  <c r="AV38" i="1"/>
  <c r="AU38" i="1"/>
  <c r="AU76" i="1"/>
  <c r="AV76" i="1"/>
  <c r="AV78" i="1"/>
  <c r="AU78" i="1"/>
  <c r="AU12" i="1"/>
  <c r="AV12" i="1"/>
  <c r="AV14" i="1"/>
  <c r="AU14" i="1"/>
  <c r="AU44" i="1"/>
  <c r="AV44" i="1"/>
  <c r="AV46" i="1"/>
  <c r="AU46" i="1"/>
  <c r="AV49" i="1"/>
  <c r="AU49" i="1"/>
  <c r="AV22" i="1"/>
  <c r="AU22" i="1"/>
  <c r="AV62" i="1"/>
  <c r="AU62" i="1"/>
  <c r="AU28" i="1"/>
  <c r="AV28" i="1"/>
  <c r="AV7" i="1"/>
  <c r="AU7" i="1"/>
  <c r="AV39" i="1"/>
  <c r="AU39" i="1"/>
  <c r="AU52" i="1"/>
  <c r="AV52" i="1"/>
  <c r="AV30" i="1"/>
  <c r="AU30" i="1"/>
  <c r="AU68" i="1"/>
  <c r="AV68" i="1"/>
  <c r="AV70" i="1"/>
  <c r="AU70" i="1"/>
  <c r="AV73" i="1"/>
  <c r="AU73" i="1"/>
  <c r="AV9" i="1"/>
  <c r="AU9" i="1"/>
  <c r="AV23" i="1"/>
  <c r="AU23" i="1"/>
  <c r="AU20" i="1"/>
  <c r="AV20" i="1"/>
  <c r="AU60" i="1"/>
  <c r="AV60" i="1"/>
  <c r="AV65" i="1"/>
  <c r="AU65" i="1"/>
  <c r="AV17" i="1"/>
  <c r="AU17" i="1"/>
  <c r="AV57" i="1"/>
  <c r="AU57" i="1"/>
  <c r="AM130" i="1"/>
  <c r="AH130" i="1"/>
  <c r="AM335" i="1"/>
  <c r="AH335" i="1"/>
  <c r="AM1201" i="1"/>
  <c r="AH1201" i="1"/>
  <c r="AR17" i="1"/>
  <c r="AS17" i="1" s="1"/>
  <c r="AR25" i="1"/>
  <c r="AS25" i="1" s="1"/>
  <c r="AR73" i="1"/>
  <c r="AS73" i="1" s="1"/>
  <c r="AV98" i="1"/>
  <c r="AU98" i="1"/>
  <c r="AU105" i="1"/>
  <c r="AM202" i="1"/>
  <c r="AH202" i="1"/>
  <c r="AV168" i="1"/>
  <c r="AU168" i="1"/>
  <c r="AT181" i="1"/>
  <c r="AR181" i="1"/>
  <c r="AS181" i="1" s="1"/>
  <c r="AV202" i="1"/>
  <c r="AU202" i="1"/>
  <c r="AR228" i="1"/>
  <c r="AS228" i="1" s="1"/>
  <c r="AT228" i="1"/>
  <c r="AT293" i="1"/>
  <c r="AR293" i="1"/>
  <c r="AS293" i="1" s="1"/>
  <c r="AM367" i="1"/>
  <c r="AH367" i="1"/>
  <c r="AM426" i="1"/>
  <c r="AH426" i="1"/>
  <c r="AM250" i="1"/>
  <c r="AH250" i="1"/>
  <c r="AR806" i="1"/>
  <c r="AS806" i="1" s="1"/>
  <c r="AT806" i="1"/>
  <c r="AR9" i="1"/>
  <c r="AS9" i="1" s="1"/>
  <c r="AU32" i="1"/>
  <c r="AR57" i="1"/>
  <c r="AS57" i="1" s="1"/>
  <c r="AR65" i="1"/>
  <c r="AS65" i="1" s="1"/>
  <c r="AH70" i="1"/>
  <c r="AU72" i="1"/>
  <c r="AU129" i="1"/>
  <c r="AV154" i="1"/>
  <c r="AU154" i="1"/>
  <c r="AV194" i="1"/>
  <c r="AU194" i="1"/>
  <c r="AM7" i="1"/>
  <c r="AH8" i="1"/>
  <c r="AT13" i="1"/>
  <c r="AM15" i="1"/>
  <c r="AH16" i="1"/>
  <c r="AT21" i="1"/>
  <c r="AM23" i="1"/>
  <c r="AH24" i="1"/>
  <c r="AM31" i="1"/>
  <c r="AH32" i="1"/>
  <c r="AT37" i="1"/>
  <c r="AM39" i="1"/>
  <c r="AH40" i="1"/>
  <c r="AT45" i="1"/>
  <c r="AM47" i="1"/>
  <c r="AH48" i="1"/>
  <c r="AT53" i="1"/>
  <c r="AM55" i="1"/>
  <c r="AH56" i="1"/>
  <c r="AT61" i="1"/>
  <c r="AM63" i="1"/>
  <c r="AH64" i="1"/>
  <c r="AT69" i="1"/>
  <c r="AM71" i="1"/>
  <c r="AH72" i="1"/>
  <c r="AT77" i="1"/>
  <c r="AM79" i="1"/>
  <c r="AM87" i="1"/>
  <c r="AR94" i="1"/>
  <c r="AS94" i="1" s="1"/>
  <c r="AT94" i="1"/>
  <c r="AT101" i="1"/>
  <c r="AR101" i="1"/>
  <c r="AS101" i="1" s="1"/>
  <c r="AT117" i="1"/>
  <c r="AR117" i="1"/>
  <c r="AS117" i="1" s="1"/>
  <c r="AV135" i="1"/>
  <c r="AU135" i="1"/>
  <c r="AT141" i="1"/>
  <c r="AR141" i="1"/>
  <c r="AS141" i="1" s="1"/>
  <c r="AV151" i="1"/>
  <c r="AU151" i="1"/>
  <c r="AT157" i="1"/>
  <c r="AR157" i="1"/>
  <c r="AS157" i="1" s="1"/>
  <c r="AV178" i="1"/>
  <c r="AU178" i="1"/>
  <c r="AM186" i="1"/>
  <c r="AH186" i="1"/>
  <c r="AV191" i="1"/>
  <c r="AU191" i="1"/>
  <c r="AH199" i="1"/>
  <c r="AV210" i="1"/>
  <c r="AU210" i="1"/>
  <c r="AV218" i="1"/>
  <c r="AU218" i="1"/>
  <c r="AV226" i="1"/>
  <c r="AU226" i="1"/>
  <c r="AR245" i="1"/>
  <c r="AS245" i="1" s="1"/>
  <c r="AT245" i="1"/>
  <c r="AM274" i="1"/>
  <c r="AH274" i="1"/>
  <c r="AV287" i="1"/>
  <c r="AU287" i="1"/>
  <c r="AM322" i="1"/>
  <c r="AH322" i="1"/>
  <c r="AM106" i="1"/>
  <c r="AH106" i="1"/>
  <c r="AM122" i="1"/>
  <c r="AH122" i="1"/>
  <c r="AM146" i="1"/>
  <c r="AH146" i="1"/>
  <c r="AV184" i="1"/>
  <c r="AU184" i="1"/>
  <c r="AT197" i="1"/>
  <c r="AR197" i="1"/>
  <c r="AS197" i="1" s="1"/>
  <c r="AH14" i="1"/>
  <c r="AU16" i="1"/>
  <c r="AH30" i="1"/>
  <c r="AU40" i="1"/>
  <c r="AR49" i="1"/>
  <c r="AS49" i="1" s="1"/>
  <c r="AV114" i="1"/>
  <c r="AU114" i="1"/>
  <c r="AU121" i="1"/>
  <c r="AV8" i="1"/>
  <c r="AH9" i="1"/>
  <c r="AR12" i="1"/>
  <c r="AS12" i="1" s="1"/>
  <c r="AH17" i="1"/>
  <c r="AR20" i="1"/>
  <c r="AS20" i="1" s="1"/>
  <c r="AH25" i="1"/>
  <c r="AU27" i="1"/>
  <c r="AR28" i="1"/>
  <c r="AS28" i="1" s="1"/>
  <c r="AH33" i="1"/>
  <c r="AR36" i="1"/>
  <c r="AS36" i="1" s="1"/>
  <c r="AH41" i="1"/>
  <c r="AU43" i="1"/>
  <c r="AR44" i="1"/>
  <c r="AS44" i="1" s="1"/>
  <c r="AV48" i="1"/>
  <c r="AH49" i="1"/>
  <c r="AR52" i="1"/>
  <c r="AS52" i="1" s="1"/>
  <c r="AH57" i="1"/>
  <c r="AR60" i="1"/>
  <c r="AS60" i="1" s="1"/>
  <c r="AH65" i="1"/>
  <c r="AR68" i="1"/>
  <c r="AS68" i="1" s="1"/>
  <c r="AH73" i="1"/>
  <c r="AR76" i="1"/>
  <c r="AS76" i="1" s="1"/>
  <c r="AM82" i="1"/>
  <c r="AH82" i="1"/>
  <c r="AU82" i="1"/>
  <c r="AT84" i="1"/>
  <c r="AR86" i="1"/>
  <c r="AS86" i="1" s="1"/>
  <c r="AT86" i="1"/>
  <c r="AM90" i="1"/>
  <c r="AH90" i="1"/>
  <c r="AV91" i="1"/>
  <c r="AT92" i="1"/>
  <c r="AR98" i="1"/>
  <c r="AS98" i="1" s="1"/>
  <c r="AH111" i="1"/>
  <c r="AR114" i="1"/>
  <c r="AS114" i="1" s="1"/>
  <c r="AH135" i="1"/>
  <c r="AR138" i="1"/>
  <c r="AS138" i="1" s="1"/>
  <c r="AH151" i="1"/>
  <c r="AR154" i="1"/>
  <c r="AS154" i="1" s="1"/>
  <c r="AV170" i="1"/>
  <c r="AU170" i="1"/>
  <c r="AM178" i="1"/>
  <c r="AH178" i="1"/>
  <c r="AV183" i="1"/>
  <c r="AU183" i="1"/>
  <c r="AH191" i="1"/>
  <c r="AR194" i="1"/>
  <c r="AS194" i="1" s="1"/>
  <c r="AV200" i="1"/>
  <c r="AU200" i="1"/>
  <c r="AR230" i="1"/>
  <c r="AS230" i="1" s="1"/>
  <c r="AT230" i="1"/>
  <c r="AU247" i="1"/>
  <c r="AV247" i="1"/>
  <c r="AV268" i="1"/>
  <c r="AM282" i="1"/>
  <c r="AH282" i="1"/>
  <c r="AV383" i="1"/>
  <c r="AU383" i="1"/>
  <c r="AM506" i="1"/>
  <c r="AH506" i="1"/>
  <c r="AM849" i="1"/>
  <c r="AH849" i="1"/>
  <c r="AV128" i="1"/>
  <c r="AU128" i="1"/>
  <c r="AV144" i="1"/>
  <c r="AU144" i="1"/>
  <c r="AV160" i="1"/>
  <c r="AU160" i="1"/>
  <c r="AT173" i="1"/>
  <c r="AR173" i="1"/>
  <c r="AS173" i="1" s="1"/>
  <c r="AR244" i="1"/>
  <c r="AS244" i="1" s="1"/>
  <c r="AT244" i="1"/>
  <c r="AM356" i="1"/>
  <c r="AH356" i="1"/>
  <c r="AT33" i="1"/>
  <c r="AT41" i="1"/>
  <c r="AM81" i="1"/>
  <c r="AH81" i="1"/>
  <c r="AT85" i="1"/>
  <c r="AM89" i="1"/>
  <c r="AH89" i="1"/>
  <c r="AV103" i="1"/>
  <c r="AU103" i="1"/>
  <c r="AT109" i="1"/>
  <c r="AR109" i="1"/>
  <c r="AS109" i="1" s="1"/>
  <c r="AV119" i="1"/>
  <c r="AU119" i="1"/>
  <c r="AT133" i="1"/>
  <c r="AR133" i="1"/>
  <c r="AS133" i="1" s="1"/>
  <c r="AT149" i="1"/>
  <c r="AR149" i="1"/>
  <c r="AS149" i="1" s="1"/>
  <c r="AV176" i="1"/>
  <c r="AU176" i="1"/>
  <c r="AT189" i="1"/>
  <c r="AR189" i="1"/>
  <c r="AS189" i="1" s="1"/>
  <c r="AT242" i="1"/>
  <c r="AR242" i="1"/>
  <c r="AS242" i="1" s="1"/>
  <c r="AV279" i="1"/>
  <c r="AU279" i="1"/>
  <c r="AT349" i="1"/>
  <c r="AR349" i="1"/>
  <c r="AS349" i="1" s="1"/>
  <c r="AV471" i="1"/>
  <c r="AU471" i="1"/>
  <c r="AM472" i="1"/>
  <c r="AH472" i="1"/>
  <c r="AV503" i="1"/>
  <c r="AU503" i="1"/>
  <c r="AM504" i="1"/>
  <c r="AH504" i="1"/>
  <c r="AM162" i="1"/>
  <c r="AH162" i="1"/>
  <c r="AT794" i="1"/>
  <c r="AR794" i="1"/>
  <c r="AS794" i="1" s="1"/>
  <c r="AH54" i="1"/>
  <c r="AV138" i="1"/>
  <c r="AU138" i="1"/>
  <c r="AM6" i="1"/>
  <c r="AM22" i="1"/>
  <c r="AM38" i="1"/>
  <c r="AM46" i="1"/>
  <c r="AM62" i="1"/>
  <c r="AM78" i="1"/>
  <c r="AM83" i="1"/>
  <c r="AM91" i="1"/>
  <c r="AM98" i="1"/>
  <c r="AH98" i="1"/>
  <c r="AM114" i="1"/>
  <c r="AH114" i="1"/>
  <c r="AT125" i="1"/>
  <c r="AR125" i="1"/>
  <c r="AS125" i="1" s="1"/>
  <c r="AM138" i="1"/>
  <c r="AH138" i="1"/>
  <c r="AM154" i="1"/>
  <c r="AH154" i="1"/>
  <c r="AT165" i="1"/>
  <c r="AR165" i="1"/>
  <c r="AS165" i="1" s="1"/>
  <c r="AV186" i="1"/>
  <c r="AU186" i="1"/>
  <c r="AM194" i="1"/>
  <c r="AH194" i="1"/>
  <c r="AV199" i="1"/>
  <c r="AU199" i="1"/>
  <c r="AR204" i="1"/>
  <c r="AS204" i="1" s="1"/>
  <c r="AT204" i="1"/>
  <c r="AR212" i="1"/>
  <c r="AS212" i="1" s="1"/>
  <c r="AT212" i="1"/>
  <c r="AR220" i="1"/>
  <c r="AS220" i="1" s="1"/>
  <c r="AT220" i="1"/>
  <c r="AR229" i="1"/>
  <c r="AS229" i="1" s="1"/>
  <c r="AT229" i="1"/>
  <c r="AM234" i="1"/>
  <c r="AH234" i="1"/>
  <c r="AM314" i="1"/>
  <c r="AH314" i="1"/>
  <c r="AV327" i="1"/>
  <c r="AU327" i="1"/>
  <c r="AH343" i="1"/>
  <c r="AV167" i="1"/>
  <c r="AU167" i="1"/>
  <c r="AV319" i="1"/>
  <c r="AU319" i="1"/>
  <c r="AM942" i="1"/>
  <c r="AH942" i="1"/>
  <c r="AT93" i="1"/>
  <c r="AV120" i="1"/>
  <c r="AU120" i="1"/>
  <c r="AU161" i="1"/>
  <c r="AH80" i="1"/>
  <c r="AV96" i="1"/>
  <c r="AU96" i="1"/>
  <c r="AV107" i="1"/>
  <c r="AV112" i="1"/>
  <c r="AU112" i="1"/>
  <c r="AU113" i="1"/>
  <c r="AV122" i="1"/>
  <c r="AU122" i="1"/>
  <c r="AV130" i="1"/>
  <c r="AU130" i="1"/>
  <c r="AV131" i="1"/>
  <c r="AU132" i="1"/>
  <c r="AU137" i="1"/>
  <c r="AV146" i="1"/>
  <c r="AU146" i="1"/>
  <c r="AV147" i="1"/>
  <c r="AV152" i="1"/>
  <c r="AU152" i="1"/>
  <c r="AV162" i="1"/>
  <c r="AU162" i="1"/>
  <c r="AM170" i="1"/>
  <c r="AH170" i="1"/>
  <c r="AV175" i="1"/>
  <c r="AU175" i="1"/>
  <c r="AH183" i="1"/>
  <c r="AR186" i="1"/>
  <c r="AS186" i="1" s="1"/>
  <c r="AU219" i="1"/>
  <c r="AV219" i="1"/>
  <c r="AV232" i="1"/>
  <c r="AU232" i="1"/>
  <c r="AM233" i="1"/>
  <c r="AH233" i="1"/>
  <c r="AU233" i="1"/>
  <c r="AR246" i="1"/>
  <c r="AS246" i="1" s="1"/>
  <c r="AT246" i="1"/>
  <c r="AV313" i="1"/>
  <c r="AU313" i="1"/>
  <c r="AV407" i="1"/>
  <c r="AU407" i="1"/>
  <c r="AM456" i="1"/>
  <c r="AH456" i="1"/>
  <c r="AV250" i="1"/>
  <c r="AU250" i="1"/>
  <c r="AT261" i="1"/>
  <c r="AR261" i="1"/>
  <c r="AS261" i="1" s="1"/>
  <c r="AT269" i="1"/>
  <c r="AR269" i="1"/>
  <c r="AS269" i="1" s="1"/>
  <c r="AV274" i="1"/>
  <c r="AU274" i="1"/>
  <c r="AV288" i="1"/>
  <c r="AU288" i="1"/>
  <c r="AT301" i="1"/>
  <c r="AR301" i="1"/>
  <c r="AS301" i="1" s="1"/>
  <c r="AT309" i="1"/>
  <c r="AR309" i="1"/>
  <c r="AS309" i="1" s="1"/>
  <c r="AV314" i="1"/>
  <c r="AU314" i="1"/>
  <c r="AM338" i="1"/>
  <c r="AH338" i="1"/>
  <c r="AV343" i="1"/>
  <c r="AU343" i="1"/>
  <c r="AH352" i="1"/>
  <c r="AM352" i="1"/>
  <c r="AU356" i="1"/>
  <c r="AV356" i="1"/>
  <c r="AM386" i="1"/>
  <c r="AH386" i="1"/>
  <c r="AH409" i="1"/>
  <c r="AM409" i="1"/>
  <c r="AR420" i="1"/>
  <c r="AS420" i="1" s="1"/>
  <c r="AT420" i="1"/>
  <c r="AT445" i="1"/>
  <c r="AR445" i="1"/>
  <c r="AS445" i="1" s="1"/>
  <c r="AH97" i="1"/>
  <c r="AT102" i="1"/>
  <c r="AH105" i="1"/>
  <c r="AT110" i="1"/>
  <c r="AH113" i="1"/>
  <c r="AT118" i="1"/>
  <c r="AH121" i="1"/>
  <c r="AT126" i="1"/>
  <c r="AH129" i="1"/>
  <c r="AT134" i="1"/>
  <c r="AH137" i="1"/>
  <c r="AT142" i="1"/>
  <c r="AH145" i="1"/>
  <c r="AT150" i="1"/>
  <c r="AH153" i="1"/>
  <c r="AT158" i="1"/>
  <c r="AH161" i="1"/>
  <c r="AT166" i="1"/>
  <c r="AH169" i="1"/>
  <c r="AT174" i="1"/>
  <c r="AH177" i="1"/>
  <c r="AT182" i="1"/>
  <c r="AH185" i="1"/>
  <c r="AT190" i="1"/>
  <c r="AH193" i="1"/>
  <c r="AT198" i="1"/>
  <c r="AH201" i="1"/>
  <c r="AV235" i="1"/>
  <c r="AH239" i="1"/>
  <c r="AU240" i="1"/>
  <c r="AR250" i="1"/>
  <c r="AS250" i="1" s="1"/>
  <c r="AV251" i="1"/>
  <c r="AV258" i="1"/>
  <c r="AU258" i="1"/>
  <c r="AH263" i="1"/>
  <c r="AR274" i="1"/>
  <c r="AS274" i="1" s="1"/>
  <c r="AV298" i="1"/>
  <c r="AU298" i="1"/>
  <c r="AV306" i="1"/>
  <c r="AU306" i="1"/>
  <c r="AR314" i="1"/>
  <c r="AS314" i="1" s="1"/>
  <c r="AM330" i="1"/>
  <c r="AH330" i="1"/>
  <c r="AV335" i="1"/>
  <c r="AU335" i="1"/>
  <c r="AR356" i="1"/>
  <c r="AS356" i="1" s="1"/>
  <c r="AV360" i="1"/>
  <c r="AU360" i="1"/>
  <c r="AM368" i="1"/>
  <c r="AH368" i="1"/>
  <c r="AH369" i="1"/>
  <c r="AM369" i="1"/>
  <c r="AV385" i="1"/>
  <c r="AU385" i="1"/>
  <c r="AM392" i="1"/>
  <c r="AH392" i="1"/>
  <c r="AH393" i="1"/>
  <c r="AM393" i="1"/>
  <c r="AV432" i="1"/>
  <c r="AU432" i="1"/>
  <c r="AV439" i="1"/>
  <c r="AU439" i="1"/>
  <c r="AM474" i="1"/>
  <c r="AH474" i="1"/>
  <c r="AM524" i="1"/>
  <c r="AH524" i="1"/>
  <c r="AV548" i="1"/>
  <c r="AU548" i="1"/>
  <c r="AV563" i="1"/>
  <c r="AU563" i="1"/>
  <c r="AV578" i="1"/>
  <c r="AU578" i="1"/>
  <c r="AM249" i="1"/>
  <c r="AH249" i="1"/>
  <c r="AM258" i="1"/>
  <c r="AH258" i="1"/>
  <c r="AM266" i="1"/>
  <c r="AH266" i="1"/>
  <c r="AM298" i="1"/>
  <c r="AH298" i="1"/>
  <c r="AV303" i="1"/>
  <c r="AU303" i="1"/>
  <c r="AM306" i="1"/>
  <c r="AH306" i="1"/>
  <c r="AV311" i="1"/>
  <c r="AU311" i="1"/>
  <c r="AT341" i="1"/>
  <c r="AR341" i="1"/>
  <c r="AS341" i="1" s="1"/>
  <c r="AV346" i="1"/>
  <c r="AU346" i="1"/>
  <c r="AT381" i="1"/>
  <c r="AR381" i="1"/>
  <c r="AS381" i="1" s="1"/>
  <c r="AM391" i="1"/>
  <c r="AH391" i="1"/>
  <c r="AT405" i="1"/>
  <c r="AR405" i="1"/>
  <c r="AS405" i="1" s="1"/>
  <c r="AV423" i="1"/>
  <c r="AU423" i="1"/>
  <c r="AM424" i="1"/>
  <c r="AH424" i="1"/>
  <c r="AT453" i="1"/>
  <c r="AR453" i="1"/>
  <c r="AS453" i="1" s="1"/>
  <c r="AT459" i="1"/>
  <c r="AR459" i="1"/>
  <c r="AS459" i="1" s="1"/>
  <c r="AT469" i="1"/>
  <c r="AR469" i="1"/>
  <c r="AS469" i="1" s="1"/>
  <c r="AR206" i="1"/>
  <c r="AS206" i="1" s="1"/>
  <c r="AT206" i="1"/>
  <c r="AM210" i="1"/>
  <c r="AH210" i="1"/>
  <c r="AR214" i="1"/>
  <c r="AS214" i="1" s="1"/>
  <c r="AT214" i="1"/>
  <c r="AM218" i="1"/>
  <c r="AH218" i="1"/>
  <c r="AR222" i="1"/>
  <c r="AS222" i="1" s="1"/>
  <c r="AT222" i="1"/>
  <c r="AM226" i="1"/>
  <c r="AH226" i="1"/>
  <c r="AV255" i="1"/>
  <c r="AU255" i="1"/>
  <c r="AM257" i="1"/>
  <c r="AH257" i="1"/>
  <c r="AM265" i="1"/>
  <c r="AH265" i="1"/>
  <c r="AV296" i="1"/>
  <c r="AU296" i="1"/>
  <c r="AT333" i="1"/>
  <c r="AR333" i="1"/>
  <c r="AS333" i="1" s="1"/>
  <c r="AT353" i="1"/>
  <c r="AR353" i="1"/>
  <c r="AS353" i="1" s="1"/>
  <c r="AR380" i="1"/>
  <c r="AS380" i="1" s="1"/>
  <c r="AT380" i="1"/>
  <c r="AR404" i="1"/>
  <c r="AS404" i="1" s="1"/>
  <c r="AT404" i="1"/>
  <c r="AT491" i="1"/>
  <c r="AR491" i="1"/>
  <c r="AS491" i="1" s="1"/>
  <c r="AT501" i="1"/>
  <c r="AR501" i="1"/>
  <c r="AS501" i="1" s="1"/>
  <c r="AM628" i="1"/>
  <c r="AH628" i="1"/>
  <c r="AR642" i="1"/>
  <c r="AS642" i="1" s="1"/>
  <c r="AT642" i="1"/>
  <c r="AR650" i="1"/>
  <c r="AS650" i="1" s="1"/>
  <c r="AT650" i="1"/>
  <c r="AM209" i="1"/>
  <c r="AH209" i="1"/>
  <c r="AM217" i="1"/>
  <c r="AH217" i="1"/>
  <c r="AM225" i="1"/>
  <c r="AH225" i="1"/>
  <c r="AM242" i="1"/>
  <c r="AH242" i="1"/>
  <c r="AV263" i="1"/>
  <c r="AU263" i="1"/>
  <c r="AT285" i="1"/>
  <c r="AR285" i="1"/>
  <c r="AS285" i="1" s="1"/>
  <c r="AT325" i="1"/>
  <c r="AR325" i="1"/>
  <c r="AS325" i="1" s="1"/>
  <c r="AV330" i="1"/>
  <c r="AU330" i="1"/>
  <c r="AT421" i="1"/>
  <c r="AR421" i="1"/>
  <c r="AS421" i="1" s="1"/>
  <c r="AM448" i="1"/>
  <c r="AH448" i="1"/>
  <c r="AT605" i="1"/>
  <c r="AR605" i="1"/>
  <c r="AS605" i="1" s="1"/>
  <c r="AR238" i="1"/>
  <c r="AS238" i="1" s="1"/>
  <c r="AT238" i="1"/>
  <c r="AM241" i="1"/>
  <c r="AH241" i="1"/>
  <c r="AT253" i="1"/>
  <c r="AR253" i="1"/>
  <c r="AS253" i="1" s="1"/>
  <c r="AH271" i="1"/>
  <c r="AT277" i="1"/>
  <c r="AR277" i="1"/>
  <c r="AS277" i="1" s="1"/>
  <c r="AV282" i="1"/>
  <c r="AU282" i="1"/>
  <c r="AM290" i="1"/>
  <c r="AH290" i="1"/>
  <c r="AH303" i="1"/>
  <c r="AH311" i="1"/>
  <c r="AT317" i="1"/>
  <c r="AR317" i="1"/>
  <c r="AS317" i="1" s="1"/>
  <c r="AV322" i="1"/>
  <c r="AU322" i="1"/>
  <c r="AR330" i="1"/>
  <c r="AS330" i="1" s="1"/>
  <c r="AM346" i="1"/>
  <c r="AH346" i="1"/>
  <c r="AV352" i="1"/>
  <c r="AU352" i="1"/>
  <c r="AM362" i="1"/>
  <c r="AH362" i="1"/>
  <c r="AV378" i="1"/>
  <c r="AU378" i="1"/>
  <c r="AT379" i="1"/>
  <c r="AT403" i="1"/>
  <c r="AM376" i="1"/>
  <c r="AH376" i="1"/>
  <c r="AM400" i="1"/>
  <c r="AH400" i="1"/>
  <c r="AM416" i="1"/>
  <c r="AH416" i="1"/>
  <c r="AH417" i="1"/>
  <c r="AM417" i="1"/>
  <c r="AM442" i="1"/>
  <c r="AH442" i="1"/>
  <c r="AV448" i="1"/>
  <c r="AU448" i="1"/>
  <c r="AM466" i="1"/>
  <c r="AH466" i="1"/>
  <c r="AM498" i="1"/>
  <c r="AH498" i="1"/>
  <c r="AR521" i="1"/>
  <c r="AS521" i="1" s="1"/>
  <c r="AT521" i="1"/>
  <c r="AT535" i="1"/>
  <c r="AR535" i="1"/>
  <c r="AS535" i="1" s="1"/>
  <c r="AV554" i="1"/>
  <c r="AU554" i="1"/>
  <c r="AV556" i="1"/>
  <c r="AU556" i="1"/>
  <c r="AV596" i="1"/>
  <c r="AU596" i="1"/>
  <c r="AT695" i="1"/>
  <c r="AR695" i="1"/>
  <c r="AS695" i="1" s="1"/>
  <c r="AT868" i="1"/>
  <c r="AR868" i="1"/>
  <c r="AS868" i="1" s="1"/>
  <c r="AV881" i="1"/>
  <c r="AU881" i="1"/>
  <c r="AT254" i="1"/>
  <c r="AT262" i="1"/>
  <c r="AT270" i="1"/>
  <c r="AH273" i="1"/>
  <c r="AT278" i="1"/>
  <c r="AH281" i="1"/>
  <c r="AT286" i="1"/>
  <c r="AH289" i="1"/>
  <c r="AT294" i="1"/>
  <c r="AH297" i="1"/>
  <c r="AT302" i="1"/>
  <c r="AH305" i="1"/>
  <c r="AT310" i="1"/>
  <c r="AH313" i="1"/>
  <c r="AT318" i="1"/>
  <c r="AH321" i="1"/>
  <c r="AT326" i="1"/>
  <c r="AH329" i="1"/>
  <c r="AT334" i="1"/>
  <c r="AH337" i="1"/>
  <c r="AT342" i="1"/>
  <c r="AH345" i="1"/>
  <c r="AT350" i="1"/>
  <c r="AT354" i="1"/>
  <c r="AT363" i="1"/>
  <c r="AT365" i="1"/>
  <c r="AR365" i="1"/>
  <c r="AS365" i="1" s="1"/>
  <c r="AM370" i="1"/>
  <c r="AH370" i="1"/>
  <c r="AT387" i="1"/>
  <c r="AT389" i="1"/>
  <c r="AR389" i="1"/>
  <c r="AS389" i="1" s="1"/>
  <c r="AM394" i="1"/>
  <c r="AH394" i="1"/>
  <c r="AM410" i="1"/>
  <c r="AH410" i="1"/>
  <c r="AM434" i="1"/>
  <c r="AH434" i="1"/>
  <c r="AV440" i="1"/>
  <c r="AU440" i="1"/>
  <c r="AT461" i="1"/>
  <c r="AR461" i="1"/>
  <c r="AS461" i="1" s="1"/>
  <c r="AM464" i="1"/>
  <c r="AH464" i="1"/>
  <c r="AV474" i="1"/>
  <c r="AU474" i="1"/>
  <c r="AT483" i="1"/>
  <c r="AR483" i="1"/>
  <c r="AS483" i="1" s="1"/>
  <c r="AT493" i="1"/>
  <c r="AR493" i="1"/>
  <c r="AS493" i="1" s="1"/>
  <c r="AM496" i="1"/>
  <c r="AH496" i="1"/>
  <c r="AT549" i="1"/>
  <c r="AR549" i="1"/>
  <c r="AS549" i="1" s="1"/>
  <c r="AM610" i="1"/>
  <c r="AH610" i="1"/>
  <c r="AT674" i="1"/>
  <c r="AR674" i="1"/>
  <c r="AS674" i="1" s="1"/>
  <c r="AM743" i="1"/>
  <c r="AH743" i="1"/>
  <c r="AV764" i="1"/>
  <c r="AU764" i="1"/>
  <c r="AM780" i="1"/>
  <c r="AH780" i="1"/>
  <c r="AT357" i="1"/>
  <c r="AR357" i="1"/>
  <c r="AS357" i="1" s="1"/>
  <c r="AH361" i="1"/>
  <c r="AM361" i="1"/>
  <c r="AM384" i="1"/>
  <c r="AH384" i="1"/>
  <c r="AH385" i="1"/>
  <c r="AM385" i="1"/>
  <c r="AU391" i="1"/>
  <c r="AM408" i="1"/>
  <c r="AH408" i="1"/>
  <c r="AT437" i="1"/>
  <c r="AR437" i="1"/>
  <c r="AS437" i="1" s="1"/>
  <c r="AM440" i="1"/>
  <c r="AH440" i="1"/>
  <c r="AT451" i="1"/>
  <c r="AR451" i="1"/>
  <c r="AS451" i="1" s="1"/>
  <c r="AM482" i="1"/>
  <c r="AH482" i="1"/>
  <c r="AM510" i="1"/>
  <c r="AH510" i="1"/>
  <c r="AT543" i="1"/>
  <c r="AR543" i="1"/>
  <c r="AS543" i="1" s="1"/>
  <c r="AV547" i="1"/>
  <c r="AU547" i="1"/>
  <c r="AM602" i="1"/>
  <c r="AH602" i="1"/>
  <c r="AV626" i="1"/>
  <c r="AU626" i="1"/>
  <c r="AU630" i="1"/>
  <c r="AV630" i="1"/>
  <c r="AM378" i="1"/>
  <c r="AH378" i="1"/>
  <c r="AM402" i="1"/>
  <c r="AH402" i="1"/>
  <c r="AT429" i="1"/>
  <c r="AR429" i="1"/>
  <c r="AS429" i="1" s="1"/>
  <c r="AM432" i="1"/>
  <c r="AH432" i="1"/>
  <c r="AT443" i="1"/>
  <c r="AR443" i="1"/>
  <c r="AS443" i="1" s="1"/>
  <c r="AT467" i="1"/>
  <c r="AR467" i="1"/>
  <c r="AS467" i="1" s="1"/>
  <c r="AT477" i="1"/>
  <c r="AR477" i="1"/>
  <c r="AS477" i="1" s="1"/>
  <c r="AM480" i="1"/>
  <c r="AH480" i="1"/>
  <c r="AT499" i="1"/>
  <c r="AR499" i="1"/>
  <c r="AS499" i="1" s="1"/>
  <c r="AV562" i="1"/>
  <c r="AU562" i="1"/>
  <c r="AV618" i="1"/>
  <c r="AU618" i="1"/>
  <c r="AU622" i="1"/>
  <c r="AV622" i="1"/>
  <c r="AM360" i="1"/>
  <c r="AH360" i="1"/>
  <c r="AH377" i="1"/>
  <c r="AM377" i="1"/>
  <c r="AH401" i="1"/>
  <c r="AM401" i="1"/>
  <c r="AV418" i="1"/>
  <c r="AU418" i="1"/>
  <c r="AT435" i="1"/>
  <c r="AR435" i="1"/>
  <c r="AS435" i="1" s="1"/>
  <c r="AV450" i="1"/>
  <c r="AU450" i="1"/>
  <c r="AM458" i="1"/>
  <c r="AH458" i="1"/>
  <c r="AM490" i="1"/>
  <c r="AH490" i="1"/>
  <c r="AU508" i="1"/>
  <c r="AV508" i="1"/>
  <c r="AH522" i="1"/>
  <c r="AM522" i="1"/>
  <c r="AT541" i="1"/>
  <c r="AR541" i="1"/>
  <c r="AS541" i="1" s="1"/>
  <c r="AT557" i="1"/>
  <c r="AR557" i="1"/>
  <c r="AS557" i="1" s="1"/>
  <c r="AT371" i="1"/>
  <c r="AT373" i="1"/>
  <c r="AR373" i="1"/>
  <c r="AS373" i="1" s="1"/>
  <c r="AU376" i="1"/>
  <c r="AT395" i="1"/>
  <c r="AT397" i="1"/>
  <c r="AR397" i="1"/>
  <c r="AS397" i="1" s="1"/>
  <c r="AT411" i="1"/>
  <c r="AT413" i="1"/>
  <c r="AR413" i="1"/>
  <c r="AS413" i="1" s="1"/>
  <c r="AM418" i="1"/>
  <c r="AH418" i="1"/>
  <c r="AT427" i="1"/>
  <c r="AR427" i="1"/>
  <c r="AS427" i="1" s="1"/>
  <c r="AV442" i="1"/>
  <c r="AU442" i="1"/>
  <c r="AM450" i="1"/>
  <c r="AH450" i="1"/>
  <c r="AV456" i="1"/>
  <c r="AU456" i="1"/>
  <c r="AT475" i="1"/>
  <c r="AR475" i="1"/>
  <c r="AS475" i="1" s="1"/>
  <c r="AT485" i="1"/>
  <c r="AR485" i="1"/>
  <c r="AS485" i="1" s="1"/>
  <c r="AM488" i="1"/>
  <c r="AH488" i="1"/>
  <c r="AT507" i="1"/>
  <c r="AR507" i="1"/>
  <c r="AS507" i="1" s="1"/>
  <c r="AV530" i="1"/>
  <c r="AU530" i="1"/>
  <c r="AV570" i="1"/>
  <c r="AU570" i="1"/>
  <c r="AV586" i="1"/>
  <c r="AU586" i="1"/>
  <c r="AU590" i="1"/>
  <c r="AV590" i="1"/>
  <c r="AT613" i="1"/>
  <c r="AR613" i="1"/>
  <c r="AS613" i="1" s="1"/>
  <c r="AV662" i="1"/>
  <c r="AU662" i="1"/>
  <c r="AM425" i="1"/>
  <c r="AM433" i="1"/>
  <c r="AM441" i="1"/>
  <c r="AM449" i="1"/>
  <c r="AM457" i="1"/>
  <c r="AM465" i="1"/>
  <c r="AM473" i="1"/>
  <c r="AM481" i="1"/>
  <c r="AM489" i="1"/>
  <c r="AM497" i="1"/>
  <c r="AM505" i="1"/>
  <c r="AT509" i="1"/>
  <c r="AM511" i="1"/>
  <c r="AM514" i="1"/>
  <c r="AU531" i="1"/>
  <c r="AM538" i="1"/>
  <c r="AH538" i="1"/>
  <c r="AM564" i="1"/>
  <c r="AH564" i="1"/>
  <c r="AM572" i="1"/>
  <c r="AH572" i="1"/>
  <c r="AM580" i="1"/>
  <c r="AH580" i="1"/>
  <c r="AT589" i="1"/>
  <c r="AR589" i="1"/>
  <c r="AS589" i="1" s="1"/>
  <c r="AT621" i="1"/>
  <c r="AR621" i="1"/>
  <c r="AS621" i="1" s="1"/>
  <c r="AT631" i="1"/>
  <c r="AR631" i="1"/>
  <c r="AS631" i="1" s="1"/>
  <c r="AV661" i="1"/>
  <c r="AU661" i="1"/>
  <c r="AT682" i="1"/>
  <c r="AR682" i="1"/>
  <c r="AS682" i="1" s="1"/>
  <c r="AM692" i="1"/>
  <c r="AH692" i="1"/>
  <c r="AV742" i="1"/>
  <c r="AU742" i="1"/>
  <c r="AT783" i="1"/>
  <c r="AR783" i="1"/>
  <c r="AS783" i="1" s="1"/>
  <c r="AT519" i="1"/>
  <c r="AR519" i="1"/>
  <c r="AS519" i="1" s="1"/>
  <c r="AM530" i="1"/>
  <c r="AH530" i="1"/>
  <c r="AM548" i="1"/>
  <c r="AH548" i="1"/>
  <c r="AM556" i="1"/>
  <c r="AH556" i="1"/>
  <c r="AM570" i="1"/>
  <c r="AH570" i="1"/>
  <c r="AM578" i="1"/>
  <c r="AH578" i="1"/>
  <c r="AM586" i="1"/>
  <c r="AH586" i="1"/>
  <c r="AV594" i="1"/>
  <c r="AU594" i="1"/>
  <c r="AM596" i="1"/>
  <c r="AH596" i="1"/>
  <c r="AT599" i="1"/>
  <c r="AR599" i="1"/>
  <c r="AS599" i="1" s="1"/>
  <c r="AM618" i="1"/>
  <c r="AH618" i="1"/>
  <c r="AT629" i="1"/>
  <c r="AR629" i="1"/>
  <c r="AS629" i="1" s="1"/>
  <c r="AR635" i="1"/>
  <c r="AS635" i="1" s="1"/>
  <c r="AT635" i="1"/>
  <c r="AT735" i="1"/>
  <c r="AR735" i="1"/>
  <c r="AS735" i="1" s="1"/>
  <c r="AM764" i="1"/>
  <c r="AH764" i="1"/>
  <c r="AT778" i="1"/>
  <c r="AR778" i="1"/>
  <c r="AS778" i="1" s="1"/>
  <c r="AT517" i="1"/>
  <c r="AR517" i="1"/>
  <c r="AS517" i="1" s="1"/>
  <c r="AT527" i="1"/>
  <c r="AR527" i="1"/>
  <c r="AS527" i="1" s="1"/>
  <c r="AT533" i="1"/>
  <c r="AR533" i="1"/>
  <c r="AS533" i="1" s="1"/>
  <c r="AV546" i="1"/>
  <c r="AU546" i="1"/>
  <c r="AT567" i="1"/>
  <c r="AR567" i="1"/>
  <c r="AS567" i="1" s="1"/>
  <c r="AT575" i="1"/>
  <c r="AR575" i="1"/>
  <c r="AS575" i="1" s="1"/>
  <c r="AT583" i="1"/>
  <c r="AR583" i="1"/>
  <c r="AS583" i="1" s="1"/>
  <c r="AV604" i="1"/>
  <c r="AU604" i="1"/>
  <c r="AV612" i="1"/>
  <c r="AU612" i="1"/>
  <c r="AR673" i="1"/>
  <c r="AS673" i="1" s="1"/>
  <c r="BC673" i="1" s="1"/>
  <c r="AT673" i="1"/>
  <c r="AV676" i="1"/>
  <c r="AU676" i="1"/>
  <c r="AT690" i="1"/>
  <c r="AR690" i="1"/>
  <c r="AS690" i="1" s="1"/>
  <c r="AM716" i="1"/>
  <c r="AH716" i="1"/>
  <c r="AM759" i="1"/>
  <c r="AH759" i="1"/>
  <c r="AR805" i="1"/>
  <c r="AS805" i="1" s="1"/>
  <c r="AT805" i="1"/>
  <c r="AT525" i="1"/>
  <c r="AR525" i="1"/>
  <c r="AS525" i="1" s="1"/>
  <c r="AM540" i="1"/>
  <c r="AH540" i="1"/>
  <c r="AM554" i="1"/>
  <c r="AH554" i="1"/>
  <c r="AM562" i="1"/>
  <c r="AH562" i="1"/>
  <c r="AM604" i="1"/>
  <c r="AH604" i="1"/>
  <c r="AT607" i="1"/>
  <c r="AR607" i="1"/>
  <c r="AS607" i="1" s="1"/>
  <c r="AM612" i="1"/>
  <c r="AH612" i="1"/>
  <c r="AV620" i="1"/>
  <c r="AU620" i="1"/>
  <c r="AM626" i="1"/>
  <c r="AH626" i="1"/>
  <c r="AT719" i="1"/>
  <c r="AR719" i="1"/>
  <c r="AS719" i="1" s="1"/>
  <c r="AV745" i="1"/>
  <c r="AU745" i="1"/>
  <c r="AV748" i="1"/>
  <c r="AU748" i="1"/>
  <c r="AV758" i="1"/>
  <c r="AU758" i="1"/>
  <c r="AR513" i="1"/>
  <c r="AS513" i="1" s="1"/>
  <c r="AT513" i="1"/>
  <c r="AV526" i="1"/>
  <c r="AV532" i="1"/>
  <c r="AU532" i="1"/>
  <c r="AT551" i="1"/>
  <c r="AR551" i="1"/>
  <c r="AS551" i="1" s="1"/>
  <c r="AT559" i="1"/>
  <c r="AR559" i="1"/>
  <c r="AS559" i="1" s="1"/>
  <c r="AT565" i="1"/>
  <c r="AR565" i="1"/>
  <c r="AS565" i="1" s="1"/>
  <c r="AV566" i="1"/>
  <c r="AT573" i="1"/>
  <c r="AR573" i="1"/>
  <c r="AS573" i="1" s="1"/>
  <c r="AV574" i="1"/>
  <c r="AT581" i="1"/>
  <c r="AR581" i="1"/>
  <c r="AS581" i="1" s="1"/>
  <c r="AV582" i="1"/>
  <c r="AM588" i="1"/>
  <c r="AH588" i="1"/>
  <c r="AM594" i="1"/>
  <c r="AH594" i="1"/>
  <c r="AT597" i="1"/>
  <c r="AR597" i="1"/>
  <c r="AS597" i="1" s="1"/>
  <c r="AT615" i="1"/>
  <c r="AR615" i="1"/>
  <c r="AS615" i="1" s="1"/>
  <c r="AM620" i="1"/>
  <c r="AH620" i="1"/>
  <c r="AM684" i="1"/>
  <c r="AH684" i="1"/>
  <c r="AT730" i="1"/>
  <c r="AR730" i="1"/>
  <c r="AS730" i="1" s="1"/>
  <c r="AM516" i="1"/>
  <c r="AH516" i="1"/>
  <c r="AM532" i="1"/>
  <c r="AH532" i="1"/>
  <c r="AM546" i="1"/>
  <c r="AH546" i="1"/>
  <c r="AT591" i="1"/>
  <c r="AR591" i="1"/>
  <c r="AS591" i="1" s="1"/>
  <c r="AV602" i="1"/>
  <c r="AU602" i="1"/>
  <c r="AV610" i="1"/>
  <c r="AU610" i="1"/>
  <c r="AT623" i="1"/>
  <c r="AR623" i="1"/>
  <c r="AS623" i="1" s="1"/>
  <c r="AV628" i="1"/>
  <c r="AU628" i="1"/>
  <c r="AM634" i="1"/>
  <c r="AH634" i="1"/>
  <c r="AH640" i="1"/>
  <c r="AM640" i="1"/>
  <c r="AH648" i="1"/>
  <c r="AM648" i="1"/>
  <c r="AH656" i="1"/>
  <c r="AM656" i="1"/>
  <c r="AM660" i="1"/>
  <c r="AH660" i="1"/>
  <c r="AM663" i="1"/>
  <c r="AH663" i="1"/>
  <c r="AM676" i="1"/>
  <c r="AH676" i="1"/>
  <c r="AT714" i="1"/>
  <c r="AR714" i="1"/>
  <c r="AS714" i="1" s="1"/>
  <c r="AT529" i="1"/>
  <c r="AT537" i="1"/>
  <c r="AT545" i="1"/>
  <c r="AT553" i="1"/>
  <c r="AT561" i="1"/>
  <c r="AT569" i="1"/>
  <c r="AT577" i="1"/>
  <c r="AT585" i="1"/>
  <c r="AT593" i="1"/>
  <c r="AT601" i="1"/>
  <c r="AT609" i="1"/>
  <c r="AT617" i="1"/>
  <c r="AT625" i="1"/>
  <c r="AT633" i="1"/>
  <c r="AR659" i="1"/>
  <c r="AS659" i="1" s="1"/>
  <c r="AT659" i="1"/>
  <c r="AM662" i="1"/>
  <c r="AH662" i="1"/>
  <c r="AM664" i="1"/>
  <c r="AU669" i="1"/>
  <c r="AU677" i="1"/>
  <c r="AT698" i="1"/>
  <c r="AR698" i="1"/>
  <c r="AS698" i="1" s="1"/>
  <c r="AT722" i="1"/>
  <c r="AR722" i="1"/>
  <c r="AS722" i="1" s="1"/>
  <c r="AV727" i="1"/>
  <c r="AU727" i="1"/>
  <c r="AM751" i="1"/>
  <c r="AH751" i="1"/>
  <c r="AV756" i="1"/>
  <c r="AU756" i="1"/>
  <c r="AT786" i="1"/>
  <c r="AR786" i="1"/>
  <c r="AS786" i="1" s="1"/>
  <c r="AV791" i="1"/>
  <c r="AU791" i="1"/>
  <c r="AR797" i="1"/>
  <c r="AS797" i="1" s="1"/>
  <c r="AT797" i="1"/>
  <c r="AT834" i="1"/>
  <c r="AR834" i="1"/>
  <c r="AS834" i="1" s="1"/>
  <c r="AV849" i="1"/>
  <c r="AU849" i="1"/>
  <c r="AT852" i="1"/>
  <c r="AR852" i="1"/>
  <c r="AS852" i="1" s="1"/>
  <c r="AV860" i="1"/>
  <c r="AU860" i="1"/>
  <c r="AT634" i="1"/>
  <c r="AM639" i="1"/>
  <c r="AH639" i="1"/>
  <c r="AT641" i="1"/>
  <c r="AR643" i="1"/>
  <c r="AS643" i="1" s="1"/>
  <c r="AT643" i="1"/>
  <c r="AM647" i="1"/>
  <c r="AH647" i="1"/>
  <c r="AT649" i="1"/>
  <c r="AR651" i="1"/>
  <c r="AS651" i="1" s="1"/>
  <c r="AT651" i="1"/>
  <c r="AM655" i="1"/>
  <c r="AH655" i="1"/>
  <c r="AT657" i="1"/>
  <c r="AV671" i="1"/>
  <c r="AU671" i="1"/>
  <c r="AV679" i="1"/>
  <c r="AU679" i="1"/>
  <c r="AV687" i="1"/>
  <c r="AU687" i="1"/>
  <c r="AT706" i="1"/>
  <c r="AR706" i="1"/>
  <c r="AS706" i="1" s="1"/>
  <c r="AV711" i="1"/>
  <c r="AU711" i="1"/>
  <c r="AM735" i="1"/>
  <c r="AH735" i="1"/>
  <c r="AV740" i="1"/>
  <c r="AU740" i="1"/>
  <c r="AT770" i="1"/>
  <c r="AR770" i="1"/>
  <c r="AS770" i="1" s="1"/>
  <c r="AV775" i="1"/>
  <c r="AU775" i="1"/>
  <c r="AM941" i="1"/>
  <c r="AH941" i="1"/>
  <c r="AH589" i="1"/>
  <c r="AH597" i="1"/>
  <c r="AH605" i="1"/>
  <c r="AH613" i="1"/>
  <c r="AH621" i="1"/>
  <c r="AH629" i="1"/>
  <c r="AH636" i="1"/>
  <c r="AM638" i="1"/>
  <c r="AH638" i="1"/>
  <c r="AU638" i="1"/>
  <c r="AM646" i="1"/>
  <c r="AH646" i="1"/>
  <c r="AU646" i="1"/>
  <c r="AM654" i="1"/>
  <c r="AH654" i="1"/>
  <c r="AV660" i="1"/>
  <c r="AR671" i="1"/>
  <c r="AS671" i="1" s="1"/>
  <c r="AV672" i="1"/>
  <c r="AR679" i="1"/>
  <c r="AS679" i="1" s="1"/>
  <c r="AV680" i="1"/>
  <c r="AR687" i="1"/>
  <c r="AS687" i="1" s="1"/>
  <c r="AV703" i="1"/>
  <c r="AU703" i="1"/>
  <c r="AR711" i="1"/>
  <c r="AS711" i="1" s="1"/>
  <c r="AM727" i="1"/>
  <c r="AH727" i="1"/>
  <c r="AV732" i="1"/>
  <c r="AU732" i="1"/>
  <c r="AU734" i="1"/>
  <c r="AH756" i="1"/>
  <c r="AT762" i="1"/>
  <c r="AR762" i="1"/>
  <c r="AS762" i="1" s="1"/>
  <c r="AV767" i="1"/>
  <c r="AU767" i="1"/>
  <c r="AR775" i="1"/>
  <c r="AS775" i="1" s="1"/>
  <c r="AM791" i="1"/>
  <c r="AH791" i="1"/>
  <c r="AR667" i="1"/>
  <c r="AS667" i="1" s="1"/>
  <c r="AT667" i="1"/>
  <c r="AM695" i="1"/>
  <c r="AH695" i="1"/>
  <c r="AM719" i="1"/>
  <c r="AH719" i="1"/>
  <c r="AV724" i="1"/>
  <c r="AU724" i="1"/>
  <c r="AT754" i="1"/>
  <c r="AR754" i="1"/>
  <c r="AS754" i="1" s="1"/>
  <c r="AV759" i="1"/>
  <c r="AU759" i="1"/>
  <c r="AM783" i="1"/>
  <c r="AH783" i="1"/>
  <c r="AV788" i="1"/>
  <c r="AU788" i="1"/>
  <c r="AT796" i="1"/>
  <c r="AR796" i="1"/>
  <c r="AS796" i="1" s="1"/>
  <c r="AT820" i="1"/>
  <c r="AR820" i="1"/>
  <c r="AS820" i="1" s="1"/>
  <c r="AM671" i="1"/>
  <c r="AH671" i="1"/>
  <c r="AM679" i="1"/>
  <c r="AH679" i="1"/>
  <c r="AM687" i="1"/>
  <c r="AH687" i="1"/>
  <c r="AM711" i="1"/>
  <c r="AH711" i="1"/>
  <c r="AV716" i="1"/>
  <c r="AU716" i="1"/>
  <c r="AT746" i="1"/>
  <c r="AR746" i="1"/>
  <c r="AS746" i="1" s="1"/>
  <c r="AV751" i="1"/>
  <c r="AU751" i="1"/>
  <c r="AM775" i="1"/>
  <c r="AH775" i="1"/>
  <c r="AV780" i="1"/>
  <c r="AU780" i="1"/>
  <c r="AT804" i="1"/>
  <c r="AR804" i="1"/>
  <c r="AS804" i="1" s="1"/>
  <c r="AM817" i="1"/>
  <c r="AH817" i="1"/>
  <c r="AM839" i="1"/>
  <c r="AH839" i="1"/>
  <c r="AU663" i="1"/>
  <c r="AT665" i="1"/>
  <c r="AM670" i="1"/>
  <c r="AH670" i="1"/>
  <c r="AU670" i="1"/>
  <c r="AM678" i="1"/>
  <c r="AH678" i="1"/>
  <c r="AV685" i="1"/>
  <c r="AU685" i="1"/>
  <c r="AU686" i="1"/>
  <c r="AM703" i="1"/>
  <c r="AH703" i="1"/>
  <c r="AU710" i="1"/>
  <c r="AH732" i="1"/>
  <c r="AT738" i="1"/>
  <c r="AR738" i="1"/>
  <c r="AS738" i="1" s="1"/>
  <c r="AV743" i="1"/>
  <c r="AU743" i="1"/>
  <c r="AR751" i="1"/>
  <c r="AS751" i="1" s="1"/>
  <c r="AM767" i="1"/>
  <c r="AH767" i="1"/>
  <c r="AR798" i="1"/>
  <c r="AS798" i="1" s="1"/>
  <c r="AT798" i="1"/>
  <c r="AM873" i="1"/>
  <c r="AH873" i="1"/>
  <c r="AT810" i="1"/>
  <c r="AR810" i="1"/>
  <c r="AS810" i="1" s="1"/>
  <c r="AV825" i="1"/>
  <c r="AU825" i="1"/>
  <c r="AT828" i="1"/>
  <c r="AR828" i="1"/>
  <c r="AS828" i="1" s="1"/>
  <c r="AV839" i="1"/>
  <c r="AU839" i="1"/>
  <c r="AT842" i="1"/>
  <c r="AR842" i="1"/>
  <c r="AS842" i="1" s="1"/>
  <c r="AV858" i="1"/>
  <c r="AU858" i="1"/>
  <c r="AU979" i="1"/>
  <c r="AV979" i="1"/>
  <c r="AT675" i="1"/>
  <c r="AT683" i="1"/>
  <c r="AH686" i="1"/>
  <c r="AT691" i="1"/>
  <c r="AH694" i="1"/>
  <c r="AT699" i="1"/>
  <c r="AH702" i="1"/>
  <c r="AT707" i="1"/>
  <c r="AH710" i="1"/>
  <c r="AT715" i="1"/>
  <c r="AH718" i="1"/>
  <c r="AT723" i="1"/>
  <c r="AH726" i="1"/>
  <c r="AT731" i="1"/>
  <c r="AH734" i="1"/>
  <c r="AT739" i="1"/>
  <c r="AH742" i="1"/>
  <c r="AT747" i="1"/>
  <c r="AH750" i="1"/>
  <c r="AT755" i="1"/>
  <c r="AH758" i="1"/>
  <c r="AT763" i="1"/>
  <c r="AH766" i="1"/>
  <c r="AT771" i="1"/>
  <c r="AH774" i="1"/>
  <c r="AT779" i="1"/>
  <c r="AH782" i="1"/>
  <c r="AT787" i="1"/>
  <c r="AH790" i="1"/>
  <c r="AM815" i="1"/>
  <c r="AH815" i="1"/>
  <c r="AM825" i="1"/>
  <c r="AH825" i="1"/>
  <c r="AU832" i="1"/>
  <c r="AM847" i="1"/>
  <c r="AH847" i="1"/>
  <c r="AH866" i="1"/>
  <c r="AM866" i="1"/>
  <c r="AT876" i="1"/>
  <c r="AR876" i="1"/>
  <c r="AS876" i="1" s="1"/>
  <c r="AT919" i="1"/>
  <c r="AR919" i="1"/>
  <c r="AS919" i="1" s="1"/>
  <c r="AR948" i="1"/>
  <c r="AS948" i="1" s="1"/>
  <c r="AT948" i="1"/>
  <c r="AM957" i="1"/>
  <c r="AH957" i="1"/>
  <c r="AV809" i="1"/>
  <c r="AU809" i="1"/>
  <c r="AT812" i="1"/>
  <c r="AR812" i="1"/>
  <c r="AS812" i="1" s="1"/>
  <c r="AV823" i="1"/>
  <c r="AU823" i="1"/>
  <c r="AT826" i="1"/>
  <c r="AR826" i="1"/>
  <c r="AS826" i="1" s="1"/>
  <c r="AT844" i="1"/>
  <c r="AR844" i="1"/>
  <c r="AS844" i="1" s="1"/>
  <c r="AM865" i="1"/>
  <c r="AH865" i="1"/>
  <c r="AM809" i="1"/>
  <c r="AH809" i="1"/>
  <c r="AM831" i="1"/>
  <c r="AH831" i="1"/>
  <c r="AM841" i="1"/>
  <c r="AH841" i="1"/>
  <c r="AM924" i="1"/>
  <c r="AH924" i="1"/>
  <c r="AT818" i="1"/>
  <c r="AR818" i="1"/>
  <c r="AS818" i="1" s="1"/>
  <c r="AT836" i="1"/>
  <c r="AR836" i="1"/>
  <c r="AS836" i="1" s="1"/>
  <c r="AV847" i="1"/>
  <c r="AU847" i="1"/>
  <c r="AT850" i="1"/>
  <c r="AR850" i="1"/>
  <c r="AS850" i="1" s="1"/>
  <c r="AM859" i="1"/>
  <c r="AH859" i="1"/>
  <c r="AT871" i="1"/>
  <c r="AR871" i="1"/>
  <c r="AS871" i="1" s="1"/>
  <c r="AM897" i="1"/>
  <c r="AH897" i="1"/>
  <c r="AV923" i="1"/>
  <c r="AU923" i="1"/>
  <c r="AH801" i="1"/>
  <c r="AM802" i="1"/>
  <c r="AH802" i="1"/>
  <c r="AU808" i="1"/>
  <c r="AM823" i="1"/>
  <c r="AH823" i="1"/>
  <c r="AM833" i="1"/>
  <c r="AH833" i="1"/>
  <c r="AU840" i="1"/>
  <c r="AM855" i="1"/>
  <c r="AH855" i="1"/>
  <c r="AU861" i="1"/>
  <c r="AV861" i="1"/>
  <c r="AT814" i="1"/>
  <c r="AT822" i="1"/>
  <c r="AT830" i="1"/>
  <c r="AT838" i="1"/>
  <c r="AT887" i="1"/>
  <c r="AR887" i="1"/>
  <c r="AS887" i="1" s="1"/>
  <c r="AM892" i="1"/>
  <c r="AH892" i="1"/>
  <c r="AT903" i="1"/>
  <c r="AR903" i="1"/>
  <c r="AS903" i="1" s="1"/>
  <c r="AM908" i="1"/>
  <c r="AH908" i="1"/>
  <c r="AV932" i="1"/>
  <c r="AU932" i="1"/>
  <c r="AV944" i="1"/>
  <c r="AU944" i="1"/>
  <c r="AH945" i="1"/>
  <c r="AM945" i="1"/>
  <c r="AT984" i="1"/>
  <c r="AR984" i="1"/>
  <c r="AS984" i="1" s="1"/>
  <c r="AT870" i="1"/>
  <c r="AT895" i="1"/>
  <c r="AR895" i="1"/>
  <c r="AS895" i="1" s="1"/>
  <c r="AV900" i="1"/>
  <c r="AU900" i="1"/>
  <c r="AV921" i="1"/>
  <c r="AU921" i="1"/>
  <c r="AM981" i="1"/>
  <c r="AH981" i="1"/>
  <c r="AR1005" i="1"/>
  <c r="AS1005" i="1" s="1"/>
  <c r="AT1005" i="1"/>
  <c r="AH810" i="1"/>
  <c r="AH818" i="1"/>
  <c r="AH826" i="1"/>
  <c r="AH834" i="1"/>
  <c r="AH842" i="1"/>
  <c r="AR845" i="1"/>
  <c r="AS845" i="1" s="1"/>
  <c r="AH850" i="1"/>
  <c r="AR853" i="1"/>
  <c r="AS853" i="1" s="1"/>
  <c r="AV884" i="1"/>
  <c r="AU884" i="1"/>
  <c r="AV889" i="1"/>
  <c r="AU889" i="1"/>
  <c r="AR900" i="1"/>
  <c r="AS900" i="1" s="1"/>
  <c r="AV905" i="1"/>
  <c r="AU905" i="1"/>
  <c r="AT911" i="1"/>
  <c r="AR911" i="1"/>
  <c r="AS911" i="1" s="1"/>
  <c r="AM916" i="1"/>
  <c r="AH916" i="1"/>
  <c r="AT927" i="1"/>
  <c r="AR927" i="1"/>
  <c r="AS927" i="1" s="1"/>
  <c r="AM932" i="1"/>
  <c r="AH932" i="1"/>
  <c r="AR947" i="1"/>
  <c r="AS947" i="1" s="1"/>
  <c r="AT947" i="1"/>
  <c r="AH1034" i="1"/>
  <c r="AM1034" i="1"/>
  <c r="AM1055" i="1"/>
  <c r="AH1055" i="1"/>
  <c r="AR800" i="1"/>
  <c r="AS800" i="1" s="1"/>
  <c r="AR808" i="1"/>
  <c r="AS808" i="1" s="1"/>
  <c r="AR816" i="1"/>
  <c r="AS816" i="1" s="1"/>
  <c r="AR824" i="1"/>
  <c r="AS824" i="1" s="1"/>
  <c r="AR832" i="1"/>
  <c r="AS832" i="1" s="1"/>
  <c r="AR840" i="1"/>
  <c r="AS840" i="1" s="1"/>
  <c r="AR848" i="1"/>
  <c r="AS848" i="1" s="1"/>
  <c r="AR856" i="1"/>
  <c r="AS856" i="1" s="1"/>
  <c r="AR860" i="1"/>
  <c r="AS860" i="1" s="1"/>
  <c r="AR861" i="1"/>
  <c r="AS861" i="1" s="1"/>
  <c r="AM868" i="1"/>
  <c r="AH868" i="1"/>
  <c r="AM876" i="1"/>
  <c r="AH876" i="1"/>
  <c r="AH881" i="1"/>
  <c r="AR884" i="1"/>
  <c r="AS884" i="1" s="1"/>
  <c r="AU915" i="1"/>
  <c r="AV924" i="1"/>
  <c r="AU924" i="1"/>
  <c r="AU931" i="1"/>
  <c r="AH937" i="1"/>
  <c r="AV946" i="1"/>
  <c r="AU946" i="1"/>
  <c r="AM951" i="1"/>
  <c r="AH951" i="1"/>
  <c r="AT954" i="1"/>
  <c r="AR954" i="1"/>
  <c r="AS954" i="1" s="1"/>
  <c r="AU998" i="1"/>
  <c r="AV1001" i="1"/>
  <c r="AM1033" i="1"/>
  <c r="AH1033" i="1"/>
  <c r="AU1036" i="1"/>
  <c r="AV1036" i="1"/>
  <c r="AM867" i="1"/>
  <c r="AH867" i="1"/>
  <c r="AV892" i="1"/>
  <c r="AU892" i="1"/>
  <c r="AM900" i="1"/>
  <c r="AH900" i="1"/>
  <c r="AV908" i="1"/>
  <c r="AU908" i="1"/>
  <c r="AV949" i="1"/>
  <c r="AU949" i="1"/>
  <c r="AV974" i="1"/>
  <c r="AU974" i="1"/>
  <c r="AM991" i="1"/>
  <c r="AH991" i="1"/>
  <c r="AM860" i="1"/>
  <c r="AH860" i="1"/>
  <c r="AR864" i="1"/>
  <c r="AS864" i="1" s="1"/>
  <c r="AT864" i="1"/>
  <c r="AT879" i="1"/>
  <c r="AR879" i="1"/>
  <c r="AS879" i="1" s="1"/>
  <c r="AM884" i="1"/>
  <c r="AH884" i="1"/>
  <c r="AH889" i="1"/>
  <c r="AR892" i="1"/>
  <c r="AS892" i="1" s="1"/>
  <c r="AU899" i="1"/>
  <c r="AH905" i="1"/>
  <c r="AR908" i="1"/>
  <c r="AS908" i="1" s="1"/>
  <c r="AV913" i="1"/>
  <c r="AU913" i="1"/>
  <c r="AV929" i="1"/>
  <c r="AU929" i="1"/>
  <c r="AT935" i="1"/>
  <c r="AR935" i="1"/>
  <c r="AS935" i="1" s="1"/>
  <c r="AV942" i="1"/>
  <c r="AU942" i="1"/>
  <c r="AV965" i="1"/>
  <c r="AU965" i="1"/>
  <c r="AU993" i="1"/>
  <c r="AV993" i="1"/>
  <c r="AT877" i="1"/>
  <c r="AT885" i="1"/>
  <c r="AT893" i="1"/>
  <c r="AM973" i="1"/>
  <c r="AH973" i="1"/>
  <c r="AV981" i="1"/>
  <c r="AU981" i="1"/>
  <c r="AV999" i="1"/>
  <c r="AU999" i="1"/>
  <c r="AT1002" i="1"/>
  <c r="AR1002" i="1"/>
  <c r="AS1002" i="1" s="1"/>
  <c r="AT1007" i="1"/>
  <c r="AR1007" i="1"/>
  <c r="AS1007" i="1" s="1"/>
  <c r="AM1073" i="1"/>
  <c r="AH1073" i="1"/>
  <c r="AT872" i="1"/>
  <c r="AM874" i="1"/>
  <c r="AH875" i="1"/>
  <c r="AT880" i="1"/>
  <c r="AM882" i="1"/>
  <c r="AH883" i="1"/>
  <c r="AT888" i="1"/>
  <c r="AM890" i="1"/>
  <c r="AH891" i="1"/>
  <c r="AT896" i="1"/>
  <c r="AM898" i="1"/>
  <c r="AH899" i="1"/>
  <c r="AT904" i="1"/>
  <c r="AM906" i="1"/>
  <c r="AH907" i="1"/>
  <c r="AT912" i="1"/>
  <c r="AM914" i="1"/>
  <c r="AH915" i="1"/>
  <c r="AT920" i="1"/>
  <c r="AM922" i="1"/>
  <c r="AH923" i="1"/>
  <c r="AT928" i="1"/>
  <c r="AM930" i="1"/>
  <c r="AH931" i="1"/>
  <c r="AT936" i="1"/>
  <c r="AM938" i="1"/>
  <c r="AT940" i="1"/>
  <c r="AM952" i="1"/>
  <c r="AH952" i="1"/>
  <c r="AT960" i="1"/>
  <c r="AR960" i="1"/>
  <c r="AS960" i="1" s="1"/>
  <c r="AM967" i="1"/>
  <c r="AH967" i="1"/>
  <c r="AT970" i="1"/>
  <c r="AR970" i="1"/>
  <c r="AS970" i="1" s="1"/>
  <c r="AV991" i="1"/>
  <c r="AU991" i="1"/>
  <c r="AT994" i="1"/>
  <c r="AR994" i="1"/>
  <c r="AS994" i="1" s="1"/>
  <c r="AM999" i="1"/>
  <c r="AH999" i="1"/>
  <c r="AM1041" i="1"/>
  <c r="AH1041" i="1"/>
  <c r="AM1056" i="1"/>
  <c r="AH1056" i="1"/>
  <c r="AV1065" i="1"/>
  <c r="AU1065" i="1"/>
  <c r="AT968" i="1"/>
  <c r="AR968" i="1"/>
  <c r="AS968" i="1" s="1"/>
  <c r="AM975" i="1"/>
  <c r="AH975" i="1"/>
  <c r="AT978" i="1"/>
  <c r="AR978" i="1"/>
  <c r="AS978" i="1" s="1"/>
  <c r="AU990" i="1"/>
  <c r="AV997" i="1"/>
  <c r="AU997" i="1"/>
  <c r="AT1000" i="1"/>
  <c r="AR1000" i="1"/>
  <c r="AS1000" i="1" s="1"/>
  <c r="AT1012" i="1"/>
  <c r="AR1012" i="1"/>
  <c r="AS1012" i="1" s="1"/>
  <c r="AH1028" i="1"/>
  <c r="AM1028" i="1"/>
  <c r="AM944" i="1"/>
  <c r="AH944" i="1"/>
  <c r="AV959" i="1"/>
  <c r="AU959" i="1"/>
  <c r="AM965" i="1"/>
  <c r="AH965" i="1"/>
  <c r="AV973" i="1"/>
  <c r="AU973" i="1"/>
  <c r="AT992" i="1"/>
  <c r="AR992" i="1"/>
  <c r="AS992" i="1" s="1"/>
  <c r="AR1003" i="1"/>
  <c r="AS1003" i="1" s="1"/>
  <c r="AT1003" i="1"/>
  <c r="AT952" i="1"/>
  <c r="AR952" i="1"/>
  <c r="AS952" i="1" s="1"/>
  <c r="AM959" i="1"/>
  <c r="AH959" i="1"/>
  <c r="AT962" i="1"/>
  <c r="AR962" i="1"/>
  <c r="AS962" i="1" s="1"/>
  <c r="AV987" i="1"/>
  <c r="AM989" i="1"/>
  <c r="AH989" i="1"/>
  <c r="AM1009" i="1"/>
  <c r="AH1009" i="1"/>
  <c r="AM1081" i="1"/>
  <c r="AH1081" i="1"/>
  <c r="AT976" i="1"/>
  <c r="AR976" i="1"/>
  <c r="AS976" i="1" s="1"/>
  <c r="AM983" i="1"/>
  <c r="AH983" i="1"/>
  <c r="AT986" i="1"/>
  <c r="AR986" i="1"/>
  <c r="AS986" i="1" s="1"/>
  <c r="AV995" i="1"/>
  <c r="AM997" i="1"/>
  <c r="AH997" i="1"/>
  <c r="AH1008" i="1"/>
  <c r="AM1008" i="1"/>
  <c r="AH1018" i="1"/>
  <c r="AM1018" i="1"/>
  <c r="AV1018" i="1"/>
  <c r="AU1018" i="1"/>
  <c r="AM1024" i="1"/>
  <c r="AR1029" i="1"/>
  <c r="AS1029" i="1" s="1"/>
  <c r="AT1029" i="1"/>
  <c r="AT1031" i="1"/>
  <c r="AR1031" i="1"/>
  <c r="AS1031" i="1" s="1"/>
  <c r="AT1047" i="1"/>
  <c r="AR1047" i="1"/>
  <c r="AS1047" i="1" s="1"/>
  <c r="AV1080" i="1"/>
  <c r="AU1080" i="1"/>
  <c r="AH1162" i="1"/>
  <c r="AM1162" i="1"/>
  <c r="AM1003" i="1"/>
  <c r="AH1003" i="1"/>
  <c r="AR1013" i="1"/>
  <c r="AS1013" i="1" s="1"/>
  <c r="AT1013" i="1"/>
  <c r="AT1015" i="1"/>
  <c r="AR1015" i="1"/>
  <c r="AS1015" i="1" s="1"/>
  <c r="AM1072" i="1"/>
  <c r="AH1072" i="1"/>
  <c r="AV1089" i="1"/>
  <c r="AU1089" i="1"/>
  <c r="AV1130" i="1"/>
  <c r="AU1130" i="1"/>
  <c r="AH1154" i="1"/>
  <c r="AM1154" i="1"/>
  <c r="AR955" i="1"/>
  <c r="AS955" i="1" s="1"/>
  <c r="AH960" i="1"/>
  <c r="AR963" i="1"/>
  <c r="AS963" i="1" s="1"/>
  <c r="AH968" i="1"/>
  <c r="AR971" i="1"/>
  <c r="AS971" i="1" s="1"/>
  <c r="AH976" i="1"/>
  <c r="AR979" i="1"/>
  <c r="AS979" i="1" s="1"/>
  <c r="AH984" i="1"/>
  <c r="AR987" i="1"/>
  <c r="AS987" i="1" s="1"/>
  <c r="AH992" i="1"/>
  <c r="AR995" i="1"/>
  <c r="AS995" i="1" s="1"/>
  <c r="AH1000" i="1"/>
  <c r="AM1004" i="1"/>
  <c r="AT1011" i="1"/>
  <c r="AH1017" i="1"/>
  <c r="AU1017" i="1"/>
  <c r="AM1032" i="1"/>
  <c r="AR1036" i="1"/>
  <c r="AS1036" i="1" s="1"/>
  <c r="AR1037" i="1"/>
  <c r="AS1037" i="1" s="1"/>
  <c r="AT1037" i="1"/>
  <c r="AT1039" i="1"/>
  <c r="AR1039" i="1"/>
  <c r="AS1039" i="1" s="1"/>
  <c r="AV1044" i="1"/>
  <c r="AU1044" i="1"/>
  <c r="AV1046" i="1"/>
  <c r="AU1046" i="1"/>
  <c r="AR1089" i="1"/>
  <c r="AS1089" i="1" s="1"/>
  <c r="AM1097" i="1"/>
  <c r="AH1097" i="1"/>
  <c r="AT1105" i="1"/>
  <c r="AR1105" i="1"/>
  <c r="AS1105" i="1" s="1"/>
  <c r="AM1113" i="1"/>
  <c r="AH1113" i="1"/>
  <c r="AT1180" i="1"/>
  <c r="AR998" i="1"/>
  <c r="AS998" i="1" s="1"/>
  <c r="AH1026" i="1"/>
  <c r="AM1026" i="1"/>
  <c r="AT1035" i="1"/>
  <c r="AR1044" i="1"/>
  <c r="AS1044" i="1" s="1"/>
  <c r="AM1065" i="1"/>
  <c r="AH1065" i="1"/>
  <c r="AM1096" i="1"/>
  <c r="AH1096" i="1"/>
  <c r="AU1096" i="1"/>
  <c r="AV1102" i="1"/>
  <c r="AU1102" i="1"/>
  <c r="AM1112" i="1"/>
  <c r="AH1112" i="1"/>
  <c r="AM1016" i="1"/>
  <c r="AR1021" i="1"/>
  <c r="AS1021" i="1" s="1"/>
  <c r="AT1021" i="1"/>
  <c r="AT1023" i="1"/>
  <c r="AR1023" i="1"/>
  <c r="AS1023" i="1" s="1"/>
  <c r="AV1057" i="1"/>
  <c r="AU1057" i="1"/>
  <c r="AM1064" i="1"/>
  <c r="AH1064" i="1"/>
  <c r="AV1111" i="1"/>
  <c r="AU1111" i="1"/>
  <c r="AM1137" i="1"/>
  <c r="AH1137" i="1"/>
  <c r="AH1010" i="1"/>
  <c r="AM1010" i="1"/>
  <c r="AM1012" i="1"/>
  <c r="AT1019" i="1"/>
  <c r="AH1025" i="1"/>
  <c r="AU1025" i="1"/>
  <c r="AV1034" i="1"/>
  <c r="AU1034" i="1"/>
  <c r="AM1044" i="1"/>
  <c r="AH1044" i="1"/>
  <c r="AV1073" i="1"/>
  <c r="AU1073" i="1"/>
  <c r="AT1045" i="1"/>
  <c r="AT1051" i="1"/>
  <c r="AR1053" i="1"/>
  <c r="AS1053" i="1" s="1"/>
  <c r="AT1053" i="1"/>
  <c r="AR1065" i="1"/>
  <c r="AS1065" i="1" s="1"/>
  <c r="AH1070" i="1"/>
  <c r="AU1070" i="1"/>
  <c r="AR1073" i="1"/>
  <c r="AS1073" i="1" s="1"/>
  <c r="AH1078" i="1"/>
  <c r="AU1078" i="1"/>
  <c r="AT1082" i="1"/>
  <c r="AT1084" i="1"/>
  <c r="AR1084" i="1"/>
  <c r="AS1084" i="1" s="1"/>
  <c r="AR1097" i="1"/>
  <c r="AS1097" i="1" s="1"/>
  <c r="AR1113" i="1"/>
  <c r="AS1113" i="1" s="1"/>
  <c r="AM1121" i="1"/>
  <c r="AH1121" i="1"/>
  <c r="AR1172" i="1"/>
  <c r="AS1172" i="1" s="1"/>
  <c r="AT1172" i="1"/>
  <c r="AT1173" i="1"/>
  <c r="AM1176" i="1"/>
  <c r="AH1176" i="1"/>
  <c r="AT1182" i="1"/>
  <c r="AR1182" i="1"/>
  <c r="AS1182" i="1" s="1"/>
  <c r="AM1042" i="1"/>
  <c r="AM1050" i="1"/>
  <c r="AT1052" i="1"/>
  <c r="AM1057" i="1"/>
  <c r="AH1057" i="1"/>
  <c r="AT1083" i="1"/>
  <c r="AH1086" i="1"/>
  <c r="AH1087" i="1"/>
  <c r="AM1087" i="1"/>
  <c r="AT1092" i="1"/>
  <c r="AR1092" i="1"/>
  <c r="AS1092" i="1" s="1"/>
  <c r="AH1094" i="1"/>
  <c r="AU1103" i="1"/>
  <c r="AT1108" i="1"/>
  <c r="AR1108" i="1"/>
  <c r="AS1108" i="1" s="1"/>
  <c r="AH1110" i="1"/>
  <c r="AV1120" i="1"/>
  <c r="AU1120" i="1"/>
  <c r="AM1131" i="1"/>
  <c r="AH1131" i="1"/>
  <c r="AM1163" i="1"/>
  <c r="AH1163" i="1"/>
  <c r="AM1169" i="1"/>
  <c r="AH1169" i="1"/>
  <c r="AR1181" i="1"/>
  <c r="AS1181" i="1" s="1"/>
  <c r="AT1181" i="1"/>
  <c r="AV1186" i="1"/>
  <c r="AU1186" i="1"/>
  <c r="AT1190" i="1"/>
  <c r="AR1190" i="1"/>
  <c r="AS1190" i="1" s="1"/>
  <c r="AM1080" i="1"/>
  <c r="AH1080" i="1"/>
  <c r="AV1139" i="1"/>
  <c r="AU1139" i="1"/>
  <c r="AM1153" i="1"/>
  <c r="AH1153" i="1"/>
  <c r="AH1063" i="1"/>
  <c r="AM1063" i="1"/>
  <c r="AM1089" i="1"/>
  <c r="AH1089" i="1"/>
  <c r="AT1100" i="1"/>
  <c r="AR1100" i="1"/>
  <c r="AS1100" i="1" s="1"/>
  <c r="AT1116" i="1"/>
  <c r="AR1116" i="1"/>
  <c r="AS1116" i="1" s="1"/>
  <c r="AH1122" i="1"/>
  <c r="AM1122" i="1"/>
  <c r="AR1132" i="1"/>
  <c r="AS1132" i="1" s="1"/>
  <c r="AT1132" i="1"/>
  <c r="AM1136" i="1"/>
  <c r="AH1136" i="1"/>
  <c r="AV1152" i="1"/>
  <c r="AU1152" i="1"/>
  <c r="AM1177" i="1"/>
  <c r="AH1177" i="1"/>
  <c r="AT1179" i="1"/>
  <c r="AR1179" i="1"/>
  <c r="AS1179" i="1" s="1"/>
  <c r="AV1184" i="1"/>
  <c r="AU1184" i="1"/>
  <c r="AV1187" i="1"/>
  <c r="AU1187" i="1"/>
  <c r="AT1058" i="1"/>
  <c r="AT1060" i="1"/>
  <c r="AR1060" i="1"/>
  <c r="AS1060" i="1" s="1"/>
  <c r="AH1071" i="1"/>
  <c r="AM1071" i="1"/>
  <c r="AH1079" i="1"/>
  <c r="AM1079" i="1"/>
  <c r="AM1088" i="1"/>
  <c r="AH1088" i="1"/>
  <c r="AU1088" i="1"/>
  <c r="AV1094" i="1"/>
  <c r="AU1094" i="1"/>
  <c r="AM1105" i="1"/>
  <c r="AH1105" i="1"/>
  <c r="AV1110" i="1"/>
  <c r="AU1110" i="1"/>
  <c r="AT1150" i="1"/>
  <c r="AR1150" i="1"/>
  <c r="AS1150" i="1" s="1"/>
  <c r="AT1059" i="1"/>
  <c r="AT1068" i="1"/>
  <c r="AR1068" i="1"/>
  <c r="AS1068" i="1" s="1"/>
  <c r="AT1076" i="1"/>
  <c r="AR1076" i="1"/>
  <c r="AS1076" i="1" s="1"/>
  <c r="AV1097" i="1"/>
  <c r="AU1097" i="1"/>
  <c r="AT1099" i="1"/>
  <c r="AM1104" i="1"/>
  <c r="AH1104" i="1"/>
  <c r="AV1113" i="1"/>
  <c r="AU1113" i="1"/>
  <c r="AT1115" i="1"/>
  <c r="AM1139" i="1"/>
  <c r="AH1139" i="1"/>
  <c r="AM1144" i="1"/>
  <c r="AH1144" i="1"/>
  <c r="AV1192" i="1"/>
  <c r="AU1192" i="1"/>
  <c r="AM1193" i="1"/>
  <c r="AH1193" i="1"/>
  <c r="AM1187" i="1"/>
  <c r="AH1187" i="1"/>
  <c r="AV1195" i="1"/>
  <c r="AU1195" i="1"/>
  <c r="AT1061" i="1"/>
  <c r="AT1069" i="1"/>
  <c r="AT1077" i="1"/>
  <c r="AT1085" i="1"/>
  <c r="AT1093" i="1"/>
  <c r="AM1095" i="1"/>
  <c r="AT1101" i="1"/>
  <c r="AM1103" i="1"/>
  <c r="AT1109" i="1"/>
  <c r="AM1111" i="1"/>
  <c r="AT1117" i="1"/>
  <c r="AT1134" i="1"/>
  <c r="AR1134" i="1"/>
  <c r="AS1134" i="1" s="1"/>
  <c r="AH1138" i="1"/>
  <c r="AM1138" i="1"/>
  <c r="AU1144" i="1"/>
  <c r="AM1155" i="1"/>
  <c r="AH1155" i="1"/>
  <c r="AT1174" i="1"/>
  <c r="AR1174" i="1"/>
  <c r="AS1174" i="1" s="1"/>
  <c r="AH1186" i="1"/>
  <c r="AM1186" i="1"/>
  <c r="AM1195" i="1"/>
  <c r="AH1195" i="1"/>
  <c r="AH1130" i="1"/>
  <c r="AM1130" i="1"/>
  <c r="AU1136" i="1"/>
  <c r="AM1147" i="1"/>
  <c r="AH1147" i="1"/>
  <c r="AM1171" i="1"/>
  <c r="AH1171" i="1"/>
  <c r="AU1176" i="1"/>
  <c r="AM1185" i="1"/>
  <c r="AH1185" i="1"/>
  <c r="AT1198" i="1"/>
  <c r="AR1198" i="1"/>
  <c r="AS1198" i="1" s="1"/>
  <c r="AU1200" i="1"/>
  <c r="AT1126" i="1"/>
  <c r="AR1126" i="1"/>
  <c r="AS1126" i="1" s="1"/>
  <c r="AH1146" i="1"/>
  <c r="AM1146" i="1"/>
  <c r="AH1170" i="1"/>
  <c r="AM1170" i="1"/>
  <c r="AT1188" i="1"/>
  <c r="AR1188" i="1"/>
  <c r="AS1188" i="1" s="1"/>
  <c r="AM1129" i="1"/>
  <c r="AH1129" i="1"/>
  <c r="AR1139" i="1"/>
  <c r="AS1139" i="1" s="1"/>
  <c r="AT1140" i="1"/>
  <c r="AT1142" i="1"/>
  <c r="AR1142" i="1"/>
  <c r="AS1142" i="1" s="1"/>
  <c r="AT1156" i="1"/>
  <c r="AT1158" i="1"/>
  <c r="AR1158" i="1"/>
  <c r="AS1158" i="1" s="1"/>
  <c r="AM1161" i="1"/>
  <c r="AH1161" i="1"/>
  <c r="AM1179" i="1"/>
  <c r="AH1179" i="1"/>
  <c r="AH1184" i="1"/>
  <c r="AR1187" i="1"/>
  <c r="AS1187" i="1" s="1"/>
  <c r="AT1196" i="1"/>
  <c r="AR1196" i="1"/>
  <c r="AS1196" i="1" s="1"/>
  <c r="AM1123" i="1"/>
  <c r="AH1123" i="1"/>
  <c r="AT1141" i="1"/>
  <c r="AM1145" i="1"/>
  <c r="AH1145" i="1"/>
  <c r="AT1157" i="1"/>
  <c r="AT1164" i="1"/>
  <c r="AT1166" i="1"/>
  <c r="AR1166" i="1"/>
  <c r="AS1166" i="1" s="1"/>
  <c r="AH1178" i="1"/>
  <c r="AM1178" i="1"/>
  <c r="AU1178" i="1"/>
  <c r="AM1194" i="1"/>
  <c r="AM1202" i="1"/>
  <c r="AT3" i="1"/>
  <c r="AH4" i="1"/>
  <c r="CD2" i="1"/>
  <c r="CE2" i="1" s="1"/>
  <c r="AU2" i="1"/>
  <c r="BB2" i="1" s="1"/>
  <c r="AM2" i="1"/>
  <c r="H3" i="1"/>
  <c r="H1121" i="1"/>
  <c r="AD1121" i="1" s="1"/>
  <c r="H794" i="1"/>
  <c r="H1122" i="1"/>
  <c r="AD1122" i="1" s="1"/>
  <c r="H1077" i="1"/>
  <c r="H1123" i="1"/>
  <c r="AD1123" i="1" s="1"/>
  <c r="CR1123" i="1" s="1"/>
  <c r="H1090" i="1"/>
  <c r="H1124" i="1"/>
  <c r="H1111" i="1"/>
  <c r="H1199" i="1"/>
  <c r="AD1199" i="1" s="1"/>
  <c r="H1116" i="1"/>
  <c r="H1200" i="1"/>
  <c r="AD1200" i="1" s="1"/>
  <c r="H1119" i="1"/>
  <c r="AD1119" i="1" s="1"/>
  <c r="CR1119" i="1" s="1"/>
  <c r="H1201" i="1"/>
  <c r="AD1201" i="1" s="1"/>
  <c r="CR1201" i="1" s="1"/>
  <c r="H1120" i="1"/>
  <c r="AD1120" i="1" s="1"/>
  <c r="CR1120" i="1" s="1"/>
  <c r="H1202" i="1"/>
  <c r="AD1202" i="1" s="1"/>
  <c r="CR1202" i="1" s="1"/>
  <c r="CB659" i="1" l="1"/>
  <c r="CC659" i="1" s="1"/>
  <c r="BX160" i="1"/>
  <c r="BY160" i="1" s="1"/>
  <c r="BX21" i="1"/>
  <c r="BY21" i="1" s="1"/>
  <c r="CF168" i="1"/>
  <c r="CG168" i="1" s="1"/>
  <c r="CF69" i="1"/>
  <c r="CG69" i="1" s="1"/>
  <c r="CH69" i="1" s="1"/>
  <c r="CI69" i="1" s="1"/>
  <c r="BX252" i="1"/>
  <c r="BY252" i="1" s="1"/>
  <c r="CH1192" i="1"/>
  <c r="CI1192" i="1" s="1"/>
  <c r="BX86" i="1"/>
  <c r="BY86" i="1" s="1"/>
  <c r="CB86" i="1" s="1"/>
  <c r="CC86" i="1" s="1"/>
  <c r="CF42" i="1"/>
  <c r="CG42" i="1" s="1"/>
  <c r="CH42" i="1" s="1"/>
  <c r="CI42" i="1" s="1"/>
  <c r="CB550" i="1"/>
  <c r="CF1021" i="1"/>
  <c r="CG1021" i="1" s="1"/>
  <c r="AV705" i="1"/>
  <c r="BX117" i="1"/>
  <c r="BY117" i="1" s="1"/>
  <c r="CB117" i="1" s="1"/>
  <c r="CC117" i="1" s="1"/>
  <c r="BX76" i="1"/>
  <c r="BY76" i="1" s="1"/>
  <c r="CB76" i="1" s="1"/>
  <c r="CB484" i="1"/>
  <c r="CB1197" i="1"/>
  <c r="CC1197" i="1" s="1"/>
  <c r="CF124" i="1"/>
  <c r="CG124" i="1" s="1"/>
  <c r="CF94" i="1"/>
  <c r="CG94" i="1" s="1"/>
  <c r="CH94" i="1" s="1"/>
  <c r="CI94" i="1" s="1"/>
  <c r="CF26" i="1"/>
  <c r="CG26" i="1" s="1"/>
  <c r="BX75" i="1"/>
  <c r="BY75" i="1" s="1"/>
  <c r="CF141" i="1"/>
  <c r="CG141" i="1" s="1"/>
  <c r="CH141" i="1" s="1"/>
  <c r="CI141" i="1" s="1"/>
  <c r="CF61" i="1"/>
  <c r="CG61" i="1" s="1"/>
  <c r="CH61" i="1" s="1"/>
  <c r="CI61" i="1" s="1"/>
  <c r="AU348" i="1"/>
  <c r="BX433" i="1"/>
  <c r="BY433" i="1" s="1"/>
  <c r="CB433" i="1" s="1"/>
  <c r="CC433" i="1" s="1"/>
  <c r="BX123" i="1"/>
  <c r="BY123" i="1" s="1"/>
  <c r="CB123" i="1" s="1"/>
  <c r="CC123" i="1" s="1"/>
  <c r="BX50" i="1"/>
  <c r="BY50" i="1" s="1"/>
  <c r="CF68" i="1"/>
  <c r="CG68" i="1" s="1"/>
  <c r="CH68" i="1" s="1"/>
  <c r="CI68" i="1" s="1"/>
  <c r="CF104" i="1"/>
  <c r="CG104" i="1" s="1"/>
  <c r="CH104" i="1" s="1"/>
  <c r="CI104" i="1" s="1"/>
  <c r="BC698" i="1"/>
  <c r="CF132" i="1"/>
  <c r="CG132" i="1" s="1"/>
  <c r="CH132" i="1" s="1"/>
  <c r="CI132" i="1" s="1"/>
  <c r="CF93" i="1"/>
  <c r="CG93" i="1" s="1"/>
  <c r="BX45" i="1"/>
  <c r="BY45" i="1" s="1"/>
  <c r="CB45" i="1" s="1"/>
  <c r="CC45" i="1" s="1"/>
  <c r="BX37" i="1"/>
  <c r="BY37" i="1" s="1"/>
  <c r="CB37" i="1" s="1"/>
  <c r="AV862" i="1"/>
  <c r="AU757" i="1"/>
  <c r="AU681" i="1"/>
  <c r="AU111" i="1"/>
  <c r="CF82" i="1"/>
  <c r="CG82" i="1" s="1"/>
  <c r="CH82" i="1" s="1"/>
  <c r="CI82" i="1" s="1"/>
  <c r="CF18" i="1"/>
  <c r="CG18" i="1" s="1"/>
  <c r="CH18" i="1" s="1"/>
  <c r="CI18" i="1" s="1"/>
  <c r="AV837" i="1"/>
  <c r="CB289" i="1"/>
  <c r="CC289" i="1" s="1"/>
  <c r="BX957" i="1"/>
  <c r="BY957" i="1" s="1"/>
  <c r="CB957" i="1" s="1"/>
  <c r="CC957" i="1" s="1"/>
  <c r="BX1053" i="1"/>
  <c r="BY1053" i="1" s="1"/>
  <c r="CF1181" i="1"/>
  <c r="CG1181" i="1" s="1"/>
  <c r="CH1181" i="1" s="1"/>
  <c r="CF156" i="1"/>
  <c r="CG156" i="1" s="1"/>
  <c r="CH156" i="1" s="1"/>
  <c r="CI156" i="1" s="1"/>
  <c r="AV777" i="1"/>
  <c r="CF909" i="1"/>
  <c r="CG909" i="1" s="1"/>
  <c r="CF861" i="1"/>
  <c r="CG861" i="1" s="1"/>
  <c r="BX13" i="1"/>
  <c r="BY13" i="1" s="1"/>
  <c r="CB13" i="1" s="1"/>
  <c r="CC13" i="1" s="1"/>
  <c r="CH419" i="1"/>
  <c r="CI419" i="1" s="1"/>
  <c r="BC674" i="1"/>
  <c r="BX109" i="1"/>
  <c r="BY109" i="1" s="1"/>
  <c r="CB109" i="1" s="1"/>
  <c r="BX85" i="1"/>
  <c r="BY85" i="1" s="1"/>
  <c r="BX133" i="1"/>
  <c r="BY133" i="1" s="1"/>
  <c r="CB133" i="1" s="1"/>
  <c r="CC133" i="1" s="1"/>
  <c r="CF165" i="1"/>
  <c r="CG165" i="1" s="1"/>
  <c r="CH165" i="1" s="1"/>
  <c r="CI165" i="1" s="1"/>
  <c r="BX157" i="1"/>
  <c r="BY157" i="1" s="1"/>
  <c r="CB157" i="1" s="1"/>
  <c r="CC157" i="1" s="1"/>
  <c r="CB408" i="1"/>
  <c r="CC408" i="1" s="1"/>
  <c r="AV939" i="1"/>
  <c r="AU108" i="1"/>
  <c r="CH776" i="1"/>
  <c r="CI776" i="1" s="1"/>
  <c r="CF728" i="1"/>
  <c r="CG728" i="1" s="1"/>
  <c r="CH728" i="1" s="1"/>
  <c r="CI728" i="1" s="1"/>
  <c r="BX968" i="1"/>
  <c r="BY968" i="1" s="1"/>
  <c r="CB968" i="1" s="1"/>
  <c r="CC968" i="1" s="1"/>
  <c r="CF824" i="1"/>
  <c r="CG824" i="1" s="1"/>
  <c r="CH824" i="1" s="1"/>
  <c r="CI824" i="1" s="1"/>
  <c r="CB603" i="1"/>
  <c r="CC603" i="1" s="1"/>
  <c r="CF1069" i="1"/>
  <c r="CG1069" i="1" s="1"/>
  <c r="CF904" i="1"/>
  <c r="CG904" i="1" s="1"/>
  <c r="CH904" i="1" s="1"/>
  <c r="BX776" i="1"/>
  <c r="BY776" i="1" s="1"/>
  <c r="BX680" i="1"/>
  <c r="BY680" i="1" s="1"/>
  <c r="CB680" i="1" s="1"/>
  <c r="CF1112" i="1"/>
  <c r="CG1112" i="1" s="1"/>
  <c r="CH1112" i="1" s="1"/>
  <c r="CI1112" i="1" s="1"/>
  <c r="CB1032" i="1"/>
  <c r="CC1032" i="1" s="1"/>
  <c r="BX808" i="1"/>
  <c r="BY808" i="1" s="1"/>
  <c r="CB808" i="1" s="1"/>
  <c r="CC808" i="1" s="1"/>
  <c r="BX40" i="1"/>
  <c r="BY40" i="1" s="1"/>
  <c r="CB40" i="1" s="1"/>
  <c r="CC40" i="1" s="1"/>
  <c r="CF840" i="1"/>
  <c r="CG840" i="1" s="1"/>
  <c r="CH840" i="1" s="1"/>
  <c r="CI840" i="1" s="1"/>
  <c r="CF1101" i="1"/>
  <c r="CG1101" i="1" s="1"/>
  <c r="CH1101" i="1" s="1"/>
  <c r="CI1101" i="1" s="1"/>
  <c r="BX973" i="1"/>
  <c r="BY973" i="1" s="1"/>
  <c r="CB973" i="1" s="1"/>
  <c r="CC973" i="1" s="1"/>
  <c r="BX744" i="1"/>
  <c r="BY744" i="1" s="1"/>
  <c r="CB744" i="1" s="1"/>
  <c r="CH749" i="1"/>
  <c r="CI749" i="1" s="1"/>
  <c r="BX393" i="1"/>
  <c r="BY393" i="1" s="1"/>
  <c r="CB393" i="1" s="1"/>
  <c r="CC393" i="1" s="1"/>
  <c r="CB1000" i="1"/>
  <c r="CF1032" i="1"/>
  <c r="CG1032" i="1" s="1"/>
  <c r="CH1032" i="1" s="1"/>
  <c r="CI1032" i="1" s="1"/>
  <c r="BX1064" i="1"/>
  <c r="BY1064" i="1" s="1"/>
  <c r="CB1064" i="1" s="1"/>
  <c r="CC1064" i="1" s="1"/>
  <c r="BX431" i="1"/>
  <c r="BY431" i="1" s="1"/>
  <c r="CB431" i="1" s="1"/>
  <c r="CC431" i="1" s="1"/>
  <c r="CH175" i="1"/>
  <c r="CI175" i="1" s="1"/>
  <c r="BX952" i="1"/>
  <c r="BY952" i="1" s="1"/>
  <c r="CB952" i="1" s="1"/>
  <c r="CC952" i="1" s="1"/>
  <c r="BX584" i="1"/>
  <c r="BY584" i="1" s="1"/>
  <c r="CB584" i="1" s="1"/>
  <c r="CC584" i="1" s="1"/>
  <c r="CF920" i="1"/>
  <c r="CG920" i="1" s="1"/>
  <c r="CH920" i="1" s="1"/>
  <c r="CI920" i="1" s="1"/>
  <c r="CF856" i="1"/>
  <c r="CG856" i="1" s="1"/>
  <c r="CH856" i="1" s="1"/>
  <c r="CI856" i="1" s="1"/>
  <c r="AU340" i="1"/>
  <c r="CF760" i="1"/>
  <c r="CG760" i="1" s="1"/>
  <c r="CF1085" i="1"/>
  <c r="CG1085" i="1" s="1"/>
  <c r="CH1085" i="1" s="1"/>
  <c r="CI1085" i="1" s="1"/>
  <c r="CF1000" i="1"/>
  <c r="CG1000" i="1" s="1"/>
  <c r="CH1000" i="1" s="1"/>
  <c r="CF712" i="1"/>
  <c r="CG712" i="1" s="1"/>
  <c r="CH712" i="1" s="1"/>
  <c r="CI712" i="1" s="1"/>
  <c r="CF936" i="1"/>
  <c r="CG936" i="1" s="1"/>
  <c r="CH936" i="1" s="1"/>
  <c r="CI936" i="1" s="1"/>
  <c r="CF600" i="1"/>
  <c r="CG600" i="1" s="1"/>
  <c r="CH600" i="1" s="1"/>
  <c r="CI600" i="1" s="1"/>
  <c r="CJ600" i="1" s="1"/>
  <c r="BD600" i="1" s="1"/>
  <c r="CF66" i="1"/>
  <c r="CG66" i="1" s="1"/>
  <c r="CH66" i="1" s="1"/>
  <c r="CI66" i="1" s="1"/>
  <c r="CH37" i="1"/>
  <c r="BB671" i="1"/>
  <c r="CB566" i="1"/>
  <c r="CC566" i="1" s="1"/>
  <c r="CH1117" i="1"/>
  <c r="CI1117" i="1" s="1"/>
  <c r="BC671" i="1"/>
  <c r="CH819" i="1"/>
  <c r="CH793" i="1"/>
  <c r="CI793" i="1" s="1"/>
  <c r="CB389" i="1"/>
  <c r="CC389" i="1" s="1"/>
  <c r="BA671" i="1"/>
  <c r="CH817" i="1"/>
  <c r="CI817" i="1" s="1"/>
  <c r="BA672" i="1"/>
  <c r="CF73" i="1"/>
  <c r="CG73" i="1" s="1"/>
  <c r="CH73" i="1" s="1"/>
  <c r="CI73" i="1" s="1"/>
  <c r="BX97" i="1"/>
  <c r="BY97" i="1" s="1"/>
  <c r="CB97" i="1" s="1"/>
  <c r="CC97" i="1" s="1"/>
  <c r="CF38" i="1"/>
  <c r="CG38" i="1" s="1"/>
  <c r="CH38" i="1" s="1"/>
  <c r="CI38" i="1" s="1"/>
  <c r="CF6" i="1"/>
  <c r="CG6" i="1" s="1"/>
  <c r="CH6" i="1" s="1"/>
  <c r="CF57" i="1"/>
  <c r="CG57" i="1" s="1"/>
  <c r="CH57" i="1" s="1"/>
  <c r="CI57" i="1" s="1"/>
  <c r="AV1072" i="1"/>
  <c r="AN871" i="1"/>
  <c r="AO871" i="1"/>
  <c r="AN983" i="1"/>
  <c r="AO983" i="1"/>
  <c r="AO1202" i="1"/>
  <c r="AN1202" i="1"/>
  <c r="AN984" i="1"/>
  <c r="AO984" i="1"/>
  <c r="AN1054" i="1"/>
  <c r="AO1054" i="1"/>
  <c r="AO1192" i="1"/>
  <c r="AN1192" i="1"/>
  <c r="AN953" i="1"/>
  <c r="AO953" i="1"/>
  <c r="AN985" i="1"/>
  <c r="AO985" i="1"/>
  <c r="AN1017" i="1"/>
  <c r="AO1017" i="1"/>
  <c r="AN900" i="1"/>
  <c r="AO900" i="1"/>
  <c r="AN1119" i="1"/>
  <c r="AO1119" i="1"/>
  <c r="CF128" i="1"/>
  <c r="CG128" i="1" s="1"/>
  <c r="CH128" i="1" s="1"/>
  <c r="CI128" i="1" s="1"/>
  <c r="AO837" i="1"/>
  <c r="AN837" i="1"/>
  <c r="BX113" i="1"/>
  <c r="BY113" i="1" s="1"/>
  <c r="CB113" i="1" s="1"/>
  <c r="CC113" i="1" s="1"/>
  <c r="AN869" i="1"/>
  <c r="AO869" i="1"/>
  <c r="AN1115" i="1"/>
  <c r="AO1115" i="1"/>
  <c r="AO816" i="1"/>
  <c r="AN816" i="1"/>
  <c r="AN902" i="1"/>
  <c r="AO902" i="1"/>
  <c r="BX148" i="1"/>
  <c r="BY148" i="1" s="1"/>
  <c r="CB148" i="1" s="1"/>
  <c r="CC148" i="1" s="1"/>
  <c r="AN939" i="1"/>
  <c r="AO939" i="1"/>
  <c r="AO1201" i="1"/>
  <c r="AN1201" i="1"/>
  <c r="CF162" i="1"/>
  <c r="CG162" i="1" s="1"/>
  <c r="CH162" i="1" s="1"/>
  <c r="CI162" i="1" s="1"/>
  <c r="AN1015" i="1"/>
  <c r="AO1015" i="1"/>
  <c r="AN1068" i="1"/>
  <c r="AO1068" i="1"/>
  <c r="CH108" i="1"/>
  <c r="CI108" i="1" s="1"/>
  <c r="BC165" i="1"/>
  <c r="BB105" i="1"/>
  <c r="AU697" i="1"/>
  <c r="BB162" i="1"/>
  <c r="BX142" i="1"/>
  <c r="BY142" i="1" s="1"/>
  <c r="CB142" i="1" s="1"/>
  <c r="CC142" i="1" s="1"/>
  <c r="CF25" i="1"/>
  <c r="CG25" i="1" s="1"/>
  <c r="CF33" i="1"/>
  <c r="CG33" i="1" s="1"/>
  <c r="CH33" i="1" s="1"/>
  <c r="CI33" i="1" s="1"/>
  <c r="CF89" i="1"/>
  <c r="CG89" i="1" s="1"/>
  <c r="CH89" i="1" s="1"/>
  <c r="CF118" i="1"/>
  <c r="CG118" i="1" s="1"/>
  <c r="CH118" i="1" s="1"/>
  <c r="CI118" i="1" s="1"/>
  <c r="CF152" i="1"/>
  <c r="CG152" i="1" s="1"/>
  <c r="CH152" i="1" s="1"/>
  <c r="CI152" i="1" s="1"/>
  <c r="CF129" i="1"/>
  <c r="CG129" i="1" s="1"/>
  <c r="CH129" i="1" s="1"/>
  <c r="CI129" i="1" s="1"/>
  <c r="AV1135" i="1"/>
  <c r="CB141" i="1"/>
  <c r="CC141" i="1" s="1"/>
  <c r="CB599" i="1"/>
  <c r="AU490" i="1"/>
  <c r="BA162" i="1"/>
  <c r="CF100" i="1"/>
  <c r="CG100" i="1" s="1"/>
  <c r="CH100" i="1" s="1"/>
  <c r="CI100" i="1" s="1"/>
  <c r="CF46" i="1"/>
  <c r="CG46" i="1" s="1"/>
  <c r="CH46" i="1" s="1"/>
  <c r="CI46" i="1" s="1"/>
  <c r="CF14" i="1"/>
  <c r="CG14" i="1" s="1"/>
  <c r="CH14" i="1" s="1"/>
  <c r="CI14" i="1" s="1"/>
  <c r="BX17" i="1"/>
  <c r="BY17" i="1" s="1"/>
  <c r="CB17" i="1" s="1"/>
  <c r="CC17" i="1" s="1"/>
  <c r="CF64" i="1"/>
  <c r="CG64" i="1" s="1"/>
  <c r="CH64" i="1" s="1"/>
  <c r="CI64" i="1" s="1"/>
  <c r="AU1056" i="1"/>
  <c r="CB448" i="1"/>
  <c r="CC448" i="1" s="1"/>
  <c r="AU434" i="1"/>
  <c r="CF9" i="1"/>
  <c r="CG9" i="1" s="1"/>
  <c r="CH9" i="1" s="1"/>
  <c r="CI9" i="1" s="1"/>
  <c r="CF49" i="1"/>
  <c r="CG49" i="1" s="1"/>
  <c r="CH49" i="1" s="1"/>
  <c r="CI49" i="1" s="1"/>
  <c r="CF138" i="1"/>
  <c r="CG138" i="1" s="1"/>
  <c r="CH138" i="1" s="1"/>
  <c r="CI138" i="1" s="1"/>
  <c r="BX56" i="1"/>
  <c r="BY56" i="1" s="1"/>
  <c r="CB56" i="1" s="1"/>
  <c r="CC56" i="1" s="1"/>
  <c r="CF121" i="1"/>
  <c r="CG121" i="1" s="1"/>
  <c r="CH121" i="1" s="1"/>
  <c r="CI121" i="1" s="1"/>
  <c r="BX169" i="1"/>
  <c r="BY169" i="1" s="1"/>
  <c r="CF54" i="1"/>
  <c r="CG54" i="1" s="1"/>
  <c r="CH54" i="1" s="1"/>
  <c r="CI54" i="1" s="1"/>
  <c r="CF22" i="1"/>
  <c r="CG22" i="1" s="1"/>
  <c r="CH22" i="1" s="1"/>
  <c r="CI22" i="1" s="1"/>
  <c r="CF65" i="1"/>
  <c r="CG65" i="1" s="1"/>
  <c r="CH65" i="1" s="1"/>
  <c r="CI65" i="1" s="1"/>
  <c r="BX257" i="1"/>
  <c r="BY257" i="1" s="1"/>
  <c r="CB257" i="1" s="1"/>
  <c r="CC257" i="1" s="1"/>
  <c r="BX161" i="1"/>
  <c r="BY161" i="1" s="1"/>
  <c r="CF153" i="1"/>
  <c r="CG153" i="1" s="1"/>
  <c r="CH153" i="1" s="1"/>
  <c r="CI153" i="1" s="1"/>
  <c r="BX108" i="1"/>
  <c r="BY108" i="1" s="1"/>
  <c r="CB108" i="1" s="1"/>
  <c r="CC108" i="1" s="1"/>
  <c r="BX80" i="1"/>
  <c r="BY80" i="1" s="1"/>
  <c r="CB80" i="1" s="1"/>
  <c r="CC80" i="1" s="1"/>
  <c r="AU209" i="1"/>
  <c r="AU934" i="1"/>
  <c r="CF90" i="1"/>
  <c r="CG90" i="1" s="1"/>
  <c r="CH90" i="1" s="1"/>
  <c r="CI90" i="1" s="1"/>
  <c r="CF30" i="1"/>
  <c r="CG30" i="1" s="1"/>
  <c r="CH30" i="1" s="1"/>
  <c r="CI30" i="1" s="1"/>
  <c r="CF105" i="1"/>
  <c r="CG105" i="1" s="1"/>
  <c r="CH105" i="1" s="1"/>
  <c r="CI105" i="1" s="1"/>
  <c r="CF81" i="1"/>
  <c r="CG81" i="1" s="1"/>
  <c r="CH81" i="1" s="1"/>
  <c r="CI81" i="1" s="1"/>
  <c r="CF164" i="1"/>
  <c r="CG164" i="1" s="1"/>
  <c r="CH164" i="1" s="1"/>
  <c r="CI164" i="1" s="1"/>
  <c r="BX41" i="1"/>
  <c r="BY41" i="1" s="1"/>
  <c r="CB41" i="1" s="1"/>
  <c r="CC41" i="1" s="1"/>
  <c r="CF137" i="1"/>
  <c r="CG137" i="1" s="1"/>
  <c r="CH137" i="1" s="1"/>
  <c r="CF145" i="1"/>
  <c r="CG145" i="1" s="1"/>
  <c r="CH145" i="1" s="1"/>
  <c r="CI145" i="1" s="1"/>
  <c r="AU1086" i="1"/>
  <c r="AV768" i="1"/>
  <c r="CH440" i="1"/>
  <c r="CI440" i="1" s="1"/>
  <c r="AV42" i="1"/>
  <c r="CB1181" i="1"/>
  <c r="CB762" i="1"/>
  <c r="BC654" i="1"/>
  <c r="BB670" i="1"/>
  <c r="BC162" i="1"/>
  <c r="CH853" i="1"/>
  <c r="CI853" i="1" s="1"/>
  <c r="BC670" i="1"/>
  <c r="AU249" i="1"/>
  <c r="CB1014" i="1"/>
  <c r="CC1014" i="1" s="1"/>
  <c r="BC105" i="1"/>
  <c r="AN162" i="1"/>
  <c r="AO162" i="1"/>
  <c r="AN673" i="1"/>
  <c r="AO673" i="1"/>
  <c r="AO674" i="1"/>
  <c r="AN674" i="1"/>
  <c r="AO792" i="1"/>
  <c r="AN792" i="1"/>
  <c r="AO105" i="1"/>
  <c r="AN105" i="1"/>
  <c r="AO165" i="1"/>
  <c r="AN165" i="1"/>
  <c r="BA655" i="1"/>
  <c r="AO654" i="1"/>
  <c r="AN654" i="1"/>
  <c r="AO670" i="1"/>
  <c r="AN670" i="1"/>
  <c r="BC672" i="1"/>
  <c r="AO698" i="1"/>
  <c r="AN698" i="1"/>
  <c r="BA105" i="1"/>
  <c r="AO655" i="1"/>
  <c r="AN655" i="1"/>
  <c r="AO671" i="1"/>
  <c r="AN671" i="1"/>
  <c r="AN672" i="1"/>
  <c r="AO672" i="1"/>
  <c r="BA792" i="1"/>
  <c r="BB792" i="1"/>
  <c r="BA654" i="1"/>
  <c r="BC792" i="1"/>
  <c r="BA670" i="1"/>
  <c r="CF1084" i="1"/>
  <c r="CG1084" i="1" s="1"/>
  <c r="CH1084" i="1" s="1"/>
  <c r="CI1084" i="1" s="1"/>
  <c r="BX1116" i="1"/>
  <c r="BY1116" i="1" s="1"/>
  <c r="CB1116" i="1" s="1"/>
  <c r="CF1036" i="1"/>
  <c r="CG1036" i="1" s="1"/>
  <c r="CH1036" i="1" s="1"/>
  <c r="CI1036" i="1" s="1"/>
  <c r="BX828" i="1"/>
  <c r="BY828" i="1" s="1"/>
  <c r="CB828" i="1" s="1"/>
  <c r="CC828" i="1" s="1"/>
  <c r="BX1009" i="1"/>
  <c r="BY1009" i="1" s="1"/>
  <c r="CB1009" i="1" s="1"/>
  <c r="CC1009" i="1" s="1"/>
  <c r="CF1185" i="1"/>
  <c r="CG1185" i="1" s="1"/>
  <c r="CH1185" i="1" s="1"/>
  <c r="CI1185" i="1" s="1"/>
  <c r="BX1201" i="1"/>
  <c r="BY1201" i="1" s="1"/>
  <c r="CB1201" i="1" s="1"/>
  <c r="CC1201" i="1" s="1"/>
  <c r="CF405" i="1"/>
  <c r="CG405" i="1" s="1"/>
  <c r="BX475" i="1"/>
  <c r="BY475" i="1" s="1"/>
  <c r="CB475" i="1" s="1"/>
  <c r="CC475" i="1" s="1"/>
  <c r="CB1089" i="1"/>
  <c r="CC1089" i="1" s="1"/>
  <c r="CH1041" i="1"/>
  <c r="CI1041" i="1" s="1"/>
  <c r="CF796" i="1"/>
  <c r="CG796" i="1" s="1"/>
  <c r="CH796" i="1" s="1"/>
  <c r="AU143" i="1"/>
  <c r="CH1132" i="1"/>
  <c r="CF1100" i="1"/>
  <c r="CG1100" i="1" s="1"/>
  <c r="CH1100" i="1" s="1"/>
  <c r="CB1148" i="1"/>
  <c r="CC1148" i="1" s="1"/>
  <c r="CF940" i="1"/>
  <c r="CG940" i="1" s="1"/>
  <c r="CH940" i="1" s="1"/>
  <c r="CI940" i="1" s="1"/>
  <c r="BX1020" i="1"/>
  <c r="BY1020" i="1" s="1"/>
  <c r="BX637" i="1"/>
  <c r="BY637" i="1" s="1"/>
  <c r="CB637" i="1" s="1"/>
  <c r="CC637" i="1" s="1"/>
  <c r="BX1132" i="1"/>
  <c r="BY1132" i="1" s="1"/>
  <c r="CB1132" i="1" s="1"/>
  <c r="CB860" i="1"/>
  <c r="CC860" i="1" s="1"/>
  <c r="CB896" i="1"/>
  <c r="CC896" i="1" s="1"/>
  <c r="CF764" i="1"/>
  <c r="CG764" i="1" s="1"/>
  <c r="CH764" i="1" s="1"/>
  <c r="CI764" i="1" s="1"/>
  <c r="CB614" i="1"/>
  <c r="CC614" i="1" s="1"/>
  <c r="CB166" i="1"/>
  <c r="CC166" i="1" s="1"/>
  <c r="BX130" i="1"/>
  <c r="BY130" i="1" s="1"/>
  <c r="CB130" i="1" s="1"/>
  <c r="BX102" i="1"/>
  <c r="BY102" i="1" s="1"/>
  <c r="CB102" i="1" s="1"/>
  <c r="CC102" i="1" s="1"/>
  <c r="CF3" i="1"/>
  <c r="CG3" i="1" s="1"/>
  <c r="CH3" i="1" s="1"/>
  <c r="CF19" i="1"/>
  <c r="CG19" i="1" s="1"/>
  <c r="CH19" i="1" s="1"/>
  <c r="CI19" i="1" s="1"/>
  <c r="CF35" i="1"/>
  <c r="CG35" i="1" s="1"/>
  <c r="CH35" i="1" s="1"/>
  <c r="CI35" i="1" s="1"/>
  <c r="BX48" i="1"/>
  <c r="BY48" i="1" s="1"/>
  <c r="CB48" i="1" s="1"/>
  <c r="CC48" i="1" s="1"/>
  <c r="BX147" i="1"/>
  <c r="BY147" i="1" s="1"/>
  <c r="CB147" i="1" s="1"/>
  <c r="CC147" i="1" s="1"/>
  <c r="BX171" i="1"/>
  <c r="BY171" i="1" s="1"/>
  <c r="CB171" i="1" s="1"/>
  <c r="CC171" i="1" s="1"/>
  <c r="BX115" i="1"/>
  <c r="BY115" i="1" s="1"/>
  <c r="CB115" i="1" s="1"/>
  <c r="CC115" i="1" s="1"/>
  <c r="CF166" i="1"/>
  <c r="CG166" i="1" s="1"/>
  <c r="CH166" i="1" s="1"/>
  <c r="CI166" i="1" s="1"/>
  <c r="BX131" i="1"/>
  <c r="BY131" i="1" s="1"/>
  <c r="CB131" i="1" s="1"/>
  <c r="CF27" i="1"/>
  <c r="CG27" i="1" s="1"/>
  <c r="CH27" i="1" s="1"/>
  <c r="CI27" i="1" s="1"/>
  <c r="BX59" i="1"/>
  <c r="BY59" i="1" s="1"/>
  <c r="CB59" i="1" s="1"/>
  <c r="CC59" i="1" s="1"/>
  <c r="CH1078" i="1"/>
  <c r="CI1078" i="1" s="1"/>
  <c r="BX107" i="1"/>
  <c r="BY107" i="1" s="1"/>
  <c r="CB107" i="1" s="1"/>
  <c r="CC107" i="1" s="1"/>
  <c r="BX154" i="1"/>
  <c r="BY154" i="1" s="1"/>
  <c r="CB154" i="1" s="1"/>
  <c r="CC154" i="1" s="1"/>
  <c r="BX140" i="1"/>
  <c r="BY140" i="1" s="1"/>
  <c r="CB140" i="1" s="1"/>
  <c r="CC140" i="1" s="1"/>
  <c r="CF11" i="1"/>
  <c r="CG11" i="1" s="1"/>
  <c r="CH11" i="1" s="1"/>
  <c r="CI11" i="1" s="1"/>
  <c r="CH1020" i="1"/>
  <c r="CI1020" i="1" s="1"/>
  <c r="BX110" i="1"/>
  <c r="BY110" i="1" s="1"/>
  <c r="CB110" i="1" s="1"/>
  <c r="CC110" i="1" s="1"/>
  <c r="CF74" i="1"/>
  <c r="CG74" i="1" s="1"/>
  <c r="CH74" i="1" s="1"/>
  <c r="CI74" i="1" s="1"/>
  <c r="CF58" i="1"/>
  <c r="CG58" i="1" s="1"/>
  <c r="CH58" i="1" s="1"/>
  <c r="CI58" i="1" s="1"/>
  <c r="CB162" i="1"/>
  <c r="CC162" i="1" s="1"/>
  <c r="BX92" i="1"/>
  <c r="BY92" i="1" s="1"/>
  <c r="CB92" i="1" s="1"/>
  <c r="CC92" i="1" s="1"/>
  <c r="CF32" i="1"/>
  <c r="CG32" i="1" s="1"/>
  <c r="CH32" i="1" s="1"/>
  <c r="CI32" i="1" s="1"/>
  <c r="BX16" i="1"/>
  <c r="BY16" i="1" s="1"/>
  <c r="BX24" i="1"/>
  <c r="BY24" i="1" s="1"/>
  <c r="CB24" i="1" s="1"/>
  <c r="CC24" i="1" s="1"/>
  <c r="CF91" i="1"/>
  <c r="CG91" i="1" s="1"/>
  <c r="CH91" i="1" s="1"/>
  <c r="CI91" i="1" s="1"/>
  <c r="BX8" i="1"/>
  <c r="BY8" i="1" s="1"/>
  <c r="CB8" i="1" s="1"/>
  <c r="CC8" i="1" s="1"/>
  <c r="CF120" i="1"/>
  <c r="CG120" i="1" s="1"/>
  <c r="CH120" i="1" s="1"/>
  <c r="CI120" i="1" s="1"/>
  <c r="BX139" i="1"/>
  <c r="BY139" i="1" s="1"/>
  <c r="CB139" i="1" s="1"/>
  <c r="CC139" i="1" s="1"/>
  <c r="CF83" i="1"/>
  <c r="CG83" i="1" s="1"/>
  <c r="CH83" i="1" s="1"/>
  <c r="CI83" i="1" s="1"/>
  <c r="BX51" i="1"/>
  <c r="BY51" i="1" s="1"/>
  <c r="CB51" i="1" s="1"/>
  <c r="CC51" i="1" s="1"/>
  <c r="BX155" i="1"/>
  <c r="BY155" i="1" s="1"/>
  <c r="CB155" i="1" s="1"/>
  <c r="CC155" i="1" s="1"/>
  <c r="BX163" i="1"/>
  <c r="BY163" i="1" s="1"/>
  <c r="CB163" i="1" s="1"/>
  <c r="CC163" i="1" s="1"/>
  <c r="CF67" i="1"/>
  <c r="CG67" i="1" s="1"/>
  <c r="CH67" i="1" s="1"/>
  <c r="CI67" i="1" s="1"/>
  <c r="CB964" i="1"/>
  <c r="CC964" i="1" s="1"/>
  <c r="CH71" i="1"/>
  <c r="CI71" i="1" s="1"/>
  <c r="CB150" i="1"/>
  <c r="BX52" i="1"/>
  <c r="BY52" i="1" s="1"/>
  <c r="CB52" i="1" s="1"/>
  <c r="BX752" i="1"/>
  <c r="BY752" i="1" s="1"/>
  <c r="CB752" i="1" s="1"/>
  <c r="CC752" i="1" s="1"/>
  <c r="CF122" i="1"/>
  <c r="CG122" i="1" s="1"/>
  <c r="CH122" i="1" s="1"/>
  <c r="CI122" i="1" s="1"/>
  <c r="CB880" i="1"/>
  <c r="CC880" i="1" s="1"/>
  <c r="BX1136" i="1"/>
  <c r="BY1136" i="1" s="1"/>
  <c r="CB1136" i="1" s="1"/>
  <c r="BX167" i="1"/>
  <c r="BY167" i="1" s="1"/>
  <c r="CB167" i="1" s="1"/>
  <c r="BX7" i="1"/>
  <c r="BY7" i="1" s="1"/>
  <c r="CB7" i="1" s="1"/>
  <c r="CC7" i="1" s="1"/>
  <c r="CF15" i="1"/>
  <c r="CG15" i="1" s="1"/>
  <c r="CH15" i="1" s="1"/>
  <c r="CI15" i="1" s="1"/>
  <c r="CF151" i="1"/>
  <c r="CG151" i="1" s="1"/>
  <c r="CH151" i="1" s="1"/>
  <c r="CI151" i="1" s="1"/>
  <c r="BX225" i="1"/>
  <c r="BY225" i="1" s="1"/>
  <c r="CB225" i="1" s="1"/>
  <c r="CC225" i="1" s="1"/>
  <c r="CH407" i="1"/>
  <c r="CI407" i="1" s="1"/>
  <c r="CH825" i="1"/>
  <c r="CI825" i="1" s="1"/>
  <c r="AU90" i="1"/>
  <c r="BX106" i="1"/>
  <c r="BY106" i="1" s="1"/>
  <c r="CB106" i="1" s="1"/>
  <c r="CC106" i="1" s="1"/>
  <c r="BX47" i="1"/>
  <c r="BY47" i="1" s="1"/>
  <c r="CB47" i="1" s="1"/>
  <c r="CC47" i="1" s="1"/>
  <c r="CH161" i="1"/>
  <c r="CI161" i="1" s="1"/>
  <c r="CF79" i="1"/>
  <c r="CG79" i="1" s="1"/>
  <c r="CH79" i="1" s="1"/>
  <c r="CI79" i="1" s="1"/>
  <c r="BX36" i="1"/>
  <c r="BY36" i="1" s="1"/>
  <c r="CB36" i="1" s="1"/>
  <c r="CC36" i="1" s="1"/>
  <c r="CF87" i="1"/>
  <c r="CG87" i="1" s="1"/>
  <c r="CH87" i="1" s="1"/>
  <c r="CI87" i="1" s="1"/>
  <c r="CF28" i="1"/>
  <c r="CG28" i="1" s="1"/>
  <c r="CH28" i="1" s="1"/>
  <c r="CI28" i="1" s="1"/>
  <c r="CF63" i="1"/>
  <c r="CG63" i="1" s="1"/>
  <c r="CH63" i="1" s="1"/>
  <c r="CI63" i="1" s="1"/>
  <c r="AU153" i="1"/>
  <c r="BX143" i="1"/>
  <c r="BY143" i="1" s="1"/>
  <c r="CB143" i="1" s="1"/>
  <c r="CC143" i="1" s="1"/>
  <c r="BX158" i="1"/>
  <c r="BY158" i="1" s="1"/>
  <c r="CB158" i="1" s="1"/>
  <c r="CC158" i="1" s="1"/>
  <c r="BX103" i="1"/>
  <c r="BY103" i="1" s="1"/>
  <c r="CB103" i="1" s="1"/>
  <c r="CC103" i="1" s="1"/>
  <c r="CF62" i="1"/>
  <c r="CG62" i="1" s="1"/>
  <c r="CH62" i="1" s="1"/>
  <c r="CI62" i="1" s="1"/>
  <c r="CF134" i="1"/>
  <c r="CG134" i="1" s="1"/>
  <c r="CH134" i="1" s="1"/>
  <c r="CI134" i="1" s="1"/>
  <c r="BX111" i="1"/>
  <c r="BY111" i="1" s="1"/>
  <c r="CB111" i="1" s="1"/>
  <c r="CC111" i="1" s="1"/>
  <c r="CF39" i="1"/>
  <c r="CG39" i="1" s="1"/>
  <c r="CH39" i="1" s="1"/>
  <c r="CI39" i="1" s="1"/>
  <c r="AU260" i="1"/>
  <c r="BX127" i="1"/>
  <c r="BY127" i="1" s="1"/>
  <c r="CB127" i="1" s="1"/>
  <c r="CC127" i="1" s="1"/>
  <c r="CF98" i="1"/>
  <c r="CG98" i="1" s="1"/>
  <c r="CH98" i="1" s="1"/>
  <c r="CI98" i="1" s="1"/>
  <c r="CF31" i="1"/>
  <c r="CG31" i="1" s="1"/>
  <c r="CH31" i="1" s="1"/>
  <c r="CI31" i="1" s="1"/>
  <c r="BX44" i="1"/>
  <c r="BY44" i="1" s="1"/>
  <c r="CB44" i="1" s="1"/>
  <c r="CC44" i="1" s="1"/>
  <c r="CF136" i="1"/>
  <c r="CG136" i="1" s="1"/>
  <c r="CH136" i="1" s="1"/>
  <c r="CI136" i="1" s="1"/>
  <c r="BX71" i="1"/>
  <c r="BY71" i="1" s="1"/>
  <c r="CB71" i="1" s="1"/>
  <c r="CC71" i="1" s="1"/>
  <c r="CB269" i="1"/>
  <c r="CC269" i="1" s="1"/>
  <c r="CB1099" i="1"/>
  <c r="CC1099" i="1" s="1"/>
  <c r="AU636" i="1"/>
  <c r="BX119" i="1"/>
  <c r="BY119" i="1" s="1"/>
  <c r="CB119" i="1" s="1"/>
  <c r="CC119" i="1" s="1"/>
  <c r="BX170" i="1"/>
  <c r="BY170" i="1" s="1"/>
  <c r="CB170" i="1" s="1"/>
  <c r="CC170" i="1" s="1"/>
  <c r="CF70" i="1"/>
  <c r="CG70" i="1" s="1"/>
  <c r="CH70" i="1" s="1"/>
  <c r="CI70" i="1" s="1"/>
  <c r="CF126" i="1"/>
  <c r="CG126" i="1" s="1"/>
  <c r="CH126" i="1" s="1"/>
  <c r="CI126" i="1" s="1"/>
  <c r="CF150" i="1"/>
  <c r="CG150" i="1" s="1"/>
  <c r="CH150" i="1" s="1"/>
  <c r="BX55" i="1"/>
  <c r="BY55" i="1" s="1"/>
  <c r="CB55" i="1" s="1"/>
  <c r="CC55" i="1" s="1"/>
  <c r="BX159" i="1"/>
  <c r="BY159" i="1" s="1"/>
  <c r="CB159" i="1" s="1"/>
  <c r="CC159" i="1" s="1"/>
  <c r="CF12" i="1"/>
  <c r="CG12" i="1" s="1"/>
  <c r="CH12" i="1" s="1"/>
  <c r="CI12" i="1" s="1"/>
  <c r="CF88" i="1"/>
  <c r="CG88" i="1" s="1"/>
  <c r="CH88" i="1" s="1"/>
  <c r="BX135" i="1"/>
  <c r="BY135" i="1" s="1"/>
  <c r="CB135" i="1" s="1"/>
  <c r="CC135" i="1" s="1"/>
  <c r="CH59" i="1"/>
  <c r="CI59" i="1" s="1"/>
  <c r="CF23" i="1"/>
  <c r="CG23" i="1" s="1"/>
  <c r="CH23" i="1" s="1"/>
  <c r="CI23" i="1" s="1"/>
  <c r="AV918" i="1"/>
  <c r="CF78" i="1"/>
  <c r="CG78" i="1" s="1"/>
  <c r="CH78" i="1" s="1"/>
  <c r="CI78" i="1" s="1"/>
  <c r="CF95" i="1"/>
  <c r="CG95" i="1" s="1"/>
  <c r="CH95" i="1" s="1"/>
  <c r="CF144" i="1"/>
  <c r="CG144" i="1" s="1"/>
  <c r="CH144" i="1" s="1"/>
  <c r="CF4" i="1"/>
  <c r="CG4" i="1" s="1"/>
  <c r="CH4" i="1" s="1"/>
  <c r="CF20" i="1"/>
  <c r="CG20" i="1" s="1"/>
  <c r="CH20" i="1" s="1"/>
  <c r="CH765" i="1"/>
  <c r="CI765" i="1" s="1"/>
  <c r="AV396" i="1"/>
  <c r="BX114" i="1"/>
  <c r="BY114" i="1" s="1"/>
  <c r="CB114" i="1" s="1"/>
  <c r="CC114" i="1" s="1"/>
  <c r="CH44" i="1"/>
  <c r="CI44" i="1" s="1"/>
  <c r="CB121" i="1"/>
  <c r="CC121" i="1" s="1"/>
  <c r="CB128" i="1"/>
  <c r="CC128" i="1" s="1"/>
  <c r="CH1188" i="1"/>
  <c r="CI1188" i="1" s="1"/>
  <c r="CB401" i="1"/>
  <c r="CC401" i="1" s="1"/>
  <c r="CH857" i="1"/>
  <c r="CH48" i="1"/>
  <c r="CI48" i="1" s="1"/>
  <c r="CH143" i="1"/>
  <c r="CI143" i="1" s="1"/>
  <c r="CH1131" i="1"/>
  <c r="CI1131" i="1" s="1"/>
  <c r="CH443" i="1"/>
  <c r="CH620" i="1"/>
  <c r="CI620" i="1" s="1"/>
  <c r="CB100" i="1"/>
  <c r="CC100" i="1" s="1"/>
  <c r="CH1160" i="1"/>
  <c r="CH84" i="1"/>
  <c r="CI84" i="1" s="1"/>
  <c r="CH45" i="1"/>
  <c r="CI45" i="1" s="1"/>
  <c r="CH434" i="1"/>
  <c r="CI434" i="1" s="1"/>
  <c r="CH949" i="1"/>
  <c r="CI949" i="1" s="1"/>
  <c r="CH170" i="1"/>
  <c r="CI170" i="1" s="1"/>
  <c r="CB571" i="1"/>
  <c r="CC571" i="1" s="1"/>
  <c r="CH811" i="1"/>
  <c r="CI811" i="1" s="1"/>
  <c r="CH17" i="1"/>
  <c r="CI17" i="1" s="1"/>
  <c r="CH97" i="1"/>
  <c r="CI97" i="1" s="1"/>
  <c r="CB759" i="1"/>
  <c r="CH439" i="1"/>
  <c r="CI439" i="1" s="1"/>
  <c r="CB845" i="1"/>
  <c r="CC845" i="1" s="1"/>
  <c r="AD1268" i="1"/>
  <c r="AE1268" i="1" s="1"/>
  <c r="CR1200" i="1"/>
  <c r="AD1266" i="1"/>
  <c r="AE1266" i="1" s="1"/>
  <c r="CR1122" i="1"/>
  <c r="AD1341" i="1"/>
  <c r="AE1341" i="1" s="1"/>
  <c r="CR1199" i="1"/>
  <c r="AD1340" i="1"/>
  <c r="AE1340" i="1" s="1"/>
  <c r="CR1121" i="1"/>
  <c r="CH43" i="1"/>
  <c r="CI43" i="1" s="1"/>
  <c r="CB50" i="1"/>
  <c r="CC50" i="1" s="1"/>
  <c r="BX43" i="1"/>
  <c r="BY43" i="1" s="1"/>
  <c r="CB43" i="1" s="1"/>
  <c r="CC43" i="1" s="1"/>
  <c r="CB333" i="1"/>
  <c r="CC333" i="1" s="1"/>
  <c r="CH163" i="1"/>
  <c r="CI163" i="1" s="1"/>
  <c r="CH36" i="1"/>
  <c r="CI36" i="1" s="1"/>
  <c r="CH637" i="1"/>
  <c r="CI637" i="1" s="1"/>
  <c r="CH829" i="1"/>
  <c r="CI829" i="1" s="1"/>
  <c r="AV729" i="1"/>
  <c r="CH1176" i="1"/>
  <c r="CI1176" i="1" s="1"/>
  <c r="AV24" i="1"/>
  <c r="CB138" i="1"/>
  <c r="CC138" i="1" s="1"/>
  <c r="AU1138" i="1"/>
  <c r="AU655" i="1"/>
  <c r="BB655" i="1" s="1"/>
  <c r="AU67" i="1"/>
  <c r="AU148" i="1"/>
  <c r="CF514" i="1"/>
  <c r="CG514" i="1" s="1"/>
  <c r="CH514" i="1" s="1"/>
  <c r="CI514" i="1" s="1"/>
  <c r="CH139" i="1"/>
  <c r="CI139" i="1" s="1"/>
  <c r="AV664" i="1"/>
  <c r="AU419" i="1"/>
  <c r="AU647" i="1"/>
  <c r="AU426" i="1"/>
  <c r="AU1131" i="1"/>
  <c r="AU1010" i="1"/>
  <c r="AU106" i="1"/>
  <c r="CF882" i="1"/>
  <c r="CG882" i="1" s="1"/>
  <c r="CH882" i="1" s="1"/>
  <c r="CH1200" i="1"/>
  <c r="CI1200" i="1" s="1"/>
  <c r="AU231" i="1"/>
  <c r="AU201" i="1"/>
  <c r="CF320" i="1"/>
  <c r="CG320" i="1" s="1"/>
  <c r="CH320" i="1" s="1"/>
  <c r="BX264" i="1"/>
  <c r="BY264" i="1" s="1"/>
  <c r="CB264" i="1" s="1"/>
  <c r="CC264" i="1" s="1"/>
  <c r="AU457" i="1"/>
  <c r="AV272" i="1"/>
  <c r="CH835" i="1"/>
  <c r="CI835" i="1" s="1"/>
  <c r="CH675" i="1"/>
  <c r="CI675" i="1" s="1"/>
  <c r="CB233" i="1"/>
  <c r="CC233" i="1" s="1"/>
  <c r="CB575" i="1"/>
  <c r="CC575" i="1" s="1"/>
  <c r="CB578" i="1"/>
  <c r="CH1179" i="1"/>
  <c r="CI1179" i="1" s="1"/>
  <c r="AV372" i="1"/>
  <c r="CH147" i="1"/>
  <c r="CI147" i="1" s="1"/>
  <c r="AU891" i="1"/>
  <c r="X1326" i="1"/>
  <c r="CB727" i="1"/>
  <c r="CC727" i="1" s="1"/>
  <c r="CB623" i="1"/>
  <c r="CC623" i="1" s="1"/>
  <c r="CF470" i="1"/>
  <c r="CG470" i="1" s="1"/>
  <c r="CH470" i="1" s="1"/>
  <c r="CI470" i="1" s="1"/>
  <c r="AU402" i="1"/>
  <c r="CF524" i="1"/>
  <c r="CG524" i="1" s="1"/>
  <c r="CH524" i="1" s="1"/>
  <c r="CI524" i="1" s="1"/>
  <c r="CF562" i="1"/>
  <c r="CG562" i="1" s="1"/>
  <c r="CH562" i="1" s="1"/>
  <c r="CI562" i="1" s="1"/>
  <c r="CF446" i="1"/>
  <c r="CG446" i="1" s="1"/>
  <c r="CH446" i="1" s="1"/>
  <c r="CI446" i="1" s="1"/>
  <c r="CB104" i="1"/>
  <c r="CC104" i="1" s="1"/>
  <c r="AV910" i="1"/>
  <c r="CF211" i="1"/>
  <c r="CG211" i="1" s="1"/>
  <c r="CH211" i="1" s="1"/>
  <c r="CF208" i="1"/>
  <c r="CG208" i="1" s="1"/>
  <c r="CH208" i="1" s="1"/>
  <c r="CI208" i="1" s="1"/>
  <c r="CF631" i="1"/>
  <c r="CG631" i="1" s="1"/>
  <c r="CH631" i="1" s="1"/>
  <c r="CI631" i="1" s="1"/>
  <c r="BX530" i="1"/>
  <c r="BY530" i="1" s="1"/>
  <c r="CB530" i="1" s="1"/>
  <c r="BX1073" i="1"/>
  <c r="BY1073" i="1" s="1"/>
  <c r="CB1073" i="1" s="1"/>
  <c r="CC1073" i="1" s="1"/>
  <c r="CH1201" i="1"/>
  <c r="CI1201" i="1" s="1"/>
  <c r="AV785" i="1"/>
  <c r="AV140" i="1"/>
  <c r="CF667" i="1"/>
  <c r="CG667" i="1" s="1"/>
  <c r="CH667" i="1" s="1"/>
  <c r="CI667" i="1" s="1"/>
  <c r="BX748" i="1"/>
  <c r="BY748" i="1" s="1"/>
  <c r="CB748" i="1" s="1"/>
  <c r="CC748" i="1" s="1"/>
  <c r="BX370" i="1"/>
  <c r="BY370" i="1" s="1"/>
  <c r="CB370" i="1" s="1"/>
  <c r="CC370" i="1" s="1"/>
  <c r="CH1071" i="1"/>
  <c r="CI1071" i="1" s="1"/>
  <c r="AV843" i="1"/>
  <c r="BX338" i="1"/>
  <c r="BY338" i="1" s="1"/>
  <c r="CB338" i="1" s="1"/>
  <c r="BX849" i="1"/>
  <c r="BY849" i="1" s="1"/>
  <c r="CB849" i="1" s="1"/>
  <c r="CC849" i="1" s="1"/>
  <c r="CJ849" i="1" s="1"/>
  <c r="BD849" i="1" s="1"/>
  <c r="CH613" i="1"/>
  <c r="CI613" i="1" s="1"/>
  <c r="AV188" i="1"/>
  <c r="AU11" i="1"/>
  <c r="CH1025" i="1"/>
  <c r="CF568" i="1"/>
  <c r="CG568" i="1" s="1"/>
  <c r="CH568" i="1" s="1"/>
  <c r="CB507" i="1"/>
  <c r="BX945" i="1"/>
  <c r="BY945" i="1" s="1"/>
  <c r="CB945" i="1" s="1"/>
  <c r="CC945" i="1" s="1"/>
  <c r="CB893" i="1"/>
  <c r="CC893" i="1" s="1"/>
  <c r="CH563" i="1"/>
  <c r="CI563" i="1" s="1"/>
  <c r="CF382" i="1"/>
  <c r="CG382" i="1" s="1"/>
  <c r="CH382" i="1" s="1"/>
  <c r="CI382" i="1" s="1"/>
  <c r="BX174" i="1"/>
  <c r="BY174" i="1" s="1"/>
  <c r="CB174" i="1" s="1"/>
  <c r="CC174" i="1" s="1"/>
  <c r="CB486" i="1"/>
  <c r="CC486" i="1" s="1"/>
  <c r="BX332" i="1"/>
  <c r="BY332" i="1" s="1"/>
  <c r="CB332" i="1" s="1"/>
  <c r="CF414" i="1"/>
  <c r="CG414" i="1" s="1"/>
  <c r="CH414" i="1" s="1"/>
  <c r="CI414" i="1" s="1"/>
  <c r="CB236" i="1"/>
  <c r="CC236" i="1" s="1"/>
  <c r="CF190" i="1"/>
  <c r="CG190" i="1" s="1"/>
  <c r="CH190" i="1" s="1"/>
  <c r="CI190" i="1" s="1"/>
  <c r="CF502" i="1"/>
  <c r="CG502" i="1" s="1"/>
  <c r="CH502" i="1" s="1"/>
  <c r="CI502" i="1" s="1"/>
  <c r="AV476" i="1"/>
  <c r="BX286" i="1"/>
  <c r="BY286" i="1" s="1"/>
  <c r="CB286" i="1" s="1"/>
  <c r="CC286" i="1" s="1"/>
  <c r="BX430" i="1"/>
  <c r="BY430" i="1" s="1"/>
  <c r="CB430" i="1" s="1"/>
  <c r="CC430" i="1" s="1"/>
  <c r="CB224" i="1"/>
  <c r="CC224" i="1" s="1"/>
  <c r="BX348" i="1"/>
  <c r="BY348" i="1" s="1"/>
  <c r="CB348" i="1" s="1"/>
  <c r="CC348" i="1" s="1"/>
  <c r="AU19" i="1"/>
  <c r="BX986" i="1"/>
  <c r="BY986" i="1" s="1"/>
  <c r="CB986" i="1" s="1"/>
  <c r="BX1082" i="1"/>
  <c r="BY1082" i="1" s="1"/>
  <c r="CB1082" i="1" s="1"/>
  <c r="CC1082" i="1" s="1"/>
  <c r="CF1002" i="1"/>
  <c r="CG1002" i="1" s="1"/>
  <c r="CH1002" i="1" s="1"/>
  <c r="CI1002" i="1" s="1"/>
  <c r="CH21" i="1"/>
  <c r="CI21" i="1" s="1"/>
  <c r="BX1050" i="1"/>
  <c r="BY1050" i="1" s="1"/>
  <c r="CB1050" i="1" s="1"/>
  <c r="CC1050" i="1" s="1"/>
  <c r="CF1034" i="1"/>
  <c r="CG1034" i="1" s="1"/>
  <c r="CH1034" i="1" s="1"/>
  <c r="CI1034" i="1" s="1"/>
  <c r="CH123" i="1"/>
  <c r="CI123" i="1" s="1"/>
  <c r="BX943" i="1"/>
  <c r="BY943" i="1" s="1"/>
  <c r="CB943" i="1" s="1"/>
  <c r="CC943" i="1" s="1"/>
  <c r="CF1146" i="1"/>
  <c r="CG1146" i="1" s="1"/>
  <c r="CH1146" i="1" s="1"/>
  <c r="CI1146" i="1" s="1"/>
  <c r="BX959" i="1"/>
  <c r="BY959" i="1" s="1"/>
  <c r="CB959" i="1" s="1"/>
  <c r="CF874" i="1"/>
  <c r="CG874" i="1" s="1"/>
  <c r="CH874" i="1" s="1"/>
  <c r="CI874" i="1" s="1"/>
  <c r="BX1183" i="1"/>
  <c r="BY1183" i="1" s="1"/>
  <c r="CB1183" i="1" s="1"/>
  <c r="CC1183" i="1" s="1"/>
  <c r="CF1199" i="1"/>
  <c r="CG1199" i="1" s="1"/>
  <c r="CH1199" i="1" s="1"/>
  <c r="CI1199" i="1" s="1"/>
  <c r="BX927" i="1"/>
  <c r="BY927" i="1" s="1"/>
  <c r="CB927" i="1" s="1"/>
  <c r="CC927" i="1" s="1"/>
  <c r="CF681" i="1"/>
  <c r="CG681" i="1" s="1"/>
  <c r="CH681" i="1" s="1"/>
  <c r="CI681" i="1" s="1"/>
  <c r="BX842" i="1"/>
  <c r="BY842" i="1" s="1"/>
  <c r="CB842" i="1" s="1"/>
  <c r="CB68" i="1"/>
  <c r="CC68" i="1" s="1"/>
  <c r="CB446" i="1"/>
  <c r="CC446" i="1" s="1"/>
  <c r="CF1087" i="1"/>
  <c r="CG1087" i="1" s="1"/>
  <c r="CH1087" i="1" s="1"/>
  <c r="CI1087" i="1" s="1"/>
  <c r="CF1194" i="1"/>
  <c r="CG1194" i="1" s="1"/>
  <c r="CH1194" i="1" s="1"/>
  <c r="CI1194" i="1" s="1"/>
  <c r="CJ1194" i="1" s="1"/>
  <c r="BD1194" i="1" s="1"/>
  <c r="CF1162" i="1"/>
  <c r="CG1162" i="1" s="1"/>
  <c r="CH1162" i="1" s="1"/>
  <c r="CH1130" i="1"/>
  <c r="CI1130" i="1" s="1"/>
  <c r="CF1135" i="1"/>
  <c r="CG1135" i="1" s="1"/>
  <c r="CH1135" i="1" s="1"/>
  <c r="BX1018" i="1"/>
  <c r="BY1018" i="1" s="1"/>
  <c r="CB1018" i="1" s="1"/>
  <c r="CF991" i="1"/>
  <c r="CG991" i="1" s="1"/>
  <c r="CH991" i="1" s="1"/>
  <c r="CI991" i="1" s="1"/>
  <c r="BX1178" i="1"/>
  <c r="BY1178" i="1" s="1"/>
  <c r="CB1178" i="1" s="1"/>
  <c r="CC1178" i="1" s="1"/>
  <c r="CF1151" i="1"/>
  <c r="CG1151" i="1" s="1"/>
  <c r="CH1151" i="1" s="1"/>
  <c r="CI1151" i="1" s="1"/>
  <c r="BX1130" i="1"/>
  <c r="BY1130" i="1" s="1"/>
  <c r="CB1130" i="1" s="1"/>
  <c r="CC1130" i="1" s="1"/>
  <c r="CF1119" i="1"/>
  <c r="CG1119" i="1" s="1"/>
  <c r="CH1119" i="1" s="1"/>
  <c r="CI1119" i="1" s="1"/>
  <c r="CH135" i="1"/>
  <c r="CI135" i="1" s="1"/>
  <c r="CF1066" i="1"/>
  <c r="CG1066" i="1" s="1"/>
  <c r="CH1066" i="1" s="1"/>
  <c r="CI1066" i="1" s="1"/>
  <c r="CF1023" i="1"/>
  <c r="CG1023" i="1" s="1"/>
  <c r="CH1023" i="1" s="1"/>
  <c r="CI1023" i="1" s="1"/>
  <c r="CB922" i="1"/>
  <c r="CC922" i="1" s="1"/>
  <c r="CF890" i="1"/>
  <c r="CG890" i="1" s="1"/>
  <c r="CH890" i="1" s="1"/>
  <c r="CI890" i="1" s="1"/>
  <c r="CF1167" i="1"/>
  <c r="CG1167" i="1" s="1"/>
  <c r="CH1167" i="1" s="1"/>
  <c r="CI1167" i="1" s="1"/>
  <c r="CF1114" i="1"/>
  <c r="CG1114" i="1" s="1"/>
  <c r="CH1114" i="1" s="1"/>
  <c r="CI1114" i="1" s="1"/>
  <c r="CF1098" i="1"/>
  <c r="CG1098" i="1" s="1"/>
  <c r="CH1098" i="1" s="1"/>
  <c r="CI1098" i="1" s="1"/>
  <c r="CH1007" i="1"/>
  <c r="CI1007" i="1" s="1"/>
  <c r="CF358" i="1"/>
  <c r="CG358" i="1" s="1"/>
  <c r="CH358" i="1" s="1"/>
  <c r="CI358" i="1" s="1"/>
  <c r="BX249" i="1"/>
  <c r="BY249" i="1" s="1"/>
  <c r="CB249" i="1" s="1"/>
  <c r="CC249" i="1" s="1"/>
  <c r="CF307" i="1"/>
  <c r="CG307" i="1" s="1"/>
  <c r="CH307" i="1" s="1"/>
  <c r="CI307" i="1" s="1"/>
  <c r="CF1081" i="1"/>
  <c r="CG1081" i="1" s="1"/>
  <c r="CH1081" i="1" s="1"/>
  <c r="CI1081" i="1" s="1"/>
  <c r="CF1049" i="1"/>
  <c r="CG1049" i="1" s="1"/>
  <c r="CH1049" i="1" s="1"/>
  <c r="CI1049" i="1" s="1"/>
  <c r="CB713" i="1"/>
  <c r="CC713" i="1" s="1"/>
  <c r="BX1161" i="1"/>
  <c r="BY1161" i="1" s="1"/>
  <c r="CB1161" i="1" s="1"/>
  <c r="BX1092" i="1"/>
  <c r="BY1092" i="1" s="1"/>
  <c r="CB1092" i="1" s="1"/>
  <c r="BX425" i="1"/>
  <c r="BY425" i="1" s="1"/>
  <c r="CB425" i="1" s="1"/>
  <c r="CC425" i="1" s="1"/>
  <c r="CB227" i="1"/>
  <c r="CC227" i="1" s="1"/>
  <c r="BX985" i="1"/>
  <c r="BY985" i="1" s="1"/>
  <c r="CB985" i="1" s="1"/>
  <c r="CC985" i="1" s="1"/>
  <c r="BX692" i="1"/>
  <c r="BY692" i="1" s="1"/>
  <c r="CB692" i="1" s="1"/>
  <c r="CF645" i="1"/>
  <c r="CG645" i="1" s="1"/>
  <c r="CH645" i="1" s="1"/>
  <c r="CI645" i="1" s="1"/>
  <c r="BX788" i="1"/>
  <c r="BY788" i="1" s="1"/>
  <c r="CB788" i="1" s="1"/>
  <c r="CC788" i="1" s="1"/>
  <c r="CF623" i="1"/>
  <c r="CG623" i="1" s="1"/>
  <c r="CH623" i="1" s="1"/>
  <c r="CI623" i="1" s="1"/>
  <c r="BX483" i="1"/>
  <c r="BY483" i="1" s="1"/>
  <c r="CB483" i="1" s="1"/>
  <c r="CC483" i="1" s="1"/>
  <c r="CB1113" i="1"/>
  <c r="CF337" i="1"/>
  <c r="CG337" i="1" s="1"/>
  <c r="CH337" i="1" s="1"/>
  <c r="CI337" i="1" s="1"/>
  <c r="BX889" i="1"/>
  <c r="BY889" i="1" s="1"/>
  <c r="CB889" i="1" s="1"/>
  <c r="CC889" i="1" s="1"/>
  <c r="CH953" i="1"/>
  <c r="CI953" i="1" s="1"/>
  <c r="CF1156" i="1"/>
  <c r="CG1156" i="1" s="1"/>
  <c r="CH1156" i="1" s="1"/>
  <c r="CI1156" i="1" s="1"/>
  <c r="CF1065" i="1"/>
  <c r="CG1065" i="1" s="1"/>
  <c r="CH1065" i="1" s="1"/>
  <c r="CI1065" i="1" s="1"/>
  <c r="CB1081" i="1"/>
  <c r="CC1081" i="1" s="1"/>
  <c r="BX932" i="1"/>
  <c r="BY932" i="1" s="1"/>
  <c r="CB932" i="1" s="1"/>
  <c r="CC932" i="1" s="1"/>
  <c r="BX740" i="1"/>
  <c r="BY740" i="1" s="1"/>
  <c r="CB740" i="1" s="1"/>
  <c r="CC740" i="1" s="1"/>
  <c r="CH777" i="1"/>
  <c r="CI777" i="1" s="1"/>
  <c r="BX724" i="1"/>
  <c r="BY724" i="1" s="1"/>
  <c r="CB724" i="1" s="1"/>
  <c r="CF644" i="1"/>
  <c r="CG644" i="1" s="1"/>
  <c r="CH644" i="1" s="1"/>
  <c r="CI644" i="1" s="1"/>
  <c r="CB645" i="1"/>
  <c r="CC645" i="1" s="1"/>
  <c r="CF279" i="1"/>
  <c r="CG279" i="1" s="1"/>
  <c r="CH279" i="1" s="1"/>
  <c r="CI279" i="1" s="1"/>
  <c r="BX1193" i="1"/>
  <c r="BY1193" i="1" s="1"/>
  <c r="CB1193" i="1" s="1"/>
  <c r="CC1193" i="1" s="1"/>
  <c r="BX1076" i="1"/>
  <c r="BY1076" i="1" s="1"/>
  <c r="CB1076" i="1" s="1"/>
  <c r="CB996" i="1"/>
  <c r="CC996" i="1" s="1"/>
  <c r="CF1044" i="1"/>
  <c r="CG1044" i="1" s="1"/>
  <c r="CH1044" i="1" s="1"/>
  <c r="CI1044" i="1" s="1"/>
  <c r="CF921" i="1"/>
  <c r="CG921" i="1" s="1"/>
  <c r="CH921" i="1" s="1"/>
  <c r="CI921" i="1" s="1"/>
  <c r="BX857" i="1"/>
  <c r="BY857" i="1" s="1"/>
  <c r="CB857" i="1" s="1"/>
  <c r="CH836" i="1"/>
  <c r="CI836" i="1" s="1"/>
  <c r="CF916" i="1"/>
  <c r="CG916" i="1" s="1"/>
  <c r="CH916" i="1" s="1"/>
  <c r="BX937" i="1"/>
  <c r="BY937" i="1" s="1"/>
  <c r="CB937" i="1" s="1"/>
  <c r="CC937" i="1" s="1"/>
  <c r="CF660" i="1"/>
  <c r="CG660" i="1" s="1"/>
  <c r="CH660" i="1" s="1"/>
  <c r="CI660" i="1" s="1"/>
  <c r="CF401" i="1"/>
  <c r="CG401" i="1" s="1"/>
  <c r="CH401" i="1" s="1"/>
  <c r="CI401" i="1" s="1"/>
  <c r="CF531" i="1"/>
  <c r="CG531" i="1" s="1"/>
  <c r="CH531" i="1" s="1"/>
  <c r="BX515" i="1"/>
  <c r="BY515" i="1" s="1"/>
  <c r="CB515" i="1" s="1"/>
  <c r="CF499" i="1"/>
  <c r="CG499" i="1" s="1"/>
  <c r="CH499" i="1" s="1"/>
  <c r="CF395" i="1"/>
  <c r="CG395" i="1" s="1"/>
  <c r="CH395" i="1" s="1"/>
  <c r="CI395" i="1" s="1"/>
  <c r="AU943" i="1"/>
  <c r="BX884" i="1"/>
  <c r="BY884" i="1" s="1"/>
  <c r="CB884" i="1" s="1"/>
  <c r="CC884" i="1" s="1"/>
  <c r="BX777" i="1"/>
  <c r="BY777" i="1" s="1"/>
  <c r="CB777" i="1" s="1"/>
  <c r="CC777" i="1" s="1"/>
  <c r="CF580" i="1"/>
  <c r="CG580" i="1" s="1"/>
  <c r="CH580" i="1" s="1"/>
  <c r="CI580" i="1" s="1"/>
  <c r="CF569" i="1"/>
  <c r="CG569" i="1" s="1"/>
  <c r="CH569" i="1" s="1"/>
  <c r="CI569" i="1" s="1"/>
  <c r="CF267" i="1"/>
  <c r="CG267" i="1" s="1"/>
  <c r="CH267" i="1" s="1"/>
  <c r="CI267" i="1" s="1"/>
  <c r="CB195" i="1"/>
  <c r="CC195" i="1" s="1"/>
  <c r="CF1145" i="1"/>
  <c r="CG1145" i="1" s="1"/>
  <c r="CH1145" i="1" s="1"/>
  <c r="CI1145" i="1" s="1"/>
  <c r="CF1172" i="1"/>
  <c r="CG1172" i="1" s="1"/>
  <c r="CH1172" i="1" s="1"/>
  <c r="CI1172" i="1" s="1"/>
  <c r="CF1028" i="1"/>
  <c r="CG1028" i="1" s="1"/>
  <c r="CH1028" i="1" s="1"/>
  <c r="CB900" i="1"/>
  <c r="CC900" i="1" s="1"/>
  <c r="CH937" i="1"/>
  <c r="CI937" i="1" s="1"/>
  <c r="BX873" i="1"/>
  <c r="BY873" i="1" s="1"/>
  <c r="CB873" i="1" s="1"/>
  <c r="CF852" i="1"/>
  <c r="CG852" i="1" s="1"/>
  <c r="CH852" i="1" s="1"/>
  <c r="BX675" i="1"/>
  <c r="BY675" i="1" s="1"/>
  <c r="CB675" i="1" s="1"/>
  <c r="CC675" i="1" s="1"/>
  <c r="CF691" i="1"/>
  <c r="CG691" i="1" s="1"/>
  <c r="CH691" i="1" s="1"/>
  <c r="BX451" i="1"/>
  <c r="BY451" i="1" s="1"/>
  <c r="CB451" i="1" s="1"/>
  <c r="CC451" i="1" s="1"/>
  <c r="CB580" i="1"/>
  <c r="CC580" i="1" s="1"/>
  <c r="BX371" i="1"/>
  <c r="BY371" i="1" s="1"/>
  <c r="CB371" i="1" s="1"/>
  <c r="CC371" i="1" s="1"/>
  <c r="CH40" i="1"/>
  <c r="CI40" i="1" s="1"/>
  <c r="AU316" i="1"/>
  <c r="CF948" i="1"/>
  <c r="CG948" i="1" s="1"/>
  <c r="CH948" i="1" s="1"/>
  <c r="CB905" i="1"/>
  <c r="CC905" i="1" s="1"/>
  <c r="BX676" i="1"/>
  <c r="BY676" i="1" s="1"/>
  <c r="CB676" i="1" s="1"/>
  <c r="CC676" i="1" s="1"/>
  <c r="CH761" i="1"/>
  <c r="CI761" i="1" s="1"/>
  <c r="CH772" i="1"/>
  <c r="CI772" i="1" s="1"/>
  <c r="CF219" i="1"/>
  <c r="CG219" i="1" s="1"/>
  <c r="CH219" i="1" s="1"/>
  <c r="CI219" i="1" s="1"/>
  <c r="CH1177" i="1"/>
  <c r="CH1193" i="1"/>
  <c r="CI1193" i="1" s="1"/>
  <c r="CF996" i="1"/>
  <c r="CG996" i="1" s="1"/>
  <c r="CH996" i="1" s="1"/>
  <c r="CI996" i="1" s="1"/>
  <c r="BX825" i="1"/>
  <c r="BY825" i="1" s="1"/>
  <c r="CB825" i="1" s="1"/>
  <c r="CC825" i="1" s="1"/>
  <c r="CH873" i="1"/>
  <c r="CF820" i="1"/>
  <c r="CG820" i="1" s="1"/>
  <c r="CH820" i="1" s="1"/>
  <c r="CI820" i="1" s="1"/>
  <c r="CF612" i="1"/>
  <c r="CG612" i="1" s="1"/>
  <c r="CH612" i="1" s="1"/>
  <c r="CF343" i="1"/>
  <c r="CG343" i="1" s="1"/>
  <c r="CH343" i="1" s="1"/>
  <c r="CI343" i="1" s="1"/>
  <c r="CH371" i="1"/>
  <c r="CI371" i="1" s="1"/>
  <c r="CH157" i="1"/>
  <c r="CI157" i="1" s="1"/>
  <c r="CH7" i="1"/>
  <c r="CI7" i="1" s="1"/>
  <c r="CH533" i="1"/>
  <c r="CI533" i="1" s="1"/>
  <c r="AV1149" i="1"/>
  <c r="AU982" i="1"/>
  <c r="AU271" i="1"/>
  <c r="AV100" i="1"/>
  <c r="BX1001" i="1"/>
  <c r="BY1001" i="1" s="1"/>
  <c r="CB1001" i="1" s="1"/>
  <c r="CC1001" i="1" s="1"/>
  <c r="CF905" i="1"/>
  <c r="CG905" i="1" s="1"/>
  <c r="CH905" i="1" s="1"/>
  <c r="CI905" i="1" s="1"/>
  <c r="CF804" i="1"/>
  <c r="CG804" i="1" s="1"/>
  <c r="CH804" i="1" s="1"/>
  <c r="BX761" i="1"/>
  <c r="BY761" i="1" s="1"/>
  <c r="CB761" i="1" s="1"/>
  <c r="CC761" i="1" s="1"/>
  <c r="BX708" i="1"/>
  <c r="BY708" i="1" s="1"/>
  <c r="CB708" i="1" s="1"/>
  <c r="CC708" i="1" s="1"/>
  <c r="CH745" i="1"/>
  <c r="CI745" i="1" s="1"/>
  <c r="BX772" i="1"/>
  <c r="BY772" i="1" s="1"/>
  <c r="CB772" i="1" s="1"/>
  <c r="CC772" i="1" s="1"/>
  <c r="CJ772" i="1" s="1"/>
  <c r="BD772" i="1" s="1"/>
  <c r="CF560" i="1"/>
  <c r="CG560" i="1" s="1"/>
  <c r="CH560" i="1" s="1"/>
  <c r="CI560" i="1" s="1"/>
  <c r="CB219" i="1"/>
  <c r="CC219" i="1" s="1"/>
  <c r="CH13" i="1"/>
  <c r="CI13" i="1" s="1"/>
  <c r="CF1124" i="1"/>
  <c r="CG1124" i="1" s="1"/>
  <c r="CH1124" i="1" s="1"/>
  <c r="CF1140" i="1"/>
  <c r="CG1140" i="1" s="1"/>
  <c r="CH1140" i="1" s="1"/>
  <c r="CI1140" i="1" s="1"/>
  <c r="BX809" i="1"/>
  <c r="BY809" i="1" s="1"/>
  <c r="CB809" i="1" s="1"/>
  <c r="CF868" i="1"/>
  <c r="CG868" i="1" s="1"/>
  <c r="CH868" i="1" s="1"/>
  <c r="CI868" i="1" s="1"/>
  <c r="CF756" i="1"/>
  <c r="CG756" i="1" s="1"/>
  <c r="CH756" i="1" s="1"/>
  <c r="BX841" i="1"/>
  <c r="BY841" i="1" s="1"/>
  <c r="CB841" i="1" s="1"/>
  <c r="CF659" i="1"/>
  <c r="CG659" i="1" s="1"/>
  <c r="CH659" i="1" s="1"/>
  <c r="CI659" i="1" s="1"/>
  <c r="CJ659" i="1" s="1"/>
  <c r="BD659" i="1" s="1"/>
  <c r="CF467" i="1"/>
  <c r="CG467" i="1" s="1"/>
  <c r="CH467" i="1" s="1"/>
  <c r="CI467" i="1" s="1"/>
  <c r="CB331" i="1"/>
  <c r="CC331" i="1" s="1"/>
  <c r="CB897" i="1"/>
  <c r="CC897" i="1" s="1"/>
  <c r="AU361" i="1"/>
  <c r="CF1097" i="1"/>
  <c r="CG1097" i="1" s="1"/>
  <c r="CH1097" i="1" s="1"/>
  <c r="CI1097" i="1" s="1"/>
  <c r="BX1017" i="1"/>
  <c r="BY1017" i="1" s="1"/>
  <c r="CB1017" i="1" s="1"/>
  <c r="CC1017" i="1" s="1"/>
  <c r="CH1033" i="1"/>
  <c r="CI1033" i="1" s="1"/>
  <c r="BX745" i="1"/>
  <c r="BY745" i="1" s="1"/>
  <c r="CB745" i="1" s="1"/>
  <c r="CC745" i="1" s="1"/>
  <c r="CB506" i="1"/>
  <c r="CC506" i="1" s="1"/>
  <c r="CF318" i="1"/>
  <c r="CG318" i="1" s="1"/>
  <c r="CH318" i="1" s="1"/>
  <c r="CI318" i="1" s="1"/>
  <c r="BX1108" i="1"/>
  <c r="BY1108" i="1" s="1"/>
  <c r="CB1108" i="1" s="1"/>
  <c r="CC1108" i="1" s="1"/>
  <c r="CB1156" i="1"/>
  <c r="CC1156" i="1" s="1"/>
  <c r="CJ1156" i="1" s="1"/>
  <c r="BD1156" i="1" s="1"/>
  <c r="CF1129" i="1"/>
  <c r="CG1129" i="1" s="1"/>
  <c r="CH1129" i="1" s="1"/>
  <c r="CF964" i="1"/>
  <c r="CG964" i="1" s="1"/>
  <c r="CH964" i="1" s="1"/>
  <c r="CI964" i="1" s="1"/>
  <c r="BX793" i="1"/>
  <c r="BY793" i="1" s="1"/>
  <c r="CB793" i="1" s="1"/>
  <c r="CC793" i="1" s="1"/>
  <c r="BX729" i="1"/>
  <c r="BY729" i="1" s="1"/>
  <c r="CB729" i="1" s="1"/>
  <c r="CC729" i="1" s="1"/>
  <c r="CF547" i="1"/>
  <c r="CG547" i="1" s="1"/>
  <c r="CH547" i="1" s="1"/>
  <c r="CI547" i="1" s="1"/>
  <c r="CF435" i="1"/>
  <c r="CG435" i="1" s="1"/>
  <c r="CH435" i="1" s="1"/>
  <c r="CI435" i="1" s="1"/>
  <c r="CH75" i="1"/>
  <c r="AU700" i="1"/>
  <c r="AV835" i="1"/>
  <c r="AV666" i="1"/>
  <c r="AV460" i="1"/>
  <c r="BX1188" i="1"/>
  <c r="BY1188" i="1" s="1"/>
  <c r="CB1188" i="1" s="1"/>
  <c r="CC1188" i="1" s="1"/>
  <c r="CB1097" i="1"/>
  <c r="CC1097" i="1" s="1"/>
  <c r="CF1060" i="1"/>
  <c r="CG1060" i="1" s="1"/>
  <c r="CH1060" i="1" s="1"/>
  <c r="CI1060" i="1" s="1"/>
  <c r="BX1033" i="1"/>
  <c r="BY1033" i="1" s="1"/>
  <c r="CB1033" i="1" s="1"/>
  <c r="CC1033" i="1" s="1"/>
  <c r="BX836" i="1"/>
  <c r="BY836" i="1" s="1"/>
  <c r="CB836" i="1" s="1"/>
  <c r="CC836" i="1" s="1"/>
  <c r="CJ836" i="1" s="1"/>
  <c r="BD836" i="1" s="1"/>
  <c r="CF243" i="1"/>
  <c r="CG243" i="1" s="1"/>
  <c r="CH243" i="1" s="1"/>
  <c r="CI243" i="1" s="1"/>
  <c r="BX1177" i="1"/>
  <c r="BY1177" i="1" s="1"/>
  <c r="CB1177" i="1" s="1"/>
  <c r="BX980" i="1"/>
  <c r="BY980" i="1" s="1"/>
  <c r="CB980" i="1" s="1"/>
  <c r="CC980" i="1" s="1"/>
  <c r="BX1012" i="1"/>
  <c r="BY1012" i="1" s="1"/>
  <c r="CB1012" i="1" s="1"/>
  <c r="CC1012" i="1" s="1"/>
  <c r="CF585" i="1"/>
  <c r="CG585" i="1" s="1"/>
  <c r="CH585" i="1" s="1"/>
  <c r="CI585" i="1" s="1"/>
  <c r="AV1067" i="1"/>
  <c r="AV953" i="1"/>
  <c r="CF1113" i="1"/>
  <c r="CG1113" i="1" s="1"/>
  <c r="CH1113" i="1" s="1"/>
  <c r="BX953" i="1"/>
  <c r="BY953" i="1" s="1"/>
  <c r="CB953" i="1" s="1"/>
  <c r="CC953" i="1" s="1"/>
  <c r="CH889" i="1"/>
  <c r="CI889" i="1" s="1"/>
  <c r="CF713" i="1"/>
  <c r="CG713" i="1" s="1"/>
  <c r="CH713" i="1" s="1"/>
  <c r="CI713" i="1" s="1"/>
  <c r="CH515" i="1"/>
  <c r="CB243" i="1"/>
  <c r="CC243" i="1" s="1"/>
  <c r="CF195" i="1"/>
  <c r="CG195" i="1" s="1"/>
  <c r="CH195" i="1" s="1"/>
  <c r="CI195" i="1" s="1"/>
  <c r="CF227" i="1"/>
  <c r="CG227" i="1" s="1"/>
  <c r="CH227" i="1" s="1"/>
  <c r="CI227" i="1" s="1"/>
  <c r="CH1017" i="1"/>
  <c r="CI1017" i="1" s="1"/>
  <c r="CH1001" i="1"/>
  <c r="CI1001" i="1" s="1"/>
  <c r="CH1012" i="1"/>
  <c r="CI1012" i="1" s="1"/>
  <c r="CF900" i="1"/>
  <c r="CG900" i="1" s="1"/>
  <c r="CH900" i="1" s="1"/>
  <c r="CI900" i="1" s="1"/>
  <c r="CH729" i="1"/>
  <c r="CI729" i="1" s="1"/>
  <c r="CF628" i="1"/>
  <c r="CG628" i="1" s="1"/>
  <c r="CH628" i="1" s="1"/>
  <c r="CI628" i="1" s="1"/>
  <c r="CH525" i="1"/>
  <c r="CI525" i="1" s="1"/>
  <c r="CF682" i="1"/>
  <c r="CG682" i="1" s="1"/>
  <c r="CH682" i="1" s="1"/>
  <c r="CI682" i="1" s="1"/>
  <c r="CF650" i="1"/>
  <c r="CG650" i="1" s="1"/>
  <c r="CH650" i="1" s="1"/>
  <c r="CI650" i="1" s="1"/>
  <c r="BX591" i="1"/>
  <c r="BY591" i="1" s="1"/>
  <c r="CB591" i="1" s="1"/>
  <c r="CC591" i="1" s="1"/>
  <c r="CF489" i="1"/>
  <c r="CG489" i="1" s="1"/>
  <c r="CH489" i="1" s="1"/>
  <c r="CI489" i="1" s="1"/>
  <c r="AV1197" i="1"/>
  <c r="CB863" i="1"/>
  <c r="CC863" i="1" s="1"/>
  <c r="CB681" i="1"/>
  <c r="CC681" i="1" s="1"/>
  <c r="BX1055" i="1"/>
  <c r="BY1055" i="1" s="1"/>
  <c r="CB1055" i="1" s="1"/>
  <c r="CB666" i="1"/>
  <c r="BX746" i="1"/>
  <c r="BY746" i="1" s="1"/>
  <c r="CB746" i="1" s="1"/>
  <c r="CC746" i="1" s="1"/>
  <c r="BX1007" i="1"/>
  <c r="BY1007" i="1" s="1"/>
  <c r="CB1007" i="1" s="1"/>
  <c r="CC1007" i="1" s="1"/>
  <c r="CF906" i="1"/>
  <c r="CG906" i="1" s="1"/>
  <c r="CH906" i="1" s="1"/>
  <c r="BX879" i="1"/>
  <c r="BY879" i="1" s="1"/>
  <c r="CB879" i="1" s="1"/>
  <c r="CC879" i="1" s="1"/>
  <c r="CF794" i="1"/>
  <c r="CG794" i="1" s="1"/>
  <c r="CH794" i="1" s="1"/>
  <c r="BX826" i="1"/>
  <c r="BY826" i="1" s="1"/>
  <c r="CB826" i="1" s="1"/>
  <c r="BX858" i="1"/>
  <c r="BY858" i="1" s="1"/>
  <c r="CB858" i="1" s="1"/>
  <c r="CC858" i="1" s="1"/>
  <c r="BX815" i="1"/>
  <c r="BY815" i="1" s="1"/>
  <c r="CB815" i="1" s="1"/>
  <c r="CC815" i="1" s="1"/>
  <c r="CF799" i="1"/>
  <c r="CG799" i="1" s="1"/>
  <c r="CH799" i="1" s="1"/>
  <c r="BX634" i="1"/>
  <c r="BY634" i="1" s="1"/>
  <c r="CB634" i="1" s="1"/>
  <c r="CC634" i="1" s="1"/>
  <c r="BX602" i="1"/>
  <c r="BY602" i="1" s="1"/>
  <c r="CB602" i="1" s="1"/>
  <c r="CC602" i="1" s="1"/>
  <c r="CF730" i="1"/>
  <c r="CG730" i="1" s="1"/>
  <c r="CH730" i="1" s="1"/>
  <c r="CI730" i="1" s="1"/>
  <c r="CH549" i="1"/>
  <c r="CI549" i="1" s="1"/>
  <c r="AU164" i="1"/>
  <c r="CF810" i="1"/>
  <c r="CG810" i="1" s="1"/>
  <c r="CH810" i="1" s="1"/>
  <c r="CI810" i="1" s="1"/>
  <c r="BX1039" i="1"/>
  <c r="BY1039" i="1" s="1"/>
  <c r="CB1039" i="1" s="1"/>
  <c r="CC1039" i="1" s="1"/>
  <c r="BX778" i="1"/>
  <c r="BY778" i="1" s="1"/>
  <c r="CB778" i="1" s="1"/>
  <c r="CC778" i="1" s="1"/>
  <c r="CF714" i="1"/>
  <c r="CG714" i="1" s="1"/>
  <c r="CH714" i="1" s="1"/>
  <c r="CI714" i="1" s="1"/>
  <c r="CB523" i="1"/>
  <c r="CC523" i="1" s="1"/>
  <c r="BX1103" i="1"/>
  <c r="BY1103" i="1" s="1"/>
  <c r="CB1103" i="1" s="1"/>
  <c r="CC1103" i="1" s="1"/>
  <c r="BX975" i="1"/>
  <c r="BY975" i="1" s="1"/>
  <c r="CB975" i="1" s="1"/>
  <c r="CC975" i="1" s="1"/>
  <c r="CB847" i="1"/>
  <c r="CF735" i="1"/>
  <c r="CG735" i="1" s="1"/>
  <c r="CH735" i="1" s="1"/>
  <c r="CI735" i="1" s="1"/>
  <c r="CF783" i="1"/>
  <c r="CG783" i="1" s="1"/>
  <c r="CH783" i="1" s="1"/>
  <c r="CF666" i="1"/>
  <c r="CG666" i="1" s="1"/>
  <c r="CH666" i="1" s="1"/>
  <c r="CH113" i="1"/>
  <c r="CI113" i="1" s="1"/>
  <c r="BX313" i="1"/>
  <c r="BY313" i="1" s="1"/>
  <c r="CB313" i="1" s="1"/>
  <c r="CC313" i="1" s="1"/>
  <c r="CF181" i="1"/>
  <c r="CG181" i="1" s="1"/>
  <c r="CH181" i="1" s="1"/>
  <c r="CI181" i="1" s="1"/>
  <c r="CF205" i="1"/>
  <c r="CG205" i="1" s="1"/>
  <c r="CH205" i="1" s="1"/>
  <c r="CI205" i="1" s="1"/>
  <c r="AV957" i="1"/>
  <c r="CF575" i="1"/>
  <c r="CG575" i="1" s="1"/>
  <c r="CH575" i="1" s="1"/>
  <c r="CI575" i="1" s="1"/>
  <c r="BX767" i="1"/>
  <c r="BY767" i="1" s="1"/>
  <c r="CB767" i="1" s="1"/>
  <c r="BX415" i="1"/>
  <c r="BY415" i="1" s="1"/>
  <c r="CB415" i="1" s="1"/>
  <c r="CC415" i="1" s="1"/>
  <c r="CF629" i="1"/>
  <c r="CG629" i="1" s="1"/>
  <c r="CH629" i="1" s="1"/>
  <c r="CI629" i="1" s="1"/>
  <c r="CF389" i="1"/>
  <c r="CG389" i="1" s="1"/>
  <c r="CH389" i="1" s="1"/>
  <c r="CI389" i="1" s="1"/>
  <c r="BX349" i="1"/>
  <c r="BY349" i="1" s="1"/>
  <c r="CB349" i="1" s="1"/>
  <c r="CC349" i="1" s="1"/>
  <c r="BX553" i="1"/>
  <c r="BY553" i="1" s="1"/>
  <c r="CB553" i="1" s="1"/>
  <c r="CF505" i="1"/>
  <c r="CG505" i="1" s="1"/>
  <c r="CH505" i="1" s="1"/>
  <c r="CI505" i="1" s="1"/>
  <c r="BX911" i="1"/>
  <c r="BY911" i="1" s="1"/>
  <c r="CB911" i="1" s="1"/>
  <c r="CC911" i="1" s="1"/>
  <c r="CH911" i="1"/>
  <c r="CI911" i="1" s="1"/>
  <c r="BX1071" i="1"/>
  <c r="BY1071" i="1" s="1"/>
  <c r="CB1071" i="1" s="1"/>
  <c r="CC1071" i="1" s="1"/>
  <c r="BX607" i="1"/>
  <c r="BY607" i="1" s="1"/>
  <c r="CB607" i="1" s="1"/>
  <c r="CC607" i="1" s="1"/>
  <c r="CB723" i="1"/>
  <c r="CC723" i="1" s="1"/>
  <c r="AV1030" i="1"/>
  <c r="AU1147" i="1"/>
  <c r="CB512" i="1"/>
  <c r="CC512" i="1" s="1"/>
  <c r="BX525" i="1"/>
  <c r="BY525" i="1" s="1"/>
  <c r="CB525" i="1" s="1"/>
  <c r="CC525" i="1" s="1"/>
  <c r="CF1091" i="1"/>
  <c r="CG1091" i="1" s="1"/>
  <c r="CH1091" i="1" s="1"/>
  <c r="AU718" i="1"/>
  <c r="AV616" i="1"/>
  <c r="CF1155" i="1"/>
  <c r="CG1155" i="1" s="1"/>
  <c r="CH1155" i="1" s="1"/>
  <c r="CH171" i="1"/>
  <c r="CI171" i="1" s="1"/>
  <c r="CH1123" i="1"/>
  <c r="CI1123" i="1" s="1"/>
  <c r="AU332" i="1"/>
  <c r="BX365" i="1"/>
  <c r="BY365" i="1" s="1"/>
  <c r="CB365" i="1" s="1"/>
  <c r="BX1075" i="1"/>
  <c r="BY1075" i="1" s="1"/>
  <c r="CB1075" i="1" s="1"/>
  <c r="CC1075" i="1" s="1"/>
  <c r="BX963" i="1"/>
  <c r="BY963" i="1" s="1"/>
  <c r="CB963" i="1" s="1"/>
  <c r="CC963" i="1" s="1"/>
  <c r="CF261" i="1"/>
  <c r="CG261" i="1" s="1"/>
  <c r="CH261" i="1" s="1"/>
  <c r="CI261" i="1" s="1"/>
  <c r="AU1161" i="1"/>
  <c r="CB653" i="1"/>
  <c r="CC653" i="1" s="1"/>
  <c r="BX563" i="1"/>
  <c r="BY563" i="1" s="1"/>
  <c r="CB563" i="1" s="1"/>
  <c r="CC563" i="1" s="1"/>
  <c r="BX979" i="1"/>
  <c r="BY979" i="1" s="1"/>
  <c r="CB979" i="1" s="1"/>
  <c r="CC979" i="1" s="1"/>
  <c r="BX995" i="1"/>
  <c r="BY995" i="1" s="1"/>
  <c r="CB995" i="1" s="1"/>
  <c r="CC995" i="1" s="1"/>
  <c r="BX1059" i="1"/>
  <c r="BY1059" i="1" s="1"/>
  <c r="CB1059" i="1" s="1"/>
  <c r="BX419" i="1"/>
  <c r="BY419" i="1" s="1"/>
  <c r="CB419" i="1" s="1"/>
  <c r="CC419" i="1" s="1"/>
  <c r="CF325" i="1"/>
  <c r="CG325" i="1" s="1"/>
  <c r="CH325" i="1" s="1"/>
  <c r="CI325" i="1" s="1"/>
  <c r="AU572" i="1"/>
  <c r="BX493" i="1"/>
  <c r="BY493" i="1" s="1"/>
  <c r="CB493" i="1" s="1"/>
  <c r="CC493" i="1" s="1"/>
  <c r="CB6" i="1"/>
  <c r="AU580" i="1"/>
  <c r="AV364" i="1"/>
  <c r="CH995" i="1"/>
  <c r="CI995" i="1" s="1"/>
  <c r="CF295" i="1"/>
  <c r="CG295" i="1" s="1"/>
  <c r="CH295" i="1" s="1"/>
  <c r="CI295" i="1" s="1"/>
  <c r="CH915" i="1"/>
  <c r="CI915" i="1" s="1"/>
  <c r="BX579" i="1"/>
  <c r="BY579" i="1" s="1"/>
  <c r="CB579" i="1" s="1"/>
  <c r="CC579" i="1" s="1"/>
  <c r="CF557" i="1"/>
  <c r="CG557" i="1" s="1"/>
  <c r="CH557" i="1" s="1"/>
  <c r="CI557" i="1" s="1"/>
  <c r="BX617" i="1"/>
  <c r="BY617" i="1" s="1"/>
  <c r="CB617" i="1" s="1"/>
  <c r="CC617" i="1" s="1"/>
  <c r="CF289" i="1"/>
  <c r="CG289" i="1" s="1"/>
  <c r="CH289" i="1" s="1"/>
  <c r="CI289" i="1" s="1"/>
  <c r="AV470" i="1"/>
  <c r="CB464" i="1"/>
  <c r="CC464" i="1" s="1"/>
  <c r="AU193" i="1"/>
  <c r="BX1187" i="1"/>
  <c r="BY1187" i="1" s="1"/>
  <c r="CB1187" i="1" s="1"/>
  <c r="CC1187" i="1" s="1"/>
  <c r="CF1171" i="1"/>
  <c r="CG1171" i="1" s="1"/>
  <c r="CH1171" i="1" s="1"/>
  <c r="CI1171" i="1" s="1"/>
  <c r="BX1107" i="1"/>
  <c r="BY1107" i="1" s="1"/>
  <c r="CB1107" i="1" s="1"/>
  <c r="CC1107" i="1" s="1"/>
  <c r="BX1027" i="1"/>
  <c r="BY1027" i="1" s="1"/>
  <c r="CB1027" i="1" s="1"/>
  <c r="CC1027" i="1" s="1"/>
  <c r="CF851" i="1"/>
  <c r="CG851" i="1" s="1"/>
  <c r="CH851" i="1" s="1"/>
  <c r="CF798" i="1"/>
  <c r="CG798" i="1" s="1"/>
  <c r="CH798" i="1" s="1"/>
  <c r="CI798" i="1" s="1"/>
  <c r="CF701" i="1"/>
  <c r="CG701" i="1" s="1"/>
  <c r="CH701" i="1" s="1"/>
  <c r="CI701" i="1" s="1"/>
  <c r="CF477" i="1"/>
  <c r="CG477" i="1" s="1"/>
  <c r="CH477" i="1" s="1"/>
  <c r="CB237" i="1"/>
  <c r="CC237" i="1" s="1"/>
  <c r="BX819" i="1"/>
  <c r="BY819" i="1" s="1"/>
  <c r="CB819" i="1" s="1"/>
  <c r="CF707" i="1"/>
  <c r="CG707" i="1" s="1"/>
  <c r="CH707" i="1" s="1"/>
  <c r="CI707" i="1" s="1"/>
  <c r="CF611" i="1"/>
  <c r="CG611" i="1" s="1"/>
  <c r="CH611" i="1" s="1"/>
  <c r="CI611" i="1" s="1"/>
  <c r="BX407" i="1"/>
  <c r="BY407" i="1" s="1"/>
  <c r="CB407" i="1" s="1"/>
  <c r="CC407" i="1" s="1"/>
  <c r="BX253" i="1"/>
  <c r="BY253" i="1" s="1"/>
  <c r="CB253" i="1" s="1"/>
  <c r="CC253" i="1" s="1"/>
  <c r="AV1090" i="1"/>
  <c r="CF1139" i="1"/>
  <c r="CG1139" i="1" s="1"/>
  <c r="CH1139" i="1" s="1"/>
  <c r="CI1139" i="1" s="1"/>
  <c r="CF1011" i="1"/>
  <c r="CG1011" i="1" s="1"/>
  <c r="CH1011" i="1" s="1"/>
  <c r="CI1011" i="1" s="1"/>
  <c r="BX915" i="1"/>
  <c r="BY915" i="1" s="1"/>
  <c r="CB915" i="1" s="1"/>
  <c r="CC915" i="1" s="1"/>
  <c r="CB851" i="1"/>
  <c r="CF803" i="1"/>
  <c r="CG803" i="1" s="1"/>
  <c r="CH803" i="1" s="1"/>
  <c r="CI803" i="1" s="1"/>
  <c r="CF867" i="1"/>
  <c r="CG867" i="1" s="1"/>
  <c r="CH867" i="1" s="1"/>
  <c r="CI867" i="1" s="1"/>
  <c r="CB701" i="1"/>
  <c r="CC701" i="1" s="1"/>
  <c r="CF638" i="1"/>
  <c r="CG638" i="1" s="1"/>
  <c r="CH638" i="1" s="1"/>
  <c r="CI638" i="1" s="1"/>
  <c r="BX461" i="1"/>
  <c r="BY461" i="1" s="1"/>
  <c r="CB461" i="1" s="1"/>
  <c r="CC461" i="1" s="1"/>
  <c r="CH77" i="1"/>
  <c r="BX1123" i="1"/>
  <c r="BY1123" i="1" s="1"/>
  <c r="CB1123" i="1" s="1"/>
  <c r="CC1123" i="1" s="1"/>
  <c r="BX1043" i="1"/>
  <c r="BY1043" i="1" s="1"/>
  <c r="CB1043" i="1" s="1"/>
  <c r="CC1043" i="1" s="1"/>
  <c r="CF931" i="1"/>
  <c r="CG931" i="1" s="1"/>
  <c r="CH931" i="1" s="1"/>
  <c r="CI931" i="1" s="1"/>
  <c r="CH1027" i="1"/>
  <c r="CI1027" i="1" s="1"/>
  <c r="CF723" i="1"/>
  <c r="CG723" i="1" s="1"/>
  <c r="CH723" i="1" s="1"/>
  <c r="CI723" i="1" s="1"/>
  <c r="CB420" i="1"/>
  <c r="CC420" i="1" s="1"/>
  <c r="CB1011" i="1"/>
  <c r="CC1011" i="1" s="1"/>
  <c r="BX947" i="1"/>
  <c r="BY947" i="1" s="1"/>
  <c r="CB947" i="1" s="1"/>
  <c r="CC947" i="1" s="1"/>
  <c r="CH883" i="1"/>
  <c r="CF669" i="1"/>
  <c r="CG669" i="1" s="1"/>
  <c r="CH669" i="1" s="1"/>
  <c r="CI669" i="1" s="1"/>
  <c r="BX445" i="1"/>
  <c r="BY445" i="1" s="1"/>
  <c r="CB445" i="1" s="1"/>
  <c r="CC445" i="1" s="1"/>
  <c r="CF237" i="1"/>
  <c r="CG237" i="1" s="1"/>
  <c r="CH237" i="1" s="1"/>
  <c r="CI237" i="1" s="1"/>
  <c r="CH155" i="1"/>
  <c r="CI155" i="1" s="1"/>
  <c r="CF899" i="1"/>
  <c r="CG899" i="1" s="1"/>
  <c r="CH899" i="1" s="1"/>
  <c r="CI899" i="1" s="1"/>
  <c r="BX835" i="1"/>
  <c r="BY835" i="1" s="1"/>
  <c r="CB835" i="1" s="1"/>
  <c r="CC835" i="1" s="1"/>
  <c r="CF787" i="1"/>
  <c r="CG787" i="1" s="1"/>
  <c r="CH787" i="1" s="1"/>
  <c r="CI787" i="1" s="1"/>
  <c r="CF830" i="1"/>
  <c r="CG830" i="1" s="1"/>
  <c r="CH830" i="1" s="1"/>
  <c r="CI830" i="1" s="1"/>
  <c r="BX883" i="1"/>
  <c r="BY883" i="1" s="1"/>
  <c r="CB883" i="1" s="1"/>
  <c r="CB669" i="1"/>
  <c r="CC669" i="1" s="1"/>
  <c r="CF685" i="1"/>
  <c r="CG685" i="1" s="1"/>
  <c r="CH685" i="1" s="1"/>
  <c r="CI685" i="1" s="1"/>
  <c r="BX595" i="1"/>
  <c r="BY595" i="1" s="1"/>
  <c r="CB595" i="1" s="1"/>
  <c r="CC595" i="1" s="1"/>
  <c r="CF1166" i="1"/>
  <c r="CG1166" i="1" s="1"/>
  <c r="CH1166" i="1" s="1"/>
  <c r="CI1166" i="1" s="1"/>
  <c r="BX509" i="1"/>
  <c r="BY509" i="1" s="1"/>
  <c r="CB509" i="1" s="1"/>
  <c r="CC509" i="1" s="1"/>
  <c r="CH109" i="1"/>
  <c r="AU1201" i="1"/>
  <c r="CH334" i="1"/>
  <c r="CI334" i="1" s="1"/>
  <c r="AU345" i="1"/>
  <c r="AU351" i="1"/>
  <c r="AU482" i="1"/>
  <c r="CB685" i="1"/>
  <c r="CC685" i="1" s="1"/>
  <c r="BX639" i="1"/>
  <c r="BY639" i="1" s="1"/>
  <c r="CB639" i="1" s="1"/>
  <c r="CC639" i="1" s="1"/>
  <c r="CB337" i="1"/>
  <c r="CC337" i="1" s="1"/>
  <c r="BX187" i="1"/>
  <c r="BY187" i="1" s="1"/>
  <c r="CB187" i="1" s="1"/>
  <c r="CC187" i="1" s="1"/>
  <c r="CJ187" i="1" s="1"/>
  <c r="BD187" i="1" s="1"/>
  <c r="BX1150" i="1"/>
  <c r="BY1150" i="1" s="1"/>
  <c r="CB1150" i="1" s="1"/>
  <c r="CC1150" i="1" s="1"/>
  <c r="BX541" i="1"/>
  <c r="BY541" i="1" s="1"/>
  <c r="CB541" i="1" s="1"/>
  <c r="CC541" i="1" s="1"/>
  <c r="CJ541" i="1" s="1"/>
  <c r="BD541" i="1" s="1"/>
  <c r="CB557" i="1"/>
  <c r="CC557" i="1" s="1"/>
  <c r="BX213" i="1"/>
  <c r="BY213" i="1" s="1"/>
  <c r="CB213" i="1" s="1"/>
  <c r="CB4" i="1"/>
  <c r="CB340" i="1"/>
  <c r="CC340" i="1" s="1"/>
  <c r="BX1134" i="1"/>
  <c r="BY1134" i="1" s="1"/>
  <c r="CB1134" i="1" s="1"/>
  <c r="CC1134" i="1" s="1"/>
  <c r="CB899" i="1"/>
  <c r="CC899" i="1" s="1"/>
  <c r="CF653" i="1"/>
  <c r="CG653" i="1" s="1"/>
  <c r="CH653" i="1" s="1"/>
  <c r="CI653" i="1" s="1"/>
  <c r="CF739" i="1"/>
  <c r="CG739" i="1" s="1"/>
  <c r="CH739" i="1" s="1"/>
  <c r="CI739" i="1" s="1"/>
  <c r="BX942" i="1"/>
  <c r="BY942" i="1" s="1"/>
  <c r="CB942" i="1" s="1"/>
  <c r="CC942" i="1" s="1"/>
  <c r="CH24" i="1"/>
  <c r="CI24" i="1" s="1"/>
  <c r="AV331" i="1"/>
  <c r="CB377" i="1"/>
  <c r="CC377" i="1" s="1"/>
  <c r="AV869" i="1"/>
  <c r="CH130" i="1"/>
  <c r="CB582" i="1"/>
  <c r="CC582" i="1" s="1"/>
  <c r="AV926" i="1"/>
  <c r="AV989" i="1"/>
  <c r="AV761" i="1"/>
  <c r="CH1191" i="1"/>
  <c r="CI1191" i="1" s="1"/>
  <c r="CH797" i="1"/>
  <c r="CI797" i="1" s="1"/>
  <c r="BX586" i="1"/>
  <c r="BY586" i="1" s="1"/>
  <c r="CB586" i="1" s="1"/>
  <c r="CC586" i="1" s="1"/>
  <c r="CF537" i="1"/>
  <c r="CG537" i="1" s="1"/>
  <c r="CH537" i="1" s="1"/>
  <c r="CI537" i="1" s="1"/>
  <c r="CF398" i="1"/>
  <c r="CG398" i="1" s="1"/>
  <c r="CH398" i="1" s="1"/>
  <c r="CI398" i="1" s="1"/>
  <c r="CF298" i="1"/>
  <c r="CG298" i="1" s="1"/>
  <c r="CH298" i="1" s="1"/>
  <c r="CI298" i="1" s="1"/>
  <c r="BX274" i="1"/>
  <c r="BY274" i="1" s="1"/>
  <c r="CB274" i="1" s="1"/>
  <c r="CH174" i="1"/>
  <c r="CI174" i="1" s="1"/>
  <c r="CF762" i="1"/>
  <c r="CG762" i="1" s="1"/>
  <c r="CH762" i="1" s="1"/>
  <c r="CF578" i="1"/>
  <c r="CG578" i="1" s="1"/>
  <c r="CH578" i="1" s="1"/>
  <c r="BX383" i="1"/>
  <c r="BY383" i="1" s="1"/>
  <c r="CB383" i="1" s="1"/>
  <c r="CC383" i="1" s="1"/>
  <c r="CF831" i="1"/>
  <c r="CG831" i="1" s="1"/>
  <c r="CH831" i="1" s="1"/>
  <c r="CI831" i="1" s="1"/>
  <c r="CF649" i="1"/>
  <c r="CG649" i="1" s="1"/>
  <c r="CH649" i="1" s="1"/>
  <c r="CI649" i="1" s="1"/>
  <c r="CF697" i="1"/>
  <c r="CG697" i="1" s="1"/>
  <c r="CH697" i="1" s="1"/>
  <c r="CI697" i="1" s="1"/>
  <c r="BX618" i="1"/>
  <c r="BY618" i="1" s="1"/>
  <c r="CB618" i="1" s="1"/>
  <c r="CF540" i="1"/>
  <c r="CG540" i="1" s="1"/>
  <c r="CH540" i="1" s="1"/>
  <c r="CB502" i="1"/>
  <c r="CC502" i="1" s="1"/>
  <c r="CB524" i="1"/>
  <c r="CC524" i="1" s="1"/>
  <c r="CB470" i="1"/>
  <c r="CC470" i="1" s="1"/>
  <c r="BX441" i="1"/>
  <c r="BY441" i="1" s="1"/>
  <c r="CB441" i="1" s="1"/>
  <c r="CC441" i="1" s="1"/>
  <c r="CF326" i="1"/>
  <c r="CG326" i="1" s="1"/>
  <c r="CH326" i="1" s="1"/>
  <c r="CI326" i="1" s="1"/>
  <c r="CF202" i="1"/>
  <c r="CG202" i="1" s="1"/>
  <c r="CH202" i="1" s="1"/>
  <c r="CI202" i="1" s="1"/>
  <c r="BX183" i="1"/>
  <c r="BY183" i="1" s="1"/>
  <c r="CB183" i="1" s="1"/>
  <c r="CC183" i="1" s="1"/>
  <c r="CB35" i="1"/>
  <c r="CC35" i="1" s="1"/>
  <c r="CF559" i="1"/>
  <c r="CG559" i="1" s="1"/>
  <c r="CH559" i="1" s="1"/>
  <c r="CF751" i="1"/>
  <c r="CG751" i="1" s="1"/>
  <c r="CH751" i="1" s="1"/>
  <c r="BX521" i="1"/>
  <c r="BY521" i="1" s="1"/>
  <c r="CB521" i="1" s="1"/>
  <c r="BX201" i="1"/>
  <c r="BY201" i="1" s="1"/>
  <c r="CB201" i="1" s="1"/>
  <c r="CC201" i="1" s="1"/>
  <c r="CH183" i="1"/>
  <c r="CI183" i="1" s="1"/>
  <c r="AV1014" i="1"/>
  <c r="CH687" i="1"/>
  <c r="CI687" i="1" s="1"/>
  <c r="CB649" i="1"/>
  <c r="CC649" i="1" s="1"/>
  <c r="CB697" i="1"/>
  <c r="CC697" i="1" s="1"/>
  <c r="BX938" i="1"/>
  <c r="BY938" i="1" s="1"/>
  <c r="CB938" i="1" s="1"/>
  <c r="CC938" i="1" s="1"/>
  <c r="CH938" i="1"/>
  <c r="CI938" i="1" s="1"/>
  <c r="CF719" i="1"/>
  <c r="CG719" i="1" s="1"/>
  <c r="CH719" i="1" s="1"/>
  <c r="CI719" i="1" s="1"/>
  <c r="CF508" i="1"/>
  <c r="CG508" i="1" s="1"/>
  <c r="CH508" i="1" s="1"/>
  <c r="CI508" i="1" s="1"/>
  <c r="CF233" i="1"/>
  <c r="CG233" i="1" s="1"/>
  <c r="CH233" i="1" s="1"/>
  <c r="CI233" i="1" s="1"/>
  <c r="BX285" i="1"/>
  <c r="BY285" i="1" s="1"/>
  <c r="CB285" i="1" s="1"/>
  <c r="CC285" i="1" s="1"/>
  <c r="CF665" i="1"/>
  <c r="CG665" i="1" s="1"/>
  <c r="CH665" i="1" s="1"/>
  <c r="CI665" i="1" s="1"/>
  <c r="BX457" i="1"/>
  <c r="BY457" i="1" s="1"/>
  <c r="CB457" i="1" s="1"/>
  <c r="BX473" i="1"/>
  <c r="BY473" i="1" s="1"/>
  <c r="CB473" i="1" s="1"/>
  <c r="CF698" i="1"/>
  <c r="CG698" i="1" s="1"/>
  <c r="CH698" i="1" s="1"/>
  <c r="CI698" i="1" s="1"/>
  <c r="BX177" i="1"/>
  <c r="BY177" i="1" s="1"/>
  <c r="CB177" i="1" s="1"/>
  <c r="CF377" i="1"/>
  <c r="CG377" i="1" s="1"/>
  <c r="CH377" i="1" s="1"/>
  <c r="CI377" i="1" s="1"/>
  <c r="CH280" i="1"/>
  <c r="CI280" i="1" s="1"/>
  <c r="CB165" i="1"/>
  <c r="CC165" i="1" s="1"/>
  <c r="CF863" i="1"/>
  <c r="CG863" i="1" s="1"/>
  <c r="CH863" i="1" s="1"/>
  <c r="CI863" i="1" s="1"/>
  <c r="CB665" i="1"/>
  <c r="CC665" i="1" s="1"/>
  <c r="BX321" i="1"/>
  <c r="BY321" i="1" s="1"/>
  <c r="CB321" i="1" s="1"/>
  <c r="CC321" i="1" s="1"/>
  <c r="BX361" i="1"/>
  <c r="BY361" i="1" s="1"/>
  <c r="CB361" i="1" s="1"/>
  <c r="CC361" i="1" s="1"/>
  <c r="CF224" i="1"/>
  <c r="CG224" i="1" s="1"/>
  <c r="CH224" i="1" s="1"/>
  <c r="CI224" i="1" s="1"/>
  <c r="CF954" i="1"/>
  <c r="CG954" i="1" s="1"/>
  <c r="CH954" i="1" s="1"/>
  <c r="CF847" i="1"/>
  <c r="CG847" i="1" s="1"/>
  <c r="CH847" i="1" s="1"/>
  <c r="BX280" i="1"/>
  <c r="BY280" i="1" s="1"/>
  <c r="CB280" i="1" s="1"/>
  <c r="CC280" i="1" s="1"/>
  <c r="CH1074" i="1"/>
  <c r="CI1074" i="1" s="1"/>
  <c r="CH986" i="1"/>
  <c r="CF486" i="1"/>
  <c r="CG486" i="1" s="1"/>
  <c r="CH486" i="1" s="1"/>
  <c r="CI486" i="1" s="1"/>
  <c r="CF236" i="1"/>
  <c r="CG236" i="1" s="1"/>
  <c r="CH236" i="1" s="1"/>
  <c r="CI236" i="1" s="1"/>
  <c r="CB126" i="1"/>
  <c r="CC126" i="1" s="1"/>
  <c r="CF922" i="1"/>
  <c r="CG922" i="1" s="1"/>
  <c r="CH922" i="1" s="1"/>
  <c r="CI922" i="1" s="1"/>
  <c r="CB1167" i="1"/>
  <c r="CC1167" i="1" s="1"/>
  <c r="CB298" i="1"/>
  <c r="CC298" i="1" s="1"/>
  <c r="CH708" i="1"/>
  <c r="CI708" i="1" s="1"/>
  <c r="CH375" i="1"/>
  <c r="AV1106" i="1"/>
  <c r="AV283" i="1"/>
  <c r="CB273" i="1"/>
  <c r="CC273" i="1" s="1"/>
  <c r="CF306" i="1"/>
  <c r="CG306" i="1" s="1"/>
  <c r="CH306" i="1" s="1"/>
  <c r="CI306" i="1" s="1"/>
  <c r="AV829" i="1"/>
  <c r="CB27" i="1"/>
  <c r="CC27" i="1" s="1"/>
  <c r="AV116" i="1"/>
  <c r="AU59" i="1"/>
  <c r="CH378" i="1"/>
  <c r="BX214" i="1"/>
  <c r="BY214" i="1" s="1"/>
  <c r="CB214" i="1" s="1"/>
  <c r="CC214" i="1" s="1"/>
  <c r="AU394" i="1"/>
  <c r="CF500" i="1"/>
  <c r="CG500" i="1" s="1"/>
  <c r="CH500" i="1" s="1"/>
  <c r="CI500" i="1" s="1"/>
  <c r="CB1030" i="1"/>
  <c r="CC1030" i="1" s="1"/>
  <c r="CH257" i="1"/>
  <c r="CI257" i="1" s="1"/>
  <c r="CB46" i="1"/>
  <c r="CC46" i="1" s="1"/>
  <c r="CB1114" i="1"/>
  <c r="CC1114" i="1" s="1"/>
  <c r="CB1034" i="1"/>
  <c r="CC1034" i="1" s="1"/>
  <c r="BX258" i="1"/>
  <c r="BY258" i="1" s="1"/>
  <c r="CB258" i="1" s="1"/>
  <c r="CC258" i="1" s="1"/>
  <c r="BX520" i="1"/>
  <c r="BY520" i="1" s="1"/>
  <c r="CB520" i="1" s="1"/>
  <c r="CC520" i="1" s="1"/>
  <c r="CF344" i="1"/>
  <c r="CG344" i="1" s="1"/>
  <c r="CH344" i="1" s="1"/>
  <c r="BX322" i="1"/>
  <c r="BY322" i="1" s="1"/>
  <c r="CB322" i="1" s="1"/>
  <c r="CC322" i="1" s="1"/>
  <c r="CF250" i="1"/>
  <c r="CG250" i="1" s="1"/>
  <c r="CH250" i="1" s="1"/>
  <c r="CF388" i="1"/>
  <c r="CG388" i="1" s="1"/>
  <c r="CH388" i="1" s="1"/>
  <c r="CF220" i="1"/>
  <c r="CG220" i="1" s="1"/>
  <c r="CH220" i="1" s="1"/>
  <c r="CI220" i="1" s="1"/>
  <c r="CB1145" i="1"/>
  <c r="CC1145" i="1" s="1"/>
  <c r="CH788" i="1"/>
  <c r="CI788" i="1" s="1"/>
  <c r="CB991" i="1"/>
  <c r="CC991" i="1" s="1"/>
  <c r="CB760" i="1"/>
  <c r="CC760" i="1" s="1"/>
  <c r="BX178" i="1"/>
  <c r="BY178" i="1" s="1"/>
  <c r="CB178" i="1" s="1"/>
  <c r="CC178" i="1" s="1"/>
  <c r="CF566" i="1"/>
  <c r="CG566" i="1" s="1"/>
  <c r="CH566" i="1" s="1"/>
  <c r="CI566" i="1" s="1"/>
  <c r="CH444" i="1"/>
  <c r="CI444" i="1" s="1"/>
  <c r="AU1154" i="1"/>
  <c r="CB72" i="1"/>
  <c r="CC72" i="1" s="1"/>
  <c r="AV436" i="1"/>
  <c r="AV18" i="1"/>
  <c r="CF834" i="1"/>
  <c r="CG834" i="1" s="1"/>
  <c r="CH834" i="1" s="1"/>
  <c r="CI834" i="1" s="1"/>
  <c r="CB209" i="1"/>
  <c r="CC209" i="1" s="1"/>
  <c r="CH879" i="1"/>
  <c r="CI879" i="1" s="1"/>
  <c r="CF822" i="1"/>
  <c r="CG822" i="1" s="1"/>
  <c r="CH822" i="1" s="1"/>
  <c r="AU295" i="1"/>
  <c r="AV648" i="1"/>
  <c r="CB764" i="1"/>
  <c r="CC764" i="1" s="1"/>
  <c r="CB1080" i="1"/>
  <c r="CC1080" i="1" s="1"/>
  <c r="CB1028" i="1"/>
  <c r="BX598" i="1"/>
  <c r="BY598" i="1" s="1"/>
  <c r="CB598" i="1" s="1"/>
  <c r="CC598" i="1" s="1"/>
  <c r="CF1046" i="1"/>
  <c r="CG1046" i="1" s="1"/>
  <c r="CH1046" i="1" s="1"/>
  <c r="CI1046" i="1" s="1"/>
  <c r="CB1163" i="1"/>
  <c r="CC1163" i="1" s="1"/>
  <c r="AU104" i="1"/>
  <c r="AV1038" i="1"/>
  <c r="CF854" i="1"/>
  <c r="CG854" i="1" s="1"/>
  <c r="CH854" i="1" s="1"/>
  <c r="CI854" i="1" s="1"/>
  <c r="CB726" i="1"/>
  <c r="CC726" i="1" s="1"/>
  <c r="BX630" i="1"/>
  <c r="BY630" i="1" s="1"/>
  <c r="CB630" i="1" s="1"/>
  <c r="CC630" i="1" s="1"/>
  <c r="BX570" i="1"/>
  <c r="BY570" i="1" s="1"/>
  <c r="CB570" i="1" s="1"/>
  <c r="CC570" i="1" s="1"/>
  <c r="CH742" i="1"/>
  <c r="CI742" i="1" s="1"/>
  <c r="BX678" i="1"/>
  <c r="BY678" i="1" s="1"/>
  <c r="CB678" i="1" s="1"/>
  <c r="CC678" i="1" s="1"/>
  <c r="CF462" i="1"/>
  <c r="CG462" i="1" s="1"/>
  <c r="CH462" i="1" s="1"/>
  <c r="CI462" i="1" s="1"/>
  <c r="BX438" i="1"/>
  <c r="BY438" i="1" s="1"/>
  <c r="CB438" i="1" s="1"/>
  <c r="CC438" i="1" s="1"/>
  <c r="CH115" i="1"/>
  <c r="CI115" i="1" s="1"/>
  <c r="BX240" i="1"/>
  <c r="BY240" i="1" s="1"/>
  <c r="CB240" i="1" s="1"/>
  <c r="CC240" i="1" s="1"/>
  <c r="CH169" i="1"/>
  <c r="CI169" i="1" s="1"/>
  <c r="CH1082" i="1"/>
  <c r="CI1082" i="1" s="1"/>
  <c r="CF269" i="1"/>
  <c r="CG269" i="1" s="1"/>
  <c r="CH269" i="1" s="1"/>
  <c r="CI269" i="1" s="1"/>
  <c r="BX891" i="1"/>
  <c r="BY891" i="1" s="1"/>
  <c r="CB891" i="1" s="1"/>
  <c r="CC891" i="1" s="1"/>
  <c r="CH595" i="1"/>
  <c r="CI595" i="1" s="1"/>
  <c r="BX950" i="1"/>
  <c r="BY950" i="1" s="1"/>
  <c r="CB950" i="1" s="1"/>
  <c r="CC950" i="1" s="1"/>
  <c r="CJ950" i="1" s="1"/>
  <c r="BD950" i="1" s="1"/>
  <c r="AV1081" i="1"/>
  <c r="CB714" i="1"/>
  <c r="CC714" i="1" s="1"/>
  <c r="CF254" i="1"/>
  <c r="CG254" i="1" s="1"/>
  <c r="CH254" i="1" s="1"/>
  <c r="CI254" i="1" s="1"/>
  <c r="BX694" i="1"/>
  <c r="BY694" i="1" s="1"/>
  <c r="CB694" i="1" s="1"/>
  <c r="CC694" i="1" s="1"/>
  <c r="CH1174" i="1"/>
  <c r="BX939" i="1"/>
  <c r="BY939" i="1" s="1"/>
  <c r="CB939" i="1" s="1"/>
  <c r="CC939" i="1" s="1"/>
  <c r="CF677" i="1"/>
  <c r="CG677" i="1" s="1"/>
  <c r="CH677" i="1" s="1"/>
  <c r="CI677" i="1" s="1"/>
  <c r="CF494" i="1"/>
  <c r="CG494" i="1" s="1"/>
  <c r="CH494" i="1" s="1"/>
  <c r="CI494" i="1" s="1"/>
  <c r="CB462" i="1"/>
  <c r="CC462" i="1" s="1"/>
  <c r="CF406" i="1"/>
  <c r="CG406" i="1" s="1"/>
  <c r="CH406" i="1" s="1"/>
  <c r="CI406" i="1" s="1"/>
  <c r="CF478" i="1"/>
  <c r="CG478" i="1" s="1"/>
  <c r="CH478" i="1" s="1"/>
  <c r="CI478" i="1" s="1"/>
  <c r="BX210" i="1"/>
  <c r="BY210" i="1" s="1"/>
  <c r="CB210" i="1" s="1"/>
  <c r="CC210" i="1" s="1"/>
  <c r="CH223" i="1"/>
  <c r="CI223" i="1" s="1"/>
  <c r="BX246" i="1"/>
  <c r="BY246" i="1" s="1"/>
  <c r="CB246" i="1" s="1"/>
  <c r="CC246" i="1" s="1"/>
  <c r="CF198" i="1"/>
  <c r="CG198" i="1" s="1"/>
  <c r="CH198" i="1" s="1"/>
  <c r="CF998" i="1"/>
  <c r="CG998" i="1" s="1"/>
  <c r="CH998" i="1" s="1"/>
  <c r="CH809" i="1"/>
  <c r="BX790" i="1"/>
  <c r="BY790" i="1" s="1"/>
  <c r="CB790" i="1" s="1"/>
  <c r="CC790" i="1" s="1"/>
  <c r="BX838" i="1"/>
  <c r="BY838" i="1" s="1"/>
  <c r="CB838" i="1" s="1"/>
  <c r="CC838" i="1" s="1"/>
  <c r="CF614" i="1"/>
  <c r="CG614" i="1" s="1"/>
  <c r="CH614" i="1" s="1"/>
  <c r="CI614" i="1" s="1"/>
  <c r="BX646" i="1"/>
  <c r="BY646" i="1" s="1"/>
  <c r="CB646" i="1" s="1"/>
  <c r="CC646" i="1" s="1"/>
  <c r="BX384" i="1"/>
  <c r="BY384" i="1" s="1"/>
  <c r="CB384" i="1" s="1"/>
  <c r="BX216" i="1"/>
  <c r="BY216" i="1" s="1"/>
  <c r="CB216" i="1" s="1"/>
  <c r="CB631" i="1"/>
  <c r="CC631" i="1" s="1"/>
  <c r="CH945" i="1"/>
  <c r="CI945" i="1" s="1"/>
  <c r="AU678" i="1"/>
  <c r="AU284" i="1"/>
  <c r="BX1174" i="1"/>
  <c r="BY1174" i="1" s="1"/>
  <c r="CB1174" i="1" s="1"/>
  <c r="BX1142" i="1"/>
  <c r="BY1142" i="1" s="1"/>
  <c r="CB1142" i="1" s="1"/>
  <c r="CF1062" i="1"/>
  <c r="CG1062" i="1" s="1"/>
  <c r="CH1062" i="1" s="1"/>
  <c r="CI1062" i="1" s="1"/>
  <c r="CF870" i="1"/>
  <c r="CG870" i="1" s="1"/>
  <c r="CH870" i="1" s="1"/>
  <c r="CI870" i="1" s="1"/>
  <c r="CF532" i="1"/>
  <c r="CG532" i="1" s="1"/>
  <c r="CH532" i="1" s="1"/>
  <c r="CI532" i="1" s="1"/>
  <c r="CB494" i="1"/>
  <c r="CC494" i="1" s="1"/>
  <c r="CB478" i="1"/>
  <c r="CC478" i="1" s="1"/>
  <c r="BX378" i="1"/>
  <c r="BY378" i="1" s="1"/>
  <c r="CB378" i="1" s="1"/>
  <c r="BX290" i="1"/>
  <c r="BY290" i="1" s="1"/>
  <c r="CB290" i="1" s="1"/>
  <c r="CH182" i="1"/>
  <c r="CI182" i="1" s="1"/>
  <c r="CF987" i="1"/>
  <c r="CG987" i="1" s="1"/>
  <c r="CH987" i="1" s="1"/>
  <c r="CF934" i="1"/>
  <c r="CG934" i="1" s="1"/>
  <c r="CH934" i="1" s="1"/>
  <c r="CI934" i="1" s="1"/>
  <c r="BX747" i="1"/>
  <c r="BY747" i="1" s="1"/>
  <c r="CB747" i="1" s="1"/>
  <c r="CF710" i="1"/>
  <c r="CG710" i="1" s="1"/>
  <c r="CH710" i="1" s="1"/>
  <c r="CI710" i="1" s="1"/>
  <c r="BX312" i="1"/>
  <c r="BY312" i="1" s="1"/>
  <c r="CB312" i="1" s="1"/>
  <c r="CC312" i="1" s="1"/>
  <c r="AU774" i="1"/>
  <c r="BX1131" i="1"/>
  <c r="BY1131" i="1" s="1"/>
  <c r="CB1131" i="1" s="1"/>
  <c r="CC1131" i="1" s="1"/>
  <c r="CF1014" i="1"/>
  <c r="CG1014" i="1" s="1"/>
  <c r="CH1014" i="1" s="1"/>
  <c r="CI1014" i="1" s="1"/>
  <c r="CF806" i="1"/>
  <c r="CG806" i="1" s="1"/>
  <c r="CH806" i="1" s="1"/>
  <c r="CI806" i="1" s="1"/>
  <c r="CB611" i="1"/>
  <c r="CC611" i="1" s="1"/>
  <c r="CF774" i="1"/>
  <c r="CG774" i="1" s="1"/>
  <c r="CH774" i="1" s="1"/>
  <c r="CI774" i="1" s="1"/>
  <c r="CF390" i="1"/>
  <c r="CG390" i="1" s="1"/>
  <c r="CH390" i="1" s="1"/>
  <c r="CI390" i="1" s="1"/>
  <c r="BX182" i="1"/>
  <c r="BY182" i="1" s="1"/>
  <c r="CB182" i="1" s="1"/>
  <c r="CC182" i="1" s="1"/>
  <c r="BX1158" i="1"/>
  <c r="BY1158" i="1" s="1"/>
  <c r="CB1158" i="1" s="1"/>
  <c r="CC1158" i="1" s="1"/>
  <c r="BX1126" i="1"/>
  <c r="BY1126" i="1" s="1"/>
  <c r="CB1126" i="1" s="1"/>
  <c r="CF571" i="1"/>
  <c r="CG571" i="1" s="1"/>
  <c r="CH571" i="1" s="1"/>
  <c r="CI571" i="1" s="1"/>
  <c r="CF385" i="1"/>
  <c r="CG385" i="1" s="1"/>
  <c r="CH385" i="1" s="1"/>
  <c r="CI385" i="1" s="1"/>
  <c r="CH384" i="1"/>
  <c r="CF356" i="1"/>
  <c r="CG356" i="1" s="1"/>
  <c r="CH356" i="1" s="1"/>
  <c r="CI356" i="1" s="1"/>
  <c r="CF340" i="1"/>
  <c r="CG340" i="1" s="1"/>
  <c r="CH340" i="1" s="1"/>
  <c r="CI340" i="1" s="1"/>
  <c r="CB168" i="1"/>
  <c r="CC168" i="1" s="1"/>
  <c r="CH127" i="1"/>
  <c r="CI127" i="1" s="1"/>
  <c r="CB87" i="1"/>
  <c r="CC87" i="1" s="1"/>
  <c r="CF1110" i="1"/>
  <c r="CG1110" i="1" s="1"/>
  <c r="CH1110" i="1" s="1"/>
  <c r="CI1110" i="1" s="1"/>
  <c r="BX902" i="1"/>
  <c r="BY902" i="1" s="1"/>
  <c r="CB902" i="1" s="1"/>
  <c r="CC902" i="1" s="1"/>
  <c r="CF450" i="1"/>
  <c r="CG450" i="1" s="1"/>
  <c r="CH450" i="1" s="1"/>
  <c r="CI450" i="1" s="1"/>
  <c r="BX982" i="1"/>
  <c r="BY982" i="1" s="1"/>
  <c r="CB982" i="1" s="1"/>
  <c r="CC982" i="1" s="1"/>
  <c r="BX758" i="1"/>
  <c r="BY758" i="1" s="1"/>
  <c r="CB758" i="1" s="1"/>
  <c r="CC758" i="1" s="1"/>
  <c r="CF582" i="1"/>
  <c r="CG582" i="1" s="1"/>
  <c r="CH582" i="1" s="1"/>
  <c r="CI582" i="1" s="1"/>
  <c r="CF554" i="1"/>
  <c r="CG554" i="1" s="1"/>
  <c r="CH554" i="1" s="1"/>
  <c r="CI554" i="1" s="1"/>
  <c r="BX221" i="1"/>
  <c r="BY221" i="1" s="1"/>
  <c r="CB221" i="1" s="1"/>
  <c r="CC221" i="1" s="1"/>
  <c r="CF229" i="1"/>
  <c r="CG229" i="1" s="1"/>
  <c r="CH229" i="1" s="1"/>
  <c r="CI229" i="1" s="1"/>
  <c r="CB149" i="1"/>
  <c r="CC149" i="1" s="1"/>
  <c r="AV1199" i="1"/>
  <c r="AU516" i="1"/>
  <c r="AV428" i="1"/>
  <c r="AV412" i="1"/>
  <c r="CF1094" i="1"/>
  <c r="CG1094" i="1" s="1"/>
  <c r="CH1094" i="1" s="1"/>
  <c r="CI1094" i="1" s="1"/>
  <c r="CB1110" i="1"/>
  <c r="CC1110" i="1" s="1"/>
  <c r="CF918" i="1"/>
  <c r="CG918" i="1" s="1"/>
  <c r="CH918" i="1" s="1"/>
  <c r="CI918" i="1" s="1"/>
  <c r="CB450" i="1"/>
  <c r="CC450" i="1" s="1"/>
  <c r="CB105" i="1"/>
  <c r="CC105" i="1" s="1"/>
  <c r="BX516" i="1"/>
  <c r="BY516" i="1" s="1"/>
  <c r="CB516" i="1" s="1"/>
  <c r="CC516" i="1" s="1"/>
  <c r="BX422" i="1"/>
  <c r="BY422" i="1" s="1"/>
  <c r="CB422" i="1" s="1"/>
  <c r="CC422" i="1" s="1"/>
  <c r="CF245" i="1"/>
  <c r="CG245" i="1" s="1"/>
  <c r="CH245" i="1" s="1"/>
  <c r="AV1075" i="1"/>
  <c r="AV1148" i="1"/>
  <c r="CB1094" i="1"/>
  <c r="CC1094" i="1" s="1"/>
  <c r="CF886" i="1"/>
  <c r="CG886" i="1" s="1"/>
  <c r="CH886" i="1" s="1"/>
  <c r="CI886" i="1" s="1"/>
  <c r="BX373" i="1"/>
  <c r="BY373" i="1" s="1"/>
  <c r="CB373" i="1" s="1"/>
  <c r="CC373" i="1" s="1"/>
  <c r="CB61" i="1"/>
  <c r="CC61" i="1" s="1"/>
  <c r="BX1078" i="1"/>
  <c r="BY1078" i="1" s="1"/>
  <c r="CB1078" i="1" s="1"/>
  <c r="CC1078" i="1" s="1"/>
  <c r="CF1030" i="1"/>
  <c r="CG1030" i="1" s="1"/>
  <c r="CH1030" i="1" s="1"/>
  <c r="CI1030" i="1" s="1"/>
  <c r="CF726" i="1"/>
  <c r="CG726" i="1" s="1"/>
  <c r="CH726" i="1" s="1"/>
  <c r="CI726" i="1" s="1"/>
  <c r="AV520" i="1"/>
  <c r="BX1190" i="1"/>
  <c r="BY1190" i="1" s="1"/>
  <c r="CB1190" i="1" s="1"/>
  <c r="CC1190" i="1" s="1"/>
  <c r="CB1003" i="1"/>
  <c r="CC1003" i="1" s="1"/>
  <c r="CB934" i="1"/>
  <c r="CC934" i="1" s="1"/>
  <c r="BX742" i="1"/>
  <c r="BY742" i="1" s="1"/>
  <c r="CB742" i="1" s="1"/>
  <c r="CC742" i="1" s="1"/>
  <c r="CF281" i="1"/>
  <c r="CG281" i="1" s="1"/>
  <c r="CH281" i="1" s="1"/>
  <c r="CI281" i="1" s="1"/>
  <c r="CH159" i="1"/>
  <c r="CI159" i="1" s="1"/>
  <c r="CB74" i="1"/>
  <c r="CC74" i="1" s="1"/>
  <c r="BX491" i="1"/>
  <c r="BY491" i="1" s="1"/>
  <c r="CB491" i="1" s="1"/>
  <c r="CB267" i="1"/>
  <c r="CC267" i="1" s="1"/>
  <c r="CB1128" i="1"/>
  <c r="CC1128" i="1" s="1"/>
  <c r="CJ1128" i="1" s="1"/>
  <c r="BD1128" i="1" s="1"/>
  <c r="CB1129" i="1"/>
  <c r="CB18" i="1"/>
  <c r="CC18" i="1" s="1"/>
  <c r="CH72" i="1"/>
  <c r="CI72" i="1" s="1"/>
  <c r="CB1112" i="1"/>
  <c r="CC1112" i="1" s="1"/>
  <c r="CB804" i="1"/>
  <c r="CH107" i="1"/>
  <c r="CI107" i="1" s="1"/>
  <c r="CH1080" i="1"/>
  <c r="CI1080" i="1" s="1"/>
  <c r="CH808" i="1"/>
  <c r="CI808" i="1" s="1"/>
  <c r="CB118" i="1"/>
  <c r="CC118" i="1" s="1"/>
  <c r="CB928" i="1"/>
  <c r="CC928" i="1" s="1"/>
  <c r="CB1184" i="1"/>
  <c r="CH131" i="1"/>
  <c r="AV598" i="1"/>
  <c r="CF1120" i="1"/>
  <c r="CG1120" i="1" s="1"/>
  <c r="CH1120" i="1" s="1"/>
  <c r="CI1120" i="1" s="1"/>
  <c r="CF1088" i="1"/>
  <c r="CG1088" i="1" s="1"/>
  <c r="CH1088" i="1" s="1"/>
  <c r="CI1088" i="1" s="1"/>
  <c r="CF944" i="1"/>
  <c r="CG944" i="1" s="1"/>
  <c r="CH944" i="1" s="1"/>
  <c r="CF848" i="1"/>
  <c r="CG848" i="1" s="1"/>
  <c r="CH848" i="1" s="1"/>
  <c r="CI848" i="1" s="1"/>
  <c r="AV480" i="1"/>
  <c r="AU136" i="1"/>
  <c r="CF1056" i="1"/>
  <c r="CG1056" i="1" s="1"/>
  <c r="CH1056" i="1" s="1"/>
  <c r="CI1056" i="1" s="1"/>
  <c r="CH93" i="1"/>
  <c r="CI93" i="1" s="1"/>
  <c r="BX1040" i="1"/>
  <c r="BY1040" i="1" s="1"/>
  <c r="CB1040" i="1" s="1"/>
  <c r="CC1040" i="1" s="1"/>
  <c r="AV1022" i="1"/>
  <c r="AU498" i="1"/>
  <c r="AU266" i="1"/>
  <c r="AU159" i="1"/>
  <c r="CF1184" i="1"/>
  <c r="CG1184" i="1" s="1"/>
  <c r="CH1184" i="1" s="1"/>
  <c r="CF912" i="1"/>
  <c r="CG912" i="1" s="1"/>
  <c r="CH912" i="1" s="1"/>
  <c r="CI912" i="1" s="1"/>
  <c r="CH1008" i="1"/>
  <c r="CI1008" i="1" s="1"/>
  <c r="CF800" i="1"/>
  <c r="CG800" i="1" s="1"/>
  <c r="CH800" i="1" s="1"/>
  <c r="CI800" i="1" s="1"/>
  <c r="BX656" i="1"/>
  <c r="BY656" i="1" s="1"/>
  <c r="CB656" i="1" s="1"/>
  <c r="BX688" i="1"/>
  <c r="BY688" i="1" s="1"/>
  <c r="CB688" i="1" s="1"/>
  <c r="CC688" i="1" s="1"/>
  <c r="AU1129" i="1"/>
  <c r="AU466" i="1"/>
  <c r="AV237" i="1"/>
  <c r="BX976" i="1"/>
  <c r="BY976" i="1" s="1"/>
  <c r="CB976" i="1" s="1"/>
  <c r="CC976" i="1" s="1"/>
  <c r="BX757" i="1"/>
  <c r="BY757" i="1" s="1"/>
  <c r="CB757" i="1" s="1"/>
  <c r="CC757" i="1" s="1"/>
  <c r="BX635" i="1"/>
  <c r="BY635" i="1" s="1"/>
  <c r="CB635" i="1" s="1"/>
  <c r="CC635" i="1" s="1"/>
  <c r="CF564" i="1"/>
  <c r="CG564" i="1" s="1"/>
  <c r="CH564" i="1" s="1"/>
  <c r="CI564" i="1" s="1"/>
  <c r="CH29" i="1"/>
  <c r="AU639" i="1"/>
  <c r="AU370" i="1"/>
  <c r="CF1072" i="1"/>
  <c r="CG1072" i="1" s="1"/>
  <c r="CH1072" i="1" s="1"/>
  <c r="CI1072" i="1" s="1"/>
  <c r="CF928" i="1"/>
  <c r="CG928" i="1" s="1"/>
  <c r="CH928" i="1" s="1"/>
  <c r="CI928" i="1" s="1"/>
  <c r="BX736" i="1"/>
  <c r="BY736" i="1" s="1"/>
  <c r="CB736" i="1" s="1"/>
  <c r="CC736" i="1" s="1"/>
  <c r="BX720" i="1"/>
  <c r="BY720" i="1" s="1"/>
  <c r="CB720" i="1" s="1"/>
  <c r="CC720" i="1" s="1"/>
  <c r="CF592" i="1"/>
  <c r="CG592" i="1" s="1"/>
  <c r="CH592" i="1" s="1"/>
  <c r="CI592" i="1" s="1"/>
  <c r="AV874" i="1"/>
  <c r="AV1050" i="1"/>
  <c r="AU967" i="1"/>
  <c r="AU290" i="1"/>
  <c r="BX960" i="1"/>
  <c r="BY960" i="1" s="1"/>
  <c r="CB960" i="1" s="1"/>
  <c r="CC960" i="1" s="1"/>
  <c r="BX768" i="1"/>
  <c r="BY768" i="1" s="1"/>
  <c r="CB768" i="1" s="1"/>
  <c r="CC768" i="1" s="1"/>
  <c r="CF725" i="1"/>
  <c r="CG725" i="1" s="1"/>
  <c r="CH725" i="1" s="1"/>
  <c r="CI725" i="1" s="1"/>
  <c r="BX334" i="1"/>
  <c r="BY334" i="1" s="1"/>
  <c r="CB334" i="1" s="1"/>
  <c r="CC334" i="1" s="1"/>
  <c r="CH5" i="1"/>
  <c r="AU654" i="1"/>
  <c r="BB654" i="1" s="1"/>
  <c r="AU337" i="1"/>
  <c r="AV83" i="1"/>
  <c r="CF1168" i="1"/>
  <c r="CG1168" i="1" s="1"/>
  <c r="CH1168" i="1" s="1"/>
  <c r="CI1168" i="1" s="1"/>
  <c r="CJ1168" i="1" s="1"/>
  <c r="BD1168" i="1" s="1"/>
  <c r="CH816" i="1"/>
  <c r="CI816" i="1" s="1"/>
  <c r="CF880" i="1"/>
  <c r="CG880" i="1" s="1"/>
  <c r="CH880" i="1" s="1"/>
  <c r="CI880" i="1" s="1"/>
  <c r="CH767" i="1"/>
  <c r="AV484" i="1"/>
  <c r="CB325" i="1"/>
  <c r="CC325" i="1" s="1"/>
  <c r="BX687" i="1"/>
  <c r="BY687" i="1" s="1"/>
  <c r="CB687" i="1" s="1"/>
  <c r="CC687" i="1" s="1"/>
  <c r="CB561" i="1"/>
  <c r="AU308" i="1"/>
  <c r="CF641" i="1"/>
  <c r="CG641" i="1" s="1"/>
  <c r="CH641" i="1" s="1"/>
  <c r="CI641" i="1" s="1"/>
  <c r="CB554" i="1"/>
  <c r="CC554" i="1" s="1"/>
  <c r="CF232" i="1"/>
  <c r="CG232" i="1" s="1"/>
  <c r="CH232" i="1" s="1"/>
  <c r="CI232" i="1" s="1"/>
  <c r="BX853" i="1"/>
  <c r="BY853" i="1" s="1"/>
  <c r="CB853" i="1" s="1"/>
  <c r="CC853" i="1" s="1"/>
  <c r="AU996" i="1"/>
  <c r="AV790" i="1"/>
  <c r="CB60" i="1"/>
  <c r="CH544" i="1"/>
  <c r="CI544" i="1" s="1"/>
  <c r="AV656" i="1"/>
  <c r="BX409" i="1"/>
  <c r="BY409" i="1" s="1"/>
  <c r="CB409" i="1" s="1"/>
  <c r="CC409" i="1" s="1"/>
  <c r="CF703" i="1"/>
  <c r="CG703" i="1" s="1"/>
  <c r="CH703" i="1" s="1"/>
  <c r="CI703" i="1" s="1"/>
  <c r="CB663" i="1"/>
  <c r="CC663" i="1" s="1"/>
  <c r="CB11" i="1"/>
  <c r="CC11" i="1" s="1"/>
  <c r="CH591" i="1"/>
  <c r="CI591" i="1" s="1"/>
  <c r="CH985" i="1"/>
  <c r="CI985" i="1" s="1"/>
  <c r="CB948" i="1"/>
  <c r="AV720" i="1"/>
  <c r="CB144" i="1"/>
  <c r="AV811" i="1"/>
  <c r="CH634" i="1"/>
  <c r="CI634" i="1" s="1"/>
  <c r="CB42" i="1"/>
  <c r="CC42" i="1" s="1"/>
  <c r="BX949" i="1"/>
  <c r="BY949" i="1" s="1"/>
  <c r="CB949" i="1" s="1"/>
  <c r="CC949" i="1" s="1"/>
  <c r="CB291" i="1"/>
  <c r="CC291" i="1" s="1"/>
  <c r="AU1112" i="1"/>
  <c r="CF1127" i="1"/>
  <c r="CG1127" i="1" s="1"/>
  <c r="CH1127" i="1" s="1"/>
  <c r="CI1127" i="1" s="1"/>
  <c r="CB735" i="1"/>
  <c r="CC735" i="1" s="1"/>
  <c r="CH438" i="1"/>
  <c r="CI438" i="1" s="1"/>
  <c r="BX329" i="1"/>
  <c r="BY329" i="1" s="1"/>
  <c r="CB329" i="1" s="1"/>
  <c r="CC329" i="1" s="1"/>
  <c r="CB904" i="1"/>
  <c r="CF759" i="1"/>
  <c r="CG759" i="1" s="1"/>
  <c r="CH759" i="1" s="1"/>
  <c r="CF722" i="1"/>
  <c r="CG722" i="1" s="1"/>
  <c r="CH722" i="1" s="1"/>
  <c r="CI722" i="1" s="1"/>
  <c r="AU1049" i="1"/>
  <c r="CH167" i="1"/>
  <c r="AU15" i="1"/>
  <c r="BX1191" i="1"/>
  <c r="BY1191" i="1" s="1"/>
  <c r="CB1191" i="1" s="1"/>
  <c r="CC1191" i="1" s="1"/>
  <c r="CH516" i="1"/>
  <c r="CI516" i="1" s="1"/>
  <c r="CH451" i="1"/>
  <c r="CI451" i="1" s="1"/>
  <c r="CF374" i="1"/>
  <c r="CG374" i="1" s="1"/>
  <c r="CH374" i="1" s="1"/>
  <c r="CI374" i="1" s="1"/>
  <c r="CF474" i="1"/>
  <c r="CG474" i="1" s="1"/>
  <c r="CH474" i="1" s="1"/>
  <c r="CI474" i="1" s="1"/>
  <c r="CB54" i="1"/>
  <c r="CC54" i="1" s="1"/>
  <c r="BX871" i="1"/>
  <c r="BY871" i="1" s="1"/>
  <c r="CB871" i="1" s="1"/>
  <c r="CC871" i="1" s="1"/>
  <c r="CF727" i="1"/>
  <c r="CG727" i="1" s="1"/>
  <c r="CH727" i="1" s="1"/>
  <c r="CI727" i="1" s="1"/>
  <c r="CF241" i="1"/>
  <c r="CG241" i="1" s="1"/>
  <c r="CH241" i="1" s="1"/>
  <c r="CI241" i="1" s="1"/>
  <c r="BX1106" i="1"/>
  <c r="BY1106" i="1" s="1"/>
  <c r="CB1106" i="1" s="1"/>
  <c r="CC1106" i="1" s="1"/>
  <c r="CF265" i="1"/>
  <c r="CG265" i="1" s="1"/>
  <c r="CH265" i="1" s="1"/>
  <c r="CI265" i="1" s="1"/>
  <c r="CF368" i="1"/>
  <c r="CG368" i="1" s="1"/>
  <c r="CH368" i="1" s="1"/>
  <c r="CI368" i="1" s="1"/>
  <c r="AU386" i="1"/>
  <c r="CF458" i="1"/>
  <c r="CG458" i="1" s="1"/>
  <c r="CH458" i="1" s="1"/>
  <c r="CI458" i="1" s="1"/>
  <c r="CF330" i="1"/>
  <c r="CG330" i="1" s="1"/>
  <c r="CH330" i="1" s="1"/>
  <c r="BX302" i="1"/>
  <c r="BY302" i="1" s="1"/>
  <c r="CB302" i="1" s="1"/>
  <c r="CC302" i="1" s="1"/>
  <c r="CB85" i="1"/>
  <c r="CC85" i="1" s="1"/>
  <c r="BX690" i="1"/>
  <c r="BY690" i="1" s="1"/>
  <c r="CB690" i="1" s="1"/>
  <c r="CC690" i="1" s="1"/>
  <c r="CF599" i="1"/>
  <c r="CG599" i="1" s="1"/>
  <c r="CH599" i="1" s="1"/>
  <c r="CH425" i="1"/>
  <c r="CI425" i="1" s="1"/>
  <c r="CH148" i="1"/>
  <c r="CI148" i="1" s="1"/>
  <c r="AU400" i="1"/>
  <c r="AU292" i="1"/>
  <c r="CF791" i="1"/>
  <c r="CG791" i="1" s="1"/>
  <c r="CH791" i="1" s="1"/>
  <c r="CI791" i="1" s="1"/>
  <c r="CH441" i="1"/>
  <c r="CI441" i="1" s="1"/>
  <c r="CH313" i="1"/>
  <c r="CI313" i="1" s="1"/>
  <c r="CB200" i="1"/>
  <c r="CC200" i="1" s="1"/>
  <c r="CB98" i="1"/>
  <c r="CC98" i="1" s="1"/>
  <c r="CB531" i="1"/>
  <c r="CB156" i="1"/>
  <c r="CC156" i="1" s="1"/>
  <c r="CB32" i="1"/>
  <c r="CC32" i="1" s="1"/>
  <c r="AU417" i="1"/>
  <c r="CF823" i="1"/>
  <c r="CG823" i="1" s="1"/>
  <c r="CH823" i="1" s="1"/>
  <c r="CI823" i="1" s="1"/>
  <c r="CH639" i="1"/>
  <c r="CI639" i="1" s="1"/>
  <c r="CB58" i="1"/>
  <c r="CC58" i="1" s="1"/>
  <c r="CF866" i="1"/>
  <c r="CG866" i="1" s="1"/>
  <c r="CH866" i="1" s="1"/>
  <c r="CI866" i="1" s="1"/>
  <c r="CF946" i="1"/>
  <c r="CG946" i="1" s="1"/>
  <c r="CH946" i="1" s="1"/>
  <c r="CI946" i="1" s="1"/>
  <c r="CH111" i="1"/>
  <c r="CI111" i="1" s="1"/>
  <c r="CB91" i="1"/>
  <c r="CC91" i="1" s="1"/>
  <c r="CH47" i="1"/>
  <c r="CI47" i="1" s="1"/>
  <c r="CB500" i="1"/>
  <c r="CC500" i="1" s="1"/>
  <c r="CB293" i="1"/>
  <c r="CC293" i="1" s="1"/>
  <c r="CH683" i="1"/>
  <c r="CI683" i="1" s="1"/>
  <c r="CH1103" i="1"/>
  <c r="CI1103" i="1" s="1"/>
  <c r="CB710" i="1"/>
  <c r="CC710" i="1" s="1"/>
  <c r="CB261" i="1"/>
  <c r="CC261" i="1" s="1"/>
  <c r="CH312" i="1"/>
  <c r="CI312" i="1" s="1"/>
  <c r="AU1169" i="1"/>
  <c r="AV1066" i="1"/>
  <c r="CH1161" i="1"/>
  <c r="BX829" i="1"/>
  <c r="BY829" i="1" s="1"/>
  <c r="CB829" i="1" s="1"/>
  <c r="CC829" i="1" s="1"/>
  <c r="CB376" i="1"/>
  <c r="CC376" i="1" s="1"/>
  <c r="CB382" i="1"/>
  <c r="CC382" i="1" s="1"/>
  <c r="AV205" i="1"/>
  <c r="AU236" i="1"/>
  <c r="CB398" i="1"/>
  <c r="CC398" i="1" s="1"/>
  <c r="AU873" i="1"/>
  <c r="CB518" i="1"/>
  <c r="CC518" i="1" s="1"/>
  <c r="CB326" i="1"/>
  <c r="CC326" i="1" s="1"/>
  <c r="CB75" i="1"/>
  <c r="CB89" i="1"/>
  <c r="CH925" i="1"/>
  <c r="CI925" i="1" s="1"/>
  <c r="AU1091" i="1"/>
  <c r="AU172" i="1"/>
  <c r="CB944" i="1"/>
  <c r="CB799" i="1"/>
  <c r="CH664" i="1"/>
  <c r="CI664" i="1" s="1"/>
  <c r="CF199" i="1"/>
  <c r="CG199" i="1" s="1"/>
  <c r="CH199" i="1" s="1"/>
  <c r="CI199" i="1" s="1"/>
  <c r="CB22" i="1"/>
  <c r="CC22" i="1" s="1"/>
  <c r="CH103" i="1"/>
  <c r="CI103" i="1" s="1"/>
  <c r="AU916" i="1"/>
  <c r="AU772" i="1"/>
  <c r="BX534" i="1"/>
  <c r="BY534" i="1" s="1"/>
  <c r="CB534" i="1" s="1"/>
  <c r="CC534" i="1" s="1"/>
  <c r="CB247" i="1"/>
  <c r="CB83" i="1"/>
  <c r="CC83" i="1" s="1"/>
  <c r="CB29" i="1"/>
  <c r="CB1049" i="1"/>
  <c r="CC1049" i="1" s="1"/>
  <c r="CF262" i="1"/>
  <c r="CG262" i="1" s="1"/>
  <c r="CH262" i="1" s="1"/>
  <c r="CI262" i="1" s="1"/>
  <c r="CB39" i="1"/>
  <c r="CC39" i="1" s="1"/>
  <c r="CH1187" i="1"/>
  <c r="CI1187" i="1" s="1"/>
  <c r="CB1060" i="1"/>
  <c r="CC1060" i="1" s="1"/>
  <c r="CH976" i="1"/>
  <c r="CI976" i="1" s="1"/>
  <c r="CH492" i="1"/>
  <c r="CI492" i="1" s="1"/>
  <c r="BX230" i="1"/>
  <c r="BY230" i="1" s="1"/>
  <c r="CB230" i="1" s="1"/>
  <c r="CC230" i="1" s="1"/>
  <c r="CH244" i="1"/>
  <c r="CI244" i="1" s="1"/>
  <c r="CB134" i="1"/>
  <c r="CC134" i="1" s="1"/>
  <c r="CB31" i="1"/>
  <c r="CC31" i="1" s="1"/>
  <c r="BX492" i="1"/>
  <c r="BY492" i="1" s="1"/>
  <c r="CB492" i="1" s="1"/>
  <c r="CC492" i="1" s="1"/>
  <c r="BX301" i="1"/>
  <c r="BY301" i="1" s="1"/>
  <c r="CB301" i="1" s="1"/>
  <c r="CC301" i="1" s="1"/>
  <c r="BX244" i="1"/>
  <c r="BY244" i="1" s="1"/>
  <c r="CB244" i="1" s="1"/>
  <c r="CC244" i="1" s="1"/>
  <c r="CF460" i="1"/>
  <c r="CG460" i="1" s="1"/>
  <c r="CH460" i="1" s="1"/>
  <c r="CF376" i="1"/>
  <c r="CG376" i="1" s="1"/>
  <c r="CH376" i="1" s="1"/>
  <c r="CI376" i="1" s="1"/>
  <c r="CH1108" i="1"/>
  <c r="CI1108" i="1" s="1"/>
  <c r="CH959" i="1"/>
  <c r="CB514" i="1"/>
  <c r="CC514" i="1" s="1"/>
  <c r="CF546" i="1"/>
  <c r="CG546" i="1" s="1"/>
  <c r="CH546" i="1" s="1"/>
  <c r="CI546" i="1" s="1"/>
  <c r="CH436" i="1"/>
  <c r="CI436" i="1" s="1"/>
  <c r="CB145" i="1"/>
  <c r="CC145" i="1" s="1"/>
  <c r="CH598" i="1"/>
  <c r="CI598" i="1" s="1"/>
  <c r="CF454" i="1"/>
  <c r="CG454" i="1" s="1"/>
  <c r="CH454" i="1" s="1"/>
  <c r="CB73" i="1"/>
  <c r="CC73" i="1" s="1"/>
  <c r="CH404" i="1"/>
  <c r="CI404" i="1" s="1"/>
  <c r="CF476" i="1"/>
  <c r="CG476" i="1" s="1"/>
  <c r="CH476" i="1" s="1"/>
  <c r="CI476" i="1" s="1"/>
  <c r="CF331" i="1"/>
  <c r="CG331" i="1" s="1"/>
  <c r="CH331" i="1" s="1"/>
  <c r="CI331" i="1" s="1"/>
  <c r="CB346" i="1"/>
  <c r="CC346" i="1" s="1"/>
  <c r="CB362" i="1"/>
  <c r="CH555" i="1"/>
  <c r="CI555" i="1" s="1"/>
  <c r="CB833" i="1"/>
  <c r="CC833" i="1" s="1"/>
  <c r="CB993" i="1"/>
  <c r="CH119" i="1"/>
  <c r="CI119" i="1" s="1"/>
  <c r="AV1133" i="1"/>
  <c r="AV1155" i="1"/>
  <c r="CH744" i="1"/>
  <c r="CB454" i="1"/>
  <c r="CF354" i="1"/>
  <c r="CG354" i="1" s="1"/>
  <c r="CH354" i="1" s="1"/>
  <c r="CI354" i="1" s="1"/>
  <c r="CF671" i="1"/>
  <c r="CG671" i="1" s="1"/>
  <c r="CH671" i="1" s="1"/>
  <c r="CI671" i="1" s="1"/>
  <c r="CF420" i="1"/>
  <c r="CG420" i="1" s="1"/>
  <c r="CH420" i="1" s="1"/>
  <c r="CI420" i="1" s="1"/>
  <c r="CB364" i="1"/>
  <c r="CC364" i="1" s="1"/>
  <c r="CB1151" i="1"/>
  <c r="CC1151" i="1" s="1"/>
  <c r="CB67" i="1"/>
  <c r="CC67" i="1" s="1"/>
  <c r="CB25" i="1"/>
  <c r="CC25" i="1" s="1"/>
  <c r="CB69" i="1"/>
  <c r="CC69" i="1" s="1"/>
  <c r="CF655" i="1"/>
  <c r="CG655" i="1" s="1"/>
  <c r="CH655" i="1" s="1"/>
  <c r="CI655" i="1" s="1"/>
  <c r="BX472" i="1"/>
  <c r="BY472" i="1" s="1"/>
  <c r="CB472" i="1" s="1"/>
  <c r="CC472" i="1" s="1"/>
  <c r="CF273" i="1"/>
  <c r="CG273" i="1" s="1"/>
  <c r="CH273" i="1" s="1"/>
  <c r="CI273" i="1" s="1"/>
  <c r="CH551" i="1"/>
  <c r="CI551" i="1" s="1"/>
  <c r="CH1092" i="1"/>
  <c r="CH530" i="1"/>
  <c r="CH285" i="1"/>
  <c r="CI285" i="1" s="1"/>
  <c r="CH253" i="1"/>
  <c r="CI253" i="1" s="1"/>
  <c r="CF196" i="1"/>
  <c r="CG196" i="1" s="1"/>
  <c r="CH196" i="1" s="1"/>
  <c r="CI196" i="1" s="1"/>
  <c r="CB23" i="1"/>
  <c r="CC23" i="1" s="1"/>
  <c r="CB719" i="1"/>
  <c r="CC719" i="1" s="1"/>
  <c r="BX436" i="1"/>
  <c r="BY436" i="1" s="1"/>
  <c r="CB436" i="1" s="1"/>
  <c r="CC436" i="1" s="1"/>
  <c r="BX404" i="1"/>
  <c r="BY404" i="1" s="1"/>
  <c r="CB404" i="1" s="1"/>
  <c r="CC404" i="1" s="1"/>
  <c r="CB12" i="1"/>
  <c r="CC12" i="1" s="1"/>
  <c r="CH468" i="1"/>
  <c r="CI468" i="1" s="1"/>
  <c r="CF1121" i="1"/>
  <c r="CG1121" i="1" s="1"/>
  <c r="CH1121" i="1" s="1"/>
  <c r="CI1121" i="1" s="1"/>
  <c r="CF1105" i="1"/>
  <c r="CG1105" i="1" s="1"/>
  <c r="CH1105" i="1" s="1"/>
  <c r="CI1105" i="1" s="1"/>
  <c r="CF1057" i="1"/>
  <c r="CG1057" i="1" s="1"/>
  <c r="CH1057" i="1" s="1"/>
  <c r="CI1057" i="1" s="1"/>
  <c r="BX1025" i="1"/>
  <c r="BY1025" i="1" s="1"/>
  <c r="CB1025" i="1" s="1"/>
  <c r="BX1041" i="1"/>
  <c r="BY1041" i="1" s="1"/>
  <c r="CB1041" i="1" s="1"/>
  <c r="CC1041" i="1" s="1"/>
  <c r="CB881" i="1"/>
  <c r="CC881" i="1" s="1"/>
  <c r="BX555" i="1"/>
  <c r="BY555" i="1" s="1"/>
  <c r="CB555" i="1" s="1"/>
  <c r="CC555" i="1" s="1"/>
  <c r="CB593" i="1"/>
  <c r="CF576" i="1"/>
  <c r="CG576" i="1" s="1"/>
  <c r="CH576" i="1" s="1"/>
  <c r="CI576" i="1" s="1"/>
  <c r="CF259" i="1"/>
  <c r="CG259" i="1" s="1"/>
  <c r="CH259" i="1" s="1"/>
  <c r="CI259" i="1" s="1"/>
  <c r="CB211" i="1"/>
  <c r="BX222" i="1"/>
  <c r="BY222" i="1" s="1"/>
  <c r="CB222" i="1" s="1"/>
  <c r="CC222" i="1" s="1"/>
  <c r="CF266" i="1"/>
  <c r="CG266" i="1" s="1"/>
  <c r="CH266" i="1" s="1"/>
  <c r="BX234" i="1"/>
  <c r="BY234" i="1" s="1"/>
  <c r="CB234" i="1" s="1"/>
  <c r="BX278" i="1"/>
  <c r="BY278" i="1" s="1"/>
  <c r="CB278" i="1" s="1"/>
  <c r="CC278" i="1" s="1"/>
  <c r="CH142" i="1"/>
  <c r="CI142" i="1" s="1"/>
  <c r="CF929" i="1"/>
  <c r="CG929" i="1" s="1"/>
  <c r="CH929" i="1" s="1"/>
  <c r="CI929" i="1" s="1"/>
  <c r="CF993" i="1"/>
  <c r="CG993" i="1" s="1"/>
  <c r="CH993" i="1" s="1"/>
  <c r="CF833" i="1"/>
  <c r="CG833" i="1" s="1"/>
  <c r="CH833" i="1" s="1"/>
  <c r="CI833" i="1" s="1"/>
  <c r="CF651" i="1"/>
  <c r="CG651" i="1" s="1"/>
  <c r="CH651" i="1" s="1"/>
  <c r="CI651" i="1" s="1"/>
  <c r="CF561" i="1"/>
  <c r="CG561" i="1" s="1"/>
  <c r="CH561" i="1" s="1"/>
  <c r="BX396" i="1"/>
  <c r="BY396" i="1" s="1"/>
  <c r="CB396" i="1" s="1"/>
  <c r="CC396" i="1" s="1"/>
  <c r="BX444" i="1"/>
  <c r="BY444" i="1" s="1"/>
  <c r="CB444" i="1" s="1"/>
  <c r="CC444" i="1" s="1"/>
  <c r="BX179" i="1"/>
  <c r="BY179" i="1" s="1"/>
  <c r="CB179" i="1" s="1"/>
  <c r="CC179" i="1" s="1"/>
  <c r="AU192" i="1"/>
  <c r="CB1172" i="1"/>
  <c r="CC1172" i="1" s="1"/>
  <c r="CB1105" i="1"/>
  <c r="CC1105" i="1" s="1"/>
  <c r="CF881" i="1"/>
  <c r="CG881" i="1" s="1"/>
  <c r="CH881" i="1" s="1"/>
  <c r="CI881" i="1" s="1"/>
  <c r="CH737" i="1"/>
  <c r="CI737" i="1" s="1"/>
  <c r="CH538" i="1"/>
  <c r="CI538" i="1" s="1"/>
  <c r="CF593" i="1"/>
  <c r="CG593" i="1" s="1"/>
  <c r="CH593" i="1" s="1"/>
  <c r="CB576" i="1"/>
  <c r="CC576" i="1" s="1"/>
  <c r="CF346" i="1"/>
  <c r="CG346" i="1" s="1"/>
  <c r="CH346" i="1" s="1"/>
  <c r="CI346" i="1" s="1"/>
  <c r="CH417" i="1"/>
  <c r="CI417" i="1" s="1"/>
  <c r="CF251" i="1"/>
  <c r="CG251" i="1" s="1"/>
  <c r="CH251" i="1" s="1"/>
  <c r="CI251" i="1" s="1"/>
  <c r="BX1153" i="1"/>
  <c r="BY1153" i="1" s="1"/>
  <c r="CB1153" i="1" s="1"/>
  <c r="CC1153" i="1" s="1"/>
  <c r="BX817" i="1"/>
  <c r="BY817" i="1" s="1"/>
  <c r="CB817" i="1" s="1"/>
  <c r="CC817" i="1" s="1"/>
  <c r="CF699" i="1"/>
  <c r="CG699" i="1" s="1"/>
  <c r="CH699" i="1" s="1"/>
  <c r="CH428" i="1"/>
  <c r="BX443" i="1"/>
  <c r="BY443" i="1" s="1"/>
  <c r="CB443" i="1" s="1"/>
  <c r="CB259" i="1"/>
  <c r="CC259" i="1" s="1"/>
  <c r="AU833" i="1"/>
  <c r="AU793" i="1"/>
  <c r="CH975" i="1"/>
  <c r="CI975" i="1" s="1"/>
  <c r="CH947" i="1"/>
  <c r="CI947" i="1" s="1"/>
  <c r="CB913" i="1"/>
  <c r="BX538" i="1"/>
  <c r="BY538" i="1" s="1"/>
  <c r="CB538" i="1" s="1"/>
  <c r="CC538" i="1" s="1"/>
  <c r="CF523" i="1"/>
  <c r="CG523" i="1" s="1"/>
  <c r="CH523" i="1" s="1"/>
  <c r="CI523" i="1" s="1"/>
  <c r="CH491" i="1"/>
  <c r="CH338" i="1"/>
  <c r="BX417" i="1"/>
  <c r="BY417" i="1" s="1"/>
  <c r="CB417" i="1" s="1"/>
  <c r="CC417" i="1" s="1"/>
  <c r="CF311" i="1"/>
  <c r="CG311" i="1" s="1"/>
  <c r="CH311" i="1" s="1"/>
  <c r="CB251" i="1"/>
  <c r="CC251" i="1" s="1"/>
  <c r="CH158" i="1"/>
  <c r="CI158" i="1" s="1"/>
  <c r="CB90" i="1"/>
  <c r="CC90" i="1" s="1"/>
  <c r="CF801" i="1"/>
  <c r="CG801" i="1" s="1"/>
  <c r="CH801" i="1" s="1"/>
  <c r="CI801" i="1" s="1"/>
  <c r="CH396" i="1"/>
  <c r="CI396" i="1" s="1"/>
  <c r="CH865" i="1"/>
  <c r="CI865" i="1" s="1"/>
  <c r="AU753" i="1"/>
  <c r="CF913" i="1"/>
  <c r="CG913" i="1" s="1"/>
  <c r="CH913" i="1" s="1"/>
  <c r="CH301" i="1"/>
  <c r="CI301" i="1" s="1"/>
  <c r="CF897" i="1"/>
  <c r="CG897" i="1" s="1"/>
  <c r="CH897" i="1" s="1"/>
  <c r="CI897" i="1" s="1"/>
  <c r="BX753" i="1"/>
  <c r="BY753" i="1" s="1"/>
  <c r="CB753" i="1" s="1"/>
  <c r="CC753" i="1" s="1"/>
  <c r="BX683" i="1"/>
  <c r="BY683" i="1" s="1"/>
  <c r="CB683" i="1" s="1"/>
  <c r="CC683" i="1" s="1"/>
  <c r="BX539" i="1"/>
  <c r="BY539" i="1" s="1"/>
  <c r="CB539" i="1" s="1"/>
  <c r="CC539" i="1" s="1"/>
  <c r="CF577" i="1"/>
  <c r="CG577" i="1" s="1"/>
  <c r="CH577" i="1" s="1"/>
  <c r="BX468" i="1"/>
  <c r="BY468" i="1" s="1"/>
  <c r="CB468" i="1" s="1"/>
  <c r="CC468" i="1" s="1"/>
  <c r="CF412" i="1"/>
  <c r="CG412" i="1" s="1"/>
  <c r="CH412" i="1" s="1"/>
  <c r="CI412" i="1" s="1"/>
  <c r="CF351" i="1"/>
  <c r="CG351" i="1" s="1"/>
  <c r="CH351" i="1" s="1"/>
  <c r="CI351" i="1" s="1"/>
  <c r="CF459" i="1"/>
  <c r="CG459" i="1" s="1"/>
  <c r="CH459" i="1" s="1"/>
  <c r="CI459" i="1" s="1"/>
  <c r="CF293" i="1"/>
  <c r="CG293" i="1" s="1"/>
  <c r="CH293" i="1" s="1"/>
  <c r="CI293" i="1" s="1"/>
  <c r="BX185" i="1"/>
  <c r="BY185" i="1" s="1"/>
  <c r="CB185" i="1" s="1"/>
  <c r="AV1074" i="1"/>
  <c r="AU769" i="1"/>
  <c r="AV640" i="1"/>
  <c r="AU410" i="1"/>
  <c r="AU51" i="1"/>
  <c r="CH769" i="1"/>
  <c r="CI769" i="1" s="1"/>
  <c r="CF721" i="1"/>
  <c r="CG721" i="1" s="1"/>
  <c r="CH721" i="1" s="1"/>
  <c r="CI721" i="1" s="1"/>
  <c r="CF522" i="1"/>
  <c r="CG522" i="1" s="1"/>
  <c r="CH522" i="1" s="1"/>
  <c r="CI522" i="1" s="1"/>
  <c r="BX961" i="1"/>
  <c r="BY961" i="1" s="1"/>
  <c r="CB961" i="1" s="1"/>
  <c r="CC961" i="1" s="1"/>
  <c r="BX411" i="1"/>
  <c r="BY411" i="1" s="1"/>
  <c r="CB411" i="1" s="1"/>
  <c r="CC411" i="1" s="1"/>
  <c r="CF484" i="1"/>
  <c r="CG484" i="1" s="1"/>
  <c r="CH484" i="1" s="1"/>
  <c r="CF507" i="1"/>
  <c r="CG507" i="1" s="1"/>
  <c r="CH507" i="1" s="1"/>
  <c r="CB172" i="1"/>
  <c r="CC172" i="1" s="1"/>
  <c r="CH185" i="1"/>
  <c r="AU713" i="1"/>
  <c r="AU241" i="1"/>
  <c r="AU831" i="1"/>
  <c r="AU180" i="1"/>
  <c r="CH1178" i="1"/>
  <c r="CI1178" i="1" s="1"/>
  <c r="CB886" i="1"/>
  <c r="CC886" i="1" s="1"/>
  <c r="CH740" i="1"/>
  <c r="CI740" i="1" s="1"/>
  <c r="CH753" i="1"/>
  <c r="CI753" i="1" s="1"/>
  <c r="BX737" i="1"/>
  <c r="BY737" i="1" s="1"/>
  <c r="CB737" i="1" s="1"/>
  <c r="CC737" i="1" s="1"/>
  <c r="BX769" i="1"/>
  <c r="BY769" i="1" s="1"/>
  <c r="CB769" i="1" s="1"/>
  <c r="CC769" i="1" s="1"/>
  <c r="CB721" i="1"/>
  <c r="CC721" i="1" s="1"/>
  <c r="CB577" i="1"/>
  <c r="CB522" i="1"/>
  <c r="CC522" i="1" s="1"/>
  <c r="CH433" i="1"/>
  <c r="CI433" i="1" s="1"/>
  <c r="CF323" i="1"/>
  <c r="CG323" i="1" s="1"/>
  <c r="CH323" i="1" s="1"/>
  <c r="CI323" i="1" s="1"/>
  <c r="CF287" i="1"/>
  <c r="CG287" i="1" s="1"/>
  <c r="CH287" i="1" s="1"/>
  <c r="CI287" i="1" s="1"/>
  <c r="CF235" i="1"/>
  <c r="CG235" i="1" s="1"/>
  <c r="CH235" i="1" s="1"/>
  <c r="CF203" i="1"/>
  <c r="CG203" i="1" s="1"/>
  <c r="CH203" i="1" s="1"/>
  <c r="CI203" i="1" s="1"/>
  <c r="CB188" i="1"/>
  <c r="CC188" i="1" s="1"/>
  <c r="CF191" i="1"/>
  <c r="CG191" i="1" s="1"/>
  <c r="CH191" i="1" s="1"/>
  <c r="CI191" i="1" s="1"/>
  <c r="CF1137" i="1"/>
  <c r="CG1137" i="1" s="1"/>
  <c r="CH1137" i="1" s="1"/>
  <c r="CI1137" i="1" s="1"/>
  <c r="CH961" i="1"/>
  <c r="CI961" i="1" s="1"/>
  <c r="CF609" i="1"/>
  <c r="CG609" i="1" s="1"/>
  <c r="CH609" i="1" s="1"/>
  <c r="CI609" i="1" s="1"/>
  <c r="CF464" i="1"/>
  <c r="CG464" i="1" s="1"/>
  <c r="CH464" i="1" s="1"/>
  <c r="CI464" i="1" s="1"/>
  <c r="BX386" i="1"/>
  <c r="BY386" i="1" s="1"/>
  <c r="CB386" i="1" s="1"/>
  <c r="CC386" i="1" s="1"/>
  <c r="CF317" i="1"/>
  <c r="CG317" i="1" s="1"/>
  <c r="CH317" i="1" s="1"/>
  <c r="CI317" i="1" s="1"/>
  <c r="CH619" i="1"/>
  <c r="CI619" i="1" s="1"/>
  <c r="CB655" i="1"/>
  <c r="CC655" i="1" s="1"/>
  <c r="AV452" i="1"/>
  <c r="CF1089" i="1"/>
  <c r="CG1089" i="1" s="1"/>
  <c r="CH1089" i="1" s="1"/>
  <c r="CI1089" i="1" s="1"/>
  <c r="BX865" i="1"/>
  <c r="BY865" i="1" s="1"/>
  <c r="CB865" i="1" s="1"/>
  <c r="CC865" i="1" s="1"/>
  <c r="CF785" i="1"/>
  <c r="CG785" i="1" s="1"/>
  <c r="CH785" i="1" s="1"/>
  <c r="CI785" i="1" s="1"/>
  <c r="CB651" i="1"/>
  <c r="CC651" i="1" s="1"/>
  <c r="CF362" i="1"/>
  <c r="CG362" i="1" s="1"/>
  <c r="CH362" i="1" s="1"/>
  <c r="CF506" i="1"/>
  <c r="CG506" i="1" s="1"/>
  <c r="CH506" i="1" s="1"/>
  <c r="CI506" i="1" s="1"/>
  <c r="CB235" i="1"/>
  <c r="CB203" i="1"/>
  <c r="CC203" i="1" s="1"/>
  <c r="CB191" i="1"/>
  <c r="CC191" i="1" s="1"/>
  <c r="CB122" i="1"/>
  <c r="CC122" i="1" s="1"/>
  <c r="CH1009" i="1"/>
  <c r="CI1009" i="1" s="1"/>
  <c r="BX428" i="1"/>
  <c r="BY428" i="1" s="1"/>
  <c r="CB428" i="1" s="1"/>
  <c r="CB323" i="1"/>
  <c r="CC323" i="1" s="1"/>
  <c r="CF324" i="1"/>
  <c r="CG324" i="1" s="1"/>
  <c r="CH324" i="1" s="1"/>
  <c r="CH179" i="1"/>
  <c r="CI179" i="1" s="1"/>
  <c r="CF308" i="1"/>
  <c r="CG308" i="1" s="1"/>
  <c r="CH308" i="1" s="1"/>
  <c r="CB921" i="1"/>
  <c r="CC921" i="1" s="1"/>
  <c r="CH361" i="1"/>
  <c r="CI361" i="1" s="1"/>
  <c r="CB205" i="1"/>
  <c r="CC205" i="1" s="1"/>
  <c r="CB63" i="1"/>
  <c r="CC63" i="1" s="1"/>
  <c r="BX380" i="1"/>
  <c r="BY380" i="1" s="1"/>
  <c r="CB380" i="1" s="1"/>
  <c r="CC380" i="1" s="1"/>
  <c r="CF296" i="1"/>
  <c r="CG296" i="1" s="1"/>
  <c r="CH296" i="1" s="1"/>
  <c r="CH587" i="1"/>
  <c r="CI587" i="1" s="1"/>
  <c r="CH979" i="1"/>
  <c r="CI979" i="1" s="1"/>
  <c r="CH692" i="1"/>
  <c r="CB489" i="1"/>
  <c r="CC489" i="1" s="1"/>
  <c r="CF408" i="1"/>
  <c r="CG408" i="1" s="1"/>
  <c r="CH408" i="1" s="1"/>
  <c r="CI408" i="1" s="1"/>
  <c r="CB88" i="1"/>
  <c r="CH616" i="1"/>
  <c r="CI616" i="1" s="1"/>
  <c r="CH483" i="1"/>
  <c r="CI483" i="1" s="1"/>
  <c r="CB94" i="1"/>
  <c r="CC94" i="1" s="1"/>
  <c r="CB70" i="1"/>
  <c r="CC70" i="1" s="1"/>
  <c r="CB15" i="1"/>
  <c r="CC15" i="1" s="1"/>
  <c r="CB585" i="1"/>
  <c r="CC585" i="1" s="1"/>
  <c r="CH1073" i="1"/>
  <c r="CI1073" i="1" s="1"/>
  <c r="CH778" i="1"/>
  <c r="CI778" i="1" s="1"/>
  <c r="CB16" i="1"/>
  <c r="CC16" i="1" s="1"/>
  <c r="CB698" i="1"/>
  <c r="CC698" i="1" s="1"/>
  <c r="CB28" i="1"/>
  <c r="CC28" i="1" s="1"/>
  <c r="CH758" i="1"/>
  <c r="CI758" i="1" s="1"/>
  <c r="CH383" i="1"/>
  <c r="CI383" i="1" s="1"/>
  <c r="CH8" i="1"/>
  <c r="CI8" i="1" s="1"/>
  <c r="CB1115" i="1"/>
  <c r="CC1115" i="1" s="1"/>
  <c r="CH112" i="1"/>
  <c r="CB592" i="1"/>
  <c r="CC592" i="1" s="1"/>
  <c r="CB872" i="1"/>
  <c r="CH133" i="1"/>
  <c r="CI133" i="1" s="1"/>
  <c r="CH1039" i="1"/>
  <c r="CI1039" i="1" s="1"/>
  <c r="CB38" i="1"/>
  <c r="CC38" i="1" s="1"/>
  <c r="CH1126" i="1"/>
  <c r="CH411" i="1"/>
  <c r="CI411" i="1" s="1"/>
  <c r="CH60" i="1"/>
  <c r="CB184" i="1"/>
  <c r="CH248" i="1"/>
  <c r="CI248" i="1" s="1"/>
  <c r="CH256" i="1"/>
  <c r="CI256" i="1" s="1"/>
  <c r="CB314" i="1"/>
  <c r="CC314" i="1" s="1"/>
  <c r="CB358" i="1"/>
  <c r="CC358" i="1" s="1"/>
  <c r="CB572" i="1"/>
  <c r="CC572" i="1" s="1"/>
  <c r="CB283" i="1"/>
  <c r="CC283" i="1" s="1"/>
  <c r="CH957" i="1"/>
  <c r="CI957" i="1" s="1"/>
  <c r="CH973" i="1"/>
  <c r="CI973" i="1" s="1"/>
  <c r="CB1021" i="1"/>
  <c r="CH535" i="1"/>
  <c r="CI535" i="1" s="1"/>
  <c r="BX765" i="1"/>
  <c r="BY765" i="1" s="1"/>
  <c r="CB765" i="1" s="1"/>
  <c r="CC765" i="1" s="1"/>
  <c r="CH720" i="1"/>
  <c r="CI720" i="1" s="1"/>
  <c r="BX535" i="1"/>
  <c r="BY535" i="1" s="1"/>
  <c r="CB535" i="1" s="1"/>
  <c r="CC535" i="1" s="1"/>
  <c r="BX342" i="1"/>
  <c r="BY342" i="1" s="1"/>
  <c r="CB342" i="1" s="1"/>
  <c r="CC342" i="1" s="1"/>
  <c r="CH201" i="1"/>
  <c r="CI201" i="1" s="1"/>
  <c r="CF231" i="1"/>
  <c r="CG231" i="1" s="1"/>
  <c r="CH231" i="1" s="1"/>
  <c r="CI231" i="1" s="1"/>
  <c r="CH252" i="1"/>
  <c r="CI252" i="1" s="1"/>
  <c r="CB66" i="1"/>
  <c r="CC66" i="1" s="1"/>
  <c r="CB34" i="1"/>
  <c r="CC34" i="1" s="1"/>
  <c r="BX589" i="1"/>
  <c r="BY589" i="1" s="1"/>
  <c r="CB589" i="1" s="1"/>
  <c r="CC589" i="1" s="1"/>
  <c r="BX439" i="1"/>
  <c r="BY439" i="1" s="1"/>
  <c r="CB439" i="1" s="1"/>
  <c r="CC439" i="1" s="1"/>
  <c r="AU1114" i="1"/>
  <c r="AV4" i="1"/>
  <c r="CB1149" i="1"/>
  <c r="CC1149" i="1" s="1"/>
  <c r="AU196" i="1"/>
  <c r="CH1037" i="1"/>
  <c r="CI1037" i="1" s="1"/>
  <c r="AU1121" i="1"/>
  <c r="AU487" i="1"/>
  <c r="BX1117" i="1"/>
  <c r="BY1117" i="1" s="1"/>
  <c r="CB1117" i="1" s="1"/>
  <c r="CC1117" i="1" s="1"/>
  <c r="CB1085" i="1"/>
  <c r="CC1085" i="1" s="1"/>
  <c r="BX1037" i="1"/>
  <c r="BY1037" i="1" s="1"/>
  <c r="CB1037" i="1" s="1"/>
  <c r="CC1037" i="1" s="1"/>
  <c r="CB909" i="1"/>
  <c r="CC909" i="1" s="1"/>
  <c r="CB861" i="1"/>
  <c r="CC861" i="1" s="1"/>
  <c r="BX733" i="1"/>
  <c r="BY733" i="1" s="1"/>
  <c r="CB733" i="1" s="1"/>
  <c r="CC733" i="1" s="1"/>
  <c r="CH688" i="1"/>
  <c r="CI688" i="1" s="1"/>
  <c r="CF556" i="1"/>
  <c r="CG556" i="1" s="1"/>
  <c r="CH556" i="1" s="1"/>
  <c r="CI556" i="1" s="1"/>
  <c r="CH534" i="1"/>
  <c r="CI534" i="1" s="1"/>
  <c r="CF518" i="1"/>
  <c r="CG518" i="1" s="1"/>
  <c r="CH518" i="1" s="1"/>
  <c r="CI518" i="1" s="1"/>
  <c r="CB320" i="1"/>
  <c r="CF283" i="1"/>
  <c r="CG283" i="1" s="1"/>
  <c r="CH283" i="1" s="1"/>
  <c r="CI283" i="1" s="1"/>
  <c r="BX429" i="1"/>
  <c r="BY429" i="1" s="1"/>
  <c r="CB429" i="1" s="1"/>
  <c r="CC429" i="1" s="1"/>
  <c r="BX353" i="1"/>
  <c r="BY353" i="1" s="1"/>
  <c r="CB353" i="1" s="1"/>
  <c r="CC353" i="1" s="1"/>
  <c r="CB231" i="1"/>
  <c r="CC231" i="1" s="1"/>
  <c r="CH154" i="1"/>
  <c r="CI154" i="1" s="1"/>
  <c r="CF1133" i="1"/>
  <c r="CG1133" i="1" s="1"/>
  <c r="CH1133" i="1" s="1"/>
  <c r="CI1133" i="1" s="1"/>
  <c r="CF893" i="1"/>
  <c r="CG893" i="1" s="1"/>
  <c r="CH893" i="1" s="1"/>
  <c r="CI893" i="1" s="1"/>
  <c r="CF695" i="1"/>
  <c r="CG695" i="1" s="1"/>
  <c r="CH695" i="1" s="1"/>
  <c r="CI695" i="1" s="1"/>
  <c r="CF864" i="1"/>
  <c r="CG864" i="1" s="1"/>
  <c r="CH864" i="1" s="1"/>
  <c r="CI864" i="1" s="1"/>
  <c r="BX781" i="1"/>
  <c r="BY781" i="1" s="1"/>
  <c r="CB781" i="1" s="1"/>
  <c r="CC781" i="1" s="1"/>
  <c r="BX679" i="1"/>
  <c r="BY679" i="1" s="1"/>
  <c r="CB679" i="1" s="1"/>
  <c r="BX624" i="1"/>
  <c r="BY624" i="1" s="1"/>
  <c r="CB624" i="1" s="1"/>
  <c r="CC624" i="1" s="1"/>
  <c r="CF663" i="1"/>
  <c r="CG663" i="1" s="1"/>
  <c r="CH663" i="1" s="1"/>
  <c r="CI663" i="1" s="1"/>
  <c r="CF832" i="1"/>
  <c r="CG832" i="1" s="1"/>
  <c r="CH832" i="1" s="1"/>
  <c r="BX519" i="1"/>
  <c r="BY519" i="1" s="1"/>
  <c r="CB519" i="1" s="1"/>
  <c r="CC519" i="1" s="1"/>
  <c r="BX424" i="1"/>
  <c r="BY424" i="1" s="1"/>
  <c r="CB424" i="1" s="1"/>
  <c r="CF647" i="1"/>
  <c r="CG647" i="1" s="1"/>
  <c r="CH647" i="1" s="1"/>
  <c r="CI647" i="1" s="1"/>
  <c r="BX440" i="1"/>
  <c r="BY440" i="1" s="1"/>
  <c r="CB440" i="1" s="1"/>
  <c r="CC440" i="1" s="1"/>
  <c r="CF480" i="1"/>
  <c r="CG480" i="1" s="1"/>
  <c r="CH480" i="1" s="1"/>
  <c r="CI480" i="1" s="1"/>
  <c r="CB206" i="1"/>
  <c r="CC206" i="1" s="1"/>
  <c r="CB330" i="1"/>
  <c r="CB336" i="1"/>
  <c r="CC336" i="1" s="1"/>
  <c r="CH418" i="1"/>
  <c r="CI418" i="1" s="1"/>
  <c r="CB528" i="1"/>
  <c r="CC528" i="1" s="1"/>
  <c r="AU506" i="1"/>
  <c r="CF1149" i="1"/>
  <c r="CG1149" i="1" s="1"/>
  <c r="CH1149" i="1" s="1"/>
  <c r="CI1149" i="1" s="1"/>
  <c r="CB1101" i="1"/>
  <c r="CC1101" i="1" s="1"/>
  <c r="CH1050" i="1"/>
  <c r="CI1050" i="1" s="1"/>
  <c r="CH1018" i="1"/>
  <c r="CF845" i="1"/>
  <c r="CG845" i="1" s="1"/>
  <c r="CH845" i="1" s="1"/>
  <c r="CI845" i="1" s="1"/>
  <c r="CF813" i="1"/>
  <c r="CG813" i="1" s="1"/>
  <c r="CH813" i="1" s="1"/>
  <c r="CI813" i="1" s="1"/>
  <c r="BX749" i="1"/>
  <c r="BY749" i="1" s="1"/>
  <c r="CB749" i="1" s="1"/>
  <c r="CC749" i="1" s="1"/>
  <c r="BX672" i="1"/>
  <c r="BY672" i="1" s="1"/>
  <c r="CB672" i="1" s="1"/>
  <c r="CC672" i="1" s="1"/>
  <c r="CH496" i="1"/>
  <c r="CI496" i="1" s="1"/>
  <c r="CH381" i="1"/>
  <c r="CI381" i="1" s="1"/>
  <c r="CB318" i="1"/>
  <c r="CC318" i="1" s="1"/>
  <c r="CF271" i="1"/>
  <c r="CG271" i="1" s="1"/>
  <c r="CH271" i="1" s="1"/>
  <c r="CB199" i="1"/>
  <c r="CC199" i="1" s="1"/>
  <c r="CB223" i="1"/>
  <c r="CC223" i="1" s="1"/>
  <c r="BX193" i="1"/>
  <c r="BY193" i="1" s="1"/>
  <c r="CB193" i="1" s="1"/>
  <c r="CC193" i="1" s="1"/>
  <c r="BX218" i="1"/>
  <c r="BY218" i="1" s="1"/>
  <c r="CB218" i="1" s="1"/>
  <c r="CC218" i="1" s="1"/>
  <c r="BX1165" i="1"/>
  <c r="BY1165" i="1" s="1"/>
  <c r="CB1165" i="1" s="1"/>
  <c r="CC1165" i="1" s="1"/>
  <c r="CF1104" i="1"/>
  <c r="CG1104" i="1" s="1"/>
  <c r="CH1104" i="1" s="1"/>
  <c r="CI1104" i="1" s="1"/>
  <c r="BX1200" i="1"/>
  <c r="BY1200" i="1" s="1"/>
  <c r="CB1200" i="1" s="1"/>
  <c r="CC1200" i="1" s="1"/>
  <c r="BX925" i="1"/>
  <c r="BY925" i="1" s="1"/>
  <c r="CB925" i="1" s="1"/>
  <c r="CC925" i="1" s="1"/>
  <c r="CB460" i="1"/>
  <c r="BX471" i="1"/>
  <c r="BY471" i="1" s="1"/>
  <c r="CB471" i="1" s="1"/>
  <c r="CC471" i="1" s="1"/>
  <c r="CF550" i="1"/>
  <c r="CG550" i="1" s="1"/>
  <c r="CH550" i="1" s="1"/>
  <c r="CH503" i="1"/>
  <c r="CI503" i="1" s="1"/>
  <c r="BX387" i="1"/>
  <c r="BY387" i="1" s="1"/>
  <c r="CB387" i="1" s="1"/>
  <c r="CC387" i="1" s="1"/>
  <c r="BX248" i="1"/>
  <c r="BY248" i="1" s="1"/>
  <c r="CB248" i="1" s="1"/>
  <c r="CC248" i="1" s="1"/>
  <c r="AV985" i="1"/>
  <c r="AU737" i="1"/>
  <c r="CH1165" i="1"/>
  <c r="CI1165" i="1" s="1"/>
  <c r="BX704" i="1"/>
  <c r="BY704" i="1" s="1"/>
  <c r="CB704" i="1" s="1"/>
  <c r="CH627" i="1"/>
  <c r="CI627" i="1" s="1"/>
  <c r="BX381" i="1"/>
  <c r="BY381" i="1" s="1"/>
  <c r="CB381" i="1" s="1"/>
  <c r="CC381" i="1" s="1"/>
  <c r="CF319" i="1"/>
  <c r="CG319" i="1" s="1"/>
  <c r="CH319" i="1" s="1"/>
  <c r="CI319" i="1" s="1"/>
  <c r="CF1197" i="1"/>
  <c r="CG1197" i="1" s="1"/>
  <c r="CH1197" i="1" s="1"/>
  <c r="CI1197" i="1" s="1"/>
  <c r="CF1024" i="1"/>
  <c r="CG1024" i="1" s="1"/>
  <c r="CH1024" i="1" s="1"/>
  <c r="CI1024" i="1" s="1"/>
  <c r="CF896" i="1"/>
  <c r="CG896" i="1" s="1"/>
  <c r="CH896" i="1" s="1"/>
  <c r="CI896" i="1" s="1"/>
  <c r="BX1008" i="1"/>
  <c r="BY1008" i="1" s="1"/>
  <c r="CB1008" i="1" s="1"/>
  <c r="CC1008" i="1" s="1"/>
  <c r="CF941" i="1"/>
  <c r="CG941" i="1" s="1"/>
  <c r="CH941" i="1" s="1"/>
  <c r="CI941" i="1" s="1"/>
  <c r="BX496" i="1"/>
  <c r="BY496" i="1" s="1"/>
  <c r="CB496" i="1" s="1"/>
  <c r="CC496" i="1" s="1"/>
  <c r="BX503" i="1"/>
  <c r="BY503" i="1" s="1"/>
  <c r="CB503" i="1" s="1"/>
  <c r="CC503" i="1" s="1"/>
  <c r="BX797" i="1"/>
  <c r="BY797" i="1" s="1"/>
  <c r="CB797" i="1" s="1"/>
  <c r="CC797" i="1" s="1"/>
  <c r="CB271" i="1"/>
  <c r="CH149" i="1"/>
  <c r="CI149" i="1" s="1"/>
  <c r="CF184" i="1"/>
  <c r="CG184" i="1" s="1"/>
  <c r="CH184" i="1" s="1"/>
  <c r="BX256" i="1"/>
  <c r="BY256" i="1" s="1"/>
  <c r="CB256" i="1" s="1"/>
  <c r="CC256" i="1" s="1"/>
  <c r="AV1004" i="1"/>
  <c r="AU637" i="1"/>
  <c r="AU441" i="1"/>
  <c r="AU81" i="1"/>
  <c r="CB1104" i="1"/>
  <c r="CC1104" i="1" s="1"/>
  <c r="CB1056" i="1"/>
  <c r="CC1056" i="1" s="1"/>
  <c r="CF717" i="1"/>
  <c r="CG717" i="1" s="1"/>
  <c r="CH717" i="1" s="1"/>
  <c r="CF572" i="1"/>
  <c r="CG572" i="1" s="1"/>
  <c r="CH572" i="1" s="1"/>
  <c r="CI572" i="1" s="1"/>
  <c r="CB319" i="1"/>
  <c r="CC319" i="1" s="1"/>
  <c r="CH1005" i="1"/>
  <c r="CI1005" i="1" s="1"/>
  <c r="CH1040" i="1"/>
  <c r="CI1040" i="1" s="1"/>
  <c r="BX627" i="1"/>
  <c r="BY627" i="1" s="1"/>
  <c r="CB627" i="1" s="1"/>
  <c r="CC627" i="1" s="1"/>
  <c r="BX487" i="1"/>
  <c r="BY487" i="1" s="1"/>
  <c r="CB487" i="1" s="1"/>
  <c r="CC487" i="1" s="1"/>
  <c r="CF413" i="1"/>
  <c r="CG413" i="1" s="1"/>
  <c r="CH413" i="1" s="1"/>
  <c r="CI413" i="1" s="1"/>
  <c r="CH380" i="1"/>
  <c r="CI380" i="1" s="1"/>
  <c r="BX375" i="1"/>
  <c r="BY375" i="1" s="1"/>
  <c r="CB375" i="1" s="1"/>
  <c r="CB161" i="1"/>
  <c r="CC161" i="1" s="1"/>
  <c r="CB674" i="1"/>
  <c r="CC674" i="1" s="1"/>
  <c r="CH690" i="1"/>
  <c r="CI690" i="1" s="1"/>
  <c r="CH1106" i="1"/>
  <c r="CI1106" i="1" s="1"/>
  <c r="CB136" i="1"/>
  <c r="CC136" i="1" s="1"/>
  <c r="CH56" i="1"/>
  <c r="CI56" i="1" s="1"/>
  <c r="CB813" i="1"/>
  <c r="CC813" i="1" s="1"/>
  <c r="AU878" i="1"/>
  <c r="CB1144" i="1"/>
  <c r="CC1144" i="1" s="1"/>
  <c r="CB1065" i="1"/>
  <c r="CC1065" i="1" s="1"/>
  <c r="CB1072" i="1"/>
  <c r="CC1072" i="1" s="1"/>
  <c r="CH927" i="1"/>
  <c r="CI927" i="1" s="1"/>
  <c r="CB864" i="1"/>
  <c r="CC864" i="1" s="1"/>
  <c r="CH733" i="1"/>
  <c r="CI733" i="1" s="1"/>
  <c r="CF640" i="1"/>
  <c r="CG640" i="1" s="1"/>
  <c r="CH640" i="1" s="1"/>
  <c r="CI640" i="1" s="1"/>
  <c r="CB717" i="1"/>
  <c r="CH349" i="1"/>
  <c r="CI349" i="1" s="1"/>
  <c r="CF314" i="1"/>
  <c r="CG314" i="1" s="1"/>
  <c r="CH314" i="1" s="1"/>
  <c r="CI314" i="1" s="1"/>
  <c r="CF212" i="1"/>
  <c r="CG212" i="1" s="1"/>
  <c r="CH212" i="1" s="1"/>
  <c r="CI212" i="1" s="1"/>
  <c r="BX175" i="1"/>
  <c r="BY175" i="1" s="1"/>
  <c r="CB175" i="1" s="1"/>
  <c r="CC175" i="1" s="1"/>
  <c r="CF784" i="1"/>
  <c r="CG784" i="1" s="1"/>
  <c r="CH784" i="1" s="1"/>
  <c r="CF605" i="1"/>
  <c r="CG605" i="1" s="1"/>
  <c r="CH605" i="1" s="1"/>
  <c r="CI605" i="1" s="1"/>
  <c r="CH392" i="1"/>
  <c r="CI392" i="1" s="1"/>
  <c r="BX551" i="1"/>
  <c r="BY551" i="1" s="1"/>
  <c r="CB551" i="1" s="1"/>
  <c r="CC551" i="1" s="1"/>
  <c r="CH424" i="1"/>
  <c r="CF455" i="1"/>
  <c r="CG455" i="1" s="1"/>
  <c r="CH455" i="1" s="1"/>
  <c r="CI455" i="1" s="1"/>
  <c r="CH387" i="1"/>
  <c r="CI387" i="1" s="1"/>
  <c r="BX268" i="1"/>
  <c r="BY268" i="1" s="1"/>
  <c r="CB268" i="1" s="1"/>
  <c r="CC268" i="1" s="1"/>
  <c r="CH51" i="1"/>
  <c r="CI51" i="1" s="1"/>
  <c r="CB153" i="1"/>
  <c r="CC153" i="1" s="1"/>
  <c r="AU897" i="1"/>
  <c r="AV550" i="1"/>
  <c r="CB1125" i="1"/>
  <c r="AU854" i="1"/>
  <c r="CB1088" i="1"/>
  <c r="CC1088" i="1" s="1"/>
  <c r="CH768" i="1"/>
  <c r="CI768" i="1" s="1"/>
  <c r="CB756" i="1"/>
  <c r="CB699" i="1"/>
  <c r="CH422" i="1"/>
  <c r="CI422" i="1" s="1"/>
  <c r="CF247" i="1"/>
  <c r="CG247" i="1" s="1"/>
  <c r="CH247" i="1" s="1"/>
  <c r="CB33" i="1"/>
  <c r="CC33" i="1" s="1"/>
  <c r="BX1005" i="1"/>
  <c r="BY1005" i="1" s="1"/>
  <c r="CB1005" i="1" s="1"/>
  <c r="CC1005" i="1" s="1"/>
  <c r="BX816" i="1"/>
  <c r="BY816" i="1" s="1"/>
  <c r="CB816" i="1" s="1"/>
  <c r="CC816" i="1" s="1"/>
  <c r="CF877" i="1"/>
  <c r="CG877" i="1" s="1"/>
  <c r="CH877" i="1" s="1"/>
  <c r="CI877" i="1" s="1"/>
  <c r="CB739" i="1"/>
  <c r="CC739" i="1" s="1"/>
  <c r="CB559" i="1"/>
  <c r="CF292" i="1"/>
  <c r="CG292" i="1" s="1"/>
  <c r="CH292" i="1" s="1"/>
  <c r="CI292" i="1" s="1"/>
  <c r="CH268" i="1"/>
  <c r="CI268" i="1" s="1"/>
  <c r="CH80" i="1"/>
  <c r="CI80" i="1" s="1"/>
  <c r="CB229" i="1"/>
  <c r="CC229" i="1" s="1"/>
  <c r="CB245" i="1"/>
  <c r="CB345" i="1"/>
  <c r="CC345" i="1" s="1"/>
  <c r="CB357" i="1"/>
  <c r="CC357" i="1" s="1"/>
  <c r="CB385" i="1"/>
  <c r="CC385" i="1" s="1"/>
  <c r="CB397" i="1"/>
  <c r="CC397" i="1" s="1"/>
  <c r="CB437" i="1"/>
  <c r="CC437" i="1" s="1"/>
  <c r="CB469" i="1"/>
  <c r="CB501" i="1"/>
  <c r="CC501" i="1" s="1"/>
  <c r="CB661" i="1"/>
  <c r="CC661" i="1" s="1"/>
  <c r="CH715" i="1"/>
  <c r="CI715" i="1" s="1"/>
  <c r="CB843" i="1"/>
  <c r="CC843" i="1" s="1"/>
  <c r="CH907" i="1"/>
  <c r="CI907" i="1" s="1"/>
  <c r="CH1019" i="1"/>
  <c r="CH1035" i="1"/>
  <c r="CI1035" i="1" s="1"/>
  <c r="AU983" i="1"/>
  <c r="AU855" i="1"/>
  <c r="AU538" i="1"/>
  <c r="AV221" i="1"/>
  <c r="AU564" i="1"/>
  <c r="BX1202" i="1"/>
  <c r="BY1202" i="1" s="1"/>
  <c r="CB1202" i="1" s="1"/>
  <c r="CC1202" i="1" s="1"/>
  <c r="CH1138" i="1"/>
  <c r="CI1138" i="1" s="1"/>
  <c r="CF1058" i="1"/>
  <c r="CG1058" i="1" s="1"/>
  <c r="CH1058" i="1" s="1"/>
  <c r="CI1058" i="1" s="1"/>
  <c r="CF994" i="1"/>
  <c r="CG994" i="1" s="1"/>
  <c r="CH994" i="1" s="1"/>
  <c r="CI994" i="1" s="1"/>
  <c r="BX955" i="1"/>
  <c r="BY955" i="1" s="1"/>
  <c r="CB955" i="1" s="1"/>
  <c r="CF850" i="1"/>
  <c r="CG850" i="1" s="1"/>
  <c r="CH850" i="1" s="1"/>
  <c r="CI850" i="1" s="1"/>
  <c r="CB677" i="1"/>
  <c r="CC677" i="1" s="1"/>
  <c r="CB706" i="1"/>
  <c r="CC706" i="1" s="1"/>
  <c r="CB458" i="1"/>
  <c r="CC458" i="1" s="1"/>
  <c r="CF453" i="1"/>
  <c r="CG453" i="1" s="1"/>
  <c r="CH453" i="1" s="1"/>
  <c r="CI453" i="1" s="1"/>
  <c r="CB474" i="1"/>
  <c r="CC474" i="1" s="1"/>
  <c r="CB413" i="1"/>
  <c r="CC413" i="1" s="1"/>
  <c r="BX434" i="1"/>
  <c r="BY434" i="1" s="1"/>
  <c r="CB434" i="1" s="1"/>
  <c r="CC434" i="1" s="1"/>
  <c r="CJ434" i="1" s="1"/>
  <c r="BD434" i="1" s="1"/>
  <c r="BX242" i="1"/>
  <c r="BY242" i="1" s="1"/>
  <c r="CB242" i="1" s="1"/>
  <c r="CC242" i="1" s="1"/>
  <c r="CH25" i="1"/>
  <c r="CI25" i="1" s="1"/>
  <c r="CH1067" i="1"/>
  <c r="CI1067" i="1" s="1"/>
  <c r="BX779" i="1"/>
  <c r="BY779" i="1" s="1"/>
  <c r="CB779" i="1" s="1"/>
  <c r="CC779" i="1" s="1"/>
  <c r="BX715" i="1"/>
  <c r="BY715" i="1" s="1"/>
  <c r="CB715" i="1" s="1"/>
  <c r="CC715" i="1" s="1"/>
  <c r="BX763" i="1"/>
  <c r="BY763" i="1" s="1"/>
  <c r="CB763" i="1" s="1"/>
  <c r="CC763" i="1" s="1"/>
  <c r="CF603" i="1"/>
  <c r="CG603" i="1" s="1"/>
  <c r="CH603" i="1" s="1"/>
  <c r="CI603" i="1" s="1"/>
  <c r="CF397" i="1"/>
  <c r="CG397" i="1" s="1"/>
  <c r="CH397" i="1" s="1"/>
  <c r="CI397" i="1" s="1"/>
  <c r="BX517" i="1"/>
  <c r="BY517" i="1" s="1"/>
  <c r="CB517" i="1" s="1"/>
  <c r="CC517" i="1" s="1"/>
  <c r="CF379" i="1"/>
  <c r="CG379" i="1" s="1"/>
  <c r="CH379" i="1" s="1"/>
  <c r="BX533" i="1"/>
  <c r="BY533" i="1" s="1"/>
  <c r="CB533" i="1" s="1"/>
  <c r="CC533" i="1" s="1"/>
  <c r="CB435" i="1"/>
  <c r="CC435" i="1" s="1"/>
  <c r="CF345" i="1"/>
  <c r="CG345" i="1" s="1"/>
  <c r="CH345" i="1" s="1"/>
  <c r="CI345" i="1" s="1"/>
  <c r="CF357" i="1"/>
  <c r="CG357" i="1" s="1"/>
  <c r="CH357" i="1" s="1"/>
  <c r="CI357" i="1" s="1"/>
  <c r="CF333" i="1"/>
  <c r="CG333" i="1" s="1"/>
  <c r="CH333" i="1" s="1"/>
  <c r="CI333" i="1" s="1"/>
  <c r="CF173" i="1"/>
  <c r="CG173" i="1" s="1"/>
  <c r="CH173" i="1" s="1"/>
  <c r="CB95" i="1"/>
  <c r="AU329" i="1"/>
  <c r="AU47" i="1"/>
  <c r="AV213" i="1"/>
  <c r="AU447" i="1"/>
  <c r="CF1147" i="1"/>
  <c r="CG1147" i="1" s="1"/>
  <c r="CH1147" i="1" s="1"/>
  <c r="CI1147" i="1" s="1"/>
  <c r="CF1170" i="1"/>
  <c r="CG1170" i="1" s="1"/>
  <c r="CH1170" i="1" s="1"/>
  <c r="CI1170" i="1" s="1"/>
  <c r="BX1138" i="1"/>
  <c r="BY1138" i="1" s="1"/>
  <c r="CB1138" i="1" s="1"/>
  <c r="CC1138" i="1" s="1"/>
  <c r="CF1026" i="1"/>
  <c r="CG1026" i="1" s="1"/>
  <c r="CH1026" i="1" s="1"/>
  <c r="CI1026" i="1" s="1"/>
  <c r="CH952" i="1"/>
  <c r="CI952" i="1" s="1"/>
  <c r="CH1042" i="1"/>
  <c r="CI1042" i="1" s="1"/>
  <c r="BX802" i="1"/>
  <c r="BY802" i="1" s="1"/>
  <c r="CB802" i="1" s="1"/>
  <c r="CC802" i="1" s="1"/>
  <c r="CF795" i="1"/>
  <c r="CG795" i="1" s="1"/>
  <c r="CH795" i="1" s="1"/>
  <c r="CF827" i="1"/>
  <c r="CG827" i="1" s="1"/>
  <c r="CH827" i="1" s="1"/>
  <c r="CF786" i="1"/>
  <c r="CG786" i="1" s="1"/>
  <c r="CH786" i="1" s="1"/>
  <c r="CI786" i="1" s="1"/>
  <c r="CF693" i="1"/>
  <c r="CG693" i="1" s="1"/>
  <c r="CH693" i="1" s="1"/>
  <c r="CI693" i="1" s="1"/>
  <c r="BX587" i="1"/>
  <c r="BY587" i="1" s="1"/>
  <c r="CB587" i="1" s="1"/>
  <c r="CC587" i="1" s="1"/>
  <c r="CF402" i="1"/>
  <c r="CG402" i="1" s="1"/>
  <c r="CH402" i="1" s="1"/>
  <c r="BX485" i="1"/>
  <c r="BY485" i="1" s="1"/>
  <c r="CB485" i="1" s="1"/>
  <c r="CH209" i="1"/>
  <c r="CI209" i="1" s="1"/>
  <c r="CH365" i="1"/>
  <c r="BX194" i="1"/>
  <c r="BY194" i="1" s="1"/>
  <c r="CB194" i="1" s="1"/>
  <c r="CB252" i="1"/>
  <c r="CC252" i="1" s="1"/>
  <c r="CF971" i="1"/>
  <c r="CG971" i="1" s="1"/>
  <c r="CH971" i="1" s="1"/>
  <c r="CF770" i="1"/>
  <c r="CG770" i="1" s="1"/>
  <c r="CH770" i="1" s="1"/>
  <c r="CH679" i="1"/>
  <c r="CF427" i="1"/>
  <c r="CG427" i="1" s="1"/>
  <c r="CH427" i="1" s="1"/>
  <c r="CI427" i="1" s="1"/>
  <c r="CF642" i="1"/>
  <c r="CG642" i="1" s="1"/>
  <c r="CH642" i="1" s="1"/>
  <c r="CI642" i="1" s="1"/>
  <c r="BX197" i="1"/>
  <c r="BY197" i="1" s="1"/>
  <c r="CB197" i="1" s="1"/>
  <c r="CC197" i="1" s="1"/>
  <c r="AU571" i="1"/>
  <c r="CH1202" i="1"/>
  <c r="CI1202" i="1" s="1"/>
  <c r="AU1119" i="1"/>
  <c r="AV977" i="1"/>
  <c r="AU815" i="1"/>
  <c r="AU540" i="1"/>
  <c r="CB1147" i="1"/>
  <c r="CC1147" i="1" s="1"/>
  <c r="CF1090" i="1"/>
  <c r="CG1090" i="1" s="1"/>
  <c r="CH1090" i="1" s="1"/>
  <c r="BX1035" i="1"/>
  <c r="BY1035" i="1" s="1"/>
  <c r="CB1035" i="1" s="1"/>
  <c r="CC1035" i="1" s="1"/>
  <c r="BX1042" i="1"/>
  <c r="BY1042" i="1" s="1"/>
  <c r="CB1042" i="1" s="1"/>
  <c r="CC1042" i="1" s="1"/>
  <c r="BX811" i="1"/>
  <c r="BY811" i="1" s="1"/>
  <c r="CB811" i="1" s="1"/>
  <c r="CC811" i="1" s="1"/>
  <c r="CB786" i="1"/>
  <c r="CC786" i="1" s="1"/>
  <c r="CB866" i="1"/>
  <c r="CC866" i="1" s="1"/>
  <c r="CH680" i="1"/>
  <c r="CB693" i="1"/>
  <c r="CC693" i="1" s="1"/>
  <c r="CB642" i="1"/>
  <c r="CC642" i="1" s="1"/>
  <c r="CH584" i="1"/>
  <c r="CI584" i="1" s="1"/>
  <c r="CF469" i="1"/>
  <c r="CG469" i="1" s="1"/>
  <c r="CH469" i="1" s="1"/>
  <c r="CH626" i="1"/>
  <c r="CI626" i="1" s="1"/>
  <c r="CF206" i="1"/>
  <c r="CG206" i="1" s="1"/>
  <c r="CH206" i="1" s="1"/>
  <c r="CI206" i="1" s="1"/>
  <c r="CF1115" i="1"/>
  <c r="CG1115" i="1" s="1"/>
  <c r="CH1115" i="1" s="1"/>
  <c r="CI1115" i="1" s="1"/>
  <c r="BX1074" i="1"/>
  <c r="BY1074" i="1" s="1"/>
  <c r="CB1074" i="1" s="1"/>
  <c r="CC1074" i="1" s="1"/>
  <c r="CF1099" i="1"/>
  <c r="CG1099" i="1" s="1"/>
  <c r="CH1099" i="1" s="1"/>
  <c r="CI1099" i="1" s="1"/>
  <c r="CJ1099" i="1" s="1"/>
  <c r="BD1099" i="1" s="1"/>
  <c r="BX1051" i="1"/>
  <c r="BY1051" i="1" s="1"/>
  <c r="CB1051" i="1" s="1"/>
  <c r="CC1051" i="1" s="1"/>
  <c r="BX1019" i="1"/>
  <c r="BY1019" i="1" s="1"/>
  <c r="CB1019" i="1" s="1"/>
  <c r="BX907" i="1"/>
  <c r="BY907" i="1" s="1"/>
  <c r="CB907" i="1" s="1"/>
  <c r="CC907" i="1" s="1"/>
  <c r="CB946" i="1"/>
  <c r="CC946" i="1" s="1"/>
  <c r="BX978" i="1"/>
  <c r="BY978" i="1" s="1"/>
  <c r="CB978" i="1" s="1"/>
  <c r="CC978" i="1" s="1"/>
  <c r="BX930" i="1"/>
  <c r="BY930" i="1" s="1"/>
  <c r="CB930" i="1" s="1"/>
  <c r="CC930" i="1" s="1"/>
  <c r="CF658" i="1"/>
  <c r="CG658" i="1" s="1"/>
  <c r="CH658" i="1" s="1"/>
  <c r="CI658" i="1" s="1"/>
  <c r="BX549" i="1"/>
  <c r="BY549" i="1" s="1"/>
  <c r="CB549" i="1" s="1"/>
  <c r="CC549" i="1" s="1"/>
  <c r="AV500" i="1"/>
  <c r="AU338" i="1"/>
  <c r="AU252" i="1"/>
  <c r="CF1195" i="1"/>
  <c r="CG1195" i="1" s="1"/>
  <c r="CH1195" i="1" s="1"/>
  <c r="CI1195" i="1" s="1"/>
  <c r="CF1154" i="1"/>
  <c r="CG1154" i="1" s="1"/>
  <c r="CH1154" i="1" s="1"/>
  <c r="BX1083" i="1"/>
  <c r="BY1083" i="1" s="1"/>
  <c r="CB1083" i="1" s="1"/>
  <c r="CC1083" i="1" s="1"/>
  <c r="CB1090" i="1"/>
  <c r="CH923" i="1"/>
  <c r="CI923" i="1" s="1"/>
  <c r="CF898" i="1"/>
  <c r="CG898" i="1" s="1"/>
  <c r="CH898" i="1" s="1"/>
  <c r="CI898" i="1" s="1"/>
  <c r="CJ898" i="1" s="1"/>
  <c r="BD898" i="1" s="1"/>
  <c r="CB848" i="1"/>
  <c r="CC848" i="1" s="1"/>
  <c r="CF859" i="1"/>
  <c r="CG859" i="1" s="1"/>
  <c r="CH859" i="1" s="1"/>
  <c r="CI859" i="1" s="1"/>
  <c r="CF818" i="1"/>
  <c r="CG818" i="1" s="1"/>
  <c r="CH818" i="1" s="1"/>
  <c r="BX594" i="1"/>
  <c r="BY594" i="1" s="1"/>
  <c r="CB594" i="1" s="1"/>
  <c r="CC594" i="1" s="1"/>
  <c r="BX626" i="1"/>
  <c r="BY626" i="1" s="1"/>
  <c r="CB626" i="1" s="1"/>
  <c r="CC626" i="1" s="1"/>
  <c r="CF490" i="1"/>
  <c r="CG490" i="1" s="1"/>
  <c r="CH490" i="1" s="1"/>
  <c r="CI490" i="1" s="1"/>
  <c r="BX1179" i="1"/>
  <c r="BY1179" i="1" s="1"/>
  <c r="CB1179" i="1" s="1"/>
  <c r="CC1179" i="1" s="1"/>
  <c r="CH978" i="1"/>
  <c r="CI978" i="1" s="1"/>
  <c r="CF843" i="1"/>
  <c r="CG843" i="1" s="1"/>
  <c r="CH843" i="1" s="1"/>
  <c r="CI843" i="1" s="1"/>
  <c r="CH779" i="1"/>
  <c r="CI779" i="1" s="1"/>
  <c r="CH763" i="1"/>
  <c r="CI763" i="1" s="1"/>
  <c r="CF738" i="1"/>
  <c r="CG738" i="1" s="1"/>
  <c r="CH738" i="1" s="1"/>
  <c r="CF437" i="1"/>
  <c r="CG437" i="1" s="1"/>
  <c r="CH437" i="1" s="1"/>
  <c r="CI437" i="1" s="1"/>
  <c r="CB388" i="1"/>
  <c r="AV1125" i="1"/>
  <c r="AU1095" i="1"/>
  <c r="AV1006" i="1"/>
  <c r="CH1190" i="1"/>
  <c r="CI1190" i="1" s="1"/>
  <c r="CB1154" i="1"/>
  <c r="BX1122" i="1"/>
  <c r="BY1122" i="1" s="1"/>
  <c r="CB1122" i="1" s="1"/>
  <c r="CC1122" i="1" s="1"/>
  <c r="BX923" i="1"/>
  <c r="BY923" i="1" s="1"/>
  <c r="CB923" i="1" s="1"/>
  <c r="CC923" i="1" s="1"/>
  <c r="CB888" i="1"/>
  <c r="CB859" i="1"/>
  <c r="CC859" i="1" s="1"/>
  <c r="CH875" i="1"/>
  <c r="CI875" i="1" s="1"/>
  <c r="CH676" i="1"/>
  <c r="CI676" i="1" s="1"/>
  <c r="BX731" i="1"/>
  <c r="BY731" i="1" s="1"/>
  <c r="CB731" i="1" s="1"/>
  <c r="CC731" i="1" s="1"/>
  <c r="CF501" i="1"/>
  <c r="CG501" i="1" s="1"/>
  <c r="CH501" i="1" s="1"/>
  <c r="CI501" i="1" s="1"/>
  <c r="CF674" i="1"/>
  <c r="CG674" i="1" s="1"/>
  <c r="CH674" i="1" s="1"/>
  <c r="CI674" i="1" s="1"/>
  <c r="CF528" i="1"/>
  <c r="CG528" i="1" s="1"/>
  <c r="CH528" i="1" s="1"/>
  <c r="CI528" i="1" s="1"/>
  <c r="CB490" i="1"/>
  <c r="CC490" i="1" s="1"/>
  <c r="CH430" i="1"/>
  <c r="CI430" i="1" s="1"/>
  <c r="BX418" i="1"/>
  <c r="BY418" i="1" s="1"/>
  <c r="CB418" i="1" s="1"/>
  <c r="CC418" i="1" s="1"/>
  <c r="CH197" i="1"/>
  <c r="CI197" i="1" s="1"/>
  <c r="CF661" i="1"/>
  <c r="CG661" i="1" s="1"/>
  <c r="CH661" i="1" s="1"/>
  <c r="CI661" i="1" s="1"/>
  <c r="CH110" i="1"/>
  <c r="CI110" i="1" s="1"/>
  <c r="CH101" i="1"/>
  <c r="CI101" i="1" s="1"/>
  <c r="BX875" i="1"/>
  <c r="BY875" i="1" s="1"/>
  <c r="CB875" i="1" s="1"/>
  <c r="CC875" i="1" s="1"/>
  <c r="CB738" i="1"/>
  <c r="CH589" i="1"/>
  <c r="CI589" i="1" s="1"/>
  <c r="CH955" i="1"/>
  <c r="AV1165" i="1"/>
  <c r="AU1071" i="1"/>
  <c r="AV969" i="1"/>
  <c r="AU708" i="1"/>
  <c r="AU35" i="1"/>
  <c r="CH1186" i="1"/>
  <c r="CI1186" i="1" s="1"/>
  <c r="CH1122" i="1"/>
  <c r="CI1122" i="1" s="1"/>
  <c r="BX1010" i="1"/>
  <c r="BY1010" i="1" s="1"/>
  <c r="CB1010" i="1" s="1"/>
  <c r="CC1010" i="1" s="1"/>
  <c r="CJ1010" i="1" s="1"/>
  <c r="BD1010" i="1" s="1"/>
  <c r="BX914" i="1"/>
  <c r="BY914" i="1" s="1"/>
  <c r="CB914" i="1" s="1"/>
  <c r="CC914" i="1" s="1"/>
  <c r="CB658" i="1"/>
  <c r="CC658" i="1" s="1"/>
  <c r="BX610" i="1"/>
  <c r="BY610" i="1" s="1"/>
  <c r="CB610" i="1" s="1"/>
  <c r="CC610" i="1" s="1"/>
  <c r="CH342" i="1"/>
  <c r="CI342" i="1" s="1"/>
  <c r="BX544" i="1"/>
  <c r="BY544" i="1" s="1"/>
  <c r="CB544" i="1" s="1"/>
  <c r="CC544" i="1" s="1"/>
  <c r="CB5" i="1"/>
  <c r="BX1067" i="1"/>
  <c r="BY1067" i="1" s="1"/>
  <c r="CB1067" i="1" s="1"/>
  <c r="CC1067" i="1" s="1"/>
  <c r="CF706" i="1"/>
  <c r="CG706" i="1" s="1"/>
  <c r="CH706" i="1" s="1"/>
  <c r="CI706" i="1" s="1"/>
  <c r="CH391" i="1"/>
  <c r="CI391" i="1" s="1"/>
  <c r="BX1186" i="1"/>
  <c r="BY1186" i="1" s="1"/>
  <c r="CB1186" i="1" s="1"/>
  <c r="CC1186" i="1" s="1"/>
  <c r="CF1163" i="1"/>
  <c r="CG1163" i="1" s="1"/>
  <c r="CH1163" i="1" s="1"/>
  <c r="CI1163" i="1" s="1"/>
  <c r="CF1003" i="1"/>
  <c r="CG1003" i="1" s="1"/>
  <c r="CH1003" i="1" s="1"/>
  <c r="CI1003" i="1" s="1"/>
  <c r="CB882" i="1"/>
  <c r="CH891" i="1"/>
  <c r="CI891" i="1" s="1"/>
  <c r="CH221" i="1"/>
  <c r="CI221" i="1" s="1"/>
  <c r="CH373" i="1"/>
  <c r="CI373" i="1" s="1"/>
  <c r="CH405" i="1"/>
  <c r="CI405" i="1" s="1"/>
  <c r="CF200" i="1"/>
  <c r="CG200" i="1" s="1"/>
  <c r="CH200" i="1" s="1"/>
  <c r="CI200" i="1" s="1"/>
  <c r="CF228" i="1"/>
  <c r="CG228" i="1" s="1"/>
  <c r="CH228" i="1" s="1"/>
  <c r="CI228" i="1" s="1"/>
  <c r="CH178" i="1"/>
  <c r="CI178" i="1" s="1"/>
  <c r="CB62" i="1"/>
  <c r="CC62" i="1" s="1"/>
  <c r="CF962" i="1"/>
  <c r="CG962" i="1" s="1"/>
  <c r="CH962" i="1" s="1"/>
  <c r="CB962" i="1"/>
  <c r="BX625" i="1"/>
  <c r="BY625" i="1" s="1"/>
  <c r="CB625" i="1" s="1"/>
  <c r="CC625" i="1" s="1"/>
  <c r="BX391" i="1"/>
  <c r="BY391" i="1" s="1"/>
  <c r="CB391" i="1" s="1"/>
  <c r="CC391" i="1" s="1"/>
  <c r="AV1118" i="1"/>
  <c r="CH805" i="1"/>
  <c r="CI805" i="1" s="1"/>
  <c r="CH821" i="1"/>
  <c r="CI821" i="1" s="1"/>
  <c r="CH116" i="1"/>
  <c r="CB164" i="1"/>
  <c r="CC164" i="1" s="1"/>
  <c r="CB395" i="1"/>
  <c r="CC395" i="1" s="1"/>
  <c r="CB564" i="1"/>
  <c r="CC564" i="1" s="1"/>
  <c r="CH1053" i="1"/>
  <c r="CI1053" i="1" s="1"/>
  <c r="BX217" i="1"/>
  <c r="BY217" i="1" s="1"/>
  <c r="CB217" i="1" s="1"/>
  <c r="CC217" i="1" s="1"/>
  <c r="CF217" i="1"/>
  <c r="CG217" i="1" s="1"/>
  <c r="CH217" i="1" s="1"/>
  <c r="CI217" i="1" s="1"/>
  <c r="CF277" i="1"/>
  <c r="CG277" i="1" s="1"/>
  <c r="CH277" i="1" s="1"/>
  <c r="BX277" i="1"/>
  <c r="BY277" i="1" s="1"/>
  <c r="CB277" i="1" s="1"/>
  <c r="BX299" i="1"/>
  <c r="BY299" i="1" s="1"/>
  <c r="CB299" i="1" s="1"/>
  <c r="CF299" i="1"/>
  <c r="CG299" i="1" s="1"/>
  <c r="CH299" i="1" s="1"/>
  <c r="BX305" i="1"/>
  <c r="BY305" i="1" s="1"/>
  <c r="CB305" i="1" s="1"/>
  <c r="CC305" i="1" s="1"/>
  <c r="CF305" i="1"/>
  <c r="CG305" i="1" s="1"/>
  <c r="CH305" i="1" s="1"/>
  <c r="CI305" i="1" s="1"/>
  <c r="CF341" i="1"/>
  <c r="CG341" i="1" s="1"/>
  <c r="CH341" i="1" s="1"/>
  <c r="BX341" i="1"/>
  <c r="BY341" i="1" s="1"/>
  <c r="CB341" i="1" s="1"/>
  <c r="CF369" i="1"/>
  <c r="CG369" i="1" s="1"/>
  <c r="CH369" i="1" s="1"/>
  <c r="BX369" i="1"/>
  <c r="BY369" i="1" s="1"/>
  <c r="CB369" i="1" s="1"/>
  <c r="CF399" i="1"/>
  <c r="CG399" i="1" s="1"/>
  <c r="CH399" i="1" s="1"/>
  <c r="CI399" i="1" s="1"/>
  <c r="BX399" i="1"/>
  <c r="BY399" i="1" s="1"/>
  <c r="CB399" i="1" s="1"/>
  <c r="CC399" i="1" s="1"/>
  <c r="CF423" i="1"/>
  <c r="CG423" i="1" s="1"/>
  <c r="CH423" i="1" s="1"/>
  <c r="CI423" i="1" s="1"/>
  <c r="BX423" i="1"/>
  <c r="BY423" i="1" s="1"/>
  <c r="CB423" i="1" s="1"/>
  <c r="CC423" i="1" s="1"/>
  <c r="CF449" i="1"/>
  <c r="CG449" i="1" s="1"/>
  <c r="CH449" i="1" s="1"/>
  <c r="CI449" i="1" s="1"/>
  <c r="BX449" i="1"/>
  <c r="BY449" i="1" s="1"/>
  <c r="CB449" i="1" s="1"/>
  <c r="CC449" i="1" s="1"/>
  <c r="CF465" i="1"/>
  <c r="CG465" i="1" s="1"/>
  <c r="CH465" i="1" s="1"/>
  <c r="CI465" i="1" s="1"/>
  <c r="BX465" i="1"/>
  <c r="BY465" i="1" s="1"/>
  <c r="CB465" i="1" s="1"/>
  <c r="CC465" i="1" s="1"/>
  <c r="BX481" i="1"/>
  <c r="BY481" i="1" s="1"/>
  <c r="CB481" i="1" s="1"/>
  <c r="CC481" i="1" s="1"/>
  <c r="CF481" i="1"/>
  <c r="CG481" i="1" s="1"/>
  <c r="CH481" i="1" s="1"/>
  <c r="CI481" i="1" s="1"/>
  <c r="BX497" i="1"/>
  <c r="BY497" i="1" s="1"/>
  <c r="CB497" i="1" s="1"/>
  <c r="CC497" i="1" s="1"/>
  <c r="CF497" i="1"/>
  <c r="CG497" i="1" s="1"/>
  <c r="CH497" i="1" s="1"/>
  <c r="CI497" i="1" s="1"/>
  <c r="BX513" i="1"/>
  <c r="BY513" i="1" s="1"/>
  <c r="CB513" i="1" s="1"/>
  <c r="CF513" i="1"/>
  <c r="CG513" i="1" s="1"/>
  <c r="CH513" i="1" s="1"/>
  <c r="BX529" i="1"/>
  <c r="BY529" i="1" s="1"/>
  <c r="CB529" i="1" s="1"/>
  <c r="CC529" i="1" s="1"/>
  <c r="CF529" i="1"/>
  <c r="CG529" i="1" s="1"/>
  <c r="CH529" i="1" s="1"/>
  <c r="CI529" i="1" s="1"/>
  <c r="CF545" i="1"/>
  <c r="CG545" i="1" s="1"/>
  <c r="CH545" i="1" s="1"/>
  <c r="BX545" i="1"/>
  <c r="BY545" i="1" s="1"/>
  <c r="CB545" i="1" s="1"/>
  <c r="BX567" i="1"/>
  <c r="BY567" i="1" s="1"/>
  <c r="CB567" i="1" s="1"/>
  <c r="CC567" i="1" s="1"/>
  <c r="CF567" i="1"/>
  <c r="CG567" i="1" s="1"/>
  <c r="CH567" i="1" s="1"/>
  <c r="CI567" i="1" s="1"/>
  <c r="CF583" i="1"/>
  <c r="CG583" i="1" s="1"/>
  <c r="CH583" i="1" s="1"/>
  <c r="CI583" i="1" s="1"/>
  <c r="BX583" i="1"/>
  <c r="BY583" i="1" s="1"/>
  <c r="CB583" i="1" s="1"/>
  <c r="CC583" i="1" s="1"/>
  <c r="BX615" i="1"/>
  <c r="BY615" i="1" s="1"/>
  <c r="CB615" i="1" s="1"/>
  <c r="CF615" i="1"/>
  <c r="CG615" i="1" s="1"/>
  <c r="CH615" i="1" s="1"/>
  <c r="CF643" i="1"/>
  <c r="CG643" i="1" s="1"/>
  <c r="CH643" i="1" s="1"/>
  <c r="CI643" i="1" s="1"/>
  <c r="BX643" i="1"/>
  <c r="BY643" i="1" s="1"/>
  <c r="CB643" i="1" s="1"/>
  <c r="CC643" i="1" s="1"/>
  <c r="BX657" i="1"/>
  <c r="BY657" i="1" s="1"/>
  <c r="CB657" i="1" s="1"/>
  <c r="CC657" i="1" s="1"/>
  <c r="CF657" i="1"/>
  <c r="CG657" i="1" s="1"/>
  <c r="CH657" i="1" s="1"/>
  <c r="CI657" i="1" s="1"/>
  <c r="BX673" i="1"/>
  <c r="BY673" i="1" s="1"/>
  <c r="CB673" i="1" s="1"/>
  <c r="CC673" i="1" s="1"/>
  <c r="CF673" i="1"/>
  <c r="CG673" i="1" s="1"/>
  <c r="CH673" i="1" s="1"/>
  <c r="CI673" i="1" s="1"/>
  <c r="BX689" i="1"/>
  <c r="BY689" i="1" s="1"/>
  <c r="CB689" i="1" s="1"/>
  <c r="CC689" i="1" s="1"/>
  <c r="CF689" i="1"/>
  <c r="CG689" i="1" s="1"/>
  <c r="CH689" i="1" s="1"/>
  <c r="CI689" i="1" s="1"/>
  <c r="BX705" i="1"/>
  <c r="BY705" i="1" s="1"/>
  <c r="CB705" i="1" s="1"/>
  <c r="CF705" i="1"/>
  <c r="CG705" i="1" s="1"/>
  <c r="CH705" i="1" s="1"/>
  <c r="BX711" i="1"/>
  <c r="BY711" i="1" s="1"/>
  <c r="CB711" i="1" s="1"/>
  <c r="CF711" i="1"/>
  <c r="CG711" i="1" s="1"/>
  <c r="CH711" i="1" s="1"/>
  <c r="CF743" i="1"/>
  <c r="CG743" i="1" s="1"/>
  <c r="CH743" i="1" s="1"/>
  <c r="CI743" i="1" s="1"/>
  <c r="BX743" i="1"/>
  <c r="BY743" i="1" s="1"/>
  <c r="CB743" i="1" s="1"/>
  <c r="CC743" i="1" s="1"/>
  <c r="CF775" i="1"/>
  <c r="CG775" i="1" s="1"/>
  <c r="CH775" i="1" s="1"/>
  <c r="CI775" i="1" s="1"/>
  <c r="BX775" i="1"/>
  <c r="BY775" i="1" s="1"/>
  <c r="CB775" i="1" s="1"/>
  <c r="CC775" i="1" s="1"/>
  <c r="BX807" i="1"/>
  <c r="BY807" i="1" s="1"/>
  <c r="CB807" i="1" s="1"/>
  <c r="CC807" i="1" s="1"/>
  <c r="CF807" i="1"/>
  <c r="CG807" i="1" s="1"/>
  <c r="CH807" i="1" s="1"/>
  <c r="CI807" i="1" s="1"/>
  <c r="CF839" i="1"/>
  <c r="CG839" i="1" s="1"/>
  <c r="CH839" i="1" s="1"/>
  <c r="CI839" i="1" s="1"/>
  <c r="BX839" i="1"/>
  <c r="BY839" i="1" s="1"/>
  <c r="CB839" i="1" s="1"/>
  <c r="CC839" i="1" s="1"/>
  <c r="BX855" i="1"/>
  <c r="BY855" i="1" s="1"/>
  <c r="CB855" i="1" s="1"/>
  <c r="CC855" i="1" s="1"/>
  <c r="CF855" i="1"/>
  <c r="CG855" i="1" s="1"/>
  <c r="CH855" i="1" s="1"/>
  <c r="CI855" i="1" s="1"/>
  <c r="CF887" i="1"/>
  <c r="CG887" i="1" s="1"/>
  <c r="CH887" i="1" s="1"/>
  <c r="CI887" i="1" s="1"/>
  <c r="BX887" i="1"/>
  <c r="BY887" i="1" s="1"/>
  <c r="CB887" i="1" s="1"/>
  <c r="CC887" i="1" s="1"/>
  <c r="CF903" i="1"/>
  <c r="CG903" i="1" s="1"/>
  <c r="CH903" i="1" s="1"/>
  <c r="BX903" i="1"/>
  <c r="BY903" i="1" s="1"/>
  <c r="CB903" i="1" s="1"/>
  <c r="CF919" i="1"/>
  <c r="CG919" i="1" s="1"/>
  <c r="CH919" i="1" s="1"/>
  <c r="CI919" i="1" s="1"/>
  <c r="BX919" i="1"/>
  <c r="BY919" i="1" s="1"/>
  <c r="CB919" i="1" s="1"/>
  <c r="CC919" i="1" s="1"/>
  <c r="BX935" i="1"/>
  <c r="BY935" i="1" s="1"/>
  <c r="CB935" i="1" s="1"/>
  <c r="CC935" i="1" s="1"/>
  <c r="CF935" i="1"/>
  <c r="CG935" i="1" s="1"/>
  <c r="CH935" i="1" s="1"/>
  <c r="CI935" i="1" s="1"/>
  <c r="CF951" i="1"/>
  <c r="CG951" i="1" s="1"/>
  <c r="CH951" i="1" s="1"/>
  <c r="CI951" i="1" s="1"/>
  <c r="BX951" i="1"/>
  <c r="BY951" i="1" s="1"/>
  <c r="CB951" i="1" s="1"/>
  <c r="CC951" i="1" s="1"/>
  <c r="BX967" i="1"/>
  <c r="BY967" i="1" s="1"/>
  <c r="CB967" i="1" s="1"/>
  <c r="CF967" i="1"/>
  <c r="CG967" i="1" s="1"/>
  <c r="CH967" i="1" s="1"/>
  <c r="BX983" i="1"/>
  <c r="BY983" i="1" s="1"/>
  <c r="CB983" i="1" s="1"/>
  <c r="CC983" i="1" s="1"/>
  <c r="CF983" i="1"/>
  <c r="CG983" i="1" s="1"/>
  <c r="CH983" i="1" s="1"/>
  <c r="CI983" i="1" s="1"/>
  <c r="CF999" i="1"/>
  <c r="CG999" i="1" s="1"/>
  <c r="CH999" i="1" s="1"/>
  <c r="CI999" i="1" s="1"/>
  <c r="BX999" i="1"/>
  <c r="BY999" i="1" s="1"/>
  <c r="CB999" i="1" s="1"/>
  <c r="CC999" i="1" s="1"/>
  <c r="CF1015" i="1"/>
  <c r="CG1015" i="1" s="1"/>
  <c r="CH1015" i="1" s="1"/>
  <c r="CI1015" i="1" s="1"/>
  <c r="BX1015" i="1"/>
  <c r="BY1015" i="1" s="1"/>
  <c r="CB1015" i="1" s="1"/>
  <c r="CC1015" i="1" s="1"/>
  <c r="CF1047" i="1"/>
  <c r="CG1047" i="1" s="1"/>
  <c r="CH1047" i="1" s="1"/>
  <c r="CI1047" i="1" s="1"/>
  <c r="BX1047" i="1"/>
  <c r="BY1047" i="1" s="1"/>
  <c r="CB1047" i="1" s="1"/>
  <c r="CC1047" i="1" s="1"/>
  <c r="BX1063" i="1"/>
  <c r="BY1063" i="1" s="1"/>
  <c r="CB1063" i="1" s="1"/>
  <c r="CF1063" i="1"/>
  <c r="CG1063" i="1" s="1"/>
  <c r="CH1063" i="1" s="1"/>
  <c r="CF1095" i="1"/>
  <c r="CG1095" i="1" s="1"/>
  <c r="CH1095" i="1" s="1"/>
  <c r="CI1095" i="1" s="1"/>
  <c r="BX1095" i="1"/>
  <c r="BY1095" i="1" s="1"/>
  <c r="CB1095" i="1" s="1"/>
  <c r="CC1095" i="1" s="1"/>
  <c r="BX1111" i="1"/>
  <c r="BY1111" i="1" s="1"/>
  <c r="CB1111" i="1" s="1"/>
  <c r="CF1111" i="1"/>
  <c r="CG1111" i="1" s="1"/>
  <c r="CH1111" i="1" s="1"/>
  <c r="BX1143" i="1"/>
  <c r="BY1143" i="1" s="1"/>
  <c r="CB1143" i="1" s="1"/>
  <c r="CF1143" i="1"/>
  <c r="CG1143" i="1" s="1"/>
  <c r="CH1143" i="1" s="1"/>
  <c r="BX1159" i="1"/>
  <c r="BY1159" i="1" s="1"/>
  <c r="CB1159" i="1" s="1"/>
  <c r="CC1159" i="1" s="1"/>
  <c r="CF1159" i="1"/>
  <c r="CG1159" i="1" s="1"/>
  <c r="CH1159" i="1" s="1"/>
  <c r="CI1159" i="1" s="1"/>
  <c r="CF1175" i="1"/>
  <c r="CG1175" i="1" s="1"/>
  <c r="CH1175" i="1" s="1"/>
  <c r="CI1175" i="1" s="1"/>
  <c r="BX1175" i="1"/>
  <c r="BY1175" i="1" s="1"/>
  <c r="CB1175" i="1" s="1"/>
  <c r="CC1175" i="1" s="1"/>
  <c r="BX590" i="1"/>
  <c r="BY590" i="1" s="1"/>
  <c r="CB590" i="1" s="1"/>
  <c r="CC590" i="1" s="1"/>
  <c r="CF590" i="1"/>
  <c r="CG590" i="1" s="1"/>
  <c r="CH590" i="1" s="1"/>
  <c r="CI590" i="1" s="1"/>
  <c r="CF606" i="1"/>
  <c r="CG606" i="1" s="1"/>
  <c r="CH606" i="1" s="1"/>
  <c r="CI606" i="1" s="1"/>
  <c r="BX606" i="1"/>
  <c r="BY606" i="1" s="1"/>
  <c r="CB606" i="1" s="1"/>
  <c r="CC606" i="1" s="1"/>
  <c r="CF622" i="1"/>
  <c r="CG622" i="1" s="1"/>
  <c r="CH622" i="1" s="1"/>
  <c r="CI622" i="1" s="1"/>
  <c r="BX622" i="1"/>
  <c r="BY622" i="1" s="1"/>
  <c r="CB622" i="1" s="1"/>
  <c r="CC622" i="1" s="1"/>
  <c r="BX654" i="1"/>
  <c r="BY654" i="1" s="1"/>
  <c r="CB654" i="1" s="1"/>
  <c r="CC654" i="1" s="1"/>
  <c r="CF654" i="1"/>
  <c r="CG654" i="1" s="1"/>
  <c r="CH654" i="1" s="1"/>
  <c r="CI654" i="1" s="1"/>
  <c r="CF670" i="1"/>
  <c r="CG670" i="1" s="1"/>
  <c r="CH670" i="1" s="1"/>
  <c r="BX670" i="1"/>
  <c r="BY670" i="1" s="1"/>
  <c r="CB670" i="1" s="1"/>
  <c r="BX686" i="1"/>
  <c r="BY686" i="1" s="1"/>
  <c r="CB686" i="1" s="1"/>
  <c r="CC686" i="1" s="1"/>
  <c r="CF686" i="1"/>
  <c r="CG686" i="1" s="1"/>
  <c r="CH686" i="1" s="1"/>
  <c r="CI686" i="1" s="1"/>
  <c r="BX702" i="1"/>
  <c r="BY702" i="1" s="1"/>
  <c r="CB702" i="1" s="1"/>
  <c r="CC702" i="1" s="1"/>
  <c r="CF702" i="1"/>
  <c r="CG702" i="1" s="1"/>
  <c r="CH702" i="1" s="1"/>
  <c r="CI702" i="1" s="1"/>
  <c r="CF718" i="1"/>
  <c r="CG718" i="1" s="1"/>
  <c r="CH718" i="1" s="1"/>
  <c r="CI718" i="1" s="1"/>
  <c r="BX718" i="1"/>
  <c r="BY718" i="1" s="1"/>
  <c r="CB718" i="1" s="1"/>
  <c r="CC718" i="1" s="1"/>
  <c r="CF734" i="1"/>
  <c r="CG734" i="1" s="1"/>
  <c r="CH734" i="1" s="1"/>
  <c r="CI734" i="1" s="1"/>
  <c r="BX734" i="1"/>
  <c r="BY734" i="1" s="1"/>
  <c r="CB734" i="1" s="1"/>
  <c r="CC734" i="1" s="1"/>
  <c r="CF750" i="1"/>
  <c r="CG750" i="1" s="1"/>
  <c r="CH750" i="1" s="1"/>
  <c r="CI750" i="1" s="1"/>
  <c r="BX750" i="1"/>
  <c r="BY750" i="1" s="1"/>
  <c r="CB750" i="1" s="1"/>
  <c r="CC750" i="1" s="1"/>
  <c r="BX766" i="1"/>
  <c r="BY766" i="1" s="1"/>
  <c r="CB766" i="1" s="1"/>
  <c r="CC766" i="1" s="1"/>
  <c r="CF766" i="1"/>
  <c r="CG766" i="1" s="1"/>
  <c r="CH766" i="1" s="1"/>
  <c r="CI766" i="1" s="1"/>
  <c r="CF782" i="1"/>
  <c r="CG782" i="1" s="1"/>
  <c r="CH782" i="1" s="1"/>
  <c r="CI782" i="1" s="1"/>
  <c r="BX782" i="1"/>
  <c r="BY782" i="1" s="1"/>
  <c r="CB782" i="1" s="1"/>
  <c r="CC782" i="1" s="1"/>
  <c r="CF814" i="1"/>
  <c r="CG814" i="1" s="1"/>
  <c r="CH814" i="1" s="1"/>
  <c r="CI814" i="1" s="1"/>
  <c r="BX814" i="1"/>
  <c r="BY814" i="1" s="1"/>
  <c r="CB814" i="1" s="1"/>
  <c r="CC814" i="1" s="1"/>
  <c r="BX846" i="1"/>
  <c r="BY846" i="1" s="1"/>
  <c r="CB846" i="1" s="1"/>
  <c r="CC846" i="1" s="1"/>
  <c r="CF846" i="1"/>
  <c r="CG846" i="1" s="1"/>
  <c r="CH846" i="1" s="1"/>
  <c r="CI846" i="1" s="1"/>
  <c r="CF862" i="1"/>
  <c r="CG862" i="1" s="1"/>
  <c r="CH862" i="1" s="1"/>
  <c r="CI862" i="1" s="1"/>
  <c r="BX862" i="1"/>
  <c r="BY862" i="1" s="1"/>
  <c r="CB862" i="1" s="1"/>
  <c r="CC862" i="1" s="1"/>
  <c r="BX878" i="1"/>
  <c r="BY878" i="1" s="1"/>
  <c r="CB878" i="1" s="1"/>
  <c r="CF878" i="1"/>
  <c r="CG878" i="1" s="1"/>
  <c r="CH878" i="1" s="1"/>
  <c r="CF894" i="1"/>
  <c r="CG894" i="1" s="1"/>
  <c r="CH894" i="1" s="1"/>
  <c r="CI894" i="1" s="1"/>
  <c r="BX894" i="1"/>
  <c r="BY894" i="1" s="1"/>
  <c r="CB894" i="1" s="1"/>
  <c r="CC894" i="1" s="1"/>
  <c r="BX910" i="1"/>
  <c r="BY910" i="1" s="1"/>
  <c r="CB910" i="1" s="1"/>
  <c r="CF910" i="1"/>
  <c r="CG910" i="1" s="1"/>
  <c r="CH910" i="1" s="1"/>
  <c r="CF926" i="1"/>
  <c r="CG926" i="1" s="1"/>
  <c r="CH926" i="1" s="1"/>
  <c r="CI926" i="1" s="1"/>
  <c r="BX926" i="1"/>
  <c r="BY926" i="1" s="1"/>
  <c r="CB926" i="1" s="1"/>
  <c r="CC926" i="1" s="1"/>
  <c r="BX958" i="1"/>
  <c r="BY958" i="1" s="1"/>
  <c r="CB958" i="1" s="1"/>
  <c r="CC958" i="1" s="1"/>
  <c r="CF958" i="1"/>
  <c r="CG958" i="1" s="1"/>
  <c r="CH958" i="1" s="1"/>
  <c r="CI958" i="1" s="1"/>
  <c r="CF974" i="1"/>
  <c r="CG974" i="1" s="1"/>
  <c r="CH974" i="1" s="1"/>
  <c r="CI974" i="1" s="1"/>
  <c r="BX974" i="1"/>
  <c r="BY974" i="1" s="1"/>
  <c r="CB974" i="1" s="1"/>
  <c r="CC974" i="1" s="1"/>
  <c r="BX990" i="1"/>
  <c r="BY990" i="1" s="1"/>
  <c r="CB990" i="1" s="1"/>
  <c r="CC990" i="1" s="1"/>
  <c r="CF990" i="1"/>
  <c r="CG990" i="1" s="1"/>
  <c r="CH990" i="1" s="1"/>
  <c r="CI990" i="1" s="1"/>
  <c r="CF1006" i="1"/>
  <c r="CG1006" i="1" s="1"/>
  <c r="CH1006" i="1" s="1"/>
  <c r="CI1006" i="1" s="1"/>
  <c r="BX1006" i="1"/>
  <c r="BY1006" i="1" s="1"/>
  <c r="CB1006" i="1" s="1"/>
  <c r="CC1006" i="1" s="1"/>
  <c r="CF1022" i="1"/>
  <c r="CG1022" i="1" s="1"/>
  <c r="CH1022" i="1" s="1"/>
  <c r="CI1022" i="1" s="1"/>
  <c r="BX1022" i="1"/>
  <c r="BY1022" i="1" s="1"/>
  <c r="CB1022" i="1" s="1"/>
  <c r="CC1022" i="1" s="1"/>
  <c r="BX1038" i="1"/>
  <c r="BY1038" i="1" s="1"/>
  <c r="CB1038" i="1" s="1"/>
  <c r="CC1038" i="1" s="1"/>
  <c r="CF1038" i="1"/>
  <c r="CG1038" i="1" s="1"/>
  <c r="CH1038" i="1" s="1"/>
  <c r="CI1038" i="1" s="1"/>
  <c r="BX1054" i="1"/>
  <c r="BY1054" i="1" s="1"/>
  <c r="CB1054" i="1" s="1"/>
  <c r="CC1054" i="1" s="1"/>
  <c r="CF1054" i="1"/>
  <c r="CG1054" i="1" s="1"/>
  <c r="CH1054" i="1" s="1"/>
  <c r="CI1054" i="1" s="1"/>
  <c r="BX1070" i="1"/>
  <c r="BY1070" i="1" s="1"/>
  <c r="CB1070" i="1" s="1"/>
  <c r="CC1070" i="1" s="1"/>
  <c r="CF1070" i="1"/>
  <c r="CG1070" i="1" s="1"/>
  <c r="CH1070" i="1" s="1"/>
  <c r="CI1070" i="1" s="1"/>
  <c r="BX1086" i="1"/>
  <c r="BY1086" i="1" s="1"/>
  <c r="CB1086" i="1" s="1"/>
  <c r="CC1086" i="1" s="1"/>
  <c r="CF1086" i="1"/>
  <c r="CG1086" i="1" s="1"/>
  <c r="CH1086" i="1" s="1"/>
  <c r="CI1086" i="1" s="1"/>
  <c r="BX1102" i="1"/>
  <c r="BY1102" i="1" s="1"/>
  <c r="CB1102" i="1" s="1"/>
  <c r="CC1102" i="1" s="1"/>
  <c r="CF1102" i="1"/>
  <c r="CG1102" i="1" s="1"/>
  <c r="CH1102" i="1" s="1"/>
  <c r="CI1102" i="1" s="1"/>
  <c r="CF1118" i="1"/>
  <c r="CG1118" i="1" s="1"/>
  <c r="CH1118" i="1" s="1"/>
  <c r="CI1118" i="1" s="1"/>
  <c r="BX1118" i="1"/>
  <c r="BY1118" i="1" s="1"/>
  <c r="CB1118" i="1" s="1"/>
  <c r="CC1118" i="1" s="1"/>
  <c r="CF1182" i="1"/>
  <c r="CG1182" i="1" s="1"/>
  <c r="CH1182" i="1" s="1"/>
  <c r="CI1182" i="1" s="1"/>
  <c r="BX1182" i="1"/>
  <c r="BY1182" i="1" s="1"/>
  <c r="CB1182" i="1" s="1"/>
  <c r="CC1182" i="1" s="1"/>
  <c r="CF1198" i="1"/>
  <c r="CG1198" i="1" s="1"/>
  <c r="CH1198" i="1" s="1"/>
  <c r="CI1198" i="1" s="1"/>
  <c r="BX1198" i="1"/>
  <c r="BY1198" i="1" s="1"/>
  <c r="CB1198" i="1" s="1"/>
  <c r="CC1198" i="1" s="1"/>
  <c r="AV894" i="1"/>
  <c r="AU894" i="1"/>
  <c r="AV951" i="1"/>
  <c r="AU951" i="1"/>
  <c r="AV692" i="1"/>
  <c r="AU692" i="1"/>
  <c r="AV384" i="1"/>
  <c r="AU384" i="1"/>
  <c r="AV458" i="1"/>
  <c r="AU458" i="1"/>
  <c r="AV668" i="1"/>
  <c r="AU668" i="1"/>
  <c r="AU522" i="1"/>
  <c r="AV522" i="1"/>
  <c r="AV465" i="1"/>
  <c r="AU465" i="1"/>
  <c r="AV390" i="1"/>
  <c r="AU390" i="1"/>
  <c r="AU203" i="1"/>
  <c r="AV203" i="1"/>
  <c r="AU307" i="1"/>
  <c r="AV307" i="1"/>
  <c r="AU211" i="1"/>
  <c r="AV211" i="1"/>
  <c r="AV124" i="1"/>
  <c r="AU124" i="1"/>
  <c r="AV841" i="1"/>
  <c r="AU841" i="1"/>
  <c r="AU195" i="1"/>
  <c r="AV195" i="1"/>
  <c r="AU1026" i="1"/>
  <c r="AV276" i="1"/>
  <c r="AU276" i="1"/>
  <c r="AU512" i="1"/>
  <c r="AV512" i="1"/>
  <c r="AV75" i="1"/>
  <c r="AU75" i="1"/>
  <c r="CB783" i="1"/>
  <c r="CF176" i="1"/>
  <c r="CG176" i="1" s="1"/>
  <c r="CH176" i="1" s="1"/>
  <c r="CI176" i="1" s="1"/>
  <c r="BX176" i="1"/>
  <c r="BY176" i="1" s="1"/>
  <c r="CB176" i="1" s="1"/>
  <c r="CC176" i="1" s="1"/>
  <c r="BX204" i="1"/>
  <c r="BY204" i="1" s="1"/>
  <c r="CB204" i="1" s="1"/>
  <c r="CC204" i="1" s="1"/>
  <c r="CF204" i="1"/>
  <c r="CG204" i="1" s="1"/>
  <c r="CH204" i="1" s="1"/>
  <c r="CI204" i="1" s="1"/>
  <c r="CF226" i="1"/>
  <c r="CG226" i="1" s="1"/>
  <c r="CH226" i="1" s="1"/>
  <c r="CI226" i="1" s="1"/>
  <c r="BX226" i="1"/>
  <c r="BY226" i="1" s="1"/>
  <c r="CB226" i="1" s="1"/>
  <c r="CC226" i="1" s="1"/>
  <c r="CF276" i="1"/>
  <c r="CG276" i="1" s="1"/>
  <c r="CH276" i="1" s="1"/>
  <c r="CI276" i="1" s="1"/>
  <c r="BX276" i="1"/>
  <c r="BY276" i="1" s="1"/>
  <c r="CB276" i="1" s="1"/>
  <c r="CC276" i="1" s="1"/>
  <c r="BX282" i="1"/>
  <c r="BY282" i="1" s="1"/>
  <c r="CB282" i="1" s="1"/>
  <c r="CC282" i="1" s="1"/>
  <c r="CF282" i="1"/>
  <c r="CG282" i="1" s="1"/>
  <c r="CH282" i="1" s="1"/>
  <c r="CI282" i="1" s="1"/>
  <c r="BX300" i="1"/>
  <c r="BY300" i="1" s="1"/>
  <c r="CB300" i="1" s="1"/>
  <c r="CC300" i="1" s="1"/>
  <c r="CF300" i="1"/>
  <c r="CG300" i="1" s="1"/>
  <c r="CH300" i="1" s="1"/>
  <c r="CI300" i="1" s="1"/>
  <c r="BX328" i="1"/>
  <c r="BY328" i="1" s="1"/>
  <c r="CB328" i="1" s="1"/>
  <c r="CC328" i="1" s="1"/>
  <c r="CF328" i="1"/>
  <c r="CG328" i="1" s="1"/>
  <c r="CH328" i="1" s="1"/>
  <c r="CI328" i="1" s="1"/>
  <c r="CF350" i="1"/>
  <c r="CG350" i="1" s="1"/>
  <c r="CH350" i="1" s="1"/>
  <c r="CI350" i="1" s="1"/>
  <c r="BX350" i="1"/>
  <c r="BY350" i="1" s="1"/>
  <c r="CB350" i="1" s="1"/>
  <c r="CC350" i="1" s="1"/>
  <c r="BX366" i="1"/>
  <c r="BY366" i="1" s="1"/>
  <c r="CB366" i="1" s="1"/>
  <c r="CC366" i="1" s="1"/>
  <c r="CF366" i="1"/>
  <c r="CG366" i="1" s="1"/>
  <c r="CH366" i="1" s="1"/>
  <c r="CI366" i="1" s="1"/>
  <c r="CF400" i="1"/>
  <c r="CG400" i="1" s="1"/>
  <c r="CH400" i="1" s="1"/>
  <c r="CI400" i="1" s="1"/>
  <c r="BX400" i="1"/>
  <c r="BY400" i="1" s="1"/>
  <c r="CB400" i="1" s="1"/>
  <c r="CC400" i="1" s="1"/>
  <c r="BX416" i="1"/>
  <c r="BY416" i="1" s="1"/>
  <c r="CB416" i="1" s="1"/>
  <c r="CC416" i="1" s="1"/>
  <c r="CF416" i="1"/>
  <c r="CG416" i="1" s="1"/>
  <c r="CH416" i="1" s="1"/>
  <c r="CI416" i="1" s="1"/>
  <c r="CF432" i="1"/>
  <c r="CG432" i="1" s="1"/>
  <c r="CH432" i="1" s="1"/>
  <c r="CI432" i="1" s="1"/>
  <c r="BX432" i="1"/>
  <c r="BY432" i="1" s="1"/>
  <c r="CB432" i="1" s="1"/>
  <c r="CC432" i="1" s="1"/>
  <c r="CF456" i="1"/>
  <c r="CG456" i="1" s="1"/>
  <c r="CH456" i="1" s="1"/>
  <c r="CI456" i="1" s="1"/>
  <c r="BX456" i="1"/>
  <c r="BY456" i="1" s="1"/>
  <c r="CB456" i="1" s="1"/>
  <c r="CC456" i="1" s="1"/>
  <c r="BX488" i="1"/>
  <c r="BY488" i="1" s="1"/>
  <c r="CB488" i="1" s="1"/>
  <c r="CC488" i="1" s="1"/>
  <c r="CF488" i="1"/>
  <c r="CG488" i="1" s="1"/>
  <c r="CH488" i="1" s="1"/>
  <c r="CI488" i="1" s="1"/>
  <c r="BX510" i="1"/>
  <c r="BY510" i="1" s="1"/>
  <c r="CB510" i="1" s="1"/>
  <c r="CC510" i="1" s="1"/>
  <c r="CF510" i="1"/>
  <c r="CG510" i="1" s="1"/>
  <c r="CH510" i="1" s="1"/>
  <c r="CI510" i="1" s="1"/>
  <c r="BX526" i="1"/>
  <c r="BY526" i="1" s="1"/>
  <c r="CB526" i="1" s="1"/>
  <c r="CF526" i="1"/>
  <c r="CG526" i="1" s="1"/>
  <c r="CH526" i="1" s="1"/>
  <c r="CF542" i="1"/>
  <c r="CG542" i="1" s="1"/>
  <c r="CH542" i="1" s="1"/>
  <c r="CI542" i="1" s="1"/>
  <c r="BX542" i="1"/>
  <c r="BY542" i="1" s="1"/>
  <c r="CB542" i="1" s="1"/>
  <c r="CC542" i="1" s="1"/>
  <c r="AV886" i="1"/>
  <c r="AU886" i="1"/>
  <c r="AV975" i="1"/>
  <c r="AU975" i="1"/>
  <c r="AV765" i="1"/>
  <c r="AU765" i="1"/>
  <c r="AV273" i="1"/>
  <c r="AU273" i="1"/>
  <c r="AU1028" i="1"/>
  <c r="AV1028" i="1"/>
  <c r="AU863" i="1"/>
  <c r="AV863" i="1"/>
  <c r="CB296" i="1"/>
  <c r="AV300" i="1"/>
  <c r="AU300" i="1"/>
  <c r="CH939" i="1"/>
  <c r="CI939" i="1" s="1"/>
  <c r="CB791" i="1"/>
  <c r="CC791" i="1" s="1"/>
  <c r="CH736" i="1"/>
  <c r="CI736" i="1" s="1"/>
  <c r="CB638" i="1"/>
  <c r="CC638" i="1" s="1"/>
  <c r="CB467" i="1"/>
  <c r="CC467" i="1" s="1"/>
  <c r="CB405" i="1"/>
  <c r="CC405" i="1" s="1"/>
  <c r="CB232" i="1"/>
  <c r="CC232" i="1" s="1"/>
  <c r="CH746" i="1"/>
  <c r="CI746" i="1" s="1"/>
  <c r="CH55" i="1"/>
  <c r="CI55" i="1" s="1"/>
  <c r="CB84" i="1"/>
  <c r="CC84" i="1" s="1"/>
  <c r="CB877" i="1"/>
  <c r="CC877" i="1" s="1"/>
  <c r="CB1023" i="1"/>
  <c r="CC1023" i="1" s="1"/>
  <c r="CH792" i="1"/>
  <c r="CI792" i="1" s="1"/>
  <c r="CH445" i="1"/>
  <c r="CI445" i="1" s="1"/>
  <c r="CH85" i="1"/>
  <c r="CI85" i="1" s="1"/>
  <c r="CH41" i="1"/>
  <c r="CI41" i="1" s="1"/>
  <c r="CB324" i="1"/>
  <c r="CB722" i="1"/>
  <c r="CC722" i="1" s="1"/>
  <c r="CB1199" i="1"/>
  <c r="CC1199" i="1" s="1"/>
  <c r="CB1046" i="1"/>
  <c r="CC1046" i="1" s="1"/>
  <c r="CB774" i="1"/>
  <c r="CC774" i="1" s="1"/>
  <c r="CB9" i="1"/>
  <c r="CC9" i="1" s="1"/>
  <c r="CB65" i="1"/>
  <c r="CC65" i="1" s="1"/>
  <c r="CF188" i="1"/>
  <c r="CG188" i="1" s="1"/>
  <c r="CH188" i="1" s="1"/>
  <c r="CI188" i="1" s="1"/>
  <c r="CH92" i="1"/>
  <c r="CI92" i="1" s="1"/>
  <c r="CF260" i="1"/>
  <c r="CG260" i="1" s="1"/>
  <c r="CH260" i="1" s="1"/>
  <c r="CI260" i="1" s="1"/>
  <c r="CB124" i="1"/>
  <c r="CC124" i="1" s="1"/>
  <c r="CH871" i="1"/>
  <c r="CI871" i="1" s="1"/>
  <c r="CH902" i="1"/>
  <c r="CI902" i="1" s="1"/>
  <c r="CB785" i="1"/>
  <c r="CC785" i="1" s="1"/>
  <c r="CH752" i="1"/>
  <c r="CI752" i="1" s="1"/>
  <c r="CH678" i="1"/>
  <c r="CI678" i="1" s="1"/>
  <c r="CH570" i="1"/>
  <c r="CI570" i="1" s="1"/>
  <c r="CB691" i="1"/>
  <c r="CH553" i="1"/>
  <c r="CH114" i="1"/>
  <c r="CI114" i="1" s="1"/>
  <c r="CB941" i="1"/>
  <c r="CC941" i="1" s="1"/>
  <c r="CB412" i="1"/>
  <c r="CC412" i="1" s="1"/>
  <c r="CB255" i="1"/>
  <c r="CC255" i="1" s="1"/>
  <c r="CB275" i="1"/>
  <c r="CC275" i="1" s="1"/>
  <c r="CB315" i="1"/>
  <c r="CC315" i="1" s="1"/>
  <c r="CB367" i="1"/>
  <c r="CC367" i="1" s="1"/>
  <c r="CB403" i="1"/>
  <c r="CC403" i="1" s="1"/>
  <c r="CB527" i="1"/>
  <c r="CC527" i="1" s="1"/>
  <c r="CH773" i="1"/>
  <c r="CH789" i="1"/>
  <c r="CI789" i="1" s="1"/>
  <c r="CH869" i="1"/>
  <c r="CI869" i="1" s="1"/>
  <c r="CB885" i="1"/>
  <c r="CC885" i="1" s="1"/>
  <c r="CB933" i="1"/>
  <c r="CC933" i="1" s="1"/>
  <c r="CH981" i="1"/>
  <c r="CI981" i="1" s="1"/>
  <c r="CB997" i="1"/>
  <c r="CC997" i="1" s="1"/>
  <c r="CH579" i="1"/>
  <c r="CI579" i="1" s="1"/>
  <c r="CB588" i="1"/>
  <c r="CC588" i="1" s="1"/>
  <c r="CH828" i="1"/>
  <c r="CI828" i="1" s="1"/>
  <c r="CB96" i="1"/>
  <c r="CC96" i="1" s="1"/>
  <c r="CB132" i="1"/>
  <c r="CC132" i="1" s="1"/>
  <c r="CH1183" i="1"/>
  <c r="CI1183" i="1" s="1"/>
  <c r="CH1150" i="1"/>
  <c r="CI1150" i="1" s="1"/>
  <c r="CB1091" i="1"/>
  <c r="CB1066" i="1"/>
  <c r="CC1066" i="1" s="1"/>
  <c r="CB647" i="1"/>
  <c r="CC647" i="1" s="1"/>
  <c r="CF172" i="1"/>
  <c r="CG172" i="1" s="1"/>
  <c r="CH172" i="1" s="1"/>
  <c r="CI172" i="1" s="1"/>
  <c r="CF2" i="1"/>
  <c r="CG2" i="1" s="1"/>
  <c r="CH2" i="1" s="1"/>
  <c r="CH1134" i="1"/>
  <c r="CI1134" i="1" s="1"/>
  <c r="CB1098" i="1"/>
  <c r="CC1098" i="1" s="1"/>
  <c r="CH329" i="1"/>
  <c r="CI329" i="1" s="1"/>
  <c r="CB192" i="1"/>
  <c r="CC192" i="1" s="1"/>
  <c r="CB101" i="1"/>
  <c r="CC101" i="1" s="1"/>
  <c r="CH747" i="1"/>
  <c r="CB20" i="1"/>
  <c r="CH264" i="1"/>
  <c r="CI264" i="1" s="1"/>
  <c r="CB270" i="1"/>
  <c r="CC270" i="1" s="1"/>
  <c r="CB288" i="1"/>
  <c r="CC288" i="1" s="1"/>
  <c r="CB294" i="1"/>
  <c r="CB310" i="1"/>
  <c r="CC310" i="1" s="1"/>
  <c r="CH410" i="1"/>
  <c r="CI410" i="1" s="1"/>
  <c r="CB442" i="1"/>
  <c r="CC442" i="1" s="1"/>
  <c r="CB466" i="1"/>
  <c r="CC466" i="1" s="1"/>
  <c r="CH421" i="1"/>
  <c r="CI421" i="1" s="1"/>
  <c r="AU721" i="1"/>
  <c r="CB1100" i="1"/>
  <c r="CF1093" i="1"/>
  <c r="CG1093" i="1" s="1"/>
  <c r="CH1093" i="1" s="1"/>
  <c r="CI1093" i="1" s="1"/>
  <c r="CF1077" i="1"/>
  <c r="CG1077" i="1" s="1"/>
  <c r="CH1077" i="1" s="1"/>
  <c r="BX981" i="1"/>
  <c r="BY981" i="1" s="1"/>
  <c r="CB981" i="1" s="1"/>
  <c r="CC981" i="1" s="1"/>
  <c r="CH1045" i="1"/>
  <c r="CI1045" i="1" s="1"/>
  <c r="CH972" i="1"/>
  <c r="CI972" i="1" s="1"/>
  <c r="CF933" i="1"/>
  <c r="CG933" i="1" s="1"/>
  <c r="CH933" i="1" s="1"/>
  <c r="CI933" i="1" s="1"/>
  <c r="BX844" i="1"/>
  <c r="BY844" i="1" s="1"/>
  <c r="CB844" i="1" s="1"/>
  <c r="CC844" i="1" s="1"/>
  <c r="CF732" i="1"/>
  <c r="CG732" i="1" s="1"/>
  <c r="CH732" i="1" s="1"/>
  <c r="CI732" i="1" s="1"/>
  <c r="CB641" i="1"/>
  <c r="CC641" i="1" s="1"/>
  <c r="CB725" i="1"/>
  <c r="CC725" i="1" s="1"/>
  <c r="BX619" i="1"/>
  <c r="BY619" i="1" s="1"/>
  <c r="CB619" i="1" s="1"/>
  <c r="CC619" i="1" s="1"/>
  <c r="CF652" i="1"/>
  <c r="CG652" i="1" s="1"/>
  <c r="CH652" i="1" s="1"/>
  <c r="CI652" i="1" s="1"/>
  <c r="CH297" i="1"/>
  <c r="CI297" i="1" s="1"/>
  <c r="CF263" i="1"/>
  <c r="CG263" i="1" s="1"/>
  <c r="CH263" i="1" s="1"/>
  <c r="CI263" i="1" s="1"/>
  <c r="BX421" i="1"/>
  <c r="BY421" i="1" s="1"/>
  <c r="CB421" i="1" s="1"/>
  <c r="CC421" i="1" s="1"/>
  <c r="CB198" i="1"/>
  <c r="BX1068" i="1"/>
  <c r="BY1068" i="1" s="1"/>
  <c r="CB1068" i="1" s="1"/>
  <c r="CC1068" i="1" s="1"/>
  <c r="CF997" i="1"/>
  <c r="CG997" i="1" s="1"/>
  <c r="CH997" i="1" s="1"/>
  <c r="CI997" i="1" s="1"/>
  <c r="BX1180" i="1"/>
  <c r="BY1180" i="1" s="1"/>
  <c r="CB1180" i="1" s="1"/>
  <c r="BX972" i="1"/>
  <c r="BY972" i="1" s="1"/>
  <c r="CB972" i="1" s="1"/>
  <c r="CC972" i="1" s="1"/>
  <c r="BX805" i="1"/>
  <c r="BY805" i="1" s="1"/>
  <c r="CB805" i="1" s="1"/>
  <c r="CC805" i="1" s="1"/>
  <c r="CB116" i="1"/>
  <c r="AU801" i="1"/>
  <c r="AV576" i="1"/>
  <c r="CB120" i="1"/>
  <c r="CC120" i="1" s="1"/>
  <c r="AU1163" i="1"/>
  <c r="AU1107" i="1"/>
  <c r="AU1027" i="1"/>
  <c r="AU524" i="1"/>
  <c r="AU324" i="1"/>
  <c r="AU355" i="1"/>
  <c r="AV64" i="1"/>
  <c r="CF1164" i="1"/>
  <c r="CG1164" i="1" s="1"/>
  <c r="CH1164" i="1" s="1"/>
  <c r="CI1164" i="1" s="1"/>
  <c r="CB1093" i="1"/>
  <c r="CC1093" i="1" s="1"/>
  <c r="CB1077" i="1"/>
  <c r="CH1029" i="1"/>
  <c r="CI1029" i="1" s="1"/>
  <c r="BX1045" i="1"/>
  <c r="BY1045" i="1" s="1"/>
  <c r="CB1045" i="1" s="1"/>
  <c r="CC1045" i="1" s="1"/>
  <c r="CH861" i="1"/>
  <c r="CI861" i="1" s="1"/>
  <c r="BX789" i="1"/>
  <c r="BY789" i="1" s="1"/>
  <c r="CB789" i="1" s="1"/>
  <c r="CC789" i="1" s="1"/>
  <c r="CH741" i="1"/>
  <c r="CH684" i="1"/>
  <c r="CI684" i="1" s="1"/>
  <c r="CF636" i="1"/>
  <c r="CG636" i="1" s="1"/>
  <c r="CH636" i="1" s="1"/>
  <c r="CI636" i="1" s="1"/>
  <c r="CH574" i="1"/>
  <c r="CI574" i="1" s="1"/>
  <c r="BX620" i="1"/>
  <c r="BY620" i="1" s="1"/>
  <c r="CB620" i="1" s="1"/>
  <c r="CC620" i="1" s="1"/>
  <c r="CF498" i="1"/>
  <c r="CG498" i="1" s="1"/>
  <c r="CH498" i="1" s="1"/>
  <c r="CI498" i="1" s="1"/>
  <c r="CF466" i="1"/>
  <c r="CG466" i="1" s="1"/>
  <c r="CH466" i="1" s="1"/>
  <c r="CI466" i="1" s="1"/>
  <c r="CF310" i="1"/>
  <c r="CG310" i="1" s="1"/>
  <c r="CH310" i="1" s="1"/>
  <c r="CI310" i="1" s="1"/>
  <c r="CF294" i="1"/>
  <c r="CG294" i="1" s="1"/>
  <c r="CH294" i="1" s="1"/>
  <c r="CH249" i="1"/>
  <c r="CI249" i="1" s="1"/>
  <c r="CF291" i="1"/>
  <c r="CG291" i="1" s="1"/>
  <c r="CH291" i="1" s="1"/>
  <c r="CI291" i="1" s="1"/>
  <c r="CF270" i="1"/>
  <c r="CG270" i="1" s="1"/>
  <c r="CH270" i="1" s="1"/>
  <c r="CI270" i="1" s="1"/>
  <c r="CH1189" i="1"/>
  <c r="CI1189" i="1" s="1"/>
  <c r="CB1044" i="1"/>
  <c r="CC1044" i="1" s="1"/>
  <c r="BX924" i="1"/>
  <c r="BY924" i="1" s="1"/>
  <c r="CB924" i="1" s="1"/>
  <c r="CC924" i="1" s="1"/>
  <c r="BX956" i="1"/>
  <c r="BY956" i="1" s="1"/>
  <c r="CB956" i="1" s="1"/>
  <c r="CC956" i="1" s="1"/>
  <c r="BX917" i="1"/>
  <c r="BY917" i="1" s="1"/>
  <c r="CB917" i="1" s="1"/>
  <c r="CC917" i="1" s="1"/>
  <c r="BX821" i="1"/>
  <c r="BY821" i="1" s="1"/>
  <c r="CB821" i="1" s="1"/>
  <c r="CC821" i="1" s="1"/>
  <c r="BX869" i="1"/>
  <c r="BY869" i="1" s="1"/>
  <c r="CB869" i="1" s="1"/>
  <c r="CC869" i="1" s="1"/>
  <c r="BX613" i="1"/>
  <c r="BY613" i="1" s="1"/>
  <c r="CB613" i="1" s="1"/>
  <c r="CC613" i="1" s="1"/>
  <c r="BX479" i="1"/>
  <c r="BY479" i="1" s="1"/>
  <c r="CB479" i="1" s="1"/>
  <c r="BX543" i="1"/>
  <c r="BY543" i="1" s="1"/>
  <c r="CB543" i="1" s="1"/>
  <c r="CC543" i="1" s="1"/>
  <c r="CF316" i="1"/>
  <c r="CG316" i="1" s="1"/>
  <c r="CH316" i="1" s="1"/>
  <c r="CI316" i="1" s="1"/>
  <c r="CF403" i="1"/>
  <c r="CG403" i="1" s="1"/>
  <c r="CH403" i="1" s="1"/>
  <c r="CI403" i="1" s="1"/>
  <c r="BX297" i="1"/>
  <c r="BY297" i="1" s="1"/>
  <c r="CB297" i="1" s="1"/>
  <c r="CC297" i="1" s="1"/>
  <c r="CB356" i="1"/>
  <c r="CC356" i="1" s="1"/>
  <c r="AU1042" i="1"/>
  <c r="AU689" i="1"/>
  <c r="BX1029" i="1"/>
  <c r="BY1029" i="1" s="1"/>
  <c r="CB1029" i="1" s="1"/>
  <c r="CC1029" i="1" s="1"/>
  <c r="BX741" i="1"/>
  <c r="BY741" i="1" s="1"/>
  <c r="CB741" i="1" s="1"/>
  <c r="BX684" i="1"/>
  <c r="BY684" i="1" s="1"/>
  <c r="CB684" i="1" s="1"/>
  <c r="CC684" i="1" s="1"/>
  <c r="CB636" i="1"/>
  <c r="CC636" i="1" s="1"/>
  <c r="CF709" i="1"/>
  <c r="CG709" i="1" s="1"/>
  <c r="CH709" i="1" s="1"/>
  <c r="CI709" i="1" s="1"/>
  <c r="BX574" i="1"/>
  <c r="BY574" i="1" s="1"/>
  <c r="CB574" i="1" s="1"/>
  <c r="CC574" i="1" s="1"/>
  <c r="CH558" i="1"/>
  <c r="CI558" i="1" s="1"/>
  <c r="CB498" i="1"/>
  <c r="CC498" i="1" s="1"/>
  <c r="CF426" i="1"/>
  <c r="CG426" i="1" s="1"/>
  <c r="CH426" i="1" s="1"/>
  <c r="CI426" i="1" s="1"/>
  <c r="CF394" i="1"/>
  <c r="CG394" i="1" s="1"/>
  <c r="CH394" i="1" s="1"/>
  <c r="CI394" i="1" s="1"/>
  <c r="CH309" i="1"/>
  <c r="CI309" i="1" s="1"/>
  <c r="CB316" i="1"/>
  <c r="CC316" i="1" s="1"/>
  <c r="CF255" i="1"/>
  <c r="CG255" i="1" s="1"/>
  <c r="CH255" i="1" s="1"/>
  <c r="CI255" i="1" s="1"/>
  <c r="CF239" i="1"/>
  <c r="CG239" i="1" s="1"/>
  <c r="CH239" i="1" s="1"/>
  <c r="CI239" i="1" s="1"/>
  <c r="CB19" i="1"/>
  <c r="CC19" i="1" s="1"/>
  <c r="CB77" i="1"/>
  <c r="CH53" i="1"/>
  <c r="CI53" i="1" s="1"/>
  <c r="CF1157" i="1"/>
  <c r="CG1157" i="1" s="1"/>
  <c r="CH1157" i="1" s="1"/>
  <c r="CI1157" i="1" s="1"/>
  <c r="CF1125" i="1"/>
  <c r="CG1125" i="1" s="1"/>
  <c r="CH1125" i="1" s="1"/>
  <c r="BX1196" i="1"/>
  <c r="BY1196" i="1" s="1"/>
  <c r="CB1196" i="1" s="1"/>
  <c r="CF860" i="1"/>
  <c r="CG860" i="1" s="1"/>
  <c r="CH860" i="1" s="1"/>
  <c r="CI860" i="1" s="1"/>
  <c r="CF885" i="1"/>
  <c r="CG885" i="1" s="1"/>
  <c r="CH885" i="1" s="1"/>
  <c r="CI885" i="1" s="1"/>
  <c r="BX511" i="1"/>
  <c r="BY511" i="1" s="1"/>
  <c r="CB511" i="1" s="1"/>
  <c r="CC511" i="1" s="1"/>
  <c r="BX504" i="1"/>
  <c r="BY504" i="1" s="1"/>
  <c r="CB504" i="1" s="1"/>
  <c r="CC504" i="1" s="1"/>
  <c r="BX309" i="1"/>
  <c r="BY309" i="1" s="1"/>
  <c r="CB309" i="1" s="1"/>
  <c r="CC309" i="1" s="1"/>
  <c r="CF367" i="1"/>
  <c r="CG367" i="1" s="1"/>
  <c r="CH367" i="1" s="1"/>
  <c r="CI367" i="1" s="1"/>
  <c r="AV1124" i="1"/>
  <c r="AV961" i="1"/>
  <c r="AU156" i="1"/>
  <c r="CH956" i="1"/>
  <c r="CI956" i="1" s="1"/>
  <c r="CF837" i="1"/>
  <c r="CG837" i="1" s="1"/>
  <c r="CH837" i="1" s="1"/>
  <c r="CI837" i="1" s="1"/>
  <c r="CH780" i="1"/>
  <c r="CI780" i="1" s="1"/>
  <c r="CF527" i="1"/>
  <c r="CG527" i="1" s="1"/>
  <c r="CH527" i="1" s="1"/>
  <c r="CI527" i="1" s="1"/>
  <c r="CH700" i="1"/>
  <c r="CI700" i="1" s="1"/>
  <c r="CB709" i="1"/>
  <c r="CC709" i="1" s="1"/>
  <c r="BX558" i="1"/>
  <c r="BY558" i="1" s="1"/>
  <c r="CB558" i="1" s="1"/>
  <c r="CC558" i="1" s="1"/>
  <c r="CF315" i="1"/>
  <c r="CG315" i="1" s="1"/>
  <c r="CH315" i="1" s="1"/>
  <c r="CI315" i="1" s="1"/>
  <c r="CB263" i="1"/>
  <c r="CC263" i="1" s="1"/>
  <c r="CH189" i="1"/>
  <c r="CI189" i="1" s="1"/>
  <c r="CB306" i="1"/>
  <c r="CC306" i="1" s="1"/>
  <c r="CB239" i="1"/>
  <c r="CC239" i="1" s="1"/>
  <c r="CB30" i="1"/>
  <c r="CC30" i="1" s="1"/>
  <c r="CH1196" i="1"/>
  <c r="BX892" i="1"/>
  <c r="BY892" i="1" s="1"/>
  <c r="CB892" i="1" s="1"/>
  <c r="CC892" i="1" s="1"/>
  <c r="CF901" i="1"/>
  <c r="CG901" i="1" s="1"/>
  <c r="CH901" i="1" s="1"/>
  <c r="CI901" i="1" s="1"/>
  <c r="CF876" i="1"/>
  <c r="CG876" i="1" s="1"/>
  <c r="CH876" i="1" s="1"/>
  <c r="CI876" i="1" s="1"/>
  <c r="CB707" i="1"/>
  <c r="CC707" i="1" s="1"/>
  <c r="CF448" i="1"/>
  <c r="CG448" i="1" s="1"/>
  <c r="CH448" i="1" s="1"/>
  <c r="CI448" i="1" s="1"/>
  <c r="CJ448" i="1" s="1"/>
  <c r="BD448" i="1" s="1"/>
  <c r="CH117" i="1"/>
  <c r="CI117" i="1" s="1"/>
  <c r="CF288" i="1"/>
  <c r="CG288" i="1" s="1"/>
  <c r="CH288" i="1" s="1"/>
  <c r="CI288" i="1" s="1"/>
  <c r="CB605" i="1"/>
  <c r="CC605" i="1" s="1"/>
  <c r="AU1123" i="1"/>
  <c r="AU902" i="1"/>
  <c r="AU817" i="1"/>
  <c r="AU588" i="1"/>
  <c r="CB1157" i="1"/>
  <c r="CC1157" i="1" s="1"/>
  <c r="CF1109" i="1"/>
  <c r="CG1109" i="1" s="1"/>
  <c r="CH1109" i="1" s="1"/>
  <c r="CI1109" i="1" s="1"/>
  <c r="CF1061" i="1"/>
  <c r="CG1061" i="1" s="1"/>
  <c r="CH1061" i="1" s="1"/>
  <c r="CI1061" i="1" s="1"/>
  <c r="BX773" i="1"/>
  <c r="BY773" i="1" s="1"/>
  <c r="CB773" i="1" s="1"/>
  <c r="BX780" i="1"/>
  <c r="BY780" i="1" s="1"/>
  <c r="CB780" i="1" s="1"/>
  <c r="CC780" i="1" s="1"/>
  <c r="BX700" i="1"/>
  <c r="BY700" i="1" s="1"/>
  <c r="CB700" i="1" s="1"/>
  <c r="CC700" i="1" s="1"/>
  <c r="CF588" i="1"/>
  <c r="CG588" i="1" s="1"/>
  <c r="CH588" i="1" s="1"/>
  <c r="CI588" i="1" s="1"/>
  <c r="CF482" i="1"/>
  <c r="CG482" i="1" s="1"/>
  <c r="CH482" i="1" s="1"/>
  <c r="CI482" i="1" s="1"/>
  <c r="CF447" i="1"/>
  <c r="CG447" i="1" s="1"/>
  <c r="CH447" i="1" s="1"/>
  <c r="CI447" i="1" s="1"/>
  <c r="CB327" i="1"/>
  <c r="BX189" i="1"/>
  <c r="BY189" i="1" s="1"/>
  <c r="CB189" i="1" s="1"/>
  <c r="CC189" i="1" s="1"/>
  <c r="CF215" i="1"/>
  <c r="CG215" i="1" s="1"/>
  <c r="CH215" i="1" s="1"/>
  <c r="CI215" i="1" s="1"/>
  <c r="CF207" i="1"/>
  <c r="CG207" i="1" s="1"/>
  <c r="CH207" i="1" s="1"/>
  <c r="CI207" i="1" s="1"/>
  <c r="CH146" i="1"/>
  <c r="BX1173" i="1"/>
  <c r="BY1173" i="1" s="1"/>
  <c r="CB1173" i="1" s="1"/>
  <c r="CF716" i="1"/>
  <c r="CG716" i="1" s="1"/>
  <c r="CH716" i="1" s="1"/>
  <c r="CH757" i="1"/>
  <c r="CI757" i="1" s="1"/>
  <c r="CF668" i="1"/>
  <c r="CG668" i="1" s="1"/>
  <c r="CH668" i="1" s="1"/>
  <c r="CI668" i="1" s="1"/>
  <c r="BX604" i="1"/>
  <c r="BY604" i="1" s="1"/>
  <c r="CB604" i="1" s="1"/>
  <c r="CH511" i="1"/>
  <c r="CI511" i="1" s="1"/>
  <c r="CF96" i="1"/>
  <c r="CG96" i="1" s="1"/>
  <c r="CH96" i="1" s="1"/>
  <c r="CI96" i="1" s="1"/>
  <c r="AU945" i="1"/>
  <c r="AV658" i="1"/>
  <c r="AU362" i="1"/>
  <c r="AV56" i="1"/>
  <c r="AU145" i="1"/>
  <c r="BX1141" i="1"/>
  <c r="BY1141" i="1" s="1"/>
  <c r="CB1141" i="1" s="1"/>
  <c r="CB1109" i="1"/>
  <c r="CC1109" i="1" s="1"/>
  <c r="CH963" i="1"/>
  <c r="CI963" i="1" s="1"/>
  <c r="CF908" i="1"/>
  <c r="CG908" i="1" s="1"/>
  <c r="CH908" i="1" s="1"/>
  <c r="CI908" i="1" s="1"/>
  <c r="CB876" i="1"/>
  <c r="CC876" i="1" s="1"/>
  <c r="CB703" i="1"/>
  <c r="CC703" i="1" s="1"/>
  <c r="CB671" i="1"/>
  <c r="CC671" i="1" s="1"/>
  <c r="CH581" i="1"/>
  <c r="CI581" i="1" s="1"/>
  <c r="CH520" i="1"/>
  <c r="CI520" i="1" s="1"/>
  <c r="CH504" i="1"/>
  <c r="CI504" i="1" s="1"/>
  <c r="CB482" i="1"/>
  <c r="CC482" i="1" s="1"/>
  <c r="BX410" i="1"/>
  <c r="BY410" i="1" s="1"/>
  <c r="CB410" i="1" s="1"/>
  <c r="CC410" i="1" s="1"/>
  <c r="CF275" i="1"/>
  <c r="CG275" i="1" s="1"/>
  <c r="CH275" i="1" s="1"/>
  <c r="CI275" i="1" s="1"/>
  <c r="CB215" i="1"/>
  <c r="CC215" i="1" s="1"/>
  <c r="BX238" i="1"/>
  <c r="BY238" i="1" s="1"/>
  <c r="CB238" i="1" s="1"/>
  <c r="CC238" i="1" s="1"/>
  <c r="CB207" i="1"/>
  <c r="CC207" i="1" s="1"/>
  <c r="CF327" i="1"/>
  <c r="CG327" i="1" s="1"/>
  <c r="CH327" i="1" s="1"/>
  <c r="CH186" i="1"/>
  <c r="CI186" i="1" s="1"/>
  <c r="CB79" i="1"/>
  <c r="CC79" i="1" s="1"/>
  <c r="BX1189" i="1"/>
  <c r="BY1189" i="1" s="1"/>
  <c r="CB1189" i="1" s="1"/>
  <c r="CC1189" i="1" s="1"/>
  <c r="CH1173" i="1"/>
  <c r="BX1052" i="1"/>
  <c r="BY1052" i="1" s="1"/>
  <c r="CB1052" i="1" s="1"/>
  <c r="CC1052" i="1" s="1"/>
  <c r="CF988" i="1"/>
  <c r="CG988" i="1" s="1"/>
  <c r="CH988" i="1" s="1"/>
  <c r="CI988" i="1" s="1"/>
  <c r="CB796" i="1"/>
  <c r="CH844" i="1"/>
  <c r="CI844" i="1" s="1"/>
  <c r="CF536" i="1"/>
  <c r="CG536" i="1" s="1"/>
  <c r="CH536" i="1" s="1"/>
  <c r="CI536" i="1" s="1"/>
  <c r="CH604" i="1"/>
  <c r="AU867" i="1"/>
  <c r="AV917" i="1"/>
  <c r="AV267" i="1"/>
  <c r="AU455" i="1"/>
  <c r="CF1148" i="1"/>
  <c r="CG1148" i="1" s="1"/>
  <c r="CH1148" i="1" s="1"/>
  <c r="CI1148" i="1" s="1"/>
  <c r="CB1084" i="1"/>
  <c r="CC1084" i="1" s="1"/>
  <c r="CH748" i="1"/>
  <c r="CI748" i="1" s="1"/>
  <c r="CF552" i="1"/>
  <c r="CG552" i="1" s="1"/>
  <c r="CH552" i="1" s="1"/>
  <c r="CI552" i="1" s="1"/>
  <c r="CF442" i="1"/>
  <c r="CG442" i="1" s="1"/>
  <c r="CH442" i="1" s="1"/>
  <c r="CI442" i="1" s="1"/>
  <c r="CH321" i="1"/>
  <c r="CI321" i="1" s="1"/>
  <c r="CF303" i="1"/>
  <c r="CG303" i="1" s="1"/>
  <c r="CH303" i="1" s="1"/>
  <c r="CI303" i="1" s="1"/>
  <c r="BX186" i="1"/>
  <c r="BY186" i="1" s="1"/>
  <c r="CB186" i="1" s="1"/>
  <c r="CC186" i="1" s="1"/>
  <c r="CH479" i="1"/>
  <c r="BX581" i="1"/>
  <c r="BY581" i="1" s="1"/>
  <c r="CB581" i="1" s="1"/>
  <c r="CC581" i="1" s="1"/>
  <c r="AU225" i="1"/>
  <c r="CH216" i="1"/>
  <c r="CH52" i="1"/>
  <c r="CH230" i="1"/>
  <c r="CI230" i="1" s="1"/>
  <c r="CF364" i="1"/>
  <c r="CG364" i="1" s="1"/>
  <c r="CH364" i="1" s="1"/>
  <c r="CI364" i="1" s="1"/>
  <c r="CH177" i="1"/>
  <c r="CH332" i="1"/>
  <c r="CB125" i="1"/>
  <c r="CC125" i="1" s="1"/>
  <c r="CH790" i="1"/>
  <c r="CI790" i="1" s="1"/>
  <c r="CH393" i="1"/>
  <c r="CI393" i="1" s="1"/>
  <c r="CH246" i="1"/>
  <c r="CI246" i="1" s="1"/>
  <c r="CB994" i="1"/>
  <c r="CC994" i="1" s="1"/>
  <c r="CB228" i="1"/>
  <c r="CC228" i="1" s="1"/>
  <c r="CB822" i="1"/>
  <c r="CB547" i="1"/>
  <c r="CC547" i="1" s="1"/>
  <c r="CB160" i="1"/>
  <c r="CC160" i="1" s="1"/>
  <c r="CH76" i="1"/>
  <c r="CB1170" i="1"/>
  <c r="CC1170" i="1" s="1"/>
  <c r="CH1083" i="1"/>
  <c r="CI1083" i="1" s="1"/>
  <c r="CB82" i="1"/>
  <c r="CC82" i="1" s="1"/>
  <c r="CB1026" i="1"/>
  <c r="CC1026" i="1" s="1"/>
  <c r="CB537" i="1"/>
  <c r="CC537" i="1" s="1"/>
  <c r="CF304" i="1"/>
  <c r="CG304" i="1" s="1"/>
  <c r="CH304" i="1" s="1"/>
  <c r="CI304" i="1" s="1"/>
  <c r="CB810" i="1"/>
  <c r="CC810" i="1" s="1"/>
  <c r="CB220" i="1"/>
  <c r="CC220" i="1" s="1"/>
  <c r="CB1140" i="1"/>
  <c r="CC1140" i="1" s="1"/>
  <c r="CB916" i="1"/>
  <c r="CB629" i="1"/>
  <c r="CC629" i="1" s="1"/>
  <c r="CB508" i="1"/>
  <c r="CC508" i="1" s="1"/>
  <c r="CF192" i="1"/>
  <c r="CG192" i="1" s="1"/>
  <c r="CH192" i="1" s="1"/>
  <c r="CI192" i="1" s="1"/>
  <c r="CB556" i="1"/>
  <c r="CC556" i="1" s="1"/>
  <c r="CB569" i="1"/>
  <c r="CC569" i="1" s="1"/>
  <c r="CB1195" i="1"/>
  <c r="CC1195" i="1" s="1"/>
  <c r="CB1162" i="1"/>
  <c r="CB795" i="1"/>
  <c r="CH815" i="1"/>
  <c r="CI815" i="1" s="1"/>
  <c r="CB1135" i="1"/>
  <c r="CB1057" i="1"/>
  <c r="CC1057" i="1" s="1"/>
  <c r="CB936" i="1"/>
  <c r="CC936" i="1" s="1"/>
  <c r="CH724" i="1"/>
  <c r="CH586" i="1"/>
  <c r="CI586" i="1" s="1"/>
  <c r="CH539" i="1"/>
  <c r="CI539" i="1" s="1"/>
  <c r="CB477" i="1"/>
  <c r="CB390" i="1"/>
  <c r="CC390" i="1" s="1"/>
  <c r="CB21" i="1"/>
  <c r="CC21" i="1" s="1"/>
  <c r="CB402" i="1"/>
  <c r="CH1051" i="1"/>
  <c r="CI1051" i="1" s="1"/>
  <c r="CB987" i="1"/>
  <c r="CB940" i="1"/>
  <c r="CC940" i="1" s="1"/>
  <c r="CH858" i="1"/>
  <c r="CI858" i="1" s="1"/>
  <c r="CH409" i="1"/>
  <c r="CI409" i="1" s="1"/>
  <c r="CH429" i="1"/>
  <c r="CI429" i="1" s="1"/>
  <c r="CH471" i="1"/>
  <c r="CI471" i="1" s="1"/>
  <c r="AU339" i="1"/>
  <c r="AV339" i="1"/>
  <c r="CB1062" i="1"/>
  <c r="CC1062" i="1" s="1"/>
  <c r="CB1020" i="1"/>
  <c r="CC1020" i="1" s="1"/>
  <c r="CH924" i="1"/>
  <c r="CI924" i="1" s="1"/>
  <c r="CH841" i="1"/>
  <c r="AU1151" i="1"/>
  <c r="AV1151" i="1"/>
  <c r="CB1171" i="1"/>
  <c r="CC1171" i="1" s="1"/>
  <c r="CB1096" i="1"/>
  <c r="CC1096" i="1" s="1"/>
  <c r="CB931" i="1"/>
  <c r="CC931" i="1" s="1"/>
  <c r="CH472" i="1"/>
  <c r="CI472" i="1" s="1"/>
  <c r="CH694" i="1"/>
  <c r="CI694" i="1" s="1"/>
  <c r="AV980" i="1"/>
  <c r="CB1146" i="1"/>
  <c r="CC1146" i="1" s="1"/>
  <c r="CB1155" i="1"/>
  <c r="CB1053" i="1"/>
  <c r="CC1053" i="1" s="1"/>
  <c r="CH704" i="1"/>
  <c r="CH610" i="1"/>
  <c r="CI610" i="1" s="1"/>
  <c r="CH1107" i="1"/>
  <c r="CI1107" i="1" s="1"/>
  <c r="CB1152" i="1"/>
  <c r="CC1152" i="1" s="1"/>
  <c r="CJ1152" i="1" s="1"/>
  <c r="BD1152" i="1" s="1"/>
  <c r="CB998" i="1"/>
  <c r="CH1043" i="1"/>
  <c r="CI1043" i="1" s="1"/>
  <c r="CB800" i="1"/>
  <c r="CC800" i="1" s="1"/>
  <c r="CB920" i="1"/>
  <c r="CC920" i="1" s="1"/>
  <c r="CB852" i="1"/>
  <c r="CH909" i="1"/>
  <c r="CI909" i="1" s="1"/>
  <c r="CB908" i="1"/>
  <c r="CC908" i="1" s="1"/>
  <c r="CB499" i="1"/>
  <c r="CB568" i="1"/>
  <c r="CB480" i="1"/>
  <c r="CC480" i="1" s="1"/>
  <c r="AV1183" i="1"/>
  <c r="AU1183" i="1"/>
  <c r="CH1096" i="1"/>
  <c r="CI1096" i="1" s="1"/>
  <c r="CB1048" i="1"/>
  <c r="CC1048" i="1" s="1"/>
  <c r="CB831" i="1"/>
  <c r="CC831" i="1" s="1"/>
  <c r="CH696" i="1"/>
  <c r="CI696" i="1" s="1"/>
  <c r="AU1175" i="1"/>
  <c r="AV1175" i="1"/>
  <c r="CB712" i="1"/>
  <c r="CC712" i="1" s="1"/>
  <c r="CH646" i="1"/>
  <c r="CI646" i="1" s="1"/>
  <c r="CH594" i="1"/>
  <c r="CI594" i="1" s="1"/>
  <c r="CH240" i="1"/>
  <c r="CI240" i="1" s="1"/>
  <c r="CB146" i="1"/>
  <c r="CB3" i="1"/>
  <c r="CB53" i="1"/>
  <c r="CC53" i="1" s="1"/>
  <c r="CH124" i="1"/>
  <c r="CI124" i="1" s="1"/>
  <c r="CB2" i="1"/>
  <c r="AV1160" i="1"/>
  <c r="AU1160" i="1"/>
  <c r="CH943" i="1"/>
  <c r="CI943" i="1" s="1"/>
  <c r="CH672" i="1"/>
  <c r="CI672" i="1" s="1"/>
  <c r="CH370" i="1"/>
  <c r="CI370" i="1" s="1"/>
  <c r="CB93" i="1"/>
  <c r="CC93" i="1" s="1"/>
  <c r="CF336" i="1"/>
  <c r="CG336" i="1" s="1"/>
  <c r="CH336" i="1" s="1"/>
  <c r="CI336" i="1" s="1"/>
  <c r="AU259" i="1"/>
  <c r="AV259" i="1"/>
  <c r="CB1139" i="1"/>
  <c r="CC1139" i="1" s="1"/>
  <c r="CH760" i="1"/>
  <c r="CI760" i="1" s="1"/>
  <c r="CH618" i="1"/>
  <c r="CH602" i="1"/>
  <c r="CI602" i="1" s="1"/>
  <c r="CB616" i="1"/>
  <c r="CC616" i="1" s="1"/>
  <c r="CH457" i="1"/>
  <c r="CH225" i="1"/>
  <c r="CI225" i="1" s="1"/>
  <c r="CH193" i="1"/>
  <c r="CI193" i="1" s="1"/>
  <c r="CB208" i="1"/>
  <c r="CC208" i="1" s="1"/>
  <c r="CB49" i="1"/>
  <c r="CC49" i="1" s="1"/>
  <c r="CB1036" i="1"/>
  <c r="CC1036" i="1" s="1"/>
  <c r="BX452" i="1"/>
  <c r="BY452" i="1" s="1"/>
  <c r="CB452" i="1" s="1"/>
  <c r="CC452" i="1" s="1"/>
  <c r="CB196" i="1"/>
  <c r="CC196" i="1" s="1"/>
  <c r="AU74" i="1"/>
  <c r="AV74" i="1"/>
  <c r="AU472" i="1"/>
  <c r="AV472" i="1"/>
  <c r="CH1059" i="1"/>
  <c r="CB1002" i="1"/>
  <c r="CC1002" i="1" s="1"/>
  <c r="CB850" i="1"/>
  <c r="CC850" i="1" s="1"/>
  <c r="CB823" i="1"/>
  <c r="CC823" i="1" s="1"/>
  <c r="CB667" i="1"/>
  <c r="CC667" i="1" s="1"/>
  <c r="CH452" i="1"/>
  <c r="CI452" i="1" s="1"/>
  <c r="CF512" i="1"/>
  <c r="CG512" i="1" s="1"/>
  <c r="CH512" i="1" s="1"/>
  <c r="CI512" i="1" s="1"/>
  <c r="CH624" i="1"/>
  <c r="CI624" i="1" s="1"/>
  <c r="CH106" i="1"/>
  <c r="CI106" i="1" s="1"/>
  <c r="AU972" i="1"/>
  <c r="AV972" i="1"/>
  <c r="AV988" i="1"/>
  <c r="AU988" i="1"/>
  <c r="AV399" i="1"/>
  <c r="AU399" i="1"/>
  <c r="CH1055" i="1"/>
  <c r="CB971" i="1"/>
  <c r="CH630" i="1"/>
  <c r="CI630" i="1" s="1"/>
  <c r="CB374" i="1"/>
  <c r="CC374" i="1" s="1"/>
  <c r="CB241" i="1"/>
  <c r="CC241" i="1" s="1"/>
  <c r="CB317" i="1"/>
  <c r="CC317" i="1" s="1"/>
  <c r="CB81" i="1"/>
  <c r="CC81" i="1" s="1"/>
  <c r="CF347" i="1"/>
  <c r="CG347" i="1" s="1"/>
  <c r="CH347" i="1" s="1"/>
  <c r="AV171" i="1"/>
  <c r="AV603" i="1"/>
  <c r="AU603" i="1"/>
  <c r="AU1171" i="1"/>
  <c r="CB1121" i="1"/>
  <c r="CC1121" i="1" s="1"/>
  <c r="CH1048" i="1"/>
  <c r="CI1048" i="1" s="1"/>
  <c r="CH884" i="1"/>
  <c r="CI884" i="1" s="1"/>
  <c r="CH826" i="1"/>
  <c r="CH386" i="1"/>
  <c r="CI386" i="1" s="1"/>
  <c r="CH485" i="1"/>
  <c r="CH213" i="1"/>
  <c r="CH415" i="1"/>
  <c r="CI415" i="1" s="1"/>
  <c r="CB265" i="1"/>
  <c r="CC265" i="1" s="1"/>
  <c r="CH140" i="1"/>
  <c r="CI140" i="1" s="1"/>
  <c r="AU964" i="1"/>
  <c r="AV964" i="1"/>
  <c r="AU736" i="1"/>
  <c r="AV736" i="1"/>
  <c r="AV906" i="1"/>
  <c r="AU906" i="1"/>
  <c r="CH1136" i="1"/>
  <c r="CH1142" i="1"/>
  <c r="CB1069" i="1"/>
  <c r="CC1069" i="1" s="1"/>
  <c r="CB1061" i="1"/>
  <c r="CC1061" i="1" s="1"/>
  <c r="CH1021" i="1"/>
  <c r="CH838" i="1"/>
  <c r="CI838" i="1" s="1"/>
  <c r="CB890" i="1"/>
  <c r="CC890" i="1" s="1"/>
  <c r="CB874" i="1"/>
  <c r="CC874" i="1" s="1"/>
  <c r="CB776" i="1"/>
  <c r="CC776" i="1" s="1"/>
  <c r="CJ776" i="1" s="1"/>
  <c r="BD776" i="1" s="1"/>
  <c r="CH353" i="1"/>
  <c r="CI353" i="1" s="1"/>
  <c r="CB57" i="1"/>
  <c r="CC57" i="1" s="1"/>
  <c r="CF352" i="1"/>
  <c r="CG352" i="1" s="1"/>
  <c r="CH352" i="1" s="1"/>
  <c r="CI352" i="1" s="1"/>
  <c r="CB137" i="1"/>
  <c r="CB1127" i="1"/>
  <c r="CC1127" i="1" s="1"/>
  <c r="CH1069" i="1"/>
  <c r="CI1069" i="1" s="1"/>
  <c r="CB918" i="1"/>
  <c r="CC918" i="1" s="1"/>
  <c r="CB1058" i="1"/>
  <c r="CC1058" i="1" s="1"/>
  <c r="CH1052" i="1"/>
  <c r="CI1052" i="1" s="1"/>
  <c r="CH656" i="1"/>
  <c r="CH521" i="1"/>
  <c r="CB1176" i="1"/>
  <c r="CC1176" i="1" s="1"/>
  <c r="CB1166" i="1"/>
  <c r="CC1166" i="1" s="1"/>
  <c r="CH1076" i="1"/>
  <c r="CH842" i="1"/>
  <c r="CH543" i="1"/>
  <c r="CI543" i="1" s="1"/>
  <c r="CB254" i="1"/>
  <c r="CC254" i="1" s="1"/>
  <c r="CH10" i="1"/>
  <c r="CI10" i="1" s="1"/>
  <c r="CB1119" i="1"/>
  <c r="CC1119" i="1" s="1"/>
  <c r="CH942" i="1"/>
  <c r="CI942" i="1" s="1"/>
  <c r="CH519" i="1"/>
  <c r="CI519" i="1" s="1"/>
  <c r="CB379" i="1"/>
  <c r="CB151" i="1"/>
  <c r="CC151" i="1" s="1"/>
  <c r="BX392" i="1"/>
  <c r="BY392" i="1" s="1"/>
  <c r="CB392" i="1" s="1"/>
  <c r="CC392" i="1" s="1"/>
  <c r="CB169" i="1"/>
  <c r="CC169" i="1" s="1"/>
  <c r="CB129" i="1"/>
  <c r="CC129" i="1" s="1"/>
  <c r="AU1189" i="1"/>
  <c r="AV1189" i="1"/>
  <c r="AV956" i="1"/>
  <c r="AU956" i="1"/>
  <c r="CH16" i="1"/>
  <c r="CI16" i="1" s="1"/>
  <c r="AV1153" i="1"/>
  <c r="AU1153" i="1"/>
  <c r="AU909" i="1"/>
  <c r="AV909" i="1"/>
  <c r="AV1055" i="1"/>
  <c r="AU1055" i="1"/>
  <c r="AV930" i="1"/>
  <c r="AU930" i="1"/>
  <c r="AU784" i="1"/>
  <c r="AV784" i="1"/>
  <c r="AV486" i="1"/>
  <c r="AU486" i="1"/>
  <c r="AU600" i="1"/>
  <c r="AV600" i="1"/>
  <c r="AV208" i="1"/>
  <c r="AU208" i="1"/>
  <c r="CF180" i="1"/>
  <c r="CG180" i="1" s="1"/>
  <c r="CH180" i="1" s="1"/>
  <c r="CI180" i="1" s="1"/>
  <c r="BX180" i="1"/>
  <c r="BY180" i="1" s="1"/>
  <c r="CB180" i="1" s="1"/>
  <c r="CC180" i="1" s="1"/>
  <c r="CB304" i="1"/>
  <c r="CC304" i="1" s="1"/>
  <c r="AU632" i="1"/>
  <c r="AV632" i="1"/>
  <c r="AU34" i="1"/>
  <c r="AV34" i="1"/>
  <c r="AU50" i="1"/>
  <c r="AV50" i="1"/>
  <c r="CB303" i="1"/>
  <c r="CC303" i="1" s="1"/>
  <c r="CF339" i="1"/>
  <c r="CG339" i="1" s="1"/>
  <c r="CH339" i="1" s="1"/>
  <c r="CI339" i="1" s="1"/>
  <c r="BX339" i="1"/>
  <c r="BY339" i="1" s="1"/>
  <c r="CB339" i="1" s="1"/>
  <c r="CC339" i="1" s="1"/>
  <c r="CB447" i="1"/>
  <c r="CC447" i="1" s="1"/>
  <c r="BX463" i="1"/>
  <c r="BY463" i="1" s="1"/>
  <c r="CB463" i="1" s="1"/>
  <c r="CC463" i="1" s="1"/>
  <c r="CF463" i="1"/>
  <c r="CG463" i="1" s="1"/>
  <c r="CH463" i="1" s="1"/>
  <c r="CI463" i="1" s="1"/>
  <c r="BX495" i="1"/>
  <c r="BY495" i="1" s="1"/>
  <c r="CB495" i="1" s="1"/>
  <c r="CC495" i="1" s="1"/>
  <c r="CF495" i="1"/>
  <c r="CG495" i="1" s="1"/>
  <c r="CH495" i="1" s="1"/>
  <c r="CI495" i="1" s="1"/>
  <c r="CF565" i="1"/>
  <c r="CG565" i="1" s="1"/>
  <c r="CH565" i="1" s="1"/>
  <c r="CI565" i="1" s="1"/>
  <c r="BX565" i="1"/>
  <c r="BY565" i="1" s="1"/>
  <c r="CB565" i="1" s="1"/>
  <c r="CC565" i="1" s="1"/>
  <c r="BX597" i="1"/>
  <c r="BY597" i="1" s="1"/>
  <c r="CB597" i="1" s="1"/>
  <c r="CC597" i="1" s="1"/>
  <c r="CF597" i="1"/>
  <c r="CG597" i="1" s="1"/>
  <c r="CH597" i="1" s="1"/>
  <c r="CI597" i="1" s="1"/>
  <c r="CB901" i="1"/>
  <c r="CC901" i="1" s="1"/>
  <c r="CF965" i="1"/>
  <c r="CG965" i="1" s="1"/>
  <c r="CH965" i="1" s="1"/>
  <c r="BX965" i="1"/>
  <c r="BY965" i="1" s="1"/>
  <c r="CB965" i="1" s="1"/>
  <c r="BX1013" i="1"/>
  <c r="BY1013" i="1" s="1"/>
  <c r="CB1013" i="1" s="1"/>
  <c r="CC1013" i="1" s="1"/>
  <c r="CF1013" i="1"/>
  <c r="CG1013" i="1" s="1"/>
  <c r="CH1013" i="1" s="1"/>
  <c r="CI1013" i="1" s="1"/>
  <c r="CH1141" i="1"/>
  <c r="AU99" i="1"/>
  <c r="AV99" i="1"/>
  <c r="CF662" i="1"/>
  <c r="CG662" i="1" s="1"/>
  <c r="CH662" i="1" s="1"/>
  <c r="CI662" i="1" s="1"/>
  <c r="BX662" i="1"/>
  <c r="BY662" i="1" s="1"/>
  <c r="CB662" i="1" s="1"/>
  <c r="CC662" i="1" s="1"/>
  <c r="CF966" i="1"/>
  <c r="CG966" i="1" s="1"/>
  <c r="CH966" i="1" s="1"/>
  <c r="CI966" i="1" s="1"/>
  <c r="BX966" i="1"/>
  <c r="BY966" i="1" s="1"/>
  <c r="CB966" i="1" s="1"/>
  <c r="CC966" i="1" s="1"/>
  <c r="CH980" i="1"/>
  <c r="CI980" i="1" s="1"/>
  <c r="CH302" i="1"/>
  <c r="CI302" i="1" s="1"/>
  <c r="CB266" i="1"/>
  <c r="CB912" i="1"/>
  <c r="CC912" i="1" s="1"/>
  <c r="CB505" i="1"/>
  <c r="CC505" i="1" s="1"/>
  <c r="CB281" i="1"/>
  <c r="CC281" i="1" s="1"/>
  <c r="AV726" i="1"/>
  <c r="AU726" i="1"/>
  <c r="AV846" i="1"/>
  <c r="AU846" i="1"/>
  <c r="AV803" i="1"/>
  <c r="AU803" i="1"/>
  <c r="AV611" i="1"/>
  <c r="AU611" i="1"/>
  <c r="AV489" i="1"/>
  <c r="AU489" i="1"/>
  <c r="AU534" i="1"/>
  <c r="AV534" i="1"/>
  <c r="AV256" i="1"/>
  <c r="AU256" i="1"/>
  <c r="CB344" i="1"/>
  <c r="CF360" i="1"/>
  <c r="CG360" i="1" s="1"/>
  <c r="CH360" i="1" s="1"/>
  <c r="CI360" i="1" s="1"/>
  <c r="BX360" i="1"/>
  <c r="BY360" i="1" s="1"/>
  <c r="CB360" i="1" s="1"/>
  <c r="CC360" i="1" s="1"/>
  <c r="CB536" i="1"/>
  <c r="CC536" i="1" s="1"/>
  <c r="CB552" i="1"/>
  <c r="CC552" i="1" s="1"/>
  <c r="AU315" i="1"/>
  <c r="AV315" i="1"/>
  <c r="CB427" i="1"/>
  <c r="CC427" i="1" s="1"/>
  <c r="CH617" i="1"/>
  <c r="CI617" i="1" s="1"/>
  <c r="CF812" i="1"/>
  <c r="CG812" i="1" s="1"/>
  <c r="CH812" i="1" s="1"/>
  <c r="CI812" i="1" s="1"/>
  <c r="BX812" i="1"/>
  <c r="BY812" i="1" s="1"/>
  <c r="CB812" i="1" s="1"/>
  <c r="CC812" i="1" s="1"/>
  <c r="CH892" i="1"/>
  <c r="CI892" i="1" s="1"/>
  <c r="CB988" i="1"/>
  <c r="CC988" i="1" s="1"/>
  <c r="CF1004" i="1"/>
  <c r="CG1004" i="1" s="1"/>
  <c r="CH1004" i="1" s="1"/>
  <c r="BX1004" i="1"/>
  <c r="BY1004" i="1" s="1"/>
  <c r="CB1004" i="1" s="1"/>
  <c r="CB1164" i="1"/>
  <c r="CC1164" i="1" s="1"/>
  <c r="CB801" i="1"/>
  <c r="CC801" i="1" s="1"/>
  <c r="CB832" i="1"/>
  <c r="CB792" i="1"/>
  <c r="CC792" i="1" s="1"/>
  <c r="CH348" i="1"/>
  <c r="CI348" i="1" s="1"/>
  <c r="CB152" i="1"/>
  <c r="CC152" i="1" s="1"/>
  <c r="CB99" i="1"/>
  <c r="CC99" i="1" s="1"/>
  <c r="AU624" i="1"/>
  <c r="AV624" i="1"/>
  <c r="AV766" i="1"/>
  <c r="AU766" i="1"/>
  <c r="AU468" i="1"/>
  <c r="AV468" i="1"/>
  <c r="AU388" i="1"/>
  <c r="AV388" i="1"/>
  <c r="AV336" i="1"/>
  <c r="AU336" i="1"/>
  <c r="AU492" i="1"/>
  <c r="AV492" i="1"/>
  <c r="AU323" i="1"/>
  <c r="AV323" i="1"/>
  <c r="CB287" i="1"/>
  <c r="CC287" i="1" s="1"/>
  <c r="CB311" i="1"/>
  <c r="CB351" i="1"/>
  <c r="CC351" i="1" s="1"/>
  <c r="CF363" i="1"/>
  <c r="CG363" i="1" s="1"/>
  <c r="CH363" i="1" s="1"/>
  <c r="CI363" i="1" s="1"/>
  <c r="BX363" i="1"/>
  <c r="BY363" i="1" s="1"/>
  <c r="CB363" i="1" s="1"/>
  <c r="CC363" i="1" s="1"/>
  <c r="CB459" i="1"/>
  <c r="CC459" i="1" s="1"/>
  <c r="CB929" i="1"/>
  <c r="CC929" i="1" s="1"/>
  <c r="BX977" i="1"/>
  <c r="BY977" i="1" s="1"/>
  <c r="CB977" i="1" s="1"/>
  <c r="CC977" i="1" s="1"/>
  <c r="CF977" i="1"/>
  <c r="CG977" i="1" s="1"/>
  <c r="CH977" i="1" s="1"/>
  <c r="CI977" i="1" s="1"/>
  <c r="CB1137" i="1"/>
  <c r="CC1137" i="1" s="1"/>
  <c r="BX1169" i="1"/>
  <c r="BY1169" i="1" s="1"/>
  <c r="CB1169" i="1" s="1"/>
  <c r="CC1169" i="1" s="1"/>
  <c r="CF1169" i="1"/>
  <c r="CG1169" i="1" s="1"/>
  <c r="CH1169" i="1" s="1"/>
  <c r="CI1169" i="1" s="1"/>
  <c r="CB1185" i="1"/>
  <c r="CC1185" i="1" s="1"/>
  <c r="AV97" i="1"/>
  <c r="AU97" i="1"/>
  <c r="CH607" i="1"/>
  <c r="CI607" i="1" s="1"/>
  <c r="BX754" i="1"/>
  <c r="BY754" i="1" s="1"/>
  <c r="CB754" i="1" s="1"/>
  <c r="CC754" i="1" s="1"/>
  <c r="CF754" i="1"/>
  <c r="CG754" i="1" s="1"/>
  <c r="CH754" i="1" s="1"/>
  <c r="CI754" i="1" s="1"/>
  <c r="CH930" i="1"/>
  <c r="CI930" i="1" s="1"/>
  <c r="CB803" i="1"/>
  <c r="CC803" i="1" s="1"/>
  <c r="CB728" i="1"/>
  <c r="CC728" i="1" s="1"/>
  <c r="CB652" i="1"/>
  <c r="CC652" i="1" s="1"/>
  <c r="CH258" i="1"/>
  <c r="CI258" i="1" s="1"/>
  <c r="CB78" i="1"/>
  <c r="CC78" i="1" s="1"/>
  <c r="CB14" i="1"/>
  <c r="CC14" i="1" s="1"/>
  <c r="CB1133" i="1"/>
  <c r="CC1133" i="1" s="1"/>
  <c r="CH917" i="1"/>
  <c r="CI917" i="1" s="1"/>
  <c r="CB695" i="1"/>
  <c r="CC695" i="1" s="1"/>
  <c r="CB609" i="1"/>
  <c r="CC609" i="1" s="1"/>
  <c r="CB476" i="1"/>
  <c r="CC476" i="1" s="1"/>
  <c r="CB414" i="1"/>
  <c r="CC414" i="1" s="1"/>
  <c r="CH487" i="1"/>
  <c r="CI487" i="1" s="1"/>
  <c r="CB354" i="1"/>
  <c r="CC354" i="1" s="1"/>
  <c r="CB406" i="1"/>
  <c r="CC406" i="1" s="1"/>
  <c r="CB173" i="1"/>
  <c r="CB181" i="1"/>
  <c r="CC181" i="1" s="1"/>
  <c r="AV857" i="1"/>
  <c r="AU857" i="1"/>
  <c r="AV789" i="1"/>
  <c r="AU789" i="1"/>
  <c r="AU584" i="1"/>
  <c r="AV584" i="1"/>
  <c r="AU696" i="1"/>
  <c r="AV696" i="1"/>
  <c r="AV595" i="1"/>
  <c r="AU595" i="1"/>
  <c r="AV645" i="1"/>
  <c r="AU645" i="1"/>
  <c r="AV416" i="1"/>
  <c r="AU416" i="1"/>
  <c r="AU66" i="1"/>
  <c r="AV66" i="1"/>
  <c r="CF372" i="1"/>
  <c r="CG372" i="1" s="1"/>
  <c r="CH372" i="1" s="1"/>
  <c r="BX372" i="1"/>
  <c r="BY372" i="1" s="1"/>
  <c r="CB372" i="1" s="1"/>
  <c r="CB532" i="1"/>
  <c r="CC532" i="1" s="1"/>
  <c r="BX548" i="1"/>
  <c r="BY548" i="1" s="1"/>
  <c r="CB548" i="1" s="1"/>
  <c r="CC548" i="1" s="1"/>
  <c r="CF548" i="1"/>
  <c r="CG548" i="1" s="1"/>
  <c r="CH548" i="1" s="1"/>
  <c r="CI548" i="1" s="1"/>
  <c r="AV248" i="1"/>
  <c r="AU248" i="1"/>
  <c r="CF621" i="1"/>
  <c r="CG621" i="1" s="1"/>
  <c r="CH621" i="1" s="1"/>
  <c r="CI621" i="1" s="1"/>
  <c r="BX621" i="1"/>
  <c r="BY621" i="1" s="1"/>
  <c r="CB621" i="1" s="1"/>
  <c r="CC621" i="1" s="1"/>
  <c r="CF1031" i="1"/>
  <c r="CG1031" i="1" s="1"/>
  <c r="CH1031" i="1" s="1"/>
  <c r="BX1031" i="1"/>
  <c r="BY1031" i="1" s="1"/>
  <c r="CB1031" i="1" s="1"/>
  <c r="BX1079" i="1"/>
  <c r="BY1079" i="1" s="1"/>
  <c r="CB1079" i="1" s="1"/>
  <c r="CC1079" i="1" s="1"/>
  <c r="CF1079" i="1"/>
  <c r="CG1079" i="1" s="1"/>
  <c r="CH1079" i="1" s="1"/>
  <c r="CI1079" i="1" s="1"/>
  <c r="CF632" i="1"/>
  <c r="CG632" i="1" s="1"/>
  <c r="CH632" i="1" s="1"/>
  <c r="CI632" i="1" s="1"/>
  <c r="BX632" i="1"/>
  <c r="BY632" i="1" s="1"/>
  <c r="CB632" i="1" s="1"/>
  <c r="CC632" i="1" s="1"/>
  <c r="CB824" i="1"/>
  <c r="CC824" i="1" s="1"/>
  <c r="CB856" i="1"/>
  <c r="CC856" i="1" s="1"/>
  <c r="CF984" i="1"/>
  <c r="CG984" i="1" s="1"/>
  <c r="CH984" i="1" s="1"/>
  <c r="CI984" i="1" s="1"/>
  <c r="BX984" i="1"/>
  <c r="BY984" i="1" s="1"/>
  <c r="CB984" i="1" s="1"/>
  <c r="CC984" i="1" s="1"/>
  <c r="BX1016" i="1"/>
  <c r="BY1016" i="1" s="1"/>
  <c r="CB1016" i="1" s="1"/>
  <c r="CC1016" i="1" s="1"/>
  <c r="CF1016" i="1"/>
  <c r="CG1016" i="1" s="1"/>
  <c r="CH1016" i="1" s="1"/>
  <c r="CI1016" i="1" s="1"/>
  <c r="CH968" i="1"/>
  <c r="CI968" i="1" s="1"/>
  <c r="CH1075" i="1"/>
  <c r="CI1075" i="1" s="1"/>
  <c r="CB1192" i="1"/>
  <c r="CC1192" i="1" s="1"/>
  <c r="CJ1192" i="1" s="1"/>
  <c r="BD1192" i="1" s="1"/>
  <c r="BE1192" i="1" s="1"/>
  <c r="CB770" i="1"/>
  <c r="CH475" i="1"/>
  <c r="CI475" i="1" s="1"/>
  <c r="CB426" i="1"/>
  <c r="CC426" i="1" s="1"/>
  <c r="CB394" i="1"/>
  <c r="CC394" i="1" s="1"/>
  <c r="CH431" i="1"/>
  <c r="CI431" i="1" s="1"/>
  <c r="CH168" i="1"/>
  <c r="CI168" i="1" s="1"/>
  <c r="AU933" i="1"/>
  <c r="AV933" i="1"/>
  <c r="AV1177" i="1"/>
  <c r="AU1177" i="1"/>
  <c r="AU752" i="1"/>
  <c r="AV752" i="1"/>
  <c r="AV555" i="1"/>
  <c r="AU555" i="1"/>
  <c r="CB260" i="1"/>
  <c r="CC260" i="1" s="1"/>
  <c r="CF272" i="1"/>
  <c r="CG272" i="1" s="1"/>
  <c r="CH272" i="1" s="1"/>
  <c r="CI272" i="1" s="1"/>
  <c r="BX272" i="1"/>
  <c r="BY272" i="1" s="1"/>
  <c r="CB272" i="1" s="1"/>
  <c r="CC272" i="1" s="1"/>
  <c r="CF284" i="1"/>
  <c r="CG284" i="1" s="1"/>
  <c r="CH284" i="1" s="1"/>
  <c r="CI284" i="1" s="1"/>
  <c r="BX284" i="1"/>
  <c r="BY284" i="1" s="1"/>
  <c r="CB284" i="1" s="1"/>
  <c r="CC284" i="1" s="1"/>
  <c r="CB560" i="1"/>
  <c r="CC560" i="1" s="1"/>
  <c r="BX335" i="1"/>
  <c r="BY335" i="1" s="1"/>
  <c r="CB335" i="1" s="1"/>
  <c r="CC335" i="1" s="1"/>
  <c r="CF335" i="1"/>
  <c r="CG335" i="1" s="1"/>
  <c r="CH335" i="1" s="1"/>
  <c r="CI335" i="1" s="1"/>
  <c r="CB347" i="1"/>
  <c r="BX359" i="1"/>
  <c r="BY359" i="1" s="1"/>
  <c r="CB359" i="1" s="1"/>
  <c r="CC359" i="1" s="1"/>
  <c r="CF359" i="1"/>
  <c r="CG359" i="1" s="1"/>
  <c r="CH359" i="1" s="1"/>
  <c r="CI359" i="1" s="1"/>
  <c r="CF573" i="1"/>
  <c r="CG573" i="1" s="1"/>
  <c r="CH573" i="1" s="1"/>
  <c r="BX573" i="1"/>
  <c r="BY573" i="1" s="1"/>
  <c r="CB573" i="1" s="1"/>
  <c r="BX989" i="1"/>
  <c r="BY989" i="1" s="1"/>
  <c r="CB989" i="1" s="1"/>
  <c r="CF989" i="1"/>
  <c r="CG989" i="1" s="1"/>
  <c r="CH989" i="1" s="1"/>
  <c r="AU26" i="1"/>
  <c r="AV26" i="1"/>
  <c r="CH290" i="1"/>
  <c r="CH888" i="1"/>
  <c r="CB682" i="1"/>
  <c r="CC682" i="1" s="1"/>
  <c r="CH125" i="1"/>
  <c r="CI125" i="1" s="1"/>
  <c r="AV1104" i="1"/>
  <c r="AU1104" i="1"/>
  <c r="AV907" i="1"/>
  <c r="AU907" i="1"/>
  <c r="AU901" i="1"/>
  <c r="AV901" i="1"/>
  <c r="AU813" i="1"/>
  <c r="AV813" i="1"/>
  <c r="AU608" i="1"/>
  <c r="AV608" i="1"/>
  <c r="AV733" i="1"/>
  <c r="AU733" i="1"/>
  <c r="AV694" i="1"/>
  <c r="AU694" i="1"/>
  <c r="AU558" i="1"/>
  <c r="AV558" i="1"/>
  <c r="AV463" i="1"/>
  <c r="AU463" i="1"/>
  <c r="AV479" i="1"/>
  <c r="AU479" i="1"/>
  <c r="AV438" i="1"/>
  <c r="AU438" i="1"/>
  <c r="AV366" i="1"/>
  <c r="AU366" i="1"/>
  <c r="AU358" i="1"/>
  <c r="AV358" i="1"/>
  <c r="AU10" i="1"/>
  <c r="AV10" i="1"/>
  <c r="CB352" i="1"/>
  <c r="CC352" i="1" s="1"/>
  <c r="AV224" i="1"/>
  <c r="AU224" i="1"/>
  <c r="AV217" i="1"/>
  <c r="AU217" i="1"/>
  <c r="CB295" i="1"/>
  <c r="CC295" i="1" s="1"/>
  <c r="CF633" i="1"/>
  <c r="CG633" i="1" s="1"/>
  <c r="CH633" i="1" s="1"/>
  <c r="CI633" i="1" s="1"/>
  <c r="BX633" i="1"/>
  <c r="BY633" i="1" s="1"/>
  <c r="CB633" i="1" s="1"/>
  <c r="CC633" i="1" s="1"/>
  <c r="CF755" i="1"/>
  <c r="CG755" i="1" s="1"/>
  <c r="CH755" i="1" s="1"/>
  <c r="CI755" i="1" s="1"/>
  <c r="BX755" i="1"/>
  <c r="BY755" i="1" s="1"/>
  <c r="CB755" i="1" s="1"/>
  <c r="CC755" i="1" s="1"/>
  <c r="CF771" i="1"/>
  <c r="CG771" i="1" s="1"/>
  <c r="CH771" i="1" s="1"/>
  <c r="CI771" i="1" s="1"/>
  <c r="BX771" i="1"/>
  <c r="BY771" i="1" s="1"/>
  <c r="CB771" i="1" s="1"/>
  <c r="CC771" i="1" s="1"/>
  <c r="CB787" i="1"/>
  <c r="CC787" i="1" s="1"/>
  <c r="BX596" i="1"/>
  <c r="BY596" i="1" s="1"/>
  <c r="CB596" i="1" s="1"/>
  <c r="CC596" i="1" s="1"/>
  <c r="CF596" i="1"/>
  <c r="CG596" i="1" s="1"/>
  <c r="CH596" i="1" s="1"/>
  <c r="CI596" i="1" s="1"/>
  <c r="CB612" i="1"/>
  <c r="CB628" i="1"/>
  <c r="CC628" i="1" s="1"/>
  <c r="CB820" i="1"/>
  <c r="CC820" i="1" s="1"/>
  <c r="CB868" i="1"/>
  <c r="CC868" i="1" s="1"/>
  <c r="CH160" i="1"/>
  <c r="CI160" i="1" s="1"/>
  <c r="AV1167" i="1"/>
  <c r="AU1167" i="1"/>
  <c r="CB64" i="1"/>
  <c r="CC64" i="1" s="1"/>
  <c r="AV1079" i="1"/>
  <c r="AU1079" i="1"/>
  <c r="AV684" i="1"/>
  <c r="AU684" i="1"/>
  <c r="AV422" i="1"/>
  <c r="AU422" i="1"/>
  <c r="CB212" i="1"/>
  <c r="CC212" i="1" s="1"/>
  <c r="CB292" i="1"/>
  <c r="CC292" i="1" s="1"/>
  <c r="CB308" i="1"/>
  <c r="AV297" i="1"/>
  <c r="AU297" i="1"/>
  <c r="CB279" i="1"/>
  <c r="CC279" i="1" s="1"/>
  <c r="CB307" i="1"/>
  <c r="CC307" i="1" s="1"/>
  <c r="CB343" i="1"/>
  <c r="CC343" i="1" s="1"/>
  <c r="BX355" i="1"/>
  <c r="BY355" i="1" s="1"/>
  <c r="CB355" i="1" s="1"/>
  <c r="CC355" i="1" s="1"/>
  <c r="CF355" i="1"/>
  <c r="CG355" i="1" s="1"/>
  <c r="CH355" i="1" s="1"/>
  <c r="CI355" i="1" s="1"/>
  <c r="BX601" i="1"/>
  <c r="BY601" i="1" s="1"/>
  <c r="CB601" i="1" s="1"/>
  <c r="CC601" i="1" s="1"/>
  <c r="CF601" i="1"/>
  <c r="CG601" i="1" s="1"/>
  <c r="CH601" i="1" s="1"/>
  <c r="CI601" i="1" s="1"/>
  <c r="AV305" i="1"/>
  <c r="AU305" i="1"/>
  <c r="CF969" i="1"/>
  <c r="CG969" i="1" s="1"/>
  <c r="CH969" i="1" s="1"/>
  <c r="CI969" i="1" s="1"/>
  <c r="BX969" i="1"/>
  <c r="BY969" i="1" s="1"/>
  <c r="CB969" i="1" s="1"/>
  <c r="CC969" i="1" s="1"/>
  <c r="CB650" i="1"/>
  <c r="CC650" i="1" s="1"/>
  <c r="CB730" i="1"/>
  <c r="CC730" i="1" s="1"/>
  <c r="CB954" i="1"/>
  <c r="CF970" i="1"/>
  <c r="CG970" i="1" s="1"/>
  <c r="CH970" i="1" s="1"/>
  <c r="CI970" i="1" s="1"/>
  <c r="BX970" i="1"/>
  <c r="BY970" i="1" s="1"/>
  <c r="CB970" i="1" s="1"/>
  <c r="CC970" i="1" s="1"/>
  <c r="CB455" i="1"/>
  <c r="CC455" i="1" s="1"/>
  <c r="CB540" i="1"/>
  <c r="CB368" i="1"/>
  <c r="CC368" i="1" s="1"/>
  <c r="AV1043" i="1"/>
  <c r="AU1043" i="1"/>
  <c r="AU1098" i="1"/>
  <c r="AV1098" i="1"/>
  <c r="AU821" i="1"/>
  <c r="AV821" i="1"/>
  <c r="AU760" i="1"/>
  <c r="AV760" i="1"/>
  <c r="AU444" i="1"/>
  <c r="AV444" i="1"/>
  <c r="AV478" i="1"/>
  <c r="AU478" i="1"/>
  <c r="AU58" i="1"/>
  <c r="AV58" i="1"/>
  <c r="AV446" i="1"/>
  <c r="AU446" i="1"/>
  <c r="AV328" i="1"/>
  <c r="AU328" i="1"/>
  <c r="CF895" i="1"/>
  <c r="CG895" i="1" s="1"/>
  <c r="CH895" i="1" s="1"/>
  <c r="CI895" i="1" s="1"/>
  <c r="BX895" i="1"/>
  <c r="BY895" i="1" s="1"/>
  <c r="CB895" i="1" s="1"/>
  <c r="CC895" i="1" s="1"/>
  <c r="CH625" i="1"/>
  <c r="CI625" i="1" s="1"/>
  <c r="BX608" i="1"/>
  <c r="BY608" i="1" s="1"/>
  <c r="CB608" i="1" s="1"/>
  <c r="CF608" i="1"/>
  <c r="CG608" i="1" s="1"/>
  <c r="CH608" i="1" s="1"/>
  <c r="CB640" i="1"/>
  <c r="CC640" i="1" s="1"/>
  <c r="CB784" i="1"/>
  <c r="CF992" i="1"/>
  <c r="CG992" i="1" s="1"/>
  <c r="CH992" i="1" s="1"/>
  <c r="CI992" i="1" s="1"/>
  <c r="BX992" i="1"/>
  <c r="BY992" i="1" s="1"/>
  <c r="CB992" i="1" s="1"/>
  <c r="CC992" i="1" s="1"/>
  <c r="CB1024" i="1"/>
  <c r="CC1024" i="1" s="1"/>
  <c r="CH218" i="1"/>
  <c r="CI218" i="1" s="1"/>
  <c r="CH102" i="1"/>
  <c r="CI102" i="1" s="1"/>
  <c r="CH34" i="1"/>
  <c r="CI34" i="1" s="1"/>
  <c r="CH731" i="1"/>
  <c r="CI731" i="1" s="1"/>
  <c r="CH234" i="1"/>
  <c r="CH648" i="1"/>
  <c r="CI648" i="1" s="1"/>
  <c r="CB668" i="1"/>
  <c r="CC668" i="1" s="1"/>
  <c r="CH517" i="1"/>
  <c r="CI517" i="1" s="1"/>
  <c r="CB453" i="1"/>
  <c r="CC453" i="1" s="1"/>
  <c r="CH322" i="1"/>
  <c r="CI322" i="1" s="1"/>
  <c r="CH214" i="1"/>
  <c r="CI214" i="1" s="1"/>
  <c r="CB648" i="1"/>
  <c r="CC648" i="1" s="1"/>
  <c r="CH635" i="1"/>
  <c r="CI635" i="1" s="1"/>
  <c r="CB562" i="1"/>
  <c r="CC562" i="1" s="1"/>
  <c r="CH473" i="1"/>
  <c r="CH461" i="1"/>
  <c r="CI461" i="1" s="1"/>
  <c r="CH194" i="1"/>
  <c r="CH286" i="1"/>
  <c r="CI286" i="1" s="1"/>
  <c r="CB190" i="1"/>
  <c r="CC190" i="1" s="1"/>
  <c r="CB250" i="1"/>
  <c r="CB10" i="1"/>
  <c r="CC10" i="1" s="1"/>
  <c r="CH86" i="1"/>
  <c r="CI86" i="1" s="1"/>
  <c r="CH982" i="1"/>
  <c r="CI982" i="1" s="1"/>
  <c r="CB1124" i="1"/>
  <c r="CH1068" i="1"/>
  <c r="CI1068" i="1" s="1"/>
  <c r="CH960" i="1"/>
  <c r="CI960" i="1" s="1"/>
  <c r="CH914" i="1"/>
  <c r="CI914" i="1" s="1"/>
  <c r="CB806" i="1"/>
  <c r="CC806" i="1" s="1"/>
  <c r="CB854" i="1"/>
  <c r="CC854" i="1" s="1"/>
  <c r="CB830" i="1"/>
  <c r="CC830" i="1" s="1"/>
  <c r="CH509" i="1"/>
  <c r="CI509" i="1" s="1"/>
  <c r="CH493" i="1"/>
  <c r="CI493" i="1" s="1"/>
  <c r="CB546" i="1"/>
  <c r="CC546" i="1" s="1"/>
  <c r="CB262" i="1"/>
  <c r="CC262" i="1" s="1"/>
  <c r="CB202" i="1"/>
  <c r="CC202" i="1" s="1"/>
  <c r="CH238" i="1"/>
  <c r="CI238" i="1" s="1"/>
  <c r="CH50" i="1"/>
  <c r="CI50" i="1" s="1"/>
  <c r="CH26" i="1"/>
  <c r="CI26" i="1" s="1"/>
  <c r="CH99" i="1"/>
  <c r="CI99" i="1" s="1"/>
  <c r="CH1064" i="1"/>
  <c r="CI1064" i="1" s="1"/>
  <c r="CB837" i="1"/>
  <c r="CC837" i="1" s="1"/>
  <c r="CH802" i="1"/>
  <c r="CI802" i="1" s="1"/>
  <c r="CB870" i="1"/>
  <c r="CC870" i="1" s="1"/>
  <c r="CB794" i="1"/>
  <c r="CB798" i="1"/>
  <c r="CC798" i="1" s="1"/>
  <c r="CH1158" i="1"/>
  <c r="CI1158" i="1" s="1"/>
  <c r="CH1116" i="1"/>
  <c r="CB1120" i="1"/>
  <c r="CC1120" i="1" s="1"/>
  <c r="CH932" i="1"/>
  <c r="CI932" i="1" s="1"/>
  <c r="CB840" i="1"/>
  <c r="CC840" i="1" s="1"/>
  <c r="CB867" i="1"/>
  <c r="CC867" i="1" s="1"/>
  <c r="CB818" i="1"/>
  <c r="CB716" i="1"/>
  <c r="CB644" i="1"/>
  <c r="CC644" i="1" s="1"/>
  <c r="CH278" i="1"/>
  <c r="CI278" i="1" s="1"/>
  <c r="CH274" i="1"/>
  <c r="CH1153" i="1"/>
  <c r="CI1153" i="1" s="1"/>
  <c r="CH1144" i="1"/>
  <c r="CI1144" i="1" s="1"/>
  <c r="CB1087" i="1"/>
  <c r="CC1087" i="1" s="1"/>
  <c r="CB906" i="1"/>
  <c r="CB827" i="1"/>
  <c r="CH781" i="1"/>
  <c r="CI781" i="1" s="1"/>
  <c r="CB732" i="1"/>
  <c r="CC732" i="1" s="1"/>
  <c r="CB660" i="1"/>
  <c r="CC660" i="1" s="1"/>
  <c r="CB696" i="1"/>
  <c r="CC696" i="1" s="1"/>
  <c r="CB664" i="1"/>
  <c r="CC664" i="1" s="1"/>
  <c r="CB834" i="1"/>
  <c r="CC834" i="1" s="1"/>
  <c r="CH210" i="1"/>
  <c r="CI210" i="1" s="1"/>
  <c r="CH242" i="1"/>
  <c r="CI242" i="1" s="1"/>
  <c r="CH222" i="1"/>
  <c r="CI222" i="1" s="1"/>
  <c r="CB26" i="1"/>
  <c r="CC26" i="1" s="1"/>
  <c r="AU1174" i="1"/>
  <c r="AV1174" i="1"/>
  <c r="AV657" i="1"/>
  <c r="AU657" i="1"/>
  <c r="AV623" i="1"/>
  <c r="AU623" i="1"/>
  <c r="AV565" i="1"/>
  <c r="AU565" i="1"/>
  <c r="AU373" i="1"/>
  <c r="AV373" i="1"/>
  <c r="AU253" i="1"/>
  <c r="AV253" i="1"/>
  <c r="AV469" i="1"/>
  <c r="AU469" i="1"/>
  <c r="AU84" i="1"/>
  <c r="AV84" i="1"/>
  <c r="AV142" i="1"/>
  <c r="AU142" i="1"/>
  <c r="AU1156" i="1"/>
  <c r="AV1156" i="1"/>
  <c r="AU1126" i="1"/>
  <c r="AV1126" i="1"/>
  <c r="AU1142" i="1"/>
  <c r="AV1142" i="1"/>
  <c r="AU1083" i="1"/>
  <c r="AV1083" i="1"/>
  <c r="AU1047" i="1"/>
  <c r="AV1047" i="1"/>
  <c r="AU870" i="1"/>
  <c r="AV870" i="1"/>
  <c r="AU903" i="1"/>
  <c r="AV903" i="1"/>
  <c r="AV830" i="1"/>
  <c r="AU830" i="1"/>
  <c r="AV948" i="1"/>
  <c r="AU948" i="1"/>
  <c r="AU797" i="1"/>
  <c r="AV797" i="1"/>
  <c r="AV577" i="1"/>
  <c r="AU577" i="1"/>
  <c r="AU714" i="1"/>
  <c r="AV714" i="1"/>
  <c r="AV591" i="1"/>
  <c r="AU591" i="1"/>
  <c r="AV485" i="1"/>
  <c r="AU485" i="1"/>
  <c r="AV437" i="1"/>
  <c r="AU437" i="1"/>
  <c r="AV342" i="1"/>
  <c r="AU342" i="1"/>
  <c r="AU310" i="1"/>
  <c r="AV310" i="1"/>
  <c r="AV278" i="1"/>
  <c r="AU278" i="1"/>
  <c r="AV868" i="1"/>
  <c r="AU868" i="1"/>
  <c r="AV535" i="1"/>
  <c r="AU535" i="1"/>
  <c r="AU381" i="1"/>
  <c r="AV381" i="1"/>
  <c r="AU125" i="1"/>
  <c r="AV125" i="1"/>
  <c r="AV86" i="1"/>
  <c r="AU86" i="1"/>
  <c r="AU245" i="1"/>
  <c r="AV245" i="1"/>
  <c r="AV928" i="1"/>
  <c r="AU928" i="1"/>
  <c r="AU1005" i="1"/>
  <c r="AV1005" i="1"/>
  <c r="AU762" i="1"/>
  <c r="AV762" i="1"/>
  <c r="AU413" i="1"/>
  <c r="AV413" i="1"/>
  <c r="AV695" i="1"/>
  <c r="AU695" i="1"/>
  <c r="AU333" i="1"/>
  <c r="AV333" i="1"/>
  <c r="AU85" i="1"/>
  <c r="AV85" i="1"/>
  <c r="AV1179" i="1"/>
  <c r="AU1179" i="1"/>
  <c r="AU919" i="1"/>
  <c r="AV919" i="1"/>
  <c r="AV723" i="1"/>
  <c r="AU723" i="1"/>
  <c r="AV852" i="1"/>
  <c r="AU852" i="1"/>
  <c r="AV617" i="1"/>
  <c r="AU617" i="1"/>
  <c r="AV499" i="1"/>
  <c r="AU499" i="1"/>
  <c r="AV543" i="1"/>
  <c r="AU543" i="1"/>
  <c r="AU357" i="1"/>
  <c r="AV357" i="1"/>
  <c r="AU365" i="1"/>
  <c r="AV365" i="1"/>
  <c r="AU174" i="1"/>
  <c r="AV174" i="1"/>
  <c r="AU77" i="1"/>
  <c r="AV77" i="1"/>
  <c r="AU1141" i="1"/>
  <c r="AV1141" i="1"/>
  <c r="AV1101" i="1"/>
  <c r="AU1101" i="1"/>
  <c r="AU1108" i="1"/>
  <c r="AV1108" i="1"/>
  <c r="AU1021" i="1"/>
  <c r="AV1021" i="1"/>
  <c r="AU1037" i="1"/>
  <c r="AV1037" i="1"/>
  <c r="AV986" i="1"/>
  <c r="AU986" i="1"/>
  <c r="AV912" i="1"/>
  <c r="AU912" i="1"/>
  <c r="AU877" i="1"/>
  <c r="AV877" i="1"/>
  <c r="AU864" i="1"/>
  <c r="AV864" i="1"/>
  <c r="AU1140" i="1"/>
  <c r="AV1140" i="1"/>
  <c r="AV1188" i="1"/>
  <c r="AU1188" i="1"/>
  <c r="AU1068" i="1"/>
  <c r="AV1068" i="1"/>
  <c r="AU1116" i="1"/>
  <c r="AV1116" i="1"/>
  <c r="AV1190" i="1"/>
  <c r="AU1190" i="1"/>
  <c r="AU1182" i="1"/>
  <c r="AV1182" i="1"/>
  <c r="AU1051" i="1"/>
  <c r="AV1051" i="1"/>
  <c r="AV1011" i="1"/>
  <c r="AU1011" i="1"/>
  <c r="AV952" i="1"/>
  <c r="AU952" i="1"/>
  <c r="AV960" i="1"/>
  <c r="AU960" i="1"/>
  <c r="AU888" i="1"/>
  <c r="AV888" i="1"/>
  <c r="AV954" i="1"/>
  <c r="AU954" i="1"/>
  <c r="AU947" i="1"/>
  <c r="AV947" i="1"/>
  <c r="AV822" i="1"/>
  <c r="AU822" i="1"/>
  <c r="AV850" i="1"/>
  <c r="AU850" i="1"/>
  <c r="AV818" i="1"/>
  <c r="AU818" i="1"/>
  <c r="AV763" i="1"/>
  <c r="AU763" i="1"/>
  <c r="AU731" i="1"/>
  <c r="AV731" i="1"/>
  <c r="AV699" i="1"/>
  <c r="AU699" i="1"/>
  <c r="AV798" i="1"/>
  <c r="AU798" i="1"/>
  <c r="AU746" i="1"/>
  <c r="AV746" i="1"/>
  <c r="AU706" i="1"/>
  <c r="AV706" i="1"/>
  <c r="AU698" i="1"/>
  <c r="BB698" i="1" s="1"/>
  <c r="AV698" i="1"/>
  <c r="BA698" i="1" s="1"/>
  <c r="AV633" i="1"/>
  <c r="AU633" i="1"/>
  <c r="AV569" i="1"/>
  <c r="AU569" i="1"/>
  <c r="AV525" i="1"/>
  <c r="AU525" i="1"/>
  <c r="AV567" i="1"/>
  <c r="AU567" i="1"/>
  <c r="AV527" i="1"/>
  <c r="AU527" i="1"/>
  <c r="AV735" i="1"/>
  <c r="AU735" i="1"/>
  <c r="AV599" i="1"/>
  <c r="AU599" i="1"/>
  <c r="AV621" i="1"/>
  <c r="AU621" i="1"/>
  <c r="AV477" i="1"/>
  <c r="AU477" i="1"/>
  <c r="AV483" i="1"/>
  <c r="AU483" i="1"/>
  <c r="AV521" i="1"/>
  <c r="AU521" i="1"/>
  <c r="AU182" i="1"/>
  <c r="AV182" i="1"/>
  <c r="AV150" i="1"/>
  <c r="AU150" i="1"/>
  <c r="AV118" i="1"/>
  <c r="AU118" i="1"/>
  <c r="AV246" i="1"/>
  <c r="AU246" i="1"/>
  <c r="AU204" i="1"/>
  <c r="AV204" i="1"/>
  <c r="AV794" i="1"/>
  <c r="AU794" i="1"/>
  <c r="AU133" i="1"/>
  <c r="AV133" i="1"/>
  <c r="AV244" i="1"/>
  <c r="AU244" i="1"/>
  <c r="AV61" i="1"/>
  <c r="AU61" i="1"/>
  <c r="AV814" i="1"/>
  <c r="AU814" i="1"/>
  <c r="AV507" i="1"/>
  <c r="AU507" i="1"/>
  <c r="AU302" i="1"/>
  <c r="AV302" i="1"/>
  <c r="AU165" i="1"/>
  <c r="BB165" i="1" s="1"/>
  <c r="AV165" i="1"/>
  <c r="BA165" i="1" s="1"/>
  <c r="AU1085" i="1"/>
  <c r="AV1085" i="1"/>
  <c r="AU1029" i="1"/>
  <c r="AV1029" i="1"/>
  <c r="AV968" i="1"/>
  <c r="AU968" i="1"/>
  <c r="AU904" i="1"/>
  <c r="AV904" i="1"/>
  <c r="AV812" i="1"/>
  <c r="AU812" i="1"/>
  <c r="AU691" i="1"/>
  <c r="AV691" i="1"/>
  <c r="AU690" i="1"/>
  <c r="AV690" i="1"/>
  <c r="AV589" i="1"/>
  <c r="AU589" i="1"/>
  <c r="AV435" i="1"/>
  <c r="AU435" i="1"/>
  <c r="AV429" i="1"/>
  <c r="AU429" i="1"/>
  <c r="AU674" i="1"/>
  <c r="BB674" i="1" s="1"/>
  <c r="AV674" i="1"/>
  <c r="BA674" i="1" s="1"/>
  <c r="AU262" i="1"/>
  <c r="AV262" i="1"/>
  <c r="AU650" i="1"/>
  <c r="AV650" i="1"/>
  <c r="AU214" i="1"/>
  <c r="AV214" i="1"/>
  <c r="AV110" i="1"/>
  <c r="AU110" i="1"/>
  <c r="AU229" i="1"/>
  <c r="AV229" i="1"/>
  <c r="AV242" i="1"/>
  <c r="AU242" i="1"/>
  <c r="AV92" i="1"/>
  <c r="AU92" i="1"/>
  <c r="AU1157" i="1"/>
  <c r="AV1157" i="1"/>
  <c r="AV1117" i="1"/>
  <c r="AU1117" i="1"/>
  <c r="AV1077" i="1"/>
  <c r="AU1077" i="1"/>
  <c r="AU1150" i="1"/>
  <c r="AV1150" i="1"/>
  <c r="AU1060" i="1"/>
  <c r="AV1060" i="1"/>
  <c r="AU1132" i="1"/>
  <c r="AV1132" i="1"/>
  <c r="AU1181" i="1"/>
  <c r="AV1181" i="1"/>
  <c r="AU1092" i="1"/>
  <c r="AV1092" i="1"/>
  <c r="AU1173" i="1"/>
  <c r="AV1173" i="1"/>
  <c r="AV1105" i="1"/>
  <c r="AU1105" i="1"/>
  <c r="AV1015" i="1"/>
  <c r="AU1015" i="1"/>
  <c r="AV962" i="1"/>
  <c r="AU962" i="1"/>
  <c r="AV970" i="1"/>
  <c r="AU970" i="1"/>
  <c r="AV940" i="1"/>
  <c r="AU940" i="1"/>
  <c r="AV880" i="1"/>
  <c r="AU880" i="1"/>
  <c r="AU887" i="1"/>
  <c r="AV887" i="1"/>
  <c r="AU641" i="1"/>
  <c r="AV641" i="1"/>
  <c r="AV609" i="1"/>
  <c r="AU609" i="1"/>
  <c r="AV545" i="1"/>
  <c r="AU545" i="1"/>
  <c r="AV581" i="1"/>
  <c r="AU581" i="1"/>
  <c r="AV559" i="1"/>
  <c r="AU559" i="1"/>
  <c r="AV451" i="1"/>
  <c r="AU451" i="1"/>
  <c r="AU363" i="1"/>
  <c r="AV363" i="1"/>
  <c r="AV326" i="1"/>
  <c r="AU326" i="1"/>
  <c r="AU294" i="1"/>
  <c r="AV294" i="1"/>
  <c r="AV254" i="1"/>
  <c r="AU254" i="1"/>
  <c r="AV605" i="1"/>
  <c r="AU605" i="1"/>
  <c r="AV421" i="1"/>
  <c r="AU421" i="1"/>
  <c r="AU325" i="1"/>
  <c r="AV325" i="1"/>
  <c r="AV491" i="1"/>
  <c r="AU491" i="1"/>
  <c r="AU353" i="1"/>
  <c r="AV353" i="1"/>
  <c r="AV459" i="1"/>
  <c r="AU459" i="1"/>
  <c r="AU405" i="1"/>
  <c r="AV405" i="1"/>
  <c r="AU341" i="1"/>
  <c r="AV341" i="1"/>
  <c r="AV445" i="1"/>
  <c r="AU445" i="1"/>
  <c r="AU301" i="1"/>
  <c r="AV301" i="1"/>
  <c r="AU269" i="1"/>
  <c r="AV269" i="1"/>
  <c r="AU173" i="1"/>
  <c r="AV173" i="1"/>
  <c r="AV53" i="1"/>
  <c r="AU53" i="1"/>
  <c r="AV806" i="1"/>
  <c r="AU806" i="1"/>
  <c r="AV1198" i="1"/>
  <c r="AU1198" i="1"/>
  <c r="AV1000" i="1"/>
  <c r="AU1000" i="1"/>
  <c r="AV984" i="1"/>
  <c r="AU984" i="1"/>
  <c r="AV828" i="1"/>
  <c r="AU828" i="1"/>
  <c r="AV643" i="1"/>
  <c r="AU643" i="1"/>
  <c r="AV561" i="1"/>
  <c r="AU561" i="1"/>
  <c r="AU730" i="1"/>
  <c r="AV730" i="1"/>
  <c r="AU117" i="1"/>
  <c r="AV117" i="1"/>
  <c r="AU13" i="1"/>
  <c r="AV13" i="1"/>
  <c r="AV228" i="1"/>
  <c r="AU228" i="1"/>
  <c r="AU1134" i="1"/>
  <c r="AV1134" i="1"/>
  <c r="AU1045" i="1"/>
  <c r="AV1045" i="1"/>
  <c r="AV1007" i="1"/>
  <c r="AU1007" i="1"/>
  <c r="AV553" i="1"/>
  <c r="AU553" i="1"/>
  <c r="AV475" i="1"/>
  <c r="AU475" i="1"/>
  <c r="AU371" i="1"/>
  <c r="AV371" i="1"/>
  <c r="AV1196" i="1"/>
  <c r="AU1196" i="1"/>
  <c r="AU1158" i="1"/>
  <c r="AV1158" i="1"/>
  <c r="AV1069" i="1"/>
  <c r="AU1069" i="1"/>
  <c r="AU1058" i="1"/>
  <c r="AV1058" i="1"/>
  <c r="AU1052" i="1"/>
  <c r="AV1052" i="1"/>
  <c r="AU1172" i="1"/>
  <c r="AV1172" i="1"/>
  <c r="AU1084" i="1"/>
  <c r="AV1084" i="1"/>
  <c r="AU1013" i="1"/>
  <c r="AV1013" i="1"/>
  <c r="AV976" i="1"/>
  <c r="AU976" i="1"/>
  <c r="AV920" i="1"/>
  <c r="AU920" i="1"/>
  <c r="AV1002" i="1"/>
  <c r="AU1002" i="1"/>
  <c r="AU895" i="1"/>
  <c r="AV895" i="1"/>
  <c r="AU871" i="1"/>
  <c r="AV871" i="1"/>
  <c r="AV836" i="1"/>
  <c r="AU836" i="1"/>
  <c r="AV876" i="1"/>
  <c r="AU876" i="1"/>
  <c r="AU779" i="1"/>
  <c r="AV779" i="1"/>
  <c r="AV747" i="1"/>
  <c r="AU747" i="1"/>
  <c r="AU715" i="1"/>
  <c r="AV715" i="1"/>
  <c r="AU683" i="1"/>
  <c r="AV683" i="1"/>
  <c r="AU754" i="1"/>
  <c r="AV754" i="1"/>
  <c r="AV651" i="1"/>
  <c r="AU651" i="1"/>
  <c r="AU786" i="1"/>
  <c r="AV786" i="1"/>
  <c r="AV601" i="1"/>
  <c r="AU601" i="1"/>
  <c r="AV537" i="1"/>
  <c r="AU537" i="1"/>
  <c r="AV597" i="1"/>
  <c r="AU597" i="1"/>
  <c r="AV607" i="1"/>
  <c r="AU607" i="1"/>
  <c r="AV583" i="1"/>
  <c r="AU583" i="1"/>
  <c r="AU778" i="1"/>
  <c r="AV778" i="1"/>
  <c r="AV629" i="1"/>
  <c r="AU629" i="1"/>
  <c r="AV783" i="1"/>
  <c r="AU783" i="1"/>
  <c r="AV557" i="1"/>
  <c r="AU557" i="1"/>
  <c r="AV493" i="1"/>
  <c r="AU493" i="1"/>
  <c r="AU389" i="1"/>
  <c r="AV389" i="1"/>
  <c r="AU354" i="1"/>
  <c r="AV354" i="1"/>
  <c r="AU317" i="1"/>
  <c r="AV317" i="1"/>
  <c r="AU642" i="1"/>
  <c r="AV642" i="1"/>
  <c r="AU404" i="1"/>
  <c r="AV404" i="1"/>
  <c r="AU198" i="1"/>
  <c r="AV198" i="1"/>
  <c r="AV166" i="1"/>
  <c r="AU166" i="1"/>
  <c r="AV134" i="1"/>
  <c r="AU134" i="1"/>
  <c r="AV102" i="1"/>
  <c r="AU102" i="1"/>
  <c r="AU420" i="1"/>
  <c r="AV420" i="1"/>
  <c r="AU93" i="1"/>
  <c r="AV93" i="1"/>
  <c r="AU220" i="1"/>
  <c r="AV220" i="1"/>
  <c r="AU349" i="1"/>
  <c r="AV349" i="1"/>
  <c r="AU189" i="1"/>
  <c r="AV189" i="1"/>
  <c r="AU149" i="1"/>
  <c r="AV149" i="1"/>
  <c r="AU109" i="1"/>
  <c r="AV109" i="1"/>
  <c r="AV41" i="1"/>
  <c r="AU41" i="1"/>
  <c r="AV230" i="1"/>
  <c r="AU230" i="1"/>
  <c r="AU197" i="1"/>
  <c r="AV197" i="1"/>
  <c r="AU1166" i="1"/>
  <c r="AV1166" i="1"/>
  <c r="AU1059" i="1"/>
  <c r="AV1059" i="1"/>
  <c r="AV992" i="1"/>
  <c r="AU992" i="1"/>
  <c r="AU935" i="1"/>
  <c r="AV935" i="1"/>
  <c r="AV635" i="1"/>
  <c r="AU635" i="1"/>
  <c r="AU270" i="1"/>
  <c r="AV270" i="1"/>
  <c r="AU309" i="1"/>
  <c r="AV309" i="1"/>
  <c r="AU1164" i="1"/>
  <c r="AV1164" i="1"/>
  <c r="AV1099" i="1"/>
  <c r="AU1099" i="1"/>
  <c r="AU1100" i="1"/>
  <c r="AV1100" i="1"/>
  <c r="AV755" i="1"/>
  <c r="AU755" i="1"/>
  <c r="AU682" i="1"/>
  <c r="AV682" i="1"/>
  <c r="AU1109" i="1"/>
  <c r="AV1109" i="1"/>
  <c r="AU1061" i="1"/>
  <c r="AV1061" i="1"/>
  <c r="AV1115" i="1"/>
  <c r="AU1115" i="1"/>
  <c r="AU1082" i="1"/>
  <c r="AV1082" i="1"/>
  <c r="AV1019" i="1"/>
  <c r="AU1019" i="1"/>
  <c r="AU1180" i="1"/>
  <c r="AV1180" i="1"/>
  <c r="AU1012" i="1"/>
  <c r="AV1012" i="1"/>
  <c r="AU896" i="1"/>
  <c r="AV896" i="1"/>
  <c r="AU893" i="1"/>
  <c r="AV893" i="1"/>
  <c r="AU927" i="1"/>
  <c r="AV927" i="1"/>
  <c r="AV675" i="1"/>
  <c r="AU675" i="1"/>
  <c r="AV842" i="1"/>
  <c r="AU842" i="1"/>
  <c r="AV810" i="1"/>
  <c r="AU810" i="1"/>
  <c r="AU738" i="1"/>
  <c r="AV738" i="1"/>
  <c r="AU667" i="1"/>
  <c r="AV667" i="1"/>
  <c r="AV593" i="1"/>
  <c r="AU593" i="1"/>
  <c r="AV529" i="1"/>
  <c r="AU529" i="1"/>
  <c r="AV551" i="1"/>
  <c r="AU551" i="1"/>
  <c r="AV513" i="1"/>
  <c r="AU513" i="1"/>
  <c r="AV673" i="1"/>
  <c r="BA673" i="1" s="1"/>
  <c r="AU673" i="1"/>
  <c r="BB673" i="1" s="1"/>
  <c r="AV613" i="1"/>
  <c r="AU613" i="1"/>
  <c r="AV427" i="1"/>
  <c r="AU427" i="1"/>
  <c r="AU397" i="1"/>
  <c r="AV397" i="1"/>
  <c r="AU387" i="1"/>
  <c r="AV387" i="1"/>
  <c r="AV350" i="1"/>
  <c r="AU350" i="1"/>
  <c r="AV318" i="1"/>
  <c r="AU318" i="1"/>
  <c r="AV286" i="1"/>
  <c r="AU286" i="1"/>
  <c r="AU379" i="1"/>
  <c r="AV379" i="1"/>
  <c r="AU238" i="1"/>
  <c r="AV238" i="1"/>
  <c r="AU285" i="1"/>
  <c r="AV285" i="1"/>
  <c r="AV453" i="1"/>
  <c r="AU453" i="1"/>
  <c r="AU261" i="1"/>
  <c r="AV261" i="1"/>
  <c r="AV33" i="1"/>
  <c r="AU33" i="1"/>
  <c r="AU141" i="1"/>
  <c r="AV141" i="1"/>
  <c r="AU101" i="1"/>
  <c r="AV101" i="1"/>
  <c r="AU69" i="1"/>
  <c r="AV69" i="1"/>
  <c r="AU1093" i="1"/>
  <c r="AV1093" i="1"/>
  <c r="AV1035" i="1"/>
  <c r="AU1035" i="1"/>
  <c r="AV1031" i="1"/>
  <c r="AU1031" i="1"/>
  <c r="AU911" i="1"/>
  <c r="AV911" i="1"/>
  <c r="AV625" i="1"/>
  <c r="AU625" i="1"/>
  <c r="AV615" i="1"/>
  <c r="AU615" i="1"/>
  <c r="AU805" i="1"/>
  <c r="AV805" i="1"/>
  <c r="AV334" i="1"/>
  <c r="AU334" i="1"/>
  <c r="AV501" i="1"/>
  <c r="AU501" i="1"/>
  <c r="AU157" i="1"/>
  <c r="AV157" i="1"/>
  <c r="AU37" i="1"/>
  <c r="AV37" i="1"/>
  <c r="AV844" i="1"/>
  <c r="AU844" i="1"/>
  <c r="AV787" i="1"/>
  <c r="AU787" i="1"/>
  <c r="AV796" i="1"/>
  <c r="AU796" i="1"/>
  <c r="AV517" i="1"/>
  <c r="AU517" i="1"/>
  <c r="AV519" i="1"/>
  <c r="AU519" i="1"/>
  <c r="AU411" i="1"/>
  <c r="AV411" i="1"/>
  <c r="AV467" i="1"/>
  <c r="AU467" i="1"/>
  <c r="AU403" i="1"/>
  <c r="AV403" i="1"/>
  <c r="AU1076" i="1"/>
  <c r="AV1076" i="1"/>
  <c r="AV1053" i="1"/>
  <c r="AU1053" i="1"/>
  <c r="AV1023" i="1"/>
  <c r="AU1023" i="1"/>
  <c r="AU1039" i="1"/>
  <c r="AV1039" i="1"/>
  <c r="AV1003" i="1"/>
  <c r="AU1003" i="1"/>
  <c r="AV978" i="1"/>
  <c r="AU978" i="1"/>
  <c r="AV994" i="1"/>
  <c r="AU994" i="1"/>
  <c r="AV936" i="1"/>
  <c r="AU936" i="1"/>
  <c r="AV872" i="1"/>
  <c r="AU872" i="1"/>
  <c r="AU885" i="1"/>
  <c r="AV885" i="1"/>
  <c r="AU879" i="1"/>
  <c r="AV879" i="1"/>
  <c r="AV838" i="1"/>
  <c r="AU838" i="1"/>
  <c r="AV826" i="1"/>
  <c r="AU826" i="1"/>
  <c r="AV771" i="1"/>
  <c r="AU771" i="1"/>
  <c r="AV739" i="1"/>
  <c r="AU739" i="1"/>
  <c r="AV707" i="1"/>
  <c r="AU707" i="1"/>
  <c r="AV665" i="1"/>
  <c r="AU665" i="1"/>
  <c r="AV804" i="1"/>
  <c r="AU804" i="1"/>
  <c r="AV820" i="1"/>
  <c r="AU820" i="1"/>
  <c r="AU770" i="1"/>
  <c r="AV770" i="1"/>
  <c r="AU649" i="1"/>
  <c r="AV649" i="1"/>
  <c r="AU634" i="1"/>
  <c r="AV634" i="1"/>
  <c r="AV834" i="1"/>
  <c r="AU834" i="1"/>
  <c r="AU722" i="1"/>
  <c r="AV722" i="1"/>
  <c r="AV659" i="1"/>
  <c r="AU659" i="1"/>
  <c r="AV585" i="1"/>
  <c r="AU585" i="1"/>
  <c r="AV573" i="1"/>
  <c r="AU573" i="1"/>
  <c r="AV719" i="1"/>
  <c r="AU719" i="1"/>
  <c r="AV575" i="1"/>
  <c r="AU575" i="1"/>
  <c r="AV533" i="1"/>
  <c r="AU533" i="1"/>
  <c r="AV631" i="1"/>
  <c r="AU631" i="1"/>
  <c r="AV509" i="1"/>
  <c r="AU509" i="1"/>
  <c r="AU395" i="1"/>
  <c r="AV395" i="1"/>
  <c r="AV541" i="1"/>
  <c r="AU541" i="1"/>
  <c r="AV443" i="1"/>
  <c r="AU443" i="1"/>
  <c r="AV549" i="1"/>
  <c r="AU549" i="1"/>
  <c r="AV461" i="1"/>
  <c r="AU461" i="1"/>
  <c r="AU277" i="1"/>
  <c r="AV277" i="1"/>
  <c r="AU380" i="1"/>
  <c r="AV380" i="1"/>
  <c r="AU222" i="1"/>
  <c r="AV222" i="1"/>
  <c r="AU206" i="1"/>
  <c r="AV206" i="1"/>
  <c r="AV190" i="1"/>
  <c r="AU190" i="1"/>
  <c r="AV158" i="1"/>
  <c r="AU158" i="1"/>
  <c r="AV126" i="1"/>
  <c r="AU126" i="1"/>
  <c r="AU212" i="1"/>
  <c r="AV212" i="1"/>
  <c r="AV94" i="1"/>
  <c r="AU94" i="1"/>
  <c r="AV45" i="1"/>
  <c r="AU45" i="1"/>
  <c r="AV21" i="1"/>
  <c r="AU21" i="1"/>
  <c r="AU293" i="1"/>
  <c r="AV293" i="1"/>
  <c r="AU181" i="1"/>
  <c r="AV181" i="1"/>
  <c r="AV3" i="1"/>
  <c r="AU3" i="1"/>
  <c r="AD1090" i="1"/>
  <c r="H1106" i="1"/>
  <c r="AD1106" i="1" s="1"/>
  <c r="CR1106" i="1" s="1"/>
  <c r="H1105" i="1"/>
  <c r="AD1105" i="1" s="1"/>
  <c r="CR1105" i="1" s="1"/>
  <c r="H1104" i="1"/>
  <c r="AD1104" i="1" s="1"/>
  <c r="CR1104" i="1" s="1"/>
  <c r="H1103" i="1"/>
  <c r="AD1103" i="1" s="1"/>
  <c r="H1100" i="1"/>
  <c r="H1109" i="1"/>
  <c r="AD1109" i="1" s="1"/>
  <c r="H1091" i="1"/>
  <c r="H1108" i="1"/>
  <c r="AD1108" i="1" s="1"/>
  <c r="H1107" i="1"/>
  <c r="AD1107" i="1" s="1"/>
  <c r="CR1107" i="1" s="1"/>
  <c r="AD1077" i="1"/>
  <c r="H1087" i="1"/>
  <c r="AD1087" i="1" s="1"/>
  <c r="H1086" i="1"/>
  <c r="AD1086" i="1" s="1"/>
  <c r="H1085" i="1"/>
  <c r="AD1085" i="1" s="1"/>
  <c r="H1083" i="1"/>
  <c r="AD1083" i="1" s="1"/>
  <c r="H1081" i="1"/>
  <c r="AD1081" i="1" s="1"/>
  <c r="H1079" i="1"/>
  <c r="H1078" i="1"/>
  <c r="AD1078" i="1" s="1"/>
  <c r="CR1078" i="1" s="1"/>
  <c r="AD1124" i="1"/>
  <c r="AN1124" i="1" s="1"/>
  <c r="H1194" i="1"/>
  <c r="AD1194" i="1" s="1"/>
  <c r="H1188" i="1"/>
  <c r="AD1188" i="1" s="1"/>
  <c r="H1195" i="1"/>
  <c r="AD1195" i="1" s="1"/>
  <c r="H1187" i="1"/>
  <c r="AD1187" i="1" s="1"/>
  <c r="H1196" i="1"/>
  <c r="H1180" i="1"/>
  <c r="H1193" i="1"/>
  <c r="AD1193" i="1" s="1"/>
  <c r="AN1193" i="1" s="1"/>
  <c r="H1173" i="1"/>
  <c r="H1154" i="1"/>
  <c r="H1191" i="1"/>
  <c r="AD1191" i="1" s="1"/>
  <c r="H1135" i="1"/>
  <c r="H1190" i="1"/>
  <c r="AD1190" i="1" s="1"/>
  <c r="AN1190" i="1" s="1"/>
  <c r="H1125" i="1"/>
  <c r="H1189" i="1"/>
  <c r="AD1189" i="1" s="1"/>
  <c r="AD1116" i="1"/>
  <c r="H1117" i="1"/>
  <c r="AD1117" i="1" s="1"/>
  <c r="CR1117" i="1" s="1"/>
  <c r="H1118" i="1"/>
  <c r="AD1118" i="1" s="1"/>
  <c r="CR1118" i="1" s="1"/>
  <c r="AD794" i="1"/>
  <c r="H1071" i="1"/>
  <c r="AD1071" i="1" s="1"/>
  <c r="H841" i="1"/>
  <c r="H1070" i="1"/>
  <c r="AD1070" i="1" s="1"/>
  <c r="CR1070" i="1" s="1"/>
  <c r="H818" i="1"/>
  <c r="H1069" i="1"/>
  <c r="AD1069" i="1" s="1"/>
  <c r="CR1069" i="1" s="1"/>
  <c r="H795" i="1"/>
  <c r="H1018" i="1"/>
  <c r="H986" i="1"/>
  <c r="H954" i="1"/>
  <c r="H982" i="1" s="1"/>
  <c r="AD982" i="1" s="1"/>
  <c r="AO982" i="1" s="1"/>
  <c r="H903" i="1"/>
  <c r="H1072" i="1"/>
  <c r="H872" i="1"/>
  <c r="AD1111" i="1"/>
  <c r="H1113" i="1"/>
  <c r="H1112" i="1"/>
  <c r="AD1112" i="1" s="1"/>
  <c r="AD3" i="1"/>
  <c r="H779" i="1"/>
  <c r="AD779" i="1" s="1"/>
  <c r="H729" i="1"/>
  <c r="AD729" i="1" s="1"/>
  <c r="H727" i="1"/>
  <c r="AD727" i="1" s="1"/>
  <c r="H699" i="1"/>
  <c r="H677" i="1"/>
  <c r="AD677" i="1" s="1"/>
  <c r="AO677" i="1" s="1"/>
  <c r="H663" i="1"/>
  <c r="AD663" i="1" s="1"/>
  <c r="H642" i="1"/>
  <c r="AD642" i="1" s="1"/>
  <c r="H650" i="1"/>
  <c r="AD650" i="1" s="1"/>
  <c r="H637" i="1"/>
  <c r="AD637" i="1" s="1"/>
  <c r="AN637" i="1" s="1"/>
  <c r="H624" i="1"/>
  <c r="AD624" i="1" s="1"/>
  <c r="H618" i="1"/>
  <c r="H599" i="1"/>
  <c r="H378" i="1"/>
  <c r="H778" i="1"/>
  <c r="AD778" i="1" s="1"/>
  <c r="H730" i="1"/>
  <c r="AD730" i="1" s="1"/>
  <c r="H724" i="1"/>
  <c r="H697" i="1"/>
  <c r="AD697" i="1" s="1"/>
  <c r="H676" i="1"/>
  <c r="AD676" i="1" s="1"/>
  <c r="H662" i="1"/>
  <c r="AD662" i="1" s="1"/>
  <c r="H643" i="1"/>
  <c r="AD643" i="1" s="1"/>
  <c r="H651" i="1"/>
  <c r="AD651" i="1" s="1"/>
  <c r="AN651" i="1" s="1"/>
  <c r="H636" i="1"/>
  <c r="AD636" i="1" s="1"/>
  <c r="AO636" i="1" s="1"/>
  <c r="H625" i="1"/>
  <c r="AD625" i="1" s="1"/>
  <c r="AO625" i="1" s="1"/>
  <c r="H615" i="1"/>
  <c r="H577" i="1"/>
  <c r="H234" i="1"/>
  <c r="H767" i="1"/>
  <c r="H731" i="1"/>
  <c r="AD731" i="1" s="1"/>
  <c r="H723" i="1"/>
  <c r="AD723" i="1" s="1"/>
  <c r="H691" i="1"/>
  <c r="H675" i="1"/>
  <c r="AD675" i="1" s="1"/>
  <c r="H661" i="1"/>
  <c r="AD661" i="1" s="1"/>
  <c r="H644" i="1"/>
  <c r="AD644" i="1" s="1"/>
  <c r="H652" i="1"/>
  <c r="AD652" i="1" s="1"/>
  <c r="AO652" i="1" s="1"/>
  <c r="H635" i="1"/>
  <c r="AD635" i="1" s="1"/>
  <c r="H626" i="1"/>
  <c r="AD626" i="1" s="1"/>
  <c r="BA626" i="1" s="1"/>
  <c r="H612" i="1"/>
  <c r="H559" i="1"/>
  <c r="H211" i="1"/>
  <c r="H793" i="1"/>
  <c r="AD793" i="1" s="1"/>
  <c r="H756" i="1"/>
  <c r="H732" i="1"/>
  <c r="AD732" i="1" s="1"/>
  <c r="BA732" i="1" s="1"/>
  <c r="H716" i="1"/>
  <c r="H690" i="1"/>
  <c r="AD690" i="1" s="1"/>
  <c r="AO690" i="1" s="1"/>
  <c r="H674" i="1"/>
  <c r="CR674" i="1" s="1"/>
  <c r="H660" i="1"/>
  <c r="AD660" i="1" s="1"/>
  <c r="H645" i="1"/>
  <c r="AD645" i="1" s="1"/>
  <c r="H653" i="1"/>
  <c r="AD653" i="1" s="1"/>
  <c r="H634" i="1"/>
  <c r="AD634" i="1" s="1"/>
  <c r="H627" i="1"/>
  <c r="AD627" i="1" s="1"/>
  <c r="H611" i="1"/>
  <c r="AD611" i="1" s="1"/>
  <c r="H550" i="1"/>
  <c r="H4" i="1"/>
  <c r="H783" i="1"/>
  <c r="H741" i="1"/>
  <c r="H733" i="1"/>
  <c r="AD733" i="1" s="1"/>
  <c r="H711" i="1"/>
  <c r="H689" i="1"/>
  <c r="AD689" i="1" s="1"/>
  <c r="BA689" i="1" s="1"/>
  <c r="H669" i="1"/>
  <c r="AD669" i="1" s="1"/>
  <c r="H656" i="1"/>
  <c r="H646" i="1"/>
  <c r="AD646" i="1" s="1"/>
  <c r="AO646" i="1" s="1"/>
  <c r="H641" i="1"/>
  <c r="AD641" i="1" s="1"/>
  <c r="H631" i="1"/>
  <c r="H628" i="1"/>
  <c r="AD628" i="1" s="1"/>
  <c r="H608" i="1"/>
  <c r="H513" i="1"/>
  <c r="H782" i="1"/>
  <c r="AD782" i="1" s="1"/>
  <c r="H738" i="1"/>
  <c r="H734" i="1"/>
  <c r="AD734" i="1" s="1"/>
  <c r="H704" i="1"/>
  <c r="H688" i="1"/>
  <c r="AD688" i="1" s="1"/>
  <c r="H666" i="1"/>
  <c r="H647" i="1"/>
  <c r="AD647" i="1" s="1"/>
  <c r="H640" i="1"/>
  <c r="AD640" i="1" s="1"/>
  <c r="AO640" i="1" s="1"/>
  <c r="H630" i="1"/>
  <c r="AD630" i="1" s="1"/>
  <c r="H629" i="1"/>
  <c r="AD629" i="1" s="1"/>
  <c r="H607" i="1"/>
  <c r="AD607" i="1" s="1"/>
  <c r="H484" i="1"/>
  <c r="H781" i="1"/>
  <c r="AD781" i="1" s="1"/>
  <c r="H737" i="1"/>
  <c r="AD737" i="1" s="1"/>
  <c r="AO737" i="1" s="1"/>
  <c r="H735" i="1"/>
  <c r="AD735" i="1" s="1"/>
  <c r="H703" i="1"/>
  <c r="AD703" i="1" s="1"/>
  <c r="AO703" i="1" s="1"/>
  <c r="H679" i="1"/>
  <c r="H665" i="1"/>
  <c r="AD665" i="1" s="1"/>
  <c r="H648" i="1"/>
  <c r="AD648" i="1" s="1"/>
  <c r="H639" i="1"/>
  <c r="AD639" i="1" s="1"/>
  <c r="BA639" i="1" s="1"/>
  <c r="H622" i="1"/>
  <c r="AD622" i="1" s="1"/>
  <c r="H621" i="1"/>
  <c r="AD621" i="1" s="1"/>
  <c r="H604" i="1"/>
  <c r="H477" i="1"/>
  <c r="H780" i="1"/>
  <c r="AD780" i="1" s="1"/>
  <c r="H728" i="1"/>
  <c r="AD728" i="1" s="1"/>
  <c r="H736" i="1"/>
  <c r="AD736" i="1" s="1"/>
  <c r="H702" i="1"/>
  <c r="AD702" i="1" s="1"/>
  <c r="H678" i="1"/>
  <c r="AD678" i="1" s="1"/>
  <c r="AO678" i="1" s="1"/>
  <c r="H664" i="1"/>
  <c r="AD664" i="1" s="1"/>
  <c r="H649" i="1"/>
  <c r="AD649" i="1" s="1"/>
  <c r="H638" i="1"/>
  <c r="AD638" i="1" s="1"/>
  <c r="H623" i="1"/>
  <c r="AD623" i="1" s="1"/>
  <c r="H620" i="1"/>
  <c r="AD620" i="1" s="1"/>
  <c r="AO620" i="1" s="1"/>
  <c r="H603" i="1"/>
  <c r="AD603" i="1" s="1"/>
  <c r="AO603" i="1" s="1"/>
  <c r="H466" i="1"/>
  <c r="CJ1131" i="1" l="1"/>
  <c r="BD1131" i="1" s="1"/>
  <c r="CJ175" i="1"/>
  <c r="BD175" i="1" s="1"/>
  <c r="CJ614" i="1"/>
  <c r="BD614" i="1" s="1"/>
  <c r="CJ853" i="1"/>
  <c r="BD853" i="1" s="1"/>
  <c r="CJ1117" i="1"/>
  <c r="BD1117" i="1" s="1"/>
  <c r="CJ117" i="1"/>
  <c r="BD117" i="1" s="1"/>
  <c r="CJ121" i="1"/>
  <c r="BD121" i="1" s="1"/>
  <c r="CJ1197" i="1"/>
  <c r="BD1197" i="1" s="1"/>
  <c r="CJ1148" i="1"/>
  <c r="BD1148" i="1" s="1"/>
  <c r="CJ566" i="1"/>
  <c r="BD566" i="1" s="1"/>
  <c r="CJ439" i="1"/>
  <c r="BD439" i="1" s="1"/>
  <c r="CJ1014" i="1"/>
  <c r="BD1014" i="1" s="1"/>
  <c r="CJ968" i="1"/>
  <c r="BD968" i="1" s="1"/>
  <c r="CJ749" i="1"/>
  <c r="BD749" i="1" s="1"/>
  <c r="CJ289" i="1"/>
  <c r="BD289" i="1" s="1"/>
  <c r="CJ793" i="1"/>
  <c r="BD793" i="1" s="1"/>
  <c r="BE793" i="1" s="1"/>
  <c r="CJ603" i="1"/>
  <c r="BD603" i="1" s="1"/>
  <c r="BE603" i="1" s="1"/>
  <c r="CJ269" i="1"/>
  <c r="BD269" i="1" s="1"/>
  <c r="CJ164" i="1"/>
  <c r="BD164" i="1" s="1"/>
  <c r="CJ389" i="1"/>
  <c r="BD389" i="1" s="1"/>
  <c r="CJ949" i="1"/>
  <c r="BD949" i="1" s="1"/>
  <c r="CJ408" i="1"/>
  <c r="BD408" i="1" s="1"/>
  <c r="CJ817" i="1"/>
  <c r="BD817" i="1" s="1"/>
  <c r="CJ972" i="1"/>
  <c r="BD972" i="1" s="1"/>
  <c r="CJ419" i="1"/>
  <c r="BD419" i="1" s="1"/>
  <c r="CJ1078" i="1"/>
  <c r="BD1078" i="1" s="1"/>
  <c r="BE1078" i="1" s="1"/>
  <c r="CJ470" i="1"/>
  <c r="BD470" i="1" s="1"/>
  <c r="CJ407" i="1"/>
  <c r="BD407" i="1" s="1"/>
  <c r="CJ1032" i="1"/>
  <c r="BD1032" i="1" s="1"/>
  <c r="CJ811" i="1"/>
  <c r="BD811" i="1" s="1"/>
  <c r="CJ1201" i="1"/>
  <c r="BD1201" i="1" s="1"/>
  <c r="BE1201" i="1" s="1"/>
  <c r="CJ563" i="1"/>
  <c r="BD563" i="1" s="1"/>
  <c r="X1327" i="1"/>
  <c r="CR1081" i="1"/>
  <c r="AD1223" i="1"/>
  <c r="AE1223" i="1" s="1"/>
  <c r="CR1083" i="1"/>
  <c r="AD1224" i="1"/>
  <c r="AE1224" i="1" s="1"/>
  <c r="CR1085" i="1"/>
  <c r="AD1225" i="1"/>
  <c r="AE1225" i="1" s="1"/>
  <c r="AD1221" i="1"/>
  <c r="AE1221" i="1" s="1"/>
  <c r="CR1103" i="1"/>
  <c r="CR1086" i="1"/>
  <c r="AD1342" i="1"/>
  <c r="AE1342" i="1" s="1"/>
  <c r="CR1087" i="1"/>
  <c r="AD1343" i="1"/>
  <c r="AE1343" i="1" s="1"/>
  <c r="CJ44" i="1"/>
  <c r="BD44" i="1" s="1"/>
  <c r="CJ333" i="1"/>
  <c r="BD333" i="1" s="1"/>
  <c r="CJ1041" i="1"/>
  <c r="BD1041" i="1" s="1"/>
  <c r="CJ765" i="1"/>
  <c r="BD765" i="1" s="1"/>
  <c r="CJ59" i="1"/>
  <c r="BD59" i="1" s="1"/>
  <c r="CJ1119" i="1"/>
  <c r="BD1119" i="1" s="1"/>
  <c r="BE1119" i="1" s="1"/>
  <c r="CJ1176" i="1"/>
  <c r="BD1176" i="1" s="1"/>
  <c r="CJ50" i="1"/>
  <c r="BD50" i="1" s="1"/>
  <c r="CJ108" i="1"/>
  <c r="BD108" i="1" s="1"/>
  <c r="CJ100" i="1"/>
  <c r="BD100" i="1" s="1"/>
  <c r="CJ571" i="1"/>
  <c r="BD571" i="1" s="1"/>
  <c r="CJ48" i="1"/>
  <c r="BD48" i="1" s="1"/>
  <c r="CJ61" i="1"/>
  <c r="BD61" i="1" s="1"/>
  <c r="CJ860" i="1"/>
  <c r="BD860" i="1" s="1"/>
  <c r="CJ36" i="1"/>
  <c r="BD36" i="1" s="1"/>
  <c r="CR1191" i="1"/>
  <c r="AO1191" i="1"/>
  <c r="CR1188" i="1"/>
  <c r="AO1188" i="1"/>
  <c r="AN1188" i="1"/>
  <c r="CJ880" i="1"/>
  <c r="BD880" i="1" s="1"/>
  <c r="CR1195" i="1"/>
  <c r="AO1195" i="1"/>
  <c r="AN1195" i="1"/>
  <c r="CJ1020" i="1"/>
  <c r="BD1020" i="1" s="1"/>
  <c r="CJ440" i="1"/>
  <c r="BD440" i="1" s="1"/>
  <c r="CR982" i="1"/>
  <c r="AN982" i="1"/>
  <c r="CR1194" i="1"/>
  <c r="AO1194" i="1"/>
  <c r="AN1194" i="1"/>
  <c r="AO1124" i="1"/>
  <c r="CR1189" i="1"/>
  <c r="AO1189" i="1"/>
  <c r="AN1189" i="1"/>
  <c r="CR1193" i="1"/>
  <c r="AO1193" i="1"/>
  <c r="CJ825" i="1"/>
  <c r="BD825" i="1" s="1"/>
  <c r="AN1191" i="1"/>
  <c r="CR1112" i="1"/>
  <c r="AN1112" i="1"/>
  <c r="AO1112" i="1"/>
  <c r="AN1111" i="1"/>
  <c r="AO1111" i="1"/>
  <c r="CR1190" i="1"/>
  <c r="AO1190" i="1"/>
  <c r="CR1187" i="1"/>
  <c r="AO1187" i="1"/>
  <c r="AN1187" i="1"/>
  <c r="CJ141" i="1"/>
  <c r="BD141" i="1" s="1"/>
  <c r="CJ964" i="1"/>
  <c r="BD964" i="1" s="1"/>
  <c r="CJ623" i="1"/>
  <c r="BD623" i="1" s="1"/>
  <c r="BE623" i="1" s="1"/>
  <c r="BA651" i="1"/>
  <c r="CJ166" i="1"/>
  <c r="BD166" i="1" s="1"/>
  <c r="BA625" i="1"/>
  <c r="BA635" i="1"/>
  <c r="CJ1089" i="1"/>
  <c r="BD1089" i="1" s="1"/>
  <c r="BE1089" i="1" s="1"/>
  <c r="CJ728" i="1"/>
  <c r="BD728" i="1" s="1"/>
  <c r="BE728" i="1" s="1"/>
  <c r="BA675" i="1"/>
  <c r="BA623" i="1"/>
  <c r="BA645" i="1"/>
  <c r="BA611" i="1"/>
  <c r="CJ602" i="1"/>
  <c r="BD602" i="1" s="1"/>
  <c r="CJ896" i="1"/>
  <c r="BD896" i="1" s="1"/>
  <c r="BA621" i="1"/>
  <c r="BA607" i="1"/>
  <c r="BA723" i="1"/>
  <c r="CJ1200" i="1"/>
  <c r="BD1200" i="1" s="1"/>
  <c r="BE1200" i="1" s="1"/>
  <c r="BA3" i="1"/>
  <c r="BA642" i="1"/>
  <c r="CJ963" i="1"/>
  <c r="BD963" i="1" s="1"/>
  <c r="CR728" i="1"/>
  <c r="BB728" i="1"/>
  <c r="BC728" i="1"/>
  <c r="AO728" i="1"/>
  <c r="BA728" i="1"/>
  <c r="AN728" i="1"/>
  <c r="BA664" i="1"/>
  <c r="AO651" i="1"/>
  <c r="AO637" i="1"/>
  <c r="CR623" i="1"/>
  <c r="BB623" i="1"/>
  <c r="BC623" i="1"/>
  <c r="AN623" i="1"/>
  <c r="AO623" i="1"/>
  <c r="BB780" i="1"/>
  <c r="BC780" i="1"/>
  <c r="BA780" i="1"/>
  <c r="CR630" i="1"/>
  <c r="BB630" i="1"/>
  <c r="BC630" i="1"/>
  <c r="CR782" i="1"/>
  <c r="BB782" i="1"/>
  <c r="BC782" i="1"/>
  <c r="AO782" i="1"/>
  <c r="AN782" i="1"/>
  <c r="CR669" i="1"/>
  <c r="BC669" i="1"/>
  <c r="BB669" i="1"/>
  <c r="BA669" i="1"/>
  <c r="AO669" i="1"/>
  <c r="AN669" i="1"/>
  <c r="CR611" i="1"/>
  <c r="BC611" i="1"/>
  <c r="BB611" i="1"/>
  <c r="AO611" i="1"/>
  <c r="AN611" i="1"/>
  <c r="CR635" i="1"/>
  <c r="BC635" i="1"/>
  <c r="BB635" i="1"/>
  <c r="AO635" i="1"/>
  <c r="AN635" i="1"/>
  <c r="BB662" i="1"/>
  <c r="BC662" i="1"/>
  <c r="BA662" i="1"/>
  <c r="CR727" i="1"/>
  <c r="BB727" i="1"/>
  <c r="BC727" i="1"/>
  <c r="BA727" i="1"/>
  <c r="AO727" i="1"/>
  <c r="AN727" i="1"/>
  <c r="BA641" i="1"/>
  <c r="BA690" i="1"/>
  <c r="BA731" i="1"/>
  <c r="BA648" i="1"/>
  <c r="AN732" i="1"/>
  <c r="AN780" i="1"/>
  <c r="AN678" i="1"/>
  <c r="AN646" i="1"/>
  <c r="AN625" i="1"/>
  <c r="AN630" i="1"/>
  <c r="AN703" i="1"/>
  <c r="AN603" i="1"/>
  <c r="CR689" i="1"/>
  <c r="BB689" i="1"/>
  <c r="BC689" i="1"/>
  <c r="AN689" i="1"/>
  <c r="AO689" i="1"/>
  <c r="BA729" i="1"/>
  <c r="AO732" i="1"/>
  <c r="AO780" i="1"/>
  <c r="AO630" i="1"/>
  <c r="CR643" i="1"/>
  <c r="BC643" i="1"/>
  <c r="BB643" i="1"/>
  <c r="CR652" i="1"/>
  <c r="BB652" i="1"/>
  <c r="BC652" i="1"/>
  <c r="BA652" i="1"/>
  <c r="CR649" i="1"/>
  <c r="BB649" i="1"/>
  <c r="BC649" i="1"/>
  <c r="AN649" i="1"/>
  <c r="AO649" i="1"/>
  <c r="CR735" i="1"/>
  <c r="BB735" i="1"/>
  <c r="BC735" i="1"/>
  <c r="AO735" i="1"/>
  <c r="AN735" i="1"/>
  <c r="CR647" i="1"/>
  <c r="BB647" i="1"/>
  <c r="BC647" i="1"/>
  <c r="AO647" i="1"/>
  <c r="AN647" i="1"/>
  <c r="BA647" i="1"/>
  <c r="CR634" i="1"/>
  <c r="BB634" i="1"/>
  <c r="BC634" i="1"/>
  <c r="AO634" i="1"/>
  <c r="AN634" i="1"/>
  <c r="CR644" i="1"/>
  <c r="BB644" i="1"/>
  <c r="BC644" i="1"/>
  <c r="BA644" i="1"/>
  <c r="AO644" i="1"/>
  <c r="AN644" i="1"/>
  <c r="CR697" i="1"/>
  <c r="BB697" i="1"/>
  <c r="BC697" i="1"/>
  <c r="AN697" i="1"/>
  <c r="BA697" i="1"/>
  <c r="AO697" i="1"/>
  <c r="CR637" i="1"/>
  <c r="BC637" i="1"/>
  <c r="BB637" i="1"/>
  <c r="BA637" i="1"/>
  <c r="BC779" i="1"/>
  <c r="BB779" i="1"/>
  <c r="BA634" i="1"/>
  <c r="BA778" i="1"/>
  <c r="BA779" i="1"/>
  <c r="BA733" i="1"/>
  <c r="BA736" i="1"/>
  <c r="AN690" i="1"/>
  <c r="BA636" i="1"/>
  <c r="CR620" i="1"/>
  <c r="BB620" i="1"/>
  <c r="BC620" i="1"/>
  <c r="CR626" i="1"/>
  <c r="BB626" i="1"/>
  <c r="BC626" i="1"/>
  <c r="AO626" i="1"/>
  <c r="AN626" i="1"/>
  <c r="CR638" i="1"/>
  <c r="BB638" i="1"/>
  <c r="BC638" i="1"/>
  <c r="BA638" i="1"/>
  <c r="AO638" i="1"/>
  <c r="AN638" i="1"/>
  <c r="CR640" i="1"/>
  <c r="BB640" i="1"/>
  <c r="BC640" i="1"/>
  <c r="CR732" i="1"/>
  <c r="BB732" i="1"/>
  <c r="BC732" i="1"/>
  <c r="BB676" i="1"/>
  <c r="BC676" i="1"/>
  <c r="AO676" i="1"/>
  <c r="AN676" i="1"/>
  <c r="BA676" i="1"/>
  <c r="CR729" i="1"/>
  <c r="BB729" i="1"/>
  <c r="BC729" i="1"/>
  <c r="AN729" i="1"/>
  <c r="AO729" i="1"/>
  <c r="BA629" i="1"/>
  <c r="CR621" i="1"/>
  <c r="BC621" i="1"/>
  <c r="BB621" i="1"/>
  <c r="AN621" i="1"/>
  <c r="AO621" i="1"/>
  <c r="CR733" i="1"/>
  <c r="BC733" i="1"/>
  <c r="BB733" i="1"/>
  <c r="AO733" i="1"/>
  <c r="AN733" i="1"/>
  <c r="CR793" i="1"/>
  <c r="BB793" i="1"/>
  <c r="BC793" i="1"/>
  <c r="AN793" i="1"/>
  <c r="AO793" i="1"/>
  <c r="CR650" i="1"/>
  <c r="BB650" i="1"/>
  <c r="BC650" i="1"/>
  <c r="AO650" i="1"/>
  <c r="AN650" i="1"/>
  <c r="BA735" i="1"/>
  <c r="BA624" i="1"/>
  <c r="BA603" i="1"/>
  <c r="AN677" i="1"/>
  <c r="BA630" i="1"/>
  <c r="CR665" i="1"/>
  <c r="BB665" i="1"/>
  <c r="BC665" i="1"/>
  <c r="AO665" i="1"/>
  <c r="AN665" i="1"/>
  <c r="CR731" i="1"/>
  <c r="BC731" i="1"/>
  <c r="BB731" i="1"/>
  <c r="CR703" i="1"/>
  <c r="BB703" i="1"/>
  <c r="BC703" i="1"/>
  <c r="BA703" i="1"/>
  <c r="CR627" i="1"/>
  <c r="BC627" i="1"/>
  <c r="BB627" i="1"/>
  <c r="BA627" i="1"/>
  <c r="AN627" i="1"/>
  <c r="AO627" i="1"/>
  <c r="CR624" i="1"/>
  <c r="BB624" i="1"/>
  <c r="BC624" i="1"/>
  <c r="AO624" i="1"/>
  <c r="AN624" i="1"/>
  <c r="BA643" i="1"/>
  <c r="CR664" i="1"/>
  <c r="BB664" i="1"/>
  <c r="BC664" i="1"/>
  <c r="AO664" i="1"/>
  <c r="AN664" i="1"/>
  <c r="CR737" i="1"/>
  <c r="BB737" i="1"/>
  <c r="BC737" i="1"/>
  <c r="BA737" i="1"/>
  <c r="CR628" i="1"/>
  <c r="BB628" i="1"/>
  <c r="BC628" i="1"/>
  <c r="AN628" i="1"/>
  <c r="AO628" i="1"/>
  <c r="BA628" i="1"/>
  <c r="CR653" i="1"/>
  <c r="BC653" i="1"/>
  <c r="BB653" i="1"/>
  <c r="BA653" i="1"/>
  <c r="AO653" i="1"/>
  <c r="AN653" i="1"/>
  <c r="BC661" i="1"/>
  <c r="BB661" i="1"/>
  <c r="BA661" i="1"/>
  <c r="CR3" i="1"/>
  <c r="BB3" i="1"/>
  <c r="BC3" i="1"/>
  <c r="CR678" i="1"/>
  <c r="BB678" i="1"/>
  <c r="BC678" i="1"/>
  <c r="BA678" i="1"/>
  <c r="CR622" i="1"/>
  <c r="BB622" i="1"/>
  <c r="BC622" i="1"/>
  <c r="BA622" i="1"/>
  <c r="AO622" i="1"/>
  <c r="AN622" i="1"/>
  <c r="CR781" i="1"/>
  <c r="BC781" i="1"/>
  <c r="BB781" i="1"/>
  <c r="AO781" i="1"/>
  <c r="AN781" i="1"/>
  <c r="BB688" i="1"/>
  <c r="BC688" i="1"/>
  <c r="AO688" i="1"/>
  <c r="BA688" i="1"/>
  <c r="AN688" i="1"/>
  <c r="CR645" i="1"/>
  <c r="BC645" i="1"/>
  <c r="BB645" i="1"/>
  <c r="AN645" i="1"/>
  <c r="AO645" i="1"/>
  <c r="CR675" i="1"/>
  <c r="BC675" i="1"/>
  <c r="BB675" i="1"/>
  <c r="AN675" i="1"/>
  <c r="AO675" i="1"/>
  <c r="CR625" i="1"/>
  <c r="BB625" i="1"/>
  <c r="BC625" i="1"/>
  <c r="CR730" i="1"/>
  <c r="BB730" i="1"/>
  <c r="BC730" i="1"/>
  <c r="AO730" i="1"/>
  <c r="AN730" i="1"/>
  <c r="CR642" i="1"/>
  <c r="BB642" i="1"/>
  <c r="BC642" i="1"/>
  <c r="AO642" i="1"/>
  <c r="AN642" i="1"/>
  <c r="BA649" i="1"/>
  <c r="BA730" i="1"/>
  <c r="BA650" i="1"/>
  <c r="BA640" i="1"/>
  <c r="AN662" i="1"/>
  <c r="AN737" i="1"/>
  <c r="BA781" i="1"/>
  <c r="CR629" i="1"/>
  <c r="BC629" i="1"/>
  <c r="BB629" i="1"/>
  <c r="AN629" i="1"/>
  <c r="AO629" i="1"/>
  <c r="CR639" i="1"/>
  <c r="BB639" i="1"/>
  <c r="BC639" i="1"/>
  <c r="AN639" i="1"/>
  <c r="AO639" i="1"/>
  <c r="CR636" i="1"/>
  <c r="BB636" i="1"/>
  <c r="BC636" i="1"/>
  <c r="CR663" i="1"/>
  <c r="BB663" i="1"/>
  <c r="BC663" i="1"/>
  <c r="BA663" i="1"/>
  <c r="AO663" i="1"/>
  <c r="AN663" i="1"/>
  <c r="BA665" i="1"/>
  <c r="AN636" i="1"/>
  <c r="AO643" i="1"/>
  <c r="AO662" i="1"/>
  <c r="AO779" i="1"/>
  <c r="AO731" i="1"/>
  <c r="AN661" i="1"/>
  <c r="BA620" i="1"/>
  <c r="BB690" i="1"/>
  <c r="BC690" i="1"/>
  <c r="CR702" i="1"/>
  <c r="BB702" i="1"/>
  <c r="BC702" i="1"/>
  <c r="AO702" i="1"/>
  <c r="BA702" i="1"/>
  <c r="AN702" i="1"/>
  <c r="CR641" i="1"/>
  <c r="BB641" i="1"/>
  <c r="BC641" i="1"/>
  <c r="AO641" i="1"/>
  <c r="AN641" i="1"/>
  <c r="BB660" i="1"/>
  <c r="BC660" i="1"/>
  <c r="AO660" i="1"/>
  <c r="BA660" i="1"/>
  <c r="AN660" i="1"/>
  <c r="CR778" i="1"/>
  <c r="BB778" i="1"/>
  <c r="BC778" i="1"/>
  <c r="AO778" i="1"/>
  <c r="AN778" i="1"/>
  <c r="CR603" i="1"/>
  <c r="BC603" i="1"/>
  <c r="BB603" i="1"/>
  <c r="CR736" i="1"/>
  <c r="BB736" i="1"/>
  <c r="BC736" i="1"/>
  <c r="AN736" i="1"/>
  <c r="AO736" i="1"/>
  <c r="CR648" i="1"/>
  <c r="BB648" i="1"/>
  <c r="BC648" i="1"/>
  <c r="AN648" i="1"/>
  <c r="AO648" i="1"/>
  <c r="CR607" i="1"/>
  <c r="BB607" i="1"/>
  <c r="BC607" i="1"/>
  <c r="AN607" i="1"/>
  <c r="AO607" i="1"/>
  <c r="CR734" i="1"/>
  <c r="BB734" i="1"/>
  <c r="BC734" i="1"/>
  <c r="BA734" i="1"/>
  <c r="AO734" i="1"/>
  <c r="AN734" i="1"/>
  <c r="CR646" i="1"/>
  <c r="BB646" i="1"/>
  <c r="BC646" i="1"/>
  <c r="BA646" i="1"/>
  <c r="CR723" i="1"/>
  <c r="BC723" i="1"/>
  <c r="BB723" i="1"/>
  <c r="AO723" i="1"/>
  <c r="AN723" i="1"/>
  <c r="CR651" i="1"/>
  <c r="BC651" i="1"/>
  <c r="BB651" i="1"/>
  <c r="BC677" i="1"/>
  <c r="BB677" i="1"/>
  <c r="BA677" i="1"/>
  <c r="AN620" i="1"/>
  <c r="AN643" i="1"/>
  <c r="AN652" i="1"/>
  <c r="AN779" i="1"/>
  <c r="AN731" i="1"/>
  <c r="AO661" i="1"/>
  <c r="BA793" i="1"/>
  <c r="AN640" i="1"/>
  <c r="BA782" i="1"/>
  <c r="CJ723" i="1"/>
  <c r="BD723" i="1" s="1"/>
  <c r="BE723" i="1" s="1"/>
  <c r="CJ1123" i="1"/>
  <c r="BD1123" i="1" s="1"/>
  <c r="BE1123" i="1" s="1"/>
  <c r="CJ65" i="1"/>
  <c r="BD65" i="1" s="1"/>
  <c r="AN3" i="1"/>
  <c r="AO3" i="1"/>
  <c r="CJ162" i="1"/>
  <c r="BD162" i="1" s="1"/>
  <c r="BE162" i="1" s="1"/>
  <c r="CJ71" i="1"/>
  <c r="BD71" i="1" s="1"/>
  <c r="CJ161" i="1"/>
  <c r="BD161" i="1" s="1"/>
  <c r="CJ98" i="1"/>
  <c r="BD98" i="1" s="1"/>
  <c r="CJ158" i="1"/>
  <c r="BD158" i="1" s="1"/>
  <c r="CJ45" i="1"/>
  <c r="BD45" i="1" s="1"/>
  <c r="CJ163" i="1"/>
  <c r="BD163" i="1" s="1"/>
  <c r="CJ97" i="1"/>
  <c r="BD97" i="1" s="1"/>
  <c r="CJ143" i="1"/>
  <c r="BD143" i="1" s="1"/>
  <c r="CJ170" i="1"/>
  <c r="BD170" i="1" s="1"/>
  <c r="CJ829" i="1"/>
  <c r="BD829" i="1" s="1"/>
  <c r="CJ128" i="1"/>
  <c r="BD128" i="1" s="1"/>
  <c r="CJ620" i="1"/>
  <c r="BD620" i="1" s="1"/>
  <c r="BE620" i="1" s="1"/>
  <c r="CJ845" i="1"/>
  <c r="BD845" i="1" s="1"/>
  <c r="CJ138" i="1"/>
  <c r="BD138" i="1" s="1"/>
  <c r="CJ27" i="1"/>
  <c r="BD27" i="1" s="1"/>
  <c r="CJ46" i="1"/>
  <c r="BD46" i="1" s="1"/>
  <c r="CJ17" i="1"/>
  <c r="BD17" i="1" s="1"/>
  <c r="CJ84" i="1"/>
  <c r="BD84" i="1" s="1"/>
  <c r="CJ1188" i="1"/>
  <c r="BD1188" i="1" s="1"/>
  <c r="BE1188" i="1" s="1"/>
  <c r="CJ401" i="1"/>
  <c r="BD401" i="1" s="1"/>
  <c r="CJ43" i="1"/>
  <c r="BD43" i="1" s="1"/>
  <c r="CJ920" i="1"/>
  <c r="BD920" i="1" s="1"/>
  <c r="CJ33" i="1"/>
  <c r="BD33" i="1" s="1"/>
  <c r="CJ637" i="1"/>
  <c r="BD637" i="1" s="1"/>
  <c r="BE637" i="1" s="1"/>
  <c r="CJ1085" i="1"/>
  <c r="BD1085" i="1" s="1"/>
  <c r="BE1085" i="1" s="1"/>
  <c r="AD1263" i="1"/>
  <c r="AE1263" i="1" s="1"/>
  <c r="CR660" i="1"/>
  <c r="BE1077" i="1"/>
  <c r="CR1077" i="1"/>
  <c r="AD1249" i="1"/>
  <c r="AE1249" i="1" s="1"/>
  <c r="CR677" i="1"/>
  <c r="BE1111" i="1"/>
  <c r="CR1111" i="1"/>
  <c r="BE1116" i="1"/>
  <c r="CR1116" i="1"/>
  <c r="AD1251" i="1"/>
  <c r="AE1251" i="1" s="1"/>
  <c r="CR690" i="1"/>
  <c r="AD1285" i="1"/>
  <c r="AE1285" i="1" s="1"/>
  <c r="CR1108" i="1"/>
  <c r="BE1090" i="1"/>
  <c r="CR1090" i="1"/>
  <c r="AD1310" i="1"/>
  <c r="AE1310" i="1" s="1"/>
  <c r="CR661" i="1"/>
  <c r="AD1272" i="1"/>
  <c r="AE1272" i="1" s="1"/>
  <c r="CR780" i="1"/>
  <c r="AD1256" i="1"/>
  <c r="AE1256" i="1" s="1"/>
  <c r="CR662" i="1"/>
  <c r="AD1248" i="1"/>
  <c r="AE1248" i="1" s="1"/>
  <c r="CR676" i="1"/>
  <c r="AD1280" i="1"/>
  <c r="AE1280" i="1" s="1"/>
  <c r="CR1109" i="1"/>
  <c r="AD1264" i="1"/>
  <c r="AE1264" i="1" s="1"/>
  <c r="CR779" i="1"/>
  <c r="AD1273" i="1"/>
  <c r="AE1273" i="1" s="1"/>
  <c r="CR1071" i="1"/>
  <c r="BE794" i="1"/>
  <c r="CR794" i="1"/>
  <c r="AD1250" i="1"/>
  <c r="AE1250" i="1" s="1"/>
  <c r="CR688" i="1"/>
  <c r="CJ105" i="1"/>
  <c r="BD105" i="1" s="1"/>
  <c r="BE105" i="1" s="1"/>
  <c r="BE1124" i="1"/>
  <c r="CR1124" i="1"/>
  <c r="CJ233" i="1"/>
  <c r="BD233" i="1" s="1"/>
  <c r="CJ727" i="1"/>
  <c r="BD727" i="1" s="1"/>
  <c r="BE727" i="1" s="1"/>
  <c r="CJ613" i="1"/>
  <c r="BD613" i="1" s="1"/>
  <c r="CJ139" i="1"/>
  <c r="BD139" i="1" s="1"/>
  <c r="CJ859" i="1"/>
  <c r="BD859" i="1" s="1"/>
  <c r="CJ1179" i="1"/>
  <c r="BD1179" i="1" s="1"/>
  <c r="CJ39" i="1"/>
  <c r="BD39" i="1" s="1"/>
  <c r="CJ835" i="1"/>
  <c r="BD835" i="1" s="1"/>
  <c r="CJ575" i="1"/>
  <c r="BD575" i="1" s="1"/>
  <c r="CJ523" i="1"/>
  <c r="BD523" i="1" s="1"/>
  <c r="CJ1071" i="1"/>
  <c r="BD1071" i="1" s="1"/>
  <c r="BE1071" i="1" s="1"/>
  <c r="CJ147" i="1"/>
  <c r="BD147" i="1" s="1"/>
  <c r="CJ675" i="1"/>
  <c r="BD675" i="1" s="1"/>
  <c r="BE675" i="1" s="1"/>
  <c r="X1328" i="1"/>
  <c r="X1329" i="1" s="1"/>
  <c r="X1330" i="1" s="1"/>
  <c r="X1331" i="1" s="1"/>
  <c r="X1332" i="1" s="1"/>
  <c r="X1333" i="1" s="1"/>
  <c r="X1334" i="1" s="1"/>
  <c r="X1335" i="1" s="1"/>
  <c r="X1336" i="1" s="1"/>
  <c r="X1337" i="1" s="1"/>
  <c r="X1338" i="1" s="1"/>
  <c r="CJ446" i="1"/>
  <c r="BD446" i="1" s="1"/>
  <c r="CJ224" i="1"/>
  <c r="BD224" i="1" s="1"/>
  <c r="CJ1017" i="1"/>
  <c r="BD1017" i="1" s="1"/>
  <c r="BE1017" i="1" s="1"/>
  <c r="CJ104" i="1"/>
  <c r="BD104" i="1" s="1"/>
  <c r="CJ1081" i="1"/>
  <c r="BD1081" i="1" s="1"/>
  <c r="BE1081" i="1" s="1"/>
  <c r="CJ897" i="1"/>
  <c r="BD897" i="1" s="1"/>
  <c r="CJ1107" i="1"/>
  <c r="BD1107" i="1" s="1"/>
  <c r="BE1107" i="1" s="1"/>
  <c r="CJ21" i="1"/>
  <c r="BD21" i="1" s="1"/>
  <c r="CJ1151" i="1"/>
  <c r="BD1151" i="1" s="1"/>
  <c r="CJ893" i="1"/>
  <c r="BD893" i="1" s="1"/>
  <c r="CJ748" i="1"/>
  <c r="BD748" i="1" s="1"/>
  <c r="CJ159" i="1"/>
  <c r="BD159" i="1" s="1"/>
  <c r="CJ1066" i="1"/>
  <c r="BD1066" i="1" s="1"/>
  <c r="CJ188" i="1"/>
  <c r="BD188" i="1" s="1"/>
  <c r="CJ123" i="1"/>
  <c r="BD123" i="1" s="1"/>
  <c r="CJ236" i="1"/>
  <c r="BD236" i="1" s="1"/>
  <c r="CJ1167" i="1"/>
  <c r="BD1167" i="1" s="1"/>
  <c r="CJ486" i="1"/>
  <c r="BD486" i="1" s="1"/>
  <c r="CJ374" i="1"/>
  <c r="BD374" i="1" s="1"/>
  <c r="CJ68" i="1"/>
  <c r="BD68" i="1" s="1"/>
  <c r="CJ41" i="1"/>
  <c r="BD41" i="1" s="1"/>
  <c r="CJ922" i="1"/>
  <c r="BD922" i="1" s="1"/>
  <c r="CJ7" i="1"/>
  <c r="BD7" i="1" s="1"/>
  <c r="CJ331" i="1"/>
  <c r="BD331" i="1" s="1"/>
  <c r="CJ69" i="1"/>
  <c r="BD69" i="1" s="1"/>
  <c r="CJ1007" i="1"/>
  <c r="BD1007" i="1" s="1"/>
  <c r="CJ135" i="1"/>
  <c r="BD135" i="1" s="1"/>
  <c r="CJ927" i="1"/>
  <c r="BD927" i="1" s="1"/>
  <c r="CJ1130" i="1"/>
  <c r="BD1130" i="1" s="1"/>
  <c r="CJ570" i="1"/>
  <c r="BD570" i="1" s="1"/>
  <c r="CJ889" i="1"/>
  <c r="BD889" i="1" s="1"/>
  <c r="CJ73" i="1"/>
  <c r="BD73" i="1" s="1"/>
  <c r="CJ713" i="1"/>
  <c r="BD713" i="1" s="1"/>
  <c r="CJ1097" i="1"/>
  <c r="BD1097" i="1" s="1"/>
  <c r="CJ745" i="1"/>
  <c r="BD745" i="1" s="1"/>
  <c r="CJ249" i="1"/>
  <c r="BD249" i="1" s="1"/>
  <c r="CJ900" i="1"/>
  <c r="BD900" i="1" s="1"/>
  <c r="BE900" i="1" s="1"/>
  <c r="CJ1193" i="1"/>
  <c r="BD1193" i="1" s="1"/>
  <c r="BE1193" i="1" s="1"/>
  <c r="CJ1012" i="1"/>
  <c r="BD1012" i="1" s="1"/>
  <c r="CJ953" i="1"/>
  <c r="BD953" i="1" s="1"/>
  <c r="BE953" i="1" s="1"/>
  <c r="CJ18" i="1"/>
  <c r="BD18" i="1" s="1"/>
  <c r="CJ580" i="1"/>
  <c r="BD580" i="1" s="1"/>
  <c r="CJ9" i="1"/>
  <c r="BD9" i="1" s="1"/>
  <c r="CJ560" i="1"/>
  <c r="BD560" i="1" s="1"/>
  <c r="CJ57" i="1"/>
  <c r="BD57" i="1" s="1"/>
  <c r="CJ890" i="1"/>
  <c r="BD890" i="1" s="1"/>
  <c r="CJ1103" i="1"/>
  <c r="BD1103" i="1" s="1"/>
  <c r="BE1103" i="1" s="1"/>
  <c r="CJ267" i="1"/>
  <c r="BD267" i="1" s="1"/>
  <c r="CJ1001" i="1"/>
  <c r="BD1001" i="1" s="1"/>
  <c r="CJ996" i="1"/>
  <c r="BD996" i="1" s="1"/>
  <c r="CJ351" i="1"/>
  <c r="BD351" i="1" s="1"/>
  <c r="CJ729" i="1"/>
  <c r="BD729" i="1" s="1"/>
  <c r="BE729" i="1" s="1"/>
  <c r="CJ761" i="1"/>
  <c r="BD761" i="1" s="1"/>
  <c r="CJ881" i="1"/>
  <c r="BD881" i="1" s="1"/>
  <c r="CJ40" i="1"/>
  <c r="BD40" i="1" s="1"/>
  <c r="CJ645" i="1"/>
  <c r="BD645" i="1" s="1"/>
  <c r="BE645" i="1" s="1"/>
  <c r="CJ371" i="1"/>
  <c r="BD371" i="1" s="1"/>
  <c r="CJ937" i="1"/>
  <c r="BD937" i="1" s="1"/>
  <c r="CJ219" i="1"/>
  <c r="BD219" i="1" s="1"/>
  <c r="CJ1033" i="1"/>
  <c r="BD1033" i="1" s="1"/>
  <c r="CJ157" i="1"/>
  <c r="BD157" i="1" s="1"/>
  <c r="CJ681" i="1"/>
  <c r="BD681" i="1" s="1"/>
  <c r="CJ524" i="1"/>
  <c r="BD524" i="1" s="1"/>
  <c r="CJ708" i="1"/>
  <c r="BD708" i="1" s="1"/>
  <c r="CJ943" i="1"/>
  <c r="BD943" i="1" s="1"/>
  <c r="CJ506" i="1"/>
  <c r="BD506" i="1" s="1"/>
  <c r="CJ307" i="1"/>
  <c r="BD307" i="1" s="1"/>
  <c r="CJ298" i="1"/>
  <c r="BD298" i="1" s="1"/>
  <c r="CJ243" i="1"/>
  <c r="BD243" i="1" s="1"/>
  <c r="CJ585" i="1"/>
  <c r="BD585" i="1" s="1"/>
  <c r="CJ777" i="1"/>
  <c r="BD777" i="1" s="1"/>
  <c r="CJ525" i="1"/>
  <c r="BD525" i="1" s="1"/>
  <c r="CJ227" i="1"/>
  <c r="BD227" i="1" s="1"/>
  <c r="CJ195" i="1"/>
  <c r="BD195" i="1" s="1"/>
  <c r="CJ13" i="1"/>
  <c r="BD13" i="1" s="1"/>
  <c r="CJ579" i="1"/>
  <c r="BD579" i="1" s="1"/>
  <c r="CJ1060" i="1"/>
  <c r="BD1060" i="1" s="1"/>
  <c r="CJ533" i="1"/>
  <c r="BD533" i="1" s="1"/>
  <c r="CJ905" i="1"/>
  <c r="BD905" i="1" s="1"/>
  <c r="CJ649" i="1"/>
  <c r="BD649" i="1" s="1"/>
  <c r="BE649" i="1" s="1"/>
  <c r="CJ911" i="1"/>
  <c r="BD911" i="1" s="1"/>
  <c r="CJ113" i="1"/>
  <c r="BD113" i="1" s="1"/>
  <c r="CJ34" i="1"/>
  <c r="BD34" i="1" s="1"/>
  <c r="CJ863" i="1"/>
  <c r="BD863" i="1" s="1"/>
  <c r="CJ549" i="1"/>
  <c r="BD549" i="1" s="1"/>
  <c r="CJ1011" i="1"/>
  <c r="BD1011" i="1" s="1"/>
  <c r="CJ512" i="1"/>
  <c r="BD512" i="1" s="1"/>
  <c r="CJ685" i="1"/>
  <c r="BD685" i="1" s="1"/>
  <c r="CJ1191" i="1"/>
  <c r="BD1191" i="1" s="1"/>
  <c r="BE1191" i="1" s="1"/>
  <c r="CJ171" i="1"/>
  <c r="BD171" i="1" s="1"/>
  <c r="CJ797" i="1"/>
  <c r="BD797" i="1" s="1"/>
  <c r="CJ337" i="1"/>
  <c r="BD337" i="1" s="1"/>
  <c r="CJ557" i="1"/>
  <c r="BD557" i="1" s="1"/>
  <c r="CJ280" i="1"/>
  <c r="BD280" i="1" s="1"/>
  <c r="CJ787" i="1"/>
  <c r="BD787" i="1" s="1"/>
  <c r="CJ183" i="1"/>
  <c r="BD183" i="1" s="1"/>
  <c r="CJ938" i="1"/>
  <c r="BD938" i="1" s="1"/>
  <c r="CJ114" i="1"/>
  <c r="BD114" i="1" s="1"/>
  <c r="CJ1094" i="1"/>
  <c r="BD1094" i="1" s="1"/>
  <c r="CJ126" i="1"/>
  <c r="BD126" i="1" s="1"/>
  <c r="CJ823" i="1"/>
  <c r="BD823" i="1" s="1"/>
  <c r="CJ313" i="1"/>
  <c r="BD313" i="1" s="1"/>
  <c r="CJ1035" i="1"/>
  <c r="BD1035" i="1" s="1"/>
  <c r="CJ24" i="1"/>
  <c r="BD24" i="1" s="1"/>
  <c r="CJ687" i="1"/>
  <c r="BD687" i="1" s="1"/>
  <c r="CJ669" i="1"/>
  <c r="BD669" i="1" s="1"/>
  <c r="BE669" i="1" s="1"/>
  <c r="CJ11" i="1"/>
  <c r="BD11" i="1" s="1"/>
  <c r="CJ420" i="1"/>
  <c r="BD420" i="1" s="1"/>
  <c r="CJ1034" i="1"/>
  <c r="BD1034" i="1" s="1"/>
  <c r="CJ285" i="1"/>
  <c r="BD285" i="1" s="1"/>
  <c r="CJ361" i="1"/>
  <c r="BD361" i="1" s="1"/>
  <c r="CJ617" i="1"/>
  <c r="BD617" i="1" s="1"/>
  <c r="CJ165" i="1"/>
  <c r="BD165" i="1" s="1"/>
  <c r="BE165" i="1" s="1"/>
  <c r="CJ582" i="1"/>
  <c r="BD582" i="1" s="1"/>
  <c r="CJ1027" i="1"/>
  <c r="BD1027" i="1" s="1"/>
  <c r="CJ502" i="1"/>
  <c r="BD502" i="1" s="1"/>
  <c r="CJ760" i="1"/>
  <c r="BD760" i="1" s="1"/>
  <c r="CJ1073" i="1"/>
  <c r="BD1073" i="1" s="1"/>
  <c r="CJ701" i="1"/>
  <c r="BD701" i="1" s="1"/>
  <c r="CJ1075" i="1"/>
  <c r="BD1075" i="1" s="1"/>
  <c r="CJ537" i="1"/>
  <c r="BD537" i="1" s="1"/>
  <c r="CJ223" i="1"/>
  <c r="BD223" i="1" s="1"/>
  <c r="CJ995" i="1"/>
  <c r="BD995" i="1" s="1"/>
  <c r="CJ174" i="1"/>
  <c r="BD174" i="1" s="1"/>
  <c r="CJ569" i="1"/>
  <c r="BD569" i="1" s="1"/>
  <c r="CJ719" i="1"/>
  <c r="BD719" i="1" s="1"/>
  <c r="CJ736" i="1"/>
  <c r="BD736" i="1" s="1"/>
  <c r="BE736" i="1" s="1"/>
  <c r="CJ1074" i="1"/>
  <c r="BD1074" i="1" s="1"/>
  <c r="CJ595" i="1"/>
  <c r="BD595" i="1" s="1"/>
  <c r="CJ915" i="1"/>
  <c r="BD915" i="1" s="1"/>
  <c r="CJ237" i="1"/>
  <c r="BD237" i="1" s="1"/>
  <c r="CJ155" i="1"/>
  <c r="BD155" i="1" s="1"/>
  <c r="CJ273" i="1"/>
  <c r="BD273" i="1" s="1"/>
  <c r="CJ340" i="1"/>
  <c r="BD340" i="1" s="1"/>
  <c r="CJ377" i="1"/>
  <c r="BD377" i="1" s="1"/>
  <c r="CJ334" i="1"/>
  <c r="BD334" i="1" s="1"/>
  <c r="CJ653" i="1"/>
  <c r="BD653" i="1" s="1"/>
  <c r="BE653" i="1" s="1"/>
  <c r="CJ899" i="1"/>
  <c r="BD899" i="1" s="1"/>
  <c r="CJ35" i="1"/>
  <c r="BD35" i="1" s="1"/>
  <c r="CJ464" i="1"/>
  <c r="BD464" i="1" s="1"/>
  <c r="CJ665" i="1"/>
  <c r="BD665" i="1" s="1"/>
  <c r="BE665" i="1" s="1"/>
  <c r="CJ697" i="1"/>
  <c r="BD697" i="1" s="1"/>
  <c r="BE697" i="1" s="1"/>
  <c r="CJ677" i="1"/>
  <c r="BD677" i="1" s="1"/>
  <c r="BE677" i="1" s="1"/>
  <c r="CJ134" i="1"/>
  <c r="BD134" i="1" s="1"/>
  <c r="CJ301" i="1"/>
  <c r="BD301" i="1" s="1"/>
  <c r="CJ382" i="1"/>
  <c r="BD382" i="1" s="1"/>
  <c r="CJ54" i="1"/>
  <c r="BD54" i="1" s="1"/>
  <c r="CJ295" i="1"/>
  <c r="BD295" i="1" s="1"/>
  <c r="CJ975" i="1"/>
  <c r="BD975" i="1" s="1"/>
  <c r="CJ319" i="1"/>
  <c r="BD319" i="1" s="1"/>
  <c r="CJ80" i="1"/>
  <c r="BD80" i="1" s="1"/>
  <c r="CJ928" i="1"/>
  <c r="BD928" i="1" s="1"/>
  <c r="CJ1145" i="1"/>
  <c r="BD1145" i="1" s="1"/>
  <c r="CJ72" i="1"/>
  <c r="BD72" i="1" s="1"/>
  <c r="CJ625" i="1"/>
  <c r="BD625" i="1" s="1"/>
  <c r="BE625" i="1" s="1"/>
  <c r="CJ148" i="1"/>
  <c r="BD148" i="1" s="1"/>
  <c r="CJ1008" i="1"/>
  <c r="BD1008" i="1" s="1"/>
  <c r="CJ312" i="1"/>
  <c r="BD312" i="1" s="1"/>
  <c r="CJ373" i="1"/>
  <c r="BD373" i="1" s="1"/>
  <c r="CJ808" i="1"/>
  <c r="BD808" i="1" s="1"/>
  <c r="CJ634" i="1"/>
  <c r="BD634" i="1" s="1"/>
  <c r="BE634" i="1" s="1"/>
  <c r="CJ1039" i="1"/>
  <c r="BD1039" i="1" s="1"/>
  <c r="CJ1098" i="1"/>
  <c r="BD1098" i="1" s="1"/>
  <c r="CJ58" i="1"/>
  <c r="BD58" i="1" s="1"/>
  <c r="CJ934" i="1"/>
  <c r="BD934" i="1" s="1"/>
  <c r="CJ118" i="1"/>
  <c r="BD118" i="1" s="1"/>
  <c r="CJ199" i="1"/>
  <c r="BD199" i="1" s="1"/>
  <c r="CJ23" i="1"/>
  <c r="BD23" i="1" s="1"/>
  <c r="CJ788" i="1"/>
  <c r="BD788" i="1" s="1"/>
  <c r="CJ630" i="1"/>
  <c r="BD630" i="1" s="1"/>
  <c r="BE630" i="1" s="1"/>
  <c r="CJ329" i="1"/>
  <c r="BD329" i="1" s="1"/>
  <c r="CJ598" i="1"/>
  <c r="BD598" i="1" s="1"/>
  <c r="CJ445" i="1"/>
  <c r="BD445" i="1" s="1"/>
  <c r="CJ221" i="1"/>
  <c r="BD221" i="1" s="1"/>
  <c r="CJ209" i="1"/>
  <c r="BD209" i="1" s="1"/>
  <c r="CJ51" i="1"/>
  <c r="BD51" i="1" s="1"/>
  <c r="CJ831" i="1"/>
  <c r="BD831" i="1" s="1"/>
  <c r="CJ752" i="1"/>
  <c r="BD752" i="1" s="1"/>
  <c r="CJ110" i="1"/>
  <c r="BD110" i="1" s="1"/>
  <c r="CJ1101" i="1"/>
  <c r="BD1101" i="1" s="1"/>
  <c r="CJ1114" i="1"/>
  <c r="BD1114" i="1" s="1"/>
  <c r="CJ25" i="1"/>
  <c r="BD25" i="1" s="1"/>
  <c r="CJ522" i="1"/>
  <c r="BD522" i="1" s="1"/>
  <c r="CJ83" i="1"/>
  <c r="BD83" i="1" s="1"/>
  <c r="CJ1030" i="1"/>
  <c r="BD1030" i="1" s="1"/>
  <c r="CJ257" i="1"/>
  <c r="BD257" i="1" s="1"/>
  <c r="CJ631" i="1"/>
  <c r="BD631" i="1" s="1"/>
  <c r="CJ353" i="1"/>
  <c r="BD353" i="1" s="1"/>
  <c r="CJ991" i="1"/>
  <c r="BD991" i="1" s="1"/>
  <c r="CJ778" i="1"/>
  <c r="BD778" i="1" s="1"/>
  <c r="BE778" i="1" s="1"/>
  <c r="CJ740" i="1"/>
  <c r="BD740" i="1" s="1"/>
  <c r="CJ433" i="1"/>
  <c r="BD433" i="1" s="1"/>
  <c r="CJ591" i="1"/>
  <c r="BD591" i="1" s="1"/>
  <c r="CJ66" i="1"/>
  <c r="BD66" i="1" s="1"/>
  <c r="CJ489" i="1"/>
  <c r="BD489" i="1" s="1"/>
  <c r="CJ980" i="1"/>
  <c r="BD980" i="1" s="1"/>
  <c r="CJ695" i="1"/>
  <c r="BD695" i="1" s="1"/>
  <c r="CJ70" i="1"/>
  <c r="BD70" i="1" s="1"/>
  <c r="CJ879" i="1"/>
  <c r="BD879" i="1" s="1"/>
  <c r="CJ547" i="1"/>
  <c r="BD547" i="1" s="1"/>
  <c r="CJ418" i="1"/>
  <c r="BD418" i="1" s="1"/>
  <c r="CJ430" i="1"/>
  <c r="BD430" i="1" s="1"/>
  <c r="CJ444" i="1"/>
  <c r="BD444" i="1" s="1"/>
  <c r="CJ413" i="1"/>
  <c r="BD413" i="1" s="1"/>
  <c r="CJ87" i="1"/>
  <c r="BD87" i="1" s="1"/>
  <c r="CJ921" i="1"/>
  <c r="BD921" i="1" s="1"/>
  <c r="CJ475" i="1"/>
  <c r="BD475" i="1" s="1"/>
  <c r="CJ1065" i="1"/>
  <c r="BD1065" i="1" s="1"/>
  <c r="CJ1105" i="1"/>
  <c r="BD1105" i="1" s="1"/>
  <c r="BE1105" i="1" s="1"/>
  <c r="CJ458" i="1"/>
  <c r="BD458" i="1" s="1"/>
  <c r="CJ253" i="1"/>
  <c r="BD253" i="1" s="1"/>
  <c r="CJ478" i="1"/>
  <c r="BD478" i="1" s="1"/>
  <c r="CJ764" i="1"/>
  <c r="BD764" i="1" s="1"/>
  <c r="CJ366" i="1"/>
  <c r="BD366" i="1" s="1"/>
  <c r="CJ742" i="1"/>
  <c r="BD742" i="1" s="1"/>
  <c r="CJ106" i="1"/>
  <c r="BD106" i="1" s="1"/>
  <c r="CJ1112" i="1"/>
  <c r="BD1112" i="1" s="1"/>
  <c r="BE1112" i="1" s="1"/>
  <c r="CJ816" i="1"/>
  <c r="BD816" i="1" s="1"/>
  <c r="BE816" i="1" s="1"/>
  <c r="CJ803" i="1"/>
  <c r="BD803" i="1" s="1"/>
  <c r="CJ1163" i="1"/>
  <c r="BD1163" i="1" s="1"/>
  <c r="CJ153" i="1"/>
  <c r="BD153" i="1" s="1"/>
  <c r="CJ103" i="1"/>
  <c r="BD103" i="1" s="1"/>
  <c r="CJ1082" i="1"/>
  <c r="BD1082" i="1" s="1"/>
  <c r="BE1082" i="1" s="1"/>
  <c r="CJ111" i="1"/>
  <c r="BD111" i="1" s="1"/>
  <c r="CJ768" i="1"/>
  <c r="BD768" i="1" s="1"/>
  <c r="CJ261" i="1"/>
  <c r="BD261" i="1" s="1"/>
  <c r="CJ398" i="1"/>
  <c r="BD398" i="1" s="1"/>
  <c r="CJ490" i="1"/>
  <c r="BD490" i="1" s="1"/>
  <c r="CJ1147" i="1"/>
  <c r="BD1147" i="1" s="1"/>
  <c r="CJ127" i="1"/>
  <c r="BD127" i="1" s="1"/>
  <c r="CJ1080" i="1"/>
  <c r="BD1080" i="1" s="1"/>
  <c r="CJ283" i="1"/>
  <c r="BD283" i="1" s="1"/>
  <c r="CJ737" i="1"/>
  <c r="BD737" i="1" s="1"/>
  <c r="BE737" i="1" s="1"/>
  <c r="CJ735" i="1"/>
  <c r="BD735" i="1" s="1"/>
  <c r="BE735" i="1" s="1"/>
  <c r="CJ516" i="1"/>
  <c r="BD516" i="1" s="1"/>
  <c r="CJ1110" i="1"/>
  <c r="BD1110" i="1" s="1"/>
  <c r="BE1110" i="1" s="1"/>
  <c r="CJ912" i="1"/>
  <c r="BD912" i="1" s="1"/>
  <c r="CJ133" i="1"/>
  <c r="BD133" i="1" s="1"/>
  <c r="CJ74" i="1"/>
  <c r="BD74" i="1" s="1"/>
  <c r="CJ28" i="1"/>
  <c r="BD28" i="1" s="1"/>
  <c r="CJ1062" i="1"/>
  <c r="BD1062" i="1" s="1"/>
  <c r="CJ326" i="1"/>
  <c r="BD326" i="1" s="1"/>
  <c r="CJ945" i="1"/>
  <c r="BD945" i="1" s="1"/>
  <c r="CJ325" i="1"/>
  <c r="BD325" i="1" s="1"/>
  <c r="CJ562" i="1"/>
  <c r="BD562" i="1" s="1"/>
  <c r="CJ554" i="1"/>
  <c r="BD554" i="1" s="1"/>
  <c r="CJ1005" i="1"/>
  <c r="BD1005" i="1" s="1"/>
  <c r="CJ248" i="1"/>
  <c r="BD248" i="1" s="1"/>
  <c r="CJ63" i="1"/>
  <c r="BD63" i="1" s="1"/>
  <c r="CJ576" i="1"/>
  <c r="BD576" i="1" s="1"/>
  <c r="CJ122" i="1"/>
  <c r="BD122" i="1" s="1"/>
  <c r="CJ952" i="1"/>
  <c r="BD952" i="1" s="1"/>
  <c r="CJ647" i="1"/>
  <c r="BD647" i="1" s="1"/>
  <c r="BE647" i="1" s="1"/>
  <c r="CJ1199" i="1"/>
  <c r="BD1199" i="1" s="1"/>
  <c r="BE1199" i="1" s="1"/>
  <c r="CJ387" i="1"/>
  <c r="BD387" i="1" s="1"/>
  <c r="CJ611" i="1"/>
  <c r="BD611" i="1" s="1"/>
  <c r="BE611" i="1" s="1"/>
  <c r="CJ714" i="1"/>
  <c r="BD714" i="1" s="1"/>
  <c r="CJ1046" i="1"/>
  <c r="BD1046" i="1" s="1"/>
  <c r="CJ107" i="1"/>
  <c r="BD107" i="1" s="1"/>
  <c r="CJ318" i="1"/>
  <c r="BD318" i="1" s="1"/>
  <c r="CJ16" i="1"/>
  <c r="BD16" i="1" s="1"/>
  <c r="CJ15" i="1"/>
  <c r="BD15" i="1" s="1"/>
  <c r="CJ925" i="1"/>
  <c r="BD925" i="1" s="1"/>
  <c r="CJ1024" i="1"/>
  <c r="BD1024" i="1" s="1"/>
  <c r="CJ169" i="1"/>
  <c r="BD169" i="1" s="1"/>
  <c r="CJ120" i="1"/>
  <c r="BD120" i="1" s="1"/>
  <c r="CJ1067" i="1"/>
  <c r="BD1067" i="1" s="1"/>
  <c r="CJ865" i="1"/>
  <c r="BD865" i="1" s="1"/>
  <c r="CJ1115" i="1"/>
  <c r="BD1115" i="1" s="1"/>
  <c r="BE1115" i="1" s="1"/>
  <c r="CJ462" i="1"/>
  <c r="BD462" i="1" s="1"/>
  <c r="CJ678" i="1"/>
  <c r="BD678" i="1" s="1"/>
  <c r="BE678" i="1" s="1"/>
  <c r="CJ67" i="1"/>
  <c r="BD67" i="1" s="1"/>
  <c r="CJ381" i="1"/>
  <c r="BD381" i="1" s="1"/>
  <c r="CJ154" i="1"/>
  <c r="BD154" i="1" s="1"/>
  <c r="CJ786" i="1"/>
  <c r="BD786" i="1" s="1"/>
  <c r="CJ496" i="1"/>
  <c r="BD496" i="1" s="1"/>
  <c r="CJ715" i="1"/>
  <c r="BD715" i="1" s="1"/>
  <c r="CJ182" i="1"/>
  <c r="BD182" i="1" s="1"/>
  <c r="CJ572" i="1"/>
  <c r="BD572" i="1" s="1"/>
  <c r="CJ465" i="1"/>
  <c r="BD465" i="1" s="1"/>
  <c r="CJ435" i="1"/>
  <c r="BD435" i="1" s="1"/>
  <c r="CJ450" i="1"/>
  <c r="BD450" i="1" s="1"/>
  <c r="CJ494" i="1"/>
  <c r="BD494" i="1" s="1"/>
  <c r="CJ437" i="1"/>
  <c r="BD437" i="1" s="1"/>
  <c r="CJ800" i="1"/>
  <c r="BD800" i="1" s="1"/>
  <c r="CJ22" i="1"/>
  <c r="BD22" i="1" s="1"/>
  <c r="CJ441" i="1"/>
  <c r="BD441" i="1" s="1"/>
  <c r="CJ136" i="1"/>
  <c r="BD136" i="1" s="1"/>
  <c r="CJ119" i="1"/>
  <c r="BD119" i="1" s="1"/>
  <c r="CJ93" i="1"/>
  <c r="BD93" i="1" s="1"/>
  <c r="CJ1003" i="1"/>
  <c r="BD1003" i="1" s="1"/>
  <c r="CJ1056" i="1"/>
  <c r="BD1056" i="1" s="1"/>
  <c r="CJ31" i="1"/>
  <c r="BD31" i="1" s="1"/>
  <c r="CJ438" i="1"/>
  <c r="BD438" i="1" s="1"/>
  <c r="CJ763" i="1"/>
  <c r="BD763" i="1" s="1"/>
  <c r="CJ115" i="1"/>
  <c r="BD115" i="1" s="1"/>
  <c r="CJ1139" i="1"/>
  <c r="BD1139" i="1" s="1"/>
  <c r="CJ957" i="1"/>
  <c r="BD957" i="1" s="1"/>
  <c r="CJ461" i="1"/>
  <c r="BD461" i="1" s="1"/>
  <c r="CJ629" i="1"/>
  <c r="BD629" i="1" s="1"/>
  <c r="BE629" i="1" s="1"/>
  <c r="CJ240" i="1"/>
  <c r="BD240" i="1" s="1"/>
  <c r="CJ1072" i="1"/>
  <c r="BD1072" i="1" s="1"/>
  <c r="CJ94" i="1"/>
  <c r="BD94" i="1" s="1"/>
  <c r="CJ932" i="1"/>
  <c r="BD932" i="1" s="1"/>
  <c r="CJ286" i="1"/>
  <c r="BD286" i="1" s="1"/>
  <c r="CJ168" i="1"/>
  <c r="BD168" i="1" s="1"/>
  <c r="CJ451" i="1"/>
  <c r="BD451" i="1" s="1"/>
  <c r="CJ1023" i="1"/>
  <c r="BD1023" i="1" s="1"/>
  <c r="CJ287" i="1"/>
  <c r="BD287" i="1" s="1"/>
  <c r="CJ976" i="1"/>
  <c r="BD976" i="1" s="1"/>
  <c r="CJ688" i="1"/>
  <c r="BD688" i="1" s="1"/>
  <c r="BE688" i="1" s="1"/>
  <c r="CJ726" i="1"/>
  <c r="BD726" i="1" s="1"/>
  <c r="CJ1121" i="1"/>
  <c r="BD1121" i="1" s="1"/>
  <c r="BE1121" i="1" s="1"/>
  <c r="CJ1087" i="1"/>
  <c r="BD1087" i="1" s="1"/>
  <c r="BE1087" i="1" s="1"/>
  <c r="CJ856" i="1"/>
  <c r="BD856" i="1" s="1"/>
  <c r="CJ739" i="1"/>
  <c r="BD739" i="1" s="1"/>
  <c r="CJ354" i="1"/>
  <c r="BD354" i="1" s="1"/>
  <c r="CJ49" i="1"/>
  <c r="BD49" i="1" s="1"/>
  <c r="CJ291" i="1"/>
  <c r="BD291" i="1" s="1"/>
  <c r="CJ1144" i="1"/>
  <c r="BD1144" i="1" s="1"/>
  <c r="CJ982" i="1"/>
  <c r="BD982" i="1" s="1"/>
  <c r="BE982" i="1" s="1"/>
  <c r="CJ196" i="1"/>
  <c r="BD196" i="1" s="1"/>
  <c r="CJ1049" i="1"/>
  <c r="BD1049" i="1" s="1"/>
  <c r="CJ791" i="1"/>
  <c r="BD791" i="1" s="1"/>
  <c r="CJ142" i="1"/>
  <c r="BD142" i="1" s="1"/>
  <c r="CJ833" i="1"/>
  <c r="BD833" i="1" s="1"/>
  <c r="CJ850" i="1"/>
  <c r="BD850" i="1" s="1"/>
  <c r="CJ201" i="1"/>
  <c r="BD201" i="1" s="1"/>
  <c r="CJ790" i="1"/>
  <c r="BD790" i="1" s="1"/>
  <c r="CJ1190" i="1"/>
  <c r="BD1190" i="1" s="1"/>
  <c r="BE1190" i="1" s="1"/>
  <c r="CJ801" i="1"/>
  <c r="BD801" i="1" s="1"/>
  <c r="CJ1009" i="1"/>
  <c r="BD1009" i="1" s="1"/>
  <c r="CJ422" i="1"/>
  <c r="BD422" i="1" s="1"/>
  <c r="CJ671" i="1"/>
  <c r="BD671" i="1" s="1"/>
  <c r="BE671" i="1" s="1"/>
  <c r="CJ509" i="1"/>
  <c r="BD509" i="1" s="1"/>
  <c r="CJ703" i="1"/>
  <c r="BD703" i="1" s="1"/>
  <c r="BE703" i="1" s="1"/>
  <c r="CJ1158" i="1"/>
  <c r="BD1158" i="1" s="1"/>
  <c r="CJ775" i="1"/>
  <c r="BD775" i="1" s="1"/>
  <c r="CJ149" i="1"/>
  <c r="BD149" i="1" s="1"/>
  <c r="CJ683" i="1"/>
  <c r="BD683" i="1" s="1"/>
  <c r="CJ431" i="1"/>
  <c r="BD431" i="1" s="1"/>
  <c r="CJ884" i="1"/>
  <c r="BD884" i="1" s="1"/>
  <c r="CJ200" i="1"/>
  <c r="BD200" i="1" s="1"/>
  <c r="CJ960" i="1"/>
  <c r="BD960" i="1" s="1"/>
  <c r="CJ1088" i="1"/>
  <c r="BD1088" i="1" s="1"/>
  <c r="BE1088" i="1" s="1"/>
  <c r="CJ985" i="1"/>
  <c r="BD985" i="1" s="1"/>
  <c r="BE985" i="1" s="1"/>
  <c r="CJ503" i="1"/>
  <c r="BD503" i="1" s="1"/>
  <c r="CJ406" i="1"/>
  <c r="BD406" i="1" s="1"/>
  <c r="CJ607" i="1"/>
  <c r="BD607" i="1" s="1"/>
  <c r="BE607" i="1" s="1"/>
  <c r="CJ639" i="1"/>
  <c r="BD639" i="1" s="1"/>
  <c r="BE639" i="1" s="1"/>
  <c r="CJ132" i="1"/>
  <c r="BD132" i="1" s="1"/>
  <c r="CJ1106" i="1"/>
  <c r="BD1106" i="1" s="1"/>
  <c r="BE1106" i="1" s="1"/>
  <c r="CJ635" i="1"/>
  <c r="BD635" i="1" s="1"/>
  <c r="BE635" i="1" s="1"/>
  <c r="CJ186" i="1"/>
  <c r="BD186" i="1" s="1"/>
  <c r="CJ974" i="1"/>
  <c r="BD974" i="1" s="1"/>
  <c r="CJ908" i="1"/>
  <c r="BD908" i="1" s="1"/>
  <c r="CJ259" i="1"/>
  <c r="BD259" i="1" s="1"/>
  <c r="CJ404" i="1"/>
  <c r="BD404" i="1" s="1"/>
  <c r="CJ1166" i="1"/>
  <c r="BD1166" i="1" s="1"/>
  <c r="CJ124" i="1"/>
  <c r="BD124" i="1" s="1"/>
  <c r="CJ231" i="1"/>
  <c r="BD231" i="1" s="1"/>
  <c r="CJ145" i="1"/>
  <c r="BD145" i="1" s="1"/>
  <c r="CJ101" i="1"/>
  <c r="BD101" i="1" s="1"/>
  <c r="CJ399" i="1"/>
  <c r="BD399" i="1" s="1"/>
  <c r="CJ661" i="1"/>
  <c r="BD661" i="1" s="1"/>
  <c r="BE661" i="1" s="1"/>
  <c r="CJ474" i="1"/>
  <c r="BD474" i="1" s="1"/>
  <c r="CJ1153" i="1"/>
  <c r="BD1153" i="1" s="1"/>
  <c r="CJ902" i="1"/>
  <c r="BD902" i="1" s="1"/>
  <c r="BE902" i="1" s="1"/>
  <c r="CJ323" i="1"/>
  <c r="BD323" i="1" s="1"/>
  <c r="CJ293" i="1"/>
  <c r="BD293" i="1" s="1"/>
  <c r="CJ417" i="1"/>
  <c r="BD417" i="1" s="1"/>
  <c r="CJ538" i="1"/>
  <c r="BD538" i="1" s="1"/>
  <c r="CJ1138" i="1"/>
  <c r="BD1138" i="1" s="1"/>
  <c r="CJ239" i="1"/>
  <c r="BD239" i="1" s="1"/>
  <c r="CJ626" i="1"/>
  <c r="BD626" i="1" s="1"/>
  <c r="BE626" i="1" s="1"/>
  <c r="CJ500" i="1"/>
  <c r="BD500" i="1" s="1"/>
  <c r="CJ396" i="1"/>
  <c r="BD396" i="1" s="1"/>
  <c r="CJ1183" i="1"/>
  <c r="BD1183" i="1" s="1"/>
  <c r="CJ429" i="1"/>
  <c r="BD429" i="1" s="1"/>
  <c r="CJ42" i="1"/>
  <c r="BD42" i="1" s="1"/>
  <c r="CJ564" i="1"/>
  <c r="BD564" i="1" s="1"/>
  <c r="CJ357" i="1"/>
  <c r="BD357" i="1" s="1"/>
  <c r="CJ85" i="1"/>
  <c r="BD85" i="1" s="1"/>
  <c r="CJ395" i="1"/>
  <c r="BD395" i="1" s="1"/>
  <c r="CJ725" i="1"/>
  <c r="BD725" i="1" s="1"/>
  <c r="CJ592" i="1"/>
  <c r="BD592" i="1" s="1"/>
  <c r="CJ663" i="1"/>
  <c r="BD663" i="1" s="1"/>
  <c r="BE663" i="1" s="1"/>
  <c r="CJ436" i="1"/>
  <c r="BD436" i="1" s="1"/>
  <c r="CJ279" i="1"/>
  <c r="BD279" i="1" s="1"/>
  <c r="CJ871" i="1"/>
  <c r="BD871" i="1" s="1"/>
  <c r="BE871" i="1" s="1"/>
  <c r="CJ47" i="1"/>
  <c r="BD47" i="1" s="1"/>
  <c r="CJ544" i="1"/>
  <c r="BD544" i="1" s="1"/>
  <c r="CJ651" i="1"/>
  <c r="BD651" i="1" s="1"/>
  <c r="BE651" i="1" s="1"/>
  <c r="CJ1146" i="1"/>
  <c r="BD1146" i="1" s="1"/>
  <c r="CJ411" i="1"/>
  <c r="BD411" i="1" s="1"/>
  <c r="CJ468" i="1"/>
  <c r="BD468" i="1" s="1"/>
  <c r="CJ91" i="1"/>
  <c r="BD91" i="1" s="1"/>
  <c r="CJ403" i="1"/>
  <c r="BD403" i="1" s="1"/>
  <c r="CJ391" i="1"/>
  <c r="BD391" i="1" s="1"/>
  <c r="CJ641" i="1"/>
  <c r="BD641" i="1" s="1"/>
  <c r="BE641" i="1" s="1"/>
  <c r="CJ156" i="1"/>
  <c r="BD156" i="1" s="1"/>
  <c r="CJ774" i="1"/>
  <c r="BD774" i="1" s="1"/>
  <c r="CJ973" i="1"/>
  <c r="BD973" i="1" s="1"/>
  <c r="CJ710" i="1"/>
  <c r="BD710" i="1" s="1"/>
  <c r="CJ425" i="1"/>
  <c r="BD425" i="1" s="1"/>
  <c r="CJ1058" i="1"/>
  <c r="BD1058" i="1" s="1"/>
  <c r="CJ517" i="1"/>
  <c r="BD517" i="1" s="1"/>
  <c r="CJ532" i="1"/>
  <c r="BD532" i="1" s="1"/>
  <c r="CJ1026" i="1"/>
  <c r="BD1026" i="1" s="1"/>
  <c r="CJ1038" i="1"/>
  <c r="BD1038" i="1" s="1"/>
  <c r="CJ700" i="1"/>
  <c r="BD700" i="1" s="1"/>
  <c r="CJ310" i="1"/>
  <c r="BD310" i="1" s="1"/>
  <c r="CJ664" i="1"/>
  <c r="BD664" i="1" s="1"/>
  <c r="BE664" i="1" s="1"/>
  <c r="CJ64" i="1"/>
  <c r="BD64" i="1" s="1"/>
  <c r="CJ682" i="1"/>
  <c r="BD682" i="1" s="1"/>
  <c r="CJ534" i="1"/>
  <c r="BD534" i="1" s="1"/>
  <c r="CJ866" i="1"/>
  <c r="BD866" i="1" s="1"/>
  <c r="CJ886" i="1"/>
  <c r="BD886" i="1" s="1"/>
  <c r="CJ409" i="1"/>
  <c r="BD409" i="1" s="1"/>
  <c r="CJ386" i="1"/>
  <c r="BD386" i="1" s="1"/>
  <c r="CJ555" i="1"/>
  <c r="BD555" i="1" s="1"/>
  <c r="CJ514" i="1"/>
  <c r="BD514" i="1" s="1"/>
  <c r="CJ397" i="1"/>
  <c r="BD397" i="1" s="1"/>
  <c r="CJ655" i="1"/>
  <c r="BD655" i="1" s="1"/>
  <c r="BE655" i="1" s="1"/>
  <c r="CJ746" i="1"/>
  <c r="BD746" i="1" s="1"/>
  <c r="CJ707" i="1"/>
  <c r="BD707" i="1" s="1"/>
  <c r="CJ1137" i="1"/>
  <c r="BD1137" i="1" s="1"/>
  <c r="CJ1108" i="1"/>
  <c r="BD1108" i="1" s="1"/>
  <c r="BE1108" i="1" s="1"/>
  <c r="CJ315" i="1"/>
  <c r="BD315" i="1" s="1"/>
  <c r="CJ1037" i="1"/>
  <c r="BD1037" i="1" s="1"/>
  <c r="CJ343" i="1"/>
  <c r="BD343" i="1" s="1"/>
  <c r="CJ616" i="1"/>
  <c r="BD616" i="1" s="1"/>
  <c r="CJ364" i="1"/>
  <c r="BD364" i="1" s="1"/>
  <c r="CJ939" i="1"/>
  <c r="BD939" i="1" s="1"/>
  <c r="BE939" i="1" s="1"/>
  <c r="CJ172" i="1"/>
  <c r="BD172" i="1" s="1"/>
  <c r="CJ946" i="1"/>
  <c r="BD946" i="1" s="1"/>
  <c r="CJ205" i="1"/>
  <c r="BD205" i="1" s="1"/>
  <c r="CJ1050" i="1"/>
  <c r="BD1050" i="1" s="1"/>
  <c r="CJ414" i="1"/>
  <c r="BD414" i="1" s="1"/>
  <c r="CJ32" i="1"/>
  <c r="BD32" i="1" s="1"/>
  <c r="CJ586" i="1"/>
  <c r="BD586" i="1" s="1"/>
  <c r="CJ385" i="1"/>
  <c r="BD385" i="1" s="1"/>
  <c r="CJ693" i="1"/>
  <c r="BD693" i="1" s="1"/>
  <c r="CJ848" i="1"/>
  <c r="BD848" i="1" s="1"/>
  <c r="CJ426" i="1"/>
  <c r="BD426" i="1" s="1"/>
  <c r="CJ780" i="1"/>
  <c r="BD780" i="1" s="1"/>
  <c r="BE780" i="1" s="1"/>
  <c r="CJ574" i="1"/>
  <c r="BD574" i="1" s="1"/>
  <c r="CJ551" i="1"/>
  <c r="BD551" i="1" s="1"/>
  <c r="CJ345" i="1"/>
  <c r="BD345" i="1" s="1"/>
  <c r="CJ589" i="1"/>
  <c r="BD589" i="1" s="1"/>
  <c r="CJ90" i="1"/>
  <c r="BD90" i="1" s="1"/>
  <c r="CJ628" i="1"/>
  <c r="BD628" i="1" s="1"/>
  <c r="BE628" i="1" s="1"/>
  <c r="CJ891" i="1"/>
  <c r="BD891" i="1" s="1"/>
  <c r="CJ228" i="1"/>
  <c r="BD228" i="1" s="1"/>
  <c r="CJ358" i="1"/>
  <c r="BD358" i="1" s="1"/>
  <c r="CJ807" i="1"/>
  <c r="BD807" i="1" s="1"/>
  <c r="CJ383" i="1"/>
  <c r="BD383" i="1" s="1"/>
  <c r="CJ102" i="1"/>
  <c r="BD102" i="1" s="1"/>
  <c r="CJ336" i="1"/>
  <c r="BD336" i="1" s="1"/>
  <c r="CJ518" i="1"/>
  <c r="BD518" i="1" s="1"/>
  <c r="CJ720" i="1"/>
  <c r="BD720" i="1" s="1"/>
  <c r="CJ951" i="1"/>
  <c r="BD951" i="1" s="1"/>
  <c r="CJ694" i="1"/>
  <c r="BD694" i="1" s="1"/>
  <c r="CJ508" i="1"/>
  <c r="BD508" i="1" s="1"/>
  <c r="BE3" i="1"/>
  <c r="CJ278" i="1"/>
  <c r="BD278" i="1" s="1"/>
  <c r="CJ12" i="1"/>
  <c r="BD12" i="1" s="1"/>
  <c r="CJ640" i="1"/>
  <c r="BD640" i="1" s="1"/>
  <c r="BE640" i="1" s="1"/>
  <c r="CJ1187" i="1"/>
  <c r="BD1187" i="1" s="1"/>
  <c r="BE1187" i="1" s="1"/>
  <c r="CJ1186" i="1"/>
  <c r="BD1186" i="1" s="1"/>
  <c r="CJ769" i="1"/>
  <c r="BD769" i="1" s="1"/>
  <c r="CJ619" i="1"/>
  <c r="BD619" i="1" s="1"/>
  <c r="CJ947" i="1"/>
  <c r="BD947" i="1" s="1"/>
  <c r="CJ660" i="1"/>
  <c r="BD660" i="1" s="1"/>
  <c r="BE660" i="1" s="1"/>
  <c r="CJ1040" i="1"/>
  <c r="BD1040" i="1" s="1"/>
  <c r="CJ1171" i="1"/>
  <c r="BD1171" i="1" s="1"/>
  <c r="CJ19" i="1"/>
  <c r="BD19" i="1" s="1"/>
  <c r="CJ483" i="1"/>
  <c r="BD483" i="1" s="1"/>
  <c r="CJ806" i="1"/>
  <c r="BD806" i="1" s="1"/>
  <c r="CJ241" i="1"/>
  <c r="BD241" i="1" s="1"/>
  <c r="CJ931" i="1"/>
  <c r="BD931" i="1" s="1"/>
  <c r="CJ244" i="1"/>
  <c r="BD244" i="1" s="1"/>
  <c r="CJ492" i="1"/>
  <c r="BD492" i="1" s="1"/>
  <c r="CJ346" i="1"/>
  <c r="BD346" i="1" s="1"/>
  <c r="CJ212" i="1"/>
  <c r="BD212" i="1" s="1"/>
  <c r="CJ556" i="1"/>
  <c r="BD556" i="1" s="1"/>
  <c r="CJ56" i="1"/>
  <c r="BD56" i="1" s="1"/>
  <c r="CJ813" i="1"/>
  <c r="BD813" i="1" s="1"/>
  <c r="CJ758" i="1"/>
  <c r="BD758" i="1" s="1"/>
  <c r="CJ539" i="1"/>
  <c r="BD539" i="1" s="1"/>
  <c r="CJ981" i="1"/>
  <c r="BD981" i="1" s="1"/>
  <c r="CJ432" i="1"/>
  <c r="BD432" i="1" s="1"/>
  <c r="CJ268" i="1"/>
  <c r="BD268" i="1" s="1"/>
  <c r="CJ256" i="1"/>
  <c r="BD256" i="1" s="1"/>
  <c r="CJ242" i="1"/>
  <c r="BD242" i="1" s="1"/>
  <c r="CJ251" i="1"/>
  <c r="BD251" i="1" s="1"/>
  <c r="AD1284" i="1"/>
  <c r="AE1284" i="1" s="1"/>
  <c r="AD1286" i="1"/>
  <c r="AE1286" i="1" s="1"/>
  <c r="CJ712" i="1"/>
  <c r="BD712" i="1" s="1"/>
  <c r="CJ370" i="1"/>
  <c r="BD370" i="1" s="1"/>
  <c r="CJ179" i="1"/>
  <c r="BD179" i="1" s="1"/>
  <c r="CJ520" i="1"/>
  <c r="BD520" i="1" s="1"/>
  <c r="CJ232" i="1"/>
  <c r="BD232" i="1" s="1"/>
  <c r="CJ706" i="1"/>
  <c r="BD706" i="1" s="1"/>
  <c r="CJ753" i="1"/>
  <c r="BD753" i="1" s="1"/>
  <c r="CJ376" i="1"/>
  <c r="BD376" i="1" s="1"/>
  <c r="CJ203" i="1"/>
  <c r="BD203" i="1" s="1"/>
  <c r="CJ590" i="1"/>
  <c r="BD590" i="1" s="1"/>
  <c r="CJ1178" i="1"/>
  <c r="BD1178" i="1" s="1"/>
  <c r="CJ476" i="1"/>
  <c r="BD476" i="1" s="1"/>
  <c r="CJ961" i="1"/>
  <c r="BD961" i="1" s="1"/>
  <c r="CJ587" i="1"/>
  <c r="BD587" i="1" s="1"/>
  <c r="CJ191" i="1"/>
  <c r="BD191" i="1" s="1"/>
  <c r="CJ197" i="1"/>
  <c r="BD197" i="1" s="1"/>
  <c r="CJ252" i="1"/>
  <c r="BD252" i="1" s="1"/>
  <c r="CJ658" i="1"/>
  <c r="BD658" i="1" s="1"/>
  <c r="CJ584" i="1"/>
  <c r="BD584" i="1" s="1"/>
  <c r="CJ193" i="1"/>
  <c r="BD193" i="1" s="1"/>
  <c r="CJ594" i="1"/>
  <c r="BD594" i="1" s="1"/>
  <c r="CJ820" i="1"/>
  <c r="BD820" i="1" s="1"/>
  <c r="CJ1172" i="1"/>
  <c r="BD1172" i="1" s="1"/>
  <c r="CJ206" i="1"/>
  <c r="BD206" i="1" s="1"/>
  <c r="CJ1127" i="1"/>
  <c r="BD1127" i="1" s="1"/>
  <c r="CJ317" i="1"/>
  <c r="BD317" i="1" s="1"/>
  <c r="CJ255" i="1"/>
  <c r="BD255" i="1" s="1"/>
  <c r="CJ263" i="1"/>
  <c r="BD263" i="1" s="1"/>
  <c r="CJ805" i="1"/>
  <c r="BD805" i="1" s="1"/>
  <c r="CJ840" i="1"/>
  <c r="BD840" i="1" s="1"/>
  <c r="CJ62" i="1"/>
  <c r="BD62" i="1" s="1"/>
  <c r="CJ978" i="1"/>
  <c r="BD978" i="1" s="1"/>
  <c r="CJ1053" i="1"/>
  <c r="BD1053" i="1" s="1"/>
  <c r="CJ275" i="1"/>
  <c r="BD275" i="1" s="1"/>
  <c r="CJ415" i="1"/>
  <c r="BD415" i="1" s="1"/>
  <c r="CJ38" i="1"/>
  <c r="BD38" i="1" s="1"/>
  <c r="CJ1057" i="1"/>
  <c r="BD1057" i="1" s="1"/>
  <c r="CJ1149" i="1"/>
  <c r="BD1149" i="1" s="1"/>
  <c r="CJ314" i="1"/>
  <c r="BD314" i="1" s="1"/>
  <c r="CJ730" i="1"/>
  <c r="BD730" i="1" s="1"/>
  <c r="BE730" i="1" s="1"/>
  <c r="CJ609" i="1"/>
  <c r="BD609" i="1" s="1"/>
  <c r="CJ909" i="1"/>
  <c r="BD909" i="1" s="1"/>
  <c r="CJ55" i="1"/>
  <c r="BD55" i="1" s="1"/>
  <c r="CJ733" i="1"/>
  <c r="BD733" i="1" s="1"/>
  <c r="BE733" i="1" s="1"/>
  <c r="CJ698" i="1"/>
  <c r="BD698" i="1" s="1"/>
  <c r="BE698" i="1" s="1"/>
  <c r="CJ828" i="1"/>
  <c r="BD828" i="1" s="1"/>
  <c r="CJ839" i="1"/>
  <c r="BD839" i="1" s="1"/>
  <c r="CJ843" i="1"/>
  <c r="BD843" i="1" s="1"/>
  <c r="CJ721" i="1"/>
  <c r="BD721" i="1" s="1"/>
  <c r="CJ1202" i="1"/>
  <c r="BD1202" i="1" s="1"/>
  <c r="BE1202" i="1" s="1"/>
  <c r="CJ941" i="1"/>
  <c r="BD941" i="1" s="1"/>
  <c r="CJ814" i="1"/>
  <c r="BD814" i="1" s="1"/>
  <c r="CJ220" i="1"/>
  <c r="BD220" i="1" s="1"/>
  <c r="CJ844" i="1"/>
  <c r="BD844" i="1" s="1"/>
  <c r="CJ410" i="1"/>
  <c r="BD410" i="1" s="1"/>
  <c r="CJ189" i="1"/>
  <c r="BD189" i="1" s="1"/>
  <c r="CJ367" i="1"/>
  <c r="BD367" i="1" s="1"/>
  <c r="CJ1140" i="1"/>
  <c r="BD1140" i="1" s="1"/>
  <c r="CJ151" i="1"/>
  <c r="BD151" i="1" s="1"/>
  <c r="CJ480" i="1"/>
  <c r="BD480" i="1" s="1"/>
  <c r="CJ979" i="1"/>
  <c r="BD979" i="1" s="1"/>
  <c r="CJ792" i="1"/>
  <c r="BD792" i="1" s="1"/>
  <c r="BE792" i="1" s="1"/>
  <c r="CJ493" i="1"/>
  <c r="BD493" i="1" s="1"/>
  <c r="CJ1002" i="1"/>
  <c r="BD1002" i="1" s="1"/>
  <c r="CJ536" i="1"/>
  <c r="BD536" i="1" s="1"/>
  <c r="CJ192" i="1"/>
  <c r="BD192" i="1" s="1"/>
  <c r="CJ380" i="1"/>
  <c r="BD380" i="1" s="1"/>
  <c r="CJ690" i="1"/>
  <c r="BD690" i="1" s="1"/>
  <c r="BE690" i="1" s="1"/>
  <c r="CJ1061" i="1"/>
  <c r="BD1061" i="1" s="1"/>
  <c r="CJ292" i="1"/>
  <c r="BD292" i="1" s="1"/>
  <c r="CJ208" i="1"/>
  <c r="BD208" i="1" s="1"/>
  <c r="CJ676" i="1"/>
  <c r="BD676" i="1" s="1"/>
  <c r="BE676" i="1" s="1"/>
  <c r="CJ96" i="1"/>
  <c r="BD96" i="1" s="1"/>
  <c r="CJ92" i="1"/>
  <c r="BD92" i="1" s="1"/>
  <c r="CJ672" i="1"/>
  <c r="BD672" i="1" s="1"/>
  <c r="BE672" i="1" s="1"/>
  <c r="CJ646" i="1"/>
  <c r="BD646" i="1" s="1"/>
  <c r="BE646" i="1" s="1"/>
  <c r="CJ652" i="1"/>
  <c r="BD652" i="1" s="1"/>
  <c r="BE652" i="1" s="1"/>
  <c r="CJ519" i="1"/>
  <c r="BD519" i="1" s="1"/>
  <c r="CJ81" i="1"/>
  <c r="BD81" i="1" s="1"/>
  <c r="CJ785" i="1"/>
  <c r="BD785" i="1" s="1"/>
  <c r="CJ527" i="1"/>
  <c r="BD527" i="1" s="1"/>
  <c r="CJ821" i="1"/>
  <c r="BD821" i="1" s="1"/>
  <c r="CJ1150" i="1"/>
  <c r="BD1150" i="1" s="1"/>
  <c r="CJ328" i="1"/>
  <c r="BD328" i="1" s="1"/>
  <c r="CJ624" i="1"/>
  <c r="BD624" i="1" s="1"/>
  <c r="BE624" i="1" s="1"/>
  <c r="CJ342" i="1"/>
  <c r="BD342" i="1" s="1"/>
  <c r="CJ210" i="1"/>
  <c r="BD210" i="1" s="1"/>
  <c r="CJ528" i="1"/>
  <c r="BD528" i="1" s="1"/>
  <c r="CJ864" i="1"/>
  <c r="BD864" i="1" s="1"/>
  <c r="CJ1064" i="1"/>
  <c r="BD1064" i="1" s="1"/>
  <c r="CJ815" i="1"/>
  <c r="BD815" i="1" s="1"/>
  <c r="CJ472" i="1"/>
  <c r="BD472" i="1" s="1"/>
  <c r="CJ824" i="1"/>
  <c r="BD824" i="1" s="1"/>
  <c r="CJ543" i="1"/>
  <c r="BD543" i="1" s="1"/>
  <c r="CJ356" i="1"/>
  <c r="BD356" i="1" s="1"/>
  <c r="CJ1036" i="1"/>
  <c r="BD1036" i="1" s="1"/>
  <c r="CJ605" i="1"/>
  <c r="BD605" i="1" s="1"/>
  <c r="CJ393" i="1"/>
  <c r="BD393" i="1" s="1"/>
  <c r="CJ447" i="1"/>
  <c r="BD447" i="1" s="1"/>
  <c r="CJ53" i="1"/>
  <c r="BD53" i="1" s="1"/>
  <c r="CJ684" i="1"/>
  <c r="BD684" i="1" s="1"/>
  <c r="CJ644" i="1"/>
  <c r="BD644" i="1" s="1"/>
  <c r="BE644" i="1" s="1"/>
  <c r="CJ892" i="1"/>
  <c r="BD892" i="1" s="1"/>
  <c r="CJ552" i="1"/>
  <c r="BD552" i="1" s="1"/>
  <c r="CJ264" i="1"/>
  <c r="BD264" i="1" s="1"/>
  <c r="CJ466" i="1"/>
  <c r="BD466" i="1" s="1"/>
  <c r="CJ990" i="1"/>
  <c r="BD990" i="1" s="1"/>
  <c r="CJ750" i="1"/>
  <c r="BD750" i="1" s="1"/>
  <c r="CJ606" i="1"/>
  <c r="BD606" i="1" s="1"/>
  <c r="CJ1047" i="1"/>
  <c r="BD1047" i="1" s="1"/>
  <c r="CJ481" i="1"/>
  <c r="BD481" i="1" s="1"/>
  <c r="CJ535" i="1"/>
  <c r="BD535" i="1" s="1"/>
  <c r="CJ914" i="1"/>
  <c r="BD914" i="1" s="1"/>
  <c r="CJ254" i="1"/>
  <c r="BD254" i="1" s="1"/>
  <c r="CJ178" i="1"/>
  <c r="BD178" i="1" s="1"/>
  <c r="CJ14" i="1"/>
  <c r="BD14" i="1" s="1"/>
  <c r="CJ400" i="1"/>
  <c r="BD400" i="1" s="1"/>
  <c r="CJ300" i="1"/>
  <c r="BD300" i="1" s="1"/>
  <c r="CJ204" i="1"/>
  <c r="BD204" i="1" s="1"/>
  <c r="CJ8" i="1"/>
  <c r="BD8" i="1" s="1"/>
  <c r="CJ238" i="1"/>
  <c r="BD238" i="1" s="1"/>
  <c r="CJ459" i="1"/>
  <c r="BD459" i="1" s="1"/>
  <c r="CJ1043" i="1"/>
  <c r="BD1043" i="1" s="1"/>
  <c r="CJ288" i="1"/>
  <c r="BD288" i="1" s="1"/>
  <c r="CJ316" i="1"/>
  <c r="BD316" i="1" s="1"/>
  <c r="CJ215" i="1"/>
  <c r="BD215" i="1" s="1"/>
  <c r="CJ1189" i="1"/>
  <c r="BD1189" i="1" s="1"/>
  <c r="BE1189" i="1" s="1"/>
  <c r="CJ627" i="1"/>
  <c r="BD627" i="1" s="1"/>
  <c r="BE627" i="1" s="1"/>
  <c r="CJ861" i="1"/>
  <c r="BD861" i="1" s="1"/>
  <c r="CJ303" i="1"/>
  <c r="BD303" i="1" s="1"/>
  <c r="CJ869" i="1"/>
  <c r="BD869" i="1" s="1"/>
  <c r="BE869" i="1" s="1"/>
  <c r="CJ1042" i="1"/>
  <c r="BD1042" i="1" s="1"/>
  <c r="CJ781" i="1"/>
  <c r="BD781" i="1" s="1"/>
  <c r="BE781" i="1" s="1"/>
  <c r="CJ501" i="1"/>
  <c r="BD501" i="1" s="1"/>
  <c r="CJ349" i="1"/>
  <c r="BD349" i="1" s="1"/>
  <c r="CJ350" i="1"/>
  <c r="BD350" i="1" s="1"/>
  <c r="CJ276" i="1"/>
  <c r="BD276" i="1" s="1"/>
  <c r="CJ940" i="1"/>
  <c r="BD940" i="1" s="1"/>
  <c r="CJ160" i="1"/>
  <c r="BD160" i="1" s="1"/>
  <c r="CJ229" i="1"/>
  <c r="BD229" i="1" s="1"/>
  <c r="CJ636" i="1"/>
  <c r="BD636" i="1" s="1"/>
  <c r="BE636" i="1" s="1"/>
  <c r="CJ933" i="1"/>
  <c r="BD933" i="1" s="1"/>
  <c r="CJ1198" i="1"/>
  <c r="BD1198" i="1" s="1"/>
  <c r="CJ654" i="1"/>
  <c r="BD654" i="1" s="1"/>
  <c r="BE654" i="1" s="1"/>
  <c r="CJ1175" i="1"/>
  <c r="BD1175" i="1" s="1"/>
  <c r="CJ1095" i="1"/>
  <c r="BD1095" i="1" s="1"/>
  <c r="CJ999" i="1"/>
  <c r="BD999" i="1" s="1"/>
  <c r="CJ855" i="1"/>
  <c r="BD855" i="1" s="1"/>
  <c r="CJ743" i="1"/>
  <c r="BD743" i="1" s="1"/>
  <c r="CJ583" i="1"/>
  <c r="BD583" i="1" s="1"/>
  <c r="CJ923" i="1"/>
  <c r="BD923" i="1" s="1"/>
  <c r="CJ1104" i="1"/>
  <c r="BD1104" i="1" s="1"/>
  <c r="BE1104" i="1" s="1"/>
  <c r="CJ302" i="1"/>
  <c r="BD302" i="1" s="1"/>
  <c r="CJ674" i="1"/>
  <c r="BD674" i="1" s="1"/>
  <c r="BE674" i="1" s="1"/>
  <c r="CJ643" i="1"/>
  <c r="BD643" i="1" s="1"/>
  <c r="BE643" i="1" s="1"/>
  <c r="CJ1165" i="1"/>
  <c r="BD1165" i="1" s="1"/>
  <c r="CJ1118" i="1"/>
  <c r="BD1118" i="1" s="1"/>
  <c r="BE1118" i="1" s="1"/>
  <c r="CJ482" i="1"/>
  <c r="BD482" i="1" s="1"/>
  <c r="CJ1044" i="1"/>
  <c r="BD1044" i="1" s="1"/>
  <c r="CJ1045" i="1"/>
  <c r="BD1045" i="1" s="1"/>
  <c r="CJ942" i="1"/>
  <c r="BD942" i="1" s="1"/>
  <c r="CJ281" i="1"/>
  <c r="BD281" i="1" s="1"/>
  <c r="CJ638" i="1"/>
  <c r="BD638" i="1" s="1"/>
  <c r="BE638" i="1" s="1"/>
  <c r="CJ610" i="1"/>
  <c r="BD610" i="1" s="1"/>
  <c r="CJ875" i="1"/>
  <c r="BD875" i="1" s="1"/>
  <c r="CJ874" i="1"/>
  <c r="BD874" i="1" s="1"/>
  <c r="CJ1054" i="1"/>
  <c r="BD1054" i="1" s="1"/>
  <c r="BE1054" i="1" s="1"/>
  <c r="CJ1134" i="1"/>
  <c r="BD1134" i="1" s="1"/>
  <c r="CJ405" i="1"/>
  <c r="BD405" i="1" s="1"/>
  <c r="CJ321" i="1"/>
  <c r="BD321" i="1" s="1"/>
  <c r="CJ935" i="1"/>
  <c r="BD935" i="1" s="1"/>
  <c r="CJ868" i="1"/>
  <c r="BD868" i="1" s="1"/>
  <c r="CJ392" i="1"/>
  <c r="BD392" i="1" s="1"/>
  <c r="CJ467" i="1"/>
  <c r="BD467" i="1" s="1"/>
  <c r="CJ907" i="1"/>
  <c r="BD907" i="1" s="1"/>
  <c r="CJ1051" i="1"/>
  <c r="BD1051" i="1" s="1"/>
  <c r="CJ442" i="1"/>
  <c r="BD442" i="1" s="1"/>
  <c r="CJ510" i="1"/>
  <c r="BD510" i="1" s="1"/>
  <c r="CJ834" i="1"/>
  <c r="BD834" i="1" s="1"/>
  <c r="CJ1133" i="1"/>
  <c r="BD1133" i="1" s="1"/>
  <c r="CJ1096" i="1"/>
  <c r="BD1096" i="1" s="1"/>
  <c r="CJ1195" i="1"/>
  <c r="BD1195" i="1" s="1"/>
  <c r="BE1195" i="1" s="1"/>
  <c r="CJ79" i="1"/>
  <c r="BD79" i="1" s="1"/>
  <c r="CJ885" i="1"/>
  <c r="BD885" i="1" s="1"/>
  <c r="CJ30" i="1"/>
  <c r="BD30" i="1" s="1"/>
  <c r="CJ877" i="1"/>
  <c r="BD877" i="1" s="1"/>
  <c r="CJ471" i="1"/>
  <c r="BD471" i="1" s="1"/>
  <c r="CJ1083" i="1"/>
  <c r="BD1083" i="1" s="1"/>
  <c r="BE1083" i="1" s="1"/>
  <c r="CJ260" i="1"/>
  <c r="BD260" i="1" s="1"/>
  <c r="CJ1164" i="1"/>
  <c r="BD1164" i="1" s="1"/>
  <c r="CJ994" i="1"/>
  <c r="BD994" i="1" s="1"/>
  <c r="CJ176" i="1"/>
  <c r="BD176" i="1" s="1"/>
  <c r="CJ977" i="1"/>
  <c r="BD977" i="1" s="1"/>
  <c r="CJ1182" i="1"/>
  <c r="BD1182" i="1" s="1"/>
  <c r="CJ1070" i="1"/>
  <c r="BD1070" i="1" s="1"/>
  <c r="BE1070" i="1" s="1"/>
  <c r="CJ1006" i="1"/>
  <c r="BD1006" i="1" s="1"/>
  <c r="CJ926" i="1"/>
  <c r="BD926" i="1" s="1"/>
  <c r="CJ702" i="1"/>
  <c r="BD702" i="1" s="1"/>
  <c r="BE702" i="1" s="1"/>
  <c r="CJ622" i="1"/>
  <c r="BD622" i="1" s="1"/>
  <c r="BE622" i="1" s="1"/>
  <c r="CJ1159" i="1"/>
  <c r="BD1159" i="1" s="1"/>
  <c r="CJ983" i="1"/>
  <c r="BD983" i="1" s="1"/>
  <c r="BE983" i="1" s="1"/>
  <c r="CJ657" i="1"/>
  <c r="BD657" i="1" s="1"/>
  <c r="CJ567" i="1"/>
  <c r="BD567" i="1" s="1"/>
  <c r="CJ1122" i="1"/>
  <c r="BD1122" i="1" s="1"/>
  <c r="BE1122" i="1" s="1"/>
  <c r="CJ642" i="1"/>
  <c r="BD642" i="1" s="1"/>
  <c r="BE642" i="1" s="1"/>
  <c r="CJ810" i="1"/>
  <c r="BD810" i="1" s="1"/>
  <c r="CJ1109" i="1"/>
  <c r="BD1109" i="1" s="1"/>
  <c r="BE1109" i="1" s="1"/>
  <c r="CJ309" i="1"/>
  <c r="BD309" i="1" s="1"/>
  <c r="CJ297" i="1"/>
  <c r="BD297" i="1" s="1"/>
  <c r="CJ1068" i="1"/>
  <c r="BD1068" i="1" s="1"/>
  <c r="BE1068" i="1" s="1"/>
  <c r="CJ581" i="1"/>
  <c r="BD581" i="1" s="1"/>
  <c r="CJ558" i="1"/>
  <c r="BD558" i="1" s="1"/>
  <c r="CJ504" i="1"/>
  <c r="BD504" i="1" s="1"/>
  <c r="CJ498" i="1"/>
  <c r="BD498" i="1" s="1"/>
  <c r="CJ1102" i="1"/>
  <c r="BD1102" i="1" s="1"/>
  <c r="CJ894" i="1"/>
  <c r="BD894" i="1" s="1"/>
  <c r="CJ1015" i="1"/>
  <c r="BD1015" i="1" s="1"/>
  <c r="BE1015" i="1" s="1"/>
  <c r="CJ689" i="1"/>
  <c r="BD689" i="1" s="1"/>
  <c r="BE689" i="1" s="1"/>
  <c r="CJ529" i="1"/>
  <c r="BD529" i="1" s="1"/>
  <c r="CJ779" i="1"/>
  <c r="BD779" i="1" s="1"/>
  <c r="BE779" i="1" s="1"/>
  <c r="CJ858" i="1"/>
  <c r="BD858" i="1" s="1"/>
  <c r="CJ887" i="1"/>
  <c r="BD887" i="1" s="1"/>
  <c r="CJ218" i="1"/>
  <c r="BD218" i="1" s="1"/>
  <c r="CJ456" i="1"/>
  <c r="BD456" i="1" s="1"/>
  <c r="CJ270" i="1"/>
  <c r="BD270" i="1" s="1"/>
  <c r="CJ546" i="1"/>
  <c r="BD546" i="1" s="1"/>
  <c r="CJ368" i="1"/>
  <c r="BD368" i="1" s="1"/>
  <c r="CJ997" i="1"/>
  <c r="BD997" i="1" s="1"/>
  <c r="CJ709" i="1"/>
  <c r="BD709" i="1" s="1"/>
  <c r="CJ390" i="1"/>
  <c r="BD390" i="1" s="1"/>
  <c r="CJ282" i="1"/>
  <c r="BD282" i="1" s="1"/>
  <c r="CJ936" i="1"/>
  <c r="BD936" i="1" s="1"/>
  <c r="CJ919" i="1"/>
  <c r="BD919" i="1" s="1"/>
  <c r="CJ1084" i="1"/>
  <c r="BD1084" i="1" s="1"/>
  <c r="BE1084" i="1" s="1"/>
  <c r="CJ421" i="1"/>
  <c r="BD421" i="1" s="1"/>
  <c r="CJ588" i="1"/>
  <c r="BD588" i="1" s="1"/>
  <c r="CJ789" i="1"/>
  <c r="BD789" i="1" s="1"/>
  <c r="CJ449" i="1"/>
  <c r="BD449" i="1" s="1"/>
  <c r="CJ901" i="1"/>
  <c r="BD901" i="1" s="1"/>
  <c r="CJ1157" i="1"/>
  <c r="BD1157" i="1" s="1"/>
  <c r="CJ1029" i="1"/>
  <c r="BD1029" i="1" s="1"/>
  <c r="CJ673" i="1"/>
  <c r="BD673" i="1" s="1"/>
  <c r="BE673" i="1" s="1"/>
  <c r="CJ125" i="1"/>
  <c r="BD125" i="1" s="1"/>
  <c r="CJ782" i="1"/>
  <c r="BD782" i="1" s="1"/>
  <c r="BE782" i="1" s="1"/>
  <c r="CJ452" i="1"/>
  <c r="BD452" i="1" s="1"/>
  <c r="CJ207" i="1"/>
  <c r="BD207" i="1" s="1"/>
  <c r="CJ305" i="1"/>
  <c r="BD305" i="1" s="1"/>
  <c r="CJ1086" i="1"/>
  <c r="BD1086" i="1" s="1"/>
  <c r="BE1086" i="1" s="1"/>
  <c r="CJ217" i="1"/>
  <c r="BD217" i="1" s="1"/>
  <c r="CJ99" i="1"/>
  <c r="BD99" i="1" s="1"/>
  <c r="CJ917" i="1"/>
  <c r="BD917" i="1" s="1"/>
  <c r="CJ230" i="1"/>
  <c r="BD230" i="1" s="1"/>
  <c r="CJ416" i="1"/>
  <c r="BD416" i="1" s="1"/>
  <c r="CJ686" i="1"/>
  <c r="BD686" i="1" s="1"/>
  <c r="CJ265" i="1"/>
  <c r="BD265" i="1" s="1"/>
  <c r="CJ1022" i="1"/>
  <c r="BD1022" i="1" s="1"/>
  <c r="CJ423" i="1"/>
  <c r="BD423" i="1" s="1"/>
  <c r="CJ82" i="1"/>
  <c r="BD82" i="1" s="1"/>
  <c r="CJ306" i="1"/>
  <c r="BD306" i="1" s="1"/>
  <c r="CJ455" i="1"/>
  <c r="BD455" i="1" s="1"/>
  <c r="CJ718" i="1"/>
  <c r="BD718" i="1" s="1"/>
  <c r="CJ1170" i="1"/>
  <c r="BD1170" i="1" s="1"/>
  <c r="CJ837" i="1"/>
  <c r="BD837" i="1" s="1"/>
  <c r="BE837" i="1" s="1"/>
  <c r="CJ412" i="1"/>
  <c r="BD412" i="1" s="1"/>
  <c r="CJ722" i="1"/>
  <c r="BD722" i="1" s="1"/>
  <c r="CJ1093" i="1"/>
  <c r="BD1093" i="1" s="1"/>
  <c r="CJ956" i="1"/>
  <c r="BD956" i="1" s="1"/>
  <c r="CJ918" i="1"/>
  <c r="BD918" i="1" s="1"/>
  <c r="CJ731" i="1"/>
  <c r="BD731" i="1" s="1"/>
  <c r="BE731" i="1" s="1"/>
  <c r="CJ766" i="1"/>
  <c r="BD766" i="1" s="1"/>
  <c r="CJ924" i="1"/>
  <c r="BD924" i="1" s="1"/>
  <c r="CJ246" i="1"/>
  <c r="BD246" i="1" s="1"/>
  <c r="CJ668" i="1"/>
  <c r="BD668" i="1" s="1"/>
  <c r="CJ258" i="1"/>
  <c r="BD258" i="1" s="1"/>
  <c r="CJ548" i="1"/>
  <c r="BD548" i="1" s="1"/>
  <c r="CJ876" i="1"/>
  <c r="BD876" i="1" s="1"/>
  <c r="CJ542" i="1"/>
  <c r="BD542" i="1" s="1"/>
  <c r="CJ988" i="1"/>
  <c r="BD988" i="1" s="1"/>
  <c r="CJ511" i="1"/>
  <c r="BD511" i="1" s="1"/>
  <c r="CJ757" i="1"/>
  <c r="BD757" i="1" s="1"/>
  <c r="CJ222" i="1"/>
  <c r="BD222" i="1" s="1"/>
  <c r="CJ355" i="1"/>
  <c r="BD355" i="1" s="1"/>
  <c r="CJ754" i="1"/>
  <c r="BD754" i="1" s="1"/>
  <c r="CJ838" i="1"/>
  <c r="BD838" i="1" s="1"/>
  <c r="CJ846" i="1"/>
  <c r="BD846" i="1" s="1"/>
  <c r="CJ497" i="1"/>
  <c r="BD497" i="1" s="1"/>
  <c r="CJ394" i="1"/>
  <c r="BD394" i="1" s="1"/>
  <c r="CJ487" i="1"/>
  <c r="BD487" i="1" s="1"/>
  <c r="CJ86" i="1"/>
  <c r="BD86" i="1" s="1"/>
  <c r="CJ734" i="1"/>
  <c r="BD734" i="1" s="1"/>
  <c r="BE734" i="1" s="1"/>
  <c r="CJ696" i="1"/>
  <c r="BD696" i="1" s="1"/>
  <c r="CJ10" i="1"/>
  <c r="BD10" i="1" s="1"/>
  <c r="CJ304" i="1"/>
  <c r="BD304" i="1" s="1"/>
  <c r="CJ1069" i="1"/>
  <c r="BD1069" i="1" s="1"/>
  <c r="BE1069" i="1" s="1"/>
  <c r="CJ140" i="1"/>
  <c r="BD140" i="1" s="1"/>
  <c r="CJ732" i="1"/>
  <c r="BD732" i="1" s="1"/>
  <c r="BE732" i="1" s="1"/>
  <c r="CJ488" i="1"/>
  <c r="BD488" i="1" s="1"/>
  <c r="CJ830" i="1"/>
  <c r="BD830" i="1" s="1"/>
  <c r="CJ190" i="1"/>
  <c r="BD190" i="1" s="1"/>
  <c r="CJ1052" i="1"/>
  <c r="BD1052" i="1" s="1"/>
  <c r="CJ225" i="1"/>
  <c r="BD225" i="1" s="1"/>
  <c r="CJ463" i="1"/>
  <c r="BD463" i="1" s="1"/>
  <c r="CJ648" i="1"/>
  <c r="BD648" i="1" s="1"/>
  <c r="BE648" i="1" s="1"/>
  <c r="CJ453" i="1"/>
  <c r="BD453" i="1" s="1"/>
  <c r="CJ854" i="1"/>
  <c r="BD854" i="1" s="1"/>
  <c r="CJ352" i="1"/>
  <c r="BD352" i="1" s="1"/>
  <c r="CJ152" i="1"/>
  <c r="BD152" i="1" s="1"/>
  <c r="CJ1048" i="1"/>
  <c r="BD1048" i="1" s="1"/>
  <c r="CJ870" i="1"/>
  <c r="BD870" i="1" s="1"/>
  <c r="CJ348" i="1"/>
  <c r="BD348" i="1" s="1"/>
  <c r="CJ802" i="1"/>
  <c r="BD802" i="1" s="1"/>
  <c r="CJ226" i="1"/>
  <c r="BD226" i="1" s="1"/>
  <c r="CJ322" i="1"/>
  <c r="BD322" i="1" s="1"/>
  <c r="CJ862" i="1"/>
  <c r="BD862" i="1" s="1"/>
  <c r="CJ272" i="1"/>
  <c r="BD272" i="1" s="1"/>
  <c r="CJ662" i="1"/>
  <c r="BD662" i="1" s="1"/>
  <c r="BE662" i="1" s="1"/>
  <c r="CJ650" i="1"/>
  <c r="BD650" i="1" s="1"/>
  <c r="BE650" i="1" s="1"/>
  <c r="CJ812" i="1"/>
  <c r="BD812" i="1" s="1"/>
  <c r="CJ360" i="1"/>
  <c r="BD360" i="1" s="1"/>
  <c r="CJ633" i="1"/>
  <c r="BD633" i="1" s="1"/>
  <c r="CJ930" i="1"/>
  <c r="BD930" i="1" s="1"/>
  <c r="CJ26" i="1"/>
  <c r="BD26" i="1" s="1"/>
  <c r="CJ505" i="1"/>
  <c r="BD505" i="1" s="1"/>
  <c r="CJ966" i="1"/>
  <c r="BD966" i="1" s="1"/>
  <c r="CJ1013" i="1"/>
  <c r="BD1013" i="1" s="1"/>
  <c r="CJ180" i="1"/>
  <c r="BD180" i="1" s="1"/>
  <c r="CJ129" i="1"/>
  <c r="BD129" i="1" s="1"/>
  <c r="CJ667" i="1"/>
  <c r="BD667" i="1" s="1"/>
  <c r="CJ771" i="1"/>
  <c r="BD771" i="1" s="1"/>
  <c r="CJ958" i="1"/>
  <c r="BD958" i="1" s="1"/>
  <c r="CJ495" i="1"/>
  <c r="BD495" i="1" s="1"/>
  <c r="CJ929" i="1"/>
  <c r="BD929" i="1" s="1"/>
  <c r="CJ755" i="1"/>
  <c r="BD755" i="1" s="1"/>
  <c r="CJ359" i="1"/>
  <c r="BD359" i="1" s="1"/>
  <c r="CJ427" i="1"/>
  <c r="BD427" i="1" s="1"/>
  <c r="CJ596" i="1"/>
  <c r="BD596" i="1" s="1"/>
  <c r="CJ597" i="1"/>
  <c r="BD597" i="1" s="1"/>
  <c r="CJ895" i="1"/>
  <c r="BD895" i="1" s="1"/>
  <c r="CJ970" i="1"/>
  <c r="BD970" i="1" s="1"/>
  <c r="CJ969" i="1"/>
  <c r="BD969" i="1" s="1"/>
  <c r="CJ632" i="1"/>
  <c r="BD632" i="1" s="1"/>
  <c r="CJ621" i="1"/>
  <c r="BD621" i="1" s="1"/>
  <c r="BE621" i="1" s="1"/>
  <c r="CJ1185" i="1"/>
  <c r="BD1185" i="1" s="1"/>
  <c r="CJ363" i="1"/>
  <c r="BD363" i="1" s="1"/>
  <c r="CJ565" i="1"/>
  <c r="BD565" i="1" s="1"/>
  <c r="CJ339" i="1"/>
  <c r="BD339" i="1" s="1"/>
  <c r="BE1194" i="1"/>
  <c r="BE1117" i="1"/>
  <c r="CJ202" i="1"/>
  <c r="BD202" i="1" s="1"/>
  <c r="CJ992" i="1"/>
  <c r="BD992" i="1" s="1"/>
  <c r="CJ335" i="1"/>
  <c r="BD335" i="1" s="1"/>
  <c r="CJ78" i="1"/>
  <c r="BD78" i="1" s="1"/>
  <c r="CJ1169" i="1"/>
  <c r="BD1169" i="1" s="1"/>
  <c r="CJ1120" i="1"/>
  <c r="BD1120" i="1" s="1"/>
  <c r="BE1120" i="1" s="1"/>
  <c r="CJ284" i="1"/>
  <c r="BD284" i="1" s="1"/>
  <c r="CJ1016" i="1"/>
  <c r="BD1016" i="1" s="1"/>
  <c r="CJ601" i="1"/>
  <c r="BD601" i="1" s="1"/>
  <c r="CJ984" i="1"/>
  <c r="BD984" i="1" s="1"/>
  <c r="BE984" i="1" s="1"/>
  <c r="CJ1079" i="1"/>
  <c r="BD1079" i="1" s="1"/>
  <c r="CJ181" i="1"/>
  <c r="BD181" i="1" s="1"/>
  <c r="CJ262" i="1"/>
  <c r="BD262" i="1" s="1"/>
  <c r="CJ867" i="1"/>
  <c r="BD867" i="1" s="1"/>
  <c r="CJ214" i="1"/>
  <c r="BD214" i="1" s="1"/>
  <c r="CJ798" i="1"/>
  <c r="BD798" i="1" s="1"/>
  <c r="AD679" i="1"/>
  <c r="H680" i="1"/>
  <c r="H686" i="1"/>
  <c r="AD686" i="1" s="1"/>
  <c r="H687" i="1"/>
  <c r="AD687" i="1" s="1"/>
  <c r="H685" i="1"/>
  <c r="AD685" i="1" s="1"/>
  <c r="H684" i="1"/>
  <c r="AD684" i="1" s="1"/>
  <c r="BA684" i="1" s="1"/>
  <c r="AD716" i="1"/>
  <c r="H722" i="1"/>
  <c r="AD722" i="1" s="1"/>
  <c r="H720" i="1"/>
  <c r="AD720" i="1" s="1"/>
  <c r="H721" i="1"/>
  <c r="AD721" i="1" s="1"/>
  <c r="H717" i="1"/>
  <c r="AD767" i="1"/>
  <c r="H770" i="1"/>
  <c r="H769" i="1"/>
  <c r="AD769" i="1" s="1"/>
  <c r="H768" i="1"/>
  <c r="AD768" i="1" s="1"/>
  <c r="H776" i="1"/>
  <c r="AD776" i="1" s="1"/>
  <c r="H773" i="1"/>
  <c r="H777" i="1"/>
  <c r="AD777" i="1" s="1"/>
  <c r="AD618" i="1"/>
  <c r="H619" i="1"/>
  <c r="AD619" i="1" s="1"/>
  <c r="AD1072" i="1"/>
  <c r="CR1072" i="1" s="1"/>
  <c r="H1073" i="1"/>
  <c r="AD1073" i="1" s="1"/>
  <c r="CR1073" i="1" s="1"/>
  <c r="H1074" i="1"/>
  <c r="AD1074" i="1" s="1"/>
  <c r="CR1074" i="1" s="1"/>
  <c r="H1075" i="1"/>
  <c r="AD1075" i="1" s="1"/>
  <c r="CR1075" i="1" s="1"/>
  <c r="H1076" i="1"/>
  <c r="AD1076" i="1" s="1"/>
  <c r="AD1125" i="1"/>
  <c r="H1129" i="1"/>
  <c r="H1132" i="1"/>
  <c r="H1126" i="1"/>
  <c r="AD1196" i="1"/>
  <c r="H1198" i="1"/>
  <c r="AD1198" i="1" s="1"/>
  <c r="H1197" i="1"/>
  <c r="AD1197" i="1" s="1"/>
  <c r="AD1091" i="1"/>
  <c r="H1099" i="1"/>
  <c r="AD1099" i="1" s="1"/>
  <c r="H1098" i="1"/>
  <c r="AD1098" i="1" s="1"/>
  <c r="H1096" i="1"/>
  <c r="AD1096" i="1" s="1"/>
  <c r="H1097" i="1"/>
  <c r="AD1097" i="1" s="1"/>
  <c r="H1092" i="1"/>
  <c r="AD477" i="1"/>
  <c r="BA477" i="1" s="1"/>
  <c r="H479" i="1"/>
  <c r="H478" i="1"/>
  <c r="AD478" i="1" s="1"/>
  <c r="BA478" i="1" s="1"/>
  <c r="AD513" i="1"/>
  <c r="H537" i="1"/>
  <c r="AD537" i="1" s="1"/>
  <c r="H518" i="1"/>
  <c r="AD518" i="1" s="1"/>
  <c r="H530" i="1"/>
  <c r="H515" i="1"/>
  <c r="H545" i="1"/>
  <c r="H526" i="1"/>
  <c r="H514" i="1"/>
  <c r="AD514" i="1" s="1"/>
  <c r="H544" i="1"/>
  <c r="AD544" i="1" s="1"/>
  <c r="H525" i="1"/>
  <c r="AD525" i="1" s="1"/>
  <c r="H540" i="1"/>
  <c r="H543" i="1"/>
  <c r="AD543" i="1" s="1"/>
  <c r="BA543" i="1" s="1"/>
  <c r="H524" i="1"/>
  <c r="AD524" i="1" s="1"/>
  <c r="H539" i="1"/>
  <c r="AD539" i="1" s="1"/>
  <c r="H520" i="1"/>
  <c r="AD520" i="1" s="1"/>
  <c r="BA520" i="1" s="1"/>
  <c r="H521" i="1"/>
  <c r="H538" i="1"/>
  <c r="AD538" i="1" s="1"/>
  <c r="H519" i="1"/>
  <c r="AD519" i="1" s="1"/>
  <c r="AD234" i="1"/>
  <c r="H365" i="1"/>
  <c r="H355" i="1"/>
  <c r="AD355" i="1" s="1"/>
  <c r="H341" i="1"/>
  <c r="H323" i="1"/>
  <c r="AD323" i="1" s="1"/>
  <c r="H245" i="1"/>
  <c r="H362" i="1"/>
  <c r="H354" i="1"/>
  <c r="AD354" i="1" s="1"/>
  <c r="H338" i="1"/>
  <c r="H320" i="1"/>
  <c r="H244" i="1"/>
  <c r="AD244" i="1" s="1"/>
  <c r="BA244" i="1" s="1"/>
  <c r="H271" i="1"/>
  <c r="H361" i="1"/>
  <c r="AD361" i="1" s="1"/>
  <c r="H353" i="1"/>
  <c r="AD353" i="1" s="1"/>
  <c r="H337" i="1"/>
  <c r="AD337" i="1" s="1"/>
  <c r="H319" i="1"/>
  <c r="AD319" i="1" s="1"/>
  <c r="H243" i="1"/>
  <c r="AD243" i="1" s="1"/>
  <c r="H358" i="1"/>
  <c r="AD358" i="1" s="1"/>
  <c r="BA358" i="1" s="1"/>
  <c r="H360" i="1"/>
  <c r="AD360" i="1" s="1"/>
  <c r="H352" i="1"/>
  <c r="AD352" i="1" s="1"/>
  <c r="H336" i="1"/>
  <c r="AD336" i="1" s="1"/>
  <c r="BA336" i="1" s="1"/>
  <c r="H318" i="1"/>
  <c r="AD318" i="1" s="1"/>
  <c r="H242" i="1"/>
  <c r="AD242" i="1" s="1"/>
  <c r="H350" i="1"/>
  <c r="AD350" i="1" s="1"/>
  <c r="H375" i="1"/>
  <c r="H359" i="1"/>
  <c r="AD359" i="1" s="1"/>
  <c r="H351" i="1"/>
  <c r="AD351" i="1" s="1"/>
  <c r="H335" i="1"/>
  <c r="AD335" i="1" s="1"/>
  <c r="H294" i="1"/>
  <c r="H235" i="1"/>
  <c r="H369" i="1"/>
  <c r="H357" i="1"/>
  <c r="AD357" i="1" s="1"/>
  <c r="BA357" i="1" s="1"/>
  <c r="H347" i="1"/>
  <c r="H327" i="1"/>
  <c r="H270" i="1"/>
  <c r="AD270" i="1" s="1"/>
  <c r="BA270" i="1" s="1"/>
  <c r="H372" i="1"/>
  <c r="H330" i="1"/>
  <c r="H368" i="1"/>
  <c r="AD368" i="1" s="1"/>
  <c r="H356" i="1"/>
  <c r="AD356" i="1" s="1"/>
  <c r="H344" i="1"/>
  <c r="H324" i="1"/>
  <c r="H269" i="1"/>
  <c r="AD269" i="1" s="1"/>
  <c r="AD903" i="1"/>
  <c r="H935" i="1"/>
  <c r="AD935" i="1" s="1"/>
  <c r="H927" i="1"/>
  <c r="AD927" i="1" s="1"/>
  <c r="H904" i="1"/>
  <c r="H952" i="1"/>
  <c r="AD952" i="1" s="1"/>
  <c r="H934" i="1"/>
  <c r="AD934" i="1" s="1"/>
  <c r="H926" i="1"/>
  <c r="AD926" i="1" s="1"/>
  <c r="H948" i="1"/>
  <c r="H933" i="1"/>
  <c r="AD933" i="1" s="1"/>
  <c r="H925" i="1"/>
  <c r="AD925" i="1" s="1"/>
  <c r="H922" i="1"/>
  <c r="AD922" i="1" s="1"/>
  <c r="H944" i="1"/>
  <c r="H932" i="1"/>
  <c r="AD932" i="1" s="1"/>
  <c r="H924" i="1"/>
  <c r="AD924" i="1" s="1"/>
  <c r="H930" i="1"/>
  <c r="AD930" i="1" s="1"/>
  <c r="H940" i="1"/>
  <c r="H931" i="1"/>
  <c r="AD931" i="1" s="1"/>
  <c r="H923" i="1"/>
  <c r="AD923" i="1" s="1"/>
  <c r="H937" i="1"/>
  <c r="AD937" i="1" s="1"/>
  <c r="H929" i="1"/>
  <c r="AD929" i="1" s="1"/>
  <c r="H920" i="1"/>
  <c r="H938" i="1"/>
  <c r="AD938" i="1" s="1"/>
  <c r="H936" i="1"/>
  <c r="AD936" i="1" s="1"/>
  <c r="H928" i="1"/>
  <c r="AD928" i="1" s="1"/>
  <c r="H910" i="1"/>
  <c r="AD841" i="1"/>
  <c r="H868" i="1"/>
  <c r="AD868" i="1" s="1"/>
  <c r="H842" i="1"/>
  <c r="H867" i="1"/>
  <c r="AD867" i="1" s="1"/>
  <c r="H866" i="1"/>
  <c r="AD866" i="1" s="1"/>
  <c r="H865" i="1"/>
  <c r="AD865" i="1" s="1"/>
  <c r="H863" i="1"/>
  <c r="AD863" i="1" s="1"/>
  <c r="H864" i="1"/>
  <c r="AD864" i="1" s="1"/>
  <c r="H861" i="1"/>
  <c r="H870" i="1"/>
  <c r="AD870" i="1" s="1"/>
  <c r="H851" i="1"/>
  <c r="AD604" i="1"/>
  <c r="H606" i="1"/>
  <c r="AD606" i="1" s="1"/>
  <c r="H605" i="1"/>
  <c r="AD605" i="1" s="1"/>
  <c r="AD608" i="1"/>
  <c r="H610" i="1"/>
  <c r="AD610" i="1" s="1"/>
  <c r="H609" i="1"/>
  <c r="AD609" i="1" s="1"/>
  <c r="BA609" i="1" s="1"/>
  <c r="AD711" i="1"/>
  <c r="H713" i="1"/>
  <c r="AD713" i="1" s="1"/>
  <c r="H714" i="1"/>
  <c r="AD714" i="1" s="1"/>
  <c r="H715" i="1"/>
  <c r="AD715" i="1" s="1"/>
  <c r="BA715" i="1" s="1"/>
  <c r="H712" i="1"/>
  <c r="AD712" i="1" s="1"/>
  <c r="AD756" i="1"/>
  <c r="H757" i="1"/>
  <c r="AD757" i="1" s="1"/>
  <c r="H762" i="1"/>
  <c r="H766" i="1"/>
  <c r="AD766" i="1" s="1"/>
  <c r="BA766" i="1" s="1"/>
  <c r="H765" i="1"/>
  <c r="AD765" i="1" s="1"/>
  <c r="H759" i="1"/>
  <c r="H758" i="1"/>
  <c r="AD758" i="1" s="1"/>
  <c r="AD577" i="1"/>
  <c r="H592" i="1"/>
  <c r="AD592" i="1" s="1"/>
  <c r="H584" i="1"/>
  <c r="AD584" i="1" s="1"/>
  <c r="BA584" i="1" s="1"/>
  <c r="H591" i="1"/>
  <c r="AD591" i="1" s="1"/>
  <c r="BA591" i="1" s="1"/>
  <c r="H583" i="1"/>
  <c r="AD583" i="1" s="1"/>
  <c r="H590" i="1"/>
  <c r="AD590" i="1" s="1"/>
  <c r="H582" i="1"/>
  <c r="AD582" i="1" s="1"/>
  <c r="H589" i="1"/>
  <c r="AD589" i="1" s="1"/>
  <c r="H581" i="1"/>
  <c r="AD581" i="1" s="1"/>
  <c r="H588" i="1"/>
  <c r="AD588" i="1" s="1"/>
  <c r="H578" i="1"/>
  <c r="H586" i="1"/>
  <c r="AD586" i="1" s="1"/>
  <c r="H587" i="1"/>
  <c r="AD587" i="1" s="1"/>
  <c r="H593" i="1"/>
  <c r="H585" i="1"/>
  <c r="AD585" i="1" s="1"/>
  <c r="BA585" i="1" s="1"/>
  <c r="AD954" i="1"/>
  <c r="H980" i="1"/>
  <c r="AD980" i="1" s="1"/>
  <c r="H979" i="1"/>
  <c r="AD979" i="1" s="1"/>
  <c r="H978" i="1"/>
  <c r="AD978" i="1" s="1"/>
  <c r="H977" i="1"/>
  <c r="AD977" i="1" s="1"/>
  <c r="H975" i="1"/>
  <c r="H955" i="1"/>
  <c r="H981" i="1"/>
  <c r="AD981" i="1" s="1"/>
  <c r="H965" i="1"/>
  <c r="AD1135" i="1"/>
  <c r="H1153" i="1"/>
  <c r="AD1153" i="1" s="1"/>
  <c r="H1141" i="1"/>
  <c r="H1136" i="1"/>
  <c r="AD1100" i="1"/>
  <c r="H1102" i="1"/>
  <c r="AD1102" i="1" s="1"/>
  <c r="CR1102" i="1" s="1"/>
  <c r="H1101" i="1"/>
  <c r="AD1101" i="1" s="1"/>
  <c r="CR1101" i="1" s="1"/>
  <c r="AD666" i="1"/>
  <c r="H667" i="1"/>
  <c r="AD667" i="1" s="1"/>
  <c r="H668" i="1"/>
  <c r="AD668" i="1" s="1"/>
  <c r="AD615" i="1"/>
  <c r="H617" i="1"/>
  <c r="AD617" i="1" s="1"/>
  <c r="BA617" i="1" s="1"/>
  <c r="H616" i="1"/>
  <c r="AD616" i="1" s="1"/>
  <c r="BA616" i="1" s="1"/>
  <c r="AD724" i="1"/>
  <c r="H726" i="1"/>
  <c r="AD726" i="1" s="1"/>
  <c r="H725" i="1"/>
  <c r="AD725" i="1" s="1"/>
  <c r="AD986" i="1"/>
  <c r="H1009" i="1"/>
  <c r="AD1009" i="1" s="1"/>
  <c r="H1012" i="1"/>
  <c r="AD1012" i="1" s="1"/>
  <c r="H1007" i="1"/>
  <c r="H1016" i="1"/>
  <c r="AD1016" i="1" s="1"/>
  <c r="H998" i="1"/>
  <c r="H1014" i="1"/>
  <c r="AD1014" i="1" s="1"/>
  <c r="H987" i="1"/>
  <c r="H1013" i="1"/>
  <c r="AD1013" i="1" s="1"/>
  <c r="H1011" i="1"/>
  <c r="AD1011" i="1" s="1"/>
  <c r="H1010" i="1"/>
  <c r="AD1010" i="1" s="1"/>
  <c r="AD631" i="1"/>
  <c r="H633" i="1"/>
  <c r="AD633" i="1" s="1"/>
  <c r="BA633" i="1" s="1"/>
  <c r="H632" i="1"/>
  <c r="AD632" i="1" s="1"/>
  <c r="AD741" i="1"/>
  <c r="H755" i="1"/>
  <c r="AD755" i="1" s="1"/>
  <c r="H754" i="1"/>
  <c r="AD754" i="1" s="1"/>
  <c r="H751" i="1"/>
  <c r="H747" i="1"/>
  <c r="H744" i="1"/>
  <c r="H743" i="1"/>
  <c r="AD743" i="1" s="1"/>
  <c r="H742" i="1"/>
  <c r="AD742" i="1" s="1"/>
  <c r="AD211" i="1"/>
  <c r="H230" i="1"/>
  <c r="AD230" i="1" s="1"/>
  <c r="H222" i="1"/>
  <c r="AD222" i="1" s="1"/>
  <c r="H229" i="1"/>
  <c r="AD229" i="1" s="1"/>
  <c r="BA229" i="1" s="1"/>
  <c r="H221" i="1"/>
  <c r="AD221" i="1" s="1"/>
  <c r="BA221" i="1" s="1"/>
  <c r="H228" i="1"/>
  <c r="AD228" i="1" s="1"/>
  <c r="BA228" i="1" s="1"/>
  <c r="H220" i="1"/>
  <c r="AD220" i="1" s="1"/>
  <c r="H233" i="1"/>
  <c r="AD233" i="1" s="1"/>
  <c r="H227" i="1"/>
  <c r="AD227" i="1" s="1"/>
  <c r="H219" i="1"/>
  <c r="AD219" i="1" s="1"/>
  <c r="H226" i="1"/>
  <c r="AD226" i="1" s="1"/>
  <c r="H216" i="1"/>
  <c r="H225" i="1"/>
  <c r="AD225" i="1" s="1"/>
  <c r="H232" i="1"/>
  <c r="AD232" i="1" s="1"/>
  <c r="H224" i="1"/>
  <c r="AD224" i="1" s="1"/>
  <c r="BA224" i="1" s="1"/>
  <c r="H212" i="1"/>
  <c r="AD212" i="1" s="1"/>
  <c r="BA212" i="1" s="1"/>
  <c r="H231" i="1"/>
  <c r="AD231" i="1" s="1"/>
  <c r="H223" i="1"/>
  <c r="AD223" i="1" s="1"/>
  <c r="H213" i="1"/>
  <c r="AD1018" i="1"/>
  <c r="H1059" i="1"/>
  <c r="H1049" i="1"/>
  <c r="AD1049" i="1" s="1"/>
  <c r="H1041" i="1"/>
  <c r="AD1041" i="1" s="1"/>
  <c r="H1035" i="1"/>
  <c r="H1055" i="1"/>
  <c r="H1048" i="1"/>
  <c r="AD1048" i="1" s="1"/>
  <c r="H1040" i="1"/>
  <c r="AD1040" i="1" s="1"/>
  <c r="H1047" i="1"/>
  <c r="AD1047" i="1" s="1"/>
  <c r="H1039" i="1"/>
  <c r="AD1039" i="1" s="1"/>
  <c r="H1046" i="1"/>
  <c r="AD1046" i="1" s="1"/>
  <c r="H1038" i="1"/>
  <c r="AD1038" i="1" s="1"/>
  <c r="H1053" i="1"/>
  <c r="AD1053" i="1" s="1"/>
  <c r="H1045" i="1"/>
  <c r="AD1045" i="1" s="1"/>
  <c r="H1037" i="1"/>
  <c r="AD1037" i="1" s="1"/>
  <c r="H1067" i="1"/>
  <c r="AD1067" i="1" s="1"/>
  <c r="H1051" i="1"/>
  <c r="AD1051" i="1" s="1"/>
  <c r="H1043" i="1"/>
  <c r="AD1043" i="1" s="1"/>
  <c r="H1025" i="1"/>
  <c r="H1052" i="1"/>
  <c r="AD1052" i="1" s="1"/>
  <c r="H1063" i="1"/>
  <c r="H1050" i="1"/>
  <c r="AD1050" i="1" s="1"/>
  <c r="H1042" i="1"/>
  <c r="AD1042" i="1" s="1"/>
  <c r="H1019" i="1"/>
  <c r="H1044" i="1"/>
  <c r="AD1044" i="1" s="1"/>
  <c r="AD1154" i="1"/>
  <c r="H1155" i="1"/>
  <c r="H1172" i="1"/>
  <c r="AD1172" i="1" s="1"/>
  <c r="H1160" i="1"/>
  <c r="AD466" i="1"/>
  <c r="H468" i="1"/>
  <c r="AD468" i="1" s="1"/>
  <c r="H467" i="1"/>
  <c r="AD467" i="1" s="1"/>
  <c r="H473" i="1"/>
  <c r="H469" i="1"/>
  <c r="AD484" i="1"/>
  <c r="BA484" i="1" s="1"/>
  <c r="H495" i="1"/>
  <c r="AD495" i="1" s="1"/>
  <c r="H494" i="1"/>
  <c r="AD494" i="1" s="1"/>
  <c r="H491" i="1"/>
  <c r="H507" i="1"/>
  <c r="H485" i="1"/>
  <c r="H499" i="1"/>
  <c r="H497" i="1"/>
  <c r="AD497" i="1" s="1"/>
  <c r="H496" i="1"/>
  <c r="AD496" i="1" s="1"/>
  <c r="H498" i="1"/>
  <c r="AD498" i="1" s="1"/>
  <c r="AD704" i="1"/>
  <c r="H709" i="1"/>
  <c r="AD709" i="1" s="1"/>
  <c r="H710" i="1"/>
  <c r="AD710" i="1" s="1"/>
  <c r="H708" i="1"/>
  <c r="AD708" i="1" s="1"/>
  <c r="H705" i="1"/>
  <c r="AD783" i="1"/>
  <c r="BA783" i="1" s="1"/>
  <c r="H791" i="1"/>
  <c r="AD791" i="1" s="1"/>
  <c r="H790" i="1"/>
  <c r="AD790" i="1" s="1"/>
  <c r="H789" i="1"/>
  <c r="AD789" i="1" s="1"/>
  <c r="BA789" i="1" s="1"/>
  <c r="H788" i="1"/>
  <c r="AD788" i="1" s="1"/>
  <c r="H784" i="1"/>
  <c r="AD559" i="1"/>
  <c r="H568" i="1"/>
  <c r="H567" i="1"/>
  <c r="AD567" i="1" s="1"/>
  <c r="BA567" i="1" s="1"/>
  <c r="H573" i="1"/>
  <c r="H566" i="1"/>
  <c r="AD566" i="1" s="1"/>
  <c r="H561" i="1"/>
  <c r="H565" i="1"/>
  <c r="AD565" i="1" s="1"/>
  <c r="H564" i="1"/>
  <c r="AD564" i="1" s="1"/>
  <c r="H572" i="1"/>
  <c r="AD572" i="1" s="1"/>
  <c r="H560" i="1"/>
  <c r="AD560" i="1" s="1"/>
  <c r="H571" i="1"/>
  <c r="AD571" i="1" s="1"/>
  <c r="AD691" i="1"/>
  <c r="H696" i="1"/>
  <c r="AD696" i="1" s="1"/>
  <c r="H692" i="1"/>
  <c r="AD1113" i="1"/>
  <c r="H1114" i="1"/>
  <c r="AD1114" i="1" s="1"/>
  <c r="AD795" i="1"/>
  <c r="H817" i="1"/>
  <c r="AD817" i="1" s="1"/>
  <c r="H815" i="1"/>
  <c r="AD815" i="1" s="1"/>
  <c r="H803" i="1"/>
  <c r="H814" i="1"/>
  <c r="AD814" i="1" s="1"/>
  <c r="H812" i="1"/>
  <c r="H796" i="1"/>
  <c r="AD1173" i="1"/>
  <c r="H1177" i="1"/>
  <c r="H1174" i="1"/>
  <c r="AD4" i="1"/>
  <c r="BA4" i="1" s="1"/>
  <c r="H208" i="1"/>
  <c r="H197" i="1"/>
  <c r="AD197" i="1" s="1"/>
  <c r="BA197" i="1" s="1"/>
  <c r="H207" i="1"/>
  <c r="AD207" i="1" s="1"/>
  <c r="H194" i="1"/>
  <c r="H206" i="1"/>
  <c r="AD206" i="1" s="1"/>
  <c r="H130" i="1"/>
  <c r="H205" i="1"/>
  <c r="AD205" i="1" s="1"/>
  <c r="BA205" i="1" s="1"/>
  <c r="H75" i="1"/>
  <c r="H203" i="1"/>
  <c r="AD203" i="1" s="1"/>
  <c r="BA203" i="1" s="1"/>
  <c r="H204" i="1"/>
  <c r="AD204" i="1" s="1"/>
  <c r="BA204" i="1" s="1"/>
  <c r="H5" i="1"/>
  <c r="H202" i="1"/>
  <c r="AD202" i="1" s="1"/>
  <c r="H210" i="1"/>
  <c r="AD210" i="1" s="1"/>
  <c r="H198" i="1"/>
  <c r="AD612" i="1"/>
  <c r="H614" i="1"/>
  <c r="AD614" i="1" s="1"/>
  <c r="H613" i="1"/>
  <c r="AD613" i="1" s="1"/>
  <c r="BA613" i="1" s="1"/>
  <c r="AD378" i="1"/>
  <c r="H453" i="1"/>
  <c r="AD453" i="1" s="1"/>
  <c r="BA453" i="1" s="1"/>
  <c r="H424" i="1"/>
  <c r="H460" i="1"/>
  <c r="H465" i="1"/>
  <c r="AD465" i="1" s="1"/>
  <c r="H402" i="1"/>
  <c r="H464" i="1"/>
  <c r="AD464" i="1" s="1"/>
  <c r="H379" i="1"/>
  <c r="H463" i="1"/>
  <c r="AD463" i="1" s="1"/>
  <c r="BA463" i="1" s="1"/>
  <c r="H457" i="1"/>
  <c r="H454" i="1"/>
  <c r="AD738" i="1"/>
  <c r="H740" i="1"/>
  <c r="AD740" i="1" s="1"/>
  <c r="H739" i="1"/>
  <c r="AD739" i="1" s="1"/>
  <c r="BA739" i="1" s="1"/>
  <c r="AD656" i="1"/>
  <c r="BA656" i="1" s="1"/>
  <c r="H657" i="1"/>
  <c r="AD657" i="1" s="1"/>
  <c r="H658" i="1"/>
  <c r="AD658" i="1" s="1"/>
  <c r="BA658" i="1" s="1"/>
  <c r="H659" i="1"/>
  <c r="AD659" i="1" s="1"/>
  <c r="AD550" i="1"/>
  <c r="H553" i="1"/>
  <c r="H551" i="1"/>
  <c r="AD551" i="1" s="1"/>
  <c r="H552" i="1"/>
  <c r="AD552" i="1" s="1"/>
  <c r="AD599" i="1"/>
  <c r="H601" i="1"/>
  <c r="AD601" i="1" s="1"/>
  <c r="H602" i="1"/>
  <c r="AD602" i="1" s="1"/>
  <c r="H600" i="1"/>
  <c r="AD600" i="1" s="1"/>
  <c r="AD699" i="1"/>
  <c r="BA699" i="1" s="1"/>
  <c r="H701" i="1"/>
  <c r="AD701" i="1" s="1"/>
  <c r="H700" i="1"/>
  <c r="AD700" i="1" s="1"/>
  <c r="AD872" i="1"/>
  <c r="H895" i="1"/>
  <c r="AD895" i="1" s="1"/>
  <c r="H894" i="1"/>
  <c r="AD894" i="1" s="1"/>
  <c r="H898" i="1"/>
  <c r="AD898" i="1" s="1"/>
  <c r="H901" i="1"/>
  <c r="AD901" i="1" s="1"/>
  <c r="H892" i="1"/>
  <c r="H882" i="1"/>
  <c r="H899" i="1"/>
  <c r="AD899" i="1" s="1"/>
  <c r="H873" i="1"/>
  <c r="H897" i="1"/>
  <c r="AD897" i="1" s="1"/>
  <c r="H896" i="1"/>
  <c r="AD896" i="1" s="1"/>
  <c r="AD818" i="1"/>
  <c r="H840" i="1"/>
  <c r="AD840" i="1" s="1"/>
  <c r="H839" i="1"/>
  <c r="AD839" i="1" s="1"/>
  <c r="H838" i="1"/>
  <c r="AD838" i="1" s="1"/>
  <c r="H826" i="1"/>
  <c r="H835" i="1"/>
  <c r="H819" i="1"/>
  <c r="AD1180" i="1"/>
  <c r="H1184" i="1"/>
  <c r="H1181" i="1"/>
  <c r="AD1079" i="1"/>
  <c r="H1080" i="1"/>
  <c r="AD1080" i="1" s="1"/>
  <c r="CR1080" i="1" s="1"/>
  <c r="CR1079" i="1" l="1"/>
  <c r="AD1220" i="1"/>
  <c r="AE1220" i="1" s="1"/>
  <c r="X1339" i="1"/>
  <c r="AD1339" i="1"/>
  <c r="AE1339" i="1" s="1"/>
  <c r="AD1348" i="1"/>
  <c r="AE1348" i="1" s="1"/>
  <c r="CR1048" i="1"/>
  <c r="AN1048" i="1"/>
  <c r="AO1048" i="1"/>
  <c r="CR934" i="1"/>
  <c r="AN934" i="1"/>
  <c r="AO934" i="1"/>
  <c r="CR839" i="1"/>
  <c r="AO839" i="1"/>
  <c r="AN839" i="1"/>
  <c r="AN1113" i="1"/>
  <c r="AO1113" i="1"/>
  <c r="CR1050" i="1"/>
  <c r="AN1050" i="1"/>
  <c r="AO1050" i="1"/>
  <c r="CR1045" i="1"/>
  <c r="AN1045" i="1"/>
  <c r="AO1045" i="1"/>
  <c r="AN1014" i="1"/>
  <c r="AO1014" i="1"/>
  <c r="CR981" i="1"/>
  <c r="AN981" i="1"/>
  <c r="AO981" i="1"/>
  <c r="CR867" i="1"/>
  <c r="AN867" i="1"/>
  <c r="AO867" i="1"/>
  <c r="CR932" i="1"/>
  <c r="AN932" i="1"/>
  <c r="AO932" i="1"/>
  <c r="CR952" i="1"/>
  <c r="AN952" i="1"/>
  <c r="AO952" i="1"/>
  <c r="AO1099" i="1"/>
  <c r="AN1099" i="1"/>
  <c r="AO1125" i="1"/>
  <c r="AN1125" i="1"/>
  <c r="CR1114" i="1"/>
  <c r="AN1114" i="1"/>
  <c r="AO1114" i="1"/>
  <c r="AO954" i="1"/>
  <c r="AN954" i="1"/>
  <c r="CR840" i="1"/>
  <c r="AO840" i="1"/>
  <c r="AN840" i="1"/>
  <c r="CR901" i="1"/>
  <c r="AO901" i="1"/>
  <c r="AN901" i="1"/>
  <c r="CR1053" i="1"/>
  <c r="AN1053" i="1"/>
  <c r="AO1053" i="1"/>
  <c r="CR929" i="1"/>
  <c r="AO929" i="1"/>
  <c r="AN929" i="1"/>
  <c r="AN1091" i="1"/>
  <c r="AO1091" i="1"/>
  <c r="CR838" i="1"/>
  <c r="AN838" i="1"/>
  <c r="AO838" i="1"/>
  <c r="AN1173" i="1"/>
  <c r="AO1173" i="1"/>
  <c r="CR1037" i="1"/>
  <c r="AN1037" i="1"/>
  <c r="AO1037" i="1"/>
  <c r="CR938" i="1"/>
  <c r="AN938" i="1"/>
  <c r="AO938" i="1"/>
  <c r="AO818" i="1"/>
  <c r="AN818" i="1"/>
  <c r="AN898" i="1"/>
  <c r="AO898" i="1"/>
  <c r="CR814" i="1"/>
  <c r="AO814" i="1"/>
  <c r="AN814" i="1"/>
  <c r="CR1172" i="1"/>
  <c r="AN1172" i="1"/>
  <c r="AO1172" i="1"/>
  <c r="CR1052" i="1"/>
  <c r="AN1052" i="1"/>
  <c r="AO1052" i="1"/>
  <c r="CR1038" i="1"/>
  <c r="AN1038" i="1"/>
  <c r="AO1038" i="1"/>
  <c r="AN1041" i="1"/>
  <c r="AO1041" i="1"/>
  <c r="CR1016" i="1"/>
  <c r="AN1016" i="1"/>
  <c r="AO1016" i="1"/>
  <c r="CR870" i="1"/>
  <c r="AN870" i="1"/>
  <c r="AO870" i="1"/>
  <c r="CR868" i="1"/>
  <c r="AN868" i="1"/>
  <c r="AO868" i="1"/>
  <c r="CR937" i="1"/>
  <c r="AN937" i="1"/>
  <c r="AO937" i="1"/>
  <c r="CR922" i="1"/>
  <c r="AO922" i="1"/>
  <c r="AN922" i="1"/>
  <c r="CR927" i="1"/>
  <c r="AN927" i="1"/>
  <c r="AO927" i="1"/>
  <c r="AO1197" i="1"/>
  <c r="AN1197" i="1"/>
  <c r="AO1180" i="1"/>
  <c r="AN1180" i="1"/>
  <c r="AN896" i="1"/>
  <c r="AO896" i="1"/>
  <c r="CR894" i="1"/>
  <c r="AN894" i="1"/>
  <c r="AO894" i="1"/>
  <c r="CR1046" i="1"/>
  <c r="AN1046" i="1"/>
  <c r="AO1046" i="1"/>
  <c r="CR1049" i="1"/>
  <c r="AN1049" i="1"/>
  <c r="AO1049" i="1"/>
  <c r="CR977" i="1"/>
  <c r="AO977" i="1"/>
  <c r="AN977" i="1"/>
  <c r="AN841" i="1"/>
  <c r="AO841" i="1"/>
  <c r="CR923" i="1"/>
  <c r="AO923" i="1"/>
  <c r="AN923" i="1"/>
  <c r="CR925" i="1"/>
  <c r="AN925" i="1"/>
  <c r="AO925" i="1"/>
  <c r="CR935" i="1"/>
  <c r="AN935" i="1"/>
  <c r="AO935" i="1"/>
  <c r="CR1198" i="1"/>
  <c r="AO1198" i="1"/>
  <c r="AN1198" i="1"/>
  <c r="CR924" i="1"/>
  <c r="AN924" i="1"/>
  <c r="AO924" i="1"/>
  <c r="CR897" i="1"/>
  <c r="AN897" i="1"/>
  <c r="AO897" i="1"/>
  <c r="CR895" i="1"/>
  <c r="AO895" i="1"/>
  <c r="AN895" i="1"/>
  <c r="CR815" i="1"/>
  <c r="AO815" i="1"/>
  <c r="AN815" i="1"/>
  <c r="AN1154" i="1"/>
  <c r="AO1154" i="1"/>
  <c r="CR1043" i="1"/>
  <c r="AN1043" i="1"/>
  <c r="AO1043" i="1"/>
  <c r="CR1039" i="1"/>
  <c r="AO1039" i="1"/>
  <c r="AN1039" i="1"/>
  <c r="AN1010" i="1"/>
  <c r="AO1010" i="1"/>
  <c r="CR1012" i="1"/>
  <c r="AN1012" i="1"/>
  <c r="AO1012" i="1"/>
  <c r="CR978" i="1"/>
  <c r="AN978" i="1"/>
  <c r="AO978" i="1"/>
  <c r="CR864" i="1"/>
  <c r="AN864" i="1"/>
  <c r="AO864" i="1"/>
  <c r="CR931" i="1"/>
  <c r="AN931" i="1"/>
  <c r="AO931" i="1"/>
  <c r="CR933" i="1"/>
  <c r="AN933" i="1"/>
  <c r="AO933" i="1"/>
  <c r="AN903" i="1"/>
  <c r="AO903" i="1"/>
  <c r="AO1196" i="1"/>
  <c r="AN1196" i="1"/>
  <c r="CR1098" i="1"/>
  <c r="AN1098" i="1"/>
  <c r="AO1098" i="1"/>
  <c r="AN872" i="1"/>
  <c r="AO872" i="1"/>
  <c r="CR817" i="1"/>
  <c r="AO817" i="1"/>
  <c r="AN817" i="1"/>
  <c r="CR1044" i="1"/>
  <c r="AN1044" i="1"/>
  <c r="AO1044" i="1"/>
  <c r="CR1051" i="1"/>
  <c r="AN1051" i="1"/>
  <c r="AO1051" i="1"/>
  <c r="CR1047" i="1"/>
  <c r="AN1047" i="1"/>
  <c r="AO1047" i="1"/>
  <c r="AN1018" i="1"/>
  <c r="AO1018" i="1"/>
  <c r="CR1011" i="1"/>
  <c r="AN1011" i="1"/>
  <c r="AO1011" i="1"/>
  <c r="CR1009" i="1"/>
  <c r="AN1009" i="1"/>
  <c r="AO1009" i="1"/>
  <c r="CR1153" i="1"/>
  <c r="AO1153" i="1"/>
  <c r="AN1153" i="1"/>
  <c r="CR979" i="1"/>
  <c r="AN979" i="1"/>
  <c r="AO979" i="1"/>
  <c r="CR863" i="1"/>
  <c r="AO863" i="1"/>
  <c r="AN863" i="1"/>
  <c r="CR928" i="1"/>
  <c r="AN928" i="1"/>
  <c r="AO928" i="1"/>
  <c r="CR1097" i="1"/>
  <c r="AN1097" i="1"/>
  <c r="AO1097" i="1"/>
  <c r="CR1042" i="1"/>
  <c r="AN1042" i="1"/>
  <c r="AO1042" i="1"/>
  <c r="CR866" i="1"/>
  <c r="AN866" i="1"/>
  <c r="AO866" i="1"/>
  <c r="CR899" i="1"/>
  <c r="AN899" i="1"/>
  <c r="AO899" i="1"/>
  <c r="AO795" i="1"/>
  <c r="AN795" i="1"/>
  <c r="CR1067" i="1"/>
  <c r="AN1067" i="1"/>
  <c r="AO1067" i="1"/>
  <c r="CR1040" i="1"/>
  <c r="AO1040" i="1"/>
  <c r="AN1040" i="1"/>
  <c r="CR1013" i="1"/>
  <c r="AN1013" i="1"/>
  <c r="AO1013" i="1"/>
  <c r="AO986" i="1"/>
  <c r="AN986" i="1"/>
  <c r="AN1135" i="1"/>
  <c r="AO1135" i="1"/>
  <c r="CR980" i="1"/>
  <c r="AN980" i="1"/>
  <c r="AO980" i="1"/>
  <c r="CR865" i="1"/>
  <c r="AN865" i="1"/>
  <c r="AO865" i="1"/>
  <c r="CR936" i="1"/>
  <c r="AN936" i="1"/>
  <c r="AO936" i="1"/>
  <c r="CR930" i="1"/>
  <c r="AN930" i="1"/>
  <c r="AO930" i="1"/>
  <c r="CR926" i="1"/>
  <c r="AN926" i="1"/>
  <c r="AO926" i="1"/>
  <c r="CR1096" i="1"/>
  <c r="AN1096" i="1"/>
  <c r="AO1096" i="1"/>
  <c r="CR700" i="1"/>
  <c r="BB700" i="1"/>
  <c r="BC700" i="1"/>
  <c r="BA700" i="1"/>
  <c r="AO700" i="1"/>
  <c r="AN700" i="1"/>
  <c r="CR551" i="1"/>
  <c r="BB551" i="1"/>
  <c r="BC551" i="1"/>
  <c r="AN551" i="1"/>
  <c r="AO551" i="1"/>
  <c r="CR740" i="1"/>
  <c r="BB740" i="1"/>
  <c r="BC740" i="1"/>
  <c r="AO740" i="1"/>
  <c r="AN740" i="1"/>
  <c r="BA740" i="1"/>
  <c r="CR465" i="1"/>
  <c r="BB465" i="1"/>
  <c r="BC465" i="1"/>
  <c r="AO465" i="1"/>
  <c r="AN465" i="1"/>
  <c r="CR572" i="1"/>
  <c r="BB572" i="1"/>
  <c r="BC572" i="1"/>
  <c r="AN572" i="1"/>
  <c r="AO572" i="1"/>
  <c r="BA572" i="1"/>
  <c r="BB559" i="1"/>
  <c r="BC559" i="1"/>
  <c r="AN559" i="1"/>
  <c r="AO559" i="1"/>
  <c r="CR708" i="1"/>
  <c r="BB708" i="1"/>
  <c r="BC708" i="1"/>
  <c r="AO708" i="1"/>
  <c r="AN708" i="1"/>
  <c r="BA708" i="1"/>
  <c r="CR467" i="1"/>
  <c r="BB467" i="1"/>
  <c r="BC467" i="1"/>
  <c r="AO467" i="1"/>
  <c r="AN467" i="1"/>
  <c r="CR226" i="1"/>
  <c r="BC226" i="1"/>
  <c r="BB226" i="1"/>
  <c r="AN226" i="1"/>
  <c r="BA226" i="1"/>
  <c r="AO226" i="1"/>
  <c r="BB222" i="1"/>
  <c r="BC222" i="1"/>
  <c r="AO222" i="1"/>
  <c r="AN222" i="1"/>
  <c r="CR754" i="1"/>
  <c r="BB754" i="1"/>
  <c r="BC754" i="1"/>
  <c r="AO754" i="1"/>
  <c r="AN754" i="1"/>
  <c r="CR667" i="1"/>
  <c r="BC667" i="1"/>
  <c r="BB667" i="1"/>
  <c r="AN667" i="1"/>
  <c r="AO667" i="1"/>
  <c r="CR581" i="1"/>
  <c r="BC581" i="1"/>
  <c r="BB581" i="1"/>
  <c r="AO581" i="1"/>
  <c r="AN581" i="1"/>
  <c r="BB577" i="1"/>
  <c r="BC577" i="1"/>
  <c r="AO577" i="1"/>
  <c r="AN577" i="1"/>
  <c r="CR712" i="1"/>
  <c r="BB712" i="1"/>
  <c r="BC712" i="1"/>
  <c r="AN712" i="1"/>
  <c r="BA712" i="1"/>
  <c r="AO712" i="1"/>
  <c r="CR605" i="1"/>
  <c r="BC605" i="1"/>
  <c r="BB605" i="1"/>
  <c r="AN605" i="1"/>
  <c r="AO605" i="1"/>
  <c r="CR243" i="1"/>
  <c r="AD1352" i="1" s="1"/>
  <c r="AE1352" i="1" s="1"/>
  <c r="BB243" i="1"/>
  <c r="BC243" i="1"/>
  <c r="BA243" i="1"/>
  <c r="AO243" i="1"/>
  <c r="AN243" i="1"/>
  <c r="BB234" i="1"/>
  <c r="BC234" i="1"/>
  <c r="BA234" i="1"/>
  <c r="AN234" i="1"/>
  <c r="AO234" i="1"/>
  <c r="CR518" i="1"/>
  <c r="BB518" i="1"/>
  <c r="BC518" i="1"/>
  <c r="BA518" i="1"/>
  <c r="AO518" i="1"/>
  <c r="AN518" i="1"/>
  <c r="CR619" i="1"/>
  <c r="BC619" i="1"/>
  <c r="BB619" i="1"/>
  <c r="BA619" i="1"/>
  <c r="AO619" i="1"/>
  <c r="AN619" i="1"/>
  <c r="CR767" i="1"/>
  <c r="BB767" i="1"/>
  <c r="BC767" i="1"/>
  <c r="BA767" i="1"/>
  <c r="AN767" i="1"/>
  <c r="AO767" i="1"/>
  <c r="CR687" i="1"/>
  <c r="BB687" i="1"/>
  <c r="BC687" i="1"/>
  <c r="BA687" i="1"/>
  <c r="AO687" i="1"/>
  <c r="AN687" i="1"/>
  <c r="BA551" i="1"/>
  <c r="CR701" i="1"/>
  <c r="BC701" i="1"/>
  <c r="BB701" i="1"/>
  <c r="AO701" i="1"/>
  <c r="BA701" i="1"/>
  <c r="AN701" i="1"/>
  <c r="BB738" i="1"/>
  <c r="BC738" i="1"/>
  <c r="AO738" i="1"/>
  <c r="AN738" i="1"/>
  <c r="BC210" i="1"/>
  <c r="BB210" i="1"/>
  <c r="AN210" i="1"/>
  <c r="AO210" i="1"/>
  <c r="BA210" i="1"/>
  <c r="CR206" i="1"/>
  <c r="BB206" i="1"/>
  <c r="BC206" i="1"/>
  <c r="AO206" i="1"/>
  <c r="AN206" i="1"/>
  <c r="CR564" i="1"/>
  <c r="BB564" i="1"/>
  <c r="BC564" i="1"/>
  <c r="AN564" i="1"/>
  <c r="AO564" i="1"/>
  <c r="BA564" i="1"/>
  <c r="CR710" i="1"/>
  <c r="BB710" i="1"/>
  <c r="BC710" i="1"/>
  <c r="BA710" i="1"/>
  <c r="AO710" i="1"/>
  <c r="AN710" i="1"/>
  <c r="CR468" i="1"/>
  <c r="BB468" i="1"/>
  <c r="BC468" i="1"/>
  <c r="AN468" i="1"/>
  <c r="AO468" i="1"/>
  <c r="CR223" i="1"/>
  <c r="BB223" i="1"/>
  <c r="BC223" i="1"/>
  <c r="BA223" i="1"/>
  <c r="AN223" i="1"/>
  <c r="AO223" i="1"/>
  <c r="CR219" i="1"/>
  <c r="BB219" i="1"/>
  <c r="BC219" i="1"/>
  <c r="BA219" i="1"/>
  <c r="AO219" i="1"/>
  <c r="AN219" i="1"/>
  <c r="CR230" i="1"/>
  <c r="BB230" i="1"/>
  <c r="BC230" i="1"/>
  <c r="AO230" i="1"/>
  <c r="AN230" i="1"/>
  <c r="CR755" i="1"/>
  <c r="BC755" i="1"/>
  <c r="BB755" i="1"/>
  <c r="AN755" i="1"/>
  <c r="AO755" i="1"/>
  <c r="CR725" i="1"/>
  <c r="BC725" i="1"/>
  <c r="BB725" i="1"/>
  <c r="AO725" i="1"/>
  <c r="AN725" i="1"/>
  <c r="BA725" i="1"/>
  <c r="BB666" i="1"/>
  <c r="BC666" i="1"/>
  <c r="AO666" i="1"/>
  <c r="AN666" i="1"/>
  <c r="CR589" i="1"/>
  <c r="BC589" i="1"/>
  <c r="BB589" i="1"/>
  <c r="AO589" i="1"/>
  <c r="AN589" i="1"/>
  <c r="CR758" i="1"/>
  <c r="BB758" i="1"/>
  <c r="BC758" i="1"/>
  <c r="BA758" i="1"/>
  <c r="AO758" i="1"/>
  <c r="AN758" i="1"/>
  <c r="CR715" i="1"/>
  <c r="BC715" i="1"/>
  <c r="BB715" i="1"/>
  <c r="AN715" i="1"/>
  <c r="AO715" i="1"/>
  <c r="CR606" i="1"/>
  <c r="BB606" i="1"/>
  <c r="BC606" i="1"/>
  <c r="AO606" i="1"/>
  <c r="AN606" i="1"/>
  <c r="BA606" i="1"/>
  <c r="CR357" i="1"/>
  <c r="BB357" i="1"/>
  <c r="BC357" i="1"/>
  <c r="AN357" i="1"/>
  <c r="AO357" i="1"/>
  <c r="CR350" i="1"/>
  <c r="BB350" i="1"/>
  <c r="BC350" i="1"/>
  <c r="AN350" i="1"/>
  <c r="AO350" i="1"/>
  <c r="CR319" i="1"/>
  <c r="BB319" i="1"/>
  <c r="BC319" i="1"/>
  <c r="AN319" i="1"/>
  <c r="AO319" i="1"/>
  <c r="BA319" i="1"/>
  <c r="CR354" i="1"/>
  <c r="BB354" i="1"/>
  <c r="BC354" i="1"/>
  <c r="AO354" i="1"/>
  <c r="AN354" i="1"/>
  <c r="CR519" i="1"/>
  <c r="BC519" i="1"/>
  <c r="BB519" i="1"/>
  <c r="AN519" i="1"/>
  <c r="AO519" i="1"/>
  <c r="CR525" i="1"/>
  <c r="BC525" i="1"/>
  <c r="BB525" i="1"/>
  <c r="AN525" i="1"/>
  <c r="AO525" i="1"/>
  <c r="CR537" i="1"/>
  <c r="BB537" i="1"/>
  <c r="BC537" i="1"/>
  <c r="AO537" i="1"/>
  <c r="AN537" i="1"/>
  <c r="BB618" i="1"/>
  <c r="BC618" i="1"/>
  <c r="AO618" i="1"/>
  <c r="AN618" i="1"/>
  <c r="BA618" i="1"/>
  <c r="CR686" i="1"/>
  <c r="BB686" i="1"/>
  <c r="BC686" i="1"/>
  <c r="BA686" i="1"/>
  <c r="AO686" i="1"/>
  <c r="AN686" i="1"/>
  <c r="BA206" i="1"/>
  <c r="BA537" i="1"/>
  <c r="BA525" i="1"/>
  <c r="BA467" i="1"/>
  <c r="BA468" i="1"/>
  <c r="BC699" i="1"/>
  <c r="BB699" i="1"/>
  <c r="AN699" i="1"/>
  <c r="AO699" i="1"/>
  <c r="BB550" i="1"/>
  <c r="BC550" i="1"/>
  <c r="AO550" i="1"/>
  <c r="AN550" i="1"/>
  <c r="CR202" i="1"/>
  <c r="BC202" i="1"/>
  <c r="BB202" i="1"/>
  <c r="AN202" i="1"/>
  <c r="BA202" i="1"/>
  <c r="AO202" i="1"/>
  <c r="CR565" i="1"/>
  <c r="BC565" i="1"/>
  <c r="BB565" i="1"/>
  <c r="AN565" i="1"/>
  <c r="AO565" i="1"/>
  <c r="CR788" i="1"/>
  <c r="BB788" i="1"/>
  <c r="BC788" i="1"/>
  <c r="AO788" i="1"/>
  <c r="BA788" i="1"/>
  <c r="AN788" i="1"/>
  <c r="CR709" i="1"/>
  <c r="BC709" i="1"/>
  <c r="BB709" i="1"/>
  <c r="BA709" i="1"/>
  <c r="AN709" i="1"/>
  <c r="AO709" i="1"/>
  <c r="CR466" i="1"/>
  <c r="BB466" i="1"/>
  <c r="BC466" i="1"/>
  <c r="AO466" i="1"/>
  <c r="AN466" i="1"/>
  <c r="BA466" i="1"/>
  <c r="CR231" i="1"/>
  <c r="BB231" i="1"/>
  <c r="BC231" i="1"/>
  <c r="AN231" i="1"/>
  <c r="AO231" i="1"/>
  <c r="BA231" i="1"/>
  <c r="CR227" i="1"/>
  <c r="BB227" i="1"/>
  <c r="BC227" i="1"/>
  <c r="AO227" i="1"/>
  <c r="AN227" i="1"/>
  <c r="BA227" i="1"/>
  <c r="BB211" i="1"/>
  <c r="BC211" i="1"/>
  <c r="AO211" i="1"/>
  <c r="AN211" i="1"/>
  <c r="CR741" i="1"/>
  <c r="BC741" i="1"/>
  <c r="BB741" i="1"/>
  <c r="BA741" i="1"/>
  <c r="AO741" i="1"/>
  <c r="AN741" i="1"/>
  <c r="CR726" i="1"/>
  <c r="BB726" i="1"/>
  <c r="BC726" i="1"/>
  <c r="AO726" i="1"/>
  <c r="AN726" i="1"/>
  <c r="CR585" i="1"/>
  <c r="BB585" i="1"/>
  <c r="BC585" i="1"/>
  <c r="AO585" i="1"/>
  <c r="AN585" i="1"/>
  <c r="CR582" i="1"/>
  <c r="BB582" i="1"/>
  <c r="BC582" i="1"/>
  <c r="BA582" i="1"/>
  <c r="AN582" i="1"/>
  <c r="AO582" i="1"/>
  <c r="CR714" i="1"/>
  <c r="BB714" i="1"/>
  <c r="BC714" i="1"/>
  <c r="AO714" i="1"/>
  <c r="AN714" i="1"/>
  <c r="BB604" i="1"/>
  <c r="BC604" i="1"/>
  <c r="BA604" i="1"/>
  <c r="AN604" i="1"/>
  <c r="AO604" i="1"/>
  <c r="CR356" i="1"/>
  <c r="BB356" i="1"/>
  <c r="BC356" i="1"/>
  <c r="AO356" i="1"/>
  <c r="BA356" i="1"/>
  <c r="AN356" i="1"/>
  <c r="CR242" i="1"/>
  <c r="BB242" i="1"/>
  <c r="BC242" i="1"/>
  <c r="AO242" i="1"/>
  <c r="AN242" i="1"/>
  <c r="CR337" i="1"/>
  <c r="BB337" i="1"/>
  <c r="BC337" i="1"/>
  <c r="AO337" i="1"/>
  <c r="AN337" i="1"/>
  <c r="BA337" i="1"/>
  <c r="CR538" i="1"/>
  <c r="BB538" i="1"/>
  <c r="BC538" i="1"/>
  <c r="AN538" i="1"/>
  <c r="AO538" i="1"/>
  <c r="BA538" i="1"/>
  <c r="CR544" i="1"/>
  <c r="BB544" i="1"/>
  <c r="BC544" i="1"/>
  <c r="BA544" i="1"/>
  <c r="AO544" i="1"/>
  <c r="AN544" i="1"/>
  <c r="BB513" i="1"/>
  <c r="BC513" i="1"/>
  <c r="AO513" i="1"/>
  <c r="AN513" i="1"/>
  <c r="CR777" i="1"/>
  <c r="BB777" i="1"/>
  <c r="BC777" i="1"/>
  <c r="AN777" i="1"/>
  <c r="AO777" i="1"/>
  <c r="BA777" i="1"/>
  <c r="CR721" i="1"/>
  <c r="BB721" i="1"/>
  <c r="BC721" i="1"/>
  <c r="BA721" i="1"/>
  <c r="AN721" i="1"/>
  <c r="AO721" i="1"/>
  <c r="BA354" i="1"/>
  <c r="BA242" i="1"/>
  <c r="BA666" i="1"/>
  <c r="BB600" i="1"/>
  <c r="BC600" i="1"/>
  <c r="AO600" i="1"/>
  <c r="AN600" i="1"/>
  <c r="CR659" i="1"/>
  <c r="BC659" i="1"/>
  <c r="BB659" i="1"/>
  <c r="AN659" i="1"/>
  <c r="AO659" i="1"/>
  <c r="CR453" i="1"/>
  <c r="BB453" i="1"/>
  <c r="BC453" i="1"/>
  <c r="AO453" i="1"/>
  <c r="AN453" i="1"/>
  <c r="CR207" i="1"/>
  <c r="BB207" i="1"/>
  <c r="BC207" i="1"/>
  <c r="BA207" i="1"/>
  <c r="AN207" i="1"/>
  <c r="AO207" i="1"/>
  <c r="CR789" i="1"/>
  <c r="BC789" i="1"/>
  <c r="BB789" i="1"/>
  <c r="AO789" i="1"/>
  <c r="AN789" i="1"/>
  <c r="BB704" i="1"/>
  <c r="BC704" i="1"/>
  <c r="AN704" i="1"/>
  <c r="AO704" i="1"/>
  <c r="BA704" i="1"/>
  <c r="CR494" i="1"/>
  <c r="BB494" i="1"/>
  <c r="BC494" i="1"/>
  <c r="BA494" i="1"/>
  <c r="AO494" i="1"/>
  <c r="AN494" i="1"/>
  <c r="CR212" i="1"/>
  <c r="BB212" i="1"/>
  <c r="BC212" i="1"/>
  <c r="AN212" i="1"/>
  <c r="AO212" i="1"/>
  <c r="BB233" i="1"/>
  <c r="BC233" i="1"/>
  <c r="BA233" i="1"/>
  <c r="AO233" i="1"/>
  <c r="AN233" i="1"/>
  <c r="CR742" i="1"/>
  <c r="BB742" i="1"/>
  <c r="BC742" i="1"/>
  <c r="AN742" i="1"/>
  <c r="BA742" i="1"/>
  <c r="AO742" i="1"/>
  <c r="CR632" i="1"/>
  <c r="BB632" i="1"/>
  <c r="BC632" i="1"/>
  <c r="AO632" i="1"/>
  <c r="AN632" i="1"/>
  <c r="BB724" i="1"/>
  <c r="BC724" i="1"/>
  <c r="BA724" i="1"/>
  <c r="AO724" i="1"/>
  <c r="AN724" i="1"/>
  <c r="CR590" i="1"/>
  <c r="BB590" i="1"/>
  <c r="BC590" i="1"/>
  <c r="AO590" i="1"/>
  <c r="AN590" i="1"/>
  <c r="BA590" i="1"/>
  <c r="BC765" i="1"/>
  <c r="BB765" i="1"/>
  <c r="AO765" i="1"/>
  <c r="AN765" i="1"/>
  <c r="CR713" i="1"/>
  <c r="BB713" i="1"/>
  <c r="BC713" i="1"/>
  <c r="AN713" i="1"/>
  <c r="AO713" i="1"/>
  <c r="BA713" i="1"/>
  <c r="BC368" i="1"/>
  <c r="BB368" i="1"/>
  <c r="AO368" i="1"/>
  <c r="AN368" i="1"/>
  <c r="BA368" i="1"/>
  <c r="CR318" i="1"/>
  <c r="BB318" i="1"/>
  <c r="BC318" i="1"/>
  <c r="AO318" i="1"/>
  <c r="AN318" i="1"/>
  <c r="CR353" i="1"/>
  <c r="BB353" i="1"/>
  <c r="BC353" i="1"/>
  <c r="AO353" i="1"/>
  <c r="AN353" i="1"/>
  <c r="CR514" i="1"/>
  <c r="BB514" i="1"/>
  <c r="BC514" i="1"/>
  <c r="BA514" i="1"/>
  <c r="AO514" i="1"/>
  <c r="AN514" i="1"/>
  <c r="CR478" i="1"/>
  <c r="BB478" i="1"/>
  <c r="BC478" i="1"/>
  <c r="AO478" i="1"/>
  <c r="AN478" i="1"/>
  <c r="CR720" i="1"/>
  <c r="BB720" i="1"/>
  <c r="BC720" i="1"/>
  <c r="AO720" i="1"/>
  <c r="AN720" i="1"/>
  <c r="BB679" i="1"/>
  <c r="BC679" i="1"/>
  <c r="AO679" i="1"/>
  <c r="AN679" i="1"/>
  <c r="BA679" i="1"/>
  <c r="BA600" i="1"/>
  <c r="BA519" i="1"/>
  <c r="BA353" i="1"/>
  <c r="BA754" i="1"/>
  <c r="BA230" i="1"/>
  <c r="BA513" i="1"/>
  <c r="BA211" i="1"/>
  <c r="CR602" i="1"/>
  <c r="BB602" i="1"/>
  <c r="BC602" i="1"/>
  <c r="AO602" i="1"/>
  <c r="AN602" i="1"/>
  <c r="BA602" i="1"/>
  <c r="CR658" i="1"/>
  <c r="BB658" i="1"/>
  <c r="BC658" i="1"/>
  <c r="AO658" i="1"/>
  <c r="AN658" i="1"/>
  <c r="CR463" i="1"/>
  <c r="BC463" i="1"/>
  <c r="BB463" i="1"/>
  <c r="AN463" i="1"/>
  <c r="AO463" i="1"/>
  <c r="BB378" i="1"/>
  <c r="BC378" i="1"/>
  <c r="AO378" i="1"/>
  <c r="AN378" i="1"/>
  <c r="BA378" i="1"/>
  <c r="CR204" i="1"/>
  <c r="BB204" i="1"/>
  <c r="BC204" i="1"/>
  <c r="AO204" i="1"/>
  <c r="AN204" i="1"/>
  <c r="CR197" i="1"/>
  <c r="BB197" i="1"/>
  <c r="BC197" i="1"/>
  <c r="AN197" i="1"/>
  <c r="AO197" i="1"/>
  <c r="CR696" i="1"/>
  <c r="BB696" i="1"/>
  <c r="BC696" i="1"/>
  <c r="AO696" i="1"/>
  <c r="AN696" i="1"/>
  <c r="BB566" i="1"/>
  <c r="BC566" i="1"/>
  <c r="AO566" i="1"/>
  <c r="AN566" i="1"/>
  <c r="BA566" i="1"/>
  <c r="CR790" i="1"/>
  <c r="BB790" i="1"/>
  <c r="BC790" i="1"/>
  <c r="AN790" i="1"/>
  <c r="AO790" i="1"/>
  <c r="CR498" i="1"/>
  <c r="BB498" i="1"/>
  <c r="BC498" i="1"/>
  <c r="AO498" i="1"/>
  <c r="AN498" i="1"/>
  <c r="BA498" i="1"/>
  <c r="CR495" i="1"/>
  <c r="BC495" i="1"/>
  <c r="BB495" i="1"/>
  <c r="BA495" i="1"/>
  <c r="AN495" i="1"/>
  <c r="AO495" i="1"/>
  <c r="BB224" i="1"/>
  <c r="BC224" i="1"/>
  <c r="AO224" i="1"/>
  <c r="AN224" i="1"/>
  <c r="CR220" i="1"/>
  <c r="BB220" i="1"/>
  <c r="BC220" i="1"/>
  <c r="AN220" i="1"/>
  <c r="AO220" i="1"/>
  <c r="CR743" i="1"/>
  <c r="BB743" i="1"/>
  <c r="BC743" i="1"/>
  <c r="BA743" i="1"/>
  <c r="AO743" i="1"/>
  <c r="AN743" i="1"/>
  <c r="CR633" i="1"/>
  <c r="BB633" i="1"/>
  <c r="BC633" i="1"/>
  <c r="AO633" i="1"/>
  <c r="AN633" i="1"/>
  <c r="CR616" i="1"/>
  <c r="BB616" i="1"/>
  <c r="BC616" i="1"/>
  <c r="AO616" i="1"/>
  <c r="AN616" i="1"/>
  <c r="CR587" i="1"/>
  <c r="BC587" i="1"/>
  <c r="BB587" i="1"/>
  <c r="BA587" i="1"/>
  <c r="AO587" i="1"/>
  <c r="AN587" i="1"/>
  <c r="CR583" i="1"/>
  <c r="BB583" i="1"/>
  <c r="BC583" i="1"/>
  <c r="AN583" i="1"/>
  <c r="AO583" i="1"/>
  <c r="CR766" i="1"/>
  <c r="BB766" i="1"/>
  <c r="BC766" i="1"/>
  <c r="AO766" i="1"/>
  <c r="AN766" i="1"/>
  <c r="BB711" i="1"/>
  <c r="BC711" i="1"/>
  <c r="AO711" i="1"/>
  <c r="AN711" i="1"/>
  <c r="BA711" i="1"/>
  <c r="CR336" i="1"/>
  <c r="BC336" i="1"/>
  <c r="BB336" i="1"/>
  <c r="AO336" i="1"/>
  <c r="AN336" i="1"/>
  <c r="CR361" i="1"/>
  <c r="BB361" i="1"/>
  <c r="BC361" i="1"/>
  <c r="AO361" i="1"/>
  <c r="AN361" i="1"/>
  <c r="BA361" i="1"/>
  <c r="CR323" i="1"/>
  <c r="BB323" i="1"/>
  <c r="BC323" i="1"/>
  <c r="AN323" i="1"/>
  <c r="AO323" i="1"/>
  <c r="CR520" i="1"/>
  <c r="BB520" i="1"/>
  <c r="BC520" i="1"/>
  <c r="AO520" i="1"/>
  <c r="AN520" i="1"/>
  <c r="BB776" i="1"/>
  <c r="BC776" i="1"/>
  <c r="AN776" i="1"/>
  <c r="AO776" i="1"/>
  <c r="BA776" i="1"/>
  <c r="CR722" i="1"/>
  <c r="BB722" i="1"/>
  <c r="BC722" i="1"/>
  <c r="AO722" i="1"/>
  <c r="AN722" i="1"/>
  <c r="BA696" i="1"/>
  <c r="BA605" i="1"/>
  <c r="BA659" i="1"/>
  <c r="BA632" i="1"/>
  <c r="BA350" i="1"/>
  <c r="BA765" i="1"/>
  <c r="CR601" i="1"/>
  <c r="BB601" i="1"/>
  <c r="BC601" i="1"/>
  <c r="AO601" i="1"/>
  <c r="AN601" i="1"/>
  <c r="CR657" i="1"/>
  <c r="BB657" i="1"/>
  <c r="BC657" i="1"/>
  <c r="AN657" i="1"/>
  <c r="AO657" i="1"/>
  <c r="BC613" i="1"/>
  <c r="BB613" i="1"/>
  <c r="AO613" i="1"/>
  <c r="AN613" i="1"/>
  <c r="CR203" i="1"/>
  <c r="BB203" i="1"/>
  <c r="BC203" i="1"/>
  <c r="AO203" i="1"/>
  <c r="AN203" i="1"/>
  <c r="BC691" i="1"/>
  <c r="BB691" i="1"/>
  <c r="AN691" i="1"/>
  <c r="AO691" i="1"/>
  <c r="CR791" i="1"/>
  <c r="BB791" i="1"/>
  <c r="BC791" i="1"/>
  <c r="BA791" i="1"/>
  <c r="AO791" i="1"/>
  <c r="AN791" i="1"/>
  <c r="CR496" i="1"/>
  <c r="BC496" i="1"/>
  <c r="BB496" i="1"/>
  <c r="AO496" i="1"/>
  <c r="BA496" i="1"/>
  <c r="AN496" i="1"/>
  <c r="BB484" i="1"/>
  <c r="BC484" i="1"/>
  <c r="AN484" i="1"/>
  <c r="AO484" i="1"/>
  <c r="CR232" i="1"/>
  <c r="BB232" i="1"/>
  <c r="BC232" i="1"/>
  <c r="AO232" i="1"/>
  <c r="AN232" i="1"/>
  <c r="BA232" i="1"/>
  <c r="CR228" i="1"/>
  <c r="BB228" i="1"/>
  <c r="BC228" i="1"/>
  <c r="AO228" i="1"/>
  <c r="AN228" i="1"/>
  <c r="CR631" i="1"/>
  <c r="BB631" i="1"/>
  <c r="BC631" i="1"/>
  <c r="AN631" i="1"/>
  <c r="AO631" i="1"/>
  <c r="CR617" i="1"/>
  <c r="BB617" i="1"/>
  <c r="BC617" i="1"/>
  <c r="AO617" i="1"/>
  <c r="AN617" i="1"/>
  <c r="CR586" i="1"/>
  <c r="BB586" i="1"/>
  <c r="BC586" i="1"/>
  <c r="AO586" i="1"/>
  <c r="AN586" i="1"/>
  <c r="BA586" i="1"/>
  <c r="CR591" i="1"/>
  <c r="BB591" i="1"/>
  <c r="BC591" i="1"/>
  <c r="AN591" i="1"/>
  <c r="AO591" i="1"/>
  <c r="CR609" i="1"/>
  <c r="BB609" i="1"/>
  <c r="BC609" i="1"/>
  <c r="AO609" i="1"/>
  <c r="AN609" i="1"/>
  <c r="CR335" i="1"/>
  <c r="BB335" i="1"/>
  <c r="BC335" i="1"/>
  <c r="BA335" i="1"/>
  <c r="AN335" i="1"/>
  <c r="AO335" i="1"/>
  <c r="CR352" i="1"/>
  <c r="BC352" i="1"/>
  <c r="BB352" i="1"/>
  <c r="AO352" i="1"/>
  <c r="AN352" i="1"/>
  <c r="BA352" i="1"/>
  <c r="CR539" i="1"/>
  <c r="BC539" i="1"/>
  <c r="BB539" i="1"/>
  <c r="BA539" i="1"/>
  <c r="AO539" i="1"/>
  <c r="AN539" i="1"/>
  <c r="BC477" i="1"/>
  <c r="BB477" i="1"/>
  <c r="AN477" i="1"/>
  <c r="AO477" i="1"/>
  <c r="CR768" i="1"/>
  <c r="BB768" i="1"/>
  <c r="BC768" i="1"/>
  <c r="AN768" i="1"/>
  <c r="AO768" i="1"/>
  <c r="BA768" i="1"/>
  <c r="BB716" i="1"/>
  <c r="BC716" i="1"/>
  <c r="BA716" i="1"/>
  <c r="AO716" i="1"/>
  <c r="AN716" i="1"/>
  <c r="BA722" i="1"/>
  <c r="BA790" i="1"/>
  <c r="BA318" i="1"/>
  <c r="BA726" i="1"/>
  <c r="BA691" i="1"/>
  <c r="BA220" i="1"/>
  <c r="BA720" i="1"/>
  <c r="BA738" i="1"/>
  <c r="BA323" i="1"/>
  <c r="BB599" i="1"/>
  <c r="BC599" i="1"/>
  <c r="AN599" i="1"/>
  <c r="AO599" i="1"/>
  <c r="BB656" i="1"/>
  <c r="BC656" i="1"/>
  <c r="AO656" i="1"/>
  <c r="AN656" i="1"/>
  <c r="CR464" i="1"/>
  <c r="BC464" i="1"/>
  <c r="BB464" i="1"/>
  <c r="BA464" i="1"/>
  <c r="AO464" i="1"/>
  <c r="AN464" i="1"/>
  <c r="CR614" i="1"/>
  <c r="BB614" i="1"/>
  <c r="BC614" i="1"/>
  <c r="BA614" i="1"/>
  <c r="AO614" i="1"/>
  <c r="AN614" i="1"/>
  <c r="BB4" i="1"/>
  <c r="BC4" i="1"/>
  <c r="AO4" i="1"/>
  <c r="AN4" i="1"/>
  <c r="BC571" i="1"/>
  <c r="BB571" i="1"/>
  <c r="BA571" i="1"/>
  <c r="AO571" i="1"/>
  <c r="AN571" i="1"/>
  <c r="CR567" i="1"/>
  <c r="BB567" i="1"/>
  <c r="BC567" i="1"/>
  <c r="AN567" i="1"/>
  <c r="AO567" i="1"/>
  <c r="BB783" i="1"/>
  <c r="BC783" i="1"/>
  <c r="AO783" i="1"/>
  <c r="AN783" i="1"/>
  <c r="CR497" i="1"/>
  <c r="BB497" i="1"/>
  <c r="BC497" i="1"/>
  <c r="BA497" i="1"/>
  <c r="AO497" i="1"/>
  <c r="AN497" i="1"/>
  <c r="CR225" i="1"/>
  <c r="BB225" i="1"/>
  <c r="BC225" i="1"/>
  <c r="AO225" i="1"/>
  <c r="AN225" i="1"/>
  <c r="BA225" i="1"/>
  <c r="CR221" i="1"/>
  <c r="BB221" i="1"/>
  <c r="BC221" i="1"/>
  <c r="AO221" i="1"/>
  <c r="AN221" i="1"/>
  <c r="BB615" i="1"/>
  <c r="BC615" i="1"/>
  <c r="AN615" i="1"/>
  <c r="AO615" i="1"/>
  <c r="CR584" i="1"/>
  <c r="BB584" i="1"/>
  <c r="BC584" i="1"/>
  <c r="AO584" i="1"/>
  <c r="AN584" i="1"/>
  <c r="CR757" i="1"/>
  <c r="BC757" i="1"/>
  <c r="BB757" i="1"/>
  <c r="BA757" i="1"/>
  <c r="AN757" i="1"/>
  <c r="AO757" i="1"/>
  <c r="BB610" i="1"/>
  <c r="BC610" i="1"/>
  <c r="BA610" i="1"/>
  <c r="AO610" i="1"/>
  <c r="AN610" i="1"/>
  <c r="CR270" i="1"/>
  <c r="BB270" i="1"/>
  <c r="BC270" i="1"/>
  <c r="AO270" i="1"/>
  <c r="AN270" i="1"/>
  <c r="CR351" i="1"/>
  <c r="BB351" i="1"/>
  <c r="BC351" i="1"/>
  <c r="BA351" i="1"/>
  <c r="AN351" i="1"/>
  <c r="AO351" i="1"/>
  <c r="BC360" i="1"/>
  <c r="BB360" i="1"/>
  <c r="AO360" i="1"/>
  <c r="BA360" i="1"/>
  <c r="AN360" i="1"/>
  <c r="CR244" i="1"/>
  <c r="BB244" i="1"/>
  <c r="BC244" i="1"/>
  <c r="AN244" i="1"/>
  <c r="AO244" i="1"/>
  <c r="BB355" i="1"/>
  <c r="BC355" i="1"/>
  <c r="AO355" i="1"/>
  <c r="AN355" i="1"/>
  <c r="BA355" i="1"/>
  <c r="CR524" i="1"/>
  <c r="BB524" i="1"/>
  <c r="BC524" i="1"/>
  <c r="BA524" i="1"/>
  <c r="AO524" i="1"/>
  <c r="AN524" i="1"/>
  <c r="CR769" i="1"/>
  <c r="BB769" i="1"/>
  <c r="BC769" i="1"/>
  <c r="BA769" i="1"/>
  <c r="AN769" i="1"/>
  <c r="AO769" i="1"/>
  <c r="CR684" i="1"/>
  <c r="BB684" i="1"/>
  <c r="BC684" i="1"/>
  <c r="AN684" i="1"/>
  <c r="AO684" i="1"/>
  <c r="BA222" i="1"/>
  <c r="BA565" i="1"/>
  <c r="BA601" i="1"/>
  <c r="BA599" i="1"/>
  <c r="BA589" i="1"/>
  <c r="CR552" i="1"/>
  <c r="BB552" i="1"/>
  <c r="BC552" i="1"/>
  <c r="BA552" i="1"/>
  <c r="AO552" i="1"/>
  <c r="AN552" i="1"/>
  <c r="CR739" i="1"/>
  <c r="BC739" i="1"/>
  <c r="BB739" i="1"/>
  <c r="AN739" i="1"/>
  <c r="AO739" i="1"/>
  <c r="BB612" i="1"/>
  <c r="BC612" i="1"/>
  <c r="AO612" i="1"/>
  <c r="AN612" i="1"/>
  <c r="BA612" i="1"/>
  <c r="CR205" i="1"/>
  <c r="BB205" i="1"/>
  <c r="BC205" i="1"/>
  <c r="AN205" i="1"/>
  <c r="AO205" i="1"/>
  <c r="CR560" i="1"/>
  <c r="BB560" i="1"/>
  <c r="BC560" i="1"/>
  <c r="AN560" i="1"/>
  <c r="BA560" i="1"/>
  <c r="AO560" i="1"/>
  <c r="CR229" i="1"/>
  <c r="BB229" i="1"/>
  <c r="BC229" i="1"/>
  <c r="AN229" i="1"/>
  <c r="AO229" i="1"/>
  <c r="CR668" i="1"/>
  <c r="BB668" i="1"/>
  <c r="BC668" i="1"/>
  <c r="AO668" i="1"/>
  <c r="AN668" i="1"/>
  <c r="CR588" i="1"/>
  <c r="BB588" i="1"/>
  <c r="BC588" i="1"/>
  <c r="BA588" i="1"/>
  <c r="AN588" i="1"/>
  <c r="AO588" i="1"/>
  <c r="CR592" i="1"/>
  <c r="BB592" i="1"/>
  <c r="BC592" i="1"/>
  <c r="BA592" i="1"/>
  <c r="AO592" i="1"/>
  <c r="AN592" i="1"/>
  <c r="CR756" i="1"/>
  <c r="BB756" i="1"/>
  <c r="BC756" i="1"/>
  <c r="BA756" i="1"/>
  <c r="AO756" i="1"/>
  <c r="AN756" i="1"/>
  <c r="BB608" i="1"/>
  <c r="BC608" i="1"/>
  <c r="AO608" i="1"/>
  <c r="AN608" i="1"/>
  <c r="BB269" i="1"/>
  <c r="BC269" i="1"/>
  <c r="AN269" i="1"/>
  <c r="AO269" i="1"/>
  <c r="BB359" i="1"/>
  <c r="BC359" i="1"/>
  <c r="BA359" i="1"/>
  <c r="AN359" i="1"/>
  <c r="AO359" i="1"/>
  <c r="CR358" i="1"/>
  <c r="BB358" i="1"/>
  <c r="BC358" i="1"/>
  <c r="AO358" i="1"/>
  <c r="AN358" i="1"/>
  <c r="CR543" i="1"/>
  <c r="BB543" i="1"/>
  <c r="BC543" i="1"/>
  <c r="AN543" i="1"/>
  <c r="AO543" i="1"/>
  <c r="CR685" i="1"/>
  <c r="BC685" i="1"/>
  <c r="BB685" i="1"/>
  <c r="AO685" i="1"/>
  <c r="BA685" i="1"/>
  <c r="AN685" i="1"/>
  <c r="BA667" i="1"/>
  <c r="BA577" i="1"/>
  <c r="BA583" i="1"/>
  <c r="BA755" i="1"/>
  <c r="BA550" i="1"/>
  <c r="BA668" i="1"/>
  <c r="BA608" i="1"/>
  <c r="BA581" i="1"/>
  <c r="BA657" i="1"/>
  <c r="BA631" i="1"/>
  <c r="BA714" i="1"/>
  <c r="BA559" i="1"/>
  <c r="BA615" i="1"/>
  <c r="BA465" i="1"/>
  <c r="BA269" i="1"/>
  <c r="AD1369" i="1"/>
  <c r="AE1369" i="1" s="1"/>
  <c r="AD1361" i="1"/>
  <c r="AE1361" i="1" s="1"/>
  <c r="BE699" i="1"/>
  <c r="CR699" i="1"/>
  <c r="BE550" i="1"/>
  <c r="CR550" i="1"/>
  <c r="BE1113" i="1"/>
  <c r="CR1113" i="1"/>
  <c r="BE211" i="1"/>
  <c r="CR211" i="1"/>
  <c r="BE1014" i="1"/>
  <c r="CR1014" i="1"/>
  <c r="BE604" i="1"/>
  <c r="CR604" i="1"/>
  <c r="BE513" i="1"/>
  <c r="CR513" i="1"/>
  <c r="BE1099" i="1"/>
  <c r="CR1099" i="1"/>
  <c r="BE1125" i="1"/>
  <c r="CR1125" i="1"/>
  <c r="BE600" i="1"/>
  <c r="CR600" i="1"/>
  <c r="BE704" i="1"/>
  <c r="CR704" i="1"/>
  <c r="BE233" i="1"/>
  <c r="CR233" i="1"/>
  <c r="BE724" i="1"/>
  <c r="CR724" i="1"/>
  <c r="BE765" i="1"/>
  <c r="CR765" i="1"/>
  <c r="AD1245" i="1"/>
  <c r="AE1245" i="1" s="1"/>
  <c r="CR368" i="1"/>
  <c r="BE1091" i="1"/>
  <c r="CR1091" i="1"/>
  <c r="BE1076" i="1"/>
  <c r="CR1076" i="1"/>
  <c r="BE679" i="1"/>
  <c r="CR679" i="1"/>
  <c r="BE818" i="1"/>
  <c r="CR818" i="1"/>
  <c r="BE898" i="1"/>
  <c r="CR898" i="1"/>
  <c r="BE378" i="1"/>
  <c r="CR378" i="1"/>
  <c r="BE566" i="1"/>
  <c r="CR566" i="1"/>
  <c r="BE1041" i="1"/>
  <c r="CR1041" i="1"/>
  <c r="BE224" i="1"/>
  <c r="CR224" i="1"/>
  <c r="BE1100" i="1"/>
  <c r="CR1100" i="1"/>
  <c r="BE711" i="1"/>
  <c r="CR711" i="1"/>
  <c r="BE1197" i="1"/>
  <c r="CR1197" i="1"/>
  <c r="BE776" i="1"/>
  <c r="CR776" i="1"/>
  <c r="BE1180" i="1"/>
  <c r="CR1180" i="1"/>
  <c r="BE896" i="1"/>
  <c r="CR896" i="1"/>
  <c r="BE613" i="1"/>
  <c r="CR613" i="1"/>
  <c r="BE691" i="1"/>
  <c r="CR691" i="1"/>
  <c r="BE484" i="1"/>
  <c r="CR484" i="1"/>
  <c r="BE841" i="1"/>
  <c r="CR841" i="1"/>
  <c r="BE477" i="1"/>
  <c r="CR477" i="1"/>
  <c r="BE716" i="1"/>
  <c r="CR716" i="1"/>
  <c r="BE599" i="1"/>
  <c r="CR599" i="1"/>
  <c r="BE656" i="1"/>
  <c r="CR656" i="1"/>
  <c r="BE4" i="1"/>
  <c r="CR4" i="1"/>
  <c r="BE571" i="1"/>
  <c r="CR571" i="1"/>
  <c r="BE783" i="1"/>
  <c r="CR783" i="1"/>
  <c r="BE1154" i="1"/>
  <c r="CR1154" i="1"/>
  <c r="BE1010" i="1"/>
  <c r="CR1010" i="1"/>
  <c r="BE615" i="1"/>
  <c r="CR615" i="1"/>
  <c r="AD1299" i="1"/>
  <c r="AE1299" i="1" s="1"/>
  <c r="CR610" i="1"/>
  <c r="BE903" i="1"/>
  <c r="CR903" i="1"/>
  <c r="AD1244" i="1"/>
  <c r="AE1244" i="1" s="1"/>
  <c r="CR360" i="1"/>
  <c r="CR355" i="1"/>
  <c r="AD1344" i="1" s="1"/>
  <c r="AE1344" i="1" s="1"/>
  <c r="BE1196" i="1"/>
  <c r="CR1196" i="1"/>
  <c r="BE872" i="1"/>
  <c r="CR872" i="1"/>
  <c r="BE612" i="1"/>
  <c r="CR612" i="1"/>
  <c r="BE1018" i="1"/>
  <c r="CR1018" i="1"/>
  <c r="BE608" i="1"/>
  <c r="CR608" i="1"/>
  <c r="BE269" i="1"/>
  <c r="CR269" i="1"/>
  <c r="AD1243" i="1"/>
  <c r="AE1243" i="1" s="1"/>
  <c r="CR359" i="1"/>
  <c r="BE795" i="1"/>
  <c r="CR795" i="1"/>
  <c r="BE559" i="1"/>
  <c r="CR559" i="1"/>
  <c r="AD1321" i="1"/>
  <c r="AE1321" i="1" s="1"/>
  <c r="CR222" i="1"/>
  <c r="BE986" i="1"/>
  <c r="CR986" i="1"/>
  <c r="BE1135" i="1"/>
  <c r="CR1135" i="1"/>
  <c r="BE577" i="1"/>
  <c r="CR577" i="1"/>
  <c r="BE234" i="1"/>
  <c r="CR234" i="1"/>
  <c r="BE738" i="1"/>
  <c r="CR738" i="1"/>
  <c r="AD1323" i="1"/>
  <c r="AE1323" i="1" s="1"/>
  <c r="CR210" i="1"/>
  <c r="BE1173" i="1"/>
  <c r="CR1173" i="1"/>
  <c r="BE666" i="1"/>
  <c r="CR666" i="1"/>
  <c r="BE954" i="1"/>
  <c r="CR954" i="1"/>
  <c r="BE618" i="1"/>
  <c r="CR618" i="1"/>
  <c r="BE899" i="1"/>
  <c r="BE922" i="1"/>
  <c r="BE897" i="1"/>
  <c r="BE1012" i="1"/>
  <c r="BE777" i="1"/>
  <c r="BE524" i="1"/>
  <c r="BE927" i="1"/>
  <c r="BE223" i="1"/>
  <c r="BE582" i="1"/>
  <c r="BE937" i="1"/>
  <c r="BE1097" i="1"/>
  <c r="BE713" i="1"/>
  <c r="BE243" i="1"/>
  <c r="BE351" i="1"/>
  <c r="BE219" i="1"/>
  <c r="BE938" i="1"/>
  <c r="BE337" i="1"/>
  <c r="BE560" i="1"/>
  <c r="BE863" i="1"/>
  <c r="BE708" i="1"/>
  <c r="BE525" i="1"/>
  <c r="BE1074" i="1"/>
  <c r="BE685" i="1"/>
  <c r="BE1011" i="1"/>
  <c r="BE585" i="1"/>
  <c r="BE227" i="1"/>
  <c r="BE1073" i="1"/>
  <c r="BE687" i="1"/>
  <c r="BE537" i="1"/>
  <c r="BE788" i="1"/>
  <c r="BE701" i="1"/>
  <c r="BE361" i="1"/>
  <c r="BE464" i="1"/>
  <c r="BE740" i="1"/>
  <c r="BE319" i="1"/>
  <c r="BE1098" i="1"/>
  <c r="BE631" i="1"/>
  <c r="BE591" i="1"/>
  <c r="BE934" i="1"/>
  <c r="BE1046" i="1"/>
  <c r="BE1039" i="1"/>
  <c r="BE1040" i="1"/>
  <c r="BE980" i="1"/>
  <c r="BE1101" i="1"/>
  <c r="BE353" i="1"/>
  <c r="BE478" i="1"/>
  <c r="BE1114" i="1"/>
  <c r="BE768" i="1"/>
  <c r="BE572" i="1"/>
  <c r="BE1080" i="1"/>
  <c r="BE742" i="1"/>
  <c r="BE1038" i="1"/>
  <c r="BE205" i="1"/>
  <c r="BE1072" i="1"/>
  <c r="BE564" i="1"/>
  <c r="BE231" i="1"/>
  <c r="BE714" i="1"/>
  <c r="BE544" i="1"/>
  <c r="BE1049" i="1"/>
  <c r="BE925" i="1"/>
  <c r="BE1047" i="1"/>
  <c r="BE710" i="1"/>
  <c r="BE715" i="1"/>
  <c r="BE232" i="1"/>
  <c r="BE336" i="1"/>
  <c r="BE520" i="1"/>
  <c r="BE952" i="1"/>
  <c r="BE496" i="1"/>
  <c r="BE244" i="1"/>
  <c r="BE739" i="1"/>
  <c r="BE1009" i="1"/>
  <c r="BE592" i="1"/>
  <c r="BE1067" i="1"/>
  <c r="BE758" i="1"/>
  <c r="BE466" i="1"/>
  <c r="BE494" i="1"/>
  <c r="BE318" i="1"/>
  <c r="BE323" i="1"/>
  <c r="BE586" i="1"/>
  <c r="BE539" i="1"/>
  <c r="BE725" i="1"/>
  <c r="BE866" i="1"/>
  <c r="BE538" i="1"/>
  <c r="BE839" i="1"/>
  <c r="BE726" i="1"/>
  <c r="BE932" i="1"/>
  <c r="BE212" i="1"/>
  <c r="AD1366" i="1" s="1"/>
  <c r="AE1366" i="1" s="1"/>
  <c r="BE197" i="1"/>
  <c r="BE769" i="1"/>
  <c r="BE551" i="1"/>
  <c r="BE712" i="1"/>
  <c r="BE518" i="1"/>
  <c r="BE619" i="1"/>
  <c r="BE206" i="1"/>
  <c r="BE1053" i="1"/>
  <c r="BE204" i="1"/>
  <c r="BE616" i="1"/>
  <c r="BE203" i="1"/>
  <c r="BE1153" i="1"/>
  <c r="BE606" i="1"/>
  <c r="BE1172" i="1"/>
  <c r="BE228" i="1"/>
  <c r="BE684" i="1"/>
  <c r="BE356" i="1"/>
  <c r="BE609" i="1"/>
  <c r="BE978" i="1"/>
  <c r="BE1037" i="1"/>
  <c r="BE1050" i="1"/>
  <c r="BE981" i="1"/>
  <c r="BE840" i="1"/>
  <c r="BE720" i="1"/>
  <c r="BE587" i="1"/>
  <c r="BE979" i="1"/>
  <c r="BE584" i="1"/>
  <c r="BE931" i="1"/>
  <c r="BE700" i="1"/>
  <c r="BE468" i="1"/>
  <c r="BE242" i="1"/>
  <c r="BE589" i="1"/>
  <c r="BE721" i="1"/>
  <c r="BE590" i="1"/>
  <c r="BE519" i="1"/>
  <c r="AD1305" i="1"/>
  <c r="AE1305" i="1" s="1"/>
  <c r="AD1314" i="1"/>
  <c r="AE1314" i="1" s="1"/>
  <c r="BE614" i="1"/>
  <c r="AD1311" i="1"/>
  <c r="AE1311" i="1" s="1"/>
  <c r="AD1313" i="1"/>
  <c r="AE1313" i="1" s="1"/>
  <c r="BE221" i="1"/>
  <c r="AD1290" i="1"/>
  <c r="AE1290" i="1" s="1"/>
  <c r="BE817" i="1"/>
  <c r="AD1213" i="1"/>
  <c r="AE1213" i="1" s="1"/>
  <c r="BE756" i="1"/>
  <c r="AD1337" i="1"/>
  <c r="AE1337" i="1" s="1"/>
  <c r="BE928" i="1"/>
  <c r="AD1274" i="1"/>
  <c r="AE1274" i="1" s="1"/>
  <c r="BE358" i="1"/>
  <c r="AD1242" i="1"/>
  <c r="AE1242" i="1" s="1"/>
  <c r="BE543" i="1"/>
  <c r="BE465" i="1"/>
  <c r="AD1246" i="1"/>
  <c r="AE1246" i="1" s="1"/>
  <c r="BE865" i="1"/>
  <c r="AD1212" i="1"/>
  <c r="AE1212" i="1" s="1"/>
  <c r="AD1312" i="1"/>
  <c r="AE1312" i="1" s="1"/>
  <c r="BE767" i="1"/>
  <c r="AD1336" i="1"/>
  <c r="AE1336" i="1" s="1"/>
  <c r="BE357" i="1"/>
  <c r="AD1241" i="1"/>
  <c r="AE1241" i="1" s="1"/>
  <c r="BE354" i="1"/>
  <c r="AD1240" i="1"/>
  <c r="AE1240" i="1" s="1"/>
  <c r="BE741" i="1"/>
  <c r="AD1338" i="1"/>
  <c r="AE1338" i="1" s="1"/>
  <c r="BE659" i="1"/>
  <c r="AD1215" i="1"/>
  <c r="AE1215" i="1" s="1"/>
  <c r="BE514" i="1"/>
  <c r="AD1247" i="1"/>
  <c r="AE1247" i="1" s="1"/>
  <c r="BE602" i="1"/>
  <c r="AD1228" i="1"/>
  <c r="AE1228" i="1" s="1"/>
  <c r="BE658" i="1"/>
  <c r="AD1216" i="1"/>
  <c r="AE1216" i="1" s="1"/>
  <c r="BE790" i="1"/>
  <c r="AD1252" i="1"/>
  <c r="AE1252" i="1" s="1"/>
  <c r="BE220" i="1"/>
  <c r="AD1333" i="1"/>
  <c r="AE1333" i="1" s="1"/>
  <c r="AD1300" i="1"/>
  <c r="AE1300" i="1" s="1"/>
  <c r="BE1075" i="1"/>
  <c r="AD1233" i="1"/>
  <c r="AE1233" i="1" s="1"/>
  <c r="BE791" i="1"/>
  <c r="AD1219" i="1"/>
  <c r="AE1219" i="1" s="1"/>
  <c r="BE617" i="1"/>
  <c r="AD1276" i="1"/>
  <c r="AE1276" i="1" s="1"/>
  <c r="BE864" i="1"/>
  <c r="BE814" i="1"/>
  <c r="BE815" i="1"/>
  <c r="BE1043" i="1"/>
  <c r="BE977" i="1"/>
  <c r="BE552" i="1"/>
  <c r="BE1013" i="1"/>
  <c r="BE605" i="1"/>
  <c r="BE210" i="1"/>
  <c r="BE933" i="1"/>
  <c r="BE270" i="1"/>
  <c r="BE467" i="1"/>
  <c r="BE222" i="1"/>
  <c r="BE754" i="1"/>
  <c r="BE581" i="1"/>
  <c r="BE926" i="1"/>
  <c r="BE1096" i="1"/>
  <c r="BE709" i="1"/>
  <c r="BE1045" i="1"/>
  <c r="BE463" i="1"/>
  <c r="BE495" i="1"/>
  <c r="BE583" i="1"/>
  <c r="BE901" i="1"/>
  <c r="BE1102" i="1"/>
  <c r="BE368" i="1"/>
  <c r="BE868" i="1"/>
  <c r="BE567" i="1"/>
  <c r="BE610" i="1"/>
  <c r="BE1051" i="1"/>
  <c r="BE229" i="1"/>
  <c r="BE668" i="1"/>
  <c r="BE1042" i="1"/>
  <c r="BE230" i="1"/>
  <c r="BE924" i="1"/>
  <c r="BE350" i="1"/>
  <c r="BE686" i="1"/>
  <c r="BE894" i="1"/>
  <c r="BE657" i="1"/>
  <c r="BE923" i="1"/>
  <c r="BE935" i="1"/>
  <c r="BE352" i="1"/>
  <c r="BE1198" i="1"/>
  <c r="BE1044" i="1"/>
  <c r="BE498" i="1"/>
  <c r="BE1052" i="1"/>
  <c r="BE743" i="1"/>
  <c r="BE766" i="1"/>
  <c r="BE722" i="1"/>
  <c r="BE497" i="1"/>
  <c r="BE757" i="1"/>
  <c r="BE360" i="1"/>
  <c r="BE936" i="1"/>
  <c r="BE588" i="1"/>
  <c r="BE207" i="1"/>
  <c r="BE789" i="1"/>
  <c r="BE355" i="1"/>
  <c r="BE838" i="1"/>
  <c r="BE453" i="1"/>
  <c r="BE929" i="1"/>
  <c r="BE696" i="1"/>
  <c r="BE870" i="1"/>
  <c r="BE225" i="1"/>
  <c r="BE226" i="1"/>
  <c r="BE667" i="1"/>
  <c r="BE930" i="1"/>
  <c r="BE565" i="1"/>
  <c r="BE1048" i="1"/>
  <c r="BE633" i="1"/>
  <c r="BE867" i="1"/>
  <c r="BE202" i="1"/>
  <c r="BE895" i="1"/>
  <c r="BE601" i="1"/>
  <c r="BE632" i="1"/>
  <c r="BE359" i="1"/>
  <c r="BE1016" i="1"/>
  <c r="BE755" i="1"/>
  <c r="BE1079" i="1"/>
  <c r="BE335" i="1"/>
  <c r="AD1184" i="1"/>
  <c r="H1186" i="1"/>
  <c r="AD1186" i="1" s="1"/>
  <c r="H1185" i="1"/>
  <c r="AD1185" i="1" s="1"/>
  <c r="AD975" i="1"/>
  <c r="H976" i="1"/>
  <c r="AD976" i="1" s="1"/>
  <c r="AD330" i="1"/>
  <c r="H332" i="1"/>
  <c r="H331" i="1"/>
  <c r="AD331" i="1" s="1"/>
  <c r="AD294" i="1"/>
  <c r="H306" i="1"/>
  <c r="AD306" i="1" s="1"/>
  <c r="H317" i="1"/>
  <c r="AD317" i="1" s="1"/>
  <c r="H305" i="1"/>
  <c r="AD305" i="1" s="1"/>
  <c r="H316" i="1"/>
  <c r="AD316" i="1" s="1"/>
  <c r="H304" i="1"/>
  <c r="AD304" i="1" s="1"/>
  <c r="H315" i="1"/>
  <c r="AD315" i="1" s="1"/>
  <c r="H303" i="1"/>
  <c r="AD303" i="1" s="1"/>
  <c r="H314" i="1"/>
  <c r="AD314" i="1" s="1"/>
  <c r="H302" i="1"/>
  <c r="AD302" i="1" s="1"/>
  <c r="H308" i="1"/>
  <c r="H296" i="1"/>
  <c r="H311" i="1"/>
  <c r="H307" i="1"/>
  <c r="AD307" i="1" s="1"/>
  <c r="H299" i="1"/>
  <c r="H295" i="1"/>
  <c r="AD295" i="1" s="1"/>
  <c r="AD526" i="1"/>
  <c r="H528" i="1"/>
  <c r="AD528" i="1" s="1"/>
  <c r="H529" i="1"/>
  <c r="AD529" i="1" s="1"/>
  <c r="H527" i="1"/>
  <c r="AD527" i="1" s="1"/>
  <c r="AD479" i="1"/>
  <c r="H480" i="1"/>
  <c r="AD480" i="1" s="1"/>
  <c r="H482" i="1"/>
  <c r="AD482" i="1" s="1"/>
  <c r="H481" i="1"/>
  <c r="AD481" i="1" s="1"/>
  <c r="H483" i="1"/>
  <c r="AD483" i="1" s="1"/>
  <c r="AD379" i="1"/>
  <c r="H395" i="1"/>
  <c r="AD395" i="1" s="1"/>
  <c r="H388" i="1"/>
  <c r="H401" i="1"/>
  <c r="AD401" i="1" s="1"/>
  <c r="H384" i="1"/>
  <c r="H400" i="1"/>
  <c r="AD400" i="1" s="1"/>
  <c r="H383" i="1"/>
  <c r="AD383" i="1" s="1"/>
  <c r="H399" i="1"/>
  <c r="AD399" i="1" s="1"/>
  <c r="H382" i="1"/>
  <c r="AD382" i="1" s="1"/>
  <c r="H397" i="1"/>
  <c r="AD397" i="1" s="1"/>
  <c r="H380" i="1"/>
  <c r="AD380" i="1" s="1"/>
  <c r="H398" i="1"/>
  <c r="AD398" i="1" s="1"/>
  <c r="H396" i="1"/>
  <c r="AD396" i="1" s="1"/>
  <c r="H381" i="1"/>
  <c r="AD381" i="1" s="1"/>
  <c r="AD208" i="1"/>
  <c r="H209" i="1"/>
  <c r="AD209" i="1" s="1"/>
  <c r="AD803" i="1"/>
  <c r="H808" i="1"/>
  <c r="AD808" i="1" s="1"/>
  <c r="H807" i="1"/>
  <c r="AD807" i="1" s="1"/>
  <c r="H804" i="1"/>
  <c r="H809" i="1"/>
  <c r="AD573" i="1"/>
  <c r="H575" i="1"/>
  <c r="AD575" i="1" s="1"/>
  <c r="H576" i="1"/>
  <c r="AD576" i="1" s="1"/>
  <c r="H574" i="1"/>
  <c r="AD574" i="1" s="1"/>
  <c r="AD1155" i="1"/>
  <c r="H1159" i="1"/>
  <c r="AD1159" i="1" s="1"/>
  <c r="H1156" i="1"/>
  <c r="AD1156" i="1" s="1"/>
  <c r="H1157" i="1"/>
  <c r="AD1157" i="1" s="1"/>
  <c r="H1158" i="1"/>
  <c r="AD1158" i="1" s="1"/>
  <c r="AD1025" i="1"/>
  <c r="H1031" i="1"/>
  <c r="H1027" i="1"/>
  <c r="AD1027" i="1" s="1"/>
  <c r="H1028" i="1"/>
  <c r="H1026" i="1"/>
  <c r="AD1026" i="1" s="1"/>
  <c r="AD744" i="1"/>
  <c r="H745" i="1"/>
  <c r="AD745" i="1" s="1"/>
  <c r="H746" i="1"/>
  <c r="AD746" i="1" s="1"/>
  <c r="AD1007" i="1"/>
  <c r="H1008" i="1"/>
  <c r="AD1008" i="1" s="1"/>
  <c r="AD1136" i="1"/>
  <c r="H1138" i="1"/>
  <c r="AD1138" i="1" s="1"/>
  <c r="H1139" i="1"/>
  <c r="AD1139" i="1" s="1"/>
  <c r="H1140" i="1"/>
  <c r="AD1140" i="1" s="1"/>
  <c r="H1137" i="1"/>
  <c r="AD1137" i="1" s="1"/>
  <c r="AD762" i="1"/>
  <c r="H764" i="1"/>
  <c r="AD764" i="1" s="1"/>
  <c r="H763" i="1"/>
  <c r="AD763" i="1" s="1"/>
  <c r="AD861" i="1"/>
  <c r="H862" i="1"/>
  <c r="AD862" i="1" s="1"/>
  <c r="AD372" i="1"/>
  <c r="H374" i="1"/>
  <c r="AD374" i="1" s="1"/>
  <c r="H373" i="1"/>
  <c r="AD373" i="1" s="1"/>
  <c r="AD271" i="1"/>
  <c r="H293" i="1"/>
  <c r="AD293" i="1" s="1"/>
  <c r="H283" i="1"/>
  <c r="AD283" i="1" s="1"/>
  <c r="H290" i="1"/>
  <c r="H282" i="1"/>
  <c r="AD282" i="1" s="1"/>
  <c r="H289" i="1"/>
  <c r="AD289" i="1" s="1"/>
  <c r="H281" i="1"/>
  <c r="AD281" i="1" s="1"/>
  <c r="H288" i="1"/>
  <c r="AD288" i="1" s="1"/>
  <c r="H280" i="1"/>
  <c r="AD280" i="1" s="1"/>
  <c r="H287" i="1"/>
  <c r="AD287" i="1" s="1"/>
  <c r="H277" i="1"/>
  <c r="H285" i="1"/>
  <c r="AD285" i="1" s="1"/>
  <c r="H273" i="1"/>
  <c r="AD273" i="1" s="1"/>
  <c r="H274" i="1"/>
  <c r="H272" i="1"/>
  <c r="AD272" i="1" s="1"/>
  <c r="H286" i="1"/>
  <c r="AD286" i="1" s="1"/>
  <c r="H284" i="1"/>
  <c r="AD284" i="1" s="1"/>
  <c r="AD341" i="1"/>
  <c r="H342" i="1"/>
  <c r="AD342" i="1" s="1"/>
  <c r="H343" i="1"/>
  <c r="AD343" i="1" s="1"/>
  <c r="AD545" i="1"/>
  <c r="H547" i="1"/>
  <c r="AD547" i="1" s="1"/>
  <c r="H548" i="1"/>
  <c r="AD548" i="1" s="1"/>
  <c r="H546" i="1"/>
  <c r="AD546" i="1" s="1"/>
  <c r="H549" i="1"/>
  <c r="AD549" i="1" s="1"/>
  <c r="AD835" i="1"/>
  <c r="H836" i="1"/>
  <c r="AD836" i="1" s="1"/>
  <c r="AD873" i="1"/>
  <c r="H875" i="1"/>
  <c r="AD875" i="1" s="1"/>
  <c r="H874" i="1"/>
  <c r="AD874" i="1" s="1"/>
  <c r="H881" i="1"/>
  <c r="AD881" i="1" s="1"/>
  <c r="H877" i="1"/>
  <c r="AD877" i="1" s="1"/>
  <c r="H878" i="1"/>
  <c r="H876" i="1"/>
  <c r="AD876" i="1" s="1"/>
  <c r="AD402" i="1"/>
  <c r="H407" i="1"/>
  <c r="AD407" i="1" s="1"/>
  <c r="H415" i="1"/>
  <c r="AD415" i="1" s="1"/>
  <c r="H423" i="1"/>
  <c r="AD423" i="1" s="1"/>
  <c r="H408" i="1"/>
  <c r="AD408" i="1" s="1"/>
  <c r="H416" i="1"/>
  <c r="AD416" i="1" s="1"/>
  <c r="H403" i="1"/>
  <c r="AD403" i="1" s="1"/>
  <c r="H409" i="1"/>
  <c r="AD409" i="1" s="1"/>
  <c r="H417" i="1"/>
  <c r="AD417" i="1" s="1"/>
  <c r="H410" i="1"/>
  <c r="AD410" i="1" s="1"/>
  <c r="H418" i="1"/>
  <c r="AD418" i="1" s="1"/>
  <c r="H411" i="1"/>
  <c r="AD411" i="1" s="1"/>
  <c r="H419" i="1"/>
  <c r="AD419" i="1" s="1"/>
  <c r="H405" i="1"/>
  <c r="AD405" i="1" s="1"/>
  <c r="H413" i="1"/>
  <c r="AD413" i="1" s="1"/>
  <c r="H421" i="1"/>
  <c r="AD421" i="1" s="1"/>
  <c r="H404" i="1"/>
  <c r="AD404" i="1" s="1"/>
  <c r="H406" i="1"/>
  <c r="AD406" i="1" s="1"/>
  <c r="H412" i="1"/>
  <c r="AD412" i="1" s="1"/>
  <c r="H414" i="1"/>
  <c r="AD414" i="1" s="1"/>
  <c r="H420" i="1"/>
  <c r="AD420" i="1" s="1"/>
  <c r="H422" i="1"/>
  <c r="AD422" i="1" s="1"/>
  <c r="AD1174" i="1"/>
  <c r="H1176" i="1"/>
  <c r="AD1176" i="1" s="1"/>
  <c r="H1175" i="1"/>
  <c r="AD1175" i="1" s="1"/>
  <c r="AD568" i="1"/>
  <c r="H569" i="1"/>
  <c r="AD569" i="1" s="1"/>
  <c r="H570" i="1"/>
  <c r="AD570" i="1" s="1"/>
  <c r="AD705" i="1"/>
  <c r="H707" i="1"/>
  <c r="AD707" i="1" s="1"/>
  <c r="H706" i="1"/>
  <c r="AD706" i="1" s="1"/>
  <c r="AD499" i="1"/>
  <c r="H500" i="1"/>
  <c r="H506" i="1"/>
  <c r="AD506" i="1" s="1"/>
  <c r="AD473" i="1"/>
  <c r="H475" i="1"/>
  <c r="AD475" i="1" s="1"/>
  <c r="H476" i="1"/>
  <c r="AD476" i="1" s="1"/>
  <c r="H474" i="1"/>
  <c r="AD474" i="1" s="1"/>
  <c r="AD216" i="1"/>
  <c r="H218" i="1"/>
  <c r="AD218" i="1" s="1"/>
  <c r="H217" i="1"/>
  <c r="AD217" i="1" s="1"/>
  <c r="AD751" i="1"/>
  <c r="H753" i="1"/>
  <c r="AD753" i="1" s="1"/>
  <c r="H752" i="1"/>
  <c r="AD752" i="1" s="1"/>
  <c r="AD940" i="1"/>
  <c r="H941" i="1"/>
  <c r="AD941" i="1" s="1"/>
  <c r="H942" i="1"/>
  <c r="AD948" i="1"/>
  <c r="H950" i="1"/>
  <c r="H949" i="1"/>
  <c r="AD949" i="1" s="1"/>
  <c r="AD327" i="1"/>
  <c r="H329" i="1"/>
  <c r="AD329" i="1" s="1"/>
  <c r="H328" i="1"/>
  <c r="AD328" i="1" s="1"/>
  <c r="AD320" i="1"/>
  <c r="H321" i="1"/>
  <c r="AD321" i="1" s="1"/>
  <c r="H322" i="1"/>
  <c r="AD322" i="1" s="1"/>
  <c r="AD365" i="1"/>
  <c r="H366" i="1"/>
  <c r="AD366" i="1" s="1"/>
  <c r="H367" i="1"/>
  <c r="AD367" i="1" s="1"/>
  <c r="AD530" i="1"/>
  <c r="H536" i="1"/>
  <c r="AD536" i="1" s="1"/>
  <c r="H531" i="1"/>
  <c r="AD1126" i="1"/>
  <c r="H1128" i="1"/>
  <c r="AD1128" i="1" s="1"/>
  <c r="H1127" i="1"/>
  <c r="AD1127" i="1" s="1"/>
  <c r="AD770" i="1"/>
  <c r="H772" i="1"/>
  <c r="AD772" i="1" s="1"/>
  <c r="H771" i="1"/>
  <c r="AD771" i="1" s="1"/>
  <c r="AD819" i="1"/>
  <c r="H825" i="1"/>
  <c r="AD825" i="1" s="1"/>
  <c r="H822" i="1"/>
  <c r="H821" i="1"/>
  <c r="AD821" i="1" s="1"/>
  <c r="H820" i="1"/>
  <c r="AD820" i="1" s="1"/>
  <c r="AD469" i="1"/>
  <c r="H471" i="1"/>
  <c r="AD471" i="1" s="1"/>
  <c r="H470" i="1"/>
  <c r="AD470" i="1" s="1"/>
  <c r="H472" i="1"/>
  <c r="AD472" i="1" s="1"/>
  <c r="AD1059" i="1"/>
  <c r="H1060" i="1"/>
  <c r="AD1060" i="1" s="1"/>
  <c r="H1061" i="1"/>
  <c r="AD910" i="1"/>
  <c r="H916" i="1"/>
  <c r="H913" i="1"/>
  <c r="H912" i="1"/>
  <c r="AD912" i="1" s="1"/>
  <c r="H911" i="1"/>
  <c r="AD911" i="1" s="1"/>
  <c r="AD515" i="1"/>
  <c r="H517" i="1"/>
  <c r="AD517" i="1" s="1"/>
  <c r="H516" i="1"/>
  <c r="AD516" i="1" s="1"/>
  <c r="AD826" i="1"/>
  <c r="H830" i="1"/>
  <c r="AD830" i="1" s="1"/>
  <c r="H827" i="1"/>
  <c r="H832" i="1"/>
  <c r="H831" i="1"/>
  <c r="AD831" i="1" s="1"/>
  <c r="AD198" i="1"/>
  <c r="H200" i="1"/>
  <c r="AD200" i="1" s="1"/>
  <c r="H201" i="1"/>
  <c r="AD201" i="1" s="1"/>
  <c r="H199" i="1"/>
  <c r="AD199" i="1" s="1"/>
  <c r="AD130" i="1"/>
  <c r="H192" i="1"/>
  <c r="AD192" i="1" s="1"/>
  <c r="H176" i="1"/>
  <c r="AD176" i="1" s="1"/>
  <c r="H143" i="1"/>
  <c r="AD143" i="1" s="1"/>
  <c r="H191" i="1"/>
  <c r="AD191" i="1" s="1"/>
  <c r="H173" i="1"/>
  <c r="H142" i="1"/>
  <c r="AD142" i="1" s="1"/>
  <c r="H190" i="1"/>
  <c r="AD190" i="1" s="1"/>
  <c r="H172" i="1"/>
  <c r="AD172" i="1" s="1"/>
  <c r="H141" i="1"/>
  <c r="AD141" i="1" s="1"/>
  <c r="H184" i="1"/>
  <c r="H171" i="1"/>
  <c r="AD171" i="1" s="1"/>
  <c r="H137" i="1"/>
  <c r="H183" i="1"/>
  <c r="AD183" i="1" s="1"/>
  <c r="H167" i="1"/>
  <c r="H136" i="1"/>
  <c r="AD136" i="1" s="1"/>
  <c r="H181" i="1"/>
  <c r="AD181" i="1" s="1"/>
  <c r="H149" i="1"/>
  <c r="AD149" i="1" s="1"/>
  <c r="H193" i="1"/>
  <c r="AD193" i="1" s="1"/>
  <c r="H182" i="1"/>
  <c r="AD182" i="1" s="1"/>
  <c r="H177" i="1"/>
  <c r="H150" i="1"/>
  <c r="H144" i="1"/>
  <c r="H131" i="1"/>
  <c r="AD1177" i="1"/>
  <c r="H1179" i="1"/>
  <c r="AD1179" i="1" s="1"/>
  <c r="H1178" i="1"/>
  <c r="AD1178" i="1" s="1"/>
  <c r="AD485" i="1"/>
  <c r="H487" i="1"/>
  <c r="H486" i="1"/>
  <c r="AD486" i="1" s="1"/>
  <c r="AD1019" i="1"/>
  <c r="H1024" i="1"/>
  <c r="AD1024" i="1" s="1"/>
  <c r="H1021" i="1"/>
  <c r="H1020" i="1"/>
  <c r="AD1020" i="1" s="1"/>
  <c r="AD213" i="1"/>
  <c r="H215" i="1"/>
  <c r="AD215" i="1" s="1"/>
  <c r="H214" i="1"/>
  <c r="AD214" i="1" s="1"/>
  <c r="AD324" i="1"/>
  <c r="H325" i="1"/>
  <c r="AD325" i="1" s="1"/>
  <c r="H326" i="1"/>
  <c r="AD326" i="1" s="1"/>
  <c r="AD347" i="1"/>
  <c r="H349" i="1"/>
  <c r="AD349" i="1" s="1"/>
  <c r="H348" i="1"/>
  <c r="AD348" i="1" s="1"/>
  <c r="AD375" i="1"/>
  <c r="H376" i="1"/>
  <c r="AD376" i="1" s="1"/>
  <c r="H377" i="1"/>
  <c r="AD377" i="1" s="1"/>
  <c r="AD338" i="1"/>
  <c r="H339" i="1"/>
  <c r="AD339" i="1" s="1"/>
  <c r="H340" i="1"/>
  <c r="AD340" i="1" s="1"/>
  <c r="AD540" i="1"/>
  <c r="H541" i="1"/>
  <c r="AD541" i="1" s="1"/>
  <c r="H542" i="1"/>
  <c r="AD542" i="1" s="1"/>
  <c r="AD1132" i="1"/>
  <c r="H1134" i="1"/>
  <c r="AD1134" i="1" s="1"/>
  <c r="H1133" i="1"/>
  <c r="AD1133" i="1" s="1"/>
  <c r="AD75" i="1"/>
  <c r="H127" i="1"/>
  <c r="AD127" i="1" s="1"/>
  <c r="H116" i="1"/>
  <c r="H126" i="1"/>
  <c r="AD126" i="1" s="1"/>
  <c r="H112" i="1"/>
  <c r="H125" i="1"/>
  <c r="AD125" i="1" s="1"/>
  <c r="H109" i="1"/>
  <c r="H124" i="1"/>
  <c r="AD124" i="1" s="1"/>
  <c r="H108" i="1"/>
  <c r="AD108" i="1" s="1"/>
  <c r="H123" i="1"/>
  <c r="AD123" i="1" s="1"/>
  <c r="H107" i="1"/>
  <c r="AD107" i="1" s="1"/>
  <c r="H129" i="1"/>
  <c r="AD129" i="1" s="1"/>
  <c r="H121" i="1"/>
  <c r="AD121" i="1" s="1"/>
  <c r="H88" i="1"/>
  <c r="H122" i="1"/>
  <c r="AD122" i="1" s="1"/>
  <c r="H120" i="1"/>
  <c r="AD120" i="1" s="1"/>
  <c r="H106" i="1"/>
  <c r="AD106" i="1" s="1"/>
  <c r="H76" i="1"/>
  <c r="H128" i="1"/>
  <c r="AD128" i="1" s="1"/>
  <c r="AD747" i="1"/>
  <c r="H749" i="1"/>
  <c r="AD749" i="1" s="1"/>
  <c r="H748" i="1"/>
  <c r="AD748" i="1" s="1"/>
  <c r="H750" i="1"/>
  <c r="AD750" i="1" s="1"/>
  <c r="AD1141" i="1"/>
  <c r="H1152" i="1"/>
  <c r="AD1152" i="1" s="1"/>
  <c r="H1151" i="1"/>
  <c r="AD1151" i="1" s="1"/>
  <c r="H1150" i="1"/>
  <c r="AD1150" i="1" s="1"/>
  <c r="H1148" i="1"/>
  <c r="AD1148" i="1" s="1"/>
  <c r="H1149" i="1"/>
  <c r="AD1149" i="1" s="1"/>
  <c r="H1142" i="1"/>
  <c r="AD1092" i="1"/>
  <c r="H1094" i="1"/>
  <c r="AD1094" i="1" s="1"/>
  <c r="H1095" i="1"/>
  <c r="AD1095" i="1" s="1"/>
  <c r="H1093" i="1"/>
  <c r="AD1093" i="1" s="1"/>
  <c r="AD882" i="1"/>
  <c r="H888" i="1"/>
  <c r="H887" i="1"/>
  <c r="AD887" i="1" s="1"/>
  <c r="H886" i="1"/>
  <c r="AD886" i="1" s="1"/>
  <c r="H883" i="1"/>
  <c r="AD553" i="1"/>
  <c r="H555" i="1"/>
  <c r="H554" i="1"/>
  <c r="AD554" i="1" s="1"/>
  <c r="AD460" i="1"/>
  <c r="H461" i="1"/>
  <c r="AD461" i="1" s="1"/>
  <c r="H462" i="1"/>
  <c r="AD462" i="1" s="1"/>
  <c r="AD784" i="1"/>
  <c r="H787" i="1"/>
  <c r="AD787" i="1" s="1"/>
  <c r="H785" i="1"/>
  <c r="AD785" i="1" s="1"/>
  <c r="H786" i="1"/>
  <c r="AD786" i="1" s="1"/>
  <c r="AD507" i="1"/>
  <c r="H509" i="1"/>
  <c r="AD509" i="1" s="1"/>
  <c r="H510" i="1"/>
  <c r="AD510" i="1" s="1"/>
  <c r="H511" i="1"/>
  <c r="AD511" i="1" s="1"/>
  <c r="H508" i="1"/>
  <c r="AD508" i="1" s="1"/>
  <c r="H512" i="1"/>
  <c r="AD512" i="1" s="1"/>
  <c r="AD987" i="1"/>
  <c r="H997" i="1"/>
  <c r="AD997" i="1" s="1"/>
  <c r="H996" i="1"/>
  <c r="AD996" i="1" s="1"/>
  <c r="H993" i="1"/>
  <c r="H992" i="1"/>
  <c r="AD992" i="1" s="1"/>
  <c r="H989" i="1"/>
  <c r="H988" i="1"/>
  <c r="AD988" i="1" s="1"/>
  <c r="AD965" i="1"/>
  <c r="H971" i="1"/>
  <c r="H970" i="1"/>
  <c r="AD970" i="1" s="1"/>
  <c r="H967" i="1"/>
  <c r="H966" i="1"/>
  <c r="AD966" i="1" s="1"/>
  <c r="H974" i="1"/>
  <c r="AD974" i="1" s="1"/>
  <c r="AD344" i="1"/>
  <c r="H346" i="1"/>
  <c r="AD346" i="1" s="1"/>
  <c r="H345" i="1"/>
  <c r="AD345" i="1" s="1"/>
  <c r="AD1129" i="1"/>
  <c r="H1131" i="1"/>
  <c r="AD1131" i="1" s="1"/>
  <c r="H1130" i="1"/>
  <c r="AD1130" i="1" s="1"/>
  <c r="AD717" i="1"/>
  <c r="H719" i="1"/>
  <c r="AD719" i="1" s="1"/>
  <c r="H718" i="1"/>
  <c r="AD718" i="1" s="1"/>
  <c r="AD578" i="1"/>
  <c r="H580" i="1"/>
  <c r="AD580" i="1" s="1"/>
  <c r="H579" i="1"/>
  <c r="AD579" i="1" s="1"/>
  <c r="AD892" i="1"/>
  <c r="H893" i="1"/>
  <c r="AD893" i="1" s="1"/>
  <c r="AD454" i="1"/>
  <c r="H456" i="1"/>
  <c r="AD456" i="1" s="1"/>
  <c r="H455" i="1"/>
  <c r="AD455" i="1" s="1"/>
  <c r="AD424" i="1"/>
  <c r="H449" i="1"/>
  <c r="AD449" i="1" s="1"/>
  <c r="H439" i="1"/>
  <c r="AD439" i="1" s="1"/>
  <c r="H431" i="1"/>
  <c r="AD431" i="1" s="1"/>
  <c r="H448" i="1"/>
  <c r="AD448" i="1" s="1"/>
  <c r="H438" i="1"/>
  <c r="AD438" i="1" s="1"/>
  <c r="H428" i="1"/>
  <c r="H447" i="1"/>
  <c r="AD447" i="1" s="1"/>
  <c r="H437" i="1"/>
  <c r="AD437" i="1" s="1"/>
  <c r="H427" i="1"/>
  <c r="AD427" i="1" s="1"/>
  <c r="H446" i="1"/>
  <c r="AD446" i="1" s="1"/>
  <c r="H436" i="1"/>
  <c r="AD436" i="1" s="1"/>
  <c r="H426" i="1"/>
  <c r="AD426" i="1" s="1"/>
  <c r="H443" i="1"/>
  <c r="H435" i="1"/>
  <c r="AD435" i="1" s="1"/>
  <c r="H425" i="1"/>
  <c r="AD425" i="1" s="1"/>
  <c r="H451" i="1"/>
  <c r="AD451" i="1" s="1"/>
  <c r="H441" i="1"/>
  <c r="AD441" i="1" s="1"/>
  <c r="H433" i="1"/>
  <c r="AD433" i="1" s="1"/>
  <c r="H434" i="1"/>
  <c r="AD434" i="1" s="1"/>
  <c r="H432" i="1"/>
  <c r="AD432" i="1" s="1"/>
  <c r="H452" i="1"/>
  <c r="AD452" i="1" s="1"/>
  <c r="H450" i="1"/>
  <c r="AD450" i="1" s="1"/>
  <c r="H442" i="1"/>
  <c r="AD442" i="1" s="1"/>
  <c r="H440" i="1"/>
  <c r="AD440" i="1" s="1"/>
  <c r="AD194" i="1"/>
  <c r="H195" i="1"/>
  <c r="AD195" i="1" s="1"/>
  <c r="H196" i="1"/>
  <c r="AD196" i="1" s="1"/>
  <c r="AD796" i="1"/>
  <c r="H802" i="1"/>
  <c r="AD802" i="1" s="1"/>
  <c r="H799" i="1"/>
  <c r="H797" i="1"/>
  <c r="AD797" i="1" s="1"/>
  <c r="H798" i="1"/>
  <c r="AD798" i="1" s="1"/>
  <c r="AD491" i="1"/>
  <c r="H493" i="1"/>
  <c r="AD493" i="1" s="1"/>
  <c r="H492" i="1"/>
  <c r="AD492" i="1" s="1"/>
  <c r="AD1055" i="1"/>
  <c r="H1057" i="1"/>
  <c r="H1056" i="1"/>
  <c r="AD1056" i="1" s="1"/>
  <c r="AD759" i="1"/>
  <c r="H761" i="1"/>
  <c r="AD761" i="1" s="1"/>
  <c r="H760" i="1"/>
  <c r="AD760" i="1" s="1"/>
  <c r="AD920" i="1"/>
  <c r="H921" i="1"/>
  <c r="AD921" i="1" s="1"/>
  <c r="AD369" i="1"/>
  <c r="H371" i="1"/>
  <c r="AD371" i="1" s="1"/>
  <c r="H370" i="1"/>
  <c r="AD370" i="1" s="1"/>
  <c r="AD362" i="1"/>
  <c r="H363" i="1"/>
  <c r="AD363" i="1" s="1"/>
  <c r="H364" i="1"/>
  <c r="AD364" i="1" s="1"/>
  <c r="AD680" i="1"/>
  <c r="H682" i="1"/>
  <c r="AD682" i="1" s="1"/>
  <c r="H683" i="1"/>
  <c r="AD683" i="1" s="1"/>
  <c r="H681" i="1"/>
  <c r="AD681" i="1" s="1"/>
  <c r="AD1181" i="1"/>
  <c r="H1183" i="1"/>
  <c r="AD1183" i="1" s="1"/>
  <c r="H1182" i="1"/>
  <c r="AD1182" i="1" s="1"/>
  <c r="AD457" i="1"/>
  <c r="H459" i="1"/>
  <c r="AD459" i="1" s="1"/>
  <c r="H458" i="1"/>
  <c r="AD458" i="1" s="1"/>
  <c r="AD5" i="1"/>
  <c r="H74" i="1"/>
  <c r="AD74" i="1" s="1"/>
  <c r="H59" i="1"/>
  <c r="AD59" i="1" s="1"/>
  <c r="H73" i="1"/>
  <c r="AD73" i="1" s="1"/>
  <c r="H37" i="1"/>
  <c r="H72" i="1"/>
  <c r="AD72" i="1" s="1"/>
  <c r="H6" i="1"/>
  <c r="H71" i="1"/>
  <c r="AD71" i="1" s="1"/>
  <c r="H70" i="1"/>
  <c r="AD70" i="1" s="1"/>
  <c r="H68" i="1"/>
  <c r="AD68" i="1" s="1"/>
  <c r="H69" i="1"/>
  <c r="AD69" i="1" s="1"/>
  <c r="H60" i="1"/>
  <c r="AD812" i="1"/>
  <c r="H813" i="1"/>
  <c r="AD813" i="1" s="1"/>
  <c r="AD692" i="1"/>
  <c r="H695" i="1"/>
  <c r="AD695" i="1" s="1"/>
  <c r="H694" i="1"/>
  <c r="AD694" i="1" s="1"/>
  <c r="H693" i="1"/>
  <c r="AD693" i="1" s="1"/>
  <c r="AD561" i="1"/>
  <c r="H562" i="1"/>
  <c r="AD562" i="1" s="1"/>
  <c r="H563" i="1"/>
  <c r="AD563" i="1" s="1"/>
  <c r="AD1160" i="1"/>
  <c r="H1171" i="1"/>
  <c r="AD1171" i="1" s="1"/>
  <c r="H1170" i="1"/>
  <c r="AD1170" i="1" s="1"/>
  <c r="H1169" i="1"/>
  <c r="AD1169" i="1" s="1"/>
  <c r="H1168" i="1"/>
  <c r="AD1168" i="1" s="1"/>
  <c r="H1167" i="1"/>
  <c r="AD1167" i="1" s="1"/>
  <c r="H1161" i="1"/>
  <c r="AD1063" i="1"/>
  <c r="H1064" i="1"/>
  <c r="AD1064" i="1" s="1"/>
  <c r="H1065" i="1"/>
  <c r="AD1035" i="1"/>
  <c r="H1036" i="1"/>
  <c r="AD1036" i="1" s="1"/>
  <c r="AD998" i="1"/>
  <c r="H1004" i="1"/>
  <c r="H1000" i="1"/>
  <c r="H1003" i="1"/>
  <c r="AD1003" i="1" s="1"/>
  <c r="H999" i="1"/>
  <c r="AD999" i="1" s="1"/>
  <c r="AD955" i="1"/>
  <c r="H956" i="1"/>
  <c r="AD956" i="1" s="1"/>
  <c r="H962" i="1"/>
  <c r="H958" i="1"/>
  <c r="AD958" i="1" s="1"/>
  <c r="H959" i="1"/>
  <c r="H957" i="1"/>
  <c r="AD957" i="1" s="1"/>
  <c r="AD593" i="1"/>
  <c r="H595" i="1"/>
  <c r="AD595" i="1" s="1"/>
  <c r="H596" i="1"/>
  <c r="AD596" i="1" s="1"/>
  <c r="H598" i="1"/>
  <c r="AD598" i="1" s="1"/>
  <c r="H597" i="1"/>
  <c r="AD597" i="1" s="1"/>
  <c r="H594" i="1"/>
  <c r="AD594" i="1" s="1"/>
  <c r="AD851" i="1"/>
  <c r="H857" i="1"/>
  <c r="H856" i="1"/>
  <c r="AD856" i="1" s="1"/>
  <c r="H852" i="1"/>
  <c r="H855" i="1"/>
  <c r="AD855" i="1" s="1"/>
  <c r="AD842" i="1"/>
  <c r="H847" i="1"/>
  <c r="H846" i="1"/>
  <c r="AD846" i="1" s="1"/>
  <c r="H845" i="1"/>
  <c r="AD845" i="1" s="1"/>
  <c r="H844" i="1"/>
  <c r="AD844" i="1" s="1"/>
  <c r="H843" i="1"/>
  <c r="AD843" i="1" s="1"/>
  <c r="H850" i="1"/>
  <c r="AD850" i="1" s="1"/>
  <c r="AD944" i="1"/>
  <c r="H946" i="1"/>
  <c r="H945" i="1"/>
  <c r="AD945" i="1" s="1"/>
  <c r="AD904" i="1"/>
  <c r="H909" i="1"/>
  <c r="AD909" i="1" s="1"/>
  <c r="H905" i="1"/>
  <c r="AD905" i="1" s="1"/>
  <c r="H906" i="1"/>
  <c r="AD235" i="1"/>
  <c r="H238" i="1"/>
  <c r="AD238" i="1" s="1"/>
  <c r="H239" i="1"/>
  <c r="AD239" i="1" s="1"/>
  <c r="H240" i="1"/>
  <c r="AD240" i="1" s="1"/>
  <c r="H241" i="1"/>
  <c r="AD241" i="1" s="1"/>
  <c r="H236" i="1"/>
  <c r="AD236" i="1" s="1"/>
  <c r="H237" i="1"/>
  <c r="AD237" i="1" s="1"/>
  <c r="AD245" i="1"/>
  <c r="H266" i="1"/>
  <c r="H256" i="1"/>
  <c r="AD256" i="1" s="1"/>
  <c r="H263" i="1"/>
  <c r="H255" i="1"/>
  <c r="AD255" i="1" s="1"/>
  <c r="H262" i="1"/>
  <c r="AD262" i="1" s="1"/>
  <c r="H254" i="1"/>
  <c r="AD254" i="1" s="1"/>
  <c r="H261" i="1"/>
  <c r="AD261" i="1" s="1"/>
  <c r="H253" i="1"/>
  <c r="AD253" i="1" s="1"/>
  <c r="H260" i="1"/>
  <c r="AD260" i="1" s="1"/>
  <c r="H250" i="1"/>
  <c r="H258" i="1"/>
  <c r="AD258" i="1" s="1"/>
  <c r="H246" i="1"/>
  <c r="AD246" i="1" s="1"/>
  <c r="H259" i="1"/>
  <c r="AD259" i="1" s="1"/>
  <c r="H257" i="1"/>
  <c r="AD257" i="1" s="1"/>
  <c r="H247" i="1"/>
  <c r="AD521" i="1"/>
  <c r="H523" i="1"/>
  <c r="AD523" i="1" s="1"/>
  <c r="H522" i="1"/>
  <c r="AD522" i="1" s="1"/>
  <c r="AD773" i="1"/>
  <c r="H775" i="1"/>
  <c r="AD775" i="1" s="1"/>
  <c r="H774" i="1"/>
  <c r="AD774" i="1" s="1"/>
  <c r="X1340" i="1" l="1"/>
  <c r="AN842" i="1"/>
  <c r="AO842" i="1"/>
  <c r="AN944" i="1"/>
  <c r="AO944" i="1"/>
  <c r="AN855" i="1"/>
  <c r="AO855" i="1"/>
  <c r="AN955" i="1"/>
  <c r="AO955" i="1"/>
  <c r="AN1171" i="1"/>
  <c r="AO1171" i="1"/>
  <c r="AN920" i="1"/>
  <c r="AO920" i="1"/>
  <c r="AN1129" i="1"/>
  <c r="AO1129" i="1"/>
  <c r="AN987" i="1"/>
  <c r="AO987" i="1"/>
  <c r="AN1094" i="1"/>
  <c r="AO1094" i="1"/>
  <c r="AN1141" i="1"/>
  <c r="AO1141" i="1"/>
  <c r="AN1133" i="1"/>
  <c r="AO1133" i="1"/>
  <c r="AN1019" i="1"/>
  <c r="AO1019" i="1"/>
  <c r="AN821" i="1"/>
  <c r="AO821" i="1"/>
  <c r="AN1128" i="1"/>
  <c r="AO1128" i="1"/>
  <c r="AN948" i="1"/>
  <c r="AO948" i="1"/>
  <c r="AN1176" i="1"/>
  <c r="AO1176" i="1"/>
  <c r="AN876" i="1"/>
  <c r="AO876" i="1"/>
  <c r="AO835" i="1"/>
  <c r="AN835" i="1"/>
  <c r="AO1007" i="1"/>
  <c r="AN1007" i="1"/>
  <c r="AN1025" i="1"/>
  <c r="AO1025" i="1"/>
  <c r="AN850" i="1"/>
  <c r="AO850" i="1"/>
  <c r="AN999" i="1"/>
  <c r="AO999" i="1"/>
  <c r="AN1064" i="1"/>
  <c r="AO1064" i="1"/>
  <c r="AN1160" i="1"/>
  <c r="AO1160" i="1"/>
  <c r="AO813" i="1"/>
  <c r="AN813" i="1"/>
  <c r="AN965" i="1"/>
  <c r="AO965" i="1"/>
  <c r="AN1092" i="1"/>
  <c r="AO1092" i="1"/>
  <c r="CR1134" i="1"/>
  <c r="AN1134" i="1"/>
  <c r="AO1134" i="1"/>
  <c r="AN1060" i="1"/>
  <c r="AO1060" i="1"/>
  <c r="AN1126" i="1"/>
  <c r="AO1126" i="1"/>
  <c r="AN1174" i="1"/>
  <c r="AO1174" i="1"/>
  <c r="AN1158" i="1"/>
  <c r="AO1158" i="1"/>
  <c r="AN843" i="1"/>
  <c r="AO843" i="1"/>
  <c r="AN856" i="1"/>
  <c r="AO856" i="1"/>
  <c r="AN1003" i="1"/>
  <c r="AO1003" i="1"/>
  <c r="AO1063" i="1"/>
  <c r="AN1063" i="1"/>
  <c r="CR812" i="1"/>
  <c r="AO812" i="1"/>
  <c r="AN812" i="1"/>
  <c r="AO1182" i="1"/>
  <c r="AN1182" i="1"/>
  <c r="AO798" i="1"/>
  <c r="AN798" i="1"/>
  <c r="AO988" i="1"/>
  <c r="AN988" i="1"/>
  <c r="AN886" i="1"/>
  <c r="AO886" i="1"/>
  <c r="AO1132" i="1"/>
  <c r="AN1132" i="1"/>
  <c r="AN1059" i="1"/>
  <c r="AO1059" i="1"/>
  <c r="AO825" i="1"/>
  <c r="AN825" i="1"/>
  <c r="AN941" i="1"/>
  <c r="AO941" i="1"/>
  <c r="AN877" i="1"/>
  <c r="AO877" i="1"/>
  <c r="AN1137" i="1"/>
  <c r="AO1137" i="1"/>
  <c r="AN1157" i="1"/>
  <c r="AO1157" i="1"/>
  <c r="AN905" i="1"/>
  <c r="AO905" i="1"/>
  <c r="AO844" i="1"/>
  <c r="AN844" i="1"/>
  <c r="AN957" i="1"/>
  <c r="AO957" i="1"/>
  <c r="AO1183" i="1"/>
  <c r="AN1183" i="1"/>
  <c r="AO797" i="1"/>
  <c r="AN797" i="1"/>
  <c r="AN887" i="1"/>
  <c r="AO887" i="1"/>
  <c r="AN1149" i="1"/>
  <c r="AO1149" i="1"/>
  <c r="AN831" i="1"/>
  <c r="AO831" i="1"/>
  <c r="AN911" i="1"/>
  <c r="AO911" i="1"/>
  <c r="AO819" i="1"/>
  <c r="AN819" i="1"/>
  <c r="AN940" i="1"/>
  <c r="AO940" i="1"/>
  <c r="AO881" i="1"/>
  <c r="AN881" i="1"/>
  <c r="AN1140" i="1"/>
  <c r="AO1140" i="1"/>
  <c r="AN1156" i="1"/>
  <c r="AO1156" i="1"/>
  <c r="AN976" i="1"/>
  <c r="AO976" i="1"/>
  <c r="AO1035" i="1"/>
  <c r="AN1035" i="1"/>
  <c r="AN909" i="1"/>
  <c r="AO909" i="1"/>
  <c r="AN845" i="1"/>
  <c r="AO845" i="1"/>
  <c r="AN851" i="1"/>
  <c r="AO851" i="1"/>
  <c r="AN1167" i="1"/>
  <c r="AO1167" i="1"/>
  <c r="AO1181" i="1"/>
  <c r="AN1181" i="1"/>
  <c r="AN1056" i="1"/>
  <c r="AO1056" i="1"/>
  <c r="AN974" i="1"/>
  <c r="AO974" i="1"/>
  <c r="AO992" i="1"/>
  <c r="AN992" i="1"/>
  <c r="AN1148" i="1"/>
  <c r="AO1148" i="1"/>
  <c r="AO1178" i="1"/>
  <c r="AN1178" i="1"/>
  <c r="AN912" i="1"/>
  <c r="AO912" i="1"/>
  <c r="AN874" i="1"/>
  <c r="AO874" i="1"/>
  <c r="AN1139" i="1"/>
  <c r="AO1139" i="1"/>
  <c r="AN1026" i="1"/>
  <c r="AO1026" i="1"/>
  <c r="AN1159" i="1"/>
  <c r="AO1159" i="1"/>
  <c r="AO807" i="1"/>
  <c r="AN807" i="1"/>
  <c r="AN975" i="1"/>
  <c r="AO975" i="1"/>
  <c r="AN904" i="1"/>
  <c r="AO904" i="1"/>
  <c r="AN846" i="1"/>
  <c r="AO846" i="1"/>
  <c r="AN958" i="1"/>
  <c r="AO958" i="1"/>
  <c r="AN998" i="1"/>
  <c r="AO998" i="1"/>
  <c r="AO1168" i="1"/>
  <c r="AN1168" i="1"/>
  <c r="AO802" i="1"/>
  <c r="AN802" i="1"/>
  <c r="AN966" i="1"/>
  <c r="AO966" i="1"/>
  <c r="AN882" i="1"/>
  <c r="AO882" i="1"/>
  <c r="AN1150" i="1"/>
  <c r="AO1150" i="1"/>
  <c r="AN1020" i="1"/>
  <c r="AO1020" i="1"/>
  <c r="AN1179" i="1"/>
  <c r="AO1179" i="1"/>
  <c r="AN875" i="1"/>
  <c r="AO875" i="1"/>
  <c r="AN862" i="1"/>
  <c r="AO862" i="1"/>
  <c r="CR1138" i="1"/>
  <c r="AN1138" i="1"/>
  <c r="AO1138" i="1"/>
  <c r="AN1155" i="1"/>
  <c r="AO1155" i="1"/>
  <c r="AO808" i="1"/>
  <c r="AN808" i="1"/>
  <c r="AO1185" i="1"/>
  <c r="AN1185" i="1"/>
  <c r="AN956" i="1"/>
  <c r="AO956" i="1"/>
  <c r="AN1170" i="1"/>
  <c r="AO1170" i="1"/>
  <c r="AN921" i="1"/>
  <c r="AO921" i="1"/>
  <c r="AN892" i="1"/>
  <c r="AO892" i="1"/>
  <c r="AN1131" i="1"/>
  <c r="AO1131" i="1"/>
  <c r="AN970" i="1"/>
  <c r="AO970" i="1"/>
  <c r="AO997" i="1"/>
  <c r="AN997" i="1"/>
  <c r="AN1095" i="1"/>
  <c r="AO1095" i="1"/>
  <c r="AN1152" i="1"/>
  <c r="AO1152" i="1"/>
  <c r="AN1024" i="1"/>
  <c r="AO1024" i="1"/>
  <c r="AN826" i="1"/>
  <c r="AO826" i="1"/>
  <c r="AN910" i="1"/>
  <c r="AO910" i="1"/>
  <c r="AO820" i="1"/>
  <c r="AN820" i="1"/>
  <c r="AN1127" i="1"/>
  <c r="AO1127" i="1"/>
  <c r="AN1175" i="1"/>
  <c r="AO1175" i="1"/>
  <c r="AO836" i="1"/>
  <c r="AN836" i="1"/>
  <c r="AN1008" i="1"/>
  <c r="AO1008" i="1"/>
  <c r="AO1184" i="1"/>
  <c r="AN1184" i="1"/>
  <c r="AN945" i="1"/>
  <c r="AO945" i="1"/>
  <c r="AO1036" i="1"/>
  <c r="AN1036" i="1"/>
  <c r="AN1169" i="1"/>
  <c r="AO1169" i="1"/>
  <c r="AN1055" i="1"/>
  <c r="AO1055" i="1"/>
  <c r="AO796" i="1"/>
  <c r="AN796" i="1"/>
  <c r="AN893" i="1"/>
  <c r="AO893" i="1"/>
  <c r="AO1130" i="1"/>
  <c r="AN1130" i="1"/>
  <c r="AN996" i="1"/>
  <c r="AO996" i="1"/>
  <c r="AN1093" i="1"/>
  <c r="AO1093" i="1"/>
  <c r="AN1151" i="1"/>
  <c r="AO1151" i="1"/>
  <c r="AN1177" i="1"/>
  <c r="AO1177" i="1"/>
  <c r="AO830" i="1"/>
  <c r="AN830" i="1"/>
  <c r="AN949" i="1"/>
  <c r="AO949" i="1"/>
  <c r="AN873" i="1"/>
  <c r="AO873" i="1"/>
  <c r="AN861" i="1"/>
  <c r="AO861" i="1"/>
  <c r="AN1136" i="1"/>
  <c r="AO1136" i="1"/>
  <c r="AN1027" i="1"/>
  <c r="AO1027" i="1"/>
  <c r="AO803" i="1"/>
  <c r="AN803" i="1"/>
  <c r="AO1186" i="1"/>
  <c r="AN1186" i="1"/>
  <c r="AD1350" i="1"/>
  <c r="AE1350" i="1" s="1"/>
  <c r="BC773" i="1"/>
  <c r="BB773" i="1"/>
  <c r="BA773" i="1"/>
  <c r="AO773" i="1"/>
  <c r="AN773" i="1"/>
  <c r="BB258" i="1"/>
  <c r="BC258" i="1"/>
  <c r="AO258" i="1"/>
  <c r="AN258" i="1"/>
  <c r="BA258" i="1"/>
  <c r="BB239" i="1"/>
  <c r="BC239" i="1"/>
  <c r="BA239" i="1"/>
  <c r="AN239" i="1"/>
  <c r="AO239" i="1"/>
  <c r="BB598" i="1"/>
  <c r="BC598" i="1"/>
  <c r="AO598" i="1"/>
  <c r="AN598" i="1"/>
  <c r="BA598" i="1"/>
  <c r="CR695" i="1"/>
  <c r="BB695" i="1"/>
  <c r="BC695" i="1"/>
  <c r="AO695" i="1"/>
  <c r="AN695" i="1"/>
  <c r="BA695" i="1"/>
  <c r="BB71" i="1"/>
  <c r="BC71" i="1"/>
  <c r="BA71" i="1"/>
  <c r="AO71" i="1"/>
  <c r="AN71" i="1"/>
  <c r="BB458" i="1"/>
  <c r="BC458" i="1"/>
  <c r="AN458" i="1"/>
  <c r="AO458" i="1"/>
  <c r="BA458" i="1"/>
  <c r="BB682" i="1"/>
  <c r="BC682" i="1"/>
  <c r="AO682" i="1"/>
  <c r="AN682" i="1"/>
  <c r="BA682" i="1"/>
  <c r="BB492" i="1"/>
  <c r="BC492" i="1"/>
  <c r="AN492" i="1"/>
  <c r="AO492" i="1"/>
  <c r="BA492" i="1"/>
  <c r="BB196" i="1"/>
  <c r="BC196" i="1"/>
  <c r="AN196" i="1"/>
  <c r="BA196" i="1"/>
  <c r="AO196" i="1"/>
  <c r="BB434" i="1"/>
  <c r="BC434" i="1"/>
  <c r="BA434" i="1"/>
  <c r="AO434" i="1"/>
  <c r="AN434" i="1"/>
  <c r="BB436" i="1"/>
  <c r="BC436" i="1"/>
  <c r="AN436" i="1"/>
  <c r="AO436" i="1"/>
  <c r="BA436" i="1"/>
  <c r="BC431" i="1"/>
  <c r="BB431" i="1"/>
  <c r="BA431" i="1"/>
  <c r="AN431" i="1"/>
  <c r="AO431" i="1"/>
  <c r="BB786" i="1"/>
  <c r="BC786" i="1"/>
  <c r="AO786" i="1"/>
  <c r="AN786" i="1"/>
  <c r="BA786" i="1"/>
  <c r="BC106" i="1"/>
  <c r="BB106" i="1"/>
  <c r="AN106" i="1"/>
  <c r="BA106" i="1"/>
  <c r="AO106" i="1"/>
  <c r="BB108" i="1"/>
  <c r="BC108" i="1"/>
  <c r="AO108" i="1"/>
  <c r="AN108" i="1"/>
  <c r="BA108" i="1"/>
  <c r="BB75" i="1"/>
  <c r="BC75" i="1"/>
  <c r="AO75" i="1"/>
  <c r="AN75" i="1"/>
  <c r="BA75" i="1"/>
  <c r="BB339" i="1"/>
  <c r="BC339" i="1"/>
  <c r="AO339" i="1"/>
  <c r="AN339" i="1"/>
  <c r="BA339" i="1"/>
  <c r="CR326" i="1"/>
  <c r="BB326" i="1"/>
  <c r="BC326" i="1"/>
  <c r="AO326" i="1"/>
  <c r="AN326" i="1"/>
  <c r="BA326" i="1"/>
  <c r="BB136" i="1"/>
  <c r="BC136" i="1"/>
  <c r="AN136" i="1"/>
  <c r="AO136" i="1"/>
  <c r="BA136" i="1"/>
  <c r="BB190" i="1"/>
  <c r="BC190" i="1"/>
  <c r="AO190" i="1"/>
  <c r="AN190" i="1"/>
  <c r="BA190" i="1"/>
  <c r="BB199" i="1"/>
  <c r="BC199" i="1"/>
  <c r="BA199" i="1"/>
  <c r="AN199" i="1"/>
  <c r="AO199" i="1"/>
  <c r="BB365" i="1"/>
  <c r="BC365" i="1"/>
  <c r="AO365" i="1"/>
  <c r="AN365" i="1"/>
  <c r="BA365" i="1"/>
  <c r="BB217" i="1"/>
  <c r="BC217" i="1"/>
  <c r="AO217" i="1"/>
  <c r="AN217" i="1"/>
  <c r="BA217" i="1"/>
  <c r="BB404" i="1"/>
  <c r="BC404" i="1"/>
  <c r="AN404" i="1"/>
  <c r="AO404" i="1"/>
  <c r="BA404" i="1"/>
  <c r="BB417" i="1"/>
  <c r="BC417" i="1"/>
  <c r="BA417" i="1"/>
  <c r="AO417" i="1"/>
  <c r="AN417" i="1"/>
  <c r="BB402" i="1"/>
  <c r="BC402" i="1"/>
  <c r="AO402" i="1"/>
  <c r="AN402" i="1"/>
  <c r="BA402" i="1"/>
  <c r="BB342" i="1"/>
  <c r="BC342" i="1"/>
  <c r="AO342" i="1"/>
  <c r="AN342" i="1"/>
  <c r="BA342" i="1"/>
  <c r="BB283" i="1"/>
  <c r="BC283" i="1"/>
  <c r="AO283" i="1"/>
  <c r="AN283" i="1"/>
  <c r="BA283" i="1"/>
  <c r="BC763" i="1"/>
  <c r="BB763" i="1"/>
  <c r="AN763" i="1"/>
  <c r="AO763" i="1"/>
  <c r="BA763" i="1"/>
  <c r="BB576" i="1"/>
  <c r="BC576" i="1"/>
  <c r="AO576" i="1"/>
  <c r="AN576" i="1"/>
  <c r="BA576" i="1"/>
  <c r="BB209" i="1"/>
  <c r="BC209" i="1"/>
  <c r="BA209" i="1"/>
  <c r="AO209" i="1"/>
  <c r="AN209" i="1"/>
  <c r="BC399" i="1"/>
  <c r="BB399" i="1"/>
  <c r="AN399" i="1"/>
  <c r="AO399" i="1"/>
  <c r="BA399" i="1"/>
  <c r="BB483" i="1"/>
  <c r="BC483" i="1"/>
  <c r="AO483" i="1"/>
  <c r="AN483" i="1"/>
  <c r="BA483" i="1"/>
  <c r="BB526" i="1"/>
  <c r="BC526" i="1"/>
  <c r="AN526" i="1"/>
  <c r="BA526" i="1"/>
  <c r="AO526" i="1"/>
  <c r="BB314" i="1"/>
  <c r="BC314" i="1"/>
  <c r="AO314" i="1"/>
  <c r="BA314" i="1"/>
  <c r="AN314" i="1"/>
  <c r="BB294" i="1"/>
  <c r="BC294" i="1"/>
  <c r="AN294" i="1"/>
  <c r="AO294" i="1"/>
  <c r="BA294" i="1"/>
  <c r="BB522" i="1"/>
  <c r="BC522" i="1"/>
  <c r="AO522" i="1"/>
  <c r="AN522" i="1"/>
  <c r="BA522" i="1"/>
  <c r="BC256" i="1"/>
  <c r="BB256" i="1"/>
  <c r="AO256" i="1"/>
  <c r="AN256" i="1"/>
  <c r="BA256" i="1"/>
  <c r="BB238" i="1"/>
  <c r="BC238" i="1"/>
  <c r="AN238" i="1"/>
  <c r="AO238" i="1"/>
  <c r="BA238" i="1"/>
  <c r="BB596" i="1"/>
  <c r="BC596" i="1"/>
  <c r="BA596" i="1"/>
  <c r="AN596" i="1"/>
  <c r="AO596" i="1"/>
  <c r="BB692" i="1"/>
  <c r="BC692" i="1"/>
  <c r="AO692" i="1"/>
  <c r="AN692" i="1"/>
  <c r="BA692" i="1"/>
  <c r="BB459" i="1"/>
  <c r="BC459" i="1"/>
  <c r="AO459" i="1"/>
  <c r="AN459" i="1"/>
  <c r="BA459" i="1"/>
  <c r="BB680" i="1"/>
  <c r="BC680" i="1"/>
  <c r="AN680" i="1"/>
  <c r="AO680" i="1"/>
  <c r="BA680" i="1"/>
  <c r="CR493" i="1"/>
  <c r="BB493" i="1"/>
  <c r="BC493" i="1"/>
  <c r="AN493" i="1"/>
  <c r="AO493" i="1"/>
  <c r="BA493" i="1"/>
  <c r="BB195" i="1"/>
  <c r="BC195" i="1"/>
  <c r="AO195" i="1"/>
  <c r="AN195" i="1"/>
  <c r="BA195" i="1"/>
  <c r="BB433" i="1"/>
  <c r="BC433" i="1"/>
  <c r="BA433" i="1"/>
  <c r="AO433" i="1"/>
  <c r="AN433" i="1"/>
  <c r="BB446" i="1"/>
  <c r="BC446" i="1"/>
  <c r="AO446" i="1"/>
  <c r="AN446" i="1"/>
  <c r="BA446" i="1"/>
  <c r="BC439" i="1"/>
  <c r="BB439" i="1"/>
  <c r="AN439" i="1"/>
  <c r="AO439" i="1"/>
  <c r="BA439" i="1"/>
  <c r="BC579" i="1"/>
  <c r="BB579" i="1"/>
  <c r="BA579" i="1"/>
  <c r="AO579" i="1"/>
  <c r="AN579" i="1"/>
  <c r="BB785" i="1"/>
  <c r="BC785" i="1"/>
  <c r="AN785" i="1"/>
  <c r="AO785" i="1"/>
  <c r="BA785" i="1"/>
  <c r="BB553" i="1"/>
  <c r="BC553" i="1"/>
  <c r="AO553" i="1"/>
  <c r="AN553" i="1"/>
  <c r="BA553" i="1"/>
  <c r="BB120" i="1"/>
  <c r="BC120" i="1"/>
  <c r="BA120" i="1"/>
  <c r="AO120" i="1"/>
  <c r="AN120" i="1"/>
  <c r="BB124" i="1"/>
  <c r="BC124" i="1"/>
  <c r="AO124" i="1"/>
  <c r="AN124" i="1"/>
  <c r="BA124" i="1"/>
  <c r="BB338" i="1"/>
  <c r="BC338" i="1"/>
  <c r="AO338" i="1"/>
  <c r="AN338" i="1"/>
  <c r="BA338" i="1"/>
  <c r="BB325" i="1"/>
  <c r="BC325" i="1"/>
  <c r="AN325" i="1"/>
  <c r="AO325" i="1"/>
  <c r="BA325" i="1"/>
  <c r="BB142" i="1"/>
  <c r="BC142" i="1"/>
  <c r="AO142" i="1"/>
  <c r="AN142" i="1"/>
  <c r="BA142" i="1"/>
  <c r="BB201" i="1"/>
  <c r="BC201" i="1"/>
  <c r="AO201" i="1"/>
  <c r="AN201" i="1"/>
  <c r="BA201" i="1"/>
  <c r="BC516" i="1"/>
  <c r="BB516" i="1"/>
  <c r="AN516" i="1"/>
  <c r="AO516" i="1"/>
  <c r="BA516" i="1"/>
  <c r="BB322" i="1"/>
  <c r="BC322" i="1"/>
  <c r="AO322" i="1"/>
  <c r="AN322" i="1"/>
  <c r="BA322" i="1"/>
  <c r="CR218" i="1"/>
  <c r="BC218" i="1"/>
  <c r="BB218" i="1"/>
  <c r="BA218" i="1"/>
  <c r="AN218" i="1"/>
  <c r="AO218" i="1"/>
  <c r="BB499" i="1"/>
  <c r="BC499" i="1"/>
  <c r="AO499" i="1"/>
  <c r="AN499" i="1"/>
  <c r="BA499" i="1"/>
  <c r="BB421" i="1"/>
  <c r="BC421" i="1"/>
  <c r="AN421" i="1"/>
  <c r="AO421" i="1"/>
  <c r="BA421" i="1"/>
  <c r="BB409" i="1"/>
  <c r="BC409" i="1"/>
  <c r="BA409" i="1"/>
  <c r="AO409" i="1"/>
  <c r="AN409" i="1"/>
  <c r="BB341" i="1"/>
  <c r="BC341" i="1"/>
  <c r="AN341" i="1"/>
  <c r="AO341" i="1"/>
  <c r="BA341" i="1"/>
  <c r="BB287" i="1"/>
  <c r="BC287" i="1"/>
  <c r="BA287" i="1"/>
  <c r="AN287" i="1"/>
  <c r="AO287" i="1"/>
  <c r="BB293" i="1"/>
  <c r="BC293" i="1"/>
  <c r="AN293" i="1"/>
  <c r="AO293" i="1"/>
  <c r="BA293" i="1"/>
  <c r="BB764" i="1"/>
  <c r="BC764" i="1"/>
  <c r="AO764" i="1"/>
  <c r="BA764" i="1"/>
  <c r="AN764" i="1"/>
  <c r="BB575" i="1"/>
  <c r="BC575" i="1"/>
  <c r="AN575" i="1"/>
  <c r="AO575" i="1"/>
  <c r="BA575" i="1"/>
  <c r="BB208" i="1"/>
  <c r="BC208" i="1"/>
  <c r="AO208" i="1"/>
  <c r="AN208" i="1"/>
  <c r="BA208" i="1"/>
  <c r="CR383" i="1"/>
  <c r="BC383" i="1"/>
  <c r="BB383" i="1"/>
  <c r="AN383" i="1"/>
  <c r="AO383" i="1"/>
  <c r="BA383" i="1"/>
  <c r="BB481" i="1"/>
  <c r="BC481" i="1"/>
  <c r="AO481" i="1"/>
  <c r="BA481" i="1"/>
  <c r="AN481" i="1"/>
  <c r="BB295" i="1"/>
  <c r="BC295" i="1"/>
  <c r="AN295" i="1"/>
  <c r="AO295" i="1"/>
  <c r="BA295" i="1"/>
  <c r="BB303" i="1"/>
  <c r="BC303" i="1"/>
  <c r="BA303" i="1"/>
  <c r="AN303" i="1"/>
  <c r="AO303" i="1"/>
  <c r="BB331" i="1"/>
  <c r="BC331" i="1"/>
  <c r="AO331" i="1"/>
  <c r="AN331" i="1"/>
  <c r="BA331" i="1"/>
  <c r="CR523" i="1"/>
  <c r="BC523" i="1"/>
  <c r="BB523" i="1"/>
  <c r="BA523" i="1"/>
  <c r="AO523" i="1"/>
  <c r="AN523" i="1"/>
  <c r="CR260" i="1"/>
  <c r="BB260" i="1"/>
  <c r="BC260" i="1"/>
  <c r="AO260" i="1"/>
  <c r="AN260" i="1"/>
  <c r="BA260" i="1"/>
  <c r="BB235" i="1"/>
  <c r="BC235" i="1"/>
  <c r="AN235" i="1"/>
  <c r="BA235" i="1"/>
  <c r="AO235" i="1"/>
  <c r="CR595" i="1"/>
  <c r="BC595" i="1"/>
  <c r="BB595" i="1"/>
  <c r="AO595" i="1"/>
  <c r="AN595" i="1"/>
  <c r="BA595" i="1"/>
  <c r="BB72" i="1"/>
  <c r="BC72" i="1"/>
  <c r="BA72" i="1"/>
  <c r="AN72" i="1"/>
  <c r="AO72" i="1"/>
  <c r="BB457" i="1"/>
  <c r="BC457" i="1"/>
  <c r="AO457" i="1"/>
  <c r="AN457" i="1"/>
  <c r="BA457" i="1"/>
  <c r="BB364" i="1"/>
  <c r="BC364" i="1"/>
  <c r="AO364" i="1"/>
  <c r="AN364" i="1"/>
  <c r="BA364" i="1"/>
  <c r="BB760" i="1"/>
  <c r="BC760" i="1"/>
  <c r="AO760" i="1"/>
  <c r="AN760" i="1"/>
  <c r="BA760" i="1"/>
  <c r="BB491" i="1"/>
  <c r="BC491" i="1"/>
  <c r="AO491" i="1"/>
  <c r="AN491" i="1"/>
  <c r="BA491" i="1"/>
  <c r="BC194" i="1"/>
  <c r="BB194" i="1"/>
  <c r="BA194" i="1"/>
  <c r="AO194" i="1"/>
  <c r="AN194" i="1"/>
  <c r="BB441" i="1"/>
  <c r="BC441" i="1"/>
  <c r="BA441" i="1"/>
  <c r="AO441" i="1"/>
  <c r="AN441" i="1"/>
  <c r="BB427" i="1"/>
  <c r="BC427" i="1"/>
  <c r="AO427" i="1"/>
  <c r="AN427" i="1"/>
  <c r="BA427" i="1"/>
  <c r="CR449" i="1"/>
  <c r="BB449" i="1"/>
  <c r="BC449" i="1"/>
  <c r="BA449" i="1"/>
  <c r="AO449" i="1"/>
  <c r="AN449" i="1"/>
  <c r="CR580" i="1"/>
  <c r="BB580" i="1"/>
  <c r="BC580" i="1"/>
  <c r="AO580" i="1"/>
  <c r="BA580" i="1"/>
  <c r="AN580" i="1"/>
  <c r="BB345" i="1"/>
  <c r="BC345" i="1"/>
  <c r="BA345" i="1"/>
  <c r="AO345" i="1"/>
  <c r="AN345" i="1"/>
  <c r="CR512" i="1"/>
  <c r="BC512" i="1"/>
  <c r="BB512" i="1"/>
  <c r="AO512" i="1"/>
  <c r="AN512" i="1"/>
  <c r="BA512" i="1"/>
  <c r="CR787" i="1"/>
  <c r="BC787" i="1"/>
  <c r="BB787" i="1"/>
  <c r="AO787" i="1"/>
  <c r="AN787" i="1"/>
  <c r="BA787" i="1"/>
  <c r="BB750" i="1"/>
  <c r="BC750" i="1"/>
  <c r="AO750" i="1"/>
  <c r="AN750" i="1"/>
  <c r="BA750" i="1"/>
  <c r="BC122" i="1"/>
  <c r="BB122" i="1"/>
  <c r="AO122" i="1"/>
  <c r="AN122" i="1"/>
  <c r="BA122" i="1"/>
  <c r="BB377" i="1"/>
  <c r="BC377" i="1"/>
  <c r="AO377" i="1"/>
  <c r="AN377" i="1"/>
  <c r="BA377" i="1"/>
  <c r="BB324" i="1"/>
  <c r="BC324" i="1"/>
  <c r="AO324" i="1"/>
  <c r="AN324" i="1"/>
  <c r="BA324" i="1"/>
  <c r="BB486" i="1"/>
  <c r="BC486" i="1"/>
  <c r="AO486" i="1"/>
  <c r="AN486" i="1"/>
  <c r="BA486" i="1"/>
  <c r="BB183" i="1"/>
  <c r="BC183" i="1"/>
  <c r="BA183" i="1"/>
  <c r="AN183" i="1"/>
  <c r="AO183" i="1"/>
  <c r="BB200" i="1"/>
  <c r="BC200" i="1"/>
  <c r="AN200" i="1"/>
  <c r="BA200" i="1"/>
  <c r="AO200" i="1"/>
  <c r="BC517" i="1"/>
  <c r="BB517" i="1"/>
  <c r="AN517" i="1"/>
  <c r="AO517" i="1"/>
  <c r="BA517" i="1"/>
  <c r="BB321" i="1"/>
  <c r="BC321" i="1"/>
  <c r="AO321" i="1"/>
  <c r="AN321" i="1"/>
  <c r="BA321" i="1"/>
  <c r="BB216" i="1"/>
  <c r="BC216" i="1"/>
  <c r="BA216" i="1"/>
  <c r="AO216" i="1"/>
  <c r="AN216" i="1"/>
  <c r="BB706" i="1"/>
  <c r="BC706" i="1"/>
  <c r="AO706" i="1"/>
  <c r="AN706" i="1"/>
  <c r="BA706" i="1"/>
  <c r="BB413" i="1"/>
  <c r="BC413" i="1"/>
  <c r="AN413" i="1"/>
  <c r="AO413" i="1"/>
  <c r="BA413" i="1"/>
  <c r="BB403" i="1"/>
  <c r="BC403" i="1"/>
  <c r="AN403" i="1"/>
  <c r="AO403" i="1"/>
  <c r="BA403" i="1"/>
  <c r="CR549" i="1"/>
  <c r="BC549" i="1"/>
  <c r="BB549" i="1"/>
  <c r="AO549" i="1"/>
  <c r="AN549" i="1"/>
  <c r="BA549" i="1"/>
  <c r="BB284" i="1"/>
  <c r="BC284" i="1"/>
  <c r="AN284" i="1"/>
  <c r="AO284" i="1"/>
  <c r="BA284" i="1"/>
  <c r="BC280" i="1"/>
  <c r="BB280" i="1"/>
  <c r="AO280" i="1"/>
  <c r="AN280" i="1"/>
  <c r="BA280" i="1"/>
  <c r="BB271" i="1"/>
  <c r="BC271" i="1"/>
  <c r="AN271" i="1"/>
  <c r="AO271" i="1"/>
  <c r="BA271" i="1"/>
  <c r="BB762" i="1"/>
  <c r="BC762" i="1"/>
  <c r="AO762" i="1"/>
  <c r="AN762" i="1"/>
  <c r="BA762" i="1"/>
  <c r="BB746" i="1"/>
  <c r="BC746" i="1"/>
  <c r="AO746" i="1"/>
  <c r="AN746" i="1"/>
  <c r="BA746" i="1"/>
  <c r="BC573" i="1"/>
  <c r="BB573" i="1"/>
  <c r="AN573" i="1"/>
  <c r="AO573" i="1"/>
  <c r="BA573" i="1"/>
  <c r="BB381" i="1"/>
  <c r="BC381" i="1"/>
  <c r="AN381" i="1"/>
  <c r="AO381" i="1"/>
  <c r="BA381" i="1"/>
  <c r="BC400" i="1"/>
  <c r="BB400" i="1"/>
  <c r="AO400" i="1"/>
  <c r="BA400" i="1"/>
  <c r="AN400" i="1"/>
  <c r="BB482" i="1"/>
  <c r="BC482" i="1"/>
  <c r="AN482" i="1"/>
  <c r="BA482" i="1"/>
  <c r="AO482" i="1"/>
  <c r="CR315" i="1"/>
  <c r="BB315" i="1"/>
  <c r="BC315" i="1"/>
  <c r="AO315" i="1"/>
  <c r="AN315" i="1"/>
  <c r="BA315" i="1"/>
  <c r="BB521" i="1"/>
  <c r="BC521" i="1"/>
  <c r="AO521" i="1"/>
  <c r="AN521" i="1"/>
  <c r="BA521" i="1"/>
  <c r="BB253" i="1"/>
  <c r="BC253" i="1"/>
  <c r="AN253" i="1"/>
  <c r="AO253" i="1"/>
  <c r="BA253" i="1"/>
  <c r="BB245" i="1"/>
  <c r="BC245" i="1"/>
  <c r="AN245" i="1"/>
  <c r="AO245" i="1"/>
  <c r="BA245" i="1"/>
  <c r="BB593" i="1"/>
  <c r="BC593" i="1"/>
  <c r="AO593" i="1"/>
  <c r="AN593" i="1"/>
  <c r="BA593" i="1"/>
  <c r="BC563" i="1"/>
  <c r="BB563" i="1"/>
  <c r="AN563" i="1"/>
  <c r="AO563" i="1"/>
  <c r="BA563" i="1"/>
  <c r="BB363" i="1"/>
  <c r="BC363" i="1"/>
  <c r="AO363" i="1"/>
  <c r="AN363" i="1"/>
  <c r="BA363" i="1"/>
  <c r="BB761" i="1"/>
  <c r="BC761" i="1"/>
  <c r="AN761" i="1"/>
  <c r="AO761" i="1"/>
  <c r="BA761" i="1"/>
  <c r="BC440" i="1"/>
  <c r="BB440" i="1"/>
  <c r="BA440" i="1"/>
  <c r="AO440" i="1"/>
  <c r="AN440" i="1"/>
  <c r="BB451" i="1"/>
  <c r="BC451" i="1"/>
  <c r="AO451" i="1"/>
  <c r="AN451" i="1"/>
  <c r="BA451" i="1"/>
  <c r="BB437" i="1"/>
  <c r="BC437" i="1"/>
  <c r="AN437" i="1"/>
  <c r="AO437" i="1"/>
  <c r="BA437" i="1"/>
  <c r="BC424" i="1"/>
  <c r="BB424" i="1"/>
  <c r="BA424" i="1"/>
  <c r="AO424" i="1"/>
  <c r="AN424" i="1"/>
  <c r="BB578" i="1"/>
  <c r="BC578" i="1"/>
  <c r="BA578" i="1"/>
  <c r="AO578" i="1"/>
  <c r="AN578" i="1"/>
  <c r="BB346" i="1"/>
  <c r="BC346" i="1"/>
  <c r="AN346" i="1"/>
  <c r="BA346" i="1"/>
  <c r="AO346" i="1"/>
  <c r="BB508" i="1"/>
  <c r="BC508" i="1"/>
  <c r="BA508" i="1"/>
  <c r="AN508" i="1"/>
  <c r="AO508" i="1"/>
  <c r="BB784" i="1"/>
  <c r="BC784" i="1"/>
  <c r="AO784" i="1"/>
  <c r="AN784" i="1"/>
  <c r="BA784" i="1"/>
  <c r="BB748" i="1"/>
  <c r="BC748" i="1"/>
  <c r="BA748" i="1"/>
  <c r="AN748" i="1"/>
  <c r="AO748" i="1"/>
  <c r="BB125" i="1"/>
  <c r="BC125" i="1"/>
  <c r="AN125" i="1"/>
  <c r="AO125" i="1"/>
  <c r="BA125" i="1"/>
  <c r="BC376" i="1"/>
  <c r="BB376" i="1"/>
  <c r="BA376" i="1"/>
  <c r="AO376" i="1"/>
  <c r="AN376" i="1"/>
  <c r="BB214" i="1"/>
  <c r="BC214" i="1"/>
  <c r="AO214" i="1"/>
  <c r="AN214" i="1"/>
  <c r="BA214" i="1"/>
  <c r="BB191" i="1"/>
  <c r="BC191" i="1"/>
  <c r="BA191" i="1"/>
  <c r="AN191" i="1"/>
  <c r="AO191" i="1"/>
  <c r="BB198" i="1"/>
  <c r="BC198" i="1"/>
  <c r="AO198" i="1"/>
  <c r="AN198" i="1"/>
  <c r="BA198" i="1"/>
  <c r="BC515" i="1"/>
  <c r="BB515" i="1"/>
  <c r="BA515" i="1"/>
  <c r="AO515" i="1"/>
  <c r="AN515" i="1"/>
  <c r="BC320" i="1"/>
  <c r="BB320" i="1"/>
  <c r="BA320" i="1"/>
  <c r="AO320" i="1"/>
  <c r="AN320" i="1"/>
  <c r="BB474" i="1"/>
  <c r="BC474" i="1"/>
  <c r="AO474" i="1"/>
  <c r="BA474" i="1"/>
  <c r="AN474" i="1"/>
  <c r="BC707" i="1"/>
  <c r="BB707" i="1"/>
  <c r="AN707" i="1"/>
  <c r="AO707" i="1"/>
  <c r="BA707" i="1"/>
  <c r="BB422" i="1"/>
  <c r="BC422" i="1"/>
  <c r="AO422" i="1"/>
  <c r="AN422" i="1"/>
  <c r="BA422" i="1"/>
  <c r="BB405" i="1"/>
  <c r="BC405" i="1"/>
  <c r="AN405" i="1"/>
  <c r="AO405" i="1"/>
  <c r="BA405" i="1"/>
  <c r="BC416" i="1"/>
  <c r="BB416" i="1"/>
  <c r="AO416" i="1"/>
  <c r="AN416" i="1"/>
  <c r="BA416" i="1"/>
  <c r="BB546" i="1"/>
  <c r="BC546" i="1"/>
  <c r="BA546" i="1"/>
  <c r="AO546" i="1"/>
  <c r="AN546" i="1"/>
  <c r="BB286" i="1"/>
  <c r="BC286" i="1"/>
  <c r="AO286" i="1"/>
  <c r="AN286" i="1"/>
  <c r="BA286" i="1"/>
  <c r="BC288" i="1"/>
  <c r="BB288" i="1"/>
  <c r="AO288" i="1"/>
  <c r="BA288" i="1"/>
  <c r="AN288" i="1"/>
  <c r="BB373" i="1"/>
  <c r="BC373" i="1"/>
  <c r="AN373" i="1"/>
  <c r="AO373" i="1"/>
  <c r="BA373" i="1"/>
  <c r="BB745" i="1"/>
  <c r="BC745" i="1"/>
  <c r="AN745" i="1"/>
  <c r="BA745" i="1"/>
  <c r="AO745" i="1"/>
  <c r="CR396" i="1"/>
  <c r="BB396" i="1"/>
  <c r="BC396" i="1"/>
  <c r="AO396" i="1"/>
  <c r="AN396" i="1"/>
  <c r="BA396" i="1"/>
  <c r="BC480" i="1"/>
  <c r="BB480" i="1"/>
  <c r="AO480" i="1"/>
  <c r="AN480" i="1"/>
  <c r="BA480" i="1"/>
  <c r="BB307" i="1"/>
  <c r="BC307" i="1"/>
  <c r="AN307" i="1"/>
  <c r="AO307" i="1"/>
  <c r="BA307" i="1"/>
  <c r="BC304" i="1"/>
  <c r="BB304" i="1"/>
  <c r="AO304" i="1"/>
  <c r="AN304" i="1"/>
  <c r="BA304" i="1"/>
  <c r="BB330" i="1"/>
  <c r="BC330" i="1"/>
  <c r="BA330" i="1"/>
  <c r="AO330" i="1"/>
  <c r="AN330" i="1"/>
  <c r="BB261" i="1"/>
  <c r="BC261" i="1"/>
  <c r="AO261" i="1"/>
  <c r="AN261" i="1"/>
  <c r="BA261" i="1"/>
  <c r="BB237" i="1"/>
  <c r="BC237" i="1"/>
  <c r="AN237" i="1"/>
  <c r="AO237" i="1"/>
  <c r="BA237" i="1"/>
  <c r="BB562" i="1"/>
  <c r="BC562" i="1"/>
  <c r="BA562" i="1"/>
  <c r="AO562" i="1"/>
  <c r="AN562" i="1"/>
  <c r="BB73" i="1"/>
  <c r="BC73" i="1"/>
  <c r="BA73" i="1"/>
  <c r="AO73" i="1"/>
  <c r="AN73" i="1"/>
  <c r="BB362" i="1"/>
  <c r="BC362" i="1"/>
  <c r="AO362" i="1"/>
  <c r="AN362" i="1"/>
  <c r="BA362" i="1"/>
  <c r="BB759" i="1"/>
  <c r="BC759" i="1"/>
  <c r="BA759" i="1"/>
  <c r="AO759" i="1"/>
  <c r="AN759" i="1"/>
  <c r="BB442" i="1"/>
  <c r="BC442" i="1"/>
  <c r="AO442" i="1"/>
  <c r="AN442" i="1"/>
  <c r="BA442" i="1"/>
  <c r="BB425" i="1"/>
  <c r="BC425" i="1"/>
  <c r="AN425" i="1"/>
  <c r="BA425" i="1"/>
  <c r="AO425" i="1"/>
  <c r="BC447" i="1"/>
  <c r="BB447" i="1"/>
  <c r="AN447" i="1"/>
  <c r="AO447" i="1"/>
  <c r="BA447" i="1"/>
  <c r="BC455" i="1"/>
  <c r="BB455" i="1"/>
  <c r="AN455" i="1"/>
  <c r="AO455" i="1"/>
  <c r="BA455" i="1"/>
  <c r="BB718" i="1"/>
  <c r="BC718" i="1"/>
  <c r="BA718" i="1"/>
  <c r="AO718" i="1"/>
  <c r="AN718" i="1"/>
  <c r="BC344" i="1"/>
  <c r="BB344" i="1"/>
  <c r="BA344" i="1"/>
  <c r="AN344" i="1"/>
  <c r="AO344" i="1"/>
  <c r="CR511" i="1"/>
  <c r="BC511" i="1"/>
  <c r="BB511" i="1"/>
  <c r="BA511" i="1"/>
  <c r="AN511" i="1"/>
  <c r="AO511" i="1"/>
  <c r="BB462" i="1"/>
  <c r="BC462" i="1"/>
  <c r="AO462" i="1"/>
  <c r="AN462" i="1"/>
  <c r="BA462" i="1"/>
  <c r="BC749" i="1"/>
  <c r="BB749" i="1"/>
  <c r="AO749" i="1"/>
  <c r="AN749" i="1"/>
  <c r="BA749" i="1"/>
  <c r="BB121" i="1"/>
  <c r="BC121" i="1"/>
  <c r="BA121" i="1"/>
  <c r="AN121" i="1"/>
  <c r="AO121" i="1"/>
  <c r="BB542" i="1"/>
  <c r="BC542" i="1"/>
  <c r="AO542" i="1"/>
  <c r="BA542" i="1"/>
  <c r="AN542" i="1"/>
  <c r="BC375" i="1"/>
  <c r="BB375" i="1"/>
  <c r="BA375" i="1"/>
  <c r="AN375" i="1"/>
  <c r="AO375" i="1"/>
  <c r="BB215" i="1"/>
  <c r="BC215" i="1"/>
  <c r="BA215" i="1"/>
  <c r="AN215" i="1"/>
  <c r="AO215" i="1"/>
  <c r="BB485" i="1"/>
  <c r="BC485" i="1"/>
  <c r="AN485" i="1"/>
  <c r="AO485" i="1"/>
  <c r="BA485" i="1"/>
  <c r="BB182" i="1"/>
  <c r="BC182" i="1"/>
  <c r="AO182" i="1"/>
  <c r="AN182" i="1"/>
  <c r="BA182" i="1"/>
  <c r="CR171" i="1"/>
  <c r="BB171" i="1"/>
  <c r="BC171" i="1"/>
  <c r="AN171" i="1"/>
  <c r="AO171" i="1"/>
  <c r="BA171" i="1"/>
  <c r="BB143" i="1"/>
  <c r="BC143" i="1"/>
  <c r="BA143" i="1"/>
  <c r="AO143" i="1"/>
  <c r="AN143" i="1"/>
  <c r="BC472" i="1"/>
  <c r="BB472" i="1"/>
  <c r="AO472" i="1"/>
  <c r="AN472" i="1"/>
  <c r="BA472" i="1"/>
  <c r="BB536" i="1"/>
  <c r="BC536" i="1"/>
  <c r="AO536" i="1"/>
  <c r="AN536" i="1"/>
  <c r="BA536" i="1"/>
  <c r="BC328" i="1"/>
  <c r="BB328" i="1"/>
  <c r="AO328" i="1"/>
  <c r="AN328" i="1"/>
  <c r="BA328" i="1"/>
  <c r="BB476" i="1"/>
  <c r="BC476" i="1"/>
  <c r="AO476" i="1"/>
  <c r="AN476" i="1"/>
  <c r="BA476" i="1"/>
  <c r="BB705" i="1"/>
  <c r="BC705" i="1"/>
  <c r="AN705" i="1"/>
  <c r="AO705" i="1"/>
  <c r="BA705" i="1"/>
  <c r="CR420" i="1"/>
  <c r="BB420" i="1"/>
  <c r="BC420" i="1"/>
  <c r="AN420" i="1"/>
  <c r="AO420" i="1"/>
  <c r="BA420" i="1"/>
  <c r="CR419" i="1"/>
  <c r="BB419" i="1"/>
  <c r="BC419" i="1"/>
  <c r="BA419" i="1"/>
  <c r="AO419" i="1"/>
  <c r="AN419" i="1"/>
  <c r="BC408" i="1"/>
  <c r="BB408" i="1"/>
  <c r="BA408" i="1"/>
  <c r="AO408" i="1"/>
  <c r="AN408" i="1"/>
  <c r="BB548" i="1"/>
  <c r="BC548" i="1"/>
  <c r="BA548" i="1"/>
  <c r="AO548" i="1"/>
  <c r="AN548" i="1"/>
  <c r="BC272" i="1"/>
  <c r="BB272" i="1"/>
  <c r="AO272" i="1"/>
  <c r="AN272" i="1"/>
  <c r="BA272" i="1"/>
  <c r="BB281" i="1"/>
  <c r="BC281" i="1"/>
  <c r="BA281" i="1"/>
  <c r="AO281" i="1"/>
  <c r="AN281" i="1"/>
  <c r="CR374" i="1"/>
  <c r="BB374" i="1"/>
  <c r="BC374" i="1"/>
  <c r="AO374" i="1"/>
  <c r="AN374" i="1"/>
  <c r="BA374" i="1"/>
  <c r="BB744" i="1"/>
  <c r="BC744" i="1"/>
  <c r="AN744" i="1"/>
  <c r="AO744" i="1"/>
  <c r="BA744" i="1"/>
  <c r="BB398" i="1"/>
  <c r="BC398" i="1"/>
  <c r="BA398" i="1"/>
  <c r="AO398" i="1"/>
  <c r="AN398" i="1"/>
  <c r="BB401" i="1"/>
  <c r="BC401" i="1"/>
  <c r="AO401" i="1"/>
  <c r="AN401" i="1"/>
  <c r="BA401" i="1"/>
  <c r="BC479" i="1"/>
  <c r="BB479" i="1"/>
  <c r="AN479" i="1"/>
  <c r="AO479" i="1"/>
  <c r="BA479" i="1"/>
  <c r="BB316" i="1"/>
  <c r="BC316" i="1"/>
  <c r="AN316" i="1"/>
  <c r="AO316" i="1"/>
  <c r="BA316" i="1"/>
  <c r="BB257" i="1"/>
  <c r="BC257" i="1"/>
  <c r="AO257" i="1"/>
  <c r="AN257" i="1"/>
  <c r="BA257" i="1"/>
  <c r="BB254" i="1"/>
  <c r="BC254" i="1"/>
  <c r="AO254" i="1"/>
  <c r="AN254" i="1"/>
  <c r="BA254" i="1"/>
  <c r="BB236" i="1"/>
  <c r="BC236" i="1"/>
  <c r="BA236" i="1"/>
  <c r="AO236" i="1"/>
  <c r="AN236" i="1"/>
  <c r="BB561" i="1"/>
  <c r="BC561" i="1"/>
  <c r="AO561" i="1"/>
  <c r="AN561" i="1"/>
  <c r="BA561" i="1"/>
  <c r="BB69" i="1"/>
  <c r="BC69" i="1"/>
  <c r="AN69" i="1"/>
  <c r="AO69" i="1"/>
  <c r="BA69" i="1"/>
  <c r="BB59" i="1"/>
  <c r="BC59" i="1"/>
  <c r="BA59" i="1"/>
  <c r="AO59" i="1"/>
  <c r="AN59" i="1"/>
  <c r="BB370" i="1"/>
  <c r="BC370" i="1"/>
  <c r="AO370" i="1"/>
  <c r="AN370" i="1"/>
  <c r="BA370" i="1"/>
  <c r="BB450" i="1"/>
  <c r="BC450" i="1"/>
  <c r="AN450" i="1"/>
  <c r="AO450" i="1"/>
  <c r="BA450" i="1"/>
  <c r="BB435" i="1"/>
  <c r="BC435" i="1"/>
  <c r="AO435" i="1"/>
  <c r="AN435" i="1"/>
  <c r="BA435" i="1"/>
  <c r="BC456" i="1"/>
  <c r="BB456" i="1"/>
  <c r="AO456" i="1"/>
  <c r="AN456" i="1"/>
  <c r="BA456" i="1"/>
  <c r="BB719" i="1"/>
  <c r="BC719" i="1"/>
  <c r="AO719" i="1"/>
  <c r="AN719" i="1"/>
  <c r="BA719" i="1"/>
  <c r="BB510" i="1"/>
  <c r="BC510" i="1"/>
  <c r="BA510" i="1"/>
  <c r="AO510" i="1"/>
  <c r="AN510" i="1"/>
  <c r="BC461" i="1"/>
  <c r="BB461" i="1"/>
  <c r="AN461" i="1"/>
  <c r="AO461" i="1"/>
  <c r="BA461" i="1"/>
  <c r="BC747" i="1"/>
  <c r="BB747" i="1"/>
  <c r="AN747" i="1"/>
  <c r="AO747" i="1"/>
  <c r="BA747" i="1"/>
  <c r="BB129" i="1"/>
  <c r="BC129" i="1"/>
  <c r="AN129" i="1"/>
  <c r="BA129" i="1"/>
  <c r="AO129" i="1"/>
  <c r="BB126" i="1"/>
  <c r="BC126" i="1"/>
  <c r="AO126" i="1"/>
  <c r="AN126" i="1"/>
  <c r="BA126" i="1"/>
  <c r="BC541" i="1"/>
  <c r="BB541" i="1"/>
  <c r="AN541" i="1"/>
  <c r="AO541" i="1"/>
  <c r="BA541" i="1"/>
  <c r="BB348" i="1"/>
  <c r="BC348" i="1"/>
  <c r="BA348" i="1"/>
  <c r="AO348" i="1"/>
  <c r="AN348" i="1"/>
  <c r="BB213" i="1"/>
  <c r="BC213" i="1"/>
  <c r="AN213" i="1"/>
  <c r="AO213" i="1"/>
  <c r="BA213" i="1"/>
  <c r="CR193" i="1"/>
  <c r="BB193" i="1"/>
  <c r="BC193" i="1"/>
  <c r="AO193" i="1"/>
  <c r="BA193" i="1"/>
  <c r="AN193" i="1"/>
  <c r="BB176" i="1"/>
  <c r="BC176" i="1"/>
  <c r="AO176" i="1"/>
  <c r="BA176" i="1"/>
  <c r="AN176" i="1"/>
  <c r="BB470" i="1"/>
  <c r="BC470" i="1"/>
  <c r="AO470" i="1"/>
  <c r="AN470" i="1"/>
  <c r="BA470" i="1"/>
  <c r="BC771" i="1"/>
  <c r="BB771" i="1"/>
  <c r="AN771" i="1"/>
  <c r="AO771" i="1"/>
  <c r="BA771" i="1"/>
  <c r="BB530" i="1"/>
  <c r="BC530" i="1"/>
  <c r="BA530" i="1"/>
  <c r="AN530" i="1"/>
  <c r="AO530" i="1"/>
  <c r="CR329" i="1"/>
  <c r="BB329" i="1"/>
  <c r="BC329" i="1"/>
  <c r="BA329" i="1"/>
  <c r="AO329" i="1"/>
  <c r="AN329" i="1"/>
  <c r="BB752" i="1"/>
  <c r="BC752" i="1"/>
  <c r="AO752" i="1"/>
  <c r="AN752" i="1"/>
  <c r="BA752" i="1"/>
  <c r="BB475" i="1"/>
  <c r="BC475" i="1"/>
  <c r="AO475" i="1"/>
  <c r="AN475" i="1"/>
  <c r="BA475" i="1"/>
  <c r="BB570" i="1"/>
  <c r="BC570" i="1"/>
  <c r="BA570" i="1"/>
  <c r="AO570" i="1"/>
  <c r="AN570" i="1"/>
  <c r="BB414" i="1"/>
  <c r="BC414" i="1"/>
  <c r="BA414" i="1"/>
  <c r="AO414" i="1"/>
  <c r="AN414" i="1"/>
  <c r="BB411" i="1"/>
  <c r="BC411" i="1"/>
  <c r="AN411" i="1"/>
  <c r="AO411" i="1"/>
  <c r="BA411" i="1"/>
  <c r="BC423" i="1"/>
  <c r="BB423" i="1"/>
  <c r="AO423" i="1"/>
  <c r="BA423" i="1"/>
  <c r="AN423" i="1"/>
  <c r="BC547" i="1"/>
  <c r="BB547" i="1"/>
  <c r="AO547" i="1"/>
  <c r="AN547" i="1"/>
  <c r="BA547" i="1"/>
  <c r="BB289" i="1"/>
  <c r="BC289" i="1"/>
  <c r="AO289" i="1"/>
  <c r="AN289" i="1"/>
  <c r="BA289" i="1"/>
  <c r="BB372" i="1"/>
  <c r="BC372" i="1"/>
  <c r="AN372" i="1"/>
  <c r="AO372" i="1"/>
  <c r="BA372" i="1"/>
  <c r="BB380" i="1"/>
  <c r="BC380" i="1"/>
  <c r="AN380" i="1"/>
  <c r="AO380" i="1"/>
  <c r="BA380" i="1"/>
  <c r="BB527" i="1"/>
  <c r="BC527" i="1"/>
  <c r="AN527" i="1"/>
  <c r="AO527" i="1"/>
  <c r="BA527" i="1"/>
  <c r="BB305" i="1"/>
  <c r="BC305" i="1"/>
  <c r="AO305" i="1"/>
  <c r="AN305" i="1"/>
  <c r="BA305" i="1"/>
  <c r="BB774" i="1"/>
  <c r="BC774" i="1"/>
  <c r="AO774" i="1"/>
  <c r="AN774" i="1"/>
  <c r="BA774" i="1"/>
  <c r="BB259" i="1"/>
  <c r="BC259" i="1"/>
  <c r="AO259" i="1"/>
  <c r="AN259" i="1"/>
  <c r="BA259" i="1"/>
  <c r="BB262" i="1"/>
  <c r="BC262" i="1"/>
  <c r="AO262" i="1"/>
  <c r="AN262" i="1"/>
  <c r="BA262" i="1"/>
  <c r="BB241" i="1"/>
  <c r="BC241" i="1"/>
  <c r="AO241" i="1"/>
  <c r="AN241" i="1"/>
  <c r="BA241" i="1"/>
  <c r="BB594" i="1"/>
  <c r="BC594" i="1"/>
  <c r="BA594" i="1"/>
  <c r="AO594" i="1"/>
  <c r="AN594" i="1"/>
  <c r="BC693" i="1"/>
  <c r="BB693" i="1"/>
  <c r="BA693" i="1"/>
  <c r="AO693" i="1"/>
  <c r="AN693" i="1"/>
  <c r="BB68" i="1"/>
  <c r="BC68" i="1"/>
  <c r="AN68" i="1"/>
  <c r="BA68" i="1"/>
  <c r="AO68" i="1"/>
  <c r="BC74" i="1"/>
  <c r="BB74" i="1"/>
  <c r="AO74" i="1"/>
  <c r="AN74" i="1"/>
  <c r="BA74" i="1"/>
  <c r="BB681" i="1"/>
  <c r="BC681" i="1"/>
  <c r="AN681" i="1"/>
  <c r="AO681" i="1"/>
  <c r="BA681" i="1"/>
  <c r="CR371" i="1"/>
  <c r="BB371" i="1"/>
  <c r="BC371" i="1"/>
  <c r="AO371" i="1"/>
  <c r="AN371" i="1"/>
  <c r="BA371" i="1"/>
  <c r="BB452" i="1"/>
  <c r="BC452" i="1"/>
  <c r="AO452" i="1"/>
  <c r="AN452" i="1"/>
  <c r="BA452" i="1"/>
  <c r="BB438" i="1"/>
  <c r="BC438" i="1"/>
  <c r="AO438" i="1"/>
  <c r="AN438" i="1"/>
  <c r="BA438" i="1"/>
  <c r="BB454" i="1"/>
  <c r="BC454" i="1"/>
  <c r="BA454" i="1"/>
  <c r="AO454" i="1"/>
  <c r="AN454" i="1"/>
  <c r="BC717" i="1"/>
  <c r="BB717" i="1"/>
  <c r="AO717" i="1"/>
  <c r="BA717" i="1"/>
  <c r="AN717" i="1"/>
  <c r="BB509" i="1"/>
  <c r="BC509" i="1"/>
  <c r="AO509" i="1"/>
  <c r="AN509" i="1"/>
  <c r="BA509" i="1"/>
  <c r="BB460" i="1"/>
  <c r="BC460" i="1"/>
  <c r="AO460" i="1"/>
  <c r="AN460" i="1"/>
  <c r="BA460" i="1"/>
  <c r="BB128" i="1"/>
  <c r="BC128" i="1"/>
  <c r="BA128" i="1"/>
  <c r="AN128" i="1"/>
  <c r="AO128" i="1"/>
  <c r="BB107" i="1"/>
  <c r="BC107" i="1"/>
  <c r="BA107" i="1"/>
  <c r="AO107" i="1"/>
  <c r="AN107" i="1"/>
  <c r="BB540" i="1"/>
  <c r="BC540" i="1"/>
  <c r="AN540" i="1"/>
  <c r="AO540" i="1"/>
  <c r="BA540" i="1"/>
  <c r="BB349" i="1"/>
  <c r="BC349" i="1"/>
  <c r="AN349" i="1"/>
  <c r="AO349" i="1"/>
  <c r="BA349" i="1"/>
  <c r="BB149" i="1"/>
  <c r="BC149" i="1"/>
  <c r="AN149" i="1"/>
  <c r="AO149" i="1"/>
  <c r="BA149" i="1"/>
  <c r="BB141" i="1"/>
  <c r="BC141" i="1"/>
  <c r="AO141" i="1"/>
  <c r="AN141" i="1"/>
  <c r="BA141" i="1"/>
  <c r="BB192" i="1"/>
  <c r="BC192" i="1"/>
  <c r="AO192" i="1"/>
  <c r="AN192" i="1"/>
  <c r="BA192" i="1"/>
  <c r="BC471" i="1"/>
  <c r="BB471" i="1"/>
  <c r="AN471" i="1"/>
  <c r="BA471" i="1"/>
  <c r="AO471" i="1"/>
  <c r="BB772" i="1"/>
  <c r="BC772" i="1"/>
  <c r="BA772" i="1"/>
  <c r="AO772" i="1"/>
  <c r="AN772" i="1"/>
  <c r="CR367" i="1"/>
  <c r="BC367" i="1"/>
  <c r="BB367" i="1"/>
  <c r="BA367" i="1"/>
  <c r="AN367" i="1"/>
  <c r="AO367" i="1"/>
  <c r="BB327" i="1"/>
  <c r="BC327" i="1"/>
  <c r="BA327" i="1"/>
  <c r="AN327" i="1"/>
  <c r="AO327" i="1"/>
  <c r="BB753" i="1"/>
  <c r="BC753" i="1"/>
  <c r="AN753" i="1"/>
  <c r="BA753" i="1"/>
  <c r="AO753" i="1"/>
  <c r="BB473" i="1"/>
  <c r="BC473" i="1"/>
  <c r="BA473" i="1"/>
  <c r="AO473" i="1"/>
  <c r="AN473" i="1"/>
  <c r="BB569" i="1"/>
  <c r="BC569" i="1"/>
  <c r="AO569" i="1"/>
  <c r="AN569" i="1"/>
  <c r="BA569" i="1"/>
  <c r="BB412" i="1"/>
  <c r="BC412" i="1"/>
  <c r="AO412" i="1"/>
  <c r="AN412" i="1"/>
  <c r="BA412" i="1"/>
  <c r="BB418" i="1"/>
  <c r="BC418" i="1"/>
  <c r="BA418" i="1"/>
  <c r="AO418" i="1"/>
  <c r="AN418" i="1"/>
  <c r="BC415" i="1"/>
  <c r="BB415" i="1"/>
  <c r="BA415" i="1"/>
  <c r="AN415" i="1"/>
  <c r="AO415" i="1"/>
  <c r="BB545" i="1"/>
  <c r="BC545" i="1"/>
  <c r="AN545" i="1"/>
  <c r="AO545" i="1"/>
  <c r="BA545" i="1"/>
  <c r="CR273" i="1"/>
  <c r="BB273" i="1"/>
  <c r="BC273" i="1"/>
  <c r="AO273" i="1"/>
  <c r="AN273" i="1"/>
  <c r="BA273" i="1"/>
  <c r="BB282" i="1"/>
  <c r="BC282" i="1"/>
  <c r="AO282" i="1"/>
  <c r="BA282" i="1"/>
  <c r="AN282" i="1"/>
  <c r="BB397" i="1"/>
  <c r="BC397" i="1"/>
  <c r="AO397" i="1"/>
  <c r="AN397" i="1"/>
  <c r="BA397" i="1"/>
  <c r="BB395" i="1"/>
  <c r="BC395" i="1"/>
  <c r="AO395" i="1"/>
  <c r="AN395" i="1"/>
  <c r="BA395" i="1"/>
  <c r="CR529" i="1"/>
  <c r="BB529" i="1"/>
  <c r="BC529" i="1"/>
  <c r="AO529" i="1"/>
  <c r="AN529" i="1"/>
  <c r="BA529" i="1"/>
  <c r="BB317" i="1"/>
  <c r="BC317" i="1"/>
  <c r="AN317" i="1"/>
  <c r="AO317" i="1"/>
  <c r="BA317" i="1"/>
  <c r="BB775" i="1"/>
  <c r="BC775" i="1"/>
  <c r="AO775" i="1"/>
  <c r="AN775" i="1"/>
  <c r="BA775" i="1"/>
  <c r="BB246" i="1"/>
  <c r="BC246" i="1"/>
  <c r="AO246" i="1"/>
  <c r="AN246" i="1"/>
  <c r="BA246" i="1"/>
  <c r="BB255" i="1"/>
  <c r="BC255" i="1"/>
  <c r="BA255" i="1"/>
  <c r="AO255" i="1"/>
  <c r="AN255" i="1"/>
  <c r="BC240" i="1"/>
  <c r="BB240" i="1"/>
  <c r="BA240" i="1"/>
  <c r="AO240" i="1"/>
  <c r="AN240" i="1"/>
  <c r="BC597" i="1"/>
  <c r="BB597" i="1"/>
  <c r="AN597" i="1"/>
  <c r="AO597" i="1"/>
  <c r="BA597" i="1"/>
  <c r="BB694" i="1"/>
  <c r="BC694" i="1"/>
  <c r="AO694" i="1"/>
  <c r="AN694" i="1"/>
  <c r="BA694" i="1"/>
  <c r="BB70" i="1"/>
  <c r="BC70" i="1"/>
  <c r="AO70" i="1"/>
  <c r="AN70" i="1"/>
  <c r="BA70" i="1"/>
  <c r="CR5" i="1"/>
  <c r="BB5" i="1"/>
  <c r="BC5" i="1"/>
  <c r="BA5" i="1"/>
  <c r="AN5" i="1"/>
  <c r="AO5" i="1"/>
  <c r="BC683" i="1"/>
  <c r="BB683" i="1"/>
  <c r="AN683" i="1"/>
  <c r="AO683" i="1"/>
  <c r="BA683" i="1"/>
  <c r="BB369" i="1"/>
  <c r="BC369" i="1"/>
  <c r="BA369" i="1"/>
  <c r="AO369" i="1"/>
  <c r="AN369" i="1"/>
  <c r="BC432" i="1"/>
  <c r="BB432" i="1"/>
  <c r="AN432" i="1"/>
  <c r="BA432" i="1"/>
  <c r="AO432" i="1"/>
  <c r="BB426" i="1"/>
  <c r="BC426" i="1"/>
  <c r="AN426" i="1"/>
  <c r="BA426" i="1"/>
  <c r="AO426" i="1"/>
  <c r="BC448" i="1"/>
  <c r="BB448" i="1"/>
  <c r="BA448" i="1"/>
  <c r="AO448" i="1"/>
  <c r="AN448" i="1"/>
  <c r="BB507" i="1"/>
  <c r="BC507" i="1"/>
  <c r="AN507" i="1"/>
  <c r="AO507" i="1"/>
  <c r="BA507" i="1"/>
  <c r="BB554" i="1"/>
  <c r="BC554" i="1"/>
  <c r="AO554" i="1"/>
  <c r="AN554" i="1"/>
  <c r="BA554" i="1"/>
  <c r="BB123" i="1"/>
  <c r="BC123" i="1"/>
  <c r="BA123" i="1"/>
  <c r="AO123" i="1"/>
  <c r="AN123" i="1"/>
  <c r="BB127" i="1"/>
  <c r="BC127" i="1"/>
  <c r="BA127" i="1"/>
  <c r="AO127" i="1"/>
  <c r="AN127" i="1"/>
  <c r="BB340" i="1"/>
  <c r="BC340" i="1"/>
  <c r="AN340" i="1"/>
  <c r="AO340" i="1"/>
  <c r="BA340" i="1"/>
  <c r="BB347" i="1"/>
  <c r="BC347" i="1"/>
  <c r="AN347" i="1"/>
  <c r="BA347" i="1"/>
  <c r="AO347" i="1"/>
  <c r="BB181" i="1"/>
  <c r="BC181" i="1"/>
  <c r="AN181" i="1"/>
  <c r="AO181" i="1"/>
  <c r="BA181" i="1"/>
  <c r="BB172" i="1"/>
  <c r="BC172" i="1"/>
  <c r="AO172" i="1"/>
  <c r="AN172" i="1"/>
  <c r="BA172" i="1"/>
  <c r="BC130" i="1"/>
  <c r="BB130" i="1"/>
  <c r="AN130" i="1"/>
  <c r="BA130" i="1"/>
  <c r="AO130" i="1"/>
  <c r="BB469" i="1"/>
  <c r="BC469" i="1"/>
  <c r="AN469" i="1"/>
  <c r="AO469" i="1"/>
  <c r="BA469" i="1"/>
  <c r="BB770" i="1"/>
  <c r="BC770" i="1"/>
  <c r="AO770" i="1"/>
  <c r="AN770" i="1"/>
  <c r="BA770" i="1"/>
  <c r="BB366" i="1"/>
  <c r="BC366" i="1"/>
  <c r="AN366" i="1"/>
  <c r="AO366" i="1"/>
  <c r="BA366" i="1"/>
  <c r="BB751" i="1"/>
  <c r="BC751" i="1"/>
  <c r="AO751" i="1"/>
  <c r="AN751" i="1"/>
  <c r="BA751" i="1"/>
  <c r="BB506" i="1"/>
  <c r="BC506" i="1"/>
  <c r="AN506" i="1"/>
  <c r="BA506" i="1"/>
  <c r="AO506" i="1"/>
  <c r="BB568" i="1"/>
  <c r="BC568" i="1"/>
  <c r="BA568" i="1"/>
  <c r="AN568" i="1"/>
  <c r="AO568" i="1"/>
  <c r="CR406" i="1"/>
  <c r="BB406" i="1"/>
  <c r="BC406" i="1"/>
  <c r="AN406" i="1"/>
  <c r="BA406" i="1"/>
  <c r="AO406" i="1"/>
  <c r="BB410" i="1"/>
  <c r="BC410" i="1"/>
  <c r="BA410" i="1"/>
  <c r="AO410" i="1"/>
  <c r="AN410" i="1"/>
  <c r="BC407" i="1"/>
  <c r="BB407" i="1"/>
  <c r="AN407" i="1"/>
  <c r="AO407" i="1"/>
  <c r="BA407" i="1"/>
  <c r="BB343" i="1"/>
  <c r="BC343" i="1"/>
  <c r="BA343" i="1"/>
  <c r="AN343" i="1"/>
  <c r="AO343" i="1"/>
  <c r="CR285" i="1"/>
  <c r="BB285" i="1"/>
  <c r="BC285" i="1"/>
  <c r="AN285" i="1"/>
  <c r="AO285" i="1"/>
  <c r="BA285" i="1"/>
  <c r="BB574" i="1"/>
  <c r="BC574" i="1"/>
  <c r="AN574" i="1"/>
  <c r="AO574" i="1"/>
  <c r="BA574" i="1"/>
  <c r="BB382" i="1"/>
  <c r="BC382" i="1"/>
  <c r="AN382" i="1"/>
  <c r="BA382" i="1"/>
  <c r="AO382" i="1"/>
  <c r="BB379" i="1"/>
  <c r="BC379" i="1"/>
  <c r="AO379" i="1"/>
  <c r="AN379" i="1"/>
  <c r="BA379" i="1"/>
  <c r="CR528" i="1"/>
  <c r="BB528" i="1"/>
  <c r="BC528" i="1"/>
  <c r="BA528" i="1"/>
  <c r="AO528" i="1"/>
  <c r="AN528" i="1"/>
  <c r="BB302" i="1"/>
  <c r="BC302" i="1"/>
  <c r="AO302" i="1"/>
  <c r="AN302" i="1"/>
  <c r="BA302" i="1"/>
  <c r="BB306" i="1"/>
  <c r="BC306" i="1"/>
  <c r="AO306" i="1"/>
  <c r="AN306" i="1"/>
  <c r="BA306" i="1"/>
  <c r="AD1370" i="1"/>
  <c r="AE1370" i="1" s="1"/>
  <c r="AD1368" i="1"/>
  <c r="AE1368" i="1" s="1"/>
  <c r="BE261" i="1"/>
  <c r="CR261" i="1"/>
  <c r="BE237" i="1"/>
  <c r="CR237" i="1"/>
  <c r="BE905" i="1"/>
  <c r="CR905" i="1"/>
  <c r="BE844" i="1"/>
  <c r="CR844" i="1"/>
  <c r="BE957" i="1"/>
  <c r="CR957" i="1"/>
  <c r="BE562" i="1"/>
  <c r="CR562" i="1"/>
  <c r="BE73" i="1"/>
  <c r="CR73" i="1"/>
  <c r="BE1183" i="1"/>
  <c r="CR1183" i="1"/>
  <c r="BE362" i="1"/>
  <c r="CR362" i="1"/>
  <c r="BE759" i="1"/>
  <c r="CR759" i="1"/>
  <c r="BE797" i="1"/>
  <c r="CR797" i="1"/>
  <c r="BE442" i="1"/>
  <c r="CR442" i="1"/>
  <c r="BE425" i="1"/>
  <c r="CR425" i="1"/>
  <c r="BE447" i="1"/>
  <c r="CR447" i="1"/>
  <c r="BE455" i="1"/>
  <c r="CR455" i="1"/>
  <c r="BE718" i="1"/>
  <c r="CR718" i="1"/>
  <c r="BE344" i="1"/>
  <c r="CR344" i="1"/>
  <c r="BE462" i="1"/>
  <c r="CR462" i="1"/>
  <c r="BE887" i="1"/>
  <c r="CR887" i="1"/>
  <c r="BE1149" i="1"/>
  <c r="CR1149" i="1"/>
  <c r="BE749" i="1"/>
  <c r="CR749" i="1"/>
  <c r="BE121" i="1"/>
  <c r="CR121" i="1"/>
  <c r="BE542" i="1"/>
  <c r="CR542" i="1"/>
  <c r="BE375" i="1"/>
  <c r="CR375" i="1"/>
  <c r="BE215" i="1"/>
  <c r="CR215" i="1"/>
  <c r="BE485" i="1"/>
  <c r="CR485" i="1"/>
  <c r="BE182" i="1"/>
  <c r="CR182" i="1"/>
  <c r="BE143" i="1"/>
  <c r="CR143" i="1"/>
  <c r="BE831" i="1"/>
  <c r="CR831" i="1"/>
  <c r="BE911" i="1"/>
  <c r="CR911" i="1"/>
  <c r="BE472" i="1"/>
  <c r="CR472" i="1"/>
  <c r="BE819" i="1"/>
  <c r="CR819" i="1"/>
  <c r="BE536" i="1"/>
  <c r="CR536" i="1"/>
  <c r="BE328" i="1"/>
  <c r="CR328" i="1"/>
  <c r="BE940" i="1"/>
  <c r="CR940" i="1"/>
  <c r="BE476" i="1"/>
  <c r="CR476" i="1"/>
  <c r="BE705" i="1"/>
  <c r="CR705" i="1"/>
  <c r="BE408" i="1"/>
  <c r="CR408" i="1"/>
  <c r="BE881" i="1"/>
  <c r="CR881" i="1"/>
  <c r="BE548" i="1"/>
  <c r="CR548" i="1"/>
  <c r="BE272" i="1"/>
  <c r="CR272" i="1"/>
  <c r="BE281" i="1"/>
  <c r="CR281" i="1"/>
  <c r="BE1140" i="1"/>
  <c r="CR1140" i="1"/>
  <c r="BE744" i="1"/>
  <c r="CR744" i="1"/>
  <c r="BE1156" i="1"/>
  <c r="CR1156" i="1"/>
  <c r="BE398" i="1"/>
  <c r="CR398" i="1"/>
  <c r="BE401" i="1"/>
  <c r="CR401" i="1"/>
  <c r="BE479" i="1"/>
  <c r="CR479" i="1"/>
  <c r="BE316" i="1"/>
  <c r="CR316" i="1"/>
  <c r="BE976" i="1"/>
  <c r="CR976" i="1"/>
  <c r="BE257" i="1"/>
  <c r="CR257" i="1"/>
  <c r="BE254" i="1"/>
  <c r="CR254" i="1"/>
  <c r="BE236" i="1"/>
  <c r="CR236" i="1"/>
  <c r="BE909" i="1"/>
  <c r="CR909" i="1"/>
  <c r="BE845" i="1"/>
  <c r="CR845" i="1"/>
  <c r="BE851" i="1"/>
  <c r="CR851" i="1"/>
  <c r="BE1167" i="1"/>
  <c r="CR1167" i="1"/>
  <c r="BE561" i="1"/>
  <c r="CR561" i="1"/>
  <c r="BE69" i="1"/>
  <c r="CR69" i="1"/>
  <c r="BE59" i="1"/>
  <c r="CR59" i="1"/>
  <c r="BE1181" i="1"/>
  <c r="CR1181" i="1"/>
  <c r="BE370" i="1"/>
  <c r="CR370" i="1"/>
  <c r="BE1056" i="1"/>
  <c r="CR1056" i="1"/>
  <c r="BE450" i="1"/>
  <c r="CR450" i="1"/>
  <c r="BE435" i="1"/>
  <c r="CR435" i="1"/>
  <c r="BE456" i="1"/>
  <c r="CR456" i="1"/>
  <c r="BE719" i="1"/>
  <c r="CR719" i="1"/>
  <c r="BE974" i="1"/>
  <c r="CR974" i="1"/>
  <c r="BE992" i="1"/>
  <c r="CR992" i="1"/>
  <c r="BE510" i="1"/>
  <c r="CR510" i="1"/>
  <c r="BE461" i="1"/>
  <c r="CR461" i="1"/>
  <c r="BE1148" i="1"/>
  <c r="CR1148" i="1"/>
  <c r="BE747" i="1"/>
  <c r="CR747" i="1"/>
  <c r="BE129" i="1"/>
  <c r="CR129" i="1"/>
  <c r="BE126" i="1"/>
  <c r="CR126" i="1"/>
  <c r="BE541" i="1"/>
  <c r="CR541" i="1"/>
  <c r="BE348" i="1"/>
  <c r="CR348" i="1"/>
  <c r="BE213" i="1"/>
  <c r="CR213" i="1"/>
  <c r="BE1178" i="1"/>
  <c r="CR1178" i="1"/>
  <c r="BE176" i="1"/>
  <c r="CR176" i="1"/>
  <c r="BE912" i="1"/>
  <c r="CR912" i="1"/>
  <c r="BE470" i="1"/>
  <c r="CR470" i="1"/>
  <c r="BE771" i="1"/>
  <c r="CR771" i="1"/>
  <c r="BE530" i="1"/>
  <c r="CR530" i="1"/>
  <c r="BE752" i="1"/>
  <c r="CR752" i="1"/>
  <c r="BE475" i="1"/>
  <c r="CR475" i="1"/>
  <c r="BE570" i="1"/>
  <c r="CR570" i="1"/>
  <c r="BE414" i="1"/>
  <c r="CR414" i="1"/>
  <c r="BE411" i="1"/>
  <c r="CR411" i="1"/>
  <c r="BE423" i="1"/>
  <c r="CR423" i="1"/>
  <c r="BE874" i="1"/>
  <c r="CR874" i="1"/>
  <c r="AD1327" i="1"/>
  <c r="AE1327" i="1" s="1"/>
  <c r="CR547" i="1"/>
  <c r="BE289" i="1"/>
  <c r="CR289" i="1"/>
  <c r="BE372" i="1"/>
  <c r="CR372" i="1"/>
  <c r="BE1139" i="1"/>
  <c r="CR1139" i="1"/>
  <c r="BE1026" i="1"/>
  <c r="CR1026" i="1"/>
  <c r="BE1159" i="1"/>
  <c r="CR1159" i="1"/>
  <c r="BE807" i="1"/>
  <c r="CR807" i="1"/>
  <c r="BE380" i="1"/>
  <c r="CR380" i="1"/>
  <c r="BE527" i="1"/>
  <c r="CR527" i="1"/>
  <c r="BE305" i="1"/>
  <c r="CR305" i="1"/>
  <c r="BE975" i="1"/>
  <c r="CR975" i="1"/>
  <c r="BE843" i="1"/>
  <c r="CR843" i="1"/>
  <c r="BE798" i="1"/>
  <c r="CR798" i="1"/>
  <c r="BE424" i="1"/>
  <c r="CR424" i="1"/>
  <c r="BE508" i="1"/>
  <c r="CR508" i="1"/>
  <c r="BE748" i="1"/>
  <c r="CR748" i="1"/>
  <c r="BE1132" i="1"/>
  <c r="CR1132" i="1"/>
  <c r="BE191" i="1"/>
  <c r="CR191" i="1"/>
  <c r="BE1059" i="1"/>
  <c r="CR1059" i="1"/>
  <c r="BE320" i="1"/>
  <c r="CR320" i="1"/>
  <c r="BE422" i="1"/>
  <c r="CR422" i="1"/>
  <c r="BE546" i="1"/>
  <c r="CR546" i="1"/>
  <c r="BE745" i="1"/>
  <c r="CR745" i="1"/>
  <c r="BE304" i="1"/>
  <c r="CR304" i="1"/>
  <c r="BE774" i="1"/>
  <c r="CR774" i="1"/>
  <c r="BE259" i="1"/>
  <c r="CR259" i="1"/>
  <c r="BE262" i="1"/>
  <c r="CR262" i="1"/>
  <c r="BE241" i="1"/>
  <c r="CR241" i="1"/>
  <c r="BE904" i="1"/>
  <c r="CR904" i="1"/>
  <c r="BE846" i="1"/>
  <c r="CR846" i="1"/>
  <c r="BE594" i="1"/>
  <c r="CR594" i="1"/>
  <c r="BE958" i="1"/>
  <c r="CR958" i="1"/>
  <c r="BE998" i="1"/>
  <c r="CR998" i="1"/>
  <c r="BE1168" i="1"/>
  <c r="CR1168" i="1"/>
  <c r="BE693" i="1"/>
  <c r="CR693" i="1"/>
  <c r="BE68" i="1"/>
  <c r="CR68" i="1"/>
  <c r="BE74" i="1"/>
  <c r="CR74" i="1"/>
  <c r="BE681" i="1"/>
  <c r="CR681" i="1"/>
  <c r="BE802" i="1"/>
  <c r="CR802" i="1"/>
  <c r="BE452" i="1"/>
  <c r="CR452" i="1"/>
  <c r="AD1353" i="1" s="1"/>
  <c r="AE1353" i="1" s="1"/>
  <c r="BE438" i="1"/>
  <c r="CR438" i="1"/>
  <c r="BE454" i="1"/>
  <c r="CR454" i="1"/>
  <c r="BE717" i="1"/>
  <c r="CR717" i="1"/>
  <c r="BE966" i="1"/>
  <c r="CR966" i="1"/>
  <c r="BE509" i="1"/>
  <c r="CR509" i="1"/>
  <c r="BE460" i="1"/>
  <c r="CR460" i="1"/>
  <c r="BE882" i="1"/>
  <c r="CR882" i="1"/>
  <c r="BE1150" i="1"/>
  <c r="CR1150" i="1"/>
  <c r="BE128" i="1"/>
  <c r="CR128" i="1"/>
  <c r="BE107" i="1"/>
  <c r="CR107" i="1"/>
  <c r="BE540" i="1"/>
  <c r="CR540" i="1"/>
  <c r="BE349" i="1"/>
  <c r="CR349" i="1"/>
  <c r="BE1020" i="1"/>
  <c r="CR1020" i="1"/>
  <c r="BE1179" i="1"/>
  <c r="CR1179" i="1"/>
  <c r="BE149" i="1"/>
  <c r="CR149" i="1"/>
  <c r="BE141" i="1"/>
  <c r="CR141" i="1"/>
  <c r="BE192" i="1"/>
  <c r="CR192" i="1"/>
  <c r="BE471" i="1"/>
  <c r="CR471" i="1"/>
  <c r="BE772" i="1"/>
  <c r="CR772" i="1"/>
  <c r="BE327" i="1"/>
  <c r="CR327" i="1"/>
  <c r="BE753" i="1"/>
  <c r="CR753" i="1"/>
  <c r="BE473" i="1"/>
  <c r="CR473" i="1"/>
  <c r="BE569" i="1"/>
  <c r="CR569" i="1"/>
  <c r="BE412" i="1"/>
  <c r="CR412" i="1"/>
  <c r="BE418" i="1"/>
  <c r="CR418" i="1"/>
  <c r="BE415" i="1"/>
  <c r="CR415" i="1"/>
  <c r="BE875" i="1"/>
  <c r="CR875" i="1"/>
  <c r="BE545" i="1"/>
  <c r="CR545" i="1"/>
  <c r="BE282" i="1"/>
  <c r="CR282" i="1"/>
  <c r="BE862" i="1"/>
  <c r="CR862" i="1"/>
  <c r="BE1155" i="1"/>
  <c r="CR1155" i="1"/>
  <c r="BE808" i="1"/>
  <c r="CR808" i="1"/>
  <c r="BE397" i="1"/>
  <c r="CR397" i="1"/>
  <c r="BE395" i="1"/>
  <c r="CR395" i="1"/>
  <c r="BE317" i="1"/>
  <c r="CR317" i="1"/>
  <c r="BE1185" i="1"/>
  <c r="CR1185" i="1"/>
  <c r="BE245" i="1"/>
  <c r="CR245" i="1"/>
  <c r="BE856" i="1"/>
  <c r="CR856" i="1"/>
  <c r="BE563" i="1"/>
  <c r="CR563" i="1"/>
  <c r="BE1182" i="1"/>
  <c r="CR1182" i="1"/>
  <c r="BE761" i="1"/>
  <c r="CR761" i="1"/>
  <c r="BE437" i="1"/>
  <c r="CR437" i="1"/>
  <c r="BE578" i="1"/>
  <c r="CR578" i="1"/>
  <c r="BE886" i="1"/>
  <c r="CR886" i="1"/>
  <c r="BE125" i="1"/>
  <c r="CR125" i="1"/>
  <c r="BE825" i="1"/>
  <c r="CR825" i="1"/>
  <c r="BE474" i="1"/>
  <c r="CR474" i="1"/>
  <c r="BE405" i="1"/>
  <c r="CR405" i="1"/>
  <c r="BE288" i="1"/>
  <c r="CR288" i="1"/>
  <c r="BE480" i="1"/>
  <c r="CR480" i="1"/>
  <c r="BE330" i="1"/>
  <c r="CR330" i="1"/>
  <c r="BE775" i="1"/>
  <c r="CR775" i="1"/>
  <c r="BE246" i="1"/>
  <c r="CR246" i="1"/>
  <c r="BE255" i="1"/>
  <c r="CR255" i="1"/>
  <c r="BE240" i="1"/>
  <c r="CR240" i="1"/>
  <c r="BE945" i="1"/>
  <c r="CR945" i="1"/>
  <c r="BE597" i="1"/>
  <c r="CR597" i="1"/>
  <c r="BE1036" i="1"/>
  <c r="CR1036" i="1"/>
  <c r="BE1169" i="1"/>
  <c r="CR1169" i="1"/>
  <c r="BE694" i="1"/>
  <c r="CR694" i="1"/>
  <c r="BE70" i="1"/>
  <c r="CR70" i="1"/>
  <c r="BE683" i="1"/>
  <c r="CR683" i="1"/>
  <c r="BE369" i="1"/>
  <c r="CR369" i="1"/>
  <c r="BE1055" i="1"/>
  <c r="CR1055" i="1"/>
  <c r="BE796" i="1"/>
  <c r="CR796" i="1"/>
  <c r="BE432" i="1"/>
  <c r="CR432" i="1"/>
  <c r="BE426" i="1"/>
  <c r="CR426" i="1"/>
  <c r="BE448" i="1"/>
  <c r="CR448" i="1"/>
  <c r="AD1354" i="1" s="1"/>
  <c r="AE1354" i="1" s="1"/>
  <c r="BE893" i="1"/>
  <c r="CR893" i="1"/>
  <c r="BE1130" i="1"/>
  <c r="CR1130" i="1"/>
  <c r="BE996" i="1"/>
  <c r="CR996" i="1"/>
  <c r="BE507" i="1"/>
  <c r="CR507" i="1"/>
  <c r="BE554" i="1"/>
  <c r="CR554" i="1"/>
  <c r="BE1093" i="1"/>
  <c r="CR1093" i="1"/>
  <c r="BE1151" i="1"/>
  <c r="CR1151" i="1"/>
  <c r="BE123" i="1"/>
  <c r="CR123" i="1"/>
  <c r="BE127" i="1"/>
  <c r="CR127" i="1"/>
  <c r="BE340" i="1"/>
  <c r="CR340" i="1"/>
  <c r="BE347" i="1"/>
  <c r="CR347" i="1"/>
  <c r="BE1177" i="1"/>
  <c r="CR1177" i="1"/>
  <c r="BE181" i="1"/>
  <c r="CR181" i="1"/>
  <c r="BE172" i="1"/>
  <c r="CR172" i="1"/>
  <c r="BE130" i="1"/>
  <c r="CR130" i="1"/>
  <c r="BE830" i="1"/>
  <c r="CR830" i="1"/>
  <c r="BE469" i="1"/>
  <c r="CR469" i="1"/>
  <c r="BE770" i="1"/>
  <c r="CR770" i="1"/>
  <c r="BE366" i="1"/>
  <c r="CR366" i="1"/>
  <c r="BE949" i="1"/>
  <c r="CR949" i="1"/>
  <c r="BE751" i="1"/>
  <c r="CR751" i="1"/>
  <c r="BE506" i="1"/>
  <c r="CR506" i="1"/>
  <c r="BE568" i="1"/>
  <c r="CR568" i="1"/>
  <c r="BE410" i="1"/>
  <c r="CR410" i="1"/>
  <c r="BE407" i="1"/>
  <c r="CR407" i="1"/>
  <c r="BE873" i="1"/>
  <c r="CR873" i="1"/>
  <c r="BE343" i="1"/>
  <c r="CR343" i="1"/>
  <c r="BE861" i="1"/>
  <c r="CR861" i="1"/>
  <c r="BE1136" i="1"/>
  <c r="CR1136" i="1"/>
  <c r="BE1027" i="1"/>
  <c r="CR1027" i="1"/>
  <c r="BE574" i="1"/>
  <c r="CR574" i="1"/>
  <c r="BE803" i="1"/>
  <c r="CR803" i="1"/>
  <c r="BE382" i="1"/>
  <c r="CR382" i="1"/>
  <c r="BE379" i="1"/>
  <c r="CR379" i="1"/>
  <c r="BE302" i="1"/>
  <c r="CR302" i="1"/>
  <c r="BE306" i="1"/>
  <c r="CR306" i="1"/>
  <c r="BE1186" i="1"/>
  <c r="CR1186" i="1"/>
  <c r="BE773" i="1"/>
  <c r="CR773" i="1"/>
  <c r="BE258" i="1"/>
  <c r="CR258" i="1"/>
  <c r="BE239" i="1"/>
  <c r="CR239" i="1"/>
  <c r="BE842" i="1"/>
  <c r="CR842" i="1"/>
  <c r="BE598" i="1"/>
  <c r="CR598" i="1"/>
  <c r="BE956" i="1"/>
  <c r="CR956" i="1"/>
  <c r="BE1035" i="1"/>
  <c r="CR1035" i="1"/>
  <c r="BE1170" i="1"/>
  <c r="CR1170" i="1"/>
  <c r="BE71" i="1"/>
  <c r="CR71" i="1"/>
  <c r="BE458" i="1"/>
  <c r="CR458" i="1"/>
  <c r="BE682" i="1"/>
  <c r="CR682" i="1"/>
  <c r="BE921" i="1"/>
  <c r="CR921" i="1"/>
  <c r="BE492" i="1"/>
  <c r="CR492" i="1"/>
  <c r="BE196" i="1"/>
  <c r="CR196" i="1"/>
  <c r="BE434" i="1"/>
  <c r="CR434" i="1"/>
  <c r="BE436" i="1"/>
  <c r="CR436" i="1"/>
  <c r="BE431" i="1"/>
  <c r="CR431" i="1"/>
  <c r="BE892" i="1"/>
  <c r="CR892" i="1"/>
  <c r="BE1131" i="1"/>
  <c r="CR1131" i="1"/>
  <c r="BE970" i="1"/>
  <c r="CR970" i="1"/>
  <c r="BE997" i="1"/>
  <c r="CR997" i="1"/>
  <c r="BE786" i="1"/>
  <c r="CR786" i="1"/>
  <c r="BE1095" i="1"/>
  <c r="CR1095" i="1"/>
  <c r="BE1152" i="1"/>
  <c r="CR1152" i="1"/>
  <c r="BE106" i="1"/>
  <c r="CR106" i="1"/>
  <c r="BE108" i="1"/>
  <c r="CR108" i="1"/>
  <c r="BE75" i="1"/>
  <c r="CR75" i="1"/>
  <c r="BE339" i="1"/>
  <c r="CR339" i="1"/>
  <c r="BE1024" i="1"/>
  <c r="CR1024" i="1"/>
  <c r="BE136" i="1"/>
  <c r="CR136" i="1"/>
  <c r="BE190" i="1"/>
  <c r="CR190" i="1"/>
  <c r="BE199" i="1"/>
  <c r="CR199" i="1"/>
  <c r="BE826" i="1"/>
  <c r="CR826" i="1"/>
  <c r="BE910" i="1"/>
  <c r="CR910" i="1"/>
  <c r="BE820" i="1"/>
  <c r="CR820" i="1"/>
  <c r="BE1127" i="1"/>
  <c r="CR1127" i="1"/>
  <c r="BE365" i="1"/>
  <c r="CR365" i="1"/>
  <c r="BE217" i="1"/>
  <c r="CR217" i="1"/>
  <c r="BE1175" i="1"/>
  <c r="CR1175" i="1"/>
  <c r="BE404" i="1"/>
  <c r="CR404" i="1"/>
  <c r="BE417" i="1"/>
  <c r="CR417" i="1"/>
  <c r="BE402" i="1"/>
  <c r="CR402" i="1"/>
  <c r="BE836" i="1"/>
  <c r="CR836" i="1"/>
  <c r="BE342" i="1"/>
  <c r="CR342" i="1"/>
  <c r="BE283" i="1"/>
  <c r="CR283" i="1"/>
  <c r="BE763" i="1"/>
  <c r="CR763" i="1"/>
  <c r="BE1008" i="1"/>
  <c r="CR1008" i="1"/>
  <c r="BE576" i="1"/>
  <c r="CR576" i="1"/>
  <c r="BE209" i="1"/>
  <c r="CR209" i="1"/>
  <c r="BE399" i="1"/>
  <c r="CR399" i="1"/>
  <c r="BE483" i="1"/>
  <c r="CR483" i="1"/>
  <c r="BE526" i="1"/>
  <c r="CR526" i="1"/>
  <c r="BE314" i="1"/>
  <c r="CR314" i="1"/>
  <c r="BE294" i="1"/>
  <c r="CR294" i="1"/>
  <c r="BE1184" i="1"/>
  <c r="CR1184" i="1"/>
  <c r="BE521" i="1"/>
  <c r="CR521" i="1"/>
  <c r="BE593" i="1"/>
  <c r="CR593" i="1"/>
  <c r="BE1063" i="1"/>
  <c r="CR1063" i="1"/>
  <c r="BE440" i="1"/>
  <c r="CR440" i="1"/>
  <c r="BE346" i="1"/>
  <c r="CR346" i="1"/>
  <c r="BE784" i="1"/>
  <c r="CR784" i="1"/>
  <c r="BE214" i="1"/>
  <c r="CR214" i="1"/>
  <c r="BE198" i="1"/>
  <c r="CR198" i="1"/>
  <c r="BE707" i="1"/>
  <c r="CR707" i="1"/>
  <c r="BE877" i="1"/>
  <c r="CR877" i="1"/>
  <c r="BE286" i="1"/>
  <c r="CR286" i="1"/>
  <c r="BE1137" i="1"/>
  <c r="CR1137" i="1"/>
  <c r="BE307" i="1"/>
  <c r="CR307" i="1"/>
  <c r="BE522" i="1"/>
  <c r="CR522" i="1"/>
  <c r="BE256" i="1"/>
  <c r="CR256" i="1"/>
  <c r="BE238" i="1"/>
  <c r="CR238" i="1"/>
  <c r="BE944" i="1"/>
  <c r="CR944" i="1"/>
  <c r="BE855" i="1"/>
  <c r="CR855" i="1"/>
  <c r="BE596" i="1"/>
  <c r="CR596" i="1"/>
  <c r="BE955" i="1"/>
  <c r="CR955" i="1"/>
  <c r="BE1171" i="1"/>
  <c r="CR1171" i="1"/>
  <c r="BE692" i="1"/>
  <c r="CR692" i="1"/>
  <c r="BE459" i="1"/>
  <c r="CR459" i="1"/>
  <c r="BE680" i="1"/>
  <c r="CR680" i="1"/>
  <c r="BE920" i="1"/>
  <c r="CR920" i="1"/>
  <c r="BE195" i="1"/>
  <c r="CR195" i="1"/>
  <c r="AD1349" i="1" s="1"/>
  <c r="AE1349" i="1" s="1"/>
  <c r="BE433" i="1"/>
  <c r="CR433" i="1"/>
  <c r="BE446" i="1"/>
  <c r="CR446" i="1"/>
  <c r="BE439" i="1"/>
  <c r="CR439" i="1"/>
  <c r="BE579" i="1"/>
  <c r="CR579" i="1"/>
  <c r="BE1129" i="1"/>
  <c r="CR1129" i="1"/>
  <c r="BE987" i="1"/>
  <c r="CR987" i="1"/>
  <c r="BE785" i="1"/>
  <c r="CR785" i="1"/>
  <c r="BE553" i="1"/>
  <c r="CR553" i="1"/>
  <c r="BE1094" i="1"/>
  <c r="CR1094" i="1"/>
  <c r="BE1141" i="1"/>
  <c r="CR1141" i="1"/>
  <c r="BE120" i="1"/>
  <c r="CR120" i="1"/>
  <c r="BE124" i="1"/>
  <c r="CR124" i="1"/>
  <c r="BE1133" i="1"/>
  <c r="CR1133" i="1"/>
  <c r="BE338" i="1"/>
  <c r="CR338" i="1"/>
  <c r="BE325" i="1"/>
  <c r="CR325" i="1"/>
  <c r="BE1019" i="1"/>
  <c r="CR1019" i="1"/>
  <c r="BE142" i="1"/>
  <c r="CR142" i="1"/>
  <c r="BE201" i="1"/>
  <c r="CR201" i="1"/>
  <c r="BE516" i="1"/>
  <c r="CR516" i="1"/>
  <c r="BE821" i="1"/>
  <c r="CR821" i="1"/>
  <c r="BE1128" i="1"/>
  <c r="CR1128" i="1"/>
  <c r="BE322" i="1"/>
  <c r="CR322" i="1"/>
  <c r="BE948" i="1"/>
  <c r="CR948" i="1"/>
  <c r="BE499" i="1"/>
  <c r="CR499" i="1"/>
  <c r="BE1176" i="1"/>
  <c r="CR1176" i="1"/>
  <c r="BE421" i="1"/>
  <c r="CR421" i="1"/>
  <c r="BE409" i="1"/>
  <c r="CR409" i="1"/>
  <c r="BE876" i="1"/>
  <c r="CR876" i="1"/>
  <c r="BE835" i="1"/>
  <c r="CR835" i="1"/>
  <c r="BE341" i="1"/>
  <c r="CR341" i="1"/>
  <c r="BE287" i="1"/>
  <c r="CR287" i="1"/>
  <c r="BE293" i="1"/>
  <c r="CR293" i="1"/>
  <c r="BE764" i="1"/>
  <c r="CR764" i="1"/>
  <c r="BE1007" i="1"/>
  <c r="CR1007" i="1"/>
  <c r="BE1025" i="1"/>
  <c r="CR1025" i="1"/>
  <c r="BE575" i="1"/>
  <c r="CR575" i="1"/>
  <c r="BE208" i="1"/>
  <c r="CR208" i="1"/>
  <c r="BE481" i="1"/>
  <c r="CR481" i="1"/>
  <c r="BE295" i="1"/>
  <c r="CR295" i="1"/>
  <c r="BE303" i="1"/>
  <c r="CR303" i="1"/>
  <c r="BE331" i="1"/>
  <c r="CR331" i="1"/>
  <c r="BE253" i="1"/>
  <c r="CR253" i="1"/>
  <c r="BE1003" i="1"/>
  <c r="CR1003" i="1"/>
  <c r="BE363" i="1"/>
  <c r="CR363" i="1"/>
  <c r="BE451" i="1"/>
  <c r="CR451" i="1"/>
  <c r="BE988" i="1"/>
  <c r="CR988" i="1"/>
  <c r="BE376" i="1"/>
  <c r="CR376" i="1"/>
  <c r="BE515" i="1"/>
  <c r="CR515" i="1"/>
  <c r="BE941" i="1"/>
  <c r="CR941" i="1"/>
  <c r="BE416" i="1"/>
  <c r="CR416" i="1"/>
  <c r="BE373" i="1"/>
  <c r="CR373" i="1"/>
  <c r="BE1157" i="1"/>
  <c r="CR1157" i="1"/>
  <c r="BE235" i="1"/>
  <c r="CR235" i="1"/>
  <c r="BE850" i="1"/>
  <c r="CR850" i="1"/>
  <c r="BE999" i="1"/>
  <c r="CR999" i="1"/>
  <c r="BE1064" i="1"/>
  <c r="CR1064" i="1"/>
  <c r="BE1160" i="1"/>
  <c r="CR1160" i="1"/>
  <c r="BE813" i="1"/>
  <c r="CR813" i="1"/>
  <c r="BE72" i="1"/>
  <c r="CR72" i="1"/>
  <c r="BE457" i="1"/>
  <c r="CR457" i="1"/>
  <c r="BE364" i="1"/>
  <c r="CR364" i="1"/>
  <c r="BE760" i="1"/>
  <c r="CR760" i="1"/>
  <c r="BE491" i="1"/>
  <c r="CR491" i="1"/>
  <c r="BE194" i="1"/>
  <c r="CR194" i="1"/>
  <c r="BE441" i="1"/>
  <c r="CR441" i="1"/>
  <c r="BE427" i="1"/>
  <c r="CR427" i="1"/>
  <c r="BE345" i="1"/>
  <c r="CR345" i="1"/>
  <c r="BE965" i="1"/>
  <c r="CR965" i="1"/>
  <c r="BE1092" i="1"/>
  <c r="CR1092" i="1"/>
  <c r="BE750" i="1"/>
  <c r="CR750" i="1"/>
  <c r="BE122" i="1"/>
  <c r="CR122" i="1"/>
  <c r="BE377" i="1"/>
  <c r="CR377" i="1"/>
  <c r="BE324" i="1"/>
  <c r="CR324" i="1"/>
  <c r="BE486" i="1"/>
  <c r="CR486" i="1"/>
  <c r="BE183" i="1"/>
  <c r="CR183" i="1"/>
  <c r="BE200" i="1"/>
  <c r="CR200" i="1"/>
  <c r="BE517" i="1"/>
  <c r="CR517" i="1"/>
  <c r="BE1060" i="1"/>
  <c r="CR1060" i="1"/>
  <c r="BE1126" i="1"/>
  <c r="CR1126" i="1"/>
  <c r="BE321" i="1"/>
  <c r="CR321" i="1"/>
  <c r="BE216" i="1"/>
  <c r="CR216" i="1"/>
  <c r="BE706" i="1"/>
  <c r="CR706" i="1"/>
  <c r="BE1174" i="1"/>
  <c r="CR1174" i="1"/>
  <c r="BE413" i="1"/>
  <c r="CR413" i="1"/>
  <c r="BE403" i="1"/>
  <c r="CR403" i="1"/>
  <c r="BE284" i="1"/>
  <c r="CR284" i="1"/>
  <c r="BE280" i="1"/>
  <c r="CR280" i="1"/>
  <c r="BE271" i="1"/>
  <c r="CR271" i="1"/>
  <c r="BE762" i="1"/>
  <c r="CR762" i="1"/>
  <c r="BE746" i="1"/>
  <c r="CR746" i="1"/>
  <c r="BE1158" i="1"/>
  <c r="CR1158" i="1"/>
  <c r="BE573" i="1"/>
  <c r="CR573" i="1"/>
  <c r="BE381" i="1"/>
  <c r="CR381" i="1"/>
  <c r="BE400" i="1"/>
  <c r="CR400" i="1"/>
  <c r="BE482" i="1"/>
  <c r="CR482" i="1"/>
  <c r="AD1326" i="1"/>
  <c r="AE1326" i="1" s="1"/>
  <c r="BE5" i="1"/>
  <c r="BE193" i="1"/>
  <c r="AD1332" i="1"/>
  <c r="AE1332" i="1" s="1"/>
  <c r="BE329" i="1"/>
  <c r="BE547" i="1"/>
  <c r="BE371" i="1"/>
  <c r="AD1275" i="1"/>
  <c r="AE1275" i="1" s="1"/>
  <c r="BE367" i="1"/>
  <c r="AD1306" i="1"/>
  <c r="AE1306" i="1" s="1"/>
  <c r="BE273" i="1"/>
  <c r="AD1289" i="1"/>
  <c r="AE1289" i="1" s="1"/>
  <c r="BE1138" i="1"/>
  <c r="AD1283" i="1"/>
  <c r="AE1283" i="1" s="1"/>
  <c r="BE529" i="1"/>
  <c r="AD1271" i="1"/>
  <c r="AE1271" i="1" s="1"/>
  <c r="BE406" i="1"/>
  <c r="AD1231" i="1"/>
  <c r="AE1231" i="1" s="1"/>
  <c r="BE285" i="1"/>
  <c r="AD1235" i="1"/>
  <c r="AE1235" i="1" s="1"/>
  <c r="BE528" i="1"/>
  <c r="AD1304" i="1"/>
  <c r="AE1304" i="1" s="1"/>
  <c r="BE695" i="1"/>
  <c r="BE326" i="1"/>
  <c r="AD1295" i="1"/>
  <c r="AE1295" i="1" s="1"/>
  <c r="BE493" i="1"/>
  <c r="AD1301" i="1"/>
  <c r="AE1301" i="1" s="1"/>
  <c r="BE218" i="1"/>
  <c r="AD1324" i="1"/>
  <c r="AE1324" i="1" s="1"/>
  <c r="BE383" i="1"/>
  <c r="AD1234" i="1"/>
  <c r="AE1234" i="1" s="1"/>
  <c r="BE523" i="1"/>
  <c r="AD1269" i="1"/>
  <c r="AE1269" i="1" s="1"/>
  <c r="BE260" i="1"/>
  <c r="AD1238" i="1"/>
  <c r="AE1238" i="1" s="1"/>
  <c r="BE595" i="1"/>
  <c r="AD1279" i="1"/>
  <c r="AE1279" i="1" s="1"/>
  <c r="BE449" i="1"/>
  <c r="AD1230" i="1"/>
  <c r="AE1230" i="1" s="1"/>
  <c r="BE580" i="1"/>
  <c r="AD1278" i="1"/>
  <c r="AE1278" i="1" s="1"/>
  <c r="BE512" i="1"/>
  <c r="AD1334" i="1"/>
  <c r="AE1334" i="1" s="1"/>
  <c r="BE787" i="1"/>
  <c r="AD1288" i="1"/>
  <c r="AE1288" i="1" s="1"/>
  <c r="BE1134" i="1"/>
  <c r="AD1270" i="1"/>
  <c r="AE1270" i="1" s="1"/>
  <c r="BE549" i="1"/>
  <c r="AD1320" i="1"/>
  <c r="AE1320" i="1" s="1"/>
  <c r="BE315" i="1"/>
  <c r="AD1239" i="1"/>
  <c r="AE1239" i="1" s="1"/>
  <c r="BE812" i="1"/>
  <c r="BE396" i="1"/>
  <c r="AD1229" i="1"/>
  <c r="AE1229" i="1" s="1"/>
  <c r="BE511" i="1"/>
  <c r="AD1309" i="1"/>
  <c r="AE1309" i="1" s="1"/>
  <c r="BE171" i="1"/>
  <c r="AD1307" i="1"/>
  <c r="AE1307" i="1" s="1"/>
  <c r="BE420" i="1"/>
  <c r="BE419" i="1"/>
  <c r="AD1302" i="1"/>
  <c r="AE1302" i="1" s="1"/>
  <c r="BE374" i="1"/>
  <c r="AD167" i="1"/>
  <c r="H169" i="1"/>
  <c r="AD169" i="1" s="1"/>
  <c r="H170" i="1"/>
  <c r="AD170" i="1" s="1"/>
  <c r="H168" i="1"/>
  <c r="AD168" i="1" s="1"/>
  <c r="AD1061" i="1"/>
  <c r="H1062" i="1"/>
  <c r="AD1062" i="1" s="1"/>
  <c r="AD150" i="1"/>
  <c r="H154" i="1"/>
  <c r="AD154" i="1" s="1"/>
  <c r="H153" i="1"/>
  <c r="AD153" i="1" s="1"/>
  <c r="H166" i="1"/>
  <c r="AD166" i="1" s="1"/>
  <c r="H152" i="1"/>
  <c r="AD152" i="1" s="1"/>
  <c r="H164" i="1"/>
  <c r="AD164" i="1" s="1"/>
  <c r="H151" i="1"/>
  <c r="AD151" i="1" s="1"/>
  <c r="H163" i="1"/>
  <c r="AD163" i="1" s="1"/>
  <c r="H160" i="1"/>
  <c r="H158" i="1"/>
  <c r="H155" i="1"/>
  <c r="AD822" i="1"/>
  <c r="H824" i="1"/>
  <c r="AD824" i="1" s="1"/>
  <c r="H823" i="1"/>
  <c r="AD823" i="1" s="1"/>
  <c r="AD906" i="1"/>
  <c r="H908" i="1"/>
  <c r="AD908" i="1" s="1"/>
  <c r="H907" i="1"/>
  <c r="AD907" i="1" s="1"/>
  <c r="AD37" i="1"/>
  <c r="H43" i="1"/>
  <c r="AD43" i="1" s="1"/>
  <c r="H51" i="1"/>
  <c r="AD51" i="1" s="1"/>
  <c r="H44" i="1"/>
  <c r="AD44" i="1" s="1"/>
  <c r="H52" i="1"/>
  <c r="H45" i="1"/>
  <c r="AD45" i="1" s="1"/>
  <c r="H38" i="1"/>
  <c r="AD38" i="1" s="1"/>
  <c r="H46" i="1"/>
  <c r="AD46" i="1" s="1"/>
  <c r="H39" i="1"/>
  <c r="AD39" i="1" s="1"/>
  <c r="H47" i="1"/>
  <c r="AD47" i="1" s="1"/>
  <c r="H40" i="1"/>
  <c r="AD40" i="1" s="1"/>
  <c r="H48" i="1"/>
  <c r="AD48" i="1" s="1"/>
  <c r="H41" i="1"/>
  <c r="AD41" i="1" s="1"/>
  <c r="H49" i="1"/>
  <c r="AD49" i="1" s="1"/>
  <c r="H42" i="1"/>
  <c r="AD42" i="1" s="1"/>
  <c r="H50" i="1"/>
  <c r="AD50" i="1" s="1"/>
  <c r="AD1142" i="1"/>
  <c r="H1147" i="1"/>
  <c r="AD1147" i="1" s="1"/>
  <c r="H1146" i="1"/>
  <c r="AD1146" i="1" s="1"/>
  <c r="H1143" i="1"/>
  <c r="AD88" i="1"/>
  <c r="H102" i="1"/>
  <c r="AD102" i="1" s="1"/>
  <c r="H101" i="1"/>
  <c r="AD101" i="1" s="1"/>
  <c r="H100" i="1"/>
  <c r="AD100" i="1" s="1"/>
  <c r="H99" i="1"/>
  <c r="AD99" i="1" s="1"/>
  <c r="H95" i="1"/>
  <c r="H89" i="1"/>
  <c r="H104" i="1"/>
  <c r="AD104" i="1" s="1"/>
  <c r="H103" i="1"/>
  <c r="AD103" i="1" s="1"/>
  <c r="AD487" i="1"/>
  <c r="H488" i="1"/>
  <c r="AD488" i="1" s="1"/>
  <c r="H489" i="1"/>
  <c r="AD177" i="1"/>
  <c r="H179" i="1"/>
  <c r="AD179" i="1" s="1"/>
  <c r="H180" i="1"/>
  <c r="AD180" i="1" s="1"/>
  <c r="H178" i="1"/>
  <c r="AD178" i="1" s="1"/>
  <c r="AD137" i="1"/>
  <c r="H138" i="1"/>
  <c r="AD138" i="1" s="1"/>
  <c r="H139" i="1"/>
  <c r="AD139" i="1" s="1"/>
  <c r="H140" i="1"/>
  <c r="AD140" i="1" s="1"/>
  <c r="AD531" i="1"/>
  <c r="H535" i="1"/>
  <c r="AD535" i="1" s="1"/>
  <c r="H532" i="1"/>
  <c r="AD532" i="1" s="1"/>
  <c r="H533" i="1"/>
  <c r="AD533" i="1" s="1"/>
  <c r="H534" i="1"/>
  <c r="AD534" i="1" s="1"/>
  <c r="AD809" i="1"/>
  <c r="H811" i="1"/>
  <c r="AD811" i="1" s="1"/>
  <c r="H810" i="1"/>
  <c r="AD810" i="1" s="1"/>
  <c r="AD384" i="1"/>
  <c r="H386" i="1"/>
  <c r="AD386" i="1" s="1"/>
  <c r="H387" i="1"/>
  <c r="AD387" i="1" s="1"/>
  <c r="H385" i="1"/>
  <c r="AD385" i="1" s="1"/>
  <c r="AD266" i="1"/>
  <c r="H268" i="1"/>
  <c r="AD268" i="1" s="1"/>
  <c r="H267" i="1"/>
  <c r="AD267" i="1" s="1"/>
  <c r="AD332" i="1"/>
  <c r="H334" i="1"/>
  <c r="AD334" i="1" s="1"/>
  <c r="H333" i="1"/>
  <c r="AD333" i="1" s="1"/>
  <c r="AD247" i="1"/>
  <c r="H249" i="1"/>
  <c r="AD249" i="1" s="1"/>
  <c r="H248" i="1"/>
  <c r="AD248" i="1" s="1"/>
  <c r="AD857" i="1"/>
  <c r="H859" i="1"/>
  <c r="AD859" i="1" s="1"/>
  <c r="H860" i="1"/>
  <c r="AD860" i="1" s="1"/>
  <c r="H858" i="1"/>
  <c r="AD858" i="1" s="1"/>
  <c r="AD1000" i="1"/>
  <c r="H1002" i="1"/>
  <c r="AD1002" i="1" s="1"/>
  <c r="H1001" i="1"/>
  <c r="AD1001" i="1" s="1"/>
  <c r="AD1161" i="1"/>
  <c r="H1166" i="1"/>
  <c r="AD1166" i="1" s="1"/>
  <c r="H1165" i="1"/>
  <c r="AD1165" i="1" s="1"/>
  <c r="H1162" i="1"/>
  <c r="AD60" i="1"/>
  <c r="H65" i="1"/>
  <c r="AD65" i="1" s="1"/>
  <c r="H66" i="1"/>
  <c r="AD66" i="1" s="1"/>
  <c r="H67" i="1"/>
  <c r="AD67" i="1" s="1"/>
  <c r="H61" i="1"/>
  <c r="AD61" i="1" s="1"/>
  <c r="H62" i="1"/>
  <c r="AD62" i="1" s="1"/>
  <c r="H63" i="1"/>
  <c r="AD63" i="1" s="1"/>
  <c r="H64" i="1"/>
  <c r="AD64" i="1" s="1"/>
  <c r="AD989" i="1"/>
  <c r="H991" i="1"/>
  <c r="AD991" i="1" s="1"/>
  <c r="H990" i="1"/>
  <c r="AD990" i="1" s="1"/>
  <c r="AD112" i="1"/>
  <c r="H114" i="1"/>
  <c r="AD114" i="1" s="1"/>
  <c r="H115" i="1"/>
  <c r="AD115" i="1" s="1"/>
  <c r="H113" i="1"/>
  <c r="AD113" i="1" s="1"/>
  <c r="AD804" i="1"/>
  <c r="H806" i="1"/>
  <c r="AD806" i="1" s="1"/>
  <c r="H805" i="1"/>
  <c r="AD805" i="1" s="1"/>
  <c r="AD311" i="1"/>
  <c r="H313" i="1"/>
  <c r="AD313" i="1" s="1"/>
  <c r="H312" i="1"/>
  <c r="AD312" i="1" s="1"/>
  <c r="AD299" i="1"/>
  <c r="H301" i="1"/>
  <c r="AD301" i="1" s="1"/>
  <c r="H300" i="1"/>
  <c r="AD300" i="1" s="1"/>
  <c r="AD959" i="1"/>
  <c r="H961" i="1"/>
  <c r="AD961" i="1" s="1"/>
  <c r="H960" i="1"/>
  <c r="AD960" i="1" s="1"/>
  <c r="AD1004" i="1"/>
  <c r="H1006" i="1"/>
  <c r="AD1006" i="1" s="1"/>
  <c r="H1005" i="1"/>
  <c r="AD1005" i="1" s="1"/>
  <c r="AD799" i="1"/>
  <c r="H801" i="1"/>
  <c r="AD801" i="1" s="1"/>
  <c r="H800" i="1"/>
  <c r="AD800" i="1" s="1"/>
  <c r="AD428" i="1"/>
  <c r="H430" i="1"/>
  <c r="AD430" i="1" s="1"/>
  <c r="H429" i="1"/>
  <c r="AD429" i="1" s="1"/>
  <c r="AD888" i="1"/>
  <c r="H890" i="1"/>
  <c r="AD890" i="1" s="1"/>
  <c r="H891" i="1"/>
  <c r="AD891" i="1" s="1"/>
  <c r="H889" i="1"/>
  <c r="AD889" i="1" s="1"/>
  <c r="AD184" i="1"/>
  <c r="H189" i="1"/>
  <c r="AD189" i="1" s="1"/>
  <c r="H185" i="1"/>
  <c r="AD832" i="1"/>
  <c r="H834" i="1"/>
  <c r="AD834" i="1" s="1"/>
  <c r="H833" i="1"/>
  <c r="AD833" i="1" s="1"/>
  <c r="AD274" i="1"/>
  <c r="H276" i="1"/>
  <c r="AD276" i="1" s="1"/>
  <c r="H275" i="1"/>
  <c r="AD275" i="1" s="1"/>
  <c r="AD388" i="1"/>
  <c r="H393" i="1"/>
  <c r="AD393" i="1" s="1"/>
  <c r="H394" i="1"/>
  <c r="AD394" i="1" s="1"/>
  <c r="H389" i="1"/>
  <c r="AD389" i="1" s="1"/>
  <c r="H390" i="1"/>
  <c r="AD390" i="1" s="1"/>
  <c r="H391" i="1"/>
  <c r="AD391" i="1" s="1"/>
  <c r="H392" i="1"/>
  <c r="AD392" i="1" s="1"/>
  <c r="AD296" i="1"/>
  <c r="H298" i="1"/>
  <c r="AD298" i="1" s="1"/>
  <c r="H297" i="1"/>
  <c r="AD297" i="1" s="1"/>
  <c r="AD250" i="1"/>
  <c r="H252" i="1"/>
  <c r="AD252" i="1" s="1"/>
  <c r="H251" i="1"/>
  <c r="AD251" i="1" s="1"/>
  <c r="AD971" i="1"/>
  <c r="H973" i="1"/>
  <c r="AD973" i="1" s="1"/>
  <c r="H972" i="1"/>
  <c r="AD972" i="1" s="1"/>
  <c r="AD144" i="1"/>
  <c r="H146" i="1"/>
  <c r="H145" i="1"/>
  <c r="AD145" i="1" s="1"/>
  <c r="AD852" i="1"/>
  <c r="H854" i="1"/>
  <c r="AD854" i="1" s="1"/>
  <c r="H853" i="1"/>
  <c r="AD853" i="1" s="1"/>
  <c r="AD1057" i="1"/>
  <c r="H1058" i="1"/>
  <c r="AD1058" i="1" s="1"/>
  <c r="AD443" i="1"/>
  <c r="H445" i="1"/>
  <c r="AD445" i="1" s="1"/>
  <c r="H444" i="1"/>
  <c r="AD444" i="1" s="1"/>
  <c r="AD993" i="1"/>
  <c r="H995" i="1"/>
  <c r="AD995" i="1" s="1"/>
  <c r="H994" i="1"/>
  <c r="AD994" i="1" s="1"/>
  <c r="AD116" i="1"/>
  <c r="H118" i="1"/>
  <c r="AD118" i="1" s="1"/>
  <c r="H119" i="1"/>
  <c r="AD119" i="1" s="1"/>
  <c r="H117" i="1"/>
  <c r="AD117" i="1" s="1"/>
  <c r="AD827" i="1"/>
  <c r="H829" i="1"/>
  <c r="AD829" i="1" s="1"/>
  <c r="H828" i="1"/>
  <c r="AD828" i="1" s="1"/>
  <c r="AD913" i="1"/>
  <c r="H915" i="1"/>
  <c r="AD915" i="1" s="1"/>
  <c r="H914" i="1"/>
  <c r="AD914" i="1" s="1"/>
  <c r="AD1028" i="1"/>
  <c r="H1030" i="1"/>
  <c r="AD1030" i="1" s="1"/>
  <c r="H1029" i="1"/>
  <c r="AD1029" i="1" s="1"/>
  <c r="AD308" i="1"/>
  <c r="H310" i="1"/>
  <c r="AD310" i="1" s="1"/>
  <c r="H309" i="1"/>
  <c r="AD309" i="1" s="1"/>
  <c r="AD1065" i="1"/>
  <c r="H1066" i="1"/>
  <c r="AD1066" i="1" s="1"/>
  <c r="AD942" i="1"/>
  <c r="H943" i="1"/>
  <c r="AD943" i="1" s="1"/>
  <c r="AD878" i="1"/>
  <c r="H879" i="1"/>
  <c r="AD879" i="1" s="1"/>
  <c r="H880" i="1"/>
  <c r="AD880" i="1" s="1"/>
  <c r="AD847" i="1"/>
  <c r="H849" i="1"/>
  <c r="AD849" i="1" s="1"/>
  <c r="H848" i="1"/>
  <c r="AD848" i="1" s="1"/>
  <c r="AD962" i="1"/>
  <c r="H964" i="1"/>
  <c r="AD964" i="1" s="1"/>
  <c r="H963" i="1"/>
  <c r="AD963" i="1" s="1"/>
  <c r="AD967" i="1"/>
  <c r="H969" i="1"/>
  <c r="AD969" i="1" s="1"/>
  <c r="H968" i="1"/>
  <c r="AD968" i="1" s="1"/>
  <c r="AD76" i="1"/>
  <c r="H85" i="1"/>
  <c r="AD85" i="1" s="1"/>
  <c r="H84" i="1"/>
  <c r="AD84" i="1" s="1"/>
  <c r="H83" i="1"/>
  <c r="AD83" i="1" s="1"/>
  <c r="H82" i="1"/>
  <c r="AD82" i="1" s="1"/>
  <c r="H77" i="1"/>
  <c r="H87" i="1"/>
  <c r="AD87" i="1" s="1"/>
  <c r="H86" i="1"/>
  <c r="AD86" i="1" s="1"/>
  <c r="AD1021" i="1"/>
  <c r="H1023" i="1"/>
  <c r="AD1023" i="1" s="1"/>
  <c r="H1022" i="1"/>
  <c r="AD1022" i="1" s="1"/>
  <c r="AD916" i="1"/>
  <c r="H918" i="1"/>
  <c r="AD918" i="1" s="1"/>
  <c r="H919" i="1"/>
  <c r="AD919" i="1" s="1"/>
  <c r="H917" i="1"/>
  <c r="AD917" i="1" s="1"/>
  <c r="AD290" i="1"/>
  <c r="H292" i="1"/>
  <c r="AD292" i="1" s="1"/>
  <c r="H291" i="1"/>
  <c r="AD291" i="1" s="1"/>
  <c r="AD6" i="1"/>
  <c r="H29" i="1"/>
  <c r="H19" i="1"/>
  <c r="AD19" i="1" s="1"/>
  <c r="H11" i="1"/>
  <c r="AD11" i="1" s="1"/>
  <c r="H28" i="1"/>
  <c r="AD28" i="1" s="1"/>
  <c r="H18" i="1"/>
  <c r="AD18" i="1" s="1"/>
  <c r="H10" i="1"/>
  <c r="AD10" i="1" s="1"/>
  <c r="H27" i="1"/>
  <c r="AD27" i="1" s="1"/>
  <c r="H17" i="1"/>
  <c r="AD17" i="1" s="1"/>
  <c r="H9" i="1"/>
  <c r="AD9" i="1" s="1"/>
  <c r="H36" i="1"/>
  <c r="AD36" i="1" s="1"/>
  <c r="H26" i="1"/>
  <c r="AD26" i="1" s="1"/>
  <c r="H16" i="1"/>
  <c r="AD16" i="1" s="1"/>
  <c r="H8" i="1"/>
  <c r="AD8" i="1" s="1"/>
  <c r="H35" i="1"/>
  <c r="AD35" i="1" s="1"/>
  <c r="H25" i="1"/>
  <c r="AD25" i="1" s="1"/>
  <c r="H15" i="1"/>
  <c r="AD15" i="1" s="1"/>
  <c r="H7" i="1"/>
  <c r="AD7" i="1" s="1"/>
  <c r="H34" i="1"/>
  <c r="AD34" i="1" s="1"/>
  <c r="H24" i="1"/>
  <c r="AD24" i="1" s="1"/>
  <c r="H14" i="1"/>
  <c r="AD14" i="1" s="1"/>
  <c r="H33" i="1"/>
  <c r="AD33" i="1" s="1"/>
  <c r="H23" i="1"/>
  <c r="AD23" i="1" s="1"/>
  <c r="H13" i="1"/>
  <c r="AD13" i="1" s="1"/>
  <c r="H32" i="1"/>
  <c r="AD32" i="1" s="1"/>
  <c r="H20" i="1"/>
  <c r="H12" i="1"/>
  <c r="AD12" i="1" s="1"/>
  <c r="AD883" i="1"/>
  <c r="H885" i="1"/>
  <c r="AD885" i="1" s="1"/>
  <c r="H884" i="1"/>
  <c r="AD884" i="1" s="1"/>
  <c r="AD109" i="1"/>
  <c r="H111" i="1"/>
  <c r="AD111" i="1" s="1"/>
  <c r="H110" i="1"/>
  <c r="AD110" i="1" s="1"/>
  <c r="AD173" i="1"/>
  <c r="H175" i="1"/>
  <c r="AD175" i="1" s="1"/>
  <c r="H174" i="1"/>
  <c r="AD174" i="1" s="1"/>
  <c r="AD263" i="1"/>
  <c r="H265" i="1"/>
  <c r="AD265" i="1" s="1"/>
  <c r="H264" i="1"/>
  <c r="AD264" i="1" s="1"/>
  <c r="AD946" i="1"/>
  <c r="H947" i="1"/>
  <c r="AD947" i="1" s="1"/>
  <c r="AD555" i="1"/>
  <c r="H558" i="1"/>
  <c r="AD558" i="1" s="1"/>
  <c r="H556" i="1"/>
  <c r="AD131" i="1"/>
  <c r="H133" i="1"/>
  <c r="AD133" i="1" s="1"/>
  <c r="H134" i="1"/>
  <c r="AD134" i="1" s="1"/>
  <c r="H135" i="1"/>
  <c r="AD135" i="1" s="1"/>
  <c r="H132" i="1"/>
  <c r="AD132" i="1" s="1"/>
  <c r="AD950" i="1"/>
  <c r="H951" i="1"/>
  <c r="AD951" i="1" s="1"/>
  <c r="AD500" i="1"/>
  <c r="H502" i="1"/>
  <c r="AD502" i="1" s="1"/>
  <c r="H503" i="1"/>
  <c r="AD503" i="1" s="1"/>
  <c r="H504" i="1"/>
  <c r="AD504" i="1" s="1"/>
  <c r="H505" i="1"/>
  <c r="AD505" i="1" s="1"/>
  <c r="H501" i="1"/>
  <c r="AD501" i="1" s="1"/>
  <c r="AD277" i="1"/>
  <c r="H279" i="1"/>
  <c r="AD279" i="1" s="1"/>
  <c r="H278" i="1"/>
  <c r="AD278" i="1" s="1"/>
  <c r="AD1031" i="1"/>
  <c r="H1033" i="1"/>
  <c r="AD1033" i="1" s="1"/>
  <c r="H1034" i="1"/>
  <c r="AD1034" i="1" s="1"/>
  <c r="H1032" i="1"/>
  <c r="AD1032" i="1" s="1"/>
  <c r="X1341" i="1" l="1"/>
  <c r="AN947" i="1"/>
  <c r="AO947" i="1"/>
  <c r="AN962" i="1"/>
  <c r="AO962" i="1"/>
  <c r="AN1028" i="1"/>
  <c r="AO1028" i="1"/>
  <c r="AN961" i="1"/>
  <c r="AO961" i="1"/>
  <c r="AN991" i="1"/>
  <c r="AO991" i="1"/>
  <c r="AN1032" i="1"/>
  <c r="AO1032" i="1"/>
  <c r="CR946" i="1"/>
  <c r="AN946" i="1"/>
  <c r="AO946" i="1"/>
  <c r="AN1023" i="1"/>
  <c r="AO1023" i="1"/>
  <c r="AN848" i="1"/>
  <c r="AO848" i="1"/>
  <c r="AO1066" i="1"/>
  <c r="AN1066" i="1"/>
  <c r="AN914" i="1"/>
  <c r="AO914" i="1"/>
  <c r="AN1058" i="1"/>
  <c r="AO1058" i="1"/>
  <c r="AN972" i="1"/>
  <c r="AO972" i="1"/>
  <c r="AO800" i="1"/>
  <c r="AN800" i="1"/>
  <c r="AO959" i="1"/>
  <c r="AN959" i="1"/>
  <c r="AN806" i="1"/>
  <c r="AO806" i="1"/>
  <c r="AN989" i="1"/>
  <c r="AO989" i="1"/>
  <c r="AN858" i="1"/>
  <c r="AO858" i="1"/>
  <c r="AN1142" i="1"/>
  <c r="AO1142" i="1"/>
  <c r="CR942" i="1"/>
  <c r="AN942" i="1"/>
  <c r="AO942" i="1"/>
  <c r="AO1034" i="1"/>
  <c r="AN1034" i="1"/>
  <c r="AN1021" i="1"/>
  <c r="AO1021" i="1"/>
  <c r="AN849" i="1"/>
  <c r="AO849" i="1"/>
  <c r="AN1065" i="1"/>
  <c r="AO1065" i="1"/>
  <c r="AN915" i="1"/>
  <c r="AO915" i="1"/>
  <c r="AN1057" i="1"/>
  <c r="AO1057" i="1"/>
  <c r="AN973" i="1"/>
  <c r="AO973" i="1"/>
  <c r="AN889" i="1"/>
  <c r="AO889" i="1"/>
  <c r="AN801" i="1"/>
  <c r="AO801" i="1"/>
  <c r="AO804" i="1"/>
  <c r="AN804" i="1"/>
  <c r="AO860" i="1"/>
  <c r="AN860" i="1"/>
  <c r="AN810" i="1"/>
  <c r="AO810" i="1"/>
  <c r="AN907" i="1"/>
  <c r="AO907" i="1"/>
  <c r="AN1033" i="1"/>
  <c r="AO1033" i="1"/>
  <c r="AN884" i="1"/>
  <c r="AO884" i="1"/>
  <c r="AN968" i="1"/>
  <c r="AO968" i="1"/>
  <c r="AN847" i="1"/>
  <c r="AO847" i="1"/>
  <c r="AN913" i="1"/>
  <c r="AO913" i="1"/>
  <c r="AN994" i="1"/>
  <c r="AO994" i="1"/>
  <c r="AO853" i="1"/>
  <c r="AN853" i="1"/>
  <c r="AO971" i="1"/>
  <c r="AN971" i="1"/>
  <c r="AN891" i="1"/>
  <c r="AO891" i="1"/>
  <c r="AO799" i="1"/>
  <c r="AN799" i="1"/>
  <c r="AN1165" i="1"/>
  <c r="AO1165" i="1"/>
  <c r="AN859" i="1"/>
  <c r="AO859" i="1"/>
  <c r="AO811" i="1"/>
  <c r="AN811" i="1"/>
  <c r="AO908" i="1"/>
  <c r="AN908" i="1"/>
  <c r="AN1062" i="1"/>
  <c r="AO1062" i="1"/>
  <c r="AN1022" i="1"/>
  <c r="AO1022" i="1"/>
  <c r="AO805" i="1"/>
  <c r="AN805" i="1"/>
  <c r="AN1000" i="1"/>
  <c r="AO1000" i="1"/>
  <c r="AO1147" i="1"/>
  <c r="AN1147" i="1"/>
  <c r="AN1031" i="1"/>
  <c r="AO1031" i="1"/>
  <c r="AN885" i="1"/>
  <c r="AO885" i="1"/>
  <c r="AN917" i="1"/>
  <c r="AO917" i="1"/>
  <c r="AN969" i="1"/>
  <c r="AO969" i="1"/>
  <c r="AN880" i="1"/>
  <c r="AO880" i="1"/>
  <c r="AO828" i="1"/>
  <c r="AN828" i="1"/>
  <c r="AN995" i="1"/>
  <c r="AO995" i="1"/>
  <c r="AN854" i="1"/>
  <c r="AO854" i="1"/>
  <c r="AO833" i="1"/>
  <c r="AN833" i="1"/>
  <c r="AN890" i="1"/>
  <c r="AO890" i="1"/>
  <c r="AN1005" i="1"/>
  <c r="AO1005" i="1"/>
  <c r="AN1166" i="1"/>
  <c r="AO1166" i="1"/>
  <c r="AN857" i="1"/>
  <c r="AO857" i="1"/>
  <c r="AO809" i="1"/>
  <c r="AN809" i="1"/>
  <c r="AN906" i="1"/>
  <c r="AO906" i="1"/>
  <c r="AN1061" i="1"/>
  <c r="AO1061" i="1"/>
  <c r="AN883" i="1"/>
  <c r="AO883" i="1"/>
  <c r="AN919" i="1"/>
  <c r="AO919" i="1"/>
  <c r="AN967" i="1"/>
  <c r="AO967" i="1"/>
  <c r="AN879" i="1"/>
  <c r="AO879" i="1"/>
  <c r="AO829" i="1"/>
  <c r="AN829" i="1"/>
  <c r="AN993" i="1"/>
  <c r="AO993" i="1"/>
  <c r="AN852" i="1"/>
  <c r="AO852" i="1"/>
  <c r="AO834" i="1"/>
  <c r="AN834" i="1"/>
  <c r="AN888" i="1"/>
  <c r="AO888" i="1"/>
  <c r="AN1006" i="1"/>
  <c r="AO1006" i="1"/>
  <c r="AN1161" i="1"/>
  <c r="AO1161" i="1"/>
  <c r="AO823" i="1"/>
  <c r="AN823" i="1"/>
  <c r="AN951" i="1"/>
  <c r="AO951" i="1"/>
  <c r="AN918" i="1"/>
  <c r="AO918" i="1"/>
  <c r="AN963" i="1"/>
  <c r="AO963" i="1"/>
  <c r="AN878" i="1"/>
  <c r="AO878" i="1"/>
  <c r="AN1029" i="1"/>
  <c r="AO1029" i="1"/>
  <c r="AO827" i="1"/>
  <c r="AN827" i="1"/>
  <c r="AO832" i="1"/>
  <c r="AN832" i="1"/>
  <c r="AN1004" i="1"/>
  <c r="AO1004" i="1"/>
  <c r="AN1001" i="1"/>
  <c r="AO1001" i="1"/>
  <c r="AO824" i="1"/>
  <c r="AN824" i="1"/>
  <c r="CR950" i="1"/>
  <c r="AN950" i="1"/>
  <c r="AO950" i="1"/>
  <c r="AN916" i="1"/>
  <c r="AO916" i="1"/>
  <c r="AN964" i="1"/>
  <c r="AO964" i="1"/>
  <c r="AO943" i="1"/>
  <c r="AN943" i="1"/>
  <c r="AN1030" i="1"/>
  <c r="AO1030" i="1"/>
  <c r="AN960" i="1"/>
  <c r="AO960" i="1"/>
  <c r="AN990" i="1"/>
  <c r="AO990" i="1"/>
  <c r="AN1002" i="1"/>
  <c r="AO1002" i="1"/>
  <c r="AN1146" i="1"/>
  <c r="AO1146" i="1"/>
  <c r="AO822" i="1"/>
  <c r="AN822" i="1"/>
  <c r="BB278" i="1"/>
  <c r="BC278" i="1"/>
  <c r="AO278" i="1"/>
  <c r="AN278" i="1"/>
  <c r="BA278" i="1"/>
  <c r="BB500" i="1"/>
  <c r="BC500" i="1"/>
  <c r="AN500" i="1"/>
  <c r="AO500" i="1"/>
  <c r="BA500" i="1"/>
  <c r="CR174" i="1"/>
  <c r="BB174" i="1"/>
  <c r="BC174" i="1"/>
  <c r="AN174" i="1"/>
  <c r="AO174" i="1"/>
  <c r="BA174" i="1"/>
  <c r="BB308" i="1"/>
  <c r="BC308" i="1"/>
  <c r="BA308" i="1"/>
  <c r="AN308" i="1"/>
  <c r="AO308" i="1"/>
  <c r="BB252" i="1"/>
  <c r="BC252" i="1"/>
  <c r="AN252" i="1"/>
  <c r="AO252" i="1"/>
  <c r="BA252" i="1"/>
  <c r="BB389" i="1"/>
  <c r="BC389" i="1"/>
  <c r="AN389" i="1"/>
  <c r="AO389" i="1"/>
  <c r="BA389" i="1"/>
  <c r="BC312" i="1"/>
  <c r="BB312" i="1"/>
  <c r="BA312" i="1"/>
  <c r="AN312" i="1"/>
  <c r="AO312" i="1"/>
  <c r="BC114" i="1"/>
  <c r="BB114" i="1"/>
  <c r="BA114" i="1"/>
  <c r="AO114" i="1"/>
  <c r="AN114" i="1"/>
  <c r="BB61" i="1"/>
  <c r="BC61" i="1"/>
  <c r="AN61" i="1"/>
  <c r="AO61" i="1"/>
  <c r="BA61" i="1"/>
  <c r="BC248" i="1"/>
  <c r="BB248" i="1"/>
  <c r="AO248" i="1"/>
  <c r="AN248" i="1"/>
  <c r="BA248" i="1"/>
  <c r="BB266" i="1"/>
  <c r="BC266" i="1"/>
  <c r="AO266" i="1"/>
  <c r="AN266" i="1"/>
  <c r="BA266" i="1"/>
  <c r="BB534" i="1"/>
  <c r="BC534" i="1"/>
  <c r="AO534" i="1"/>
  <c r="AN534" i="1"/>
  <c r="BA534" i="1"/>
  <c r="BB137" i="1"/>
  <c r="BC137" i="1"/>
  <c r="BA137" i="1"/>
  <c r="AN137" i="1"/>
  <c r="AO137" i="1"/>
  <c r="BB103" i="1"/>
  <c r="BC103" i="1"/>
  <c r="BA103" i="1"/>
  <c r="AO103" i="1"/>
  <c r="AN103" i="1"/>
  <c r="BB88" i="1"/>
  <c r="BC88" i="1"/>
  <c r="BA88" i="1"/>
  <c r="AN88" i="1"/>
  <c r="AO88" i="1"/>
  <c r="BB41" i="1"/>
  <c r="BC41" i="1"/>
  <c r="AO41" i="1"/>
  <c r="AN41" i="1"/>
  <c r="BA41" i="1"/>
  <c r="BB164" i="1"/>
  <c r="BC164" i="1"/>
  <c r="AO164" i="1"/>
  <c r="AN164" i="1"/>
  <c r="BA164" i="1"/>
  <c r="BB168" i="1"/>
  <c r="BC168" i="1"/>
  <c r="AN168" i="1"/>
  <c r="AO168" i="1"/>
  <c r="BA168" i="1"/>
  <c r="BB279" i="1"/>
  <c r="BC279" i="1"/>
  <c r="AN279" i="1"/>
  <c r="AO279" i="1"/>
  <c r="BA279" i="1"/>
  <c r="BB558" i="1"/>
  <c r="BC558" i="1"/>
  <c r="AO558" i="1"/>
  <c r="AN558" i="1"/>
  <c r="BA558" i="1"/>
  <c r="CR175" i="1"/>
  <c r="BB175" i="1"/>
  <c r="BC175" i="1"/>
  <c r="AN175" i="1"/>
  <c r="AO175" i="1"/>
  <c r="BA175" i="1"/>
  <c r="BB12" i="1"/>
  <c r="BC12" i="1"/>
  <c r="BA12" i="1"/>
  <c r="AO12" i="1"/>
  <c r="AN12" i="1"/>
  <c r="BC34" i="1"/>
  <c r="BB34" i="1"/>
  <c r="AO34" i="1"/>
  <c r="AN34" i="1"/>
  <c r="BA34" i="1"/>
  <c r="BB36" i="1"/>
  <c r="BC36" i="1"/>
  <c r="BA36" i="1"/>
  <c r="AO36" i="1"/>
  <c r="AN36" i="1"/>
  <c r="BB19" i="1"/>
  <c r="BC19" i="1"/>
  <c r="AN19" i="1"/>
  <c r="BA19" i="1"/>
  <c r="AO19" i="1"/>
  <c r="BC82" i="1"/>
  <c r="BB82" i="1"/>
  <c r="BA82" i="1"/>
  <c r="AO82" i="1"/>
  <c r="AN82" i="1"/>
  <c r="BB444" i="1"/>
  <c r="BC444" i="1"/>
  <c r="AN444" i="1"/>
  <c r="AO444" i="1"/>
  <c r="BA444" i="1"/>
  <c r="CR145" i="1"/>
  <c r="BB145" i="1"/>
  <c r="BC145" i="1"/>
  <c r="AO145" i="1"/>
  <c r="AN145" i="1"/>
  <c r="BA145" i="1"/>
  <c r="BB250" i="1"/>
  <c r="BC250" i="1"/>
  <c r="AN250" i="1"/>
  <c r="BA250" i="1"/>
  <c r="AO250" i="1"/>
  <c r="BB394" i="1"/>
  <c r="BC394" i="1"/>
  <c r="AO394" i="1"/>
  <c r="AN394" i="1"/>
  <c r="BA394" i="1"/>
  <c r="BB429" i="1"/>
  <c r="BC429" i="1"/>
  <c r="AN429" i="1"/>
  <c r="AO429" i="1"/>
  <c r="BA429" i="1"/>
  <c r="BB313" i="1"/>
  <c r="BC313" i="1"/>
  <c r="AO313" i="1"/>
  <c r="AN313" i="1"/>
  <c r="BA313" i="1"/>
  <c r="BB112" i="1"/>
  <c r="BC112" i="1"/>
  <c r="BA112" i="1"/>
  <c r="AO112" i="1"/>
  <c r="AN112" i="1"/>
  <c r="BB67" i="1"/>
  <c r="BC67" i="1"/>
  <c r="AO67" i="1"/>
  <c r="AN67" i="1"/>
  <c r="BA67" i="1"/>
  <c r="CR249" i="1"/>
  <c r="BB249" i="1"/>
  <c r="BC249" i="1"/>
  <c r="BA249" i="1"/>
  <c r="AO249" i="1"/>
  <c r="AN249" i="1"/>
  <c r="BB385" i="1"/>
  <c r="BC385" i="1"/>
  <c r="BA385" i="1"/>
  <c r="AO385" i="1"/>
  <c r="AN385" i="1"/>
  <c r="BC533" i="1"/>
  <c r="BB533" i="1"/>
  <c r="AN533" i="1"/>
  <c r="AO533" i="1"/>
  <c r="BA533" i="1"/>
  <c r="BC178" i="1"/>
  <c r="BB178" i="1"/>
  <c r="AO178" i="1"/>
  <c r="AN178" i="1"/>
  <c r="BA178" i="1"/>
  <c r="BB104" i="1"/>
  <c r="BC104" i="1"/>
  <c r="AO104" i="1"/>
  <c r="AN104" i="1"/>
  <c r="BA104" i="1"/>
  <c r="BB48" i="1"/>
  <c r="BC48" i="1"/>
  <c r="BA48" i="1"/>
  <c r="AO48" i="1"/>
  <c r="AN48" i="1"/>
  <c r="BB44" i="1"/>
  <c r="BC44" i="1"/>
  <c r="BA44" i="1"/>
  <c r="AO44" i="1"/>
  <c r="AN44" i="1"/>
  <c r="BB152" i="1"/>
  <c r="BC152" i="1"/>
  <c r="BA152" i="1"/>
  <c r="AN152" i="1"/>
  <c r="AO152" i="1"/>
  <c r="CR170" i="1"/>
  <c r="BC170" i="1"/>
  <c r="BB170" i="1"/>
  <c r="BA170" i="1"/>
  <c r="AN170" i="1"/>
  <c r="AO170" i="1"/>
  <c r="BB277" i="1"/>
  <c r="BC277" i="1"/>
  <c r="AN277" i="1"/>
  <c r="AO277" i="1"/>
  <c r="BA277" i="1"/>
  <c r="BC555" i="1"/>
  <c r="BB555" i="1"/>
  <c r="AO555" i="1"/>
  <c r="AN555" i="1"/>
  <c r="BA555" i="1"/>
  <c r="BB173" i="1"/>
  <c r="BC173" i="1"/>
  <c r="AN173" i="1"/>
  <c r="AO173" i="1"/>
  <c r="BA173" i="1"/>
  <c r="BB7" i="1"/>
  <c r="BC7" i="1"/>
  <c r="BA7" i="1"/>
  <c r="AO7" i="1"/>
  <c r="AN7" i="1"/>
  <c r="CR9" i="1"/>
  <c r="BB9" i="1"/>
  <c r="BC9" i="1"/>
  <c r="AO9" i="1"/>
  <c r="AN9" i="1"/>
  <c r="BA9" i="1"/>
  <c r="BB83" i="1"/>
  <c r="BC83" i="1"/>
  <c r="AO83" i="1"/>
  <c r="AN83" i="1"/>
  <c r="BA83" i="1"/>
  <c r="BB117" i="1"/>
  <c r="BC117" i="1"/>
  <c r="AN117" i="1"/>
  <c r="AO117" i="1"/>
  <c r="BA117" i="1"/>
  <c r="BB445" i="1"/>
  <c r="BC445" i="1"/>
  <c r="AN445" i="1"/>
  <c r="AO445" i="1"/>
  <c r="BA445" i="1"/>
  <c r="BB297" i="1"/>
  <c r="BC297" i="1"/>
  <c r="AO297" i="1"/>
  <c r="AN297" i="1"/>
  <c r="BA297" i="1"/>
  <c r="CR393" i="1"/>
  <c r="BB393" i="1"/>
  <c r="BC393" i="1"/>
  <c r="BA393" i="1"/>
  <c r="AO393" i="1"/>
  <c r="AN393" i="1"/>
  <c r="CR430" i="1"/>
  <c r="BB430" i="1"/>
  <c r="BC430" i="1"/>
  <c r="BA430" i="1"/>
  <c r="AO430" i="1"/>
  <c r="AN430" i="1"/>
  <c r="BB311" i="1"/>
  <c r="BC311" i="1"/>
  <c r="AN311" i="1"/>
  <c r="AO311" i="1"/>
  <c r="BA311" i="1"/>
  <c r="BC66" i="1"/>
  <c r="BB66" i="1"/>
  <c r="AO66" i="1"/>
  <c r="AN66" i="1"/>
  <c r="BA66" i="1"/>
  <c r="BB247" i="1"/>
  <c r="BC247" i="1"/>
  <c r="AO247" i="1"/>
  <c r="BA247" i="1"/>
  <c r="AN247" i="1"/>
  <c r="CR387" i="1"/>
  <c r="BB387" i="1"/>
  <c r="BC387" i="1"/>
  <c r="AO387" i="1"/>
  <c r="AN387" i="1"/>
  <c r="BA387" i="1"/>
  <c r="BB532" i="1"/>
  <c r="BC532" i="1"/>
  <c r="AN532" i="1"/>
  <c r="AO532" i="1"/>
  <c r="BA532" i="1"/>
  <c r="CR180" i="1"/>
  <c r="BB180" i="1"/>
  <c r="BC180" i="1"/>
  <c r="AN180" i="1"/>
  <c r="AO180" i="1"/>
  <c r="BA180" i="1"/>
  <c r="CR40" i="1"/>
  <c r="BB40" i="1"/>
  <c r="BC40" i="1"/>
  <c r="BA40" i="1"/>
  <c r="AO40" i="1"/>
  <c r="AN40" i="1"/>
  <c r="BB51" i="1"/>
  <c r="BC51" i="1"/>
  <c r="BA51" i="1"/>
  <c r="AO51" i="1"/>
  <c r="AN51" i="1"/>
  <c r="BB166" i="1"/>
  <c r="BC166" i="1"/>
  <c r="AO166" i="1"/>
  <c r="AN166" i="1"/>
  <c r="BA166" i="1"/>
  <c r="CR169" i="1"/>
  <c r="BB169" i="1"/>
  <c r="BC169" i="1"/>
  <c r="BA169" i="1"/>
  <c r="AN169" i="1"/>
  <c r="AO169" i="1"/>
  <c r="AD1351" i="1"/>
  <c r="AE1351" i="1" s="1"/>
  <c r="BB501" i="1"/>
  <c r="BC501" i="1"/>
  <c r="AO501" i="1"/>
  <c r="AN501" i="1"/>
  <c r="BA501" i="1"/>
  <c r="BB132" i="1"/>
  <c r="BC132" i="1"/>
  <c r="BA132" i="1"/>
  <c r="AO132" i="1"/>
  <c r="AN132" i="1"/>
  <c r="BB110" i="1"/>
  <c r="BC110" i="1"/>
  <c r="AO110" i="1"/>
  <c r="AN110" i="1"/>
  <c r="BA110" i="1"/>
  <c r="BB32" i="1"/>
  <c r="BC32" i="1"/>
  <c r="BA32" i="1"/>
  <c r="AO32" i="1"/>
  <c r="AN32" i="1"/>
  <c r="BB15" i="1"/>
  <c r="BC15" i="1"/>
  <c r="AN15" i="1"/>
  <c r="BA15" i="1"/>
  <c r="AO15" i="1"/>
  <c r="BB17" i="1"/>
  <c r="BC17" i="1"/>
  <c r="AO17" i="1"/>
  <c r="AN17" i="1"/>
  <c r="BA17" i="1"/>
  <c r="BB6" i="1"/>
  <c r="BC6" i="1"/>
  <c r="AO6" i="1"/>
  <c r="AN6" i="1"/>
  <c r="BA6" i="1"/>
  <c r="BB84" i="1"/>
  <c r="BC84" i="1"/>
  <c r="AO84" i="1"/>
  <c r="AN84" i="1"/>
  <c r="BA84" i="1"/>
  <c r="BB119" i="1"/>
  <c r="BC119" i="1"/>
  <c r="AO119" i="1"/>
  <c r="AN119" i="1"/>
  <c r="BA119" i="1"/>
  <c r="BB443" i="1"/>
  <c r="BC443" i="1"/>
  <c r="AO443" i="1"/>
  <c r="AN443" i="1"/>
  <c r="BA443" i="1"/>
  <c r="BB144" i="1"/>
  <c r="BC144" i="1"/>
  <c r="BA144" i="1"/>
  <c r="AN144" i="1"/>
  <c r="AO144" i="1"/>
  <c r="BB298" i="1"/>
  <c r="BC298" i="1"/>
  <c r="AO298" i="1"/>
  <c r="AN298" i="1"/>
  <c r="BA298" i="1"/>
  <c r="BB388" i="1"/>
  <c r="BC388" i="1"/>
  <c r="AO388" i="1"/>
  <c r="AN388" i="1"/>
  <c r="BA388" i="1"/>
  <c r="BB189" i="1"/>
  <c r="BC189" i="1"/>
  <c r="AN189" i="1"/>
  <c r="AO189" i="1"/>
  <c r="BA189" i="1"/>
  <c r="BB428" i="1"/>
  <c r="BC428" i="1"/>
  <c r="AO428" i="1"/>
  <c r="AN428" i="1"/>
  <c r="BA428" i="1"/>
  <c r="BB65" i="1"/>
  <c r="BC65" i="1"/>
  <c r="AO65" i="1"/>
  <c r="AN65" i="1"/>
  <c r="BA65" i="1"/>
  <c r="BB333" i="1"/>
  <c r="BC333" i="1"/>
  <c r="AN333" i="1"/>
  <c r="AO333" i="1"/>
  <c r="BA333" i="1"/>
  <c r="CR386" i="1"/>
  <c r="BB386" i="1"/>
  <c r="BC386" i="1"/>
  <c r="BA386" i="1"/>
  <c r="AO386" i="1"/>
  <c r="AN386" i="1"/>
  <c r="BB535" i="1"/>
  <c r="BC535" i="1"/>
  <c r="AN535" i="1"/>
  <c r="AO535" i="1"/>
  <c r="BA535" i="1"/>
  <c r="BB179" i="1"/>
  <c r="BC179" i="1"/>
  <c r="BA179" i="1"/>
  <c r="AN179" i="1"/>
  <c r="AO179" i="1"/>
  <c r="BB47" i="1"/>
  <c r="BC47" i="1"/>
  <c r="AO47" i="1"/>
  <c r="AN47" i="1"/>
  <c r="BA47" i="1"/>
  <c r="BB43" i="1"/>
  <c r="BC43" i="1"/>
  <c r="BA43" i="1"/>
  <c r="AO43" i="1"/>
  <c r="AN43" i="1"/>
  <c r="BB153" i="1"/>
  <c r="BC153" i="1"/>
  <c r="AO153" i="1"/>
  <c r="BA153" i="1"/>
  <c r="AN153" i="1"/>
  <c r="BB167" i="1"/>
  <c r="BC167" i="1"/>
  <c r="BA167" i="1"/>
  <c r="AO167" i="1"/>
  <c r="AN167" i="1"/>
  <c r="CR11" i="1"/>
  <c r="BB11" i="1"/>
  <c r="BC11" i="1"/>
  <c r="BA11" i="1"/>
  <c r="AO11" i="1"/>
  <c r="AN11" i="1"/>
  <c r="BB505" i="1"/>
  <c r="BC505" i="1"/>
  <c r="AO505" i="1"/>
  <c r="BA505" i="1"/>
  <c r="AN505" i="1"/>
  <c r="BB135" i="1"/>
  <c r="BC135" i="1"/>
  <c r="AO135" i="1"/>
  <c r="BA135" i="1"/>
  <c r="AN135" i="1"/>
  <c r="CR111" i="1"/>
  <c r="BB111" i="1"/>
  <c r="BC111" i="1"/>
  <c r="BA111" i="1"/>
  <c r="AO111" i="1"/>
  <c r="AN111" i="1"/>
  <c r="BB13" i="1"/>
  <c r="BC13" i="1"/>
  <c r="AN13" i="1"/>
  <c r="AO13" i="1"/>
  <c r="BA13" i="1"/>
  <c r="BB25" i="1"/>
  <c r="BC25" i="1"/>
  <c r="AO25" i="1"/>
  <c r="AN25" i="1"/>
  <c r="BA25" i="1"/>
  <c r="BB27" i="1"/>
  <c r="BC27" i="1"/>
  <c r="AO27" i="1"/>
  <c r="AN27" i="1"/>
  <c r="BA27" i="1"/>
  <c r="BB291" i="1"/>
  <c r="BC291" i="1"/>
  <c r="BA291" i="1"/>
  <c r="AO291" i="1"/>
  <c r="AN291" i="1"/>
  <c r="BB85" i="1"/>
  <c r="BC85" i="1"/>
  <c r="AN85" i="1"/>
  <c r="AO85" i="1"/>
  <c r="BA85" i="1"/>
  <c r="BB118" i="1"/>
  <c r="BC118" i="1"/>
  <c r="AO118" i="1"/>
  <c r="AN118" i="1"/>
  <c r="BA118" i="1"/>
  <c r="BC296" i="1"/>
  <c r="BB296" i="1"/>
  <c r="AN296" i="1"/>
  <c r="AO296" i="1"/>
  <c r="BA296" i="1"/>
  <c r="BB275" i="1"/>
  <c r="BC275" i="1"/>
  <c r="BA275" i="1"/>
  <c r="AN275" i="1"/>
  <c r="AO275" i="1"/>
  <c r="BB184" i="1"/>
  <c r="BC184" i="1"/>
  <c r="BA184" i="1"/>
  <c r="AO184" i="1"/>
  <c r="AN184" i="1"/>
  <c r="BB60" i="1"/>
  <c r="BC60" i="1"/>
  <c r="BA60" i="1"/>
  <c r="AO60" i="1"/>
  <c r="AN60" i="1"/>
  <c r="BB334" i="1"/>
  <c r="BC334" i="1"/>
  <c r="AO334" i="1"/>
  <c r="AN334" i="1"/>
  <c r="BA334" i="1"/>
  <c r="BC384" i="1"/>
  <c r="BB384" i="1"/>
  <c r="AO384" i="1"/>
  <c r="AN384" i="1"/>
  <c r="BA384" i="1"/>
  <c r="BC531" i="1"/>
  <c r="BB531" i="1"/>
  <c r="BA531" i="1"/>
  <c r="AO531" i="1"/>
  <c r="AN531" i="1"/>
  <c r="BB177" i="1"/>
  <c r="BC177" i="1"/>
  <c r="AO177" i="1"/>
  <c r="AN177" i="1"/>
  <c r="BA177" i="1"/>
  <c r="BB99" i="1"/>
  <c r="BC99" i="1"/>
  <c r="AO99" i="1"/>
  <c r="AN99" i="1"/>
  <c r="BA99" i="1"/>
  <c r="BB39" i="1"/>
  <c r="BC39" i="1"/>
  <c r="AO39" i="1"/>
  <c r="AN39" i="1"/>
  <c r="BA39" i="1"/>
  <c r="BB37" i="1"/>
  <c r="BC37" i="1"/>
  <c r="AO37" i="1"/>
  <c r="AN37" i="1"/>
  <c r="BA37" i="1"/>
  <c r="BC154" i="1"/>
  <c r="BB154" i="1"/>
  <c r="BA154" i="1"/>
  <c r="AN154" i="1"/>
  <c r="AO154" i="1"/>
  <c r="BB24" i="1"/>
  <c r="BC24" i="1"/>
  <c r="AO24" i="1"/>
  <c r="AN24" i="1"/>
  <c r="BA24" i="1"/>
  <c r="CR504" i="1"/>
  <c r="BC504" i="1"/>
  <c r="BB504" i="1"/>
  <c r="BA504" i="1"/>
  <c r="AO504" i="1"/>
  <c r="AN504" i="1"/>
  <c r="BB134" i="1"/>
  <c r="BC134" i="1"/>
  <c r="AO134" i="1"/>
  <c r="AN134" i="1"/>
  <c r="BA134" i="1"/>
  <c r="BC264" i="1"/>
  <c r="BB264" i="1"/>
  <c r="BA264" i="1"/>
  <c r="AN264" i="1"/>
  <c r="AO264" i="1"/>
  <c r="BB109" i="1"/>
  <c r="BC109" i="1"/>
  <c r="AN109" i="1"/>
  <c r="AO109" i="1"/>
  <c r="BA109" i="1"/>
  <c r="BB23" i="1"/>
  <c r="BC23" i="1"/>
  <c r="AO23" i="1"/>
  <c r="AN23" i="1"/>
  <c r="BA23" i="1"/>
  <c r="BB35" i="1"/>
  <c r="BC35" i="1"/>
  <c r="AO35" i="1"/>
  <c r="AN35" i="1"/>
  <c r="BA35" i="1"/>
  <c r="CR10" i="1"/>
  <c r="BC10" i="1"/>
  <c r="BB10" i="1"/>
  <c r="AO10" i="1"/>
  <c r="AN10" i="1"/>
  <c r="BA10" i="1"/>
  <c r="CR292" i="1"/>
  <c r="BB292" i="1"/>
  <c r="BC292" i="1"/>
  <c r="BA292" i="1"/>
  <c r="AO292" i="1"/>
  <c r="AN292" i="1"/>
  <c r="BB76" i="1"/>
  <c r="BC76" i="1"/>
  <c r="BA76" i="1"/>
  <c r="AO76" i="1"/>
  <c r="AN76" i="1"/>
  <c r="BB116" i="1"/>
  <c r="BC116" i="1"/>
  <c r="AO116" i="1"/>
  <c r="AN116" i="1"/>
  <c r="BA116" i="1"/>
  <c r="CR392" i="1"/>
  <c r="BC392" i="1"/>
  <c r="BB392" i="1"/>
  <c r="BA392" i="1"/>
  <c r="AO392" i="1"/>
  <c r="AN392" i="1"/>
  <c r="BB276" i="1"/>
  <c r="BC276" i="1"/>
  <c r="AN276" i="1"/>
  <c r="AO276" i="1"/>
  <c r="BA276" i="1"/>
  <c r="BB300" i="1"/>
  <c r="BC300" i="1"/>
  <c r="AN300" i="1"/>
  <c r="AO300" i="1"/>
  <c r="BA300" i="1"/>
  <c r="BB64" i="1"/>
  <c r="BC64" i="1"/>
  <c r="AO64" i="1"/>
  <c r="AN64" i="1"/>
  <c r="BA64" i="1"/>
  <c r="BB332" i="1"/>
  <c r="BC332" i="1"/>
  <c r="AO332" i="1"/>
  <c r="BA332" i="1"/>
  <c r="AN332" i="1"/>
  <c r="BB140" i="1"/>
  <c r="BC140" i="1"/>
  <c r="AO140" i="1"/>
  <c r="AN140" i="1"/>
  <c r="BA140" i="1"/>
  <c r="BB100" i="1"/>
  <c r="BC100" i="1"/>
  <c r="AO100" i="1"/>
  <c r="AN100" i="1"/>
  <c r="BA100" i="1"/>
  <c r="BC50" i="1"/>
  <c r="BB50" i="1"/>
  <c r="AN50" i="1"/>
  <c r="AO50" i="1"/>
  <c r="BA50" i="1"/>
  <c r="BB46" i="1"/>
  <c r="BC46" i="1"/>
  <c r="BA46" i="1"/>
  <c r="AO46" i="1"/>
  <c r="AN46" i="1"/>
  <c r="BB150" i="1"/>
  <c r="BC150" i="1"/>
  <c r="AO150" i="1"/>
  <c r="AN150" i="1"/>
  <c r="BA150" i="1"/>
  <c r="CR503" i="1"/>
  <c r="BC503" i="1"/>
  <c r="BB503" i="1"/>
  <c r="AN503" i="1"/>
  <c r="AO503" i="1"/>
  <c r="BA503" i="1"/>
  <c r="CR133" i="1"/>
  <c r="BB133" i="1"/>
  <c r="BC133" i="1"/>
  <c r="AO133" i="1"/>
  <c r="AN133" i="1"/>
  <c r="BA133" i="1"/>
  <c r="BB265" i="1"/>
  <c r="BC265" i="1"/>
  <c r="BA265" i="1"/>
  <c r="AO265" i="1"/>
  <c r="AN265" i="1"/>
  <c r="BB33" i="1"/>
  <c r="BC33" i="1"/>
  <c r="AO33" i="1"/>
  <c r="AN33" i="1"/>
  <c r="BA33" i="1"/>
  <c r="CR8" i="1"/>
  <c r="BB8" i="1"/>
  <c r="BC8" i="1"/>
  <c r="BA8" i="1"/>
  <c r="AO8" i="1"/>
  <c r="AN8" i="1"/>
  <c r="BC18" i="1"/>
  <c r="BB18" i="1"/>
  <c r="AO18" i="1"/>
  <c r="AN18" i="1"/>
  <c r="BA18" i="1"/>
  <c r="BB290" i="1"/>
  <c r="BC290" i="1"/>
  <c r="AO290" i="1"/>
  <c r="AN290" i="1"/>
  <c r="BA290" i="1"/>
  <c r="BB86" i="1"/>
  <c r="BC86" i="1"/>
  <c r="AO86" i="1"/>
  <c r="AN86" i="1"/>
  <c r="BA86" i="1"/>
  <c r="BB309" i="1"/>
  <c r="BC309" i="1"/>
  <c r="AO309" i="1"/>
  <c r="AN309" i="1"/>
  <c r="BA309" i="1"/>
  <c r="BC391" i="1"/>
  <c r="BB391" i="1"/>
  <c r="BA391" i="1"/>
  <c r="AN391" i="1"/>
  <c r="AO391" i="1"/>
  <c r="BB274" i="1"/>
  <c r="BC274" i="1"/>
  <c r="BA274" i="1"/>
  <c r="AN274" i="1"/>
  <c r="AO274" i="1"/>
  <c r="CR301" i="1"/>
  <c r="BB301" i="1"/>
  <c r="BC301" i="1"/>
  <c r="AN301" i="1"/>
  <c r="AO301" i="1"/>
  <c r="BA301" i="1"/>
  <c r="BB113" i="1"/>
  <c r="BC113" i="1"/>
  <c r="BA113" i="1"/>
  <c r="AO113" i="1"/>
  <c r="AN113" i="1"/>
  <c r="BB63" i="1"/>
  <c r="BC63" i="1"/>
  <c r="AO63" i="1"/>
  <c r="AN63" i="1"/>
  <c r="BA63" i="1"/>
  <c r="BB267" i="1"/>
  <c r="BC267" i="1"/>
  <c r="AO267" i="1"/>
  <c r="AN267" i="1"/>
  <c r="BA267" i="1"/>
  <c r="BB139" i="1"/>
  <c r="BC139" i="1"/>
  <c r="BA139" i="1"/>
  <c r="AO139" i="1"/>
  <c r="AN139" i="1"/>
  <c r="CR488" i="1"/>
  <c r="BC488" i="1"/>
  <c r="BB488" i="1"/>
  <c r="AO488" i="1"/>
  <c r="AN488" i="1"/>
  <c r="BA488" i="1"/>
  <c r="BB101" i="1"/>
  <c r="BC101" i="1"/>
  <c r="AN101" i="1"/>
  <c r="AO101" i="1"/>
  <c r="BA101" i="1"/>
  <c r="BC42" i="1"/>
  <c r="BB42" i="1"/>
  <c r="AO42" i="1"/>
  <c r="AN42" i="1"/>
  <c r="BA42" i="1"/>
  <c r="BB38" i="1"/>
  <c r="BC38" i="1"/>
  <c r="AN38" i="1"/>
  <c r="AO38" i="1"/>
  <c r="BA38" i="1"/>
  <c r="BB163" i="1"/>
  <c r="BC163" i="1"/>
  <c r="BA163" i="1"/>
  <c r="AO163" i="1"/>
  <c r="AN163" i="1"/>
  <c r="BC26" i="1"/>
  <c r="BB26" i="1"/>
  <c r="AO26" i="1"/>
  <c r="AN26" i="1"/>
  <c r="BA26" i="1"/>
  <c r="CR502" i="1"/>
  <c r="BB502" i="1"/>
  <c r="BC502" i="1"/>
  <c r="BA502" i="1"/>
  <c r="AO502" i="1"/>
  <c r="AN502" i="1"/>
  <c r="BB131" i="1"/>
  <c r="BC131" i="1"/>
  <c r="AO131" i="1"/>
  <c r="AN131" i="1"/>
  <c r="BA131" i="1"/>
  <c r="BB263" i="1"/>
  <c r="BC263" i="1"/>
  <c r="BA263" i="1"/>
  <c r="AN263" i="1"/>
  <c r="AO263" i="1"/>
  <c r="BB14" i="1"/>
  <c r="BC14" i="1"/>
  <c r="AN14" i="1"/>
  <c r="BA14" i="1"/>
  <c r="AO14" i="1"/>
  <c r="BB16" i="1"/>
  <c r="BC16" i="1"/>
  <c r="BA16" i="1"/>
  <c r="AO16" i="1"/>
  <c r="AN16" i="1"/>
  <c r="BB28" i="1"/>
  <c r="BC28" i="1"/>
  <c r="BA28" i="1"/>
  <c r="AO28" i="1"/>
  <c r="AN28" i="1"/>
  <c r="BB87" i="1"/>
  <c r="BC87" i="1"/>
  <c r="BA87" i="1"/>
  <c r="AO87" i="1"/>
  <c r="AN87" i="1"/>
  <c r="CR310" i="1"/>
  <c r="BB310" i="1"/>
  <c r="BC310" i="1"/>
  <c r="AO310" i="1"/>
  <c r="AN310" i="1"/>
  <c r="BA310" i="1"/>
  <c r="BB251" i="1"/>
  <c r="BC251" i="1"/>
  <c r="BA251" i="1"/>
  <c r="AO251" i="1"/>
  <c r="AN251" i="1"/>
  <c r="CR390" i="1"/>
  <c r="BB390" i="1"/>
  <c r="BC390" i="1"/>
  <c r="AO390" i="1"/>
  <c r="AN390" i="1"/>
  <c r="BA390" i="1"/>
  <c r="BB299" i="1"/>
  <c r="BC299" i="1"/>
  <c r="BA299" i="1"/>
  <c r="AO299" i="1"/>
  <c r="AN299" i="1"/>
  <c r="CR115" i="1"/>
  <c r="BB115" i="1"/>
  <c r="BC115" i="1"/>
  <c r="AO115" i="1"/>
  <c r="AN115" i="1"/>
  <c r="BA115" i="1"/>
  <c r="CR62" i="1"/>
  <c r="BB62" i="1"/>
  <c r="BC62" i="1"/>
  <c r="AO62" i="1"/>
  <c r="BA62" i="1"/>
  <c r="AN62" i="1"/>
  <c r="CR268" i="1"/>
  <c r="BB268" i="1"/>
  <c r="BC268" i="1"/>
  <c r="BA268" i="1"/>
  <c r="AO268" i="1"/>
  <c r="AN268" i="1"/>
  <c r="BC138" i="1"/>
  <c r="BB138" i="1"/>
  <c r="AN138" i="1"/>
  <c r="AO138" i="1"/>
  <c r="BA138" i="1"/>
  <c r="BC487" i="1"/>
  <c r="BB487" i="1"/>
  <c r="AN487" i="1"/>
  <c r="AO487" i="1"/>
  <c r="BA487" i="1"/>
  <c r="BB102" i="1"/>
  <c r="BC102" i="1"/>
  <c r="AN102" i="1"/>
  <c r="AO102" i="1"/>
  <c r="BA102" i="1"/>
  <c r="BB49" i="1"/>
  <c r="BC49" i="1"/>
  <c r="BA49" i="1"/>
  <c r="AN49" i="1"/>
  <c r="AO49" i="1"/>
  <c r="CR45" i="1"/>
  <c r="BB45" i="1"/>
  <c r="BC45" i="1"/>
  <c r="AN45" i="1"/>
  <c r="AO45" i="1"/>
  <c r="BA45" i="1"/>
  <c r="BB151" i="1"/>
  <c r="BC151" i="1"/>
  <c r="BA151" i="1"/>
  <c r="AO151" i="1"/>
  <c r="AN151" i="1"/>
  <c r="CR1207" i="1"/>
  <c r="AD1358" i="1"/>
  <c r="AE1358" i="1" s="1"/>
  <c r="AD1364" i="1"/>
  <c r="AE1364" i="1" s="1"/>
  <c r="AD1359" i="1"/>
  <c r="AE1359" i="1" s="1"/>
  <c r="AD1362" i="1"/>
  <c r="AE1362" i="1" s="1"/>
  <c r="AD1355" i="1"/>
  <c r="AE1355" i="1" s="1"/>
  <c r="BE501" i="1"/>
  <c r="CR501" i="1"/>
  <c r="BE110" i="1"/>
  <c r="CR110" i="1"/>
  <c r="BE17" i="1"/>
  <c r="CR17" i="1"/>
  <c r="BE84" i="1"/>
  <c r="CR84" i="1"/>
  <c r="BE1028" i="1"/>
  <c r="CR1028" i="1"/>
  <c r="BE443" i="1"/>
  <c r="CR443" i="1"/>
  <c r="BE144" i="1"/>
  <c r="CR144" i="1"/>
  <c r="BE961" i="1"/>
  <c r="CR961" i="1"/>
  <c r="BE65" i="1"/>
  <c r="CR65" i="1"/>
  <c r="BE333" i="1"/>
  <c r="CR333" i="1"/>
  <c r="BE179" i="1"/>
  <c r="CR179" i="1"/>
  <c r="BE47" i="1"/>
  <c r="CR47" i="1"/>
  <c r="BE153" i="1"/>
  <c r="CR153" i="1"/>
  <c r="BE1032" i="1"/>
  <c r="CR1032" i="1"/>
  <c r="BE505" i="1"/>
  <c r="CR505" i="1"/>
  <c r="BE135" i="1"/>
  <c r="CR135" i="1"/>
  <c r="BE13" i="1"/>
  <c r="CR13" i="1"/>
  <c r="BE25" i="1"/>
  <c r="CR25" i="1"/>
  <c r="BE27" i="1"/>
  <c r="CR27" i="1"/>
  <c r="BE291" i="1"/>
  <c r="CR291" i="1"/>
  <c r="BE1023" i="1"/>
  <c r="CR1023" i="1"/>
  <c r="BE85" i="1"/>
  <c r="CR85" i="1"/>
  <c r="BE848" i="1"/>
  <c r="CR848" i="1"/>
  <c r="BE1066" i="1"/>
  <c r="CR1066" i="1"/>
  <c r="BE914" i="1"/>
  <c r="CR914" i="1"/>
  <c r="BE118" i="1"/>
  <c r="CR118" i="1"/>
  <c r="BE1058" i="1"/>
  <c r="CR1058" i="1"/>
  <c r="BE972" i="1"/>
  <c r="CR972" i="1"/>
  <c r="BE296" i="1"/>
  <c r="CR296" i="1"/>
  <c r="BE275" i="1"/>
  <c r="CR275" i="1"/>
  <c r="BE184" i="1"/>
  <c r="CR184" i="1"/>
  <c r="BE800" i="1"/>
  <c r="CR800" i="1"/>
  <c r="BE959" i="1"/>
  <c r="CR959" i="1"/>
  <c r="BE806" i="1"/>
  <c r="CR806" i="1"/>
  <c r="BE989" i="1"/>
  <c r="CR989" i="1"/>
  <c r="BE60" i="1"/>
  <c r="CR60" i="1"/>
  <c r="BE858" i="1"/>
  <c r="CR858" i="1"/>
  <c r="BE334" i="1"/>
  <c r="CR334" i="1"/>
  <c r="BE384" i="1"/>
  <c r="CR384" i="1"/>
  <c r="BE531" i="1"/>
  <c r="CR531" i="1"/>
  <c r="BE177" i="1"/>
  <c r="CR177" i="1"/>
  <c r="BE99" i="1"/>
  <c r="CR99" i="1"/>
  <c r="BE1142" i="1"/>
  <c r="CR1142" i="1"/>
  <c r="BE39" i="1"/>
  <c r="CR39" i="1"/>
  <c r="BE37" i="1"/>
  <c r="CR37" i="1"/>
  <c r="BE154" i="1"/>
  <c r="CR154" i="1"/>
  <c r="BE1034" i="1"/>
  <c r="CR1034" i="1"/>
  <c r="BE134" i="1"/>
  <c r="CR134" i="1"/>
  <c r="BE264" i="1"/>
  <c r="CR264" i="1"/>
  <c r="BE109" i="1"/>
  <c r="CR109" i="1"/>
  <c r="BE23" i="1"/>
  <c r="CR23" i="1"/>
  <c r="BE35" i="1"/>
  <c r="CR35" i="1"/>
  <c r="BE1021" i="1"/>
  <c r="CR1021" i="1"/>
  <c r="BE76" i="1"/>
  <c r="CR76" i="1"/>
  <c r="BE849" i="1"/>
  <c r="CR849" i="1"/>
  <c r="BE1065" i="1"/>
  <c r="CR1065" i="1"/>
  <c r="BE915" i="1"/>
  <c r="CR915" i="1"/>
  <c r="BE116" i="1"/>
  <c r="CR116" i="1"/>
  <c r="BE1057" i="1"/>
  <c r="CR1057" i="1"/>
  <c r="BE973" i="1"/>
  <c r="CR973" i="1"/>
  <c r="BE276" i="1"/>
  <c r="CR276" i="1"/>
  <c r="BE889" i="1"/>
  <c r="CR889" i="1"/>
  <c r="BE801" i="1"/>
  <c r="CR801" i="1"/>
  <c r="BE300" i="1"/>
  <c r="CR300" i="1"/>
  <c r="BE804" i="1"/>
  <c r="CR804" i="1"/>
  <c r="BE64" i="1"/>
  <c r="CR64" i="1"/>
  <c r="BE860" i="1"/>
  <c r="CR860" i="1"/>
  <c r="BE332" i="1"/>
  <c r="CR332" i="1"/>
  <c r="BE810" i="1"/>
  <c r="CR810" i="1"/>
  <c r="BE140" i="1"/>
  <c r="CR140" i="1"/>
  <c r="BE100" i="1"/>
  <c r="CR100" i="1"/>
  <c r="BE50" i="1"/>
  <c r="CR50" i="1"/>
  <c r="BE46" i="1"/>
  <c r="CR46" i="1"/>
  <c r="BE907" i="1"/>
  <c r="CR907" i="1"/>
  <c r="BE150" i="1"/>
  <c r="CR150" i="1"/>
  <c r="BE132" i="1"/>
  <c r="CR132" i="1"/>
  <c r="BE15" i="1"/>
  <c r="CR15" i="1"/>
  <c r="BE1022" i="1"/>
  <c r="CR1022" i="1"/>
  <c r="BE962" i="1"/>
  <c r="CR962" i="1"/>
  <c r="BE298" i="1"/>
  <c r="CR298" i="1"/>
  <c r="BE388" i="1"/>
  <c r="CR388" i="1"/>
  <c r="BE805" i="1"/>
  <c r="CR805" i="1"/>
  <c r="BE43" i="1"/>
  <c r="CR43" i="1"/>
  <c r="BE167" i="1"/>
  <c r="CR167" i="1"/>
  <c r="BE1033" i="1"/>
  <c r="CR1033" i="1"/>
  <c r="BE265" i="1"/>
  <c r="CR265" i="1"/>
  <c r="BE884" i="1"/>
  <c r="CR884" i="1"/>
  <c r="BE33" i="1"/>
  <c r="CR33" i="1"/>
  <c r="BE18" i="1"/>
  <c r="CR18" i="1"/>
  <c r="BE290" i="1"/>
  <c r="CR290" i="1"/>
  <c r="BE86" i="1"/>
  <c r="CR86" i="1"/>
  <c r="BE968" i="1"/>
  <c r="CR968" i="1"/>
  <c r="BE847" i="1"/>
  <c r="CR847" i="1"/>
  <c r="BE309" i="1"/>
  <c r="CR309" i="1"/>
  <c r="BE913" i="1"/>
  <c r="CR913" i="1"/>
  <c r="BE994" i="1"/>
  <c r="CR994" i="1"/>
  <c r="BE853" i="1"/>
  <c r="CR853" i="1"/>
  <c r="BE971" i="1"/>
  <c r="CR971" i="1"/>
  <c r="BE391" i="1"/>
  <c r="CR391" i="1"/>
  <c r="BE274" i="1"/>
  <c r="CR274" i="1"/>
  <c r="BE891" i="1"/>
  <c r="CR891" i="1"/>
  <c r="BE799" i="1"/>
  <c r="CR799" i="1"/>
  <c r="BE113" i="1"/>
  <c r="CR113" i="1"/>
  <c r="BE63" i="1"/>
  <c r="CR63" i="1"/>
  <c r="BE1165" i="1"/>
  <c r="CR1165" i="1"/>
  <c r="BE859" i="1"/>
  <c r="CR859" i="1"/>
  <c r="BE267" i="1"/>
  <c r="CR267" i="1"/>
  <c r="BE811" i="1"/>
  <c r="CR811" i="1"/>
  <c r="BE139" i="1"/>
  <c r="CR139" i="1"/>
  <c r="BE101" i="1"/>
  <c r="CR101" i="1"/>
  <c r="BE42" i="1"/>
  <c r="CR42" i="1"/>
  <c r="BE38" i="1"/>
  <c r="CR38" i="1"/>
  <c r="BE908" i="1"/>
  <c r="CR908" i="1"/>
  <c r="BE163" i="1"/>
  <c r="CR163" i="1"/>
  <c r="BE1062" i="1"/>
  <c r="CR1062" i="1"/>
  <c r="BE1031" i="1"/>
  <c r="CR1031" i="1"/>
  <c r="BE131" i="1"/>
  <c r="CR131" i="1"/>
  <c r="BE263" i="1"/>
  <c r="CR263" i="1"/>
  <c r="BE885" i="1"/>
  <c r="CR885" i="1"/>
  <c r="BE14" i="1"/>
  <c r="CR14" i="1"/>
  <c r="BE16" i="1"/>
  <c r="CR16" i="1"/>
  <c r="BE28" i="1"/>
  <c r="CR28" i="1"/>
  <c r="BE917" i="1"/>
  <c r="CR917" i="1"/>
  <c r="BE87" i="1"/>
  <c r="CR87" i="1"/>
  <c r="BE969" i="1"/>
  <c r="CR969" i="1"/>
  <c r="BE880" i="1"/>
  <c r="CR880" i="1"/>
  <c r="BE828" i="1"/>
  <c r="CR828" i="1"/>
  <c r="BE995" i="1"/>
  <c r="CR995" i="1"/>
  <c r="BE854" i="1"/>
  <c r="CR854" i="1"/>
  <c r="BE251" i="1"/>
  <c r="CR251" i="1"/>
  <c r="BE833" i="1"/>
  <c r="CR833" i="1"/>
  <c r="BE890" i="1"/>
  <c r="CR890" i="1"/>
  <c r="BE1005" i="1"/>
  <c r="CR1005" i="1"/>
  <c r="BE299" i="1"/>
  <c r="CR299" i="1"/>
  <c r="BE1166" i="1"/>
  <c r="CR1166" i="1"/>
  <c r="BE857" i="1"/>
  <c r="CR857" i="1"/>
  <c r="BE809" i="1"/>
  <c r="CR809" i="1"/>
  <c r="BE138" i="1"/>
  <c r="CR138" i="1"/>
  <c r="BE487" i="1"/>
  <c r="CR487" i="1"/>
  <c r="BE102" i="1"/>
  <c r="CR102" i="1"/>
  <c r="BE49" i="1"/>
  <c r="CR49" i="1"/>
  <c r="BE906" i="1"/>
  <c r="CR906" i="1"/>
  <c r="BE151" i="1"/>
  <c r="CR151" i="1"/>
  <c r="BE1061" i="1"/>
  <c r="CR1061" i="1"/>
  <c r="BE278" i="1"/>
  <c r="CR278" i="1"/>
  <c r="BE500" i="1"/>
  <c r="CR500" i="1"/>
  <c r="BE883" i="1"/>
  <c r="CR883" i="1"/>
  <c r="BE24" i="1"/>
  <c r="CR24" i="1"/>
  <c r="BE26" i="1"/>
  <c r="CR26" i="1"/>
  <c r="BE919" i="1"/>
  <c r="CR919" i="1"/>
  <c r="BE967" i="1"/>
  <c r="CR967" i="1"/>
  <c r="BE879" i="1"/>
  <c r="CR879" i="1"/>
  <c r="BE308" i="1"/>
  <c r="CR308" i="1"/>
  <c r="BE829" i="1"/>
  <c r="CR829" i="1"/>
  <c r="BE993" i="1"/>
  <c r="CR993" i="1"/>
  <c r="BE852" i="1"/>
  <c r="CR852" i="1"/>
  <c r="BE252" i="1"/>
  <c r="CR252" i="1"/>
  <c r="BE389" i="1"/>
  <c r="CR389" i="1"/>
  <c r="BE834" i="1"/>
  <c r="CR834" i="1"/>
  <c r="BE888" i="1"/>
  <c r="CR888" i="1"/>
  <c r="BE1006" i="1"/>
  <c r="CR1006" i="1"/>
  <c r="BE312" i="1"/>
  <c r="CR312" i="1"/>
  <c r="BE114" i="1"/>
  <c r="CR114" i="1"/>
  <c r="BE61" i="1"/>
  <c r="CR61" i="1"/>
  <c r="BE1161" i="1"/>
  <c r="CR1161" i="1"/>
  <c r="BE248" i="1"/>
  <c r="CR248" i="1"/>
  <c r="BE266" i="1"/>
  <c r="CR266" i="1"/>
  <c r="BE534" i="1"/>
  <c r="CR534" i="1"/>
  <c r="BE137" i="1"/>
  <c r="CR137" i="1"/>
  <c r="BE103" i="1"/>
  <c r="CR103" i="1"/>
  <c r="BE88" i="1"/>
  <c r="CR88" i="1"/>
  <c r="BE41" i="1"/>
  <c r="CR41" i="1"/>
  <c r="BE823" i="1"/>
  <c r="CR823" i="1"/>
  <c r="BE164" i="1"/>
  <c r="CR164" i="1"/>
  <c r="BE168" i="1"/>
  <c r="CR168" i="1"/>
  <c r="BE947" i="1"/>
  <c r="CR947" i="1"/>
  <c r="BE32" i="1"/>
  <c r="CR32" i="1"/>
  <c r="BE6" i="1"/>
  <c r="CR6" i="1"/>
  <c r="BE119" i="1"/>
  <c r="CR119" i="1"/>
  <c r="BE189" i="1"/>
  <c r="CR189" i="1"/>
  <c r="BE428" i="1"/>
  <c r="CR428" i="1"/>
  <c r="BE991" i="1"/>
  <c r="CR991" i="1"/>
  <c r="BE1000" i="1"/>
  <c r="CR1000" i="1"/>
  <c r="BE535" i="1"/>
  <c r="CR535" i="1"/>
  <c r="BE1147" i="1"/>
  <c r="CR1147" i="1"/>
  <c r="BE279" i="1"/>
  <c r="CR279" i="1"/>
  <c r="BE951" i="1"/>
  <c r="CR951" i="1"/>
  <c r="BE558" i="1"/>
  <c r="CR558" i="1"/>
  <c r="BE12" i="1"/>
  <c r="CR12" i="1"/>
  <c r="BE34" i="1"/>
  <c r="CR34" i="1"/>
  <c r="BE36" i="1"/>
  <c r="CR36" i="1"/>
  <c r="BE19" i="1"/>
  <c r="CR19" i="1"/>
  <c r="BE918" i="1"/>
  <c r="CR918" i="1"/>
  <c r="BE82" i="1"/>
  <c r="CR82" i="1"/>
  <c r="BE963" i="1"/>
  <c r="CR963" i="1"/>
  <c r="BE878" i="1"/>
  <c r="CR878" i="1"/>
  <c r="BE1029" i="1"/>
  <c r="CR1029" i="1"/>
  <c r="BE827" i="1"/>
  <c r="CR827" i="1"/>
  <c r="BE444" i="1"/>
  <c r="CR444" i="1"/>
  <c r="BE250" i="1"/>
  <c r="CR250" i="1"/>
  <c r="BE394" i="1"/>
  <c r="CR394" i="1"/>
  <c r="BE832" i="1"/>
  <c r="CR832" i="1"/>
  <c r="BE429" i="1"/>
  <c r="CR429" i="1"/>
  <c r="BE1004" i="1"/>
  <c r="CR1004" i="1"/>
  <c r="BE313" i="1"/>
  <c r="CR313" i="1"/>
  <c r="BE112" i="1"/>
  <c r="CR112" i="1"/>
  <c r="BE67" i="1"/>
  <c r="CR67" i="1"/>
  <c r="BE1001" i="1"/>
  <c r="CR1001" i="1"/>
  <c r="BE385" i="1"/>
  <c r="CR385" i="1"/>
  <c r="BE533" i="1"/>
  <c r="CR533" i="1"/>
  <c r="BE178" i="1"/>
  <c r="CR178" i="1"/>
  <c r="BE104" i="1"/>
  <c r="CR104" i="1"/>
  <c r="BE48" i="1"/>
  <c r="CR48" i="1"/>
  <c r="BE44" i="1"/>
  <c r="CR44" i="1"/>
  <c r="BE824" i="1"/>
  <c r="CR824" i="1"/>
  <c r="BE152" i="1"/>
  <c r="CR152" i="1"/>
  <c r="BE277" i="1"/>
  <c r="CR277" i="1"/>
  <c r="BE555" i="1"/>
  <c r="CR555" i="1"/>
  <c r="BE173" i="1"/>
  <c r="CR173" i="1"/>
  <c r="BE7" i="1"/>
  <c r="CR7" i="1"/>
  <c r="BE916" i="1"/>
  <c r="CR916" i="1"/>
  <c r="BE83" i="1"/>
  <c r="CR83" i="1"/>
  <c r="BE964" i="1"/>
  <c r="CR964" i="1"/>
  <c r="BE943" i="1"/>
  <c r="CR943" i="1"/>
  <c r="BE1030" i="1"/>
  <c r="CR1030" i="1"/>
  <c r="BE117" i="1"/>
  <c r="CR117" i="1"/>
  <c r="BE445" i="1"/>
  <c r="CR445" i="1"/>
  <c r="BE297" i="1"/>
  <c r="CR297" i="1"/>
  <c r="BE960" i="1"/>
  <c r="CR960" i="1"/>
  <c r="BE311" i="1"/>
  <c r="CR311" i="1"/>
  <c r="BE990" i="1"/>
  <c r="CR990" i="1"/>
  <c r="BE66" i="1"/>
  <c r="CR66" i="1"/>
  <c r="BE1002" i="1"/>
  <c r="CR1002" i="1"/>
  <c r="BE247" i="1"/>
  <c r="CR247" i="1"/>
  <c r="BE532" i="1"/>
  <c r="CR532" i="1"/>
  <c r="BE1146" i="1"/>
  <c r="CR1146" i="1"/>
  <c r="BE51" i="1"/>
  <c r="CR51" i="1"/>
  <c r="BE822" i="1"/>
  <c r="CR822" i="1"/>
  <c r="BE166" i="1"/>
  <c r="CR166" i="1"/>
  <c r="BE390" i="1"/>
  <c r="AD1329" i="1"/>
  <c r="AE1329" i="1" s="1"/>
  <c r="AD1257" i="1"/>
  <c r="AE1257" i="1" s="1"/>
  <c r="BE133" i="1"/>
  <c r="AD1325" i="1"/>
  <c r="AE1325" i="1" s="1"/>
  <c r="BE301" i="1"/>
  <c r="AD1282" i="1"/>
  <c r="AE1282" i="1" s="1"/>
  <c r="AD1296" i="1"/>
  <c r="AE1296" i="1" s="1"/>
  <c r="BE502" i="1"/>
  <c r="AD1335" i="1"/>
  <c r="AE1335" i="1" s="1"/>
  <c r="BE310" i="1"/>
  <c r="AD1318" i="1"/>
  <c r="AE1318" i="1" s="1"/>
  <c r="BE115" i="1"/>
  <c r="AD1331" i="1"/>
  <c r="AE1331" i="1" s="1"/>
  <c r="BE62" i="1"/>
  <c r="AD1214" i="1"/>
  <c r="AE1214" i="1" s="1"/>
  <c r="BE268" i="1"/>
  <c r="AD1319" i="1"/>
  <c r="AE1319" i="1" s="1"/>
  <c r="BE45" i="1"/>
  <c r="AD1254" i="1"/>
  <c r="AE1254" i="1" s="1"/>
  <c r="BE11" i="1"/>
  <c r="BE8" i="1"/>
  <c r="BE174" i="1"/>
  <c r="AD1236" i="1"/>
  <c r="AE1236" i="1" s="1"/>
  <c r="BE175" i="1"/>
  <c r="AD1237" i="1"/>
  <c r="AE1237" i="1" s="1"/>
  <c r="BE145" i="1"/>
  <c r="AD1255" i="1"/>
  <c r="AE1255" i="1" s="1"/>
  <c r="BE249" i="1"/>
  <c r="AD1262" i="1"/>
  <c r="AE1262" i="1" s="1"/>
  <c r="BE170" i="1"/>
  <c r="AD1315" i="1"/>
  <c r="AE1315" i="1" s="1"/>
  <c r="BE393" i="1"/>
  <c r="AD1308" i="1"/>
  <c r="AE1308" i="1" s="1"/>
  <c r="BE430" i="1"/>
  <c r="AD1226" i="1"/>
  <c r="AE1226" i="1" s="1"/>
  <c r="BE387" i="1"/>
  <c r="AD1330" i="1"/>
  <c r="AE1330" i="1" s="1"/>
  <c r="BE180" i="1"/>
  <c r="AD1227" i="1"/>
  <c r="AE1227" i="1" s="1"/>
  <c r="BE40" i="1"/>
  <c r="AD1253" i="1"/>
  <c r="AE1253" i="1" s="1"/>
  <c r="BE169" i="1"/>
  <c r="AD1232" i="1"/>
  <c r="AE1232" i="1" s="1"/>
  <c r="AD1297" i="1"/>
  <c r="AE1297" i="1" s="1"/>
  <c r="BE950" i="1"/>
  <c r="AD1218" i="1"/>
  <c r="AE1218" i="1" s="1"/>
  <c r="BE9" i="1"/>
  <c r="BE942" i="1"/>
  <c r="AD1211" i="1"/>
  <c r="AE1211" i="1" s="1"/>
  <c r="BE386" i="1"/>
  <c r="AD1294" i="1"/>
  <c r="AE1294" i="1" s="1"/>
  <c r="BE488" i="1"/>
  <c r="AD1260" i="1"/>
  <c r="AE1260" i="1" s="1"/>
  <c r="BE111" i="1"/>
  <c r="AD1277" i="1"/>
  <c r="AE1277" i="1" s="1"/>
  <c r="BE503" i="1"/>
  <c r="AD1303" i="1"/>
  <c r="AE1303" i="1" s="1"/>
  <c r="BE946" i="1"/>
  <c r="AD1217" i="1"/>
  <c r="AE1217" i="1" s="1"/>
  <c r="BE504" i="1"/>
  <c r="AD1265" i="1"/>
  <c r="AE1265" i="1" s="1"/>
  <c r="BE10" i="1"/>
  <c r="AD1281" i="1"/>
  <c r="AE1281" i="1" s="1"/>
  <c r="BE292" i="1"/>
  <c r="AD1322" i="1"/>
  <c r="AE1322" i="1" s="1"/>
  <c r="BE392" i="1"/>
  <c r="AD1298" i="1"/>
  <c r="AE1298" i="1" s="1"/>
  <c r="AD158" i="1"/>
  <c r="H159" i="1"/>
  <c r="AD159" i="1" s="1"/>
  <c r="AD1162" i="1"/>
  <c r="H1164" i="1"/>
  <c r="AD1164" i="1" s="1"/>
  <c r="H1163" i="1"/>
  <c r="AD1163" i="1" s="1"/>
  <c r="AD489" i="1"/>
  <c r="H490" i="1"/>
  <c r="AD490" i="1" s="1"/>
  <c r="AD160" i="1"/>
  <c r="H161" i="1"/>
  <c r="AD161" i="1" s="1"/>
  <c r="AD556" i="1"/>
  <c r="H557" i="1"/>
  <c r="AD557" i="1" s="1"/>
  <c r="AD77" i="1"/>
  <c r="H80" i="1"/>
  <c r="AD80" i="1" s="1"/>
  <c r="H81" i="1"/>
  <c r="AD81" i="1" s="1"/>
  <c r="H79" i="1"/>
  <c r="AD79" i="1" s="1"/>
  <c r="H78" i="1"/>
  <c r="AD78" i="1" s="1"/>
  <c r="AD52" i="1"/>
  <c r="H53" i="1"/>
  <c r="AD53" i="1" s="1"/>
  <c r="H58" i="1"/>
  <c r="AD58" i="1" s="1"/>
  <c r="H54" i="1"/>
  <c r="AD54" i="1" s="1"/>
  <c r="H55" i="1"/>
  <c r="AD55" i="1" s="1"/>
  <c r="H56" i="1"/>
  <c r="AD56" i="1" s="1"/>
  <c r="H57" i="1"/>
  <c r="AD57" i="1" s="1"/>
  <c r="AD1143" i="1"/>
  <c r="H1145" i="1"/>
  <c r="AD1145" i="1" s="1"/>
  <c r="H1144" i="1"/>
  <c r="AD1144" i="1" s="1"/>
  <c r="AD20" i="1"/>
  <c r="H22" i="1"/>
  <c r="AD22" i="1" s="1"/>
  <c r="H21" i="1"/>
  <c r="AD21" i="1" s="1"/>
  <c r="AD29" i="1"/>
  <c r="H31" i="1"/>
  <c r="AD31" i="1" s="1"/>
  <c r="H30" i="1"/>
  <c r="AD30" i="1" s="1"/>
  <c r="AD146" i="1"/>
  <c r="H148" i="1"/>
  <c r="AD148" i="1" s="1"/>
  <c r="H147" i="1"/>
  <c r="AD147" i="1" s="1"/>
  <c r="AD185" i="1"/>
  <c r="H186" i="1"/>
  <c r="AD186" i="1" s="1"/>
  <c r="H187" i="1"/>
  <c r="AD187" i="1" s="1"/>
  <c r="H188" i="1"/>
  <c r="AD188" i="1" s="1"/>
  <c r="AD89" i="1"/>
  <c r="H91" i="1"/>
  <c r="AD91" i="1" s="1"/>
  <c r="H92" i="1"/>
  <c r="AD92" i="1" s="1"/>
  <c r="H93" i="1"/>
  <c r="AD93" i="1" s="1"/>
  <c r="H94" i="1"/>
  <c r="AD94" i="1" s="1"/>
  <c r="H90" i="1"/>
  <c r="AD90" i="1" s="1"/>
  <c r="AD95" i="1"/>
  <c r="H98" i="1"/>
  <c r="AD98" i="1" s="1"/>
  <c r="H96" i="1"/>
  <c r="AD96" i="1" s="1"/>
  <c r="H97" i="1"/>
  <c r="AD97" i="1" s="1"/>
  <c r="AD155" i="1"/>
  <c r="H157" i="1"/>
  <c r="AD157" i="1" s="1"/>
  <c r="H156" i="1"/>
  <c r="AD156" i="1" s="1"/>
  <c r="AD1222" i="1" l="1"/>
  <c r="AE1222" i="1" s="1"/>
  <c r="X1342" i="1"/>
  <c r="AN1144" i="1"/>
  <c r="AO1144" i="1"/>
  <c r="AN1145" i="1"/>
  <c r="AO1145" i="1"/>
  <c r="AN1143" i="1"/>
  <c r="AO1143" i="1"/>
  <c r="AN1163" i="1"/>
  <c r="AO1163" i="1"/>
  <c r="AN1162" i="1"/>
  <c r="AO1162" i="1"/>
  <c r="AN1164" i="1"/>
  <c r="AO1164" i="1"/>
  <c r="BB30" i="1"/>
  <c r="BC30" i="1"/>
  <c r="BA30" i="1"/>
  <c r="AO30" i="1"/>
  <c r="AN30" i="1"/>
  <c r="BB78" i="1"/>
  <c r="BC78" i="1"/>
  <c r="BA78" i="1"/>
  <c r="AO78" i="1"/>
  <c r="AN78" i="1"/>
  <c r="BB160" i="1"/>
  <c r="BC160" i="1"/>
  <c r="AN160" i="1"/>
  <c r="AO160" i="1"/>
  <c r="BA160" i="1"/>
  <c r="BC98" i="1"/>
  <c r="BB98" i="1"/>
  <c r="BA98" i="1"/>
  <c r="AO98" i="1"/>
  <c r="AN98" i="1"/>
  <c r="CR188" i="1"/>
  <c r="BB188" i="1"/>
  <c r="BC188" i="1"/>
  <c r="AN188" i="1"/>
  <c r="AO188" i="1"/>
  <c r="BA188" i="1"/>
  <c r="CR31" i="1"/>
  <c r="BB31" i="1"/>
  <c r="BC31" i="1"/>
  <c r="AO31" i="1"/>
  <c r="AN31" i="1"/>
  <c r="BA31" i="1"/>
  <c r="BB57" i="1"/>
  <c r="BC57" i="1"/>
  <c r="AO57" i="1"/>
  <c r="AN57" i="1"/>
  <c r="BA57" i="1"/>
  <c r="BB79" i="1"/>
  <c r="BC79" i="1"/>
  <c r="AN79" i="1"/>
  <c r="BA79" i="1"/>
  <c r="AO79" i="1"/>
  <c r="BB490" i="1"/>
  <c r="BC490" i="1"/>
  <c r="BA490" i="1"/>
  <c r="AO490" i="1"/>
  <c r="AN490" i="1"/>
  <c r="CR187" i="1"/>
  <c r="BB187" i="1"/>
  <c r="BC187" i="1"/>
  <c r="AO187" i="1"/>
  <c r="AN187" i="1"/>
  <c r="BA187" i="1"/>
  <c r="BB29" i="1"/>
  <c r="BC29" i="1"/>
  <c r="BA29" i="1"/>
  <c r="AN29" i="1"/>
  <c r="AO29" i="1"/>
  <c r="CR56" i="1"/>
  <c r="BB56" i="1"/>
  <c r="BC56" i="1"/>
  <c r="AO56" i="1"/>
  <c r="AN56" i="1"/>
  <c r="BA56" i="1"/>
  <c r="CR81" i="1"/>
  <c r="BB81" i="1"/>
  <c r="BC81" i="1"/>
  <c r="AO81" i="1"/>
  <c r="AN81" i="1"/>
  <c r="BA81" i="1"/>
  <c r="BB489" i="1"/>
  <c r="BC489" i="1"/>
  <c r="AO489" i="1"/>
  <c r="AN489" i="1"/>
  <c r="BA489" i="1"/>
  <c r="BB96" i="1"/>
  <c r="BC96" i="1"/>
  <c r="AO96" i="1"/>
  <c r="AN96" i="1"/>
  <c r="BA96" i="1"/>
  <c r="BB95" i="1"/>
  <c r="BC95" i="1"/>
  <c r="AO95" i="1"/>
  <c r="AN95" i="1"/>
  <c r="BA95" i="1"/>
  <c r="BC90" i="1"/>
  <c r="BB90" i="1"/>
  <c r="AO90" i="1"/>
  <c r="AN90" i="1"/>
  <c r="BA90" i="1"/>
  <c r="BC186" i="1"/>
  <c r="BB186" i="1"/>
  <c r="AO186" i="1"/>
  <c r="AN186" i="1"/>
  <c r="BA186" i="1"/>
  <c r="BB21" i="1"/>
  <c r="BC21" i="1"/>
  <c r="AN21" i="1"/>
  <c r="AO21" i="1"/>
  <c r="BA21" i="1"/>
  <c r="BB55" i="1"/>
  <c r="BC55" i="1"/>
  <c r="AN55" i="1"/>
  <c r="AO55" i="1"/>
  <c r="BA55" i="1"/>
  <c r="BB80" i="1"/>
  <c r="BC80" i="1"/>
  <c r="BA80" i="1"/>
  <c r="AO80" i="1"/>
  <c r="AN80" i="1"/>
  <c r="BB89" i="1"/>
  <c r="BC89" i="1"/>
  <c r="BA89" i="1"/>
  <c r="AO89" i="1"/>
  <c r="AN89" i="1"/>
  <c r="BB156" i="1"/>
  <c r="BC156" i="1"/>
  <c r="AO156" i="1"/>
  <c r="AN156" i="1"/>
  <c r="BA156" i="1"/>
  <c r="CR94" i="1"/>
  <c r="BB94" i="1"/>
  <c r="BC94" i="1"/>
  <c r="AO94" i="1"/>
  <c r="AN94" i="1"/>
  <c r="BA94" i="1"/>
  <c r="BB185" i="1"/>
  <c r="BC185" i="1"/>
  <c r="BA185" i="1"/>
  <c r="AO185" i="1"/>
  <c r="AN185" i="1"/>
  <c r="BB22" i="1"/>
  <c r="BC22" i="1"/>
  <c r="AO22" i="1"/>
  <c r="AN22" i="1"/>
  <c r="BA22" i="1"/>
  <c r="BB54" i="1"/>
  <c r="BC54" i="1"/>
  <c r="BA54" i="1"/>
  <c r="AO54" i="1"/>
  <c r="AN54" i="1"/>
  <c r="BB77" i="1"/>
  <c r="BC77" i="1"/>
  <c r="AO77" i="1"/>
  <c r="AN77" i="1"/>
  <c r="BA77" i="1"/>
  <c r="BB157" i="1"/>
  <c r="BC157" i="1"/>
  <c r="AO157" i="1"/>
  <c r="AN157" i="1"/>
  <c r="BA157" i="1"/>
  <c r="BB93" i="1"/>
  <c r="BC93" i="1"/>
  <c r="AN93" i="1"/>
  <c r="AO93" i="1"/>
  <c r="BA93" i="1"/>
  <c r="BB147" i="1"/>
  <c r="BC147" i="1"/>
  <c r="BA147" i="1"/>
  <c r="AO147" i="1"/>
  <c r="AN147" i="1"/>
  <c r="BB20" i="1"/>
  <c r="BC20" i="1"/>
  <c r="AO20" i="1"/>
  <c r="AN20" i="1"/>
  <c r="BA20" i="1"/>
  <c r="CR58" i="1"/>
  <c r="BC58" i="1"/>
  <c r="BB58" i="1"/>
  <c r="AO58" i="1"/>
  <c r="AN58" i="1"/>
  <c r="BA58" i="1"/>
  <c r="BC557" i="1"/>
  <c r="BB557" i="1"/>
  <c r="AN557" i="1"/>
  <c r="AO557" i="1"/>
  <c r="BA557" i="1"/>
  <c r="CR155" i="1"/>
  <c r="BB155" i="1"/>
  <c r="BC155" i="1"/>
  <c r="BA155" i="1"/>
  <c r="AO155" i="1"/>
  <c r="AN155" i="1"/>
  <c r="BB92" i="1"/>
  <c r="BC92" i="1"/>
  <c r="AO92" i="1"/>
  <c r="AN92" i="1"/>
  <c r="BA92" i="1"/>
  <c r="CR148" i="1"/>
  <c r="BB148" i="1"/>
  <c r="BC148" i="1"/>
  <c r="AO148" i="1"/>
  <c r="AN148" i="1"/>
  <c r="BA148" i="1"/>
  <c r="BB53" i="1"/>
  <c r="BC53" i="1"/>
  <c r="AN53" i="1"/>
  <c r="AO53" i="1"/>
  <c r="BA53" i="1"/>
  <c r="BB556" i="1"/>
  <c r="BC556" i="1"/>
  <c r="BA556" i="1"/>
  <c r="AO556" i="1"/>
  <c r="AN556" i="1"/>
  <c r="CR159" i="1"/>
  <c r="BB159" i="1"/>
  <c r="BC159" i="1"/>
  <c r="AO159" i="1"/>
  <c r="AN159" i="1"/>
  <c r="BA159" i="1"/>
  <c r="BB97" i="1"/>
  <c r="BC97" i="1"/>
  <c r="AO97" i="1"/>
  <c r="AN97" i="1"/>
  <c r="BA97" i="1"/>
  <c r="BB91" i="1"/>
  <c r="BC91" i="1"/>
  <c r="AO91" i="1"/>
  <c r="AN91" i="1"/>
  <c r="BA91" i="1"/>
  <c r="BC146" i="1"/>
  <c r="BB146" i="1"/>
  <c r="AN146" i="1"/>
  <c r="AO146" i="1"/>
  <c r="BA146" i="1"/>
  <c r="BB52" i="1"/>
  <c r="BC52" i="1"/>
  <c r="BA52" i="1"/>
  <c r="AO52" i="1"/>
  <c r="AN52" i="1"/>
  <c r="BB161" i="1"/>
  <c r="BC161" i="1"/>
  <c r="BA161" i="1"/>
  <c r="AN161" i="1"/>
  <c r="AO161" i="1"/>
  <c r="BB158" i="1"/>
  <c r="BC158" i="1"/>
  <c r="AO158" i="1"/>
  <c r="AN158" i="1"/>
  <c r="BA158" i="1"/>
  <c r="AD1356" i="1"/>
  <c r="AE1356" i="1" s="1"/>
  <c r="AD1367" i="1"/>
  <c r="AE1367" i="1" s="1"/>
  <c r="AD1345" i="1"/>
  <c r="AE1345" i="1" s="1"/>
  <c r="AD1346" i="1"/>
  <c r="AE1346" i="1" s="1"/>
  <c r="BE157" i="1"/>
  <c r="CR157" i="1"/>
  <c r="BE93" i="1"/>
  <c r="CR93" i="1"/>
  <c r="BE147" i="1"/>
  <c r="CR147" i="1"/>
  <c r="BE20" i="1"/>
  <c r="CR20" i="1"/>
  <c r="BE557" i="1"/>
  <c r="CR557" i="1"/>
  <c r="BE1162" i="1"/>
  <c r="CR1162" i="1"/>
  <c r="BE92" i="1"/>
  <c r="CR92" i="1"/>
  <c r="BE1144" i="1"/>
  <c r="CR1144" i="1"/>
  <c r="BE53" i="1"/>
  <c r="AD1365" i="1" s="1"/>
  <c r="AE1365" i="1" s="1"/>
  <c r="CR53" i="1"/>
  <c r="BE556" i="1"/>
  <c r="CR556" i="1"/>
  <c r="BE97" i="1"/>
  <c r="CR97" i="1"/>
  <c r="BE91" i="1"/>
  <c r="CR91" i="1"/>
  <c r="BE146" i="1"/>
  <c r="CR146" i="1"/>
  <c r="BE1145" i="1"/>
  <c r="CR1145" i="1"/>
  <c r="BE52" i="1"/>
  <c r="CR52" i="1"/>
  <c r="BE161" i="1"/>
  <c r="CR161" i="1"/>
  <c r="BE158" i="1"/>
  <c r="CR158" i="1"/>
  <c r="BE156" i="1"/>
  <c r="CR156" i="1"/>
  <c r="BE185" i="1"/>
  <c r="CR185" i="1"/>
  <c r="BE22" i="1"/>
  <c r="CR22" i="1"/>
  <c r="BE54" i="1"/>
  <c r="CR54" i="1"/>
  <c r="BE77" i="1"/>
  <c r="CR77" i="1"/>
  <c r="BE1164" i="1"/>
  <c r="CR1164" i="1"/>
  <c r="BE96" i="1"/>
  <c r="CR96" i="1"/>
  <c r="BE89" i="1"/>
  <c r="CR89" i="1"/>
  <c r="BE30" i="1"/>
  <c r="CR30" i="1"/>
  <c r="BE1143" i="1"/>
  <c r="CR1143" i="1"/>
  <c r="BE78" i="1"/>
  <c r="CR78" i="1"/>
  <c r="BE160" i="1"/>
  <c r="CR160" i="1"/>
  <c r="BE98" i="1"/>
  <c r="CR98" i="1"/>
  <c r="BE57" i="1"/>
  <c r="CR57" i="1"/>
  <c r="BE79" i="1"/>
  <c r="CR79" i="1"/>
  <c r="BE490" i="1"/>
  <c r="CR490" i="1"/>
  <c r="BE95" i="1"/>
  <c r="CR95" i="1"/>
  <c r="BE29" i="1"/>
  <c r="CR29" i="1"/>
  <c r="BE489" i="1"/>
  <c r="CR489" i="1"/>
  <c r="BE90" i="1"/>
  <c r="CR90" i="1"/>
  <c r="BE186" i="1"/>
  <c r="CR186" i="1"/>
  <c r="BE21" i="1"/>
  <c r="CR21" i="1"/>
  <c r="BE55" i="1"/>
  <c r="CR55" i="1"/>
  <c r="BE80" i="1"/>
  <c r="CR80" i="1"/>
  <c r="BE1163" i="1"/>
  <c r="CR1163" i="1"/>
  <c r="AD1291" i="1"/>
  <c r="AE1291" i="1" s="1"/>
  <c r="AD1267" i="1"/>
  <c r="AE1267" i="1" s="1"/>
  <c r="BE187" i="1"/>
  <c r="AD1316" i="1"/>
  <c r="AE1316" i="1" s="1"/>
  <c r="BE56" i="1"/>
  <c r="AD1292" i="1"/>
  <c r="AE1292" i="1" s="1"/>
  <c r="BE81" i="1"/>
  <c r="AD1259" i="1"/>
  <c r="AE1259" i="1" s="1"/>
  <c r="BE31" i="1"/>
  <c r="AD1328" i="1"/>
  <c r="AE1328" i="1" s="1"/>
  <c r="BE94" i="1"/>
  <c r="AD1210" i="1"/>
  <c r="AE1210" i="1" s="1"/>
  <c r="AD1261" i="1"/>
  <c r="AE1261" i="1" s="1"/>
  <c r="BE188" i="1"/>
  <c r="AD1317" i="1"/>
  <c r="AE1317" i="1" s="1"/>
  <c r="BE155" i="1"/>
  <c r="AD1293" i="1"/>
  <c r="AE1293" i="1" s="1"/>
  <c r="BE148" i="1"/>
  <c r="AD1258" i="1"/>
  <c r="AE1258" i="1" s="1"/>
  <c r="BE159" i="1"/>
  <c r="BE58" i="1"/>
  <c r="AD1287" i="1"/>
  <c r="AE1287" i="1" s="1"/>
  <c r="X1343" i="1" l="1"/>
  <c r="X1344" i="1" s="1"/>
  <c r="X1345" i="1" s="1"/>
  <c r="X1346" i="1" s="1"/>
  <c r="X1347" i="1" s="1"/>
  <c r="X1348" i="1" s="1"/>
  <c r="X1349" i="1" s="1"/>
  <c r="X1350" i="1" s="1"/>
  <c r="X1351" i="1" s="1"/>
  <c r="X1352" i="1" s="1"/>
  <c r="X1353" i="1" s="1"/>
  <c r="X1354" i="1" s="1"/>
  <c r="X1355" i="1" s="1"/>
  <c r="X1356" i="1" s="1"/>
  <c r="X1357" i="1" s="1"/>
  <c r="X1358" i="1" s="1"/>
  <c r="X1359" i="1" s="1"/>
  <c r="X1360" i="1" s="1"/>
  <c r="X1361" i="1" s="1"/>
  <c r="X1362" i="1" s="1"/>
  <c r="X1363" i="1" s="1"/>
  <c r="X1364" i="1" s="1"/>
  <c r="X1365" i="1" s="1"/>
  <c r="X1366" i="1" s="1"/>
  <c r="X1367" i="1" s="1"/>
  <c r="X1368" i="1" s="1"/>
  <c r="X1369" i="1" s="1"/>
  <c r="X1370" i="1" s="1"/>
  <c r="X1371" i="1" s="1"/>
  <c r="X1372" i="1" s="1"/>
  <c r="X1373" i="1" s="1"/>
  <c r="X1374" i="1" s="1"/>
  <c r="X1375" i="1" s="1"/>
  <c r="X1376" i="1" s="1"/>
  <c r="X1377" i="1" s="1"/>
  <c r="X1378" i="1" s="1"/>
  <c r="AO1208" i="1"/>
  <c r="BB1208" i="1"/>
  <c r="BA1208" i="1"/>
  <c r="AN1208" i="1"/>
  <c r="AD1378" i="1"/>
  <c r="AE1378" i="1" s="1"/>
  <c r="BC1208" i="1"/>
  <c r="AD1375" i="1"/>
  <c r="AE1375" i="1" s="1"/>
  <c r="AD1376" i="1"/>
  <c r="AE1376" i="1" s="1"/>
  <c r="AD1377" i="1"/>
  <c r="AE1377" i="1" s="1"/>
  <c r="AD1374" i="1"/>
  <c r="AE1374" i="1" s="1"/>
  <c r="BE1207" i="1"/>
  <c r="AD1363" i="1"/>
  <c r="AE1363" i="1" s="1"/>
  <c r="AD1360" i="1"/>
  <c r="AE1360" i="1" s="1"/>
  <c r="AD1357" i="1"/>
  <c r="AE1357" i="1" s="1"/>
  <c r="AD1347" i="1"/>
  <c r="AE1347" i="1" s="1"/>
  <c r="CR120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tc={0F55B0C5-8B5D-4720-9270-8D768201771F}</author>
  </authors>
  <commentList>
    <comment ref="AD655" authorId="0" shapeId="0" xr:uid="{0F55B0C5-8B5D-4720-9270-8D768201771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POR SER APENAS UM GABARITO A SER FEITO , CONSIDERADO CONSUMO 0,05
</t>
      </text>
    </comment>
  </commentList>
</comments>
</file>

<file path=xl/sharedStrings.xml><?xml version="1.0" encoding="utf-8"?>
<sst xmlns="http://schemas.openxmlformats.org/spreadsheetml/2006/main" count="23401" uniqueCount="2587">
  <si>
    <t>Level</t>
  </si>
  <si>
    <t>Parent</t>
  </si>
  <si>
    <t>Item Id</t>
  </si>
  <si>
    <t>Busca Código</t>
  </si>
  <si>
    <t>Unidade</t>
  </si>
  <si>
    <t>contase</t>
  </si>
  <si>
    <t>Quantity</t>
  </si>
  <si>
    <t>Quantity total</t>
  </si>
  <si>
    <t>Find No.</t>
  </si>
  <si>
    <t>Item Name</t>
  </si>
  <si>
    <t>Unit Of Measure</t>
  </si>
  <si>
    <t>Revision</t>
  </si>
  <si>
    <t>Escopo</t>
  </si>
  <si>
    <t>Código Metalfisa</t>
  </si>
  <si>
    <t>desenhos 2D</t>
  </si>
  <si>
    <t>DESENHOS 3D</t>
  </si>
  <si>
    <t>Código Matéria-Prima</t>
  </si>
  <si>
    <t>comprimento (")</t>
  </si>
  <si>
    <t>largura(")</t>
  </si>
  <si>
    <t>largura (")2</t>
  </si>
  <si>
    <t>espessura(")</t>
  </si>
  <si>
    <t>comprimento (mm)</t>
  </si>
  <si>
    <t>largura(mm)</t>
  </si>
  <si>
    <t>largura (mm)2</t>
  </si>
  <si>
    <t>espessura(mm)</t>
  </si>
  <si>
    <t>Material</t>
  </si>
  <si>
    <t>Mat-1</t>
  </si>
  <si>
    <t>Descrição Material</t>
  </si>
  <si>
    <t>Quantity total2</t>
  </si>
  <si>
    <t>OBSERVAÇÃO</t>
  </si>
  <si>
    <t>17KG555A9/AA-AUX/INVERTER ASSEMBLY x 1</t>
  </si>
  <si>
    <t>84D711500BSG1</t>
  </si>
  <si>
    <t>CJ</t>
  </si>
  <si>
    <t>CASE WELDMENT</t>
  </si>
  <si>
    <t>each</t>
  </si>
  <si>
    <t>METALFISA</t>
  </si>
  <si>
    <t>MT6-7289
MT3-13019</t>
  </si>
  <si>
    <t>84D711500BSG1/0-CASE WELDMENT x 1</t>
  </si>
  <si>
    <t>84D739561ALG1</t>
  </si>
  <si>
    <t xml:space="preserve">INVERTER ASM WELDMENT	</t>
  </si>
  <si>
    <t>MT3-13020</t>
  </si>
  <si>
    <t>OK</t>
  </si>
  <si>
    <t>84D739561ALG1/0-INVERTER ASM WELDMENT	 x 1</t>
  </si>
  <si>
    <t>84D730784CMG1</t>
  </si>
  <si>
    <t>AUX CAB BULKHEAD</t>
  </si>
  <si>
    <t>MT3-13021</t>
  </si>
  <si>
    <t>84D730784CMG1/0-AUX CAB BULKHEAD x 1</t>
  </si>
  <si>
    <t>84D709833AXG1</t>
  </si>
  <si>
    <t>BULKHEAD ASM</t>
  </si>
  <si>
    <t>MT3-13136</t>
  </si>
  <si>
    <t>84D709833AXG1/0-BULKHEAD ASM x 1</t>
  </si>
  <si>
    <t>84D709833AXP1</t>
  </si>
  <si>
    <t>PC</t>
  </si>
  <si>
    <t>BULKHEAD SHEET</t>
  </si>
  <si>
    <t>MT4-28503</t>
  </si>
  <si>
    <t>MTC-0504</t>
  </si>
  <si>
    <t>B8A3A</t>
  </si>
  <si>
    <t>AÇO DO</t>
  </si>
  <si>
    <t xml:space="preserve">CH ACO 1006/1008 FQ(3.00MM)DO-1500X3000 </t>
  </si>
  <si>
    <t>N234P25A</t>
  </si>
  <si>
    <t>WELD NUT .38-16</t>
  </si>
  <si>
    <t>MTA-1228</t>
  </si>
  <si>
    <t>PORCA SEXT #3/8-16UNC GE COBREADA</t>
  </si>
  <si>
    <t>N22P25032B13</t>
  </si>
  <si>
    <t>BOLT 3/8-16 X 2</t>
  </si>
  <si>
    <t>MTA-2584</t>
  </si>
  <si>
    <t xml:space="preserve">PARAF. SEXT. 3/8"-16UNC X 2"  ZB COD:N22P25032B13 GRAU 5  </t>
  </si>
  <si>
    <t>N22P25020B13</t>
  </si>
  <si>
    <t>BOLT .38-16 X 1.25</t>
  </si>
  <si>
    <t>MTA-2253</t>
  </si>
  <si>
    <t xml:space="preserve">PARAF. SEXT. 3/8"-16UNC X 1 1/4"  ZB COD:N22P25020B13 GRAU 5 </t>
  </si>
  <si>
    <t>N234P23A</t>
  </si>
  <si>
    <t>NUT, WELD 5/16-18</t>
  </si>
  <si>
    <t>MTA-1496</t>
  </si>
  <si>
    <t>PORCA SEXT #5/16-18UNC GE N234P23A</t>
  </si>
  <si>
    <t>41B519092P27</t>
  </si>
  <si>
    <t>TAPE RAIL</t>
  </si>
  <si>
    <t>BD</t>
  </si>
  <si>
    <t>MT4-25399</t>
  </si>
  <si>
    <t>MTB-0168</t>
  </si>
  <si>
    <t>B4A2C</t>
  </si>
  <si>
    <t>AÇO TREF</t>
  </si>
  <si>
    <t>BARRA RED ACO 1020 TREF - 5/16"06MTS</t>
  </si>
  <si>
    <t>41B519092P46</t>
  </si>
  <si>
    <t>MT4-25397</t>
  </si>
  <si>
    <t>MTB-0057</t>
  </si>
  <si>
    <t>BARRA RED ACO 1020 TREF - 3/8"06MTS</t>
  </si>
  <si>
    <t>41A265997P41</t>
  </si>
  <si>
    <t>TAPE RAIL 13.0X1.0X.312D</t>
  </si>
  <si>
    <t>F</t>
  </si>
  <si>
    <t>MT4-17681</t>
  </si>
  <si>
    <t>41A265997P65</t>
  </si>
  <si>
    <t>TAPE RAIL 19.0X1.0X.312D</t>
  </si>
  <si>
    <t>MT4-17951</t>
  </si>
  <si>
    <t>41B519092P3</t>
  </si>
  <si>
    <t>MT4-11551</t>
  </si>
  <si>
    <t>41A267004P48</t>
  </si>
  <si>
    <t>TAPE RAIL 8 X 10</t>
  </si>
  <si>
    <t>AW</t>
  </si>
  <si>
    <t>MT4-28384</t>
  </si>
  <si>
    <t>84A215208ABP1</t>
  </si>
  <si>
    <t>BLOCK METRIC MAT'L.</t>
  </si>
  <si>
    <t>MT4-28504</t>
  </si>
  <si>
    <t>MTC-1122</t>
  </si>
  <si>
    <t>CH ACO 1008/1015 FQ(6.35MM) DO - 1200X3000</t>
  </si>
  <si>
    <t>41B519092P5</t>
  </si>
  <si>
    <t>MT4-11554</t>
  </si>
  <si>
    <t>APROVADO USAR CHAPA # 2,25 MM CONFORME EMAIL DE 22/08/2024 ENVIADO POR ERNANE</t>
  </si>
  <si>
    <t>84B521690AMG1</t>
  </si>
  <si>
    <t>BRACKET ASM METRIC MAT'L.</t>
  </si>
  <si>
    <t>A</t>
  </si>
  <si>
    <t>MT3-13137</t>
  </si>
  <si>
    <t>84B521690AMG1/0-BRACKET ASM METRIC MAT'L. x 1</t>
  </si>
  <si>
    <t>84B521690AMP1</t>
  </si>
  <si>
    <t>BRACKET METRIC MAT'L.</t>
  </si>
  <si>
    <t>MT4-28505</t>
  </si>
  <si>
    <t>MTC-0124</t>
  </si>
  <si>
    <t>CH ACO 1006/1008 FQ(3.00MM)DO-1200X3000</t>
  </si>
  <si>
    <t>84B547906ABP1</t>
  </si>
  <si>
    <t>ANGLE METRIC MAT'L.</t>
  </si>
  <si>
    <t>MT4-28506</t>
  </si>
  <si>
    <t>84D730770ADP1</t>
  </si>
  <si>
    <t>STIFFENER METRIC MAT'L.</t>
  </si>
  <si>
    <t>MT4-28507</t>
  </si>
  <si>
    <t>MTC-0648</t>
  </si>
  <si>
    <t>CH ACO 1006/1008 FQ(2.25MM)DO-1200X3000</t>
  </si>
  <si>
    <t>84B539402ANP1</t>
  </si>
  <si>
    <t>CHANNEL, FAB METRIC MAT'L.</t>
  </si>
  <si>
    <t>MT4-28508</t>
  </si>
  <si>
    <t>84B539402ARP1</t>
  </si>
  <si>
    <t>CHANNEL METRIC MAT'L.</t>
  </si>
  <si>
    <t>MT4-28509</t>
  </si>
  <si>
    <t>84B539402ASP1</t>
  </si>
  <si>
    <t>MT4-28510</t>
  </si>
  <si>
    <t>84B539402AUP1</t>
  </si>
  <si>
    <t>MT4-28511</t>
  </si>
  <si>
    <t>84B539402AVP1</t>
  </si>
  <si>
    <t>CHANNEL METRIC / MAT'L.</t>
  </si>
  <si>
    <t>MT4-28512</t>
  </si>
  <si>
    <t>84B530293ABG1</t>
  </si>
  <si>
    <t>MT3-13138</t>
  </si>
  <si>
    <t>84B530293ABG1/0-BRACKET ASM METRIC MAT'L. x 1</t>
  </si>
  <si>
    <t>84B530293ABP1</t>
  </si>
  <si>
    <t>USAR MT3-13138</t>
  </si>
  <si>
    <t>N22P23020B13</t>
  </si>
  <si>
    <t>BOLT .312-18 X 1.25</t>
  </si>
  <si>
    <t>MTA-3569</t>
  </si>
  <si>
    <t xml:space="preserve">PARAF.SEXT 5/16 18UNC 1.1/4  N22P23020B13 </t>
  </si>
  <si>
    <t>84C604023ABP1</t>
  </si>
  <si>
    <t>BAFFLE SUPPORT</t>
  </si>
  <si>
    <t>MT4-28513</t>
  </si>
  <si>
    <t>84A215000P1</t>
  </si>
  <si>
    <t>SUPPORT</t>
  </si>
  <si>
    <t>MT4-28514</t>
  </si>
  <si>
    <t>84B539402ACP1</t>
  </si>
  <si>
    <t>CHANNEL</t>
  </si>
  <si>
    <t>MT4-28515</t>
  </si>
  <si>
    <t>84C622327AEP1</t>
  </si>
  <si>
    <t>DUCT, AIR METRIC MAT'L.</t>
  </si>
  <si>
    <t>MT4-28516</t>
  </si>
  <si>
    <t>84B539402ABP1</t>
  </si>
  <si>
    <t>CHANNEL .75X.1X.75X18.5</t>
  </si>
  <si>
    <t>MT4-28517</t>
  </si>
  <si>
    <t>84D709853AXG1</t>
  </si>
  <si>
    <t>MT3-13139</t>
  </si>
  <si>
    <t>84D709853AXG1/0-BULKHEAD ASM x 1</t>
  </si>
  <si>
    <t>84C604023ABP2</t>
  </si>
  <si>
    <t>MT4-28518</t>
  </si>
  <si>
    <t>155B9001AAP19</t>
  </si>
  <si>
    <t>PIPE .25 X 2.38</t>
  </si>
  <si>
    <t>G</t>
  </si>
  <si>
    <t>MPT-2833</t>
  </si>
  <si>
    <t>B50E199B</t>
  </si>
  <si>
    <t>AÇO 1020</t>
  </si>
  <si>
    <t>PIPE</t>
  </si>
  <si>
    <t>84B539402AGP1</t>
  </si>
  <si>
    <t>MT4-28519</t>
  </si>
  <si>
    <t>84B521618ADP1</t>
  </si>
  <si>
    <t>MT4-28520</t>
  </si>
  <si>
    <t>156B1280BCP6</t>
  </si>
  <si>
    <t>TUBE</t>
  </si>
  <si>
    <t>MPT-2834</t>
  </si>
  <si>
    <t>B4A51B</t>
  </si>
  <si>
    <t>AÇO 1015</t>
  </si>
  <si>
    <t>84B539402AHP1</t>
  </si>
  <si>
    <t>MT4-28521</t>
  </si>
  <si>
    <t>41B519092P29</t>
  </si>
  <si>
    <t>MT4-18119</t>
  </si>
  <si>
    <t>41B519092P7</t>
  </si>
  <si>
    <t>MT4-11549</t>
  </si>
  <si>
    <t>41B519092P64</t>
  </si>
  <si>
    <t>MT4-28522</t>
  </si>
  <si>
    <t>84D719320ADP1</t>
  </si>
  <si>
    <t>DOUBLER PLATE METTRIC MAT'L.</t>
  </si>
  <si>
    <t>B</t>
  </si>
  <si>
    <t>MT4-28523</t>
  </si>
  <si>
    <t>MTC-0870</t>
  </si>
  <si>
    <t>CH ACO ASTM-A572 GRAU 50 (3.00MM) DO - 1200X3000</t>
  </si>
  <si>
    <t>84D709853AXG2</t>
  </si>
  <si>
    <t>MT3-13140</t>
  </si>
  <si>
    <t>84D709853AXG2/0-BULKHEAD ASM x 1</t>
  </si>
  <si>
    <t>84D709853AXP1</t>
  </si>
  <si>
    <t>USAR MT3-13140</t>
  </si>
  <si>
    <t>N22P25024B13</t>
  </si>
  <si>
    <t>BOLT .38-16 X 1.50</t>
  </si>
  <si>
    <t>MTA-2854</t>
  </si>
  <si>
    <t xml:space="preserve">PARAFUSO SEXT. 3/8 X 1.1/2 GRAU 5  </t>
  </si>
  <si>
    <t>N22P21014B13</t>
  </si>
  <si>
    <t>BOLT .25-20 X .875</t>
  </si>
  <si>
    <t>MTA-2380</t>
  </si>
  <si>
    <t>PARAFUSO SEXTAVADO 1/4"-20 X 0,875" UNC</t>
  </si>
  <si>
    <t>84D709854AEP1</t>
  </si>
  <si>
    <t>DUCT, SHEET METRIC MAT'L.</t>
  </si>
  <si>
    <t>MT4-28524</t>
  </si>
  <si>
    <t>84C622328ABG1</t>
  </si>
  <si>
    <t>SHEET, ASM METRIC MAT'L.</t>
  </si>
  <si>
    <t>MT3-13141</t>
  </si>
  <si>
    <t>84C622328ABG1/0-SHEET, ASM METRIC MAT'L. x 1</t>
  </si>
  <si>
    <t>84C622328ABP1</t>
  </si>
  <si>
    <t>SHEET METRIC MAT'L.</t>
  </si>
  <si>
    <t>MT4-28525</t>
  </si>
  <si>
    <t>8825357P5</t>
  </si>
  <si>
    <t>HALF CPLG 3/4 HALF COUP</t>
  </si>
  <si>
    <t>D</t>
  </si>
  <si>
    <t>MMP-0263</t>
  </si>
  <si>
    <t>MEIA LUVA DN NPT 3/4" ROSCA  ACO CARBONO  8825357P5</t>
  </si>
  <si>
    <t>41A265997P25</t>
  </si>
  <si>
    <t>TAPE RAIL 9.0X1.0X.312D</t>
  </si>
  <si>
    <t>MT4-16694</t>
  </si>
  <si>
    <t>41A265997P33</t>
  </si>
  <si>
    <t>TAPE RAIL 11.0X1.0X.312D</t>
  </si>
  <si>
    <t>MT4-16604</t>
  </si>
  <si>
    <t>41B519092P32</t>
  </si>
  <si>
    <t>MT4-25373</t>
  </si>
  <si>
    <t>41A265997P73</t>
  </si>
  <si>
    <t>TAPE RAIL 21.0X1.0X.312D</t>
  </si>
  <si>
    <t>E</t>
  </si>
  <si>
    <t>MT4-23382</t>
  </si>
  <si>
    <t>84B521617ACP1</t>
  </si>
  <si>
    <t>MT4-28526</t>
  </si>
  <si>
    <t>156B6252AKP229</t>
  </si>
  <si>
    <t>STRIP METRIC MAT'L.</t>
  </si>
  <si>
    <t>MT4-28527</t>
  </si>
  <si>
    <t>156B1002ADP158</t>
  </si>
  <si>
    <t>ROD</t>
  </si>
  <si>
    <t>MT4-28528</t>
  </si>
  <si>
    <t>84A221356AFP1</t>
  </si>
  <si>
    <t>GUSSET</t>
  </si>
  <si>
    <t>MT4-28529</t>
  </si>
  <si>
    <t>MTC-0585</t>
  </si>
  <si>
    <t>B50E124A3</t>
  </si>
  <si>
    <t>ASTM A572 G50</t>
  </si>
  <si>
    <t>CH ACO ASTM-A572 GRAU 50 (4.75MM) DO - 1200X3000</t>
  </si>
  <si>
    <t>84B521619ACP1</t>
  </si>
  <si>
    <t>MT4-28530</t>
  </si>
  <si>
    <t>156B6252AKP50</t>
  </si>
  <si>
    <t>MT4-28531</t>
  </si>
  <si>
    <t>41A265996P73</t>
  </si>
  <si>
    <t>TAPE RAIL 2 X 21 X .312D</t>
  </si>
  <si>
    <t>C</t>
  </si>
  <si>
    <t>MT4-25214</t>
  </si>
  <si>
    <t>84D711423ANG1</t>
  </si>
  <si>
    <t>CONTROL GR WLD</t>
  </si>
  <si>
    <t>MT3-13022</t>
  </si>
  <si>
    <t>84D711423ANG1/0-CONTROL GR WLD x 1</t>
  </si>
  <si>
    <t>84D709848ADG1</t>
  </si>
  <si>
    <t>BULKHEAD WLD</t>
  </si>
  <si>
    <t>MT3-13142</t>
  </si>
  <si>
    <t>84D709848ADG1/0-BULKHEAD WLD x 1</t>
  </si>
  <si>
    <t>84D708192AHG1</t>
  </si>
  <si>
    <t>BULKHEAD INVERTOR</t>
  </si>
  <si>
    <t>MT3-13143</t>
  </si>
  <si>
    <t>84D708192AHG1/0-BULKHEAD INVERTOR x 1</t>
  </si>
  <si>
    <t>84D708202AGP1</t>
  </si>
  <si>
    <t>BULKHEAD METRIC MAT'L.</t>
  </si>
  <si>
    <t>MT4-28532</t>
  </si>
  <si>
    <t>84B515425AKP1</t>
  </si>
  <si>
    <t>CHANNEL METRIC-MAT'L.</t>
  </si>
  <si>
    <t>MT4-28533</t>
  </si>
  <si>
    <t>N234P29A</t>
  </si>
  <si>
    <t>.50-13 WELD NUT</t>
  </si>
  <si>
    <t>MTA-1171</t>
  </si>
  <si>
    <t>PORCA SEXT #1/2-13UNC GE ACOBREADO</t>
  </si>
  <si>
    <t>84C622337ABP1</t>
  </si>
  <si>
    <t>BULKHEAD METRIC-MAT'L.</t>
  </si>
  <si>
    <t>MT4-28534</t>
  </si>
  <si>
    <t>84D709840ABP1</t>
  </si>
  <si>
    <t>ANGLE METRIC-MAT'L.</t>
  </si>
  <si>
    <t>MT4-28535</t>
  </si>
  <si>
    <t>84D709836ABP1</t>
  </si>
  <si>
    <t>DUCT METRIC-MAT'L.</t>
  </si>
  <si>
    <t>MT4-28538</t>
  </si>
  <si>
    <t>84D709837ABP1</t>
  </si>
  <si>
    <t>MT4-28539</t>
  </si>
  <si>
    <t>84D709838ABP1</t>
  </si>
  <si>
    <t>MT4-28540</t>
  </si>
  <si>
    <t>84D709839ABP1</t>
  </si>
  <si>
    <t>MT4-28541</t>
  </si>
  <si>
    <t>84D709848AEG1</t>
  </si>
  <si>
    <t>BULKHEAD WLD INVERTOR</t>
  </si>
  <si>
    <t>MT3-13145</t>
  </si>
  <si>
    <t>84D709848AEG1/0-BULKHEAD WLD INVERTOR x 1</t>
  </si>
  <si>
    <t>84D708192AHG2</t>
  </si>
  <si>
    <t>MT3-13146</t>
  </si>
  <si>
    <t>84D708192AHG2/0-BULKHEAD INVERTOR x 1</t>
  </si>
  <si>
    <t>84D708202AKP1</t>
  </si>
  <si>
    <t>MT4-28537</t>
  </si>
  <si>
    <t>8825357P2</t>
  </si>
  <si>
    <t>HALF CPLG 1/4 NPT</t>
  </si>
  <si>
    <t>MMP-0191</t>
  </si>
  <si>
    <t xml:space="preserve">MEIA LUVA DN NPT 1/4" ROSCA  AÇO CARBONO </t>
  </si>
  <si>
    <t>84C620024ACG1</t>
  </si>
  <si>
    <t>DUCT ASM METRIC-MAT'L.</t>
  </si>
  <si>
    <t>MT3-13147</t>
  </si>
  <si>
    <t>84C620024ACG1/0-DUCT ASM METRIC-MAT'L. x 6</t>
  </si>
  <si>
    <t>84B515450ACP1</t>
  </si>
  <si>
    <t>SHEET METRIC-MAT'L.</t>
  </si>
  <si>
    <t>MT4-28542</t>
  </si>
  <si>
    <t>84B515451ACP1</t>
  </si>
  <si>
    <t>VANE METRIC-MAT'L.</t>
  </si>
  <si>
    <t>MT4-28543</t>
  </si>
  <si>
    <t>84B515452ACP1</t>
  </si>
  <si>
    <t>MT4-28544</t>
  </si>
  <si>
    <t>84C622319ABP1</t>
  </si>
  <si>
    <t>MT4-28545</t>
  </si>
  <si>
    <t>84D709840ABP2</t>
  </si>
  <si>
    <t>MT4-28536</t>
  </si>
  <si>
    <t>84D709841ABP1</t>
  </si>
  <si>
    <t>DUCT, AIR METRIC-MAT'L.</t>
  </si>
  <si>
    <t>MT4-28546</t>
  </si>
  <si>
    <t>84D709842ADP1</t>
  </si>
  <si>
    <t>MT4-28547</t>
  </si>
  <si>
    <t>84D709843ADP1</t>
  </si>
  <si>
    <t>MT4-28548</t>
  </si>
  <si>
    <t>84D709844ABP1</t>
  </si>
  <si>
    <t>MT4-28549</t>
  </si>
  <si>
    <t>497A806P27</t>
  </si>
  <si>
    <t>A/R</t>
  </si>
  <si>
    <t>SEALANT MANUS</t>
  </si>
  <si>
    <t>DH</t>
  </si>
  <si>
    <t>WABTEC</t>
  </si>
  <si>
    <t>MTI-0611</t>
  </si>
  <si>
    <t>MASSA PARA CALAFETAR 75AM 497A806P27</t>
  </si>
  <si>
    <t>84D709845ADP1</t>
  </si>
  <si>
    <t>TOP SHEET METRIC-MAT'L.</t>
  </si>
  <si>
    <t>MT4-28550</t>
  </si>
  <si>
    <t>84C622393ABP1</t>
  </si>
  <si>
    <t>END PLATE INVERTOR</t>
  </si>
  <si>
    <t>MT4-28551</t>
  </si>
  <si>
    <t>84D709867AEP1</t>
  </si>
  <si>
    <t>BOTTOM SHEET METRIC-MAT'L</t>
  </si>
  <si>
    <t>MT4-28552</t>
  </si>
  <si>
    <t>84B521786AEG1</t>
  </si>
  <si>
    <t>MOUNTING PLATE METRIC MAT'L.</t>
  </si>
  <si>
    <t>MT3-13148</t>
  </si>
  <si>
    <t>84B521786AEG1/A-MOUNTING PLATE METRIC MAT'L. x 1</t>
  </si>
  <si>
    <t>84B521786AEP1</t>
  </si>
  <si>
    <t>MOUNTING PLATE</t>
  </si>
  <si>
    <t>USAR MT3-13148</t>
  </si>
  <si>
    <t>41A323399PF12</t>
  </si>
  <si>
    <t>STUDS 10-32 X .75</t>
  </si>
  <si>
    <t>MTA-2228</t>
  </si>
  <si>
    <t>PRISIONEIRO 1032 X 34 41A323399PF12</t>
  </si>
  <si>
    <t>84B521786AHG1</t>
  </si>
  <si>
    <t>MOUNTING PLATE ASM</t>
  </si>
  <si>
    <t>MT3-13149</t>
  </si>
  <si>
    <t>84B521786AHG1/0-MOUNTING PLATE ASM x 1</t>
  </si>
  <si>
    <t>84B521786AHP1</t>
  </si>
  <si>
    <t>USAR MT3-13149</t>
  </si>
  <si>
    <t>41A323399PJ12</t>
  </si>
  <si>
    <t>STUD .31-18 X .75</t>
  </si>
  <si>
    <t>MTA-3575</t>
  </si>
  <si>
    <t>PEM FH-0518-12 -5/16"-18UNC -  COD.WABTEC 41A323399PJ12</t>
  </si>
  <si>
    <t>84B521728ACG1</t>
  </si>
  <si>
    <t>DRAIN ASM METRIC-MAT'L.</t>
  </si>
  <si>
    <t>MT3-13152</t>
  </si>
  <si>
    <t>84B521728ACG1/0-DRAIN ASM METRIC-MAT'L. x 1</t>
  </si>
  <si>
    <t>84C622483ACP1</t>
  </si>
  <si>
    <t>MT4-28556</t>
  </si>
  <si>
    <t>84A213172ABP1</t>
  </si>
  <si>
    <t>PLATE METRIC-MAT'L.</t>
  </si>
  <si>
    <t>MT4-28557</t>
  </si>
  <si>
    <t>41B519092P10</t>
  </si>
  <si>
    <t>495A101P186</t>
  </si>
  <si>
    <t>TAPE RAIL 4.0X5.62X.375D</t>
  </si>
  <si>
    <t>AR</t>
  </si>
  <si>
    <t>MT4-25237</t>
  </si>
  <si>
    <t>495A101P211</t>
  </si>
  <si>
    <t>TAPE RAIL 4.0X19.5X.375D</t>
  </si>
  <si>
    <t>AT</t>
  </si>
  <si>
    <t>MT4-25236</t>
  </si>
  <si>
    <t>41B519092P9</t>
  </si>
  <si>
    <t>84C638914ABP1</t>
  </si>
  <si>
    <t>COVER</t>
  </si>
  <si>
    <t>MT4-28558</t>
  </si>
  <si>
    <t>156B6251BJP89</t>
  </si>
  <si>
    <t>PLATE METRIC MAT'L.</t>
  </si>
  <si>
    <t>MT4-28559</t>
  </si>
  <si>
    <t>84B548686P1</t>
  </si>
  <si>
    <t>MT4-28560</t>
  </si>
  <si>
    <t>84D709849ALG1</t>
  </si>
  <si>
    <t>FILTER BOX ASM METRIC MAT'L</t>
  </si>
  <si>
    <t>MT3-13023</t>
  </si>
  <si>
    <t>84D709849ALG1/C-FILTER BOX ASM METRIC MAT'L x 1</t>
  </si>
  <si>
    <t>84D709857AHG1</t>
  </si>
  <si>
    <t>WALL METRIC MAT'L.</t>
  </si>
  <si>
    <t>MT3-13154</t>
  </si>
  <si>
    <t>84D709857AHG1/A-WALL METRIC MAT'L. x 1</t>
  </si>
  <si>
    <t>84D709857AHP1</t>
  </si>
  <si>
    <t>USAR MT3-13154</t>
  </si>
  <si>
    <t>N22P25064B13</t>
  </si>
  <si>
    <t>BOLT 3/8-16 X 4.00</t>
  </si>
  <si>
    <t>MTA-3288</t>
  </si>
  <si>
    <t>PARAF.SEXT 3/8"-16UNC X 4" GRAU 5 ZB</t>
  </si>
  <si>
    <t>84D709862ACP1</t>
  </si>
  <si>
    <t>BULKHEAD SHEET METRIC MAT'L.</t>
  </si>
  <si>
    <t>MT4-28561</t>
  </si>
  <si>
    <t>84D738439G1</t>
  </si>
  <si>
    <t>FRAME, DOOR METRIC MAT'L.</t>
  </si>
  <si>
    <t>MT3-13155</t>
  </si>
  <si>
    <t>84D738439G1/0-FRAME, DOOR METRIC MAT'L. x 1</t>
  </si>
  <si>
    <t>84D738439P1</t>
  </si>
  <si>
    <t>DOOR FRAME METRIC MAT'L.</t>
  </si>
  <si>
    <t>MT4-28562</t>
  </si>
  <si>
    <t>156B6252AGP385</t>
  </si>
  <si>
    <t>SHEET 3MMX21X385</t>
  </si>
  <si>
    <t>MT4-28563</t>
  </si>
  <si>
    <t>156B6252AGP971</t>
  </si>
  <si>
    <t>SHEET 3MMX21MMX971</t>
  </si>
  <si>
    <t>MT4-28564</t>
  </si>
  <si>
    <t>84C622375AFP1</t>
  </si>
  <si>
    <t>TOP SHEET METRIC MAT'L.</t>
  </si>
  <si>
    <t>MT4-28565</t>
  </si>
  <si>
    <t>84C622444ABP1</t>
  </si>
  <si>
    <t>MT4-28566</t>
  </si>
  <si>
    <t>84C622446ADP1</t>
  </si>
  <si>
    <t>MT4-28567</t>
  </si>
  <si>
    <t>84C622413ACG1</t>
  </si>
  <si>
    <t>MT3-13156</t>
  </si>
  <si>
    <t>84C622413ACG1/0-CHANNEL METRIC MAT'L. x 1</t>
  </si>
  <si>
    <t>155B9004ABP12</t>
  </si>
  <si>
    <t>PIPE .75 X 1.50</t>
  </si>
  <si>
    <t>MPT-2835</t>
  </si>
  <si>
    <t>84C622413ACG2</t>
  </si>
  <si>
    <t>CHANNEL ASM METRIC MAT'L.</t>
  </si>
  <si>
    <t>USAR MT3-13156</t>
  </si>
  <si>
    <t>84C622413ACG2/0-CHANNEL ASM METRIC MAT'L. x 1</t>
  </si>
  <si>
    <t>84C622413ACP1</t>
  </si>
  <si>
    <t>N234P21A</t>
  </si>
  <si>
    <t>NUT, WELD .250-20</t>
  </si>
  <si>
    <t>MTA-1170</t>
  </si>
  <si>
    <t>PORCA SEXT #1/4-20UNC GE (N234P21A)</t>
  </si>
  <si>
    <t>84B521683AEP1</t>
  </si>
  <si>
    <t>MT4-28568</t>
  </si>
  <si>
    <t>84D709876AHG1</t>
  </si>
  <si>
    <t>DOOR ASM METRIC MAT'L.</t>
  </si>
  <si>
    <t>MT6-7295
MT3-13157</t>
  </si>
  <si>
    <t>84D709876AHG1/B-DOOR ASM METRIC MAT'L. x 1</t>
  </si>
  <si>
    <t>84D709876AHP1</t>
  </si>
  <si>
    <t>DOOR METRIC MAT'L.</t>
  </si>
  <si>
    <t>MT4-28569</t>
  </si>
  <si>
    <t>84B538141AFP1</t>
  </si>
  <si>
    <t>MT4-28570</t>
  </si>
  <si>
    <t>84B538140AGP1</t>
  </si>
  <si>
    <t>MT4-28571</t>
  </si>
  <si>
    <t>84B521714ADP1</t>
  </si>
  <si>
    <t>CATCH METRIC MAT'L.</t>
  </si>
  <si>
    <t>MT4-28572</t>
  </si>
  <si>
    <t>84A212345ABP1</t>
  </si>
  <si>
    <t>HINGE</t>
  </si>
  <si>
    <t>MTA-3026</t>
  </si>
  <si>
    <t>DOBRADICA ASM CONST POR EIXO CENTRAL ACO BAIXO CARBONO/BUCHA DE FIXACAO 84A212345ABP1</t>
  </si>
  <si>
    <t>84A212345ABP1/0-HINGE x 2</t>
  </si>
  <si>
    <t>84A212345ABK2</t>
  </si>
  <si>
    <t>HINGE BOTTOM LEAF</t>
  </si>
  <si>
    <t>USAR MTA-3026</t>
  </si>
  <si>
    <t>84A212345ABK1</t>
  </si>
  <si>
    <t>TOP HINGE LEAF</t>
  </si>
  <si>
    <t>USA MTA-3026</t>
  </si>
  <si>
    <t>41B569656P85</t>
  </si>
  <si>
    <t>GASKET</t>
  </si>
  <si>
    <t>Z</t>
  </si>
  <si>
    <t>MT5-28333</t>
  </si>
  <si>
    <t>41B569656P85/Z-GASKET</t>
  </si>
  <si>
    <t>41A326558P1</t>
  </si>
  <si>
    <t>NA</t>
  </si>
  <si>
    <t>IN</t>
  </si>
  <si>
    <t>MMP-NOVO-3</t>
  </si>
  <si>
    <t>41B569656P157</t>
  </si>
  <si>
    <t>AX</t>
  </si>
  <si>
    <t>MT5-28334</t>
  </si>
  <si>
    <t>41B569656P157/AX-GASKET</t>
  </si>
  <si>
    <t>497A806P57</t>
  </si>
  <si>
    <t>CEMENT</t>
  </si>
  <si>
    <t>FO</t>
  </si>
  <si>
    <t>MTI-0339</t>
  </si>
  <si>
    <t>ADESIVO UNIV  BRASCOPLAST STANDARD 75 G</t>
  </si>
  <si>
    <t>41A267004P25</t>
  </si>
  <si>
    <t>MT4-25421</t>
  </si>
  <si>
    <t>84B523536ABP1</t>
  </si>
  <si>
    <t>BOX METRIC MAT'L.</t>
  </si>
  <si>
    <t>MT4-28573</t>
  </si>
  <si>
    <t>84B553666P1</t>
  </si>
  <si>
    <t>BRACKET</t>
  </si>
  <si>
    <t>MT4-28574</t>
  </si>
  <si>
    <t>MTC-0020</t>
  </si>
  <si>
    <t>CH ACO 1006/1008 FF(1.50MM)-1200X3000</t>
  </si>
  <si>
    <t>41A312200AGG1</t>
  </si>
  <si>
    <t>SUPPORT ASM METRIC MAT'L.</t>
  </si>
  <si>
    <t>MT6-7294</t>
  </si>
  <si>
    <t>41A312200AGG1/0-SUPPORT ASM METRIC MAT'L. x 3</t>
  </si>
  <si>
    <t>41B543030AEP1</t>
  </si>
  <si>
    <t>SUPPORT METRIC MAT'L.</t>
  </si>
  <si>
    <t>MT5-28309</t>
  </si>
  <si>
    <t>41A305410P2</t>
  </si>
  <si>
    <t>BLT TGL</t>
  </si>
  <si>
    <t>MPT-2562</t>
  </si>
  <si>
    <t>B11H18C</t>
  </si>
  <si>
    <t>LATÃO ASTM B16</t>
  </si>
  <si>
    <t>BOLT TOGGLE (S/T)</t>
  </si>
  <si>
    <t>N509P2524B13</t>
  </si>
  <si>
    <t>ROLL PIN</t>
  </si>
  <si>
    <t>MTA-3178</t>
  </si>
  <si>
    <t>PINO ELASTICO  1/4"X1 1/2" MM ZB N509P2524B13</t>
  </si>
  <si>
    <t>N237P29B13</t>
  </si>
  <si>
    <t>NUT WING .50-13</t>
  </si>
  <si>
    <t>MTA-3160</t>
  </si>
  <si>
    <t>PORCA BORBOLETA #1/2"-13UNC ZB(N237P29B13)</t>
  </si>
  <si>
    <t>84C622378AGP1</t>
  </si>
  <si>
    <t>MT4-28575</t>
  </si>
  <si>
    <t>41B565073AFG1</t>
  </si>
  <si>
    <t>GROUND BLOCK METRIC MAT'L.</t>
  </si>
  <si>
    <t>MT3-11454</t>
  </si>
  <si>
    <t>41B565073AFG1/0-GROUND BLOCK METRIC MAT'L. x 4</t>
  </si>
  <si>
    <t>41B565073AFP1</t>
  </si>
  <si>
    <t>MPT-2813</t>
  </si>
  <si>
    <t>B11B3C3</t>
  </si>
  <si>
    <t>COBRE</t>
  </si>
  <si>
    <t>BLOCK 41B565073AFP1</t>
  </si>
  <si>
    <t>41B565073AFP2</t>
  </si>
  <si>
    <t>MPT-2814</t>
  </si>
  <si>
    <t>BLOCK 41B565073AFP2</t>
  </si>
  <si>
    <t>84C602497AFP1</t>
  </si>
  <si>
    <t>MT4-28576</t>
  </si>
  <si>
    <t>84C622404ADG1</t>
  </si>
  <si>
    <t>AIR FILTER SUPTMERIC MAT'L.</t>
  </si>
  <si>
    <t>MT3-13159</t>
  </si>
  <si>
    <t>84C622404ADG1/0-AIR FILTER SUPTMERIC MAT'L. x 10</t>
  </si>
  <si>
    <t>84B521660ACP1</t>
  </si>
  <si>
    <t>BASE METRIC MAT'L.</t>
  </si>
  <si>
    <t>MT4-28577</t>
  </si>
  <si>
    <t>84B521662ABP1</t>
  </si>
  <si>
    <t>MT4-28578</t>
  </si>
  <si>
    <t>84A213133P1</t>
  </si>
  <si>
    <t>MPT-2400</t>
  </si>
  <si>
    <t>B4C1D2</t>
  </si>
  <si>
    <t>AÇO TREF 1045</t>
  </si>
  <si>
    <t>41B519092P67</t>
  </si>
  <si>
    <t>MT4-28579</t>
  </si>
  <si>
    <t>84C622378AHP1</t>
  </si>
  <si>
    <t>DUCT METRIC MAT'L.</t>
  </si>
  <si>
    <t>MT4-28580</t>
  </si>
  <si>
    <t>84B547015P1</t>
  </si>
  <si>
    <t>MT4-28581</t>
  </si>
  <si>
    <t>84B527434ACG1</t>
  </si>
  <si>
    <t>MT3-13160</t>
  </si>
  <si>
    <t>84B527434ACG1/0-SUPPORT ASM METRIC MAT'L. x 1</t>
  </si>
  <si>
    <t>84B527434ACG2</t>
  </si>
  <si>
    <t>MT3-13161</t>
  </si>
  <si>
    <t>84B527434ACG2/0-SUPPORT ASM METRIC MAT'L. x 1</t>
  </si>
  <si>
    <t>84B527434ACP1</t>
  </si>
  <si>
    <t>USAR MT3-13161</t>
  </si>
  <si>
    <t>41A323399PJ14</t>
  </si>
  <si>
    <t>STUD .31-18 X .88</t>
  </si>
  <si>
    <t>MTA-3180</t>
  </si>
  <si>
    <t>41A323399PJ14 - FORNEC. CLIENTE</t>
  </si>
  <si>
    <t>41A323399PJ24</t>
  </si>
  <si>
    <t>PRESS STUD .312-18X1.50</t>
  </si>
  <si>
    <t>MTA-3181</t>
  </si>
  <si>
    <t>PRISIONEIRO 41A323399PJ24</t>
  </si>
  <si>
    <t>41A265999P9</t>
  </si>
  <si>
    <t>TAPE RAIL 5.0X.76X312D</t>
  </si>
  <si>
    <t>MT4-16658</t>
  </si>
  <si>
    <t>41B519092P1</t>
  </si>
  <si>
    <t>TAPE RAIL 1X2X.312D</t>
  </si>
  <si>
    <t>MT4-20707</t>
  </si>
  <si>
    <t>41A265997P1</t>
  </si>
  <si>
    <t>TAPE RAIL 3.0X1.0X.312D</t>
  </si>
  <si>
    <t>MT4-17949</t>
  </si>
  <si>
    <t>84B549228P1</t>
  </si>
  <si>
    <t>MT4-28582</t>
  </si>
  <si>
    <t>84C633020P9</t>
  </si>
  <si>
    <t>GRND HARD WASH</t>
  </si>
  <si>
    <t>MTA-3576</t>
  </si>
  <si>
    <t>WASH 84C633020P9</t>
  </si>
  <si>
    <t>84C622320AEG1</t>
  </si>
  <si>
    <t>TUBE ASM</t>
  </si>
  <si>
    <t>MT3-13024</t>
  </si>
  <si>
    <t>84C622320AEG1/0-TUBE ASM x 1</t>
  </si>
  <si>
    <t>84C622320AEP1</t>
  </si>
  <si>
    <t>MT4-28583</t>
  </si>
  <si>
    <t>MTB-0467</t>
  </si>
  <si>
    <t>B4A29A</t>
  </si>
  <si>
    <t>AÇO 1010</t>
  </si>
  <si>
    <t>BARRA ACO METALON 127 (5") X  76,2(3") X 4,75(3/16") (6MT)</t>
  </si>
  <si>
    <t>84A213106AEP1</t>
  </si>
  <si>
    <t>PIPE METRIC MAT'L.</t>
  </si>
  <si>
    <t>MT4-28584</t>
  </si>
  <si>
    <t>84D738974P1</t>
  </si>
  <si>
    <t>TUBING 2 X 2 X 57.94</t>
  </si>
  <si>
    <t>MT4-28355</t>
  </si>
  <si>
    <t>MTB-0468</t>
  </si>
  <si>
    <t>BARRA ACO METALON 2"(50,8)X2"(50,8)X0,095"(#2,4MM)(6MT)</t>
  </si>
  <si>
    <t>84B535769ACG1</t>
  </si>
  <si>
    <t>MT3-13025</t>
  </si>
  <si>
    <t>84B535769ACG1/A-BRACKET ASM METRIC MAT'L. x 1</t>
  </si>
  <si>
    <t>156B6254BVP114</t>
  </si>
  <si>
    <t>SHEET 6X114X114 MM</t>
  </si>
  <si>
    <t>MT4-28585</t>
  </si>
  <si>
    <t>156B6254AGP70</t>
  </si>
  <si>
    <t>SHEET 6X21X70 MM</t>
  </si>
  <si>
    <t>MT4-28586</t>
  </si>
  <si>
    <t>156B6254AGP114</t>
  </si>
  <si>
    <t>SHEET 6X21X114 MM</t>
  </si>
  <si>
    <t>MT4-28587</t>
  </si>
  <si>
    <t>84D738755P1</t>
  </si>
  <si>
    <t>TUBING METRIC MAT'L.</t>
  </si>
  <si>
    <t>MT4-28356</t>
  </si>
  <si>
    <t>84D738756P1</t>
  </si>
  <si>
    <t>MT4-28357</t>
  </si>
  <si>
    <t>84B550311P1</t>
  </si>
  <si>
    <t>ANGLE METRIC MAT'L</t>
  </si>
  <si>
    <t>MT4-28358</t>
  </si>
  <si>
    <t>84B517626ABP1</t>
  </si>
  <si>
    <t>FILLER, SHEET METRIC-MAT'L.</t>
  </si>
  <si>
    <t>MT4-28359</t>
  </si>
  <si>
    <t>84B521683AFP1</t>
  </si>
  <si>
    <t>MT4-28360</t>
  </si>
  <si>
    <t>84C622445ACP1</t>
  </si>
  <si>
    <t>MT4-28361</t>
  </si>
  <si>
    <t>41A303833P39</t>
  </si>
  <si>
    <t>BOLT .625x12.6L</t>
  </si>
  <si>
    <t>AD</t>
  </si>
  <si>
    <t>MT4-28362</t>
  </si>
  <si>
    <t>MTB-0173</t>
  </si>
  <si>
    <t>ROSCA 5/8"</t>
  </si>
  <si>
    <t>B4A2F</t>
  </si>
  <si>
    <t>BARRA ROSCADA ACO 1020 5/8" ST - 01MT</t>
  </si>
  <si>
    <t>41A303833P39/AD-BOLT .625x12.6L</t>
  </si>
  <si>
    <t>41A303018P1</t>
  </si>
  <si>
    <t>THREADED BAR ST</t>
  </si>
  <si>
    <t>FT</t>
  </si>
  <si>
    <t>USAR MTB-0173</t>
  </si>
  <si>
    <t>N258P33B13</t>
  </si>
  <si>
    <t>NUT .625-11</t>
  </si>
  <si>
    <t>MTA-3202</t>
  </si>
  <si>
    <t>PORCA SEXT 5/8"-11 UNC NORMA ANSI B18.2.2 GE (REF. N258P33B13)</t>
  </si>
  <si>
    <t>84D730784CNG1</t>
  </si>
  <si>
    <t>END SHEET ASM</t>
  </si>
  <si>
    <t>MT3-13026</t>
  </si>
  <si>
    <t>84D730784CNG1/0-END SHEET ASM x 1</t>
  </si>
  <si>
    <t>84D730784CNP1</t>
  </si>
  <si>
    <t>END SHEET</t>
  </si>
  <si>
    <t>MT4-28363</t>
  </si>
  <si>
    <t>MTC-0871</t>
  </si>
  <si>
    <t>CH ACO 1006/1008 FQ(2.25MM)DO-1500X3000</t>
  </si>
  <si>
    <t>84C631207ABG1</t>
  </si>
  <si>
    <t>MT3-13027</t>
  </si>
  <si>
    <t>84C631207ABG1/0-SUPPORT ASM METRIC MAT'L. x 1</t>
  </si>
  <si>
    <t>84C631206P1</t>
  </si>
  <si>
    <t>MT4-25329</t>
  </si>
  <si>
    <t>84C622781AEP1</t>
  </si>
  <si>
    <t>PLUG BRACKET METRIC MAT'L.</t>
  </si>
  <si>
    <t>MT4-28364</t>
  </si>
  <si>
    <t>41B569826ABG1</t>
  </si>
  <si>
    <t>BASE ASM</t>
  </si>
  <si>
    <t>MT3-13028</t>
  </si>
  <si>
    <t>41B569826ABG1/0-BASE ASM x 1</t>
  </si>
  <si>
    <t>41B569826ABP1</t>
  </si>
  <si>
    <t>USAR MT3-13028</t>
  </si>
  <si>
    <t>N169P25032A</t>
  </si>
  <si>
    <t>STEEL WELD SCREW</t>
  </si>
  <si>
    <t>PARAF. DE SOLDA 3/8 16UNC X 2" COBREADO</t>
  </si>
  <si>
    <t>84A213106AFP1</t>
  </si>
  <si>
    <t>MT4-28365</t>
  </si>
  <si>
    <t>499A918BAP9</t>
  </si>
  <si>
    <t>LOCKNUT 3.00 CONDUIT</t>
  </si>
  <si>
    <t>R</t>
  </si>
  <si>
    <t>MTA-3577</t>
  </si>
  <si>
    <t>PORCA P CONDUITE 499A918BAP9</t>
  </si>
  <si>
    <t>N668P16010B13</t>
  </si>
  <si>
    <t>HEX STEEL MACHINE SCEW</t>
  </si>
  <si>
    <t>MTA-2582</t>
  </si>
  <si>
    <t>PARAFUSO SEXTAVADO FENDA #10-32 UNF X 5/8" ZB - N668P16010B13</t>
  </si>
  <si>
    <t>499A918BAP8</t>
  </si>
  <si>
    <t>LOCKNUT 2.50 CONDUIT</t>
  </si>
  <si>
    <t>MTA-3196</t>
  </si>
  <si>
    <t>PORCA P CONDUITE 499A918BAP8</t>
  </si>
  <si>
    <t>41A265997P9</t>
  </si>
  <si>
    <t>TAPE RAIL 5.0X1.0X.312D</t>
  </si>
  <si>
    <t>MT4-17674</t>
  </si>
  <si>
    <t>41B519092P34</t>
  </si>
  <si>
    <t>MT4-10120</t>
  </si>
  <si>
    <t>41A265997P17</t>
  </si>
  <si>
    <t>TAPE RAIL 7.0X1.0X.312D</t>
  </si>
  <si>
    <t>MT4-17932</t>
  </si>
  <si>
    <t>ESTE DESENHO ESTÁ IGUAL AO 84B534132ABP1. CONFIRMAR COM WABTEC SE É A MESMA PEÇA</t>
  </si>
  <si>
    <t>41B519092P6</t>
  </si>
  <si>
    <t>MT4-16601</t>
  </si>
  <si>
    <t>MT4-16676</t>
  </si>
  <si>
    <t>41B519092P12</t>
  </si>
  <si>
    <t>MT4-16553</t>
  </si>
  <si>
    <t>41A265997P57</t>
  </si>
  <si>
    <t>TAPE RAIL 17.0X1.0X.312D</t>
  </si>
  <si>
    <t>MT4-17984</t>
  </si>
  <si>
    <t>CONFIRMAR QUANTIDADE DESTE ITEM , ESTÁ A/R</t>
  </si>
  <si>
    <t>VERIFICAR JUNTO AO MOIZES SE PODE SER USADO A36</t>
  </si>
  <si>
    <t>84D739575ANG1</t>
  </si>
  <si>
    <t>ROOF ASM WELDMENT</t>
  </si>
  <si>
    <t>MT3-13029</t>
  </si>
  <si>
    <t>84D739575ANG1/0-ROOF ASM WELDMENT x 1</t>
  </si>
  <si>
    <t>84C629735ACG1</t>
  </si>
  <si>
    <t>BRACKET ASM</t>
  </si>
  <si>
    <t>MT3-13030</t>
  </si>
  <si>
    <t>84C629735ACG1/0-BRACKET ASM x 1</t>
  </si>
  <si>
    <t>84C629735ACP1</t>
  </si>
  <si>
    <t>MT4-28366</t>
  </si>
  <si>
    <t>84B535767ABP1</t>
  </si>
  <si>
    <t>GUSSET METRIC MAT'L.</t>
  </si>
  <si>
    <t>MT4-28367</t>
  </si>
  <si>
    <t>MTC-0474</t>
  </si>
  <si>
    <t>B50E124A</t>
  </si>
  <si>
    <t xml:space="preserve">CH ACO ASTM-A572 GRAU 50 FQ  (7.94MM) DO - 1200X3000 </t>
  </si>
  <si>
    <t>84B535796ABP1</t>
  </si>
  <si>
    <t>MT4-28368</t>
  </si>
  <si>
    <t>84A238517P1</t>
  </si>
  <si>
    <t>SHEET</t>
  </si>
  <si>
    <t>MT4-28369</t>
  </si>
  <si>
    <t>41B519092P2</t>
  </si>
  <si>
    <t>MT4-17683</t>
  </si>
  <si>
    <t>84D738757P1</t>
  </si>
  <si>
    <t>MT4-28370</t>
  </si>
  <si>
    <t>MTB-0469</t>
  </si>
  <si>
    <t>AISI 1010</t>
  </si>
  <si>
    <t>BARRA ACO METALON 50,8 (2") X  76,2(3") X 4,75(3/16") (6MT)</t>
  </si>
  <si>
    <t>84D738751P1</t>
  </si>
  <si>
    <t>MT4-28371</t>
  </si>
  <si>
    <t>MTB-0470</t>
  </si>
  <si>
    <t>BARRA ACO METALON 50,8 (2") X  101,8(4") X 3(1/8") (6MT)</t>
  </si>
  <si>
    <t>BASEADO NA BBI ESTAS GASKETS ESTÃO FORA DO ESCOPO METALFISA</t>
  </si>
  <si>
    <t>41A265997P105</t>
  </si>
  <si>
    <t>MT4-28372</t>
  </si>
  <si>
    <t>84D709860BCG1</t>
  </si>
  <si>
    <t>TOP SHEET ASM</t>
  </si>
  <si>
    <t>MT3-13031</t>
  </si>
  <si>
    <t>84D709860BCG1/0-TOP SHEET ASM x 1</t>
  </si>
  <si>
    <t>84D709860BCP1</t>
  </si>
  <si>
    <t>TOP SHEET</t>
  </si>
  <si>
    <t>MT4-28373</t>
  </si>
  <si>
    <t>PEÇA MAIOR NA LARGURA , AGUARDANDO RETORNO MOIZES</t>
  </si>
  <si>
    <t>84B521724ADG1</t>
  </si>
  <si>
    <t>MT3-13032</t>
  </si>
  <si>
    <t>84B521724ADG1/0-SUPPORT METRIC MAT'L. x 1</t>
  </si>
  <si>
    <t>84B521724ADP1</t>
  </si>
  <si>
    <t>USAR MT3-13032</t>
  </si>
  <si>
    <t>N22P25016B13</t>
  </si>
  <si>
    <t>BOLT .38-16 X 1.00</t>
  </si>
  <si>
    <t>MTA-1314</t>
  </si>
  <si>
    <t>PARAF.SEXT 3/8"-16UNC X 1" GRAU 5 ZB</t>
  </si>
  <si>
    <t>41B565073AFG1/0-GROUND BLOCK METRIC MAT'L. x 1</t>
  </si>
  <si>
    <t>84B523490ADP1</t>
  </si>
  <si>
    <t>TAPE RAIL METRIC MAT'L.</t>
  </si>
  <si>
    <t>MT4-28374</t>
  </si>
  <si>
    <t>499A919AYP2</t>
  </si>
  <si>
    <t>CPLG STL .50 COUP.</t>
  </si>
  <si>
    <t>MPT-2816</t>
  </si>
  <si>
    <t>COUPLING STEEL NPT (S/T)</t>
  </si>
  <si>
    <t>41B519092P26</t>
  </si>
  <si>
    <t>TAPE RAIL 3 X 4 X .312D</t>
  </si>
  <si>
    <t>MT4-25213</t>
  </si>
  <si>
    <t>84C645700G1</t>
  </si>
  <si>
    <t>L BRACKET ASM</t>
  </si>
  <si>
    <t>MT3-13033</t>
  </si>
  <si>
    <t>84C645700G1/0-L BRACKET ASM x 1</t>
  </si>
  <si>
    <t>84C645700P1</t>
  </si>
  <si>
    <t>USAR MT3-13033</t>
  </si>
  <si>
    <t>84C603115AUG1</t>
  </si>
  <si>
    <t>CABLE BOX ASM</t>
  </si>
  <si>
    <t>MT3-13034</t>
  </si>
  <si>
    <t>84C603115AUG1/0-CABLE BOX ASM x 1</t>
  </si>
  <si>
    <t>84C603115AUP1</t>
  </si>
  <si>
    <t>CABLE BOX</t>
  </si>
  <si>
    <t>USAR MT3-13034</t>
  </si>
  <si>
    <t>499A918BAP2</t>
  </si>
  <si>
    <t>LOCKNUT .50 CONDUIT</t>
  </si>
  <si>
    <t>MTA-3194</t>
  </si>
  <si>
    <t xml:space="preserve">PORCA P TRAVA DIA 12 499A918BAP2 </t>
  </si>
  <si>
    <t>84D709859ARP1</t>
  </si>
  <si>
    <t>ROOF SHEET</t>
  </si>
  <si>
    <t>MT4-28375</t>
  </si>
  <si>
    <t>84D709859ASP1</t>
  </si>
  <si>
    <t>MT4-28376</t>
  </si>
  <si>
    <t>84D709812ARG1</t>
  </si>
  <si>
    <t>ROOF SHEET ASM</t>
  </si>
  <si>
    <t>MT3-13035</t>
  </si>
  <si>
    <t>84D709812ARG1/0-ROOF SHEET ASM x 1</t>
  </si>
  <si>
    <t>84D709812ARP1</t>
  </si>
  <si>
    <t>MT4-28377</t>
  </si>
  <si>
    <t>N169P23016A</t>
  </si>
  <si>
    <t>MTA-2581</t>
  </si>
  <si>
    <t>PARAFUSO 5/16"-18UNC X 1" COBREADO CONF.DES. N169P23016A</t>
  </si>
  <si>
    <t>84D711716BEG1</t>
  </si>
  <si>
    <t>CHANNEL ASM</t>
  </si>
  <si>
    <t>MT3-13036</t>
  </si>
  <si>
    <t>84D711716BEG1/0-CHANNEL ASM x 1</t>
  </si>
  <si>
    <t>84D711716BEP1</t>
  </si>
  <si>
    <t>USAR MT3-13036</t>
  </si>
  <si>
    <t>41A265997P49</t>
  </si>
  <si>
    <t>TAPE RAIL 15.0X1.0X.312D</t>
  </si>
  <si>
    <t>MT4-16687</t>
  </si>
  <si>
    <t>41A265996P23</t>
  </si>
  <si>
    <t>TAPE RAILS 8.5X2.0X.312D</t>
  </si>
  <si>
    <t>MT4-28382</t>
  </si>
  <si>
    <t>84B528055ACP1</t>
  </si>
  <si>
    <t>MPT-2676</t>
  </si>
  <si>
    <t>41B519092P15</t>
  </si>
  <si>
    <t>MT4-11802</t>
  </si>
  <si>
    <t>41B519092P4</t>
  </si>
  <si>
    <t>MT4-15971</t>
  </si>
  <si>
    <t>MT4-23209</t>
  </si>
  <si>
    <t>41B519092P16</t>
  </si>
  <si>
    <t>MT4-17598</t>
  </si>
  <si>
    <t>84C603115AJG1</t>
  </si>
  <si>
    <t>MT3-13038</t>
  </si>
  <si>
    <t>84C603115AJG1/0-SHEET, ASM METRIC MAT'L. x 1</t>
  </si>
  <si>
    <t>84C603115AJP1</t>
  </si>
  <si>
    <t>USAR MT3-13038</t>
  </si>
  <si>
    <t>499A918BAP4</t>
  </si>
  <si>
    <t>LOCKNUT 1.00 CONDUIT</t>
  </si>
  <si>
    <t>MTA-3197</t>
  </si>
  <si>
    <t>PORCA TRAVA DIAMETRO 1IN 499A918BAP4</t>
  </si>
  <si>
    <t>84D709811ANG1</t>
  </si>
  <si>
    <t>MT3-13039</t>
  </si>
  <si>
    <t>84D709811ANG1/0-ROOF SHEET ASM x 1</t>
  </si>
  <si>
    <t>84D709811ANP1</t>
  </si>
  <si>
    <t>MT4-28383</t>
  </si>
  <si>
    <t>84D711716BFG1</t>
  </si>
  <si>
    <t>ANGLE ASM</t>
  </si>
  <si>
    <t>MT3-13040</t>
  </si>
  <si>
    <t>84D711716BFG1/0-ANGLE ASM x 1</t>
  </si>
  <si>
    <t>84D711716BFP1</t>
  </si>
  <si>
    <t>ANGLE</t>
  </si>
  <si>
    <t>USAR MT3-13040</t>
  </si>
  <si>
    <t>84B523306ABG1</t>
  </si>
  <si>
    <t>PLATE ASM METRIC MAT'L.</t>
  </si>
  <si>
    <t>MT3-13041</t>
  </si>
  <si>
    <t>84B523306ABG1/0-PLATE ASM METRIC MAT'L. x 1</t>
  </si>
  <si>
    <t>84B523306ABP1</t>
  </si>
  <si>
    <t>USAR MT3-13041</t>
  </si>
  <si>
    <t>41A323399PH16</t>
  </si>
  <si>
    <t>STUD .25-20 X 1.00</t>
  </si>
  <si>
    <t>MTA-2276</t>
  </si>
  <si>
    <t>PARAFUSO 2520X100IN 41A323399PH16</t>
  </si>
  <si>
    <t>84C655062AHG1</t>
  </si>
  <si>
    <t>CONDUIT BOX ASM</t>
  </si>
  <si>
    <t>MT3-13042</t>
  </si>
  <si>
    <t>84C655062AHG1/0-CONDUIT BOX ASM x 1</t>
  </si>
  <si>
    <t>84C655062AHP1</t>
  </si>
  <si>
    <t>CONDUIT BOX</t>
  </si>
  <si>
    <t>USAR MT3-13042</t>
  </si>
  <si>
    <t>499A918BAP6</t>
  </si>
  <si>
    <t>LOCKNUT 1.50 CONDUIT</t>
  </si>
  <si>
    <t>MTA-3193</t>
  </si>
  <si>
    <t>PORCA P TRAVA DIA 1 1/2 499A918BAP6</t>
  </si>
  <si>
    <t>41B519092P86</t>
  </si>
  <si>
    <t>MT4-28385</t>
  </si>
  <si>
    <t>84B528055AGP1</t>
  </si>
  <si>
    <t>MPT-2818</t>
  </si>
  <si>
    <t>CONFIRMAR MEDIDAS METALON, ESPESSURA 4,5 ESTÁ 4,76 MM</t>
  </si>
  <si>
    <t>84C637993ABG1</t>
  </si>
  <si>
    <t>CHANNEL WELD</t>
  </si>
  <si>
    <t>MT3-13043</t>
  </si>
  <si>
    <t>84C637993ABG1/0-CHANNEL WELD x 1</t>
  </si>
  <si>
    <t>84C604096ALP1</t>
  </si>
  <si>
    <t>MT4-28386</t>
  </si>
  <si>
    <t>84C604096AMP1</t>
  </si>
  <si>
    <t>MT4-28387</t>
  </si>
  <si>
    <t>84A226404ADP1</t>
  </si>
  <si>
    <t>MT4-28388</t>
  </si>
  <si>
    <t>84C624875ADG1</t>
  </si>
  <si>
    <t>MT3-13044</t>
  </si>
  <si>
    <t>84C624875ADG1/0-SUPPORT ASM METRIC MAT'L. x 1</t>
  </si>
  <si>
    <t>84C624875ADP1</t>
  </si>
  <si>
    <t>USAR MT3-13044</t>
  </si>
  <si>
    <t>N169P25008A</t>
  </si>
  <si>
    <t>MTA-3029</t>
  </si>
  <si>
    <t>PARAFUSO DE SOLDA 3/8 16X1/2 COBREADO N169P25008A</t>
  </si>
  <si>
    <t>84C624874AEG1</t>
  </si>
  <si>
    <t>SUPPORT ASM</t>
  </si>
  <si>
    <t>MT3-13045</t>
  </si>
  <si>
    <t>84C624874AEG1/0-SUPPORT ASM x 1</t>
  </si>
  <si>
    <t>84C624874AEP1</t>
  </si>
  <si>
    <t>SUPPORT SHEET</t>
  </si>
  <si>
    <t>USAR MT3-13045</t>
  </si>
  <si>
    <t>N169P29012A</t>
  </si>
  <si>
    <t>MTA-3031</t>
  </si>
  <si>
    <t>PARAFUSO DE SOLDA 1/2 13X3/4 COBREADO N169P29012A</t>
  </si>
  <si>
    <t>84B527434AEG1</t>
  </si>
  <si>
    <t>MT3-13046</t>
  </si>
  <si>
    <t>84B527434AEG1/0-SUPPORT ASM x 1</t>
  </si>
  <si>
    <t>84B553707P1</t>
  </si>
  <si>
    <t>PLATE</t>
  </si>
  <si>
    <t>MT4-28389</t>
  </si>
  <si>
    <t>84B527434AEG2</t>
  </si>
  <si>
    <t>MT3-13272</t>
  </si>
  <si>
    <t>84B527434AEG2/0-SUPPORT ASM x 1</t>
  </si>
  <si>
    <t>84B527434AEP1</t>
  </si>
  <si>
    <t>USAR MT3-13272</t>
  </si>
  <si>
    <t>41A265996P41</t>
  </si>
  <si>
    <t>TAPE RAIL 13.0X2.0X.312D</t>
  </si>
  <si>
    <t>MT4-25215</t>
  </si>
  <si>
    <t>84B547906P1</t>
  </si>
  <si>
    <t>MT4-28390</t>
  </si>
  <si>
    <t>84C607691ANG1</t>
  </si>
  <si>
    <t>MT3-13047</t>
  </si>
  <si>
    <t>84C607691ANG1/0-BRACKET ASM x 1</t>
  </si>
  <si>
    <t>84C607691ANP1</t>
  </si>
  <si>
    <t>USAR MT3-13047</t>
  </si>
  <si>
    <t>84C607691AEG1</t>
  </si>
  <si>
    <t>MT3-13048</t>
  </si>
  <si>
    <t>84C607691AEG1/0-SUPPORT ASM METRIC MAT'L. x 2</t>
  </si>
  <si>
    <t>84C607691AEP1</t>
  </si>
  <si>
    <t>USAR MT3-13048</t>
  </si>
  <si>
    <t>84B521672AHG1</t>
  </si>
  <si>
    <t>TUBE ASM METRIC MAT'L.</t>
  </si>
  <si>
    <t>MT3-13049</t>
  </si>
  <si>
    <t>84B521672AHG1/0-TUBE ASM METRIC MAT'L. x 1</t>
  </si>
  <si>
    <t>84B521672AHP1</t>
  </si>
  <si>
    <t>TUBE METRIC MAT'L.</t>
  </si>
  <si>
    <t>MT4-28391</t>
  </si>
  <si>
    <t>84A213142ADP1</t>
  </si>
  <si>
    <t>END PLATE METRIC MAT'L.</t>
  </si>
  <si>
    <t>MT4-28392</t>
  </si>
  <si>
    <t>84B521672AGG1</t>
  </si>
  <si>
    <t>MT3-13050</t>
  </si>
  <si>
    <t>84B521672AGG1/0-TUBE ASM METRIC MAT'L. x 1</t>
  </si>
  <si>
    <t>84B521672AGP1</t>
  </si>
  <si>
    <t>MT4-28393</t>
  </si>
  <si>
    <t>41A326608P10</t>
  </si>
  <si>
    <t>MT4-25497</t>
  </si>
  <si>
    <t>156B6252BCP72</t>
  </si>
  <si>
    <t>SHEET 3X66X72</t>
  </si>
  <si>
    <t>MT4-28394</t>
  </si>
  <si>
    <t>156B6407BFP99</t>
  </si>
  <si>
    <t>MPT-2819</t>
  </si>
  <si>
    <t>156B1002ABP64</t>
  </si>
  <si>
    <t>BAR .19 DIA. X 4.00</t>
  </si>
  <si>
    <t>MT4-28395</t>
  </si>
  <si>
    <t>MTB-0033</t>
  </si>
  <si>
    <t>BARRA RED ACO 1020 TREF - 3/16"06MTS</t>
  </si>
  <si>
    <t>84A226404ACP1</t>
  </si>
  <si>
    <t>PATCH METRIC-MAT'L.</t>
  </si>
  <si>
    <t>MT4-28396</t>
  </si>
  <si>
    <t>84C629745ABP1</t>
  </si>
  <si>
    <t>TAP BLOCK METRIC MAT'L.</t>
  </si>
  <si>
    <t>MPT-2820</t>
  </si>
  <si>
    <t>TAP BLOCK</t>
  </si>
  <si>
    <t>84C629744ADP1</t>
  </si>
  <si>
    <t>MPT-2821</t>
  </si>
  <si>
    <t>84C629746ABP1</t>
  </si>
  <si>
    <t>MPT-2822</t>
  </si>
  <si>
    <t>84C629744ACP1</t>
  </si>
  <si>
    <t>MPT-2823</t>
  </si>
  <si>
    <t>84C607691AMG1</t>
  </si>
  <si>
    <t>SUPPORT ASM METRIC MAT'L</t>
  </si>
  <si>
    <t>MT3-13051</t>
  </si>
  <si>
    <t>84C607691AMG1/0-SUPPORT ASM METRIC MAT'L x 1</t>
  </si>
  <si>
    <t>84C607691AMP1</t>
  </si>
  <si>
    <t>SUPPORT METRIC MAT'L</t>
  </si>
  <si>
    <t>USAR MT3-13051</t>
  </si>
  <si>
    <t>84C623049AJG1</t>
  </si>
  <si>
    <t>MOUNTING BRKT</t>
  </si>
  <si>
    <t>MT3-13052</t>
  </si>
  <si>
    <t>84C623049AJG1/0-MOUNTING BRKT x 2</t>
  </si>
  <si>
    <t>84C623049AJP1</t>
  </si>
  <si>
    <t>MOUNTING PLATE METRIC MAT'L</t>
  </si>
  <si>
    <t>USAR MT3-13052</t>
  </si>
  <si>
    <t>41A323399PJ16</t>
  </si>
  <si>
    <t>PRESS STUD .312-18 X 1.00</t>
  </si>
  <si>
    <t>PARAFUSO 3118X100IN 41A323399PJ16</t>
  </si>
  <si>
    <t>84C629744AFP1</t>
  </si>
  <si>
    <t>MPT-2824</t>
  </si>
  <si>
    <t>84C659768G1</t>
  </si>
  <si>
    <t>MT3-13053</t>
  </si>
  <si>
    <t>84C659768G1/0-ANGLE ASM x 9</t>
  </si>
  <si>
    <t>84C659768P1</t>
  </si>
  <si>
    <t>CABLE ANGLE</t>
  </si>
  <si>
    <t>USAR MT3-13053</t>
  </si>
  <si>
    <t>41A323399PF8</t>
  </si>
  <si>
    <t>PRESS STUD No 10-32 X .50</t>
  </si>
  <si>
    <t>PEM FH-032-8 - PR1198  - 41A323399PF8</t>
  </si>
  <si>
    <t>84C659769G1</t>
  </si>
  <si>
    <t>MOUNTING BRACKET ASM</t>
  </si>
  <si>
    <t>MT3-13054</t>
  </si>
  <si>
    <t>84C659769G1/0-MOUNTING BRACKET ASM x 4</t>
  </si>
  <si>
    <t>84C659769P1</t>
  </si>
  <si>
    <t>MOUNTING BRACKET</t>
  </si>
  <si>
    <t>USAR MT3-13054</t>
  </si>
  <si>
    <t>N234P16A</t>
  </si>
  <si>
    <t>NUT, WELD No 10-32</t>
  </si>
  <si>
    <t>PORCA SEXT #10-32UNF - COBRE GE (N234P16A)</t>
  </si>
  <si>
    <t>84C659770G1</t>
  </si>
  <si>
    <t>MT3-13055</t>
  </si>
  <si>
    <t>84C659770G1/0-MOUNTING BRACKET ASM x 2</t>
  </si>
  <si>
    <t>84C659770P1</t>
  </si>
  <si>
    <t>USAR MT3-13055</t>
  </si>
  <si>
    <t>84D739576ALG1</t>
  </si>
  <si>
    <t>FLOOR ASSEMBLY</t>
  </si>
  <si>
    <t>MT3-13056</t>
  </si>
  <si>
    <t>84D739576ALG1/0-FLOOR ASSEMBLY x 1</t>
  </si>
  <si>
    <t>84D730784BDG1</t>
  </si>
  <si>
    <t>FLOOR ASM METRIC MAT'L.</t>
  </si>
  <si>
    <t>MT3-13057</t>
  </si>
  <si>
    <t>84D730784BDG1/F-FLOOR ASM METRIC MAT'L. x 1</t>
  </si>
  <si>
    <t>84B528055ABP1</t>
  </si>
  <si>
    <t>MPT-2643</t>
  </si>
  <si>
    <t>TAPE RAIL 84B528055ABP1</t>
  </si>
  <si>
    <t>84B548024ABG1</t>
  </si>
  <si>
    <t>MT3-13058</t>
  </si>
  <si>
    <t>84B548024ABG1/0-SUPPORT ASM METRIC MAT'L. x 1</t>
  </si>
  <si>
    <t>84B548024ABP1</t>
  </si>
  <si>
    <t>SUPPORT BRACKETMETRIC MAT'L.</t>
  </si>
  <si>
    <t>USAR MT3-13058</t>
  </si>
  <si>
    <t>N169P16012A</t>
  </si>
  <si>
    <t>WELD SCR 10-32 X .75</t>
  </si>
  <si>
    <t>MTA-3027</t>
  </si>
  <si>
    <t>PARAFUSO DE SOLDA #10 32 X 3/4 COBREADO</t>
  </si>
  <si>
    <t>N22P29084B13</t>
  </si>
  <si>
    <t>BOLT 1/2-13 X 5.25 L</t>
  </si>
  <si>
    <t>MTA-3571</t>
  </si>
  <si>
    <t>PARAF.SEXT 1/2-13UNC X5 1/2" - GE GRAU 5 ZB N22P29084B13</t>
  </si>
  <si>
    <t>84D709898AEG1</t>
  </si>
  <si>
    <t>MT3-13059</t>
  </si>
  <si>
    <t>84D709898AEG1/G-FLOOR ASM METRIC MAT'L. x 1</t>
  </si>
  <si>
    <t>84D709898AEP1</t>
  </si>
  <si>
    <t>FLOOR METRIC MAT'L.</t>
  </si>
  <si>
    <t>MT4-28397</t>
  </si>
  <si>
    <t>N22P29012B13</t>
  </si>
  <si>
    <t>BOLT .50-13 X .75</t>
  </si>
  <si>
    <t>MTA-3045</t>
  </si>
  <si>
    <t xml:space="preserve">PARAFUSO CAB SEXTA 12IN13X34IN GRAU 5  </t>
  </si>
  <si>
    <t>N22P29052B13</t>
  </si>
  <si>
    <t>BOLT 1/2-13 X 3 1/4</t>
  </si>
  <si>
    <t>MTA-3161</t>
  </si>
  <si>
    <t>PARAF.SEXT 1/2X13 UNC X3 1/4"" - GE GRAU 5 ZB (N22P29052B13)</t>
  </si>
  <si>
    <t>84B517182ALP1</t>
  </si>
  <si>
    <t>MT4-28398</t>
  </si>
  <si>
    <t>84A213113ABP1</t>
  </si>
  <si>
    <t>MOUNTING BLOCK</t>
  </si>
  <si>
    <t>MPT-2551</t>
  </si>
  <si>
    <t>B4A72A</t>
  </si>
  <si>
    <t>AÇO 1012/1018</t>
  </si>
  <si>
    <t>MOUNTING BLOCK (ST)</t>
  </si>
  <si>
    <t>VERIFICAR JUNTO AO MOIZES SE ESTE ITEM É FORNECIMENTO WABTEC</t>
  </si>
  <si>
    <t>84B517182AKP1</t>
  </si>
  <si>
    <t>MT4-28399</t>
  </si>
  <si>
    <t>41B519092P35</t>
  </si>
  <si>
    <t>MT4-28400</t>
  </si>
  <si>
    <t>84B517182AYP1</t>
  </si>
  <si>
    <t>STIFFENER</t>
  </si>
  <si>
    <t>MT4-28401</t>
  </si>
  <si>
    <t>84D709855ARG1</t>
  </si>
  <si>
    <t>FLOOR ASM</t>
  </si>
  <si>
    <t>MT3-13060</t>
  </si>
  <si>
    <t>84D709855ARG1/A-FLOOR ASM x 1</t>
  </si>
  <si>
    <t>84D709855ARP1</t>
  </si>
  <si>
    <t>FLOOR</t>
  </si>
  <si>
    <t>MT4-28402</t>
  </si>
  <si>
    <t>84B517182AMP1</t>
  </si>
  <si>
    <t>MT4-28403</t>
  </si>
  <si>
    <t>84B517182ANP1</t>
  </si>
  <si>
    <t>MT4-28404</t>
  </si>
  <si>
    <t>84A221358P1</t>
  </si>
  <si>
    <t>BAR</t>
  </si>
  <si>
    <t>MPT-2561</t>
  </si>
  <si>
    <t>BAR (ST)</t>
  </si>
  <si>
    <t>41A255681P92</t>
  </si>
  <si>
    <t>TAPE RAIL 5.0X1.5X.312D</t>
  </si>
  <si>
    <t>MT4-23299</t>
  </si>
  <si>
    <t>84B517182APP1</t>
  </si>
  <si>
    <t>MT4-28405</t>
  </si>
  <si>
    <t>84B517182ARP1</t>
  </si>
  <si>
    <t>MT4-28406</t>
  </si>
  <si>
    <t>41A265996P25</t>
  </si>
  <si>
    <t>TAPE RAIL 9.0X2.0X.312D</t>
  </si>
  <si>
    <t>MT4-25459</t>
  </si>
  <si>
    <t>N22P29048B13</t>
  </si>
  <si>
    <t>BOLT 1/2-13 X 3</t>
  </si>
  <si>
    <t>MTA-3090</t>
  </si>
  <si>
    <t>PARAF SEXT 1/2"-13UNCX3" J409 GRAU 5 ZB</t>
  </si>
  <si>
    <t>N22P29072B13</t>
  </si>
  <si>
    <t>BOLT 1/2-13 X 4 1/2</t>
  </si>
  <si>
    <t>MTA-3570</t>
  </si>
  <si>
    <t>PARAF SEXT 1/2"-13UNCX4.1/2" J409 GRAU 5 ZB N22P29072B13</t>
  </si>
  <si>
    <t>84D709856ATG1</t>
  </si>
  <si>
    <t>MT3-13061</t>
  </si>
  <si>
    <t>84D709856ATG1/0-FLOOR ASM x 1</t>
  </si>
  <si>
    <t>84D709856ATP1</t>
  </si>
  <si>
    <t>MT4-28407</t>
  </si>
  <si>
    <t>84B536595ACP1</t>
  </si>
  <si>
    <t>MT4-28408</t>
  </si>
  <si>
    <t>84C605569ABG1</t>
  </si>
  <si>
    <t>BASE ASM METRIC MAT'L.</t>
  </si>
  <si>
    <t>MT3-13062</t>
  </si>
  <si>
    <t>84C605569ABG1/0-BASE ASM METRIC MAT'L. x 1</t>
  </si>
  <si>
    <t>84C605569ABP1</t>
  </si>
  <si>
    <t>USAR MT3-13062</t>
  </si>
  <si>
    <t>N169P25024A</t>
  </si>
  <si>
    <t>MPT-1951</t>
  </si>
  <si>
    <t>SCREW-N169P25024A (COBREADO)</t>
  </si>
  <si>
    <t>495A101P55</t>
  </si>
  <si>
    <t>TAPE RAIL 4.25X8.0X.375D</t>
  </si>
  <si>
    <t>MT4-11548</t>
  </si>
  <si>
    <t>41B519092P17</t>
  </si>
  <si>
    <t>MT4-25394</t>
  </si>
  <si>
    <t>41A265996P49</t>
  </si>
  <si>
    <t>TAPE RAIL 15.0X2.0X.312D</t>
  </si>
  <si>
    <t>MT4-17957</t>
  </si>
  <si>
    <t>41A265996P33</t>
  </si>
  <si>
    <t>TAPE RAIL 11.0X2.0X.312D</t>
  </si>
  <si>
    <t>MT4-25212</t>
  </si>
  <si>
    <t>84C640756G1</t>
  </si>
  <si>
    <t>BRACKET ASM TERMINAL</t>
  </si>
  <si>
    <t>MT3-11560</t>
  </si>
  <si>
    <t>84C640756G1/0-BRACKET ASM TERMINAL x 1</t>
  </si>
  <si>
    <t>84C640756P1</t>
  </si>
  <si>
    <t>BRACKET TERMINAL</t>
  </si>
  <si>
    <t>USAR MT3-11560</t>
  </si>
  <si>
    <t>REVISAR PARA ESPESSURA DE #2,25 MM</t>
  </si>
  <si>
    <t>MTA-1168</t>
  </si>
  <si>
    <t>PINTADO POWER COAT WHITE (BRANCA) - VERIFICAR COM MOIZES</t>
  </si>
  <si>
    <t>84B534132AJP1</t>
  </si>
  <si>
    <t>TUBE METRIC MAT'L</t>
  </si>
  <si>
    <t>MT4-28409</t>
  </si>
  <si>
    <t>MTB-0472</t>
  </si>
  <si>
    <t>B50E147A</t>
  </si>
  <si>
    <t>AÇO 1008</t>
  </si>
  <si>
    <t>TUBO HIDRAULICO AÇO SAE J524/J525 Ø 3/4" # 2,5 MM (6MT)</t>
  </si>
  <si>
    <t>155B9005ACP4</t>
  </si>
  <si>
    <t>SPACER</t>
  </si>
  <si>
    <t>MPT-2552</t>
  </si>
  <si>
    <t>SPACER (ST)</t>
  </si>
  <si>
    <t>MT4-28410</t>
  </si>
  <si>
    <t>MT4-28411</t>
  </si>
  <si>
    <t>84A213106AHP1</t>
  </si>
  <si>
    <t>MT4-28412</t>
  </si>
  <si>
    <t>MTB-0471</t>
  </si>
  <si>
    <t>TUBO ACO 1020 4" # 1/8 (3,17MM) X 6000</t>
  </si>
  <si>
    <t>84C620053BEP1</t>
  </si>
  <si>
    <t>MT4-28413</t>
  </si>
  <si>
    <t>84C620053BFG1</t>
  </si>
  <si>
    <t>GUSSET ASM</t>
  </si>
  <si>
    <t>MT3-13063</t>
  </si>
  <si>
    <t>84C620053BFG1/A-GUSSET ASM x 1</t>
  </si>
  <si>
    <t>84C620053BFP1</t>
  </si>
  <si>
    <t>USAR MT3-13063</t>
  </si>
  <si>
    <t>84C620053BGG1</t>
  </si>
  <si>
    <t>MT3-13064</t>
  </si>
  <si>
    <t>84C620053BGG1/A-GUSSET ASM x 1</t>
  </si>
  <si>
    <t>84C620053BGP1</t>
  </si>
  <si>
    <t>USAR MT3-13064</t>
  </si>
  <si>
    <t>84D738890AFG1</t>
  </si>
  <si>
    <t>POST ASSEMBLY</t>
  </si>
  <si>
    <t>MT3-13065</t>
  </si>
  <si>
    <t>84D738890AFG1/0-POST ASSEMBLY x 2</t>
  </si>
  <si>
    <t>84D738890AFP1</t>
  </si>
  <si>
    <t>POST</t>
  </si>
  <si>
    <t>USAR MT3-13065</t>
  </si>
  <si>
    <t>MTC-0257</t>
  </si>
  <si>
    <t>CH ACO 1006/1008 FQ(4.50MM)DO-1200X3000</t>
  </si>
  <si>
    <t>84C622788AFP1</t>
  </si>
  <si>
    <t>POST METRIC MAT'L.</t>
  </si>
  <si>
    <t>MT4-28414</t>
  </si>
  <si>
    <t>FORNECIMENTO MECBRUM</t>
  </si>
  <si>
    <t>84C622788AHP1</t>
  </si>
  <si>
    <t>POST METRIC MAT'L</t>
  </si>
  <si>
    <t>MT4-28415</t>
  </si>
  <si>
    <t>84B553885P1</t>
  </si>
  <si>
    <t>MPT-2825</t>
  </si>
  <si>
    <t>84C622414BEG1</t>
  </si>
  <si>
    <t>GC</t>
  </si>
  <si>
    <t>DOOR FRAME ASM</t>
  </si>
  <si>
    <t>MT3-13066</t>
  </si>
  <si>
    <t>84C622414BEG1/0-DOOR FRAME ASM x 2</t>
  </si>
  <si>
    <t>156B6277AHP1395</t>
  </si>
  <si>
    <t>STEEL SHEET METRIC</t>
  </si>
  <si>
    <t>MT4-28416</t>
  </si>
  <si>
    <t>MTC-1245</t>
  </si>
  <si>
    <t>A50E124A3</t>
  </si>
  <si>
    <t>CH ACO ASTM-A572 GRAU 50 (6.0MM) DO - 1200X3000</t>
  </si>
  <si>
    <t>84C622380DLP1</t>
  </si>
  <si>
    <t>DOOR FRAME RIGHT</t>
  </si>
  <si>
    <t>MT4-28417</t>
  </si>
  <si>
    <t>84C622380BDG1</t>
  </si>
  <si>
    <t>MT3-13067</t>
  </si>
  <si>
    <t>84C622380BDG1/0-DOOR FRAME METRIC MAT'L. x 1</t>
  </si>
  <si>
    <t>84C622380BDP1</t>
  </si>
  <si>
    <t>MT4-28418</t>
  </si>
  <si>
    <t>84B548382P1</t>
  </si>
  <si>
    <t>SHIM METRIC MAT'L.</t>
  </si>
  <si>
    <t>MT4-28419</t>
  </si>
  <si>
    <t>156B6254ADP50</t>
  </si>
  <si>
    <t>PLATE 6X12X50</t>
  </si>
  <si>
    <t>MT4-28420</t>
  </si>
  <si>
    <t>84C622380BEG1</t>
  </si>
  <si>
    <t>MT3-13068</t>
  </si>
  <si>
    <t>84C622380BEG1/0-DOOR FRAME METRIC MAT'L. x 1</t>
  </si>
  <si>
    <t>84C622380BEP1</t>
  </si>
  <si>
    <t>MT4-28421</t>
  </si>
  <si>
    <t>84C622414BFG1</t>
  </si>
  <si>
    <t>MT3-13069</t>
  </si>
  <si>
    <t>84C622414BFG1/0-DOOR FRAME ASM x 2</t>
  </si>
  <si>
    <t>84C622380BFG1</t>
  </si>
  <si>
    <t>MT3-13070</t>
  </si>
  <si>
    <t>84C622380BFG1/0-DOOR FRAME METRIC MAT'L. x 2</t>
  </si>
  <si>
    <t>84C622380BFP1</t>
  </si>
  <si>
    <t>MT4-28422</t>
  </si>
  <si>
    <t>156B6254ADP92</t>
  </si>
  <si>
    <t>PLATE 6X12X92</t>
  </si>
  <si>
    <t>MT4-28423</t>
  </si>
  <si>
    <t>84D709897BMG1</t>
  </si>
  <si>
    <t>MT3-13071</t>
  </si>
  <si>
    <t>84D709897BMG1/0-END SHEET ASM x 1</t>
  </si>
  <si>
    <t>84B519586BGG1</t>
  </si>
  <si>
    <t>CLEAT SUPT ASM METRIC MAT'L.</t>
  </si>
  <si>
    <t>MT3-13073</t>
  </si>
  <si>
    <t>84B519586BGG1/A-CLEAT SUPT ASM METRIC MAT'L. x 1</t>
  </si>
  <si>
    <t>84B519586BGP1</t>
  </si>
  <si>
    <t>MT4-28424</t>
  </si>
  <si>
    <t>41A303833G15</t>
  </si>
  <si>
    <t>BOLT</t>
  </si>
  <si>
    <t>MT3-11566</t>
  </si>
  <si>
    <t>41A303833G15/N-BOLT x 2</t>
  </si>
  <si>
    <t>N203P33B</t>
  </si>
  <si>
    <t>HEX NUT</t>
  </si>
  <si>
    <t>MTA-1197</t>
  </si>
  <si>
    <t>PORCA SEXT 5/8" S/T</t>
  </si>
  <si>
    <t>41A303833P22</t>
  </si>
  <si>
    <t>BOLT .625 X 6.31 L</t>
  </si>
  <si>
    <t>USAR MT3-11556</t>
  </si>
  <si>
    <t>41A303833P22/U-BOLT .625 X 6.31 L</t>
  </si>
  <si>
    <t>ROSCA 3/8"</t>
  </si>
  <si>
    <t>84B548024G1</t>
  </si>
  <si>
    <t>MT3-13074</t>
  </si>
  <si>
    <t>84B548024G1/0-SUPPORT ASM METRIC MAT'L. x 6</t>
  </si>
  <si>
    <t>84B548024P1</t>
  </si>
  <si>
    <t>USAR MT3-13074</t>
  </si>
  <si>
    <t>N169P21014A</t>
  </si>
  <si>
    <t>MTA-3082</t>
  </si>
  <si>
    <t>PARAF. SOLDA # 1/4"-20UNC X 7/8" COBREADO COD: N169P21014A</t>
  </si>
  <si>
    <t>41A265997P19</t>
  </si>
  <si>
    <t>TAPE RAIL 7.5X1.0X.312D</t>
  </si>
  <si>
    <t>MT4-28425</t>
  </si>
  <si>
    <t>41B519092P28</t>
  </si>
  <si>
    <t>MT4-16704</t>
  </si>
  <si>
    <t>41B519092P48</t>
  </si>
  <si>
    <t>MT4-25477</t>
  </si>
  <si>
    <t>41A267004P34</t>
  </si>
  <si>
    <t>MT4-25476</t>
  </si>
  <si>
    <t>156B6254AFP559</t>
  </si>
  <si>
    <t>PLATE 6X19X559 MM</t>
  </si>
  <si>
    <t>MT4-28426</t>
  </si>
  <si>
    <t>84C642286ABG1</t>
  </si>
  <si>
    <t>MT3-13075</t>
  </si>
  <si>
    <t>84C642286ABG1/0-BRACKET ASM x 1</t>
  </si>
  <si>
    <t>84C642286ABG2</t>
  </si>
  <si>
    <t>USAR MT3-13075</t>
  </si>
  <si>
    <t>84C642286ABG2/0-BRACKET ASM x 1</t>
  </si>
  <si>
    <t>84C642286ABP1</t>
  </si>
  <si>
    <t>N22P29060B13</t>
  </si>
  <si>
    <t>BOLT 1/2-13 X 3 3/4</t>
  </si>
  <si>
    <t>MTA-3579</t>
  </si>
  <si>
    <t>PARAF SEXT 1/2"-13UNCX3.3/4" J409 GRAU 5 ZB N22P29060B13</t>
  </si>
  <si>
    <t>N22P29044B13</t>
  </si>
  <si>
    <t>BOLT 1/2-13 X 2 3/4</t>
  </si>
  <si>
    <t>MTA-3091</t>
  </si>
  <si>
    <t>PARAF SEXT 1/2"-13UNCX2.3/4" J409 GRAU 5 ZB N22P29044B13</t>
  </si>
  <si>
    <t>N22P29028B13</t>
  </si>
  <si>
    <t>BOLT .50-13 X 1.75</t>
  </si>
  <si>
    <t>MTA-1463</t>
  </si>
  <si>
    <t xml:space="preserve">PARAF.1/2"-13 X1.3/4  N22 P29028B13 ZB GRAU 5  </t>
  </si>
  <si>
    <t>84D709897BMG2</t>
  </si>
  <si>
    <t>MT3-13072</t>
  </si>
  <si>
    <t>84D709897BMG2/0-END SHEET ASM x 1</t>
  </si>
  <si>
    <t>84D709897BMP1</t>
  </si>
  <si>
    <t>USAR MT3-13072</t>
  </si>
  <si>
    <t>N22P25018B13</t>
  </si>
  <si>
    <t>BOLT .38-16 X 1.13</t>
  </si>
  <si>
    <t>MTA-3164</t>
  </si>
  <si>
    <t>PARAF.SEXT 3/8X16 UNC X1 1/8" - GE GRAU 5</t>
  </si>
  <si>
    <t>N22P21018B13</t>
  </si>
  <si>
    <t>BOLT, HEX .25-20 X 1.125</t>
  </si>
  <si>
    <t>MTA-3578</t>
  </si>
  <si>
    <t>PARAF. SEXT. 1/4" -20UNC X 1 1/8" ZB COD: GRAU 5  N22P21018B13</t>
  </si>
  <si>
    <t>84D709897BNG1</t>
  </si>
  <si>
    <t>MT3-13076</t>
  </si>
  <si>
    <t>84D709897BNG1/0-END SHEET ASM x 1</t>
  </si>
  <si>
    <t>84A213633ABP1</t>
  </si>
  <si>
    <t>MOUNTING, PAD METRIC MAT'L.</t>
  </si>
  <si>
    <t>MPT-2826</t>
  </si>
  <si>
    <t>MOUNTING, PAD</t>
  </si>
  <si>
    <t>84C616130AKG1</t>
  </si>
  <si>
    <t>MT3-13078</t>
  </si>
  <si>
    <t>84C616130AKG1/0-SUPPORT ASM METRIC MAT'L. x 1</t>
  </si>
  <si>
    <t>84C616130AKP1</t>
  </si>
  <si>
    <t>USAR MT3-13078</t>
  </si>
  <si>
    <t>N234P15A</t>
  </si>
  <si>
    <t>W/NUT CU FLA No 8-32</t>
  </si>
  <si>
    <t>MTA-2001</t>
  </si>
  <si>
    <t>PORCA DE SOLDA SEXT. #8-32UNC COBREADO COD:N234P15A</t>
  </si>
  <si>
    <t>41B519092P11</t>
  </si>
  <si>
    <t>MT4-16703</t>
  </si>
  <si>
    <t>41B519092P22</t>
  </si>
  <si>
    <t>MT4-23234</t>
  </si>
  <si>
    <t>84C622772ADG1</t>
  </si>
  <si>
    <t>SUPT, RESISTOR METRIC MAT'L.</t>
  </si>
  <si>
    <t>MT3-13079</t>
  </si>
  <si>
    <t>84C622772ADG1/0-SUPT, RESISTOR METRIC MAT'L. x 1</t>
  </si>
  <si>
    <t>84C622772ADP1</t>
  </si>
  <si>
    <t>USAR MT3-13079</t>
  </si>
  <si>
    <t>N22P23024B13</t>
  </si>
  <si>
    <t>BOLT .312-18 X 1.50</t>
  </si>
  <si>
    <t>MTA-3130</t>
  </si>
  <si>
    <t xml:space="preserve">PARAF.SEXT 5/16 18UNC 1.1/2  N22P23024B13 </t>
  </si>
  <si>
    <t>N22P23016B13</t>
  </si>
  <si>
    <t>BOLT .312-18 X 1.00</t>
  </si>
  <si>
    <t>MTA-2116</t>
  </si>
  <si>
    <t>PARAFUSOS SEXT. 5/16"-18UNC X 25 MM GRAU 5 ZB</t>
  </si>
  <si>
    <t>84C642258ABG1</t>
  </si>
  <si>
    <t>MT3-13080</t>
  </si>
  <si>
    <t>84C642258ABG1/0-BRACKET ASM x 1</t>
  </si>
  <si>
    <t>84C642258ABG2</t>
  </si>
  <si>
    <t>USAR MT3-13080</t>
  </si>
  <si>
    <t>84C642258ABG2/A-BRACKET ASM x 1</t>
  </si>
  <si>
    <t>84C642258ABP1</t>
  </si>
  <si>
    <t>41B519092P8</t>
  </si>
  <si>
    <t>MT4-11550</t>
  </si>
  <si>
    <t>84B518462ABG1</t>
  </si>
  <si>
    <t>MT3-13081</t>
  </si>
  <si>
    <t>84B518462ABG1/0-SUPPORT ASM METRIC MAT'L. x 1</t>
  </si>
  <si>
    <t>84C602502ABP1</t>
  </si>
  <si>
    <t>MT4-28427</t>
  </si>
  <si>
    <t>84C602503ABP1</t>
  </si>
  <si>
    <t>CLAMP METRIC MAT'L</t>
  </si>
  <si>
    <t>MT4-28428</t>
  </si>
  <si>
    <t>41B519092P44</t>
  </si>
  <si>
    <t>MT4-26832</t>
  </si>
  <si>
    <t>84D709897BNG2</t>
  </si>
  <si>
    <t>MT3-13077</t>
  </si>
  <si>
    <t>84D709897BNG2/0-END SHEET ASM x 1</t>
  </si>
  <si>
    <t>84D709897BNP1</t>
  </si>
  <si>
    <t>USAR MT3-13077</t>
  </si>
  <si>
    <t>N169P25020A</t>
  </si>
  <si>
    <t>MTA-3552</t>
  </si>
  <si>
    <t>PARAF. DE SOLDA 3/8 16UNC X 1 1/4" COBREADO</t>
  </si>
  <si>
    <t>499A918BAP3</t>
  </si>
  <si>
    <t>LOCKNUT .75 CONDUIT</t>
  </si>
  <si>
    <t>MTA-3195</t>
  </si>
  <si>
    <t>PORCA TRAVA DE ACO 34 499A918BAP3</t>
  </si>
  <si>
    <t>84C622457ANG1</t>
  </si>
  <si>
    <t xml:space="preserve">END SHEET ASM	</t>
  </si>
  <si>
    <t>MT3-13082</t>
  </si>
  <si>
    <t>84C622457ANG1/0-END SHEET ASM	 x 1</t>
  </si>
  <si>
    <t>84C622457ANP1</t>
  </si>
  <si>
    <t>SHEET METRIC MAT'L</t>
  </si>
  <si>
    <t>MT4-28429</t>
  </si>
  <si>
    <t>41B519092P56</t>
  </si>
  <si>
    <t>MT4-25290</t>
  </si>
  <si>
    <t>84B519586BFG1</t>
  </si>
  <si>
    <t>CLEAT ASM METRIC MAT'L.</t>
  </si>
  <si>
    <t>MT3-13083</t>
  </si>
  <si>
    <t>84B519586BFG1/0-CLEAT ASM METRIC MAT'L. x 1</t>
  </si>
  <si>
    <t>84B519586BFP1</t>
  </si>
  <si>
    <t>MT4-28430</t>
  </si>
  <si>
    <t>41A303833G7</t>
  </si>
  <si>
    <t>BOLT .62-11X7.44</t>
  </si>
  <si>
    <t>AC</t>
  </si>
  <si>
    <t>MT3-13084</t>
  </si>
  <si>
    <t>41A303833G7/H-BOLT .62-11X7.44 x 2</t>
  </si>
  <si>
    <t>41A303833P8</t>
  </si>
  <si>
    <t>BOLT .62-11X 8.00 L</t>
  </si>
  <si>
    <t>L</t>
  </si>
  <si>
    <t>USAR MT3-13084</t>
  </si>
  <si>
    <t>41A303833P8/L-BOLT .62-11X 8.00 L</t>
  </si>
  <si>
    <t>84D709922BNG1</t>
  </si>
  <si>
    <t>DIVIDER WALL ASM</t>
  </si>
  <si>
    <t>MT3-13085</t>
  </si>
  <si>
    <t>84D709922BNG1/0-DIVIDER WALL ASM x 1</t>
  </si>
  <si>
    <t>84B553866ABP1</t>
  </si>
  <si>
    <t>MT4-28431</t>
  </si>
  <si>
    <t>84B108162AEG1</t>
  </si>
  <si>
    <t>MT3-13087</t>
  </si>
  <si>
    <t>CONFERIR ESPESSURA</t>
  </si>
  <si>
    <t>84B108162AEG1/0-CHANNEL METRIC MAT'L. x 1</t>
  </si>
  <si>
    <t>84B108162AEP1</t>
  </si>
  <si>
    <t>USAR MT3-13087</t>
  </si>
  <si>
    <t>41A255681P11</t>
  </si>
  <si>
    <t>TAPE RAIL 19.0X1.5X.312D</t>
  </si>
  <si>
    <t>MT4-25357</t>
  </si>
  <si>
    <t>41A255681P1</t>
  </si>
  <si>
    <t>TAPE RAIL 9.0X1.5X.312D</t>
  </si>
  <si>
    <t>MT4-23227</t>
  </si>
  <si>
    <t>41A265996P17</t>
  </si>
  <si>
    <t>TAPE RAIL 7.0X2.0X.312D</t>
  </si>
  <si>
    <t>MT4-10121</t>
  </si>
  <si>
    <t>41A265996P1</t>
  </si>
  <si>
    <t>TAPE RAIL 3.0X2.0X.312D</t>
  </si>
  <si>
    <t>MT4-17981</t>
  </si>
  <si>
    <t>84D709922BNG2</t>
  </si>
  <si>
    <t>MT3-13086</t>
  </si>
  <si>
    <t>84D709922BNG2/0-DIVIDER WALL ASM x 1</t>
  </si>
  <si>
    <t>84D709922BNP1</t>
  </si>
  <si>
    <t>DIVIDER WALL</t>
  </si>
  <si>
    <t>USAR MT3-13086</t>
  </si>
  <si>
    <t>84D709922BPG1</t>
  </si>
  <si>
    <t>MT3-13088</t>
  </si>
  <si>
    <t>84D709922BPG1/0-DIVIDER WALL ASM x 1</t>
  </si>
  <si>
    <t>84B105610ACG1</t>
  </si>
  <si>
    <t>MT3-13090</t>
  </si>
  <si>
    <t>84B105610ACG1/0-BRACKET ASM METRIC MAT'L. x 1</t>
  </si>
  <si>
    <t>84B105610ACP1</t>
  </si>
  <si>
    <t>USAR MT3-13090</t>
  </si>
  <si>
    <t>41A323399PF20</t>
  </si>
  <si>
    <t>PRESS STUD No 10-32X1.25</t>
  </si>
  <si>
    <t>MTA-2231</t>
  </si>
  <si>
    <t>PARAFUSO SELFCLINCHING DIMEN 1032 X 125IN 41A323399PF20</t>
  </si>
  <si>
    <t>84B529777ACP1</t>
  </si>
  <si>
    <t>MT4-28432</t>
  </si>
  <si>
    <t>41B519092P79</t>
  </si>
  <si>
    <t>MT4-25482</t>
  </si>
  <si>
    <t>41B519092P30</t>
  </si>
  <si>
    <t>MT4-16688</t>
  </si>
  <si>
    <t>84D709922BPG2</t>
  </si>
  <si>
    <t>MT3-13089</t>
  </si>
  <si>
    <t>84D709922BPG2/0-DIVIDER WALL ASM x 1</t>
  </si>
  <si>
    <t>84D709922BPP1</t>
  </si>
  <si>
    <t>USAR MT3-13089</t>
  </si>
  <si>
    <t>41A323399PH14</t>
  </si>
  <si>
    <t>PRESS STUD .25-20X.875</t>
  </si>
  <si>
    <t>MTA-2233</t>
  </si>
  <si>
    <t>PARAFUSO DIMEN 2520IN X 088IN 41A323399PH14</t>
  </si>
  <si>
    <t>84B520686ACG1</t>
  </si>
  <si>
    <t>MT3-13091</t>
  </si>
  <si>
    <t>84B520686ACG1/0-SUPPORT ASM METRIC MAT'L. x 1</t>
  </si>
  <si>
    <t>84B520686ACP1</t>
  </si>
  <si>
    <t>MT4-28433</t>
  </si>
  <si>
    <t>84A213751ABP1</t>
  </si>
  <si>
    <t>MT4-28434</t>
  </si>
  <si>
    <t>499A919AYP10</t>
  </si>
  <si>
    <t>CPLG STL COUP. .25</t>
  </si>
  <si>
    <t>MPT-2405</t>
  </si>
  <si>
    <t>84B537034ABP1</t>
  </si>
  <si>
    <t>MT4-28435</t>
  </si>
  <si>
    <t>B50E124A3 "HSS"</t>
  </si>
  <si>
    <t>84B531526AEG1</t>
  </si>
  <si>
    <t>MT3-13092</t>
  </si>
  <si>
    <t>84B531526AEG1/0-BRACKET ASM x 1</t>
  </si>
  <si>
    <t>84B531526AEP1</t>
  </si>
  <si>
    <t>BRACKET METRIC MAT'L</t>
  </si>
  <si>
    <t>USAR MT3-13092</t>
  </si>
  <si>
    <t>84C607594ABP1</t>
  </si>
  <si>
    <t>COVER METRIC MAT'L.</t>
  </si>
  <si>
    <t>MT4-28436</t>
  </si>
  <si>
    <t>84B521697ADG1</t>
  </si>
  <si>
    <t>MT3-13093</t>
  </si>
  <si>
    <t>84B521697ADG1/0-BRACKET ASM METRIC MAT'L. x 1</t>
  </si>
  <si>
    <t>84B521697ADP1</t>
  </si>
  <si>
    <t>USAR MT3-13093</t>
  </si>
  <si>
    <t>N22P29020B13</t>
  </si>
  <si>
    <t>BOLT .50-13 X 1.25</t>
  </si>
  <si>
    <t>MTA-3046</t>
  </si>
  <si>
    <t>PARAFUSO 1/2-13UNCX1 1 1/4 GRAU 5  N22P29020B13</t>
  </si>
  <si>
    <t>84C638773P1</t>
  </si>
  <si>
    <t>MT4-28437</t>
  </si>
  <si>
    <t>84C604846AGG1</t>
  </si>
  <si>
    <t>SUPT, BLOWER METRIC MAT'L.</t>
  </si>
  <si>
    <t>MT3-13094</t>
  </si>
  <si>
    <t>84C604846AGG1/0-SUPT, BLOWER METRIC MAT'L. x 1</t>
  </si>
  <si>
    <t>84C604846AGP1</t>
  </si>
  <si>
    <t>USAR MT3-13094</t>
  </si>
  <si>
    <t>N258P35B13</t>
  </si>
  <si>
    <t>NUT .75</t>
  </si>
  <si>
    <t>MTA-3166</t>
  </si>
  <si>
    <t>PORCA  SEXT. #3/4" - 10"UNC ZB COD:(N258P35B13)</t>
  </si>
  <si>
    <t>84C622771ACG1</t>
  </si>
  <si>
    <t>MT3-13095</t>
  </si>
  <si>
    <t>84C622771ACG1/0-SUPPORT ASM METRIC MAT'L. x 1</t>
  </si>
  <si>
    <t>84C622771ACP1</t>
  </si>
  <si>
    <t>USAR MT3-13095</t>
  </si>
  <si>
    <t>41A323399PH12</t>
  </si>
  <si>
    <t>PRESS STUD .25-20X.75LG</t>
  </si>
  <si>
    <t>MTA-2227</t>
  </si>
  <si>
    <t>ESTOJO ROSCADO DIMEN 14IN X COMP 34IN 41A323399PH12</t>
  </si>
  <si>
    <t>84C638766ABG1</t>
  </si>
  <si>
    <t>TUBING</t>
  </si>
  <si>
    <t>MT3-13096</t>
  </si>
  <si>
    <t>84C638766ABG1/0-TUBING x 1</t>
  </si>
  <si>
    <t>84C638766ABP1</t>
  </si>
  <si>
    <t>MT4-28438</t>
  </si>
  <si>
    <t>156B1002ADP160</t>
  </si>
  <si>
    <t>MT4-25527</t>
  </si>
  <si>
    <t>84B521620ACP1</t>
  </si>
  <si>
    <t>MT4-28439</t>
  </si>
  <si>
    <t>84B547763P1</t>
  </si>
  <si>
    <t>MT4-28440</t>
  </si>
  <si>
    <t>84C659392ABP1</t>
  </si>
  <si>
    <t>MT4-28441</t>
  </si>
  <si>
    <t>156B6254AJP562</t>
  </si>
  <si>
    <t>SHEET 6X27X562</t>
  </si>
  <si>
    <t>MT4-28442</t>
  </si>
  <si>
    <t>156B6251AHP50</t>
  </si>
  <si>
    <t>MT4-28443</t>
  </si>
  <si>
    <t>156B6252AJP552</t>
  </si>
  <si>
    <t>SHEET 3X27X552</t>
  </si>
  <si>
    <t>MT4-28444</t>
  </si>
  <si>
    <t>84B530291AFP1</t>
  </si>
  <si>
    <t>DOUBLER</t>
  </si>
  <si>
    <t>MT4-28445</t>
  </si>
  <si>
    <t>84B517981ABP1</t>
  </si>
  <si>
    <t>FILLER METRIC-MAT'L.</t>
  </si>
  <si>
    <t>MT4-28446</t>
  </si>
  <si>
    <t>84A213431ABP1</t>
  </si>
  <si>
    <t>MT4-28447</t>
  </si>
  <si>
    <t>156B6251ADP50</t>
  </si>
  <si>
    <t>SHEET 2.5X12X50</t>
  </si>
  <si>
    <t>MT4-28448</t>
  </si>
  <si>
    <t>41B565073AFG1/0-GROUND BLOCK METRIC MAT'L. x 9</t>
  </si>
  <si>
    <t>156B6252AHP305</t>
  </si>
  <si>
    <t>SHEET .12X.94.12</t>
  </si>
  <si>
    <t>MT4-28449</t>
  </si>
  <si>
    <t>156B6252BFP122</t>
  </si>
  <si>
    <t>SHEET 3X75X122</t>
  </si>
  <si>
    <t>MT4-28450</t>
  </si>
  <si>
    <t>84A213436ABP1</t>
  </si>
  <si>
    <t>BAFFLE METRIC-MAT'L.</t>
  </si>
  <si>
    <t>MT4-28451</t>
  </si>
  <si>
    <t>84B518005ABP1</t>
  </si>
  <si>
    <t>MT4-28452</t>
  </si>
  <si>
    <t>84B518006ACP1</t>
  </si>
  <si>
    <t>MT4-28453</t>
  </si>
  <si>
    <t>84B518006ADP1</t>
  </si>
  <si>
    <t>MT4-28454</t>
  </si>
  <si>
    <t>84B518465ACP1</t>
  </si>
  <si>
    <t>CHANNEL MATRIC-MAT'L.</t>
  </si>
  <si>
    <t>MT4-28455</t>
  </si>
  <si>
    <t>495A100P49</t>
  </si>
  <si>
    <t>MT4-28456</t>
  </si>
  <si>
    <t>41B519092P20</t>
  </si>
  <si>
    <t>MT4-18121</t>
  </si>
  <si>
    <t>41B519092P31</t>
  </si>
  <si>
    <t>MT4-18120</t>
  </si>
  <si>
    <t>495A101P183</t>
  </si>
  <si>
    <t>TAPE RAIL 4.0X13.62X.375D</t>
  </si>
  <si>
    <t>MT4-28457</t>
  </si>
  <si>
    <t>495A101P96</t>
  </si>
  <si>
    <t>TAPE RAIL 4.0X31.88X.375D</t>
  </si>
  <si>
    <t>MT4-28459</t>
  </si>
  <si>
    <t>84C623080P1</t>
  </si>
  <si>
    <t>MT4-28460</t>
  </si>
  <si>
    <t>84B517960P1</t>
  </si>
  <si>
    <t>TOOL PERPENDICULAR</t>
  </si>
  <si>
    <t>MT4-28461</t>
  </si>
  <si>
    <t>ESTE ITEM SERÁ FABRICADO APENAS 1 PEÇA - É GABARITO</t>
  </si>
  <si>
    <t>84B521673ABG1</t>
  </si>
  <si>
    <t>COVER ASM METRIC MAT'L.</t>
  </si>
  <si>
    <t>MT6-7290</t>
  </si>
  <si>
    <t>PINTADO POWER COAT</t>
  </si>
  <si>
    <t>84B521673ABG1/0-COVER ASM METRIC MAT'L. x 1</t>
  </si>
  <si>
    <t>84B521673ABP1</t>
  </si>
  <si>
    <t>USAR MT3-7690</t>
  </si>
  <si>
    <t>84A220107P1</t>
  </si>
  <si>
    <t>MMP-0284</t>
  </si>
  <si>
    <t>GASKET PECA 84A220107P1</t>
  </si>
  <si>
    <t>84A220108P1</t>
  </si>
  <si>
    <t>MMP-0265</t>
  </si>
  <si>
    <t>GASKET PECA 84A220108P1</t>
  </si>
  <si>
    <t>N22P21012B13</t>
  </si>
  <si>
    <t>BOLT .25-20 X .75</t>
  </si>
  <si>
    <t>MTA-1384</t>
  </si>
  <si>
    <t>PARAF.SEXT 1/4-20X0,75" UNC - GE GRAU 5</t>
  </si>
  <si>
    <t>N402AP11B13</t>
  </si>
  <si>
    <t>WASHER .25 NARROW</t>
  </si>
  <si>
    <t>MTA-3165</t>
  </si>
  <si>
    <t>ARRUELA LISA 1/4" ZB (N402AP11B13)</t>
  </si>
  <si>
    <t>N405P41B13</t>
  </si>
  <si>
    <t>LOCKWASHER .25</t>
  </si>
  <si>
    <t>MTA-0394</t>
  </si>
  <si>
    <t>ARRUELA PRESSAO 1/4" ZB</t>
  </si>
  <si>
    <t>84B534132AHP1</t>
  </si>
  <si>
    <t>MT4-28462</t>
  </si>
  <si>
    <t>MTB-0466</t>
  </si>
  <si>
    <t>TUBO HIDRAULICO AÇO SAE J524/J525 Ø 1" # 2,5 MM (6MT)</t>
  </si>
  <si>
    <t>84B534132AGP1</t>
  </si>
  <si>
    <t>MT4-25188</t>
  </si>
  <si>
    <t>84B523442ABG1</t>
  </si>
  <si>
    <t>MT3-13097</t>
  </si>
  <si>
    <t>84B523442ABG1/0-SUPPORT ASM METRIC MAT'L. x 3</t>
  </si>
  <si>
    <t>84B523442ABP1</t>
  </si>
  <si>
    <t>USAR MT3-13097</t>
  </si>
  <si>
    <t>84A226617ACP1</t>
  </si>
  <si>
    <t>MT4-28463</t>
  </si>
  <si>
    <t>41B549467ABG1</t>
  </si>
  <si>
    <t>LIFTING LUG METRIC MAT'L.</t>
  </si>
  <si>
    <t>MT3-13098</t>
  </si>
  <si>
    <t>FABRICAR PARA TRANSPORTE DA CABINE APENAS JOGO PARA 1 CABINE - AGUARDO RETORNO MOIZES PARA VER SE PODE SER USADO A36</t>
  </si>
  <si>
    <t>41B549467ABG1/0-LIFTING LUG METRIC MAT'L. x A/R</t>
  </si>
  <si>
    <t>41B549467ABP1</t>
  </si>
  <si>
    <t>MT4-28464</t>
  </si>
  <si>
    <t>MTC-1173</t>
  </si>
  <si>
    <t>CH ACO A36 FQ(15.87MM)-1200X3000</t>
  </si>
  <si>
    <t>FABRICAR PARA TRANSPORTE DA CABINE APENAS JOGO PARA 1 CABINE</t>
  </si>
  <si>
    <t>41B549467ABP2</t>
  </si>
  <si>
    <t>MT4-28465</t>
  </si>
  <si>
    <t>41B549467ABP3</t>
  </si>
  <si>
    <t>LUG METRIC MAT'L.</t>
  </si>
  <si>
    <t>MT4-28466</t>
  </si>
  <si>
    <t>MTC-0578</t>
  </si>
  <si>
    <t>CH ACO A36 FQ(25.4MM)-1200X2000</t>
  </si>
  <si>
    <t>41A315656AJP1</t>
  </si>
  <si>
    <t>MT4-28467</t>
  </si>
  <si>
    <t>N22P35032B13</t>
  </si>
  <si>
    <t>BOLT HEX .75-10X2.00</t>
  </si>
  <si>
    <t>MTA-2358</t>
  </si>
  <si>
    <t>PARAF SEXT 3/4X2- 10UNC ZB -N22P35032B13 GRAU 5 ZB</t>
  </si>
  <si>
    <t>41B548248AEP1</t>
  </si>
  <si>
    <t>MPT-2828</t>
  </si>
  <si>
    <t>BLOCK TAP</t>
  </si>
  <si>
    <t>41B548249ACP1</t>
  </si>
  <si>
    <t>MPT-2829</t>
  </si>
  <si>
    <t>84B535904ABP1</t>
  </si>
  <si>
    <t>MT4-28468</t>
  </si>
  <si>
    <t>84D732958AEG1</t>
  </si>
  <si>
    <t>MT3-13099</t>
  </si>
  <si>
    <t>84D732958AEG1/0-BRACKET ASM x 1</t>
  </si>
  <si>
    <t>84D732958AEG2</t>
  </si>
  <si>
    <t>MT3-13100</t>
  </si>
  <si>
    <t>84D732958AEG2/0-BRACKET ASM x 1</t>
  </si>
  <si>
    <t>84D732958AEP1</t>
  </si>
  <si>
    <t>USAR MT3-13100</t>
  </si>
  <si>
    <t>41B519092P14</t>
  </si>
  <si>
    <t>MT4-26044</t>
  </si>
  <si>
    <t>41B548249ADP1</t>
  </si>
  <si>
    <t>MPT-2830</t>
  </si>
  <si>
    <t>BLOCK - TAP</t>
  </si>
  <si>
    <t>156B6407BFP343</t>
  </si>
  <si>
    <t>MPT-2831</t>
  </si>
  <si>
    <t>84D733995ACG1</t>
  </si>
  <si>
    <t>FRAME ASM METRIC MAT'L.</t>
  </si>
  <si>
    <t>MT3-13101</t>
  </si>
  <si>
    <t>84D733995ACG1/0-FRAME ASM METRIC MAT'L. x 1</t>
  </si>
  <si>
    <t>84D733995ACG2</t>
  </si>
  <si>
    <t>FRAME ASM</t>
  </si>
  <si>
    <t>MT3-13102</t>
  </si>
  <si>
    <t>84D733995ACG2/0-FRAME ASM x 1</t>
  </si>
  <si>
    <t>84D733995ACP1</t>
  </si>
  <si>
    <t>FRAME METRIC MAT'L.</t>
  </si>
  <si>
    <t>USAR MT3-13102</t>
  </si>
  <si>
    <t>N169P25016A</t>
  </si>
  <si>
    <t>SCREW, WLD 3/8-16 X 1</t>
  </si>
  <si>
    <t>PARAFUSO WLD 3/8 16 X 1 N169P25016A</t>
  </si>
  <si>
    <t>156B6252AGP50</t>
  </si>
  <si>
    <t>SHIM 3MMX21MMX50MM</t>
  </si>
  <si>
    <t>MT4-28469</t>
  </si>
  <si>
    <t>156B6251ANP76</t>
  </si>
  <si>
    <t>MT4-28470</t>
  </si>
  <si>
    <t>84C622433AJG1</t>
  </si>
  <si>
    <t>DOOR CASE METRIC MAT'L.</t>
  </si>
  <si>
    <t>MT3-13103</t>
  </si>
  <si>
    <t>84C622433AJG1/0-DOOR CASE METRIC MAT'L. x 2</t>
  </si>
  <si>
    <t>84C622433AJP1</t>
  </si>
  <si>
    <t>USAR MT3-13103</t>
  </si>
  <si>
    <t>84B517658AMP1</t>
  </si>
  <si>
    <t>RAIN GUTTER</t>
  </si>
  <si>
    <t>MT4-28471</t>
  </si>
  <si>
    <t>84B517658ALP1</t>
  </si>
  <si>
    <t>MT4-28472</t>
  </si>
  <si>
    <t>84C622330ALG1</t>
  </si>
  <si>
    <t>CORNER ANGLE ASM</t>
  </si>
  <si>
    <t>MT3-13104</t>
  </si>
  <si>
    <t>84C622330ALG1/0-CORNER ANGLE ASM x 1</t>
  </si>
  <si>
    <t>84C622330ALG2</t>
  </si>
  <si>
    <t>MT3-13105</t>
  </si>
  <si>
    <t>84C622330ALG2/0-CORNER ANGLE ASM x 1</t>
  </si>
  <si>
    <t>84C622330ALP1</t>
  </si>
  <si>
    <t>CORNER ANGLE</t>
  </si>
  <si>
    <t>USAR MT3-13105</t>
  </si>
  <si>
    <t>41A265996P65</t>
  </si>
  <si>
    <t>TAPE RAIL 19.0X2.0X.312D</t>
  </si>
  <si>
    <t>MT4-23334</t>
  </si>
  <si>
    <t>84C622433AHG1</t>
  </si>
  <si>
    <t>MT3-13106</t>
  </si>
  <si>
    <t>84C622433AHG1/0-DOOR CASE METRIC MAT'L. x 2</t>
  </si>
  <si>
    <t>84C622433AHP1</t>
  </si>
  <si>
    <t>USAR MT3-13106</t>
  </si>
  <si>
    <t>84C622330AKG1</t>
  </si>
  <si>
    <t>MT3-13107</t>
  </si>
  <si>
    <t>84C622330AKG1/0-CORNER ANGLE ASM x 1</t>
  </si>
  <si>
    <t>84C622330AKG2</t>
  </si>
  <si>
    <t>MT3-13108</t>
  </si>
  <si>
    <t>84C622330AKG2/0-CORNER ANGLE ASM x 1</t>
  </si>
  <si>
    <t>84C622330AKP1</t>
  </si>
  <si>
    <t>USAR MT3-13108</t>
  </si>
  <si>
    <t>41A326608P6</t>
  </si>
  <si>
    <t>MT4-28473</t>
  </si>
  <si>
    <t>84C604846AHP1</t>
  </si>
  <si>
    <t>MT4-28474</t>
  </si>
  <si>
    <t>84D730595AGG1</t>
  </si>
  <si>
    <t>MT3-13109</t>
  </si>
  <si>
    <t>84D730595AGG1/C-SUPPORT ASM METRIC MAT'L. x 1</t>
  </si>
  <si>
    <t>84D730595AGP1</t>
  </si>
  <si>
    <t>USAR MT3-13109</t>
  </si>
  <si>
    <t>84C638900ABP1</t>
  </si>
  <si>
    <t>POCKET</t>
  </si>
  <si>
    <t>MT4-28475</t>
  </si>
  <si>
    <t>156B1002ADP66</t>
  </si>
  <si>
    <t>ROUND BAR .31 DIA X 4.125</t>
  </si>
  <si>
    <t>MT4-28476</t>
  </si>
  <si>
    <t>84B517604AEP1</t>
  </si>
  <si>
    <t>VANE METRIC MAT'L.</t>
  </si>
  <si>
    <t>MT4-28477</t>
  </si>
  <si>
    <t>84B517605AEP1</t>
  </si>
  <si>
    <t>MT4-28478</t>
  </si>
  <si>
    <t>84B517606ACP1</t>
  </si>
  <si>
    <t>SIDE SHEET METRIC MAT'L</t>
  </si>
  <si>
    <t>MT4-28479</t>
  </si>
  <si>
    <t>84B517607ABP1</t>
  </si>
  <si>
    <t>SIDE SHEET METRIC MAT'L.</t>
  </si>
  <si>
    <t>MT4-28480</t>
  </si>
  <si>
    <t>84B521739AFP1</t>
  </si>
  <si>
    <t>MT4-28481</t>
  </si>
  <si>
    <t>84B521739AGP1</t>
  </si>
  <si>
    <t>MT4-28482</t>
  </si>
  <si>
    <t>84C659392P1</t>
  </si>
  <si>
    <t>MT4-28483</t>
  </si>
  <si>
    <t>41A265996P53</t>
  </si>
  <si>
    <t>TAPE RAIL 16.0X2.0X.312D</t>
  </si>
  <si>
    <t>MT4-28484</t>
  </si>
  <si>
    <t>155B9085ASP80</t>
  </si>
  <si>
    <t>MT4-28485</t>
  </si>
  <si>
    <t>84B555865G1</t>
  </si>
  <si>
    <t>BRACKET ASSEMBLY</t>
  </si>
  <si>
    <t>MT3-13110</t>
  </si>
  <si>
    <t>84B555865G1/0-BRACKET ASSEMBLY x 6</t>
  </si>
  <si>
    <t>84B555865P1</t>
  </si>
  <si>
    <t>USAR MT3-13110</t>
  </si>
  <si>
    <t>84C604190ABG2</t>
  </si>
  <si>
    <t>BAFFLE ASM</t>
  </si>
  <si>
    <t>MTA-3598</t>
  </si>
  <si>
    <t>BAFFLE ASM 84C604190ABG2</t>
  </si>
  <si>
    <t>84C604190ABG2/0-BAFFLE ASM x 1</t>
  </si>
  <si>
    <t>84C616476AFP2</t>
  </si>
  <si>
    <t>BAFFLE</t>
  </si>
  <si>
    <t>MT5-28295</t>
  </si>
  <si>
    <t>USAR MTA-3598</t>
  </si>
  <si>
    <t>B8A8A</t>
  </si>
  <si>
    <t>AÇO FF</t>
  </si>
  <si>
    <t>CH PERF.ACO GALV.#16-1200X3000F3,00EC4,76- ALTERNADO</t>
  </si>
  <si>
    <t>84A204537ADP2</t>
  </si>
  <si>
    <t>INSULATION BAFFLE</t>
  </si>
  <si>
    <t>A7A12B1/A2L3A3</t>
  </si>
  <si>
    <t>BAFFLE CORE 84A204537ADP2</t>
  </si>
  <si>
    <t>84C604030ABG1</t>
  </si>
  <si>
    <t>END CAP</t>
  </si>
  <si>
    <t>MT3-13111</t>
  </si>
  <si>
    <t>84C604030ABG1/0-END CAP x 1</t>
  </si>
  <si>
    <t>84C604030ABP1</t>
  </si>
  <si>
    <t>USAR MT3-13111</t>
  </si>
  <si>
    <t>41A323399PH10</t>
  </si>
  <si>
    <t>STUD .25-20 X .62</t>
  </si>
  <si>
    <t>PARAFUSO DIMEN 2520IN X 062IN 41A323399PH10</t>
  </si>
  <si>
    <t>84C604030ABG2</t>
  </si>
  <si>
    <t>MT3-13112</t>
  </si>
  <si>
    <t>84C604030ABG2/0-END CAP x 1</t>
  </si>
  <si>
    <t>84C604030ABP2</t>
  </si>
  <si>
    <t>USAR MT3-13112</t>
  </si>
  <si>
    <t>84B519553ABG1/0-SUPPORT x 2</t>
  </si>
  <si>
    <t>84B519553ABG1</t>
  </si>
  <si>
    <t>MT3-13113</t>
  </si>
  <si>
    <t>84B519553ABP1</t>
  </si>
  <si>
    <t>USAR MT3-13113</t>
  </si>
  <si>
    <t>41B560008P11</t>
  </si>
  <si>
    <t>LOCKNUT .25-20</t>
  </si>
  <si>
    <t>PORCA PARLOCK 0,25-20 UNC-3B - 41B560008P11</t>
  </si>
  <si>
    <t>41A244573P5</t>
  </si>
  <si>
    <t>POP RIVET .187 X .250 SST</t>
  </si>
  <si>
    <t>REBITE POP 4.8X10 INOX 304</t>
  </si>
  <si>
    <t>84C604190G1</t>
  </si>
  <si>
    <t>MTA-3597</t>
  </si>
  <si>
    <t>BAFFLE ASM 84C604190G1</t>
  </si>
  <si>
    <t>84C604190G1/0-BAFFLE ASM x 2</t>
  </si>
  <si>
    <t>84C616476AFP1</t>
  </si>
  <si>
    <t>MT5-28296</t>
  </si>
  <si>
    <t>USAR MTA-3597</t>
  </si>
  <si>
    <t>84A204537ADP1</t>
  </si>
  <si>
    <t>BAFFLE CORE 84A204537ADP1</t>
  </si>
  <si>
    <t>84C604030G1</t>
  </si>
  <si>
    <t>BAFFLE END</t>
  </si>
  <si>
    <t>MT3-13114</t>
  </si>
  <si>
    <t>84C604030G1/0-BAFFLE END x 2</t>
  </si>
  <si>
    <t>84C604030P1</t>
  </si>
  <si>
    <t>USAR MT3-13114</t>
  </si>
  <si>
    <t>AVALIAR SE PODE SER FEITO COM #2,65 MM, OU DEVE MUDAR PARA #2,25 MM, ITEM BBI</t>
  </si>
  <si>
    <t>84C604190ABG1</t>
  </si>
  <si>
    <t>MTA-3596</t>
  </si>
  <si>
    <t xml:space="preserve">BAFFLE ASM </t>
  </si>
  <si>
    <t>84C604190ABG1/0-BAFFLE ASM x 1</t>
  </si>
  <si>
    <t>USAR MTA-3596</t>
  </si>
  <si>
    <t>84C604030ABG1/0-END CAP x 2</t>
  </si>
  <si>
    <t>41A250668P71</t>
  </si>
  <si>
    <t>WASHER</t>
  </si>
  <si>
    <t>AF</t>
  </si>
  <si>
    <t>MT5-28297</t>
  </si>
  <si>
    <t>N405P43B13</t>
  </si>
  <si>
    <t>LOCKWASHER .38</t>
  </si>
  <si>
    <t>MTA-1447</t>
  </si>
  <si>
    <t>ARRUELA PRESSAO 3/8 ZB</t>
  </si>
  <si>
    <t>N405P42B13</t>
  </si>
  <si>
    <t>LOCKWASHER 5/16 REG</t>
  </si>
  <si>
    <t>MTA-2118</t>
  </si>
  <si>
    <t xml:space="preserve">ARRUELAS DE PRESSÃO Ø 5/16" Z.B NORMA ANSI B18.21.1 (N405P42B13) </t>
  </si>
  <si>
    <t>AVALIAR SE HÁ NECESSIDADE DE FAZER DESVIO PARA ESSA PEÇA (DESENHO PEDE PARA SER FEITO EM CHAPA).</t>
  </si>
  <si>
    <t>84C604141ABG1</t>
  </si>
  <si>
    <t>COVER ASM</t>
  </si>
  <si>
    <t>MT3-13115</t>
  </si>
  <si>
    <t>84C604141ABG1/0-COVER ASM x 1</t>
  </si>
  <si>
    <t>84C604141ABG2</t>
  </si>
  <si>
    <t>MT3-13116</t>
  </si>
  <si>
    <t>84C604141ABG2/0-COVER ASM x 1</t>
  </si>
  <si>
    <t>84C604141ABP1</t>
  </si>
  <si>
    <t>USAR MT3-13116</t>
  </si>
  <si>
    <t>N22P23064B13</t>
  </si>
  <si>
    <t>SCREW .312-18X4.00</t>
  </si>
  <si>
    <t>MTA-2394</t>
  </si>
  <si>
    <t xml:space="preserve">PARAF.SEXT 5/16''X4"-18UNC - N22P23064B13 GRAU 5 </t>
  </si>
  <si>
    <t>495A101P208</t>
  </si>
  <si>
    <t>TAPE RAIL 10X12X.375D</t>
  </si>
  <si>
    <t>MT4-25217</t>
  </si>
  <si>
    <t>84A215013P1</t>
  </si>
  <si>
    <t>MPT-2832</t>
  </si>
  <si>
    <t>B4A2A</t>
  </si>
  <si>
    <t>84B519631ABP1</t>
  </si>
  <si>
    <t>MMP-NOVO-1</t>
  </si>
  <si>
    <t>GASKET 84B519631ABP1</t>
  </si>
  <si>
    <t>497A806P12</t>
  </si>
  <si>
    <t>CEMENT IRON GRIP</t>
  </si>
  <si>
    <t>DK</t>
  </si>
  <si>
    <t>MTI-0450</t>
  </si>
  <si>
    <t>ADESIVO NEUTRO 3M - 1357 - GL 3,7 LTS</t>
  </si>
  <si>
    <t>N402P42B13</t>
  </si>
  <si>
    <t>WASHER .312 REG</t>
  </si>
  <si>
    <t>MTA-2334</t>
  </si>
  <si>
    <t>ARRUELA LISA 5/16" ZB N402P42B13</t>
  </si>
  <si>
    <t>84D713550BCG1</t>
  </si>
  <si>
    <t>DOOR ARRGT</t>
  </si>
  <si>
    <t>MT6-7287</t>
  </si>
  <si>
    <t>84D713550BCG1/0-DOOR ARRGT x 1</t>
  </si>
  <si>
    <t>84D734717BZG1</t>
  </si>
  <si>
    <t>DOOR ASM</t>
  </si>
  <si>
    <t>MT6-7276
MT3-12993</t>
  </si>
  <si>
    <t>84D734717BZG1/0-DOOR ASM x 1</t>
  </si>
  <si>
    <t>84D734718BXG1</t>
  </si>
  <si>
    <t>DOOR ASM METRIC MAT'L</t>
  </si>
  <si>
    <t>MT3-12994</t>
  </si>
  <si>
    <t>84D734718BXG1/0-DOOR ASM METRIC MAT'L x 1</t>
  </si>
  <si>
    <t>84D734718BXP1</t>
  </si>
  <si>
    <t>DOOR METRIC MATL.</t>
  </si>
  <si>
    <t>MT4-28327</t>
  </si>
  <si>
    <t>84B547453ABP1</t>
  </si>
  <si>
    <t>MT4-28328</t>
  </si>
  <si>
    <t>84D734718DSG1</t>
  </si>
  <si>
    <t>MT3-12995</t>
  </si>
  <si>
    <t>84D734718DSG1/0-DOOR ASM x 1</t>
  </si>
  <si>
    <t>41B565073AFG1/0-GROUND BLOCK METRIC MAT'L. x 2</t>
  </si>
  <si>
    <t>84B547453P1</t>
  </si>
  <si>
    <t>MT4-28323</t>
  </si>
  <si>
    <t>156B6271APP1326</t>
  </si>
  <si>
    <t>SHEET 2.5X42X1326</t>
  </si>
  <si>
    <t>MT4-28324</t>
  </si>
  <si>
    <t>84D734718DSG2</t>
  </si>
  <si>
    <t>MT3-13117</t>
  </si>
  <si>
    <t>84D734718DSG2/0-DOOR ASM x 1</t>
  </si>
  <si>
    <t>84D734718DSP1</t>
  </si>
  <si>
    <t>DOOR</t>
  </si>
  <si>
    <t>USAR MT3-13117</t>
  </si>
  <si>
    <t>84B548815ACP1</t>
  </si>
  <si>
    <t>MT4-22032</t>
  </si>
  <si>
    <t>MTA-3457</t>
  </si>
  <si>
    <t>AÇO</t>
  </si>
  <si>
    <t>DOBRADICA ESTAMPADA PIANO HMPL 1350X38 #14 - COD. 12MH1338</t>
  </si>
  <si>
    <t>84B548815ACP1/0-HINGE</t>
  </si>
  <si>
    <t>494A120P24</t>
  </si>
  <si>
    <t>AL</t>
  </si>
  <si>
    <t>USAR MTA-3457</t>
  </si>
  <si>
    <t>41A324301ACP1</t>
  </si>
  <si>
    <t>LATCH</t>
  </si>
  <si>
    <t>MTA-3170</t>
  </si>
  <si>
    <t>FECHO 41A324301ACP1</t>
  </si>
  <si>
    <t>41A324301ABP1</t>
  </si>
  <si>
    <t>MTA-3169</t>
  </si>
  <si>
    <t>FECHO 41A324301ABP1 - FORNEC. CLIENTE</t>
  </si>
  <si>
    <t>84A236493P1</t>
  </si>
  <si>
    <t>MMP-0256</t>
  </si>
  <si>
    <t>SYSTHETUC RUBBER</t>
  </si>
  <si>
    <t>GASKET 84A236493P1</t>
  </si>
  <si>
    <t>84D734717CAG1</t>
  </si>
  <si>
    <t>MT6-7275
MT3-12992</t>
  </si>
  <si>
    <t>84D734717CAG1/0-DOOR ASM x 1</t>
  </si>
  <si>
    <t>84D734718AJG1</t>
  </si>
  <si>
    <t>MT3-12991</t>
  </si>
  <si>
    <t>84D734718AJG1/A-DOOR ASM METRIC MAT'L. x 1</t>
  </si>
  <si>
    <t>84D734718AJP1</t>
  </si>
  <si>
    <t>MT4-28326</t>
  </si>
  <si>
    <t>84D734718DTG1</t>
  </si>
  <si>
    <t>MT3-12990</t>
  </si>
  <si>
    <t>84D734718DTG1/0-DOOR ASM x 1</t>
  </si>
  <si>
    <t>84D734718DTG2</t>
  </si>
  <si>
    <t>USAR MT3-12990</t>
  </si>
  <si>
    <t>84D734718DTG2/0-DOOR ASM x 1</t>
  </si>
  <si>
    <t>84D734718DTP1</t>
  </si>
  <si>
    <t>MT4-28325</t>
  </si>
  <si>
    <t>84D734717CBG1</t>
  </si>
  <si>
    <t xml:space="preserve">DOOR ASM	</t>
  </si>
  <si>
    <t>MT6-7277
MT3-12996</t>
  </si>
  <si>
    <t>84D734717CBG1/0-DOOR ASM	 x 1</t>
  </si>
  <si>
    <t>84D734718ALG1</t>
  </si>
  <si>
    <t>MT3-12997</t>
  </si>
  <si>
    <t>84D734718ALG1/A-DOOR ASM METRIC MAT'L. x 1</t>
  </si>
  <si>
    <t>84D734718ALP1</t>
  </si>
  <si>
    <t>MT4-28330</t>
  </si>
  <si>
    <t>156B6271BDP1364</t>
  </si>
  <si>
    <t>PLATE 2.5X69X1364</t>
  </si>
  <si>
    <t>MT4-28331</t>
  </si>
  <si>
    <t>84B547479P1</t>
  </si>
  <si>
    <t>MT4-28332</t>
  </si>
  <si>
    <t>84B522077ABP1</t>
  </si>
  <si>
    <t>DOOR STRIP METRIC MAT'L.</t>
  </si>
  <si>
    <t>MT4-25228</t>
  </si>
  <si>
    <t>84D734718DUG1</t>
  </si>
  <si>
    <t>MT3-12998</t>
  </si>
  <si>
    <t>84D734718DUG1/0-DOOR ASM x 1</t>
  </si>
  <si>
    <t>84B547479ABP1</t>
  </si>
  <si>
    <t>MT4-28333</t>
  </si>
  <si>
    <t>84C641243P1</t>
  </si>
  <si>
    <t>MT4-28334</t>
  </si>
  <si>
    <t>84D734718DUG2</t>
  </si>
  <si>
    <t>USAR MT3-12998</t>
  </si>
  <si>
    <t>84D734718DUG2/0-DOOR ASM x 1</t>
  </si>
  <si>
    <t>84D734718DUP1</t>
  </si>
  <si>
    <t>MT4-28335</t>
  </si>
  <si>
    <t>MTA-3030</t>
  </si>
  <si>
    <t>84B548815P1</t>
  </si>
  <si>
    <t>MT4-22031</t>
  </si>
  <si>
    <t>84B548815P1/A-HINGE</t>
  </si>
  <si>
    <t>84B519723ABP1</t>
  </si>
  <si>
    <t>LENS</t>
  </si>
  <si>
    <t>Fora</t>
  </si>
  <si>
    <t>NA BBI ESTE ITEM NÃ FOI FORNECIDO, CONSIDERAR FORNECIMENTO WABTEC</t>
  </si>
  <si>
    <t>84B519724ACP1</t>
  </si>
  <si>
    <t>MT5-26645</t>
  </si>
  <si>
    <t>REVISAR DESENHO ESTÁ COM CHAPA 2,65 MM PASSAR PARA 2,25</t>
  </si>
  <si>
    <t>84B519725ABP1</t>
  </si>
  <si>
    <t>A12C15A4</t>
  </si>
  <si>
    <t>NEOPREME</t>
  </si>
  <si>
    <t>NEOPRENE PEÇA 84B519725ABP1</t>
  </si>
  <si>
    <t>41B560008P16</t>
  </si>
  <si>
    <t>LOCKNUT .375-16</t>
  </si>
  <si>
    <t>PORCA PARLOCK 3/8" UNC ZB - 41B560008P16</t>
  </si>
  <si>
    <t>84D734717CCG1</t>
  </si>
  <si>
    <t>MT6-7278
MT3-12999</t>
  </si>
  <si>
    <t>84D734717CCG1/0-DOOR ASM x 1</t>
  </si>
  <si>
    <t>84D734718ANG1</t>
  </si>
  <si>
    <t>MT3-13000</t>
  </si>
  <si>
    <t>84D734718ANG1/A-DOOR ASM METRIC MAT'L. x 1</t>
  </si>
  <si>
    <t>84D734718ANP1</t>
  </si>
  <si>
    <t>MT4-28336</t>
  </si>
  <si>
    <t>84D734718DVG1</t>
  </si>
  <si>
    <t>MT3-13001</t>
  </si>
  <si>
    <t>84D734718DVG1/0-DOOR ASM x 1</t>
  </si>
  <si>
    <t>84D734718DVG2</t>
  </si>
  <si>
    <t>MT3-13118</t>
  </si>
  <si>
    <t>84D734718DVG2/0-DOOR ASM x 1</t>
  </si>
  <si>
    <t>84D734718DVP1</t>
  </si>
  <si>
    <t>USAR MT3-13118</t>
  </si>
  <si>
    <t>MMP-0255</t>
  </si>
  <si>
    <t>MTA-3073</t>
  </si>
  <si>
    <t>84D734717CDG1</t>
  </si>
  <si>
    <t>MT6-7279
MT3-13002</t>
  </si>
  <si>
    <t>84D734717CDG1/0-DOOR ASM x 1</t>
  </si>
  <si>
    <t>84D734718ARG1</t>
  </si>
  <si>
    <t>MT3-13003</t>
  </si>
  <si>
    <t>84D734718ARG1/A-DOOR ASM METRIC MAT'L. x 1</t>
  </si>
  <si>
    <t>84D734718ARP1</t>
  </si>
  <si>
    <t>MT4-28338</t>
  </si>
  <si>
    <t>84D734718DWG1</t>
  </si>
  <si>
    <t>MT3-13004</t>
  </si>
  <si>
    <t>84D734718DWG1/0-DOOR ASM x 1</t>
  </si>
  <si>
    <t>156B6271AJP1326</t>
  </si>
  <si>
    <t>STRIP 2.5X27X1326</t>
  </si>
  <si>
    <t>MT4-28340</t>
  </si>
  <si>
    <t>MTC-0468</t>
  </si>
  <si>
    <t>84D734718DWG2</t>
  </si>
  <si>
    <t>MT3-13119</t>
  </si>
  <si>
    <t>84D734718DWG2/0-DOOR ASM x 1</t>
  </si>
  <si>
    <t>84D734718DWP1</t>
  </si>
  <si>
    <t>USAR MT3-13119</t>
  </si>
  <si>
    <t>REVISAR ESPESSURA #2,65 MM PARA #2,25 MM</t>
  </si>
  <si>
    <t>MTA-2225</t>
  </si>
  <si>
    <t>N402AP41B13</t>
  </si>
  <si>
    <t>WASHER .25 PLAIN</t>
  </si>
  <si>
    <t>MTA-3148</t>
  </si>
  <si>
    <t>ARRUELA LISA 1/4" ZB -N402AP41B13</t>
  </si>
  <si>
    <t>N22P21028B13</t>
  </si>
  <si>
    <t>BOLT 1/4-20 X 1 3/4</t>
  </si>
  <si>
    <t>MTA-3168</t>
  </si>
  <si>
    <t>PARAF. SEXT. 1/4"-20UNC X 1 3/4  COD: N22P21028B13 GRAU 5 ZB</t>
  </si>
  <si>
    <t>84C623143ACP1</t>
  </si>
  <si>
    <t>MT4-28342</t>
  </si>
  <si>
    <t>84C623115AFP1</t>
  </si>
  <si>
    <t>84C623114ADP1</t>
  </si>
  <si>
    <t>84C604804ABP1</t>
  </si>
  <si>
    <t>SPRING CLIP METRIC MAT'L.</t>
  </si>
  <si>
    <t>84C604799ABP1</t>
  </si>
  <si>
    <t>84C604797ABP1</t>
  </si>
  <si>
    <t>84A213381ADP1</t>
  </si>
  <si>
    <t>SCREEN METRIC MAT'L.</t>
  </si>
  <si>
    <t>MT4-25258</t>
  </si>
  <si>
    <t>MTC-1159</t>
  </si>
  <si>
    <t>B8A10B1</t>
  </si>
  <si>
    <t>AÇO PERF.</t>
  </si>
  <si>
    <t>CH PERF.ACO#16-1200X3000F4,00EC4,76- ALTERNADO</t>
  </si>
  <si>
    <t>84A213382ABP1</t>
  </si>
  <si>
    <t>MT4-25259</t>
  </si>
  <si>
    <t>84C604795G1</t>
  </si>
  <si>
    <t>SCREEN ASM</t>
  </si>
  <si>
    <t>MT6-6205</t>
  </si>
  <si>
    <t>84C604795G1/0-SCREEN ASM x 2</t>
  </si>
  <si>
    <t>84C604795P1</t>
  </si>
  <si>
    <t>SCREEN</t>
  </si>
  <si>
    <t>MT5-26649</t>
  </si>
  <si>
    <t>MTC-0855</t>
  </si>
  <si>
    <t>CH PERF.ACO#18-1200X3000F4,00EC4,76- ALTERNADO</t>
  </si>
  <si>
    <t>PINTADO E-COAT NORMA 84A205245P1</t>
  </si>
  <si>
    <t>84A215583P1</t>
  </si>
  <si>
    <t>INSULATION</t>
  </si>
  <si>
    <t>MT5-26790</t>
  </si>
  <si>
    <t>MMP-0254</t>
  </si>
  <si>
    <t>41B548547P2</t>
  </si>
  <si>
    <t>ISOLAMENTO</t>
  </si>
  <si>
    <t>84A215583P1-ISOLANTE DE FIBRA DE VIDRO 41B548547P2</t>
  </si>
  <si>
    <t>84A215583P1/0-INSULATION</t>
  </si>
  <si>
    <t>INSULATION 1 X 47 X 50FT</t>
  </si>
  <si>
    <t>SF</t>
  </si>
  <si>
    <t>USAR MT5 ACIMA</t>
  </si>
  <si>
    <t>84C604795ABG1</t>
  </si>
  <si>
    <t>MT6-6203</t>
  </si>
  <si>
    <t>84C604795ABG1/0-SCREEN ASM x 1</t>
  </si>
  <si>
    <t>84C604795ABP1</t>
  </si>
  <si>
    <t>MT5-26647</t>
  </si>
  <si>
    <t>84A215583ABP1</t>
  </si>
  <si>
    <t>MMP-0286</t>
  </si>
  <si>
    <t>84A215583ABP1-FORNEC.CLIENTE-MP41B548547</t>
  </si>
  <si>
    <t>84A215583ABP1/0-INSULATION</t>
  </si>
  <si>
    <t>USAR MMP-0286</t>
  </si>
  <si>
    <t>84C604795ACG1</t>
  </si>
  <si>
    <t>MT6-6204</t>
  </si>
  <si>
    <t>84C604795ACG1/0-SCREEN ASM x 1</t>
  </si>
  <si>
    <t>84C604795ACP1</t>
  </si>
  <si>
    <t>MT5-26648</t>
  </si>
  <si>
    <t>84A215583ACP1</t>
  </si>
  <si>
    <t>MMP-0287</t>
  </si>
  <si>
    <t>84A215583ACP1 ISOLAMENTO FIBRA VIDRO REV CABINE LOC A DIESEL ELETRICA 41B548547P2</t>
  </si>
  <si>
    <t>84A215583ACP1/0-INSULATION</t>
  </si>
  <si>
    <t>USAR MMP-0287</t>
  </si>
  <si>
    <t>84D734717CEG1</t>
  </si>
  <si>
    <t>MT6-7280
MT3-13006</t>
  </si>
  <si>
    <t>84D734717CEG1/0-DOOR ASM x 1</t>
  </si>
  <si>
    <t>84D734718BZG1</t>
  </si>
  <si>
    <t>MT3-13007</t>
  </si>
  <si>
    <t>84D734718BZG1/0-DOOR ASM METRIC MAT'L x 1</t>
  </si>
  <si>
    <t>84D734718BZG2</t>
  </si>
  <si>
    <t>MT3-13470</t>
  </si>
  <si>
    <t>84D734718BZG2/0-DOOR ASM METRIC MAT'L x 1</t>
  </si>
  <si>
    <t>84D734718BZP1</t>
  </si>
  <si>
    <t>USAR MT3-13470</t>
  </si>
  <si>
    <t>84D734718DXG1</t>
  </si>
  <si>
    <t>MT3-13008</t>
  </si>
  <si>
    <t>84D734718DXG1/0-DOOR ASM x 1</t>
  </si>
  <si>
    <t>84D734718DXG2</t>
  </si>
  <si>
    <t>MT3-13471</t>
  </si>
  <si>
    <t>84D734718DXG2/0-DOOR ASM x 1</t>
  </si>
  <si>
    <t>84D734718DXP1</t>
  </si>
  <si>
    <t>USAR MT3-13471</t>
  </si>
  <si>
    <t>84D734717CFG1</t>
  </si>
  <si>
    <t>MT6-7284
MT3-13010</t>
  </si>
  <si>
    <t>84D734717CFG1/0-DOOR ASM x 1</t>
  </si>
  <si>
    <t>84D734718DYG1</t>
  </si>
  <si>
    <t>MT3-13011</t>
  </si>
  <si>
    <t>84D734718DYG1/0-DOOR ASM x 1</t>
  </si>
  <si>
    <t>84D734718DYG2</t>
  </si>
  <si>
    <t>MT3-13120</t>
  </si>
  <si>
    <t>84D734718DYG2/0-DOOR ASM x 1</t>
  </si>
  <si>
    <t>84D734718DYP1</t>
  </si>
  <si>
    <t>USAR MT3-13120</t>
  </si>
  <si>
    <t>84D734718DZG1</t>
  </si>
  <si>
    <t>MT3-13012</t>
  </si>
  <si>
    <t>84D734718DZG1/0-DOOR ASM x 1</t>
  </si>
  <si>
    <t>84D734718DZG2</t>
  </si>
  <si>
    <t>MT3-13472</t>
  </si>
  <si>
    <t>84D734718DZG2/0-DOOR ASM x 1</t>
  </si>
  <si>
    <t>84D734718DZP1</t>
  </si>
  <si>
    <t>USAR MT3-13472</t>
  </si>
  <si>
    <t>84D734717CGG1</t>
  </si>
  <si>
    <t>MT6-7285
MT3-13013</t>
  </si>
  <si>
    <t>84D734717CGG1/0-DOOR ASM x 1</t>
  </si>
  <si>
    <t>84D734718ATG1</t>
  </si>
  <si>
    <t>MT3-13014</t>
  </si>
  <si>
    <t>84D734718ATG1/A-DOOR ASM METRIC MAT'L. x 1</t>
  </si>
  <si>
    <t>84D734718ATP1</t>
  </si>
  <si>
    <t>MT4-28349</t>
  </si>
  <si>
    <t>84D734718EAG1</t>
  </si>
  <si>
    <t>MT3-13015</t>
  </si>
  <si>
    <t>84D734718EAG1/0-DOOR ASM x 1</t>
  </si>
  <si>
    <t>84D734718EAG2</t>
  </si>
  <si>
    <t>MT3-13121</t>
  </si>
  <si>
    <t>84D734718EAG2/0-DOOR ASM x 1</t>
  </si>
  <si>
    <t>84D734718EAP1</t>
  </si>
  <si>
    <t>USAR MT3-13121</t>
  </si>
  <si>
    <t>84C623248ACP1</t>
  </si>
  <si>
    <t>MT4-28351</t>
  </si>
  <si>
    <t>USAR MMP-0254</t>
  </si>
  <si>
    <t>AVALIAR JUNTO AO MOIZES SE ESTES ITENS SÃO FORA DE ESCOPO</t>
  </si>
  <si>
    <t>41A250668P7</t>
  </si>
  <si>
    <t>AS</t>
  </si>
  <si>
    <t>MT5-28281</t>
  </si>
  <si>
    <t>MTA-2223</t>
  </si>
  <si>
    <t>41A324616ADP1</t>
  </si>
  <si>
    <t>MT6-7286</t>
  </si>
  <si>
    <t>MT5-28282</t>
  </si>
  <si>
    <t>STELL</t>
  </si>
  <si>
    <t>MT5-28283</t>
  </si>
  <si>
    <t>STEEL</t>
  </si>
  <si>
    <t>MPT-2573</t>
  </si>
  <si>
    <t>PINO DE AÇO</t>
  </si>
  <si>
    <t>41A324616ADP1/0-HINGE</t>
  </si>
  <si>
    <t>499A903AAP3</t>
  </si>
  <si>
    <t>USAR MT6-7286</t>
  </si>
  <si>
    <t>84D713550BCG100</t>
  </si>
  <si>
    <t>GASKET KIT</t>
  </si>
  <si>
    <t>MT6-7288</t>
  </si>
  <si>
    <t>84D713550BCG100/0-GASKET KIT x 1</t>
  </si>
  <si>
    <t>41A264942P8</t>
  </si>
  <si>
    <t>CAP NUT 9/16-18</t>
  </si>
  <si>
    <t>FORA</t>
  </si>
  <si>
    <t>FORA ESCOPO</t>
  </si>
  <si>
    <t>PORCA CALOTA NYLON 9/16"-18 COD:41A264942P8</t>
  </si>
  <si>
    <t>41A273352P116</t>
  </si>
  <si>
    <t>GASKET 54.78 inch</t>
  </si>
  <si>
    <t>41A273352P116/AD-GASKET 54.78 inch</t>
  </si>
  <si>
    <t>41A272625P1</t>
  </si>
  <si>
    <t>SEAL</t>
  </si>
  <si>
    <t>41A273352P118</t>
  </si>
  <si>
    <t>GASKET 65.70 inch</t>
  </si>
  <si>
    <t>41A273352P118/AD-GASKET 65.70 inch</t>
  </si>
  <si>
    <t>41A273352P117</t>
  </si>
  <si>
    <t>GASKET 52.50 inch</t>
  </si>
  <si>
    <t>41A273352P117/AD-GASKET 52.50 inch</t>
  </si>
  <si>
    <t>84B549618P1</t>
  </si>
  <si>
    <t>84C623279AEP1</t>
  </si>
  <si>
    <t>LABEL</t>
  </si>
  <si>
    <t>84C623279AEP2</t>
  </si>
  <si>
    <t>41A257639P4</t>
  </si>
  <si>
    <t>LOCTITE</t>
  </si>
  <si>
    <t>FORA ESCOPO ??</t>
  </si>
  <si>
    <t>41A212051P5</t>
  </si>
  <si>
    <t>SEALANT RTV-103 BLACK</t>
  </si>
  <si>
    <t>84D751269G1</t>
  </si>
  <si>
    <t>HATCH ASM</t>
  </si>
  <si>
    <t>MT6-7318</t>
  </si>
  <si>
    <t>PINTADO MTT-0140 + MTT-0141</t>
  </si>
  <si>
    <t>84D751269G1/HATCH ASM</t>
  </si>
  <si>
    <t>84C605385AEG1</t>
  </si>
  <si>
    <t>MT3-13413</t>
  </si>
  <si>
    <t>84C605385AEG1/HATCH ASM</t>
  </si>
  <si>
    <t>84C605385AEG2</t>
  </si>
  <si>
    <t>HATCH COVER</t>
  </si>
  <si>
    <t>0</t>
  </si>
  <si>
    <t>MT3-13414</t>
  </si>
  <si>
    <t>84C605385AEG2/</t>
  </si>
  <si>
    <t>84C605385AEP1</t>
  </si>
  <si>
    <t>HATCH</t>
  </si>
  <si>
    <t>USAR MT3-13414</t>
  </si>
  <si>
    <t>SCREW, WLD     3/8-16 X 1</t>
  </si>
  <si>
    <t>NUT, WELD      1/2-13</t>
  </si>
  <si>
    <t>84B523170ACP1</t>
  </si>
  <si>
    <t>MT4-29045</t>
  </si>
  <si>
    <t>PINTADO E-COAT NORMA 84A238975P1</t>
  </si>
  <si>
    <t>84B523305ABP1</t>
  </si>
  <si>
    <t>MT4-29046</t>
  </si>
  <si>
    <t>499A472ABP1</t>
  </si>
  <si>
    <t>RETAINING PLATE</t>
  </si>
  <si>
    <t>MT4-17323</t>
  </si>
  <si>
    <t>495A557ADP1</t>
  </si>
  <si>
    <t>LIFTING LUG</t>
  </si>
  <si>
    <t>MT4-17322</t>
  </si>
  <si>
    <t>84D751156G1</t>
  </si>
  <si>
    <t>DUCT INSULATION</t>
  </si>
  <si>
    <t>MT3-13415</t>
  </si>
  <si>
    <t>84D751156G1/</t>
  </si>
  <si>
    <t>84D751156P1</t>
  </si>
  <si>
    <t>MT4-29047</t>
  </si>
  <si>
    <t>84C659614P1</t>
  </si>
  <si>
    <t>INSULATION SCREEN</t>
  </si>
  <si>
    <t>MT4-29048</t>
  </si>
  <si>
    <t>SAE 1015</t>
  </si>
  <si>
    <t>84B567109P1</t>
  </si>
  <si>
    <t>MT5-28377</t>
  </si>
  <si>
    <t>MMP-NOVO-2</t>
  </si>
  <si>
    <t>84B532302P4</t>
  </si>
  <si>
    <t>INSULATION 84B532302P4</t>
  </si>
  <si>
    <t>MMP FORNECIMENTO WABTEC</t>
  </si>
  <si>
    <t>84B567110P1</t>
  </si>
  <si>
    <t>MT5-28378</t>
  </si>
  <si>
    <t>84B567111P1</t>
  </si>
  <si>
    <t>MT5-28379</t>
  </si>
  <si>
    <t>84B567112P1</t>
  </si>
  <si>
    <t>MT5-28380</t>
  </si>
  <si>
    <t>84B567113P1</t>
  </si>
  <si>
    <t>MT5-28381</t>
  </si>
  <si>
    <t>N402P13B13</t>
  </si>
  <si>
    <t>FLAT WASHER</t>
  </si>
  <si>
    <t>ARRUELAS LISAS 3/8 Z.B ASTM F844 N402P13B13</t>
  </si>
  <si>
    <t>N258P25B13</t>
  </si>
  <si>
    <t>NUT  3/8-16</t>
  </si>
  <si>
    <t>PORCA  SEXT. #3/8" - 16"UNC ZB COD:N258P25B13</t>
  </si>
  <si>
    <t>497A806P47</t>
  </si>
  <si>
    <t>DC</t>
  </si>
  <si>
    <t>84C611882AWG1</t>
  </si>
  <si>
    <t>COVER PLATE ASM</t>
  </si>
  <si>
    <t>MT3-13417</t>
  </si>
  <si>
    <t>84C611882AWP1</t>
  </si>
  <si>
    <t>COVER PLATE</t>
  </si>
  <si>
    <t>MT4-29050</t>
  </si>
  <si>
    <t>84B522352ALG1</t>
  </si>
  <si>
    <t>DUCT ASM</t>
  </si>
  <si>
    <t>MT3-13418</t>
  </si>
  <si>
    <t>84B522352ALP1</t>
  </si>
  <si>
    <t>DUCT, SHEET</t>
  </si>
  <si>
    <t>MT4-29051</t>
  </si>
  <si>
    <t>SEALANT   MANUS</t>
  </si>
  <si>
    <t>84D703634AYG1</t>
  </si>
  <si>
    <t>MT3-13419</t>
  </si>
  <si>
    <t>PINTURA E-COAT MTT-0407</t>
  </si>
  <si>
    <t>84D706220AWP1</t>
  </si>
  <si>
    <t>1</t>
  </si>
  <si>
    <t>SCREEN FRAME</t>
  </si>
  <si>
    <t>MT4-29052</t>
  </si>
  <si>
    <t>84C613418AKP1</t>
  </si>
  <si>
    <t>2</t>
  </si>
  <si>
    <t>MT4-29053</t>
  </si>
  <si>
    <t>84C616029BJP1</t>
  </si>
  <si>
    <t>Código Novo</t>
  </si>
  <si>
    <t>BAR CLAMP</t>
  </si>
  <si>
    <t>MT5-28390</t>
  </si>
  <si>
    <t>N402P45B13</t>
  </si>
  <si>
    <t>WASHER 1/2"</t>
  </si>
  <si>
    <t>MTA-NOVO-2</t>
  </si>
  <si>
    <t>ARRUELA LISA 1/2 ZB N402P45B13</t>
  </si>
  <si>
    <t>N405P45B13</t>
  </si>
  <si>
    <t>WASHER PRESS 1/2"</t>
  </si>
  <si>
    <t>ARRUELA PRESSAO 1/2" N405P45B13 ZB</t>
  </si>
  <si>
    <t>84D716286AKG1</t>
  </si>
  <si>
    <t>AIR FILTER BOX</t>
  </si>
  <si>
    <t>MT3-13420</t>
  </si>
  <si>
    <t>84D730794AGG1/BACK SHEET ASM</t>
  </si>
  <si>
    <t>84D730794AGG1</t>
  </si>
  <si>
    <t>BACK SHEET ASM</t>
  </si>
  <si>
    <t>MT3-13421</t>
  </si>
  <si>
    <t>PINTADO MTT-0140 + MTT-0141 - REVISAR ESPESSURA DE 2,65 PARA 2,25 MM</t>
  </si>
  <si>
    <t>84D730794AGG2/</t>
  </si>
  <si>
    <t>84D730794AGG2</t>
  </si>
  <si>
    <t>10</t>
  </si>
  <si>
    <t>MT3-13422</t>
  </si>
  <si>
    <t>84D730794AGP1/SHEET          REAR</t>
  </si>
  <si>
    <t>84D730794AGP1</t>
  </si>
  <si>
    <t>SHEET          REAR</t>
  </si>
  <si>
    <t>USAR MT3-13422</t>
  </si>
  <si>
    <t>N234P25A/NUT, WELD      3/8-16</t>
  </si>
  <si>
    <t>84B537359G1/BRACKET,WELDMNT</t>
  </si>
  <si>
    <t>84B537359G1</t>
  </si>
  <si>
    <t>3</t>
  </si>
  <si>
    <t>BRACKET,WELDMNT</t>
  </si>
  <si>
    <t>MT3-11516</t>
  </si>
  <si>
    <t>84B537359P1/BRACKET</t>
  </si>
  <si>
    <t>84B537359P1</t>
  </si>
  <si>
    <t>USAR MT3-11516</t>
  </si>
  <si>
    <t>N234P29A/NUT, WELD      1/2-13</t>
  </si>
  <si>
    <t>84B524476ABG1/STIFFENER</t>
  </si>
  <si>
    <t>84B524476ABG1</t>
  </si>
  <si>
    <t>4</t>
  </si>
  <si>
    <t>MT3-13423</t>
  </si>
  <si>
    <t>84B524476ABP1/PLATE</t>
  </si>
  <si>
    <t>84B524476ABP1</t>
  </si>
  <si>
    <t>USAR MT3-13423</t>
  </si>
  <si>
    <t>N258P39B13/NUT            1.00-8</t>
  </si>
  <si>
    <t>N258P39B13</t>
  </si>
  <si>
    <t>NUT            1.00-8</t>
  </si>
  <si>
    <t>MTA-2114</t>
  </si>
  <si>
    <t>84C608454AHG1/FILTER SUPPORT</t>
  </si>
  <si>
    <t>84C608454AHG1</t>
  </si>
  <si>
    <t>FILTER SUPPORT</t>
  </si>
  <si>
    <t>MT3-13424</t>
  </si>
  <si>
    <t>84C608454AHG2/FILTER SUPPORT</t>
  </si>
  <si>
    <t>84C608454AHG2</t>
  </si>
  <si>
    <t>MT3-13425</t>
  </si>
  <si>
    <t>84C608454AHP1/FILTER SUPPORT</t>
  </si>
  <si>
    <t>84C608454AHP1</t>
  </si>
  <si>
    <t>USAR MT3-13425</t>
  </si>
  <si>
    <t>N22P29024B13/BOLT           .50-13 X 1.50</t>
  </si>
  <si>
    <t>N22P29024B13</t>
  </si>
  <si>
    <t>BOLT           .50-13 X 1.50</t>
  </si>
  <si>
    <t>MTA-2317</t>
  </si>
  <si>
    <t xml:space="preserve">PARAF.SEXT 1/2"-13  X 1,5" UNC ZB - N22P29024B13 GRAU 5  </t>
  </si>
  <si>
    <t>N234P21A/NUT, WELD      .250-20</t>
  </si>
  <si>
    <t>5</t>
  </si>
  <si>
    <t>84D716424AEG2/DUCT ASM</t>
  </si>
  <si>
    <t>84D716424AEG2</t>
  </si>
  <si>
    <t>MT3-13427</t>
  </si>
  <si>
    <t>84C620057BFG1/FRAME ASM</t>
  </si>
  <si>
    <t>84C620057BFG1</t>
  </si>
  <si>
    <t>MT3-13428</t>
  </si>
  <si>
    <t>84C620057BFG2/FRAME ASM</t>
  </si>
  <si>
    <t>84C620057BFG2</t>
  </si>
  <si>
    <t>MT3-13429</t>
  </si>
  <si>
    <t>84C620057BFP1/FRAME</t>
  </si>
  <si>
    <t>84C620057BFP1</t>
  </si>
  <si>
    <t>FRAME</t>
  </si>
  <si>
    <t>USAR MT3-13429</t>
  </si>
  <si>
    <t>84B103877P1/TAPE RAIL</t>
  </si>
  <si>
    <t>84B103877P1</t>
  </si>
  <si>
    <t>MT4-21624</t>
  </si>
  <si>
    <t>84B535427P1/CLAMP          FILTER</t>
  </si>
  <si>
    <t>84B535427P1</t>
  </si>
  <si>
    <t>CLAMP          FILTER</t>
  </si>
  <si>
    <t>MT4-29056</t>
  </si>
  <si>
    <t>41A314644AGP1/TUBE           DUCT ASS'Y.</t>
  </si>
  <si>
    <t>41A314644AGP1</t>
  </si>
  <si>
    <t>TUBE           DUCT ASS'Y.</t>
  </si>
  <si>
    <t>MT4-29057</t>
  </si>
  <si>
    <t>84B534132ADP1/TUBE, STEEL    1.00</t>
  </si>
  <si>
    <t>84B534132ADP1</t>
  </si>
  <si>
    <t>TUBE, STEEL    1.00</t>
  </si>
  <si>
    <t>MT4-29058</t>
  </si>
  <si>
    <t>MTB-NOVO-1</t>
  </si>
  <si>
    <t>TUBO HIDRAULICO AÇO SAE J524/J525 Ø 1" # 3 MM (6MT)</t>
  </si>
  <si>
    <t>84D716421ACP2/FILTER         SHEET</t>
  </si>
  <si>
    <t>84D716421ACP2</t>
  </si>
  <si>
    <t>7</t>
  </si>
  <si>
    <t>FILTER         SHEET</t>
  </si>
  <si>
    <t>MT4-29059</t>
  </si>
  <si>
    <t>84D716422ACP2/TRAY</t>
  </si>
  <si>
    <t>84D716422ACP2</t>
  </si>
  <si>
    <t>8</t>
  </si>
  <si>
    <t>TRAY</t>
  </si>
  <si>
    <t>MT4-29060</t>
  </si>
  <si>
    <t>84B526643ACP2/FILTER         SHEET</t>
  </si>
  <si>
    <t>84B526643ACP2</t>
  </si>
  <si>
    <t>MT4-29061</t>
  </si>
  <si>
    <t>497A806P27/SEALANT        MANUS</t>
  </si>
  <si>
    <t>6</t>
  </si>
  <si>
    <t>SEALANT        MANUS</t>
  </si>
  <si>
    <t>84C608453ALG1/FILTER SUPPORT</t>
  </si>
  <si>
    <t>84C608453ALG1</t>
  </si>
  <si>
    <t>MT3-13430</t>
  </si>
  <si>
    <t>84C608453ALG2/FILTER SUPPORT</t>
  </si>
  <si>
    <t>84C608453ALG2</t>
  </si>
  <si>
    <t>MT3-13431</t>
  </si>
  <si>
    <t>84C608453ALP1/FILTER SUPPORT</t>
  </si>
  <si>
    <t>84C608453ALP1</t>
  </si>
  <si>
    <t>USAR MT3-13431</t>
  </si>
  <si>
    <t>NUT, WELD      .250-20</t>
  </si>
  <si>
    <t>84D716424AEG1/DUCT ASM</t>
  </si>
  <si>
    <t>84D716424AEG1</t>
  </si>
  <si>
    <t>MT3-13432</t>
  </si>
  <si>
    <t>84D716421ACP1/FILTER         SHEET</t>
  </si>
  <si>
    <t>84D716421ACP1</t>
  </si>
  <si>
    <t>MT4-29062</t>
  </si>
  <si>
    <t>84D716422ACP1/TRAY</t>
  </si>
  <si>
    <t>84D716422ACP1</t>
  </si>
  <si>
    <t>MT4-29063</t>
  </si>
  <si>
    <t>84B526643ACP1/FILTER         SHEET</t>
  </si>
  <si>
    <t>84B526643ACP1</t>
  </si>
  <si>
    <t>MT4-29064</t>
  </si>
  <si>
    <t>84C605540ACG1/FRAME ASM</t>
  </si>
  <si>
    <t>84C605540ACG1</t>
  </si>
  <si>
    <t>MT3-13433</t>
  </si>
  <si>
    <t>84B523299ACG1/ANGLE ASM</t>
  </si>
  <si>
    <t>84B523299ACG1</t>
  </si>
  <si>
    <t>MT3-13434</t>
  </si>
  <si>
    <t>84B523299ACP1/ANGLE ASM</t>
  </si>
  <si>
    <t>84B523299ACP1</t>
  </si>
  <si>
    <t>USAR MT3-13434</t>
  </si>
  <si>
    <t>84B523300ACG1/ANGLE ASM</t>
  </si>
  <si>
    <t>84B523300ACG1</t>
  </si>
  <si>
    <t>MT3-13435</t>
  </si>
  <si>
    <t>84B523300ACP1/ANGLE</t>
  </si>
  <si>
    <t>84B523300ACP1</t>
  </si>
  <si>
    <t>USAR MT3-13435</t>
  </si>
  <si>
    <t>84C605388AFG1/FRONT SHEET</t>
  </si>
  <si>
    <t>84C605388AFG1</t>
  </si>
  <si>
    <t>FRONT SHEET</t>
  </si>
  <si>
    <t>MT3-13436</t>
  </si>
  <si>
    <t>84C605388AFG2/FRONT SHEET</t>
  </si>
  <si>
    <t>84C605388AFG2</t>
  </si>
  <si>
    <t>MT3-13437</t>
  </si>
  <si>
    <t>84C605388AFP1/FRONT SHEET</t>
  </si>
  <si>
    <t>84C605388AFP1</t>
  </si>
  <si>
    <t>USAR MT3-13437</t>
  </si>
  <si>
    <t>84B523348ADP1/STIFFENER</t>
  </si>
  <si>
    <t>84B523348ADP1</t>
  </si>
  <si>
    <t>MT4-29065</t>
  </si>
  <si>
    <t>84B535450P1/ANGLE</t>
  </si>
  <si>
    <t>84B535450P1</t>
  </si>
  <si>
    <t>MT4-29066</t>
  </si>
  <si>
    <t>84B535451ABP1/ANGLE</t>
  </si>
  <si>
    <t>84B535451ABP1</t>
  </si>
  <si>
    <t>MT4-29067</t>
  </si>
  <si>
    <t>84B530441ALP1/GUTTER</t>
  </si>
  <si>
    <t>84B530441ALP1</t>
  </si>
  <si>
    <t>9</t>
  </si>
  <si>
    <t>GUTTER</t>
  </si>
  <si>
    <t>MT4-29068</t>
  </si>
  <si>
    <t>84B522872ASP1/GUTTER</t>
  </si>
  <si>
    <t>84B522872ASP1</t>
  </si>
  <si>
    <t>MT4-29069</t>
  </si>
  <si>
    <t>11</t>
  </si>
  <si>
    <t>84C609548ADP1/GUTTER</t>
  </si>
  <si>
    <t>84C609548ADP1</t>
  </si>
  <si>
    <t>12</t>
  </si>
  <si>
    <t>MT4-29070</t>
  </si>
  <si>
    <t>84B537025AEP1/GUTTER</t>
  </si>
  <si>
    <t>84B537025AEP1</t>
  </si>
  <si>
    <t>13</t>
  </si>
  <si>
    <t>MT4-29071</t>
  </si>
  <si>
    <t>84B537025AFP1/GUTTER</t>
  </si>
  <si>
    <t>84B537025AFP1</t>
  </si>
  <si>
    <t>14</t>
  </si>
  <si>
    <t>MT4-29072</t>
  </si>
  <si>
    <t>84C659723G1/</t>
  </si>
  <si>
    <t>84C659723G1</t>
  </si>
  <si>
    <t>15</t>
  </si>
  <si>
    <t>LIGHT SUPPORT B</t>
  </si>
  <si>
    <t>MT3-13438</t>
  </si>
  <si>
    <t>84C659723P1/</t>
  </si>
  <si>
    <t>84C659723P1</t>
  </si>
  <si>
    <t>USAR MT3-13438</t>
  </si>
  <si>
    <t>N22P33020B13</t>
  </si>
  <si>
    <t>HEX CAP SCREW 5/8 X 1 1/4"</t>
  </si>
  <si>
    <t>MTA-NOVO-3</t>
  </si>
  <si>
    <t>PARAFUSO SEXTAVADO 5/8" -11 UNC X 1.1/4" ZB N22P33020B13</t>
  </si>
  <si>
    <t>N405P47B13</t>
  </si>
  <si>
    <t>MTA-1913</t>
  </si>
  <si>
    <t>ARRUELA PRESSAO 5/8 ZB</t>
  </si>
  <si>
    <t>84C629751ABP1</t>
  </si>
  <si>
    <t>WASHER, FLAT BAR</t>
  </si>
  <si>
    <t>MT5-28391</t>
  </si>
  <si>
    <t>84C629752ABP1</t>
  </si>
  <si>
    <t>MT5-28392</t>
  </si>
  <si>
    <t>NOVO</t>
  </si>
  <si>
    <t>MTA-3271</t>
  </si>
  <si>
    <t>MTA-3158</t>
  </si>
  <si>
    <t>MTA-2226</t>
  </si>
  <si>
    <t>MT4-25378</t>
  </si>
  <si>
    <t>MTA-2260</t>
  </si>
  <si>
    <t>MTA-1726</t>
  </si>
  <si>
    <t>MT4-25249</t>
  </si>
  <si>
    <t>MT4-25251</t>
  </si>
  <si>
    <t>MT4-25257</t>
  </si>
  <si>
    <t>MT4-25252</t>
  </si>
  <si>
    <t>MT4-25250</t>
  </si>
  <si>
    <t>MT6-5025</t>
  </si>
  <si>
    <t>MTI-0612</t>
  </si>
  <si>
    <t>MTA-2347</t>
  </si>
  <si>
    <t>MTA-2250</t>
  </si>
  <si>
    <t>MTA-1465</t>
  </si>
  <si>
    <t>TINTA (M2/L)</t>
  </si>
  <si>
    <t>RENDIMENTO TINTA  40%(M2/L)</t>
  </si>
  <si>
    <t>DILUENTE 20%(M2/L)</t>
  </si>
  <si>
    <t>MTT-0140</t>
  </si>
  <si>
    <t>MTT-0141</t>
  </si>
  <si>
    <t>ÁREA POR BLANK</t>
  </si>
  <si>
    <t>MTT-0140 (L)</t>
  </si>
  <si>
    <t>MTT-0141 (L)</t>
  </si>
  <si>
    <t>MTT-0140  TOT</t>
  </si>
  <si>
    <t>MTT-0141 TOT</t>
  </si>
  <si>
    <t>TINTA (M2/L)2</t>
  </si>
  <si>
    <t>RENDIMENTO TINTA  40%(M2/L)2</t>
  </si>
  <si>
    <t xml:space="preserve">DILUENTE 20%(M2/L) </t>
  </si>
  <si>
    <t>DILUENTE 20%(L/m2) MTT-0160)</t>
  </si>
  <si>
    <t>RENDIMENTO TINTA  40%(L/m2)</t>
  </si>
  <si>
    <t>COMPONENTE A(MTT-0159)(L/m2)</t>
  </si>
  <si>
    <t>COMPONENTE B(MTT-0272)(L/m2)</t>
  </si>
  <si>
    <t>MTT-0272</t>
  </si>
  <si>
    <t>MTT-0159</t>
  </si>
  <si>
    <t>MTT-0160</t>
  </si>
  <si>
    <t>ÁREA POR BLANK2</t>
  </si>
  <si>
    <t>MTT-0272 TOT</t>
  </si>
  <si>
    <t>MTT-0159 TOT</t>
  </si>
  <si>
    <t>MTT-0160 TOT</t>
  </si>
  <si>
    <t>CONSUMO</t>
  </si>
  <si>
    <t>CONSUMO TOTAL CHAPA</t>
  </si>
  <si>
    <t>base calculo consumo chapa</t>
  </si>
  <si>
    <t>comprimento</t>
  </si>
  <si>
    <t>largura</t>
  </si>
  <si>
    <t>peça</t>
  </si>
  <si>
    <t>2980/comprimento</t>
  </si>
  <si>
    <t>arredontamento</t>
  </si>
  <si>
    <t xml:space="preserve">1180/largura </t>
  </si>
  <si>
    <t>arredondamento</t>
  </si>
  <si>
    <t>pç/chapa</t>
  </si>
  <si>
    <t>consumo</t>
  </si>
  <si>
    <t>2980/largura</t>
  </si>
  <si>
    <t>1180/comprimento</t>
  </si>
  <si>
    <t>melhor consumo</t>
  </si>
  <si>
    <t>COMPRIMENTO BARRA</t>
  </si>
  <si>
    <t>COMPRIMENTO PEÇA</t>
  </si>
  <si>
    <t>COMPRIMENTO + PERDA</t>
  </si>
  <si>
    <t>QTDE PÇ/BARRA</t>
  </si>
  <si>
    <t>84A237235AFG4</t>
  </si>
  <si>
    <t>Código MATERIA PRIMA</t>
  </si>
  <si>
    <t>CABINE AUXILIAR CBH - 84A237235AFG4</t>
  </si>
  <si>
    <t>MT2-3121</t>
  </si>
  <si>
    <t>-</t>
  </si>
  <si>
    <t>DATA LIMITE</t>
  </si>
  <si>
    <t>FORNECIMENTO</t>
  </si>
  <si>
    <t>CÓDIGO WABTEC</t>
  </si>
  <si>
    <t>ITEM</t>
  </si>
  <si>
    <t>CÓDIGO METALFISA</t>
  </si>
  <si>
    <t>DESCRIÇÃO</t>
  </si>
  <si>
    <t>QTDE CABINES</t>
  </si>
  <si>
    <t>QUANTIDADE POR CABINE</t>
  </si>
  <si>
    <t>UNIDADE</t>
  </si>
  <si>
    <t>41B569656</t>
  </si>
  <si>
    <t>GASKET 41B569656 M/F 41A326558P1</t>
  </si>
  <si>
    <t>FECHO 41A324301ABP1 - SOUTHCO</t>
  </si>
  <si>
    <t>84A202035P1</t>
  </si>
  <si>
    <t>consumo por barra UNITÁRIO</t>
  </si>
  <si>
    <t>consumo por barra x FU</t>
  </si>
  <si>
    <t xml:space="preserve">SERÁ FEITO APENAS 1 X - GABARITO </t>
  </si>
  <si>
    <t>FORNECIMENTO MECBRUM E PINTADO MTT-0140 + MTT-0141</t>
  </si>
  <si>
    <t>84A202035P6</t>
  </si>
  <si>
    <t>CATALIZADOR POLANE 234 COMP. B - 0,90ML</t>
  </si>
  <si>
    <t>TINTA VERDE OLIVA LIQ.PRIMER GL 3,6L</t>
  </si>
  <si>
    <t>DILUENTE NR 905 C/05LTS</t>
  </si>
  <si>
    <t>TINTA MARRON LIQ.POLANE234 AC COM.A - 2,70LT</t>
  </si>
  <si>
    <t>DILUENTE N 920 C/05LTS</t>
  </si>
  <si>
    <t>LT</t>
  </si>
  <si>
    <t>AVALIAR CURVA NO MERCADO 45º REDONDO Ø1" #3 MM</t>
  </si>
  <si>
    <t>PARA AS 2 PRIMEIRAS CABINES E/OU AJUSTE DE PROCESSO, APÓS FORNECIMENTO PASSA A SER WABTEC</t>
  </si>
  <si>
    <t>METALFISA/WABTEC</t>
  </si>
  <si>
    <t>MMP-0331</t>
  </si>
  <si>
    <t>MTA-NOVO-1</t>
  </si>
  <si>
    <t>MMP-NOVO-4</t>
  </si>
  <si>
    <t>MMP-NOVO-5</t>
  </si>
  <si>
    <t>GASKET 54.78 INCH</t>
  </si>
  <si>
    <t>GASKET 65,70 INCH</t>
  </si>
  <si>
    <t>GASKET 52,50 INCH</t>
  </si>
  <si>
    <t>MMP-NOVO-6</t>
  </si>
  <si>
    <t>GASKET 84B549618P1</t>
  </si>
  <si>
    <t>MTA-NOVO-4</t>
  </si>
  <si>
    <t>MTA-NOVO-5</t>
  </si>
  <si>
    <t>LABEL 84C623279AEP1</t>
  </si>
  <si>
    <t>LABEL 84C623279AEP2</t>
  </si>
  <si>
    <t>84A215583ABP1-FORNEC.CLIENTE-MP41B548547P2</t>
  </si>
  <si>
    <t>QUANTIDADE POR PEDIDO 48509</t>
  </si>
  <si>
    <t>PARAF.SEXT 1/2-13UNC X5 1/4" ROSCA PARCIAL - GE GRAU 5 ZB N22P29084B13</t>
  </si>
  <si>
    <t>MTC-1261</t>
  </si>
  <si>
    <t>CH ACO 1010 FF(1.50MM)-1200X3000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</si>
</sst>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Calibri"/>
      <family val="2"/>
      <charset val="1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left"/>
    </xf>
    <xf numFmtId="165" fontId="2" fillId="9" borderId="3" xfId="0" applyNumberFormat="1" applyFont="1" applyFill="1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/>
    <xf numFmtId="0" fontId="0" fillId="7" borderId="0" xfId="0" applyFill="1"/>
    <xf numFmtId="0" fontId="0" fillId="7" borderId="2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12" borderId="1" xfId="0" applyFill="1" applyBorder="1"/>
    <xf numFmtId="0" fontId="3" fillId="1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0" fillId="4" borderId="1" xfId="0" applyFill="1" applyBorder="1" applyAlignment="1">
      <alignment horizontal="right"/>
    </xf>
    <xf numFmtId="0" fontId="0" fillId="13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14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vertical="center"/>
    </xf>
    <xf numFmtId="165" fontId="0" fillId="4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/>
    <xf numFmtId="0" fontId="0" fillId="4" borderId="1" xfId="0" applyFill="1" applyBorder="1" applyAlignment="1">
      <alignment horizontal="center" vertical="center"/>
    </xf>
    <xf numFmtId="165" fontId="0" fillId="15" borderId="1" xfId="0" applyNumberFormat="1" applyFill="1" applyBorder="1" applyAlignment="1">
      <alignment horizontal="center" vertical="center"/>
    </xf>
    <xf numFmtId="0" fontId="0" fillId="16" borderId="1" xfId="0" applyFill="1" applyBorder="1"/>
    <xf numFmtId="0" fontId="0" fillId="0" borderId="1" xfId="0" applyBorder="1" applyAlignment="1">
      <alignment horizontal="center" vertical="center" wrapText="1"/>
    </xf>
    <xf numFmtId="2" fontId="0" fillId="4" borderId="1" xfId="0" applyNumberFormat="1" applyFill="1" applyBorder="1"/>
    <xf numFmtId="2" fontId="0" fillId="4" borderId="1" xfId="0" applyNumberFormat="1" applyFill="1" applyBorder="1" applyAlignment="1">
      <alignment horizontal="right"/>
    </xf>
    <xf numFmtId="164" fontId="0" fillId="0" borderId="0" xfId="0" applyNumberFormat="1"/>
    <xf numFmtId="166" fontId="0" fillId="0" borderId="0" xfId="0" applyNumberFormat="1"/>
    <xf numFmtId="166" fontId="0" fillId="4" borderId="1" xfId="0" applyNumberFormat="1" applyFill="1" applyBorder="1"/>
    <xf numFmtId="165" fontId="0" fillId="8" borderId="1" xfId="0" applyNumberFormat="1" applyFill="1" applyBorder="1"/>
    <xf numFmtId="165" fontId="0" fillId="4" borderId="0" xfId="0" applyNumberFormat="1" applyFill="1" applyAlignment="1">
      <alignment horizontal="center" vertical="center"/>
    </xf>
    <xf numFmtId="0" fontId="0" fillId="5" borderId="1" xfId="0" applyFill="1" applyBorder="1" applyAlignment="1">
      <alignment horizontal="right"/>
    </xf>
    <xf numFmtId="0" fontId="3" fillId="5" borderId="1" xfId="0" applyFont="1" applyFill="1" applyBorder="1"/>
    <xf numFmtId="0" fontId="4" fillId="5" borderId="1" xfId="0" applyFont="1" applyFill="1" applyBorder="1"/>
    <xf numFmtId="0" fontId="3" fillId="12" borderId="1" xfId="0" applyFont="1" applyFill="1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/>
    <xf numFmtId="2" fontId="4" fillId="4" borderId="1" xfId="0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son Neves" id="{8F6F3B74-F85F-43B3-9963-05EEC366E199}" userId="S-1-5-21-3260925005-1136440807-3821025495-1145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655" dT="2024-10-18T18:47:14.82" personId="{8F6F3B74-F85F-43B3-9963-05EEC366E199}" id="{0F55B0C5-8B5D-4720-9270-8D768201771F}">
    <text xml:space="preserve">POR SER APENAS UM GABARITO A SER FEITO , CONSIDERADO CONSUMO 0,05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C9AF-21B8-4CA0-BAE7-EA99095668FC}">
  <sheetPr filterMode="1"/>
  <dimension ref="A1:CR1378"/>
  <sheetViews>
    <sheetView tabSelected="1" zoomScale="85" zoomScaleNormal="85" workbookViewId="0">
      <pane xSplit="3" ySplit="1" topLeftCell="N166" activePane="bottomRight" state="frozen"/>
      <selection pane="topRight" activeCell="D1" sqref="D1"/>
      <selection pane="bottomLeft" activeCell="A2" sqref="A2"/>
      <selection pane="bottomRight" activeCell="T702" sqref="T702"/>
    </sheetView>
  </sheetViews>
  <sheetFormatPr defaultRowHeight="15" outlineLevelCol="1" x14ac:dyDescent="0.25"/>
  <cols>
    <col min="1" max="1" width="5.28515625" style="2" bestFit="1" customWidth="1"/>
    <col min="2" max="2" width="49.5703125" hidden="1" customWidth="1"/>
    <col min="3" max="3" width="17" style="2" customWidth="1"/>
    <col min="4" max="4" width="13.140625" style="2" customWidth="1"/>
    <col min="5" max="5" width="13" style="2" customWidth="1"/>
    <col min="6" max="6" width="12.7109375" style="1" customWidth="1"/>
    <col min="7" max="7" width="13.28515625" style="2" customWidth="1"/>
    <col min="8" max="8" width="18" style="2" customWidth="1"/>
    <col min="9" max="9" width="13" style="2" customWidth="1"/>
    <col min="10" max="10" width="35.7109375" customWidth="1"/>
    <col min="11" max="11" width="17.85546875" customWidth="1"/>
    <col min="12" max="12" width="13.42578125" style="2" customWidth="1"/>
    <col min="13" max="13" width="10.28515625" customWidth="1"/>
    <col min="14" max="14" width="20.85546875" style="2" customWidth="1"/>
    <col min="15" max="15" width="16.85546875" style="2" customWidth="1"/>
    <col min="16" max="16" width="17.85546875" style="2" customWidth="1"/>
    <col min="17" max="17" width="25.140625" style="2" customWidth="1"/>
    <col min="18" max="18" width="17.85546875" customWidth="1" outlineLevel="1"/>
    <col min="19" max="19" width="12" customWidth="1" outlineLevel="1"/>
    <col min="20" max="20" width="13.28515625" customWidth="1" outlineLevel="1"/>
    <col min="21" max="21" width="14.5703125" customWidth="1" outlineLevel="1"/>
    <col min="22" max="22" width="20.7109375" customWidth="1" outlineLevel="1"/>
    <col min="23" max="23" width="16.85546875" customWidth="1" outlineLevel="1"/>
    <col min="24" max="24" width="16.140625" customWidth="1" outlineLevel="1"/>
    <col min="25" max="25" width="17.42578125" customWidth="1" outlineLevel="1"/>
    <col min="26" max="26" width="18.28515625" style="1" customWidth="1"/>
    <col min="27" max="27" width="15.42578125" customWidth="1"/>
    <col min="28" max="28" width="23.85546875" style="2" customWidth="1"/>
    <col min="29" max="29" width="92.28515625" customWidth="1"/>
    <col min="30" max="30" width="12.85546875" customWidth="1"/>
    <col min="31" max="31" width="16.28515625" customWidth="1"/>
    <col min="32" max="32" width="12.28515625" customWidth="1" outlineLevel="1"/>
    <col min="33" max="33" width="55" customWidth="1" outlineLevel="1"/>
    <col min="34" max="34" width="20" customWidth="1" outlineLevel="1"/>
    <col min="35" max="36" width="13.85546875" bestFit="1" customWidth="1" outlineLevel="1"/>
    <col min="37" max="37" width="16.42578125" customWidth="1" outlineLevel="1"/>
    <col min="38" max="39" width="12.140625" customWidth="1" outlineLevel="1"/>
    <col min="40" max="40" width="13.7109375" customWidth="1"/>
    <col min="41" max="41" width="13.28515625" customWidth="1"/>
    <col min="42" max="42" width="13.42578125" customWidth="1" outlineLevel="1"/>
    <col min="43" max="43" width="30.85546875" customWidth="1" outlineLevel="1"/>
    <col min="44" max="44" width="20.42578125" customWidth="1" outlineLevel="1"/>
    <col min="45" max="46" width="30" customWidth="1" outlineLevel="1"/>
    <col min="47" max="48" width="32" customWidth="1" outlineLevel="1"/>
    <col min="49" max="51" width="13.85546875" bestFit="1" customWidth="1" outlineLevel="1"/>
    <col min="52" max="52" width="17.5703125" customWidth="1" outlineLevel="1"/>
    <col min="53" max="55" width="13.42578125" customWidth="1"/>
    <col min="56" max="56" width="10.7109375" customWidth="1"/>
    <col min="57" max="57" width="23.85546875" customWidth="1"/>
    <col min="58" max="68" width="9.140625" hidden="1" customWidth="1" outlineLevel="1"/>
    <col min="69" max="69" width="12.85546875" customWidth="1" collapsed="1"/>
    <col min="70" max="70" width="7.42578125" customWidth="1"/>
    <col min="71" max="71" width="12.85546875" customWidth="1"/>
    <col min="72" max="72" width="7.42578125" customWidth="1"/>
    <col min="73" max="73" width="5.28515625" customWidth="1"/>
    <col min="74" max="74" width="12.85546875" customWidth="1"/>
    <col min="75" max="75" width="7.42578125" customWidth="1"/>
    <col min="76" max="76" width="17.85546875" customWidth="1"/>
    <col min="77" max="77" width="15.42578125" customWidth="1"/>
    <col min="78" max="78" width="12.5703125" customWidth="1"/>
    <col min="79" max="79" width="16" customWidth="1"/>
    <col min="80" max="80" width="9.42578125" customWidth="1"/>
    <col min="81" max="81" width="9.28515625" customWidth="1"/>
    <col min="82" max="82" width="12.140625" customWidth="1"/>
    <col min="83" max="83" width="15.42578125" customWidth="1"/>
    <col min="84" max="84" width="17.85546875" customWidth="1"/>
    <col min="85" max="85" width="16" customWidth="1"/>
    <col min="86" max="87" width="9.140625" customWidth="1"/>
    <col min="88" max="88" width="16.140625" customWidth="1"/>
    <col min="89" max="89" width="9.140625" customWidth="1"/>
    <col min="90" max="90" width="20.85546875" customWidth="1" outlineLevel="1"/>
    <col min="91" max="91" width="19.5703125" customWidth="1" outlineLevel="1"/>
    <col min="92" max="92" width="22.42578125" customWidth="1" outlineLevel="1"/>
    <col min="93" max="93" width="15" customWidth="1" outlineLevel="1"/>
    <col min="94" max="94" width="16" customWidth="1" outlineLevel="1"/>
    <col min="95" max="95" width="32.140625" customWidth="1" outlineLevel="1"/>
    <col min="96" max="96" width="22.42578125" bestFit="1" customWidth="1"/>
    <col min="97" max="107" width="9.140625" customWidth="1"/>
  </cols>
  <sheetData>
    <row r="1" spans="1:96" x14ac:dyDescent="0.25">
      <c r="A1" s="39" t="s">
        <v>0</v>
      </c>
      <c r="B1" s="40" t="s">
        <v>1</v>
      </c>
      <c r="C1" s="39" t="s">
        <v>2</v>
      </c>
      <c r="D1" s="39" t="s">
        <v>3</v>
      </c>
      <c r="E1" s="39" t="s">
        <v>4</v>
      </c>
      <c r="F1" s="41" t="s">
        <v>5</v>
      </c>
      <c r="G1" s="39" t="s">
        <v>6</v>
      </c>
      <c r="H1" s="39" t="s">
        <v>7</v>
      </c>
      <c r="I1" s="39" t="s">
        <v>8</v>
      </c>
      <c r="J1" s="40" t="s">
        <v>9</v>
      </c>
      <c r="K1" s="40" t="s">
        <v>10</v>
      </c>
      <c r="L1" s="39" t="s">
        <v>11</v>
      </c>
      <c r="M1" s="40" t="s">
        <v>12</v>
      </c>
      <c r="N1" s="39" t="s">
        <v>13</v>
      </c>
      <c r="O1" s="2" t="s">
        <v>14</v>
      </c>
      <c r="P1" s="2" t="s">
        <v>15</v>
      </c>
      <c r="Q1" s="2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28" t="s">
        <v>25</v>
      </c>
      <c r="AA1" s="28" t="s">
        <v>26</v>
      </c>
      <c r="AB1" s="28" t="s">
        <v>2538</v>
      </c>
      <c r="AC1" s="31" t="s">
        <v>27</v>
      </c>
      <c r="AD1" s="31" t="s">
        <v>28</v>
      </c>
      <c r="AE1" s="31" t="s">
        <v>29</v>
      </c>
      <c r="AF1" s="18" t="s">
        <v>2494</v>
      </c>
      <c r="AG1" s="18" t="s">
        <v>2495</v>
      </c>
      <c r="AH1" s="18" t="s">
        <v>2496</v>
      </c>
      <c r="AI1" s="19" t="s">
        <v>2497</v>
      </c>
      <c r="AJ1" s="19" t="s">
        <v>2498</v>
      </c>
      <c r="AK1" s="19" t="s">
        <v>2499</v>
      </c>
      <c r="AL1" s="20" t="s">
        <v>2500</v>
      </c>
      <c r="AM1" s="20" t="s">
        <v>2501</v>
      </c>
      <c r="AN1" s="20" t="s">
        <v>2502</v>
      </c>
      <c r="AO1" s="20" t="s">
        <v>2503</v>
      </c>
      <c r="AP1" s="19" t="s">
        <v>2504</v>
      </c>
      <c r="AQ1" s="19" t="s">
        <v>2505</v>
      </c>
      <c r="AR1" s="19" t="s">
        <v>2506</v>
      </c>
      <c r="AS1" s="21" t="s">
        <v>2507</v>
      </c>
      <c r="AT1" s="22" t="s">
        <v>2508</v>
      </c>
      <c r="AU1" s="23" t="s">
        <v>2509</v>
      </c>
      <c r="AV1" s="23" t="s">
        <v>2510</v>
      </c>
      <c r="AW1" s="24" t="s">
        <v>2511</v>
      </c>
      <c r="AX1" s="24" t="s">
        <v>2512</v>
      </c>
      <c r="AY1" s="24" t="s">
        <v>2513</v>
      </c>
      <c r="AZ1" s="24" t="s">
        <v>2514</v>
      </c>
      <c r="BA1" s="25" t="s">
        <v>2515</v>
      </c>
      <c r="BB1" s="26" t="s">
        <v>2516</v>
      </c>
      <c r="BC1" s="25" t="s">
        <v>2517</v>
      </c>
      <c r="BD1" s="24" t="s">
        <v>2518</v>
      </c>
      <c r="BE1" s="27" t="s">
        <v>2519</v>
      </c>
      <c r="BN1" s="81" t="s">
        <v>2520</v>
      </c>
      <c r="BO1" s="81"/>
      <c r="BP1" s="81"/>
      <c r="BQ1" s="28" t="s">
        <v>2521</v>
      </c>
      <c r="BR1" s="28" t="s">
        <v>2522</v>
      </c>
      <c r="BS1" s="28" t="s">
        <v>2521</v>
      </c>
      <c r="BT1" s="28" t="s">
        <v>2522</v>
      </c>
      <c r="BU1" s="28" t="s">
        <v>2523</v>
      </c>
      <c r="BV1" s="28" t="s">
        <v>2521</v>
      </c>
      <c r="BW1" s="28" t="s">
        <v>2522</v>
      </c>
      <c r="BX1" s="13" t="s">
        <v>2524</v>
      </c>
      <c r="BY1" s="13" t="s">
        <v>2525</v>
      </c>
      <c r="BZ1" s="13" t="s">
        <v>2526</v>
      </c>
      <c r="CA1" s="13" t="s">
        <v>2527</v>
      </c>
      <c r="CB1" s="13" t="s">
        <v>2528</v>
      </c>
      <c r="CC1" s="13" t="s">
        <v>2529</v>
      </c>
      <c r="CD1" s="13" t="s">
        <v>2530</v>
      </c>
      <c r="CE1" s="13" t="s">
        <v>2525</v>
      </c>
      <c r="CF1" s="13" t="s">
        <v>2531</v>
      </c>
      <c r="CG1" s="13" t="s">
        <v>2527</v>
      </c>
      <c r="CH1" s="13" t="s">
        <v>2528</v>
      </c>
      <c r="CI1" s="13" t="s">
        <v>2529</v>
      </c>
      <c r="CJ1" s="13" t="s">
        <v>2532</v>
      </c>
      <c r="CL1" s="29" t="s">
        <v>2533</v>
      </c>
      <c r="CM1" s="29" t="s">
        <v>2534</v>
      </c>
      <c r="CN1" s="29" t="s">
        <v>2535</v>
      </c>
      <c r="CO1" s="29" t="s">
        <v>2536</v>
      </c>
      <c r="CP1" s="29" t="s">
        <v>2527</v>
      </c>
      <c r="CQ1" s="29" t="s">
        <v>2555</v>
      </c>
      <c r="CR1" s="29" t="s">
        <v>2556</v>
      </c>
    </row>
    <row r="2" spans="1:96" hidden="1" x14ac:dyDescent="0.25">
      <c r="A2" s="11">
        <v>0</v>
      </c>
      <c r="B2" s="5"/>
      <c r="C2" s="11" t="s">
        <v>2537</v>
      </c>
      <c r="D2" s="11"/>
      <c r="E2" s="11" t="s">
        <v>32</v>
      </c>
      <c r="F2" s="16">
        <f>COUNTIF($C$2:$C$1202,C2)</f>
        <v>1</v>
      </c>
      <c r="G2" s="11">
        <v>1</v>
      </c>
      <c r="H2" s="11">
        <f>G2</f>
        <v>1</v>
      </c>
      <c r="I2" s="11"/>
      <c r="J2" s="5" t="s">
        <v>2539</v>
      </c>
      <c r="K2" s="5" t="s">
        <v>34</v>
      </c>
      <c r="L2" s="11" t="s">
        <v>194</v>
      </c>
      <c r="M2" s="5" t="s">
        <v>35</v>
      </c>
      <c r="N2" s="11" t="s">
        <v>2540</v>
      </c>
      <c r="O2" s="28"/>
      <c r="P2" s="28"/>
      <c r="Q2" s="28"/>
      <c r="R2" s="30"/>
      <c r="S2" s="30"/>
      <c r="T2" s="30"/>
      <c r="U2" s="30"/>
      <c r="V2" s="8">
        <f>R2*25.4</f>
        <v>0</v>
      </c>
      <c r="W2" s="8">
        <f>S2*25.4</f>
        <v>0</v>
      </c>
      <c r="X2" s="8">
        <f>T2*25.4</f>
        <v>0</v>
      </c>
      <c r="Y2" s="33">
        <f>U2*25.4</f>
        <v>0</v>
      </c>
      <c r="Z2" s="28"/>
      <c r="AA2" s="28"/>
      <c r="AB2" s="28"/>
      <c r="AC2" s="31"/>
      <c r="AD2" s="50">
        <f>H2</f>
        <v>1</v>
      </c>
      <c r="AE2" s="31"/>
      <c r="AF2" s="51">
        <v>14</v>
      </c>
      <c r="AG2" s="51">
        <f t="shared" ref="AG2" si="0">AF2*0.6</f>
        <v>8.4</v>
      </c>
      <c r="AH2" s="51">
        <f t="shared" ref="AH2:AH65" si="1">AG2/0.2</f>
        <v>42</v>
      </c>
      <c r="AI2" s="52"/>
      <c r="AJ2" s="52"/>
      <c r="AK2" s="53">
        <f>(V2*W2)*2/1000000</f>
        <v>0</v>
      </c>
      <c r="AL2" s="54">
        <f>1/(AF2*0.6)</f>
        <v>0.11904761904761904</v>
      </c>
      <c r="AM2" s="54">
        <f>1/AG2*(20/100)</f>
        <v>2.3809523809523808E-2</v>
      </c>
      <c r="AN2" s="55">
        <f>IF(AI2&lt;&gt;0,(AK2*AL2*AD2),0)</f>
        <v>0</v>
      </c>
      <c r="AO2" s="55">
        <f>IF(AJ2&lt;&gt;0,(AK2*AM2*AD2),0)</f>
        <v>0</v>
      </c>
      <c r="AP2" s="53">
        <v>7.1</v>
      </c>
      <c r="AQ2" s="53">
        <f>AP2*0.6</f>
        <v>4.26</v>
      </c>
      <c r="AR2" s="53">
        <f>AQ2*5</f>
        <v>21.299999999999997</v>
      </c>
      <c r="AS2" s="56">
        <f>1/AR2</f>
        <v>4.6948356807511742E-2</v>
      </c>
      <c r="AT2" s="56">
        <f>1/AQ2</f>
        <v>0.23474178403755869</v>
      </c>
      <c r="AU2" s="56">
        <f>AT2*0.75</f>
        <v>0.176056338028169</v>
      </c>
      <c r="AV2" s="56">
        <f>AT2*0.25</f>
        <v>5.8685446009389672E-2</v>
      </c>
      <c r="AW2" s="57"/>
      <c r="AX2" s="57"/>
      <c r="AY2" s="57"/>
      <c r="AZ2" s="58">
        <f>(V2*W2)*2/1000000</f>
        <v>0</v>
      </c>
      <c r="BA2" s="59">
        <f>IF(AW2&lt;&gt;0,(AV2*AD2*AK2),0)</f>
        <v>0</v>
      </c>
      <c r="BB2" s="59">
        <f>IF(AX2&lt;&gt;0,(AD2*AU2*AZ2),0)</f>
        <v>0</v>
      </c>
      <c r="BC2" s="59">
        <f>IF(AY2&lt;&gt;0,(AD2*AS2*AZ2),0)</f>
        <v>0</v>
      </c>
      <c r="BD2" s="60">
        <f>CJ2</f>
        <v>0</v>
      </c>
      <c r="BE2" s="59">
        <f>BD2*AD2</f>
        <v>0</v>
      </c>
      <c r="BN2" s="2"/>
      <c r="BO2" s="2"/>
      <c r="BP2" s="2"/>
      <c r="BQ2" s="61">
        <v>3000</v>
      </c>
      <c r="BR2" s="61">
        <v>1200</v>
      </c>
      <c r="BS2" s="28">
        <f>BQ2-20</f>
        <v>2980</v>
      </c>
      <c r="BT2" s="28">
        <f>BR2-20</f>
        <v>1180</v>
      </c>
      <c r="BU2" s="28" t="s">
        <v>2541</v>
      </c>
      <c r="BV2" s="28">
        <f t="shared" ref="BV2:BW2" si="2">V2+5</f>
        <v>5</v>
      </c>
      <c r="BW2" s="28">
        <f t="shared" si="2"/>
        <v>5</v>
      </c>
      <c r="BX2" s="13">
        <f>BS2/BV2</f>
        <v>596</v>
      </c>
      <c r="BY2" s="13">
        <f>ROUNDDOWN(BX2,0)</f>
        <v>596</v>
      </c>
      <c r="BZ2" s="13">
        <f>BT2/BW2</f>
        <v>236</v>
      </c>
      <c r="CA2" s="13">
        <f>ROUNDDOWN(BZ2,0)</f>
        <v>236</v>
      </c>
      <c r="CB2" s="13">
        <f>BY2*CA2</f>
        <v>140656</v>
      </c>
      <c r="CC2" s="62" t="str">
        <f t="shared" ref="CC2" si="3">IF(E2="CJ","",IFERROR((1/CB2),1))</f>
        <v/>
      </c>
      <c r="CD2" s="13">
        <f>BS2/BW2</f>
        <v>596</v>
      </c>
      <c r="CE2" s="13">
        <f>ROUNDDOWN(CD2,0)</f>
        <v>596</v>
      </c>
      <c r="CF2" s="13">
        <f>BT2/BV2</f>
        <v>236</v>
      </c>
      <c r="CG2" s="13">
        <f>ROUNDDOWN(CF2,0)</f>
        <v>236</v>
      </c>
      <c r="CH2" s="28">
        <f>CE2*CG2</f>
        <v>140656</v>
      </c>
      <c r="CI2" s="62" t="str">
        <f t="shared" ref="CI2" si="4">IF(E2="CJ","",IFERROR((1/CH2),1))</f>
        <v/>
      </c>
      <c r="CJ2" s="59">
        <f>MIN(CC2,CI2)</f>
        <v>0</v>
      </c>
      <c r="CL2" s="63">
        <v>6000</v>
      </c>
      <c r="CM2" s="63">
        <f>V2</f>
        <v>0</v>
      </c>
      <c r="CN2" s="63">
        <f>CM2+5</f>
        <v>5</v>
      </c>
      <c r="CO2" s="63">
        <f>CL2/CN2</f>
        <v>1200</v>
      </c>
      <c r="CP2" s="13">
        <f>ROUNDDOWN(CO2,0)</f>
        <v>1200</v>
      </c>
      <c r="CQ2" s="70">
        <f>1/CP2</f>
        <v>8.3333333333333339E-4</v>
      </c>
      <c r="CR2" s="69">
        <f t="shared" ref="CR2:CR65" si="5">CQ2*AD2</f>
        <v>8.3333333333333339E-4</v>
      </c>
    </row>
    <row r="3" spans="1:96" hidden="1" x14ac:dyDescent="0.25">
      <c r="A3" s="3">
        <v>1</v>
      </c>
      <c r="B3" s="4" t="s">
        <v>30</v>
      </c>
      <c r="C3" s="3" t="s">
        <v>31</v>
      </c>
      <c r="D3" s="3" t="s">
        <v>2270</v>
      </c>
      <c r="E3" s="3" t="s">
        <v>32</v>
      </c>
      <c r="F3" s="9">
        <f t="shared" ref="F3:F66" si="6">COUNTIF($C$2:$C$1202,C3)</f>
        <v>1</v>
      </c>
      <c r="G3" s="3">
        <v>1</v>
      </c>
      <c r="H3" s="3">
        <f>G3*$H$2</f>
        <v>1</v>
      </c>
      <c r="I3" s="3">
        <v>2</v>
      </c>
      <c r="J3" s="4" t="s">
        <v>33</v>
      </c>
      <c r="K3" s="4" t="s">
        <v>34</v>
      </c>
      <c r="L3" s="3">
        <v>0</v>
      </c>
      <c r="M3" s="4" t="s">
        <v>35</v>
      </c>
      <c r="N3" s="3" t="s">
        <v>36</v>
      </c>
      <c r="O3" s="28" t="s">
        <v>41</v>
      </c>
      <c r="P3" s="28" t="s">
        <v>41</v>
      </c>
      <c r="Q3" s="28"/>
      <c r="R3" s="30"/>
      <c r="S3" s="30"/>
      <c r="T3" s="30"/>
      <c r="U3" s="30"/>
      <c r="V3" s="8">
        <f t="shared" ref="V3:V66" si="7">R3*25.4</f>
        <v>0</v>
      </c>
      <c r="W3" s="8">
        <f t="shared" ref="W3:W66" si="8">S3*25.4</f>
        <v>0</v>
      </c>
      <c r="X3" s="8">
        <f t="shared" ref="X3:X66" si="9">T3*25.4</f>
        <v>0</v>
      </c>
      <c r="Y3" s="33">
        <f t="shared" ref="Y3:Y66" si="10">U3*25.4</f>
        <v>0</v>
      </c>
      <c r="Z3" s="28"/>
      <c r="AA3" s="28"/>
      <c r="AB3" s="28">
        <v>0</v>
      </c>
      <c r="AC3" s="31"/>
      <c r="AD3" s="50">
        <f t="shared" ref="AD3:AD66" si="11">H3</f>
        <v>1</v>
      </c>
      <c r="AE3" s="31"/>
      <c r="AF3" s="51">
        <v>14</v>
      </c>
      <c r="AG3" s="51">
        <f t="shared" ref="AG3:AG5" si="12">AF3*0.6</f>
        <v>8.4</v>
      </c>
      <c r="AH3" s="51">
        <f t="shared" si="1"/>
        <v>42</v>
      </c>
      <c r="AI3" s="52" t="s">
        <v>2497</v>
      </c>
      <c r="AJ3" s="52" t="s">
        <v>2498</v>
      </c>
      <c r="AK3" s="53">
        <f t="shared" ref="AK3:AK5" si="13">(V3*W3)*2/1000000</f>
        <v>0</v>
      </c>
      <c r="AL3" s="54">
        <f t="shared" ref="AL3:AL5" si="14">1/(AF3*0.6)</f>
        <v>0.11904761904761904</v>
      </c>
      <c r="AM3" s="54">
        <f t="shared" ref="AM3:AM5" si="15">1/AG3*(20/100)</f>
        <v>2.3809523809523808E-2</v>
      </c>
      <c r="AN3" s="55">
        <f t="shared" ref="AN3:AN5" si="16">IF(AI3&lt;&gt;0,(AK3*AL3*AD3),0)</f>
        <v>0</v>
      </c>
      <c r="AO3" s="55">
        <f t="shared" ref="AO3:AO5" si="17">IF(AJ3&lt;&gt;0,(AK3*AM3*AD3),0)</f>
        <v>0</v>
      </c>
      <c r="AP3" s="53">
        <v>7.1</v>
      </c>
      <c r="AQ3" s="53">
        <f t="shared" ref="AQ3:AQ66" si="18">AP3*0.6</f>
        <v>4.26</v>
      </c>
      <c r="AR3" s="53">
        <f t="shared" ref="AR3:AR66" si="19">AQ3*5</f>
        <v>21.299999999999997</v>
      </c>
      <c r="AS3" s="56">
        <f t="shared" ref="AS3:AS66" si="20">1/AR3</f>
        <v>4.6948356807511742E-2</v>
      </c>
      <c r="AT3" s="56">
        <f t="shared" ref="AT3:AT5" si="21">1/AQ3</f>
        <v>0.23474178403755869</v>
      </c>
      <c r="AU3" s="56">
        <f t="shared" ref="AU3:AU66" si="22">AT3*0.75</f>
        <v>0.176056338028169</v>
      </c>
      <c r="AV3" s="56">
        <f t="shared" ref="AV3:AV5" si="23">AT3*0.25</f>
        <v>5.8685446009389672E-2</v>
      </c>
      <c r="AW3" s="57" t="s">
        <v>2511</v>
      </c>
      <c r="AX3" s="57" t="s">
        <v>2512</v>
      </c>
      <c r="AY3" s="57" t="s">
        <v>2513</v>
      </c>
      <c r="AZ3" s="58">
        <f t="shared" ref="AZ3:AZ5" si="24">(V3*W3)*2/1000000</f>
        <v>0</v>
      </c>
      <c r="BA3" s="59">
        <f>IF(AW3&lt;&gt;0,((AV3*AD3*AK3)/2),0)</f>
        <v>0</v>
      </c>
      <c r="BB3" s="59">
        <f>IF(AX3&lt;&gt;0,((AD3*AU3*AZ3)/2),0)</f>
        <v>0</v>
      </c>
      <c r="BC3" s="59">
        <f>IF(AY3&lt;&gt;0,((AD3*AS3*AZ3)/2),0)</f>
        <v>0</v>
      </c>
      <c r="BD3" s="60">
        <f t="shared" ref="BD3:BD5" si="25">CJ3</f>
        <v>0</v>
      </c>
      <c r="BE3" s="59">
        <f t="shared" ref="BE3:BE5" si="26">BD3*AD3</f>
        <v>0</v>
      </c>
      <c r="BQ3" s="61">
        <v>3000</v>
      </c>
      <c r="BR3" s="61">
        <v>1200</v>
      </c>
      <c r="BS3" s="28">
        <f t="shared" ref="BS3:BS66" si="27">BQ3-20</f>
        <v>2980</v>
      </c>
      <c r="BT3" s="28">
        <f t="shared" ref="BT3:BT66" si="28">BR3-20</f>
        <v>1180</v>
      </c>
      <c r="BU3" s="28" t="s">
        <v>2541</v>
      </c>
      <c r="BV3" s="28">
        <f t="shared" ref="BV3:BV66" si="29">V3+5</f>
        <v>5</v>
      </c>
      <c r="BW3" s="28">
        <f t="shared" ref="BW3:BW66" si="30">W3+5</f>
        <v>5</v>
      </c>
      <c r="BX3" s="13">
        <f t="shared" ref="BX3:BX66" si="31">BS3/BV3</f>
        <v>596</v>
      </c>
      <c r="BY3" s="13">
        <f t="shared" ref="BY3:BY66" si="32">ROUNDDOWN(BX3,0)</f>
        <v>596</v>
      </c>
      <c r="BZ3" s="13">
        <f t="shared" ref="BZ3:BZ66" si="33">BT3/BW3</f>
        <v>236</v>
      </c>
      <c r="CA3" s="13">
        <f t="shared" ref="CA3:CA66" si="34">ROUNDDOWN(BZ3,0)</f>
        <v>236</v>
      </c>
      <c r="CB3" s="13">
        <f t="shared" ref="CB3:CB66" si="35">BY3*CA3</f>
        <v>140656</v>
      </c>
      <c r="CC3" s="62" t="str">
        <f t="shared" ref="CC3:CC66" si="36">IF(E3="CJ","",IFERROR((1/CB3),1))</f>
        <v/>
      </c>
      <c r="CD3" s="13">
        <f t="shared" ref="CD3:CD66" si="37">BS3/BW3</f>
        <v>596</v>
      </c>
      <c r="CE3" s="13">
        <f t="shared" ref="CE3:CE66" si="38">ROUNDDOWN(CD3,0)</f>
        <v>596</v>
      </c>
      <c r="CF3" s="13">
        <f t="shared" ref="CF3:CF66" si="39">BT3/BV3</f>
        <v>236</v>
      </c>
      <c r="CG3" s="13">
        <f t="shared" ref="CG3:CG66" si="40">ROUNDDOWN(CF3,0)</f>
        <v>236</v>
      </c>
      <c r="CH3" s="28">
        <f t="shared" ref="CH3:CH66" si="41">CE3*CG3</f>
        <v>140656</v>
      </c>
      <c r="CI3" s="62" t="str">
        <f t="shared" ref="CI3:CI66" si="42">IF(E3="CJ","",IFERROR((1/CH3),1))</f>
        <v/>
      </c>
      <c r="CJ3" s="59">
        <f t="shared" ref="CJ3:CJ66" si="43">MIN(CC3,CI3)</f>
        <v>0</v>
      </c>
      <c r="CL3" s="63">
        <v>6000</v>
      </c>
      <c r="CM3" s="63">
        <f t="shared" ref="CM3:CM66" si="44">V3</f>
        <v>0</v>
      </c>
      <c r="CN3" s="63">
        <f t="shared" ref="CN3:CN66" si="45">CM3+5</f>
        <v>5</v>
      </c>
      <c r="CO3" s="63">
        <f t="shared" ref="CO3:CO66" si="46">CL3/CN3</f>
        <v>1200</v>
      </c>
      <c r="CP3" s="13">
        <f t="shared" ref="CP3:CP66" si="47">ROUNDDOWN(CO3,0)</f>
        <v>1200</v>
      </c>
      <c r="CQ3" s="70">
        <f t="shared" ref="CQ3:CQ66" si="48">1/CP3</f>
        <v>8.3333333333333339E-4</v>
      </c>
      <c r="CR3" s="69">
        <f t="shared" si="5"/>
        <v>8.3333333333333339E-4</v>
      </c>
    </row>
    <row r="4" spans="1:96" hidden="1" x14ac:dyDescent="0.25">
      <c r="A4" s="36">
        <v>2</v>
      </c>
      <c r="B4" s="37" t="s">
        <v>37</v>
      </c>
      <c r="C4" s="36" t="s">
        <v>38</v>
      </c>
      <c r="D4" s="36" t="s">
        <v>2270</v>
      </c>
      <c r="E4" s="36" t="s">
        <v>32</v>
      </c>
      <c r="F4" s="38">
        <f t="shared" si="6"/>
        <v>1</v>
      </c>
      <c r="G4" s="36">
        <v>1</v>
      </c>
      <c r="H4" s="36">
        <f>G4*$H$3</f>
        <v>1</v>
      </c>
      <c r="I4" s="36">
        <v>1</v>
      </c>
      <c r="J4" s="37" t="s">
        <v>39</v>
      </c>
      <c r="K4" s="37" t="s">
        <v>34</v>
      </c>
      <c r="L4" s="36">
        <v>0</v>
      </c>
      <c r="M4" s="37" t="s">
        <v>35</v>
      </c>
      <c r="N4" s="36" t="s">
        <v>40</v>
      </c>
      <c r="O4" s="28" t="s">
        <v>41</v>
      </c>
      <c r="P4" s="28" t="s">
        <v>41</v>
      </c>
      <c r="Q4" s="28"/>
      <c r="R4" s="30"/>
      <c r="S4" s="30"/>
      <c r="T4" s="30"/>
      <c r="U4" s="30"/>
      <c r="V4" s="8">
        <f t="shared" si="7"/>
        <v>0</v>
      </c>
      <c r="W4" s="8">
        <f t="shared" si="8"/>
        <v>0</v>
      </c>
      <c r="X4" s="8">
        <f t="shared" si="9"/>
        <v>0</v>
      </c>
      <c r="Y4" s="33">
        <f t="shared" si="10"/>
        <v>0</v>
      </c>
      <c r="Z4" s="28"/>
      <c r="AA4" s="28"/>
      <c r="AB4" s="28">
        <v>0</v>
      </c>
      <c r="AC4" s="31"/>
      <c r="AD4" s="50">
        <f t="shared" si="11"/>
        <v>1</v>
      </c>
      <c r="AE4" s="31"/>
      <c r="AF4" s="51">
        <v>14</v>
      </c>
      <c r="AG4" s="51">
        <f t="shared" si="12"/>
        <v>8.4</v>
      </c>
      <c r="AH4" s="51">
        <f t="shared" si="1"/>
        <v>42</v>
      </c>
      <c r="AI4" s="52" t="s">
        <v>2497</v>
      </c>
      <c r="AJ4" s="52" t="s">
        <v>2498</v>
      </c>
      <c r="AK4" s="53">
        <f t="shared" si="13"/>
        <v>0</v>
      </c>
      <c r="AL4" s="54">
        <f t="shared" si="14"/>
        <v>0.11904761904761904</v>
      </c>
      <c r="AM4" s="54">
        <f t="shared" si="15"/>
        <v>2.3809523809523808E-2</v>
      </c>
      <c r="AN4" s="55">
        <f t="shared" si="16"/>
        <v>0</v>
      </c>
      <c r="AO4" s="55">
        <f t="shared" si="17"/>
        <v>0</v>
      </c>
      <c r="AP4" s="53">
        <v>7.1</v>
      </c>
      <c r="AQ4" s="53">
        <f t="shared" si="18"/>
        <v>4.26</v>
      </c>
      <c r="AR4" s="53">
        <f t="shared" si="19"/>
        <v>21.299999999999997</v>
      </c>
      <c r="AS4" s="56">
        <f t="shared" si="20"/>
        <v>4.6948356807511742E-2</v>
      </c>
      <c r="AT4" s="56">
        <f t="shared" si="21"/>
        <v>0.23474178403755869</v>
      </c>
      <c r="AU4" s="56">
        <f t="shared" si="22"/>
        <v>0.176056338028169</v>
      </c>
      <c r="AV4" s="56">
        <f t="shared" si="23"/>
        <v>5.8685446009389672E-2</v>
      </c>
      <c r="AW4" s="57" t="s">
        <v>2511</v>
      </c>
      <c r="AX4" s="57" t="s">
        <v>2512</v>
      </c>
      <c r="AY4" s="57" t="s">
        <v>2513</v>
      </c>
      <c r="AZ4" s="58">
        <f t="shared" si="24"/>
        <v>0</v>
      </c>
      <c r="BA4" s="59">
        <f t="shared" ref="BA4:BA7" si="49">IF(AW4&lt;&gt;0,((AV4*AD4*AK4)/2),0)</f>
        <v>0</v>
      </c>
      <c r="BB4" s="59">
        <f t="shared" ref="BB4:BB7" si="50">IF(AX4&lt;&gt;0,((AD4*AU4*AZ4)/2),0)</f>
        <v>0</v>
      </c>
      <c r="BC4" s="59">
        <f t="shared" ref="BC4:BC7" si="51">IF(AY4&lt;&gt;0,((AD4*AS4*AZ4)/2),0)</f>
        <v>0</v>
      </c>
      <c r="BD4" s="60">
        <f t="shared" si="25"/>
        <v>0</v>
      </c>
      <c r="BE4" s="59">
        <f t="shared" si="26"/>
        <v>0</v>
      </c>
      <c r="BQ4" s="61">
        <v>3000</v>
      </c>
      <c r="BR4" s="61">
        <v>1200</v>
      </c>
      <c r="BS4" s="28">
        <f t="shared" si="27"/>
        <v>2980</v>
      </c>
      <c r="BT4" s="28">
        <f t="shared" si="28"/>
        <v>1180</v>
      </c>
      <c r="BU4" s="28" t="s">
        <v>2541</v>
      </c>
      <c r="BV4" s="28">
        <f t="shared" si="29"/>
        <v>5</v>
      </c>
      <c r="BW4" s="28">
        <f t="shared" si="30"/>
        <v>5</v>
      </c>
      <c r="BX4" s="13">
        <f t="shared" si="31"/>
        <v>596</v>
      </c>
      <c r="BY4" s="13">
        <f t="shared" si="32"/>
        <v>596</v>
      </c>
      <c r="BZ4" s="13">
        <f t="shared" si="33"/>
        <v>236</v>
      </c>
      <c r="CA4" s="13">
        <f t="shared" si="34"/>
        <v>236</v>
      </c>
      <c r="CB4" s="13">
        <f t="shared" si="35"/>
        <v>140656</v>
      </c>
      <c r="CC4" s="62" t="str">
        <f t="shared" si="36"/>
        <v/>
      </c>
      <c r="CD4" s="13">
        <f t="shared" si="37"/>
        <v>596</v>
      </c>
      <c r="CE4" s="13">
        <f t="shared" si="38"/>
        <v>596</v>
      </c>
      <c r="CF4" s="13">
        <f t="shared" si="39"/>
        <v>236</v>
      </c>
      <c r="CG4" s="13">
        <f t="shared" si="40"/>
        <v>236</v>
      </c>
      <c r="CH4" s="28">
        <f t="shared" si="41"/>
        <v>140656</v>
      </c>
      <c r="CI4" s="62" t="str">
        <f t="shared" si="42"/>
        <v/>
      </c>
      <c r="CJ4" s="59">
        <f t="shared" si="43"/>
        <v>0</v>
      </c>
      <c r="CL4" s="63">
        <v>6000</v>
      </c>
      <c r="CM4" s="63">
        <f t="shared" si="44"/>
        <v>0</v>
      </c>
      <c r="CN4" s="63">
        <f t="shared" si="45"/>
        <v>5</v>
      </c>
      <c r="CO4" s="63">
        <f t="shared" si="46"/>
        <v>1200</v>
      </c>
      <c r="CP4" s="13">
        <f t="shared" si="47"/>
        <v>1200</v>
      </c>
      <c r="CQ4" s="70">
        <f t="shared" si="48"/>
        <v>8.3333333333333339E-4</v>
      </c>
      <c r="CR4" s="69">
        <f t="shared" si="5"/>
        <v>8.3333333333333339E-4</v>
      </c>
    </row>
    <row r="5" spans="1:96" hidden="1" x14ac:dyDescent="0.25">
      <c r="A5" s="10">
        <v>3</v>
      </c>
      <c r="B5" s="8" t="s">
        <v>42</v>
      </c>
      <c r="C5" s="10" t="s">
        <v>43</v>
      </c>
      <c r="D5" s="10" t="s">
        <v>2270</v>
      </c>
      <c r="E5" s="10" t="s">
        <v>32</v>
      </c>
      <c r="F5" s="12">
        <f t="shared" si="6"/>
        <v>1</v>
      </c>
      <c r="G5" s="10">
        <v>1</v>
      </c>
      <c r="H5" s="10">
        <f>G5*$H$4</f>
        <v>1</v>
      </c>
      <c r="I5" s="10">
        <v>1</v>
      </c>
      <c r="J5" s="8" t="s">
        <v>44</v>
      </c>
      <c r="K5" s="8" t="s">
        <v>34</v>
      </c>
      <c r="L5" s="10">
        <v>0</v>
      </c>
      <c r="M5" s="8" t="s">
        <v>35</v>
      </c>
      <c r="N5" s="10" t="s">
        <v>45</v>
      </c>
      <c r="O5" s="28" t="s">
        <v>41</v>
      </c>
      <c r="P5" s="28" t="s">
        <v>41</v>
      </c>
      <c r="Q5" s="28"/>
      <c r="R5" s="30"/>
      <c r="S5" s="30"/>
      <c r="T5" s="30"/>
      <c r="U5" s="30"/>
      <c r="V5" s="8">
        <f t="shared" si="7"/>
        <v>0</v>
      </c>
      <c r="W5" s="8">
        <f t="shared" si="8"/>
        <v>0</v>
      </c>
      <c r="X5" s="8">
        <f t="shared" si="9"/>
        <v>0</v>
      </c>
      <c r="Y5" s="33">
        <f t="shared" si="10"/>
        <v>0</v>
      </c>
      <c r="Z5" s="28"/>
      <c r="AA5" s="28"/>
      <c r="AB5" s="28">
        <v>0</v>
      </c>
      <c r="AC5" s="31"/>
      <c r="AD5" s="50">
        <f t="shared" si="11"/>
        <v>1</v>
      </c>
      <c r="AE5" s="31"/>
      <c r="AF5" s="51">
        <v>14</v>
      </c>
      <c r="AG5" s="51">
        <f t="shared" si="12"/>
        <v>8.4</v>
      </c>
      <c r="AH5" s="51">
        <f t="shared" si="1"/>
        <v>42</v>
      </c>
      <c r="AI5" s="52" t="s">
        <v>2497</v>
      </c>
      <c r="AJ5" s="52" t="s">
        <v>2498</v>
      </c>
      <c r="AK5" s="53">
        <f t="shared" si="13"/>
        <v>0</v>
      </c>
      <c r="AL5" s="54">
        <f t="shared" si="14"/>
        <v>0.11904761904761904</v>
      </c>
      <c r="AM5" s="54">
        <f t="shared" si="15"/>
        <v>2.3809523809523808E-2</v>
      </c>
      <c r="AN5" s="55">
        <f t="shared" si="16"/>
        <v>0</v>
      </c>
      <c r="AO5" s="55">
        <f t="shared" si="17"/>
        <v>0</v>
      </c>
      <c r="AP5" s="53">
        <v>7.1</v>
      </c>
      <c r="AQ5" s="53">
        <f t="shared" si="18"/>
        <v>4.26</v>
      </c>
      <c r="AR5" s="53">
        <f t="shared" si="19"/>
        <v>21.299999999999997</v>
      </c>
      <c r="AS5" s="56">
        <f t="shared" si="20"/>
        <v>4.6948356807511742E-2</v>
      </c>
      <c r="AT5" s="56">
        <f t="shared" si="21"/>
        <v>0.23474178403755869</v>
      </c>
      <c r="AU5" s="56">
        <f t="shared" si="22"/>
        <v>0.176056338028169</v>
      </c>
      <c r="AV5" s="56">
        <f t="shared" si="23"/>
        <v>5.8685446009389672E-2</v>
      </c>
      <c r="AW5" s="57" t="s">
        <v>2511</v>
      </c>
      <c r="AX5" s="57" t="s">
        <v>2512</v>
      </c>
      <c r="AY5" s="57" t="s">
        <v>2513</v>
      </c>
      <c r="AZ5" s="58">
        <f t="shared" si="24"/>
        <v>0</v>
      </c>
      <c r="BA5" s="59">
        <f t="shared" si="49"/>
        <v>0</v>
      </c>
      <c r="BB5" s="59">
        <f t="shared" si="50"/>
        <v>0</v>
      </c>
      <c r="BC5" s="59">
        <f t="shared" si="51"/>
        <v>0</v>
      </c>
      <c r="BD5" s="60">
        <f t="shared" si="25"/>
        <v>0</v>
      </c>
      <c r="BE5" s="59">
        <f t="shared" si="26"/>
        <v>0</v>
      </c>
      <c r="BQ5" s="61">
        <v>3000</v>
      </c>
      <c r="BR5" s="61">
        <v>1200</v>
      </c>
      <c r="BS5" s="28">
        <f t="shared" si="27"/>
        <v>2980</v>
      </c>
      <c r="BT5" s="28">
        <f t="shared" si="28"/>
        <v>1180</v>
      </c>
      <c r="BU5" s="28" t="s">
        <v>2541</v>
      </c>
      <c r="BV5" s="28">
        <f t="shared" si="29"/>
        <v>5</v>
      </c>
      <c r="BW5" s="28">
        <f t="shared" si="30"/>
        <v>5</v>
      </c>
      <c r="BX5" s="13">
        <f t="shared" si="31"/>
        <v>596</v>
      </c>
      <c r="BY5" s="13">
        <f t="shared" si="32"/>
        <v>596</v>
      </c>
      <c r="BZ5" s="13">
        <f t="shared" si="33"/>
        <v>236</v>
      </c>
      <c r="CA5" s="13">
        <f t="shared" si="34"/>
        <v>236</v>
      </c>
      <c r="CB5" s="13">
        <f t="shared" si="35"/>
        <v>140656</v>
      </c>
      <c r="CC5" s="62" t="str">
        <f t="shared" si="36"/>
        <v/>
      </c>
      <c r="CD5" s="13">
        <f t="shared" si="37"/>
        <v>596</v>
      </c>
      <c r="CE5" s="13">
        <f t="shared" si="38"/>
        <v>596</v>
      </c>
      <c r="CF5" s="13">
        <f t="shared" si="39"/>
        <v>236</v>
      </c>
      <c r="CG5" s="13">
        <f t="shared" si="40"/>
        <v>236</v>
      </c>
      <c r="CH5" s="28">
        <f t="shared" si="41"/>
        <v>140656</v>
      </c>
      <c r="CI5" s="62" t="str">
        <f t="shared" si="42"/>
        <v/>
      </c>
      <c r="CJ5" s="59">
        <f t="shared" si="43"/>
        <v>0</v>
      </c>
      <c r="CL5" s="63">
        <v>6000</v>
      </c>
      <c r="CM5" s="63">
        <f t="shared" si="44"/>
        <v>0</v>
      </c>
      <c r="CN5" s="63">
        <f t="shared" si="45"/>
        <v>5</v>
      </c>
      <c r="CO5" s="63">
        <f t="shared" si="46"/>
        <v>1200</v>
      </c>
      <c r="CP5" s="13">
        <f t="shared" si="47"/>
        <v>1200</v>
      </c>
      <c r="CQ5" s="70">
        <f t="shared" si="48"/>
        <v>8.3333333333333339E-4</v>
      </c>
      <c r="CR5" s="69">
        <f t="shared" si="5"/>
        <v>8.3333333333333339E-4</v>
      </c>
    </row>
    <row r="6" spans="1:96" hidden="1" x14ac:dyDescent="0.25">
      <c r="A6" s="13">
        <v>4</v>
      </c>
      <c r="B6" s="14" t="s">
        <v>46</v>
      </c>
      <c r="C6" s="13" t="s">
        <v>47</v>
      </c>
      <c r="D6" s="13" t="s">
        <v>2270</v>
      </c>
      <c r="E6" s="13" t="s">
        <v>32</v>
      </c>
      <c r="F6" s="15">
        <f t="shared" si="6"/>
        <v>1</v>
      </c>
      <c r="G6" s="13">
        <v>1</v>
      </c>
      <c r="H6" s="13">
        <f>G6*$H$5</f>
        <v>1</v>
      </c>
      <c r="I6" s="13">
        <v>1</v>
      </c>
      <c r="J6" s="14" t="s">
        <v>48</v>
      </c>
      <c r="K6" s="14" t="s">
        <v>34</v>
      </c>
      <c r="L6" s="13">
        <v>0</v>
      </c>
      <c r="M6" s="14" t="s">
        <v>35</v>
      </c>
      <c r="N6" s="13" t="s">
        <v>49</v>
      </c>
      <c r="O6" s="28" t="s">
        <v>41</v>
      </c>
      <c r="P6" s="28" t="s">
        <v>41</v>
      </c>
      <c r="Q6" s="28"/>
      <c r="R6" s="30"/>
      <c r="S6" s="30"/>
      <c r="T6" s="30"/>
      <c r="U6" s="30"/>
      <c r="V6" s="8">
        <f t="shared" si="7"/>
        <v>0</v>
      </c>
      <c r="W6" s="8">
        <f t="shared" si="8"/>
        <v>0</v>
      </c>
      <c r="X6" s="8">
        <f t="shared" si="9"/>
        <v>0</v>
      </c>
      <c r="Y6" s="33">
        <f t="shared" si="10"/>
        <v>0</v>
      </c>
      <c r="Z6" s="28"/>
      <c r="AA6" s="28"/>
      <c r="AB6" s="28">
        <v>0</v>
      </c>
      <c r="AC6" s="31"/>
      <c r="AD6" s="50">
        <f t="shared" si="11"/>
        <v>1</v>
      </c>
      <c r="AE6" s="31"/>
      <c r="AF6" s="51">
        <v>14</v>
      </c>
      <c r="AG6" s="51">
        <f t="shared" ref="AG6:AG69" si="52">AF6*0.6</f>
        <v>8.4</v>
      </c>
      <c r="AH6" s="51">
        <f t="shared" si="1"/>
        <v>42</v>
      </c>
      <c r="AI6" s="52" t="s">
        <v>2497</v>
      </c>
      <c r="AJ6" s="52" t="s">
        <v>2498</v>
      </c>
      <c r="AK6" s="53">
        <f t="shared" ref="AK6:AK69" si="53">(V6*W6)*2/1000000</f>
        <v>0</v>
      </c>
      <c r="AL6" s="54">
        <f t="shared" ref="AL6:AL69" si="54">1/(AF6*0.6)</f>
        <v>0.11904761904761904</v>
      </c>
      <c r="AM6" s="54">
        <f t="shared" ref="AM6:AM69" si="55">1/AG6*(20/100)</f>
        <v>2.3809523809523808E-2</v>
      </c>
      <c r="AN6" s="55">
        <f t="shared" ref="AN6:AN69" si="56">IF(AI6&lt;&gt;0,(AK6*AL6*AD6),0)</f>
        <v>0</v>
      </c>
      <c r="AO6" s="55">
        <f t="shared" ref="AO6:AO69" si="57">IF(AJ6&lt;&gt;0,(AK6*AM6*AD6),0)</f>
        <v>0</v>
      </c>
      <c r="AP6" s="53">
        <v>7.1</v>
      </c>
      <c r="AQ6" s="53">
        <f t="shared" si="18"/>
        <v>4.26</v>
      </c>
      <c r="AR6" s="53">
        <f t="shared" si="19"/>
        <v>21.299999999999997</v>
      </c>
      <c r="AS6" s="56">
        <f t="shared" si="20"/>
        <v>4.6948356807511742E-2</v>
      </c>
      <c r="AT6" s="56">
        <f t="shared" ref="AT6:AT69" si="58">1/AQ6</f>
        <v>0.23474178403755869</v>
      </c>
      <c r="AU6" s="56">
        <f t="shared" si="22"/>
        <v>0.176056338028169</v>
      </c>
      <c r="AV6" s="56">
        <f t="shared" ref="AV6:AV69" si="59">AT6*0.25</f>
        <v>5.8685446009389672E-2</v>
      </c>
      <c r="AW6" s="57" t="s">
        <v>2511</v>
      </c>
      <c r="AX6" s="57" t="s">
        <v>2512</v>
      </c>
      <c r="AY6" s="57" t="s">
        <v>2513</v>
      </c>
      <c r="AZ6" s="58">
        <f t="shared" ref="AZ6:AZ69" si="60">(V6*W6)*2/1000000</f>
        <v>0</v>
      </c>
      <c r="BA6" s="59">
        <f t="shared" si="49"/>
        <v>0</v>
      </c>
      <c r="BB6" s="59">
        <f t="shared" si="50"/>
        <v>0</v>
      </c>
      <c r="BC6" s="59">
        <f t="shared" si="51"/>
        <v>0</v>
      </c>
      <c r="BD6" s="60">
        <f t="shared" ref="BD6:BD69" si="61">CJ6</f>
        <v>0</v>
      </c>
      <c r="BE6" s="59">
        <f t="shared" ref="BE6:BE69" si="62">BD6*AD6</f>
        <v>0</v>
      </c>
      <c r="BQ6" s="61">
        <v>3000</v>
      </c>
      <c r="BR6" s="61">
        <v>1200</v>
      </c>
      <c r="BS6" s="28">
        <f t="shared" si="27"/>
        <v>2980</v>
      </c>
      <c r="BT6" s="28">
        <f t="shared" si="28"/>
        <v>1180</v>
      </c>
      <c r="BU6" s="28" t="s">
        <v>2541</v>
      </c>
      <c r="BV6" s="28">
        <f t="shared" si="29"/>
        <v>5</v>
      </c>
      <c r="BW6" s="28">
        <f t="shared" si="30"/>
        <v>5</v>
      </c>
      <c r="BX6" s="13">
        <f t="shared" si="31"/>
        <v>596</v>
      </c>
      <c r="BY6" s="13">
        <f t="shared" si="32"/>
        <v>596</v>
      </c>
      <c r="BZ6" s="13">
        <f t="shared" si="33"/>
        <v>236</v>
      </c>
      <c r="CA6" s="13">
        <f t="shared" si="34"/>
        <v>236</v>
      </c>
      <c r="CB6" s="13">
        <f t="shared" si="35"/>
        <v>140656</v>
      </c>
      <c r="CC6" s="62" t="str">
        <f t="shared" si="36"/>
        <v/>
      </c>
      <c r="CD6" s="13">
        <f t="shared" si="37"/>
        <v>596</v>
      </c>
      <c r="CE6" s="13">
        <f t="shared" si="38"/>
        <v>596</v>
      </c>
      <c r="CF6" s="13">
        <f t="shared" si="39"/>
        <v>236</v>
      </c>
      <c r="CG6" s="13">
        <f t="shared" si="40"/>
        <v>236</v>
      </c>
      <c r="CH6" s="28">
        <f t="shared" si="41"/>
        <v>140656</v>
      </c>
      <c r="CI6" s="62" t="str">
        <f t="shared" si="42"/>
        <v/>
      </c>
      <c r="CJ6" s="59">
        <f t="shared" si="43"/>
        <v>0</v>
      </c>
      <c r="CL6" s="63">
        <v>6000</v>
      </c>
      <c r="CM6" s="63">
        <f t="shared" si="44"/>
        <v>0</v>
      </c>
      <c r="CN6" s="63">
        <f t="shared" si="45"/>
        <v>5</v>
      </c>
      <c r="CO6" s="63">
        <f t="shared" si="46"/>
        <v>1200</v>
      </c>
      <c r="CP6" s="13">
        <f t="shared" si="47"/>
        <v>1200</v>
      </c>
      <c r="CQ6" s="70">
        <f t="shared" si="48"/>
        <v>8.3333333333333339E-4</v>
      </c>
      <c r="CR6" s="69">
        <f t="shared" si="5"/>
        <v>8.3333333333333339E-4</v>
      </c>
    </row>
    <row r="7" spans="1:96" hidden="1" x14ac:dyDescent="0.25">
      <c r="A7" s="17">
        <v>5</v>
      </c>
      <c r="B7" s="6" t="s">
        <v>50</v>
      </c>
      <c r="C7" s="17" t="s">
        <v>51</v>
      </c>
      <c r="D7" s="17" t="s">
        <v>2270</v>
      </c>
      <c r="E7" s="17" t="s">
        <v>52</v>
      </c>
      <c r="F7" s="7">
        <f t="shared" si="6"/>
        <v>1</v>
      </c>
      <c r="G7" s="17">
        <v>1</v>
      </c>
      <c r="H7" s="17">
        <f>G7*$H$6</f>
        <v>1</v>
      </c>
      <c r="I7" s="17">
        <v>1</v>
      </c>
      <c r="J7" s="6" t="s">
        <v>53</v>
      </c>
      <c r="K7" s="6" t="s">
        <v>34</v>
      </c>
      <c r="L7" s="17">
        <v>0</v>
      </c>
      <c r="M7" s="6" t="s">
        <v>35</v>
      </c>
      <c r="N7" s="17" t="s">
        <v>54</v>
      </c>
      <c r="O7" s="28" t="s">
        <v>41</v>
      </c>
      <c r="P7" s="28" t="s">
        <v>41</v>
      </c>
      <c r="Q7" s="28" t="s">
        <v>55</v>
      </c>
      <c r="R7" s="30">
        <v>73.239999999999995</v>
      </c>
      <c r="S7" s="30">
        <v>57.534999999999997</v>
      </c>
      <c r="T7" s="30"/>
      <c r="U7" s="30">
        <v>0.11799999999999999</v>
      </c>
      <c r="V7" s="8">
        <f t="shared" si="7"/>
        <v>1860.2959999999998</v>
      </c>
      <c r="W7" s="8">
        <f t="shared" si="8"/>
        <v>1461.3889999999999</v>
      </c>
      <c r="X7" s="8">
        <f t="shared" si="9"/>
        <v>0</v>
      </c>
      <c r="Y7" s="33">
        <f t="shared" si="10"/>
        <v>2.9971999999999999</v>
      </c>
      <c r="Z7" s="28" t="s">
        <v>56</v>
      </c>
      <c r="AA7" s="28" t="s">
        <v>57</v>
      </c>
      <c r="AB7" s="61" t="s">
        <v>55</v>
      </c>
      <c r="AC7" s="31" t="s">
        <v>58</v>
      </c>
      <c r="AD7" s="50">
        <f t="shared" si="11"/>
        <v>1</v>
      </c>
      <c r="AE7" s="31"/>
      <c r="AF7" s="51">
        <v>14</v>
      </c>
      <c r="AG7" s="51">
        <f t="shared" si="52"/>
        <v>8.4</v>
      </c>
      <c r="AH7" s="51">
        <f t="shared" si="1"/>
        <v>42</v>
      </c>
      <c r="AI7" s="52" t="s">
        <v>2497</v>
      </c>
      <c r="AJ7" s="52" t="s">
        <v>2498</v>
      </c>
      <c r="AK7" s="53">
        <f t="shared" si="53"/>
        <v>5.4372322222879994</v>
      </c>
      <c r="AL7" s="54">
        <f t="shared" si="54"/>
        <v>0.11904761904761904</v>
      </c>
      <c r="AM7" s="54">
        <f t="shared" si="55"/>
        <v>2.3809523809523808E-2</v>
      </c>
      <c r="AN7" s="55">
        <f t="shared" si="56"/>
        <v>0.64728955027238089</v>
      </c>
      <c r="AO7" s="55">
        <f t="shared" si="57"/>
        <v>0.12945791005447618</v>
      </c>
      <c r="AP7" s="53">
        <v>7.1</v>
      </c>
      <c r="AQ7" s="53">
        <f t="shared" si="18"/>
        <v>4.26</v>
      </c>
      <c r="AR7" s="53">
        <f t="shared" si="19"/>
        <v>21.299999999999997</v>
      </c>
      <c r="AS7" s="56">
        <f t="shared" si="20"/>
        <v>4.6948356807511742E-2</v>
      </c>
      <c r="AT7" s="56">
        <f t="shared" si="58"/>
        <v>0.23474178403755869</v>
      </c>
      <c r="AU7" s="56">
        <f t="shared" si="22"/>
        <v>0.176056338028169</v>
      </c>
      <c r="AV7" s="56">
        <f t="shared" si="59"/>
        <v>5.8685446009389672E-2</v>
      </c>
      <c r="AW7" s="57" t="s">
        <v>2511</v>
      </c>
      <c r="AX7" s="57" t="s">
        <v>2512</v>
      </c>
      <c r="AY7" s="57" t="s">
        <v>2513</v>
      </c>
      <c r="AZ7" s="58">
        <f t="shared" si="60"/>
        <v>5.4372322222879994</v>
      </c>
      <c r="BA7" s="59">
        <f t="shared" si="49"/>
        <v>0.15954319901079811</v>
      </c>
      <c r="BB7" s="59">
        <f t="shared" si="50"/>
        <v>0.47862959703239427</v>
      </c>
      <c r="BC7" s="59">
        <f t="shared" si="51"/>
        <v>0.1276345592086385</v>
      </c>
      <c r="BD7" s="60">
        <f t="shared" si="61"/>
        <v>1</v>
      </c>
      <c r="BE7" s="59">
        <f t="shared" si="62"/>
        <v>1</v>
      </c>
      <c r="BQ7" s="61">
        <v>3000</v>
      </c>
      <c r="BR7" s="11">
        <v>1500</v>
      </c>
      <c r="BS7" s="28">
        <f t="shared" si="27"/>
        <v>2980</v>
      </c>
      <c r="BT7" s="28">
        <f t="shared" si="28"/>
        <v>1480</v>
      </c>
      <c r="BU7" s="28" t="s">
        <v>2541</v>
      </c>
      <c r="BV7" s="28">
        <f t="shared" si="29"/>
        <v>1865.2959999999998</v>
      </c>
      <c r="BW7" s="28">
        <f t="shared" si="30"/>
        <v>1466.3889999999999</v>
      </c>
      <c r="BX7" s="13">
        <f t="shared" si="31"/>
        <v>1.5976016675101432</v>
      </c>
      <c r="BY7" s="13">
        <f t="shared" si="32"/>
        <v>1</v>
      </c>
      <c r="BZ7" s="13">
        <f t="shared" si="33"/>
        <v>1.0092819845211605</v>
      </c>
      <c r="CA7" s="13">
        <f t="shared" si="34"/>
        <v>1</v>
      </c>
      <c r="CB7" s="13">
        <f t="shared" si="35"/>
        <v>1</v>
      </c>
      <c r="CC7" s="62">
        <f t="shared" si="36"/>
        <v>1</v>
      </c>
      <c r="CD7" s="13">
        <f t="shared" si="37"/>
        <v>2.0322029147790936</v>
      </c>
      <c r="CE7" s="13">
        <f t="shared" si="38"/>
        <v>2</v>
      </c>
      <c r="CF7" s="13">
        <f t="shared" si="39"/>
        <v>0.79343975433389669</v>
      </c>
      <c r="CG7" s="13">
        <f t="shared" si="40"/>
        <v>0</v>
      </c>
      <c r="CH7" s="28">
        <f t="shared" si="41"/>
        <v>0</v>
      </c>
      <c r="CI7" s="62">
        <f t="shared" si="42"/>
        <v>1</v>
      </c>
      <c r="CJ7" s="59">
        <f t="shared" si="43"/>
        <v>1</v>
      </c>
      <c r="CL7" s="63">
        <v>6000</v>
      </c>
      <c r="CM7" s="63">
        <f t="shared" si="44"/>
        <v>1860.2959999999998</v>
      </c>
      <c r="CN7" s="63">
        <f t="shared" si="45"/>
        <v>1865.2959999999998</v>
      </c>
      <c r="CO7" s="63">
        <f t="shared" si="46"/>
        <v>3.2166476527049865</v>
      </c>
      <c r="CP7" s="13">
        <f t="shared" si="47"/>
        <v>3</v>
      </c>
      <c r="CQ7" s="70">
        <f t="shared" si="48"/>
        <v>0.33333333333333331</v>
      </c>
      <c r="CR7" s="69">
        <f t="shared" si="5"/>
        <v>0.33333333333333331</v>
      </c>
    </row>
    <row r="8" spans="1:96" hidden="1" x14ac:dyDescent="0.25">
      <c r="A8" s="17">
        <v>5</v>
      </c>
      <c r="B8" s="6" t="s">
        <v>50</v>
      </c>
      <c r="C8" s="17" t="s">
        <v>59</v>
      </c>
      <c r="D8" s="17" t="s">
        <v>61</v>
      </c>
      <c r="E8" s="17" t="s">
        <v>52</v>
      </c>
      <c r="F8" s="7">
        <f t="shared" si="6"/>
        <v>19</v>
      </c>
      <c r="G8" s="17">
        <v>1</v>
      </c>
      <c r="H8" s="17">
        <f t="shared" ref="H8:H20" si="63">G8*$H$6</f>
        <v>1</v>
      </c>
      <c r="I8" s="17">
        <v>2</v>
      </c>
      <c r="J8" s="6" t="s">
        <v>60</v>
      </c>
      <c r="K8" s="6" t="s">
        <v>34</v>
      </c>
      <c r="L8" s="17">
        <v>0</v>
      </c>
      <c r="M8" s="6" t="s">
        <v>35</v>
      </c>
      <c r="N8" s="17" t="s">
        <v>61</v>
      </c>
      <c r="O8" s="28" t="s">
        <v>41</v>
      </c>
      <c r="P8" s="28" t="s">
        <v>41</v>
      </c>
      <c r="Q8" s="28" t="s">
        <v>61</v>
      </c>
      <c r="R8" s="30"/>
      <c r="S8" s="30"/>
      <c r="T8" s="30"/>
      <c r="U8" s="30"/>
      <c r="V8" s="8">
        <f t="shared" si="7"/>
        <v>0</v>
      </c>
      <c r="W8" s="8">
        <f t="shared" si="8"/>
        <v>0</v>
      </c>
      <c r="X8" s="8">
        <f t="shared" si="9"/>
        <v>0</v>
      </c>
      <c r="Y8" s="33">
        <f t="shared" si="10"/>
        <v>0</v>
      </c>
      <c r="Z8" s="28"/>
      <c r="AA8" s="28"/>
      <c r="AB8" s="61" t="s">
        <v>61</v>
      </c>
      <c r="AC8" s="31" t="s">
        <v>62</v>
      </c>
      <c r="AD8" s="50">
        <f t="shared" si="11"/>
        <v>1</v>
      </c>
      <c r="AE8" s="31"/>
      <c r="AF8" s="51">
        <v>14</v>
      </c>
      <c r="AG8" s="51">
        <f t="shared" si="52"/>
        <v>8.4</v>
      </c>
      <c r="AH8" s="51">
        <f t="shared" si="1"/>
        <v>42</v>
      </c>
      <c r="AI8" s="52" t="s">
        <v>2497</v>
      </c>
      <c r="AJ8" s="52" t="s">
        <v>2498</v>
      </c>
      <c r="AK8" s="53">
        <f t="shared" si="53"/>
        <v>0</v>
      </c>
      <c r="AL8" s="54">
        <f t="shared" si="54"/>
        <v>0.11904761904761904</v>
      </c>
      <c r="AM8" s="54">
        <f t="shared" si="55"/>
        <v>2.3809523809523808E-2</v>
      </c>
      <c r="AN8" s="55">
        <f t="shared" si="56"/>
        <v>0</v>
      </c>
      <c r="AO8" s="55">
        <f t="shared" si="57"/>
        <v>0</v>
      </c>
      <c r="AP8" s="53">
        <v>7.1</v>
      </c>
      <c r="AQ8" s="53">
        <f t="shared" si="18"/>
        <v>4.26</v>
      </c>
      <c r="AR8" s="53">
        <f t="shared" si="19"/>
        <v>21.299999999999997</v>
      </c>
      <c r="AS8" s="56">
        <f t="shared" si="20"/>
        <v>4.6948356807511742E-2</v>
      </c>
      <c r="AT8" s="56">
        <f t="shared" si="58"/>
        <v>0.23474178403755869</v>
      </c>
      <c r="AU8" s="56">
        <f t="shared" si="22"/>
        <v>0.176056338028169</v>
      </c>
      <c r="AV8" s="56">
        <f t="shared" si="59"/>
        <v>5.8685446009389672E-2</v>
      </c>
      <c r="AW8" s="57" t="s">
        <v>2511</v>
      </c>
      <c r="AX8" s="57" t="s">
        <v>2512</v>
      </c>
      <c r="AY8" s="57" t="s">
        <v>2513</v>
      </c>
      <c r="AZ8" s="58">
        <f t="shared" si="60"/>
        <v>0</v>
      </c>
      <c r="BA8" s="59">
        <f t="shared" ref="BA8:BA71" si="64">IF(AW8&lt;&gt;0,((AV8*AD8*AK8)/2),0)</f>
        <v>0</v>
      </c>
      <c r="BB8" s="59">
        <f t="shared" ref="BB8:BB71" si="65">IF(AX8&lt;&gt;0,((AD8*AU8*AZ8)/2),0)</f>
        <v>0</v>
      </c>
      <c r="BC8" s="59">
        <f t="shared" ref="BC8:BC71" si="66">IF(AY8&lt;&gt;0,((AD8*AS8*AZ8)/2),0)</f>
        <v>0</v>
      </c>
      <c r="BD8" s="60">
        <f t="shared" si="61"/>
        <v>7.1095438516664771E-6</v>
      </c>
      <c r="BE8" s="59">
        <f t="shared" si="62"/>
        <v>7.1095438516664771E-6</v>
      </c>
      <c r="BQ8" s="61">
        <v>3000</v>
      </c>
      <c r="BR8" s="61">
        <v>1200</v>
      </c>
      <c r="BS8" s="28">
        <f t="shared" si="27"/>
        <v>2980</v>
      </c>
      <c r="BT8" s="28">
        <f t="shared" si="28"/>
        <v>1180</v>
      </c>
      <c r="BU8" s="28" t="s">
        <v>2541</v>
      </c>
      <c r="BV8" s="28">
        <f t="shared" si="29"/>
        <v>5</v>
      </c>
      <c r="BW8" s="28">
        <f t="shared" si="30"/>
        <v>5</v>
      </c>
      <c r="BX8" s="13">
        <f t="shared" si="31"/>
        <v>596</v>
      </c>
      <c r="BY8" s="13">
        <f t="shared" si="32"/>
        <v>596</v>
      </c>
      <c r="BZ8" s="13">
        <f t="shared" si="33"/>
        <v>236</v>
      </c>
      <c r="CA8" s="13">
        <f t="shared" si="34"/>
        <v>236</v>
      </c>
      <c r="CB8" s="13">
        <f t="shared" si="35"/>
        <v>140656</v>
      </c>
      <c r="CC8" s="62">
        <f t="shared" si="36"/>
        <v>7.1095438516664771E-6</v>
      </c>
      <c r="CD8" s="13">
        <f t="shared" si="37"/>
        <v>596</v>
      </c>
      <c r="CE8" s="13">
        <f t="shared" si="38"/>
        <v>596</v>
      </c>
      <c r="CF8" s="13">
        <f t="shared" si="39"/>
        <v>236</v>
      </c>
      <c r="CG8" s="13">
        <f t="shared" si="40"/>
        <v>236</v>
      </c>
      <c r="CH8" s="28">
        <f t="shared" si="41"/>
        <v>140656</v>
      </c>
      <c r="CI8" s="62">
        <f t="shared" si="42"/>
        <v>7.1095438516664771E-6</v>
      </c>
      <c r="CJ8" s="59">
        <f t="shared" si="43"/>
        <v>7.1095438516664771E-6</v>
      </c>
      <c r="CL8" s="63">
        <v>6000</v>
      </c>
      <c r="CM8" s="63">
        <f t="shared" si="44"/>
        <v>0</v>
      </c>
      <c r="CN8" s="63">
        <f t="shared" si="45"/>
        <v>5</v>
      </c>
      <c r="CO8" s="63">
        <f t="shared" si="46"/>
        <v>1200</v>
      </c>
      <c r="CP8" s="13">
        <f t="shared" si="47"/>
        <v>1200</v>
      </c>
      <c r="CQ8" s="70">
        <f t="shared" si="48"/>
        <v>8.3333333333333339E-4</v>
      </c>
      <c r="CR8" s="69">
        <f t="shared" si="5"/>
        <v>8.3333333333333339E-4</v>
      </c>
    </row>
    <row r="9" spans="1:96" hidden="1" x14ac:dyDescent="0.25">
      <c r="A9" s="17">
        <v>5</v>
      </c>
      <c r="B9" s="6" t="s">
        <v>50</v>
      </c>
      <c r="C9" s="17" t="s">
        <v>63</v>
      </c>
      <c r="D9" s="17" t="s">
        <v>65</v>
      </c>
      <c r="E9" s="17" t="s">
        <v>52</v>
      </c>
      <c r="F9" s="7">
        <f t="shared" si="6"/>
        <v>2</v>
      </c>
      <c r="G9" s="17">
        <v>12</v>
      </c>
      <c r="H9" s="17">
        <f t="shared" si="63"/>
        <v>12</v>
      </c>
      <c r="I9" s="17">
        <v>3</v>
      </c>
      <c r="J9" s="6" t="s">
        <v>64</v>
      </c>
      <c r="K9" s="6" t="s">
        <v>34</v>
      </c>
      <c r="L9" s="17">
        <v>0</v>
      </c>
      <c r="M9" s="6" t="s">
        <v>35</v>
      </c>
      <c r="N9" s="17" t="s">
        <v>65</v>
      </c>
      <c r="O9" s="28" t="s">
        <v>41</v>
      </c>
      <c r="P9" s="28" t="s">
        <v>41</v>
      </c>
      <c r="Q9" s="28" t="s">
        <v>65</v>
      </c>
      <c r="R9" s="30"/>
      <c r="S9" s="30"/>
      <c r="T9" s="30"/>
      <c r="U9" s="30"/>
      <c r="V9" s="8">
        <f t="shared" si="7"/>
        <v>0</v>
      </c>
      <c r="W9" s="8">
        <f t="shared" si="8"/>
        <v>0</v>
      </c>
      <c r="X9" s="8">
        <f t="shared" si="9"/>
        <v>0</v>
      </c>
      <c r="Y9" s="33">
        <f t="shared" si="10"/>
        <v>0</v>
      </c>
      <c r="Z9" s="28"/>
      <c r="AA9" s="28"/>
      <c r="AB9" s="61" t="s">
        <v>65</v>
      </c>
      <c r="AC9" s="31" t="s">
        <v>66</v>
      </c>
      <c r="AD9" s="50">
        <f t="shared" si="11"/>
        <v>12</v>
      </c>
      <c r="AE9" s="31"/>
      <c r="AF9" s="51">
        <v>14</v>
      </c>
      <c r="AG9" s="51">
        <f t="shared" si="52"/>
        <v>8.4</v>
      </c>
      <c r="AH9" s="51">
        <f t="shared" si="1"/>
        <v>42</v>
      </c>
      <c r="AI9" s="52" t="s">
        <v>2497</v>
      </c>
      <c r="AJ9" s="52" t="s">
        <v>2498</v>
      </c>
      <c r="AK9" s="53">
        <f t="shared" si="53"/>
        <v>0</v>
      </c>
      <c r="AL9" s="54">
        <f t="shared" si="54"/>
        <v>0.11904761904761904</v>
      </c>
      <c r="AM9" s="54">
        <f t="shared" si="55"/>
        <v>2.3809523809523808E-2</v>
      </c>
      <c r="AN9" s="55">
        <f t="shared" si="56"/>
        <v>0</v>
      </c>
      <c r="AO9" s="55">
        <f t="shared" si="57"/>
        <v>0</v>
      </c>
      <c r="AP9" s="53">
        <v>7.1</v>
      </c>
      <c r="AQ9" s="53">
        <f t="shared" si="18"/>
        <v>4.26</v>
      </c>
      <c r="AR9" s="53">
        <f t="shared" si="19"/>
        <v>21.299999999999997</v>
      </c>
      <c r="AS9" s="56">
        <f t="shared" si="20"/>
        <v>4.6948356807511742E-2</v>
      </c>
      <c r="AT9" s="56">
        <f t="shared" si="58"/>
        <v>0.23474178403755869</v>
      </c>
      <c r="AU9" s="56">
        <f t="shared" si="22"/>
        <v>0.176056338028169</v>
      </c>
      <c r="AV9" s="56">
        <f t="shared" si="59"/>
        <v>5.8685446009389672E-2</v>
      </c>
      <c r="AW9" s="57" t="s">
        <v>2511</v>
      </c>
      <c r="AX9" s="57" t="s">
        <v>2512</v>
      </c>
      <c r="AY9" s="57" t="s">
        <v>2513</v>
      </c>
      <c r="AZ9" s="58">
        <f t="shared" si="60"/>
        <v>0</v>
      </c>
      <c r="BA9" s="59">
        <f t="shared" si="64"/>
        <v>0</v>
      </c>
      <c r="BB9" s="59">
        <f t="shared" si="65"/>
        <v>0</v>
      </c>
      <c r="BC9" s="59">
        <f t="shared" si="66"/>
        <v>0</v>
      </c>
      <c r="BD9" s="60">
        <f t="shared" si="61"/>
        <v>7.1095438516664771E-6</v>
      </c>
      <c r="BE9" s="59">
        <f t="shared" si="62"/>
        <v>8.5314526219997728E-5</v>
      </c>
      <c r="BQ9" s="61">
        <v>3000</v>
      </c>
      <c r="BR9" s="61">
        <v>1200</v>
      </c>
      <c r="BS9" s="28">
        <f t="shared" si="27"/>
        <v>2980</v>
      </c>
      <c r="BT9" s="28">
        <f t="shared" si="28"/>
        <v>1180</v>
      </c>
      <c r="BU9" s="28" t="s">
        <v>2541</v>
      </c>
      <c r="BV9" s="28">
        <f t="shared" si="29"/>
        <v>5</v>
      </c>
      <c r="BW9" s="28">
        <f t="shared" si="30"/>
        <v>5</v>
      </c>
      <c r="BX9" s="13">
        <f t="shared" si="31"/>
        <v>596</v>
      </c>
      <c r="BY9" s="13">
        <f t="shared" si="32"/>
        <v>596</v>
      </c>
      <c r="BZ9" s="13">
        <f t="shared" si="33"/>
        <v>236</v>
      </c>
      <c r="CA9" s="13">
        <f t="shared" si="34"/>
        <v>236</v>
      </c>
      <c r="CB9" s="13">
        <f t="shared" si="35"/>
        <v>140656</v>
      </c>
      <c r="CC9" s="62">
        <f t="shared" si="36"/>
        <v>7.1095438516664771E-6</v>
      </c>
      <c r="CD9" s="13">
        <f t="shared" si="37"/>
        <v>596</v>
      </c>
      <c r="CE9" s="13">
        <f t="shared" si="38"/>
        <v>596</v>
      </c>
      <c r="CF9" s="13">
        <f t="shared" si="39"/>
        <v>236</v>
      </c>
      <c r="CG9" s="13">
        <f t="shared" si="40"/>
        <v>236</v>
      </c>
      <c r="CH9" s="28">
        <f t="shared" si="41"/>
        <v>140656</v>
      </c>
      <c r="CI9" s="62">
        <f t="shared" si="42"/>
        <v>7.1095438516664771E-6</v>
      </c>
      <c r="CJ9" s="59">
        <f t="shared" si="43"/>
        <v>7.1095438516664771E-6</v>
      </c>
      <c r="CL9" s="63">
        <v>6000</v>
      </c>
      <c r="CM9" s="63">
        <f t="shared" si="44"/>
        <v>0</v>
      </c>
      <c r="CN9" s="63">
        <f t="shared" si="45"/>
        <v>5</v>
      </c>
      <c r="CO9" s="63">
        <f t="shared" si="46"/>
        <v>1200</v>
      </c>
      <c r="CP9" s="13">
        <f t="shared" si="47"/>
        <v>1200</v>
      </c>
      <c r="CQ9" s="70">
        <f t="shared" si="48"/>
        <v>8.3333333333333339E-4</v>
      </c>
      <c r="CR9" s="69">
        <f t="shared" si="5"/>
        <v>0.01</v>
      </c>
    </row>
    <row r="10" spans="1:96" hidden="1" x14ac:dyDescent="0.25">
      <c r="A10" s="17">
        <v>5</v>
      </c>
      <c r="B10" s="6" t="s">
        <v>50</v>
      </c>
      <c r="C10" s="17" t="s">
        <v>67</v>
      </c>
      <c r="D10" s="17" t="s">
        <v>69</v>
      </c>
      <c r="E10" s="17" t="s">
        <v>52</v>
      </c>
      <c r="F10" s="7">
        <f t="shared" si="6"/>
        <v>4</v>
      </c>
      <c r="G10" s="17">
        <v>12</v>
      </c>
      <c r="H10" s="17">
        <f t="shared" si="63"/>
        <v>12</v>
      </c>
      <c r="I10" s="17">
        <v>4</v>
      </c>
      <c r="J10" s="6" t="s">
        <v>68</v>
      </c>
      <c r="K10" s="6" t="s">
        <v>34</v>
      </c>
      <c r="L10" s="17">
        <v>0</v>
      </c>
      <c r="M10" s="6" t="s">
        <v>35</v>
      </c>
      <c r="N10" s="17" t="s">
        <v>69</v>
      </c>
      <c r="O10" s="28" t="s">
        <v>41</v>
      </c>
      <c r="P10" s="28" t="s">
        <v>41</v>
      </c>
      <c r="Q10" s="28" t="s">
        <v>69</v>
      </c>
      <c r="R10" s="30"/>
      <c r="S10" s="30"/>
      <c r="T10" s="30"/>
      <c r="U10" s="30"/>
      <c r="V10" s="8">
        <f t="shared" si="7"/>
        <v>0</v>
      </c>
      <c r="W10" s="8">
        <f t="shared" si="8"/>
        <v>0</v>
      </c>
      <c r="X10" s="8">
        <f t="shared" si="9"/>
        <v>0</v>
      </c>
      <c r="Y10" s="33">
        <f t="shared" si="10"/>
        <v>0</v>
      </c>
      <c r="Z10" s="28"/>
      <c r="AA10" s="28"/>
      <c r="AB10" s="61" t="s">
        <v>69</v>
      </c>
      <c r="AC10" s="31" t="s">
        <v>70</v>
      </c>
      <c r="AD10" s="50">
        <f t="shared" si="11"/>
        <v>12</v>
      </c>
      <c r="AE10" s="31"/>
      <c r="AF10" s="51">
        <v>14</v>
      </c>
      <c r="AG10" s="51">
        <f t="shared" si="52"/>
        <v>8.4</v>
      </c>
      <c r="AH10" s="51">
        <f t="shared" si="1"/>
        <v>42</v>
      </c>
      <c r="AI10" s="52" t="s">
        <v>2497</v>
      </c>
      <c r="AJ10" s="52" t="s">
        <v>2498</v>
      </c>
      <c r="AK10" s="53">
        <f t="shared" si="53"/>
        <v>0</v>
      </c>
      <c r="AL10" s="54">
        <f t="shared" si="54"/>
        <v>0.11904761904761904</v>
      </c>
      <c r="AM10" s="54">
        <f t="shared" si="55"/>
        <v>2.3809523809523808E-2</v>
      </c>
      <c r="AN10" s="55">
        <f t="shared" si="56"/>
        <v>0</v>
      </c>
      <c r="AO10" s="55">
        <f t="shared" si="57"/>
        <v>0</v>
      </c>
      <c r="AP10" s="53">
        <v>7.1</v>
      </c>
      <c r="AQ10" s="53">
        <f t="shared" si="18"/>
        <v>4.26</v>
      </c>
      <c r="AR10" s="53">
        <f t="shared" si="19"/>
        <v>21.299999999999997</v>
      </c>
      <c r="AS10" s="56">
        <f t="shared" si="20"/>
        <v>4.6948356807511742E-2</v>
      </c>
      <c r="AT10" s="56">
        <f t="shared" si="58"/>
        <v>0.23474178403755869</v>
      </c>
      <c r="AU10" s="56">
        <f t="shared" si="22"/>
        <v>0.176056338028169</v>
      </c>
      <c r="AV10" s="56">
        <f t="shared" si="59"/>
        <v>5.8685446009389672E-2</v>
      </c>
      <c r="AW10" s="57" t="s">
        <v>2511</v>
      </c>
      <c r="AX10" s="57" t="s">
        <v>2512</v>
      </c>
      <c r="AY10" s="57" t="s">
        <v>2513</v>
      </c>
      <c r="AZ10" s="58">
        <f t="shared" si="60"/>
        <v>0</v>
      </c>
      <c r="BA10" s="59">
        <f t="shared" si="64"/>
        <v>0</v>
      </c>
      <c r="BB10" s="59">
        <f t="shared" si="65"/>
        <v>0</v>
      </c>
      <c r="BC10" s="59">
        <f t="shared" si="66"/>
        <v>0</v>
      </c>
      <c r="BD10" s="60">
        <f t="shared" si="61"/>
        <v>7.1095438516664771E-6</v>
      </c>
      <c r="BE10" s="59">
        <f t="shared" si="62"/>
        <v>8.5314526219997728E-5</v>
      </c>
      <c r="BQ10" s="61">
        <v>3000</v>
      </c>
      <c r="BR10" s="61">
        <v>1200</v>
      </c>
      <c r="BS10" s="28">
        <f t="shared" si="27"/>
        <v>2980</v>
      </c>
      <c r="BT10" s="28">
        <f t="shared" si="28"/>
        <v>1180</v>
      </c>
      <c r="BU10" s="28" t="s">
        <v>2541</v>
      </c>
      <c r="BV10" s="28">
        <f t="shared" si="29"/>
        <v>5</v>
      </c>
      <c r="BW10" s="28">
        <f t="shared" si="30"/>
        <v>5</v>
      </c>
      <c r="BX10" s="13">
        <f t="shared" si="31"/>
        <v>596</v>
      </c>
      <c r="BY10" s="13">
        <f t="shared" si="32"/>
        <v>596</v>
      </c>
      <c r="BZ10" s="13">
        <f t="shared" si="33"/>
        <v>236</v>
      </c>
      <c r="CA10" s="13">
        <f t="shared" si="34"/>
        <v>236</v>
      </c>
      <c r="CB10" s="13">
        <f t="shared" si="35"/>
        <v>140656</v>
      </c>
      <c r="CC10" s="62">
        <f t="shared" si="36"/>
        <v>7.1095438516664771E-6</v>
      </c>
      <c r="CD10" s="13">
        <f t="shared" si="37"/>
        <v>596</v>
      </c>
      <c r="CE10" s="13">
        <f t="shared" si="38"/>
        <v>596</v>
      </c>
      <c r="CF10" s="13">
        <f t="shared" si="39"/>
        <v>236</v>
      </c>
      <c r="CG10" s="13">
        <f t="shared" si="40"/>
        <v>236</v>
      </c>
      <c r="CH10" s="28">
        <f t="shared" si="41"/>
        <v>140656</v>
      </c>
      <c r="CI10" s="62">
        <f t="shared" si="42"/>
        <v>7.1095438516664771E-6</v>
      </c>
      <c r="CJ10" s="59">
        <f t="shared" si="43"/>
        <v>7.1095438516664771E-6</v>
      </c>
      <c r="CL10" s="63">
        <v>6000</v>
      </c>
      <c r="CM10" s="63">
        <f t="shared" si="44"/>
        <v>0</v>
      </c>
      <c r="CN10" s="63">
        <f t="shared" si="45"/>
        <v>5</v>
      </c>
      <c r="CO10" s="63">
        <f t="shared" si="46"/>
        <v>1200</v>
      </c>
      <c r="CP10" s="13">
        <f t="shared" si="47"/>
        <v>1200</v>
      </c>
      <c r="CQ10" s="70">
        <f t="shared" si="48"/>
        <v>8.3333333333333339E-4</v>
      </c>
      <c r="CR10" s="69">
        <f t="shared" si="5"/>
        <v>0.01</v>
      </c>
    </row>
    <row r="11" spans="1:96" hidden="1" x14ac:dyDescent="0.25">
      <c r="A11" s="17">
        <v>5</v>
      </c>
      <c r="B11" s="6" t="s">
        <v>50</v>
      </c>
      <c r="C11" s="17" t="s">
        <v>71</v>
      </c>
      <c r="D11" s="17" t="s">
        <v>73</v>
      </c>
      <c r="E11" s="17" t="s">
        <v>52</v>
      </c>
      <c r="F11" s="7">
        <f t="shared" si="6"/>
        <v>3</v>
      </c>
      <c r="G11" s="17">
        <v>4</v>
      </c>
      <c r="H11" s="17">
        <f t="shared" si="63"/>
        <v>4</v>
      </c>
      <c r="I11" s="17">
        <v>5</v>
      </c>
      <c r="J11" s="6" t="s">
        <v>72</v>
      </c>
      <c r="K11" s="6" t="s">
        <v>34</v>
      </c>
      <c r="L11" s="17">
        <v>0</v>
      </c>
      <c r="M11" s="6" t="s">
        <v>35</v>
      </c>
      <c r="N11" s="17" t="s">
        <v>73</v>
      </c>
      <c r="O11" s="28" t="s">
        <v>41</v>
      </c>
      <c r="P11" s="28" t="s">
        <v>41</v>
      </c>
      <c r="Q11" s="28" t="s">
        <v>73</v>
      </c>
      <c r="R11" s="30"/>
      <c r="S11" s="30"/>
      <c r="T11" s="30"/>
      <c r="U11" s="30"/>
      <c r="V11" s="8">
        <f t="shared" si="7"/>
        <v>0</v>
      </c>
      <c r="W11" s="8">
        <f t="shared" si="8"/>
        <v>0</v>
      </c>
      <c r="X11" s="8">
        <f t="shared" si="9"/>
        <v>0</v>
      </c>
      <c r="Y11" s="33">
        <f t="shared" si="10"/>
        <v>0</v>
      </c>
      <c r="Z11" s="28"/>
      <c r="AA11" s="28"/>
      <c r="AB11" s="61" t="s">
        <v>73</v>
      </c>
      <c r="AC11" s="31" t="s">
        <v>74</v>
      </c>
      <c r="AD11" s="50">
        <f t="shared" si="11"/>
        <v>4</v>
      </c>
      <c r="AE11" s="31"/>
      <c r="AF11" s="51">
        <v>14</v>
      </c>
      <c r="AG11" s="51">
        <f t="shared" si="52"/>
        <v>8.4</v>
      </c>
      <c r="AH11" s="51">
        <f t="shared" si="1"/>
        <v>42</v>
      </c>
      <c r="AI11" s="52" t="s">
        <v>2497</v>
      </c>
      <c r="AJ11" s="52" t="s">
        <v>2498</v>
      </c>
      <c r="AK11" s="53">
        <f t="shared" si="53"/>
        <v>0</v>
      </c>
      <c r="AL11" s="54">
        <f t="shared" si="54"/>
        <v>0.11904761904761904</v>
      </c>
      <c r="AM11" s="54">
        <f t="shared" si="55"/>
        <v>2.3809523809523808E-2</v>
      </c>
      <c r="AN11" s="55">
        <f t="shared" si="56"/>
        <v>0</v>
      </c>
      <c r="AO11" s="55">
        <f t="shared" si="57"/>
        <v>0</v>
      </c>
      <c r="AP11" s="53">
        <v>7.1</v>
      </c>
      <c r="AQ11" s="53">
        <f t="shared" si="18"/>
        <v>4.26</v>
      </c>
      <c r="AR11" s="53">
        <f t="shared" si="19"/>
        <v>21.299999999999997</v>
      </c>
      <c r="AS11" s="56">
        <f t="shared" si="20"/>
        <v>4.6948356807511742E-2</v>
      </c>
      <c r="AT11" s="56">
        <f t="shared" si="58"/>
        <v>0.23474178403755869</v>
      </c>
      <c r="AU11" s="56">
        <f t="shared" si="22"/>
        <v>0.176056338028169</v>
      </c>
      <c r="AV11" s="56">
        <f t="shared" si="59"/>
        <v>5.8685446009389672E-2</v>
      </c>
      <c r="AW11" s="57" t="s">
        <v>2511</v>
      </c>
      <c r="AX11" s="57" t="s">
        <v>2512</v>
      </c>
      <c r="AY11" s="57" t="s">
        <v>2513</v>
      </c>
      <c r="AZ11" s="58">
        <f t="shared" si="60"/>
        <v>0</v>
      </c>
      <c r="BA11" s="59">
        <f t="shared" si="64"/>
        <v>0</v>
      </c>
      <c r="BB11" s="59">
        <f t="shared" si="65"/>
        <v>0</v>
      </c>
      <c r="BC11" s="59">
        <f t="shared" si="66"/>
        <v>0</v>
      </c>
      <c r="BD11" s="60">
        <f t="shared" si="61"/>
        <v>7.1095438516664771E-6</v>
      </c>
      <c r="BE11" s="59">
        <f t="shared" si="62"/>
        <v>2.8438175406665908E-5</v>
      </c>
      <c r="BQ11" s="61">
        <v>3000</v>
      </c>
      <c r="BR11" s="61">
        <v>1200</v>
      </c>
      <c r="BS11" s="28">
        <f t="shared" si="27"/>
        <v>2980</v>
      </c>
      <c r="BT11" s="28">
        <f t="shared" si="28"/>
        <v>1180</v>
      </c>
      <c r="BU11" s="28" t="s">
        <v>2541</v>
      </c>
      <c r="BV11" s="28">
        <f t="shared" si="29"/>
        <v>5</v>
      </c>
      <c r="BW11" s="28">
        <f t="shared" si="30"/>
        <v>5</v>
      </c>
      <c r="BX11" s="13">
        <f t="shared" si="31"/>
        <v>596</v>
      </c>
      <c r="BY11" s="13">
        <f t="shared" si="32"/>
        <v>596</v>
      </c>
      <c r="BZ11" s="13">
        <f t="shared" si="33"/>
        <v>236</v>
      </c>
      <c r="CA11" s="13">
        <f t="shared" si="34"/>
        <v>236</v>
      </c>
      <c r="CB11" s="13">
        <f t="shared" si="35"/>
        <v>140656</v>
      </c>
      <c r="CC11" s="62">
        <f t="shared" si="36"/>
        <v>7.1095438516664771E-6</v>
      </c>
      <c r="CD11" s="13">
        <f t="shared" si="37"/>
        <v>596</v>
      </c>
      <c r="CE11" s="13">
        <f t="shared" si="38"/>
        <v>596</v>
      </c>
      <c r="CF11" s="13">
        <f t="shared" si="39"/>
        <v>236</v>
      </c>
      <c r="CG11" s="13">
        <f t="shared" si="40"/>
        <v>236</v>
      </c>
      <c r="CH11" s="28">
        <f t="shared" si="41"/>
        <v>140656</v>
      </c>
      <c r="CI11" s="62">
        <f t="shared" si="42"/>
        <v>7.1095438516664771E-6</v>
      </c>
      <c r="CJ11" s="59">
        <f t="shared" si="43"/>
        <v>7.1095438516664771E-6</v>
      </c>
      <c r="CL11" s="63">
        <v>6000</v>
      </c>
      <c r="CM11" s="63">
        <f t="shared" si="44"/>
        <v>0</v>
      </c>
      <c r="CN11" s="63">
        <f t="shared" si="45"/>
        <v>5</v>
      </c>
      <c r="CO11" s="63">
        <f t="shared" si="46"/>
        <v>1200</v>
      </c>
      <c r="CP11" s="13">
        <f t="shared" si="47"/>
        <v>1200</v>
      </c>
      <c r="CQ11" s="70">
        <f t="shared" si="48"/>
        <v>8.3333333333333339E-4</v>
      </c>
      <c r="CR11" s="69">
        <f t="shared" si="5"/>
        <v>3.3333333333333335E-3</v>
      </c>
    </row>
    <row r="12" spans="1:96" hidden="1" x14ac:dyDescent="0.25">
      <c r="A12" s="17">
        <v>5</v>
      </c>
      <c r="B12" s="6" t="s">
        <v>50</v>
      </c>
      <c r="C12" s="17" t="s">
        <v>75</v>
      </c>
      <c r="D12" s="17" t="s">
        <v>78</v>
      </c>
      <c r="E12" s="17" t="s">
        <v>52</v>
      </c>
      <c r="F12" s="7">
        <f t="shared" si="6"/>
        <v>2</v>
      </c>
      <c r="G12" s="17">
        <v>1</v>
      </c>
      <c r="H12" s="17">
        <f t="shared" si="63"/>
        <v>1</v>
      </c>
      <c r="I12" s="17">
        <v>6</v>
      </c>
      <c r="J12" s="6" t="s">
        <v>76</v>
      </c>
      <c r="K12" s="6" t="s">
        <v>34</v>
      </c>
      <c r="L12" s="17" t="s">
        <v>77</v>
      </c>
      <c r="M12" s="6" t="s">
        <v>35</v>
      </c>
      <c r="N12" s="17" t="s">
        <v>78</v>
      </c>
      <c r="O12" s="28" t="s">
        <v>41</v>
      </c>
      <c r="P12" s="28" t="s">
        <v>41</v>
      </c>
      <c r="Q12" s="28" t="s">
        <v>79</v>
      </c>
      <c r="R12" s="30">
        <v>11.102362204724409</v>
      </c>
      <c r="S12" s="30">
        <v>0.3125</v>
      </c>
      <c r="T12" s="30"/>
      <c r="U12" s="30">
        <v>0.3125</v>
      </c>
      <c r="V12" s="8">
        <f t="shared" si="7"/>
        <v>282</v>
      </c>
      <c r="W12" s="8">
        <f t="shared" si="8"/>
        <v>7.9375</v>
      </c>
      <c r="X12" s="8">
        <f t="shared" si="9"/>
        <v>0</v>
      </c>
      <c r="Y12" s="33">
        <f t="shared" si="10"/>
        <v>7.9375</v>
      </c>
      <c r="Z12" s="28" t="s">
        <v>80</v>
      </c>
      <c r="AA12" s="28" t="s">
        <v>81</v>
      </c>
      <c r="AB12" s="61" t="s">
        <v>79</v>
      </c>
      <c r="AC12" s="31" t="s">
        <v>82</v>
      </c>
      <c r="AD12" s="50">
        <f t="shared" si="11"/>
        <v>1</v>
      </c>
      <c r="AE12" s="31"/>
      <c r="AF12" s="51">
        <v>14</v>
      </c>
      <c r="AG12" s="51">
        <f t="shared" si="52"/>
        <v>8.4</v>
      </c>
      <c r="AH12" s="51">
        <f t="shared" si="1"/>
        <v>42</v>
      </c>
      <c r="AI12" s="52" t="s">
        <v>2497</v>
      </c>
      <c r="AJ12" s="52" t="s">
        <v>2498</v>
      </c>
      <c r="AK12" s="53">
        <f t="shared" si="53"/>
        <v>4.4767499999999998E-3</v>
      </c>
      <c r="AL12" s="54">
        <f t="shared" si="54"/>
        <v>0.11904761904761904</v>
      </c>
      <c r="AM12" s="54">
        <f t="shared" si="55"/>
        <v>2.3809523809523808E-2</v>
      </c>
      <c r="AN12" s="55">
        <f t="shared" si="56"/>
        <v>5.3294642857142852E-4</v>
      </c>
      <c r="AO12" s="55">
        <f t="shared" si="57"/>
        <v>1.065892857142857E-4</v>
      </c>
      <c r="AP12" s="53">
        <v>7.1</v>
      </c>
      <c r="AQ12" s="53">
        <f t="shared" si="18"/>
        <v>4.26</v>
      </c>
      <c r="AR12" s="53">
        <f t="shared" si="19"/>
        <v>21.299999999999997</v>
      </c>
      <c r="AS12" s="56">
        <f t="shared" si="20"/>
        <v>4.6948356807511742E-2</v>
      </c>
      <c r="AT12" s="56">
        <f t="shared" si="58"/>
        <v>0.23474178403755869</v>
      </c>
      <c r="AU12" s="56">
        <f t="shared" si="22"/>
        <v>0.176056338028169</v>
      </c>
      <c r="AV12" s="56">
        <f t="shared" si="59"/>
        <v>5.8685446009389672E-2</v>
      </c>
      <c r="AW12" s="57" t="s">
        <v>2511</v>
      </c>
      <c r="AX12" s="57" t="s">
        <v>2512</v>
      </c>
      <c r="AY12" s="57" t="s">
        <v>2513</v>
      </c>
      <c r="AZ12" s="58">
        <f t="shared" si="60"/>
        <v>4.4767499999999998E-3</v>
      </c>
      <c r="BA12" s="59">
        <f t="shared" si="64"/>
        <v>1.3136003521126759E-4</v>
      </c>
      <c r="BB12" s="59">
        <f t="shared" si="65"/>
        <v>3.9408010563380275E-4</v>
      </c>
      <c r="BC12" s="59">
        <f t="shared" si="66"/>
        <v>1.0508802816901409E-4</v>
      </c>
      <c r="BD12" s="60">
        <f t="shared" si="61"/>
        <v>1.0869565217391304E-3</v>
      </c>
      <c r="BE12" s="59">
        <f t="shared" si="62"/>
        <v>1.0869565217391304E-3</v>
      </c>
      <c r="BQ12" s="61">
        <v>3000</v>
      </c>
      <c r="BR12" s="61">
        <v>1200</v>
      </c>
      <c r="BS12" s="28">
        <f t="shared" si="27"/>
        <v>2980</v>
      </c>
      <c r="BT12" s="28">
        <f t="shared" si="28"/>
        <v>1180</v>
      </c>
      <c r="BU12" s="28" t="s">
        <v>2541</v>
      </c>
      <c r="BV12" s="28">
        <f t="shared" si="29"/>
        <v>287</v>
      </c>
      <c r="BW12" s="28">
        <f t="shared" si="30"/>
        <v>12.9375</v>
      </c>
      <c r="BX12" s="13">
        <f t="shared" si="31"/>
        <v>10.383275261324043</v>
      </c>
      <c r="BY12" s="13">
        <f t="shared" si="32"/>
        <v>10</v>
      </c>
      <c r="BZ12" s="13">
        <f t="shared" si="33"/>
        <v>91.207729468599027</v>
      </c>
      <c r="CA12" s="13">
        <f t="shared" si="34"/>
        <v>91</v>
      </c>
      <c r="CB12" s="13">
        <f t="shared" si="35"/>
        <v>910</v>
      </c>
      <c r="CC12" s="62">
        <f t="shared" si="36"/>
        <v>1.0989010989010989E-3</v>
      </c>
      <c r="CD12" s="13">
        <f t="shared" si="37"/>
        <v>230.33816425120773</v>
      </c>
      <c r="CE12" s="13">
        <f t="shared" si="38"/>
        <v>230</v>
      </c>
      <c r="CF12" s="13">
        <f t="shared" si="39"/>
        <v>4.1114982578397212</v>
      </c>
      <c r="CG12" s="13">
        <f t="shared" si="40"/>
        <v>4</v>
      </c>
      <c r="CH12" s="28">
        <f t="shared" si="41"/>
        <v>920</v>
      </c>
      <c r="CI12" s="62">
        <f t="shared" si="42"/>
        <v>1.0869565217391304E-3</v>
      </c>
      <c r="CJ12" s="59">
        <f t="shared" si="43"/>
        <v>1.0869565217391304E-3</v>
      </c>
      <c r="CL12" s="63">
        <v>6000</v>
      </c>
      <c r="CM12" s="63">
        <f t="shared" si="44"/>
        <v>282</v>
      </c>
      <c r="CN12" s="63">
        <f t="shared" si="45"/>
        <v>287</v>
      </c>
      <c r="CO12" s="63">
        <f t="shared" si="46"/>
        <v>20.905923344947734</v>
      </c>
      <c r="CP12" s="13">
        <f t="shared" si="47"/>
        <v>20</v>
      </c>
      <c r="CQ12" s="70">
        <f t="shared" si="48"/>
        <v>0.05</v>
      </c>
      <c r="CR12" s="69">
        <f t="shared" si="5"/>
        <v>0.05</v>
      </c>
    </row>
    <row r="13" spans="1:96" hidden="1" x14ac:dyDescent="0.25">
      <c r="A13" s="17">
        <v>5</v>
      </c>
      <c r="B13" s="6" t="s">
        <v>50</v>
      </c>
      <c r="C13" s="17" t="s">
        <v>83</v>
      </c>
      <c r="D13" s="17" t="s">
        <v>84</v>
      </c>
      <c r="E13" s="17" t="s">
        <v>52</v>
      </c>
      <c r="F13" s="7">
        <f t="shared" si="6"/>
        <v>1</v>
      </c>
      <c r="G13" s="17">
        <v>1</v>
      </c>
      <c r="H13" s="17">
        <f t="shared" si="63"/>
        <v>1</v>
      </c>
      <c r="I13" s="17">
        <v>7</v>
      </c>
      <c r="J13" s="6" t="s">
        <v>76</v>
      </c>
      <c r="K13" s="6" t="s">
        <v>34</v>
      </c>
      <c r="L13" s="17" t="s">
        <v>77</v>
      </c>
      <c r="M13" s="6" t="s">
        <v>35</v>
      </c>
      <c r="N13" s="17" t="s">
        <v>84</v>
      </c>
      <c r="O13" s="28" t="s">
        <v>41</v>
      </c>
      <c r="P13" s="28" t="s">
        <v>41</v>
      </c>
      <c r="Q13" s="28" t="s">
        <v>85</v>
      </c>
      <c r="R13" s="30">
        <v>30.826771653543307</v>
      </c>
      <c r="S13" s="30">
        <v>0.375</v>
      </c>
      <c r="T13" s="30"/>
      <c r="U13" s="30">
        <v>0.375</v>
      </c>
      <c r="V13" s="8">
        <f t="shared" si="7"/>
        <v>783</v>
      </c>
      <c r="W13" s="8">
        <f t="shared" si="8"/>
        <v>9.5249999999999986</v>
      </c>
      <c r="X13" s="8">
        <f t="shared" si="9"/>
        <v>0</v>
      </c>
      <c r="Y13" s="33">
        <f t="shared" si="10"/>
        <v>9.5249999999999986</v>
      </c>
      <c r="Z13" s="28" t="s">
        <v>80</v>
      </c>
      <c r="AA13" s="28" t="s">
        <v>81</v>
      </c>
      <c r="AB13" s="61" t="s">
        <v>85</v>
      </c>
      <c r="AC13" s="31" t="s">
        <v>86</v>
      </c>
      <c r="AD13" s="50">
        <f t="shared" si="11"/>
        <v>1</v>
      </c>
      <c r="AE13" s="31"/>
      <c r="AF13" s="51">
        <v>14</v>
      </c>
      <c r="AG13" s="51">
        <f t="shared" si="52"/>
        <v>8.4</v>
      </c>
      <c r="AH13" s="51">
        <f t="shared" si="1"/>
        <v>42</v>
      </c>
      <c r="AI13" s="52" t="s">
        <v>2497</v>
      </c>
      <c r="AJ13" s="52" t="s">
        <v>2498</v>
      </c>
      <c r="AK13" s="53">
        <f t="shared" si="53"/>
        <v>1.4916149999999998E-2</v>
      </c>
      <c r="AL13" s="54">
        <f t="shared" si="54"/>
        <v>0.11904761904761904</v>
      </c>
      <c r="AM13" s="54">
        <f t="shared" si="55"/>
        <v>2.3809523809523808E-2</v>
      </c>
      <c r="AN13" s="55">
        <f t="shared" si="56"/>
        <v>1.7757321428571425E-3</v>
      </c>
      <c r="AO13" s="55">
        <f t="shared" si="57"/>
        <v>3.5514642857142849E-4</v>
      </c>
      <c r="AP13" s="53">
        <v>7.1</v>
      </c>
      <c r="AQ13" s="53">
        <f t="shared" si="18"/>
        <v>4.26</v>
      </c>
      <c r="AR13" s="53">
        <f t="shared" si="19"/>
        <v>21.299999999999997</v>
      </c>
      <c r="AS13" s="56">
        <f t="shared" si="20"/>
        <v>4.6948356807511742E-2</v>
      </c>
      <c r="AT13" s="56">
        <f t="shared" si="58"/>
        <v>0.23474178403755869</v>
      </c>
      <c r="AU13" s="56">
        <f t="shared" si="22"/>
        <v>0.176056338028169</v>
      </c>
      <c r="AV13" s="56">
        <f t="shared" si="59"/>
        <v>5.8685446009389672E-2</v>
      </c>
      <c r="AW13" s="57" t="s">
        <v>2511</v>
      </c>
      <c r="AX13" s="57" t="s">
        <v>2512</v>
      </c>
      <c r="AY13" s="57" t="s">
        <v>2513</v>
      </c>
      <c r="AZ13" s="58">
        <f t="shared" si="60"/>
        <v>1.4916149999999998E-2</v>
      </c>
      <c r="BA13" s="59">
        <f t="shared" si="64"/>
        <v>4.3768045774647882E-4</v>
      </c>
      <c r="BB13" s="59">
        <f t="shared" si="65"/>
        <v>1.3130413732394364E-3</v>
      </c>
      <c r="BC13" s="59">
        <f t="shared" si="66"/>
        <v>3.5014436619718308E-4</v>
      </c>
      <c r="BD13" s="60">
        <f t="shared" si="61"/>
        <v>4.11522633744856E-3</v>
      </c>
      <c r="BE13" s="59">
        <f t="shared" si="62"/>
        <v>4.11522633744856E-3</v>
      </c>
      <c r="BQ13" s="61">
        <v>3000</v>
      </c>
      <c r="BR13" s="61">
        <v>1200</v>
      </c>
      <c r="BS13" s="28">
        <f t="shared" si="27"/>
        <v>2980</v>
      </c>
      <c r="BT13" s="28">
        <f t="shared" si="28"/>
        <v>1180</v>
      </c>
      <c r="BU13" s="28" t="s">
        <v>2541</v>
      </c>
      <c r="BV13" s="28">
        <f t="shared" si="29"/>
        <v>788</v>
      </c>
      <c r="BW13" s="28">
        <f t="shared" si="30"/>
        <v>14.524999999999999</v>
      </c>
      <c r="BX13" s="13">
        <f t="shared" si="31"/>
        <v>3.781725888324873</v>
      </c>
      <c r="BY13" s="13">
        <f t="shared" si="32"/>
        <v>3</v>
      </c>
      <c r="BZ13" s="13">
        <f t="shared" si="33"/>
        <v>81.239242685025829</v>
      </c>
      <c r="CA13" s="13">
        <f t="shared" si="34"/>
        <v>81</v>
      </c>
      <c r="CB13" s="13">
        <f t="shared" si="35"/>
        <v>243</v>
      </c>
      <c r="CC13" s="62">
        <f t="shared" si="36"/>
        <v>4.11522633744856E-3</v>
      </c>
      <c r="CD13" s="13">
        <f t="shared" si="37"/>
        <v>205.16351118760758</v>
      </c>
      <c r="CE13" s="13">
        <f t="shared" si="38"/>
        <v>205</v>
      </c>
      <c r="CF13" s="13">
        <f t="shared" si="39"/>
        <v>1.4974619289340101</v>
      </c>
      <c r="CG13" s="13">
        <f t="shared" si="40"/>
        <v>1</v>
      </c>
      <c r="CH13" s="28">
        <f t="shared" si="41"/>
        <v>205</v>
      </c>
      <c r="CI13" s="62">
        <f t="shared" si="42"/>
        <v>4.8780487804878049E-3</v>
      </c>
      <c r="CJ13" s="59">
        <f t="shared" si="43"/>
        <v>4.11522633744856E-3</v>
      </c>
      <c r="CL13" s="63">
        <v>6000</v>
      </c>
      <c r="CM13" s="63">
        <f t="shared" si="44"/>
        <v>783</v>
      </c>
      <c r="CN13" s="63">
        <f t="shared" si="45"/>
        <v>788</v>
      </c>
      <c r="CO13" s="63">
        <f t="shared" si="46"/>
        <v>7.6142131979695433</v>
      </c>
      <c r="CP13" s="13">
        <f t="shared" si="47"/>
        <v>7</v>
      </c>
      <c r="CQ13" s="70">
        <f t="shared" si="48"/>
        <v>0.14285714285714285</v>
      </c>
      <c r="CR13" s="69">
        <f t="shared" si="5"/>
        <v>0.14285714285714285</v>
      </c>
    </row>
    <row r="14" spans="1:96" hidden="1" x14ac:dyDescent="0.25">
      <c r="A14" s="17">
        <v>5</v>
      </c>
      <c r="B14" s="6" t="s">
        <v>50</v>
      </c>
      <c r="C14" s="17" t="s">
        <v>87</v>
      </c>
      <c r="D14" s="17" t="s">
        <v>90</v>
      </c>
      <c r="E14" s="17" t="s">
        <v>52</v>
      </c>
      <c r="F14" s="7">
        <f t="shared" si="6"/>
        <v>7</v>
      </c>
      <c r="G14" s="17">
        <v>1</v>
      </c>
      <c r="H14" s="17">
        <f t="shared" si="63"/>
        <v>1</v>
      </c>
      <c r="I14" s="17">
        <v>8</v>
      </c>
      <c r="J14" s="6" t="s">
        <v>88</v>
      </c>
      <c r="K14" s="6" t="s">
        <v>34</v>
      </c>
      <c r="L14" s="17" t="s">
        <v>89</v>
      </c>
      <c r="M14" s="6" t="s">
        <v>35</v>
      </c>
      <c r="N14" s="17" t="s">
        <v>90</v>
      </c>
      <c r="O14" s="28" t="s">
        <v>41</v>
      </c>
      <c r="P14" s="28" t="s">
        <v>41</v>
      </c>
      <c r="Q14" s="28" t="s">
        <v>79</v>
      </c>
      <c r="R14" s="30">
        <v>14.05511811023622</v>
      </c>
      <c r="S14" s="30">
        <v>0.3125</v>
      </c>
      <c r="T14" s="30"/>
      <c r="U14" s="30">
        <v>0.3125</v>
      </c>
      <c r="V14" s="8">
        <f t="shared" si="7"/>
        <v>357</v>
      </c>
      <c r="W14" s="8">
        <f t="shared" si="8"/>
        <v>7.9375</v>
      </c>
      <c r="X14" s="8">
        <f t="shared" si="9"/>
        <v>0</v>
      </c>
      <c r="Y14" s="33">
        <f t="shared" si="10"/>
        <v>7.9375</v>
      </c>
      <c r="Z14" s="28" t="s">
        <v>80</v>
      </c>
      <c r="AA14" s="28" t="s">
        <v>81</v>
      </c>
      <c r="AB14" s="61" t="s">
        <v>79</v>
      </c>
      <c r="AC14" s="31" t="s">
        <v>82</v>
      </c>
      <c r="AD14" s="50">
        <f t="shared" si="11"/>
        <v>1</v>
      </c>
      <c r="AE14" s="31"/>
      <c r="AF14" s="51">
        <v>14</v>
      </c>
      <c r="AG14" s="51">
        <f t="shared" si="52"/>
        <v>8.4</v>
      </c>
      <c r="AH14" s="51">
        <f t="shared" si="1"/>
        <v>42</v>
      </c>
      <c r="AI14" s="52" t="s">
        <v>2497</v>
      </c>
      <c r="AJ14" s="52" t="s">
        <v>2498</v>
      </c>
      <c r="AK14" s="53">
        <f t="shared" si="53"/>
        <v>5.6673749999999997E-3</v>
      </c>
      <c r="AL14" s="54">
        <f t="shared" si="54"/>
        <v>0.11904761904761904</v>
      </c>
      <c r="AM14" s="54">
        <f t="shared" si="55"/>
        <v>2.3809523809523808E-2</v>
      </c>
      <c r="AN14" s="55">
        <f t="shared" si="56"/>
        <v>6.7468749999999994E-4</v>
      </c>
      <c r="AO14" s="55">
        <f t="shared" si="57"/>
        <v>1.3493749999999999E-4</v>
      </c>
      <c r="AP14" s="53">
        <v>7.1</v>
      </c>
      <c r="AQ14" s="53">
        <f t="shared" si="18"/>
        <v>4.26</v>
      </c>
      <c r="AR14" s="53">
        <f t="shared" si="19"/>
        <v>21.299999999999997</v>
      </c>
      <c r="AS14" s="56">
        <f t="shared" si="20"/>
        <v>4.6948356807511742E-2</v>
      </c>
      <c r="AT14" s="56">
        <f t="shared" si="58"/>
        <v>0.23474178403755869</v>
      </c>
      <c r="AU14" s="56">
        <f t="shared" si="22"/>
        <v>0.176056338028169</v>
      </c>
      <c r="AV14" s="56">
        <f t="shared" si="59"/>
        <v>5.8685446009389672E-2</v>
      </c>
      <c r="AW14" s="57" t="s">
        <v>2511</v>
      </c>
      <c r="AX14" s="57" t="s">
        <v>2512</v>
      </c>
      <c r="AY14" s="57" t="s">
        <v>2513</v>
      </c>
      <c r="AZ14" s="58">
        <f t="shared" si="60"/>
        <v>5.6673749999999997E-3</v>
      </c>
      <c r="BA14" s="59">
        <f t="shared" si="64"/>
        <v>1.6629621478873239E-4</v>
      </c>
      <c r="BB14" s="59">
        <f t="shared" si="65"/>
        <v>4.9888864436619708E-4</v>
      </c>
      <c r="BC14" s="59">
        <f t="shared" si="66"/>
        <v>1.3303697183098592E-4</v>
      </c>
      <c r="BD14" s="60">
        <f t="shared" si="61"/>
        <v>1.3736263736263737E-3</v>
      </c>
      <c r="BE14" s="59">
        <f t="shared" si="62"/>
        <v>1.3736263736263737E-3</v>
      </c>
      <c r="BQ14" s="61">
        <v>3000</v>
      </c>
      <c r="BR14" s="61">
        <v>1200</v>
      </c>
      <c r="BS14" s="28">
        <f t="shared" si="27"/>
        <v>2980</v>
      </c>
      <c r="BT14" s="28">
        <f t="shared" si="28"/>
        <v>1180</v>
      </c>
      <c r="BU14" s="28" t="s">
        <v>2541</v>
      </c>
      <c r="BV14" s="28">
        <f t="shared" si="29"/>
        <v>362</v>
      </c>
      <c r="BW14" s="28">
        <f t="shared" si="30"/>
        <v>12.9375</v>
      </c>
      <c r="BX14" s="13">
        <f t="shared" si="31"/>
        <v>8.2320441988950268</v>
      </c>
      <c r="BY14" s="13">
        <f t="shared" si="32"/>
        <v>8</v>
      </c>
      <c r="BZ14" s="13">
        <f t="shared" si="33"/>
        <v>91.207729468599027</v>
      </c>
      <c r="CA14" s="13">
        <f t="shared" si="34"/>
        <v>91</v>
      </c>
      <c r="CB14" s="13">
        <f t="shared" si="35"/>
        <v>728</v>
      </c>
      <c r="CC14" s="62">
        <f t="shared" si="36"/>
        <v>1.3736263736263737E-3</v>
      </c>
      <c r="CD14" s="13">
        <f t="shared" si="37"/>
        <v>230.33816425120773</v>
      </c>
      <c r="CE14" s="13">
        <f t="shared" si="38"/>
        <v>230</v>
      </c>
      <c r="CF14" s="13">
        <f t="shared" si="39"/>
        <v>3.2596685082872927</v>
      </c>
      <c r="CG14" s="13">
        <f t="shared" si="40"/>
        <v>3</v>
      </c>
      <c r="CH14" s="28">
        <f t="shared" si="41"/>
        <v>690</v>
      </c>
      <c r="CI14" s="62">
        <f t="shared" si="42"/>
        <v>1.4492753623188406E-3</v>
      </c>
      <c r="CJ14" s="59">
        <f t="shared" si="43"/>
        <v>1.3736263736263737E-3</v>
      </c>
      <c r="CL14" s="63">
        <v>6000</v>
      </c>
      <c r="CM14" s="63">
        <f t="shared" si="44"/>
        <v>357</v>
      </c>
      <c r="CN14" s="63">
        <f t="shared" si="45"/>
        <v>362</v>
      </c>
      <c r="CO14" s="63">
        <f t="shared" si="46"/>
        <v>16.574585635359117</v>
      </c>
      <c r="CP14" s="13">
        <f t="shared" si="47"/>
        <v>16</v>
      </c>
      <c r="CQ14" s="70">
        <f t="shared" si="48"/>
        <v>6.25E-2</v>
      </c>
      <c r="CR14" s="69">
        <f t="shared" si="5"/>
        <v>6.25E-2</v>
      </c>
    </row>
    <row r="15" spans="1:96" hidden="1" x14ac:dyDescent="0.25">
      <c r="A15" s="17">
        <v>5</v>
      </c>
      <c r="B15" s="6" t="s">
        <v>50</v>
      </c>
      <c r="C15" s="17" t="s">
        <v>91</v>
      </c>
      <c r="D15" s="17" t="s">
        <v>93</v>
      </c>
      <c r="E15" s="17" t="s">
        <v>52</v>
      </c>
      <c r="F15" s="7">
        <f t="shared" si="6"/>
        <v>3</v>
      </c>
      <c r="G15" s="17">
        <v>2</v>
      </c>
      <c r="H15" s="17">
        <f t="shared" si="63"/>
        <v>2</v>
      </c>
      <c r="I15" s="17">
        <v>9</v>
      </c>
      <c r="J15" s="6" t="s">
        <v>92</v>
      </c>
      <c r="K15" s="6" t="s">
        <v>34</v>
      </c>
      <c r="L15" s="17" t="s">
        <v>89</v>
      </c>
      <c r="M15" s="6" t="s">
        <v>35</v>
      </c>
      <c r="N15" s="17" t="s">
        <v>93</v>
      </c>
      <c r="O15" s="28" t="s">
        <v>41</v>
      </c>
      <c r="P15" s="28" t="s">
        <v>41</v>
      </c>
      <c r="Q15" s="28" t="s">
        <v>79</v>
      </c>
      <c r="R15" s="30">
        <v>19.980314960629922</v>
      </c>
      <c r="S15" s="30">
        <v>0.3125</v>
      </c>
      <c r="T15" s="30"/>
      <c r="U15" s="30">
        <v>0.3125</v>
      </c>
      <c r="V15" s="8">
        <f t="shared" si="7"/>
        <v>507.5</v>
      </c>
      <c r="W15" s="8">
        <f t="shared" si="8"/>
        <v>7.9375</v>
      </c>
      <c r="X15" s="8">
        <f t="shared" si="9"/>
        <v>0</v>
      </c>
      <c r="Y15" s="33">
        <f t="shared" si="10"/>
        <v>7.9375</v>
      </c>
      <c r="Z15" s="28" t="s">
        <v>80</v>
      </c>
      <c r="AA15" s="28" t="s">
        <v>81</v>
      </c>
      <c r="AB15" s="61" t="s">
        <v>79</v>
      </c>
      <c r="AC15" s="31" t="s">
        <v>82</v>
      </c>
      <c r="AD15" s="50">
        <f t="shared" si="11"/>
        <v>2</v>
      </c>
      <c r="AE15" s="31"/>
      <c r="AF15" s="51">
        <v>14</v>
      </c>
      <c r="AG15" s="51">
        <f t="shared" si="52"/>
        <v>8.4</v>
      </c>
      <c r="AH15" s="51">
        <f t="shared" si="1"/>
        <v>42</v>
      </c>
      <c r="AI15" s="52" t="s">
        <v>2497</v>
      </c>
      <c r="AJ15" s="52" t="s">
        <v>2498</v>
      </c>
      <c r="AK15" s="53">
        <f t="shared" si="53"/>
        <v>8.0565624999999995E-3</v>
      </c>
      <c r="AL15" s="54">
        <f t="shared" si="54"/>
        <v>0.11904761904761904</v>
      </c>
      <c r="AM15" s="54">
        <f t="shared" si="55"/>
        <v>2.3809523809523808E-2</v>
      </c>
      <c r="AN15" s="55">
        <f t="shared" si="56"/>
        <v>1.9182291666666664E-3</v>
      </c>
      <c r="AO15" s="55">
        <f t="shared" si="57"/>
        <v>3.8364583333333328E-4</v>
      </c>
      <c r="AP15" s="53">
        <v>7.1</v>
      </c>
      <c r="AQ15" s="53">
        <f t="shared" si="18"/>
        <v>4.26</v>
      </c>
      <c r="AR15" s="53">
        <f t="shared" si="19"/>
        <v>21.299999999999997</v>
      </c>
      <c r="AS15" s="56">
        <f t="shared" si="20"/>
        <v>4.6948356807511742E-2</v>
      </c>
      <c r="AT15" s="56">
        <f t="shared" si="58"/>
        <v>0.23474178403755869</v>
      </c>
      <c r="AU15" s="56">
        <f t="shared" si="22"/>
        <v>0.176056338028169</v>
      </c>
      <c r="AV15" s="56">
        <f t="shared" si="59"/>
        <v>5.8685446009389672E-2</v>
      </c>
      <c r="AW15" s="57" t="s">
        <v>2511</v>
      </c>
      <c r="AX15" s="57" t="s">
        <v>2512</v>
      </c>
      <c r="AY15" s="57" t="s">
        <v>2513</v>
      </c>
      <c r="AZ15" s="58">
        <f t="shared" si="60"/>
        <v>8.0565624999999995E-3</v>
      </c>
      <c r="BA15" s="59">
        <f t="shared" si="64"/>
        <v>4.7280296361502347E-4</v>
      </c>
      <c r="BB15" s="59">
        <f t="shared" si="65"/>
        <v>1.4184088908450701E-3</v>
      </c>
      <c r="BC15" s="59">
        <f t="shared" si="66"/>
        <v>3.782423708920188E-4</v>
      </c>
      <c r="BD15" s="60">
        <f t="shared" si="61"/>
        <v>2.1739130434782609E-3</v>
      </c>
      <c r="BE15" s="59">
        <f t="shared" si="62"/>
        <v>4.3478260869565218E-3</v>
      </c>
      <c r="BQ15" s="61">
        <v>3000</v>
      </c>
      <c r="BR15" s="61">
        <v>1200</v>
      </c>
      <c r="BS15" s="28">
        <f t="shared" si="27"/>
        <v>2980</v>
      </c>
      <c r="BT15" s="28">
        <f t="shared" si="28"/>
        <v>1180</v>
      </c>
      <c r="BU15" s="28" t="s">
        <v>2541</v>
      </c>
      <c r="BV15" s="28">
        <f t="shared" si="29"/>
        <v>512.5</v>
      </c>
      <c r="BW15" s="28">
        <f t="shared" si="30"/>
        <v>12.9375</v>
      </c>
      <c r="BX15" s="13">
        <f t="shared" si="31"/>
        <v>5.8146341463414632</v>
      </c>
      <c r="BY15" s="13">
        <f t="shared" si="32"/>
        <v>5</v>
      </c>
      <c r="BZ15" s="13">
        <f t="shared" si="33"/>
        <v>91.207729468599027</v>
      </c>
      <c r="CA15" s="13">
        <f t="shared" si="34"/>
        <v>91</v>
      </c>
      <c r="CB15" s="13">
        <f t="shared" si="35"/>
        <v>455</v>
      </c>
      <c r="CC15" s="62">
        <f t="shared" si="36"/>
        <v>2.1978021978021978E-3</v>
      </c>
      <c r="CD15" s="13">
        <f t="shared" si="37"/>
        <v>230.33816425120773</v>
      </c>
      <c r="CE15" s="13">
        <f t="shared" si="38"/>
        <v>230</v>
      </c>
      <c r="CF15" s="13">
        <f t="shared" si="39"/>
        <v>2.3024390243902437</v>
      </c>
      <c r="CG15" s="13">
        <f t="shared" si="40"/>
        <v>2</v>
      </c>
      <c r="CH15" s="28">
        <f t="shared" si="41"/>
        <v>460</v>
      </c>
      <c r="CI15" s="62">
        <f t="shared" si="42"/>
        <v>2.1739130434782609E-3</v>
      </c>
      <c r="CJ15" s="59">
        <f t="shared" si="43"/>
        <v>2.1739130434782609E-3</v>
      </c>
      <c r="CL15" s="63">
        <v>6000</v>
      </c>
      <c r="CM15" s="63">
        <f t="shared" si="44"/>
        <v>507.5</v>
      </c>
      <c r="CN15" s="63">
        <f t="shared" si="45"/>
        <v>512.5</v>
      </c>
      <c r="CO15" s="63">
        <f t="shared" si="46"/>
        <v>11.707317073170731</v>
      </c>
      <c r="CP15" s="13">
        <f t="shared" si="47"/>
        <v>11</v>
      </c>
      <c r="CQ15" s="70">
        <f t="shared" si="48"/>
        <v>9.0909090909090912E-2</v>
      </c>
      <c r="CR15" s="69">
        <f t="shared" si="5"/>
        <v>0.18181818181818182</v>
      </c>
    </row>
    <row r="16" spans="1:96" hidden="1" x14ac:dyDescent="0.25">
      <c r="A16" s="17">
        <v>5</v>
      </c>
      <c r="B16" s="6" t="s">
        <v>50</v>
      </c>
      <c r="C16" s="17" t="s">
        <v>94</v>
      </c>
      <c r="D16" s="17" t="s">
        <v>95</v>
      </c>
      <c r="E16" s="17" t="s">
        <v>52</v>
      </c>
      <c r="F16" s="7">
        <f t="shared" si="6"/>
        <v>13</v>
      </c>
      <c r="G16" s="17">
        <v>3</v>
      </c>
      <c r="H16" s="17">
        <f t="shared" si="63"/>
        <v>3</v>
      </c>
      <c r="I16" s="17">
        <v>10</v>
      </c>
      <c r="J16" s="6" t="s">
        <v>76</v>
      </c>
      <c r="K16" s="6" t="s">
        <v>34</v>
      </c>
      <c r="L16" s="17" t="s">
        <v>77</v>
      </c>
      <c r="M16" s="6" t="s">
        <v>35</v>
      </c>
      <c r="N16" s="17" t="s">
        <v>95</v>
      </c>
      <c r="O16" s="28" t="s">
        <v>41</v>
      </c>
      <c r="P16" s="28" t="s">
        <v>41</v>
      </c>
      <c r="Q16" s="28" t="s">
        <v>79</v>
      </c>
      <c r="R16" s="30">
        <v>7.0078740157480315</v>
      </c>
      <c r="S16" s="30">
        <v>0.3125</v>
      </c>
      <c r="T16" s="30"/>
      <c r="U16" s="30">
        <v>0.3125</v>
      </c>
      <c r="V16" s="8">
        <f t="shared" si="7"/>
        <v>178</v>
      </c>
      <c r="W16" s="8">
        <f t="shared" si="8"/>
        <v>7.9375</v>
      </c>
      <c r="X16" s="8">
        <f t="shared" si="9"/>
        <v>0</v>
      </c>
      <c r="Y16" s="33">
        <f t="shared" si="10"/>
        <v>7.9375</v>
      </c>
      <c r="Z16" s="28" t="s">
        <v>80</v>
      </c>
      <c r="AA16" s="28" t="s">
        <v>81</v>
      </c>
      <c r="AB16" s="61" t="s">
        <v>79</v>
      </c>
      <c r="AC16" s="31" t="s">
        <v>82</v>
      </c>
      <c r="AD16" s="50">
        <f t="shared" si="11"/>
        <v>3</v>
      </c>
      <c r="AE16" s="31"/>
      <c r="AF16" s="51">
        <v>14</v>
      </c>
      <c r="AG16" s="51">
        <f t="shared" si="52"/>
        <v>8.4</v>
      </c>
      <c r="AH16" s="51">
        <f t="shared" si="1"/>
        <v>42</v>
      </c>
      <c r="AI16" s="52" t="s">
        <v>2497</v>
      </c>
      <c r="AJ16" s="52" t="s">
        <v>2498</v>
      </c>
      <c r="AK16" s="53">
        <f t="shared" si="53"/>
        <v>2.8257500000000001E-3</v>
      </c>
      <c r="AL16" s="54">
        <f t="shared" si="54"/>
        <v>0.11904761904761904</v>
      </c>
      <c r="AM16" s="54">
        <f t="shared" si="55"/>
        <v>2.3809523809523808E-2</v>
      </c>
      <c r="AN16" s="55">
        <f t="shared" si="56"/>
        <v>1.0091964285714287E-3</v>
      </c>
      <c r="AO16" s="55">
        <f t="shared" si="57"/>
        <v>2.0183928571428572E-4</v>
      </c>
      <c r="AP16" s="53">
        <v>7.1</v>
      </c>
      <c r="AQ16" s="53">
        <f t="shared" si="18"/>
        <v>4.26</v>
      </c>
      <c r="AR16" s="53">
        <f t="shared" si="19"/>
        <v>21.299999999999997</v>
      </c>
      <c r="AS16" s="56">
        <f t="shared" si="20"/>
        <v>4.6948356807511742E-2</v>
      </c>
      <c r="AT16" s="56">
        <f t="shared" si="58"/>
        <v>0.23474178403755869</v>
      </c>
      <c r="AU16" s="56">
        <f t="shared" si="22"/>
        <v>0.176056338028169</v>
      </c>
      <c r="AV16" s="56">
        <f t="shared" si="59"/>
        <v>5.8685446009389672E-2</v>
      </c>
      <c r="AW16" s="57" t="s">
        <v>2511</v>
      </c>
      <c r="AX16" s="57" t="s">
        <v>2512</v>
      </c>
      <c r="AY16" s="57" t="s">
        <v>2513</v>
      </c>
      <c r="AZ16" s="58">
        <f t="shared" si="60"/>
        <v>2.8257500000000001E-3</v>
      </c>
      <c r="BA16" s="59">
        <f t="shared" si="64"/>
        <v>2.487455985915493E-4</v>
      </c>
      <c r="BB16" s="59">
        <f t="shared" si="65"/>
        <v>7.4623679577464784E-4</v>
      </c>
      <c r="BC16" s="59">
        <f t="shared" si="66"/>
        <v>1.9899647887323946E-4</v>
      </c>
      <c r="BD16" s="60">
        <f t="shared" si="61"/>
        <v>6.8681318681318687E-4</v>
      </c>
      <c r="BE16" s="59">
        <f t="shared" si="62"/>
        <v>2.0604395604395605E-3</v>
      </c>
      <c r="BQ16" s="61">
        <v>3000</v>
      </c>
      <c r="BR16" s="61">
        <v>1200</v>
      </c>
      <c r="BS16" s="28">
        <f t="shared" si="27"/>
        <v>2980</v>
      </c>
      <c r="BT16" s="28">
        <f t="shared" si="28"/>
        <v>1180</v>
      </c>
      <c r="BU16" s="28" t="s">
        <v>2541</v>
      </c>
      <c r="BV16" s="28">
        <f t="shared" si="29"/>
        <v>183</v>
      </c>
      <c r="BW16" s="28">
        <f t="shared" si="30"/>
        <v>12.9375</v>
      </c>
      <c r="BX16" s="13">
        <f t="shared" si="31"/>
        <v>16.284153005464482</v>
      </c>
      <c r="BY16" s="13">
        <f t="shared" si="32"/>
        <v>16</v>
      </c>
      <c r="BZ16" s="13">
        <f t="shared" si="33"/>
        <v>91.207729468599027</v>
      </c>
      <c r="CA16" s="13">
        <f t="shared" si="34"/>
        <v>91</v>
      </c>
      <c r="CB16" s="13">
        <f t="shared" si="35"/>
        <v>1456</v>
      </c>
      <c r="CC16" s="62">
        <f t="shared" si="36"/>
        <v>6.8681318681318687E-4</v>
      </c>
      <c r="CD16" s="13">
        <f t="shared" si="37"/>
        <v>230.33816425120773</v>
      </c>
      <c r="CE16" s="13">
        <f t="shared" si="38"/>
        <v>230</v>
      </c>
      <c r="CF16" s="13">
        <f t="shared" si="39"/>
        <v>6.4480874316939891</v>
      </c>
      <c r="CG16" s="13">
        <f t="shared" si="40"/>
        <v>6</v>
      </c>
      <c r="CH16" s="28">
        <f t="shared" si="41"/>
        <v>1380</v>
      </c>
      <c r="CI16" s="62">
        <f t="shared" si="42"/>
        <v>7.246376811594203E-4</v>
      </c>
      <c r="CJ16" s="59">
        <f t="shared" si="43"/>
        <v>6.8681318681318687E-4</v>
      </c>
      <c r="CL16" s="63">
        <v>6000</v>
      </c>
      <c r="CM16" s="63">
        <f t="shared" si="44"/>
        <v>178</v>
      </c>
      <c r="CN16" s="63">
        <f t="shared" si="45"/>
        <v>183</v>
      </c>
      <c r="CO16" s="63">
        <f t="shared" si="46"/>
        <v>32.786885245901637</v>
      </c>
      <c r="CP16" s="13">
        <f t="shared" si="47"/>
        <v>32</v>
      </c>
      <c r="CQ16" s="70">
        <f t="shared" si="48"/>
        <v>3.125E-2</v>
      </c>
      <c r="CR16" s="69">
        <f t="shared" si="5"/>
        <v>9.375E-2</v>
      </c>
    </row>
    <row r="17" spans="1:96" hidden="1" x14ac:dyDescent="0.25">
      <c r="A17" s="17">
        <v>5</v>
      </c>
      <c r="B17" s="6" t="s">
        <v>50</v>
      </c>
      <c r="C17" s="17" t="s">
        <v>96</v>
      </c>
      <c r="D17" s="17" t="s">
        <v>2270</v>
      </c>
      <c r="E17" s="17" t="s">
        <v>52</v>
      </c>
      <c r="F17" s="7">
        <f t="shared" si="6"/>
        <v>2</v>
      </c>
      <c r="G17" s="17">
        <v>1</v>
      </c>
      <c r="H17" s="17">
        <f t="shared" si="63"/>
        <v>1</v>
      </c>
      <c r="I17" s="17">
        <v>11</v>
      </c>
      <c r="J17" s="6" t="s">
        <v>97</v>
      </c>
      <c r="K17" s="6" t="s">
        <v>34</v>
      </c>
      <c r="L17" s="17" t="s">
        <v>98</v>
      </c>
      <c r="M17" s="6" t="s">
        <v>35</v>
      </c>
      <c r="N17" s="17" t="s">
        <v>99</v>
      </c>
      <c r="O17" s="28" t="s">
        <v>41</v>
      </c>
      <c r="P17" s="28" t="s">
        <v>41</v>
      </c>
      <c r="Q17" s="28" t="s">
        <v>79</v>
      </c>
      <c r="R17" s="30">
        <v>24.960629921259844</v>
      </c>
      <c r="S17" s="30">
        <v>0.3125</v>
      </c>
      <c r="T17" s="30"/>
      <c r="U17" s="30">
        <v>0.3125</v>
      </c>
      <c r="V17" s="8">
        <f t="shared" si="7"/>
        <v>634</v>
      </c>
      <c r="W17" s="8">
        <f t="shared" si="8"/>
        <v>7.9375</v>
      </c>
      <c r="X17" s="8">
        <f t="shared" si="9"/>
        <v>0</v>
      </c>
      <c r="Y17" s="33">
        <f t="shared" si="10"/>
        <v>7.9375</v>
      </c>
      <c r="Z17" s="28" t="s">
        <v>80</v>
      </c>
      <c r="AA17" s="28" t="s">
        <v>81</v>
      </c>
      <c r="AB17" s="61" t="s">
        <v>79</v>
      </c>
      <c r="AC17" s="31" t="s">
        <v>82</v>
      </c>
      <c r="AD17" s="50">
        <f t="shared" si="11"/>
        <v>1</v>
      </c>
      <c r="AE17" s="31"/>
      <c r="AF17" s="51">
        <v>14</v>
      </c>
      <c r="AG17" s="51">
        <f t="shared" si="52"/>
        <v>8.4</v>
      </c>
      <c r="AH17" s="51">
        <f t="shared" si="1"/>
        <v>42</v>
      </c>
      <c r="AI17" s="52" t="s">
        <v>2497</v>
      </c>
      <c r="AJ17" s="52" t="s">
        <v>2498</v>
      </c>
      <c r="AK17" s="53">
        <f t="shared" si="53"/>
        <v>1.0064750000000001E-2</v>
      </c>
      <c r="AL17" s="54">
        <f t="shared" si="54"/>
        <v>0.11904761904761904</v>
      </c>
      <c r="AM17" s="54">
        <f t="shared" si="55"/>
        <v>2.3809523809523808E-2</v>
      </c>
      <c r="AN17" s="55">
        <f t="shared" si="56"/>
        <v>1.1981845238095239E-3</v>
      </c>
      <c r="AO17" s="55">
        <f t="shared" si="57"/>
        <v>2.3963690476190477E-4</v>
      </c>
      <c r="AP17" s="53">
        <v>7.1</v>
      </c>
      <c r="AQ17" s="53">
        <f t="shared" si="18"/>
        <v>4.26</v>
      </c>
      <c r="AR17" s="53">
        <f t="shared" si="19"/>
        <v>21.299999999999997</v>
      </c>
      <c r="AS17" s="56">
        <f t="shared" si="20"/>
        <v>4.6948356807511742E-2</v>
      </c>
      <c r="AT17" s="56">
        <f t="shared" si="58"/>
        <v>0.23474178403755869</v>
      </c>
      <c r="AU17" s="56">
        <f t="shared" si="22"/>
        <v>0.176056338028169</v>
      </c>
      <c r="AV17" s="56">
        <f t="shared" si="59"/>
        <v>5.8685446009389672E-2</v>
      </c>
      <c r="AW17" s="57" t="s">
        <v>2511</v>
      </c>
      <c r="AX17" s="57" t="s">
        <v>2512</v>
      </c>
      <c r="AY17" s="57" t="s">
        <v>2513</v>
      </c>
      <c r="AZ17" s="58">
        <f t="shared" si="60"/>
        <v>1.0064750000000001E-2</v>
      </c>
      <c r="BA17" s="59">
        <f t="shared" si="64"/>
        <v>2.9532717136150237E-4</v>
      </c>
      <c r="BB17" s="59">
        <f t="shared" si="65"/>
        <v>8.8598151408450705E-4</v>
      </c>
      <c r="BC17" s="59">
        <f t="shared" si="66"/>
        <v>2.3626173708920191E-4</v>
      </c>
      <c r="BD17" s="60">
        <f t="shared" si="61"/>
        <v>2.7472527472527475E-3</v>
      </c>
      <c r="BE17" s="59">
        <f t="shared" si="62"/>
        <v>2.7472527472527475E-3</v>
      </c>
      <c r="BQ17" s="61">
        <v>3000</v>
      </c>
      <c r="BR17" s="61">
        <v>1200</v>
      </c>
      <c r="BS17" s="28">
        <f t="shared" si="27"/>
        <v>2980</v>
      </c>
      <c r="BT17" s="28">
        <f t="shared" si="28"/>
        <v>1180</v>
      </c>
      <c r="BU17" s="28" t="s">
        <v>2541</v>
      </c>
      <c r="BV17" s="28">
        <f t="shared" si="29"/>
        <v>639</v>
      </c>
      <c r="BW17" s="28">
        <f t="shared" si="30"/>
        <v>12.9375</v>
      </c>
      <c r="BX17" s="13">
        <f t="shared" si="31"/>
        <v>4.6635367762128324</v>
      </c>
      <c r="BY17" s="13">
        <f t="shared" si="32"/>
        <v>4</v>
      </c>
      <c r="BZ17" s="13">
        <f t="shared" si="33"/>
        <v>91.207729468599027</v>
      </c>
      <c r="CA17" s="13">
        <f t="shared" si="34"/>
        <v>91</v>
      </c>
      <c r="CB17" s="13">
        <f t="shared" si="35"/>
        <v>364</v>
      </c>
      <c r="CC17" s="62">
        <f t="shared" si="36"/>
        <v>2.7472527472527475E-3</v>
      </c>
      <c r="CD17" s="13">
        <f t="shared" si="37"/>
        <v>230.33816425120773</v>
      </c>
      <c r="CE17" s="13">
        <f t="shared" si="38"/>
        <v>230</v>
      </c>
      <c r="CF17" s="13">
        <f t="shared" si="39"/>
        <v>1.8466353677621283</v>
      </c>
      <c r="CG17" s="13">
        <f t="shared" si="40"/>
        <v>1</v>
      </c>
      <c r="CH17" s="28">
        <f t="shared" si="41"/>
        <v>230</v>
      </c>
      <c r="CI17" s="62">
        <f t="shared" si="42"/>
        <v>4.3478260869565218E-3</v>
      </c>
      <c r="CJ17" s="59">
        <f t="shared" si="43"/>
        <v>2.7472527472527475E-3</v>
      </c>
      <c r="CL17" s="63">
        <v>6000</v>
      </c>
      <c r="CM17" s="63">
        <f t="shared" si="44"/>
        <v>634</v>
      </c>
      <c r="CN17" s="63">
        <f t="shared" si="45"/>
        <v>639</v>
      </c>
      <c r="CO17" s="63">
        <f t="shared" si="46"/>
        <v>9.3896713615023479</v>
      </c>
      <c r="CP17" s="13">
        <f t="shared" si="47"/>
        <v>9</v>
      </c>
      <c r="CQ17" s="70">
        <f t="shared" si="48"/>
        <v>0.1111111111111111</v>
      </c>
      <c r="CR17" s="69">
        <f t="shared" si="5"/>
        <v>0.1111111111111111</v>
      </c>
    </row>
    <row r="18" spans="1:96" hidden="1" x14ac:dyDescent="0.25">
      <c r="A18" s="17">
        <v>5</v>
      </c>
      <c r="B18" s="6" t="s">
        <v>50</v>
      </c>
      <c r="C18" s="17" t="s">
        <v>100</v>
      </c>
      <c r="D18" s="17" t="s">
        <v>2270</v>
      </c>
      <c r="E18" s="17" t="s">
        <v>52</v>
      </c>
      <c r="F18" s="7">
        <f t="shared" si="6"/>
        <v>2</v>
      </c>
      <c r="G18" s="17">
        <v>2</v>
      </c>
      <c r="H18" s="17">
        <f t="shared" si="63"/>
        <v>2</v>
      </c>
      <c r="I18" s="17">
        <v>12</v>
      </c>
      <c r="J18" s="6" t="s">
        <v>101</v>
      </c>
      <c r="K18" s="6" t="s">
        <v>34</v>
      </c>
      <c r="L18" s="17">
        <v>0</v>
      </c>
      <c r="M18" s="6" t="s">
        <v>35</v>
      </c>
      <c r="N18" s="17" t="s">
        <v>102</v>
      </c>
      <c r="O18" s="28" t="s">
        <v>41</v>
      </c>
      <c r="P18" s="28" t="s">
        <v>41</v>
      </c>
      <c r="Q18" s="28" t="s">
        <v>103</v>
      </c>
      <c r="R18" s="30">
        <v>3</v>
      </c>
      <c r="S18" s="30">
        <v>2</v>
      </c>
      <c r="T18" s="30"/>
      <c r="U18" s="30">
        <v>0.23599999999999999</v>
      </c>
      <c r="V18" s="8">
        <f t="shared" si="7"/>
        <v>76.199999999999989</v>
      </c>
      <c r="W18" s="8">
        <f t="shared" si="8"/>
        <v>50.8</v>
      </c>
      <c r="X18" s="8">
        <f t="shared" si="9"/>
        <v>0</v>
      </c>
      <c r="Y18" s="33">
        <f t="shared" si="10"/>
        <v>5.9943999999999997</v>
      </c>
      <c r="Z18" s="28" t="s">
        <v>56</v>
      </c>
      <c r="AA18" s="28" t="s">
        <v>57</v>
      </c>
      <c r="AB18" s="28" t="s">
        <v>103</v>
      </c>
      <c r="AC18" s="31" t="s">
        <v>104</v>
      </c>
      <c r="AD18" s="50">
        <f t="shared" si="11"/>
        <v>2</v>
      </c>
      <c r="AE18" s="31"/>
      <c r="AF18" s="51">
        <v>14</v>
      </c>
      <c r="AG18" s="51">
        <f t="shared" si="52"/>
        <v>8.4</v>
      </c>
      <c r="AH18" s="51">
        <f t="shared" si="1"/>
        <v>42</v>
      </c>
      <c r="AI18" s="52" t="s">
        <v>2497</v>
      </c>
      <c r="AJ18" s="52" t="s">
        <v>2498</v>
      </c>
      <c r="AK18" s="53">
        <f t="shared" si="53"/>
        <v>7.7419199999999985E-3</v>
      </c>
      <c r="AL18" s="54">
        <f t="shared" si="54"/>
        <v>0.11904761904761904</v>
      </c>
      <c r="AM18" s="54">
        <f t="shared" si="55"/>
        <v>2.3809523809523808E-2</v>
      </c>
      <c r="AN18" s="55">
        <f t="shared" si="56"/>
        <v>1.8433142857142853E-3</v>
      </c>
      <c r="AO18" s="55">
        <f t="shared" si="57"/>
        <v>3.6866285714285703E-4</v>
      </c>
      <c r="AP18" s="53">
        <v>7.1</v>
      </c>
      <c r="AQ18" s="53">
        <f t="shared" si="18"/>
        <v>4.26</v>
      </c>
      <c r="AR18" s="53">
        <f t="shared" si="19"/>
        <v>21.299999999999997</v>
      </c>
      <c r="AS18" s="56">
        <f t="shared" si="20"/>
        <v>4.6948356807511742E-2</v>
      </c>
      <c r="AT18" s="56">
        <f t="shared" si="58"/>
        <v>0.23474178403755869</v>
      </c>
      <c r="AU18" s="56">
        <f t="shared" si="22"/>
        <v>0.176056338028169</v>
      </c>
      <c r="AV18" s="56">
        <f t="shared" si="59"/>
        <v>5.8685446009389672E-2</v>
      </c>
      <c r="AW18" s="57" t="s">
        <v>2511</v>
      </c>
      <c r="AX18" s="57" t="s">
        <v>2512</v>
      </c>
      <c r="AY18" s="57" t="s">
        <v>2513</v>
      </c>
      <c r="AZ18" s="58">
        <f t="shared" si="60"/>
        <v>7.7419199999999985E-3</v>
      </c>
      <c r="BA18" s="59">
        <f t="shared" si="64"/>
        <v>4.5433802816901398E-4</v>
      </c>
      <c r="BB18" s="59">
        <f t="shared" si="65"/>
        <v>1.3630140845070418E-3</v>
      </c>
      <c r="BC18" s="59">
        <f t="shared" si="66"/>
        <v>3.6347042253521121E-4</v>
      </c>
      <c r="BD18" s="60">
        <f t="shared" si="61"/>
        <v>1.3227513227513227E-3</v>
      </c>
      <c r="BE18" s="59">
        <f t="shared" si="62"/>
        <v>2.6455026455026454E-3</v>
      </c>
      <c r="BQ18" s="61">
        <v>3000</v>
      </c>
      <c r="BR18" s="61">
        <v>1200</v>
      </c>
      <c r="BS18" s="28">
        <f t="shared" si="27"/>
        <v>2980</v>
      </c>
      <c r="BT18" s="28">
        <f t="shared" si="28"/>
        <v>1180</v>
      </c>
      <c r="BU18" s="28" t="s">
        <v>2541</v>
      </c>
      <c r="BV18" s="28">
        <f t="shared" si="29"/>
        <v>81.199999999999989</v>
      </c>
      <c r="BW18" s="28">
        <f t="shared" si="30"/>
        <v>55.8</v>
      </c>
      <c r="BX18" s="13">
        <f t="shared" si="31"/>
        <v>36.699507389162569</v>
      </c>
      <c r="BY18" s="13">
        <f t="shared" si="32"/>
        <v>36</v>
      </c>
      <c r="BZ18" s="13">
        <f t="shared" si="33"/>
        <v>21.146953405017921</v>
      </c>
      <c r="CA18" s="13">
        <f t="shared" si="34"/>
        <v>21</v>
      </c>
      <c r="CB18" s="13">
        <f t="shared" si="35"/>
        <v>756</v>
      </c>
      <c r="CC18" s="62">
        <f t="shared" si="36"/>
        <v>1.3227513227513227E-3</v>
      </c>
      <c r="CD18" s="13">
        <f t="shared" si="37"/>
        <v>53.405017921146957</v>
      </c>
      <c r="CE18" s="13">
        <f t="shared" si="38"/>
        <v>53</v>
      </c>
      <c r="CF18" s="13">
        <f t="shared" si="39"/>
        <v>14.5320197044335</v>
      </c>
      <c r="CG18" s="13">
        <f t="shared" si="40"/>
        <v>14</v>
      </c>
      <c r="CH18" s="28">
        <f t="shared" si="41"/>
        <v>742</v>
      </c>
      <c r="CI18" s="62">
        <f t="shared" si="42"/>
        <v>1.3477088948787063E-3</v>
      </c>
      <c r="CJ18" s="59">
        <f t="shared" si="43"/>
        <v>1.3227513227513227E-3</v>
      </c>
      <c r="CL18" s="63">
        <v>6000</v>
      </c>
      <c r="CM18" s="63">
        <f t="shared" si="44"/>
        <v>76.199999999999989</v>
      </c>
      <c r="CN18" s="63">
        <f t="shared" si="45"/>
        <v>81.199999999999989</v>
      </c>
      <c r="CO18" s="63">
        <f t="shared" si="46"/>
        <v>73.891625615763559</v>
      </c>
      <c r="CP18" s="13">
        <f t="shared" si="47"/>
        <v>73</v>
      </c>
      <c r="CQ18" s="70">
        <f t="shared" si="48"/>
        <v>1.3698630136986301E-2</v>
      </c>
      <c r="CR18" s="69">
        <f t="shared" si="5"/>
        <v>2.7397260273972601E-2</v>
      </c>
    </row>
    <row r="19" spans="1:96" hidden="1" x14ac:dyDescent="0.25">
      <c r="A19" s="17">
        <v>5</v>
      </c>
      <c r="B19" s="6" t="s">
        <v>50</v>
      </c>
      <c r="C19" s="17" t="s">
        <v>105</v>
      </c>
      <c r="D19" s="17" t="s">
        <v>106</v>
      </c>
      <c r="E19" s="17" t="s">
        <v>52</v>
      </c>
      <c r="F19" s="7">
        <f t="shared" si="6"/>
        <v>9</v>
      </c>
      <c r="G19" s="17">
        <v>1</v>
      </c>
      <c r="H19" s="17">
        <f t="shared" si="63"/>
        <v>1</v>
      </c>
      <c r="I19" s="17">
        <v>13</v>
      </c>
      <c r="J19" s="6" t="s">
        <v>76</v>
      </c>
      <c r="K19" s="6" t="s">
        <v>34</v>
      </c>
      <c r="L19" s="17" t="s">
        <v>77</v>
      </c>
      <c r="M19" s="6" t="s">
        <v>35</v>
      </c>
      <c r="N19" s="17" t="s">
        <v>106</v>
      </c>
      <c r="O19" s="28" t="s">
        <v>41</v>
      </c>
      <c r="P19" s="28" t="s">
        <v>41</v>
      </c>
      <c r="Q19" s="28" t="s">
        <v>79</v>
      </c>
      <c r="R19" s="30">
        <v>11.023622047244094</v>
      </c>
      <c r="S19" s="30">
        <v>0.3125</v>
      </c>
      <c r="T19" s="30"/>
      <c r="U19" s="30">
        <v>0.3125</v>
      </c>
      <c r="V19" s="8">
        <f t="shared" si="7"/>
        <v>280</v>
      </c>
      <c r="W19" s="8">
        <f t="shared" si="8"/>
        <v>7.9375</v>
      </c>
      <c r="X19" s="8">
        <f t="shared" si="9"/>
        <v>0</v>
      </c>
      <c r="Y19" s="33">
        <f t="shared" si="10"/>
        <v>7.9375</v>
      </c>
      <c r="Z19" s="28" t="s">
        <v>80</v>
      </c>
      <c r="AA19" s="28" t="s">
        <v>81</v>
      </c>
      <c r="AB19" s="61" t="s">
        <v>79</v>
      </c>
      <c r="AC19" s="31" t="s">
        <v>82</v>
      </c>
      <c r="AD19" s="50">
        <f t="shared" si="11"/>
        <v>1</v>
      </c>
      <c r="AE19" s="47" t="s">
        <v>107</v>
      </c>
      <c r="AF19" s="51">
        <v>14</v>
      </c>
      <c r="AG19" s="51">
        <f t="shared" si="52"/>
        <v>8.4</v>
      </c>
      <c r="AH19" s="51">
        <f t="shared" si="1"/>
        <v>42</v>
      </c>
      <c r="AI19" s="52" t="s">
        <v>2497</v>
      </c>
      <c r="AJ19" s="52" t="s">
        <v>2498</v>
      </c>
      <c r="AK19" s="53">
        <f t="shared" si="53"/>
        <v>4.4450000000000002E-3</v>
      </c>
      <c r="AL19" s="54">
        <f t="shared" si="54"/>
        <v>0.11904761904761904</v>
      </c>
      <c r="AM19" s="54">
        <f t="shared" si="55"/>
        <v>2.3809523809523808E-2</v>
      </c>
      <c r="AN19" s="55">
        <f t="shared" si="56"/>
        <v>5.2916666666666661E-4</v>
      </c>
      <c r="AO19" s="55">
        <f t="shared" si="57"/>
        <v>1.0583333333333334E-4</v>
      </c>
      <c r="AP19" s="53">
        <v>7.1</v>
      </c>
      <c r="AQ19" s="53">
        <f t="shared" si="18"/>
        <v>4.26</v>
      </c>
      <c r="AR19" s="53">
        <f t="shared" si="19"/>
        <v>21.299999999999997</v>
      </c>
      <c r="AS19" s="56">
        <f t="shared" si="20"/>
        <v>4.6948356807511742E-2</v>
      </c>
      <c r="AT19" s="56">
        <f t="shared" si="58"/>
        <v>0.23474178403755869</v>
      </c>
      <c r="AU19" s="56">
        <f t="shared" si="22"/>
        <v>0.176056338028169</v>
      </c>
      <c r="AV19" s="56">
        <f t="shared" si="59"/>
        <v>5.8685446009389672E-2</v>
      </c>
      <c r="AW19" s="57" t="s">
        <v>2511</v>
      </c>
      <c r="AX19" s="57" t="s">
        <v>2512</v>
      </c>
      <c r="AY19" s="57" t="s">
        <v>2513</v>
      </c>
      <c r="AZ19" s="58">
        <f t="shared" si="60"/>
        <v>4.4450000000000002E-3</v>
      </c>
      <c r="BA19" s="59">
        <f t="shared" si="64"/>
        <v>1.3042840375586856E-4</v>
      </c>
      <c r="BB19" s="59">
        <f t="shared" si="65"/>
        <v>3.9128521126760563E-4</v>
      </c>
      <c r="BC19" s="59">
        <f t="shared" si="66"/>
        <v>1.0434272300469485E-4</v>
      </c>
      <c r="BD19" s="60">
        <f t="shared" si="61"/>
        <v>1.0869565217391304E-3</v>
      </c>
      <c r="BE19" s="59">
        <f t="shared" si="62"/>
        <v>1.0869565217391304E-3</v>
      </c>
      <c r="BQ19" s="61">
        <v>3000</v>
      </c>
      <c r="BR19" s="61">
        <v>1200</v>
      </c>
      <c r="BS19" s="28">
        <f t="shared" si="27"/>
        <v>2980</v>
      </c>
      <c r="BT19" s="28">
        <f t="shared" si="28"/>
        <v>1180</v>
      </c>
      <c r="BU19" s="28" t="s">
        <v>2541</v>
      </c>
      <c r="BV19" s="28">
        <f t="shared" si="29"/>
        <v>285</v>
      </c>
      <c r="BW19" s="28">
        <f t="shared" si="30"/>
        <v>12.9375</v>
      </c>
      <c r="BX19" s="13">
        <f t="shared" si="31"/>
        <v>10.456140350877194</v>
      </c>
      <c r="BY19" s="13">
        <f t="shared" si="32"/>
        <v>10</v>
      </c>
      <c r="BZ19" s="13">
        <f t="shared" si="33"/>
        <v>91.207729468599027</v>
      </c>
      <c r="CA19" s="13">
        <f t="shared" si="34"/>
        <v>91</v>
      </c>
      <c r="CB19" s="13">
        <f t="shared" si="35"/>
        <v>910</v>
      </c>
      <c r="CC19" s="62">
        <f t="shared" si="36"/>
        <v>1.0989010989010989E-3</v>
      </c>
      <c r="CD19" s="13">
        <f t="shared" si="37"/>
        <v>230.33816425120773</v>
      </c>
      <c r="CE19" s="13">
        <f t="shared" si="38"/>
        <v>230</v>
      </c>
      <c r="CF19" s="13">
        <f t="shared" si="39"/>
        <v>4.1403508771929829</v>
      </c>
      <c r="CG19" s="13">
        <f t="shared" si="40"/>
        <v>4</v>
      </c>
      <c r="CH19" s="28">
        <f t="shared" si="41"/>
        <v>920</v>
      </c>
      <c r="CI19" s="62">
        <f t="shared" si="42"/>
        <v>1.0869565217391304E-3</v>
      </c>
      <c r="CJ19" s="59">
        <f t="shared" si="43"/>
        <v>1.0869565217391304E-3</v>
      </c>
      <c r="CL19" s="63">
        <v>6000</v>
      </c>
      <c r="CM19" s="63">
        <f t="shared" si="44"/>
        <v>280</v>
      </c>
      <c r="CN19" s="63">
        <f t="shared" si="45"/>
        <v>285</v>
      </c>
      <c r="CO19" s="63">
        <f t="shared" si="46"/>
        <v>21.05263157894737</v>
      </c>
      <c r="CP19" s="13">
        <f t="shared" si="47"/>
        <v>21</v>
      </c>
      <c r="CQ19" s="70">
        <f t="shared" si="48"/>
        <v>4.7619047619047616E-2</v>
      </c>
      <c r="CR19" s="69">
        <f t="shared" si="5"/>
        <v>4.7619047619047616E-2</v>
      </c>
    </row>
    <row r="20" spans="1:96" hidden="1" x14ac:dyDescent="0.25">
      <c r="A20" s="17">
        <v>5</v>
      </c>
      <c r="B20" s="6" t="s">
        <v>50</v>
      </c>
      <c r="C20" s="17" t="s">
        <v>108</v>
      </c>
      <c r="D20" s="17" t="s">
        <v>2270</v>
      </c>
      <c r="E20" s="17" t="s">
        <v>32</v>
      </c>
      <c r="F20" s="7">
        <f t="shared" si="6"/>
        <v>1</v>
      </c>
      <c r="G20" s="17">
        <v>1</v>
      </c>
      <c r="H20" s="17">
        <f t="shared" si="63"/>
        <v>1</v>
      </c>
      <c r="I20" s="17">
        <v>14</v>
      </c>
      <c r="J20" s="6" t="s">
        <v>109</v>
      </c>
      <c r="K20" s="6" t="s">
        <v>34</v>
      </c>
      <c r="L20" s="17" t="s">
        <v>110</v>
      </c>
      <c r="M20" s="6" t="s">
        <v>35</v>
      </c>
      <c r="N20" s="17" t="s">
        <v>111</v>
      </c>
      <c r="O20" s="28" t="s">
        <v>41</v>
      </c>
      <c r="P20" s="28" t="s">
        <v>41</v>
      </c>
      <c r="Q20" s="28"/>
      <c r="R20" s="30"/>
      <c r="S20" s="30"/>
      <c r="T20" s="30"/>
      <c r="U20" s="30"/>
      <c r="V20" s="8">
        <f t="shared" si="7"/>
        <v>0</v>
      </c>
      <c r="W20" s="8">
        <f t="shared" si="8"/>
        <v>0</v>
      </c>
      <c r="X20" s="8">
        <f t="shared" si="9"/>
        <v>0</v>
      </c>
      <c r="Y20" s="33">
        <f t="shared" si="10"/>
        <v>0</v>
      </c>
      <c r="Z20" s="28"/>
      <c r="AA20" s="28"/>
      <c r="AB20" s="28">
        <v>0</v>
      </c>
      <c r="AC20" s="31"/>
      <c r="AD20" s="50">
        <f t="shared" si="11"/>
        <v>1</v>
      </c>
      <c r="AE20" s="31"/>
      <c r="AF20" s="51">
        <v>14</v>
      </c>
      <c r="AG20" s="51">
        <f t="shared" si="52"/>
        <v>8.4</v>
      </c>
      <c r="AH20" s="51">
        <f t="shared" si="1"/>
        <v>42</v>
      </c>
      <c r="AI20" s="52" t="s">
        <v>2497</v>
      </c>
      <c r="AJ20" s="52" t="s">
        <v>2498</v>
      </c>
      <c r="AK20" s="53">
        <f t="shared" si="53"/>
        <v>0</v>
      </c>
      <c r="AL20" s="54">
        <f t="shared" si="54"/>
        <v>0.11904761904761904</v>
      </c>
      <c r="AM20" s="54">
        <f t="shared" si="55"/>
        <v>2.3809523809523808E-2</v>
      </c>
      <c r="AN20" s="55">
        <f t="shared" si="56"/>
        <v>0</v>
      </c>
      <c r="AO20" s="55">
        <f t="shared" si="57"/>
        <v>0</v>
      </c>
      <c r="AP20" s="53">
        <v>7.1</v>
      </c>
      <c r="AQ20" s="53">
        <f t="shared" si="18"/>
        <v>4.26</v>
      </c>
      <c r="AR20" s="53">
        <f t="shared" si="19"/>
        <v>21.299999999999997</v>
      </c>
      <c r="AS20" s="56">
        <f t="shared" si="20"/>
        <v>4.6948356807511742E-2</v>
      </c>
      <c r="AT20" s="56">
        <f t="shared" si="58"/>
        <v>0.23474178403755869</v>
      </c>
      <c r="AU20" s="56">
        <f t="shared" si="22"/>
        <v>0.176056338028169</v>
      </c>
      <c r="AV20" s="56">
        <f t="shared" si="59"/>
        <v>5.8685446009389672E-2</v>
      </c>
      <c r="AW20" s="57" t="s">
        <v>2511</v>
      </c>
      <c r="AX20" s="57" t="s">
        <v>2512</v>
      </c>
      <c r="AY20" s="57" t="s">
        <v>2513</v>
      </c>
      <c r="AZ20" s="58">
        <f t="shared" si="60"/>
        <v>0</v>
      </c>
      <c r="BA20" s="59">
        <f t="shared" si="64"/>
        <v>0</v>
      </c>
      <c r="BB20" s="59">
        <f t="shared" si="65"/>
        <v>0</v>
      </c>
      <c r="BC20" s="59">
        <f t="shared" si="66"/>
        <v>0</v>
      </c>
      <c r="BD20" s="60">
        <f t="shared" si="61"/>
        <v>0</v>
      </c>
      <c r="BE20" s="59">
        <f t="shared" si="62"/>
        <v>0</v>
      </c>
      <c r="BQ20" s="61">
        <v>3000</v>
      </c>
      <c r="BR20" s="61">
        <v>1200</v>
      </c>
      <c r="BS20" s="28">
        <f t="shared" si="27"/>
        <v>2980</v>
      </c>
      <c r="BT20" s="28">
        <f t="shared" si="28"/>
        <v>1180</v>
      </c>
      <c r="BU20" s="28" t="s">
        <v>2541</v>
      </c>
      <c r="BV20" s="28">
        <f t="shared" si="29"/>
        <v>5</v>
      </c>
      <c r="BW20" s="28">
        <f t="shared" si="30"/>
        <v>5</v>
      </c>
      <c r="BX20" s="13">
        <f t="shared" si="31"/>
        <v>596</v>
      </c>
      <c r="BY20" s="13">
        <f t="shared" si="32"/>
        <v>596</v>
      </c>
      <c r="BZ20" s="13">
        <f t="shared" si="33"/>
        <v>236</v>
      </c>
      <c r="CA20" s="13">
        <f t="shared" si="34"/>
        <v>236</v>
      </c>
      <c r="CB20" s="13">
        <f t="shared" si="35"/>
        <v>140656</v>
      </c>
      <c r="CC20" s="62" t="str">
        <f t="shared" si="36"/>
        <v/>
      </c>
      <c r="CD20" s="13">
        <f t="shared" si="37"/>
        <v>596</v>
      </c>
      <c r="CE20" s="13">
        <f t="shared" si="38"/>
        <v>596</v>
      </c>
      <c r="CF20" s="13">
        <f t="shared" si="39"/>
        <v>236</v>
      </c>
      <c r="CG20" s="13">
        <f t="shared" si="40"/>
        <v>236</v>
      </c>
      <c r="CH20" s="28">
        <f t="shared" si="41"/>
        <v>140656</v>
      </c>
      <c r="CI20" s="62" t="str">
        <f t="shared" si="42"/>
        <v/>
      </c>
      <c r="CJ20" s="59">
        <f t="shared" si="43"/>
        <v>0</v>
      </c>
      <c r="CL20" s="63">
        <v>6000</v>
      </c>
      <c r="CM20" s="63">
        <f t="shared" si="44"/>
        <v>0</v>
      </c>
      <c r="CN20" s="63">
        <f t="shared" si="45"/>
        <v>5</v>
      </c>
      <c r="CO20" s="63">
        <f t="shared" si="46"/>
        <v>1200</v>
      </c>
      <c r="CP20" s="13">
        <f t="shared" si="47"/>
        <v>1200</v>
      </c>
      <c r="CQ20" s="70">
        <f t="shared" si="48"/>
        <v>8.3333333333333339E-4</v>
      </c>
      <c r="CR20" s="69">
        <f t="shared" si="5"/>
        <v>8.3333333333333339E-4</v>
      </c>
    </row>
    <row r="21" spans="1:96" hidden="1" x14ac:dyDescent="0.25">
      <c r="A21" s="42">
        <v>6</v>
      </c>
      <c r="B21" s="43" t="s">
        <v>112</v>
      </c>
      <c r="C21" s="42" t="s">
        <v>113</v>
      </c>
      <c r="D21" s="42" t="s">
        <v>2270</v>
      </c>
      <c r="E21" s="42" t="s">
        <v>52</v>
      </c>
      <c r="F21" s="44">
        <f t="shared" si="6"/>
        <v>1</v>
      </c>
      <c r="G21" s="42">
        <v>1</v>
      </c>
      <c r="H21" s="42">
        <f>G21*$H$20</f>
        <v>1</v>
      </c>
      <c r="I21" s="42">
        <v>1</v>
      </c>
      <c r="J21" s="43" t="s">
        <v>114</v>
      </c>
      <c r="K21" s="43" t="s">
        <v>34</v>
      </c>
      <c r="L21" s="42" t="s">
        <v>110</v>
      </c>
      <c r="M21" s="43" t="s">
        <v>35</v>
      </c>
      <c r="N21" s="42" t="s">
        <v>115</v>
      </c>
      <c r="O21" s="28" t="s">
        <v>41</v>
      </c>
      <c r="P21" s="28" t="s">
        <v>41</v>
      </c>
      <c r="Q21" s="28" t="s">
        <v>116</v>
      </c>
      <c r="R21" s="30">
        <v>13.789</v>
      </c>
      <c r="S21" s="30">
        <v>6.8090000000000002</v>
      </c>
      <c r="T21" s="30"/>
      <c r="U21" s="30">
        <v>0.11799999999999999</v>
      </c>
      <c r="V21" s="8">
        <f t="shared" si="7"/>
        <v>350.24059999999997</v>
      </c>
      <c r="W21" s="8">
        <f t="shared" si="8"/>
        <v>172.9486</v>
      </c>
      <c r="X21" s="8">
        <f t="shared" si="9"/>
        <v>0</v>
      </c>
      <c r="Y21" s="33">
        <f t="shared" si="10"/>
        <v>2.9971999999999999</v>
      </c>
      <c r="Z21" s="28" t="s">
        <v>56</v>
      </c>
      <c r="AA21" s="28" t="s">
        <v>57</v>
      </c>
      <c r="AB21" s="28" t="s">
        <v>116</v>
      </c>
      <c r="AC21" s="31" t="s">
        <v>117</v>
      </c>
      <c r="AD21" s="50">
        <f t="shared" si="11"/>
        <v>1</v>
      </c>
      <c r="AE21" s="31"/>
      <c r="AF21" s="51">
        <v>14</v>
      </c>
      <c r="AG21" s="51">
        <f t="shared" si="52"/>
        <v>8.4</v>
      </c>
      <c r="AH21" s="51">
        <f t="shared" si="1"/>
        <v>42</v>
      </c>
      <c r="AI21" s="52" t="s">
        <v>2497</v>
      </c>
      <c r="AJ21" s="52" t="s">
        <v>2498</v>
      </c>
      <c r="AK21" s="53">
        <f t="shared" si="53"/>
        <v>0.12114724286631998</v>
      </c>
      <c r="AL21" s="54">
        <f t="shared" si="54"/>
        <v>0.11904761904761904</v>
      </c>
      <c r="AM21" s="54">
        <f t="shared" si="55"/>
        <v>2.3809523809523808E-2</v>
      </c>
      <c r="AN21" s="55">
        <f t="shared" si="56"/>
        <v>1.4422290817419045E-2</v>
      </c>
      <c r="AO21" s="55">
        <f t="shared" si="57"/>
        <v>2.8844581634838089E-3</v>
      </c>
      <c r="AP21" s="53">
        <v>7.1</v>
      </c>
      <c r="AQ21" s="53">
        <f t="shared" si="18"/>
        <v>4.26</v>
      </c>
      <c r="AR21" s="53">
        <f t="shared" si="19"/>
        <v>21.299999999999997</v>
      </c>
      <c r="AS21" s="56">
        <f t="shared" si="20"/>
        <v>4.6948356807511742E-2</v>
      </c>
      <c r="AT21" s="56">
        <f t="shared" si="58"/>
        <v>0.23474178403755869</v>
      </c>
      <c r="AU21" s="56">
        <f t="shared" si="22"/>
        <v>0.176056338028169</v>
      </c>
      <c r="AV21" s="56">
        <f t="shared" si="59"/>
        <v>5.8685446009389672E-2</v>
      </c>
      <c r="AW21" s="57" t="s">
        <v>2511</v>
      </c>
      <c r="AX21" s="57" t="s">
        <v>2512</v>
      </c>
      <c r="AY21" s="57" t="s">
        <v>2513</v>
      </c>
      <c r="AZ21" s="58">
        <f t="shared" si="60"/>
        <v>0.12114724286631998</v>
      </c>
      <c r="BA21" s="59">
        <f t="shared" si="64"/>
        <v>3.5547899902089197E-3</v>
      </c>
      <c r="BB21" s="59">
        <f t="shared" si="65"/>
        <v>1.0664369970626758E-2</v>
      </c>
      <c r="BC21" s="59">
        <f t="shared" si="66"/>
        <v>2.843831992167136E-3</v>
      </c>
      <c r="BD21" s="60">
        <f t="shared" si="61"/>
        <v>2.0833333333333332E-2</v>
      </c>
      <c r="BE21" s="59">
        <f t="shared" si="62"/>
        <v>2.0833333333333332E-2</v>
      </c>
      <c r="BQ21" s="61">
        <v>3000</v>
      </c>
      <c r="BR21" s="61">
        <v>1200</v>
      </c>
      <c r="BS21" s="28">
        <f t="shared" si="27"/>
        <v>2980</v>
      </c>
      <c r="BT21" s="28">
        <f t="shared" si="28"/>
        <v>1180</v>
      </c>
      <c r="BU21" s="28" t="s">
        <v>2541</v>
      </c>
      <c r="BV21" s="28">
        <f t="shared" si="29"/>
        <v>355.24059999999997</v>
      </c>
      <c r="BW21" s="28">
        <f t="shared" si="30"/>
        <v>177.9486</v>
      </c>
      <c r="BX21" s="13">
        <f t="shared" si="31"/>
        <v>8.3886807983096539</v>
      </c>
      <c r="BY21" s="13">
        <f t="shared" si="32"/>
        <v>8</v>
      </c>
      <c r="BZ21" s="13">
        <f t="shared" si="33"/>
        <v>6.6311283145807272</v>
      </c>
      <c r="CA21" s="13">
        <f t="shared" si="34"/>
        <v>6</v>
      </c>
      <c r="CB21" s="13">
        <f t="shared" si="35"/>
        <v>48</v>
      </c>
      <c r="CC21" s="62">
        <f t="shared" si="36"/>
        <v>2.0833333333333332E-2</v>
      </c>
      <c r="CD21" s="13">
        <f t="shared" si="37"/>
        <v>16.746408794449632</v>
      </c>
      <c r="CE21" s="13">
        <f t="shared" si="38"/>
        <v>16</v>
      </c>
      <c r="CF21" s="13">
        <f t="shared" si="39"/>
        <v>3.3216923966461045</v>
      </c>
      <c r="CG21" s="13">
        <f t="shared" si="40"/>
        <v>3</v>
      </c>
      <c r="CH21" s="28">
        <f t="shared" si="41"/>
        <v>48</v>
      </c>
      <c r="CI21" s="62">
        <f t="shared" si="42"/>
        <v>2.0833333333333332E-2</v>
      </c>
      <c r="CJ21" s="59">
        <f t="shared" si="43"/>
        <v>2.0833333333333332E-2</v>
      </c>
      <c r="CL21" s="63">
        <v>6000</v>
      </c>
      <c r="CM21" s="63">
        <f t="shared" si="44"/>
        <v>350.24059999999997</v>
      </c>
      <c r="CN21" s="63">
        <f t="shared" si="45"/>
        <v>355.24059999999997</v>
      </c>
      <c r="CO21" s="63">
        <f t="shared" si="46"/>
        <v>16.889961338878496</v>
      </c>
      <c r="CP21" s="13">
        <f t="shared" si="47"/>
        <v>16</v>
      </c>
      <c r="CQ21" s="70">
        <f t="shared" si="48"/>
        <v>6.25E-2</v>
      </c>
      <c r="CR21" s="69">
        <f t="shared" si="5"/>
        <v>6.25E-2</v>
      </c>
    </row>
    <row r="22" spans="1:96" hidden="1" x14ac:dyDescent="0.25">
      <c r="A22" s="42">
        <v>6</v>
      </c>
      <c r="B22" s="43" t="s">
        <v>112</v>
      </c>
      <c r="C22" s="42" t="s">
        <v>118</v>
      </c>
      <c r="D22" s="42" t="s">
        <v>2270</v>
      </c>
      <c r="E22" s="42" t="s">
        <v>52</v>
      </c>
      <c r="F22" s="44">
        <f t="shared" si="6"/>
        <v>1</v>
      </c>
      <c r="G22" s="42">
        <v>1</v>
      </c>
      <c r="H22" s="42">
        <f>G22*$H$20</f>
        <v>1</v>
      </c>
      <c r="I22" s="42">
        <v>2</v>
      </c>
      <c r="J22" s="43" t="s">
        <v>119</v>
      </c>
      <c r="K22" s="43" t="s">
        <v>34</v>
      </c>
      <c r="L22" s="42">
        <v>0</v>
      </c>
      <c r="M22" s="43" t="s">
        <v>35</v>
      </c>
      <c r="N22" s="42" t="s">
        <v>120</v>
      </c>
      <c r="O22" s="28" t="s">
        <v>41</v>
      </c>
      <c r="P22" s="28" t="s">
        <v>41</v>
      </c>
      <c r="Q22" s="28" t="s">
        <v>116</v>
      </c>
      <c r="R22" s="30">
        <v>4</v>
      </c>
      <c r="S22" s="30">
        <v>1.1870000000000001</v>
      </c>
      <c r="T22" s="30"/>
      <c r="U22" s="30">
        <v>0.11799999999999999</v>
      </c>
      <c r="V22" s="8">
        <f t="shared" si="7"/>
        <v>101.6</v>
      </c>
      <c r="W22" s="8">
        <f t="shared" si="8"/>
        <v>30.149799999999999</v>
      </c>
      <c r="X22" s="8">
        <f t="shared" si="9"/>
        <v>0</v>
      </c>
      <c r="Y22" s="33">
        <f t="shared" si="10"/>
        <v>2.9971999999999999</v>
      </c>
      <c r="Z22" s="28" t="s">
        <v>56</v>
      </c>
      <c r="AA22" s="28" t="s">
        <v>57</v>
      </c>
      <c r="AB22" s="28" t="s">
        <v>116</v>
      </c>
      <c r="AC22" s="31" t="s">
        <v>117</v>
      </c>
      <c r="AD22" s="50">
        <f t="shared" si="11"/>
        <v>1</v>
      </c>
      <c r="AE22" s="31"/>
      <c r="AF22" s="51">
        <v>14</v>
      </c>
      <c r="AG22" s="51">
        <f t="shared" si="52"/>
        <v>8.4</v>
      </c>
      <c r="AH22" s="51">
        <f t="shared" si="1"/>
        <v>42</v>
      </c>
      <c r="AI22" s="52" t="s">
        <v>2497</v>
      </c>
      <c r="AJ22" s="52" t="s">
        <v>2498</v>
      </c>
      <c r="AK22" s="53">
        <f t="shared" si="53"/>
        <v>6.1264393599999994E-3</v>
      </c>
      <c r="AL22" s="54">
        <f t="shared" si="54"/>
        <v>0.11904761904761904</v>
      </c>
      <c r="AM22" s="54">
        <f t="shared" si="55"/>
        <v>2.3809523809523808E-2</v>
      </c>
      <c r="AN22" s="55">
        <f t="shared" si="56"/>
        <v>7.293380190476189E-4</v>
      </c>
      <c r="AO22" s="55">
        <f t="shared" si="57"/>
        <v>1.458676038095238E-4</v>
      </c>
      <c r="AP22" s="53">
        <v>7.1</v>
      </c>
      <c r="AQ22" s="53">
        <f t="shared" si="18"/>
        <v>4.26</v>
      </c>
      <c r="AR22" s="53">
        <f t="shared" si="19"/>
        <v>21.299999999999997</v>
      </c>
      <c r="AS22" s="56">
        <f t="shared" si="20"/>
        <v>4.6948356807511742E-2</v>
      </c>
      <c r="AT22" s="56">
        <f t="shared" si="58"/>
        <v>0.23474178403755869</v>
      </c>
      <c r="AU22" s="56">
        <f t="shared" si="22"/>
        <v>0.176056338028169</v>
      </c>
      <c r="AV22" s="56">
        <f t="shared" si="59"/>
        <v>5.8685446009389672E-2</v>
      </c>
      <c r="AW22" s="57" t="s">
        <v>2511</v>
      </c>
      <c r="AX22" s="57" t="s">
        <v>2512</v>
      </c>
      <c r="AY22" s="57" t="s">
        <v>2513</v>
      </c>
      <c r="AZ22" s="58">
        <f t="shared" si="60"/>
        <v>6.1264393599999994E-3</v>
      </c>
      <c r="BA22" s="59">
        <f t="shared" si="64"/>
        <v>1.797664131455399E-4</v>
      </c>
      <c r="BB22" s="59">
        <f t="shared" si="65"/>
        <v>5.3929923943661965E-4</v>
      </c>
      <c r="BC22" s="59">
        <f t="shared" si="66"/>
        <v>1.4381313051643193E-4</v>
      </c>
      <c r="BD22" s="60">
        <f t="shared" si="61"/>
        <v>1.0822510822510823E-3</v>
      </c>
      <c r="BE22" s="59">
        <f t="shared" si="62"/>
        <v>1.0822510822510823E-3</v>
      </c>
      <c r="BQ22" s="61">
        <v>3000</v>
      </c>
      <c r="BR22" s="61">
        <v>1200</v>
      </c>
      <c r="BS22" s="28">
        <f t="shared" si="27"/>
        <v>2980</v>
      </c>
      <c r="BT22" s="28">
        <f t="shared" si="28"/>
        <v>1180</v>
      </c>
      <c r="BU22" s="28" t="s">
        <v>2541</v>
      </c>
      <c r="BV22" s="28">
        <f t="shared" si="29"/>
        <v>106.6</v>
      </c>
      <c r="BW22" s="28">
        <f t="shared" si="30"/>
        <v>35.149799999999999</v>
      </c>
      <c r="BX22" s="13">
        <f t="shared" si="31"/>
        <v>27.954971857410882</v>
      </c>
      <c r="BY22" s="13">
        <f t="shared" si="32"/>
        <v>27</v>
      </c>
      <c r="BZ22" s="13">
        <f t="shared" si="33"/>
        <v>33.570603531172296</v>
      </c>
      <c r="CA22" s="13">
        <f t="shared" si="34"/>
        <v>33</v>
      </c>
      <c r="CB22" s="13">
        <f t="shared" si="35"/>
        <v>891</v>
      </c>
      <c r="CC22" s="62">
        <f t="shared" si="36"/>
        <v>1.1223344556677891E-3</v>
      </c>
      <c r="CD22" s="13">
        <f t="shared" si="37"/>
        <v>84.77999874821478</v>
      </c>
      <c r="CE22" s="13">
        <f t="shared" si="38"/>
        <v>84</v>
      </c>
      <c r="CF22" s="13">
        <f t="shared" si="39"/>
        <v>11.069418386491558</v>
      </c>
      <c r="CG22" s="13">
        <f t="shared" si="40"/>
        <v>11</v>
      </c>
      <c r="CH22" s="28">
        <f t="shared" si="41"/>
        <v>924</v>
      </c>
      <c r="CI22" s="62">
        <f t="shared" si="42"/>
        <v>1.0822510822510823E-3</v>
      </c>
      <c r="CJ22" s="59">
        <f t="shared" si="43"/>
        <v>1.0822510822510823E-3</v>
      </c>
      <c r="CL22" s="63">
        <v>6000</v>
      </c>
      <c r="CM22" s="63">
        <f t="shared" si="44"/>
        <v>101.6</v>
      </c>
      <c r="CN22" s="63">
        <f t="shared" si="45"/>
        <v>106.6</v>
      </c>
      <c r="CO22" s="63">
        <f t="shared" si="46"/>
        <v>56.285178236397755</v>
      </c>
      <c r="CP22" s="13">
        <f t="shared" si="47"/>
        <v>56</v>
      </c>
      <c r="CQ22" s="70">
        <f t="shared" si="48"/>
        <v>1.7857142857142856E-2</v>
      </c>
      <c r="CR22" s="69">
        <f t="shared" si="5"/>
        <v>1.7857142857142856E-2</v>
      </c>
    </row>
    <row r="23" spans="1:96" hidden="1" x14ac:dyDescent="0.25">
      <c r="A23" s="17">
        <v>5</v>
      </c>
      <c r="B23" s="6" t="s">
        <v>50</v>
      </c>
      <c r="C23" s="17" t="s">
        <v>121</v>
      </c>
      <c r="D23" s="17" t="s">
        <v>2270</v>
      </c>
      <c r="E23" s="17" t="s">
        <v>52</v>
      </c>
      <c r="F23" s="7">
        <f t="shared" si="6"/>
        <v>1</v>
      </c>
      <c r="G23" s="17">
        <v>1</v>
      </c>
      <c r="H23" s="17">
        <f t="shared" ref="H23:H29" si="67">G23*$H$6</f>
        <v>1</v>
      </c>
      <c r="I23" s="17">
        <v>15</v>
      </c>
      <c r="J23" s="6" t="s">
        <v>122</v>
      </c>
      <c r="K23" s="6" t="s">
        <v>34</v>
      </c>
      <c r="L23" s="17">
        <v>0</v>
      </c>
      <c r="M23" s="6" t="s">
        <v>35</v>
      </c>
      <c r="N23" s="17" t="s">
        <v>123</v>
      </c>
      <c r="O23" s="28" t="s">
        <v>41</v>
      </c>
      <c r="P23" s="28" t="s">
        <v>41</v>
      </c>
      <c r="Q23" s="28" t="s">
        <v>124</v>
      </c>
      <c r="R23" s="30">
        <v>62.613</v>
      </c>
      <c r="S23" s="30">
        <v>8.3650000000000002</v>
      </c>
      <c r="T23" s="30"/>
      <c r="U23" s="30">
        <v>9.8000000000000004E-2</v>
      </c>
      <c r="V23" s="8">
        <f t="shared" si="7"/>
        <v>1590.3701999999998</v>
      </c>
      <c r="W23" s="8">
        <f t="shared" si="8"/>
        <v>212.471</v>
      </c>
      <c r="X23" s="8">
        <f t="shared" si="9"/>
        <v>0</v>
      </c>
      <c r="Y23" s="33">
        <f t="shared" si="10"/>
        <v>2.4891999999999999</v>
      </c>
      <c r="Z23" s="28" t="s">
        <v>56</v>
      </c>
      <c r="AA23" s="28" t="s">
        <v>57</v>
      </c>
      <c r="AB23" s="61" t="s">
        <v>124</v>
      </c>
      <c r="AC23" s="31" t="s">
        <v>125</v>
      </c>
      <c r="AD23" s="50">
        <f t="shared" si="11"/>
        <v>1</v>
      </c>
      <c r="AE23" s="31"/>
      <c r="AF23" s="51">
        <v>14</v>
      </c>
      <c r="AG23" s="51">
        <f t="shared" si="52"/>
        <v>8.4</v>
      </c>
      <c r="AH23" s="51">
        <f t="shared" si="1"/>
        <v>42</v>
      </c>
      <c r="AI23" s="52" t="s">
        <v>2497</v>
      </c>
      <c r="AJ23" s="52" t="s">
        <v>2498</v>
      </c>
      <c r="AK23" s="53">
        <f t="shared" si="53"/>
        <v>0.67581509352839997</v>
      </c>
      <c r="AL23" s="54">
        <f t="shared" si="54"/>
        <v>0.11904761904761904</v>
      </c>
      <c r="AM23" s="54">
        <f t="shared" si="55"/>
        <v>2.3809523809523808E-2</v>
      </c>
      <c r="AN23" s="55">
        <f t="shared" si="56"/>
        <v>8.045417780099999E-2</v>
      </c>
      <c r="AO23" s="55">
        <f t="shared" si="57"/>
        <v>1.6090835560199999E-2</v>
      </c>
      <c r="AP23" s="53">
        <v>7.1</v>
      </c>
      <c r="AQ23" s="53">
        <f t="shared" si="18"/>
        <v>4.26</v>
      </c>
      <c r="AR23" s="53">
        <f t="shared" si="19"/>
        <v>21.299999999999997</v>
      </c>
      <c r="AS23" s="56">
        <f t="shared" si="20"/>
        <v>4.6948356807511742E-2</v>
      </c>
      <c r="AT23" s="56">
        <f t="shared" si="58"/>
        <v>0.23474178403755869</v>
      </c>
      <c r="AU23" s="56">
        <f t="shared" si="22"/>
        <v>0.176056338028169</v>
      </c>
      <c r="AV23" s="56">
        <f t="shared" si="59"/>
        <v>5.8685446009389672E-2</v>
      </c>
      <c r="AW23" s="57" t="s">
        <v>2511</v>
      </c>
      <c r="AX23" s="57" t="s">
        <v>2512</v>
      </c>
      <c r="AY23" s="57" t="s">
        <v>2513</v>
      </c>
      <c r="AZ23" s="58">
        <f t="shared" si="60"/>
        <v>0.67581509352839997</v>
      </c>
      <c r="BA23" s="59">
        <f t="shared" si="64"/>
        <v>1.9830255091795774E-2</v>
      </c>
      <c r="BB23" s="59">
        <f t="shared" si="65"/>
        <v>5.9490765275387318E-2</v>
      </c>
      <c r="BC23" s="59">
        <f t="shared" si="66"/>
        <v>1.5864204073436621E-2</v>
      </c>
      <c r="BD23" s="60">
        <f t="shared" si="61"/>
        <v>0.2</v>
      </c>
      <c r="BE23" s="59">
        <f t="shared" si="62"/>
        <v>0.2</v>
      </c>
      <c r="BQ23" s="61">
        <v>3000</v>
      </c>
      <c r="BR23" s="61">
        <v>1200</v>
      </c>
      <c r="BS23" s="28">
        <f t="shared" si="27"/>
        <v>2980</v>
      </c>
      <c r="BT23" s="28">
        <f t="shared" si="28"/>
        <v>1180</v>
      </c>
      <c r="BU23" s="28" t="s">
        <v>2541</v>
      </c>
      <c r="BV23" s="28">
        <f t="shared" si="29"/>
        <v>1595.3701999999998</v>
      </c>
      <c r="BW23" s="28">
        <f t="shared" si="30"/>
        <v>217.471</v>
      </c>
      <c r="BX23" s="13">
        <f t="shared" si="31"/>
        <v>1.8679050166538151</v>
      </c>
      <c r="BY23" s="13">
        <f t="shared" si="32"/>
        <v>1</v>
      </c>
      <c r="BZ23" s="13">
        <f t="shared" si="33"/>
        <v>5.4260108244317635</v>
      </c>
      <c r="CA23" s="13">
        <f t="shared" si="34"/>
        <v>5</v>
      </c>
      <c r="CB23" s="13">
        <f t="shared" si="35"/>
        <v>5</v>
      </c>
      <c r="CC23" s="62">
        <f t="shared" si="36"/>
        <v>0.2</v>
      </c>
      <c r="CD23" s="13">
        <f t="shared" si="37"/>
        <v>13.702976488819198</v>
      </c>
      <c r="CE23" s="13">
        <f t="shared" si="38"/>
        <v>13</v>
      </c>
      <c r="CF23" s="13">
        <f t="shared" si="39"/>
        <v>0.73964024149379259</v>
      </c>
      <c r="CG23" s="13">
        <f t="shared" si="40"/>
        <v>0</v>
      </c>
      <c r="CH23" s="28">
        <f t="shared" si="41"/>
        <v>0</v>
      </c>
      <c r="CI23" s="62">
        <f t="shared" si="42"/>
        <v>1</v>
      </c>
      <c r="CJ23" s="59">
        <f t="shared" si="43"/>
        <v>0.2</v>
      </c>
      <c r="CL23" s="63">
        <v>6000</v>
      </c>
      <c r="CM23" s="63">
        <f t="shared" si="44"/>
        <v>1590.3701999999998</v>
      </c>
      <c r="CN23" s="63">
        <f t="shared" si="45"/>
        <v>1595.3701999999998</v>
      </c>
      <c r="CO23" s="63">
        <f t="shared" si="46"/>
        <v>3.7608825838667417</v>
      </c>
      <c r="CP23" s="13">
        <f t="shared" si="47"/>
        <v>3</v>
      </c>
      <c r="CQ23" s="70">
        <f t="shared" si="48"/>
        <v>0.33333333333333331</v>
      </c>
      <c r="CR23" s="69">
        <f t="shared" si="5"/>
        <v>0.33333333333333331</v>
      </c>
    </row>
    <row r="24" spans="1:96" hidden="1" x14ac:dyDescent="0.25">
      <c r="A24" s="17">
        <v>5</v>
      </c>
      <c r="B24" s="6" t="s">
        <v>50</v>
      </c>
      <c r="C24" s="17" t="s">
        <v>126</v>
      </c>
      <c r="D24" s="17" t="s">
        <v>2270</v>
      </c>
      <c r="E24" s="17" t="s">
        <v>52</v>
      </c>
      <c r="F24" s="7">
        <f t="shared" si="6"/>
        <v>1</v>
      </c>
      <c r="G24" s="17">
        <v>2</v>
      </c>
      <c r="H24" s="17">
        <f t="shared" si="67"/>
        <v>2</v>
      </c>
      <c r="I24" s="17">
        <v>16</v>
      </c>
      <c r="J24" s="6" t="s">
        <v>127</v>
      </c>
      <c r="K24" s="6" t="s">
        <v>34</v>
      </c>
      <c r="L24" s="17">
        <v>0</v>
      </c>
      <c r="M24" s="6" t="s">
        <v>35</v>
      </c>
      <c r="N24" s="17" t="s">
        <v>128</v>
      </c>
      <c r="O24" s="28" t="s">
        <v>41</v>
      </c>
      <c r="P24" s="28" t="s">
        <v>41</v>
      </c>
      <c r="Q24" s="28" t="s">
        <v>116</v>
      </c>
      <c r="R24" s="30">
        <v>23.18</v>
      </c>
      <c r="S24" s="30">
        <v>2.1549999999999998</v>
      </c>
      <c r="T24" s="30"/>
      <c r="U24" s="30">
        <v>0.11799999999999999</v>
      </c>
      <c r="V24" s="8">
        <f t="shared" si="7"/>
        <v>588.77199999999993</v>
      </c>
      <c r="W24" s="8">
        <f t="shared" si="8"/>
        <v>54.736999999999995</v>
      </c>
      <c r="X24" s="8">
        <f t="shared" si="9"/>
        <v>0</v>
      </c>
      <c r="Y24" s="33">
        <f t="shared" si="10"/>
        <v>2.9971999999999999</v>
      </c>
      <c r="Z24" s="28" t="s">
        <v>56</v>
      </c>
      <c r="AA24" s="28" t="s">
        <v>57</v>
      </c>
      <c r="AB24" s="28" t="s">
        <v>116</v>
      </c>
      <c r="AC24" s="31" t="s">
        <v>117</v>
      </c>
      <c r="AD24" s="50">
        <f t="shared" si="11"/>
        <v>2</v>
      </c>
      <c r="AE24" s="31"/>
      <c r="AF24" s="51">
        <v>14</v>
      </c>
      <c r="AG24" s="51">
        <f t="shared" si="52"/>
        <v>8.4</v>
      </c>
      <c r="AH24" s="51">
        <f t="shared" si="1"/>
        <v>42</v>
      </c>
      <c r="AI24" s="52" t="s">
        <v>2497</v>
      </c>
      <c r="AJ24" s="52" t="s">
        <v>2498</v>
      </c>
      <c r="AK24" s="53">
        <f t="shared" si="53"/>
        <v>6.4455225927999987E-2</v>
      </c>
      <c r="AL24" s="54">
        <f t="shared" si="54"/>
        <v>0.11904761904761904</v>
      </c>
      <c r="AM24" s="54">
        <f t="shared" si="55"/>
        <v>2.3809523809523808E-2</v>
      </c>
      <c r="AN24" s="55">
        <f t="shared" si="56"/>
        <v>1.5346482363809521E-2</v>
      </c>
      <c r="AO24" s="55">
        <f t="shared" si="57"/>
        <v>3.0692964727619038E-3</v>
      </c>
      <c r="AP24" s="53">
        <v>7.1</v>
      </c>
      <c r="AQ24" s="53">
        <f t="shared" si="18"/>
        <v>4.26</v>
      </c>
      <c r="AR24" s="53">
        <f t="shared" si="19"/>
        <v>21.299999999999997</v>
      </c>
      <c r="AS24" s="56">
        <f t="shared" si="20"/>
        <v>4.6948356807511742E-2</v>
      </c>
      <c r="AT24" s="56">
        <f t="shared" si="58"/>
        <v>0.23474178403755869</v>
      </c>
      <c r="AU24" s="56">
        <f t="shared" si="22"/>
        <v>0.176056338028169</v>
      </c>
      <c r="AV24" s="56">
        <f t="shared" si="59"/>
        <v>5.8685446009389672E-2</v>
      </c>
      <c r="AW24" s="57" t="s">
        <v>2511</v>
      </c>
      <c r="AX24" s="57" t="s">
        <v>2512</v>
      </c>
      <c r="AY24" s="57" t="s">
        <v>2513</v>
      </c>
      <c r="AZ24" s="58">
        <f t="shared" si="60"/>
        <v>6.4455225927999987E-2</v>
      </c>
      <c r="BA24" s="59">
        <f t="shared" si="64"/>
        <v>3.7825836812206567E-3</v>
      </c>
      <c r="BB24" s="59">
        <f t="shared" si="65"/>
        <v>1.134775104366197E-2</v>
      </c>
      <c r="BC24" s="59">
        <f t="shared" si="66"/>
        <v>3.0260669449765254E-3</v>
      </c>
      <c r="BD24" s="60">
        <f t="shared" si="61"/>
        <v>1.0526315789473684E-2</v>
      </c>
      <c r="BE24" s="59">
        <f t="shared" si="62"/>
        <v>2.1052631578947368E-2</v>
      </c>
      <c r="BQ24" s="61">
        <v>3000</v>
      </c>
      <c r="BR24" s="61">
        <v>1200</v>
      </c>
      <c r="BS24" s="28">
        <f t="shared" si="27"/>
        <v>2980</v>
      </c>
      <c r="BT24" s="28">
        <f t="shared" si="28"/>
        <v>1180</v>
      </c>
      <c r="BU24" s="28" t="s">
        <v>2541</v>
      </c>
      <c r="BV24" s="28">
        <f t="shared" si="29"/>
        <v>593.77199999999993</v>
      </c>
      <c r="BW24" s="28">
        <f t="shared" si="30"/>
        <v>59.736999999999995</v>
      </c>
      <c r="BX24" s="13">
        <f t="shared" si="31"/>
        <v>5.0187614101035418</v>
      </c>
      <c r="BY24" s="13">
        <f t="shared" si="32"/>
        <v>5</v>
      </c>
      <c r="BZ24" s="13">
        <f t="shared" si="33"/>
        <v>19.753251753519596</v>
      </c>
      <c r="CA24" s="13">
        <f t="shared" si="34"/>
        <v>19</v>
      </c>
      <c r="CB24" s="13">
        <f t="shared" si="35"/>
        <v>95</v>
      </c>
      <c r="CC24" s="62">
        <f t="shared" si="36"/>
        <v>1.0526315789473684E-2</v>
      </c>
      <c r="CD24" s="13">
        <f t="shared" si="37"/>
        <v>49.885330699566438</v>
      </c>
      <c r="CE24" s="13">
        <f t="shared" si="38"/>
        <v>49</v>
      </c>
      <c r="CF24" s="13">
        <f t="shared" si="39"/>
        <v>1.9872947865510671</v>
      </c>
      <c r="CG24" s="13">
        <f t="shared" si="40"/>
        <v>1</v>
      </c>
      <c r="CH24" s="28">
        <f t="shared" si="41"/>
        <v>49</v>
      </c>
      <c r="CI24" s="62">
        <f t="shared" si="42"/>
        <v>2.0408163265306121E-2</v>
      </c>
      <c r="CJ24" s="59">
        <f t="shared" si="43"/>
        <v>1.0526315789473684E-2</v>
      </c>
      <c r="CL24" s="63">
        <v>6000</v>
      </c>
      <c r="CM24" s="63">
        <f t="shared" si="44"/>
        <v>588.77199999999993</v>
      </c>
      <c r="CN24" s="63">
        <f t="shared" si="45"/>
        <v>593.77199999999993</v>
      </c>
      <c r="CO24" s="63">
        <f t="shared" si="46"/>
        <v>10.104888745174916</v>
      </c>
      <c r="CP24" s="13">
        <f t="shared" si="47"/>
        <v>10</v>
      </c>
      <c r="CQ24" s="70">
        <f t="shared" si="48"/>
        <v>0.1</v>
      </c>
      <c r="CR24" s="69">
        <f t="shared" si="5"/>
        <v>0.2</v>
      </c>
    </row>
    <row r="25" spans="1:96" hidden="1" x14ac:dyDescent="0.25">
      <c r="A25" s="17">
        <v>5</v>
      </c>
      <c r="B25" s="6" t="s">
        <v>50</v>
      </c>
      <c r="C25" s="17" t="s">
        <v>129</v>
      </c>
      <c r="D25" s="17" t="s">
        <v>2270</v>
      </c>
      <c r="E25" s="17" t="s">
        <v>52</v>
      </c>
      <c r="F25" s="7">
        <f t="shared" si="6"/>
        <v>1</v>
      </c>
      <c r="G25" s="17">
        <v>1</v>
      </c>
      <c r="H25" s="17">
        <f t="shared" si="67"/>
        <v>1</v>
      </c>
      <c r="I25" s="17">
        <v>17</v>
      </c>
      <c r="J25" s="6" t="s">
        <v>130</v>
      </c>
      <c r="K25" s="6" t="s">
        <v>34</v>
      </c>
      <c r="L25" s="17">
        <v>0</v>
      </c>
      <c r="M25" s="6" t="s">
        <v>35</v>
      </c>
      <c r="N25" s="17" t="s">
        <v>131</v>
      </c>
      <c r="O25" s="28" t="s">
        <v>41</v>
      </c>
      <c r="P25" s="28" t="s">
        <v>41</v>
      </c>
      <c r="Q25" s="28" t="s">
        <v>116</v>
      </c>
      <c r="R25" s="30">
        <v>44.5</v>
      </c>
      <c r="S25" s="30">
        <v>2.1549999999999998</v>
      </c>
      <c r="T25" s="30"/>
      <c r="U25" s="30">
        <v>0.11799999999999999</v>
      </c>
      <c r="V25" s="8">
        <f t="shared" si="7"/>
        <v>1130.3</v>
      </c>
      <c r="W25" s="8">
        <f t="shared" si="8"/>
        <v>54.736999999999995</v>
      </c>
      <c r="X25" s="8">
        <f t="shared" si="9"/>
        <v>0</v>
      </c>
      <c r="Y25" s="33">
        <f t="shared" si="10"/>
        <v>2.9971999999999999</v>
      </c>
      <c r="Z25" s="28" t="s">
        <v>56</v>
      </c>
      <c r="AA25" s="28" t="s">
        <v>57</v>
      </c>
      <c r="AB25" s="28" t="s">
        <v>116</v>
      </c>
      <c r="AC25" s="31" t="s">
        <v>117</v>
      </c>
      <c r="AD25" s="50">
        <f t="shared" si="11"/>
        <v>1</v>
      </c>
      <c r="AE25" s="31"/>
      <c r="AF25" s="51">
        <v>14</v>
      </c>
      <c r="AG25" s="51">
        <f t="shared" si="52"/>
        <v>8.4</v>
      </c>
      <c r="AH25" s="51">
        <f t="shared" si="1"/>
        <v>42</v>
      </c>
      <c r="AI25" s="52" t="s">
        <v>2497</v>
      </c>
      <c r="AJ25" s="52" t="s">
        <v>2498</v>
      </c>
      <c r="AK25" s="53">
        <f t="shared" si="53"/>
        <v>0.12373846219999998</v>
      </c>
      <c r="AL25" s="54">
        <f t="shared" si="54"/>
        <v>0.11904761904761904</v>
      </c>
      <c r="AM25" s="54">
        <f t="shared" si="55"/>
        <v>2.3809523809523808E-2</v>
      </c>
      <c r="AN25" s="55">
        <f t="shared" si="56"/>
        <v>1.4730769309523807E-2</v>
      </c>
      <c r="AO25" s="55">
        <f t="shared" si="57"/>
        <v>2.9461538619047615E-3</v>
      </c>
      <c r="AP25" s="53">
        <v>7.1</v>
      </c>
      <c r="AQ25" s="53">
        <f t="shared" si="18"/>
        <v>4.26</v>
      </c>
      <c r="AR25" s="53">
        <f t="shared" si="19"/>
        <v>21.299999999999997</v>
      </c>
      <c r="AS25" s="56">
        <f t="shared" si="20"/>
        <v>4.6948356807511742E-2</v>
      </c>
      <c r="AT25" s="56">
        <f t="shared" si="58"/>
        <v>0.23474178403755869</v>
      </c>
      <c r="AU25" s="56">
        <f t="shared" si="22"/>
        <v>0.176056338028169</v>
      </c>
      <c r="AV25" s="56">
        <f t="shared" si="59"/>
        <v>5.8685446009389672E-2</v>
      </c>
      <c r="AW25" s="57" t="s">
        <v>2511</v>
      </c>
      <c r="AX25" s="57" t="s">
        <v>2512</v>
      </c>
      <c r="AY25" s="57" t="s">
        <v>2513</v>
      </c>
      <c r="AZ25" s="58">
        <f t="shared" si="60"/>
        <v>0.12373846219999998</v>
      </c>
      <c r="BA25" s="59">
        <f t="shared" si="64"/>
        <v>3.6308234213615017E-3</v>
      </c>
      <c r="BB25" s="59">
        <f t="shared" si="65"/>
        <v>1.0892470264084504E-2</v>
      </c>
      <c r="BC25" s="59">
        <f t="shared" si="66"/>
        <v>2.9046587370892018E-3</v>
      </c>
      <c r="BD25" s="60">
        <f t="shared" si="61"/>
        <v>2.0408163265306121E-2</v>
      </c>
      <c r="BE25" s="59">
        <f t="shared" si="62"/>
        <v>2.0408163265306121E-2</v>
      </c>
      <c r="BQ25" s="61">
        <v>3000</v>
      </c>
      <c r="BR25" s="61">
        <v>1200</v>
      </c>
      <c r="BS25" s="28">
        <f t="shared" si="27"/>
        <v>2980</v>
      </c>
      <c r="BT25" s="28">
        <f t="shared" si="28"/>
        <v>1180</v>
      </c>
      <c r="BU25" s="28" t="s">
        <v>2541</v>
      </c>
      <c r="BV25" s="28">
        <f t="shared" si="29"/>
        <v>1135.3</v>
      </c>
      <c r="BW25" s="28">
        <f t="shared" si="30"/>
        <v>59.736999999999995</v>
      </c>
      <c r="BX25" s="13">
        <f t="shared" si="31"/>
        <v>2.624856866026601</v>
      </c>
      <c r="BY25" s="13">
        <f t="shared" si="32"/>
        <v>2</v>
      </c>
      <c r="BZ25" s="13">
        <f t="shared" si="33"/>
        <v>19.753251753519596</v>
      </c>
      <c r="CA25" s="13">
        <f t="shared" si="34"/>
        <v>19</v>
      </c>
      <c r="CB25" s="13">
        <f t="shared" si="35"/>
        <v>38</v>
      </c>
      <c r="CC25" s="62">
        <f t="shared" si="36"/>
        <v>2.6315789473684209E-2</v>
      </c>
      <c r="CD25" s="13">
        <f t="shared" si="37"/>
        <v>49.885330699566438</v>
      </c>
      <c r="CE25" s="13">
        <f t="shared" si="38"/>
        <v>49</v>
      </c>
      <c r="CF25" s="13">
        <f t="shared" si="39"/>
        <v>1.0393728529903992</v>
      </c>
      <c r="CG25" s="13">
        <f t="shared" si="40"/>
        <v>1</v>
      </c>
      <c r="CH25" s="28">
        <f t="shared" si="41"/>
        <v>49</v>
      </c>
      <c r="CI25" s="62">
        <f t="shared" si="42"/>
        <v>2.0408163265306121E-2</v>
      </c>
      <c r="CJ25" s="59">
        <f t="shared" si="43"/>
        <v>2.0408163265306121E-2</v>
      </c>
      <c r="CL25" s="63">
        <v>6000</v>
      </c>
      <c r="CM25" s="63">
        <f t="shared" si="44"/>
        <v>1130.3</v>
      </c>
      <c r="CN25" s="63">
        <f t="shared" si="45"/>
        <v>1135.3</v>
      </c>
      <c r="CO25" s="63">
        <f t="shared" si="46"/>
        <v>5.2849467101206731</v>
      </c>
      <c r="CP25" s="13">
        <f t="shared" si="47"/>
        <v>5</v>
      </c>
      <c r="CQ25" s="70">
        <f t="shared" si="48"/>
        <v>0.2</v>
      </c>
      <c r="CR25" s="69">
        <f t="shared" si="5"/>
        <v>0.2</v>
      </c>
    </row>
    <row r="26" spans="1:96" hidden="1" x14ac:dyDescent="0.25">
      <c r="A26" s="17">
        <v>5</v>
      </c>
      <c r="B26" s="6" t="s">
        <v>50</v>
      </c>
      <c r="C26" s="17" t="s">
        <v>132</v>
      </c>
      <c r="D26" s="17" t="s">
        <v>2270</v>
      </c>
      <c r="E26" s="17" t="s">
        <v>52</v>
      </c>
      <c r="F26" s="7">
        <f t="shared" si="6"/>
        <v>1</v>
      </c>
      <c r="G26" s="17">
        <v>2</v>
      </c>
      <c r="H26" s="17">
        <f t="shared" si="67"/>
        <v>2</v>
      </c>
      <c r="I26" s="17">
        <v>18</v>
      </c>
      <c r="J26" s="6" t="s">
        <v>130</v>
      </c>
      <c r="K26" s="6" t="s">
        <v>34</v>
      </c>
      <c r="L26" s="17">
        <v>0</v>
      </c>
      <c r="M26" s="6" t="s">
        <v>35</v>
      </c>
      <c r="N26" s="17" t="s">
        <v>133</v>
      </c>
      <c r="O26" s="28" t="s">
        <v>41</v>
      </c>
      <c r="P26" s="28" t="s">
        <v>41</v>
      </c>
      <c r="Q26" s="28" t="s">
        <v>116</v>
      </c>
      <c r="R26" s="30">
        <v>10.5</v>
      </c>
      <c r="S26" s="30">
        <v>2.1549999999999998</v>
      </c>
      <c r="T26" s="30"/>
      <c r="U26" s="30">
        <v>0.11799999999999999</v>
      </c>
      <c r="V26" s="8">
        <f t="shared" si="7"/>
        <v>266.7</v>
      </c>
      <c r="W26" s="8">
        <f t="shared" si="8"/>
        <v>54.736999999999995</v>
      </c>
      <c r="X26" s="8">
        <f t="shared" si="9"/>
        <v>0</v>
      </c>
      <c r="Y26" s="33">
        <f t="shared" si="10"/>
        <v>2.9971999999999999</v>
      </c>
      <c r="Z26" s="28" t="s">
        <v>56</v>
      </c>
      <c r="AA26" s="28" t="s">
        <v>57</v>
      </c>
      <c r="AB26" s="28" t="s">
        <v>116</v>
      </c>
      <c r="AC26" s="31" t="s">
        <v>117</v>
      </c>
      <c r="AD26" s="50">
        <f t="shared" si="11"/>
        <v>2</v>
      </c>
      <c r="AE26" s="31"/>
      <c r="AF26" s="51">
        <v>14</v>
      </c>
      <c r="AG26" s="51">
        <f t="shared" si="52"/>
        <v>8.4</v>
      </c>
      <c r="AH26" s="51">
        <f t="shared" si="1"/>
        <v>42</v>
      </c>
      <c r="AI26" s="52" t="s">
        <v>2497</v>
      </c>
      <c r="AJ26" s="52" t="s">
        <v>2498</v>
      </c>
      <c r="AK26" s="53">
        <f t="shared" si="53"/>
        <v>2.9196715799999995E-2</v>
      </c>
      <c r="AL26" s="54">
        <f t="shared" si="54"/>
        <v>0.11904761904761904</v>
      </c>
      <c r="AM26" s="54">
        <f t="shared" si="55"/>
        <v>2.3809523809523808E-2</v>
      </c>
      <c r="AN26" s="55">
        <f t="shared" si="56"/>
        <v>6.9515989999999984E-3</v>
      </c>
      <c r="AO26" s="55">
        <f t="shared" si="57"/>
        <v>1.3903197999999997E-3</v>
      </c>
      <c r="AP26" s="53">
        <v>7.1</v>
      </c>
      <c r="AQ26" s="53">
        <f t="shared" si="18"/>
        <v>4.26</v>
      </c>
      <c r="AR26" s="53">
        <f t="shared" si="19"/>
        <v>21.299999999999997</v>
      </c>
      <c r="AS26" s="56">
        <f t="shared" si="20"/>
        <v>4.6948356807511742E-2</v>
      </c>
      <c r="AT26" s="56">
        <f t="shared" si="58"/>
        <v>0.23474178403755869</v>
      </c>
      <c r="AU26" s="56">
        <f t="shared" si="22"/>
        <v>0.176056338028169</v>
      </c>
      <c r="AV26" s="56">
        <f t="shared" si="59"/>
        <v>5.8685446009389672E-2</v>
      </c>
      <c r="AW26" s="57" t="s">
        <v>2511</v>
      </c>
      <c r="AX26" s="57" t="s">
        <v>2512</v>
      </c>
      <c r="AY26" s="57" t="s">
        <v>2513</v>
      </c>
      <c r="AZ26" s="58">
        <f t="shared" si="60"/>
        <v>2.9196715799999995E-2</v>
      </c>
      <c r="BA26" s="59">
        <f t="shared" si="64"/>
        <v>1.7134222887323941E-3</v>
      </c>
      <c r="BB26" s="59">
        <f t="shared" si="65"/>
        <v>5.1402668661971818E-3</v>
      </c>
      <c r="BC26" s="59">
        <f t="shared" si="66"/>
        <v>1.3707378309859154E-3</v>
      </c>
      <c r="BD26" s="60">
        <f t="shared" si="61"/>
        <v>5.1020408163265302E-3</v>
      </c>
      <c r="BE26" s="59">
        <f t="shared" si="62"/>
        <v>1.020408163265306E-2</v>
      </c>
      <c r="BQ26" s="61">
        <v>3000</v>
      </c>
      <c r="BR26" s="61">
        <v>1200</v>
      </c>
      <c r="BS26" s="28">
        <f t="shared" si="27"/>
        <v>2980</v>
      </c>
      <c r="BT26" s="28">
        <f t="shared" si="28"/>
        <v>1180</v>
      </c>
      <c r="BU26" s="28" t="s">
        <v>2541</v>
      </c>
      <c r="BV26" s="28">
        <f t="shared" si="29"/>
        <v>271.7</v>
      </c>
      <c r="BW26" s="28">
        <f t="shared" si="30"/>
        <v>59.736999999999995</v>
      </c>
      <c r="BX26" s="13">
        <f t="shared" si="31"/>
        <v>10.967979389032021</v>
      </c>
      <c r="BY26" s="13">
        <f t="shared" si="32"/>
        <v>10</v>
      </c>
      <c r="BZ26" s="13">
        <f t="shared" si="33"/>
        <v>19.753251753519596</v>
      </c>
      <c r="CA26" s="13">
        <f t="shared" si="34"/>
        <v>19</v>
      </c>
      <c r="CB26" s="13">
        <f t="shared" si="35"/>
        <v>190</v>
      </c>
      <c r="CC26" s="62">
        <f t="shared" si="36"/>
        <v>5.263157894736842E-3</v>
      </c>
      <c r="CD26" s="13">
        <f t="shared" si="37"/>
        <v>49.885330699566438</v>
      </c>
      <c r="CE26" s="13">
        <f t="shared" si="38"/>
        <v>49</v>
      </c>
      <c r="CF26" s="13">
        <f t="shared" si="39"/>
        <v>4.3430253956569747</v>
      </c>
      <c r="CG26" s="13">
        <f t="shared" si="40"/>
        <v>4</v>
      </c>
      <c r="CH26" s="28">
        <f t="shared" si="41"/>
        <v>196</v>
      </c>
      <c r="CI26" s="62">
        <f t="shared" si="42"/>
        <v>5.1020408163265302E-3</v>
      </c>
      <c r="CJ26" s="59">
        <f t="shared" si="43"/>
        <v>5.1020408163265302E-3</v>
      </c>
      <c r="CL26" s="63">
        <v>6000</v>
      </c>
      <c r="CM26" s="63">
        <f t="shared" si="44"/>
        <v>266.7</v>
      </c>
      <c r="CN26" s="63">
        <f t="shared" si="45"/>
        <v>271.7</v>
      </c>
      <c r="CO26" s="63">
        <f t="shared" si="46"/>
        <v>22.083179977916821</v>
      </c>
      <c r="CP26" s="13">
        <f t="shared" si="47"/>
        <v>22</v>
      </c>
      <c r="CQ26" s="70">
        <f t="shared" si="48"/>
        <v>4.5454545454545456E-2</v>
      </c>
      <c r="CR26" s="69">
        <f t="shared" si="5"/>
        <v>9.0909090909090912E-2</v>
      </c>
    </row>
    <row r="27" spans="1:96" hidden="1" x14ac:dyDescent="0.25">
      <c r="A27" s="17">
        <v>5</v>
      </c>
      <c r="B27" s="6" t="s">
        <v>50</v>
      </c>
      <c r="C27" s="17" t="s">
        <v>134</v>
      </c>
      <c r="D27" s="17" t="s">
        <v>2270</v>
      </c>
      <c r="E27" s="17" t="s">
        <v>52</v>
      </c>
      <c r="F27" s="7">
        <f t="shared" si="6"/>
        <v>1</v>
      </c>
      <c r="G27" s="17">
        <v>1</v>
      </c>
      <c r="H27" s="17">
        <f t="shared" si="67"/>
        <v>1</v>
      </c>
      <c r="I27" s="17">
        <v>19</v>
      </c>
      <c r="J27" s="6" t="s">
        <v>130</v>
      </c>
      <c r="K27" s="6" t="s">
        <v>34</v>
      </c>
      <c r="L27" s="17">
        <v>0</v>
      </c>
      <c r="M27" s="6" t="s">
        <v>35</v>
      </c>
      <c r="N27" s="17" t="s">
        <v>135</v>
      </c>
      <c r="O27" s="28" t="s">
        <v>41</v>
      </c>
      <c r="P27" s="28" t="s">
        <v>41</v>
      </c>
      <c r="Q27" s="28" t="s">
        <v>116</v>
      </c>
      <c r="R27" s="30">
        <v>11.5</v>
      </c>
      <c r="S27" s="30">
        <v>2.1549999999999998</v>
      </c>
      <c r="T27" s="30"/>
      <c r="U27" s="30">
        <v>0.11799999999999999</v>
      </c>
      <c r="V27" s="8">
        <f t="shared" si="7"/>
        <v>292.09999999999997</v>
      </c>
      <c r="W27" s="8">
        <f t="shared" si="8"/>
        <v>54.736999999999995</v>
      </c>
      <c r="X27" s="8">
        <f t="shared" si="9"/>
        <v>0</v>
      </c>
      <c r="Y27" s="33">
        <f t="shared" si="10"/>
        <v>2.9971999999999999</v>
      </c>
      <c r="Z27" s="28" t="s">
        <v>56</v>
      </c>
      <c r="AA27" s="28" t="s">
        <v>57</v>
      </c>
      <c r="AB27" s="28" t="s">
        <v>116</v>
      </c>
      <c r="AC27" s="31" t="s">
        <v>117</v>
      </c>
      <c r="AD27" s="50">
        <f t="shared" si="11"/>
        <v>1</v>
      </c>
      <c r="AE27" s="31"/>
      <c r="AF27" s="51">
        <v>14</v>
      </c>
      <c r="AG27" s="51">
        <f t="shared" si="52"/>
        <v>8.4</v>
      </c>
      <c r="AH27" s="51">
        <f t="shared" si="1"/>
        <v>42</v>
      </c>
      <c r="AI27" s="52" t="s">
        <v>2497</v>
      </c>
      <c r="AJ27" s="52" t="s">
        <v>2498</v>
      </c>
      <c r="AK27" s="53">
        <f t="shared" si="53"/>
        <v>3.197735539999999E-2</v>
      </c>
      <c r="AL27" s="54">
        <f t="shared" si="54"/>
        <v>0.11904761904761904</v>
      </c>
      <c r="AM27" s="54">
        <f t="shared" si="55"/>
        <v>2.3809523809523808E-2</v>
      </c>
      <c r="AN27" s="55">
        <f t="shared" si="56"/>
        <v>3.8068280238095224E-3</v>
      </c>
      <c r="AO27" s="55">
        <f t="shared" si="57"/>
        <v>7.6136560476190447E-4</v>
      </c>
      <c r="AP27" s="53">
        <v>7.1</v>
      </c>
      <c r="AQ27" s="53">
        <f t="shared" si="18"/>
        <v>4.26</v>
      </c>
      <c r="AR27" s="53">
        <f t="shared" si="19"/>
        <v>21.299999999999997</v>
      </c>
      <c r="AS27" s="56">
        <f t="shared" si="20"/>
        <v>4.6948356807511742E-2</v>
      </c>
      <c r="AT27" s="56">
        <f t="shared" si="58"/>
        <v>0.23474178403755869</v>
      </c>
      <c r="AU27" s="56">
        <f t="shared" si="22"/>
        <v>0.176056338028169</v>
      </c>
      <c r="AV27" s="56">
        <f t="shared" si="59"/>
        <v>5.8685446009389672E-2</v>
      </c>
      <c r="AW27" s="57" t="s">
        <v>2511</v>
      </c>
      <c r="AX27" s="57" t="s">
        <v>2512</v>
      </c>
      <c r="AY27" s="57" t="s">
        <v>2513</v>
      </c>
      <c r="AZ27" s="58">
        <f t="shared" si="60"/>
        <v>3.197735539999999E-2</v>
      </c>
      <c r="BA27" s="59">
        <f t="shared" si="64"/>
        <v>9.3830268192488236E-4</v>
      </c>
      <c r="BB27" s="59">
        <f t="shared" si="65"/>
        <v>2.8149080457746467E-3</v>
      </c>
      <c r="BC27" s="59">
        <f t="shared" si="66"/>
        <v>7.5064214553990591E-4</v>
      </c>
      <c r="BD27" s="60">
        <f t="shared" si="61"/>
        <v>5.263157894736842E-3</v>
      </c>
      <c r="BE27" s="59">
        <f t="shared" si="62"/>
        <v>5.263157894736842E-3</v>
      </c>
      <c r="BQ27" s="61">
        <v>3000</v>
      </c>
      <c r="BR27" s="61">
        <v>1200</v>
      </c>
      <c r="BS27" s="28">
        <f t="shared" si="27"/>
        <v>2980</v>
      </c>
      <c r="BT27" s="28">
        <f t="shared" si="28"/>
        <v>1180</v>
      </c>
      <c r="BU27" s="28" t="s">
        <v>2541</v>
      </c>
      <c r="BV27" s="28">
        <f t="shared" si="29"/>
        <v>297.09999999999997</v>
      </c>
      <c r="BW27" s="28">
        <f t="shared" si="30"/>
        <v>59.736999999999995</v>
      </c>
      <c r="BX27" s="13">
        <f t="shared" si="31"/>
        <v>10.030292830696736</v>
      </c>
      <c r="BY27" s="13">
        <f t="shared" si="32"/>
        <v>10</v>
      </c>
      <c r="BZ27" s="13">
        <f t="shared" si="33"/>
        <v>19.753251753519596</v>
      </c>
      <c r="CA27" s="13">
        <f t="shared" si="34"/>
        <v>19</v>
      </c>
      <c r="CB27" s="13">
        <f t="shared" si="35"/>
        <v>190</v>
      </c>
      <c r="CC27" s="62">
        <f t="shared" si="36"/>
        <v>5.263157894736842E-3</v>
      </c>
      <c r="CD27" s="13">
        <f t="shared" si="37"/>
        <v>49.885330699566438</v>
      </c>
      <c r="CE27" s="13">
        <f t="shared" si="38"/>
        <v>49</v>
      </c>
      <c r="CF27" s="13">
        <f t="shared" si="39"/>
        <v>3.9717266913497142</v>
      </c>
      <c r="CG27" s="13">
        <f t="shared" si="40"/>
        <v>3</v>
      </c>
      <c r="CH27" s="28">
        <f t="shared" si="41"/>
        <v>147</v>
      </c>
      <c r="CI27" s="62">
        <f t="shared" si="42"/>
        <v>6.8027210884353739E-3</v>
      </c>
      <c r="CJ27" s="59">
        <f t="shared" si="43"/>
        <v>5.263157894736842E-3</v>
      </c>
      <c r="CL27" s="63">
        <v>6000</v>
      </c>
      <c r="CM27" s="63">
        <f t="shared" si="44"/>
        <v>292.09999999999997</v>
      </c>
      <c r="CN27" s="63">
        <f t="shared" si="45"/>
        <v>297.09999999999997</v>
      </c>
      <c r="CO27" s="63">
        <f t="shared" si="46"/>
        <v>20.195220464490074</v>
      </c>
      <c r="CP27" s="13">
        <f t="shared" si="47"/>
        <v>20</v>
      </c>
      <c r="CQ27" s="70">
        <f t="shared" si="48"/>
        <v>0.05</v>
      </c>
      <c r="CR27" s="69">
        <f t="shared" si="5"/>
        <v>0.05</v>
      </c>
    </row>
    <row r="28" spans="1:96" hidden="1" x14ac:dyDescent="0.25">
      <c r="A28" s="17">
        <v>5</v>
      </c>
      <c r="B28" s="6" t="s">
        <v>50</v>
      </c>
      <c r="C28" s="17" t="s">
        <v>136</v>
      </c>
      <c r="D28" s="17" t="s">
        <v>2270</v>
      </c>
      <c r="E28" s="17" t="s">
        <v>52</v>
      </c>
      <c r="F28" s="7">
        <f t="shared" si="6"/>
        <v>1</v>
      </c>
      <c r="G28" s="17">
        <v>1</v>
      </c>
      <c r="H28" s="17">
        <f t="shared" si="67"/>
        <v>1</v>
      </c>
      <c r="I28" s="17">
        <v>20</v>
      </c>
      <c r="J28" s="6" t="s">
        <v>137</v>
      </c>
      <c r="K28" s="6" t="s">
        <v>34</v>
      </c>
      <c r="L28" s="17">
        <v>0</v>
      </c>
      <c r="M28" s="6" t="s">
        <v>35</v>
      </c>
      <c r="N28" s="17" t="s">
        <v>138</v>
      </c>
      <c r="O28" s="28" t="s">
        <v>41</v>
      </c>
      <c r="P28" s="28" t="s">
        <v>41</v>
      </c>
      <c r="Q28" s="28" t="s">
        <v>116</v>
      </c>
      <c r="R28" s="30">
        <v>20.93</v>
      </c>
      <c r="S28" s="30">
        <v>2.1549999999999998</v>
      </c>
      <c r="T28" s="30"/>
      <c r="U28" s="30">
        <v>0.11799999999999999</v>
      </c>
      <c r="V28" s="8">
        <f t="shared" si="7"/>
        <v>531.62199999999996</v>
      </c>
      <c r="W28" s="8">
        <f t="shared" si="8"/>
        <v>54.736999999999995</v>
      </c>
      <c r="X28" s="8">
        <f t="shared" si="9"/>
        <v>0</v>
      </c>
      <c r="Y28" s="33">
        <f t="shared" si="10"/>
        <v>2.9971999999999999</v>
      </c>
      <c r="Z28" s="28" t="s">
        <v>56</v>
      </c>
      <c r="AA28" s="28" t="s">
        <v>57</v>
      </c>
      <c r="AB28" s="28" t="s">
        <v>116</v>
      </c>
      <c r="AC28" s="31" t="s">
        <v>117</v>
      </c>
      <c r="AD28" s="50">
        <f t="shared" si="11"/>
        <v>1</v>
      </c>
      <c r="AE28" s="31"/>
      <c r="AF28" s="51">
        <v>14</v>
      </c>
      <c r="AG28" s="51">
        <f t="shared" si="52"/>
        <v>8.4</v>
      </c>
      <c r="AH28" s="51">
        <f t="shared" si="1"/>
        <v>42</v>
      </c>
      <c r="AI28" s="52" t="s">
        <v>2497</v>
      </c>
      <c r="AJ28" s="52" t="s">
        <v>2498</v>
      </c>
      <c r="AK28" s="53">
        <f t="shared" si="53"/>
        <v>5.819878682799999E-2</v>
      </c>
      <c r="AL28" s="54">
        <f t="shared" si="54"/>
        <v>0.11904761904761904</v>
      </c>
      <c r="AM28" s="54">
        <f t="shared" si="55"/>
        <v>2.3809523809523808E-2</v>
      </c>
      <c r="AN28" s="55">
        <f t="shared" si="56"/>
        <v>6.9284270033333319E-3</v>
      </c>
      <c r="AO28" s="55">
        <f t="shared" si="57"/>
        <v>1.3856854006666663E-3</v>
      </c>
      <c r="AP28" s="53">
        <v>7.1</v>
      </c>
      <c r="AQ28" s="53">
        <f t="shared" si="18"/>
        <v>4.26</v>
      </c>
      <c r="AR28" s="53">
        <f t="shared" si="19"/>
        <v>21.299999999999997</v>
      </c>
      <c r="AS28" s="56">
        <f t="shared" si="20"/>
        <v>4.6948356807511742E-2</v>
      </c>
      <c r="AT28" s="56">
        <f t="shared" si="58"/>
        <v>0.23474178403755869</v>
      </c>
      <c r="AU28" s="56">
        <f t="shared" si="22"/>
        <v>0.176056338028169</v>
      </c>
      <c r="AV28" s="56">
        <f t="shared" si="59"/>
        <v>5.8685446009389672E-2</v>
      </c>
      <c r="AW28" s="57" t="s">
        <v>2511</v>
      </c>
      <c r="AX28" s="57" t="s">
        <v>2512</v>
      </c>
      <c r="AY28" s="57" t="s">
        <v>2513</v>
      </c>
      <c r="AZ28" s="58">
        <f t="shared" si="60"/>
        <v>5.819878682799999E-2</v>
      </c>
      <c r="BA28" s="59">
        <f t="shared" si="64"/>
        <v>1.7077108811032861E-3</v>
      </c>
      <c r="BB28" s="59">
        <f t="shared" si="65"/>
        <v>5.1231326433098584E-3</v>
      </c>
      <c r="BC28" s="59">
        <f t="shared" si="66"/>
        <v>1.3661687048826291E-3</v>
      </c>
      <c r="BD28" s="60">
        <f t="shared" si="61"/>
        <v>1.020408163265306E-2</v>
      </c>
      <c r="BE28" s="59">
        <f t="shared" si="62"/>
        <v>1.020408163265306E-2</v>
      </c>
      <c r="BQ28" s="61">
        <v>3000</v>
      </c>
      <c r="BR28" s="61">
        <v>1200</v>
      </c>
      <c r="BS28" s="28">
        <f t="shared" si="27"/>
        <v>2980</v>
      </c>
      <c r="BT28" s="28">
        <f t="shared" si="28"/>
        <v>1180</v>
      </c>
      <c r="BU28" s="28" t="s">
        <v>2541</v>
      </c>
      <c r="BV28" s="28">
        <f t="shared" si="29"/>
        <v>536.62199999999996</v>
      </c>
      <c r="BW28" s="28">
        <f t="shared" si="30"/>
        <v>59.736999999999995</v>
      </c>
      <c r="BX28" s="13">
        <f t="shared" si="31"/>
        <v>5.553257227620187</v>
      </c>
      <c r="BY28" s="13">
        <f t="shared" si="32"/>
        <v>5</v>
      </c>
      <c r="BZ28" s="13">
        <f t="shared" si="33"/>
        <v>19.753251753519596</v>
      </c>
      <c r="CA28" s="13">
        <f t="shared" si="34"/>
        <v>19</v>
      </c>
      <c r="CB28" s="13">
        <f t="shared" si="35"/>
        <v>95</v>
      </c>
      <c r="CC28" s="62">
        <f t="shared" si="36"/>
        <v>1.0526315789473684E-2</v>
      </c>
      <c r="CD28" s="13">
        <f t="shared" si="37"/>
        <v>49.885330699566438</v>
      </c>
      <c r="CE28" s="13">
        <f t="shared" si="38"/>
        <v>49</v>
      </c>
      <c r="CF28" s="13">
        <f t="shared" si="39"/>
        <v>2.1989407814066513</v>
      </c>
      <c r="CG28" s="13">
        <f t="shared" si="40"/>
        <v>2</v>
      </c>
      <c r="CH28" s="28">
        <f t="shared" si="41"/>
        <v>98</v>
      </c>
      <c r="CI28" s="62">
        <f t="shared" si="42"/>
        <v>1.020408163265306E-2</v>
      </c>
      <c r="CJ28" s="59">
        <f t="shared" si="43"/>
        <v>1.020408163265306E-2</v>
      </c>
      <c r="CL28" s="63">
        <v>6000</v>
      </c>
      <c r="CM28" s="63">
        <f t="shared" si="44"/>
        <v>531.62199999999996</v>
      </c>
      <c r="CN28" s="63">
        <f t="shared" si="45"/>
        <v>536.62199999999996</v>
      </c>
      <c r="CO28" s="63">
        <f t="shared" si="46"/>
        <v>11.181054820711786</v>
      </c>
      <c r="CP28" s="13">
        <f t="shared" si="47"/>
        <v>11</v>
      </c>
      <c r="CQ28" s="70">
        <f t="shared" si="48"/>
        <v>9.0909090909090912E-2</v>
      </c>
      <c r="CR28" s="69">
        <f t="shared" si="5"/>
        <v>9.0909090909090912E-2</v>
      </c>
    </row>
    <row r="29" spans="1:96" hidden="1" x14ac:dyDescent="0.25">
      <c r="A29" s="17">
        <v>5</v>
      </c>
      <c r="B29" s="6" t="s">
        <v>50</v>
      </c>
      <c r="C29" s="17" t="s">
        <v>139</v>
      </c>
      <c r="D29" s="17" t="s">
        <v>2270</v>
      </c>
      <c r="E29" s="17" t="s">
        <v>32</v>
      </c>
      <c r="F29" s="7">
        <f t="shared" si="6"/>
        <v>1</v>
      </c>
      <c r="G29" s="17">
        <v>1</v>
      </c>
      <c r="H29" s="17">
        <f t="shared" si="67"/>
        <v>1</v>
      </c>
      <c r="I29" s="17">
        <v>21</v>
      </c>
      <c r="J29" s="6" t="s">
        <v>109</v>
      </c>
      <c r="K29" s="6" t="s">
        <v>34</v>
      </c>
      <c r="L29" s="17">
        <v>0</v>
      </c>
      <c r="M29" s="6" t="s">
        <v>35</v>
      </c>
      <c r="N29" s="17" t="s">
        <v>140</v>
      </c>
      <c r="O29" s="28" t="s">
        <v>41</v>
      </c>
      <c r="P29" s="28" t="s">
        <v>41</v>
      </c>
      <c r="Q29" s="28"/>
      <c r="R29" s="30"/>
      <c r="S29" s="30"/>
      <c r="T29" s="30"/>
      <c r="U29" s="30"/>
      <c r="V29" s="8">
        <f t="shared" si="7"/>
        <v>0</v>
      </c>
      <c r="W29" s="8">
        <f t="shared" si="8"/>
        <v>0</v>
      </c>
      <c r="X29" s="8">
        <f t="shared" si="9"/>
        <v>0</v>
      </c>
      <c r="Y29" s="33">
        <f t="shared" si="10"/>
        <v>0</v>
      </c>
      <c r="Z29" s="28"/>
      <c r="AA29" s="28"/>
      <c r="AB29" s="28">
        <v>0</v>
      </c>
      <c r="AC29" s="31"/>
      <c r="AD29" s="50">
        <f t="shared" si="11"/>
        <v>1</v>
      </c>
      <c r="AE29" s="31"/>
      <c r="AF29" s="51">
        <v>14</v>
      </c>
      <c r="AG29" s="51">
        <f t="shared" si="52"/>
        <v>8.4</v>
      </c>
      <c r="AH29" s="51">
        <f t="shared" si="1"/>
        <v>42</v>
      </c>
      <c r="AI29" s="52" t="s">
        <v>2497</v>
      </c>
      <c r="AJ29" s="52" t="s">
        <v>2498</v>
      </c>
      <c r="AK29" s="53">
        <f t="shared" si="53"/>
        <v>0</v>
      </c>
      <c r="AL29" s="54">
        <f t="shared" si="54"/>
        <v>0.11904761904761904</v>
      </c>
      <c r="AM29" s="54">
        <f t="shared" si="55"/>
        <v>2.3809523809523808E-2</v>
      </c>
      <c r="AN29" s="55">
        <f t="shared" si="56"/>
        <v>0</v>
      </c>
      <c r="AO29" s="55">
        <f t="shared" si="57"/>
        <v>0</v>
      </c>
      <c r="AP29" s="53">
        <v>7.1</v>
      </c>
      <c r="AQ29" s="53">
        <f t="shared" si="18"/>
        <v>4.26</v>
      </c>
      <c r="AR29" s="53">
        <f t="shared" si="19"/>
        <v>21.299999999999997</v>
      </c>
      <c r="AS29" s="56">
        <f t="shared" si="20"/>
        <v>4.6948356807511742E-2</v>
      </c>
      <c r="AT29" s="56">
        <f t="shared" si="58"/>
        <v>0.23474178403755869</v>
      </c>
      <c r="AU29" s="56">
        <f t="shared" si="22"/>
        <v>0.176056338028169</v>
      </c>
      <c r="AV29" s="56">
        <f t="shared" si="59"/>
        <v>5.8685446009389672E-2</v>
      </c>
      <c r="AW29" s="57" t="s">
        <v>2511</v>
      </c>
      <c r="AX29" s="57" t="s">
        <v>2512</v>
      </c>
      <c r="AY29" s="57" t="s">
        <v>2513</v>
      </c>
      <c r="AZ29" s="58">
        <f t="shared" si="60"/>
        <v>0</v>
      </c>
      <c r="BA29" s="59">
        <f t="shared" si="64"/>
        <v>0</v>
      </c>
      <c r="BB29" s="59">
        <f t="shared" si="65"/>
        <v>0</v>
      </c>
      <c r="BC29" s="59">
        <f t="shared" si="66"/>
        <v>0</v>
      </c>
      <c r="BD29" s="60">
        <f t="shared" si="61"/>
        <v>0</v>
      </c>
      <c r="BE29" s="59">
        <f t="shared" si="62"/>
        <v>0</v>
      </c>
      <c r="BQ29" s="61">
        <v>3000</v>
      </c>
      <c r="BR29" s="61">
        <v>1200</v>
      </c>
      <c r="BS29" s="28">
        <f t="shared" si="27"/>
        <v>2980</v>
      </c>
      <c r="BT29" s="28">
        <f t="shared" si="28"/>
        <v>1180</v>
      </c>
      <c r="BU29" s="28" t="s">
        <v>2541</v>
      </c>
      <c r="BV29" s="28">
        <f t="shared" si="29"/>
        <v>5</v>
      </c>
      <c r="BW29" s="28">
        <f t="shared" si="30"/>
        <v>5</v>
      </c>
      <c r="BX29" s="13">
        <f t="shared" si="31"/>
        <v>596</v>
      </c>
      <c r="BY29" s="13">
        <f t="shared" si="32"/>
        <v>596</v>
      </c>
      <c r="BZ29" s="13">
        <f t="shared" si="33"/>
        <v>236</v>
      </c>
      <c r="CA29" s="13">
        <f t="shared" si="34"/>
        <v>236</v>
      </c>
      <c r="CB29" s="13">
        <f t="shared" si="35"/>
        <v>140656</v>
      </c>
      <c r="CC29" s="62" t="str">
        <f t="shared" si="36"/>
        <v/>
      </c>
      <c r="CD29" s="13">
        <f t="shared" si="37"/>
        <v>596</v>
      </c>
      <c r="CE29" s="13">
        <f t="shared" si="38"/>
        <v>596</v>
      </c>
      <c r="CF29" s="13">
        <f t="shared" si="39"/>
        <v>236</v>
      </c>
      <c r="CG29" s="13">
        <f t="shared" si="40"/>
        <v>236</v>
      </c>
      <c r="CH29" s="28">
        <f t="shared" si="41"/>
        <v>140656</v>
      </c>
      <c r="CI29" s="62" t="str">
        <f t="shared" si="42"/>
        <v/>
      </c>
      <c r="CJ29" s="59">
        <f t="shared" si="43"/>
        <v>0</v>
      </c>
      <c r="CL29" s="63">
        <v>6000</v>
      </c>
      <c r="CM29" s="63">
        <f t="shared" si="44"/>
        <v>0</v>
      </c>
      <c r="CN29" s="63">
        <f t="shared" si="45"/>
        <v>5</v>
      </c>
      <c r="CO29" s="63">
        <f t="shared" si="46"/>
        <v>1200</v>
      </c>
      <c r="CP29" s="13">
        <f t="shared" si="47"/>
        <v>1200</v>
      </c>
      <c r="CQ29" s="70">
        <f t="shared" si="48"/>
        <v>8.3333333333333339E-4</v>
      </c>
      <c r="CR29" s="69">
        <f t="shared" si="5"/>
        <v>8.3333333333333339E-4</v>
      </c>
    </row>
    <row r="30" spans="1:96" hidden="1" x14ac:dyDescent="0.25">
      <c r="A30" s="42">
        <v>6</v>
      </c>
      <c r="B30" s="43" t="s">
        <v>141</v>
      </c>
      <c r="C30" s="42" t="s">
        <v>142</v>
      </c>
      <c r="D30" s="42" t="s">
        <v>2270</v>
      </c>
      <c r="E30" s="42" t="s">
        <v>52</v>
      </c>
      <c r="F30" s="44">
        <f t="shared" si="6"/>
        <v>1</v>
      </c>
      <c r="G30" s="42">
        <v>1</v>
      </c>
      <c r="H30" s="42">
        <f>G30*$H$29</f>
        <v>1</v>
      </c>
      <c r="I30" s="42">
        <v>1</v>
      </c>
      <c r="J30" s="43" t="s">
        <v>114</v>
      </c>
      <c r="K30" s="43" t="s">
        <v>34</v>
      </c>
      <c r="L30" s="42">
        <v>0</v>
      </c>
      <c r="M30" s="43" t="s">
        <v>35</v>
      </c>
      <c r="N30" s="42" t="s">
        <v>143</v>
      </c>
      <c r="O30" s="28" t="s">
        <v>41</v>
      </c>
      <c r="P30" s="28" t="s">
        <v>41</v>
      </c>
      <c r="Q30" s="28" t="s">
        <v>116</v>
      </c>
      <c r="R30" s="30">
        <v>10.933</v>
      </c>
      <c r="S30" s="30">
        <v>5.9329999999999998</v>
      </c>
      <c r="T30" s="30"/>
      <c r="U30" s="30">
        <v>0.11799999999999999</v>
      </c>
      <c r="V30" s="8">
        <f t="shared" si="7"/>
        <v>277.69819999999999</v>
      </c>
      <c r="W30" s="8">
        <f t="shared" si="8"/>
        <v>150.69819999999999</v>
      </c>
      <c r="X30" s="8">
        <f t="shared" si="9"/>
        <v>0</v>
      </c>
      <c r="Y30" s="33">
        <f t="shared" si="10"/>
        <v>2.9971999999999999</v>
      </c>
      <c r="Z30" s="28" t="s">
        <v>56</v>
      </c>
      <c r="AA30" s="28" t="s">
        <v>57</v>
      </c>
      <c r="AB30" s="28" t="s">
        <v>116</v>
      </c>
      <c r="AC30" s="31" t="s">
        <v>117</v>
      </c>
      <c r="AD30" s="50">
        <f t="shared" si="11"/>
        <v>1</v>
      </c>
      <c r="AE30" s="31"/>
      <c r="AF30" s="51">
        <v>14</v>
      </c>
      <c r="AG30" s="51">
        <f t="shared" si="52"/>
        <v>8.4</v>
      </c>
      <c r="AH30" s="51">
        <f t="shared" si="1"/>
        <v>42</v>
      </c>
      <c r="AI30" s="52" t="s">
        <v>2497</v>
      </c>
      <c r="AJ30" s="52" t="s">
        <v>2498</v>
      </c>
      <c r="AK30" s="53">
        <f t="shared" si="53"/>
        <v>8.3697237766479984E-2</v>
      </c>
      <c r="AL30" s="54">
        <f t="shared" si="54"/>
        <v>0.11904761904761904</v>
      </c>
      <c r="AM30" s="54">
        <f t="shared" si="55"/>
        <v>2.3809523809523808E-2</v>
      </c>
      <c r="AN30" s="55">
        <f t="shared" si="56"/>
        <v>9.9639568769619019E-3</v>
      </c>
      <c r="AO30" s="55">
        <f t="shared" si="57"/>
        <v>1.9927913753923806E-3</v>
      </c>
      <c r="AP30" s="53">
        <v>7.1</v>
      </c>
      <c r="AQ30" s="53">
        <f t="shared" si="18"/>
        <v>4.26</v>
      </c>
      <c r="AR30" s="53">
        <f t="shared" si="19"/>
        <v>21.299999999999997</v>
      </c>
      <c r="AS30" s="56">
        <f t="shared" si="20"/>
        <v>4.6948356807511742E-2</v>
      </c>
      <c r="AT30" s="56">
        <f t="shared" si="58"/>
        <v>0.23474178403755869</v>
      </c>
      <c r="AU30" s="56">
        <f t="shared" si="22"/>
        <v>0.176056338028169</v>
      </c>
      <c r="AV30" s="56">
        <f t="shared" si="59"/>
        <v>5.8685446009389672E-2</v>
      </c>
      <c r="AW30" s="57" t="s">
        <v>2511</v>
      </c>
      <c r="AX30" s="57" t="s">
        <v>2512</v>
      </c>
      <c r="AY30" s="57" t="s">
        <v>2513</v>
      </c>
      <c r="AZ30" s="58">
        <f t="shared" si="60"/>
        <v>8.3697237766479984E-2</v>
      </c>
      <c r="BA30" s="59">
        <f t="shared" si="64"/>
        <v>2.4559048640399057E-3</v>
      </c>
      <c r="BB30" s="59">
        <f t="shared" si="65"/>
        <v>7.3677145921197161E-3</v>
      </c>
      <c r="BC30" s="59">
        <f t="shared" si="66"/>
        <v>1.9647238912319249E-3</v>
      </c>
      <c r="BD30" s="60">
        <f t="shared" si="61"/>
        <v>1.3157894736842105E-2</v>
      </c>
      <c r="BE30" s="59">
        <f t="shared" si="62"/>
        <v>1.3157894736842105E-2</v>
      </c>
      <c r="BQ30" s="61">
        <v>3000</v>
      </c>
      <c r="BR30" s="61">
        <v>1200</v>
      </c>
      <c r="BS30" s="28">
        <f t="shared" si="27"/>
        <v>2980</v>
      </c>
      <c r="BT30" s="28">
        <f t="shared" si="28"/>
        <v>1180</v>
      </c>
      <c r="BU30" s="28" t="s">
        <v>2541</v>
      </c>
      <c r="BV30" s="28">
        <f t="shared" si="29"/>
        <v>282.69819999999999</v>
      </c>
      <c r="BW30" s="28">
        <f t="shared" si="30"/>
        <v>155.69819999999999</v>
      </c>
      <c r="BX30" s="13">
        <f t="shared" si="31"/>
        <v>10.541276881140384</v>
      </c>
      <c r="BY30" s="13">
        <f t="shared" si="32"/>
        <v>10</v>
      </c>
      <c r="BZ30" s="13">
        <f t="shared" si="33"/>
        <v>7.5787645586140373</v>
      </c>
      <c r="CA30" s="13">
        <f t="shared" si="34"/>
        <v>7</v>
      </c>
      <c r="CB30" s="13">
        <f t="shared" si="35"/>
        <v>70</v>
      </c>
      <c r="CC30" s="62">
        <f t="shared" si="36"/>
        <v>1.4285714285714285E-2</v>
      </c>
      <c r="CD30" s="13">
        <f t="shared" si="37"/>
        <v>19.139591851415112</v>
      </c>
      <c r="CE30" s="13">
        <f t="shared" si="38"/>
        <v>19</v>
      </c>
      <c r="CF30" s="13">
        <f t="shared" si="39"/>
        <v>4.1740626576327688</v>
      </c>
      <c r="CG30" s="13">
        <f t="shared" si="40"/>
        <v>4</v>
      </c>
      <c r="CH30" s="28">
        <f t="shared" si="41"/>
        <v>76</v>
      </c>
      <c r="CI30" s="62">
        <f t="shared" si="42"/>
        <v>1.3157894736842105E-2</v>
      </c>
      <c r="CJ30" s="59">
        <f t="shared" si="43"/>
        <v>1.3157894736842105E-2</v>
      </c>
      <c r="CL30" s="63">
        <v>6000</v>
      </c>
      <c r="CM30" s="63">
        <f t="shared" si="44"/>
        <v>277.69819999999999</v>
      </c>
      <c r="CN30" s="63">
        <f t="shared" si="45"/>
        <v>282.69819999999999</v>
      </c>
      <c r="CO30" s="63">
        <f t="shared" si="46"/>
        <v>21.224047411692045</v>
      </c>
      <c r="CP30" s="13">
        <f t="shared" si="47"/>
        <v>21</v>
      </c>
      <c r="CQ30" s="70">
        <f t="shared" si="48"/>
        <v>4.7619047619047616E-2</v>
      </c>
      <c r="CR30" s="69">
        <f t="shared" si="5"/>
        <v>4.7619047619047616E-2</v>
      </c>
    </row>
    <row r="31" spans="1:96" hidden="1" x14ac:dyDescent="0.25">
      <c r="A31" s="42">
        <v>6</v>
      </c>
      <c r="B31" s="43" t="s">
        <v>141</v>
      </c>
      <c r="C31" s="42" t="s">
        <v>144</v>
      </c>
      <c r="D31" s="42" t="s">
        <v>2270</v>
      </c>
      <c r="E31" s="42" t="s">
        <v>52</v>
      </c>
      <c r="F31" s="44">
        <f t="shared" si="6"/>
        <v>2</v>
      </c>
      <c r="G31" s="42">
        <v>2</v>
      </c>
      <c r="H31" s="42">
        <f>G31*$H$29</f>
        <v>2</v>
      </c>
      <c r="I31" s="42">
        <v>2</v>
      </c>
      <c r="J31" s="43" t="s">
        <v>145</v>
      </c>
      <c r="K31" s="43" t="s">
        <v>34</v>
      </c>
      <c r="L31" s="42">
        <v>0</v>
      </c>
      <c r="M31" s="43" t="s">
        <v>35</v>
      </c>
      <c r="N31" s="42" t="s">
        <v>146</v>
      </c>
      <c r="O31" s="28" t="s">
        <v>41</v>
      </c>
      <c r="P31" s="28" t="s">
        <v>41</v>
      </c>
      <c r="Q31" s="28" t="s">
        <v>146</v>
      </c>
      <c r="R31" s="30"/>
      <c r="S31" s="30"/>
      <c r="T31" s="30"/>
      <c r="U31" s="30"/>
      <c r="V31" s="8">
        <f t="shared" si="7"/>
        <v>0</v>
      </c>
      <c r="W31" s="8">
        <f t="shared" si="8"/>
        <v>0</v>
      </c>
      <c r="X31" s="8">
        <f t="shared" si="9"/>
        <v>0</v>
      </c>
      <c r="Y31" s="33">
        <f t="shared" si="10"/>
        <v>0</v>
      </c>
      <c r="Z31" s="28"/>
      <c r="AA31" s="28"/>
      <c r="AB31" s="61" t="s">
        <v>146</v>
      </c>
      <c r="AC31" s="31" t="s">
        <v>147</v>
      </c>
      <c r="AD31" s="50">
        <f t="shared" si="11"/>
        <v>2</v>
      </c>
      <c r="AE31" s="31"/>
      <c r="AF31" s="51">
        <v>14</v>
      </c>
      <c r="AG31" s="51">
        <f t="shared" si="52"/>
        <v>8.4</v>
      </c>
      <c r="AH31" s="51">
        <f t="shared" si="1"/>
        <v>42</v>
      </c>
      <c r="AI31" s="52" t="s">
        <v>2497</v>
      </c>
      <c r="AJ31" s="52" t="s">
        <v>2498</v>
      </c>
      <c r="AK31" s="53">
        <f t="shared" si="53"/>
        <v>0</v>
      </c>
      <c r="AL31" s="54">
        <f t="shared" si="54"/>
        <v>0.11904761904761904</v>
      </c>
      <c r="AM31" s="54">
        <f t="shared" si="55"/>
        <v>2.3809523809523808E-2</v>
      </c>
      <c r="AN31" s="55">
        <f t="shared" si="56"/>
        <v>0</v>
      </c>
      <c r="AO31" s="55">
        <f t="shared" si="57"/>
        <v>0</v>
      </c>
      <c r="AP31" s="53">
        <v>7.1</v>
      </c>
      <c r="AQ31" s="53">
        <f t="shared" si="18"/>
        <v>4.26</v>
      </c>
      <c r="AR31" s="53">
        <f t="shared" si="19"/>
        <v>21.299999999999997</v>
      </c>
      <c r="AS31" s="56">
        <f t="shared" si="20"/>
        <v>4.6948356807511742E-2</v>
      </c>
      <c r="AT31" s="56">
        <f t="shared" si="58"/>
        <v>0.23474178403755869</v>
      </c>
      <c r="AU31" s="56">
        <f t="shared" si="22"/>
        <v>0.176056338028169</v>
      </c>
      <c r="AV31" s="56">
        <f t="shared" si="59"/>
        <v>5.8685446009389672E-2</v>
      </c>
      <c r="AW31" s="57" t="s">
        <v>2511</v>
      </c>
      <c r="AX31" s="57" t="s">
        <v>2512</v>
      </c>
      <c r="AY31" s="57" t="s">
        <v>2513</v>
      </c>
      <c r="AZ31" s="58">
        <f t="shared" si="60"/>
        <v>0</v>
      </c>
      <c r="BA31" s="59">
        <f t="shared" si="64"/>
        <v>0</v>
      </c>
      <c r="BB31" s="59">
        <f t="shared" si="65"/>
        <v>0</v>
      </c>
      <c r="BC31" s="59">
        <f t="shared" si="66"/>
        <v>0</v>
      </c>
      <c r="BD31" s="60">
        <f t="shared" si="61"/>
        <v>7.1095438516664771E-6</v>
      </c>
      <c r="BE31" s="59">
        <f t="shared" si="62"/>
        <v>1.4219087703332954E-5</v>
      </c>
      <c r="BQ31" s="61">
        <v>3000</v>
      </c>
      <c r="BR31" s="61">
        <v>1200</v>
      </c>
      <c r="BS31" s="28">
        <f t="shared" si="27"/>
        <v>2980</v>
      </c>
      <c r="BT31" s="28">
        <f t="shared" si="28"/>
        <v>1180</v>
      </c>
      <c r="BU31" s="28" t="s">
        <v>2541</v>
      </c>
      <c r="BV31" s="28">
        <f t="shared" si="29"/>
        <v>5</v>
      </c>
      <c r="BW31" s="28">
        <f t="shared" si="30"/>
        <v>5</v>
      </c>
      <c r="BX31" s="13">
        <f t="shared" si="31"/>
        <v>596</v>
      </c>
      <c r="BY31" s="13">
        <f t="shared" si="32"/>
        <v>596</v>
      </c>
      <c r="BZ31" s="13">
        <f t="shared" si="33"/>
        <v>236</v>
      </c>
      <c r="CA31" s="13">
        <f t="shared" si="34"/>
        <v>236</v>
      </c>
      <c r="CB31" s="13">
        <f t="shared" si="35"/>
        <v>140656</v>
      </c>
      <c r="CC31" s="62">
        <f t="shared" si="36"/>
        <v>7.1095438516664771E-6</v>
      </c>
      <c r="CD31" s="13">
        <f t="shared" si="37"/>
        <v>596</v>
      </c>
      <c r="CE31" s="13">
        <f t="shared" si="38"/>
        <v>596</v>
      </c>
      <c r="CF31" s="13">
        <f t="shared" si="39"/>
        <v>236</v>
      </c>
      <c r="CG31" s="13">
        <f t="shared" si="40"/>
        <v>236</v>
      </c>
      <c r="CH31" s="28">
        <f t="shared" si="41"/>
        <v>140656</v>
      </c>
      <c r="CI31" s="62">
        <f t="shared" si="42"/>
        <v>7.1095438516664771E-6</v>
      </c>
      <c r="CJ31" s="59">
        <f t="shared" si="43"/>
        <v>7.1095438516664771E-6</v>
      </c>
      <c r="CL31" s="63">
        <v>6000</v>
      </c>
      <c r="CM31" s="63">
        <f t="shared" si="44"/>
        <v>0</v>
      </c>
      <c r="CN31" s="63">
        <f t="shared" si="45"/>
        <v>5</v>
      </c>
      <c r="CO31" s="63">
        <f t="shared" si="46"/>
        <v>1200</v>
      </c>
      <c r="CP31" s="13">
        <f t="shared" si="47"/>
        <v>1200</v>
      </c>
      <c r="CQ31" s="70">
        <f t="shared" si="48"/>
        <v>8.3333333333333339E-4</v>
      </c>
      <c r="CR31" s="69">
        <f t="shared" si="5"/>
        <v>1.6666666666666668E-3</v>
      </c>
    </row>
    <row r="32" spans="1:96" hidden="1" x14ac:dyDescent="0.25">
      <c r="A32" s="17">
        <v>5</v>
      </c>
      <c r="B32" s="6" t="s">
        <v>50</v>
      </c>
      <c r="C32" s="17" t="s">
        <v>148</v>
      </c>
      <c r="D32" s="17" t="s">
        <v>2270</v>
      </c>
      <c r="E32" s="17" t="s">
        <v>52</v>
      </c>
      <c r="F32" s="7">
        <f t="shared" si="6"/>
        <v>1</v>
      </c>
      <c r="G32" s="17">
        <v>1</v>
      </c>
      <c r="H32" s="17">
        <f t="shared" ref="H32:H36" si="68">G32*$H$6</f>
        <v>1</v>
      </c>
      <c r="I32" s="17">
        <v>22</v>
      </c>
      <c r="J32" s="6" t="s">
        <v>149</v>
      </c>
      <c r="K32" s="6" t="s">
        <v>34</v>
      </c>
      <c r="L32" s="17">
        <v>0</v>
      </c>
      <c r="M32" s="6" t="s">
        <v>35</v>
      </c>
      <c r="N32" s="17" t="s">
        <v>150</v>
      </c>
      <c r="O32" s="28" t="s">
        <v>41</v>
      </c>
      <c r="P32" s="28" t="s">
        <v>41</v>
      </c>
      <c r="Q32" s="28" t="s">
        <v>116</v>
      </c>
      <c r="R32" s="30">
        <v>42.875999999999998</v>
      </c>
      <c r="S32" s="30">
        <v>6.0609999999999999</v>
      </c>
      <c r="T32" s="30"/>
      <c r="U32" s="30">
        <v>0.11799999999999999</v>
      </c>
      <c r="V32" s="8">
        <f t="shared" si="7"/>
        <v>1089.0503999999999</v>
      </c>
      <c r="W32" s="8">
        <f t="shared" si="8"/>
        <v>153.9494</v>
      </c>
      <c r="X32" s="8">
        <f t="shared" si="9"/>
        <v>0</v>
      </c>
      <c r="Y32" s="33">
        <f t="shared" si="10"/>
        <v>2.9971999999999999</v>
      </c>
      <c r="Z32" s="28" t="s">
        <v>56</v>
      </c>
      <c r="AA32" s="28" t="s">
        <v>57</v>
      </c>
      <c r="AB32" s="28" t="s">
        <v>116</v>
      </c>
      <c r="AC32" s="31" t="s">
        <v>117</v>
      </c>
      <c r="AD32" s="50">
        <f t="shared" si="11"/>
        <v>1</v>
      </c>
      <c r="AE32" s="31"/>
      <c r="AF32" s="51">
        <v>14</v>
      </c>
      <c r="AG32" s="51">
        <f t="shared" si="52"/>
        <v>8.4</v>
      </c>
      <c r="AH32" s="51">
        <f t="shared" si="1"/>
        <v>42</v>
      </c>
      <c r="AI32" s="52" t="s">
        <v>2497</v>
      </c>
      <c r="AJ32" s="52" t="s">
        <v>2498</v>
      </c>
      <c r="AK32" s="53">
        <f t="shared" si="53"/>
        <v>0.33531731129951997</v>
      </c>
      <c r="AL32" s="54">
        <f t="shared" si="54"/>
        <v>0.11904761904761904</v>
      </c>
      <c r="AM32" s="54">
        <f t="shared" si="55"/>
        <v>2.3809523809523808E-2</v>
      </c>
      <c r="AN32" s="55">
        <f t="shared" si="56"/>
        <v>3.9918727535657138E-2</v>
      </c>
      <c r="AO32" s="55">
        <f t="shared" si="57"/>
        <v>7.9837455071314276E-3</v>
      </c>
      <c r="AP32" s="53">
        <v>7.1</v>
      </c>
      <c r="AQ32" s="53">
        <f t="shared" si="18"/>
        <v>4.26</v>
      </c>
      <c r="AR32" s="53">
        <f t="shared" si="19"/>
        <v>21.299999999999997</v>
      </c>
      <c r="AS32" s="56">
        <f t="shared" si="20"/>
        <v>4.6948356807511742E-2</v>
      </c>
      <c r="AT32" s="56">
        <f t="shared" si="58"/>
        <v>0.23474178403755869</v>
      </c>
      <c r="AU32" s="56">
        <f t="shared" si="22"/>
        <v>0.176056338028169</v>
      </c>
      <c r="AV32" s="56">
        <f t="shared" si="59"/>
        <v>5.8685446009389672E-2</v>
      </c>
      <c r="AW32" s="57" t="s">
        <v>2511</v>
      </c>
      <c r="AX32" s="57" t="s">
        <v>2512</v>
      </c>
      <c r="AY32" s="57" t="s">
        <v>2513</v>
      </c>
      <c r="AZ32" s="58">
        <f t="shared" si="60"/>
        <v>0.33531731129951997</v>
      </c>
      <c r="BA32" s="59">
        <f t="shared" si="64"/>
        <v>9.839122984140844E-3</v>
      </c>
      <c r="BB32" s="59">
        <f t="shared" si="65"/>
        <v>2.9517368952422532E-2</v>
      </c>
      <c r="BC32" s="59">
        <f t="shared" si="66"/>
        <v>7.8712983873126755E-3</v>
      </c>
      <c r="BD32" s="60">
        <f t="shared" si="61"/>
        <v>5.5555555555555552E-2</v>
      </c>
      <c r="BE32" s="59">
        <f t="shared" si="62"/>
        <v>5.5555555555555552E-2</v>
      </c>
      <c r="BQ32" s="61">
        <v>3000</v>
      </c>
      <c r="BR32" s="61">
        <v>1200</v>
      </c>
      <c r="BS32" s="28">
        <f t="shared" si="27"/>
        <v>2980</v>
      </c>
      <c r="BT32" s="28">
        <f t="shared" si="28"/>
        <v>1180</v>
      </c>
      <c r="BU32" s="28" t="s">
        <v>2541</v>
      </c>
      <c r="BV32" s="28">
        <f t="shared" si="29"/>
        <v>1094.0503999999999</v>
      </c>
      <c r="BW32" s="28">
        <f t="shared" si="30"/>
        <v>158.9494</v>
      </c>
      <c r="BX32" s="13">
        <f t="shared" si="31"/>
        <v>2.7238233266036009</v>
      </c>
      <c r="BY32" s="13">
        <f t="shared" si="32"/>
        <v>2</v>
      </c>
      <c r="BZ32" s="13">
        <f t="shared" si="33"/>
        <v>7.4237461733105006</v>
      </c>
      <c r="CA32" s="13">
        <f t="shared" si="34"/>
        <v>7</v>
      </c>
      <c r="CB32" s="13">
        <f t="shared" si="35"/>
        <v>14</v>
      </c>
      <c r="CC32" s="62">
        <f t="shared" si="36"/>
        <v>7.1428571428571425E-2</v>
      </c>
      <c r="CD32" s="13">
        <f t="shared" si="37"/>
        <v>18.748104742767197</v>
      </c>
      <c r="CE32" s="13">
        <f t="shared" si="38"/>
        <v>18</v>
      </c>
      <c r="CF32" s="13">
        <f t="shared" si="39"/>
        <v>1.0785609145611574</v>
      </c>
      <c r="CG32" s="13">
        <f t="shared" si="40"/>
        <v>1</v>
      </c>
      <c r="CH32" s="28">
        <f t="shared" si="41"/>
        <v>18</v>
      </c>
      <c r="CI32" s="62">
        <f t="shared" si="42"/>
        <v>5.5555555555555552E-2</v>
      </c>
      <c r="CJ32" s="59">
        <f t="shared" si="43"/>
        <v>5.5555555555555552E-2</v>
      </c>
      <c r="CL32" s="63">
        <v>6000</v>
      </c>
      <c r="CM32" s="63">
        <f t="shared" si="44"/>
        <v>1089.0503999999999</v>
      </c>
      <c r="CN32" s="63">
        <f t="shared" si="45"/>
        <v>1094.0503999999999</v>
      </c>
      <c r="CO32" s="63">
        <f t="shared" si="46"/>
        <v>5.4842080401414783</v>
      </c>
      <c r="CP32" s="13">
        <f t="shared" si="47"/>
        <v>5</v>
      </c>
      <c r="CQ32" s="70">
        <f t="shared" si="48"/>
        <v>0.2</v>
      </c>
      <c r="CR32" s="69">
        <f t="shared" si="5"/>
        <v>0.2</v>
      </c>
    </row>
    <row r="33" spans="1:96" hidden="1" x14ac:dyDescent="0.25">
      <c r="A33" s="17">
        <v>5</v>
      </c>
      <c r="B33" s="6" t="s">
        <v>50</v>
      </c>
      <c r="C33" s="17" t="s">
        <v>151</v>
      </c>
      <c r="D33" s="17" t="s">
        <v>2270</v>
      </c>
      <c r="E33" s="17" t="s">
        <v>52</v>
      </c>
      <c r="F33" s="7">
        <f t="shared" si="6"/>
        <v>1</v>
      </c>
      <c r="G33" s="17">
        <v>4</v>
      </c>
      <c r="H33" s="17">
        <f t="shared" si="68"/>
        <v>4</v>
      </c>
      <c r="I33" s="17">
        <v>23</v>
      </c>
      <c r="J33" s="6" t="s">
        <v>152</v>
      </c>
      <c r="K33" s="6" t="s">
        <v>34</v>
      </c>
      <c r="L33" s="17">
        <v>0</v>
      </c>
      <c r="M33" s="6" t="s">
        <v>35</v>
      </c>
      <c r="N33" s="17" t="s">
        <v>153</v>
      </c>
      <c r="O33" s="28" t="s">
        <v>41</v>
      </c>
      <c r="P33" s="28" t="s">
        <v>41</v>
      </c>
      <c r="Q33" s="28" t="s">
        <v>116</v>
      </c>
      <c r="R33" s="30">
        <v>2</v>
      </c>
      <c r="S33" s="30">
        <v>0.97</v>
      </c>
      <c r="T33" s="30"/>
      <c r="U33" s="30">
        <v>0.12</v>
      </c>
      <c r="V33" s="8">
        <f t="shared" si="7"/>
        <v>50.8</v>
      </c>
      <c r="W33" s="8">
        <f t="shared" si="8"/>
        <v>24.637999999999998</v>
      </c>
      <c r="X33" s="8">
        <f t="shared" si="9"/>
        <v>0</v>
      </c>
      <c r="Y33" s="33">
        <f t="shared" si="10"/>
        <v>3.0479999999999996</v>
      </c>
      <c r="Z33" s="28" t="s">
        <v>56</v>
      </c>
      <c r="AA33" s="28" t="s">
        <v>57</v>
      </c>
      <c r="AB33" s="28" t="s">
        <v>116</v>
      </c>
      <c r="AC33" s="31" t="s">
        <v>117</v>
      </c>
      <c r="AD33" s="50">
        <f t="shared" si="11"/>
        <v>4</v>
      </c>
      <c r="AE33" s="31"/>
      <c r="AF33" s="51">
        <v>14</v>
      </c>
      <c r="AG33" s="51">
        <f t="shared" si="52"/>
        <v>8.4</v>
      </c>
      <c r="AH33" s="51">
        <f t="shared" si="1"/>
        <v>42</v>
      </c>
      <c r="AI33" s="52" t="s">
        <v>2497</v>
      </c>
      <c r="AJ33" s="52" t="s">
        <v>2498</v>
      </c>
      <c r="AK33" s="53">
        <f t="shared" si="53"/>
        <v>2.5032207999999994E-3</v>
      </c>
      <c r="AL33" s="54">
        <f t="shared" si="54"/>
        <v>0.11904761904761904</v>
      </c>
      <c r="AM33" s="54">
        <f t="shared" si="55"/>
        <v>2.3809523809523808E-2</v>
      </c>
      <c r="AN33" s="55">
        <f t="shared" si="56"/>
        <v>1.1920099047619045E-3</v>
      </c>
      <c r="AO33" s="55">
        <f t="shared" si="57"/>
        <v>2.3840198095238089E-4</v>
      </c>
      <c r="AP33" s="53">
        <v>7.1</v>
      </c>
      <c r="AQ33" s="53">
        <f t="shared" si="18"/>
        <v>4.26</v>
      </c>
      <c r="AR33" s="53">
        <f t="shared" si="19"/>
        <v>21.299999999999997</v>
      </c>
      <c r="AS33" s="56">
        <f t="shared" si="20"/>
        <v>4.6948356807511742E-2</v>
      </c>
      <c r="AT33" s="56">
        <f t="shared" si="58"/>
        <v>0.23474178403755869</v>
      </c>
      <c r="AU33" s="56">
        <f t="shared" si="22"/>
        <v>0.176056338028169</v>
      </c>
      <c r="AV33" s="56">
        <f t="shared" si="59"/>
        <v>5.8685446009389672E-2</v>
      </c>
      <c r="AW33" s="57" t="s">
        <v>2511</v>
      </c>
      <c r="AX33" s="57" t="s">
        <v>2512</v>
      </c>
      <c r="AY33" s="57" t="s">
        <v>2513</v>
      </c>
      <c r="AZ33" s="58">
        <f t="shared" si="60"/>
        <v>2.5032207999999994E-3</v>
      </c>
      <c r="BA33" s="59">
        <f t="shared" si="64"/>
        <v>2.9380525821596235E-4</v>
      </c>
      <c r="BB33" s="59">
        <f t="shared" si="65"/>
        <v>8.8141577464788705E-4</v>
      </c>
      <c r="BC33" s="59">
        <f t="shared" si="66"/>
        <v>2.3504420657276991E-4</v>
      </c>
      <c r="BD33" s="60">
        <f t="shared" si="61"/>
        <v>4.7619047619047619E-4</v>
      </c>
      <c r="BE33" s="59">
        <f t="shared" si="62"/>
        <v>1.9047619047619048E-3</v>
      </c>
      <c r="BQ33" s="61">
        <v>3000</v>
      </c>
      <c r="BR33" s="61">
        <v>1200</v>
      </c>
      <c r="BS33" s="28">
        <f t="shared" si="27"/>
        <v>2980</v>
      </c>
      <c r="BT33" s="28">
        <f t="shared" si="28"/>
        <v>1180</v>
      </c>
      <c r="BU33" s="28" t="s">
        <v>2541</v>
      </c>
      <c r="BV33" s="28">
        <f t="shared" si="29"/>
        <v>55.8</v>
      </c>
      <c r="BW33" s="28">
        <f t="shared" si="30"/>
        <v>29.637999999999998</v>
      </c>
      <c r="BX33" s="13">
        <f t="shared" si="31"/>
        <v>53.405017921146957</v>
      </c>
      <c r="BY33" s="13">
        <f t="shared" si="32"/>
        <v>53</v>
      </c>
      <c r="BZ33" s="13">
        <f t="shared" si="33"/>
        <v>39.813752614886297</v>
      </c>
      <c r="CA33" s="13">
        <f t="shared" si="34"/>
        <v>39</v>
      </c>
      <c r="CB33" s="13">
        <f t="shared" si="35"/>
        <v>2067</v>
      </c>
      <c r="CC33" s="62">
        <f t="shared" si="36"/>
        <v>4.8379293662312528E-4</v>
      </c>
      <c r="CD33" s="13">
        <f t="shared" si="37"/>
        <v>100.54659558674675</v>
      </c>
      <c r="CE33" s="13">
        <f t="shared" si="38"/>
        <v>100</v>
      </c>
      <c r="CF33" s="13">
        <f t="shared" si="39"/>
        <v>21.146953405017921</v>
      </c>
      <c r="CG33" s="13">
        <f t="shared" si="40"/>
        <v>21</v>
      </c>
      <c r="CH33" s="28">
        <f t="shared" si="41"/>
        <v>2100</v>
      </c>
      <c r="CI33" s="62">
        <f t="shared" si="42"/>
        <v>4.7619047619047619E-4</v>
      </c>
      <c r="CJ33" s="59">
        <f t="shared" si="43"/>
        <v>4.7619047619047619E-4</v>
      </c>
      <c r="CL33" s="63">
        <v>6000</v>
      </c>
      <c r="CM33" s="63">
        <f t="shared" si="44"/>
        <v>50.8</v>
      </c>
      <c r="CN33" s="63">
        <f t="shared" si="45"/>
        <v>55.8</v>
      </c>
      <c r="CO33" s="63">
        <f t="shared" si="46"/>
        <v>107.52688172043011</v>
      </c>
      <c r="CP33" s="13">
        <f t="shared" si="47"/>
        <v>107</v>
      </c>
      <c r="CQ33" s="70">
        <f t="shared" si="48"/>
        <v>9.3457943925233638E-3</v>
      </c>
      <c r="CR33" s="69">
        <f t="shared" si="5"/>
        <v>3.7383177570093455E-2</v>
      </c>
    </row>
    <row r="34" spans="1:96" hidden="1" x14ac:dyDescent="0.25">
      <c r="A34" s="17">
        <v>5</v>
      </c>
      <c r="B34" s="6" t="s">
        <v>50</v>
      </c>
      <c r="C34" s="17" t="s">
        <v>154</v>
      </c>
      <c r="D34" s="17" t="s">
        <v>2270</v>
      </c>
      <c r="E34" s="17" t="s">
        <v>52</v>
      </c>
      <c r="F34" s="7">
        <f t="shared" si="6"/>
        <v>1</v>
      </c>
      <c r="G34" s="17">
        <v>1</v>
      </c>
      <c r="H34" s="17">
        <f t="shared" si="68"/>
        <v>1</v>
      </c>
      <c r="I34" s="17">
        <v>24</v>
      </c>
      <c r="J34" s="6" t="s">
        <v>155</v>
      </c>
      <c r="K34" s="6" t="s">
        <v>34</v>
      </c>
      <c r="L34" s="17">
        <v>0</v>
      </c>
      <c r="M34" s="6" t="s">
        <v>35</v>
      </c>
      <c r="N34" s="17" t="s">
        <v>156</v>
      </c>
      <c r="O34" s="28" t="s">
        <v>41</v>
      </c>
      <c r="P34" s="28" t="s">
        <v>41</v>
      </c>
      <c r="Q34" s="28" t="s">
        <v>116</v>
      </c>
      <c r="R34" s="30">
        <v>11</v>
      </c>
      <c r="S34" s="30">
        <v>2.1480000000000001</v>
      </c>
      <c r="T34" s="30"/>
      <c r="U34" s="30">
        <v>0.12</v>
      </c>
      <c r="V34" s="8">
        <f t="shared" si="7"/>
        <v>279.39999999999998</v>
      </c>
      <c r="W34" s="8">
        <f t="shared" si="8"/>
        <v>54.559199999999997</v>
      </c>
      <c r="X34" s="8">
        <f t="shared" si="9"/>
        <v>0</v>
      </c>
      <c r="Y34" s="33">
        <f t="shared" si="10"/>
        <v>3.0479999999999996</v>
      </c>
      <c r="Z34" s="28" t="s">
        <v>56</v>
      </c>
      <c r="AA34" s="28" t="s">
        <v>57</v>
      </c>
      <c r="AB34" s="28" t="s">
        <v>116</v>
      </c>
      <c r="AC34" s="31" t="s">
        <v>117</v>
      </c>
      <c r="AD34" s="50">
        <f t="shared" si="11"/>
        <v>1</v>
      </c>
      <c r="AE34" s="31"/>
      <c r="AF34" s="51">
        <v>14</v>
      </c>
      <c r="AG34" s="51">
        <f t="shared" si="52"/>
        <v>8.4</v>
      </c>
      <c r="AH34" s="51">
        <f t="shared" si="1"/>
        <v>42</v>
      </c>
      <c r="AI34" s="52" t="s">
        <v>2497</v>
      </c>
      <c r="AJ34" s="52" t="s">
        <v>2498</v>
      </c>
      <c r="AK34" s="53">
        <f t="shared" si="53"/>
        <v>3.0487680959999996E-2</v>
      </c>
      <c r="AL34" s="54">
        <f t="shared" si="54"/>
        <v>0.11904761904761904</v>
      </c>
      <c r="AM34" s="54">
        <f t="shared" si="55"/>
        <v>2.3809523809523808E-2</v>
      </c>
      <c r="AN34" s="55">
        <f t="shared" si="56"/>
        <v>3.6294858285714281E-3</v>
      </c>
      <c r="AO34" s="55">
        <f t="shared" si="57"/>
        <v>7.2589716571428559E-4</v>
      </c>
      <c r="AP34" s="53">
        <v>7.1</v>
      </c>
      <c r="AQ34" s="53">
        <f t="shared" si="18"/>
        <v>4.26</v>
      </c>
      <c r="AR34" s="53">
        <f t="shared" si="19"/>
        <v>21.299999999999997</v>
      </c>
      <c r="AS34" s="56">
        <f t="shared" si="20"/>
        <v>4.6948356807511742E-2</v>
      </c>
      <c r="AT34" s="56">
        <f t="shared" si="58"/>
        <v>0.23474178403755869</v>
      </c>
      <c r="AU34" s="56">
        <f t="shared" si="22"/>
        <v>0.176056338028169</v>
      </c>
      <c r="AV34" s="56">
        <f t="shared" si="59"/>
        <v>5.8685446009389672E-2</v>
      </c>
      <c r="AW34" s="57" t="s">
        <v>2511</v>
      </c>
      <c r="AX34" s="57" t="s">
        <v>2512</v>
      </c>
      <c r="AY34" s="57" t="s">
        <v>2513</v>
      </c>
      <c r="AZ34" s="58">
        <f t="shared" si="60"/>
        <v>3.0487680959999996E-2</v>
      </c>
      <c r="BA34" s="59">
        <f t="shared" si="64"/>
        <v>8.9459157746478858E-4</v>
      </c>
      <c r="BB34" s="59">
        <f t="shared" si="65"/>
        <v>2.6837747323943655E-3</v>
      </c>
      <c r="BC34" s="59">
        <f t="shared" si="66"/>
        <v>7.1567326197183095E-4</v>
      </c>
      <c r="BD34" s="60">
        <f t="shared" si="61"/>
        <v>5.0000000000000001E-3</v>
      </c>
      <c r="BE34" s="59">
        <f t="shared" si="62"/>
        <v>5.0000000000000001E-3</v>
      </c>
      <c r="BQ34" s="61">
        <v>3000</v>
      </c>
      <c r="BR34" s="61">
        <v>1200</v>
      </c>
      <c r="BS34" s="28">
        <f t="shared" si="27"/>
        <v>2980</v>
      </c>
      <c r="BT34" s="28">
        <f t="shared" si="28"/>
        <v>1180</v>
      </c>
      <c r="BU34" s="28" t="s">
        <v>2541</v>
      </c>
      <c r="BV34" s="28">
        <f t="shared" si="29"/>
        <v>284.39999999999998</v>
      </c>
      <c r="BW34" s="28">
        <f t="shared" si="30"/>
        <v>59.559199999999997</v>
      </c>
      <c r="BX34" s="13">
        <f t="shared" si="31"/>
        <v>10.478199718706049</v>
      </c>
      <c r="BY34" s="13">
        <f t="shared" si="32"/>
        <v>10</v>
      </c>
      <c r="BZ34" s="13">
        <f t="shared" si="33"/>
        <v>19.812220446211501</v>
      </c>
      <c r="CA34" s="13">
        <f t="shared" si="34"/>
        <v>19</v>
      </c>
      <c r="CB34" s="13">
        <f t="shared" si="35"/>
        <v>190</v>
      </c>
      <c r="CC34" s="62">
        <f t="shared" si="36"/>
        <v>5.263157894736842E-3</v>
      </c>
      <c r="CD34" s="13">
        <f t="shared" si="37"/>
        <v>50.034251635347687</v>
      </c>
      <c r="CE34" s="13">
        <f t="shared" si="38"/>
        <v>50</v>
      </c>
      <c r="CF34" s="13">
        <f t="shared" si="39"/>
        <v>4.1490857946554156</v>
      </c>
      <c r="CG34" s="13">
        <f t="shared" si="40"/>
        <v>4</v>
      </c>
      <c r="CH34" s="28">
        <f t="shared" si="41"/>
        <v>200</v>
      </c>
      <c r="CI34" s="62">
        <f t="shared" si="42"/>
        <v>5.0000000000000001E-3</v>
      </c>
      <c r="CJ34" s="59">
        <f t="shared" si="43"/>
        <v>5.0000000000000001E-3</v>
      </c>
      <c r="CL34" s="63">
        <v>6000</v>
      </c>
      <c r="CM34" s="63">
        <f t="shared" si="44"/>
        <v>279.39999999999998</v>
      </c>
      <c r="CN34" s="63">
        <f t="shared" si="45"/>
        <v>284.39999999999998</v>
      </c>
      <c r="CO34" s="63">
        <f t="shared" si="46"/>
        <v>21.09704641350211</v>
      </c>
      <c r="CP34" s="13">
        <f t="shared" si="47"/>
        <v>21</v>
      </c>
      <c r="CQ34" s="70">
        <f t="shared" si="48"/>
        <v>4.7619047619047616E-2</v>
      </c>
      <c r="CR34" s="69">
        <f t="shared" si="5"/>
        <v>4.7619047619047616E-2</v>
      </c>
    </row>
    <row r="35" spans="1:96" hidden="1" x14ac:dyDescent="0.25">
      <c r="A35" s="17">
        <v>5</v>
      </c>
      <c r="B35" s="6" t="s">
        <v>50</v>
      </c>
      <c r="C35" s="17" t="s">
        <v>157</v>
      </c>
      <c r="D35" s="17" t="s">
        <v>2270</v>
      </c>
      <c r="E35" s="17" t="s">
        <v>52</v>
      </c>
      <c r="F35" s="7">
        <f t="shared" si="6"/>
        <v>2</v>
      </c>
      <c r="G35" s="17">
        <v>2</v>
      </c>
      <c r="H35" s="17">
        <f t="shared" si="68"/>
        <v>2</v>
      </c>
      <c r="I35" s="17">
        <v>25</v>
      </c>
      <c r="J35" s="6" t="s">
        <v>158</v>
      </c>
      <c r="K35" s="6" t="s">
        <v>34</v>
      </c>
      <c r="L35" s="17" t="s">
        <v>110</v>
      </c>
      <c r="M35" s="6" t="s">
        <v>35</v>
      </c>
      <c r="N35" s="17" t="s">
        <v>159</v>
      </c>
      <c r="O35" s="28" t="s">
        <v>41</v>
      </c>
      <c r="P35" s="28" t="s">
        <v>41</v>
      </c>
      <c r="Q35" s="28" t="s">
        <v>124</v>
      </c>
      <c r="R35" s="30">
        <v>26.082999999999998</v>
      </c>
      <c r="S35" s="30">
        <v>16.195</v>
      </c>
      <c r="T35" s="30"/>
      <c r="U35" s="30">
        <v>9.8000000000000004E-2</v>
      </c>
      <c r="V35" s="8">
        <f t="shared" si="7"/>
        <v>662.50819999999987</v>
      </c>
      <c r="W35" s="8">
        <f t="shared" si="8"/>
        <v>411.35300000000001</v>
      </c>
      <c r="X35" s="8">
        <f t="shared" si="9"/>
        <v>0</v>
      </c>
      <c r="Y35" s="33">
        <f t="shared" si="10"/>
        <v>2.4891999999999999</v>
      </c>
      <c r="Z35" s="28" t="s">
        <v>56</v>
      </c>
      <c r="AA35" s="28" t="s">
        <v>57</v>
      </c>
      <c r="AB35" s="61" t="s">
        <v>124</v>
      </c>
      <c r="AC35" s="31" t="s">
        <v>125</v>
      </c>
      <c r="AD35" s="50">
        <f t="shared" si="11"/>
        <v>2</v>
      </c>
      <c r="AE35" s="31"/>
      <c r="AF35" s="51">
        <v>14</v>
      </c>
      <c r="AG35" s="51">
        <f t="shared" si="52"/>
        <v>8.4</v>
      </c>
      <c r="AH35" s="51">
        <f t="shared" si="1"/>
        <v>42</v>
      </c>
      <c r="AI35" s="52" t="s">
        <v>2497</v>
      </c>
      <c r="AJ35" s="52" t="s">
        <v>2498</v>
      </c>
      <c r="AK35" s="53">
        <f t="shared" si="53"/>
        <v>0.5450494711892</v>
      </c>
      <c r="AL35" s="54">
        <f t="shared" si="54"/>
        <v>0.11904761904761904</v>
      </c>
      <c r="AM35" s="54">
        <f t="shared" si="55"/>
        <v>2.3809523809523808E-2</v>
      </c>
      <c r="AN35" s="55">
        <f t="shared" si="56"/>
        <v>0.12977368361647618</v>
      </c>
      <c r="AO35" s="55">
        <f t="shared" si="57"/>
        <v>2.5954736723295235E-2</v>
      </c>
      <c r="AP35" s="53">
        <v>7.1</v>
      </c>
      <c r="AQ35" s="53">
        <f t="shared" si="18"/>
        <v>4.26</v>
      </c>
      <c r="AR35" s="53">
        <f t="shared" si="19"/>
        <v>21.299999999999997</v>
      </c>
      <c r="AS35" s="56">
        <f t="shared" si="20"/>
        <v>4.6948356807511742E-2</v>
      </c>
      <c r="AT35" s="56">
        <f t="shared" si="58"/>
        <v>0.23474178403755869</v>
      </c>
      <c r="AU35" s="56">
        <f t="shared" si="22"/>
        <v>0.176056338028169</v>
      </c>
      <c r="AV35" s="56">
        <f t="shared" si="59"/>
        <v>5.8685446009389672E-2</v>
      </c>
      <c r="AW35" s="57" t="s">
        <v>2511</v>
      </c>
      <c r="AX35" s="57" t="s">
        <v>2512</v>
      </c>
      <c r="AY35" s="57" t="s">
        <v>2513</v>
      </c>
      <c r="AZ35" s="58">
        <f t="shared" si="60"/>
        <v>0.5450494711892</v>
      </c>
      <c r="BA35" s="59">
        <f t="shared" si="64"/>
        <v>3.1986471313920191E-2</v>
      </c>
      <c r="BB35" s="59">
        <f t="shared" si="65"/>
        <v>9.5959413941760552E-2</v>
      </c>
      <c r="BC35" s="59">
        <f t="shared" si="66"/>
        <v>2.5589177051136152E-2</v>
      </c>
      <c r="BD35" s="60">
        <f t="shared" si="61"/>
        <v>0.125</v>
      </c>
      <c r="BE35" s="59">
        <f t="shared" si="62"/>
        <v>0.25</v>
      </c>
      <c r="BQ35" s="61">
        <v>3000</v>
      </c>
      <c r="BR35" s="61">
        <v>1200</v>
      </c>
      <c r="BS35" s="28">
        <f t="shared" si="27"/>
        <v>2980</v>
      </c>
      <c r="BT35" s="28">
        <f t="shared" si="28"/>
        <v>1180</v>
      </c>
      <c r="BU35" s="28" t="s">
        <v>2541</v>
      </c>
      <c r="BV35" s="28">
        <f t="shared" si="29"/>
        <v>667.50819999999987</v>
      </c>
      <c r="BW35" s="28">
        <f t="shared" si="30"/>
        <v>416.35300000000001</v>
      </c>
      <c r="BX35" s="13">
        <f t="shared" si="31"/>
        <v>4.4643646325243651</v>
      </c>
      <c r="BY35" s="13">
        <f t="shared" si="32"/>
        <v>4</v>
      </c>
      <c r="BZ35" s="13">
        <f t="shared" si="33"/>
        <v>2.834133535725694</v>
      </c>
      <c r="CA35" s="13">
        <f t="shared" si="34"/>
        <v>2</v>
      </c>
      <c r="CB35" s="13">
        <f t="shared" si="35"/>
        <v>8</v>
      </c>
      <c r="CC35" s="62">
        <f t="shared" si="36"/>
        <v>0.125</v>
      </c>
      <c r="CD35" s="13">
        <f t="shared" si="37"/>
        <v>7.1573880817479401</v>
      </c>
      <c r="CE35" s="13">
        <f t="shared" si="38"/>
        <v>7</v>
      </c>
      <c r="CF35" s="13">
        <f t="shared" si="39"/>
        <v>1.7677685457646817</v>
      </c>
      <c r="CG35" s="13">
        <f t="shared" si="40"/>
        <v>1</v>
      </c>
      <c r="CH35" s="28">
        <f t="shared" si="41"/>
        <v>7</v>
      </c>
      <c r="CI35" s="62">
        <f t="shared" si="42"/>
        <v>0.14285714285714285</v>
      </c>
      <c r="CJ35" s="59">
        <f t="shared" si="43"/>
        <v>0.125</v>
      </c>
      <c r="CL35" s="63">
        <v>6000</v>
      </c>
      <c r="CM35" s="63">
        <f t="shared" si="44"/>
        <v>662.50819999999987</v>
      </c>
      <c r="CN35" s="63">
        <f t="shared" si="45"/>
        <v>667.50819999999987</v>
      </c>
      <c r="CO35" s="63">
        <f t="shared" si="46"/>
        <v>8.9886536225322793</v>
      </c>
      <c r="CP35" s="13">
        <f t="shared" si="47"/>
        <v>8</v>
      </c>
      <c r="CQ35" s="70">
        <f t="shared" si="48"/>
        <v>0.125</v>
      </c>
      <c r="CR35" s="69">
        <f t="shared" si="5"/>
        <v>0.25</v>
      </c>
    </row>
    <row r="36" spans="1:96" hidden="1" x14ac:dyDescent="0.25">
      <c r="A36" s="17">
        <v>5</v>
      </c>
      <c r="B36" s="6" t="s">
        <v>50</v>
      </c>
      <c r="C36" s="17" t="s">
        <v>160</v>
      </c>
      <c r="D36" s="17" t="s">
        <v>2270</v>
      </c>
      <c r="E36" s="17" t="s">
        <v>52</v>
      </c>
      <c r="F36" s="7">
        <f t="shared" si="6"/>
        <v>2</v>
      </c>
      <c r="G36" s="17">
        <v>1</v>
      </c>
      <c r="H36" s="17">
        <f t="shared" si="68"/>
        <v>1</v>
      </c>
      <c r="I36" s="17">
        <v>26</v>
      </c>
      <c r="J36" s="6" t="s">
        <v>161</v>
      </c>
      <c r="K36" s="6" t="s">
        <v>34</v>
      </c>
      <c r="L36" s="17">
        <v>0</v>
      </c>
      <c r="M36" s="6" t="s">
        <v>35</v>
      </c>
      <c r="N36" s="17" t="s">
        <v>162</v>
      </c>
      <c r="O36" s="28" t="s">
        <v>41</v>
      </c>
      <c r="P36" s="28" t="s">
        <v>41</v>
      </c>
      <c r="Q36" s="28" t="s">
        <v>116</v>
      </c>
      <c r="R36" s="30">
        <v>18.5</v>
      </c>
      <c r="S36" s="30">
        <v>2.1480000000000001</v>
      </c>
      <c r="T36" s="30"/>
      <c r="U36" s="30">
        <v>0.11799999999999999</v>
      </c>
      <c r="V36" s="8">
        <f t="shared" si="7"/>
        <v>469.9</v>
      </c>
      <c r="W36" s="8">
        <f t="shared" si="8"/>
        <v>54.559199999999997</v>
      </c>
      <c r="X36" s="8">
        <f t="shared" si="9"/>
        <v>0</v>
      </c>
      <c r="Y36" s="33">
        <f t="shared" si="10"/>
        <v>2.9971999999999999</v>
      </c>
      <c r="Z36" s="28" t="s">
        <v>56</v>
      </c>
      <c r="AA36" s="28" t="s">
        <v>57</v>
      </c>
      <c r="AB36" s="28" t="s">
        <v>116</v>
      </c>
      <c r="AC36" s="31" t="s">
        <v>117</v>
      </c>
      <c r="AD36" s="50">
        <f t="shared" si="11"/>
        <v>1</v>
      </c>
      <c r="AE36" s="31"/>
      <c r="AF36" s="51">
        <v>14</v>
      </c>
      <c r="AG36" s="51">
        <f t="shared" si="52"/>
        <v>8.4</v>
      </c>
      <c r="AH36" s="51">
        <f t="shared" si="1"/>
        <v>42</v>
      </c>
      <c r="AI36" s="52" t="s">
        <v>2497</v>
      </c>
      <c r="AJ36" s="52" t="s">
        <v>2498</v>
      </c>
      <c r="AK36" s="53">
        <f t="shared" si="53"/>
        <v>5.1274736159999994E-2</v>
      </c>
      <c r="AL36" s="54">
        <f t="shared" si="54"/>
        <v>0.11904761904761904</v>
      </c>
      <c r="AM36" s="54">
        <f t="shared" si="55"/>
        <v>2.3809523809523808E-2</v>
      </c>
      <c r="AN36" s="55">
        <f t="shared" si="56"/>
        <v>6.1041352571428557E-3</v>
      </c>
      <c r="AO36" s="55">
        <f t="shared" si="57"/>
        <v>1.2208270514285711E-3</v>
      </c>
      <c r="AP36" s="53">
        <v>7.1</v>
      </c>
      <c r="AQ36" s="53">
        <f t="shared" si="18"/>
        <v>4.26</v>
      </c>
      <c r="AR36" s="53">
        <f t="shared" si="19"/>
        <v>21.299999999999997</v>
      </c>
      <c r="AS36" s="56">
        <f t="shared" si="20"/>
        <v>4.6948356807511742E-2</v>
      </c>
      <c r="AT36" s="56">
        <f t="shared" si="58"/>
        <v>0.23474178403755869</v>
      </c>
      <c r="AU36" s="56">
        <f t="shared" si="22"/>
        <v>0.176056338028169</v>
      </c>
      <c r="AV36" s="56">
        <f t="shared" si="59"/>
        <v>5.8685446009389672E-2</v>
      </c>
      <c r="AW36" s="57" t="s">
        <v>2511</v>
      </c>
      <c r="AX36" s="57" t="s">
        <v>2512</v>
      </c>
      <c r="AY36" s="57" t="s">
        <v>2513</v>
      </c>
      <c r="AZ36" s="58">
        <f t="shared" si="60"/>
        <v>5.1274736159999994E-2</v>
      </c>
      <c r="BA36" s="59">
        <f t="shared" si="64"/>
        <v>1.50454038028169E-3</v>
      </c>
      <c r="BB36" s="59">
        <f t="shared" si="65"/>
        <v>4.5136211408450698E-3</v>
      </c>
      <c r="BC36" s="59">
        <f t="shared" si="66"/>
        <v>1.203632304225352E-3</v>
      </c>
      <c r="BD36" s="60">
        <f t="shared" si="61"/>
        <v>8.771929824561403E-3</v>
      </c>
      <c r="BE36" s="59">
        <f t="shared" si="62"/>
        <v>8.771929824561403E-3</v>
      </c>
      <c r="BQ36" s="61">
        <v>3000</v>
      </c>
      <c r="BR36" s="61">
        <v>1200</v>
      </c>
      <c r="BS36" s="28">
        <f t="shared" si="27"/>
        <v>2980</v>
      </c>
      <c r="BT36" s="28">
        <f t="shared" si="28"/>
        <v>1180</v>
      </c>
      <c r="BU36" s="28" t="s">
        <v>2541</v>
      </c>
      <c r="BV36" s="28">
        <f t="shared" si="29"/>
        <v>474.9</v>
      </c>
      <c r="BW36" s="28">
        <f t="shared" si="30"/>
        <v>59.559199999999997</v>
      </c>
      <c r="BX36" s="13">
        <f t="shared" si="31"/>
        <v>6.275005264266162</v>
      </c>
      <c r="BY36" s="13">
        <f t="shared" si="32"/>
        <v>6</v>
      </c>
      <c r="BZ36" s="13">
        <f t="shared" si="33"/>
        <v>19.812220446211501</v>
      </c>
      <c r="CA36" s="13">
        <f t="shared" si="34"/>
        <v>19</v>
      </c>
      <c r="CB36" s="13">
        <f t="shared" si="35"/>
        <v>114</v>
      </c>
      <c r="CC36" s="62">
        <f t="shared" si="36"/>
        <v>8.771929824561403E-3</v>
      </c>
      <c r="CD36" s="13">
        <f t="shared" si="37"/>
        <v>50.034251635347687</v>
      </c>
      <c r="CE36" s="13">
        <f t="shared" si="38"/>
        <v>50</v>
      </c>
      <c r="CF36" s="13">
        <f t="shared" si="39"/>
        <v>2.4847336281322385</v>
      </c>
      <c r="CG36" s="13">
        <f t="shared" si="40"/>
        <v>2</v>
      </c>
      <c r="CH36" s="28">
        <f t="shared" si="41"/>
        <v>100</v>
      </c>
      <c r="CI36" s="62">
        <f t="shared" si="42"/>
        <v>0.01</v>
      </c>
      <c r="CJ36" s="59">
        <f t="shared" si="43"/>
        <v>8.771929824561403E-3</v>
      </c>
      <c r="CL36" s="63">
        <v>6000</v>
      </c>
      <c r="CM36" s="63">
        <f t="shared" si="44"/>
        <v>469.9</v>
      </c>
      <c r="CN36" s="63">
        <f t="shared" si="45"/>
        <v>474.9</v>
      </c>
      <c r="CO36" s="63">
        <f t="shared" si="46"/>
        <v>12.634238787113077</v>
      </c>
      <c r="CP36" s="13">
        <f t="shared" si="47"/>
        <v>12</v>
      </c>
      <c r="CQ36" s="70">
        <f t="shared" si="48"/>
        <v>8.3333333333333329E-2</v>
      </c>
      <c r="CR36" s="69">
        <f t="shared" si="5"/>
        <v>8.3333333333333329E-2</v>
      </c>
    </row>
    <row r="37" spans="1:96" hidden="1" x14ac:dyDescent="0.25">
      <c r="A37" s="13">
        <v>4</v>
      </c>
      <c r="B37" s="14" t="s">
        <v>46</v>
      </c>
      <c r="C37" s="13" t="s">
        <v>163</v>
      </c>
      <c r="D37" s="13" t="s">
        <v>2270</v>
      </c>
      <c r="E37" s="13" t="s">
        <v>32</v>
      </c>
      <c r="F37" s="15">
        <f t="shared" si="6"/>
        <v>1</v>
      </c>
      <c r="G37" s="13">
        <v>1</v>
      </c>
      <c r="H37" s="13">
        <f>G37*$H$5</f>
        <v>1</v>
      </c>
      <c r="I37" s="13">
        <v>2</v>
      </c>
      <c r="J37" s="14" t="s">
        <v>48</v>
      </c>
      <c r="K37" s="14" t="s">
        <v>34</v>
      </c>
      <c r="L37" s="13">
        <v>0</v>
      </c>
      <c r="M37" s="14" t="s">
        <v>35</v>
      </c>
      <c r="N37" s="13" t="s">
        <v>164</v>
      </c>
      <c r="O37" s="28" t="s">
        <v>41</v>
      </c>
      <c r="P37" s="28" t="s">
        <v>41</v>
      </c>
      <c r="Q37" s="28"/>
      <c r="R37" s="30"/>
      <c r="S37" s="30"/>
      <c r="T37" s="30"/>
      <c r="U37" s="30"/>
      <c r="V37" s="8">
        <f t="shared" si="7"/>
        <v>0</v>
      </c>
      <c r="W37" s="8">
        <f t="shared" si="8"/>
        <v>0</v>
      </c>
      <c r="X37" s="8">
        <f t="shared" si="9"/>
        <v>0</v>
      </c>
      <c r="Y37" s="33">
        <f t="shared" si="10"/>
        <v>0</v>
      </c>
      <c r="Z37" s="28"/>
      <c r="AA37" s="28"/>
      <c r="AB37" s="28">
        <v>0</v>
      </c>
      <c r="AC37" s="31"/>
      <c r="AD37" s="50">
        <f t="shared" si="11"/>
        <v>1</v>
      </c>
      <c r="AE37" s="31"/>
      <c r="AF37" s="51">
        <v>14</v>
      </c>
      <c r="AG37" s="51">
        <f t="shared" si="52"/>
        <v>8.4</v>
      </c>
      <c r="AH37" s="51">
        <f t="shared" si="1"/>
        <v>42</v>
      </c>
      <c r="AI37" s="52" t="s">
        <v>2497</v>
      </c>
      <c r="AJ37" s="52" t="s">
        <v>2498</v>
      </c>
      <c r="AK37" s="53">
        <f t="shared" si="53"/>
        <v>0</v>
      </c>
      <c r="AL37" s="54">
        <f t="shared" si="54"/>
        <v>0.11904761904761904</v>
      </c>
      <c r="AM37" s="54">
        <f t="shared" si="55"/>
        <v>2.3809523809523808E-2</v>
      </c>
      <c r="AN37" s="55">
        <f t="shared" si="56"/>
        <v>0</v>
      </c>
      <c r="AO37" s="55">
        <f t="shared" si="57"/>
        <v>0</v>
      </c>
      <c r="AP37" s="53">
        <v>7.1</v>
      </c>
      <c r="AQ37" s="53">
        <f t="shared" si="18"/>
        <v>4.26</v>
      </c>
      <c r="AR37" s="53">
        <f t="shared" si="19"/>
        <v>21.299999999999997</v>
      </c>
      <c r="AS37" s="56">
        <f t="shared" si="20"/>
        <v>4.6948356807511742E-2</v>
      </c>
      <c r="AT37" s="56">
        <f t="shared" si="58"/>
        <v>0.23474178403755869</v>
      </c>
      <c r="AU37" s="56">
        <f t="shared" si="22"/>
        <v>0.176056338028169</v>
      </c>
      <c r="AV37" s="56">
        <f t="shared" si="59"/>
        <v>5.8685446009389672E-2</v>
      </c>
      <c r="AW37" s="57" t="s">
        <v>2511</v>
      </c>
      <c r="AX37" s="57" t="s">
        <v>2512</v>
      </c>
      <c r="AY37" s="57" t="s">
        <v>2513</v>
      </c>
      <c r="AZ37" s="58">
        <f t="shared" si="60"/>
        <v>0</v>
      </c>
      <c r="BA37" s="59">
        <f t="shared" si="64"/>
        <v>0</v>
      </c>
      <c r="BB37" s="59">
        <f t="shared" si="65"/>
        <v>0</v>
      </c>
      <c r="BC37" s="59">
        <f t="shared" si="66"/>
        <v>0</v>
      </c>
      <c r="BD37" s="60">
        <f t="shared" si="61"/>
        <v>0</v>
      </c>
      <c r="BE37" s="59">
        <f t="shared" si="62"/>
        <v>0</v>
      </c>
      <c r="BQ37" s="61">
        <v>3000</v>
      </c>
      <c r="BR37" s="61">
        <v>1200</v>
      </c>
      <c r="BS37" s="28">
        <f t="shared" si="27"/>
        <v>2980</v>
      </c>
      <c r="BT37" s="28">
        <f t="shared" si="28"/>
        <v>1180</v>
      </c>
      <c r="BU37" s="28" t="s">
        <v>2541</v>
      </c>
      <c r="BV37" s="28">
        <f t="shared" si="29"/>
        <v>5</v>
      </c>
      <c r="BW37" s="28">
        <f t="shared" si="30"/>
        <v>5</v>
      </c>
      <c r="BX37" s="13">
        <f t="shared" si="31"/>
        <v>596</v>
      </c>
      <c r="BY37" s="13">
        <f t="shared" si="32"/>
        <v>596</v>
      </c>
      <c r="BZ37" s="13">
        <f t="shared" si="33"/>
        <v>236</v>
      </c>
      <c r="CA37" s="13">
        <f t="shared" si="34"/>
        <v>236</v>
      </c>
      <c r="CB37" s="13">
        <f t="shared" si="35"/>
        <v>140656</v>
      </c>
      <c r="CC37" s="62" t="str">
        <f t="shared" si="36"/>
        <v/>
      </c>
      <c r="CD37" s="13">
        <f t="shared" si="37"/>
        <v>596</v>
      </c>
      <c r="CE37" s="13">
        <f t="shared" si="38"/>
        <v>596</v>
      </c>
      <c r="CF37" s="13">
        <f t="shared" si="39"/>
        <v>236</v>
      </c>
      <c r="CG37" s="13">
        <f t="shared" si="40"/>
        <v>236</v>
      </c>
      <c r="CH37" s="28">
        <f t="shared" si="41"/>
        <v>140656</v>
      </c>
      <c r="CI37" s="62" t="str">
        <f t="shared" si="42"/>
        <v/>
      </c>
      <c r="CJ37" s="59">
        <f t="shared" si="43"/>
        <v>0</v>
      </c>
      <c r="CL37" s="63">
        <v>6000</v>
      </c>
      <c r="CM37" s="63">
        <f t="shared" si="44"/>
        <v>0</v>
      </c>
      <c r="CN37" s="63">
        <f t="shared" si="45"/>
        <v>5</v>
      </c>
      <c r="CO37" s="63">
        <f t="shared" si="46"/>
        <v>1200</v>
      </c>
      <c r="CP37" s="13">
        <f t="shared" si="47"/>
        <v>1200</v>
      </c>
      <c r="CQ37" s="70">
        <f t="shared" si="48"/>
        <v>8.3333333333333339E-4</v>
      </c>
      <c r="CR37" s="69">
        <f t="shared" si="5"/>
        <v>8.3333333333333339E-4</v>
      </c>
    </row>
    <row r="38" spans="1:96" hidden="1" x14ac:dyDescent="0.25">
      <c r="A38" s="17">
        <v>5</v>
      </c>
      <c r="B38" s="6" t="s">
        <v>165</v>
      </c>
      <c r="C38" s="17" t="s">
        <v>157</v>
      </c>
      <c r="D38" s="17" t="s">
        <v>2270</v>
      </c>
      <c r="E38" s="17" t="s">
        <v>52</v>
      </c>
      <c r="F38" s="7">
        <f t="shared" si="6"/>
        <v>2</v>
      </c>
      <c r="G38" s="17">
        <v>1</v>
      </c>
      <c r="H38" s="17">
        <f>G38*$H$37</f>
        <v>1</v>
      </c>
      <c r="I38" s="17">
        <v>7</v>
      </c>
      <c r="J38" s="6" t="s">
        <v>158</v>
      </c>
      <c r="K38" s="6" t="s">
        <v>34</v>
      </c>
      <c r="L38" s="17" t="s">
        <v>110</v>
      </c>
      <c r="M38" s="6" t="s">
        <v>35</v>
      </c>
      <c r="N38" s="17" t="s">
        <v>159</v>
      </c>
      <c r="O38" s="28" t="s">
        <v>41</v>
      </c>
      <c r="P38" s="28" t="s">
        <v>41</v>
      </c>
      <c r="Q38" s="28" t="s">
        <v>124</v>
      </c>
      <c r="R38" s="30">
        <v>26.082999999999998</v>
      </c>
      <c r="S38" s="30">
        <v>16.195</v>
      </c>
      <c r="T38" s="30"/>
      <c r="U38" s="30">
        <v>9.8000000000000004E-2</v>
      </c>
      <c r="V38" s="8">
        <f t="shared" si="7"/>
        <v>662.50819999999987</v>
      </c>
      <c r="W38" s="8">
        <f t="shared" si="8"/>
        <v>411.35300000000001</v>
      </c>
      <c r="X38" s="8">
        <f t="shared" si="9"/>
        <v>0</v>
      </c>
      <c r="Y38" s="33">
        <f t="shared" si="10"/>
        <v>2.4891999999999999</v>
      </c>
      <c r="Z38" s="28" t="s">
        <v>56</v>
      </c>
      <c r="AA38" s="28" t="s">
        <v>57</v>
      </c>
      <c r="AB38" s="61" t="s">
        <v>124</v>
      </c>
      <c r="AC38" s="31" t="s">
        <v>125</v>
      </c>
      <c r="AD38" s="50">
        <f t="shared" si="11"/>
        <v>1</v>
      </c>
      <c r="AE38" s="31"/>
      <c r="AF38" s="51">
        <v>14</v>
      </c>
      <c r="AG38" s="51">
        <f t="shared" si="52"/>
        <v>8.4</v>
      </c>
      <c r="AH38" s="51">
        <f t="shared" si="1"/>
        <v>42</v>
      </c>
      <c r="AI38" s="52" t="s">
        <v>2497</v>
      </c>
      <c r="AJ38" s="52" t="s">
        <v>2498</v>
      </c>
      <c r="AK38" s="53">
        <f t="shared" si="53"/>
        <v>0.5450494711892</v>
      </c>
      <c r="AL38" s="54">
        <f t="shared" si="54"/>
        <v>0.11904761904761904</v>
      </c>
      <c r="AM38" s="54">
        <f t="shared" si="55"/>
        <v>2.3809523809523808E-2</v>
      </c>
      <c r="AN38" s="55">
        <f t="shared" si="56"/>
        <v>6.4886841808238088E-2</v>
      </c>
      <c r="AO38" s="55">
        <f t="shared" si="57"/>
        <v>1.2977368361647618E-2</v>
      </c>
      <c r="AP38" s="53">
        <v>7.1</v>
      </c>
      <c r="AQ38" s="53">
        <f t="shared" si="18"/>
        <v>4.26</v>
      </c>
      <c r="AR38" s="53">
        <f t="shared" si="19"/>
        <v>21.299999999999997</v>
      </c>
      <c r="AS38" s="56">
        <f t="shared" si="20"/>
        <v>4.6948356807511742E-2</v>
      </c>
      <c r="AT38" s="56">
        <f t="shared" si="58"/>
        <v>0.23474178403755869</v>
      </c>
      <c r="AU38" s="56">
        <f t="shared" si="22"/>
        <v>0.176056338028169</v>
      </c>
      <c r="AV38" s="56">
        <f t="shared" si="59"/>
        <v>5.8685446009389672E-2</v>
      </c>
      <c r="AW38" s="57" t="s">
        <v>2511</v>
      </c>
      <c r="AX38" s="57" t="s">
        <v>2512</v>
      </c>
      <c r="AY38" s="57" t="s">
        <v>2513</v>
      </c>
      <c r="AZ38" s="58">
        <f t="shared" si="60"/>
        <v>0.5450494711892</v>
      </c>
      <c r="BA38" s="59">
        <f t="shared" si="64"/>
        <v>1.5993235656960095E-2</v>
      </c>
      <c r="BB38" s="59">
        <f t="shared" si="65"/>
        <v>4.7979706970880276E-2</v>
      </c>
      <c r="BC38" s="59">
        <f t="shared" si="66"/>
        <v>1.2794588525568076E-2</v>
      </c>
      <c r="BD38" s="60">
        <f t="shared" si="61"/>
        <v>0.125</v>
      </c>
      <c r="BE38" s="59">
        <f t="shared" si="62"/>
        <v>0.125</v>
      </c>
      <c r="BQ38" s="61">
        <v>3000</v>
      </c>
      <c r="BR38" s="61">
        <v>1200</v>
      </c>
      <c r="BS38" s="28">
        <f t="shared" si="27"/>
        <v>2980</v>
      </c>
      <c r="BT38" s="28">
        <f t="shared" si="28"/>
        <v>1180</v>
      </c>
      <c r="BU38" s="28" t="s">
        <v>2541</v>
      </c>
      <c r="BV38" s="28">
        <f t="shared" si="29"/>
        <v>667.50819999999987</v>
      </c>
      <c r="BW38" s="28">
        <f t="shared" si="30"/>
        <v>416.35300000000001</v>
      </c>
      <c r="BX38" s="13">
        <f t="shared" si="31"/>
        <v>4.4643646325243651</v>
      </c>
      <c r="BY38" s="13">
        <f t="shared" si="32"/>
        <v>4</v>
      </c>
      <c r="BZ38" s="13">
        <f t="shared" si="33"/>
        <v>2.834133535725694</v>
      </c>
      <c r="CA38" s="13">
        <f t="shared" si="34"/>
        <v>2</v>
      </c>
      <c r="CB38" s="13">
        <f t="shared" si="35"/>
        <v>8</v>
      </c>
      <c r="CC38" s="62">
        <f t="shared" si="36"/>
        <v>0.125</v>
      </c>
      <c r="CD38" s="13">
        <f t="shared" si="37"/>
        <v>7.1573880817479401</v>
      </c>
      <c r="CE38" s="13">
        <f t="shared" si="38"/>
        <v>7</v>
      </c>
      <c r="CF38" s="13">
        <f t="shared" si="39"/>
        <v>1.7677685457646817</v>
      </c>
      <c r="CG38" s="13">
        <f t="shared" si="40"/>
        <v>1</v>
      </c>
      <c r="CH38" s="28">
        <f t="shared" si="41"/>
        <v>7</v>
      </c>
      <c r="CI38" s="62">
        <f t="shared" si="42"/>
        <v>0.14285714285714285</v>
      </c>
      <c r="CJ38" s="59">
        <f t="shared" si="43"/>
        <v>0.125</v>
      </c>
      <c r="CL38" s="63">
        <v>6000</v>
      </c>
      <c r="CM38" s="63">
        <f t="shared" si="44"/>
        <v>662.50819999999987</v>
      </c>
      <c r="CN38" s="63">
        <f t="shared" si="45"/>
        <v>667.50819999999987</v>
      </c>
      <c r="CO38" s="63">
        <f t="shared" si="46"/>
        <v>8.9886536225322793</v>
      </c>
      <c r="CP38" s="13">
        <f t="shared" si="47"/>
        <v>8</v>
      </c>
      <c r="CQ38" s="70">
        <f t="shared" si="48"/>
        <v>0.125</v>
      </c>
      <c r="CR38" s="69">
        <f t="shared" si="5"/>
        <v>0.125</v>
      </c>
    </row>
    <row r="39" spans="1:96" hidden="1" x14ac:dyDescent="0.25">
      <c r="A39" s="17">
        <v>5</v>
      </c>
      <c r="B39" s="6" t="s">
        <v>165</v>
      </c>
      <c r="C39" s="17" t="s">
        <v>166</v>
      </c>
      <c r="D39" s="17" t="s">
        <v>2270</v>
      </c>
      <c r="E39" s="17" t="s">
        <v>52</v>
      </c>
      <c r="F39" s="7">
        <f t="shared" si="6"/>
        <v>1</v>
      </c>
      <c r="G39" s="17">
        <v>1</v>
      </c>
      <c r="H39" s="17">
        <f t="shared" ref="H39:H52" si="69">G39*$H$37</f>
        <v>1</v>
      </c>
      <c r="I39" s="17">
        <v>8</v>
      </c>
      <c r="J39" s="6" t="s">
        <v>149</v>
      </c>
      <c r="K39" s="6" t="s">
        <v>34</v>
      </c>
      <c r="L39" s="17">
        <v>0</v>
      </c>
      <c r="M39" s="6" t="s">
        <v>35</v>
      </c>
      <c r="N39" s="17" t="s">
        <v>167</v>
      </c>
      <c r="O39" s="28" t="s">
        <v>41</v>
      </c>
      <c r="P39" s="28" t="s">
        <v>41</v>
      </c>
      <c r="Q39" s="28" t="s">
        <v>116</v>
      </c>
      <c r="R39" s="30">
        <v>42.875999999999998</v>
      </c>
      <c r="S39" s="30">
        <v>6.0609999999999999</v>
      </c>
      <c r="T39" s="30"/>
      <c r="U39" s="30">
        <v>0.11799999999999999</v>
      </c>
      <c r="V39" s="8">
        <f t="shared" si="7"/>
        <v>1089.0503999999999</v>
      </c>
      <c r="W39" s="8">
        <f t="shared" si="8"/>
        <v>153.9494</v>
      </c>
      <c r="X39" s="8">
        <f t="shared" si="9"/>
        <v>0</v>
      </c>
      <c r="Y39" s="33">
        <f t="shared" si="10"/>
        <v>2.9971999999999999</v>
      </c>
      <c r="Z39" s="28" t="s">
        <v>56</v>
      </c>
      <c r="AA39" s="28" t="s">
        <v>57</v>
      </c>
      <c r="AB39" s="28" t="s">
        <v>116</v>
      </c>
      <c r="AC39" s="31" t="s">
        <v>117</v>
      </c>
      <c r="AD39" s="50">
        <f t="shared" si="11"/>
        <v>1</v>
      </c>
      <c r="AE39" s="31"/>
      <c r="AF39" s="51">
        <v>14</v>
      </c>
      <c r="AG39" s="51">
        <f t="shared" si="52"/>
        <v>8.4</v>
      </c>
      <c r="AH39" s="51">
        <f t="shared" si="1"/>
        <v>42</v>
      </c>
      <c r="AI39" s="52" t="s">
        <v>2497</v>
      </c>
      <c r="AJ39" s="52" t="s">
        <v>2498</v>
      </c>
      <c r="AK39" s="53">
        <f t="shared" si="53"/>
        <v>0.33531731129951997</v>
      </c>
      <c r="AL39" s="54">
        <f t="shared" si="54"/>
        <v>0.11904761904761904</v>
      </c>
      <c r="AM39" s="54">
        <f t="shared" si="55"/>
        <v>2.3809523809523808E-2</v>
      </c>
      <c r="AN39" s="55">
        <f t="shared" si="56"/>
        <v>3.9918727535657138E-2</v>
      </c>
      <c r="AO39" s="55">
        <f t="shared" si="57"/>
        <v>7.9837455071314276E-3</v>
      </c>
      <c r="AP39" s="53">
        <v>7.1</v>
      </c>
      <c r="AQ39" s="53">
        <f t="shared" si="18"/>
        <v>4.26</v>
      </c>
      <c r="AR39" s="53">
        <f t="shared" si="19"/>
        <v>21.299999999999997</v>
      </c>
      <c r="AS39" s="56">
        <f t="shared" si="20"/>
        <v>4.6948356807511742E-2</v>
      </c>
      <c r="AT39" s="56">
        <f t="shared" si="58"/>
        <v>0.23474178403755869</v>
      </c>
      <c r="AU39" s="56">
        <f t="shared" si="22"/>
        <v>0.176056338028169</v>
      </c>
      <c r="AV39" s="56">
        <f t="shared" si="59"/>
        <v>5.8685446009389672E-2</v>
      </c>
      <c r="AW39" s="57" t="s">
        <v>2511</v>
      </c>
      <c r="AX39" s="57" t="s">
        <v>2512</v>
      </c>
      <c r="AY39" s="57" t="s">
        <v>2513</v>
      </c>
      <c r="AZ39" s="58">
        <f t="shared" si="60"/>
        <v>0.33531731129951997</v>
      </c>
      <c r="BA39" s="59">
        <f t="shared" si="64"/>
        <v>9.839122984140844E-3</v>
      </c>
      <c r="BB39" s="59">
        <f t="shared" si="65"/>
        <v>2.9517368952422532E-2</v>
      </c>
      <c r="BC39" s="59">
        <f t="shared" si="66"/>
        <v>7.8712983873126755E-3</v>
      </c>
      <c r="BD39" s="60">
        <f t="shared" si="61"/>
        <v>5.5555555555555552E-2</v>
      </c>
      <c r="BE39" s="59">
        <f t="shared" si="62"/>
        <v>5.5555555555555552E-2</v>
      </c>
      <c r="BQ39" s="61">
        <v>3000</v>
      </c>
      <c r="BR39" s="61">
        <v>1200</v>
      </c>
      <c r="BS39" s="28">
        <f t="shared" si="27"/>
        <v>2980</v>
      </c>
      <c r="BT39" s="28">
        <f t="shared" si="28"/>
        <v>1180</v>
      </c>
      <c r="BU39" s="28" t="s">
        <v>2541</v>
      </c>
      <c r="BV39" s="28">
        <f t="shared" si="29"/>
        <v>1094.0503999999999</v>
      </c>
      <c r="BW39" s="28">
        <f t="shared" si="30"/>
        <v>158.9494</v>
      </c>
      <c r="BX39" s="13">
        <f t="shared" si="31"/>
        <v>2.7238233266036009</v>
      </c>
      <c r="BY39" s="13">
        <f t="shared" si="32"/>
        <v>2</v>
      </c>
      <c r="BZ39" s="13">
        <f t="shared" si="33"/>
        <v>7.4237461733105006</v>
      </c>
      <c r="CA39" s="13">
        <f t="shared" si="34"/>
        <v>7</v>
      </c>
      <c r="CB39" s="13">
        <f t="shared" si="35"/>
        <v>14</v>
      </c>
      <c r="CC39" s="62">
        <f t="shared" si="36"/>
        <v>7.1428571428571425E-2</v>
      </c>
      <c r="CD39" s="13">
        <f t="shared" si="37"/>
        <v>18.748104742767197</v>
      </c>
      <c r="CE39" s="13">
        <f t="shared" si="38"/>
        <v>18</v>
      </c>
      <c r="CF39" s="13">
        <f t="shared" si="39"/>
        <v>1.0785609145611574</v>
      </c>
      <c r="CG39" s="13">
        <f t="shared" si="40"/>
        <v>1</v>
      </c>
      <c r="CH39" s="28">
        <f t="shared" si="41"/>
        <v>18</v>
      </c>
      <c r="CI39" s="62">
        <f t="shared" si="42"/>
        <v>5.5555555555555552E-2</v>
      </c>
      <c r="CJ39" s="59">
        <f t="shared" si="43"/>
        <v>5.5555555555555552E-2</v>
      </c>
      <c r="CL39" s="63">
        <v>6000</v>
      </c>
      <c r="CM39" s="63">
        <f t="shared" si="44"/>
        <v>1089.0503999999999</v>
      </c>
      <c r="CN39" s="63">
        <f t="shared" si="45"/>
        <v>1094.0503999999999</v>
      </c>
      <c r="CO39" s="63">
        <f t="shared" si="46"/>
        <v>5.4842080401414783</v>
      </c>
      <c r="CP39" s="13">
        <f t="shared" si="47"/>
        <v>5</v>
      </c>
      <c r="CQ39" s="70">
        <f t="shared" si="48"/>
        <v>0.2</v>
      </c>
      <c r="CR39" s="69">
        <f t="shared" si="5"/>
        <v>0.2</v>
      </c>
    </row>
    <row r="40" spans="1:96" hidden="1" x14ac:dyDescent="0.25">
      <c r="A40" s="17">
        <v>5</v>
      </c>
      <c r="B40" s="6" t="s">
        <v>165</v>
      </c>
      <c r="C40" s="17" t="s">
        <v>168</v>
      </c>
      <c r="D40" s="17" t="s">
        <v>2270</v>
      </c>
      <c r="E40" s="17" t="s">
        <v>52</v>
      </c>
      <c r="F40" s="7">
        <f t="shared" si="6"/>
        <v>1</v>
      </c>
      <c r="G40" s="17">
        <v>1</v>
      </c>
      <c r="H40" s="17">
        <f t="shared" si="69"/>
        <v>1</v>
      </c>
      <c r="I40" s="17">
        <v>9</v>
      </c>
      <c r="J40" s="6" t="s">
        <v>169</v>
      </c>
      <c r="K40" s="6" t="s">
        <v>34</v>
      </c>
      <c r="L40" s="17" t="s">
        <v>170</v>
      </c>
      <c r="M40" s="6" t="s">
        <v>35</v>
      </c>
      <c r="N40" s="17" t="s">
        <v>171</v>
      </c>
      <c r="O40" s="28" t="s">
        <v>41</v>
      </c>
      <c r="P40" s="28" t="s">
        <v>41</v>
      </c>
      <c r="Q40" s="28" t="s">
        <v>171</v>
      </c>
      <c r="R40" s="30">
        <v>2.375</v>
      </c>
      <c r="S40" s="30">
        <v>0.25</v>
      </c>
      <c r="T40" s="30"/>
      <c r="U40" s="30">
        <v>0.25</v>
      </c>
      <c r="V40" s="8">
        <f t="shared" si="7"/>
        <v>60.324999999999996</v>
      </c>
      <c r="W40" s="8">
        <f t="shared" si="8"/>
        <v>6.35</v>
      </c>
      <c r="X40" s="8">
        <f t="shared" si="9"/>
        <v>0</v>
      </c>
      <c r="Y40" s="33">
        <f t="shared" si="10"/>
        <v>6.35</v>
      </c>
      <c r="Z40" s="28" t="s">
        <v>172</v>
      </c>
      <c r="AA40" s="28" t="s">
        <v>173</v>
      </c>
      <c r="AB40" s="61" t="s">
        <v>171</v>
      </c>
      <c r="AC40" s="31" t="s">
        <v>174</v>
      </c>
      <c r="AD40" s="50">
        <f t="shared" si="11"/>
        <v>1</v>
      </c>
      <c r="AE40" s="31"/>
      <c r="AF40" s="51">
        <v>14</v>
      </c>
      <c r="AG40" s="51">
        <f t="shared" si="52"/>
        <v>8.4</v>
      </c>
      <c r="AH40" s="51">
        <f t="shared" si="1"/>
        <v>42</v>
      </c>
      <c r="AI40" s="52" t="s">
        <v>2497</v>
      </c>
      <c r="AJ40" s="52" t="s">
        <v>2498</v>
      </c>
      <c r="AK40" s="53">
        <f t="shared" si="53"/>
        <v>7.6612749999999997E-4</v>
      </c>
      <c r="AL40" s="54">
        <f t="shared" si="54"/>
        <v>0.11904761904761904</v>
      </c>
      <c r="AM40" s="54">
        <f t="shared" si="55"/>
        <v>2.3809523809523808E-2</v>
      </c>
      <c r="AN40" s="55">
        <f t="shared" si="56"/>
        <v>9.1205654761904748E-5</v>
      </c>
      <c r="AO40" s="55">
        <f t="shared" si="57"/>
        <v>1.8241130952380952E-5</v>
      </c>
      <c r="AP40" s="53">
        <v>7.1</v>
      </c>
      <c r="AQ40" s="53">
        <f t="shared" si="18"/>
        <v>4.26</v>
      </c>
      <c r="AR40" s="53">
        <f t="shared" si="19"/>
        <v>21.299999999999997</v>
      </c>
      <c r="AS40" s="56">
        <f t="shared" si="20"/>
        <v>4.6948356807511742E-2</v>
      </c>
      <c r="AT40" s="56">
        <f t="shared" si="58"/>
        <v>0.23474178403755869</v>
      </c>
      <c r="AU40" s="56">
        <f t="shared" si="22"/>
        <v>0.176056338028169</v>
      </c>
      <c r="AV40" s="56">
        <f t="shared" si="59"/>
        <v>5.8685446009389672E-2</v>
      </c>
      <c r="AW40" s="57" t="s">
        <v>2511</v>
      </c>
      <c r="AX40" s="57" t="s">
        <v>2512</v>
      </c>
      <c r="AY40" s="57" t="s">
        <v>2513</v>
      </c>
      <c r="AZ40" s="58">
        <f t="shared" si="60"/>
        <v>7.6612749999999997E-4</v>
      </c>
      <c r="BA40" s="59">
        <f t="shared" si="64"/>
        <v>2.2480267018779342E-5</v>
      </c>
      <c r="BB40" s="59">
        <f t="shared" si="65"/>
        <v>6.7440801056338021E-5</v>
      </c>
      <c r="BC40" s="59">
        <f t="shared" si="66"/>
        <v>1.7984213615023476E-5</v>
      </c>
      <c r="BD40" s="60">
        <f t="shared" si="61"/>
        <v>2.1204410517387616E-4</v>
      </c>
      <c r="BE40" s="59">
        <f t="shared" si="62"/>
        <v>2.1204410517387616E-4</v>
      </c>
      <c r="BQ40" s="61">
        <v>3000</v>
      </c>
      <c r="BR40" s="61">
        <v>1200</v>
      </c>
      <c r="BS40" s="28">
        <f t="shared" si="27"/>
        <v>2980</v>
      </c>
      <c r="BT40" s="28">
        <f t="shared" si="28"/>
        <v>1180</v>
      </c>
      <c r="BU40" s="28" t="s">
        <v>2541</v>
      </c>
      <c r="BV40" s="28">
        <f t="shared" si="29"/>
        <v>65.324999999999989</v>
      </c>
      <c r="BW40" s="28">
        <f t="shared" si="30"/>
        <v>11.35</v>
      </c>
      <c r="BX40" s="13">
        <f t="shared" si="31"/>
        <v>45.6180635285113</v>
      </c>
      <c r="BY40" s="13">
        <f t="shared" si="32"/>
        <v>45</v>
      </c>
      <c r="BZ40" s="13">
        <f t="shared" si="33"/>
        <v>103.9647577092511</v>
      </c>
      <c r="CA40" s="13">
        <f t="shared" si="34"/>
        <v>103</v>
      </c>
      <c r="CB40" s="13">
        <f t="shared" si="35"/>
        <v>4635</v>
      </c>
      <c r="CC40" s="62">
        <f t="shared" si="36"/>
        <v>2.1574973031283711E-4</v>
      </c>
      <c r="CD40" s="13">
        <f t="shared" si="37"/>
        <v>262.55506607929516</v>
      </c>
      <c r="CE40" s="13">
        <f t="shared" si="38"/>
        <v>262</v>
      </c>
      <c r="CF40" s="13">
        <f t="shared" si="39"/>
        <v>18.063528511289707</v>
      </c>
      <c r="CG40" s="13">
        <f t="shared" si="40"/>
        <v>18</v>
      </c>
      <c r="CH40" s="28">
        <f t="shared" si="41"/>
        <v>4716</v>
      </c>
      <c r="CI40" s="62">
        <f t="shared" si="42"/>
        <v>2.1204410517387616E-4</v>
      </c>
      <c r="CJ40" s="59">
        <f t="shared" si="43"/>
        <v>2.1204410517387616E-4</v>
      </c>
      <c r="CL40" s="63">
        <v>6000</v>
      </c>
      <c r="CM40" s="63">
        <f t="shared" si="44"/>
        <v>60.324999999999996</v>
      </c>
      <c r="CN40" s="63">
        <f t="shared" si="45"/>
        <v>65.324999999999989</v>
      </c>
      <c r="CO40" s="63">
        <f t="shared" si="46"/>
        <v>91.848450057405302</v>
      </c>
      <c r="CP40" s="13">
        <f t="shared" si="47"/>
        <v>91</v>
      </c>
      <c r="CQ40" s="70">
        <f t="shared" si="48"/>
        <v>1.098901098901099E-2</v>
      </c>
      <c r="CR40" s="69">
        <f t="shared" si="5"/>
        <v>1.098901098901099E-2</v>
      </c>
    </row>
    <row r="41" spans="1:96" hidden="1" x14ac:dyDescent="0.25">
      <c r="A41" s="17">
        <v>5</v>
      </c>
      <c r="B41" s="6" t="s">
        <v>165</v>
      </c>
      <c r="C41" s="17" t="s">
        <v>160</v>
      </c>
      <c r="D41" s="17" t="s">
        <v>2270</v>
      </c>
      <c r="E41" s="17" t="s">
        <v>52</v>
      </c>
      <c r="F41" s="7">
        <f t="shared" si="6"/>
        <v>2</v>
      </c>
      <c r="G41" s="17">
        <v>1</v>
      </c>
      <c r="H41" s="17">
        <f t="shared" si="69"/>
        <v>1</v>
      </c>
      <c r="I41" s="17">
        <v>10</v>
      </c>
      <c r="J41" s="6" t="s">
        <v>161</v>
      </c>
      <c r="K41" s="6" t="s">
        <v>34</v>
      </c>
      <c r="L41" s="17">
        <v>0</v>
      </c>
      <c r="M41" s="6" t="s">
        <v>35</v>
      </c>
      <c r="N41" s="17" t="s">
        <v>162</v>
      </c>
      <c r="O41" s="28" t="s">
        <v>41</v>
      </c>
      <c r="P41" s="28" t="s">
        <v>41</v>
      </c>
      <c r="Q41" s="28" t="s">
        <v>116</v>
      </c>
      <c r="R41" s="30">
        <v>18.5</v>
      </c>
      <c r="S41" s="30">
        <v>2.1480000000000001</v>
      </c>
      <c r="T41" s="30"/>
      <c r="U41" s="30">
        <v>0.12</v>
      </c>
      <c r="V41" s="8">
        <f t="shared" si="7"/>
        <v>469.9</v>
      </c>
      <c r="W41" s="8">
        <f t="shared" si="8"/>
        <v>54.559199999999997</v>
      </c>
      <c r="X41" s="8">
        <f t="shared" si="9"/>
        <v>0</v>
      </c>
      <c r="Y41" s="33">
        <f t="shared" si="10"/>
        <v>3.0479999999999996</v>
      </c>
      <c r="Z41" s="28" t="s">
        <v>56</v>
      </c>
      <c r="AA41" s="28" t="s">
        <v>57</v>
      </c>
      <c r="AB41" s="28" t="s">
        <v>116</v>
      </c>
      <c r="AC41" s="31" t="s">
        <v>117</v>
      </c>
      <c r="AD41" s="50">
        <f t="shared" si="11"/>
        <v>1</v>
      </c>
      <c r="AE41" s="31"/>
      <c r="AF41" s="51">
        <v>14</v>
      </c>
      <c r="AG41" s="51">
        <f t="shared" si="52"/>
        <v>8.4</v>
      </c>
      <c r="AH41" s="51">
        <f t="shared" si="1"/>
        <v>42</v>
      </c>
      <c r="AI41" s="52" t="s">
        <v>2497</v>
      </c>
      <c r="AJ41" s="52" t="s">
        <v>2498</v>
      </c>
      <c r="AK41" s="53">
        <f t="shared" si="53"/>
        <v>5.1274736159999994E-2</v>
      </c>
      <c r="AL41" s="54">
        <f t="shared" si="54"/>
        <v>0.11904761904761904</v>
      </c>
      <c r="AM41" s="54">
        <f t="shared" si="55"/>
        <v>2.3809523809523808E-2</v>
      </c>
      <c r="AN41" s="55">
        <f t="shared" si="56"/>
        <v>6.1041352571428557E-3</v>
      </c>
      <c r="AO41" s="55">
        <f t="shared" si="57"/>
        <v>1.2208270514285711E-3</v>
      </c>
      <c r="AP41" s="53">
        <v>7.1</v>
      </c>
      <c r="AQ41" s="53">
        <f t="shared" si="18"/>
        <v>4.26</v>
      </c>
      <c r="AR41" s="53">
        <f t="shared" si="19"/>
        <v>21.299999999999997</v>
      </c>
      <c r="AS41" s="56">
        <f t="shared" si="20"/>
        <v>4.6948356807511742E-2</v>
      </c>
      <c r="AT41" s="56">
        <f t="shared" si="58"/>
        <v>0.23474178403755869</v>
      </c>
      <c r="AU41" s="56">
        <f t="shared" si="22"/>
        <v>0.176056338028169</v>
      </c>
      <c r="AV41" s="56">
        <f t="shared" si="59"/>
        <v>5.8685446009389672E-2</v>
      </c>
      <c r="AW41" s="57" t="s">
        <v>2511</v>
      </c>
      <c r="AX41" s="57" t="s">
        <v>2512</v>
      </c>
      <c r="AY41" s="57" t="s">
        <v>2513</v>
      </c>
      <c r="AZ41" s="58">
        <f t="shared" si="60"/>
        <v>5.1274736159999994E-2</v>
      </c>
      <c r="BA41" s="59">
        <f t="shared" si="64"/>
        <v>1.50454038028169E-3</v>
      </c>
      <c r="BB41" s="59">
        <f t="shared" si="65"/>
        <v>4.5136211408450698E-3</v>
      </c>
      <c r="BC41" s="59">
        <f t="shared" si="66"/>
        <v>1.203632304225352E-3</v>
      </c>
      <c r="BD41" s="60">
        <f t="shared" si="61"/>
        <v>8.771929824561403E-3</v>
      </c>
      <c r="BE41" s="59">
        <f t="shared" si="62"/>
        <v>8.771929824561403E-3</v>
      </c>
      <c r="BQ41" s="61">
        <v>3000</v>
      </c>
      <c r="BR41" s="61">
        <v>1200</v>
      </c>
      <c r="BS41" s="28">
        <f t="shared" si="27"/>
        <v>2980</v>
      </c>
      <c r="BT41" s="28">
        <f t="shared" si="28"/>
        <v>1180</v>
      </c>
      <c r="BU41" s="28" t="s">
        <v>2541</v>
      </c>
      <c r="BV41" s="28">
        <f t="shared" si="29"/>
        <v>474.9</v>
      </c>
      <c r="BW41" s="28">
        <f t="shared" si="30"/>
        <v>59.559199999999997</v>
      </c>
      <c r="BX41" s="13">
        <f t="shared" si="31"/>
        <v>6.275005264266162</v>
      </c>
      <c r="BY41" s="13">
        <f t="shared" si="32"/>
        <v>6</v>
      </c>
      <c r="BZ41" s="13">
        <f t="shared" si="33"/>
        <v>19.812220446211501</v>
      </c>
      <c r="CA41" s="13">
        <f t="shared" si="34"/>
        <v>19</v>
      </c>
      <c r="CB41" s="13">
        <f t="shared" si="35"/>
        <v>114</v>
      </c>
      <c r="CC41" s="62">
        <f t="shared" si="36"/>
        <v>8.771929824561403E-3</v>
      </c>
      <c r="CD41" s="13">
        <f t="shared" si="37"/>
        <v>50.034251635347687</v>
      </c>
      <c r="CE41" s="13">
        <f t="shared" si="38"/>
        <v>50</v>
      </c>
      <c r="CF41" s="13">
        <f t="shared" si="39"/>
        <v>2.4847336281322385</v>
      </c>
      <c r="CG41" s="13">
        <f t="shared" si="40"/>
        <v>2</v>
      </c>
      <c r="CH41" s="28">
        <f t="shared" si="41"/>
        <v>100</v>
      </c>
      <c r="CI41" s="62">
        <f t="shared" si="42"/>
        <v>0.01</v>
      </c>
      <c r="CJ41" s="59">
        <f t="shared" si="43"/>
        <v>8.771929824561403E-3</v>
      </c>
      <c r="CL41" s="63">
        <v>6000</v>
      </c>
      <c r="CM41" s="63">
        <f t="shared" si="44"/>
        <v>469.9</v>
      </c>
      <c r="CN41" s="63">
        <f t="shared" si="45"/>
        <v>474.9</v>
      </c>
      <c r="CO41" s="63">
        <f t="shared" si="46"/>
        <v>12.634238787113077</v>
      </c>
      <c r="CP41" s="13">
        <f t="shared" si="47"/>
        <v>12</v>
      </c>
      <c r="CQ41" s="70">
        <f t="shared" si="48"/>
        <v>8.3333333333333329E-2</v>
      </c>
      <c r="CR41" s="69">
        <f t="shared" si="5"/>
        <v>8.3333333333333329E-2</v>
      </c>
    </row>
    <row r="42" spans="1:96" hidden="1" x14ac:dyDescent="0.25">
      <c r="A42" s="17">
        <v>5</v>
      </c>
      <c r="B42" s="6" t="s">
        <v>165</v>
      </c>
      <c r="C42" s="17" t="s">
        <v>175</v>
      </c>
      <c r="D42" s="17" t="s">
        <v>2270</v>
      </c>
      <c r="E42" s="17" t="s">
        <v>52</v>
      </c>
      <c r="F42" s="7">
        <f t="shared" si="6"/>
        <v>1</v>
      </c>
      <c r="G42" s="17">
        <v>1</v>
      </c>
      <c r="H42" s="17">
        <f t="shared" si="69"/>
        <v>1</v>
      </c>
      <c r="I42" s="17">
        <v>11</v>
      </c>
      <c r="J42" s="6" t="s">
        <v>155</v>
      </c>
      <c r="K42" s="6" t="s">
        <v>34</v>
      </c>
      <c r="L42" s="17">
        <v>0</v>
      </c>
      <c r="M42" s="6" t="s">
        <v>35</v>
      </c>
      <c r="N42" s="17" t="s">
        <v>176</v>
      </c>
      <c r="O42" s="28" t="s">
        <v>41</v>
      </c>
      <c r="P42" s="28" t="s">
        <v>41</v>
      </c>
      <c r="Q42" s="28" t="s">
        <v>116</v>
      </c>
      <c r="R42" s="30">
        <v>14</v>
      </c>
      <c r="S42" s="30">
        <v>2.1480000000000001</v>
      </c>
      <c r="T42" s="30"/>
      <c r="U42" s="30">
        <v>0.12</v>
      </c>
      <c r="V42" s="8">
        <f t="shared" si="7"/>
        <v>355.59999999999997</v>
      </c>
      <c r="W42" s="8">
        <f t="shared" si="8"/>
        <v>54.559199999999997</v>
      </c>
      <c r="X42" s="8">
        <f t="shared" si="9"/>
        <v>0</v>
      </c>
      <c r="Y42" s="33">
        <f t="shared" si="10"/>
        <v>3.0479999999999996</v>
      </c>
      <c r="Z42" s="28" t="s">
        <v>56</v>
      </c>
      <c r="AA42" s="28" t="s">
        <v>57</v>
      </c>
      <c r="AB42" s="28" t="s">
        <v>116</v>
      </c>
      <c r="AC42" s="31" t="s">
        <v>117</v>
      </c>
      <c r="AD42" s="50">
        <f t="shared" si="11"/>
        <v>1</v>
      </c>
      <c r="AE42" s="31"/>
      <c r="AF42" s="51">
        <v>14</v>
      </c>
      <c r="AG42" s="51">
        <f t="shared" si="52"/>
        <v>8.4</v>
      </c>
      <c r="AH42" s="51">
        <f t="shared" si="1"/>
        <v>42</v>
      </c>
      <c r="AI42" s="52" t="s">
        <v>2497</v>
      </c>
      <c r="AJ42" s="52" t="s">
        <v>2498</v>
      </c>
      <c r="AK42" s="53">
        <f t="shared" si="53"/>
        <v>3.8802503039999998E-2</v>
      </c>
      <c r="AL42" s="54">
        <f t="shared" si="54"/>
        <v>0.11904761904761904</v>
      </c>
      <c r="AM42" s="54">
        <f t="shared" si="55"/>
        <v>2.3809523809523808E-2</v>
      </c>
      <c r="AN42" s="55">
        <f t="shared" si="56"/>
        <v>4.6193455999999997E-3</v>
      </c>
      <c r="AO42" s="55">
        <f t="shared" si="57"/>
        <v>9.2386911999999986E-4</v>
      </c>
      <c r="AP42" s="53">
        <v>7.1</v>
      </c>
      <c r="AQ42" s="53">
        <f t="shared" si="18"/>
        <v>4.26</v>
      </c>
      <c r="AR42" s="53">
        <f t="shared" si="19"/>
        <v>21.299999999999997</v>
      </c>
      <c r="AS42" s="56">
        <f t="shared" si="20"/>
        <v>4.6948356807511742E-2</v>
      </c>
      <c r="AT42" s="56">
        <f t="shared" si="58"/>
        <v>0.23474178403755869</v>
      </c>
      <c r="AU42" s="56">
        <f t="shared" si="22"/>
        <v>0.176056338028169</v>
      </c>
      <c r="AV42" s="56">
        <f t="shared" si="59"/>
        <v>5.8685446009389672E-2</v>
      </c>
      <c r="AW42" s="57" t="s">
        <v>2511</v>
      </c>
      <c r="AX42" s="57" t="s">
        <v>2512</v>
      </c>
      <c r="AY42" s="57" t="s">
        <v>2513</v>
      </c>
      <c r="AZ42" s="58">
        <f t="shared" si="60"/>
        <v>3.8802503039999998E-2</v>
      </c>
      <c r="BA42" s="59">
        <f t="shared" si="64"/>
        <v>1.1385710985915493E-3</v>
      </c>
      <c r="BB42" s="59">
        <f t="shared" si="65"/>
        <v>3.4157132957746473E-3</v>
      </c>
      <c r="BC42" s="59">
        <f t="shared" si="66"/>
        <v>9.1085687887323952E-4</v>
      </c>
      <c r="BD42" s="60">
        <f t="shared" si="61"/>
        <v>6.5789473684210523E-3</v>
      </c>
      <c r="BE42" s="59">
        <f t="shared" si="62"/>
        <v>6.5789473684210523E-3</v>
      </c>
      <c r="BQ42" s="61">
        <v>3000</v>
      </c>
      <c r="BR42" s="61">
        <v>1200</v>
      </c>
      <c r="BS42" s="28">
        <f t="shared" si="27"/>
        <v>2980</v>
      </c>
      <c r="BT42" s="28">
        <f t="shared" si="28"/>
        <v>1180</v>
      </c>
      <c r="BU42" s="28" t="s">
        <v>2541</v>
      </c>
      <c r="BV42" s="28">
        <f t="shared" si="29"/>
        <v>360.59999999999997</v>
      </c>
      <c r="BW42" s="28">
        <f t="shared" si="30"/>
        <v>59.559199999999997</v>
      </c>
      <c r="BX42" s="13">
        <f t="shared" si="31"/>
        <v>8.2640044370493637</v>
      </c>
      <c r="BY42" s="13">
        <f t="shared" si="32"/>
        <v>8</v>
      </c>
      <c r="BZ42" s="13">
        <f t="shared" si="33"/>
        <v>19.812220446211501</v>
      </c>
      <c r="CA42" s="13">
        <f t="shared" si="34"/>
        <v>19</v>
      </c>
      <c r="CB42" s="13">
        <f t="shared" si="35"/>
        <v>152</v>
      </c>
      <c r="CC42" s="62">
        <f t="shared" si="36"/>
        <v>6.5789473684210523E-3</v>
      </c>
      <c r="CD42" s="13">
        <f t="shared" si="37"/>
        <v>50.034251635347687</v>
      </c>
      <c r="CE42" s="13">
        <f t="shared" si="38"/>
        <v>50</v>
      </c>
      <c r="CF42" s="13">
        <f t="shared" si="39"/>
        <v>3.2723239046034389</v>
      </c>
      <c r="CG42" s="13">
        <f t="shared" si="40"/>
        <v>3</v>
      </c>
      <c r="CH42" s="28">
        <f t="shared" si="41"/>
        <v>150</v>
      </c>
      <c r="CI42" s="62">
        <f t="shared" si="42"/>
        <v>6.6666666666666671E-3</v>
      </c>
      <c r="CJ42" s="59">
        <f t="shared" si="43"/>
        <v>6.5789473684210523E-3</v>
      </c>
      <c r="CL42" s="63">
        <v>6000</v>
      </c>
      <c r="CM42" s="63">
        <f t="shared" si="44"/>
        <v>355.59999999999997</v>
      </c>
      <c r="CN42" s="63">
        <f t="shared" si="45"/>
        <v>360.59999999999997</v>
      </c>
      <c r="CO42" s="63">
        <f t="shared" si="46"/>
        <v>16.638935108153081</v>
      </c>
      <c r="CP42" s="13">
        <f t="shared" si="47"/>
        <v>16</v>
      </c>
      <c r="CQ42" s="70">
        <f t="shared" si="48"/>
        <v>6.25E-2</v>
      </c>
      <c r="CR42" s="69">
        <f t="shared" si="5"/>
        <v>6.25E-2</v>
      </c>
    </row>
    <row r="43" spans="1:96" hidden="1" x14ac:dyDescent="0.25">
      <c r="A43" s="17">
        <v>5</v>
      </c>
      <c r="B43" s="6" t="s">
        <v>165</v>
      </c>
      <c r="C43" s="17" t="s">
        <v>177</v>
      </c>
      <c r="D43" s="17" t="s">
        <v>2270</v>
      </c>
      <c r="E43" s="17" t="s">
        <v>52</v>
      </c>
      <c r="F43" s="7">
        <f t="shared" si="6"/>
        <v>1</v>
      </c>
      <c r="G43" s="17">
        <v>1</v>
      </c>
      <c r="H43" s="17">
        <f t="shared" si="69"/>
        <v>1</v>
      </c>
      <c r="I43" s="17">
        <v>12</v>
      </c>
      <c r="J43" s="6" t="s">
        <v>130</v>
      </c>
      <c r="K43" s="6" t="s">
        <v>34</v>
      </c>
      <c r="L43" s="17" t="s">
        <v>110</v>
      </c>
      <c r="M43" s="6" t="s">
        <v>35</v>
      </c>
      <c r="N43" s="17" t="s">
        <v>178</v>
      </c>
      <c r="O43" s="28" t="s">
        <v>41</v>
      </c>
      <c r="P43" s="28" t="s">
        <v>41</v>
      </c>
      <c r="Q43" s="28" t="s">
        <v>124</v>
      </c>
      <c r="R43" s="30">
        <v>17.888999999999999</v>
      </c>
      <c r="S43" s="30">
        <v>5.3849999999999998</v>
      </c>
      <c r="T43" s="30"/>
      <c r="U43" s="30">
        <v>9.8000000000000004E-2</v>
      </c>
      <c r="V43" s="8">
        <f t="shared" si="7"/>
        <v>454.38059999999996</v>
      </c>
      <c r="W43" s="8">
        <f t="shared" si="8"/>
        <v>136.779</v>
      </c>
      <c r="X43" s="8">
        <f t="shared" si="9"/>
        <v>0</v>
      </c>
      <c r="Y43" s="33">
        <f t="shared" si="10"/>
        <v>2.4891999999999999</v>
      </c>
      <c r="Z43" s="28" t="s">
        <v>56</v>
      </c>
      <c r="AA43" s="28" t="s">
        <v>57</v>
      </c>
      <c r="AB43" s="61" t="s">
        <v>124</v>
      </c>
      <c r="AC43" s="31" t="s">
        <v>125</v>
      </c>
      <c r="AD43" s="50">
        <f t="shared" si="11"/>
        <v>1</v>
      </c>
      <c r="AE43" s="31"/>
      <c r="AF43" s="51">
        <v>14</v>
      </c>
      <c r="AG43" s="51">
        <f t="shared" si="52"/>
        <v>8.4</v>
      </c>
      <c r="AH43" s="51">
        <f t="shared" si="1"/>
        <v>42</v>
      </c>
      <c r="AI43" s="52" t="s">
        <v>2497</v>
      </c>
      <c r="AJ43" s="52" t="s">
        <v>2498</v>
      </c>
      <c r="AK43" s="53">
        <f t="shared" si="53"/>
        <v>0.12429944817479999</v>
      </c>
      <c r="AL43" s="54">
        <f t="shared" si="54"/>
        <v>0.11904761904761904</v>
      </c>
      <c r="AM43" s="54">
        <f t="shared" si="55"/>
        <v>2.3809523809523808E-2</v>
      </c>
      <c r="AN43" s="55">
        <f t="shared" si="56"/>
        <v>1.4797553354142855E-2</v>
      </c>
      <c r="AO43" s="55">
        <f t="shared" si="57"/>
        <v>2.9595106708285709E-3</v>
      </c>
      <c r="AP43" s="53">
        <v>7.1</v>
      </c>
      <c r="AQ43" s="53">
        <f t="shared" si="18"/>
        <v>4.26</v>
      </c>
      <c r="AR43" s="53">
        <f t="shared" si="19"/>
        <v>21.299999999999997</v>
      </c>
      <c r="AS43" s="56">
        <f t="shared" si="20"/>
        <v>4.6948356807511742E-2</v>
      </c>
      <c r="AT43" s="56">
        <f t="shared" si="58"/>
        <v>0.23474178403755869</v>
      </c>
      <c r="AU43" s="56">
        <f t="shared" si="22"/>
        <v>0.176056338028169</v>
      </c>
      <c r="AV43" s="56">
        <f t="shared" si="59"/>
        <v>5.8685446009389672E-2</v>
      </c>
      <c r="AW43" s="57" t="s">
        <v>2511</v>
      </c>
      <c r="AX43" s="57" t="s">
        <v>2512</v>
      </c>
      <c r="AY43" s="57" t="s">
        <v>2513</v>
      </c>
      <c r="AZ43" s="58">
        <f t="shared" si="60"/>
        <v>0.12429944817479999</v>
      </c>
      <c r="BA43" s="59">
        <f t="shared" si="64"/>
        <v>3.6472842774295769E-3</v>
      </c>
      <c r="BB43" s="59">
        <f t="shared" si="65"/>
        <v>1.0941852832288731E-2</v>
      </c>
      <c r="BC43" s="59">
        <f t="shared" si="66"/>
        <v>2.9178274219436619E-3</v>
      </c>
      <c r="BD43" s="60">
        <f t="shared" si="61"/>
        <v>2.0833333333333332E-2</v>
      </c>
      <c r="BE43" s="59">
        <f t="shared" si="62"/>
        <v>2.0833333333333332E-2</v>
      </c>
      <c r="BQ43" s="61">
        <v>3000</v>
      </c>
      <c r="BR43" s="61">
        <v>1200</v>
      </c>
      <c r="BS43" s="28">
        <f t="shared" si="27"/>
        <v>2980</v>
      </c>
      <c r="BT43" s="28">
        <f t="shared" si="28"/>
        <v>1180</v>
      </c>
      <c r="BU43" s="28" t="s">
        <v>2541</v>
      </c>
      <c r="BV43" s="28">
        <f t="shared" si="29"/>
        <v>459.38059999999996</v>
      </c>
      <c r="BW43" s="28">
        <f t="shared" si="30"/>
        <v>141.779</v>
      </c>
      <c r="BX43" s="13">
        <f t="shared" si="31"/>
        <v>6.4869957503647306</v>
      </c>
      <c r="BY43" s="13">
        <f t="shared" si="32"/>
        <v>6</v>
      </c>
      <c r="BZ43" s="13">
        <f t="shared" si="33"/>
        <v>8.3228122641575979</v>
      </c>
      <c r="CA43" s="13">
        <f t="shared" si="34"/>
        <v>8</v>
      </c>
      <c r="CB43" s="13">
        <f t="shared" si="35"/>
        <v>48</v>
      </c>
      <c r="CC43" s="62">
        <f t="shared" si="36"/>
        <v>2.0833333333333332E-2</v>
      </c>
      <c r="CD43" s="13">
        <f t="shared" si="37"/>
        <v>21.018627582364104</v>
      </c>
      <c r="CE43" s="13">
        <f t="shared" si="38"/>
        <v>21</v>
      </c>
      <c r="CF43" s="13">
        <f t="shared" si="39"/>
        <v>2.5686761696075107</v>
      </c>
      <c r="CG43" s="13">
        <f t="shared" si="40"/>
        <v>2</v>
      </c>
      <c r="CH43" s="28">
        <f t="shared" si="41"/>
        <v>42</v>
      </c>
      <c r="CI43" s="62">
        <f t="shared" si="42"/>
        <v>2.3809523809523808E-2</v>
      </c>
      <c r="CJ43" s="59">
        <f t="shared" si="43"/>
        <v>2.0833333333333332E-2</v>
      </c>
      <c r="CL43" s="63">
        <v>6000</v>
      </c>
      <c r="CM43" s="63">
        <f t="shared" si="44"/>
        <v>454.38059999999996</v>
      </c>
      <c r="CN43" s="63">
        <f t="shared" si="45"/>
        <v>459.38059999999996</v>
      </c>
      <c r="CO43" s="63">
        <f t="shared" si="46"/>
        <v>13.061065269190733</v>
      </c>
      <c r="CP43" s="13">
        <f t="shared" si="47"/>
        <v>13</v>
      </c>
      <c r="CQ43" s="70">
        <f t="shared" si="48"/>
        <v>7.6923076923076927E-2</v>
      </c>
      <c r="CR43" s="69">
        <f t="shared" si="5"/>
        <v>7.6923076923076927E-2</v>
      </c>
    </row>
    <row r="44" spans="1:96" hidden="1" x14ac:dyDescent="0.25">
      <c r="A44" s="17">
        <v>5</v>
      </c>
      <c r="B44" s="6" t="s">
        <v>165</v>
      </c>
      <c r="C44" s="17" t="s">
        <v>100</v>
      </c>
      <c r="D44" s="17" t="s">
        <v>2270</v>
      </c>
      <c r="E44" s="17" t="s">
        <v>52</v>
      </c>
      <c r="F44" s="7">
        <f t="shared" si="6"/>
        <v>2</v>
      </c>
      <c r="G44" s="17">
        <v>1</v>
      </c>
      <c r="H44" s="17">
        <f t="shared" si="69"/>
        <v>1</v>
      </c>
      <c r="I44" s="17">
        <v>13</v>
      </c>
      <c r="J44" s="6" t="s">
        <v>101</v>
      </c>
      <c r="K44" s="6" t="s">
        <v>34</v>
      </c>
      <c r="L44" s="17">
        <v>0</v>
      </c>
      <c r="M44" s="6" t="s">
        <v>35</v>
      </c>
      <c r="N44" s="17" t="s">
        <v>102</v>
      </c>
      <c r="O44" s="28" t="s">
        <v>41</v>
      </c>
      <c r="P44" s="28" t="s">
        <v>41</v>
      </c>
      <c r="Q44" s="28" t="s">
        <v>103</v>
      </c>
      <c r="R44" s="30">
        <v>3</v>
      </c>
      <c r="S44" s="30">
        <v>2</v>
      </c>
      <c r="T44" s="30"/>
      <c r="U44" s="30">
        <v>0.23599999999999999</v>
      </c>
      <c r="V44" s="8">
        <f t="shared" si="7"/>
        <v>76.199999999999989</v>
      </c>
      <c r="W44" s="8">
        <f t="shared" si="8"/>
        <v>50.8</v>
      </c>
      <c r="X44" s="8">
        <f t="shared" si="9"/>
        <v>0</v>
      </c>
      <c r="Y44" s="33">
        <f t="shared" si="10"/>
        <v>5.9943999999999997</v>
      </c>
      <c r="Z44" s="28" t="s">
        <v>56</v>
      </c>
      <c r="AA44" s="28" t="s">
        <v>57</v>
      </c>
      <c r="AB44" s="28" t="s">
        <v>103</v>
      </c>
      <c r="AC44" s="31" t="s">
        <v>104</v>
      </c>
      <c r="AD44" s="50">
        <f t="shared" si="11"/>
        <v>1</v>
      </c>
      <c r="AE44" s="31"/>
      <c r="AF44" s="51">
        <v>14</v>
      </c>
      <c r="AG44" s="51">
        <f t="shared" si="52"/>
        <v>8.4</v>
      </c>
      <c r="AH44" s="51">
        <f t="shared" si="1"/>
        <v>42</v>
      </c>
      <c r="AI44" s="52" t="s">
        <v>2497</v>
      </c>
      <c r="AJ44" s="52" t="s">
        <v>2498</v>
      </c>
      <c r="AK44" s="53">
        <f t="shared" si="53"/>
        <v>7.7419199999999985E-3</v>
      </c>
      <c r="AL44" s="54">
        <f t="shared" si="54"/>
        <v>0.11904761904761904</v>
      </c>
      <c r="AM44" s="54">
        <f t="shared" si="55"/>
        <v>2.3809523809523808E-2</v>
      </c>
      <c r="AN44" s="55">
        <f t="shared" si="56"/>
        <v>9.2165714285714266E-4</v>
      </c>
      <c r="AO44" s="55">
        <f t="shared" si="57"/>
        <v>1.8433142857142852E-4</v>
      </c>
      <c r="AP44" s="53">
        <v>7.1</v>
      </c>
      <c r="AQ44" s="53">
        <f t="shared" si="18"/>
        <v>4.26</v>
      </c>
      <c r="AR44" s="53">
        <f t="shared" si="19"/>
        <v>21.299999999999997</v>
      </c>
      <c r="AS44" s="56">
        <f t="shared" si="20"/>
        <v>4.6948356807511742E-2</v>
      </c>
      <c r="AT44" s="56">
        <f t="shared" si="58"/>
        <v>0.23474178403755869</v>
      </c>
      <c r="AU44" s="56">
        <f t="shared" si="22"/>
        <v>0.176056338028169</v>
      </c>
      <c r="AV44" s="56">
        <f t="shared" si="59"/>
        <v>5.8685446009389672E-2</v>
      </c>
      <c r="AW44" s="57" t="s">
        <v>2511</v>
      </c>
      <c r="AX44" s="57" t="s">
        <v>2512</v>
      </c>
      <c r="AY44" s="57" t="s">
        <v>2513</v>
      </c>
      <c r="AZ44" s="58">
        <f t="shared" si="60"/>
        <v>7.7419199999999985E-3</v>
      </c>
      <c r="BA44" s="59">
        <f t="shared" si="64"/>
        <v>2.2716901408450699E-4</v>
      </c>
      <c r="BB44" s="59">
        <f t="shared" si="65"/>
        <v>6.8150704225352092E-4</v>
      </c>
      <c r="BC44" s="59">
        <f t="shared" si="66"/>
        <v>1.817352112676056E-4</v>
      </c>
      <c r="BD44" s="60">
        <f t="shared" si="61"/>
        <v>1.3227513227513227E-3</v>
      </c>
      <c r="BE44" s="59">
        <f t="shared" si="62"/>
        <v>1.3227513227513227E-3</v>
      </c>
      <c r="BQ44" s="61">
        <v>3000</v>
      </c>
      <c r="BR44" s="61">
        <v>1200</v>
      </c>
      <c r="BS44" s="28">
        <f t="shared" si="27"/>
        <v>2980</v>
      </c>
      <c r="BT44" s="28">
        <f t="shared" si="28"/>
        <v>1180</v>
      </c>
      <c r="BU44" s="28" t="s">
        <v>2541</v>
      </c>
      <c r="BV44" s="28">
        <f t="shared" si="29"/>
        <v>81.199999999999989</v>
      </c>
      <c r="BW44" s="28">
        <f t="shared" si="30"/>
        <v>55.8</v>
      </c>
      <c r="BX44" s="13">
        <f t="shared" si="31"/>
        <v>36.699507389162569</v>
      </c>
      <c r="BY44" s="13">
        <f t="shared" si="32"/>
        <v>36</v>
      </c>
      <c r="BZ44" s="13">
        <f t="shared" si="33"/>
        <v>21.146953405017921</v>
      </c>
      <c r="CA44" s="13">
        <f t="shared" si="34"/>
        <v>21</v>
      </c>
      <c r="CB44" s="13">
        <f t="shared" si="35"/>
        <v>756</v>
      </c>
      <c r="CC44" s="62">
        <f t="shared" si="36"/>
        <v>1.3227513227513227E-3</v>
      </c>
      <c r="CD44" s="13">
        <f t="shared" si="37"/>
        <v>53.405017921146957</v>
      </c>
      <c r="CE44" s="13">
        <f t="shared" si="38"/>
        <v>53</v>
      </c>
      <c r="CF44" s="13">
        <f t="shared" si="39"/>
        <v>14.5320197044335</v>
      </c>
      <c r="CG44" s="13">
        <f t="shared" si="40"/>
        <v>14</v>
      </c>
      <c r="CH44" s="28">
        <f t="shared" si="41"/>
        <v>742</v>
      </c>
      <c r="CI44" s="62">
        <f t="shared" si="42"/>
        <v>1.3477088948787063E-3</v>
      </c>
      <c r="CJ44" s="59">
        <f t="shared" si="43"/>
        <v>1.3227513227513227E-3</v>
      </c>
      <c r="CL44" s="63">
        <v>6000</v>
      </c>
      <c r="CM44" s="63">
        <f t="shared" si="44"/>
        <v>76.199999999999989</v>
      </c>
      <c r="CN44" s="63">
        <f t="shared" si="45"/>
        <v>81.199999999999989</v>
      </c>
      <c r="CO44" s="63">
        <f t="shared" si="46"/>
        <v>73.891625615763559</v>
      </c>
      <c r="CP44" s="13">
        <f t="shared" si="47"/>
        <v>73</v>
      </c>
      <c r="CQ44" s="70">
        <f t="shared" si="48"/>
        <v>1.3698630136986301E-2</v>
      </c>
      <c r="CR44" s="69">
        <f t="shared" si="5"/>
        <v>1.3698630136986301E-2</v>
      </c>
    </row>
    <row r="45" spans="1:96" hidden="1" x14ac:dyDescent="0.25">
      <c r="A45" s="17">
        <v>5</v>
      </c>
      <c r="B45" s="6" t="s">
        <v>165</v>
      </c>
      <c r="C45" s="17" t="s">
        <v>179</v>
      </c>
      <c r="D45" s="17" t="s">
        <v>2270</v>
      </c>
      <c r="E45" s="17" t="s">
        <v>52</v>
      </c>
      <c r="F45" s="7">
        <f t="shared" si="6"/>
        <v>1</v>
      </c>
      <c r="G45" s="17">
        <v>1</v>
      </c>
      <c r="H45" s="17">
        <f t="shared" si="69"/>
        <v>1</v>
      </c>
      <c r="I45" s="17">
        <v>14</v>
      </c>
      <c r="J45" s="6" t="s">
        <v>180</v>
      </c>
      <c r="K45" s="6" t="s">
        <v>34</v>
      </c>
      <c r="L45" s="17" t="s">
        <v>89</v>
      </c>
      <c r="M45" s="6" t="s">
        <v>35</v>
      </c>
      <c r="N45" s="17" t="s">
        <v>181</v>
      </c>
      <c r="O45" s="28" t="s">
        <v>41</v>
      </c>
      <c r="P45" s="28" t="s">
        <v>41</v>
      </c>
      <c r="Q45" s="28" t="s">
        <v>181</v>
      </c>
      <c r="R45" s="30">
        <v>1.5</v>
      </c>
      <c r="S45" s="30">
        <v>0.25</v>
      </c>
      <c r="T45" s="30"/>
      <c r="U45" s="30">
        <v>0.25</v>
      </c>
      <c r="V45" s="8">
        <f t="shared" si="7"/>
        <v>38.099999999999994</v>
      </c>
      <c r="W45" s="8">
        <f t="shared" si="8"/>
        <v>6.35</v>
      </c>
      <c r="X45" s="8">
        <f t="shared" si="9"/>
        <v>0</v>
      </c>
      <c r="Y45" s="33">
        <f t="shared" si="10"/>
        <v>6.35</v>
      </c>
      <c r="Z45" s="28" t="s">
        <v>182</v>
      </c>
      <c r="AA45" s="28" t="s">
        <v>183</v>
      </c>
      <c r="AB45" s="61" t="s">
        <v>181</v>
      </c>
      <c r="AC45" s="31" t="s">
        <v>180</v>
      </c>
      <c r="AD45" s="50">
        <f t="shared" si="11"/>
        <v>1</v>
      </c>
      <c r="AE45" s="31"/>
      <c r="AF45" s="51">
        <v>14</v>
      </c>
      <c r="AG45" s="51">
        <f t="shared" si="52"/>
        <v>8.4</v>
      </c>
      <c r="AH45" s="51">
        <f t="shared" si="1"/>
        <v>42</v>
      </c>
      <c r="AI45" s="52" t="s">
        <v>2497</v>
      </c>
      <c r="AJ45" s="52" t="s">
        <v>2498</v>
      </c>
      <c r="AK45" s="53">
        <f t="shared" si="53"/>
        <v>4.8386999999999991E-4</v>
      </c>
      <c r="AL45" s="54">
        <f t="shared" si="54"/>
        <v>0.11904761904761904</v>
      </c>
      <c r="AM45" s="54">
        <f t="shared" si="55"/>
        <v>2.3809523809523808E-2</v>
      </c>
      <c r="AN45" s="55">
        <f t="shared" si="56"/>
        <v>5.7603571428571416E-5</v>
      </c>
      <c r="AO45" s="55">
        <f t="shared" si="57"/>
        <v>1.1520714285714282E-5</v>
      </c>
      <c r="AP45" s="53">
        <v>7.1</v>
      </c>
      <c r="AQ45" s="53">
        <f t="shared" si="18"/>
        <v>4.26</v>
      </c>
      <c r="AR45" s="53">
        <f t="shared" si="19"/>
        <v>21.299999999999997</v>
      </c>
      <c r="AS45" s="56">
        <f t="shared" si="20"/>
        <v>4.6948356807511742E-2</v>
      </c>
      <c r="AT45" s="56">
        <f t="shared" si="58"/>
        <v>0.23474178403755869</v>
      </c>
      <c r="AU45" s="56">
        <f t="shared" si="22"/>
        <v>0.176056338028169</v>
      </c>
      <c r="AV45" s="56">
        <f t="shared" si="59"/>
        <v>5.8685446009389672E-2</v>
      </c>
      <c r="AW45" s="57" t="s">
        <v>2511</v>
      </c>
      <c r="AX45" s="57" t="s">
        <v>2512</v>
      </c>
      <c r="AY45" s="57" t="s">
        <v>2513</v>
      </c>
      <c r="AZ45" s="58">
        <f t="shared" si="60"/>
        <v>4.8386999999999991E-4</v>
      </c>
      <c r="BA45" s="59">
        <f t="shared" si="64"/>
        <v>1.4198063380281687E-5</v>
      </c>
      <c r="BB45" s="59">
        <f t="shared" si="65"/>
        <v>4.2594190140845057E-5</v>
      </c>
      <c r="BC45" s="59">
        <f t="shared" si="66"/>
        <v>1.135845070422535E-5</v>
      </c>
      <c r="BD45" s="60">
        <f t="shared" si="61"/>
        <v>1.4070634585619811E-4</v>
      </c>
      <c r="BE45" s="59">
        <f t="shared" si="62"/>
        <v>1.4070634585619811E-4</v>
      </c>
      <c r="BQ45" s="61">
        <v>3000</v>
      </c>
      <c r="BR45" s="61">
        <v>1200</v>
      </c>
      <c r="BS45" s="28">
        <f t="shared" si="27"/>
        <v>2980</v>
      </c>
      <c r="BT45" s="28">
        <f t="shared" si="28"/>
        <v>1180</v>
      </c>
      <c r="BU45" s="28" t="s">
        <v>2541</v>
      </c>
      <c r="BV45" s="28">
        <f t="shared" si="29"/>
        <v>43.099999999999994</v>
      </c>
      <c r="BW45" s="28">
        <f t="shared" si="30"/>
        <v>11.35</v>
      </c>
      <c r="BX45" s="13">
        <f t="shared" si="31"/>
        <v>69.141531322505813</v>
      </c>
      <c r="BY45" s="13">
        <f t="shared" si="32"/>
        <v>69</v>
      </c>
      <c r="BZ45" s="13">
        <f t="shared" si="33"/>
        <v>103.9647577092511</v>
      </c>
      <c r="CA45" s="13">
        <f t="shared" si="34"/>
        <v>103</v>
      </c>
      <c r="CB45" s="13">
        <f t="shared" si="35"/>
        <v>7107</v>
      </c>
      <c r="CC45" s="62">
        <f t="shared" si="36"/>
        <v>1.4070634585619811E-4</v>
      </c>
      <c r="CD45" s="13">
        <f t="shared" si="37"/>
        <v>262.55506607929516</v>
      </c>
      <c r="CE45" s="13">
        <f t="shared" si="38"/>
        <v>262</v>
      </c>
      <c r="CF45" s="13">
        <f t="shared" si="39"/>
        <v>27.378190255220421</v>
      </c>
      <c r="CG45" s="13">
        <f t="shared" si="40"/>
        <v>27</v>
      </c>
      <c r="CH45" s="28">
        <f t="shared" si="41"/>
        <v>7074</v>
      </c>
      <c r="CI45" s="62">
        <f t="shared" si="42"/>
        <v>1.413627367825841E-4</v>
      </c>
      <c r="CJ45" s="59">
        <f t="shared" si="43"/>
        <v>1.4070634585619811E-4</v>
      </c>
      <c r="CL45" s="63">
        <v>6000</v>
      </c>
      <c r="CM45" s="63">
        <f t="shared" si="44"/>
        <v>38.099999999999994</v>
      </c>
      <c r="CN45" s="63">
        <f t="shared" si="45"/>
        <v>43.099999999999994</v>
      </c>
      <c r="CO45" s="63">
        <f t="shared" si="46"/>
        <v>139.21113689095128</v>
      </c>
      <c r="CP45" s="13">
        <f t="shared" si="47"/>
        <v>139</v>
      </c>
      <c r="CQ45" s="70">
        <f t="shared" si="48"/>
        <v>7.1942446043165471E-3</v>
      </c>
      <c r="CR45" s="69">
        <f t="shared" si="5"/>
        <v>7.1942446043165471E-3</v>
      </c>
    </row>
    <row r="46" spans="1:96" hidden="1" x14ac:dyDescent="0.25">
      <c r="A46" s="17">
        <v>5</v>
      </c>
      <c r="B46" s="6" t="s">
        <v>165</v>
      </c>
      <c r="C46" s="17" t="s">
        <v>184</v>
      </c>
      <c r="D46" s="17" t="s">
        <v>2270</v>
      </c>
      <c r="E46" s="17" t="s">
        <v>52</v>
      </c>
      <c r="F46" s="7">
        <f t="shared" si="6"/>
        <v>1</v>
      </c>
      <c r="G46" s="17">
        <v>1</v>
      </c>
      <c r="H46" s="17">
        <f t="shared" si="69"/>
        <v>1</v>
      </c>
      <c r="I46" s="17">
        <v>15</v>
      </c>
      <c r="J46" s="6" t="s">
        <v>155</v>
      </c>
      <c r="K46" s="6" t="s">
        <v>34</v>
      </c>
      <c r="L46" s="17">
        <v>0</v>
      </c>
      <c r="M46" s="6" t="s">
        <v>35</v>
      </c>
      <c r="N46" s="17" t="s">
        <v>185</v>
      </c>
      <c r="O46" s="28" t="s">
        <v>41</v>
      </c>
      <c r="P46" s="28" t="s">
        <v>41</v>
      </c>
      <c r="Q46" s="28" t="s">
        <v>116</v>
      </c>
      <c r="R46" s="30">
        <v>8</v>
      </c>
      <c r="S46" s="30">
        <v>2.1480000000000001</v>
      </c>
      <c r="T46" s="30"/>
      <c r="U46" s="30">
        <v>0.12</v>
      </c>
      <c r="V46" s="8">
        <f t="shared" si="7"/>
        <v>203.2</v>
      </c>
      <c r="W46" s="8">
        <f t="shared" si="8"/>
        <v>54.559199999999997</v>
      </c>
      <c r="X46" s="8">
        <f t="shared" si="9"/>
        <v>0</v>
      </c>
      <c r="Y46" s="33">
        <f t="shared" si="10"/>
        <v>3.0479999999999996</v>
      </c>
      <c r="Z46" s="28" t="s">
        <v>56</v>
      </c>
      <c r="AA46" s="28" t="s">
        <v>57</v>
      </c>
      <c r="AB46" s="28" t="s">
        <v>116</v>
      </c>
      <c r="AC46" s="31" t="s">
        <v>117</v>
      </c>
      <c r="AD46" s="50">
        <f t="shared" si="11"/>
        <v>1</v>
      </c>
      <c r="AE46" s="31"/>
      <c r="AF46" s="51">
        <v>14</v>
      </c>
      <c r="AG46" s="51">
        <f t="shared" si="52"/>
        <v>8.4</v>
      </c>
      <c r="AH46" s="51">
        <f t="shared" si="1"/>
        <v>42</v>
      </c>
      <c r="AI46" s="52" t="s">
        <v>2497</v>
      </c>
      <c r="AJ46" s="52" t="s">
        <v>2498</v>
      </c>
      <c r="AK46" s="53">
        <f t="shared" si="53"/>
        <v>2.2172858879999997E-2</v>
      </c>
      <c r="AL46" s="54">
        <f t="shared" si="54"/>
        <v>0.11904761904761904</v>
      </c>
      <c r="AM46" s="54">
        <f t="shared" si="55"/>
        <v>2.3809523809523808E-2</v>
      </c>
      <c r="AN46" s="55">
        <f t="shared" si="56"/>
        <v>2.6396260571428568E-3</v>
      </c>
      <c r="AO46" s="55">
        <f t="shared" si="57"/>
        <v>5.2792521142857132E-4</v>
      </c>
      <c r="AP46" s="53">
        <v>7.1</v>
      </c>
      <c r="AQ46" s="53">
        <f t="shared" si="18"/>
        <v>4.26</v>
      </c>
      <c r="AR46" s="53">
        <f t="shared" si="19"/>
        <v>21.299999999999997</v>
      </c>
      <c r="AS46" s="56">
        <f t="shared" si="20"/>
        <v>4.6948356807511742E-2</v>
      </c>
      <c r="AT46" s="56">
        <f t="shared" si="58"/>
        <v>0.23474178403755869</v>
      </c>
      <c r="AU46" s="56">
        <f t="shared" si="22"/>
        <v>0.176056338028169</v>
      </c>
      <c r="AV46" s="56">
        <f t="shared" si="59"/>
        <v>5.8685446009389672E-2</v>
      </c>
      <c r="AW46" s="57" t="s">
        <v>2511</v>
      </c>
      <c r="AX46" s="57" t="s">
        <v>2512</v>
      </c>
      <c r="AY46" s="57" t="s">
        <v>2513</v>
      </c>
      <c r="AZ46" s="58">
        <f t="shared" si="60"/>
        <v>2.2172858879999997E-2</v>
      </c>
      <c r="BA46" s="59">
        <f t="shared" si="64"/>
        <v>6.5061205633802806E-4</v>
      </c>
      <c r="BB46" s="59">
        <f t="shared" si="65"/>
        <v>1.9518361690140842E-3</v>
      </c>
      <c r="BC46" s="59">
        <f t="shared" si="66"/>
        <v>5.2048964507042249E-4</v>
      </c>
      <c r="BD46" s="60">
        <f t="shared" si="61"/>
        <v>3.7593984962406013E-3</v>
      </c>
      <c r="BE46" s="59">
        <f t="shared" si="62"/>
        <v>3.7593984962406013E-3</v>
      </c>
      <c r="BQ46" s="61">
        <v>3000</v>
      </c>
      <c r="BR46" s="61">
        <v>1200</v>
      </c>
      <c r="BS46" s="28">
        <f t="shared" si="27"/>
        <v>2980</v>
      </c>
      <c r="BT46" s="28">
        <f t="shared" si="28"/>
        <v>1180</v>
      </c>
      <c r="BU46" s="28" t="s">
        <v>2541</v>
      </c>
      <c r="BV46" s="28">
        <f t="shared" si="29"/>
        <v>208.2</v>
      </c>
      <c r="BW46" s="28">
        <f t="shared" si="30"/>
        <v>59.559199999999997</v>
      </c>
      <c r="BX46" s="13">
        <f t="shared" si="31"/>
        <v>14.31316042267051</v>
      </c>
      <c r="BY46" s="13">
        <f t="shared" si="32"/>
        <v>14</v>
      </c>
      <c r="BZ46" s="13">
        <f t="shared" si="33"/>
        <v>19.812220446211501</v>
      </c>
      <c r="CA46" s="13">
        <f t="shared" si="34"/>
        <v>19</v>
      </c>
      <c r="CB46" s="13">
        <f t="shared" si="35"/>
        <v>266</v>
      </c>
      <c r="CC46" s="62">
        <f t="shared" si="36"/>
        <v>3.7593984962406013E-3</v>
      </c>
      <c r="CD46" s="13">
        <f t="shared" si="37"/>
        <v>50.034251635347687</v>
      </c>
      <c r="CE46" s="13">
        <f t="shared" si="38"/>
        <v>50</v>
      </c>
      <c r="CF46" s="13">
        <f t="shared" si="39"/>
        <v>5.6676272814601347</v>
      </c>
      <c r="CG46" s="13">
        <f t="shared" si="40"/>
        <v>5</v>
      </c>
      <c r="CH46" s="28">
        <f t="shared" si="41"/>
        <v>250</v>
      </c>
      <c r="CI46" s="62">
        <f t="shared" si="42"/>
        <v>4.0000000000000001E-3</v>
      </c>
      <c r="CJ46" s="59">
        <f t="shared" si="43"/>
        <v>3.7593984962406013E-3</v>
      </c>
      <c r="CL46" s="63">
        <v>6000</v>
      </c>
      <c r="CM46" s="63">
        <f t="shared" si="44"/>
        <v>203.2</v>
      </c>
      <c r="CN46" s="63">
        <f t="shared" si="45"/>
        <v>208.2</v>
      </c>
      <c r="CO46" s="63">
        <f t="shared" si="46"/>
        <v>28.818443804034583</v>
      </c>
      <c r="CP46" s="13">
        <f t="shared" si="47"/>
        <v>28</v>
      </c>
      <c r="CQ46" s="70">
        <f t="shared" si="48"/>
        <v>3.5714285714285712E-2</v>
      </c>
      <c r="CR46" s="69">
        <f t="shared" si="5"/>
        <v>3.5714285714285712E-2</v>
      </c>
    </row>
    <row r="47" spans="1:96" hidden="1" x14ac:dyDescent="0.25">
      <c r="A47" s="17">
        <v>5</v>
      </c>
      <c r="B47" s="6" t="s">
        <v>165</v>
      </c>
      <c r="C47" s="17" t="s">
        <v>105</v>
      </c>
      <c r="D47" s="17" t="s">
        <v>106</v>
      </c>
      <c r="E47" s="17" t="s">
        <v>52</v>
      </c>
      <c r="F47" s="7">
        <f t="shared" si="6"/>
        <v>9</v>
      </c>
      <c r="G47" s="17">
        <v>1</v>
      </c>
      <c r="H47" s="17">
        <f t="shared" si="69"/>
        <v>1</v>
      </c>
      <c r="I47" s="17">
        <v>16</v>
      </c>
      <c r="J47" s="6" t="s">
        <v>76</v>
      </c>
      <c r="K47" s="6" t="s">
        <v>34</v>
      </c>
      <c r="L47" s="17" t="s">
        <v>77</v>
      </c>
      <c r="M47" s="6" t="s">
        <v>35</v>
      </c>
      <c r="N47" s="17" t="s">
        <v>106</v>
      </c>
      <c r="O47" s="28" t="s">
        <v>41</v>
      </c>
      <c r="P47" s="28" t="s">
        <v>41</v>
      </c>
      <c r="Q47" s="28" t="s">
        <v>79</v>
      </c>
      <c r="R47" s="30">
        <v>11.023622047244094</v>
      </c>
      <c r="S47" s="30">
        <v>0.3125</v>
      </c>
      <c r="T47" s="30"/>
      <c r="U47" s="30">
        <v>0.3125</v>
      </c>
      <c r="V47" s="8">
        <f t="shared" si="7"/>
        <v>280</v>
      </c>
      <c r="W47" s="8">
        <f t="shared" si="8"/>
        <v>7.9375</v>
      </c>
      <c r="X47" s="8">
        <f t="shared" si="9"/>
        <v>0</v>
      </c>
      <c r="Y47" s="33">
        <f t="shared" si="10"/>
        <v>7.9375</v>
      </c>
      <c r="Z47" s="28" t="s">
        <v>80</v>
      </c>
      <c r="AA47" s="28" t="s">
        <v>81</v>
      </c>
      <c r="AB47" s="61" t="s">
        <v>79</v>
      </c>
      <c r="AC47" s="31" t="s">
        <v>82</v>
      </c>
      <c r="AD47" s="50">
        <f t="shared" si="11"/>
        <v>1</v>
      </c>
      <c r="AE47" s="31"/>
      <c r="AF47" s="51">
        <v>14</v>
      </c>
      <c r="AG47" s="51">
        <f t="shared" si="52"/>
        <v>8.4</v>
      </c>
      <c r="AH47" s="51">
        <f t="shared" si="1"/>
        <v>42</v>
      </c>
      <c r="AI47" s="52" t="s">
        <v>2497</v>
      </c>
      <c r="AJ47" s="52" t="s">
        <v>2498</v>
      </c>
      <c r="AK47" s="53">
        <f t="shared" si="53"/>
        <v>4.4450000000000002E-3</v>
      </c>
      <c r="AL47" s="54">
        <f t="shared" si="54"/>
        <v>0.11904761904761904</v>
      </c>
      <c r="AM47" s="54">
        <f t="shared" si="55"/>
        <v>2.3809523809523808E-2</v>
      </c>
      <c r="AN47" s="55">
        <f t="shared" si="56"/>
        <v>5.2916666666666661E-4</v>
      </c>
      <c r="AO47" s="55">
        <f t="shared" si="57"/>
        <v>1.0583333333333334E-4</v>
      </c>
      <c r="AP47" s="53">
        <v>7.1</v>
      </c>
      <c r="AQ47" s="53">
        <f t="shared" si="18"/>
        <v>4.26</v>
      </c>
      <c r="AR47" s="53">
        <f t="shared" si="19"/>
        <v>21.299999999999997</v>
      </c>
      <c r="AS47" s="56">
        <f t="shared" si="20"/>
        <v>4.6948356807511742E-2</v>
      </c>
      <c r="AT47" s="56">
        <f t="shared" si="58"/>
        <v>0.23474178403755869</v>
      </c>
      <c r="AU47" s="56">
        <f t="shared" si="22"/>
        <v>0.176056338028169</v>
      </c>
      <c r="AV47" s="56">
        <f t="shared" si="59"/>
        <v>5.8685446009389672E-2</v>
      </c>
      <c r="AW47" s="57" t="s">
        <v>2511</v>
      </c>
      <c r="AX47" s="57" t="s">
        <v>2512</v>
      </c>
      <c r="AY47" s="57" t="s">
        <v>2513</v>
      </c>
      <c r="AZ47" s="58">
        <f t="shared" si="60"/>
        <v>4.4450000000000002E-3</v>
      </c>
      <c r="BA47" s="59">
        <f t="shared" si="64"/>
        <v>1.3042840375586856E-4</v>
      </c>
      <c r="BB47" s="59">
        <f t="shared" si="65"/>
        <v>3.9128521126760563E-4</v>
      </c>
      <c r="BC47" s="59">
        <f t="shared" si="66"/>
        <v>1.0434272300469485E-4</v>
      </c>
      <c r="BD47" s="60">
        <f t="shared" si="61"/>
        <v>1.0869565217391304E-3</v>
      </c>
      <c r="BE47" s="59">
        <f t="shared" si="62"/>
        <v>1.0869565217391304E-3</v>
      </c>
      <c r="BQ47" s="61">
        <v>3000</v>
      </c>
      <c r="BR47" s="61">
        <v>1200</v>
      </c>
      <c r="BS47" s="28">
        <f t="shared" si="27"/>
        <v>2980</v>
      </c>
      <c r="BT47" s="28">
        <f t="shared" si="28"/>
        <v>1180</v>
      </c>
      <c r="BU47" s="28" t="s">
        <v>2541</v>
      </c>
      <c r="BV47" s="28">
        <f t="shared" si="29"/>
        <v>285</v>
      </c>
      <c r="BW47" s="28">
        <f t="shared" si="30"/>
        <v>12.9375</v>
      </c>
      <c r="BX47" s="13">
        <f t="shared" si="31"/>
        <v>10.456140350877194</v>
      </c>
      <c r="BY47" s="13">
        <f t="shared" si="32"/>
        <v>10</v>
      </c>
      <c r="BZ47" s="13">
        <f t="shared" si="33"/>
        <v>91.207729468599027</v>
      </c>
      <c r="CA47" s="13">
        <f t="shared" si="34"/>
        <v>91</v>
      </c>
      <c r="CB47" s="13">
        <f t="shared" si="35"/>
        <v>910</v>
      </c>
      <c r="CC47" s="62">
        <f t="shared" si="36"/>
        <v>1.0989010989010989E-3</v>
      </c>
      <c r="CD47" s="13">
        <f t="shared" si="37"/>
        <v>230.33816425120773</v>
      </c>
      <c r="CE47" s="13">
        <f t="shared" si="38"/>
        <v>230</v>
      </c>
      <c r="CF47" s="13">
        <f t="shared" si="39"/>
        <v>4.1403508771929829</v>
      </c>
      <c r="CG47" s="13">
        <f t="shared" si="40"/>
        <v>4</v>
      </c>
      <c r="CH47" s="28">
        <f t="shared" si="41"/>
        <v>920</v>
      </c>
      <c r="CI47" s="62">
        <f t="shared" si="42"/>
        <v>1.0869565217391304E-3</v>
      </c>
      <c r="CJ47" s="59">
        <f t="shared" si="43"/>
        <v>1.0869565217391304E-3</v>
      </c>
      <c r="CL47" s="63">
        <v>6000</v>
      </c>
      <c r="CM47" s="63">
        <f t="shared" si="44"/>
        <v>280</v>
      </c>
      <c r="CN47" s="63">
        <f t="shared" si="45"/>
        <v>285</v>
      </c>
      <c r="CO47" s="63">
        <f t="shared" si="46"/>
        <v>21.05263157894737</v>
      </c>
      <c r="CP47" s="13">
        <f t="shared" si="47"/>
        <v>21</v>
      </c>
      <c r="CQ47" s="70">
        <f t="shared" si="48"/>
        <v>4.7619047619047616E-2</v>
      </c>
      <c r="CR47" s="69">
        <f t="shared" si="5"/>
        <v>4.7619047619047616E-2</v>
      </c>
    </row>
    <row r="48" spans="1:96" hidden="1" x14ac:dyDescent="0.25">
      <c r="A48" s="17">
        <v>5</v>
      </c>
      <c r="B48" s="6" t="s">
        <v>165</v>
      </c>
      <c r="C48" s="17" t="s">
        <v>186</v>
      </c>
      <c r="D48" s="17" t="s">
        <v>187</v>
      </c>
      <c r="E48" s="17" t="s">
        <v>52</v>
      </c>
      <c r="F48" s="7">
        <f t="shared" si="6"/>
        <v>2</v>
      </c>
      <c r="G48" s="17">
        <v>1</v>
      </c>
      <c r="H48" s="17">
        <f t="shared" si="69"/>
        <v>1</v>
      </c>
      <c r="I48" s="17">
        <v>17</v>
      </c>
      <c r="J48" s="6" t="s">
        <v>76</v>
      </c>
      <c r="K48" s="6" t="s">
        <v>34</v>
      </c>
      <c r="L48" s="17" t="s">
        <v>77</v>
      </c>
      <c r="M48" s="6" t="s">
        <v>35</v>
      </c>
      <c r="N48" s="17" t="s">
        <v>187</v>
      </c>
      <c r="O48" s="28" t="s">
        <v>41</v>
      </c>
      <c r="P48" s="28" t="s">
        <v>41</v>
      </c>
      <c r="Q48" s="28" t="s">
        <v>79</v>
      </c>
      <c r="R48" s="30">
        <v>15.118110236220474</v>
      </c>
      <c r="S48" s="30">
        <v>0.3125</v>
      </c>
      <c r="T48" s="30"/>
      <c r="U48" s="30">
        <v>0.3125</v>
      </c>
      <c r="V48" s="8">
        <f t="shared" si="7"/>
        <v>384</v>
      </c>
      <c r="W48" s="8">
        <f t="shared" si="8"/>
        <v>7.9375</v>
      </c>
      <c r="X48" s="8">
        <f t="shared" si="9"/>
        <v>0</v>
      </c>
      <c r="Y48" s="33">
        <f t="shared" si="10"/>
        <v>7.9375</v>
      </c>
      <c r="Z48" s="28" t="s">
        <v>80</v>
      </c>
      <c r="AA48" s="28" t="s">
        <v>81</v>
      </c>
      <c r="AB48" s="61" t="s">
        <v>79</v>
      </c>
      <c r="AC48" s="31" t="s">
        <v>82</v>
      </c>
      <c r="AD48" s="50">
        <f t="shared" si="11"/>
        <v>1</v>
      </c>
      <c r="AE48" s="31"/>
      <c r="AF48" s="51">
        <v>14</v>
      </c>
      <c r="AG48" s="51">
        <f t="shared" si="52"/>
        <v>8.4</v>
      </c>
      <c r="AH48" s="51">
        <f t="shared" si="1"/>
        <v>42</v>
      </c>
      <c r="AI48" s="52" t="s">
        <v>2497</v>
      </c>
      <c r="AJ48" s="52" t="s">
        <v>2498</v>
      </c>
      <c r="AK48" s="53">
        <f t="shared" si="53"/>
        <v>6.0959999999999999E-3</v>
      </c>
      <c r="AL48" s="54">
        <f t="shared" si="54"/>
        <v>0.11904761904761904</v>
      </c>
      <c r="AM48" s="54">
        <f t="shared" si="55"/>
        <v>2.3809523809523808E-2</v>
      </c>
      <c r="AN48" s="55">
        <f t="shared" si="56"/>
        <v>7.257142857142857E-4</v>
      </c>
      <c r="AO48" s="55">
        <f t="shared" si="57"/>
        <v>1.4514285714285714E-4</v>
      </c>
      <c r="AP48" s="53">
        <v>7.1</v>
      </c>
      <c r="AQ48" s="53">
        <f t="shared" si="18"/>
        <v>4.26</v>
      </c>
      <c r="AR48" s="53">
        <f t="shared" si="19"/>
        <v>21.299999999999997</v>
      </c>
      <c r="AS48" s="56">
        <f t="shared" si="20"/>
        <v>4.6948356807511742E-2</v>
      </c>
      <c r="AT48" s="56">
        <f t="shared" si="58"/>
        <v>0.23474178403755869</v>
      </c>
      <c r="AU48" s="56">
        <f t="shared" si="22"/>
        <v>0.176056338028169</v>
      </c>
      <c r="AV48" s="56">
        <f t="shared" si="59"/>
        <v>5.8685446009389672E-2</v>
      </c>
      <c r="AW48" s="57" t="s">
        <v>2511</v>
      </c>
      <c r="AX48" s="57" t="s">
        <v>2512</v>
      </c>
      <c r="AY48" s="57" t="s">
        <v>2513</v>
      </c>
      <c r="AZ48" s="58">
        <f t="shared" si="60"/>
        <v>6.0959999999999999E-3</v>
      </c>
      <c r="BA48" s="59">
        <f t="shared" si="64"/>
        <v>1.7887323943661972E-4</v>
      </c>
      <c r="BB48" s="59">
        <f t="shared" si="65"/>
        <v>5.3661971830985908E-4</v>
      </c>
      <c r="BC48" s="59">
        <f t="shared" si="66"/>
        <v>1.4309859154929577E-4</v>
      </c>
      <c r="BD48" s="60">
        <f t="shared" si="61"/>
        <v>1.4492753623188406E-3</v>
      </c>
      <c r="BE48" s="59">
        <f t="shared" si="62"/>
        <v>1.4492753623188406E-3</v>
      </c>
      <c r="BQ48" s="61">
        <v>3000</v>
      </c>
      <c r="BR48" s="61">
        <v>1200</v>
      </c>
      <c r="BS48" s="28">
        <f t="shared" si="27"/>
        <v>2980</v>
      </c>
      <c r="BT48" s="28">
        <f t="shared" si="28"/>
        <v>1180</v>
      </c>
      <c r="BU48" s="28" t="s">
        <v>2541</v>
      </c>
      <c r="BV48" s="28">
        <f t="shared" si="29"/>
        <v>389</v>
      </c>
      <c r="BW48" s="28">
        <f t="shared" si="30"/>
        <v>12.9375</v>
      </c>
      <c r="BX48" s="13">
        <f t="shared" si="31"/>
        <v>7.6606683804627247</v>
      </c>
      <c r="BY48" s="13">
        <f t="shared" si="32"/>
        <v>7</v>
      </c>
      <c r="BZ48" s="13">
        <f t="shared" si="33"/>
        <v>91.207729468599027</v>
      </c>
      <c r="CA48" s="13">
        <f t="shared" si="34"/>
        <v>91</v>
      </c>
      <c r="CB48" s="13">
        <f t="shared" si="35"/>
        <v>637</v>
      </c>
      <c r="CC48" s="62">
        <f t="shared" si="36"/>
        <v>1.5698587127158557E-3</v>
      </c>
      <c r="CD48" s="13">
        <f t="shared" si="37"/>
        <v>230.33816425120773</v>
      </c>
      <c r="CE48" s="13">
        <f t="shared" si="38"/>
        <v>230</v>
      </c>
      <c r="CF48" s="13">
        <f t="shared" si="39"/>
        <v>3.033419023136247</v>
      </c>
      <c r="CG48" s="13">
        <f t="shared" si="40"/>
        <v>3</v>
      </c>
      <c r="CH48" s="28">
        <f t="shared" si="41"/>
        <v>690</v>
      </c>
      <c r="CI48" s="62">
        <f t="shared" si="42"/>
        <v>1.4492753623188406E-3</v>
      </c>
      <c r="CJ48" s="59">
        <f t="shared" si="43"/>
        <v>1.4492753623188406E-3</v>
      </c>
      <c r="CL48" s="63">
        <v>6000</v>
      </c>
      <c r="CM48" s="63">
        <f t="shared" si="44"/>
        <v>384</v>
      </c>
      <c r="CN48" s="63">
        <f t="shared" si="45"/>
        <v>389</v>
      </c>
      <c r="CO48" s="63">
        <f t="shared" si="46"/>
        <v>15.424164524421593</v>
      </c>
      <c r="CP48" s="13">
        <f t="shared" si="47"/>
        <v>15</v>
      </c>
      <c r="CQ48" s="70">
        <f t="shared" si="48"/>
        <v>6.6666666666666666E-2</v>
      </c>
      <c r="CR48" s="69">
        <f t="shared" si="5"/>
        <v>6.6666666666666666E-2</v>
      </c>
    </row>
    <row r="49" spans="1:96" hidden="1" x14ac:dyDescent="0.25">
      <c r="A49" s="17">
        <v>5</v>
      </c>
      <c r="B49" s="6" t="s">
        <v>165</v>
      </c>
      <c r="C49" s="17" t="s">
        <v>188</v>
      </c>
      <c r="D49" s="17" t="s">
        <v>189</v>
      </c>
      <c r="E49" s="17" t="s">
        <v>52</v>
      </c>
      <c r="F49" s="7">
        <f t="shared" si="6"/>
        <v>5</v>
      </c>
      <c r="G49" s="17">
        <v>1</v>
      </c>
      <c r="H49" s="17">
        <f t="shared" si="69"/>
        <v>1</v>
      </c>
      <c r="I49" s="17">
        <v>18</v>
      </c>
      <c r="J49" s="6" t="s">
        <v>76</v>
      </c>
      <c r="K49" s="6" t="s">
        <v>34</v>
      </c>
      <c r="L49" s="17" t="s">
        <v>77</v>
      </c>
      <c r="M49" s="6" t="s">
        <v>35</v>
      </c>
      <c r="N49" s="17" t="s">
        <v>189</v>
      </c>
      <c r="O49" s="28" t="s">
        <v>41</v>
      </c>
      <c r="P49" s="28" t="s">
        <v>41</v>
      </c>
      <c r="Q49" s="28" t="s">
        <v>79</v>
      </c>
      <c r="R49" s="30">
        <v>15.039370078740159</v>
      </c>
      <c r="S49" s="30">
        <v>0.3125</v>
      </c>
      <c r="T49" s="30"/>
      <c r="U49" s="30">
        <v>0.3125</v>
      </c>
      <c r="V49" s="8">
        <f t="shared" si="7"/>
        <v>382</v>
      </c>
      <c r="W49" s="8">
        <f t="shared" si="8"/>
        <v>7.9375</v>
      </c>
      <c r="X49" s="8">
        <f t="shared" si="9"/>
        <v>0</v>
      </c>
      <c r="Y49" s="33">
        <f t="shared" si="10"/>
        <v>7.9375</v>
      </c>
      <c r="Z49" s="28" t="s">
        <v>80</v>
      </c>
      <c r="AA49" s="28" t="s">
        <v>81</v>
      </c>
      <c r="AB49" s="61" t="s">
        <v>79</v>
      </c>
      <c r="AC49" s="31" t="s">
        <v>82</v>
      </c>
      <c r="AD49" s="50">
        <f t="shared" si="11"/>
        <v>1</v>
      </c>
      <c r="AE49" s="31"/>
      <c r="AF49" s="51">
        <v>14</v>
      </c>
      <c r="AG49" s="51">
        <f t="shared" si="52"/>
        <v>8.4</v>
      </c>
      <c r="AH49" s="51">
        <f t="shared" si="1"/>
        <v>42</v>
      </c>
      <c r="AI49" s="52" t="s">
        <v>2497</v>
      </c>
      <c r="AJ49" s="52" t="s">
        <v>2498</v>
      </c>
      <c r="AK49" s="53">
        <f t="shared" si="53"/>
        <v>6.0642500000000002E-3</v>
      </c>
      <c r="AL49" s="54">
        <f t="shared" si="54"/>
        <v>0.11904761904761904</v>
      </c>
      <c r="AM49" s="54">
        <f t="shared" si="55"/>
        <v>2.3809523809523808E-2</v>
      </c>
      <c r="AN49" s="55">
        <f t="shared" si="56"/>
        <v>7.2193452380952378E-4</v>
      </c>
      <c r="AO49" s="55">
        <f t="shared" si="57"/>
        <v>1.4438690476190476E-4</v>
      </c>
      <c r="AP49" s="53">
        <v>7.1</v>
      </c>
      <c r="AQ49" s="53">
        <f t="shared" si="18"/>
        <v>4.26</v>
      </c>
      <c r="AR49" s="53">
        <f t="shared" si="19"/>
        <v>21.299999999999997</v>
      </c>
      <c r="AS49" s="56">
        <f t="shared" si="20"/>
        <v>4.6948356807511742E-2</v>
      </c>
      <c r="AT49" s="56">
        <f t="shared" si="58"/>
        <v>0.23474178403755869</v>
      </c>
      <c r="AU49" s="56">
        <f t="shared" si="22"/>
        <v>0.176056338028169</v>
      </c>
      <c r="AV49" s="56">
        <f t="shared" si="59"/>
        <v>5.8685446009389672E-2</v>
      </c>
      <c r="AW49" s="57" t="s">
        <v>2511</v>
      </c>
      <c r="AX49" s="57" t="s">
        <v>2512</v>
      </c>
      <c r="AY49" s="57" t="s">
        <v>2513</v>
      </c>
      <c r="AZ49" s="58">
        <f t="shared" si="60"/>
        <v>6.0642500000000002E-3</v>
      </c>
      <c r="BA49" s="59">
        <f t="shared" si="64"/>
        <v>1.7794160798122066E-4</v>
      </c>
      <c r="BB49" s="59">
        <f t="shared" si="65"/>
        <v>5.3382482394366191E-4</v>
      </c>
      <c r="BC49" s="59">
        <f t="shared" si="66"/>
        <v>1.4235328638497654E-4</v>
      </c>
      <c r="BD49" s="60">
        <f t="shared" si="61"/>
        <v>1.4492753623188406E-3</v>
      </c>
      <c r="BE49" s="59">
        <f t="shared" si="62"/>
        <v>1.4492753623188406E-3</v>
      </c>
      <c r="BQ49" s="61">
        <v>3000</v>
      </c>
      <c r="BR49" s="61">
        <v>1200</v>
      </c>
      <c r="BS49" s="28">
        <f t="shared" si="27"/>
        <v>2980</v>
      </c>
      <c r="BT49" s="28">
        <f t="shared" si="28"/>
        <v>1180</v>
      </c>
      <c r="BU49" s="28" t="s">
        <v>2541</v>
      </c>
      <c r="BV49" s="28">
        <f t="shared" si="29"/>
        <v>387</v>
      </c>
      <c r="BW49" s="28">
        <f t="shared" si="30"/>
        <v>12.9375</v>
      </c>
      <c r="BX49" s="13">
        <f t="shared" si="31"/>
        <v>7.7002583979328163</v>
      </c>
      <c r="BY49" s="13">
        <f t="shared" si="32"/>
        <v>7</v>
      </c>
      <c r="BZ49" s="13">
        <f t="shared" si="33"/>
        <v>91.207729468599027</v>
      </c>
      <c r="CA49" s="13">
        <f t="shared" si="34"/>
        <v>91</v>
      </c>
      <c r="CB49" s="13">
        <f t="shared" si="35"/>
        <v>637</v>
      </c>
      <c r="CC49" s="62">
        <f t="shared" si="36"/>
        <v>1.5698587127158557E-3</v>
      </c>
      <c r="CD49" s="13">
        <f t="shared" si="37"/>
        <v>230.33816425120773</v>
      </c>
      <c r="CE49" s="13">
        <f t="shared" si="38"/>
        <v>230</v>
      </c>
      <c r="CF49" s="13">
        <f t="shared" si="39"/>
        <v>3.0490956072351421</v>
      </c>
      <c r="CG49" s="13">
        <f t="shared" si="40"/>
        <v>3</v>
      </c>
      <c r="CH49" s="28">
        <f t="shared" si="41"/>
        <v>690</v>
      </c>
      <c r="CI49" s="62">
        <f t="shared" si="42"/>
        <v>1.4492753623188406E-3</v>
      </c>
      <c r="CJ49" s="59">
        <f t="shared" si="43"/>
        <v>1.4492753623188406E-3</v>
      </c>
      <c r="CL49" s="63">
        <v>6000</v>
      </c>
      <c r="CM49" s="63">
        <f t="shared" si="44"/>
        <v>382</v>
      </c>
      <c r="CN49" s="63">
        <f t="shared" si="45"/>
        <v>387</v>
      </c>
      <c r="CO49" s="63">
        <f t="shared" si="46"/>
        <v>15.503875968992247</v>
      </c>
      <c r="CP49" s="13">
        <f t="shared" si="47"/>
        <v>15</v>
      </c>
      <c r="CQ49" s="70">
        <f t="shared" si="48"/>
        <v>6.6666666666666666E-2</v>
      </c>
      <c r="CR49" s="69">
        <f t="shared" si="5"/>
        <v>6.6666666666666666E-2</v>
      </c>
    </row>
    <row r="50" spans="1:96" hidden="1" x14ac:dyDescent="0.25">
      <c r="A50" s="17">
        <v>5</v>
      </c>
      <c r="B50" s="6" t="s">
        <v>165</v>
      </c>
      <c r="C50" s="17" t="s">
        <v>190</v>
      </c>
      <c r="D50" s="17" t="s">
        <v>2270</v>
      </c>
      <c r="E50" s="17" t="s">
        <v>52</v>
      </c>
      <c r="F50" s="7">
        <f t="shared" si="6"/>
        <v>1</v>
      </c>
      <c r="G50" s="17">
        <v>1</v>
      </c>
      <c r="H50" s="17">
        <f t="shared" si="69"/>
        <v>1</v>
      </c>
      <c r="I50" s="17">
        <v>19</v>
      </c>
      <c r="J50" s="6" t="s">
        <v>76</v>
      </c>
      <c r="K50" s="6" t="s">
        <v>34</v>
      </c>
      <c r="L50" s="17" t="s">
        <v>77</v>
      </c>
      <c r="M50" s="6" t="s">
        <v>35</v>
      </c>
      <c r="N50" s="17" t="s">
        <v>191</v>
      </c>
      <c r="O50" s="28" t="s">
        <v>41</v>
      </c>
      <c r="P50" s="28" t="s">
        <v>41</v>
      </c>
      <c r="Q50" s="28" t="s">
        <v>79</v>
      </c>
      <c r="R50" s="30">
        <v>20.118110236220474</v>
      </c>
      <c r="S50" s="30">
        <v>0.3125</v>
      </c>
      <c r="T50" s="30"/>
      <c r="U50" s="30">
        <v>0.3125</v>
      </c>
      <c r="V50" s="8">
        <f t="shared" si="7"/>
        <v>511</v>
      </c>
      <c r="W50" s="8">
        <f t="shared" si="8"/>
        <v>7.9375</v>
      </c>
      <c r="X50" s="8">
        <f t="shared" si="9"/>
        <v>0</v>
      </c>
      <c r="Y50" s="33">
        <f t="shared" si="10"/>
        <v>7.9375</v>
      </c>
      <c r="Z50" s="28" t="s">
        <v>80</v>
      </c>
      <c r="AA50" s="28" t="s">
        <v>81</v>
      </c>
      <c r="AB50" s="61" t="s">
        <v>79</v>
      </c>
      <c r="AC50" s="31" t="s">
        <v>82</v>
      </c>
      <c r="AD50" s="50">
        <f t="shared" si="11"/>
        <v>1</v>
      </c>
      <c r="AE50" s="31"/>
      <c r="AF50" s="51">
        <v>14</v>
      </c>
      <c r="AG50" s="51">
        <f t="shared" si="52"/>
        <v>8.4</v>
      </c>
      <c r="AH50" s="51">
        <f t="shared" si="1"/>
        <v>42</v>
      </c>
      <c r="AI50" s="52" t="s">
        <v>2497</v>
      </c>
      <c r="AJ50" s="52" t="s">
        <v>2498</v>
      </c>
      <c r="AK50" s="53">
        <f t="shared" si="53"/>
        <v>8.1121249999999995E-3</v>
      </c>
      <c r="AL50" s="54">
        <f t="shared" si="54"/>
        <v>0.11904761904761904</v>
      </c>
      <c r="AM50" s="54">
        <f t="shared" si="55"/>
        <v>2.3809523809523808E-2</v>
      </c>
      <c r="AN50" s="55">
        <f t="shared" si="56"/>
        <v>9.657291666666666E-4</v>
      </c>
      <c r="AO50" s="55">
        <f t="shared" si="57"/>
        <v>1.9314583333333331E-4</v>
      </c>
      <c r="AP50" s="53">
        <v>7.1</v>
      </c>
      <c r="AQ50" s="53">
        <f t="shared" si="18"/>
        <v>4.26</v>
      </c>
      <c r="AR50" s="53">
        <f t="shared" si="19"/>
        <v>21.299999999999997</v>
      </c>
      <c r="AS50" s="56">
        <f t="shared" si="20"/>
        <v>4.6948356807511742E-2</v>
      </c>
      <c r="AT50" s="56">
        <f t="shared" si="58"/>
        <v>0.23474178403755869</v>
      </c>
      <c r="AU50" s="56">
        <f t="shared" si="22"/>
        <v>0.176056338028169</v>
      </c>
      <c r="AV50" s="56">
        <f t="shared" si="59"/>
        <v>5.8685446009389672E-2</v>
      </c>
      <c r="AW50" s="57" t="s">
        <v>2511</v>
      </c>
      <c r="AX50" s="57" t="s">
        <v>2512</v>
      </c>
      <c r="AY50" s="57" t="s">
        <v>2513</v>
      </c>
      <c r="AZ50" s="58">
        <f t="shared" si="60"/>
        <v>8.1121249999999995E-3</v>
      </c>
      <c r="BA50" s="59">
        <f t="shared" si="64"/>
        <v>2.3803183685446009E-4</v>
      </c>
      <c r="BB50" s="59">
        <f t="shared" si="65"/>
        <v>7.1409551056338019E-4</v>
      </c>
      <c r="BC50" s="59">
        <f t="shared" si="66"/>
        <v>1.9042546948356808E-4</v>
      </c>
      <c r="BD50" s="60">
        <f t="shared" si="61"/>
        <v>2.1739130434782609E-3</v>
      </c>
      <c r="BE50" s="59">
        <f t="shared" si="62"/>
        <v>2.1739130434782609E-3</v>
      </c>
      <c r="BQ50" s="61">
        <v>3000</v>
      </c>
      <c r="BR50" s="61">
        <v>1200</v>
      </c>
      <c r="BS50" s="28">
        <f t="shared" si="27"/>
        <v>2980</v>
      </c>
      <c r="BT50" s="28">
        <f t="shared" si="28"/>
        <v>1180</v>
      </c>
      <c r="BU50" s="28" t="s">
        <v>2541</v>
      </c>
      <c r="BV50" s="28">
        <f t="shared" si="29"/>
        <v>516</v>
      </c>
      <c r="BW50" s="28">
        <f t="shared" si="30"/>
        <v>12.9375</v>
      </c>
      <c r="BX50" s="13">
        <f t="shared" si="31"/>
        <v>5.775193798449612</v>
      </c>
      <c r="BY50" s="13">
        <f t="shared" si="32"/>
        <v>5</v>
      </c>
      <c r="BZ50" s="13">
        <f t="shared" si="33"/>
        <v>91.207729468599027</v>
      </c>
      <c r="CA50" s="13">
        <f t="shared" si="34"/>
        <v>91</v>
      </c>
      <c r="CB50" s="13">
        <f t="shared" si="35"/>
        <v>455</v>
      </c>
      <c r="CC50" s="62">
        <f t="shared" si="36"/>
        <v>2.1978021978021978E-3</v>
      </c>
      <c r="CD50" s="13">
        <f t="shared" si="37"/>
        <v>230.33816425120773</v>
      </c>
      <c r="CE50" s="13">
        <f t="shared" si="38"/>
        <v>230</v>
      </c>
      <c r="CF50" s="13">
        <f t="shared" si="39"/>
        <v>2.2868217054263567</v>
      </c>
      <c r="CG50" s="13">
        <f t="shared" si="40"/>
        <v>2</v>
      </c>
      <c r="CH50" s="28">
        <f t="shared" si="41"/>
        <v>460</v>
      </c>
      <c r="CI50" s="62">
        <f t="shared" si="42"/>
        <v>2.1739130434782609E-3</v>
      </c>
      <c r="CJ50" s="59">
        <f t="shared" si="43"/>
        <v>2.1739130434782609E-3</v>
      </c>
      <c r="CL50" s="63">
        <v>6000</v>
      </c>
      <c r="CM50" s="63">
        <f t="shared" si="44"/>
        <v>511</v>
      </c>
      <c r="CN50" s="63">
        <f t="shared" si="45"/>
        <v>516</v>
      </c>
      <c r="CO50" s="63">
        <f t="shared" si="46"/>
        <v>11.627906976744185</v>
      </c>
      <c r="CP50" s="13">
        <f t="shared" si="47"/>
        <v>11</v>
      </c>
      <c r="CQ50" s="70">
        <f t="shared" si="48"/>
        <v>9.0909090909090912E-2</v>
      </c>
      <c r="CR50" s="69">
        <f t="shared" si="5"/>
        <v>9.0909090909090912E-2</v>
      </c>
    </row>
    <row r="51" spans="1:96" hidden="1" x14ac:dyDescent="0.25">
      <c r="A51" s="17">
        <v>5</v>
      </c>
      <c r="B51" s="6" t="s">
        <v>165</v>
      </c>
      <c r="C51" s="17" t="s">
        <v>192</v>
      </c>
      <c r="D51" s="17" t="s">
        <v>2270</v>
      </c>
      <c r="E51" s="17" t="s">
        <v>52</v>
      </c>
      <c r="F51" s="7">
        <f t="shared" si="6"/>
        <v>1</v>
      </c>
      <c r="G51" s="17">
        <v>1</v>
      </c>
      <c r="H51" s="17">
        <f t="shared" si="69"/>
        <v>1</v>
      </c>
      <c r="I51" s="17">
        <v>20</v>
      </c>
      <c r="J51" s="6" t="s">
        <v>193</v>
      </c>
      <c r="K51" s="6" t="s">
        <v>34</v>
      </c>
      <c r="L51" s="17" t="s">
        <v>194</v>
      </c>
      <c r="M51" s="6" t="s">
        <v>35</v>
      </c>
      <c r="N51" s="17" t="s">
        <v>195</v>
      </c>
      <c r="O51" s="28" t="s">
        <v>41</v>
      </c>
      <c r="P51" s="28" t="s">
        <v>41</v>
      </c>
      <c r="Q51" s="28" t="s">
        <v>196</v>
      </c>
      <c r="R51" s="30">
        <v>24.88</v>
      </c>
      <c r="S51" s="30">
        <v>19.23</v>
      </c>
      <c r="T51" s="30"/>
      <c r="U51" s="30">
        <v>0.11799999999999999</v>
      </c>
      <c r="V51" s="8">
        <f t="shared" si="7"/>
        <v>631.95199999999988</v>
      </c>
      <c r="W51" s="8">
        <f t="shared" si="8"/>
        <v>488.44200000000001</v>
      </c>
      <c r="X51" s="8">
        <f t="shared" si="9"/>
        <v>0</v>
      </c>
      <c r="Y51" s="33">
        <f t="shared" si="10"/>
        <v>2.9971999999999999</v>
      </c>
      <c r="Z51" s="28" t="s">
        <v>56</v>
      </c>
      <c r="AA51" s="28" t="s">
        <v>57</v>
      </c>
      <c r="AB51" s="61" t="s">
        <v>196</v>
      </c>
      <c r="AC51" s="31" t="s">
        <v>197</v>
      </c>
      <c r="AD51" s="50">
        <f t="shared" si="11"/>
        <v>1</v>
      </c>
      <c r="AE51" s="31"/>
      <c r="AF51" s="51">
        <v>14</v>
      </c>
      <c r="AG51" s="51">
        <f t="shared" si="52"/>
        <v>8.4</v>
      </c>
      <c r="AH51" s="51">
        <f t="shared" si="1"/>
        <v>42</v>
      </c>
      <c r="AI51" s="52" t="s">
        <v>2497</v>
      </c>
      <c r="AJ51" s="52" t="s">
        <v>2498</v>
      </c>
      <c r="AK51" s="53">
        <f t="shared" si="53"/>
        <v>0.61734379756799995</v>
      </c>
      <c r="AL51" s="54">
        <f t="shared" si="54"/>
        <v>0.11904761904761904</v>
      </c>
      <c r="AM51" s="54">
        <f t="shared" si="55"/>
        <v>2.3809523809523808E-2</v>
      </c>
      <c r="AN51" s="55">
        <f t="shared" si="56"/>
        <v>7.3493309234285709E-2</v>
      </c>
      <c r="AO51" s="55">
        <f t="shared" si="57"/>
        <v>1.4698661846857142E-2</v>
      </c>
      <c r="AP51" s="53">
        <v>7.1</v>
      </c>
      <c r="AQ51" s="53">
        <f t="shared" si="18"/>
        <v>4.26</v>
      </c>
      <c r="AR51" s="53">
        <f t="shared" si="19"/>
        <v>21.299999999999997</v>
      </c>
      <c r="AS51" s="56">
        <f t="shared" si="20"/>
        <v>4.6948356807511742E-2</v>
      </c>
      <c r="AT51" s="56">
        <f t="shared" si="58"/>
        <v>0.23474178403755869</v>
      </c>
      <c r="AU51" s="56">
        <f t="shared" si="22"/>
        <v>0.176056338028169</v>
      </c>
      <c r="AV51" s="56">
        <f t="shared" si="59"/>
        <v>5.8685446009389672E-2</v>
      </c>
      <c r="AW51" s="57" t="s">
        <v>2511</v>
      </c>
      <c r="AX51" s="57" t="s">
        <v>2512</v>
      </c>
      <c r="AY51" s="57" t="s">
        <v>2513</v>
      </c>
      <c r="AZ51" s="58">
        <f t="shared" si="60"/>
        <v>0.61734379756799995</v>
      </c>
      <c r="BA51" s="59">
        <f t="shared" si="64"/>
        <v>1.8114548050704223E-2</v>
      </c>
      <c r="BB51" s="59">
        <f t="shared" si="65"/>
        <v>5.4343644152112666E-2</v>
      </c>
      <c r="BC51" s="59">
        <f t="shared" si="66"/>
        <v>1.449163844056338E-2</v>
      </c>
      <c r="BD51" s="60">
        <f t="shared" si="61"/>
        <v>0.125</v>
      </c>
      <c r="BE51" s="59">
        <f t="shared" si="62"/>
        <v>0.125</v>
      </c>
      <c r="BQ51" s="61">
        <v>3000</v>
      </c>
      <c r="BR51" s="61">
        <v>1200</v>
      </c>
      <c r="BS51" s="28">
        <f t="shared" si="27"/>
        <v>2980</v>
      </c>
      <c r="BT51" s="28">
        <f t="shared" si="28"/>
        <v>1180</v>
      </c>
      <c r="BU51" s="28" t="s">
        <v>2541</v>
      </c>
      <c r="BV51" s="28">
        <f t="shared" si="29"/>
        <v>636.95199999999988</v>
      </c>
      <c r="BW51" s="28">
        <f t="shared" si="30"/>
        <v>493.44200000000001</v>
      </c>
      <c r="BX51" s="13">
        <f t="shared" si="31"/>
        <v>4.6785315062987483</v>
      </c>
      <c r="BY51" s="13">
        <f t="shared" si="32"/>
        <v>4</v>
      </c>
      <c r="BZ51" s="13">
        <f t="shared" si="33"/>
        <v>2.3913651452450337</v>
      </c>
      <c r="CA51" s="13">
        <f t="shared" si="34"/>
        <v>2</v>
      </c>
      <c r="CB51" s="13">
        <f t="shared" si="35"/>
        <v>8</v>
      </c>
      <c r="CC51" s="62">
        <f t="shared" si="36"/>
        <v>0.125</v>
      </c>
      <c r="CD51" s="13">
        <f t="shared" si="37"/>
        <v>6.039210282059492</v>
      </c>
      <c r="CE51" s="13">
        <f t="shared" si="38"/>
        <v>6</v>
      </c>
      <c r="CF51" s="13">
        <f t="shared" si="39"/>
        <v>1.8525728783330615</v>
      </c>
      <c r="CG51" s="13">
        <f t="shared" si="40"/>
        <v>1</v>
      </c>
      <c r="CH51" s="28">
        <f t="shared" si="41"/>
        <v>6</v>
      </c>
      <c r="CI51" s="62">
        <f t="shared" si="42"/>
        <v>0.16666666666666666</v>
      </c>
      <c r="CJ51" s="59">
        <f t="shared" si="43"/>
        <v>0.125</v>
      </c>
      <c r="CL51" s="63">
        <v>6000</v>
      </c>
      <c r="CM51" s="63">
        <f t="shared" si="44"/>
        <v>631.95199999999988</v>
      </c>
      <c r="CN51" s="63">
        <f t="shared" si="45"/>
        <v>636.95199999999988</v>
      </c>
      <c r="CO51" s="63">
        <f t="shared" si="46"/>
        <v>9.4198620932189563</v>
      </c>
      <c r="CP51" s="13">
        <f t="shared" si="47"/>
        <v>9</v>
      </c>
      <c r="CQ51" s="70">
        <f t="shared" si="48"/>
        <v>0.1111111111111111</v>
      </c>
      <c r="CR51" s="69">
        <f t="shared" si="5"/>
        <v>0.1111111111111111</v>
      </c>
    </row>
    <row r="52" spans="1:96" hidden="1" x14ac:dyDescent="0.25">
      <c r="A52" s="17">
        <v>5</v>
      </c>
      <c r="B52" s="6" t="s">
        <v>165</v>
      </c>
      <c r="C52" s="17" t="s">
        <v>198</v>
      </c>
      <c r="D52" s="17" t="s">
        <v>2270</v>
      </c>
      <c r="E52" s="17" t="s">
        <v>32</v>
      </c>
      <c r="F52" s="7">
        <f t="shared" si="6"/>
        <v>1</v>
      </c>
      <c r="G52" s="17">
        <v>1</v>
      </c>
      <c r="H52" s="17">
        <f t="shared" si="69"/>
        <v>1</v>
      </c>
      <c r="I52" s="17">
        <v>30</v>
      </c>
      <c r="J52" s="6" t="s">
        <v>48</v>
      </c>
      <c r="K52" s="6" t="s">
        <v>34</v>
      </c>
      <c r="L52" s="17">
        <v>0</v>
      </c>
      <c r="M52" s="6" t="s">
        <v>35</v>
      </c>
      <c r="N52" s="17" t="s">
        <v>199</v>
      </c>
      <c r="O52" s="28" t="s">
        <v>41</v>
      </c>
      <c r="P52" s="28" t="s">
        <v>41</v>
      </c>
      <c r="Q52" s="28"/>
      <c r="R52" s="30"/>
      <c r="S52" s="30"/>
      <c r="T52" s="30"/>
      <c r="U52" s="30"/>
      <c r="V52" s="8">
        <f t="shared" si="7"/>
        <v>0</v>
      </c>
      <c r="W52" s="8">
        <f t="shared" si="8"/>
        <v>0</v>
      </c>
      <c r="X52" s="8">
        <f t="shared" si="9"/>
        <v>0</v>
      </c>
      <c r="Y52" s="33">
        <f t="shared" si="10"/>
        <v>0</v>
      </c>
      <c r="Z52" s="28"/>
      <c r="AA52" s="28"/>
      <c r="AB52" s="28"/>
      <c r="AC52" s="31"/>
      <c r="AD52" s="50">
        <f t="shared" si="11"/>
        <v>1</v>
      </c>
      <c r="AE52" s="31"/>
      <c r="AF52" s="51">
        <v>14</v>
      </c>
      <c r="AG52" s="51">
        <f t="shared" si="52"/>
        <v>8.4</v>
      </c>
      <c r="AH52" s="51">
        <f t="shared" si="1"/>
        <v>42</v>
      </c>
      <c r="AI52" s="52" t="s">
        <v>2497</v>
      </c>
      <c r="AJ52" s="52" t="s">
        <v>2498</v>
      </c>
      <c r="AK52" s="53">
        <f t="shared" si="53"/>
        <v>0</v>
      </c>
      <c r="AL52" s="54">
        <f t="shared" si="54"/>
        <v>0.11904761904761904</v>
      </c>
      <c r="AM52" s="54">
        <f t="shared" si="55"/>
        <v>2.3809523809523808E-2</v>
      </c>
      <c r="AN52" s="55">
        <f t="shared" si="56"/>
        <v>0</v>
      </c>
      <c r="AO52" s="55">
        <f t="shared" si="57"/>
        <v>0</v>
      </c>
      <c r="AP52" s="53">
        <v>7.1</v>
      </c>
      <c r="AQ52" s="53">
        <f t="shared" si="18"/>
        <v>4.26</v>
      </c>
      <c r="AR52" s="53">
        <f t="shared" si="19"/>
        <v>21.299999999999997</v>
      </c>
      <c r="AS52" s="56">
        <f t="shared" si="20"/>
        <v>4.6948356807511742E-2</v>
      </c>
      <c r="AT52" s="56">
        <f t="shared" si="58"/>
        <v>0.23474178403755869</v>
      </c>
      <c r="AU52" s="56">
        <f t="shared" si="22"/>
        <v>0.176056338028169</v>
      </c>
      <c r="AV52" s="56">
        <f t="shared" si="59"/>
        <v>5.8685446009389672E-2</v>
      </c>
      <c r="AW52" s="57" t="s">
        <v>2511</v>
      </c>
      <c r="AX52" s="57" t="s">
        <v>2512</v>
      </c>
      <c r="AY52" s="57" t="s">
        <v>2513</v>
      </c>
      <c r="AZ52" s="58">
        <f t="shared" si="60"/>
        <v>0</v>
      </c>
      <c r="BA52" s="59">
        <f t="shared" si="64"/>
        <v>0</v>
      </c>
      <c r="BB52" s="59">
        <f t="shared" si="65"/>
        <v>0</v>
      </c>
      <c r="BC52" s="59">
        <f t="shared" si="66"/>
        <v>0</v>
      </c>
      <c r="BD52" s="60">
        <f t="shared" si="61"/>
        <v>0</v>
      </c>
      <c r="BE52" s="59">
        <f t="shared" si="62"/>
        <v>0</v>
      </c>
      <c r="BQ52" s="61">
        <v>3000</v>
      </c>
      <c r="BR52" s="61">
        <v>1200</v>
      </c>
      <c r="BS52" s="28">
        <f t="shared" si="27"/>
        <v>2980</v>
      </c>
      <c r="BT52" s="28">
        <f t="shared" si="28"/>
        <v>1180</v>
      </c>
      <c r="BU52" s="28" t="s">
        <v>2541</v>
      </c>
      <c r="BV52" s="28">
        <f t="shared" si="29"/>
        <v>5</v>
      </c>
      <c r="BW52" s="28">
        <f t="shared" si="30"/>
        <v>5</v>
      </c>
      <c r="BX52" s="13">
        <f t="shared" si="31"/>
        <v>596</v>
      </c>
      <c r="BY52" s="13">
        <f t="shared" si="32"/>
        <v>596</v>
      </c>
      <c r="BZ52" s="13">
        <f t="shared" si="33"/>
        <v>236</v>
      </c>
      <c r="CA52" s="13">
        <f t="shared" si="34"/>
        <v>236</v>
      </c>
      <c r="CB52" s="13">
        <f t="shared" si="35"/>
        <v>140656</v>
      </c>
      <c r="CC52" s="62" t="str">
        <f t="shared" si="36"/>
        <v/>
      </c>
      <c r="CD52" s="13">
        <f t="shared" si="37"/>
        <v>596</v>
      </c>
      <c r="CE52" s="13">
        <f t="shared" si="38"/>
        <v>596</v>
      </c>
      <c r="CF52" s="13">
        <f t="shared" si="39"/>
        <v>236</v>
      </c>
      <c r="CG52" s="13">
        <f t="shared" si="40"/>
        <v>236</v>
      </c>
      <c r="CH52" s="28">
        <f t="shared" si="41"/>
        <v>140656</v>
      </c>
      <c r="CI52" s="62" t="str">
        <f t="shared" si="42"/>
        <v/>
      </c>
      <c r="CJ52" s="59">
        <f t="shared" si="43"/>
        <v>0</v>
      </c>
      <c r="CL52" s="63">
        <v>6000</v>
      </c>
      <c r="CM52" s="63">
        <f t="shared" si="44"/>
        <v>0</v>
      </c>
      <c r="CN52" s="63">
        <f t="shared" si="45"/>
        <v>5</v>
      </c>
      <c r="CO52" s="63">
        <f t="shared" si="46"/>
        <v>1200</v>
      </c>
      <c r="CP52" s="13">
        <f t="shared" si="47"/>
        <v>1200</v>
      </c>
      <c r="CQ52" s="70">
        <f t="shared" si="48"/>
        <v>8.3333333333333339E-4</v>
      </c>
      <c r="CR52" s="69">
        <f t="shared" si="5"/>
        <v>8.3333333333333339E-4</v>
      </c>
    </row>
    <row r="53" spans="1:96" hidden="1" x14ac:dyDescent="0.25">
      <c r="A53" s="42">
        <v>6</v>
      </c>
      <c r="B53" s="43" t="s">
        <v>200</v>
      </c>
      <c r="C53" s="42" t="s">
        <v>201</v>
      </c>
      <c r="D53" s="42" t="s">
        <v>2270</v>
      </c>
      <c r="E53" s="42" t="s">
        <v>52</v>
      </c>
      <c r="F53" s="44">
        <f t="shared" si="6"/>
        <v>1</v>
      </c>
      <c r="G53" s="42">
        <v>1</v>
      </c>
      <c r="H53" s="42">
        <f>G53*$H$52</f>
        <v>1</v>
      </c>
      <c r="I53" s="42">
        <v>1</v>
      </c>
      <c r="J53" s="43" t="s">
        <v>53</v>
      </c>
      <c r="K53" s="43" t="s">
        <v>34</v>
      </c>
      <c r="L53" s="42">
        <v>0</v>
      </c>
      <c r="M53" s="43" t="s">
        <v>35</v>
      </c>
      <c r="N53" s="42" t="s">
        <v>202</v>
      </c>
      <c r="O53" s="28" t="s">
        <v>41</v>
      </c>
      <c r="P53" s="28" t="s">
        <v>41</v>
      </c>
      <c r="Q53" s="28" t="s">
        <v>196</v>
      </c>
      <c r="R53" s="30">
        <v>57.527000000000001</v>
      </c>
      <c r="S53" s="30">
        <v>37.277000000000001</v>
      </c>
      <c r="T53" s="30"/>
      <c r="U53" s="30">
        <v>0.11799999999999999</v>
      </c>
      <c r="V53" s="8">
        <f t="shared" si="7"/>
        <v>1461.1858</v>
      </c>
      <c r="W53" s="8">
        <f t="shared" si="8"/>
        <v>946.83579999999995</v>
      </c>
      <c r="X53" s="8">
        <f t="shared" si="9"/>
        <v>0</v>
      </c>
      <c r="Y53" s="33">
        <f t="shared" si="10"/>
        <v>2.9971999999999999</v>
      </c>
      <c r="Z53" s="28" t="s">
        <v>56</v>
      </c>
      <c r="AA53" s="28" t="s">
        <v>57</v>
      </c>
      <c r="AB53" s="61" t="s">
        <v>196</v>
      </c>
      <c r="AC53" s="31" t="s">
        <v>197</v>
      </c>
      <c r="AD53" s="50">
        <f t="shared" si="11"/>
        <v>1</v>
      </c>
      <c r="AE53" s="31"/>
      <c r="AF53" s="51">
        <v>14</v>
      </c>
      <c r="AG53" s="51">
        <f t="shared" si="52"/>
        <v>8.4</v>
      </c>
      <c r="AH53" s="51">
        <f t="shared" si="1"/>
        <v>42</v>
      </c>
      <c r="AI53" s="52" t="s">
        <v>2497</v>
      </c>
      <c r="AJ53" s="52" t="s">
        <v>2498</v>
      </c>
      <c r="AK53" s="53">
        <f t="shared" si="53"/>
        <v>2.7670060517832802</v>
      </c>
      <c r="AL53" s="54">
        <f t="shared" si="54"/>
        <v>0.11904761904761904</v>
      </c>
      <c r="AM53" s="54">
        <f t="shared" si="55"/>
        <v>2.3809523809523808E-2</v>
      </c>
      <c r="AN53" s="55">
        <f t="shared" si="56"/>
        <v>0.32940548235515238</v>
      </c>
      <c r="AO53" s="55">
        <f t="shared" si="57"/>
        <v>6.5881096471030479E-2</v>
      </c>
      <c r="AP53" s="53">
        <v>7.1</v>
      </c>
      <c r="AQ53" s="53">
        <f t="shared" si="18"/>
        <v>4.26</v>
      </c>
      <c r="AR53" s="53">
        <f t="shared" si="19"/>
        <v>21.299999999999997</v>
      </c>
      <c r="AS53" s="56">
        <f t="shared" si="20"/>
        <v>4.6948356807511742E-2</v>
      </c>
      <c r="AT53" s="56">
        <f t="shared" si="58"/>
        <v>0.23474178403755869</v>
      </c>
      <c r="AU53" s="56">
        <f t="shared" si="22"/>
        <v>0.176056338028169</v>
      </c>
      <c r="AV53" s="56">
        <f t="shared" si="59"/>
        <v>5.8685446009389672E-2</v>
      </c>
      <c r="AW53" s="57" t="s">
        <v>2511</v>
      </c>
      <c r="AX53" s="57" t="s">
        <v>2512</v>
      </c>
      <c r="AY53" s="57" t="s">
        <v>2513</v>
      </c>
      <c r="AZ53" s="58">
        <f t="shared" si="60"/>
        <v>2.7670060517832802</v>
      </c>
      <c r="BA53" s="59">
        <f t="shared" si="64"/>
        <v>8.1191492129791085E-2</v>
      </c>
      <c r="BB53" s="59">
        <f t="shared" si="65"/>
        <v>0.24357447638937324</v>
      </c>
      <c r="BC53" s="59">
        <f t="shared" si="66"/>
        <v>6.4953193703832873E-2</v>
      </c>
      <c r="BD53" s="60">
        <f t="shared" si="61"/>
        <v>0.5</v>
      </c>
      <c r="BE53" s="59">
        <f t="shared" si="62"/>
        <v>0.5</v>
      </c>
      <c r="BQ53" s="61">
        <v>3000</v>
      </c>
      <c r="BR53" s="61">
        <v>1200</v>
      </c>
      <c r="BS53" s="28">
        <f t="shared" si="27"/>
        <v>2980</v>
      </c>
      <c r="BT53" s="28">
        <f t="shared" si="28"/>
        <v>1180</v>
      </c>
      <c r="BU53" s="28" t="s">
        <v>2541</v>
      </c>
      <c r="BV53" s="28">
        <f t="shared" si="29"/>
        <v>1466.1858</v>
      </c>
      <c r="BW53" s="28">
        <f t="shared" si="30"/>
        <v>951.83579999999995</v>
      </c>
      <c r="BX53" s="13">
        <f t="shared" si="31"/>
        <v>2.0324845595967442</v>
      </c>
      <c r="BY53" s="13">
        <f t="shared" si="32"/>
        <v>2</v>
      </c>
      <c r="BZ53" s="13">
        <f t="shared" si="33"/>
        <v>1.2397096221848349</v>
      </c>
      <c r="CA53" s="13">
        <f t="shared" si="34"/>
        <v>1</v>
      </c>
      <c r="CB53" s="13">
        <f t="shared" si="35"/>
        <v>2</v>
      </c>
      <c r="CC53" s="62">
        <f t="shared" si="36"/>
        <v>0.5</v>
      </c>
      <c r="CD53" s="13">
        <f t="shared" si="37"/>
        <v>3.1307920967040745</v>
      </c>
      <c r="CE53" s="13">
        <f t="shared" si="38"/>
        <v>3</v>
      </c>
      <c r="CF53" s="13">
        <f t="shared" si="39"/>
        <v>0.80480932225642887</v>
      </c>
      <c r="CG53" s="13">
        <f t="shared" si="40"/>
        <v>0</v>
      </c>
      <c r="CH53" s="28">
        <f t="shared" si="41"/>
        <v>0</v>
      </c>
      <c r="CI53" s="62">
        <f t="shared" si="42"/>
        <v>1</v>
      </c>
      <c r="CJ53" s="59">
        <f t="shared" si="43"/>
        <v>0.5</v>
      </c>
      <c r="CL53" s="63">
        <v>6000</v>
      </c>
      <c r="CM53" s="63">
        <f t="shared" si="44"/>
        <v>1461.1858</v>
      </c>
      <c r="CN53" s="63">
        <f t="shared" si="45"/>
        <v>1466.1858</v>
      </c>
      <c r="CO53" s="63">
        <f t="shared" si="46"/>
        <v>4.0922507911343846</v>
      </c>
      <c r="CP53" s="13">
        <f t="shared" si="47"/>
        <v>4</v>
      </c>
      <c r="CQ53" s="70">
        <f t="shared" si="48"/>
        <v>0.25</v>
      </c>
      <c r="CR53" s="69">
        <f t="shared" si="5"/>
        <v>0.25</v>
      </c>
    </row>
    <row r="54" spans="1:96" hidden="1" x14ac:dyDescent="0.25">
      <c r="A54" s="42">
        <v>6</v>
      </c>
      <c r="B54" s="43" t="s">
        <v>200</v>
      </c>
      <c r="C54" s="42" t="s">
        <v>71</v>
      </c>
      <c r="D54" s="42" t="s">
        <v>73</v>
      </c>
      <c r="E54" s="42" t="s">
        <v>52</v>
      </c>
      <c r="F54" s="44">
        <f t="shared" si="6"/>
        <v>3</v>
      </c>
      <c r="G54" s="42">
        <v>6</v>
      </c>
      <c r="H54" s="42">
        <f t="shared" ref="H54:H58" si="70">G54*$H$52</f>
        <v>6</v>
      </c>
      <c r="I54" s="42">
        <v>2</v>
      </c>
      <c r="J54" s="43" t="s">
        <v>72</v>
      </c>
      <c r="K54" s="43" t="s">
        <v>34</v>
      </c>
      <c r="L54" s="42">
        <v>0</v>
      </c>
      <c r="M54" s="43" t="s">
        <v>35</v>
      </c>
      <c r="N54" s="42" t="s">
        <v>73</v>
      </c>
      <c r="O54" s="28" t="s">
        <v>41</v>
      </c>
      <c r="P54" s="28" t="s">
        <v>41</v>
      </c>
      <c r="Q54" s="28" t="s">
        <v>73</v>
      </c>
      <c r="R54" s="30"/>
      <c r="S54" s="30"/>
      <c r="T54" s="30"/>
      <c r="U54" s="30"/>
      <c r="V54" s="8">
        <f t="shared" si="7"/>
        <v>0</v>
      </c>
      <c r="W54" s="8">
        <f t="shared" si="8"/>
        <v>0</v>
      </c>
      <c r="X54" s="8">
        <f t="shared" si="9"/>
        <v>0</v>
      </c>
      <c r="Y54" s="33">
        <f t="shared" si="10"/>
        <v>0</v>
      </c>
      <c r="Z54" s="28"/>
      <c r="AA54" s="28"/>
      <c r="AB54" s="61" t="s">
        <v>73</v>
      </c>
      <c r="AC54" s="31" t="s">
        <v>74</v>
      </c>
      <c r="AD54" s="50">
        <f t="shared" si="11"/>
        <v>6</v>
      </c>
      <c r="AE54" s="31"/>
      <c r="AF54" s="51">
        <v>14</v>
      </c>
      <c r="AG54" s="51">
        <f t="shared" si="52"/>
        <v>8.4</v>
      </c>
      <c r="AH54" s="51">
        <f t="shared" si="1"/>
        <v>42</v>
      </c>
      <c r="AI54" s="52" t="s">
        <v>2497</v>
      </c>
      <c r="AJ54" s="52" t="s">
        <v>2498</v>
      </c>
      <c r="AK54" s="53">
        <f t="shared" si="53"/>
        <v>0</v>
      </c>
      <c r="AL54" s="54">
        <f t="shared" si="54"/>
        <v>0.11904761904761904</v>
      </c>
      <c r="AM54" s="54">
        <f t="shared" si="55"/>
        <v>2.3809523809523808E-2</v>
      </c>
      <c r="AN54" s="55">
        <f t="shared" si="56"/>
        <v>0</v>
      </c>
      <c r="AO54" s="55">
        <f t="shared" si="57"/>
        <v>0</v>
      </c>
      <c r="AP54" s="53">
        <v>7.1</v>
      </c>
      <c r="AQ54" s="53">
        <f t="shared" si="18"/>
        <v>4.26</v>
      </c>
      <c r="AR54" s="53">
        <f t="shared" si="19"/>
        <v>21.299999999999997</v>
      </c>
      <c r="AS54" s="56">
        <f t="shared" si="20"/>
        <v>4.6948356807511742E-2</v>
      </c>
      <c r="AT54" s="56">
        <f t="shared" si="58"/>
        <v>0.23474178403755869</v>
      </c>
      <c r="AU54" s="56">
        <f t="shared" si="22"/>
        <v>0.176056338028169</v>
      </c>
      <c r="AV54" s="56">
        <f t="shared" si="59"/>
        <v>5.8685446009389672E-2</v>
      </c>
      <c r="AW54" s="57" t="s">
        <v>2511</v>
      </c>
      <c r="AX54" s="57" t="s">
        <v>2512</v>
      </c>
      <c r="AY54" s="57" t="s">
        <v>2513</v>
      </c>
      <c r="AZ54" s="58">
        <f t="shared" si="60"/>
        <v>0</v>
      </c>
      <c r="BA54" s="59">
        <f t="shared" si="64"/>
        <v>0</v>
      </c>
      <c r="BB54" s="59">
        <f t="shared" si="65"/>
        <v>0</v>
      </c>
      <c r="BC54" s="59">
        <f t="shared" si="66"/>
        <v>0</v>
      </c>
      <c r="BD54" s="60">
        <f t="shared" si="61"/>
        <v>7.1095438516664771E-6</v>
      </c>
      <c r="BE54" s="59">
        <f t="shared" si="62"/>
        <v>4.2657263109998864E-5</v>
      </c>
      <c r="BQ54" s="61">
        <v>3000</v>
      </c>
      <c r="BR54" s="61">
        <v>1200</v>
      </c>
      <c r="BS54" s="28">
        <f t="shared" si="27"/>
        <v>2980</v>
      </c>
      <c r="BT54" s="28">
        <f t="shared" si="28"/>
        <v>1180</v>
      </c>
      <c r="BU54" s="28" t="s">
        <v>2541</v>
      </c>
      <c r="BV54" s="28">
        <f t="shared" si="29"/>
        <v>5</v>
      </c>
      <c r="BW54" s="28">
        <f t="shared" si="30"/>
        <v>5</v>
      </c>
      <c r="BX54" s="13">
        <f t="shared" si="31"/>
        <v>596</v>
      </c>
      <c r="BY54" s="13">
        <f t="shared" si="32"/>
        <v>596</v>
      </c>
      <c r="BZ54" s="13">
        <f t="shared" si="33"/>
        <v>236</v>
      </c>
      <c r="CA54" s="13">
        <f t="shared" si="34"/>
        <v>236</v>
      </c>
      <c r="CB54" s="13">
        <f t="shared" si="35"/>
        <v>140656</v>
      </c>
      <c r="CC54" s="62">
        <f t="shared" si="36"/>
        <v>7.1095438516664771E-6</v>
      </c>
      <c r="CD54" s="13">
        <f t="shared" si="37"/>
        <v>596</v>
      </c>
      <c r="CE54" s="13">
        <f t="shared" si="38"/>
        <v>596</v>
      </c>
      <c r="CF54" s="13">
        <f t="shared" si="39"/>
        <v>236</v>
      </c>
      <c r="CG54" s="13">
        <f t="shared" si="40"/>
        <v>236</v>
      </c>
      <c r="CH54" s="28">
        <f t="shared" si="41"/>
        <v>140656</v>
      </c>
      <c r="CI54" s="62">
        <f t="shared" si="42"/>
        <v>7.1095438516664771E-6</v>
      </c>
      <c r="CJ54" s="59">
        <f t="shared" si="43"/>
        <v>7.1095438516664771E-6</v>
      </c>
      <c r="CL54" s="63">
        <v>6000</v>
      </c>
      <c r="CM54" s="63">
        <f t="shared" si="44"/>
        <v>0</v>
      </c>
      <c r="CN54" s="63">
        <f t="shared" si="45"/>
        <v>5</v>
      </c>
      <c r="CO54" s="63">
        <f t="shared" si="46"/>
        <v>1200</v>
      </c>
      <c r="CP54" s="13">
        <f t="shared" si="47"/>
        <v>1200</v>
      </c>
      <c r="CQ54" s="70">
        <f t="shared" si="48"/>
        <v>8.3333333333333339E-4</v>
      </c>
      <c r="CR54" s="69">
        <f t="shared" si="5"/>
        <v>5.0000000000000001E-3</v>
      </c>
    </row>
    <row r="55" spans="1:96" hidden="1" x14ac:dyDescent="0.25">
      <c r="A55" s="42">
        <v>6</v>
      </c>
      <c r="B55" s="43" t="s">
        <v>200</v>
      </c>
      <c r="C55" s="42" t="s">
        <v>63</v>
      </c>
      <c r="D55" s="42" t="s">
        <v>65</v>
      </c>
      <c r="E55" s="42" t="s">
        <v>52</v>
      </c>
      <c r="F55" s="44">
        <f t="shared" si="6"/>
        <v>2</v>
      </c>
      <c r="G55" s="42">
        <v>6</v>
      </c>
      <c r="H55" s="42">
        <f t="shared" si="70"/>
        <v>6</v>
      </c>
      <c r="I55" s="42">
        <v>3</v>
      </c>
      <c r="J55" s="43" t="s">
        <v>64</v>
      </c>
      <c r="K55" s="43" t="s">
        <v>34</v>
      </c>
      <c r="L55" s="42">
        <v>0</v>
      </c>
      <c r="M55" s="43" t="s">
        <v>35</v>
      </c>
      <c r="N55" s="42" t="s">
        <v>65</v>
      </c>
      <c r="O55" s="28" t="s">
        <v>41</v>
      </c>
      <c r="P55" s="28" t="s">
        <v>41</v>
      </c>
      <c r="Q55" s="28" t="s">
        <v>65</v>
      </c>
      <c r="R55" s="30"/>
      <c r="S55" s="30"/>
      <c r="T55" s="30"/>
      <c r="U55" s="30"/>
      <c r="V55" s="8">
        <f t="shared" si="7"/>
        <v>0</v>
      </c>
      <c r="W55" s="8">
        <f t="shared" si="8"/>
        <v>0</v>
      </c>
      <c r="X55" s="8">
        <f t="shared" si="9"/>
        <v>0</v>
      </c>
      <c r="Y55" s="33">
        <f t="shared" si="10"/>
        <v>0</v>
      </c>
      <c r="Z55" s="28"/>
      <c r="AA55" s="28"/>
      <c r="AB55" s="61" t="s">
        <v>65</v>
      </c>
      <c r="AC55" s="31" t="s">
        <v>66</v>
      </c>
      <c r="AD55" s="50">
        <f t="shared" si="11"/>
        <v>6</v>
      </c>
      <c r="AE55" s="47" t="s">
        <v>107</v>
      </c>
      <c r="AF55" s="51">
        <v>14</v>
      </c>
      <c r="AG55" s="51">
        <f t="shared" si="52"/>
        <v>8.4</v>
      </c>
      <c r="AH55" s="51">
        <f t="shared" si="1"/>
        <v>42</v>
      </c>
      <c r="AI55" s="52" t="s">
        <v>2497</v>
      </c>
      <c r="AJ55" s="52" t="s">
        <v>2498</v>
      </c>
      <c r="AK55" s="53">
        <f t="shared" si="53"/>
        <v>0</v>
      </c>
      <c r="AL55" s="54">
        <f t="shared" si="54"/>
        <v>0.11904761904761904</v>
      </c>
      <c r="AM55" s="54">
        <f t="shared" si="55"/>
        <v>2.3809523809523808E-2</v>
      </c>
      <c r="AN55" s="55">
        <f t="shared" si="56"/>
        <v>0</v>
      </c>
      <c r="AO55" s="55">
        <f t="shared" si="57"/>
        <v>0</v>
      </c>
      <c r="AP55" s="53">
        <v>7.1</v>
      </c>
      <c r="AQ55" s="53">
        <f t="shared" si="18"/>
        <v>4.26</v>
      </c>
      <c r="AR55" s="53">
        <f t="shared" si="19"/>
        <v>21.299999999999997</v>
      </c>
      <c r="AS55" s="56">
        <f t="shared" si="20"/>
        <v>4.6948356807511742E-2</v>
      </c>
      <c r="AT55" s="56">
        <f t="shared" si="58"/>
        <v>0.23474178403755869</v>
      </c>
      <c r="AU55" s="56">
        <f t="shared" si="22"/>
        <v>0.176056338028169</v>
      </c>
      <c r="AV55" s="56">
        <f t="shared" si="59"/>
        <v>5.8685446009389672E-2</v>
      </c>
      <c r="AW55" s="57" t="s">
        <v>2511</v>
      </c>
      <c r="AX55" s="57" t="s">
        <v>2512</v>
      </c>
      <c r="AY55" s="57" t="s">
        <v>2513</v>
      </c>
      <c r="AZ55" s="58">
        <f t="shared" si="60"/>
        <v>0</v>
      </c>
      <c r="BA55" s="59">
        <f t="shared" si="64"/>
        <v>0</v>
      </c>
      <c r="BB55" s="59">
        <f t="shared" si="65"/>
        <v>0</v>
      </c>
      <c r="BC55" s="59">
        <f t="shared" si="66"/>
        <v>0</v>
      </c>
      <c r="BD55" s="60">
        <f t="shared" si="61"/>
        <v>7.1095438516664771E-6</v>
      </c>
      <c r="BE55" s="59">
        <f t="shared" si="62"/>
        <v>4.2657263109998864E-5</v>
      </c>
      <c r="BQ55" s="61">
        <v>3000</v>
      </c>
      <c r="BR55" s="61">
        <v>1200</v>
      </c>
      <c r="BS55" s="28">
        <f t="shared" si="27"/>
        <v>2980</v>
      </c>
      <c r="BT55" s="28">
        <f t="shared" si="28"/>
        <v>1180</v>
      </c>
      <c r="BU55" s="28" t="s">
        <v>2541</v>
      </c>
      <c r="BV55" s="28">
        <f t="shared" si="29"/>
        <v>5</v>
      </c>
      <c r="BW55" s="28">
        <f t="shared" si="30"/>
        <v>5</v>
      </c>
      <c r="BX55" s="13">
        <f t="shared" si="31"/>
        <v>596</v>
      </c>
      <c r="BY55" s="13">
        <f t="shared" si="32"/>
        <v>596</v>
      </c>
      <c r="BZ55" s="13">
        <f t="shared" si="33"/>
        <v>236</v>
      </c>
      <c r="CA55" s="13">
        <f t="shared" si="34"/>
        <v>236</v>
      </c>
      <c r="CB55" s="13">
        <f t="shared" si="35"/>
        <v>140656</v>
      </c>
      <c r="CC55" s="62">
        <f t="shared" si="36"/>
        <v>7.1095438516664771E-6</v>
      </c>
      <c r="CD55" s="13">
        <f t="shared" si="37"/>
        <v>596</v>
      </c>
      <c r="CE55" s="13">
        <f t="shared" si="38"/>
        <v>596</v>
      </c>
      <c r="CF55" s="13">
        <f t="shared" si="39"/>
        <v>236</v>
      </c>
      <c r="CG55" s="13">
        <f t="shared" si="40"/>
        <v>236</v>
      </c>
      <c r="CH55" s="28">
        <f t="shared" si="41"/>
        <v>140656</v>
      </c>
      <c r="CI55" s="62">
        <f t="shared" si="42"/>
        <v>7.1095438516664771E-6</v>
      </c>
      <c r="CJ55" s="59">
        <f t="shared" si="43"/>
        <v>7.1095438516664771E-6</v>
      </c>
      <c r="CL55" s="63">
        <v>6000</v>
      </c>
      <c r="CM55" s="63">
        <f t="shared" si="44"/>
        <v>0</v>
      </c>
      <c r="CN55" s="63">
        <f t="shared" si="45"/>
        <v>5</v>
      </c>
      <c r="CO55" s="63">
        <f t="shared" si="46"/>
        <v>1200</v>
      </c>
      <c r="CP55" s="13">
        <f t="shared" si="47"/>
        <v>1200</v>
      </c>
      <c r="CQ55" s="70">
        <f t="shared" si="48"/>
        <v>8.3333333333333339E-4</v>
      </c>
      <c r="CR55" s="69">
        <f t="shared" si="5"/>
        <v>5.0000000000000001E-3</v>
      </c>
    </row>
    <row r="56" spans="1:96" hidden="1" x14ac:dyDescent="0.25">
      <c r="A56" s="42">
        <v>6</v>
      </c>
      <c r="B56" s="43" t="s">
        <v>200</v>
      </c>
      <c r="C56" s="42" t="s">
        <v>203</v>
      </c>
      <c r="D56" s="42" t="s">
        <v>205</v>
      </c>
      <c r="E56" s="42" t="s">
        <v>52</v>
      </c>
      <c r="F56" s="44">
        <f t="shared" si="6"/>
        <v>1</v>
      </c>
      <c r="G56" s="42">
        <v>6</v>
      </c>
      <c r="H56" s="42">
        <f t="shared" si="70"/>
        <v>6</v>
      </c>
      <c r="I56" s="42">
        <v>4</v>
      </c>
      <c r="J56" s="43" t="s">
        <v>204</v>
      </c>
      <c r="K56" s="43" t="s">
        <v>34</v>
      </c>
      <c r="L56" s="42">
        <v>0</v>
      </c>
      <c r="M56" s="43" t="s">
        <v>35</v>
      </c>
      <c r="N56" s="42" t="s">
        <v>205</v>
      </c>
      <c r="O56" s="28" t="s">
        <v>41</v>
      </c>
      <c r="P56" s="28" t="s">
        <v>41</v>
      </c>
      <c r="Q56" s="28" t="s">
        <v>205</v>
      </c>
      <c r="R56" s="30"/>
      <c r="S56" s="30"/>
      <c r="T56" s="30"/>
      <c r="U56" s="30"/>
      <c r="V56" s="8">
        <f t="shared" si="7"/>
        <v>0</v>
      </c>
      <c r="W56" s="8">
        <f t="shared" si="8"/>
        <v>0</v>
      </c>
      <c r="X56" s="8">
        <f t="shared" si="9"/>
        <v>0</v>
      </c>
      <c r="Y56" s="33">
        <f t="shared" si="10"/>
        <v>0</v>
      </c>
      <c r="Z56" s="28"/>
      <c r="AA56" s="28"/>
      <c r="AB56" s="61" t="s">
        <v>205</v>
      </c>
      <c r="AC56" s="31" t="s">
        <v>206</v>
      </c>
      <c r="AD56" s="50">
        <f t="shared" si="11"/>
        <v>6</v>
      </c>
      <c r="AE56" s="47" t="s">
        <v>107</v>
      </c>
      <c r="AF56" s="51">
        <v>14</v>
      </c>
      <c r="AG56" s="51">
        <f t="shared" si="52"/>
        <v>8.4</v>
      </c>
      <c r="AH56" s="51">
        <f t="shared" si="1"/>
        <v>42</v>
      </c>
      <c r="AI56" s="52" t="s">
        <v>2497</v>
      </c>
      <c r="AJ56" s="52" t="s">
        <v>2498</v>
      </c>
      <c r="AK56" s="53">
        <f t="shared" si="53"/>
        <v>0</v>
      </c>
      <c r="AL56" s="54">
        <f t="shared" si="54"/>
        <v>0.11904761904761904</v>
      </c>
      <c r="AM56" s="54">
        <f t="shared" si="55"/>
        <v>2.3809523809523808E-2</v>
      </c>
      <c r="AN56" s="55">
        <f t="shared" si="56"/>
        <v>0</v>
      </c>
      <c r="AO56" s="55">
        <f t="shared" si="57"/>
        <v>0</v>
      </c>
      <c r="AP56" s="53">
        <v>7.1</v>
      </c>
      <c r="AQ56" s="53">
        <f t="shared" si="18"/>
        <v>4.26</v>
      </c>
      <c r="AR56" s="53">
        <f t="shared" si="19"/>
        <v>21.299999999999997</v>
      </c>
      <c r="AS56" s="56">
        <f t="shared" si="20"/>
        <v>4.6948356807511742E-2</v>
      </c>
      <c r="AT56" s="56">
        <f t="shared" si="58"/>
        <v>0.23474178403755869</v>
      </c>
      <c r="AU56" s="56">
        <f t="shared" si="22"/>
        <v>0.176056338028169</v>
      </c>
      <c r="AV56" s="56">
        <f t="shared" si="59"/>
        <v>5.8685446009389672E-2</v>
      </c>
      <c r="AW56" s="57" t="s">
        <v>2511</v>
      </c>
      <c r="AX56" s="57" t="s">
        <v>2512</v>
      </c>
      <c r="AY56" s="57" t="s">
        <v>2513</v>
      </c>
      <c r="AZ56" s="58">
        <f t="shared" si="60"/>
        <v>0</v>
      </c>
      <c r="BA56" s="59">
        <f t="shared" si="64"/>
        <v>0</v>
      </c>
      <c r="BB56" s="59">
        <f t="shared" si="65"/>
        <v>0</v>
      </c>
      <c r="BC56" s="59">
        <f t="shared" si="66"/>
        <v>0</v>
      </c>
      <c r="BD56" s="60">
        <f t="shared" si="61"/>
        <v>7.1095438516664771E-6</v>
      </c>
      <c r="BE56" s="59">
        <f t="shared" si="62"/>
        <v>4.2657263109998864E-5</v>
      </c>
      <c r="BQ56" s="61">
        <v>3000</v>
      </c>
      <c r="BR56" s="61">
        <v>1200</v>
      </c>
      <c r="BS56" s="28">
        <f t="shared" si="27"/>
        <v>2980</v>
      </c>
      <c r="BT56" s="28">
        <f t="shared" si="28"/>
        <v>1180</v>
      </c>
      <c r="BU56" s="28" t="s">
        <v>2541</v>
      </c>
      <c r="BV56" s="28">
        <f t="shared" si="29"/>
        <v>5</v>
      </c>
      <c r="BW56" s="28">
        <f t="shared" si="30"/>
        <v>5</v>
      </c>
      <c r="BX56" s="13">
        <f t="shared" si="31"/>
        <v>596</v>
      </c>
      <c r="BY56" s="13">
        <f t="shared" si="32"/>
        <v>596</v>
      </c>
      <c r="BZ56" s="13">
        <f t="shared" si="33"/>
        <v>236</v>
      </c>
      <c r="CA56" s="13">
        <f t="shared" si="34"/>
        <v>236</v>
      </c>
      <c r="CB56" s="13">
        <f t="shared" si="35"/>
        <v>140656</v>
      </c>
      <c r="CC56" s="62">
        <f t="shared" si="36"/>
        <v>7.1095438516664771E-6</v>
      </c>
      <c r="CD56" s="13">
        <f t="shared" si="37"/>
        <v>596</v>
      </c>
      <c r="CE56" s="13">
        <f t="shared" si="38"/>
        <v>596</v>
      </c>
      <c r="CF56" s="13">
        <f t="shared" si="39"/>
        <v>236</v>
      </c>
      <c r="CG56" s="13">
        <f t="shared" si="40"/>
        <v>236</v>
      </c>
      <c r="CH56" s="28">
        <f t="shared" si="41"/>
        <v>140656</v>
      </c>
      <c r="CI56" s="62">
        <f t="shared" si="42"/>
        <v>7.1095438516664771E-6</v>
      </c>
      <c r="CJ56" s="59">
        <f t="shared" si="43"/>
        <v>7.1095438516664771E-6</v>
      </c>
      <c r="CL56" s="63">
        <v>6000</v>
      </c>
      <c r="CM56" s="63">
        <f t="shared" si="44"/>
        <v>0</v>
      </c>
      <c r="CN56" s="63">
        <f t="shared" si="45"/>
        <v>5</v>
      </c>
      <c r="CO56" s="63">
        <f t="shared" si="46"/>
        <v>1200</v>
      </c>
      <c r="CP56" s="13">
        <f t="shared" si="47"/>
        <v>1200</v>
      </c>
      <c r="CQ56" s="70">
        <f t="shared" si="48"/>
        <v>8.3333333333333339E-4</v>
      </c>
      <c r="CR56" s="69">
        <f t="shared" si="5"/>
        <v>5.0000000000000001E-3</v>
      </c>
    </row>
    <row r="57" spans="1:96" hidden="1" x14ac:dyDescent="0.25">
      <c r="A57" s="42">
        <v>6</v>
      </c>
      <c r="B57" s="43" t="s">
        <v>200</v>
      </c>
      <c r="C57" s="42" t="s">
        <v>59</v>
      </c>
      <c r="D57" s="42" t="s">
        <v>61</v>
      </c>
      <c r="E57" s="42" t="s">
        <v>52</v>
      </c>
      <c r="F57" s="44">
        <f t="shared" si="6"/>
        <v>19</v>
      </c>
      <c r="G57" s="42">
        <v>2</v>
      </c>
      <c r="H57" s="42">
        <f t="shared" si="70"/>
        <v>2</v>
      </c>
      <c r="I57" s="42">
        <v>5</v>
      </c>
      <c r="J57" s="43" t="s">
        <v>60</v>
      </c>
      <c r="K57" s="43" t="s">
        <v>34</v>
      </c>
      <c r="L57" s="42">
        <v>0</v>
      </c>
      <c r="M57" s="43" t="s">
        <v>35</v>
      </c>
      <c r="N57" s="42" t="s">
        <v>61</v>
      </c>
      <c r="O57" s="28" t="s">
        <v>41</v>
      </c>
      <c r="P57" s="28" t="s">
        <v>41</v>
      </c>
      <c r="Q57" s="28" t="s">
        <v>61</v>
      </c>
      <c r="R57" s="30"/>
      <c r="S57" s="30"/>
      <c r="T57" s="30"/>
      <c r="U57" s="30"/>
      <c r="V57" s="8">
        <f t="shared" si="7"/>
        <v>0</v>
      </c>
      <c r="W57" s="8">
        <f t="shared" si="8"/>
        <v>0</v>
      </c>
      <c r="X57" s="8">
        <f t="shared" si="9"/>
        <v>0</v>
      </c>
      <c r="Y57" s="33">
        <f t="shared" si="10"/>
        <v>0</v>
      </c>
      <c r="Z57" s="28"/>
      <c r="AA57" s="28"/>
      <c r="AB57" s="61" t="s">
        <v>61</v>
      </c>
      <c r="AC57" s="31" t="s">
        <v>62</v>
      </c>
      <c r="AD57" s="50">
        <f t="shared" si="11"/>
        <v>2</v>
      </c>
      <c r="AE57" s="31"/>
      <c r="AF57" s="51">
        <v>14</v>
      </c>
      <c r="AG57" s="51">
        <f t="shared" si="52"/>
        <v>8.4</v>
      </c>
      <c r="AH57" s="51">
        <f t="shared" si="1"/>
        <v>42</v>
      </c>
      <c r="AI57" s="52" t="s">
        <v>2497</v>
      </c>
      <c r="AJ57" s="52" t="s">
        <v>2498</v>
      </c>
      <c r="AK57" s="53">
        <f t="shared" si="53"/>
        <v>0</v>
      </c>
      <c r="AL57" s="54">
        <f t="shared" si="54"/>
        <v>0.11904761904761904</v>
      </c>
      <c r="AM57" s="54">
        <f t="shared" si="55"/>
        <v>2.3809523809523808E-2</v>
      </c>
      <c r="AN57" s="55">
        <f t="shared" si="56"/>
        <v>0</v>
      </c>
      <c r="AO57" s="55">
        <f t="shared" si="57"/>
        <v>0</v>
      </c>
      <c r="AP57" s="53">
        <v>7.1</v>
      </c>
      <c r="AQ57" s="53">
        <f t="shared" si="18"/>
        <v>4.26</v>
      </c>
      <c r="AR57" s="53">
        <f t="shared" si="19"/>
        <v>21.299999999999997</v>
      </c>
      <c r="AS57" s="56">
        <f t="shared" si="20"/>
        <v>4.6948356807511742E-2</v>
      </c>
      <c r="AT57" s="56">
        <f t="shared" si="58"/>
        <v>0.23474178403755869</v>
      </c>
      <c r="AU57" s="56">
        <f t="shared" si="22"/>
        <v>0.176056338028169</v>
      </c>
      <c r="AV57" s="56">
        <f t="shared" si="59"/>
        <v>5.8685446009389672E-2</v>
      </c>
      <c r="AW57" s="57" t="s">
        <v>2511</v>
      </c>
      <c r="AX57" s="57" t="s">
        <v>2512</v>
      </c>
      <c r="AY57" s="57" t="s">
        <v>2513</v>
      </c>
      <c r="AZ57" s="58">
        <f t="shared" si="60"/>
        <v>0</v>
      </c>
      <c r="BA57" s="59">
        <f t="shared" si="64"/>
        <v>0</v>
      </c>
      <c r="BB57" s="59">
        <f t="shared" si="65"/>
        <v>0</v>
      </c>
      <c r="BC57" s="59">
        <f t="shared" si="66"/>
        <v>0</v>
      </c>
      <c r="BD57" s="60">
        <f t="shared" si="61"/>
        <v>7.1095438516664771E-6</v>
      </c>
      <c r="BE57" s="59">
        <f t="shared" si="62"/>
        <v>1.4219087703332954E-5</v>
      </c>
      <c r="BQ57" s="61">
        <v>3000</v>
      </c>
      <c r="BR57" s="61">
        <v>1200</v>
      </c>
      <c r="BS57" s="28">
        <f t="shared" si="27"/>
        <v>2980</v>
      </c>
      <c r="BT57" s="28">
        <f t="shared" si="28"/>
        <v>1180</v>
      </c>
      <c r="BU57" s="28" t="s">
        <v>2541</v>
      </c>
      <c r="BV57" s="28">
        <f t="shared" si="29"/>
        <v>5</v>
      </c>
      <c r="BW57" s="28">
        <f t="shared" si="30"/>
        <v>5</v>
      </c>
      <c r="BX57" s="13">
        <f t="shared" si="31"/>
        <v>596</v>
      </c>
      <c r="BY57" s="13">
        <f t="shared" si="32"/>
        <v>596</v>
      </c>
      <c r="BZ57" s="13">
        <f t="shared" si="33"/>
        <v>236</v>
      </c>
      <c r="CA57" s="13">
        <f t="shared" si="34"/>
        <v>236</v>
      </c>
      <c r="CB57" s="13">
        <f t="shared" si="35"/>
        <v>140656</v>
      </c>
      <c r="CC57" s="62">
        <f t="shared" si="36"/>
        <v>7.1095438516664771E-6</v>
      </c>
      <c r="CD57" s="13">
        <f t="shared" si="37"/>
        <v>596</v>
      </c>
      <c r="CE57" s="13">
        <f t="shared" si="38"/>
        <v>596</v>
      </c>
      <c r="CF57" s="13">
        <f t="shared" si="39"/>
        <v>236</v>
      </c>
      <c r="CG57" s="13">
        <f t="shared" si="40"/>
        <v>236</v>
      </c>
      <c r="CH57" s="28">
        <f t="shared" si="41"/>
        <v>140656</v>
      </c>
      <c r="CI57" s="62">
        <f t="shared" si="42"/>
        <v>7.1095438516664771E-6</v>
      </c>
      <c r="CJ57" s="59">
        <f t="shared" si="43"/>
        <v>7.1095438516664771E-6</v>
      </c>
      <c r="CL57" s="63">
        <v>6000</v>
      </c>
      <c r="CM57" s="63">
        <f t="shared" si="44"/>
        <v>0</v>
      </c>
      <c r="CN57" s="63">
        <f t="shared" si="45"/>
        <v>5</v>
      </c>
      <c r="CO57" s="63">
        <f t="shared" si="46"/>
        <v>1200</v>
      </c>
      <c r="CP57" s="13">
        <f t="shared" si="47"/>
        <v>1200</v>
      </c>
      <c r="CQ57" s="70">
        <f t="shared" si="48"/>
        <v>8.3333333333333339E-4</v>
      </c>
      <c r="CR57" s="69">
        <f t="shared" si="5"/>
        <v>1.6666666666666668E-3</v>
      </c>
    </row>
    <row r="58" spans="1:96" hidden="1" x14ac:dyDescent="0.25">
      <c r="A58" s="42">
        <v>6</v>
      </c>
      <c r="B58" s="43" t="s">
        <v>200</v>
      </c>
      <c r="C58" s="42" t="s">
        <v>207</v>
      </c>
      <c r="D58" s="42" t="s">
        <v>209</v>
      </c>
      <c r="E58" s="42" t="s">
        <v>52</v>
      </c>
      <c r="F58" s="44">
        <f t="shared" si="6"/>
        <v>2</v>
      </c>
      <c r="G58" s="42">
        <v>3</v>
      </c>
      <c r="H58" s="42">
        <f t="shared" si="70"/>
        <v>3</v>
      </c>
      <c r="I58" s="42">
        <v>6</v>
      </c>
      <c r="J58" s="43" t="s">
        <v>208</v>
      </c>
      <c r="K58" s="43" t="s">
        <v>34</v>
      </c>
      <c r="L58" s="42">
        <v>0</v>
      </c>
      <c r="M58" s="43" t="s">
        <v>35</v>
      </c>
      <c r="N58" s="42" t="s">
        <v>209</v>
      </c>
      <c r="O58" s="28" t="s">
        <v>41</v>
      </c>
      <c r="P58" s="28" t="s">
        <v>41</v>
      </c>
      <c r="Q58" s="28" t="s">
        <v>209</v>
      </c>
      <c r="R58" s="30"/>
      <c r="S58" s="30"/>
      <c r="T58" s="30"/>
      <c r="U58" s="30"/>
      <c r="V58" s="8">
        <f t="shared" si="7"/>
        <v>0</v>
      </c>
      <c r="W58" s="8">
        <f t="shared" si="8"/>
        <v>0</v>
      </c>
      <c r="X58" s="8">
        <f t="shared" si="9"/>
        <v>0</v>
      </c>
      <c r="Y58" s="33">
        <f t="shared" si="10"/>
        <v>0</v>
      </c>
      <c r="Z58" s="28"/>
      <c r="AA58" s="28"/>
      <c r="AB58" s="61" t="s">
        <v>209</v>
      </c>
      <c r="AC58" s="31" t="s">
        <v>210</v>
      </c>
      <c r="AD58" s="50">
        <f t="shared" si="11"/>
        <v>3</v>
      </c>
      <c r="AE58" s="31"/>
      <c r="AF58" s="51">
        <v>14</v>
      </c>
      <c r="AG58" s="51">
        <f t="shared" si="52"/>
        <v>8.4</v>
      </c>
      <c r="AH58" s="51">
        <f t="shared" si="1"/>
        <v>42</v>
      </c>
      <c r="AI58" s="52" t="s">
        <v>2497</v>
      </c>
      <c r="AJ58" s="52" t="s">
        <v>2498</v>
      </c>
      <c r="AK58" s="53">
        <f t="shared" si="53"/>
        <v>0</v>
      </c>
      <c r="AL58" s="54">
        <f t="shared" si="54"/>
        <v>0.11904761904761904</v>
      </c>
      <c r="AM58" s="54">
        <f t="shared" si="55"/>
        <v>2.3809523809523808E-2</v>
      </c>
      <c r="AN58" s="55">
        <f t="shared" si="56"/>
        <v>0</v>
      </c>
      <c r="AO58" s="55">
        <f t="shared" si="57"/>
        <v>0</v>
      </c>
      <c r="AP58" s="53">
        <v>7.1</v>
      </c>
      <c r="AQ58" s="53">
        <f t="shared" si="18"/>
        <v>4.26</v>
      </c>
      <c r="AR58" s="53">
        <f t="shared" si="19"/>
        <v>21.299999999999997</v>
      </c>
      <c r="AS58" s="56">
        <f t="shared" si="20"/>
        <v>4.6948356807511742E-2</v>
      </c>
      <c r="AT58" s="56">
        <f t="shared" si="58"/>
        <v>0.23474178403755869</v>
      </c>
      <c r="AU58" s="56">
        <f t="shared" si="22"/>
        <v>0.176056338028169</v>
      </c>
      <c r="AV58" s="56">
        <f t="shared" si="59"/>
        <v>5.8685446009389672E-2</v>
      </c>
      <c r="AW58" s="57" t="s">
        <v>2511</v>
      </c>
      <c r="AX58" s="57" t="s">
        <v>2512</v>
      </c>
      <c r="AY58" s="57" t="s">
        <v>2513</v>
      </c>
      <c r="AZ58" s="58">
        <f t="shared" si="60"/>
        <v>0</v>
      </c>
      <c r="BA58" s="59">
        <f t="shared" si="64"/>
        <v>0</v>
      </c>
      <c r="BB58" s="59">
        <f t="shared" si="65"/>
        <v>0</v>
      </c>
      <c r="BC58" s="59">
        <f t="shared" si="66"/>
        <v>0</v>
      </c>
      <c r="BD58" s="60">
        <f t="shared" si="61"/>
        <v>7.1095438516664771E-6</v>
      </c>
      <c r="BE58" s="59">
        <f t="shared" si="62"/>
        <v>2.1328631554999432E-5</v>
      </c>
      <c r="BQ58" s="61">
        <v>3000</v>
      </c>
      <c r="BR58" s="61">
        <v>1200</v>
      </c>
      <c r="BS58" s="28">
        <f t="shared" si="27"/>
        <v>2980</v>
      </c>
      <c r="BT58" s="28">
        <f t="shared" si="28"/>
        <v>1180</v>
      </c>
      <c r="BU58" s="28" t="s">
        <v>2541</v>
      </c>
      <c r="BV58" s="28">
        <f t="shared" si="29"/>
        <v>5</v>
      </c>
      <c r="BW58" s="28">
        <f t="shared" si="30"/>
        <v>5</v>
      </c>
      <c r="BX58" s="13">
        <f t="shared" si="31"/>
        <v>596</v>
      </c>
      <c r="BY58" s="13">
        <f t="shared" si="32"/>
        <v>596</v>
      </c>
      <c r="BZ58" s="13">
        <f t="shared" si="33"/>
        <v>236</v>
      </c>
      <c r="CA58" s="13">
        <f t="shared" si="34"/>
        <v>236</v>
      </c>
      <c r="CB58" s="13">
        <f t="shared" si="35"/>
        <v>140656</v>
      </c>
      <c r="CC58" s="62">
        <f t="shared" si="36"/>
        <v>7.1095438516664771E-6</v>
      </c>
      <c r="CD58" s="13">
        <f t="shared" si="37"/>
        <v>596</v>
      </c>
      <c r="CE58" s="13">
        <f t="shared" si="38"/>
        <v>596</v>
      </c>
      <c r="CF58" s="13">
        <f t="shared" si="39"/>
        <v>236</v>
      </c>
      <c r="CG58" s="13">
        <f t="shared" si="40"/>
        <v>236</v>
      </c>
      <c r="CH58" s="28">
        <f t="shared" si="41"/>
        <v>140656</v>
      </c>
      <c r="CI58" s="62">
        <f t="shared" si="42"/>
        <v>7.1095438516664771E-6</v>
      </c>
      <c r="CJ58" s="59">
        <f t="shared" si="43"/>
        <v>7.1095438516664771E-6</v>
      </c>
      <c r="CL58" s="63">
        <v>6000</v>
      </c>
      <c r="CM58" s="63">
        <f t="shared" si="44"/>
        <v>0</v>
      </c>
      <c r="CN58" s="63">
        <f t="shared" si="45"/>
        <v>5</v>
      </c>
      <c r="CO58" s="63">
        <f t="shared" si="46"/>
        <v>1200</v>
      </c>
      <c r="CP58" s="13">
        <f t="shared" si="47"/>
        <v>1200</v>
      </c>
      <c r="CQ58" s="70">
        <f t="shared" si="48"/>
        <v>8.3333333333333339E-4</v>
      </c>
      <c r="CR58" s="69">
        <f t="shared" si="5"/>
        <v>2.5000000000000001E-3</v>
      </c>
    </row>
    <row r="59" spans="1:96" hidden="1" x14ac:dyDescent="0.25">
      <c r="A59" s="13">
        <v>4</v>
      </c>
      <c r="B59" s="14" t="s">
        <v>46</v>
      </c>
      <c r="C59" s="13" t="s">
        <v>211</v>
      </c>
      <c r="D59" s="13" t="s">
        <v>2270</v>
      </c>
      <c r="E59" s="13" t="s">
        <v>52</v>
      </c>
      <c r="F59" s="15">
        <f t="shared" si="6"/>
        <v>1</v>
      </c>
      <c r="G59" s="13">
        <v>1</v>
      </c>
      <c r="H59" s="13">
        <f t="shared" ref="H59:H60" si="71">G59*$H$5</f>
        <v>1</v>
      </c>
      <c r="I59" s="13">
        <v>3</v>
      </c>
      <c r="J59" s="14" t="s">
        <v>212</v>
      </c>
      <c r="K59" s="14" t="s">
        <v>34</v>
      </c>
      <c r="L59" s="13">
        <v>0</v>
      </c>
      <c r="M59" s="14" t="s">
        <v>35</v>
      </c>
      <c r="N59" s="13" t="s">
        <v>213</v>
      </c>
      <c r="O59" s="28" t="s">
        <v>41</v>
      </c>
      <c r="P59" s="28" t="s">
        <v>41</v>
      </c>
      <c r="Q59" s="28" t="s">
        <v>116</v>
      </c>
      <c r="R59" s="30">
        <v>50.639000000000003</v>
      </c>
      <c r="S59" s="30">
        <v>22.18</v>
      </c>
      <c r="T59" s="30"/>
      <c r="U59" s="30">
        <v>0.11799999999999999</v>
      </c>
      <c r="V59" s="8">
        <f t="shared" si="7"/>
        <v>1286.2306000000001</v>
      </c>
      <c r="W59" s="8">
        <f t="shared" si="8"/>
        <v>563.37199999999996</v>
      </c>
      <c r="X59" s="8">
        <f t="shared" si="9"/>
        <v>0</v>
      </c>
      <c r="Y59" s="33">
        <f t="shared" si="10"/>
        <v>2.9971999999999999</v>
      </c>
      <c r="Z59" s="28" t="s">
        <v>56</v>
      </c>
      <c r="AA59" s="28" t="s">
        <v>57</v>
      </c>
      <c r="AB59" s="28" t="s">
        <v>116</v>
      </c>
      <c r="AC59" s="31" t="s">
        <v>117</v>
      </c>
      <c r="AD59" s="50">
        <f t="shared" si="11"/>
        <v>1</v>
      </c>
      <c r="AE59" s="31"/>
      <c r="AF59" s="51">
        <v>14</v>
      </c>
      <c r="AG59" s="51">
        <f t="shared" si="52"/>
        <v>8.4</v>
      </c>
      <c r="AH59" s="51">
        <f t="shared" si="1"/>
        <v>42</v>
      </c>
      <c r="AI59" s="52" t="s">
        <v>2497</v>
      </c>
      <c r="AJ59" s="52" t="s">
        <v>2498</v>
      </c>
      <c r="AK59" s="53">
        <f t="shared" si="53"/>
        <v>1.4492526111663999</v>
      </c>
      <c r="AL59" s="54">
        <f t="shared" si="54"/>
        <v>0.11904761904761904</v>
      </c>
      <c r="AM59" s="54">
        <f t="shared" si="55"/>
        <v>2.3809523809523808E-2</v>
      </c>
      <c r="AN59" s="55">
        <f t="shared" si="56"/>
        <v>0.17253007275790475</v>
      </c>
      <c r="AO59" s="55">
        <f t="shared" si="57"/>
        <v>3.4506014551580949E-2</v>
      </c>
      <c r="AP59" s="53">
        <v>7.1</v>
      </c>
      <c r="AQ59" s="53">
        <f t="shared" si="18"/>
        <v>4.26</v>
      </c>
      <c r="AR59" s="53">
        <f t="shared" si="19"/>
        <v>21.299999999999997</v>
      </c>
      <c r="AS59" s="56">
        <f t="shared" si="20"/>
        <v>4.6948356807511742E-2</v>
      </c>
      <c r="AT59" s="56">
        <f t="shared" si="58"/>
        <v>0.23474178403755869</v>
      </c>
      <c r="AU59" s="56">
        <f t="shared" si="22"/>
        <v>0.176056338028169</v>
      </c>
      <c r="AV59" s="56">
        <f t="shared" si="59"/>
        <v>5.8685446009389672E-2</v>
      </c>
      <c r="AW59" s="57" t="s">
        <v>2511</v>
      </c>
      <c r="AX59" s="57" t="s">
        <v>2512</v>
      </c>
      <c r="AY59" s="57" t="s">
        <v>2513</v>
      </c>
      <c r="AZ59" s="58">
        <f t="shared" si="60"/>
        <v>1.4492526111663999</v>
      </c>
      <c r="BA59" s="59">
        <f t="shared" si="64"/>
        <v>4.2525017933286384E-2</v>
      </c>
      <c r="BB59" s="59">
        <f t="shared" si="65"/>
        <v>0.12757505379985914</v>
      </c>
      <c r="BC59" s="59">
        <f t="shared" si="66"/>
        <v>3.4020014346629109E-2</v>
      </c>
      <c r="BD59" s="60">
        <f t="shared" si="61"/>
        <v>0.25</v>
      </c>
      <c r="BE59" s="59">
        <f t="shared" si="62"/>
        <v>0.25</v>
      </c>
      <c r="BQ59" s="61">
        <v>3000</v>
      </c>
      <c r="BR59" s="61">
        <v>1200</v>
      </c>
      <c r="BS59" s="28">
        <f t="shared" si="27"/>
        <v>2980</v>
      </c>
      <c r="BT59" s="28">
        <f t="shared" si="28"/>
        <v>1180</v>
      </c>
      <c r="BU59" s="28" t="s">
        <v>2541</v>
      </c>
      <c r="BV59" s="28">
        <f t="shared" si="29"/>
        <v>1291.2306000000001</v>
      </c>
      <c r="BW59" s="28">
        <f t="shared" si="30"/>
        <v>568.37199999999996</v>
      </c>
      <c r="BX59" s="13">
        <f t="shared" si="31"/>
        <v>2.3078759131018112</v>
      </c>
      <c r="BY59" s="13">
        <f t="shared" si="32"/>
        <v>2</v>
      </c>
      <c r="BZ59" s="13">
        <f t="shared" si="33"/>
        <v>2.0761050861055788</v>
      </c>
      <c r="CA59" s="13">
        <f t="shared" si="34"/>
        <v>2</v>
      </c>
      <c r="CB59" s="13">
        <f t="shared" si="35"/>
        <v>4</v>
      </c>
      <c r="CC59" s="62">
        <f t="shared" si="36"/>
        <v>0.25</v>
      </c>
      <c r="CD59" s="13">
        <f t="shared" si="37"/>
        <v>5.2430450479615471</v>
      </c>
      <c r="CE59" s="13">
        <f t="shared" si="38"/>
        <v>5</v>
      </c>
      <c r="CF59" s="13">
        <f t="shared" si="39"/>
        <v>0.91385690518796558</v>
      </c>
      <c r="CG59" s="13">
        <f t="shared" si="40"/>
        <v>0</v>
      </c>
      <c r="CH59" s="28">
        <f t="shared" si="41"/>
        <v>0</v>
      </c>
      <c r="CI59" s="62">
        <f t="shared" si="42"/>
        <v>1</v>
      </c>
      <c r="CJ59" s="59">
        <f t="shared" si="43"/>
        <v>0.25</v>
      </c>
      <c r="CL59" s="63">
        <v>6000</v>
      </c>
      <c r="CM59" s="63">
        <f t="shared" si="44"/>
        <v>1286.2306000000001</v>
      </c>
      <c r="CN59" s="63">
        <f t="shared" si="45"/>
        <v>1291.2306000000001</v>
      </c>
      <c r="CO59" s="63">
        <f t="shared" si="46"/>
        <v>4.646730026379486</v>
      </c>
      <c r="CP59" s="13">
        <f t="shared" si="47"/>
        <v>4</v>
      </c>
      <c r="CQ59" s="70">
        <f t="shared" si="48"/>
        <v>0.25</v>
      </c>
      <c r="CR59" s="69">
        <f t="shared" si="5"/>
        <v>0.25</v>
      </c>
    </row>
    <row r="60" spans="1:96" hidden="1" x14ac:dyDescent="0.25">
      <c r="A60" s="13">
        <v>4</v>
      </c>
      <c r="B60" s="14" t="s">
        <v>46</v>
      </c>
      <c r="C60" s="13" t="s">
        <v>214</v>
      </c>
      <c r="D60" s="13" t="s">
        <v>2270</v>
      </c>
      <c r="E60" s="13" t="s">
        <v>32</v>
      </c>
      <c r="F60" s="15">
        <f t="shared" si="6"/>
        <v>1</v>
      </c>
      <c r="G60" s="13">
        <v>1</v>
      </c>
      <c r="H60" s="13">
        <f t="shared" si="71"/>
        <v>1</v>
      </c>
      <c r="I60" s="13">
        <v>4</v>
      </c>
      <c r="J60" s="14" t="s">
        <v>215</v>
      </c>
      <c r="K60" s="14" t="s">
        <v>34</v>
      </c>
      <c r="L60" s="13" t="s">
        <v>110</v>
      </c>
      <c r="M60" s="14" t="s">
        <v>35</v>
      </c>
      <c r="N60" s="13" t="s">
        <v>216</v>
      </c>
      <c r="O60" s="28" t="s">
        <v>41</v>
      </c>
      <c r="P60" s="28" t="s">
        <v>41</v>
      </c>
      <c r="Q60" s="28"/>
      <c r="R60" s="30"/>
      <c r="S60" s="30"/>
      <c r="T60" s="30"/>
      <c r="U60" s="30"/>
      <c r="V60" s="8">
        <f t="shared" si="7"/>
        <v>0</v>
      </c>
      <c r="W60" s="8">
        <f t="shared" si="8"/>
        <v>0</v>
      </c>
      <c r="X60" s="8">
        <f t="shared" si="9"/>
        <v>0</v>
      </c>
      <c r="Y60" s="33">
        <f t="shared" si="10"/>
        <v>0</v>
      </c>
      <c r="Z60" s="28"/>
      <c r="AA60" s="28"/>
      <c r="AB60" s="28">
        <v>0</v>
      </c>
      <c r="AC60" s="31"/>
      <c r="AD60" s="50">
        <f t="shared" si="11"/>
        <v>1</v>
      </c>
      <c r="AE60" s="31"/>
      <c r="AF60" s="51">
        <v>14</v>
      </c>
      <c r="AG60" s="51">
        <f t="shared" si="52"/>
        <v>8.4</v>
      </c>
      <c r="AH60" s="51">
        <f t="shared" si="1"/>
        <v>42</v>
      </c>
      <c r="AI60" s="52" t="s">
        <v>2497</v>
      </c>
      <c r="AJ60" s="52" t="s">
        <v>2498</v>
      </c>
      <c r="AK60" s="53">
        <f t="shared" si="53"/>
        <v>0</v>
      </c>
      <c r="AL60" s="54">
        <f t="shared" si="54"/>
        <v>0.11904761904761904</v>
      </c>
      <c r="AM60" s="54">
        <f t="shared" si="55"/>
        <v>2.3809523809523808E-2</v>
      </c>
      <c r="AN60" s="55">
        <f t="shared" si="56"/>
        <v>0</v>
      </c>
      <c r="AO60" s="55">
        <f t="shared" si="57"/>
        <v>0</v>
      </c>
      <c r="AP60" s="53">
        <v>7.1</v>
      </c>
      <c r="AQ60" s="53">
        <f t="shared" si="18"/>
        <v>4.26</v>
      </c>
      <c r="AR60" s="53">
        <f t="shared" si="19"/>
        <v>21.299999999999997</v>
      </c>
      <c r="AS60" s="56">
        <f t="shared" si="20"/>
        <v>4.6948356807511742E-2</v>
      </c>
      <c r="AT60" s="56">
        <f t="shared" si="58"/>
        <v>0.23474178403755869</v>
      </c>
      <c r="AU60" s="56">
        <f t="shared" si="22"/>
        <v>0.176056338028169</v>
      </c>
      <c r="AV60" s="56">
        <f t="shared" si="59"/>
        <v>5.8685446009389672E-2</v>
      </c>
      <c r="AW60" s="57" t="s">
        <v>2511</v>
      </c>
      <c r="AX60" s="57" t="s">
        <v>2512</v>
      </c>
      <c r="AY60" s="57" t="s">
        <v>2513</v>
      </c>
      <c r="AZ60" s="58">
        <f t="shared" si="60"/>
        <v>0</v>
      </c>
      <c r="BA60" s="59">
        <f t="shared" si="64"/>
        <v>0</v>
      </c>
      <c r="BB60" s="59">
        <f t="shared" si="65"/>
        <v>0</v>
      </c>
      <c r="BC60" s="59">
        <f t="shared" si="66"/>
        <v>0</v>
      </c>
      <c r="BD60" s="60">
        <f t="shared" si="61"/>
        <v>0</v>
      </c>
      <c r="BE60" s="59">
        <f t="shared" si="62"/>
        <v>0</v>
      </c>
      <c r="BQ60" s="61">
        <v>3000</v>
      </c>
      <c r="BR60" s="61">
        <v>1200</v>
      </c>
      <c r="BS60" s="28">
        <f t="shared" si="27"/>
        <v>2980</v>
      </c>
      <c r="BT60" s="28">
        <f t="shared" si="28"/>
        <v>1180</v>
      </c>
      <c r="BU60" s="28" t="s">
        <v>2541</v>
      </c>
      <c r="BV60" s="28">
        <f t="shared" si="29"/>
        <v>5</v>
      </c>
      <c r="BW60" s="28">
        <f t="shared" si="30"/>
        <v>5</v>
      </c>
      <c r="BX60" s="13">
        <f t="shared" si="31"/>
        <v>596</v>
      </c>
      <c r="BY60" s="13">
        <f t="shared" si="32"/>
        <v>596</v>
      </c>
      <c r="BZ60" s="13">
        <f t="shared" si="33"/>
        <v>236</v>
      </c>
      <c r="CA60" s="13">
        <f t="shared" si="34"/>
        <v>236</v>
      </c>
      <c r="CB60" s="13">
        <f t="shared" si="35"/>
        <v>140656</v>
      </c>
      <c r="CC60" s="62" t="str">
        <f t="shared" si="36"/>
        <v/>
      </c>
      <c r="CD60" s="13">
        <f t="shared" si="37"/>
        <v>596</v>
      </c>
      <c r="CE60" s="13">
        <f t="shared" si="38"/>
        <v>596</v>
      </c>
      <c r="CF60" s="13">
        <f t="shared" si="39"/>
        <v>236</v>
      </c>
      <c r="CG60" s="13">
        <f t="shared" si="40"/>
        <v>236</v>
      </c>
      <c r="CH60" s="28">
        <f t="shared" si="41"/>
        <v>140656</v>
      </c>
      <c r="CI60" s="62" t="str">
        <f t="shared" si="42"/>
        <v/>
      </c>
      <c r="CJ60" s="59">
        <f t="shared" si="43"/>
        <v>0</v>
      </c>
      <c r="CL60" s="63">
        <v>6000</v>
      </c>
      <c r="CM60" s="63">
        <f t="shared" si="44"/>
        <v>0</v>
      </c>
      <c r="CN60" s="63">
        <f t="shared" si="45"/>
        <v>5</v>
      </c>
      <c r="CO60" s="63">
        <f t="shared" si="46"/>
        <v>1200</v>
      </c>
      <c r="CP60" s="13">
        <f t="shared" si="47"/>
        <v>1200</v>
      </c>
      <c r="CQ60" s="70">
        <f t="shared" si="48"/>
        <v>8.3333333333333339E-4</v>
      </c>
      <c r="CR60" s="69">
        <f t="shared" si="5"/>
        <v>8.3333333333333339E-4</v>
      </c>
    </row>
    <row r="61" spans="1:96" hidden="1" x14ac:dyDescent="0.25">
      <c r="A61" s="17">
        <v>5</v>
      </c>
      <c r="B61" s="6" t="s">
        <v>217</v>
      </c>
      <c r="C61" s="17" t="s">
        <v>218</v>
      </c>
      <c r="D61" s="17" t="s">
        <v>2270</v>
      </c>
      <c r="E61" s="17" t="s">
        <v>52</v>
      </c>
      <c r="F61" s="7">
        <f t="shared" si="6"/>
        <v>1</v>
      </c>
      <c r="G61" s="17">
        <v>1</v>
      </c>
      <c r="H61" s="17">
        <f>G61*$H$60</f>
        <v>1</v>
      </c>
      <c r="I61" s="17">
        <v>1</v>
      </c>
      <c r="J61" s="6" t="s">
        <v>219</v>
      </c>
      <c r="K61" s="6" t="s">
        <v>34</v>
      </c>
      <c r="L61" s="17" t="s">
        <v>110</v>
      </c>
      <c r="M61" s="6" t="s">
        <v>35</v>
      </c>
      <c r="N61" s="17" t="s">
        <v>220</v>
      </c>
      <c r="O61" s="28" t="s">
        <v>41</v>
      </c>
      <c r="P61" s="28" t="s">
        <v>41</v>
      </c>
      <c r="Q61" s="28" t="s">
        <v>116</v>
      </c>
      <c r="R61" s="30">
        <v>31.585999999999999</v>
      </c>
      <c r="S61" s="30">
        <v>23.085000000000001</v>
      </c>
      <c r="T61" s="30"/>
      <c r="U61" s="30">
        <v>0.11799999999999999</v>
      </c>
      <c r="V61" s="8">
        <f t="shared" si="7"/>
        <v>802.28439999999989</v>
      </c>
      <c r="W61" s="8">
        <f t="shared" si="8"/>
        <v>586.35900000000004</v>
      </c>
      <c r="X61" s="8">
        <f t="shared" si="9"/>
        <v>0</v>
      </c>
      <c r="Y61" s="33">
        <f t="shared" si="10"/>
        <v>2.9971999999999999</v>
      </c>
      <c r="Z61" s="28" t="s">
        <v>56</v>
      </c>
      <c r="AA61" s="28" t="s">
        <v>57</v>
      </c>
      <c r="AB61" s="28" t="s">
        <v>116</v>
      </c>
      <c r="AC61" s="31" t="s">
        <v>117</v>
      </c>
      <c r="AD61" s="50">
        <f t="shared" si="11"/>
        <v>1</v>
      </c>
      <c r="AE61" s="31"/>
      <c r="AF61" s="51">
        <v>14</v>
      </c>
      <c r="AG61" s="51">
        <f t="shared" si="52"/>
        <v>8.4</v>
      </c>
      <c r="AH61" s="51">
        <f t="shared" si="1"/>
        <v>42</v>
      </c>
      <c r="AI61" s="52" t="s">
        <v>2497</v>
      </c>
      <c r="AJ61" s="52" t="s">
        <v>2498</v>
      </c>
      <c r="AK61" s="53">
        <f t="shared" si="53"/>
        <v>0.94085335699919992</v>
      </c>
      <c r="AL61" s="54">
        <f t="shared" si="54"/>
        <v>0.11904761904761904</v>
      </c>
      <c r="AM61" s="54">
        <f t="shared" si="55"/>
        <v>2.3809523809523808E-2</v>
      </c>
      <c r="AN61" s="55">
        <f t="shared" si="56"/>
        <v>0.11200635202371427</v>
      </c>
      <c r="AO61" s="55">
        <f t="shared" si="57"/>
        <v>2.2401270404742855E-2</v>
      </c>
      <c r="AP61" s="53">
        <v>7.1</v>
      </c>
      <c r="AQ61" s="53">
        <f t="shared" si="18"/>
        <v>4.26</v>
      </c>
      <c r="AR61" s="53">
        <f t="shared" si="19"/>
        <v>21.299999999999997</v>
      </c>
      <c r="AS61" s="56">
        <f t="shared" si="20"/>
        <v>4.6948356807511742E-2</v>
      </c>
      <c r="AT61" s="56">
        <f t="shared" si="58"/>
        <v>0.23474178403755869</v>
      </c>
      <c r="AU61" s="56">
        <f t="shared" si="22"/>
        <v>0.176056338028169</v>
      </c>
      <c r="AV61" s="56">
        <f t="shared" si="59"/>
        <v>5.8685446009389672E-2</v>
      </c>
      <c r="AW61" s="57" t="s">
        <v>2511</v>
      </c>
      <c r="AX61" s="57" t="s">
        <v>2512</v>
      </c>
      <c r="AY61" s="57" t="s">
        <v>2513</v>
      </c>
      <c r="AZ61" s="58">
        <f t="shared" si="60"/>
        <v>0.94085335699919992</v>
      </c>
      <c r="BA61" s="59">
        <f t="shared" si="64"/>
        <v>2.7607199442464786E-2</v>
      </c>
      <c r="BB61" s="59">
        <f t="shared" si="65"/>
        <v>8.2821598327394358E-2</v>
      </c>
      <c r="BC61" s="59">
        <f t="shared" si="66"/>
        <v>2.208575955397183E-2</v>
      </c>
      <c r="BD61" s="60">
        <f t="shared" si="61"/>
        <v>0.2</v>
      </c>
      <c r="BE61" s="59">
        <f t="shared" si="62"/>
        <v>0.2</v>
      </c>
      <c r="BQ61" s="61">
        <v>3000</v>
      </c>
      <c r="BR61" s="61">
        <v>1200</v>
      </c>
      <c r="BS61" s="28">
        <f t="shared" si="27"/>
        <v>2980</v>
      </c>
      <c r="BT61" s="28">
        <f t="shared" si="28"/>
        <v>1180</v>
      </c>
      <c r="BU61" s="28" t="s">
        <v>2541</v>
      </c>
      <c r="BV61" s="28">
        <f t="shared" si="29"/>
        <v>807.28439999999989</v>
      </c>
      <c r="BW61" s="28">
        <f t="shared" si="30"/>
        <v>591.35900000000004</v>
      </c>
      <c r="BX61" s="13">
        <f t="shared" si="31"/>
        <v>3.6913880659653531</v>
      </c>
      <c r="BY61" s="13">
        <f t="shared" si="32"/>
        <v>3</v>
      </c>
      <c r="BZ61" s="13">
        <f t="shared" si="33"/>
        <v>1.9954038071628231</v>
      </c>
      <c r="CA61" s="13">
        <f t="shared" si="34"/>
        <v>1</v>
      </c>
      <c r="CB61" s="13">
        <f t="shared" si="35"/>
        <v>3</v>
      </c>
      <c r="CC61" s="62">
        <f t="shared" si="36"/>
        <v>0.33333333333333331</v>
      </c>
      <c r="CD61" s="13">
        <f t="shared" si="37"/>
        <v>5.0392401231739097</v>
      </c>
      <c r="CE61" s="13">
        <f t="shared" si="38"/>
        <v>5</v>
      </c>
      <c r="CF61" s="13">
        <f t="shared" si="39"/>
        <v>1.4616905764560795</v>
      </c>
      <c r="CG61" s="13">
        <f t="shared" si="40"/>
        <v>1</v>
      </c>
      <c r="CH61" s="28">
        <f t="shared" si="41"/>
        <v>5</v>
      </c>
      <c r="CI61" s="62">
        <f t="shared" si="42"/>
        <v>0.2</v>
      </c>
      <c r="CJ61" s="59">
        <f t="shared" si="43"/>
        <v>0.2</v>
      </c>
      <c r="CL61" s="63">
        <v>6000</v>
      </c>
      <c r="CM61" s="63">
        <f t="shared" si="44"/>
        <v>802.28439999999989</v>
      </c>
      <c r="CN61" s="63">
        <f t="shared" si="45"/>
        <v>807.28439999999989</v>
      </c>
      <c r="CO61" s="63">
        <f t="shared" si="46"/>
        <v>7.4323249650309124</v>
      </c>
      <c r="CP61" s="13">
        <f t="shared" si="47"/>
        <v>7</v>
      </c>
      <c r="CQ61" s="70">
        <f t="shared" si="48"/>
        <v>0.14285714285714285</v>
      </c>
      <c r="CR61" s="69">
        <f t="shared" si="5"/>
        <v>0.14285714285714285</v>
      </c>
    </row>
    <row r="62" spans="1:96" hidden="1" x14ac:dyDescent="0.25">
      <c r="A62" s="17">
        <v>5</v>
      </c>
      <c r="B62" s="6" t="s">
        <v>217</v>
      </c>
      <c r="C62" s="17" t="s">
        <v>221</v>
      </c>
      <c r="D62" s="17" t="s">
        <v>224</v>
      </c>
      <c r="E62" s="17" t="s">
        <v>52</v>
      </c>
      <c r="F62" s="7">
        <f t="shared" si="6"/>
        <v>2</v>
      </c>
      <c r="G62" s="17">
        <v>1</v>
      </c>
      <c r="H62" s="17">
        <f t="shared" ref="H62:H67" si="72">G62*$H$60</f>
        <v>1</v>
      </c>
      <c r="I62" s="17">
        <v>2</v>
      </c>
      <c r="J62" s="6" t="s">
        <v>222</v>
      </c>
      <c r="K62" s="6" t="s">
        <v>34</v>
      </c>
      <c r="L62" s="17" t="s">
        <v>223</v>
      </c>
      <c r="M62" s="6" t="s">
        <v>35</v>
      </c>
      <c r="N62" s="17" t="s">
        <v>224</v>
      </c>
      <c r="O62" s="28" t="s">
        <v>41</v>
      </c>
      <c r="P62" s="28" t="s">
        <v>41</v>
      </c>
      <c r="Q62" s="28" t="s">
        <v>224</v>
      </c>
      <c r="R62" s="30"/>
      <c r="S62" s="30"/>
      <c r="T62" s="30"/>
      <c r="U62" s="30"/>
      <c r="V62" s="8">
        <f t="shared" si="7"/>
        <v>0</v>
      </c>
      <c r="W62" s="8">
        <f t="shared" si="8"/>
        <v>0</v>
      </c>
      <c r="X62" s="8">
        <f t="shared" si="9"/>
        <v>0</v>
      </c>
      <c r="Y62" s="33">
        <f t="shared" si="10"/>
        <v>0</v>
      </c>
      <c r="Z62" s="28" t="s">
        <v>2477</v>
      </c>
      <c r="AA62" s="28" t="s">
        <v>2477</v>
      </c>
      <c r="AB62" s="61" t="s">
        <v>224</v>
      </c>
      <c r="AC62" s="31" t="s">
        <v>225</v>
      </c>
      <c r="AD62" s="50">
        <f t="shared" si="11"/>
        <v>1</v>
      </c>
      <c r="AE62" s="31"/>
      <c r="AF62" s="51">
        <v>14</v>
      </c>
      <c r="AG62" s="51">
        <f t="shared" si="52"/>
        <v>8.4</v>
      </c>
      <c r="AH62" s="51">
        <f t="shared" si="1"/>
        <v>42</v>
      </c>
      <c r="AI62" s="52" t="s">
        <v>2497</v>
      </c>
      <c r="AJ62" s="52" t="s">
        <v>2498</v>
      </c>
      <c r="AK62" s="53">
        <f t="shared" si="53"/>
        <v>0</v>
      </c>
      <c r="AL62" s="54">
        <f t="shared" si="54"/>
        <v>0.11904761904761904</v>
      </c>
      <c r="AM62" s="54">
        <f t="shared" si="55"/>
        <v>2.3809523809523808E-2</v>
      </c>
      <c r="AN62" s="55">
        <f t="shared" si="56"/>
        <v>0</v>
      </c>
      <c r="AO62" s="55">
        <f t="shared" si="57"/>
        <v>0</v>
      </c>
      <c r="AP62" s="53">
        <v>7.1</v>
      </c>
      <c r="AQ62" s="53">
        <f t="shared" si="18"/>
        <v>4.26</v>
      </c>
      <c r="AR62" s="53">
        <f t="shared" si="19"/>
        <v>21.299999999999997</v>
      </c>
      <c r="AS62" s="56">
        <f t="shared" si="20"/>
        <v>4.6948356807511742E-2</v>
      </c>
      <c r="AT62" s="56">
        <f t="shared" si="58"/>
        <v>0.23474178403755869</v>
      </c>
      <c r="AU62" s="56">
        <f t="shared" si="22"/>
        <v>0.176056338028169</v>
      </c>
      <c r="AV62" s="56">
        <f t="shared" si="59"/>
        <v>5.8685446009389672E-2</v>
      </c>
      <c r="AW62" s="57" t="s">
        <v>2511</v>
      </c>
      <c r="AX62" s="57" t="s">
        <v>2512</v>
      </c>
      <c r="AY62" s="57" t="s">
        <v>2513</v>
      </c>
      <c r="AZ62" s="58">
        <f t="shared" si="60"/>
        <v>0</v>
      </c>
      <c r="BA62" s="59">
        <f t="shared" si="64"/>
        <v>0</v>
      </c>
      <c r="BB62" s="59">
        <f t="shared" si="65"/>
        <v>0</v>
      </c>
      <c r="BC62" s="59">
        <f t="shared" si="66"/>
        <v>0</v>
      </c>
      <c r="BD62" s="60">
        <f t="shared" si="61"/>
        <v>7.1095438516664771E-6</v>
      </c>
      <c r="BE62" s="59">
        <f t="shared" si="62"/>
        <v>7.1095438516664771E-6</v>
      </c>
      <c r="BQ62" s="61">
        <v>3000</v>
      </c>
      <c r="BR62" s="61">
        <v>1200</v>
      </c>
      <c r="BS62" s="28">
        <f t="shared" si="27"/>
        <v>2980</v>
      </c>
      <c r="BT62" s="28">
        <f t="shared" si="28"/>
        <v>1180</v>
      </c>
      <c r="BU62" s="28" t="s">
        <v>2541</v>
      </c>
      <c r="BV62" s="28">
        <f t="shared" si="29"/>
        <v>5</v>
      </c>
      <c r="BW62" s="28">
        <f t="shared" si="30"/>
        <v>5</v>
      </c>
      <c r="BX62" s="13">
        <f t="shared" si="31"/>
        <v>596</v>
      </c>
      <c r="BY62" s="13">
        <f t="shared" si="32"/>
        <v>596</v>
      </c>
      <c r="BZ62" s="13">
        <f t="shared" si="33"/>
        <v>236</v>
      </c>
      <c r="CA62" s="13">
        <f t="shared" si="34"/>
        <v>236</v>
      </c>
      <c r="CB62" s="13">
        <f t="shared" si="35"/>
        <v>140656</v>
      </c>
      <c r="CC62" s="62">
        <f t="shared" si="36"/>
        <v>7.1095438516664771E-6</v>
      </c>
      <c r="CD62" s="13">
        <f t="shared" si="37"/>
        <v>596</v>
      </c>
      <c r="CE62" s="13">
        <f t="shared" si="38"/>
        <v>596</v>
      </c>
      <c r="CF62" s="13">
        <f t="shared" si="39"/>
        <v>236</v>
      </c>
      <c r="CG62" s="13">
        <f t="shared" si="40"/>
        <v>236</v>
      </c>
      <c r="CH62" s="28">
        <f t="shared" si="41"/>
        <v>140656</v>
      </c>
      <c r="CI62" s="62">
        <f t="shared" si="42"/>
        <v>7.1095438516664771E-6</v>
      </c>
      <c r="CJ62" s="59">
        <f t="shared" si="43"/>
        <v>7.1095438516664771E-6</v>
      </c>
      <c r="CL62" s="63">
        <v>6000</v>
      </c>
      <c r="CM62" s="63">
        <f t="shared" si="44"/>
        <v>0</v>
      </c>
      <c r="CN62" s="63">
        <f t="shared" si="45"/>
        <v>5</v>
      </c>
      <c r="CO62" s="63">
        <f t="shared" si="46"/>
        <v>1200</v>
      </c>
      <c r="CP62" s="13">
        <f t="shared" si="47"/>
        <v>1200</v>
      </c>
      <c r="CQ62" s="70">
        <f t="shared" si="48"/>
        <v>8.3333333333333339E-4</v>
      </c>
      <c r="CR62" s="69">
        <f t="shared" si="5"/>
        <v>8.3333333333333339E-4</v>
      </c>
    </row>
    <row r="63" spans="1:96" hidden="1" x14ac:dyDescent="0.25">
      <c r="A63" s="17">
        <v>5</v>
      </c>
      <c r="B63" s="6" t="s">
        <v>217</v>
      </c>
      <c r="C63" s="17" t="s">
        <v>226</v>
      </c>
      <c r="D63" s="17" t="s">
        <v>228</v>
      </c>
      <c r="E63" s="17" t="s">
        <v>52</v>
      </c>
      <c r="F63" s="7">
        <f t="shared" si="6"/>
        <v>5</v>
      </c>
      <c r="G63" s="17">
        <v>1</v>
      </c>
      <c r="H63" s="17">
        <f t="shared" si="72"/>
        <v>1</v>
      </c>
      <c r="I63" s="17">
        <v>3</v>
      </c>
      <c r="J63" s="6" t="s">
        <v>227</v>
      </c>
      <c r="K63" s="6" t="s">
        <v>34</v>
      </c>
      <c r="L63" s="17" t="s">
        <v>89</v>
      </c>
      <c r="M63" s="6" t="s">
        <v>35</v>
      </c>
      <c r="N63" s="17" t="s">
        <v>228</v>
      </c>
      <c r="O63" s="28" t="s">
        <v>41</v>
      </c>
      <c r="P63" s="28" t="s">
        <v>41</v>
      </c>
      <c r="Q63" s="28" t="s">
        <v>79</v>
      </c>
      <c r="R63" s="30">
        <v>10</v>
      </c>
      <c r="S63" s="30">
        <v>0.3125</v>
      </c>
      <c r="T63" s="30"/>
      <c r="U63" s="30">
        <v>0.3125</v>
      </c>
      <c r="V63" s="8">
        <f t="shared" si="7"/>
        <v>254</v>
      </c>
      <c r="W63" s="8">
        <f t="shared" si="8"/>
        <v>7.9375</v>
      </c>
      <c r="X63" s="8">
        <f t="shared" si="9"/>
        <v>0</v>
      </c>
      <c r="Y63" s="33">
        <f t="shared" si="10"/>
        <v>7.9375</v>
      </c>
      <c r="Z63" s="28" t="s">
        <v>80</v>
      </c>
      <c r="AA63" s="28" t="s">
        <v>81</v>
      </c>
      <c r="AB63" s="61" t="s">
        <v>79</v>
      </c>
      <c r="AC63" s="31" t="s">
        <v>82</v>
      </c>
      <c r="AD63" s="50">
        <f t="shared" si="11"/>
        <v>1</v>
      </c>
      <c r="AE63" s="31"/>
      <c r="AF63" s="51">
        <v>14</v>
      </c>
      <c r="AG63" s="51">
        <f t="shared" si="52"/>
        <v>8.4</v>
      </c>
      <c r="AH63" s="51">
        <f t="shared" si="1"/>
        <v>42</v>
      </c>
      <c r="AI63" s="52" t="s">
        <v>2497</v>
      </c>
      <c r="AJ63" s="52" t="s">
        <v>2498</v>
      </c>
      <c r="AK63" s="53">
        <f t="shared" si="53"/>
        <v>4.0322500000000002E-3</v>
      </c>
      <c r="AL63" s="54">
        <f t="shared" si="54"/>
        <v>0.11904761904761904</v>
      </c>
      <c r="AM63" s="54">
        <f t="shared" si="55"/>
        <v>2.3809523809523808E-2</v>
      </c>
      <c r="AN63" s="55">
        <f t="shared" si="56"/>
        <v>4.8002976190476192E-4</v>
      </c>
      <c r="AO63" s="55">
        <f t="shared" si="57"/>
        <v>9.6005952380952381E-5</v>
      </c>
      <c r="AP63" s="53">
        <v>7.1</v>
      </c>
      <c r="AQ63" s="53">
        <f t="shared" si="18"/>
        <v>4.26</v>
      </c>
      <c r="AR63" s="53">
        <f t="shared" si="19"/>
        <v>21.299999999999997</v>
      </c>
      <c r="AS63" s="56">
        <f t="shared" si="20"/>
        <v>4.6948356807511742E-2</v>
      </c>
      <c r="AT63" s="56">
        <f t="shared" si="58"/>
        <v>0.23474178403755869</v>
      </c>
      <c r="AU63" s="56">
        <f t="shared" si="22"/>
        <v>0.176056338028169</v>
      </c>
      <c r="AV63" s="56">
        <f t="shared" si="59"/>
        <v>5.8685446009389672E-2</v>
      </c>
      <c r="AW63" s="57" t="s">
        <v>2511</v>
      </c>
      <c r="AX63" s="57" t="s">
        <v>2512</v>
      </c>
      <c r="AY63" s="57" t="s">
        <v>2513</v>
      </c>
      <c r="AZ63" s="58">
        <f t="shared" si="60"/>
        <v>4.0322500000000002E-3</v>
      </c>
      <c r="BA63" s="59">
        <f t="shared" si="64"/>
        <v>1.1831719483568076E-4</v>
      </c>
      <c r="BB63" s="59">
        <f t="shared" si="65"/>
        <v>3.5495158450704227E-4</v>
      </c>
      <c r="BC63" s="59">
        <f t="shared" si="66"/>
        <v>9.4653755868544611E-5</v>
      </c>
      <c r="BD63" s="60">
        <f t="shared" si="61"/>
        <v>9.99000999000999E-4</v>
      </c>
      <c r="BE63" s="59">
        <f t="shared" si="62"/>
        <v>9.99000999000999E-4</v>
      </c>
      <c r="BQ63" s="61">
        <v>3000</v>
      </c>
      <c r="BR63" s="61">
        <v>1200</v>
      </c>
      <c r="BS63" s="28">
        <f t="shared" si="27"/>
        <v>2980</v>
      </c>
      <c r="BT63" s="28">
        <f t="shared" si="28"/>
        <v>1180</v>
      </c>
      <c r="BU63" s="28" t="s">
        <v>2541</v>
      </c>
      <c r="BV63" s="28">
        <f t="shared" si="29"/>
        <v>259</v>
      </c>
      <c r="BW63" s="28">
        <f t="shared" si="30"/>
        <v>12.9375</v>
      </c>
      <c r="BX63" s="13">
        <f t="shared" si="31"/>
        <v>11.505791505791505</v>
      </c>
      <c r="BY63" s="13">
        <f t="shared" si="32"/>
        <v>11</v>
      </c>
      <c r="BZ63" s="13">
        <f t="shared" si="33"/>
        <v>91.207729468599027</v>
      </c>
      <c r="CA63" s="13">
        <f t="shared" si="34"/>
        <v>91</v>
      </c>
      <c r="CB63" s="13">
        <f t="shared" si="35"/>
        <v>1001</v>
      </c>
      <c r="CC63" s="62">
        <f t="shared" si="36"/>
        <v>9.99000999000999E-4</v>
      </c>
      <c r="CD63" s="13">
        <f t="shared" si="37"/>
        <v>230.33816425120773</v>
      </c>
      <c r="CE63" s="13">
        <f t="shared" si="38"/>
        <v>230</v>
      </c>
      <c r="CF63" s="13">
        <f t="shared" si="39"/>
        <v>4.5559845559845558</v>
      </c>
      <c r="CG63" s="13">
        <f t="shared" si="40"/>
        <v>4</v>
      </c>
      <c r="CH63" s="28">
        <f t="shared" si="41"/>
        <v>920</v>
      </c>
      <c r="CI63" s="62">
        <f t="shared" si="42"/>
        <v>1.0869565217391304E-3</v>
      </c>
      <c r="CJ63" s="59">
        <f t="shared" si="43"/>
        <v>9.99000999000999E-4</v>
      </c>
      <c r="CL63" s="63">
        <v>6000</v>
      </c>
      <c r="CM63" s="63">
        <f t="shared" si="44"/>
        <v>254</v>
      </c>
      <c r="CN63" s="63">
        <f t="shared" si="45"/>
        <v>259</v>
      </c>
      <c r="CO63" s="63">
        <f t="shared" si="46"/>
        <v>23.166023166023166</v>
      </c>
      <c r="CP63" s="13">
        <f t="shared" si="47"/>
        <v>23</v>
      </c>
      <c r="CQ63" s="70">
        <f t="shared" si="48"/>
        <v>4.3478260869565216E-2</v>
      </c>
      <c r="CR63" s="69">
        <f t="shared" si="5"/>
        <v>4.3478260869565216E-2</v>
      </c>
    </row>
    <row r="64" spans="1:96" hidden="1" x14ac:dyDescent="0.25">
      <c r="A64" s="17">
        <v>5</v>
      </c>
      <c r="B64" s="6" t="s">
        <v>217</v>
      </c>
      <c r="C64" s="17" t="s">
        <v>229</v>
      </c>
      <c r="D64" s="17" t="s">
        <v>231</v>
      </c>
      <c r="E64" s="17" t="s">
        <v>52</v>
      </c>
      <c r="F64" s="7">
        <f t="shared" si="6"/>
        <v>4</v>
      </c>
      <c r="G64" s="17">
        <v>1</v>
      </c>
      <c r="H64" s="17">
        <f t="shared" si="72"/>
        <v>1</v>
      </c>
      <c r="I64" s="17">
        <v>4</v>
      </c>
      <c r="J64" s="6" t="s">
        <v>230</v>
      </c>
      <c r="K64" s="6" t="s">
        <v>34</v>
      </c>
      <c r="L64" s="17" t="s">
        <v>89</v>
      </c>
      <c r="M64" s="6" t="s">
        <v>35</v>
      </c>
      <c r="N64" s="17" t="s">
        <v>231</v>
      </c>
      <c r="O64" s="28" t="s">
        <v>41</v>
      </c>
      <c r="P64" s="28" t="s">
        <v>41</v>
      </c>
      <c r="Q64" s="28" t="s">
        <v>79</v>
      </c>
      <c r="R64" s="30">
        <v>12.027559055118111</v>
      </c>
      <c r="S64" s="30">
        <v>0.3125</v>
      </c>
      <c r="T64" s="30"/>
      <c r="U64" s="30">
        <v>0.3125</v>
      </c>
      <c r="V64" s="8">
        <f t="shared" si="7"/>
        <v>305.5</v>
      </c>
      <c r="W64" s="8">
        <f t="shared" si="8"/>
        <v>7.9375</v>
      </c>
      <c r="X64" s="8">
        <f t="shared" si="9"/>
        <v>0</v>
      </c>
      <c r="Y64" s="33">
        <f t="shared" si="10"/>
        <v>7.9375</v>
      </c>
      <c r="Z64" s="28" t="s">
        <v>80</v>
      </c>
      <c r="AA64" s="28" t="s">
        <v>81</v>
      </c>
      <c r="AB64" s="61" t="s">
        <v>79</v>
      </c>
      <c r="AC64" s="31" t="s">
        <v>82</v>
      </c>
      <c r="AD64" s="50">
        <f t="shared" si="11"/>
        <v>1</v>
      </c>
      <c r="AE64" s="31"/>
      <c r="AF64" s="51">
        <v>14</v>
      </c>
      <c r="AG64" s="51">
        <f t="shared" si="52"/>
        <v>8.4</v>
      </c>
      <c r="AH64" s="51">
        <f t="shared" si="1"/>
        <v>42</v>
      </c>
      <c r="AI64" s="52" t="s">
        <v>2497</v>
      </c>
      <c r="AJ64" s="52" t="s">
        <v>2498</v>
      </c>
      <c r="AK64" s="53">
        <f t="shared" si="53"/>
        <v>4.8498125E-3</v>
      </c>
      <c r="AL64" s="54">
        <f t="shared" si="54"/>
        <v>0.11904761904761904</v>
      </c>
      <c r="AM64" s="54">
        <f t="shared" si="55"/>
        <v>2.3809523809523808E-2</v>
      </c>
      <c r="AN64" s="55">
        <f t="shared" si="56"/>
        <v>5.7735863095238087E-4</v>
      </c>
      <c r="AO64" s="55">
        <f t="shared" si="57"/>
        <v>1.1547172619047618E-4</v>
      </c>
      <c r="AP64" s="53">
        <v>7.1</v>
      </c>
      <c r="AQ64" s="53">
        <f t="shared" si="18"/>
        <v>4.26</v>
      </c>
      <c r="AR64" s="53">
        <f t="shared" si="19"/>
        <v>21.299999999999997</v>
      </c>
      <c r="AS64" s="56">
        <f t="shared" si="20"/>
        <v>4.6948356807511742E-2</v>
      </c>
      <c r="AT64" s="56">
        <f t="shared" si="58"/>
        <v>0.23474178403755869</v>
      </c>
      <c r="AU64" s="56">
        <f t="shared" si="22"/>
        <v>0.176056338028169</v>
      </c>
      <c r="AV64" s="56">
        <f t="shared" si="59"/>
        <v>5.8685446009389672E-2</v>
      </c>
      <c r="AW64" s="57" t="s">
        <v>2511</v>
      </c>
      <c r="AX64" s="57" t="s">
        <v>2512</v>
      </c>
      <c r="AY64" s="57" t="s">
        <v>2513</v>
      </c>
      <c r="AZ64" s="58">
        <f t="shared" si="60"/>
        <v>4.8498125E-3</v>
      </c>
      <c r="BA64" s="59">
        <f t="shared" si="64"/>
        <v>1.4230670481220657E-4</v>
      </c>
      <c r="BB64" s="59">
        <f t="shared" si="65"/>
        <v>4.269201144366197E-4</v>
      </c>
      <c r="BC64" s="59">
        <f t="shared" si="66"/>
        <v>1.1384536384976526E-4</v>
      </c>
      <c r="BD64" s="60">
        <f t="shared" si="61"/>
        <v>1.221001221001221E-3</v>
      </c>
      <c r="BE64" s="59">
        <f t="shared" si="62"/>
        <v>1.221001221001221E-3</v>
      </c>
      <c r="BQ64" s="61">
        <v>3000</v>
      </c>
      <c r="BR64" s="61">
        <v>1200</v>
      </c>
      <c r="BS64" s="28">
        <f t="shared" si="27"/>
        <v>2980</v>
      </c>
      <c r="BT64" s="28">
        <f t="shared" si="28"/>
        <v>1180</v>
      </c>
      <c r="BU64" s="28" t="s">
        <v>2541</v>
      </c>
      <c r="BV64" s="28">
        <f t="shared" si="29"/>
        <v>310.5</v>
      </c>
      <c r="BW64" s="28">
        <f t="shared" si="30"/>
        <v>12.9375</v>
      </c>
      <c r="BX64" s="13">
        <f t="shared" si="31"/>
        <v>9.5974235104669887</v>
      </c>
      <c r="BY64" s="13">
        <f t="shared" si="32"/>
        <v>9</v>
      </c>
      <c r="BZ64" s="13">
        <f t="shared" si="33"/>
        <v>91.207729468599027</v>
      </c>
      <c r="CA64" s="13">
        <f t="shared" si="34"/>
        <v>91</v>
      </c>
      <c r="CB64" s="13">
        <f t="shared" si="35"/>
        <v>819</v>
      </c>
      <c r="CC64" s="62">
        <f t="shared" si="36"/>
        <v>1.221001221001221E-3</v>
      </c>
      <c r="CD64" s="13">
        <f t="shared" si="37"/>
        <v>230.33816425120773</v>
      </c>
      <c r="CE64" s="13">
        <f t="shared" si="38"/>
        <v>230</v>
      </c>
      <c r="CF64" s="13">
        <f t="shared" si="39"/>
        <v>3.8003220611916264</v>
      </c>
      <c r="CG64" s="13">
        <f t="shared" si="40"/>
        <v>3</v>
      </c>
      <c r="CH64" s="28">
        <f t="shared" si="41"/>
        <v>690</v>
      </c>
      <c r="CI64" s="62">
        <f t="shared" si="42"/>
        <v>1.4492753623188406E-3</v>
      </c>
      <c r="CJ64" s="59">
        <f t="shared" si="43"/>
        <v>1.221001221001221E-3</v>
      </c>
      <c r="CL64" s="63">
        <v>6000</v>
      </c>
      <c r="CM64" s="63">
        <f t="shared" si="44"/>
        <v>305.5</v>
      </c>
      <c r="CN64" s="63">
        <f t="shared" si="45"/>
        <v>310.5</v>
      </c>
      <c r="CO64" s="63">
        <f t="shared" si="46"/>
        <v>19.323671497584542</v>
      </c>
      <c r="CP64" s="13">
        <f t="shared" si="47"/>
        <v>19</v>
      </c>
      <c r="CQ64" s="70">
        <f t="shared" si="48"/>
        <v>5.2631578947368418E-2</v>
      </c>
      <c r="CR64" s="69">
        <f t="shared" si="5"/>
        <v>5.2631578947368418E-2</v>
      </c>
    </row>
    <row r="65" spans="1:96" hidden="1" x14ac:dyDescent="0.25">
      <c r="A65" s="17">
        <v>5</v>
      </c>
      <c r="B65" s="6" t="s">
        <v>217</v>
      </c>
      <c r="C65" s="17" t="s">
        <v>232</v>
      </c>
      <c r="D65" s="17" t="s">
        <v>233</v>
      </c>
      <c r="E65" s="17" t="s">
        <v>52</v>
      </c>
      <c r="F65" s="7">
        <f t="shared" si="6"/>
        <v>2</v>
      </c>
      <c r="G65" s="17">
        <v>2</v>
      </c>
      <c r="H65" s="17">
        <f t="shared" si="72"/>
        <v>2</v>
      </c>
      <c r="I65" s="17">
        <v>5</v>
      </c>
      <c r="J65" s="6" t="s">
        <v>76</v>
      </c>
      <c r="K65" s="6" t="s">
        <v>34</v>
      </c>
      <c r="L65" s="17" t="s">
        <v>77</v>
      </c>
      <c r="M65" s="6" t="s">
        <v>35</v>
      </c>
      <c r="N65" s="17" t="s">
        <v>233</v>
      </c>
      <c r="O65" s="28" t="s">
        <v>41</v>
      </c>
      <c r="P65" s="28" t="s">
        <v>41</v>
      </c>
      <c r="Q65" s="28" t="s">
        <v>79</v>
      </c>
      <c r="R65" s="30">
        <v>21.102362204724411</v>
      </c>
      <c r="S65" s="30">
        <v>0.3125</v>
      </c>
      <c r="T65" s="30"/>
      <c r="U65" s="30">
        <v>0.3125</v>
      </c>
      <c r="V65" s="8">
        <f t="shared" si="7"/>
        <v>536</v>
      </c>
      <c r="W65" s="8">
        <f t="shared" si="8"/>
        <v>7.9375</v>
      </c>
      <c r="X65" s="8">
        <f t="shared" si="9"/>
        <v>0</v>
      </c>
      <c r="Y65" s="33">
        <f t="shared" si="10"/>
        <v>7.9375</v>
      </c>
      <c r="Z65" s="28" t="s">
        <v>80</v>
      </c>
      <c r="AA65" s="28" t="s">
        <v>81</v>
      </c>
      <c r="AB65" s="61" t="s">
        <v>79</v>
      </c>
      <c r="AC65" s="31" t="s">
        <v>82</v>
      </c>
      <c r="AD65" s="50">
        <f t="shared" si="11"/>
        <v>2</v>
      </c>
      <c r="AE65" s="47" t="s">
        <v>107</v>
      </c>
      <c r="AF65" s="51">
        <v>14</v>
      </c>
      <c r="AG65" s="51">
        <f t="shared" si="52"/>
        <v>8.4</v>
      </c>
      <c r="AH65" s="51">
        <f t="shared" si="1"/>
        <v>42</v>
      </c>
      <c r="AI65" s="52" t="s">
        <v>2497</v>
      </c>
      <c r="AJ65" s="52" t="s">
        <v>2498</v>
      </c>
      <c r="AK65" s="53">
        <f t="shared" si="53"/>
        <v>8.5089999999999992E-3</v>
      </c>
      <c r="AL65" s="54">
        <f t="shared" si="54"/>
        <v>0.11904761904761904</v>
      </c>
      <c r="AM65" s="54">
        <f t="shared" si="55"/>
        <v>2.3809523809523808E-2</v>
      </c>
      <c r="AN65" s="55">
        <f t="shared" si="56"/>
        <v>2.0259523809523805E-3</v>
      </c>
      <c r="AO65" s="55">
        <f t="shared" si="57"/>
        <v>4.0519047619047614E-4</v>
      </c>
      <c r="AP65" s="53">
        <v>7.1</v>
      </c>
      <c r="AQ65" s="53">
        <f t="shared" si="18"/>
        <v>4.26</v>
      </c>
      <c r="AR65" s="53">
        <f t="shared" si="19"/>
        <v>21.299999999999997</v>
      </c>
      <c r="AS65" s="56">
        <f t="shared" si="20"/>
        <v>4.6948356807511742E-2</v>
      </c>
      <c r="AT65" s="56">
        <f t="shared" si="58"/>
        <v>0.23474178403755869</v>
      </c>
      <c r="AU65" s="56">
        <f t="shared" si="22"/>
        <v>0.176056338028169</v>
      </c>
      <c r="AV65" s="56">
        <f t="shared" si="59"/>
        <v>5.8685446009389672E-2</v>
      </c>
      <c r="AW65" s="57" t="s">
        <v>2511</v>
      </c>
      <c r="AX65" s="57" t="s">
        <v>2512</v>
      </c>
      <c r="AY65" s="57" t="s">
        <v>2513</v>
      </c>
      <c r="AZ65" s="58">
        <f t="shared" si="60"/>
        <v>8.5089999999999992E-3</v>
      </c>
      <c r="BA65" s="59">
        <f t="shared" si="64"/>
        <v>4.9935446009389671E-4</v>
      </c>
      <c r="BB65" s="59">
        <f t="shared" si="65"/>
        <v>1.4980633802816898E-3</v>
      </c>
      <c r="BC65" s="59">
        <f t="shared" si="66"/>
        <v>3.9948356807511739E-4</v>
      </c>
      <c r="BD65" s="60">
        <f t="shared" si="61"/>
        <v>2.1739130434782609E-3</v>
      </c>
      <c r="BE65" s="59">
        <f t="shared" si="62"/>
        <v>4.3478260869565218E-3</v>
      </c>
      <c r="BQ65" s="61">
        <v>3000</v>
      </c>
      <c r="BR65" s="61">
        <v>1200</v>
      </c>
      <c r="BS65" s="28">
        <f t="shared" si="27"/>
        <v>2980</v>
      </c>
      <c r="BT65" s="28">
        <f t="shared" si="28"/>
        <v>1180</v>
      </c>
      <c r="BU65" s="28" t="s">
        <v>2541</v>
      </c>
      <c r="BV65" s="28">
        <f t="shared" si="29"/>
        <v>541</v>
      </c>
      <c r="BW65" s="28">
        <f t="shared" si="30"/>
        <v>12.9375</v>
      </c>
      <c r="BX65" s="13">
        <f t="shared" si="31"/>
        <v>5.5083179297597047</v>
      </c>
      <c r="BY65" s="13">
        <f t="shared" si="32"/>
        <v>5</v>
      </c>
      <c r="BZ65" s="13">
        <f t="shared" si="33"/>
        <v>91.207729468599027</v>
      </c>
      <c r="CA65" s="13">
        <f t="shared" si="34"/>
        <v>91</v>
      </c>
      <c r="CB65" s="13">
        <f t="shared" si="35"/>
        <v>455</v>
      </c>
      <c r="CC65" s="62">
        <f t="shared" si="36"/>
        <v>2.1978021978021978E-3</v>
      </c>
      <c r="CD65" s="13">
        <f t="shared" si="37"/>
        <v>230.33816425120773</v>
      </c>
      <c r="CE65" s="13">
        <f t="shared" si="38"/>
        <v>230</v>
      </c>
      <c r="CF65" s="13">
        <f t="shared" si="39"/>
        <v>2.1811460258780038</v>
      </c>
      <c r="CG65" s="13">
        <f t="shared" si="40"/>
        <v>2</v>
      </c>
      <c r="CH65" s="28">
        <f t="shared" si="41"/>
        <v>460</v>
      </c>
      <c r="CI65" s="62">
        <f t="shared" si="42"/>
        <v>2.1739130434782609E-3</v>
      </c>
      <c r="CJ65" s="59">
        <f t="shared" si="43"/>
        <v>2.1739130434782609E-3</v>
      </c>
      <c r="CL65" s="63">
        <v>6000</v>
      </c>
      <c r="CM65" s="63">
        <f t="shared" si="44"/>
        <v>536</v>
      </c>
      <c r="CN65" s="63">
        <f t="shared" si="45"/>
        <v>541</v>
      </c>
      <c r="CO65" s="63">
        <f t="shared" si="46"/>
        <v>11.090573012939002</v>
      </c>
      <c r="CP65" s="13">
        <f t="shared" si="47"/>
        <v>11</v>
      </c>
      <c r="CQ65" s="70">
        <f t="shared" si="48"/>
        <v>9.0909090909090912E-2</v>
      </c>
      <c r="CR65" s="69">
        <f t="shared" si="5"/>
        <v>0.18181818181818182</v>
      </c>
    </row>
    <row r="66" spans="1:96" hidden="1" x14ac:dyDescent="0.25">
      <c r="A66" s="17">
        <v>5</v>
      </c>
      <c r="B66" s="6" t="s">
        <v>217</v>
      </c>
      <c r="C66" s="17" t="s">
        <v>94</v>
      </c>
      <c r="D66" s="17" t="s">
        <v>95</v>
      </c>
      <c r="E66" s="17" t="s">
        <v>52</v>
      </c>
      <c r="F66" s="7">
        <f t="shared" si="6"/>
        <v>13</v>
      </c>
      <c r="G66" s="17">
        <v>2</v>
      </c>
      <c r="H66" s="17">
        <f t="shared" si="72"/>
        <v>2</v>
      </c>
      <c r="I66" s="17">
        <v>6</v>
      </c>
      <c r="J66" s="6" t="s">
        <v>76</v>
      </c>
      <c r="K66" s="6" t="s">
        <v>34</v>
      </c>
      <c r="L66" s="17" t="s">
        <v>77</v>
      </c>
      <c r="M66" s="6" t="s">
        <v>35</v>
      </c>
      <c r="N66" s="17" t="s">
        <v>95</v>
      </c>
      <c r="O66" s="28" t="s">
        <v>41</v>
      </c>
      <c r="P66" s="28" t="s">
        <v>41</v>
      </c>
      <c r="Q66" s="28" t="s">
        <v>79</v>
      </c>
      <c r="R66" s="30">
        <v>7.0078740157480315</v>
      </c>
      <c r="S66" s="30">
        <v>0.3125</v>
      </c>
      <c r="T66" s="30"/>
      <c r="U66" s="30">
        <v>0.3125</v>
      </c>
      <c r="V66" s="8">
        <f t="shared" si="7"/>
        <v>178</v>
      </c>
      <c r="W66" s="8">
        <f t="shared" si="8"/>
        <v>7.9375</v>
      </c>
      <c r="X66" s="8">
        <f t="shared" si="9"/>
        <v>0</v>
      </c>
      <c r="Y66" s="33">
        <f t="shared" si="10"/>
        <v>7.9375</v>
      </c>
      <c r="Z66" s="28" t="s">
        <v>80</v>
      </c>
      <c r="AA66" s="28" t="s">
        <v>81</v>
      </c>
      <c r="AB66" s="61" t="s">
        <v>79</v>
      </c>
      <c r="AC66" s="31" t="s">
        <v>82</v>
      </c>
      <c r="AD66" s="50">
        <f t="shared" si="11"/>
        <v>2</v>
      </c>
      <c r="AE66" s="31"/>
      <c r="AF66" s="51">
        <v>14</v>
      </c>
      <c r="AG66" s="51">
        <f t="shared" si="52"/>
        <v>8.4</v>
      </c>
      <c r="AH66" s="51">
        <f t="shared" ref="AH66:AH129" si="73">AG66/0.2</f>
        <v>42</v>
      </c>
      <c r="AI66" s="52" t="s">
        <v>2497</v>
      </c>
      <c r="AJ66" s="52" t="s">
        <v>2498</v>
      </c>
      <c r="AK66" s="53">
        <f t="shared" si="53"/>
        <v>2.8257500000000001E-3</v>
      </c>
      <c r="AL66" s="54">
        <f t="shared" si="54"/>
        <v>0.11904761904761904</v>
      </c>
      <c r="AM66" s="54">
        <f t="shared" si="55"/>
        <v>2.3809523809523808E-2</v>
      </c>
      <c r="AN66" s="55">
        <f t="shared" si="56"/>
        <v>6.7279761904761909E-4</v>
      </c>
      <c r="AO66" s="55">
        <f t="shared" si="57"/>
        <v>1.345595238095238E-4</v>
      </c>
      <c r="AP66" s="53">
        <v>7.1</v>
      </c>
      <c r="AQ66" s="53">
        <f t="shared" si="18"/>
        <v>4.26</v>
      </c>
      <c r="AR66" s="53">
        <f t="shared" si="19"/>
        <v>21.299999999999997</v>
      </c>
      <c r="AS66" s="56">
        <f t="shared" si="20"/>
        <v>4.6948356807511742E-2</v>
      </c>
      <c r="AT66" s="56">
        <f t="shared" si="58"/>
        <v>0.23474178403755869</v>
      </c>
      <c r="AU66" s="56">
        <f t="shared" si="22"/>
        <v>0.176056338028169</v>
      </c>
      <c r="AV66" s="56">
        <f t="shared" si="59"/>
        <v>5.8685446009389672E-2</v>
      </c>
      <c r="AW66" s="57" t="s">
        <v>2511</v>
      </c>
      <c r="AX66" s="57" t="s">
        <v>2512</v>
      </c>
      <c r="AY66" s="57" t="s">
        <v>2513</v>
      </c>
      <c r="AZ66" s="58">
        <f t="shared" si="60"/>
        <v>2.8257500000000001E-3</v>
      </c>
      <c r="BA66" s="59">
        <f t="shared" si="64"/>
        <v>1.6583039906103287E-4</v>
      </c>
      <c r="BB66" s="59">
        <f t="shared" si="65"/>
        <v>4.974911971830986E-4</v>
      </c>
      <c r="BC66" s="59">
        <f t="shared" si="66"/>
        <v>1.326643192488263E-4</v>
      </c>
      <c r="BD66" s="60">
        <f t="shared" si="61"/>
        <v>6.8681318681318687E-4</v>
      </c>
      <c r="BE66" s="59">
        <f t="shared" si="62"/>
        <v>1.3736263736263737E-3</v>
      </c>
      <c r="BQ66" s="61">
        <v>3000</v>
      </c>
      <c r="BR66" s="61">
        <v>1200</v>
      </c>
      <c r="BS66" s="28">
        <f t="shared" si="27"/>
        <v>2980</v>
      </c>
      <c r="BT66" s="28">
        <f t="shared" si="28"/>
        <v>1180</v>
      </c>
      <c r="BU66" s="28" t="s">
        <v>2541</v>
      </c>
      <c r="BV66" s="28">
        <f t="shared" si="29"/>
        <v>183</v>
      </c>
      <c r="BW66" s="28">
        <f t="shared" si="30"/>
        <v>12.9375</v>
      </c>
      <c r="BX66" s="13">
        <f t="shared" si="31"/>
        <v>16.284153005464482</v>
      </c>
      <c r="BY66" s="13">
        <f t="shared" si="32"/>
        <v>16</v>
      </c>
      <c r="BZ66" s="13">
        <f t="shared" si="33"/>
        <v>91.207729468599027</v>
      </c>
      <c r="CA66" s="13">
        <f t="shared" si="34"/>
        <v>91</v>
      </c>
      <c r="CB66" s="13">
        <f t="shared" si="35"/>
        <v>1456</v>
      </c>
      <c r="CC66" s="62">
        <f t="shared" si="36"/>
        <v>6.8681318681318687E-4</v>
      </c>
      <c r="CD66" s="13">
        <f t="shared" si="37"/>
        <v>230.33816425120773</v>
      </c>
      <c r="CE66" s="13">
        <f t="shared" si="38"/>
        <v>230</v>
      </c>
      <c r="CF66" s="13">
        <f t="shared" si="39"/>
        <v>6.4480874316939891</v>
      </c>
      <c r="CG66" s="13">
        <f t="shared" si="40"/>
        <v>6</v>
      </c>
      <c r="CH66" s="28">
        <f t="shared" si="41"/>
        <v>1380</v>
      </c>
      <c r="CI66" s="62">
        <f t="shared" si="42"/>
        <v>7.246376811594203E-4</v>
      </c>
      <c r="CJ66" s="59">
        <f t="shared" si="43"/>
        <v>6.8681318681318687E-4</v>
      </c>
      <c r="CL66" s="63">
        <v>6000</v>
      </c>
      <c r="CM66" s="63">
        <f t="shared" si="44"/>
        <v>178</v>
      </c>
      <c r="CN66" s="63">
        <f t="shared" si="45"/>
        <v>183</v>
      </c>
      <c r="CO66" s="63">
        <f t="shared" si="46"/>
        <v>32.786885245901637</v>
      </c>
      <c r="CP66" s="13">
        <f t="shared" si="47"/>
        <v>32</v>
      </c>
      <c r="CQ66" s="70">
        <f t="shared" si="48"/>
        <v>3.125E-2</v>
      </c>
      <c r="CR66" s="69">
        <f t="shared" ref="CR66:CR129" si="74">CQ66*AD66</f>
        <v>6.25E-2</v>
      </c>
    </row>
    <row r="67" spans="1:96" hidden="1" x14ac:dyDescent="0.25">
      <c r="A67" s="17">
        <v>5</v>
      </c>
      <c r="B67" s="6" t="s">
        <v>217</v>
      </c>
      <c r="C67" s="17" t="s">
        <v>234</v>
      </c>
      <c r="D67" s="17" t="s">
        <v>237</v>
      </c>
      <c r="E67" s="17" t="s">
        <v>52</v>
      </c>
      <c r="F67" s="7">
        <f t="shared" ref="F67:F130" si="75">COUNTIF($C$2:$C$1202,C67)</f>
        <v>5</v>
      </c>
      <c r="G67" s="17">
        <v>2</v>
      </c>
      <c r="H67" s="17">
        <f t="shared" si="72"/>
        <v>2</v>
      </c>
      <c r="I67" s="17">
        <v>7</v>
      </c>
      <c r="J67" s="6" t="s">
        <v>235</v>
      </c>
      <c r="K67" s="6" t="s">
        <v>34</v>
      </c>
      <c r="L67" s="17" t="s">
        <v>236</v>
      </c>
      <c r="M67" s="6" t="s">
        <v>35</v>
      </c>
      <c r="N67" s="17" t="s">
        <v>237</v>
      </c>
      <c r="O67" s="28" t="s">
        <v>41</v>
      </c>
      <c r="P67" s="28" t="s">
        <v>41</v>
      </c>
      <c r="Q67" s="28" t="s">
        <v>79</v>
      </c>
      <c r="R67" s="30">
        <v>22.047244094488189</v>
      </c>
      <c r="S67" s="30">
        <v>0.3125</v>
      </c>
      <c r="T67" s="30"/>
      <c r="U67" s="30">
        <v>0.3125</v>
      </c>
      <c r="V67" s="8">
        <f t="shared" ref="V67:V130" si="76">R67*25.4</f>
        <v>560</v>
      </c>
      <c r="W67" s="8">
        <f t="shared" ref="W67:W130" si="77">S67*25.4</f>
        <v>7.9375</v>
      </c>
      <c r="X67" s="8">
        <f t="shared" ref="X67:X130" si="78">T67*25.4</f>
        <v>0</v>
      </c>
      <c r="Y67" s="33">
        <f t="shared" ref="Y67:Y130" si="79">U67*25.4</f>
        <v>7.9375</v>
      </c>
      <c r="Z67" s="28" t="s">
        <v>80</v>
      </c>
      <c r="AA67" s="28" t="s">
        <v>81</v>
      </c>
      <c r="AB67" s="61" t="s">
        <v>79</v>
      </c>
      <c r="AC67" s="31" t="s">
        <v>82</v>
      </c>
      <c r="AD67" s="50">
        <f t="shared" ref="AD67:AD130" si="80">H67</f>
        <v>2</v>
      </c>
      <c r="AE67" s="31"/>
      <c r="AF67" s="51">
        <v>14</v>
      </c>
      <c r="AG67" s="51">
        <f t="shared" si="52"/>
        <v>8.4</v>
      </c>
      <c r="AH67" s="51">
        <f t="shared" si="73"/>
        <v>42</v>
      </c>
      <c r="AI67" s="52" t="s">
        <v>2497</v>
      </c>
      <c r="AJ67" s="52" t="s">
        <v>2498</v>
      </c>
      <c r="AK67" s="53">
        <f t="shared" si="53"/>
        <v>8.8900000000000003E-3</v>
      </c>
      <c r="AL67" s="54">
        <f t="shared" si="54"/>
        <v>0.11904761904761904</v>
      </c>
      <c r="AM67" s="54">
        <f t="shared" si="55"/>
        <v>2.3809523809523808E-2</v>
      </c>
      <c r="AN67" s="55">
        <f t="shared" si="56"/>
        <v>2.1166666666666664E-3</v>
      </c>
      <c r="AO67" s="55">
        <f t="shared" si="57"/>
        <v>4.2333333333333334E-4</v>
      </c>
      <c r="AP67" s="53">
        <v>7.1</v>
      </c>
      <c r="AQ67" s="53">
        <f t="shared" ref="AQ67:AQ130" si="81">AP67*0.6</f>
        <v>4.26</v>
      </c>
      <c r="AR67" s="53">
        <f t="shared" ref="AR67:AR130" si="82">AQ67*5</f>
        <v>21.299999999999997</v>
      </c>
      <c r="AS67" s="56">
        <f t="shared" ref="AS67:AS130" si="83">1/AR67</f>
        <v>4.6948356807511742E-2</v>
      </c>
      <c r="AT67" s="56">
        <f t="shared" si="58"/>
        <v>0.23474178403755869</v>
      </c>
      <c r="AU67" s="56">
        <f t="shared" ref="AU67:AU130" si="84">AT67*0.75</f>
        <v>0.176056338028169</v>
      </c>
      <c r="AV67" s="56">
        <f t="shared" si="59"/>
        <v>5.8685446009389672E-2</v>
      </c>
      <c r="AW67" s="57" t="s">
        <v>2511</v>
      </c>
      <c r="AX67" s="57" t="s">
        <v>2512</v>
      </c>
      <c r="AY67" s="57" t="s">
        <v>2513</v>
      </c>
      <c r="AZ67" s="58">
        <f t="shared" si="60"/>
        <v>8.8900000000000003E-3</v>
      </c>
      <c r="BA67" s="59">
        <f t="shared" si="64"/>
        <v>5.2171361502347424E-4</v>
      </c>
      <c r="BB67" s="59">
        <f t="shared" si="65"/>
        <v>1.5651408450704225E-3</v>
      </c>
      <c r="BC67" s="59">
        <f t="shared" si="66"/>
        <v>4.1737089201877939E-4</v>
      </c>
      <c r="BD67" s="60">
        <f t="shared" si="61"/>
        <v>2.1739130434782609E-3</v>
      </c>
      <c r="BE67" s="59">
        <f t="shared" si="62"/>
        <v>4.3478260869565218E-3</v>
      </c>
      <c r="BQ67" s="61">
        <v>3000</v>
      </c>
      <c r="BR67" s="61">
        <v>1200</v>
      </c>
      <c r="BS67" s="28">
        <f t="shared" ref="BS67:BS130" si="85">BQ67-20</f>
        <v>2980</v>
      </c>
      <c r="BT67" s="28">
        <f t="shared" ref="BT67:BT130" si="86">BR67-20</f>
        <v>1180</v>
      </c>
      <c r="BU67" s="28" t="s">
        <v>2541</v>
      </c>
      <c r="BV67" s="28">
        <f t="shared" ref="BV67:BV130" si="87">V67+5</f>
        <v>565</v>
      </c>
      <c r="BW67" s="28">
        <f t="shared" ref="BW67:BW130" si="88">W67+5</f>
        <v>12.9375</v>
      </c>
      <c r="BX67" s="13">
        <f t="shared" ref="BX67:BX130" si="89">BS67/BV67</f>
        <v>5.2743362831858409</v>
      </c>
      <c r="BY67" s="13">
        <f t="shared" ref="BY67:BY130" si="90">ROUNDDOWN(BX67,0)</f>
        <v>5</v>
      </c>
      <c r="BZ67" s="13">
        <f t="shared" ref="BZ67:BZ130" si="91">BT67/BW67</f>
        <v>91.207729468599027</v>
      </c>
      <c r="CA67" s="13">
        <f t="shared" ref="CA67:CA130" si="92">ROUNDDOWN(BZ67,0)</f>
        <v>91</v>
      </c>
      <c r="CB67" s="13">
        <f t="shared" ref="CB67:CB130" si="93">BY67*CA67</f>
        <v>455</v>
      </c>
      <c r="CC67" s="62">
        <f t="shared" ref="CC67:CC130" si="94">IF(E67="CJ","",IFERROR((1/CB67),1))</f>
        <v>2.1978021978021978E-3</v>
      </c>
      <c r="CD67" s="13">
        <f t="shared" ref="CD67:CD130" si="95">BS67/BW67</f>
        <v>230.33816425120773</v>
      </c>
      <c r="CE67" s="13">
        <f t="shared" ref="CE67:CE130" si="96">ROUNDDOWN(CD67,0)</f>
        <v>230</v>
      </c>
      <c r="CF67" s="13">
        <f t="shared" ref="CF67:CF130" si="97">BT67/BV67</f>
        <v>2.0884955752212391</v>
      </c>
      <c r="CG67" s="13">
        <f t="shared" ref="CG67:CG130" si="98">ROUNDDOWN(CF67,0)</f>
        <v>2</v>
      </c>
      <c r="CH67" s="28">
        <f t="shared" ref="CH67:CH130" si="99">CE67*CG67</f>
        <v>460</v>
      </c>
      <c r="CI67" s="62">
        <f t="shared" ref="CI67:CI130" si="100">IF(E67="CJ","",IFERROR((1/CH67),1))</f>
        <v>2.1739130434782609E-3</v>
      </c>
      <c r="CJ67" s="59">
        <f t="shared" ref="CJ67:CJ130" si="101">MIN(CC67,CI67)</f>
        <v>2.1739130434782609E-3</v>
      </c>
      <c r="CL67" s="63">
        <v>6000</v>
      </c>
      <c r="CM67" s="63">
        <f t="shared" ref="CM67:CM130" si="102">V67</f>
        <v>560</v>
      </c>
      <c r="CN67" s="63">
        <f t="shared" ref="CN67:CN130" si="103">CM67+5</f>
        <v>565</v>
      </c>
      <c r="CO67" s="63">
        <f t="shared" ref="CO67:CO130" si="104">CL67/CN67</f>
        <v>10.619469026548673</v>
      </c>
      <c r="CP67" s="13">
        <f t="shared" ref="CP67:CP130" si="105">ROUNDDOWN(CO67,0)</f>
        <v>10</v>
      </c>
      <c r="CQ67" s="70">
        <f t="shared" ref="CQ67:CQ130" si="106">1/CP67</f>
        <v>0.1</v>
      </c>
      <c r="CR67" s="69">
        <f t="shared" si="74"/>
        <v>0.2</v>
      </c>
    </row>
    <row r="68" spans="1:96" hidden="1" x14ac:dyDescent="0.25">
      <c r="A68" s="13">
        <v>4</v>
      </c>
      <c r="B68" s="14" t="s">
        <v>46</v>
      </c>
      <c r="C68" s="13" t="s">
        <v>238</v>
      </c>
      <c r="D68" s="13" t="s">
        <v>2270</v>
      </c>
      <c r="E68" s="13" t="s">
        <v>52</v>
      </c>
      <c r="F68" s="15">
        <f t="shared" si="75"/>
        <v>1</v>
      </c>
      <c r="G68" s="13">
        <v>1</v>
      </c>
      <c r="H68" s="13">
        <f t="shared" ref="H68:H74" si="107">G68*$H$5</f>
        <v>1</v>
      </c>
      <c r="I68" s="13">
        <v>5</v>
      </c>
      <c r="J68" s="14" t="s">
        <v>158</v>
      </c>
      <c r="K68" s="14" t="s">
        <v>34</v>
      </c>
      <c r="L68" s="13">
        <v>0</v>
      </c>
      <c r="M68" s="14" t="s">
        <v>35</v>
      </c>
      <c r="N68" s="13" t="s">
        <v>239</v>
      </c>
      <c r="O68" s="28" t="s">
        <v>41</v>
      </c>
      <c r="P68" s="28" t="s">
        <v>41</v>
      </c>
      <c r="Q68" s="28" t="s">
        <v>116</v>
      </c>
      <c r="R68" s="30">
        <v>27.838999999999999</v>
      </c>
      <c r="S68" s="30">
        <v>23.088999999999999</v>
      </c>
      <c r="T68" s="30"/>
      <c r="U68" s="30">
        <v>0.11799999999999999</v>
      </c>
      <c r="V68" s="8">
        <f t="shared" si="76"/>
        <v>707.11059999999998</v>
      </c>
      <c r="W68" s="8">
        <f t="shared" si="77"/>
        <v>586.46059999999989</v>
      </c>
      <c r="X68" s="8">
        <f t="shared" si="78"/>
        <v>0</v>
      </c>
      <c r="Y68" s="33">
        <f t="shared" si="79"/>
        <v>2.9971999999999999</v>
      </c>
      <c r="Z68" s="28" t="s">
        <v>56</v>
      </c>
      <c r="AA68" s="28" t="s">
        <v>57</v>
      </c>
      <c r="AB68" s="28" t="s">
        <v>116</v>
      </c>
      <c r="AC68" s="31" t="s">
        <v>117</v>
      </c>
      <c r="AD68" s="50">
        <f t="shared" si="80"/>
        <v>1</v>
      </c>
      <c r="AE68" s="31"/>
      <c r="AF68" s="51">
        <v>14</v>
      </c>
      <c r="AG68" s="51">
        <f t="shared" si="52"/>
        <v>8.4</v>
      </c>
      <c r="AH68" s="51">
        <f t="shared" si="73"/>
        <v>42</v>
      </c>
      <c r="AI68" s="52" t="s">
        <v>2497</v>
      </c>
      <c r="AJ68" s="52" t="s">
        <v>2498</v>
      </c>
      <c r="AK68" s="53">
        <f t="shared" si="53"/>
        <v>0.82938501348471982</v>
      </c>
      <c r="AL68" s="54">
        <f t="shared" si="54"/>
        <v>0.11904761904761904</v>
      </c>
      <c r="AM68" s="54">
        <f t="shared" si="55"/>
        <v>2.3809523809523808E-2</v>
      </c>
      <c r="AN68" s="55">
        <f t="shared" si="56"/>
        <v>9.8736311129133308E-2</v>
      </c>
      <c r="AO68" s="55">
        <f t="shared" si="57"/>
        <v>1.9747262225826661E-2</v>
      </c>
      <c r="AP68" s="53">
        <v>7.1</v>
      </c>
      <c r="AQ68" s="53">
        <f t="shared" si="81"/>
        <v>4.26</v>
      </c>
      <c r="AR68" s="53">
        <f t="shared" si="82"/>
        <v>21.299999999999997</v>
      </c>
      <c r="AS68" s="56">
        <f t="shared" si="83"/>
        <v>4.6948356807511742E-2</v>
      </c>
      <c r="AT68" s="56">
        <f t="shared" si="58"/>
        <v>0.23474178403755869</v>
      </c>
      <c r="AU68" s="56">
        <f t="shared" si="84"/>
        <v>0.176056338028169</v>
      </c>
      <c r="AV68" s="56">
        <f t="shared" si="59"/>
        <v>5.8685446009389672E-2</v>
      </c>
      <c r="AW68" s="57" t="s">
        <v>2511</v>
      </c>
      <c r="AX68" s="57" t="s">
        <v>2512</v>
      </c>
      <c r="AY68" s="57" t="s">
        <v>2513</v>
      </c>
      <c r="AZ68" s="58">
        <f t="shared" si="60"/>
        <v>0.82938501348471982</v>
      </c>
      <c r="BA68" s="59">
        <f t="shared" si="64"/>
        <v>2.4336414714927226E-2</v>
      </c>
      <c r="BB68" s="59">
        <f t="shared" si="65"/>
        <v>7.3009244144781674E-2</v>
      </c>
      <c r="BC68" s="59">
        <f t="shared" si="66"/>
        <v>1.9469131771941782E-2</v>
      </c>
      <c r="BD68" s="60">
        <f t="shared" si="61"/>
        <v>0.2</v>
      </c>
      <c r="BE68" s="59">
        <f t="shared" si="62"/>
        <v>0.2</v>
      </c>
      <c r="BQ68" s="61">
        <v>3000</v>
      </c>
      <c r="BR68" s="61">
        <v>1200</v>
      </c>
      <c r="BS68" s="28">
        <f t="shared" si="85"/>
        <v>2980</v>
      </c>
      <c r="BT68" s="28">
        <f t="shared" si="86"/>
        <v>1180</v>
      </c>
      <c r="BU68" s="28" t="s">
        <v>2541</v>
      </c>
      <c r="BV68" s="28">
        <f t="shared" si="87"/>
        <v>712.11059999999998</v>
      </c>
      <c r="BW68" s="28">
        <f t="shared" si="88"/>
        <v>591.46059999999989</v>
      </c>
      <c r="BX68" s="13">
        <f t="shared" si="89"/>
        <v>4.1847432126414068</v>
      </c>
      <c r="BY68" s="13">
        <f t="shared" si="90"/>
        <v>4</v>
      </c>
      <c r="BZ68" s="13">
        <f t="shared" si="91"/>
        <v>1.9950610404141886</v>
      </c>
      <c r="CA68" s="13">
        <f t="shared" si="92"/>
        <v>1</v>
      </c>
      <c r="CB68" s="13">
        <f t="shared" si="93"/>
        <v>4</v>
      </c>
      <c r="CC68" s="62">
        <f t="shared" si="94"/>
        <v>0.25</v>
      </c>
      <c r="CD68" s="13">
        <f t="shared" si="95"/>
        <v>5.0383744918934594</v>
      </c>
      <c r="CE68" s="13">
        <f t="shared" si="96"/>
        <v>5</v>
      </c>
      <c r="CF68" s="13">
        <f t="shared" si="97"/>
        <v>1.6570459701063291</v>
      </c>
      <c r="CG68" s="13">
        <f t="shared" si="98"/>
        <v>1</v>
      </c>
      <c r="CH68" s="28">
        <f t="shared" si="99"/>
        <v>5</v>
      </c>
      <c r="CI68" s="62">
        <f t="shared" si="100"/>
        <v>0.2</v>
      </c>
      <c r="CJ68" s="59">
        <f t="shared" si="101"/>
        <v>0.2</v>
      </c>
      <c r="CL68" s="63">
        <v>6000</v>
      </c>
      <c r="CM68" s="63">
        <f t="shared" si="102"/>
        <v>707.11059999999998</v>
      </c>
      <c r="CN68" s="63">
        <f t="shared" si="103"/>
        <v>712.11059999999998</v>
      </c>
      <c r="CO68" s="63">
        <f t="shared" si="104"/>
        <v>8.4256574751169282</v>
      </c>
      <c r="CP68" s="13">
        <f t="shared" si="105"/>
        <v>8</v>
      </c>
      <c r="CQ68" s="70">
        <f t="shared" si="106"/>
        <v>0.125</v>
      </c>
      <c r="CR68" s="69">
        <f t="shared" si="74"/>
        <v>0.125</v>
      </c>
    </row>
    <row r="69" spans="1:96" hidden="1" x14ac:dyDescent="0.25">
      <c r="A69" s="13">
        <v>4</v>
      </c>
      <c r="B69" s="14" t="s">
        <v>46</v>
      </c>
      <c r="C69" s="13" t="s">
        <v>240</v>
      </c>
      <c r="D69" s="13" t="s">
        <v>2270</v>
      </c>
      <c r="E69" s="13" t="s">
        <v>52</v>
      </c>
      <c r="F69" s="15">
        <f t="shared" si="75"/>
        <v>1</v>
      </c>
      <c r="G69" s="13">
        <v>1</v>
      </c>
      <c r="H69" s="13">
        <f t="shared" si="107"/>
        <v>1</v>
      </c>
      <c r="I69" s="13">
        <v>6</v>
      </c>
      <c r="J69" s="14" t="s">
        <v>241</v>
      </c>
      <c r="K69" s="14" t="s">
        <v>34</v>
      </c>
      <c r="L69" s="13">
        <v>0</v>
      </c>
      <c r="M69" s="14" t="s">
        <v>35</v>
      </c>
      <c r="N69" s="13" t="s">
        <v>242</v>
      </c>
      <c r="O69" s="28" t="s">
        <v>41</v>
      </c>
      <c r="P69" s="28" t="s">
        <v>41</v>
      </c>
      <c r="Q69" s="28" t="s">
        <v>116</v>
      </c>
      <c r="R69" s="30">
        <v>9.015748031496063</v>
      </c>
      <c r="S69" s="30">
        <v>1.1811023622047245</v>
      </c>
      <c r="T69" s="30"/>
      <c r="U69" s="30">
        <v>0.12</v>
      </c>
      <c r="V69" s="8">
        <f t="shared" si="76"/>
        <v>229</v>
      </c>
      <c r="W69" s="8">
        <f t="shared" si="77"/>
        <v>30</v>
      </c>
      <c r="X69" s="8">
        <f t="shared" si="78"/>
        <v>0</v>
      </c>
      <c r="Y69" s="33">
        <f t="shared" si="79"/>
        <v>3.0479999999999996</v>
      </c>
      <c r="Z69" s="28" t="s">
        <v>56</v>
      </c>
      <c r="AA69" s="28" t="s">
        <v>57</v>
      </c>
      <c r="AB69" s="28" t="s">
        <v>116</v>
      </c>
      <c r="AC69" s="31" t="s">
        <v>117</v>
      </c>
      <c r="AD69" s="50">
        <f t="shared" si="80"/>
        <v>1</v>
      </c>
      <c r="AE69" s="31"/>
      <c r="AF69" s="51">
        <v>14</v>
      </c>
      <c r="AG69" s="51">
        <f t="shared" si="52"/>
        <v>8.4</v>
      </c>
      <c r="AH69" s="51">
        <f t="shared" si="73"/>
        <v>42</v>
      </c>
      <c r="AI69" s="52" t="s">
        <v>2497</v>
      </c>
      <c r="AJ69" s="52" t="s">
        <v>2498</v>
      </c>
      <c r="AK69" s="53">
        <f t="shared" si="53"/>
        <v>1.374E-2</v>
      </c>
      <c r="AL69" s="54">
        <f t="shared" si="54"/>
        <v>0.11904761904761904</v>
      </c>
      <c r="AM69" s="54">
        <f t="shared" si="55"/>
        <v>2.3809523809523808E-2</v>
      </c>
      <c r="AN69" s="55">
        <f t="shared" si="56"/>
        <v>1.6357142857142857E-3</v>
      </c>
      <c r="AO69" s="55">
        <f t="shared" si="57"/>
        <v>3.2714285714285712E-4</v>
      </c>
      <c r="AP69" s="53">
        <v>7.1</v>
      </c>
      <c r="AQ69" s="53">
        <f t="shared" si="81"/>
        <v>4.26</v>
      </c>
      <c r="AR69" s="53">
        <f t="shared" si="82"/>
        <v>21.299999999999997</v>
      </c>
      <c r="AS69" s="56">
        <f t="shared" si="83"/>
        <v>4.6948356807511742E-2</v>
      </c>
      <c r="AT69" s="56">
        <f t="shared" si="58"/>
        <v>0.23474178403755869</v>
      </c>
      <c r="AU69" s="56">
        <f t="shared" si="84"/>
        <v>0.176056338028169</v>
      </c>
      <c r="AV69" s="56">
        <f t="shared" si="59"/>
        <v>5.8685446009389672E-2</v>
      </c>
      <c r="AW69" s="57" t="s">
        <v>2511</v>
      </c>
      <c r="AX69" s="57" t="s">
        <v>2512</v>
      </c>
      <c r="AY69" s="57" t="s">
        <v>2513</v>
      </c>
      <c r="AZ69" s="58">
        <f t="shared" si="60"/>
        <v>1.374E-2</v>
      </c>
      <c r="BA69" s="59">
        <f t="shared" si="64"/>
        <v>4.0316901408450704E-4</v>
      </c>
      <c r="BB69" s="59">
        <f t="shared" si="65"/>
        <v>1.2095070422535211E-3</v>
      </c>
      <c r="BC69" s="59">
        <f t="shared" si="66"/>
        <v>3.2253521126760567E-4</v>
      </c>
      <c r="BD69" s="60">
        <f t="shared" si="61"/>
        <v>2.352941176470588E-3</v>
      </c>
      <c r="BE69" s="59">
        <f t="shared" si="62"/>
        <v>2.352941176470588E-3</v>
      </c>
      <c r="BQ69" s="61">
        <v>3000</v>
      </c>
      <c r="BR69" s="61">
        <v>1200</v>
      </c>
      <c r="BS69" s="28">
        <f t="shared" si="85"/>
        <v>2980</v>
      </c>
      <c r="BT69" s="28">
        <f t="shared" si="86"/>
        <v>1180</v>
      </c>
      <c r="BU69" s="28" t="s">
        <v>2541</v>
      </c>
      <c r="BV69" s="28">
        <f t="shared" si="87"/>
        <v>234</v>
      </c>
      <c r="BW69" s="28">
        <f t="shared" si="88"/>
        <v>35</v>
      </c>
      <c r="BX69" s="13">
        <f t="shared" si="89"/>
        <v>12.735042735042734</v>
      </c>
      <c r="BY69" s="13">
        <f t="shared" si="90"/>
        <v>12</v>
      </c>
      <c r="BZ69" s="13">
        <f t="shared" si="91"/>
        <v>33.714285714285715</v>
      </c>
      <c r="CA69" s="13">
        <f t="shared" si="92"/>
        <v>33</v>
      </c>
      <c r="CB69" s="13">
        <f t="shared" si="93"/>
        <v>396</v>
      </c>
      <c r="CC69" s="62">
        <f t="shared" si="94"/>
        <v>2.5252525252525255E-3</v>
      </c>
      <c r="CD69" s="13">
        <f t="shared" si="95"/>
        <v>85.142857142857139</v>
      </c>
      <c r="CE69" s="13">
        <f t="shared" si="96"/>
        <v>85</v>
      </c>
      <c r="CF69" s="13">
        <f t="shared" si="97"/>
        <v>5.0427350427350426</v>
      </c>
      <c r="CG69" s="13">
        <f t="shared" si="98"/>
        <v>5</v>
      </c>
      <c r="CH69" s="28">
        <f t="shared" si="99"/>
        <v>425</v>
      </c>
      <c r="CI69" s="62">
        <f t="shared" si="100"/>
        <v>2.352941176470588E-3</v>
      </c>
      <c r="CJ69" s="59">
        <f t="shared" si="101"/>
        <v>2.352941176470588E-3</v>
      </c>
      <c r="CL69" s="63">
        <v>6000</v>
      </c>
      <c r="CM69" s="63">
        <f t="shared" si="102"/>
        <v>229</v>
      </c>
      <c r="CN69" s="63">
        <f t="shared" si="103"/>
        <v>234</v>
      </c>
      <c r="CO69" s="63">
        <f t="shared" si="104"/>
        <v>25.641025641025642</v>
      </c>
      <c r="CP69" s="13">
        <f t="shared" si="105"/>
        <v>25</v>
      </c>
      <c r="CQ69" s="70">
        <f t="shared" si="106"/>
        <v>0.04</v>
      </c>
      <c r="CR69" s="69">
        <f t="shared" si="74"/>
        <v>0.04</v>
      </c>
    </row>
    <row r="70" spans="1:96" hidden="1" x14ac:dyDescent="0.25">
      <c r="A70" s="13">
        <v>4</v>
      </c>
      <c r="B70" s="14" t="s">
        <v>46</v>
      </c>
      <c r="C70" s="13" t="s">
        <v>243</v>
      </c>
      <c r="D70" s="13" t="s">
        <v>2270</v>
      </c>
      <c r="E70" s="13" t="s">
        <v>52</v>
      </c>
      <c r="F70" s="15">
        <f t="shared" si="75"/>
        <v>1</v>
      </c>
      <c r="G70" s="13">
        <v>1</v>
      </c>
      <c r="H70" s="13">
        <f t="shared" si="107"/>
        <v>1</v>
      </c>
      <c r="I70" s="13">
        <v>7</v>
      </c>
      <c r="J70" s="14" t="s">
        <v>244</v>
      </c>
      <c r="K70" s="14" t="s">
        <v>34</v>
      </c>
      <c r="L70" s="13" t="s">
        <v>110</v>
      </c>
      <c r="M70" s="14" t="s">
        <v>35</v>
      </c>
      <c r="N70" s="13" t="s">
        <v>245</v>
      </c>
      <c r="O70" s="28" t="s">
        <v>41</v>
      </c>
      <c r="P70" s="28" t="s">
        <v>41</v>
      </c>
      <c r="Q70" s="28" t="s">
        <v>79</v>
      </c>
      <c r="R70" s="30">
        <v>9.875</v>
      </c>
      <c r="S70" s="30">
        <v>0.3125</v>
      </c>
      <c r="T70" s="30"/>
      <c r="U70" s="30">
        <v>0.3125</v>
      </c>
      <c r="V70" s="8">
        <f t="shared" si="76"/>
        <v>250.82499999999999</v>
      </c>
      <c r="W70" s="8">
        <f t="shared" si="77"/>
        <v>7.9375</v>
      </c>
      <c r="X70" s="8">
        <f t="shared" si="78"/>
        <v>0</v>
      </c>
      <c r="Y70" s="33">
        <f t="shared" si="79"/>
        <v>7.9375</v>
      </c>
      <c r="Z70" s="28" t="s">
        <v>80</v>
      </c>
      <c r="AA70" s="28" t="s">
        <v>81</v>
      </c>
      <c r="AB70" s="61" t="s">
        <v>79</v>
      </c>
      <c r="AC70" s="31" t="s">
        <v>82</v>
      </c>
      <c r="AD70" s="50">
        <f t="shared" si="80"/>
        <v>1</v>
      </c>
      <c r="AE70" s="31"/>
      <c r="AF70" s="51">
        <v>14</v>
      </c>
      <c r="AG70" s="51">
        <f t="shared" ref="AG70:AG133" si="108">AF70*0.6</f>
        <v>8.4</v>
      </c>
      <c r="AH70" s="51">
        <f t="shared" si="73"/>
        <v>42</v>
      </c>
      <c r="AI70" s="52" t="s">
        <v>2497</v>
      </c>
      <c r="AJ70" s="52" t="s">
        <v>2498</v>
      </c>
      <c r="AK70" s="53">
        <f t="shared" ref="AK70:AK133" si="109">(V70*W70)*2/1000000</f>
        <v>3.9818468749999994E-3</v>
      </c>
      <c r="AL70" s="54">
        <f t="shared" ref="AL70:AL133" si="110">1/(AF70*0.6)</f>
        <v>0.11904761904761904</v>
      </c>
      <c r="AM70" s="54">
        <f t="shared" ref="AM70:AM133" si="111">1/AG70*(20/100)</f>
        <v>2.3809523809523808E-2</v>
      </c>
      <c r="AN70" s="55">
        <f t="shared" ref="AN70:AN133" si="112">IF(AI70&lt;&gt;0,(AK70*AL70*AD70),0)</f>
        <v>4.7402938988095228E-4</v>
      </c>
      <c r="AO70" s="55">
        <f t="shared" ref="AO70:AO133" si="113">IF(AJ70&lt;&gt;0,(AK70*AM70*AD70),0)</f>
        <v>9.4805877976190459E-5</v>
      </c>
      <c r="AP70" s="53">
        <v>7.1</v>
      </c>
      <c r="AQ70" s="53">
        <f t="shared" si="81"/>
        <v>4.26</v>
      </c>
      <c r="AR70" s="53">
        <f t="shared" si="82"/>
        <v>21.299999999999997</v>
      </c>
      <c r="AS70" s="56">
        <f t="shared" si="83"/>
        <v>4.6948356807511742E-2</v>
      </c>
      <c r="AT70" s="56">
        <f t="shared" ref="AT70:AT133" si="114">1/AQ70</f>
        <v>0.23474178403755869</v>
      </c>
      <c r="AU70" s="56">
        <f t="shared" si="84"/>
        <v>0.176056338028169</v>
      </c>
      <c r="AV70" s="56">
        <f t="shared" ref="AV70:AV133" si="115">AT70*0.25</f>
        <v>5.8685446009389672E-2</v>
      </c>
      <c r="AW70" s="57" t="s">
        <v>2511</v>
      </c>
      <c r="AX70" s="57" t="s">
        <v>2512</v>
      </c>
      <c r="AY70" s="57" t="s">
        <v>2513</v>
      </c>
      <c r="AZ70" s="58">
        <f t="shared" ref="AZ70:AZ133" si="116">(V70*W70)*2/1000000</f>
        <v>3.9818468749999994E-3</v>
      </c>
      <c r="BA70" s="59">
        <f t="shared" si="64"/>
        <v>1.1683822990023472E-4</v>
      </c>
      <c r="BB70" s="59">
        <f t="shared" si="65"/>
        <v>3.5051468970070417E-4</v>
      </c>
      <c r="BC70" s="59">
        <f t="shared" si="66"/>
        <v>9.3470583920187794E-5</v>
      </c>
      <c r="BD70" s="60">
        <f t="shared" ref="BD70:BD133" si="117">CJ70</f>
        <v>9.99000999000999E-4</v>
      </c>
      <c r="BE70" s="59">
        <f t="shared" ref="BE70:BE133" si="118">BD70*AD70</f>
        <v>9.99000999000999E-4</v>
      </c>
      <c r="BQ70" s="61">
        <v>3000</v>
      </c>
      <c r="BR70" s="61">
        <v>1200</v>
      </c>
      <c r="BS70" s="28">
        <f t="shared" si="85"/>
        <v>2980</v>
      </c>
      <c r="BT70" s="28">
        <f t="shared" si="86"/>
        <v>1180</v>
      </c>
      <c r="BU70" s="28" t="s">
        <v>2541</v>
      </c>
      <c r="BV70" s="28">
        <f t="shared" si="87"/>
        <v>255.82499999999999</v>
      </c>
      <c r="BW70" s="28">
        <f t="shared" si="88"/>
        <v>12.9375</v>
      </c>
      <c r="BX70" s="13">
        <f t="shared" si="89"/>
        <v>11.648587901886055</v>
      </c>
      <c r="BY70" s="13">
        <f t="shared" si="90"/>
        <v>11</v>
      </c>
      <c r="BZ70" s="13">
        <f t="shared" si="91"/>
        <v>91.207729468599027</v>
      </c>
      <c r="CA70" s="13">
        <f t="shared" si="92"/>
        <v>91</v>
      </c>
      <c r="CB70" s="13">
        <f t="shared" si="93"/>
        <v>1001</v>
      </c>
      <c r="CC70" s="62">
        <f t="shared" si="94"/>
        <v>9.99000999000999E-4</v>
      </c>
      <c r="CD70" s="13">
        <f t="shared" si="95"/>
        <v>230.33816425120773</v>
      </c>
      <c r="CE70" s="13">
        <f t="shared" si="96"/>
        <v>230</v>
      </c>
      <c r="CF70" s="13">
        <f t="shared" si="97"/>
        <v>4.6125280953776997</v>
      </c>
      <c r="CG70" s="13">
        <f t="shared" si="98"/>
        <v>4</v>
      </c>
      <c r="CH70" s="28">
        <f t="shared" si="99"/>
        <v>920</v>
      </c>
      <c r="CI70" s="62">
        <f t="shared" si="100"/>
        <v>1.0869565217391304E-3</v>
      </c>
      <c r="CJ70" s="59">
        <f t="shared" si="101"/>
        <v>9.99000999000999E-4</v>
      </c>
      <c r="CL70" s="63">
        <v>6000</v>
      </c>
      <c r="CM70" s="63">
        <f t="shared" si="102"/>
        <v>250.82499999999999</v>
      </c>
      <c r="CN70" s="63">
        <f t="shared" si="103"/>
        <v>255.82499999999999</v>
      </c>
      <c r="CO70" s="63">
        <f t="shared" si="104"/>
        <v>23.453532688361186</v>
      </c>
      <c r="CP70" s="13">
        <f t="shared" si="105"/>
        <v>23</v>
      </c>
      <c r="CQ70" s="70">
        <f t="shared" si="106"/>
        <v>4.3478260869565216E-2</v>
      </c>
      <c r="CR70" s="69">
        <f t="shared" si="74"/>
        <v>4.3478260869565216E-2</v>
      </c>
    </row>
    <row r="71" spans="1:96" hidden="1" x14ac:dyDescent="0.25">
      <c r="A71" s="13">
        <v>4</v>
      </c>
      <c r="B71" s="14" t="s">
        <v>46</v>
      </c>
      <c r="C71" s="13" t="s">
        <v>246</v>
      </c>
      <c r="D71" s="13" t="s">
        <v>2270</v>
      </c>
      <c r="E71" s="13" t="s">
        <v>52</v>
      </c>
      <c r="F71" s="15">
        <f t="shared" si="75"/>
        <v>1</v>
      </c>
      <c r="G71" s="13">
        <v>1</v>
      </c>
      <c r="H71" s="13">
        <f t="shared" si="107"/>
        <v>1</v>
      </c>
      <c r="I71" s="13">
        <v>8</v>
      </c>
      <c r="J71" s="14" t="s">
        <v>247</v>
      </c>
      <c r="K71" s="14" t="s">
        <v>34</v>
      </c>
      <c r="L71" s="13">
        <v>0</v>
      </c>
      <c r="M71" s="14" t="s">
        <v>35</v>
      </c>
      <c r="N71" s="13" t="s">
        <v>248</v>
      </c>
      <c r="O71" s="28" t="s">
        <v>41</v>
      </c>
      <c r="P71" s="28" t="s">
        <v>41</v>
      </c>
      <c r="Q71" s="28" t="s">
        <v>249</v>
      </c>
      <c r="R71" s="30">
        <v>2.62</v>
      </c>
      <c r="S71" s="30">
        <v>2.62</v>
      </c>
      <c r="T71" s="30"/>
      <c r="U71" s="30">
        <v>0.19700000000000001</v>
      </c>
      <c r="V71" s="8">
        <f t="shared" si="76"/>
        <v>66.548000000000002</v>
      </c>
      <c r="W71" s="8">
        <f t="shared" si="77"/>
        <v>66.548000000000002</v>
      </c>
      <c r="X71" s="8">
        <f t="shared" si="78"/>
        <v>0</v>
      </c>
      <c r="Y71" s="33">
        <f t="shared" si="79"/>
        <v>5.0038</v>
      </c>
      <c r="Z71" s="28" t="s">
        <v>250</v>
      </c>
      <c r="AA71" s="28" t="s">
        <v>251</v>
      </c>
      <c r="AB71" s="61" t="s">
        <v>249</v>
      </c>
      <c r="AC71" s="31" t="s">
        <v>252</v>
      </c>
      <c r="AD71" s="50">
        <f t="shared" si="80"/>
        <v>1</v>
      </c>
      <c r="AE71" s="31"/>
      <c r="AF71" s="51">
        <v>14</v>
      </c>
      <c r="AG71" s="51">
        <f t="shared" si="108"/>
        <v>8.4</v>
      </c>
      <c r="AH71" s="51">
        <f t="shared" si="73"/>
        <v>42</v>
      </c>
      <c r="AI71" s="52" t="s">
        <v>2497</v>
      </c>
      <c r="AJ71" s="52" t="s">
        <v>2498</v>
      </c>
      <c r="AK71" s="53">
        <f t="shared" si="109"/>
        <v>8.8572726080000004E-3</v>
      </c>
      <c r="AL71" s="54">
        <f t="shared" si="110"/>
        <v>0.11904761904761904</v>
      </c>
      <c r="AM71" s="54">
        <f t="shared" si="111"/>
        <v>2.3809523809523808E-2</v>
      </c>
      <c r="AN71" s="55">
        <f t="shared" si="112"/>
        <v>1.0544372152380952E-3</v>
      </c>
      <c r="AO71" s="55">
        <f t="shared" si="113"/>
        <v>2.1088744304761903E-4</v>
      </c>
      <c r="AP71" s="53">
        <v>7.1</v>
      </c>
      <c r="AQ71" s="53">
        <f t="shared" si="81"/>
        <v>4.26</v>
      </c>
      <c r="AR71" s="53">
        <f t="shared" si="82"/>
        <v>21.299999999999997</v>
      </c>
      <c r="AS71" s="56">
        <f t="shared" si="83"/>
        <v>4.6948356807511742E-2</v>
      </c>
      <c r="AT71" s="56">
        <f t="shared" si="114"/>
        <v>0.23474178403755869</v>
      </c>
      <c r="AU71" s="56">
        <f t="shared" si="84"/>
        <v>0.176056338028169</v>
      </c>
      <c r="AV71" s="56">
        <f t="shared" si="115"/>
        <v>5.8685446009389672E-2</v>
      </c>
      <c r="AW71" s="57" t="s">
        <v>2511</v>
      </c>
      <c r="AX71" s="57" t="s">
        <v>2512</v>
      </c>
      <c r="AY71" s="57" t="s">
        <v>2513</v>
      </c>
      <c r="AZ71" s="58">
        <f t="shared" si="116"/>
        <v>8.8572726080000004E-3</v>
      </c>
      <c r="BA71" s="59">
        <f t="shared" si="64"/>
        <v>2.5989649671361503E-4</v>
      </c>
      <c r="BB71" s="59">
        <f t="shared" si="65"/>
        <v>7.7968949014084509E-4</v>
      </c>
      <c r="BC71" s="59">
        <f t="shared" si="66"/>
        <v>2.0791719737089205E-4</v>
      </c>
      <c r="BD71" s="60">
        <f t="shared" si="117"/>
        <v>1.5243902439024391E-3</v>
      </c>
      <c r="BE71" s="59">
        <f t="shared" si="118"/>
        <v>1.5243902439024391E-3</v>
      </c>
      <c r="BQ71" s="61">
        <v>3000</v>
      </c>
      <c r="BR71" s="61">
        <v>1200</v>
      </c>
      <c r="BS71" s="28">
        <f t="shared" si="85"/>
        <v>2980</v>
      </c>
      <c r="BT71" s="28">
        <f t="shared" si="86"/>
        <v>1180</v>
      </c>
      <c r="BU71" s="28" t="s">
        <v>2541</v>
      </c>
      <c r="BV71" s="28">
        <f t="shared" si="87"/>
        <v>71.548000000000002</v>
      </c>
      <c r="BW71" s="28">
        <f t="shared" si="88"/>
        <v>71.548000000000002</v>
      </c>
      <c r="BX71" s="13">
        <f t="shared" si="89"/>
        <v>41.650360597081679</v>
      </c>
      <c r="BY71" s="13">
        <f t="shared" si="90"/>
        <v>41</v>
      </c>
      <c r="BZ71" s="13">
        <f t="shared" si="91"/>
        <v>16.492424665958517</v>
      </c>
      <c r="CA71" s="13">
        <f t="shared" si="92"/>
        <v>16</v>
      </c>
      <c r="CB71" s="13">
        <f t="shared" si="93"/>
        <v>656</v>
      </c>
      <c r="CC71" s="62">
        <f t="shared" si="94"/>
        <v>1.5243902439024391E-3</v>
      </c>
      <c r="CD71" s="13">
        <f t="shared" si="95"/>
        <v>41.650360597081679</v>
      </c>
      <c r="CE71" s="13">
        <f t="shared" si="96"/>
        <v>41</v>
      </c>
      <c r="CF71" s="13">
        <f t="shared" si="97"/>
        <v>16.492424665958517</v>
      </c>
      <c r="CG71" s="13">
        <f t="shared" si="98"/>
        <v>16</v>
      </c>
      <c r="CH71" s="28">
        <f t="shared" si="99"/>
        <v>656</v>
      </c>
      <c r="CI71" s="62">
        <f t="shared" si="100"/>
        <v>1.5243902439024391E-3</v>
      </c>
      <c r="CJ71" s="59">
        <f t="shared" si="101"/>
        <v>1.5243902439024391E-3</v>
      </c>
      <c r="CL71" s="63">
        <v>6000</v>
      </c>
      <c r="CM71" s="63">
        <f t="shared" si="102"/>
        <v>66.548000000000002</v>
      </c>
      <c r="CN71" s="63">
        <f t="shared" si="103"/>
        <v>71.548000000000002</v>
      </c>
      <c r="CO71" s="63">
        <f t="shared" si="104"/>
        <v>83.859786437077204</v>
      </c>
      <c r="CP71" s="13">
        <f t="shared" si="105"/>
        <v>83</v>
      </c>
      <c r="CQ71" s="70">
        <f t="shared" si="106"/>
        <v>1.2048192771084338E-2</v>
      </c>
      <c r="CR71" s="69">
        <f t="shared" si="74"/>
        <v>1.2048192771084338E-2</v>
      </c>
    </row>
    <row r="72" spans="1:96" hidden="1" x14ac:dyDescent="0.25">
      <c r="A72" s="13">
        <v>4</v>
      </c>
      <c r="B72" s="14" t="s">
        <v>46</v>
      </c>
      <c r="C72" s="13" t="s">
        <v>253</v>
      </c>
      <c r="D72" s="13" t="s">
        <v>2270</v>
      </c>
      <c r="E72" s="13" t="s">
        <v>52</v>
      </c>
      <c r="F72" s="15">
        <f t="shared" si="75"/>
        <v>1</v>
      </c>
      <c r="G72" s="13">
        <v>1</v>
      </c>
      <c r="H72" s="13">
        <f t="shared" si="107"/>
        <v>1</v>
      </c>
      <c r="I72" s="13">
        <v>9</v>
      </c>
      <c r="J72" s="14" t="s">
        <v>158</v>
      </c>
      <c r="K72" s="14" t="s">
        <v>34</v>
      </c>
      <c r="L72" s="13" t="s">
        <v>110</v>
      </c>
      <c r="M72" s="14" t="s">
        <v>35</v>
      </c>
      <c r="N72" s="13" t="s">
        <v>254</v>
      </c>
      <c r="O72" s="28" t="s">
        <v>41</v>
      </c>
      <c r="P72" s="28" t="s">
        <v>41</v>
      </c>
      <c r="Q72" s="28" t="s">
        <v>124</v>
      </c>
      <c r="R72" s="30">
        <v>18.172999999999998</v>
      </c>
      <c r="S72" s="30">
        <v>7.0439999999999996</v>
      </c>
      <c r="T72" s="30"/>
      <c r="U72" s="30">
        <v>9.8000000000000004E-2</v>
      </c>
      <c r="V72" s="8">
        <f t="shared" si="76"/>
        <v>461.59419999999994</v>
      </c>
      <c r="W72" s="8">
        <f t="shared" si="77"/>
        <v>178.91759999999999</v>
      </c>
      <c r="X72" s="8">
        <f t="shared" si="78"/>
        <v>0</v>
      </c>
      <c r="Y72" s="33">
        <f t="shared" si="79"/>
        <v>2.4891999999999999</v>
      </c>
      <c r="Z72" s="28" t="s">
        <v>56</v>
      </c>
      <c r="AA72" s="28" t="s">
        <v>57</v>
      </c>
      <c r="AB72" s="61" t="s">
        <v>124</v>
      </c>
      <c r="AC72" s="31" t="s">
        <v>125</v>
      </c>
      <c r="AD72" s="50">
        <f t="shared" si="80"/>
        <v>1</v>
      </c>
      <c r="AE72" s="31"/>
      <c r="AF72" s="51">
        <v>14</v>
      </c>
      <c r="AG72" s="51">
        <f t="shared" si="108"/>
        <v>8.4</v>
      </c>
      <c r="AH72" s="51">
        <f t="shared" si="73"/>
        <v>42</v>
      </c>
      <c r="AI72" s="52" t="s">
        <v>2497</v>
      </c>
      <c r="AJ72" s="52" t="s">
        <v>2498</v>
      </c>
      <c r="AK72" s="53">
        <f t="shared" si="109"/>
        <v>0.16517465287583996</v>
      </c>
      <c r="AL72" s="54">
        <f t="shared" si="110"/>
        <v>0.11904761904761904</v>
      </c>
      <c r="AM72" s="54">
        <f t="shared" si="111"/>
        <v>2.3809523809523808E-2</v>
      </c>
      <c r="AN72" s="55">
        <f t="shared" si="112"/>
        <v>1.9663649151885707E-2</v>
      </c>
      <c r="AO72" s="55">
        <f t="shared" si="113"/>
        <v>3.9327298303771414E-3</v>
      </c>
      <c r="AP72" s="53">
        <v>7.1</v>
      </c>
      <c r="AQ72" s="53">
        <f t="shared" si="81"/>
        <v>4.26</v>
      </c>
      <c r="AR72" s="53">
        <f t="shared" si="82"/>
        <v>21.299999999999997</v>
      </c>
      <c r="AS72" s="56">
        <f t="shared" si="83"/>
        <v>4.6948356807511742E-2</v>
      </c>
      <c r="AT72" s="56">
        <f t="shared" si="114"/>
        <v>0.23474178403755869</v>
      </c>
      <c r="AU72" s="56">
        <f t="shared" si="84"/>
        <v>0.176056338028169</v>
      </c>
      <c r="AV72" s="56">
        <f t="shared" si="115"/>
        <v>5.8685446009389672E-2</v>
      </c>
      <c r="AW72" s="57" t="s">
        <v>2511</v>
      </c>
      <c r="AX72" s="57" t="s">
        <v>2512</v>
      </c>
      <c r="AY72" s="57" t="s">
        <v>2513</v>
      </c>
      <c r="AZ72" s="58">
        <f t="shared" si="116"/>
        <v>0.16517465287583996</v>
      </c>
      <c r="BA72" s="59">
        <f t="shared" ref="BA72:BA135" si="119">IF(AW72&lt;&gt;0,((AV72*AD72*AK72)/2),0)</f>
        <v>4.8466740867323934E-3</v>
      </c>
      <c r="BB72" s="59">
        <f t="shared" ref="BB72:BB135" si="120">IF(AX72&lt;&gt;0,((AD72*AU72*AZ72)/2),0)</f>
        <v>1.4540022260197179E-2</v>
      </c>
      <c r="BC72" s="59">
        <f t="shared" ref="BC72:BC135" si="121">IF(AY72&lt;&gt;0,((AD72*AS72*AZ72)/2),0)</f>
        <v>3.8773392693859151E-3</v>
      </c>
      <c r="BD72" s="60">
        <f t="shared" si="117"/>
        <v>2.7777777777777776E-2</v>
      </c>
      <c r="BE72" s="59">
        <f t="shared" si="118"/>
        <v>2.7777777777777776E-2</v>
      </c>
      <c r="BQ72" s="61">
        <v>3000</v>
      </c>
      <c r="BR72" s="61">
        <v>1200</v>
      </c>
      <c r="BS72" s="28">
        <f t="shared" si="85"/>
        <v>2980</v>
      </c>
      <c r="BT72" s="28">
        <f t="shared" si="86"/>
        <v>1180</v>
      </c>
      <c r="BU72" s="28" t="s">
        <v>2541</v>
      </c>
      <c r="BV72" s="28">
        <f t="shared" si="87"/>
        <v>466.59419999999994</v>
      </c>
      <c r="BW72" s="28">
        <f t="shared" si="88"/>
        <v>183.91759999999999</v>
      </c>
      <c r="BX72" s="13">
        <f t="shared" si="89"/>
        <v>6.3867060499251824</v>
      </c>
      <c r="BY72" s="13">
        <f t="shared" si="90"/>
        <v>6</v>
      </c>
      <c r="BZ72" s="13">
        <f t="shared" si="91"/>
        <v>6.4159166931277927</v>
      </c>
      <c r="CA72" s="13">
        <f t="shared" si="92"/>
        <v>6</v>
      </c>
      <c r="CB72" s="13">
        <f t="shared" si="93"/>
        <v>36</v>
      </c>
      <c r="CC72" s="62">
        <f t="shared" si="94"/>
        <v>2.7777777777777776E-2</v>
      </c>
      <c r="CD72" s="13">
        <f t="shared" si="95"/>
        <v>16.202908258915951</v>
      </c>
      <c r="CE72" s="13">
        <f t="shared" si="96"/>
        <v>16</v>
      </c>
      <c r="CF72" s="13">
        <f t="shared" si="97"/>
        <v>2.5289641405744008</v>
      </c>
      <c r="CG72" s="13">
        <f t="shared" si="98"/>
        <v>2</v>
      </c>
      <c r="CH72" s="28">
        <f t="shared" si="99"/>
        <v>32</v>
      </c>
      <c r="CI72" s="62">
        <f t="shared" si="100"/>
        <v>3.125E-2</v>
      </c>
      <c r="CJ72" s="59">
        <f t="shared" si="101"/>
        <v>2.7777777777777776E-2</v>
      </c>
      <c r="CL72" s="63">
        <v>6000</v>
      </c>
      <c r="CM72" s="63">
        <f t="shared" si="102"/>
        <v>461.59419999999994</v>
      </c>
      <c r="CN72" s="63">
        <f t="shared" si="103"/>
        <v>466.59419999999994</v>
      </c>
      <c r="CO72" s="63">
        <f t="shared" si="104"/>
        <v>12.859139697835937</v>
      </c>
      <c r="CP72" s="13">
        <f t="shared" si="105"/>
        <v>12</v>
      </c>
      <c r="CQ72" s="70">
        <f t="shared" si="106"/>
        <v>8.3333333333333329E-2</v>
      </c>
      <c r="CR72" s="69">
        <f t="shared" si="74"/>
        <v>8.3333333333333329E-2</v>
      </c>
    </row>
    <row r="73" spans="1:96" hidden="1" x14ac:dyDescent="0.25">
      <c r="A73" s="13">
        <v>4</v>
      </c>
      <c r="B73" s="14" t="s">
        <v>46</v>
      </c>
      <c r="C73" s="13" t="s">
        <v>255</v>
      </c>
      <c r="D73" s="13" t="s">
        <v>2270</v>
      </c>
      <c r="E73" s="13" t="s">
        <v>52</v>
      </c>
      <c r="F73" s="15">
        <f t="shared" si="75"/>
        <v>1</v>
      </c>
      <c r="G73" s="13">
        <v>1</v>
      </c>
      <c r="H73" s="13">
        <f t="shared" si="107"/>
        <v>1</v>
      </c>
      <c r="I73" s="13">
        <v>10</v>
      </c>
      <c r="J73" s="14" t="s">
        <v>241</v>
      </c>
      <c r="K73" s="14" t="s">
        <v>34</v>
      </c>
      <c r="L73" s="13">
        <v>0</v>
      </c>
      <c r="M73" s="14" t="s">
        <v>35</v>
      </c>
      <c r="N73" s="13" t="s">
        <v>256</v>
      </c>
      <c r="O73" s="28" t="s">
        <v>41</v>
      </c>
      <c r="P73" s="28" t="s">
        <v>41</v>
      </c>
      <c r="Q73" s="28" t="s">
        <v>116</v>
      </c>
      <c r="R73" s="30">
        <v>1.9685039370078741</v>
      </c>
      <c r="S73" s="30">
        <v>1.1811023622047245</v>
      </c>
      <c r="T73" s="30"/>
      <c r="U73" s="30">
        <v>0.12</v>
      </c>
      <c r="V73" s="8">
        <f t="shared" si="76"/>
        <v>50</v>
      </c>
      <c r="W73" s="8">
        <f t="shared" si="77"/>
        <v>30</v>
      </c>
      <c r="X73" s="8">
        <f t="shared" si="78"/>
        <v>0</v>
      </c>
      <c r="Y73" s="33">
        <f t="shared" si="79"/>
        <v>3.0479999999999996</v>
      </c>
      <c r="Z73" s="28" t="s">
        <v>56</v>
      </c>
      <c r="AA73" s="28" t="s">
        <v>57</v>
      </c>
      <c r="AB73" s="28" t="s">
        <v>116</v>
      </c>
      <c r="AC73" s="31" t="s">
        <v>117</v>
      </c>
      <c r="AD73" s="50">
        <f t="shared" si="80"/>
        <v>1</v>
      </c>
      <c r="AE73" s="31"/>
      <c r="AF73" s="51">
        <v>14</v>
      </c>
      <c r="AG73" s="51">
        <f t="shared" si="108"/>
        <v>8.4</v>
      </c>
      <c r="AH73" s="51">
        <f t="shared" si="73"/>
        <v>42</v>
      </c>
      <c r="AI73" s="52" t="s">
        <v>2497</v>
      </c>
      <c r="AJ73" s="52" t="s">
        <v>2498</v>
      </c>
      <c r="AK73" s="53">
        <f t="shared" si="109"/>
        <v>3.0000000000000001E-3</v>
      </c>
      <c r="AL73" s="54">
        <f t="shared" si="110"/>
        <v>0.11904761904761904</v>
      </c>
      <c r="AM73" s="54">
        <f t="shared" si="111"/>
        <v>2.3809523809523808E-2</v>
      </c>
      <c r="AN73" s="55">
        <f t="shared" si="112"/>
        <v>3.5714285714285714E-4</v>
      </c>
      <c r="AO73" s="55">
        <f t="shared" si="113"/>
        <v>7.142857142857142E-5</v>
      </c>
      <c r="AP73" s="53">
        <v>7.1</v>
      </c>
      <c r="AQ73" s="53">
        <f t="shared" si="81"/>
        <v>4.26</v>
      </c>
      <c r="AR73" s="53">
        <f t="shared" si="82"/>
        <v>21.299999999999997</v>
      </c>
      <c r="AS73" s="56">
        <f t="shared" si="83"/>
        <v>4.6948356807511742E-2</v>
      </c>
      <c r="AT73" s="56">
        <f t="shared" si="114"/>
        <v>0.23474178403755869</v>
      </c>
      <c r="AU73" s="56">
        <f t="shared" si="84"/>
        <v>0.176056338028169</v>
      </c>
      <c r="AV73" s="56">
        <f t="shared" si="115"/>
        <v>5.8685446009389672E-2</v>
      </c>
      <c r="AW73" s="57" t="s">
        <v>2511</v>
      </c>
      <c r="AX73" s="57" t="s">
        <v>2512</v>
      </c>
      <c r="AY73" s="57" t="s">
        <v>2513</v>
      </c>
      <c r="AZ73" s="58">
        <f t="shared" si="116"/>
        <v>3.0000000000000001E-3</v>
      </c>
      <c r="BA73" s="59">
        <f t="shared" si="119"/>
        <v>8.8028169014084512E-5</v>
      </c>
      <c r="BB73" s="59">
        <f t="shared" si="120"/>
        <v>2.6408450704225349E-4</v>
      </c>
      <c r="BC73" s="59">
        <f t="shared" si="121"/>
        <v>7.0422535211267609E-5</v>
      </c>
      <c r="BD73" s="60">
        <f t="shared" si="117"/>
        <v>5.602240896358543E-4</v>
      </c>
      <c r="BE73" s="59">
        <f t="shared" si="118"/>
        <v>5.602240896358543E-4</v>
      </c>
      <c r="BQ73" s="61">
        <v>3000</v>
      </c>
      <c r="BR73" s="61">
        <v>1200</v>
      </c>
      <c r="BS73" s="28">
        <f t="shared" si="85"/>
        <v>2980</v>
      </c>
      <c r="BT73" s="28">
        <f t="shared" si="86"/>
        <v>1180</v>
      </c>
      <c r="BU73" s="28" t="s">
        <v>2541</v>
      </c>
      <c r="BV73" s="28">
        <f t="shared" si="87"/>
        <v>55</v>
      </c>
      <c r="BW73" s="28">
        <f t="shared" si="88"/>
        <v>35</v>
      </c>
      <c r="BX73" s="13">
        <f t="shared" si="89"/>
        <v>54.18181818181818</v>
      </c>
      <c r="BY73" s="13">
        <f t="shared" si="90"/>
        <v>54</v>
      </c>
      <c r="BZ73" s="13">
        <f t="shared" si="91"/>
        <v>33.714285714285715</v>
      </c>
      <c r="CA73" s="13">
        <f t="shared" si="92"/>
        <v>33</v>
      </c>
      <c r="CB73" s="13">
        <f t="shared" si="93"/>
        <v>1782</v>
      </c>
      <c r="CC73" s="62">
        <f t="shared" si="94"/>
        <v>5.6116722783389455E-4</v>
      </c>
      <c r="CD73" s="13">
        <f t="shared" si="95"/>
        <v>85.142857142857139</v>
      </c>
      <c r="CE73" s="13">
        <f t="shared" si="96"/>
        <v>85</v>
      </c>
      <c r="CF73" s="13">
        <f t="shared" si="97"/>
        <v>21.454545454545453</v>
      </c>
      <c r="CG73" s="13">
        <f t="shared" si="98"/>
        <v>21</v>
      </c>
      <c r="CH73" s="28">
        <f t="shared" si="99"/>
        <v>1785</v>
      </c>
      <c r="CI73" s="62">
        <f t="shared" si="100"/>
        <v>5.602240896358543E-4</v>
      </c>
      <c r="CJ73" s="59">
        <f t="shared" si="101"/>
        <v>5.602240896358543E-4</v>
      </c>
      <c r="CL73" s="63">
        <v>6000</v>
      </c>
      <c r="CM73" s="63">
        <f t="shared" si="102"/>
        <v>50</v>
      </c>
      <c r="CN73" s="63">
        <f t="shared" si="103"/>
        <v>55</v>
      </c>
      <c r="CO73" s="63">
        <f t="shared" si="104"/>
        <v>109.09090909090909</v>
      </c>
      <c r="CP73" s="13">
        <f t="shared" si="105"/>
        <v>109</v>
      </c>
      <c r="CQ73" s="70">
        <f t="shared" si="106"/>
        <v>9.1743119266055051E-3</v>
      </c>
      <c r="CR73" s="69">
        <f t="shared" si="74"/>
        <v>9.1743119266055051E-3</v>
      </c>
    </row>
    <row r="74" spans="1:96" hidden="1" x14ac:dyDescent="0.25">
      <c r="A74" s="13">
        <v>4</v>
      </c>
      <c r="B74" s="14" t="s">
        <v>46</v>
      </c>
      <c r="C74" s="13" t="s">
        <v>257</v>
      </c>
      <c r="D74" s="13" t="s">
        <v>260</v>
      </c>
      <c r="E74" s="13" t="s">
        <v>52</v>
      </c>
      <c r="F74" s="15">
        <f t="shared" si="75"/>
        <v>3</v>
      </c>
      <c r="G74" s="13">
        <v>1</v>
      </c>
      <c r="H74" s="13">
        <f t="shared" si="107"/>
        <v>1</v>
      </c>
      <c r="I74" s="13">
        <v>11</v>
      </c>
      <c r="J74" s="14" t="s">
        <v>258</v>
      </c>
      <c r="K74" s="14" t="s">
        <v>34</v>
      </c>
      <c r="L74" s="13" t="s">
        <v>259</v>
      </c>
      <c r="M74" s="14" t="s">
        <v>35</v>
      </c>
      <c r="N74" s="13" t="s">
        <v>260</v>
      </c>
      <c r="O74" s="28" t="s">
        <v>41</v>
      </c>
      <c r="P74" s="28" t="s">
        <v>41</v>
      </c>
      <c r="Q74" s="28" t="s">
        <v>79</v>
      </c>
      <c r="R74" s="30">
        <v>23.976377952755907</v>
      </c>
      <c r="S74" s="30">
        <v>0.3125</v>
      </c>
      <c r="T74" s="30"/>
      <c r="U74" s="30">
        <v>0.3125</v>
      </c>
      <c r="V74" s="8">
        <f t="shared" si="76"/>
        <v>609</v>
      </c>
      <c r="W74" s="8">
        <f t="shared" si="77"/>
        <v>7.9375</v>
      </c>
      <c r="X74" s="8">
        <f t="shared" si="78"/>
        <v>0</v>
      </c>
      <c r="Y74" s="33">
        <f t="shared" si="79"/>
        <v>7.9375</v>
      </c>
      <c r="Z74" s="28" t="s">
        <v>80</v>
      </c>
      <c r="AA74" s="28" t="s">
        <v>81</v>
      </c>
      <c r="AB74" s="61" t="s">
        <v>79</v>
      </c>
      <c r="AC74" s="31" t="s">
        <v>82</v>
      </c>
      <c r="AD74" s="50">
        <f t="shared" si="80"/>
        <v>1</v>
      </c>
      <c r="AE74" s="31"/>
      <c r="AF74" s="51">
        <v>14</v>
      </c>
      <c r="AG74" s="51">
        <f t="shared" si="108"/>
        <v>8.4</v>
      </c>
      <c r="AH74" s="51">
        <f t="shared" si="73"/>
        <v>42</v>
      </c>
      <c r="AI74" s="52" t="s">
        <v>2497</v>
      </c>
      <c r="AJ74" s="52" t="s">
        <v>2498</v>
      </c>
      <c r="AK74" s="53">
        <f t="shared" si="109"/>
        <v>9.6678749999999994E-3</v>
      </c>
      <c r="AL74" s="54">
        <f t="shared" si="110"/>
        <v>0.11904761904761904</v>
      </c>
      <c r="AM74" s="54">
        <f t="shared" si="111"/>
        <v>2.3809523809523808E-2</v>
      </c>
      <c r="AN74" s="55">
        <f t="shared" si="112"/>
        <v>1.1509374999999998E-3</v>
      </c>
      <c r="AO74" s="55">
        <f t="shared" si="113"/>
        <v>2.3018749999999998E-4</v>
      </c>
      <c r="AP74" s="53">
        <v>7.1</v>
      </c>
      <c r="AQ74" s="53">
        <f t="shared" si="81"/>
        <v>4.26</v>
      </c>
      <c r="AR74" s="53">
        <f t="shared" si="82"/>
        <v>21.299999999999997</v>
      </c>
      <c r="AS74" s="56">
        <f t="shared" si="83"/>
        <v>4.6948356807511742E-2</v>
      </c>
      <c r="AT74" s="56">
        <f t="shared" si="114"/>
        <v>0.23474178403755869</v>
      </c>
      <c r="AU74" s="56">
        <f t="shared" si="84"/>
        <v>0.176056338028169</v>
      </c>
      <c r="AV74" s="56">
        <f t="shared" si="115"/>
        <v>5.8685446009389672E-2</v>
      </c>
      <c r="AW74" s="57" t="s">
        <v>2511</v>
      </c>
      <c r="AX74" s="57" t="s">
        <v>2512</v>
      </c>
      <c r="AY74" s="57" t="s">
        <v>2513</v>
      </c>
      <c r="AZ74" s="58">
        <f t="shared" si="116"/>
        <v>9.6678749999999994E-3</v>
      </c>
      <c r="BA74" s="59">
        <f t="shared" si="119"/>
        <v>2.8368177816901407E-4</v>
      </c>
      <c r="BB74" s="59">
        <f t="shared" si="120"/>
        <v>8.5104533450704211E-4</v>
      </c>
      <c r="BC74" s="59">
        <f t="shared" si="121"/>
        <v>2.2694542253521126E-4</v>
      </c>
      <c r="BD74" s="60">
        <f t="shared" si="117"/>
        <v>2.7472527472527475E-3</v>
      </c>
      <c r="BE74" s="59">
        <f t="shared" si="118"/>
        <v>2.7472527472527475E-3</v>
      </c>
      <c r="BQ74" s="61">
        <v>3000</v>
      </c>
      <c r="BR74" s="61">
        <v>1200</v>
      </c>
      <c r="BS74" s="28">
        <f t="shared" si="85"/>
        <v>2980</v>
      </c>
      <c r="BT74" s="28">
        <f t="shared" si="86"/>
        <v>1180</v>
      </c>
      <c r="BU74" s="28" t="s">
        <v>2541</v>
      </c>
      <c r="BV74" s="28">
        <f t="shared" si="87"/>
        <v>614</v>
      </c>
      <c r="BW74" s="28">
        <f t="shared" si="88"/>
        <v>12.9375</v>
      </c>
      <c r="BX74" s="13">
        <f t="shared" si="89"/>
        <v>4.8534201954397398</v>
      </c>
      <c r="BY74" s="13">
        <f t="shared" si="90"/>
        <v>4</v>
      </c>
      <c r="BZ74" s="13">
        <f t="shared" si="91"/>
        <v>91.207729468599027</v>
      </c>
      <c r="CA74" s="13">
        <f t="shared" si="92"/>
        <v>91</v>
      </c>
      <c r="CB74" s="13">
        <f t="shared" si="93"/>
        <v>364</v>
      </c>
      <c r="CC74" s="62">
        <f t="shared" si="94"/>
        <v>2.7472527472527475E-3</v>
      </c>
      <c r="CD74" s="13">
        <f t="shared" si="95"/>
        <v>230.33816425120773</v>
      </c>
      <c r="CE74" s="13">
        <f t="shared" si="96"/>
        <v>230</v>
      </c>
      <c r="CF74" s="13">
        <f t="shared" si="97"/>
        <v>1.9218241042345277</v>
      </c>
      <c r="CG74" s="13">
        <f t="shared" si="98"/>
        <v>1</v>
      </c>
      <c r="CH74" s="28">
        <f t="shared" si="99"/>
        <v>230</v>
      </c>
      <c r="CI74" s="62">
        <f t="shared" si="100"/>
        <v>4.3478260869565218E-3</v>
      </c>
      <c r="CJ74" s="59">
        <f t="shared" si="101"/>
        <v>2.7472527472527475E-3</v>
      </c>
      <c r="CL74" s="63">
        <v>6000</v>
      </c>
      <c r="CM74" s="63">
        <f t="shared" si="102"/>
        <v>609</v>
      </c>
      <c r="CN74" s="63">
        <f t="shared" si="103"/>
        <v>614</v>
      </c>
      <c r="CO74" s="63">
        <f t="shared" si="104"/>
        <v>9.7719869706840399</v>
      </c>
      <c r="CP74" s="13">
        <f t="shared" si="105"/>
        <v>9</v>
      </c>
      <c r="CQ74" s="70">
        <f t="shared" si="106"/>
        <v>0.1111111111111111</v>
      </c>
      <c r="CR74" s="69">
        <f t="shared" si="74"/>
        <v>0.1111111111111111</v>
      </c>
    </row>
    <row r="75" spans="1:96" hidden="1" x14ac:dyDescent="0.25">
      <c r="A75" s="10">
        <v>3</v>
      </c>
      <c r="B75" s="8" t="s">
        <v>42</v>
      </c>
      <c r="C75" s="10" t="s">
        <v>261</v>
      </c>
      <c r="D75" s="10" t="s">
        <v>2270</v>
      </c>
      <c r="E75" s="10" t="s">
        <v>32</v>
      </c>
      <c r="F75" s="12">
        <f t="shared" si="75"/>
        <v>1</v>
      </c>
      <c r="G75" s="10">
        <v>1</v>
      </c>
      <c r="H75" s="10">
        <f>G75*$H$4</f>
        <v>1</v>
      </c>
      <c r="I75" s="10">
        <v>2</v>
      </c>
      <c r="J75" s="8" t="s">
        <v>262</v>
      </c>
      <c r="K75" s="8" t="s">
        <v>34</v>
      </c>
      <c r="L75" s="10">
        <v>0</v>
      </c>
      <c r="M75" s="8" t="s">
        <v>35</v>
      </c>
      <c r="N75" s="10" t="s">
        <v>263</v>
      </c>
      <c r="O75" s="28" t="s">
        <v>41</v>
      </c>
      <c r="P75" s="28" t="s">
        <v>41</v>
      </c>
      <c r="Q75" s="28"/>
      <c r="R75" s="30"/>
      <c r="S75" s="30"/>
      <c r="T75" s="30"/>
      <c r="U75" s="30"/>
      <c r="V75" s="8">
        <f t="shared" si="76"/>
        <v>0</v>
      </c>
      <c r="W75" s="8">
        <f t="shared" si="77"/>
        <v>0</v>
      </c>
      <c r="X75" s="8">
        <f t="shared" si="78"/>
        <v>0</v>
      </c>
      <c r="Y75" s="33">
        <f t="shared" si="79"/>
        <v>0</v>
      </c>
      <c r="Z75" s="28"/>
      <c r="AA75" s="28"/>
      <c r="AB75" s="28">
        <v>0</v>
      </c>
      <c r="AC75" s="31"/>
      <c r="AD75" s="50">
        <f t="shared" si="80"/>
        <v>1</v>
      </c>
      <c r="AE75" s="31"/>
      <c r="AF75" s="51">
        <v>14</v>
      </c>
      <c r="AG75" s="51">
        <f t="shared" si="108"/>
        <v>8.4</v>
      </c>
      <c r="AH75" s="51">
        <f t="shared" si="73"/>
        <v>42</v>
      </c>
      <c r="AI75" s="52" t="s">
        <v>2497</v>
      </c>
      <c r="AJ75" s="52" t="s">
        <v>2498</v>
      </c>
      <c r="AK75" s="53">
        <f t="shared" si="109"/>
        <v>0</v>
      </c>
      <c r="AL75" s="54">
        <f t="shared" si="110"/>
        <v>0.11904761904761904</v>
      </c>
      <c r="AM75" s="54">
        <f t="shared" si="111"/>
        <v>2.3809523809523808E-2</v>
      </c>
      <c r="AN75" s="55">
        <f t="shared" si="112"/>
        <v>0</v>
      </c>
      <c r="AO75" s="55">
        <f t="shared" si="113"/>
        <v>0</v>
      </c>
      <c r="AP75" s="53">
        <v>7.1</v>
      </c>
      <c r="AQ75" s="53">
        <f t="shared" si="81"/>
        <v>4.26</v>
      </c>
      <c r="AR75" s="53">
        <f t="shared" si="82"/>
        <v>21.299999999999997</v>
      </c>
      <c r="AS75" s="56">
        <f t="shared" si="83"/>
        <v>4.6948356807511742E-2</v>
      </c>
      <c r="AT75" s="56">
        <f t="shared" si="114"/>
        <v>0.23474178403755869</v>
      </c>
      <c r="AU75" s="56">
        <f t="shared" si="84"/>
        <v>0.176056338028169</v>
      </c>
      <c r="AV75" s="56">
        <f t="shared" si="115"/>
        <v>5.8685446009389672E-2</v>
      </c>
      <c r="AW75" s="57" t="s">
        <v>2511</v>
      </c>
      <c r="AX75" s="57" t="s">
        <v>2512</v>
      </c>
      <c r="AY75" s="57" t="s">
        <v>2513</v>
      </c>
      <c r="AZ75" s="58">
        <f t="shared" si="116"/>
        <v>0</v>
      </c>
      <c r="BA75" s="59">
        <f t="shared" si="119"/>
        <v>0</v>
      </c>
      <c r="BB75" s="59">
        <f t="shared" si="120"/>
        <v>0</v>
      </c>
      <c r="BC75" s="59">
        <f t="shared" si="121"/>
        <v>0</v>
      </c>
      <c r="BD75" s="60">
        <f t="shared" si="117"/>
        <v>0</v>
      </c>
      <c r="BE75" s="59">
        <f t="shared" si="118"/>
        <v>0</v>
      </c>
      <c r="BQ75" s="61">
        <v>3000</v>
      </c>
      <c r="BR75" s="61">
        <v>1200</v>
      </c>
      <c r="BS75" s="28">
        <f t="shared" si="85"/>
        <v>2980</v>
      </c>
      <c r="BT75" s="28">
        <f t="shared" si="86"/>
        <v>1180</v>
      </c>
      <c r="BU75" s="28" t="s">
        <v>2541</v>
      </c>
      <c r="BV75" s="28">
        <f t="shared" si="87"/>
        <v>5</v>
      </c>
      <c r="BW75" s="28">
        <f t="shared" si="88"/>
        <v>5</v>
      </c>
      <c r="BX75" s="13">
        <f t="shared" si="89"/>
        <v>596</v>
      </c>
      <c r="BY75" s="13">
        <f t="shared" si="90"/>
        <v>596</v>
      </c>
      <c r="BZ75" s="13">
        <f t="shared" si="91"/>
        <v>236</v>
      </c>
      <c r="CA75" s="13">
        <f t="shared" si="92"/>
        <v>236</v>
      </c>
      <c r="CB75" s="13">
        <f t="shared" si="93"/>
        <v>140656</v>
      </c>
      <c r="CC75" s="62" t="str">
        <f t="shared" si="94"/>
        <v/>
      </c>
      <c r="CD75" s="13">
        <f t="shared" si="95"/>
        <v>596</v>
      </c>
      <c r="CE75" s="13">
        <f t="shared" si="96"/>
        <v>596</v>
      </c>
      <c r="CF75" s="13">
        <f t="shared" si="97"/>
        <v>236</v>
      </c>
      <c r="CG75" s="13">
        <f t="shared" si="98"/>
        <v>236</v>
      </c>
      <c r="CH75" s="28">
        <f t="shared" si="99"/>
        <v>140656</v>
      </c>
      <c r="CI75" s="62" t="str">
        <f t="shared" si="100"/>
        <v/>
      </c>
      <c r="CJ75" s="59">
        <f t="shared" si="101"/>
        <v>0</v>
      </c>
      <c r="CL75" s="63">
        <v>6000</v>
      </c>
      <c r="CM75" s="63">
        <f t="shared" si="102"/>
        <v>0</v>
      </c>
      <c r="CN75" s="63">
        <f t="shared" si="103"/>
        <v>5</v>
      </c>
      <c r="CO75" s="63">
        <f t="shared" si="104"/>
        <v>1200</v>
      </c>
      <c r="CP75" s="13">
        <f t="shared" si="105"/>
        <v>1200</v>
      </c>
      <c r="CQ75" s="70">
        <f t="shared" si="106"/>
        <v>8.3333333333333339E-4</v>
      </c>
      <c r="CR75" s="69">
        <f t="shared" si="74"/>
        <v>8.3333333333333339E-4</v>
      </c>
    </row>
    <row r="76" spans="1:96" hidden="1" x14ac:dyDescent="0.25">
      <c r="A76" s="13">
        <v>4</v>
      </c>
      <c r="B76" s="14" t="s">
        <v>264</v>
      </c>
      <c r="C76" s="13" t="s">
        <v>265</v>
      </c>
      <c r="D76" s="13" t="s">
        <v>2270</v>
      </c>
      <c r="E76" s="13" t="s">
        <v>32</v>
      </c>
      <c r="F76" s="15">
        <f t="shared" si="75"/>
        <v>1</v>
      </c>
      <c r="G76" s="13">
        <v>1</v>
      </c>
      <c r="H76" s="13">
        <f>G76*$H$75</f>
        <v>1</v>
      </c>
      <c r="I76" s="13">
        <v>1</v>
      </c>
      <c r="J76" s="14" t="s">
        <v>266</v>
      </c>
      <c r="K76" s="14" t="s">
        <v>34</v>
      </c>
      <c r="L76" s="13" t="s">
        <v>110</v>
      </c>
      <c r="M76" s="14" t="s">
        <v>35</v>
      </c>
      <c r="N76" s="13" t="s">
        <v>267</v>
      </c>
      <c r="O76" s="28" t="s">
        <v>41</v>
      </c>
      <c r="P76" s="28" t="s">
        <v>41</v>
      </c>
      <c r="Q76" s="28"/>
      <c r="R76" s="30"/>
      <c r="S76" s="30"/>
      <c r="T76" s="30"/>
      <c r="U76" s="30"/>
      <c r="V76" s="8">
        <f t="shared" si="76"/>
        <v>0</v>
      </c>
      <c r="W76" s="8">
        <f t="shared" si="77"/>
        <v>0</v>
      </c>
      <c r="X76" s="8">
        <f t="shared" si="78"/>
        <v>0</v>
      </c>
      <c r="Y76" s="33">
        <f t="shared" si="79"/>
        <v>0</v>
      </c>
      <c r="Z76" s="28"/>
      <c r="AA76" s="28"/>
      <c r="AB76" s="28">
        <v>0</v>
      </c>
      <c r="AC76" s="31"/>
      <c r="AD76" s="50">
        <f t="shared" si="80"/>
        <v>1</v>
      </c>
      <c r="AE76" s="31"/>
      <c r="AF76" s="51">
        <v>14</v>
      </c>
      <c r="AG76" s="51">
        <f t="shared" si="108"/>
        <v>8.4</v>
      </c>
      <c r="AH76" s="51">
        <f t="shared" si="73"/>
        <v>42</v>
      </c>
      <c r="AI76" s="52" t="s">
        <v>2497</v>
      </c>
      <c r="AJ76" s="52" t="s">
        <v>2498</v>
      </c>
      <c r="AK76" s="53">
        <f t="shared" si="109"/>
        <v>0</v>
      </c>
      <c r="AL76" s="54">
        <f t="shared" si="110"/>
        <v>0.11904761904761904</v>
      </c>
      <c r="AM76" s="54">
        <f t="shared" si="111"/>
        <v>2.3809523809523808E-2</v>
      </c>
      <c r="AN76" s="55">
        <f t="shared" si="112"/>
        <v>0</v>
      </c>
      <c r="AO76" s="55">
        <f t="shared" si="113"/>
        <v>0</v>
      </c>
      <c r="AP76" s="53">
        <v>7.1</v>
      </c>
      <c r="AQ76" s="53">
        <f t="shared" si="81"/>
        <v>4.26</v>
      </c>
      <c r="AR76" s="53">
        <f t="shared" si="82"/>
        <v>21.299999999999997</v>
      </c>
      <c r="AS76" s="56">
        <f t="shared" si="83"/>
        <v>4.6948356807511742E-2</v>
      </c>
      <c r="AT76" s="56">
        <f t="shared" si="114"/>
        <v>0.23474178403755869</v>
      </c>
      <c r="AU76" s="56">
        <f t="shared" si="84"/>
        <v>0.176056338028169</v>
      </c>
      <c r="AV76" s="56">
        <f t="shared" si="115"/>
        <v>5.8685446009389672E-2</v>
      </c>
      <c r="AW76" s="57" t="s">
        <v>2511</v>
      </c>
      <c r="AX76" s="57" t="s">
        <v>2512</v>
      </c>
      <c r="AY76" s="57" t="s">
        <v>2513</v>
      </c>
      <c r="AZ76" s="58">
        <f t="shared" si="116"/>
        <v>0</v>
      </c>
      <c r="BA76" s="59">
        <f t="shared" si="119"/>
        <v>0</v>
      </c>
      <c r="BB76" s="59">
        <f t="shared" si="120"/>
        <v>0</v>
      </c>
      <c r="BC76" s="59">
        <f t="shared" si="121"/>
        <v>0</v>
      </c>
      <c r="BD76" s="60">
        <f t="shared" si="117"/>
        <v>0</v>
      </c>
      <c r="BE76" s="59">
        <f t="shared" si="118"/>
        <v>0</v>
      </c>
      <c r="BQ76" s="61">
        <v>3000</v>
      </c>
      <c r="BR76" s="61">
        <v>1200</v>
      </c>
      <c r="BS76" s="28">
        <f t="shared" si="85"/>
        <v>2980</v>
      </c>
      <c r="BT76" s="28">
        <f t="shared" si="86"/>
        <v>1180</v>
      </c>
      <c r="BU76" s="28" t="s">
        <v>2541</v>
      </c>
      <c r="BV76" s="28">
        <f t="shared" si="87"/>
        <v>5</v>
      </c>
      <c r="BW76" s="28">
        <f t="shared" si="88"/>
        <v>5</v>
      </c>
      <c r="BX76" s="13">
        <f t="shared" si="89"/>
        <v>596</v>
      </c>
      <c r="BY76" s="13">
        <f t="shared" si="90"/>
        <v>596</v>
      </c>
      <c r="BZ76" s="13">
        <f t="shared" si="91"/>
        <v>236</v>
      </c>
      <c r="CA76" s="13">
        <f t="shared" si="92"/>
        <v>236</v>
      </c>
      <c r="CB76" s="13">
        <f t="shared" si="93"/>
        <v>140656</v>
      </c>
      <c r="CC76" s="62" t="str">
        <f t="shared" si="94"/>
        <v/>
      </c>
      <c r="CD76" s="13">
        <f t="shared" si="95"/>
        <v>596</v>
      </c>
      <c r="CE76" s="13">
        <f t="shared" si="96"/>
        <v>596</v>
      </c>
      <c r="CF76" s="13">
        <f t="shared" si="97"/>
        <v>236</v>
      </c>
      <c r="CG76" s="13">
        <f t="shared" si="98"/>
        <v>236</v>
      </c>
      <c r="CH76" s="28">
        <f t="shared" si="99"/>
        <v>140656</v>
      </c>
      <c r="CI76" s="62" t="str">
        <f t="shared" si="100"/>
        <v/>
      </c>
      <c r="CJ76" s="59">
        <f t="shared" si="101"/>
        <v>0</v>
      </c>
      <c r="CL76" s="63">
        <v>6000</v>
      </c>
      <c r="CM76" s="63">
        <f t="shared" si="102"/>
        <v>0</v>
      </c>
      <c r="CN76" s="63">
        <f t="shared" si="103"/>
        <v>5</v>
      </c>
      <c r="CO76" s="63">
        <f t="shared" si="104"/>
        <v>1200</v>
      </c>
      <c r="CP76" s="13">
        <f t="shared" si="105"/>
        <v>1200</v>
      </c>
      <c r="CQ76" s="70">
        <f t="shared" si="106"/>
        <v>8.3333333333333339E-4</v>
      </c>
      <c r="CR76" s="69">
        <f t="shared" si="74"/>
        <v>8.3333333333333339E-4</v>
      </c>
    </row>
    <row r="77" spans="1:96" hidden="1" x14ac:dyDescent="0.25">
      <c r="A77" s="17">
        <v>5</v>
      </c>
      <c r="B77" s="6" t="s">
        <v>268</v>
      </c>
      <c r="C77" s="17" t="s">
        <v>269</v>
      </c>
      <c r="D77" s="17" t="s">
        <v>2270</v>
      </c>
      <c r="E77" s="17" t="s">
        <v>32</v>
      </c>
      <c r="F77" s="7">
        <f t="shared" si="75"/>
        <v>1</v>
      </c>
      <c r="G77" s="17">
        <v>1</v>
      </c>
      <c r="H77" s="17">
        <f>G77*$H$76</f>
        <v>1</v>
      </c>
      <c r="I77" s="17">
        <v>1</v>
      </c>
      <c r="J77" s="6" t="s">
        <v>270</v>
      </c>
      <c r="K77" s="6" t="s">
        <v>34</v>
      </c>
      <c r="L77" s="17" t="s">
        <v>110</v>
      </c>
      <c r="M77" s="6" t="s">
        <v>35</v>
      </c>
      <c r="N77" s="17" t="s">
        <v>271</v>
      </c>
      <c r="O77" s="28" t="s">
        <v>41</v>
      </c>
      <c r="P77" s="28" t="s">
        <v>41</v>
      </c>
      <c r="Q77" s="28"/>
      <c r="R77" s="30"/>
      <c r="S77" s="30"/>
      <c r="T77" s="30"/>
      <c r="U77" s="30"/>
      <c r="V77" s="8">
        <f t="shared" si="76"/>
        <v>0</v>
      </c>
      <c r="W77" s="8">
        <f t="shared" si="77"/>
        <v>0</v>
      </c>
      <c r="X77" s="8">
        <f t="shared" si="78"/>
        <v>0</v>
      </c>
      <c r="Y77" s="33">
        <f t="shared" si="79"/>
        <v>0</v>
      </c>
      <c r="Z77" s="28"/>
      <c r="AA77" s="28"/>
      <c r="AB77" s="28">
        <v>0</v>
      </c>
      <c r="AC77" s="31"/>
      <c r="AD77" s="50">
        <f t="shared" si="80"/>
        <v>1</v>
      </c>
      <c r="AE77" s="31"/>
      <c r="AF77" s="51">
        <v>14</v>
      </c>
      <c r="AG77" s="51">
        <f t="shared" si="108"/>
        <v>8.4</v>
      </c>
      <c r="AH77" s="51">
        <f t="shared" si="73"/>
        <v>42</v>
      </c>
      <c r="AI77" s="52" t="s">
        <v>2497</v>
      </c>
      <c r="AJ77" s="52" t="s">
        <v>2498</v>
      </c>
      <c r="AK77" s="53">
        <f t="shared" si="109"/>
        <v>0</v>
      </c>
      <c r="AL77" s="54">
        <f t="shared" si="110"/>
        <v>0.11904761904761904</v>
      </c>
      <c r="AM77" s="54">
        <f t="shared" si="111"/>
        <v>2.3809523809523808E-2</v>
      </c>
      <c r="AN77" s="55">
        <f t="shared" si="112"/>
        <v>0</v>
      </c>
      <c r="AO77" s="55">
        <f t="shared" si="113"/>
        <v>0</v>
      </c>
      <c r="AP77" s="53">
        <v>7.1</v>
      </c>
      <c r="AQ77" s="53">
        <f t="shared" si="81"/>
        <v>4.26</v>
      </c>
      <c r="AR77" s="53">
        <f t="shared" si="82"/>
        <v>21.299999999999997</v>
      </c>
      <c r="AS77" s="56">
        <f t="shared" si="83"/>
        <v>4.6948356807511742E-2</v>
      </c>
      <c r="AT77" s="56">
        <f t="shared" si="114"/>
        <v>0.23474178403755869</v>
      </c>
      <c r="AU77" s="56">
        <f t="shared" si="84"/>
        <v>0.176056338028169</v>
      </c>
      <c r="AV77" s="56">
        <f t="shared" si="115"/>
        <v>5.8685446009389672E-2</v>
      </c>
      <c r="AW77" s="57" t="s">
        <v>2511</v>
      </c>
      <c r="AX77" s="57" t="s">
        <v>2512</v>
      </c>
      <c r="AY77" s="57" t="s">
        <v>2513</v>
      </c>
      <c r="AZ77" s="58">
        <f t="shared" si="116"/>
        <v>0</v>
      </c>
      <c r="BA77" s="59">
        <f t="shared" si="119"/>
        <v>0</v>
      </c>
      <c r="BB77" s="59">
        <f t="shared" si="120"/>
        <v>0</v>
      </c>
      <c r="BC77" s="59">
        <f t="shared" si="121"/>
        <v>0</v>
      </c>
      <c r="BD77" s="60">
        <f t="shared" si="117"/>
        <v>0</v>
      </c>
      <c r="BE77" s="59">
        <f t="shared" si="118"/>
        <v>0</v>
      </c>
      <c r="BQ77" s="61">
        <v>3000</v>
      </c>
      <c r="BR77" s="61">
        <v>1200</v>
      </c>
      <c r="BS77" s="28">
        <f t="shared" si="85"/>
        <v>2980</v>
      </c>
      <c r="BT77" s="28">
        <f t="shared" si="86"/>
        <v>1180</v>
      </c>
      <c r="BU77" s="28" t="s">
        <v>2541</v>
      </c>
      <c r="BV77" s="28">
        <f t="shared" si="87"/>
        <v>5</v>
      </c>
      <c r="BW77" s="28">
        <f t="shared" si="88"/>
        <v>5</v>
      </c>
      <c r="BX77" s="13">
        <f t="shared" si="89"/>
        <v>596</v>
      </c>
      <c r="BY77" s="13">
        <f t="shared" si="90"/>
        <v>596</v>
      </c>
      <c r="BZ77" s="13">
        <f t="shared" si="91"/>
        <v>236</v>
      </c>
      <c r="CA77" s="13">
        <f t="shared" si="92"/>
        <v>236</v>
      </c>
      <c r="CB77" s="13">
        <f t="shared" si="93"/>
        <v>140656</v>
      </c>
      <c r="CC77" s="62" t="str">
        <f t="shared" si="94"/>
        <v/>
      </c>
      <c r="CD77" s="13">
        <f t="shared" si="95"/>
        <v>596</v>
      </c>
      <c r="CE77" s="13">
        <f t="shared" si="96"/>
        <v>596</v>
      </c>
      <c r="CF77" s="13">
        <f t="shared" si="97"/>
        <v>236</v>
      </c>
      <c r="CG77" s="13">
        <f t="shared" si="98"/>
        <v>236</v>
      </c>
      <c r="CH77" s="28">
        <f t="shared" si="99"/>
        <v>140656</v>
      </c>
      <c r="CI77" s="62" t="str">
        <f t="shared" si="100"/>
        <v/>
      </c>
      <c r="CJ77" s="59">
        <f t="shared" si="101"/>
        <v>0</v>
      </c>
      <c r="CL77" s="63">
        <v>6000</v>
      </c>
      <c r="CM77" s="63">
        <f t="shared" si="102"/>
        <v>0</v>
      </c>
      <c r="CN77" s="63">
        <f t="shared" si="103"/>
        <v>5</v>
      </c>
      <c r="CO77" s="63">
        <f t="shared" si="104"/>
        <v>1200</v>
      </c>
      <c r="CP77" s="13">
        <f t="shared" si="105"/>
        <v>1200</v>
      </c>
      <c r="CQ77" s="70">
        <f t="shared" si="106"/>
        <v>8.3333333333333339E-4</v>
      </c>
      <c r="CR77" s="69">
        <f t="shared" si="74"/>
        <v>8.3333333333333339E-4</v>
      </c>
    </row>
    <row r="78" spans="1:96" hidden="1" x14ac:dyDescent="0.25">
      <c r="A78" s="42">
        <v>6</v>
      </c>
      <c r="B78" s="43" t="s">
        <v>272</v>
      </c>
      <c r="C78" s="42" t="s">
        <v>273</v>
      </c>
      <c r="D78" s="42" t="s">
        <v>2270</v>
      </c>
      <c r="E78" s="42" t="s">
        <v>52</v>
      </c>
      <c r="F78" s="44">
        <f t="shared" si="75"/>
        <v>1</v>
      </c>
      <c r="G78" s="42">
        <v>1</v>
      </c>
      <c r="H78" s="42">
        <f>G78*$H$77</f>
        <v>1</v>
      </c>
      <c r="I78" s="42">
        <v>1</v>
      </c>
      <c r="J78" s="43" t="s">
        <v>274</v>
      </c>
      <c r="K78" s="43" t="s">
        <v>34</v>
      </c>
      <c r="L78" s="42" t="s">
        <v>110</v>
      </c>
      <c r="M78" s="43" t="s">
        <v>35</v>
      </c>
      <c r="N78" s="42" t="s">
        <v>275</v>
      </c>
      <c r="O78" s="28" t="s">
        <v>41</v>
      </c>
      <c r="P78" s="28" t="s">
        <v>41</v>
      </c>
      <c r="Q78" s="28" t="s">
        <v>55</v>
      </c>
      <c r="R78" s="30">
        <v>59.694000000000003</v>
      </c>
      <c r="S78" s="30">
        <v>48.192999999999998</v>
      </c>
      <c r="T78" s="30"/>
      <c r="U78" s="30">
        <v>0.11799999999999999</v>
      </c>
      <c r="V78" s="8">
        <f t="shared" si="76"/>
        <v>1516.2275999999999</v>
      </c>
      <c r="W78" s="8">
        <f t="shared" si="77"/>
        <v>1224.1021999999998</v>
      </c>
      <c r="X78" s="8">
        <f t="shared" si="78"/>
        <v>0</v>
      </c>
      <c r="Y78" s="33">
        <f t="shared" si="79"/>
        <v>2.9971999999999999</v>
      </c>
      <c r="Z78" s="28" t="s">
        <v>56</v>
      </c>
      <c r="AA78" s="28" t="s">
        <v>57</v>
      </c>
      <c r="AB78" s="61" t="s">
        <v>55</v>
      </c>
      <c r="AC78" s="31" t="s">
        <v>58</v>
      </c>
      <c r="AD78" s="50">
        <f t="shared" si="80"/>
        <v>1</v>
      </c>
      <c r="AE78" s="31"/>
      <c r="AF78" s="51">
        <v>14</v>
      </c>
      <c r="AG78" s="51">
        <f t="shared" si="108"/>
        <v>8.4</v>
      </c>
      <c r="AH78" s="51">
        <f t="shared" si="73"/>
        <v>42</v>
      </c>
      <c r="AI78" s="52" t="s">
        <v>2497</v>
      </c>
      <c r="AJ78" s="52" t="s">
        <v>2498</v>
      </c>
      <c r="AK78" s="53">
        <f t="shared" si="109"/>
        <v>3.7120350817214396</v>
      </c>
      <c r="AL78" s="54">
        <f t="shared" si="110"/>
        <v>0.11904761904761904</v>
      </c>
      <c r="AM78" s="54">
        <f t="shared" si="111"/>
        <v>2.3809523809523808E-2</v>
      </c>
      <c r="AN78" s="55">
        <f t="shared" si="112"/>
        <v>0.44190893830017136</v>
      </c>
      <c r="AO78" s="55">
        <f t="shared" si="113"/>
        <v>8.8381787660034267E-2</v>
      </c>
      <c r="AP78" s="53">
        <v>7.1</v>
      </c>
      <c r="AQ78" s="53">
        <f t="shared" si="81"/>
        <v>4.26</v>
      </c>
      <c r="AR78" s="53">
        <f t="shared" si="82"/>
        <v>21.299999999999997</v>
      </c>
      <c r="AS78" s="56">
        <f t="shared" si="83"/>
        <v>4.6948356807511742E-2</v>
      </c>
      <c r="AT78" s="56">
        <f t="shared" si="114"/>
        <v>0.23474178403755869</v>
      </c>
      <c r="AU78" s="56">
        <f t="shared" si="84"/>
        <v>0.176056338028169</v>
      </c>
      <c r="AV78" s="56">
        <f t="shared" si="115"/>
        <v>5.8685446009389672E-2</v>
      </c>
      <c r="AW78" s="57" t="s">
        <v>2511</v>
      </c>
      <c r="AX78" s="57" t="s">
        <v>2512</v>
      </c>
      <c r="AY78" s="57" t="s">
        <v>2513</v>
      </c>
      <c r="AZ78" s="58">
        <f t="shared" si="116"/>
        <v>3.7120350817214396</v>
      </c>
      <c r="BA78" s="59">
        <f t="shared" si="119"/>
        <v>0.10892121718666196</v>
      </c>
      <c r="BB78" s="59">
        <f t="shared" si="120"/>
        <v>0.32676365155998588</v>
      </c>
      <c r="BC78" s="59">
        <f t="shared" si="121"/>
        <v>8.7136973749329577E-2</v>
      </c>
      <c r="BD78" s="60">
        <f t="shared" si="117"/>
        <v>1</v>
      </c>
      <c r="BE78" s="59">
        <f t="shared" si="118"/>
        <v>1</v>
      </c>
      <c r="BQ78" s="61">
        <v>3000</v>
      </c>
      <c r="BR78" s="61">
        <v>1200</v>
      </c>
      <c r="BS78" s="28">
        <f t="shared" si="85"/>
        <v>2980</v>
      </c>
      <c r="BT78" s="28">
        <f t="shared" si="86"/>
        <v>1180</v>
      </c>
      <c r="BU78" s="28" t="s">
        <v>2541</v>
      </c>
      <c r="BV78" s="28">
        <f t="shared" si="87"/>
        <v>1521.2275999999999</v>
      </c>
      <c r="BW78" s="28">
        <f t="shared" si="88"/>
        <v>1229.1021999999998</v>
      </c>
      <c r="BX78" s="13">
        <f t="shared" si="89"/>
        <v>1.9589442105836103</v>
      </c>
      <c r="BY78" s="13">
        <f t="shared" si="90"/>
        <v>1</v>
      </c>
      <c r="BZ78" s="13">
        <f t="shared" si="91"/>
        <v>0.9600503522001671</v>
      </c>
      <c r="CA78" s="13">
        <f t="shared" si="92"/>
        <v>0</v>
      </c>
      <c r="CB78" s="13">
        <f t="shared" si="93"/>
        <v>0</v>
      </c>
      <c r="CC78" s="62">
        <f t="shared" si="94"/>
        <v>1</v>
      </c>
      <c r="CD78" s="13">
        <f t="shared" si="95"/>
        <v>2.4245339403021169</v>
      </c>
      <c r="CE78" s="13">
        <f t="shared" si="96"/>
        <v>2</v>
      </c>
      <c r="CF78" s="13">
        <f t="shared" si="97"/>
        <v>0.77568931828478527</v>
      </c>
      <c r="CG78" s="13">
        <f t="shared" si="98"/>
        <v>0</v>
      </c>
      <c r="CH78" s="28">
        <f t="shared" si="99"/>
        <v>0</v>
      </c>
      <c r="CI78" s="62">
        <f t="shared" si="100"/>
        <v>1</v>
      </c>
      <c r="CJ78" s="59">
        <f t="shared" si="101"/>
        <v>1</v>
      </c>
      <c r="CL78" s="63">
        <v>6000</v>
      </c>
      <c r="CM78" s="63">
        <f t="shared" si="102"/>
        <v>1516.2275999999999</v>
      </c>
      <c r="CN78" s="63">
        <f t="shared" si="103"/>
        <v>1521.2275999999999</v>
      </c>
      <c r="CO78" s="63">
        <f t="shared" si="104"/>
        <v>3.9441829743294168</v>
      </c>
      <c r="CP78" s="13">
        <f t="shared" si="105"/>
        <v>3</v>
      </c>
      <c r="CQ78" s="70">
        <f t="shared" si="106"/>
        <v>0.33333333333333331</v>
      </c>
      <c r="CR78" s="69">
        <f t="shared" si="74"/>
        <v>0.33333333333333331</v>
      </c>
    </row>
    <row r="79" spans="1:96" hidden="1" x14ac:dyDescent="0.25">
      <c r="A79" s="42">
        <v>6</v>
      </c>
      <c r="B79" s="43" t="s">
        <v>272</v>
      </c>
      <c r="C79" s="42" t="s">
        <v>276</v>
      </c>
      <c r="D79" s="42" t="s">
        <v>2270</v>
      </c>
      <c r="E79" s="42" t="s">
        <v>52</v>
      </c>
      <c r="F79" s="44">
        <f t="shared" si="75"/>
        <v>2</v>
      </c>
      <c r="G79" s="42">
        <v>8</v>
      </c>
      <c r="H79" s="42">
        <f t="shared" ref="H79:H81" si="122">G79*$H$77</f>
        <v>8</v>
      </c>
      <c r="I79" s="42">
        <v>2</v>
      </c>
      <c r="J79" s="43" t="s">
        <v>277</v>
      </c>
      <c r="K79" s="43" t="s">
        <v>34</v>
      </c>
      <c r="L79" s="42">
        <v>0</v>
      </c>
      <c r="M79" s="43" t="s">
        <v>35</v>
      </c>
      <c r="N79" s="42" t="s">
        <v>278</v>
      </c>
      <c r="O79" s="28" t="s">
        <v>41</v>
      </c>
      <c r="P79" s="28" t="s">
        <v>41</v>
      </c>
      <c r="Q79" s="28" t="s">
        <v>116</v>
      </c>
      <c r="R79" s="30">
        <v>44.21</v>
      </c>
      <c r="S79" s="30">
        <v>2.875</v>
      </c>
      <c r="T79" s="30"/>
      <c r="U79" s="30">
        <v>0.11799999999999999</v>
      </c>
      <c r="V79" s="8">
        <f t="shared" si="76"/>
        <v>1122.934</v>
      </c>
      <c r="W79" s="8">
        <f t="shared" si="77"/>
        <v>73.024999999999991</v>
      </c>
      <c r="X79" s="8">
        <f t="shared" si="78"/>
        <v>0</v>
      </c>
      <c r="Y79" s="33">
        <f t="shared" si="79"/>
        <v>2.9971999999999999</v>
      </c>
      <c r="Z79" s="28" t="s">
        <v>56</v>
      </c>
      <c r="AA79" s="28" t="s">
        <v>57</v>
      </c>
      <c r="AB79" s="28" t="s">
        <v>116</v>
      </c>
      <c r="AC79" s="31" t="s">
        <v>117</v>
      </c>
      <c r="AD79" s="50">
        <f t="shared" si="80"/>
        <v>8</v>
      </c>
      <c r="AE79" s="49"/>
      <c r="AF79" s="51">
        <v>14</v>
      </c>
      <c r="AG79" s="51">
        <f t="shared" si="108"/>
        <v>8.4</v>
      </c>
      <c r="AH79" s="51">
        <f t="shared" si="73"/>
        <v>42</v>
      </c>
      <c r="AI79" s="52" t="s">
        <v>2497</v>
      </c>
      <c r="AJ79" s="52" t="s">
        <v>2498</v>
      </c>
      <c r="AK79" s="53">
        <f t="shared" si="109"/>
        <v>0.16400451069999999</v>
      </c>
      <c r="AL79" s="54">
        <f t="shared" si="110"/>
        <v>0.11904761904761904</v>
      </c>
      <c r="AM79" s="54">
        <f t="shared" si="111"/>
        <v>2.3809523809523808E-2</v>
      </c>
      <c r="AN79" s="55">
        <f t="shared" si="112"/>
        <v>0.15619477209523808</v>
      </c>
      <c r="AO79" s="55">
        <f t="shared" si="113"/>
        <v>3.1238954419047615E-2</v>
      </c>
      <c r="AP79" s="53">
        <v>7.1</v>
      </c>
      <c r="AQ79" s="53">
        <f t="shared" si="81"/>
        <v>4.26</v>
      </c>
      <c r="AR79" s="53">
        <f t="shared" si="82"/>
        <v>21.299999999999997</v>
      </c>
      <c r="AS79" s="56">
        <f t="shared" si="83"/>
        <v>4.6948356807511742E-2</v>
      </c>
      <c r="AT79" s="56">
        <f t="shared" si="114"/>
        <v>0.23474178403755869</v>
      </c>
      <c r="AU79" s="56">
        <f t="shared" si="84"/>
        <v>0.176056338028169</v>
      </c>
      <c r="AV79" s="56">
        <f t="shared" si="115"/>
        <v>5.8685446009389672E-2</v>
      </c>
      <c r="AW79" s="57" t="s">
        <v>2511</v>
      </c>
      <c r="AX79" s="57" t="s">
        <v>2512</v>
      </c>
      <c r="AY79" s="57" t="s">
        <v>2513</v>
      </c>
      <c r="AZ79" s="58">
        <f t="shared" si="116"/>
        <v>0.16400451069999999</v>
      </c>
      <c r="BA79" s="59">
        <f t="shared" si="119"/>
        <v>3.8498711431924883E-2</v>
      </c>
      <c r="BB79" s="59">
        <f t="shared" si="120"/>
        <v>0.11549613429577464</v>
      </c>
      <c r="BC79" s="59">
        <f t="shared" si="121"/>
        <v>3.0798969145539909E-2</v>
      </c>
      <c r="BD79" s="60">
        <f t="shared" si="117"/>
        <v>2.6315789473684209E-2</v>
      </c>
      <c r="BE79" s="59">
        <f t="shared" si="118"/>
        <v>0.21052631578947367</v>
      </c>
      <c r="BQ79" s="61">
        <v>3000</v>
      </c>
      <c r="BR79" s="61">
        <v>1200</v>
      </c>
      <c r="BS79" s="28">
        <f t="shared" si="85"/>
        <v>2980</v>
      </c>
      <c r="BT79" s="28">
        <f t="shared" si="86"/>
        <v>1180</v>
      </c>
      <c r="BU79" s="28" t="s">
        <v>2541</v>
      </c>
      <c r="BV79" s="28">
        <f t="shared" si="87"/>
        <v>1127.934</v>
      </c>
      <c r="BW79" s="28">
        <f t="shared" si="88"/>
        <v>78.024999999999991</v>
      </c>
      <c r="BX79" s="13">
        <f t="shared" si="89"/>
        <v>2.6419985566531374</v>
      </c>
      <c r="BY79" s="13">
        <f t="shared" si="90"/>
        <v>2</v>
      </c>
      <c r="BZ79" s="13">
        <f t="shared" si="91"/>
        <v>15.123357898109582</v>
      </c>
      <c r="CA79" s="13">
        <f t="shared" si="92"/>
        <v>15</v>
      </c>
      <c r="CB79" s="13">
        <f t="shared" si="93"/>
        <v>30</v>
      </c>
      <c r="CC79" s="62">
        <f t="shared" si="94"/>
        <v>3.3333333333333333E-2</v>
      </c>
      <c r="CD79" s="13">
        <f t="shared" si="95"/>
        <v>38.192886895225897</v>
      </c>
      <c r="CE79" s="13">
        <f t="shared" si="96"/>
        <v>38</v>
      </c>
      <c r="CF79" s="13">
        <f t="shared" si="97"/>
        <v>1.0461605022988933</v>
      </c>
      <c r="CG79" s="13">
        <f t="shared" si="98"/>
        <v>1</v>
      </c>
      <c r="CH79" s="28">
        <f t="shared" si="99"/>
        <v>38</v>
      </c>
      <c r="CI79" s="62">
        <f t="shared" si="100"/>
        <v>2.6315789473684209E-2</v>
      </c>
      <c r="CJ79" s="59">
        <f t="shared" si="101"/>
        <v>2.6315789473684209E-2</v>
      </c>
      <c r="CL79" s="63">
        <v>6000</v>
      </c>
      <c r="CM79" s="63">
        <f t="shared" si="102"/>
        <v>1122.934</v>
      </c>
      <c r="CN79" s="63">
        <f t="shared" si="103"/>
        <v>1127.934</v>
      </c>
      <c r="CO79" s="63">
        <f t="shared" si="104"/>
        <v>5.3194601811808138</v>
      </c>
      <c r="CP79" s="13">
        <f t="shared" si="105"/>
        <v>5</v>
      </c>
      <c r="CQ79" s="70">
        <f t="shared" si="106"/>
        <v>0.2</v>
      </c>
      <c r="CR79" s="69">
        <f t="shared" si="74"/>
        <v>1.6</v>
      </c>
    </row>
    <row r="80" spans="1:96" hidden="1" x14ac:dyDescent="0.25">
      <c r="A80" s="42">
        <v>6</v>
      </c>
      <c r="B80" s="43" t="s">
        <v>272</v>
      </c>
      <c r="C80" s="42" t="s">
        <v>59</v>
      </c>
      <c r="D80" s="42" t="s">
        <v>61</v>
      </c>
      <c r="E80" s="42" t="s">
        <v>52</v>
      </c>
      <c r="F80" s="44">
        <f t="shared" si="75"/>
        <v>19</v>
      </c>
      <c r="G80" s="42">
        <v>4</v>
      </c>
      <c r="H80" s="42">
        <f t="shared" si="122"/>
        <v>4</v>
      </c>
      <c r="I80" s="42">
        <v>3</v>
      </c>
      <c r="J80" s="43" t="s">
        <v>60</v>
      </c>
      <c r="K80" s="43" t="s">
        <v>34</v>
      </c>
      <c r="L80" s="42">
        <v>0</v>
      </c>
      <c r="M80" s="43" t="s">
        <v>35</v>
      </c>
      <c r="N80" s="42" t="s">
        <v>61</v>
      </c>
      <c r="O80" s="28" t="s">
        <v>41</v>
      </c>
      <c r="P80" s="28" t="s">
        <v>41</v>
      </c>
      <c r="Q80" s="28" t="s">
        <v>61</v>
      </c>
      <c r="R80" s="30"/>
      <c r="S80" s="30"/>
      <c r="T80" s="30"/>
      <c r="U80" s="30"/>
      <c r="V80" s="8">
        <f t="shared" si="76"/>
        <v>0</v>
      </c>
      <c r="W80" s="8">
        <f t="shared" si="77"/>
        <v>0</v>
      </c>
      <c r="X80" s="8">
        <f t="shared" si="78"/>
        <v>0</v>
      </c>
      <c r="Y80" s="33">
        <f t="shared" si="79"/>
        <v>0</v>
      </c>
      <c r="Z80" s="28"/>
      <c r="AA80" s="28"/>
      <c r="AB80" s="61" t="s">
        <v>61</v>
      </c>
      <c r="AC80" s="31" t="s">
        <v>62</v>
      </c>
      <c r="AD80" s="50">
        <f t="shared" si="80"/>
        <v>4</v>
      </c>
      <c r="AE80" s="31"/>
      <c r="AF80" s="51">
        <v>14</v>
      </c>
      <c r="AG80" s="51">
        <f t="shared" si="108"/>
        <v>8.4</v>
      </c>
      <c r="AH80" s="51">
        <f t="shared" si="73"/>
        <v>42</v>
      </c>
      <c r="AI80" s="52" t="s">
        <v>2497</v>
      </c>
      <c r="AJ80" s="52" t="s">
        <v>2498</v>
      </c>
      <c r="AK80" s="53">
        <f t="shared" si="109"/>
        <v>0</v>
      </c>
      <c r="AL80" s="54">
        <f t="shared" si="110"/>
        <v>0.11904761904761904</v>
      </c>
      <c r="AM80" s="54">
        <f t="shared" si="111"/>
        <v>2.3809523809523808E-2</v>
      </c>
      <c r="AN80" s="55">
        <f t="shared" si="112"/>
        <v>0</v>
      </c>
      <c r="AO80" s="55">
        <f t="shared" si="113"/>
        <v>0</v>
      </c>
      <c r="AP80" s="53">
        <v>7.1</v>
      </c>
      <c r="AQ80" s="53">
        <f t="shared" si="81"/>
        <v>4.26</v>
      </c>
      <c r="AR80" s="53">
        <f t="shared" si="82"/>
        <v>21.299999999999997</v>
      </c>
      <c r="AS80" s="56">
        <f t="shared" si="83"/>
        <v>4.6948356807511742E-2</v>
      </c>
      <c r="AT80" s="56">
        <f t="shared" si="114"/>
        <v>0.23474178403755869</v>
      </c>
      <c r="AU80" s="56">
        <f t="shared" si="84"/>
        <v>0.176056338028169</v>
      </c>
      <c r="AV80" s="56">
        <f t="shared" si="115"/>
        <v>5.8685446009389672E-2</v>
      </c>
      <c r="AW80" s="57" t="s">
        <v>2511</v>
      </c>
      <c r="AX80" s="57" t="s">
        <v>2512</v>
      </c>
      <c r="AY80" s="57" t="s">
        <v>2513</v>
      </c>
      <c r="AZ80" s="58">
        <f t="shared" si="116"/>
        <v>0</v>
      </c>
      <c r="BA80" s="59">
        <f t="shared" si="119"/>
        <v>0</v>
      </c>
      <c r="BB80" s="59">
        <f t="shared" si="120"/>
        <v>0</v>
      </c>
      <c r="BC80" s="59">
        <f t="shared" si="121"/>
        <v>0</v>
      </c>
      <c r="BD80" s="60">
        <f t="shared" si="117"/>
        <v>7.1095438516664771E-6</v>
      </c>
      <c r="BE80" s="59">
        <f t="shared" si="118"/>
        <v>2.8438175406665908E-5</v>
      </c>
      <c r="BQ80" s="61">
        <v>3000</v>
      </c>
      <c r="BR80" s="61">
        <v>1200</v>
      </c>
      <c r="BS80" s="28">
        <f t="shared" si="85"/>
        <v>2980</v>
      </c>
      <c r="BT80" s="28">
        <f t="shared" si="86"/>
        <v>1180</v>
      </c>
      <c r="BU80" s="28" t="s">
        <v>2541</v>
      </c>
      <c r="BV80" s="28">
        <f t="shared" si="87"/>
        <v>5</v>
      </c>
      <c r="BW80" s="28">
        <f t="shared" si="88"/>
        <v>5</v>
      </c>
      <c r="BX80" s="13">
        <f t="shared" si="89"/>
        <v>596</v>
      </c>
      <c r="BY80" s="13">
        <f t="shared" si="90"/>
        <v>596</v>
      </c>
      <c r="BZ80" s="13">
        <f t="shared" si="91"/>
        <v>236</v>
      </c>
      <c r="CA80" s="13">
        <f t="shared" si="92"/>
        <v>236</v>
      </c>
      <c r="CB80" s="13">
        <f t="shared" si="93"/>
        <v>140656</v>
      </c>
      <c r="CC80" s="62">
        <f t="shared" si="94"/>
        <v>7.1095438516664771E-6</v>
      </c>
      <c r="CD80" s="13">
        <f t="shared" si="95"/>
        <v>596</v>
      </c>
      <c r="CE80" s="13">
        <f t="shared" si="96"/>
        <v>596</v>
      </c>
      <c r="CF80" s="13">
        <f t="shared" si="97"/>
        <v>236</v>
      </c>
      <c r="CG80" s="13">
        <f t="shared" si="98"/>
        <v>236</v>
      </c>
      <c r="CH80" s="28">
        <f t="shared" si="99"/>
        <v>140656</v>
      </c>
      <c r="CI80" s="62">
        <f t="shared" si="100"/>
        <v>7.1095438516664771E-6</v>
      </c>
      <c r="CJ80" s="59">
        <f t="shared" si="101"/>
        <v>7.1095438516664771E-6</v>
      </c>
      <c r="CL80" s="63">
        <v>6000</v>
      </c>
      <c r="CM80" s="63">
        <f t="shared" si="102"/>
        <v>0</v>
      </c>
      <c r="CN80" s="63">
        <f t="shared" si="103"/>
        <v>5</v>
      </c>
      <c r="CO80" s="63">
        <f t="shared" si="104"/>
        <v>1200</v>
      </c>
      <c r="CP80" s="13">
        <f t="shared" si="105"/>
        <v>1200</v>
      </c>
      <c r="CQ80" s="70">
        <f t="shared" si="106"/>
        <v>8.3333333333333339E-4</v>
      </c>
      <c r="CR80" s="69">
        <f t="shared" si="74"/>
        <v>3.3333333333333335E-3</v>
      </c>
    </row>
    <row r="81" spans="1:96" hidden="1" x14ac:dyDescent="0.25">
      <c r="A81" s="42">
        <v>6</v>
      </c>
      <c r="B81" s="43" t="s">
        <v>272</v>
      </c>
      <c r="C81" s="42" t="s">
        <v>279</v>
      </c>
      <c r="D81" s="42" t="s">
        <v>281</v>
      </c>
      <c r="E81" s="42" t="s">
        <v>52</v>
      </c>
      <c r="F81" s="44">
        <f t="shared" si="75"/>
        <v>12</v>
      </c>
      <c r="G81" s="42">
        <v>48</v>
      </c>
      <c r="H81" s="42">
        <f t="shared" si="122"/>
        <v>48</v>
      </c>
      <c r="I81" s="42">
        <v>4</v>
      </c>
      <c r="J81" s="43" t="s">
        <v>280</v>
      </c>
      <c r="K81" s="43" t="s">
        <v>34</v>
      </c>
      <c r="L81" s="42">
        <v>0</v>
      </c>
      <c r="M81" s="43" t="s">
        <v>35</v>
      </c>
      <c r="N81" s="42" t="s">
        <v>281</v>
      </c>
      <c r="O81" s="28" t="s">
        <v>41</v>
      </c>
      <c r="P81" s="28" t="s">
        <v>41</v>
      </c>
      <c r="Q81" s="28" t="s">
        <v>281</v>
      </c>
      <c r="R81" s="30"/>
      <c r="S81" s="30"/>
      <c r="T81" s="30"/>
      <c r="U81" s="30"/>
      <c r="V81" s="8">
        <f t="shared" si="76"/>
        <v>0</v>
      </c>
      <c r="W81" s="8">
        <f t="shared" si="77"/>
        <v>0</v>
      </c>
      <c r="X81" s="8">
        <f t="shared" si="78"/>
        <v>0</v>
      </c>
      <c r="Y81" s="33">
        <f t="shared" si="79"/>
        <v>0</v>
      </c>
      <c r="Z81" s="28"/>
      <c r="AA81" s="28"/>
      <c r="AB81" s="61" t="s">
        <v>281</v>
      </c>
      <c r="AC81" s="31" t="s">
        <v>282</v>
      </c>
      <c r="AD81" s="50">
        <f t="shared" si="80"/>
        <v>48</v>
      </c>
      <c r="AE81" s="31"/>
      <c r="AF81" s="51">
        <v>14</v>
      </c>
      <c r="AG81" s="51">
        <f t="shared" si="108"/>
        <v>8.4</v>
      </c>
      <c r="AH81" s="51">
        <f t="shared" si="73"/>
        <v>42</v>
      </c>
      <c r="AI81" s="52" t="s">
        <v>2497</v>
      </c>
      <c r="AJ81" s="52" t="s">
        <v>2498</v>
      </c>
      <c r="AK81" s="53">
        <f t="shared" si="109"/>
        <v>0</v>
      </c>
      <c r="AL81" s="54">
        <f t="shared" si="110"/>
        <v>0.11904761904761904</v>
      </c>
      <c r="AM81" s="54">
        <f t="shared" si="111"/>
        <v>2.3809523809523808E-2</v>
      </c>
      <c r="AN81" s="55">
        <f t="shared" si="112"/>
        <v>0</v>
      </c>
      <c r="AO81" s="55">
        <f t="shared" si="113"/>
        <v>0</v>
      </c>
      <c r="AP81" s="53">
        <v>7.1</v>
      </c>
      <c r="AQ81" s="53">
        <f t="shared" si="81"/>
        <v>4.26</v>
      </c>
      <c r="AR81" s="53">
        <f t="shared" si="82"/>
        <v>21.299999999999997</v>
      </c>
      <c r="AS81" s="56">
        <f t="shared" si="83"/>
        <v>4.6948356807511742E-2</v>
      </c>
      <c r="AT81" s="56">
        <f t="shared" si="114"/>
        <v>0.23474178403755869</v>
      </c>
      <c r="AU81" s="56">
        <f t="shared" si="84"/>
        <v>0.176056338028169</v>
      </c>
      <c r="AV81" s="56">
        <f t="shared" si="115"/>
        <v>5.8685446009389672E-2</v>
      </c>
      <c r="AW81" s="57" t="s">
        <v>2511</v>
      </c>
      <c r="AX81" s="57" t="s">
        <v>2512</v>
      </c>
      <c r="AY81" s="57" t="s">
        <v>2513</v>
      </c>
      <c r="AZ81" s="58">
        <f t="shared" si="116"/>
        <v>0</v>
      </c>
      <c r="BA81" s="59">
        <f t="shared" si="119"/>
        <v>0</v>
      </c>
      <c r="BB81" s="59">
        <f t="shared" si="120"/>
        <v>0</v>
      </c>
      <c r="BC81" s="59">
        <f t="shared" si="121"/>
        <v>0</v>
      </c>
      <c r="BD81" s="60">
        <f t="shared" si="117"/>
        <v>7.1095438516664771E-6</v>
      </c>
      <c r="BE81" s="59">
        <f t="shared" si="118"/>
        <v>3.4125810487999091E-4</v>
      </c>
      <c r="BQ81" s="61">
        <v>3000</v>
      </c>
      <c r="BR81" s="61">
        <v>1200</v>
      </c>
      <c r="BS81" s="28">
        <f t="shared" si="85"/>
        <v>2980</v>
      </c>
      <c r="BT81" s="28">
        <f t="shared" si="86"/>
        <v>1180</v>
      </c>
      <c r="BU81" s="28" t="s">
        <v>2541</v>
      </c>
      <c r="BV81" s="28">
        <f t="shared" si="87"/>
        <v>5</v>
      </c>
      <c r="BW81" s="28">
        <f t="shared" si="88"/>
        <v>5</v>
      </c>
      <c r="BX81" s="13">
        <f t="shared" si="89"/>
        <v>596</v>
      </c>
      <c r="BY81" s="13">
        <f t="shared" si="90"/>
        <v>596</v>
      </c>
      <c r="BZ81" s="13">
        <f t="shared" si="91"/>
        <v>236</v>
      </c>
      <c r="CA81" s="13">
        <f t="shared" si="92"/>
        <v>236</v>
      </c>
      <c r="CB81" s="13">
        <f t="shared" si="93"/>
        <v>140656</v>
      </c>
      <c r="CC81" s="62">
        <f t="shared" si="94"/>
        <v>7.1095438516664771E-6</v>
      </c>
      <c r="CD81" s="13">
        <f t="shared" si="95"/>
        <v>596</v>
      </c>
      <c r="CE81" s="13">
        <f t="shared" si="96"/>
        <v>596</v>
      </c>
      <c r="CF81" s="13">
        <f t="shared" si="97"/>
        <v>236</v>
      </c>
      <c r="CG81" s="13">
        <f t="shared" si="98"/>
        <v>236</v>
      </c>
      <c r="CH81" s="28">
        <f t="shared" si="99"/>
        <v>140656</v>
      </c>
      <c r="CI81" s="62">
        <f t="shared" si="100"/>
        <v>7.1095438516664771E-6</v>
      </c>
      <c r="CJ81" s="59">
        <f t="shared" si="101"/>
        <v>7.1095438516664771E-6</v>
      </c>
      <c r="CL81" s="63">
        <v>6000</v>
      </c>
      <c r="CM81" s="63">
        <f t="shared" si="102"/>
        <v>0</v>
      </c>
      <c r="CN81" s="63">
        <f t="shared" si="103"/>
        <v>5</v>
      </c>
      <c r="CO81" s="63">
        <f t="shared" si="104"/>
        <v>1200</v>
      </c>
      <c r="CP81" s="13">
        <f t="shared" si="105"/>
        <v>1200</v>
      </c>
      <c r="CQ81" s="70">
        <f t="shared" si="106"/>
        <v>8.3333333333333339E-4</v>
      </c>
      <c r="CR81" s="69">
        <f t="shared" si="74"/>
        <v>0.04</v>
      </c>
    </row>
    <row r="82" spans="1:96" hidden="1" x14ac:dyDescent="0.25">
      <c r="A82" s="17">
        <v>5</v>
      </c>
      <c r="B82" s="6" t="s">
        <v>268</v>
      </c>
      <c r="C82" s="17" t="s">
        <v>283</v>
      </c>
      <c r="D82" s="17" t="s">
        <v>2270</v>
      </c>
      <c r="E82" s="17" t="s">
        <v>52</v>
      </c>
      <c r="F82" s="7">
        <f t="shared" si="75"/>
        <v>1</v>
      </c>
      <c r="G82" s="17">
        <v>1</v>
      </c>
      <c r="H82" s="17">
        <f t="shared" ref="H82:H87" si="123">G82*$H$76</f>
        <v>1</v>
      </c>
      <c r="I82" s="17">
        <v>3</v>
      </c>
      <c r="J82" s="6" t="s">
        <v>284</v>
      </c>
      <c r="K82" s="6" t="s">
        <v>34</v>
      </c>
      <c r="L82" s="17">
        <v>0</v>
      </c>
      <c r="M82" s="6" t="s">
        <v>35</v>
      </c>
      <c r="N82" s="17" t="s">
        <v>285</v>
      </c>
      <c r="O82" s="28" t="s">
        <v>41</v>
      </c>
      <c r="P82" s="28" t="s">
        <v>41</v>
      </c>
      <c r="Q82" s="28" t="s">
        <v>124</v>
      </c>
      <c r="R82" s="30">
        <v>45.154000000000003</v>
      </c>
      <c r="S82" s="30">
        <v>3.423</v>
      </c>
      <c r="T82" s="30"/>
      <c r="U82" s="30">
        <v>9.8000000000000004E-2</v>
      </c>
      <c r="V82" s="8">
        <f t="shared" si="76"/>
        <v>1146.9116000000001</v>
      </c>
      <c r="W82" s="8">
        <f t="shared" si="77"/>
        <v>86.944199999999995</v>
      </c>
      <c r="X82" s="8">
        <f t="shared" si="78"/>
        <v>0</v>
      </c>
      <c r="Y82" s="33">
        <f t="shared" si="79"/>
        <v>2.4891999999999999</v>
      </c>
      <c r="Z82" s="28" t="s">
        <v>56</v>
      </c>
      <c r="AA82" s="28" t="s">
        <v>57</v>
      </c>
      <c r="AB82" s="61" t="s">
        <v>124</v>
      </c>
      <c r="AC82" s="31" t="s">
        <v>125</v>
      </c>
      <c r="AD82" s="50">
        <f t="shared" si="80"/>
        <v>1</v>
      </c>
      <c r="AE82" s="31"/>
      <c r="AF82" s="51">
        <v>14</v>
      </c>
      <c r="AG82" s="51">
        <f t="shared" si="108"/>
        <v>8.4</v>
      </c>
      <c r="AH82" s="51">
        <f t="shared" si="73"/>
        <v>42</v>
      </c>
      <c r="AI82" s="52" t="s">
        <v>2497</v>
      </c>
      <c r="AJ82" s="52" t="s">
        <v>2498</v>
      </c>
      <c r="AK82" s="53">
        <f t="shared" si="109"/>
        <v>0.19943462306544002</v>
      </c>
      <c r="AL82" s="54">
        <f t="shared" si="110"/>
        <v>0.11904761904761904</v>
      </c>
      <c r="AM82" s="54">
        <f t="shared" si="111"/>
        <v>2.3809523809523808E-2</v>
      </c>
      <c r="AN82" s="55">
        <f t="shared" si="112"/>
        <v>2.37422170316E-2</v>
      </c>
      <c r="AO82" s="55">
        <f t="shared" si="113"/>
        <v>4.74844340632E-3</v>
      </c>
      <c r="AP82" s="53">
        <v>7.1</v>
      </c>
      <c r="AQ82" s="53">
        <f t="shared" si="81"/>
        <v>4.26</v>
      </c>
      <c r="AR82" s="53">
        <f t="shared" si="82"/>
        <v>21.299999999999997</v>
      </c>
      <c r="AS82" s="56">
        <f t="shared" si="83"/>
        <v>4.6948356807511742E-2</v>
      </c>
      <c r="AT82" s="56">
        <f t="shared" si="114"/>
        <v>0.23474178403755869</v>
      </c>
      <c r="AU82" s="56">
        <f t="shared" si="84"/>
        <v>0.176056338028169</v>
      </c>
      <c r="AV82" s="56">
        <f t="shared" si="115"/>
        <v>5.8685446009389672E-2</v>
      </c>
      <c r="AW82" s="57" t="s">
        <v>2511</v>
      </c>
      <c r="AX82" s="57" t="s">
        <v>2512</v>
      </c>
      <c r="AY82" s="57" t="s">
        <v>2513</v>
      </c>
      <c r="AZ82" s="58">
        <f t="shared" si="116"/>
        <v>0.19943462306544002</v>
      </c>
      <c r="BA82" s="59">
        <f t="shared" si="119"/>
        <v>5.8519549021549301E-3</v>
      </c>
      <c r="BB82" s="59">
        <f t="shared" si="120"/>
        <v>1.755586470646479E-2</v>
      </c>
      <c r="BC82" s="59">
        <f t="shared" si="121"/>
        <v>4.6815639217239443E-3</v>
      </c>
      <c r="BD82" s="60">
        <f t="shared" si="117"/>
        <v>3.125E-2</v>
      </c>
      <c r="BE82" s="59">
        <f t="shared" si="118"/>
        <v>3.125E-2</v>
      </c>
      <c r="BQ82" s="61">
        <v>3000</v>
      </c>
      <c r="BR82" s="61">
        <v>1200</v>
      </c>
      <c r="BS82" s="28">
        <f t="shared" si="85"/>
        <v>2980</v>
      </c>
      <c r="BT82" s="28">
        <f t="shared" si="86"/>
        <v>1180</v>
      </c>
      <c r="BU82" s="28" t="s">
        <v>2541</v>
      </c>
      <c r="BV82" s="28">
        <f t="shared" si="87"/>
        <v>1151.9116000000001</v>
      </c>
      <c r="BW82" s="28">
        <f t="shared" si="88"/>
        <v>91.944199999999995</v>
      </c>
      <c r="BX82" s="13">
        <f t="shared" si="89"/>
        <v>2.5870040721874834</v>
      </c>
      <c r="BY82" s="13">
        <f t="shared" si="90"/>
        <v>2</v>
      </c>
      <c r="BZ82" s="13">
        <f t="shared" si="91"/>
        <v>12.833870978267255</v>
      </c>
      <c r="CA82" s="13">
        <f t="shared" si="92"/>
        <v>12</v>
      </c>
      <c r="CB82" s="13">
        <f t="shared" si="93"/>
        <v>24</v>
      </c>
      <c r="CC82" s="62">
        <f t="shared" si="94"/>
        <v>4.1666666666666664E-2</v>
      </c>
      <c r="CD82" s="13">
        <f t="shared" si="95"/>
        <v>32.41096230104781</v>
      </c>
      <c r="CE82" s="13">
        <f t="shared" si="96"/>
        <v>32</v>
      </c>
      <c r="CF82" s="13">
        <f t="shared" si="97"/>
        <v>1.0243841628124934</v>
      </c>
      <c r="CG82" s="13">
        <f t="shared" si="98"/>
        <v>1</v>
      </c>
      <c r="CH82" s="28">
        <f t="shared" si="99"/>
        <v>32</v>
      </c>
      <c r="CI82" s="62">
        <f t="shared" si="100"/>
        <v>3.125E-2</v>
      </c>
      <c r="CJ82" s="59">
        <f t="shared" si="101"/>
        <v>3.125E-2</v>
      </c>
      <c r="CL82" s="63">
        <v>6000</v>
      </c>
      <c r="CM82" s="63">
        <f t="shared" si="102"/>
        <v>1146.9116000000001</v>
      </c>
      <c r="CN82" s="63">
        <f t="shared" si="103"/>
        <v>1151.9116000000001</v>
      </c>
      <c r="CO82" s="63">
        <f t="shared" si="104"/>
        <v>5.2087330312499667</v>
      </c>
      <c r="CP82" s="13">
        <f t="shared" si="105"/>
        <v>5</v>
      </c>
      <c r="CQ82" s="70">
        <f t="shared" si="106"/>
        <v>0.2</v>
      </c>
      <c r="CR82" s="69">
        <f t="shared" si="74"/>
        <v>0.2</v>
      </c>
    </row>
    <row r="83" spans="1:96" hidden="1" x14ac:dyDescent="0.25">
      <c r="A83" s="17">
        <v>5</v>
      </c>
      <c r="B83" s="6" t="s">
        <v>268</v>
      </c>
      <c r="C83" s="17" t="s">
        <v>286</v>
      </c>
      <c r="D83" s="17" t="s">
        <v>2270</v>
      </c>
      <c r="E83" s="17" t="s">
        <v>52</v>
      </c>
      <c r="F83" s="7">
        <f t="shared" si="75"/>
        <v>1</v>
      </c>
      <c r="G83" s="17">
        <v>1</v>
      </c>
      <c r="H83" s="17">
        <f t="shared" si="123"/>
        <v>1</v>
      </c>
      <c r="I83" s="17">
        <v>4</v>
      </c>
      <c r="J83" s="6" t="s">
        <v>287</v>
      </c>
      <c r="K83" s="6" t="s">
        <v>34</v>
      </c>
      <c r="L83" s="17" t="s">
        <v>110</v>
      </c>
      <c r="M83" s="6" t="s">
        <v>35</v>
      </c>
      <c r="N83" s="17" t="s">
        <v>288</v>
      </c>
      <c r="O83" s="28" t="s">
        <v>41</v>
      </c>
      <c r="P83" s="28" t="s">
        <v>41</v>
      </c>
      <c r="Q83" s="28" t="s">
        <v>124</v>
      </c>
      <c r="R83" s="30">
        <v>27.831</v>
      </c>
      <c r="S83" s="30">
        <v>4.2670000000000003</v>
      </c>
      <c r="T83" s="30"/>
      <c r="U83" s="30">
        <v>9.8000000000000004E-2</v>
      </c>
      <c r="V83" s="8">
        <f t="shared" si="76"/>
        <v>706.90739999999994</v>
      </c>
      <c r="W83" s="8">
        <f t="shared" si="77"/>
        <v>108.3818</v>
      </c>
      <c r="X83" s="8">
        <f t="shared" si="78"/>
        <v>0</v>
      </c>
      <c r="Y83" s="33">
        <f t="shared" si="79"/>
        <v>2.4891999999999999</v>
      </c>
      <c r="Z83" s="28" t="s">
        <v>56</v>
      </c>
      <c r="AA83" s="28" t="s">
        <v>57</v>
      </c>
      <c r="AB83" s="61" t="s">
        <v>124</v>
      </c>
      <c r="AC83" s="31" t="s">
        <v>125</v>
      </c>
      <c r="AD83" s="50">
        <f t="shared" si="80"/>
        <v>1</v>
      </c>
      <c r="AE83" s="31"/>
      <c r="AF83" s="51">
        <v>14</v>
      </c>
      <c r="AG83" s="51">
        <f t="shared" si="108"/>
        <v>8.4</v>
      </c>
      <c r="AH83" s="51">
        <f t="shared" si="73"/>
        <v>42</v>
      </c>
      <c r="AI83" s="52" t="s">
        <v>2497</v>
      </c>
      <c r="AJ83" s="52" t="s">
        <v>2498</v>
      </c>
      <c r="AK83" s="53">
        <f t="shared" si="109"/>
        <v>0.15323179289063998</v>
      </c>
      <c r="AL83" s="54">
        <f t="shared" si="110"/>
        <v>0.11904761904761904</v>
      </c>
      <c r="AM83" s="54">
        <f t="shared" si="111"/>
        <v>2.3809523809523808E-2</v>
      </c>
      <c r="AN83" s="55">
        <f t="shared" si="112"/>
        <v>1.824188010602857E-2</v>
      </c>
      <c r="AO83" s="55">
        <f t="shared" si="113"/>
        <v>3.6483760212057139E-3</v>
      </c>
      <c r="AP83" s="53">
        <v>7.1</v>
      </c>
      <c r="AQ83" s="53">
        <f t="shared" si="81"/>
        <v>4.26</v>
      </c>
      <c r="AR83" s="53">
        <f t="shared" si="82"/>
        <v>21.299999999999997</v>
      </c>
      <c r="AS83" s="56">
        <f t="shared" si="83"/>
        <v>4.6948356807511742E-2</v>
      </c>
      <c r="AT83" s="56">
        <f t="shared" si="114"/>
        <v>0.23474178403755869</v>
      </c>
      <c r="AU83" s="56">
        <f t="shared" si="84"/>
        <v>0.176056338028169</v>
      </c>
      <c r="AV83" s="56">
        <f t="shared" si="115"/>
        <v>5.8685446009389672E-2</v>
      </c>
      <c r="AW83" s="57" t="s">
        <v>2511</v>
      </c>
      <c r="AX83" s="57" t="s">
        <v>2512</v>
      </c>
      <c r="AY83" s="57" t="s">
        <v>2513</v>
      </c>
      <c r="AZ83" s="58">
        <f t="shared" si="116"/>
        <v>0.15323179289063998</v>
      </c>
      <c r="BA83" s="59">
        <f t="shared" si="119"/>
        <v>4.4962380543028162E-3</v>
      </c>
      <c r="BB83" s="59">
        <f t="shared" si="120"/>
        <v>1.3488714162908448E-2</v>
      </c>
      <c r="BC83" s="59">
        <f t="shared" si="121"/>
        <v>3.5969904434422534E-3</v>
      </c>
      <c r="BD83" s="60">
        <f t="shared" si="117"/>
        <v>2.5000000000000001E-2</v>
      </c>
      <c r="BE83" s="59">
        <f t="shared" si="118"/>
        <v>2.5000000000000001E-2</v>
      </c>
      <c r="BQ83" s="61">
        <v>3000</v>
      </c>
      <c r="BR83" s="61">
        <v>1200</v>
      </c>
      <c r="BS83" s="28">
        <f t="shared" si="85"/>
        <v>2980</v>
      </c>
      <c r="BT83" s="28">
        <f t="shared" si="86"/>
        <v>1180</v>
      </c>
      <c r="BU83" s="28" t="s">
        <v>2541</v>
      </c>
      <c r="BV83" s="28">
        <f t="shared" si="87"/>
        <v>711.90739999999994</v>
      </c>
      <c r="BW83" s="28">
        <f t="shared" si="88"/>
        <v>113.3818</v>
      </c>
      <c r="BX83" s="13">
        <f t="shared" si="89"/>
        <v>4.1859376654885176</v>
      </c>
      <c r="BY83" s="13">
        <f t="shared" si="90"/>
        <v>4</v>
      </c>
      <c r="BZ83" s="13">
        <f t="shared" si="91"/>
        <v>10.407314048639201</v>
      </c>
      <c r="CA83" s="13">
        <f t="shared" si="92"/>
        <v>10</v>
      </c>
      <c r="CB83" s="13">
        <f t="shared" si="93"/>
        <v>40</v>
      </c>
      <c r="CC83" s="62">
        <f t="shared" si="94"/>
        <v>2.5000000000000001E-2</v>
      </c>
      <c r="CD83" s="13">
        <f t="shared" si="95"/>
        <v>26.282877851648148</v>
      </c>
      <c r="CE83" s="13">
        <f t="shared" si="96"/>
        <v>26</v>
      </c>
      <c r="CF83" s="13">
        <f t="shared" si="97"/>
        <v>1.6575189413679365</v>
      </c>
      <c r="CG83" s="13">
        <f t="shared" si="98"/>
        <v>1</v>
      </c>
      <c r="CH83" s="28">
        <f t="shared" si="99"/>
        <v>26</v>
      </c>
      <c r="CI83" s="62">
        <f t="shared" si="100"/>
        <v>3.8461538461538464E-2</v>
      </c>
      <c r="CJ83" s="59">
        <f t="shared" si="101"/>
        <v>2.5000000000000001E-2</v>
      </c>
      <c r="CL83" s="63">
        <v>6000</v>
      </c>
      <c r="CM83" s="63">
        <f t="shared" si="102"/>
        <v>706.90739999999994</v>
      </c>
      <c r="CN83" s="63">
        <f t="shared" si="103"/>
        <v>711.90739999999994</v>
      </c>
      <c r="CO83" s="63">
        <f t="shared" si="104"/>
        <v>8.4280624137352707</v>
      </c>
      <c r="CP83" s="13">
        <f t="shared" si="105"/>
        <v>8</v>
      </c>
      <c r="CQ83" s="70">
        <f t="shared" si="106"/>
        <v>0.125</v>
      </c>
      <c r="CR83" s="69">
        <f t="shared" si="74"/>
        <v>0.125</v>
      </c>
    </row>
    <row r="84" spans="1:96" hidden="1" x14ac:dyDescent="0.25">
      <c r="A84" s="17">
        <v>5</v>
      </c>
      <c r="B84" s="6" t="s">
        <v>268</v>
      </c>
      <c r="C84" s="17" t="s">
        <v>289</v>
      </c>
      <c r="D84" s="17" t="s">
        <v>2270</v>
      </c>
      <c r="E84" s="17" t="s">
        <v>52</v>
      </c>
      <c r="F84" s="7">
        <f t="shared" si="75"/>
        <v>1</v>
      </c>
      <c r="G84" s="17">
        <v>1</v>
      </c>
      <c r="H84" s="17">
        <f t="shared" si="123"/>
        <v>1</v>
      </c>
      <c r="I84" s="17">
        <v>5</v>
      </c>
      <c r="J84" s="6" t="s">
        <v>290</v>
      </c>
      <c r="K84" s="6" t="s">
        <v>34</v>
      </c>
      <c r="L84" s="17">
        <v>0</v>
      </c>
      <c r="M84" s="6" t="s">
        <v>35</v>
      </c>
      <c r="N84" s="17" t="s">
        <v>291</v>
      </c>
      <c r="O84" s="28" t="s">
        <v>41</v>
      </c>
      <c r="P84" s="28" t="s">
        <v>41</v>
      </c>
      <c r="Q84" s="28" t="s">
        <v>124</v>
      </c>
      <c r="R84" s="30">
        <v>61.743000000000002</v>
      </c>
      <c r="S84" s="30">
        <v>11.505000000000001</v>
      </c>
      <c r="T84" s="30"/>
      <c r="U84" s="30">
        <v>9.8000000000000004E-2</v>
      </c>
      <c r="V84" s="8">
        <f t="shared" si="76"/>
        <v>1568.2721999999999</v>
      </c>
      <c r="W84" s="8">
        <f t="shared" si="77"/>
        <v>292.22699999999998</v>
      </c>
      <c r="X84" s="8">
        <f t="shared" si="78"/>
        <v>0</v>
      </c>
      <c r="Y84" s="33">
        <f t="shared" si="79"/>
        <v>2.4891999999999999</v>
      </c>
      <c r="Z84" s="28" t="s">
        <v>56</v>
      </c>
      <c r="AA84" s="28" t="s">
        <v>57</v>
      </c>
      <c r="AB84" s="61" t="s">
        <v>124</v>
      </c>
      <c r="AC84" s="31" t="s">
        <v>125</v>
      </c>
      <c r="AD84" s="50">
        <f t="shared" si="80"/>
        <v>1</v>
      </c>
      <c r="AE84" s="31"/>
      <c r="AF84" s="51">
        <v>14</v>
      </c>
      <c r="AG84" s="51">
        <f t="shared" si="108"/>
        <v>8.4</v>
      </c>
      <c r="AH84" s="51">
        <f t="shared" si="73"/>
        <v>42</v>
      </c>
      <c r="AI84" s="52" t="s">
        <v>2497</v>
      </c>
      <c r="AJ84" s="52" t="s">
        <v>2498</v>
      </c>
      <c r="AK84" s="53">
        <f t="shared" si="109"/>
        <v>0.91658296037879983</v>
      </c>
      <c r="AL84" s="54">
        <f t="shared" si="110"/>
        <v>0.11904761904761904</v>
      </c>
      <c r="AM84" s="54">
        <f t="shared" si="111"/>
        <v>2.3809523809523808E-2</v>
      </c>
      <c r="AN84" s="55">
        <f t="shared" si="112"/>
        <v>0.10911701909271426</v>
      </c>
      <c r="AO84" s="55">
        <f t="shared" si="113"/>
        <v>2.1823403818542853E-2</v>
      </c>
      <c r="AP84" s="53">
        <v>7.1</v>
      </c>
      <c r="AQ84" s="53">
        <f t="shared" si="81"/>
        <v>4.26</v>
      </c>
      <c r="AR84" s="53">
        <f t="shared" si="82"/>
        <v>21.299999999999997</v>
      </c>
      <c r="AS84" s="56">
        <f t="shared" si="83"/>
        <v>4.6948356807511742E-2</v>
      </c>
      <c r="AT84" s="56">
        <f t="shared" si="114"/>
        <v>0.23474178403755869</v>
      </c>
      <c r="AU84" s="56">
        <f t="shared" si="84"/>
        <v>0.176056338028169</v>
      </c>
      <c r="AV84" s="56">
        <f t="shared" si="115"/>
        <v>5.8685446009389672E-2</v>
      </c>
      <c r="AW84" s="57" t="s">
        <v>2511</v>
      </c>
      <c r="AX84" s="57" t="s">
        <v>2512</v>
      </c>
      <c r="AY84" s="57" t="s">
        <v>2513</v>
      </c>
      <c r="AZ84" s="58">
        <f t="shared" si="116"/>
        <v>0.91658296037879983</v>
      </c>
      <c r="BA84" s="59">
        <f t="shared" si="119"/>
        <v>2.6895039917218304E-2</v>
      </c>
      <c r="BB84" s="59">
        <f t="shared" si="120"/>
        <v>8.0685119751654905E-2</v>
      </c>
      <c r="BC84" s="59">
        <f t="shared" si="121"/>
        <v>2.1516031933774646E-2</v>
      </c>
      <c r="BD84" s="60">
        <f t="shared" si="117"/>
        <v>0.33333333333333331</v>
      </c>
      <c r="BE84" s="59">
        <f t="shared" si="118"/>
        <v>0.33333333333333331</v>
      </c>
      <c r="BQ84" s="61">
        <v>3000</v>
      </c>
      <c r="BR84" s="61">
        <v>1200</v>
      </c>
      <c r="BS84" s="28">
        <f t="shared" si="85"/>
        <v>2980</v>
      </c>
      <c r="BT84" s="28">
        <f t="shared" si="86"/>
        <v>1180</v>
      </c>
      <c r="BU84" s="28" t="s">
        <v>2541</v>
      </c>
      <c r="BV84" s="28">
        <f t="shared" si="87"/>
        <v>1573.2721999999999</v>
      </c>
      <c r="BW84" s="28">
        <f t="shared" si="88"/>
        <v>297.22699999999998</v>
      </c>
      <c r="BX84" s="13">
        <f t="shared" si="89"/>
        <v>1.8941413952398067</v>
      </c>
      <c r="BY84" s="13">
        <f t="shared" si="90"/>
        <v>1</v>
      </c>
      <c r="BZ84" s="13">
        <f t="shared" si="91"/>
        <v>3.9700296406450293</v>
      </c>
      <c r="CA84" s="13">
        <f t="shared" si="92"/>
        <v>3</v>
      </c>
      <c r="CB84" s="13">
        <f t="shared" si="93"/>
        <v>3</v>
      </c>
      <c r="CC84" s="62">
        <f t="shared" si="94"/>
        <v>0.33333333333333331</v>
      </c>
      <c r="CD84" s="13">
        <f t="shared" si="95"/>
        <v>10.026007058578125</v>
      </c>
      <c r="CE84" s="13">
        <f t="shared" si="96"/>
        <v>10</v>
      </c>
      <c r="CF84" s="13">
        <f t="shared" si="97"/>
        <v>0.75002914308153423</v>
      </c>
      <c r="CG84" s="13">
        <f t="shared" si="98"/>
        <v>0</v>
      </c>
      <c r="CH84" s="28">
        <f t="shared" si="99"/>
        <v>0</v>
      </c>
      <c r="CI84" s="62">
        <f t="shared" si="100"/>
        <v>1</v>
      </c>
      <c r="CJ84" s="59">
        <f t="shared" si="101"/>
        <v>0.33333333333333331</v>
      </c>
      <c r="CL84" s="63">
        <v>6000</v>
      </c>
      <c r="CM84" s="63">
        <f t="shared" si="102"/>
        <v>1568.2721999999999</v>
      </c>
      <c r="CN84" s="63">
        <f t="shared" si="103"/>
        <v>1573.2721999999999</v>
      </c>
      <c r="CO84" s="63">
        <f t="shared" si="104"/>
        <v>3.8137075071942417</v>
      </c>
      <c r="CP84" s="13">
        <f t="shared" si="105"/>
        <v>3</v>
      </c>
      <c r="CQ84" s="70">
        <f t="shared" si="106"/>
        <v>0.33333333333333331</v>
      </c>
      <c r="CR84" s="69">
        <f t="shared" si="74"/>
        <v>0.33333333333333331</v>
      </c>
    </row>
    <row r="85" spans="1:96" hidden="1" x14ac:dyDescent="0.25">
      <c r="A85" s="17">
        <v>5</v>
      </c>
      <c r="B85" s="6" t="s">
        <v>268</v>
      </c>
      <c r="C85" s="17" t="s">
        <v>292</v>
      </c>
      <c r="D85" s="17" t="s">
        <v>2270</v>
      </c>
      <c r="E85" s="17" t="s">
        <v>52</v>
      </c>
      <c r="F85" s="7">
        <f t="shared" si="75"/>
        <v>1</v>
      </c>
      <c r="G85" s="17">
        <v>2</v>
      </c>
      <c r="H85" s="17">
        <f t="shared" si="123"/>
        <v>2</v>
      </c>
      <c r="I85" s="17">
        <v>6</v>
      </c>
      <c r="J85" s="6" t="s">
        <v>290</v>
      </c>
      <c r="K85" s="6" t="s">
        <v>34</v>
      </c>
      <c r="L85" s="17">
        <v>0</v>
      </c>
      <c r="M85" s="6" t="s">
        <v>35</v>
      </c>
      <c r="N85" s="17" t="s">
        <v>293</v>
      </c>
      <c r="O85" s="28" t="s">
        <v>41</v>
      </c>
      <c r="P85" s="28" t="s">
        <v>41</v>
      </c>
      <c r="Q85" s="28" t="s">
        <v>124</v>
      </c>
      <c r="R85" s="30">
        <v>62.372</v>
      </c>
      <c r="S85" s="30">
        <v>16.446999999999999</v>
      </c>
      <c r="T85" s="30"/>
      <c r="U85" s="30">
        <v>9.8000000000000004E-2</v>
      </c>
      <c r="V85" s="8">
        <f t="shared" si="76"/>
        <v>1584.2487999999998</v>
      </c>
      <c r="W85" s="8">
        <f t="shared" si="77"/>
        <v>417.75379999999996</v>
      </c>
      <c r="X85" s="8">
        <f t="shared" si="78"/>
        <v>0</v>
      </c>
      <c r="Y85" s="33">
        <f t="shared" si="79"/>
        <v>2.4891999999999999</v>
      </c>
      <c r="Z85" s="28" t="s">
        <v>56</v>
      </c>
      <c r="AA85" s="28" t="s">
        <v>57</v>
      </c>
      <c r="AB85" s="61" t="s">
        <v>124</v>
      </c>
      <c r="AC85" s="31" t="s">
        <v>125</v>
      </c>
      <c r="AD85" s="50">
        <f t="shared" si="80"/>
        <v>2</v>
      </c>
      <c r="AE85" s="31"/>
      <c r="AF85" s="51">
        <v>14</v>
      </c>
      <c r="AG85" s="51">
        <f t="shared" si="108"/>
        <v>8.4</v>
      </c>
      <c r="AH85" s="51">
        <f t="shared" si="73"/>
        <v>42</v>
      </c>
      <c r="AI85" s="52" t="s">
        <v>2497</v>
      </c>
      <c r="AJ85" s="52" t="s">
        <v>2498</v>
      </c>
      <c r="AK85" s="53">
        <f t="shared" si="109"/>
        <v>1.3236519126908797</v>
      </c>
      <c r="AL85" s="54">
        <f t="shared" si="110"/>
        <v>0.11904761904761904</v>
      </c>
      <c r="AM85" s="54">
        <f t="shared" si="111"/>
        <v>2.3809523809523808E-2</v>
      </c>
      <c r="AN85" s="55">
        <f t="shared" si="112"/>
        <v>0.3151552173073523</v>
      </c>
      <c r="AO85" s="55">
        <f t="shared" si="113"/>
        <v>6.3031043461470454E-2</v>
      </c>
      <c r="AP85" s="53">
        <v>7.1</v>
      </c>
      <c r="AQ85" s="53">
        <f t="shared" si="81"/>
        <v>4.26</v>
      </c>
      <c r="AR85" s="53">
        <f t="shared" si="82"/>
        <v>21.299999999999997</v>
      </c>
      <c r="AS85" s="56">
        <f t="shared" si="83"/>
        <v>4.6948356807511742E-2</v>
      </c>
      <c r="AT85" s="56">
        <f t="shared" si="114"/>
        <v>0.23474178403755869</v>
      </c>
      <c r="AU85" s="56">
        <f t="shared" si="84"/>
        <v>0.176056338028169</v>
      </c>
      <c r="AV85" s="56">
        <f t="shared" si="115"/>
        <v>5.8685446009389672E-2</v>
      </c>
      <c r="AW85" s="57" t="s">
        <v>2511</v>
      </c>
      <c r="AX85" s="57" t="s">
        <v>2512</v>
      </c>
      <c r="AY85" s="57" t="s">
        <v>2513</v>
      </c>
      <c r="AZ85" s="58">
        <f t="shared" si="116"/>
        <v>1.3236519126908797</v>
      </c>
      <c r="BA85" s="59">
        <f t="shared" si="119"/>
        <v>7.7679102857445989E-2</v>
      </c>
      <c r="BB85" s="59">
        <f t="shared" si="120"/>
        <v>0.23303730857233795</v>
      </c>
      <c r="BC85" s="59">
        <f t="shared" si="121"/>
        <v>6.2143282285956801E-2</v>
      </c>
      <c r="BD85" s="60">
        <f t="shared" si="117"/>
        <v>0.5</v>
      </c>
      <c r="BE85" s="59">
        <f t="shared" si="118"/>
        <v>1</v>
      </c>
      <c r="BQ85" s="61">
        <v>3000</v>
      </c>
      <c r="BR85" s="61">
        <v>1200</v>
      </c>
      <c r="BS85" s="28">
        <f t="shared" si="85"/>
        <v>2980</v>
      </c>
      <c r="BT85" s="28">
        <f t="shared" si="86"/>
        <v>1180</v>
      </c>
      <c r="BU85" s="28" t="s">
        <v>2541</v>
      </c>
      <c r="BV85" s="28">
        <f t="shared" si="87"/>
        <v>1589.2487999999998</v>
      </c>
      <c r="BW85" s="28">
        <f t="shared" si="88"/>
        <v>422.75379999999996</v>
      </c>
      <c r="BX85" s="13">
        <f t="shared" si="89"/>
        <v>1.8750997326535659</v>
      </c>
      <c r="BY85" s="13">
        <f t="shared" si="90"/>
        <v>1</v>
      </c>
      <c r="BZ85" s="13">
        <f t="shared" si="91"/>
        <v>2.79122269273511</v>
      </c>
      <c r="CA85" s="13">
        <f t="shared" si="92"/>
        <v>2</v>
      </c>
      <c r="CB85" s="13">
        <f t="shared" si="93"/>
        <v>2</v>
      </c>
      <c r="CC85" s="62">
        <f t="shared" si="94"/>
        <v>0.5</v>
      </c>
      <c r="CD85" s="13">
        <f t="shared" si="95"/>
        <v>7.0490200206361253</v>
      </c>
      <c r="CE85" s="13">
        <f t="shared" si="96"/>
        <v>7</v>
      </c>
      <c r="CF85" s="13">
        <f t="shared" si="97"/>
        <v>0.74248915588295561</v>
      </c>
      <c r="CG85" s="13">
        <f t="shared" si="98"/>
        <v>0</v>
      </c>
      <c r="CH85" s="28">
        <f t="shared" si="99"/>
        <v>0</v>
      </c>
      <c r="CI85" s="62">
        <f t="shared" si="100"/>
        <v>1</v>
      </c>
      <c r="CJ85" s="59">
        <f t="shared" si="101"/>
        <v>0.5</v>
      </c>
      <c r="CL85" s="63">
        <v>6000</v>
      </c>
      <c r="CM85" s="63">
        <f t="shared" si="102"/>
        <v>1584.2487999999998</v>
      </c>
      <c r="CN85" s="63">
        <f t="shared" si="103"/>
        <v>1589.2487999999998</v>
      </c>
      <c r="CO85" s="63">
        <f t="shared" si="104"/>
        <v>3.7753685892353674</v>
      </c>
      <c r="CP85" s="13">
        <f t="shared" si="105"/>
        <v>3</v>
      </c>
      <c r="CQ85" s="70">
        <f t="shared" si="106"/>
        <v>0.33333333333333331</v>
      </c>
      <c r="CR85" s="69">
        <f t="shared" si="74"/>
        <v>0.66666666666666663</v>
      </c>
    </row>
    <row r="86" spans="1:96" hidden="1" x14ac:dyDescent="0.25">
      <c r="A86" s="17">
        <v>5</v>
      </c>
      <c r="B86" s="6" t="s">
        <v>268</v>
      </c>
      <c r="C86" s="17" t="s">
        <v>294</v>
      </c>
      <c r="D86" s="17" t="s">
        <v>2270</v>
      </c>
      <c r="E86" s="17" t="s">
        <v>52</v>
      </c>
      <c r="F86" s="7">
        <f t="shared" si="75"/>
        <v>1</v>
      </c>
      <c r="G86" s="17">
        <v>2</v>
      </c>
      <c r="H86" s="17">
        <f t="shared" si="123"/>
        <v>2</v>
      </c>
      <c r="I86" s="17">
        <v>7</v>
      </c>
      <c r="J86" s="6" t="s">
        <v>290</v>
      </c>
      <c r="K86" s="6" t="s">
        <v>34</v>
      </c>
      <c r="L86" s="17">
        <v>0</v>
      </c>
      <c r="M86" s="6" t="s">
        <v>35</v>
      </c>
      <c r="N86" s="17" t="s">
        <v>295</v>
      </c>
      <c r="O86" s="28" t="s">
        <v>41</v>
      </c>
      <c r="P86" s="28" t="s">
        <v>41</v>
      </c>
      <c r="Q86" s="28" t="s">
        <v>124</v>
      </c>
      <c r="R86" s="30">
        <v>64.078999999999994</v>
      </c>
      <c r="S86" s="30">
        <v>14.217000000000001</v>
      </c>
      <c r="T86" s="30"/>
      <c r="U86" s="30">
        <v>9.8000000000000004E-2</v>
      </c>
      <c r="V86" s="8">
        <f t="shared" si="76"/>
        <v>1627.6065999999998</v>
      </c>
      <c r="W86" s="8">
        <f t="shared" si="77"/>
        <v>361.11180000000002</v>
      </c>
      <c r="X86" s="8">
        <f t="shared" si="78"/>
        <v>0</v>
      </c>
      <c r="Y86" s="33">
        <f t="shared" si="79"/>
        <v>2.4891999999999999</v>
      </c>
      <c r="Z86" s="28" t="s">
        <v>56</v>
      </c>
      <c r="AA86" s="28" t="s">
        <v>57</v>
      </c>
      <c r="AB86" s="61" t="s">
        <v>124</v>
      </c>
      <c r="AC86" s="31" t="s">
        <v>125</v>
      </c>
      <c r="AD86" s="50">
        <f t="shared" si="80"/>
        <v>2</v>
      </c>
      <c r="AE86" s="31"/>
      <c r="AF86" s="51">
        <v>14</v>
      </c>
      <c r="AG86" s="51">
        <f t="shared" si="108"/>
        <v>8.4</v>
      </c>
      <c r="AH86" s="51">
        <f t="shared" si="73"/>
        <v>42</v>
      </c>
      <c r="AI86" s="52" t="s">
        <v>2497</v>
      </c>
      <c r="AJ86" s="52" t="s">
        <v>2498</v>
      </c>
      <c r="AK86" s="53">
        <f t="shared" si="109"/>
        <v>1.1754958980357599</v>
      </c>
      <c r="AL86" s="54">
        <f t="shared" si="110"/>
        <v>0.11904761904761904</v>
      </c>
      <c r="AM86" s="54">
        <f t="shared" si="111"/>
        <v>2.3809523809523808E-2</v>
      </c>
      <c r="AN86" s="55">
        <f t="shared" si="112"/>
        <v>0.27987997572279999</v>
      </c>
      <c r="AO86" s="55">
        <f t="shared" si="113"/>
        <v>5.5975995144559997E-2</v>
      </c>
      <c r="AP86" s="53">
        <v>7.1</v>
      </c>
      <c r="AQ86" s="53">
        <f t="shared" si="81"/>
        <v>4.26</v>
      </c>
      <c r="AR86" s="53">
        <f t="shared" si="82"/>
        <v>21.299999999999997</v>
      </c>
      <c r="AS86" s="56">
        <f t="shared" si="83"/>
        <v>4.6948356807511742E-2</v>
      </c>
      <c r="AT86" s="56">
        <f t="shared" si="114"/>
        <v>0.23474178403755869</v>
      </c>
      <c r="AU86" s="56">
        <f t="shared" si="84"/>
        <v>0.176056338028169</v>
      </c>
      <c r="AV86" s="56">
        <f t="shared" si="115"/>
        <v>5.8685446009389672E-2</v>
      </c>
      <c r="AW86" s="57" t="s">
        <v>2511</v>
      </c>
      <c r="AX86" s="57" t="s">
        <v>2512</v>
      </c>
      <c r="AY86" s="57" t="s">
        <v>2513</v>
      </c>
      <c r="AZ86" s="58">
        <f t="shared" si="116"/>
        <v>1.1754958980357599</v>
      </c>
      <c r="BA86" s="59">
        <f t="shared" si="119"/>
        <v>6.898450105843662E-2</v>
      </c>
      <c r="BB86" s="59">
        <f t="shared" si="120"/>
        <v>0.20695350317530983</v>
      </c>
      <c r="BC86" s="59">
        <f t="shared" si="121"/>
        <v>5.5187600846749299E-2</v>
      </c>
      <c r="BD86" s="60">
        <f t="shared" si="117"/>
        <v>0.33333333333333331</v>
      </c>
      <c r="BE86" s="59">
        <f t="shared" si="118"/>
        <v>0.66666666666666663</v>
      </c>
      <c r="BQ86" s="61">
        <v>3000</v>
      </c>
      <c r="BR86" s="61">
        <v>1200</v>
      </c>
      <c r="BS86" s="28">
        <f t="shared" si="85"/>
        <v>2980</v>
      </c>
      <c r="BT86" s="28">
        <f t="shared" si="86"/>
        <v>1180</v>
      </c>
      <c r="BU86" s="28" t="s">
        <v>2541</v>
      </c>
      <c r="BV86" s="28">
        <f t="shared" si="87"/>
        <v>1632.6065999999998</v>
      </c>
      <c r="BW86" s="28">
        <f t="shared" si="88"/>
        <v>366.11180000000002</v>
      </c>
      <c r="BX86" s="13">
        <f t="shared" si="89"/>
        <v>1.8253019435300581</v>
      </c>
      <c r="BY86" s="13">
        <f t="shared" si="90"/>
        <v>1</v>
      </c>
      <c r="BZ86" s="13">
        <f t="shared" si="91"/>
        <v>3.2230591857459934</v>
      </c>
      <c r="CA86" s="13">
        <f t="shared" si="92"/>
        <v>3</v>
      </c>
      <c r="CB86" s="13">
        <f t="shared" si="93"/>
        <v>3</v>
      </c>
      <c r="CC86" s="62">
        <f t="shared" si="94"/>
        <v>0.33333333333333331</v>
      </c>
      <c r="CD86" s="13">
        <f t="shared" si="95"/>
        <v>8.1395901470534415</v>
      </c>
      <c r="CE86" s="13">
        <f t="shared" si="96"/>
        <v>8</v>
      </c>
      <c r="CF86" s="13">
        <f t="shared" si="97"/>
        <v>0.72277056824344588</v>
      </c>
      <c r="CG86" s="13">
        <f t="shared" si="98"/>
        <v>0</v>
      </c>
      <c r="CH86" s="28">
        <f t="shared" si="99"/>
        <v>0</v>
      </c>
      <c r="CI86" s="62">
        <f t="shared" si="100"/>
        <v>1</v>
      </c>
      <c r="CJ86" s="59">
        <f t="shared" si="101"/>
        <v>0.33333333333333331</v>
      </c>
      <c r="CL86" s="63">
        <v>6000</v>
      </c>
      <c r="CM86" s="63">
        <f t="shared" si="102"/>
        <v>1627.6065999999998</v>
      </c>
      <c r="CN86" s="63">
        <f t="shared" si="103"/>
        <v>1632.6065999999998</v>
      </c>
      <c r="CO86" s="63">
        <f t="shared" si="104"/>
        <v>3.6751045842887078</v>
      </c>
      <c r="CP86" s="13">
        <f t="shared" si="105"/>
        <v>3</v>
      </c>
      <c r="CQ86" s="70">
        <f t="shared" si="106"/>
        <v>0.33333333333333331</v>
      </c>
      <c r="CR86" s="69">
        <f t="shared" si="74"/>
        <v>0.66666666666666663</v>
      </c>
    </row>
    <row r="87" spans="1:96" hidden="1" x14ac:dyDescent="0.25">
      <c r="A87" s="17">
        <v>5</v>
      </c>
      <c r="B87" s="6" t="s">
        <v>268</v>
      </c>
      <c r="C87" s="17" t="s">
        <v>296</v>
      </c>
      <c r="D87" s="17" t="s">
        <v>2270</v>
      </c>
      <c r="E87" s="17" t="s">
        <v>52</v>
      </c>
      <c r="F87" s="7">
        <f t="shared" si="75"/>
        <v>1</v>
      </c>
      <c r="G87" s="17">
        <v>1</v>
      </c>
      <c r="H87" s="17">
        <f t="shared" si="123"/>
        <v>1</v>
      </c>
      <c r="I87" s="17">
        <v>8</v>
      </c>
      <c r="J87" s="6" t="s">
        <v>290</v>
      </c>
      <c r="K87" s="6" t="s">
        <v>34</v>
      </c>
      <c r="L87" s="17">
        <v>0</v>
      </c>
      <c r="M87" s="6" t="s">
        <v>35</v>
      </c>
      <c r="N87" s="17" t="s">
        <v>297</v>
      </c>
      <c r="O87" s="28" t="s">
        <v>41</v>
      </c>
      <c r="P87" s="28" t="s">
        <v>41</v>
      </c>
      <c r="Q87" s="28" t="s">
        <v>124</v>
      </c>
      <c r="R87" s="30">
        <v>59.991</v>
      </c>
      <c r="S87" s="30">
        <v>16.442</v>
      </c>
      <c r="T87" s="30"/>
      <c r="U87" s="30">
        <v>9.8000000000000004E-2</v>
      </c>
      <c r="V87" s="8">
        <f t="shared" si="76"/>
        <v>1523.7713999999999</v>
      </c>
      <c r="W87" s="8">
        <f t="shared" si="77"/>
        <v>417.6268</v>
      </c>
      <c r="X87" s="8">
        <f t="shared" si="78"/>
        <v>0</v>
      </c>
      <c r="Y87" s="33">
        <f t="shared" si="79"/>
        <v>2.4891999999999999</v>
      </c>
      <c r="Z87" s="28" t="s">
        <v>56</v>
      </c>
      <c r="AA87" s="28" t="s">
        <v>57</v>
      </c>
      <c r="AB87" s="61" t="s">
        <v>124</v>
      </c>
      <c r="AC87" s="31" t="s">
        <v>125</v>
      </c>
      <c r="AD87" s="50">
        <f t="shared" si="80"/>
        <v>1</v>
      </c>
      <c r="AE87" s="31"/>
      <c r="AF87" s="51">
        <v>14</v>
      </c>
      <c r="AG87" s="51">
        <f t="shared" si="108"/>
        <v>8.4</v>
      </c>
      <c r="AH87" s="51">
        <f t="shared" si="73"/>
        <v>42</v>
      </c>
      <c r="AI87" s="52" t="s">
        <v>2497</v>
      </c>
      <c r="AJ87" s="52" t="s">
        <v>2498</v>
      </c>
      <c r="AK87" s="53">
        <f t="shared" si="109"/>
        <v>1.2727355474270399</v>
      </c>
      <c r="AL87" s="54">
        <f t="shared" si="110"/>
        <v>0.11904761904761904</v>
      </c>
      <c r="AM87" s="54">
        <f t="shared" si="111"/>
        <v>2.3809523809523808E-2</v>
      </c>
      <c r="AN87" s="55">
        <f t="shared" si="112"/>
        <v>0.15151613659845711</v>
      </c>
      <c r="AO87" s="55">
        <f t="shared" si="113"/>
        <v>3.0303227319691425E-2</v>
      </c>
      <c r="AP87" s="53">
        <v>7.1</v>
      </c>
      <c r="AQ87" s="53">
        <f t="shared" si="81"/>
        <v>4.26</v>
      </c>
      <c r="AR87" s="53">
        <f t="shared" si="82"/>
        <v>21.299999999999997</v>
      </c>
      <c r="AS87" s="56">
        <f t="shared" si="83"/>
        <v>4.6948356807511742E-2</v>
      </c>
      <c r="AT87" s="56">
        <f t="shared" si="114"/>
        <v>0.23474178403755869</v>
      </c>
      <c r="AU87" s="56">
        <f t="shared" si="84"/>
        <v>0.176056338028169</v>
      </c>
      <c r="AV87" s="56">
        <f t="shared" si="115"/>
        <v>5.8685446009389672E-2</v>
      </c>
      <c r="AW87" s="57" t="s">
        <v>2511</v>
      </c>
      <c r="AX87" s="57" t="s">
        <v>2512</v>
      </c>
      <c r="AY87" s="57" t="s">
        <v>2513</v>
      </c>
      <c r="AZ87" s="58">
        <f t="shared" si="116"/>
        <v>1.2727355474270399</v>
      </c>
      <c r="BA87" s="59">
        <f t="shared" si="119"/>
        <v>3.7345526626380278E-2</v>
      </c>
      <c r="BB87" s="59">
        <f t="shared" si="120"/>
        <v>0.11203657987914083</v>
      </c>
      <c r="BC87" s="59">
        <f t="shared" si="121"/>
        <v>2.9876421301104225E-2</v>
      </c>
      <c r="BD87" s="60">
        <f t="shared" si="117"/>
        <v>0.5</v>
      </c>
      <c r="BE87" s="59">
        <f t="shared" si="118"/>
        <v>0.5</v>
      </c>
      <c r="BQ87" s="61">
        <v>3000</v>
      </c>
      <c r="BR87" s="61">
        <v>1200</v>
      </c>
      <c r="BS87" s="28">
        <f t="shared" si="85"/>
        <v>2980</v>
      </c>
      <c r="BT87" s="28">
        <f t="shared" si="86"/>
        <v>1180</v>
      </c>
      <c r="BU87" s="28" t="s">
        <v>2541</v>
      </c>
      <c r="BV87" s="28">
        <f t="shared" si="87"/>
        <v>1528.7713999999999</v>
      </c>
      <c r="BW87" s="28">
        <f t="shared" si="88"/>
        <v>422.6268</v>
      </c>
      <c r="BX87" s="13">
        <f t="shared" si="89"/>
        <v>1.949277701034962</v>
      </c>
      <c r="BY87" s="13">
        <f t="shared" si="90"/>
        <v>1</v>
      </c>
      <c r="BZ87" s="13">
        <f t="shared" si="91"/>
        <v>2.7920614594247217</v>
      </c>
      <c r="CA87" s="13">
        <f t="shared" si="92"/>
        <v>2</v>
      </c>
      <c r="CB87" s="13">
        <f t="shared" si="93"/>
        <v>2</v>
      </c>
      <c r="CC87" s="62">
        <f t="shared" si="94"/>
        <v>0.5</v>
      </c>
      <c r="CD87" s="13">
        <f t="shared" si="95"/>
        <v>7.0511382619370089</v>
      </c>
      <c r="CE87" s="13">
        <f t="shared" si="96"/>
        <v>7</v>
      </c>
      <c r="CF87" s="13">
        <f t="shared" si="97"/>
        <v>0.77186164000713264</v>
      </c>
      <c r="CG87" s="13">
        <f t="shared" si="98"/>
        <v>0</v>
      </c>
      <c r="CH87" s="28">
        <f t="shared" si="99"/>
        <v>0</v>
      </c>
      <c r="CI87" s="62">
        <f t="shared" si="100"/>
        <v>1</v>
      </c>
      <c r="CJ87" s="59">
        <f t="shared" si="101"/>
        <v>0.5</v>
      </c>
      <c r="CL87" s="63">
        <v>6000</v>
      </c>
      <c r="CM87" s="63">
        <f t="shared" si="102"/>
        <v>1523.7713999999999</v>
      </c>
      <c r="CN87" s="63">
        <f t="shared" si="103"/>
        <v>1528.7713999999999</v>
      </c>
      <c r="CO87" s="63">
        <f t="shared" si="104"/>
        <v>3.924720203426098</v>
      </c>
      <c r="CP87" s="13">
        <f t="shared" si="105"/>
        <v>3</v>
      </c>
      <c r="CQ87" s="70">
        <f t="shared" si="106"/>
        <v>0.33333333333333331</v>
      </c>
      <c r="CR87" s="69">
        <f t="shared" si="74"/>
        <v>0.33333333333333331</v>
      </c>
    </row>
    <row r="88" spans="1:96" hidden="1" x14ac:dyDescent="0.25">
      <c r="A88" s="13">
        <v>4</v>
      </c>
      <c r="B88" s="14" t="s">
        <v>264</v>
      </c>
      <c r="C88" s="13" t="s">
        <v>298</v>
      </c>
      <c r="D88" s="13" t="s">
        <v>2270</v>
      </c>
      <c r="E88" s="13" t="s">
        <v>32</v>
      </c>
      <c r="F88" s="15">
        <f t="shared" si="75"/>
        <v>1</v>
      </c>
      <c r="G88" s="13">
        <v>1</v>
      </c>
      <c r="H88" s="13">
        <f>G88*$H$75</f>
        <v>1</v>
      </c>
      <c r="I88" s="13">
        <v>2</v>
      </c>
      <c r="J88" s="14" t="s">
        <v>299</v>
      </c>
      <c r="K88" s="14" t="s">
        <v>34</v>
      </c>
      <c r="L88" s="13" t="s">
        <v>110</v>
      </c>
      <c r="M88" s="14" t="s">
        <v>35</v>
      </c>
      <c r="N88" s="13" t="s">
        <v>300</v>
      </c>
      <c r="O88" s="28" t="s">
        <v>41</v>
      </c>
      <c r="P88" s="28" t="s">
        <v>41</v>
      </c>
      <c r="Q88" s="28"/>
      <c r="R88" s="30"/>
      <c r="S88" s="30"/>
      <c r="T88" s="30"/>
      <c r="U88" s="30"/>
      <c r="V88" s="8">
        <f t="shared" si="76"/>
        <v>0</v>
      </c>
      <c r="W88" s="8">
        <f t="shared" si="77"/>
        <v>0</v>
      </c>
      <c r="X88" s="8">
        <f t="shared" si="78"/>
        <v>0</v>
      </c>
      <c r="Y88" s="33">
        <f t="shared" si="79"/>
        <v>0</v>
      </c>
      <c r="Z88" s="28"/>
      <c r="AA88" s="28"/>
      <c r="AB88" s="28">
        <v>0</v>
      </c>
      <c r="AC88" s="31"/>
      <c r="AD88" s="50">
        <f t="shared" si="80"/>
        <v>1</v>
      </c>
      <c r="AE88" s="31"/>
      <c r="AF88" s="51">
        <v>14</v>
      </c>
      <c r="AG88" s="51">
        <f t="shared" si="108"/>
        <v>8.4</v>
      </c>
      <c r="AH88" s="51">
        <f t="shared" si="73"/>
        <v>42</v>
      </c>
      <c r="AI88" s="52" t="s">
        <v>2497</v>
      </c>
      <c r="AJ88" s="52" t="s">
        <v>2498</v>
      </c>
      <c r="AK88" s="53">
        <f t="shared" si="109"/>
        <v>0</v>
      </c>
      <c r="AL88" s="54">
        <f t="shared" si="110"/>
        <v>0.11904761904761904</v>
      </c>
      <c r="AM88" s="54">
        <f t="shared" si="111"/>
        <v>2.3809523809523808E-2</v>
      </c>
      <c r="AN88" s="55">
        <f t="shared" si="112"/>
        <v>0</v>
      </c>
      <c r="AO88" s="55">
        <f t="shared" si="113"/>
        <v>0</v>
      </c>
      <c r="AP88" s="53">
        <v>7.1</v>
      </c>
      <c r="AQ88" s="53">
        <f t="shared" si="81"/>
        <v>4.26</v>
      </c>
      <c r="AR88" s="53">
        <f t="shared" si="82"/>
        <v>21.299999999999997</v>
      </c>
      <c r="AS88" s="56">
        <f t="shared" si="83"/>
        <v>4.6948356807511742E-2</v>
      </c>
      <c r="AT88" s="56">
        <f t="shared" si="114"/>
        <v>0.23474178403755869</v>
      </c>
      <c r="AU88" s="56">
        <f t="shared" si="84"/>
        <v>0.176056338028169</v>
      </c>
      <c r="AV88" s="56">
        <f t="shared" si="115"/>
        <v>5.8685446009389672E-2</v>
      </c>
      <c r="AW88" s="57" t="s">
        <v>2511</v>
      </c>
      <c r="AX88" s="57" t="s">
        <v>2512</v>
      </c>
      <c r="AY88" s="57" t="s">
        <v>2513</v>
      </c>
      <c r="AZ88" s="58">
        <f t="shared" si="116"/>
        <v>0</v>
      </c>
      <c r="BA88" s="59">
        <f t="shared" si="119"/>
        <v>0</v>
      </c>
      <c r="BB88" s="59">
        <f t="shared" si="120"/>
        <v>0</v>
      </c>
      <c r="BC88" s="59">
        <f t="shared" si="121"/>
        <v>0</v>
      </c>
      <c r="BD88" s="60">
        <f t="shared" si="117"/>
        <v>0</v>
      </c>
      <c r="BE88" s="59">
        <f t="shared" si="118"/>
        <v>0</v>
      </c>
      <c r="BQ88" s="61">
        <v>3000</v>
      </c>
      <c r="BR88" s="61">
        <v>1200</v>
      </c>
      <c r="BS88" s="28">
        <f t="shared" si="85"/>
        <v>2980</v>
      </c>
      <c r="BT88" s="28">
        <f t="shared" si="86"/>
        <v>1180</v>
      </c>
      <c r="BU88" s="28" t="s">
        <v>2541</v>
      </c>
      <c r="BV88" s="28">
        <f t="shared" si="87"/>
        <v>5</v>
      </c>
      <c r="BW88" s="28">
        <f t="shared" si="88"/>
        <v>5</v>
      </c>
      <c r="BX88" s="13">
        <f t="shared" si="89"/>
        <v>596</v>
      </c>
      <c r="BY88" s="13">
        <f t="shared" si="90"/>
        <v>596</v>
      </c>
      <c r="BZ88" s="13">
        <f t="shared" si="91"/>
        <v>236</v>
      </c>
      <c r="CA88" s="13">
        <f t="shared" si="92"/>
        <v>236</v>
      </c>
      <c r="CB88" s="13">
        <f t="shared" si="93"/>
        <v>140656</v>
      </c>
      <c r="CC88" s="62" t="str">
        <f t="shared" si="94"/>
        <v/>
      </c>
      <c r="CD88" s="13">
        <f t="shared" si="95"/>
        <v>596</v>
      </c>
      <c r="CE88" s="13">
        <f t="shared" si="96"/>
        <v>596</v>
      </c>
      <c r="CF88" s="13">
        <f t="shared" si="97"/>
        <v>236</v>
      </c>
      <c r="CG88" s="13">
        <f t="shared" si="98"/>
        <v>236</v>
      </c>
      <c r="CH88" s="28">
        <f t="shared" si="99"/>
        <v>140656</v>
      </c>
      <c r="CI88" s="62" t="str">
        <f t="shared" si="100"/>
        <v/>
      </c>
      <c r="CJ88" s="59">
        <f t="shared" si="101"/>
        <v>0</v>
      </c>
      <c r="CL88" s="63">
        <v>6000</v>
      </c>
      <c r="CM88" s="63">
        <f t="shared" si="102"/>
        <v>0</v>
      </c>
      <c r="CN88" s="63">
        <f t="shared" si="103"/>
        <v>5</v>
      </c>
      <c r="CO88" s="63">
        <f t="shared" si="104"/>
        <v>1200</v>
      </c>
      <c r="CP88" s="13">
        <f t="shared" si="105"/>
        <v>1200</v>
      </c>
      <c r="CQ88" s="70">
        <f t="shared" si="106"/>
        <v>8.3333333333333339E-4</v>
      </c>
      <c r="CR88" s="69">
        <f t="shared" si="74"/>
        <v>8.3333333333333339E-4</v>
      </c>
    </row>
    <row r="89" spans="1:96" hidden="1" x14ac:dyDescent="0.25">
      <c r="A89" s="17">
        <v>5</v>
      </c>
      <c r="B89" s="6" t="s">
        <v>301</v>
      </c>
      <c r="C89" s="17" t="s">
        <v>302</v>
      </c>
      <c r="D89" s="17" t="s">
        <v>2270</v>
      </c>
      <c r="E89" s="17" t="s">
        <v>32</v>
      </c>
      <c r="F89" s="7">
        <f t="shared" si="75"/>
        <v>1</v>
      </c>
      <c r="G89" s="17">
        <v>1</v>
      </c>
      <c r="H89" s="17">
        <f>G89*$H$88</f>
        <v>1</v>
      </c>
      <c r="I89" s="17">
        <v>1</v>
      </c>
      <c r="J89" s="6" t="s">
        <v>270</v>
      </c>
      <c r="K89" s="6" t="s">
        <v>34</v>
      </c>
      <c r="L89" s="17" t="s">
        <v>110</v>
      </c>
      <c r="M89" s="6" t="s">
        <v>35</v>
      </c>
      <c r="N89" s="17" t="s">
        <v>303</v>
      </c>
      <c r="O89" s="28" t="s">
        <v>41</v>
      </c>
      <c r="P89" s="28" t="s">
        <v>41</v>
      </c>
      <c r="Q89" s="28"/>
      <c r="R89" s="30"/>
      <c r="S89" s="30"/>
      <c r="T89" s="30"/>
      <c r="U89" s="30"/>
      <c r="V89" s="8">
        <f t="shared" si="76"/>
        <v>0</v>
      </c>
      <c r="W89" s="8">
        <f t="shared" si="77"/>
        <v>0</v>
      </c>
      <c r="X89" s="8">
        <f t="shared" si="78"/>
        <v>0</v>
      </c>
      <c r="Y89" s="33">
        <f t="shared" si="79"/>
        <v>0</v>
      </c>
      <c r="Z89" s="28"/>
      <c r="AA89" s="28"/>
      <c r="AB89" s="28">
        <v>0</v>
      </c>
      <c r="AC89" s="31"/>
      <c r="AD89" s="50">
        <f t="shared" si="80"/>
        <v>1</v>
      </c>
      <c r="AE89" s="31"/>
      <c r="AF89" s="51">
        <v>14</v>
      </c>
      <c r="AG89" s="51">
        <f t="shared" si="108"/>
        <v>8.4</v>
      </c>
      <c r="AH89" s="51">
        <f t="shared" si="73"/>
        <v>42</v>
      </c>
      <c r="AI89" s="52" t="s">
        <v>2497</v>
      </c>
      <c r="AJ89" s="52" t="s">
        <v>2498</v>
      </c>
      <c r="AK89" s="53">
        <f t="shared" si="109"/>
        <v>0</v>
      </c>
      <c r="AL89" s="54">
        <f t="shared" si="110"/>
        <v>0.11904761904761904</v>
      </c>
      <c r="AM89" s="54">
        <f t="shared" si="111"/>
        <v>2.3809523809523808E-2</v>
      </c>
      <c r="AN89" s="55">
        <f t="shared" si="112"/>
        <v>0</v>
      </c>
      <c r="AO89" s="55">
        <f t="shared" si="113"/>
        <v>0</v>
      </c>
      <c r="AP89" s="53">
        <v>7.1</v>
      </c>
      <c r="AQ89" s="53">
        <f t="shared" si="81"/>
        <v>4.26</v>
      </c>
      <c r="AR89" s="53">
        <f t="shared" si="82"/>
        <v>21.299999999999997</v>
      </c>
      <c r="AS89" s="56">
        <f t="shared" si="83"/>
        <v>4.6948356807511742E-2</v>
      </c>
      <c r="AT89" s="56">
        <f t="shared" si="114"/>
        <v>0.23474178403755869</v>
      </c>
      <c r="AU89" s="56">
        <f t="shared" si="84"/>
        <v>0.176056338028169</v>
      </c>
      <c r="AV89" s="56">
        <f t="shared" si="115"/>
        <v>5.8685446009389672E-2</v>
      </c>
      <c r="AW89" s="57" t="s">
        <v>2511</v>
      </c>
      <c r="AX89" s="57" t="s">
        <v>2512</v>
      </c>
      <c r="AY89" s="57" t="s">
        <v>2513</v>
      </c>
      <c r="AZ89" s="58">
        <f t="shared" si="116"/>
        <v>0</v>
      </c>
      <c r="BA89" s="59">
        <f t="shared" si="119"/>
        <v>0</v>
      </c>
      <c r="BB89" s="59">
        <f t="shared" si="120"/>
        <v>0</v>
      </c>
      <c r="BC89" s="59">
        <f t="shared" si="121"/>
        <v>0</v>
      </c>
      <c r="BD89" s="60">
        <f t="shared" si="117"/>
        <v>0</v>
      </c>
      <c r="BE89" s="59">
        <f t="shared" si="118"/>
        <v>0</v>
      </c>
      <c r="BQ89" s="61">
        <v>3000</v>
      </c>
      <c r="BR89" s="61">
        <v>1200</v>
      </c>
      <c r="BS89" s="28">
        <f t="shared" si="85"/>
        <v>2980</v>
      </c>
      <c r="BT89" s="28">
        <f t="shared" si="86"/>
        <v>1180</v>
      </c>
      <c r="BU89" s="28" t="s">
        <v>2541</v>
      </c>
      <c r="BV89" s="28">
        <f t="shared" si="87"/>
        <v>5</v>
      </c>
      <c r="BW89" s="28">
        <f t="shared" si="88"/>
        <v>5</v>
      </c>
      <c r="BX89" s="13">
        <f t="shared" si="89"/>
        <v>596</v>
      </c>
      <c r="BY89" s="13">
        <f t="shared" si="90"/>
        <v>596</v>
      </c>
      <c r="BZ89" s="13">
        <f t="shared" si="91"/>
        <v>236</v>
      </c>
      <c r="CA89" s="13">
        <f t="shared" si="92"/>
        <v>236</v>
      </c>
      <c r="CB89" s="13">
        <f t="shared" si="93"/>
        <v>140656</v>
      </c>
      <c r="CC89" s="62" t="str">
        <f t="shared" si="94"/>
        <v/>
      </c>
      <c r="CD89" s="13">
        <f t="shared" si="95"/>
        <v>596</v>
      </c>
      <c r="CE89" s="13">
        <f t="shared" si="96"/>
        <v>596</v>
      </c>
      <c r="CF89" s="13">
        <f t="shared" si="97"/>
        <v>236</v>
      </c>
      <c r="CG89" s="13">
        <f t="shared" si="98"/>
        <v>236</v>
      </c>
      <c r="CH89" s="28">
        <f t="shared" si="99"/>
        <v>140656</v>
      </c>
      <c r="CI89" s="62" t="str">
        <f t="shared" si="100"/>
        <v/>
      </c>
      <c r="CJ89" s="59">
        <f t="shared" si="101"/>
        <v>0</v>
      </c>
      <c r="CL89" s="63">
        <v>6000</v>
      </c>
      <c r="CM89" s="63">
        <f t="shared" si="102"/>
        <v>0</v>
      </c>
      <c r="CN89" s="63">
        <f t="shared" si="103"/>
        <v>5</v>
      </c>
      <c r="CO89" s="63">
        <f t="shared" si="104"/>
        <v>1200</v>
      </c>
      <c r="CP89" s="13">
        <f t="shared" si="105"/>
        <v>1200</v>
      </c>
      <c r="CQ89" s="70">
        <f t="shared" si="106"/>
        <v>8.3333333333333339E-4</v>
      </c>
      <c r="CR89" s="69">
        <f t="shared" si="74"/>
        <v>8.3333333333333339E-4</v>
      </c>
    </row>
    <row r="90" spans="1:96" hidden="1" x14ac:dyDescent="0.25">
      <c r="A90" s="42">
        <v>6</v>
      </c>
      <c r="B90" s="43" t="s">
        <v>304</v>
      </c>
      <c r="C90" s="42" t="s">
        <v>305</v>
      </c>
      <c r="D90" s="42" t="s">
        <v>2270</v>
      </c>
      <c r="E90" s="42" t="s">
        <v>52</v>
      </c>
      <c r="F90" s="44">
        <f t="shared" si="75"/>
        <v>1</v>
      </c>
      <c r="G90" s="42">
        <v>1</v>
      </c>
      <c r="H90" s="42">
        <f>G90*$H$89</f>
        <v>1</v>
      </c>
      <c r="I90" s="42">
        <v>1</v>
      </c>
      <c r="J90" s="43" t="s">
        <v>274</v>
      </c>
      <c r="K90" s="43" t="s">
        <v>34</v>
      </c>
      <c r="L90" s="42" t="s">
        <v>194</v>
      </c>
      <c r="M90" s="43" t="s">
        <v>35</v>
      </c>
      <c r="N90" s="42" t="s">
        <v>306</v>
      </c>
      <c r="O90" s="28" t="s">
        <v>41</v>
      </c>
      <c r="P90" s="28" t="s">
        <v>41</v>
      </c>
      <c r="Q90" s="28" t="s">
        <v>55</v>
      </c>
      <c r="R90" s="30">
        <v>59.694000000000003</v>
      </c>
      <c r="S90" s="30">
        <v>48.192999999999998</v>
      </c>
      <c r="T90" s="30"/>
      <c r="U90" s="30">
        <v>0.11799999999999999</v>
      </c>
      <c r="V90" s="8">
        <f t="shared" si="76"/>
        <v>1516.2275999999999</v>
      </c>
      <c r="W90" s="8">
        <f t="shared" si="77"/>
        <v>1224.1021999999998</v>
      </c>
      <c r="X90" s="8">
        <f t="shared" si="78"/>
        <v>0</v>
      </c>
      <c r="Y90" s="33">
        <f t="shared" si="79"/>
        <v>2.9971999999999999</v>
      </c>
      <c r="Z90" s="28" t="s">
        <v>56</v>
      </c>
      <c r="AA90" s="28" t="s">
        <v>57</v>
      </c>
      <c r="AB90" s="61" t="s">
        <v>55</v>
      </c>
      <c r="AC90" s="31" t="s">
        <v>58</v>
      </c>
      <c r="AD90" s="50">
        <f t="shared" si="80"/>
        <v>1</v>
      </c>
      <c r="AE90" s="31"/>
      <c r="AF90" s="51">
        <v>14</v>
      </c>
      <c r="AG90" s="51">
        <f t="shared" si="108"/>
        <v>8.4</v>
      </c>
      <c r="AH90" s="51">
        <f t="shared" si="73"/>
        <v>42</v>
      </c>
      <c r="AI90" s="52" t="s">
        <v>2497</v>
      </c>
      <c r="AJ90" s="52" t="s">
        <v>2498</v>
      </c>
      <c r="AK90" s="53">
        <f t="shared" si="109"/>
        <v>3.7120350817214396</v>
      </c>
      <c r="AL90" s="54">
        <f t="shared" si="110"/>
        <v>0.11904761904761904</v>
      </c>
      <c r="AM90" s="54">
        <f t="shared" si="111"/>
        <v>2.3809523809523808E-2</v>
      </c>
      <c r="AN90" s="55">
        <f t="shared" si="112"/>
        <v>0.44190893830017136</v>
      </c>
      <c r="AO90" s="55">
        <f t="shared" si="113"/>
        <v>8.8381787660034267E-2</v>
      </c>
      <c r="AP90" s="53">
        <v>7.1</v>
      </c>
      <c r="AQ90" s="53">
        <f t="shared" si="81"/>
        <v>4.26</v>
      </c>
      <c r="AR90" s="53">
        <f t="shared" si="82"/>
        <v>21.299999999999997</v>
      </c>
      <c r="AS90" s="56">
        <f t="shared" si="83"/>
        <v>4.6948356807511742E-2</v>
      </c>
      <c r="AT90" s="56">
        <f t="shared" si="114"/>
        <v>0.23474178403755869</v>
      </c>
      <c r="AU90" s="56">
        <f t="shared" si="84"/>
        <v>0.176056338028169</v>
      </c>
      <c r="AV90" s="56">
        <f t="shared" si="115"/>
        <v>5.8685446009389672E-2</v>
      </c>
      <c r="AW90" s="57" t="s">
        <v>2511</v>
      </c>
      <c r="AX90" s="57" t="s">
        <v>2512</v>
      </c>
      <c r="AY90" s="57" t="s">
        <v>2513</v>
      </c>
      <c r="AZ90" s="58">
        <f t="shared" si="116"/>
        <v>3.7120350817214396</v>
      </c>
      <c r="BA90" s="59">
        <f t="shared" si="119"/>
        <v>0.10892121718666196</v>
      </c>
      <c r="BB90" s="59">
        <f t="shared" si="120"/>
        <v>0.32676365155998588</v>
      </c>
      <c r="BC90" s="59">
        <f t="shared" si="121"/>
        <v>8.7136973749329577E-2</v>
      </c>
      <c r="BD90" s="60">
        <f t="shared" si="117"/>
        <v>1</v>
      </c>
      <c r="BE90" s="59">
        <f t="shared" si="118"/>
        <v>1</v>
      </c>
      <c r="BQ90" s="61">
        <v>3000</v>
      </c>
      <c r="BR90" s="61">
        <v>1200</v>
      </c>
      <c r="BS90" s="28">
        <f t="shared" si="85"/>
        <v>2980</v>
      </c>
      <c r="BT90" s="28">
        <f t="shared" si="86"/>
        <v>1180</v>
      </c>
      <c r="BU90" s="28" t="s">
        <v>2541</v>
      </c>
      <c r="BV90" s="28">
        <f t="shared" si="87"/>
        <v>1521.2275999999999</v>
      </c>
      <c r="BW90" s="28">
        <f t="shared" si="88"/>
        <v>1229.1021999999998</v>
      </c>
      <c r="BX90" s="13">
        <f t="shared" si="89"/>
        <v>1.9589442105836103</v>
      </c>
      <c r="BY90" s="13">
        <f t="shared" si="90"/>
        <v>1</v>
      </c>
      <c r="BZ90" s="13">
        <f t="shared" si="91"/>
        <v>0.9600503522001671</v>
      </c>
      <c r="CA90" s="13">
        <f t="shared" si="92"/>
        <v>0</v>
      </c>
      <c r="CB90" s="13">
        <f t="shared" si="93"/>
        <v>0</v>
      </c>
      <c r="CC90" s="62">
        <f t="shared" si="94"/>
        <v>1</v>
      </c>
      <c r="CD90" s="13">
        <f t="shared" si="95"/>
        <v>2.4245339403021169</v>
      </c>
      <c r="CE90" s="13">
        <f t="shared" si="96"/>
        <v>2</v>
      </c>
      <c r="CF90" s="13">
        <f t="shared" si="97"/>
        <v>0.77568931828478527</v>
      </c>
      <c r="CG90" s="13">
        <f t="shared" si="98"/>
        <v>0</v>
      </c>
      <c r="CH90" s="28">
        <f t="shared" si="99"/>
        <v>0</v>
      </c>
      <c r="CI90" s="62">
        <f t="shared" si="100"/>
        <v>1</v>
      </c>
      <c r="CJ90" s="59">
        <f t="shared" si="101"/>
        <v>1</v>
      </c>
      <c r="CL90" s="63">
        <v>6000</v>
      </c>
      <c r="CM90" s="63">
        <f t="shared" si="102"/>
        <v>1516.2275999999999</v>
      </c>
      <c r="CN90" s="63">
        <f t="shared" si="103"/>
        <v>1521.2275999999999</v>
      </c>
      <c r="CO90" s="63">
        <f t="shared" si="104"/>
        <v>3.9441829743294168</v>
      </c>
      <c r="CP90" s="13">
        <f t="shared" si="105"/>
        <v>3</v>
      </c>
      <c r="CQ90" s="70">
        <f t="shared" si="106"/>
        <v>0.33333333333333331</v>
      </c>
      <c r="CR90" s="69">
        <f t="shared" si="74"/>
        <v>0.33333333333333331</v>
      </c>
    </row>
    <row r="91" spans="1:96" hidden="1" x14ac:dyDescent="0.25">
      <c r="A91" s="42">
        <v>6</v>
      </c>
      <c r="B91" s="43" t="s">
        <v>304</v>
      </c>
      <c r="C91" s="42" t="s">
        <v>276</v>
      </c>
      <c r="D91" s="42" t="s">
        <v>2270</v>
      </c>
      <c r="E91" s="42" t="s">
        <v>52</v>
      </c>
      <c r="F91" s="44">
        <f t="shared" si="75"/>
        <v>2</v>
      </c>
      <c r="G91" s="42">
        <v>4</v>
      </c>
      <c r="H91" s="42">
        <f t="shared" ref="H91:H94" si="124">G91*$H$89</f>
        <v>4</v>
      </c>
      <c r="I91" s="42">
        <v>2</v>
      </c>
      <c r="J91" s="43" t="s">
        <v>277</v>
      </c>
      <c r="K91" s="43" t="s">
        <v>34</v>
      </c>
      <c r="L91" s="42">
        <v>0</v>
      </c>
      <c r="M91" s="43" t="s">
        <v>35</v>
      </c>
      <c r="N91" s="42" t="s">
        <v>278</v>
      </c>
      <c r="O91" s="28" t="s">
        <v>41</v>
      </c>
      <c r="P91" s="28" t="s">
        <v>41</v>
      </c>
      <c r="Q91" s="28" t="s">
        <v>116</v>
      </c>
      <c r="R91" s="30">
        <v>44.21</v>
      </c>
      <c r="S91" s="30">
        <v>2.875</v>
      </c>
      <c r="T91" s="30"/>
      <c r="U91" s="30">
        <v>0.11799999999999999</v>
      </c>
      <c r="V91" s="8">
        <f t="shared" si="76"/>
        <v>1122.934</v>
      </c>
      <c r="W91" s="8">
        <f t="shared" si="77"/>
        <v>73.024999999999991</v>
      </c>
      <c r="X91" s="8">
        <f t="shared" si="78"/>
        <v>0</v>
      </c>
      <c r="Y91" s="33">
        <f t="shared" si="79"/>
        <v>2.9971999999999999</v>
      </c>
      <c r="Z91" s="28" t="s">
        <v>56</v>
      </c>
      <c r="AA91" s="28" t="s">
        <v>57</v>
      </c>
      <c r="AB91" s="28" t="s">
        <v>116</v>
      </c>
      <c r="AC91" s="31" t="s">
        <v>117</v>
      </c>
      <c r="AD91" s="50">
        <f t="shared" si="80"/>
        <v>4</v>
      </c>
      <c r="AE91" s="31"/>
      <c r="AF91" s="51">
        <v>14</v>
      </c>
      <c r="AG91" s="51">
        <f t="shared" si="108"/>
        <v>8.4</v>
      </c>
      <c r="AH91" s="51">
        <f t="shared" si="73"/>
        <v>42</v>
      </c>
      <c r="AI91" s="52" t="s">
        <v>2497</v>
      </c>
      <c r="AJ91" s="52" t="s">
        <v>2498</v>
      </c>
      <c r="AK91" s="53">
        <f t="shared" si="109"/>
        <v>0.16400451069999999</v>
      </c>
      <c r="AL91" s="54">
        <f t="shared" si="110"/>
        <v>0.11904761904761904</v>
      </c>
      <c r="AM91" s="54">
        <f t="shared" si="111"/>
        <v>2.3809523809523808E-2</v>
      </c>
      <c r="AN91" s="55">
        <f t="shared" si="112"/>
        <v>7.8097386047619038E-2</v>
      </c>
      <c r="AO91" s="55">
        <f t="shared" si="113"/>
        <v>1.5619477209523808E-2</v>
      </c>
      <c r="AP91" s="53">
        <v>7.1</v>
      </c>
      <c r="AQ91" s="53">
        <f t="shared" si="81"/>
        <v>4.26</v>
      </c>
      <c r="AR91" s="53">
        <f t="shared" si="82"/>
        <v>21.299999999999997</v>
      </c>
      <c r="AS91" s="56">
        <f t="shared" si="83"/>
        <v>4.6948356807511742E-2</v>
      </c>
      <c r="AT91" s="56">
        <f t="shared" si="114"/>
        <v>0.23474178403755869</v>
      </c>
      <c r="AU91" s="56">
        <f t="shared" si="84"/>
        <v>0.176056338028169</v>
      </c>
      <c r="AV91" s="56">
        <f t="shared" si="115"/>
        <v>5.8685446009389672E-2</v>
      </c>
      <c r="AW91" s="57" t="s">
        <v>2511</v>
      </c>
      <c r="AX91" s="57" t="s">
        <v>2512</v>
      </c>
      <c r="AY91" s="57" t="s">
        <v>2513</v>
      </c>
      <c r="AZ91" s="58">
        <f t="shared" si="116"/>
        <v>0.16400451069999999</v>
      </c>
      <c r="BA91" s="59">
        <f t="shared" si="119"/>
        <v>1.9249355715962441E-2</v>
      </c>
      <c r="BB91" s="59">
        <f t="shared" si="120"/>
        <v>5.7748067147887321E-2</v>
      </c>
      <c r="BC91" s="59">
        <f t="shared" si="121"/>
        <v>1.5399484572769954E-2</v>
      </c>
      <c r="BD91" s="60">
        <f t="shared" si="117"/>
        <v>2.6315789473684209E-2</v>
      </c>
      <c r="BE91" s="59">
        <f t="shared" si="118"/>
        <v>0.10526315789473684</v>
      </c>
      <c r="BQ91" s="61">
        <v>3000</v>
      </c>
      <c r="BR91" s="61">
        <v>1200</v>
      </c>
      <c r="BS91" s="28">
        <f t="shared" si="85"/>
        <v>2980</v>
      </c>
      <c r="BT91" s="28">
        <f t="shared" si="86"/>
        <v>1180</v>
      </c>
      <c r="BU91" s="28" t="s">
        <v>2541</v>
      </c>
      <c r="BV91" s="28">
        <f t="shared" si="87"/>
        <v>1127.934</v>
      </c>
      <c r="BW91" s="28">
        <f t="shared" si="88"/>
        <v>78.024999999999991</v>
      </c>
      <c r="BX91" s="13">
        <f t="shared" si="89"/>
        <v>2.6419985566531374</v>
      </c>
      <c r="BY91" s="13">
        <f t="shared" si="90"/>
        <v>2</v>
      </c>
      <c r="BZ91" s="13">
        <f t="shared" si="91"/>
        <v>15.123357898109582</v>
      </c>
      <c r="CA91" s="13">
        <f t="shared" si="92"/>
        <v>15</v>
      </c>
      <c r="CB91" s="13">
        <f t="shared" si="93"/>
        <v>30</v>
      </c>
      <c r="CC91" s="62">
        <f t="shared" si="94"/>
        <v>3.3333333333333333E-2</v>
      </c>
      <c r="CD91" s="13">
        <f t="shared" si="95"/>
        <v>38.192886895225897</v>
      </c>
      <c r="CE91" s="13">
        <f t="shared" si="96"/>
        <v>38</v>
      </c>
      <c r="CF91" s="13">
        <f t="shared" si="97"/>
        <v>1.0461605022988933</v>
      </c>
      <c r="CG91" s="13">
        <f t="shared" si="98"/>
        <v>1</v>
      </c>
      <c r="CH91" s="28">
        <f t="shared" si="99"/>
        <v>38</v>
      </c>
      <c r="CI91" s="62">
        <f t="shared" si="100"/>
        <v>2.6315789473684209E-2</v>
      </c>
      <c r="CJ91" s="59">
        <f t="shared" si="101"/>
        <v>2.6315789473684209E-2</v>
      </c>
      <c r="CL91" s="63">
        <v>6000</v>
      </c>
      <c r="CM91" s="63">
        <f t="shared" si="102"/>
        <v>1122.934</v>
      </c>
      <c r="CN91" s="63">
        <f t="shared" si="103"/>
        <v>1127.934</v>
      </c>
      <c r="CO91" s="63">
        <f t="shared" si="104"/>
        <v>5.3194601811808138</v>
      </c>
      <c r="CP91" s="13">
        <f t="shared" si="105"/>
        <v>5</v>
      </c>
      <c r="CQ91" s="70">
        <f t="shared" si="106"/>
        <v>0.2</v>
      </c>
      <c r="CR91" s="69">
        <f t="shared" si="74"/>
        <v>0.8</v>
      </c>
    </row>
    <row r="92" spans="1:96" hidden="1" x14ac:dyDescent="0.25">
      <c r="A92" s="42">
        <v>6</v>
      </c>
      <c r="B92" s="43" t="s">
        <v>304</v>
      </c>
      <c r="C92" s="42" t="s">
        <v>59</v>
      </c>
      <c r="D92" s="42" t="s">
        <v>61</v>
      </c>
      <c r="E92" s="42" t="s">
        <v>52</v>
      </c>
      <c r="F92" s="44">
        <f t="shared" si="75"/>
        <v>19</v>
      </c>
      <c r="G92" s="42">
        <v>4</v>
      </c>
      <c r="H92" s="42">
        <f t="shared" si="124"/>
        <v>4</v>
      </c>
      <c r="I92" s="42">
        <v>3</v>
      </c>
      <c r="J92" s="43" t="s">
        <v>60</v>
      </c>
      <c r="K92" s="43" t="s">
        <v>34</v>
      </c>
      <c r="L92" s="42">
        <v>0</v>
      </c>
      <c r="M92" s="43" t="s">
        <v>35</v>
      </c>
      <c r="N92" s="42" t="s">
        <v>61</v>
      </c>
      <c r="O92" s="28" t="s">
        <v>41</v>
      </c>
      <c r="P92" s="28" t="s">
        <v>41</v>
      </c>
      <c r="Q92" s="28" t="s">
        <v>61</v>
      </c>
      <c r="R92" s="30"/>
      <c r="S92" s="30"/>
      <c r="T92" s="30"/>
      <c r="U92" s="30"/>
      <c r="V92" s="8">
        <f t="shared" si="76"/>
        <v>0</v>
      </c>
      <c r="W92" s="8">
        <f t="shared" si="77"/>
        <v>0</v>
      </c>
      <c r="X92" s="8">
        <f t="shared" si="78"/>
        <v>0</v>
      </c>
      <c r="Y92" s="33">
        <f t="shared" si="79"/>
        <v>0</v>
      </c>
      <c r="Z92" s="28"/>
      <c r="AA92" s="28"/>
      <c r="AB92" s="61" t="s">
        <v>61</v>
      </c>
      <c r="AC92" s="31" t="s">
        <v>62</v>
      </c>
      <c r="AD92" s="50">
        <f t="shared" si="80"/>
        <v>4</v>
      </c>
      <c r="AE92" s="31"/>
      <c r="AF92" s="51">
        <v>14</v>
      </c>
      <c r="AG92" s="51">
        <f t="shared" si="108"/>
        <v>8.4</v>
      </c>
      <c r="AH92" s="51">
        <f t="shared" si="73"/>
        <v>42</v>
      </c>
      <c r="AI92" s="52" t="s">
        <v>2497</v>
      </c>
      <c r="AJ92" s="52" t="s">
        <v>2498</v>
      </c>
      <c r="AK92" s="53">
        <f t="shared" si="109"/>
        <v>0</v>
      </c>
      <c r="AL92" s="54">
        <f t="shared" si="110"/>
        <v>0.11904761904761904</v>
      </c>
      <c r="AM92" s="54">
        <f t="shared" si="111"/>
        <v>2.3809523809523808E-2</v>
      </c>
      <c r="AN92" s="55">
        <f t="shared" si="112"/>
        <v>0</v>
      </c>
      <c r="AO92" s="55">
        <f t="shared" si="113"/>
        <v>0</v>
      </c>
      <c r="AP92" s="53">
        <v>7.1</v>
      </c>
      <c r="AQ92" s="53">
        <f t="shared" si="81"/>
        <v>4.26</v>
      </c>
      <c r="AR92" s="53">
        <f t="shared" si="82"/>
        <v>21.299999999999997</v>
      </c>
      <c r="AS92" s="56">
        <f t="shared" si="83"/>
        <v>4.6948356807511742E-2</v>
      </c>
      <c r="AT92" s="56">
        <f t="shared" si="114"/>
        <v>0.23474178403755869</v>
      </c>
      <c r="AU92" s="56">
        <f t="shared" si="84"/>
        <v>0.176056338028169</v>
      </c>
      <c r="AV92" s="56">
        <f t="shared" si="115"/>
        <v>5.8685446009389672E-2</v>
      </c>
      <c r="AW92" s="57" t="s">
        <v>2511</v>
      </c>
      <c r="AX92" s="57" t="s">
        <v>2512</v>
      </c>
      <c r="AY92" s="57" t="s">
        <v>2513</v>
      </c>
      <c r="AZ92" s="58">
        <f t="shared" si="116"/>
        <v>0</v>
      </c>
      <c r="BA92" s="59">
        <f t="shared" si="119"/>
        <v>0</v>
      </c>
      <c r="BB92" s="59">
        <f t="shared" si="120"/>
        <v>0</v>
      </c>
      <c r="BC92" s="59">
        <f t="shared" si="121"/>
        <v>0</v>
      </c>
      <c r="BD92" s="60">
        <f t="shared" si="117"/>
        <v>7.1095438516664771E-6</v>
      </c>
      <c r="BE92" s="59">
        <f t="shared" si="118"/>
        <v>2.8438175406665908E-5</v>
      </c>
      <c r="BQ92" s="61">
        <v>3000</v>
      </c>
      <c r="BR92" s="61">
        <v>1200</v>
      </c>
      <c r="BS92" s="28">
        <f t="shared" si="85"/>
        <v>2980</v>
      </c>
      <c r="BT92" s="28">
        <f t="shared" si="86"/>
        <v>1180</v>
      </c>
      <c r="BU92" s="28" t="s">
        <v>2541</v>
      </c>
      <c r="BV92" s="28">
        <f t="shared" si="87"/>
        <v>5</v>
      </c>
      <c r="BW92" s="28">
        <f t="shared" si="88"/>
        <v>5</v>
      </c>
      <c r="BX92" s="13">
        <f t="shared" si="89"/>
        <v>596</v>
      </c>
      <c r="BY92" s="13">
        <f t="shared" si="90"/>
        <v>596</v>
      </c>
      <c r="BZ92" s="13">
        <f t="shared" si="91"/>
        <v>236</v>
      </c>
      <c r="CA92" s="13">
        <f t="shared" si="92"/>
        <v>236</v>
      </c>
      <c r="CB92" s="13">
        <f t="shared" si="93"/>
        <v>140656</v>
      </c>
      <c r="CC92" s="62">
        <f t="shared" si="94"/>
        <v>7.1095438516664771E-6</v>
      </c>
      <c r="CD92" s="13">
        <f t="shared" si="95"/>
        <v>596</v>
      </c>
      <c r="CE92" s="13">
        <f t="shared" si="96"/>
        <v>596</v>
      </c>
      <c r="CF92" s="13">
        <f t="shared" si="97"/>
        <v>236</v>
      </c>
      <c r="CG92" s="13">
        <f t="shared" si="98"/>
        <v>236</v>
      </c>
      <c r="CH92" s="28">
        <f t="shared" si="99"/>
        <v>140656</v>
      </c>
      <c r="CI92" s="62">
        <f t="shared" si="100"/>
        <v>7.1095438516664771E-6</v>
      </c>
      <c r="CJ92" s="59">
        <f t="shared" si="101"/>
        <v>7.1095438516664771E-6</v>
      </c>
      <c r="CL92" s="63">
        <v>6000</v>
      </c>
      <c r="CM92" s="63">
        <f t="shared" si="102"/>
        <v>0</v>
      </c>
      <c r="CN92" s="63">
        <f t="shared" si="103"/>
        <v>5</v>
      </c>
      <c r="CO92" s="63">
        <f t="shared" si="104"/>
        <v>1200</v>
      </c>
      <c r="CP92" s="13">
        <f t="shared" si="105"/>
        <v>1200</v>
      </c>
      <c r="CQ92" s="70">
        <f t="shared" si="106"/>
        <v>8.3333333333333339E-4</v>
      </c>
      <c r="CR92" s="69">
        <f t="shared" si="74"/>
        <v>3.3333333333333335E-3</v>
      </c>
    </row>
    <row r="93" spans="1:96" hidden="1" x14ac:dyDescent="0.25">
      <c r="A93" s="42">
        <v>6</v>
      </c>
      <c r="B93" s="43" t="s">
        <v>304</v>
      </c>
      <c r="C93" s="42" t="s">
        <v>279</v>
      </c>
      <c r="D93" s="42" t="s">
        <v>281</v>
      </c>
      <c r="E93" s="42" t="s">
        <v>52</v>
      </c>
      <c r="F93" s="44">
        <f t="shared" si="75"/>
        <v>12</v>
      </c>
      <c r="G93" s="42">
        <v>36</v>
      </c>
      <c r="H93" s="42">
        <f t="shared" si="124"/>
        <v>36</v>
      </c>
      <c r="I93" s="42">
        <v>4</v>
      </c>
      <c r="J93" s="43" t="s">
        <v>280</v>
      </c>
      <c r="K93" s="43" t="s">
        <v>34</v>
      </c>
      <c r="L93" s="42">
        <v>0</v>
      </c>
      <c r="M93" s="43" t="s">
        <v>35</v>
      </c>
      <c r="N93" s="42" t="s">
        <v>281</v>
      </c>
      <c r="O93" s="28" t="s">
        <v>41</v>
      </c>
      <c r="P93" s="28" t="s">
        <v>41</v>
      </c>
      <c r="Q93" s="28" t="s">
        <v>281</v>
      </c>
      <c r="R93" s="30"/>
      <c r="S93" s="30"/>
      <c r="T93" s="30"/>
      <c r="U93" s="30"/>
      <c r="V93" s="8">
        <f t="shared" si="76"/>
        <v>0</v>
      </c>
      <c r="W93" s="8">
        <f t="shared" si="77"/>
        <v>0</v>
      </c>
      <c r="X93" s="8">
        <f t="shared" si="78"/>
        <v>0</v>
      </c>
      <c r="Y93" s="33">
        <f t="shared" si="79"/>
        <v>0</v>
      </c>
      <c r="Z93" s="28"/>
      <c r="AA93" s="28"/>
      <c r="AB93" s="61" t="s">
        <v>281</v>
      </c>
      <c r="AC93" s="31" t="s">
        <v>282</v>
      </c>
      <c r="AD93" s="50">
        <f t="shared" si="80"/>
        <v>36</v>
      </c>
      <c r="AE93" s="31"/>
      <c r="AF93" s="51">
        <v>14</v>
      </c>
      <c r="AG93" s="51">
        <f t="shared" si="108"/>
        <v>8.4</v>
      </c>
      <c r="AH93" s="51">
        <f t="shared" si="73"/>
        <v>42</v>
      </c>
      <c r="AI93" s="52" t="s">
        <v>2497</v>
      </c>
      <c r="AJ93" s="52" t="s">
        <v>2498</v>
      </c>
      <c r="AK93" s="53">
        <f t="shared" si="109"/>
        <v>0</v>
      </c>
      <c r="AL93" s="54">
        <f t="shared" si="110"/>
        <v>0.11904761904761904</v>
      </c>
      <c r="AM93" s="54">
        <f t="shared" si="111"/>
        <v>2.3809523809523808E-2</v>
      </c>
      <c r="AN93" s="55">
        <f t="shared" si="112"/>
        <v>0</v>
      </c>
      <c r="AO93" s="55">
        <f t="shared" si="113"/>
        <v>0</v>
      </c>
      <c r="AP93" s="53">
        <v>7.1</v>
      </c>
      <c r="AQ93" s="53">
        <f t="shared" si="81"/>
        <v>4.26</v>
      </c>
      <c r="AR93" s="53">
        <f t="shared" si="82"/>
        <v>21.299999999999997</v>
      </c>
      <c r="AS93" s="56">
        <f t="shared" si="83"/>
        <v>4.6948356807511742E-2</v>
      </c>
      <c r="AT93" s="56">
        <f t="shared" si="114"/>
        <v>0.23474178403755869</v>
      </c>
      <c r="AU93" s="56">
        <f t="shared" si="84"/>
        <v>0.176056338028169</v>
      </c>
      <c r="AV93" s="56">
        <f t="shared" si="115"/>
        <v>5.8685446009389672E-2</v>
      </c>
      <c r="AW93" s="57" t="s">
        <v>2511</v>
      </c>
      <c r="AX93" s="57" t="s">
        <v>2512</v>
      </c>
      <c r="AY93" s="57" t="s">
        <v>2513</v>
      </c>
      <c r="AZ93" s="58">
        <f t="shared" si="116"/>
        <v>0</v>
      </c>
      <c r="BA93" s="59">
        <f t="shared" si="119"/>
        <v>0</v>
      </c>
      <c r="BB93" s="59">
        <f t="shared" si="120"/>
        <v>0</v>
      </c>
      <c r="BC93" s="59">
        <f t="shared" si="121"/>
        <v>0</v>
      </c>
      <c r="BD93" s="60">
        <f t="shared" si="117"/>
        <v>7.1095438516664771E-6</v>
      </c>
      <c r="BE93" s="59">
        <f t="shared" si="118"/>
        <v>2.559435786599932E-4</v>
      </c>
      <c r="BQ93" s="61">
        <v>3000</v>
      </c>
      <c r="BR93" s="61">
        <v>1200</v>
      </c>
      <c r="BS93" s="28">
        <f t="shared" si="85"/>
        <v>2980</v>
      </c>
      <c r="BT93" s="28">
        <f t="shared" si="86"/>
        <v>1180</v>
      </c>
      <c r="BU93" s="28" t="s">
        <v>2541</v>
      </c>
      <c r="BV93" s="28">
        <f t="shared" si="87"/>
        <v>5</v>
      </c>
      <c r="BW93" s="28">
        <f t="shared" si="88"/>
        <v>5</v>
      </c>
      <c r="BX93" s="13">
        <f t="shared" si="89"/>
        <v>596</v>
      </c>
      <c r="BY93" s="13">
        <f t="shared" si="90"/>
        <v>596</v>
      </c>
      <c r="BZ93" s="13">
        <f t="shared" si="91"/>
        <v>236</v>
      </c>
      <c r="CA93" s="13">
        <f t="shared" si="92"/>
        <v>236</v>
      </c>
      <c r="CB93" s="13">
        <f t="shared" si="93"/>
        <v>140656</v>
      </c>
      <c r="CC93" s="62">
        <f t="shared" si="94"/>
        <v>7.1095438516664771E-6</v>
      </c>
      <c r="CD93" s="13">
        <f t="shared" si="95"/>
        <v>596</v>
      </c>
      <c r="CE93" s="13">
        <f t="shared" si="96"/>
        <v>596</v>
      </c>
      <c r="CF93" s="13">
        <f t="shared" si="97"/>
        <v>236</v>
      </c>
      <c r="CG93" s="13">
        <f t="shared" si="98"/>
        <v>236</v>
      </c>
      <c r="CH93" s="28">
        <f t="shared" si="99"/>
        <v>140656</v>
      </c>
      <c r="CI93" s="62">
        <f t="shared" si="100"/>
        <v>7.1095438516664771E-6</v>
      </c>
      <c r="CJ93" s="59">
        <f t="shared" si="101"/>
        <v>7.1095438516664771E-6</v>
      </c>
      <c r="CL93" s="63">
        <v>6000</v>
      </c>
      <c r="CM93" s="63">
        <f t="shared" si="102"/>
        <v>0</v>
      </c>
      <c r="CN93" s="63">
        <f t="shared" si="103"/>
        <v>5</v>
      </c>
      <c r="CO93" s="63">
        <f t="shared" si="104"/>
        <v>1200</v>
      </c>
      <c r="CP93" s="13">
        <f t="shared" si="105"/>
        <v>1200</v>
      </c>
      <c r="CQ93" s="70">
        <f t="shared" si="106"/>
        <v>8.3333333333333339E-4</v>
      </c>
      <c r="CR93" s="69">
        <f t="shared" si="74"/>
        <v>3.0000000000000002E-2</v>
      </c>
    </row>
    <row r="94" spans="1:96" hidden="1" x14ac:dyDescent="0.25">
      <c r="A94" s="42">
        <v>6</v>
      </c>
      <c r="B94" s="43" t="s">
        <v>304</v>
      </c>
      <c r="C94" s="42" t="s">
        <v>307</v>
      </c>
      <c r="D94" s="42" t="s">
        <v>309</v>
      </c>
      <c r="E94" s="42" t="s">
        <v>52</v>
      </c>
      <c r="F94" s="44">
        <f t="shared" si="75"/>
        <v>2</v>
      </c>
      <c r="G94" s="42">
        <v>1</v>
      </c>
      <c r="H94" s="42">
        <f t="shared" si="124"/>
        <v>1</v>
      </c>
      <c r="I94" s="42">
        <v>6</v>
      </c>
      <c r="J94" s="43" t="s">
        <v>308</v>
      </c>
      <c r="K94" s="43" t="s">
        <v>34</v>
      </c>
      <c r="L94" s="42" t="s">
        <v>223</v>
      </c>
      <c r="M94" s="43" t="s">
        <v>35</v>
      </c>
      <c r="N94" s="42" t="s">
        <v>309</v>
      </c>
      <c r="O94" s="28" t="s">
        <v>41</v>
      </c>
      <c r="P94" s="28" t="s">
        <v>41</v>
      </c>
      <c r="Q94" s="28" t="s">
        <v>309</v>
      </c>
      <c r="R94" s="30"/>
      <c r="S94" s="30"/>
      <c r="T94" s="30"/>
      <c r="U94" s="30"/>
      <c r="V94" s="8">
        <f t="shared" si="76"/>
        <v>0</v>
      </c>
      <c r="W94" s="8">
        <f t="shared" si="77"/>
        <v>0</v>
      </c>
      <c r="X94" s="8">
        <f t="shared" si="78"/>
        <v>0</v>
      </c>
      <c r="Y94" s="33">
        <f t="shared" si="79"/>
        <v>0</v>
      </c>
      <c r="Z94" s="28"/>
      <c r="AA94" s="28"/>
      <c r="AB94" s="61" t="s">
        <v>309</v>
      </c>
      <c r="AC94" s="31" t="s">
        <v>310</v>
      </c>
      <c r="AD94" s="50">
        <f t="shared" si="80"/>
        <v>1</v>
      </c>
      <c r="AE94" s="31"/>
      <c r="AF94" s="51">
        <v>14</v>
      </c>
      <c r="AG94" s="51">
        <f t="shared" si="108"/>
        <v>8.4</v>
      </c>
      <c r="AH94" s="51">
        <f t="shared" si="73"/>
        <v>42</v>
      </c>
      <c r="AI94" s="52" t="s">
        <v>2497</v>
      </c>
      <c r="AJ94" s="52" t="s">
        <v>2498</v>
      </c>
      <c r="AK94" s="53">
        <f t="shared" si="109"/>
        <v>0</v>
      </c>
      <c r="AL94" s="54">
        <f t="shared" si="110"/>
        <v>0.11904761904761904</v>
      </c>
      <c r="AM94" s="54">
        <f t="shared" si="111"/>
        <v>2.3809523809523808E-2</v>
      </c>
      <c r="AN94" s="55">
        <f t="shared" si="112"/>
        <v>0</v>
      </c>
      <c r="AO94" s="55">
        <f t="shared" si="113"/>
        <v>0</v>
      </c>
      <c r="AP94" s="53">
        <v>7.1</v>
      </c>
      <c r="AQ94" s="53">
        <f t="shared" si="81"/>
        <v>4.26</v>
      </c>
      <c r="AR94" s="53">
        <f t="shared" si="82"/>
        <v>21.299999999999997</v>
      </c>
      <c r="AS94" s="56">
        <f t="shared" si="83"/>
        <v>4.6948356807511742E-2</v>
      </c>
      <c r="AT94" s="56">
        <f t="shared" si="114"/>
        <v>0.23474178403755869</v>
      </c>
      <c r="AU94" s="56">
        <f t="shared" si="84"/>
        <v>0.176056338028169</v>
      </c>
      <c r="AV94" s="56">
        <f t="shared" si="115"/>
        <v>5.8685446009389672E-2</v>
      </c>
      <c r="AW94" s="57" t="s">
        <v>2511</v>
      </c>
      <c r="AX94" s="57" t="s">
        <v>2512</v>
      </c>
      <c r="AY94" s="57" t="s">
        <v>2513</v>
      </c>
      <c r="AZ94" s="58">
        <f t="shared" si="116"/>
        <v>0</v>
      </c>
      <c r="BA94" s="59">
        <f t="shared" si="119"/>
        <v>0</v>
      </c>
      <c r="BB94" s="59">
        <f t="shared" si="120"/>
        <v>0</v>
      </c>
      <c r="BC94" s="59">
        <f t="shared" si="121"/>
        <v>0</v>
      </c>
      <c r="BD94" s="60">
        <f t="shared" si="117"/>
        <v>7.1095438516664771E-6</v>
      </c>
      <c r="BE94" s="59">
        <f t="shared" si="118"/>
        <v>7.1095438516664771E-6</v>
      </c>
      <c r="BQ94" s="61">
        <v>3000</v>
      </c>
      <c r="BR94" s="61">
        <v>1200</v>
      </c>
      <c r="BS94" s="28">
        <f t="shared" si="85"/>
        <v>2980</v>
      </c>
      <c r="BT94" s="28">
        <f t="shared" si="86"/>
        <v>1180</v>
      </c>
      <c r="BU94" s="28" t="s">
        <v>2541</v>
      </c>
      <c r="BV94" s="28">
        <f t="shared" si="87"/>
        <v>5</v>
      </c>
      <c r="BW94" s="28">
        <f t="shared" si="88"/>
        <v>5</v>
      </c>
      <c r="BX94" s="13">
        <f t="shared" si="89"/>
        <v>596</v>
      </c>
      <c r="BY94" s="13">
        <f t="shared" si="90"/>
        <v>596</v>
      </c>
      <c r="BZ94" s="13">
        <f t="shared" si="91"/>
        <v>236</v>
      </c>
      <c r="CA94" s="13">
        <f t="shared" si="92"/>
        <v>236</v>
      </c>
      <c r="CB94" s="13">
        <f t="shared" si="93"/>
        <v>140656</v>
      </c>
      <c r="CC94" s="62">
        <f t="shared" si="94"/>
        <v>7.1095438516664771E-6</v>
      </c>
      <c r="CD94" s="13">
        <f t="shared" si="95"/>
        <v>596</v>
      </c>
      <c r="CE94" s="13">
        <f t="shared" si="96"/>
        <v>596</v>
      </c>
      <c r="CF94" s="13">
        <f t="shared" si="97"/>
        <v>236</v>
      </c>
      <c r="CG94" s="13">
        <f t="shared" si="98"/>
        <v>236</v>
      </c>
      <c r="CH94" s="28">
        <f t="shared" si="99"/>
        <v>140656</v>
      </c>
      <c r="CI94" s="62">
        <f t="shared" si="100"/>
        <v>7.1095438516664771E-6</v>
      </c>
      <c r="CJ94" s="59">
        <f t="shared" si="101"/>
        <v>7.1095438516664771E-6</v>
      </c>
      <c r="CL94" s="63">
        <v>6000</v>
      </c>
      <c r="CM94" s="63">
        <f t="shared" si="102"/>
        <v>0</v>
      </c>
      <c r="CN94" s="63">
        <f t="shared" si="103"/>
        <v>5</v>
      </c>
      <c r="CO94" s="63">
        <f t="shared" si="104"/>
        <v>1200</v>
      </c>
      <c r="CP94" s="13">
        <f t="shared" si="105"/>
        <v>1200</v>
      </c>
      <c r="CQ94" s="70">
        <f t="shared" si="106"/>
        <v>8.3333333333333339E-4</v>
      </c>
      <c r="CR94" s="69">
        <f t="shared" si="74"/>
        <v>8.3333333333333339E-4</v>
      </c>
    </row>
    <row r="95" spans="1:96" hidden="1" x14ac:dyDescent="0.25">
      <c r="A95" s="17">
        <v>5</v>
      </c>
      <c r="B95" s="6" t="s">
        <v>301</v>
      </c>
      <c r="C95" s="17" t="s">
        <v>311</v>
      </c>
      <c r="D95" s="17" t="s">
        <v>2270</v>
      </c>
      <c r="E95" s="17" t="s">
        <v>32</v>
      </c>
      <c r="F95" s="7">
        <f t="shared" si="75"/>
        <v>1</v>
      </c>
      <c r="G95" s="17">
        <v>6</v>
      </c>
      <c r="H95" s="17">
        <f>G95*$H$88</f>
        <v>6</v>
      </c>
      <c r="I95" s="17">
        <v>2</v>
      </c>
      <c r="J95" s="6" t="s">
        <v>312</v>
      </c>
      <c r="K95" s="6" t="s">
        <v>34</v>
      </c>
      <c r="L95" s="17">
        <v>0</v>
      </c>
      <c r="M95" s="6" t="s">
        <v>35</v>
      </c>
      <c r="N95" s="17" t="s">
        <v>313</v>
      </c>
      <c r="O95" s="28" t="s">
        <v>41</v>
      </c>
      <c r="P95" s="28" t="s">
        <v>41</v>
      </c>
      <c r="Q95" s="28"/>
      <c r="R95" s="30"/>
      <c r="S95" s="30"/>
      <c r="T95" s="30"/>
      <c r="U95" s="30"/>
      <c r="V95" s="8">
        <f t="shared" si="76"/>
        <v>0</v>
      </c>
      <c r="W95" s="8">
        <f t="shared" si="77"/>
        <v>0</v>
      </c>
      <c r="X95" s="8">
        <f t="shared" si="78"/>
        <v>0</v>
      </c>
      <c r="Y95" s="33">
        <f t="shared" si="79"/>
        <v>0</v>
      </c>
      <c r="Z95" s="28"/>
      <c r="AA95" s="28"/>
      <c r="AB95" s="28">
        <v>0</v>
      </c>
      <c r="AC95" s="31"/>
      <c r="AD95" s="50">
        <f t="shared" si="80"/>
        <v>6</v>
      </c>
      <c r="AE95" s="31"/>
      <c r="AF95" s="51">
        <v>14</v>
      </c>
      <c r="AG95" s="51">
        <f t="shared" si="108"/>
        <v>8.4</v>
      </c>
      <c r="AH95" s="51">
        <f t="shared" si="73"/>
        <v>42</v>
      </c>
      <c r="AI95" s="52" t="s">
        <v>2497</v>
      </c>
      <c r="AJ95" s="52" t="s">
        <v>2498</v>
      </c>
      <c r="AK95" s="53">
        <f t="shared" si="109"/>
        <v>0</v>
      </c>
      <c r="AL95" s="54">
        <f t="shared" si="110"/>
        <v>0.11904761904761904</v>
      </c>
      <c r="AM95" s="54">
        <f t="shared" si="111"/>
        <v>2.3809523809523808E-2</v>
      </c>
      <c r="AN95" s="55">
        <f t="shared" si="112"/>
        <v>0</v>
      </c>
      <c r="AO95" s="55">
        <f t="shared" si="113"/>
        <v>0</v>
      </c>
      <c r="AP95" s="53">
        <v>7.1</v>
      </c>
      <c r="AQ95" s="53">
        <f t="shared" si="81"/>
        <v>4.26</v>
      </c>
      <c r="AR95" s="53">
        <f t="shared" si="82"/>
        <v>21.299999999999997</v>
      </c>
      <c r="AS95" s="56">
        <f t="shared" si="83"/>
        <v>4.6948356807511742E-2</v>
      </c>
      <c r="AT95" s="56">
        <f t="shared" si="114"/>
        <v>0.23474178403755869</v>
      </c>
      <c r="AU95" s="56">
        <f t="shared" si="84"/>
        <v>0.176056338028169</v>
      </c>
      <c r="AV95" s="56">
        <f t="shared" si="115"/>
        <v>5.8685446009389672E-2</v>
      </c>
      <c r="AW95" s="57" t="s">
        <v>2511</v>
      </c>
      <c r="AX95" s="57" t="s">
        <v>2512</v>
      </c>
      <c r="AY95" s="57" t="s">
        <v>2513</v>
      </c>
      <c r="AZ95" s="58">
        <f t="shared" si="116"/>
        <v>0</v>
      </c>
      <c r="BA95" s="59">
        <f t="shared" si="119"/>
        <v>0</v>
      </c>
      <c r="BB95" s="59">
        <f t="shared" si="120"/>
        <v>0</v>
      </c>
      <c r="BC95" s="59">
        <f t="shared" si="121"/>
        <v>0</v>
      </c>
      <c r="BD95" s="60">
        <f t="shared" si="117"/>
        <v>0</v>
      </c>
      <c r="BE95" s="59">
        <f t="shared" si="118"/>
        <v>0</v>
      </c>
      <c r="BQ95" s="61">
        <v>3000</v>
      </c>
      <c r="BR95" s="61">
        <v>1200</v>
      </c>
      <c r="BS95" s="28">
        <f t="shared" si="85"/>
        <v>2980</v>
      </c>
      <c r="BT95" s="28">
        <f t="shared" si="86"/>
        <v>1180</v>
      </c>
      <c r="BU95" s="28" t="s">
        <v>2541</v>
      </c>
      <c r="BV95" s="28">
        <f t="shared" si="87"/>
        <v>5</v>
      </c>
      <c r="BW95" s="28">
        <f t="shared" si="88"/>
        <v>5</v>
      </c>
      <c r="BX95" s="13">
        <f t="shared" si="89"/>
        <v>596</v>
      </c>
      <c r="BY95" s="13">
        <f t="shared" si="90"/>
        <v>596</v>
      </c>
      <c r="BZ95" s="13">
        <f t="shared" si="91"/>
        <v>236</v>
      </c>
      <c r="CA95" s="13">
        <f t="shared" si="92"/>
        <v>236</v>
      </c>
      <c r="CB95" s="13">
        <f t="shared" si="93"/>
        <v>140656</v>
      </c>
      <c r="CC95" s="62" t="str">
        <f t="shared" si="94"/>
        <v/>
      </c>
      <c r="CD95" s="13">
        <f t="shared" si="95"/>
        <v>596</v>
      </c>
      <c r="CE95" s="13">
        <f t="shared" si="96"/>
        <v>596</v>
      </c>
      <c r="CF95" s="13">
        <f t="shared" si="97"/>
        <v>236</v>
      </c>
      <c r="CG95" s="13">
        <f t="shared" si="98"/>
        <v>236</v>
      </c>
      <c r="CH95" s="28">
        <f t="shared" si="99"/>
        <v>140656</v>
      </c>
      <c r="CI95" s="62" t="str">
        <f t="shared" si="100"/>
        <v/>
      </c>
      <c r="CJ95" s="59">
        <f t="shared" si="101"/>
        <v>0</v>
      </c>
      <c r="CL95" s="63">
        <v>6000</v>
      </c>
      <c r="CM95" s="63">
        <f t="shared" si="102"/>
        <v>0</v>
      </c>
      <c r="CN95" s="63">
        <f t="shared" si="103"/>
        <v>5</v>
      </c>
      <c r="CO95" s="63">
        <f t="shared" si="104"/>
        <v>1200</v>
      </c>
      <c r="CP95" s="13">
        <f t="shared" si="105"/>
        <v>1200</v>
      </c>
      <c r="CQ95" s="70">
        <f t="shared" si="106"/>
        <v>8.3333333333333339E-4</v>
      </c>
      <c r="CR95" s="69">
        <f t="shared" si="74"/>
        <v>5.0000000000000001E-3</v>
      </c>
    </row>
    <row r="96" spans="1:96" hidden="1" x14ac:dyDescent="0.25">
      <c r="A96" s="42">
        <v>6</v>
      </c>
      <c r="B96" s="43" t="s">
        <v>314</v>
      </c>
      <c r="C96" s="42" t="s">
        <v>315</v>
      </c>
      <c r="D96" s="42" t="s">
        <v>2270</v>
      </c>
      <c r="E96" s="42" t="s">
        <v>52</v>
      </c>
      <c r="F96" s="44">
        <f t="shared" si="75"/>
        <v>1</v>
      </c>
      <c r="G96" s="42">
        <v>2</v>
      </c>
      <c r="H96" s="42">
        <f>G96*$H$95</f>
        <v>12</v>
      </c>
      <c r="I96" s="42">
        <v>1</v>
      </c>
      <c r="J96" s="43" t="s">
        <v>316</v>
      </c>
      <c r="K96" s="43" t="s">
        <v>34</v>
      </c>
      <c r="L96" s="42">
        <v>0</v>
      </c>
      <c r="M96" s="43" t="s">
        <v>35</v>
      </c>
      <c r="N96" s="42" t="s">
        <v>317</v>
      </c>
      <c r="O96" s="28" t="s">
        <v>41</v>
      </c>
      <c r="P96" s="28" t="s">
        <v>41</v>
      </c>
      <c r="Q96" s="28" t="s">
        <v>124</v>
      </c>
      <c r="R96" s="30">
        <v>9.1999999999999993</v>
      </c>
      <c r="S96" s="30">
        <v>3.89</v>
      </c>
      <c r="T96" s="30"/>
      <c r="U96" s="30">
        <v>9.8000000000000004E-2</v>
      </c>
      <c r="V96" s="8">
        <f t="shared" si="76"/>
        <v>233.67999999999998</v>
      </c>
      <c r="W96" s="8">
        <f t="shared" si="77"/>
        <v>98.805999999999997</v>
      </c>
      <c r="X96" s="8">
        <f t="shared" si="78"/>
        <v>0</v>
      </c>
      <c r="Y96" s="33">
        <f t="shared" si="79"/>
        <v>2.4891999999999999</v>
      </c>
      <c r="Z96" s="28" t="s">
        <v>56</v>
      </c>
      <c r="AA96" s="28" t="s">
        <v>57</v>
      </c>
      <c r="AB96" s="61" t="s">
        <v>124</v>
      </c>
      <c r="AC96" s="31" t="s">
        <v>125</v>
      </c>
      <c r="AD96" s="50">
        <f t="shared" si="80"/>
        <v>12</v>
      </c>
      <c r="AE96" s="31"/>
      <c r="AF96" s="51">
        <v>14</v>
      </c>
      <c r="AG96" s="51">
        <f t="shared" si="108"/>
        <v>8.4</v>
      </c>
      <c r="AH96" s="51">
        <f t="shared" si="73"/>
        <v>42</v>
      </c>
      <c r="AI96" s="52" t="s">
        <v>2497</v>
      </c>
      <c r="AJ96" s="52" t="s">
        <v>2498</v>
      </c>
      <c r="AK96" s="53">
        <f t="shared" si="109"/>
        <v>4.6177972159999997E-2</v>
      </c>
      <c r="AL96" s="54">
        <f t="shared" si="110"/>
        <v>0.11904761904761904</v>
      </c>
      <c r="AM96" s="54">
        <f t="shared" si="111"/>
        <v>2.3809523809523808E-2</v>
      </c>
      <c r="AN96" s="55">
        <f t="shared" si="112"/>
        <v>6.5968531657142851E-2</v>
      </c>
      <c r="AO96" s="55">
        <f t="shared" si="113"/>
        <v>1.3193706331428572E-2</v>
      </c>
      <c r="AP96" s="53">
        <v>7.1</v>
      </c>
      <c r="AQ96" s="53">
        <f t="shared" si="81"/>
        <v>4.26</v>
      </c>
      <c r="AR96" s="53">
        <f t="shared" si="82"/>
        <v>21.299999999999997</v>
      </c>
      <c r="AS96" s="56">
        <f t="shared" si="83"/>
        <v>4.6948356807511742E-2</v>
      </c>
      <c r="AT96" s="56">
        <f t="shared" si="114"/>
        <v>0.23474178403755869</v>
      </c>
      <c r="AU96" s="56">
        <f t="shared" si="84"/>
        <v>0.176056338028169</v>
      </c>
      <c r="AV96" s="56">
        <f t="shared" si="115"/>
        <v>5.8685446009389672E-2</v>
      </c>
      <c r="AW96" s="57" t="s">
        <v>2511</v>
      </c>
      <c r="AX96" s="57" t="s">
        <v>2512</v>
      </c>
      <c r="AY96" s="57" t="s">
        <v>2513</v>
      </c>
      <c r="AZ96" s="58">
        <f t="shared" si="116"/>
        <v>4.6177972159999997E-2</v>
      </c>
      <c r="BA96" s="59">
        <f t="shared" si="119"/>
        <v>1.6259849352112672E-2</v>
      </c>
      <c r="BB96" s="59">
        <f t="shared" si="120"/>
        <v>4.8779548056338023E-2</v>
      </c>
      <c r="BC96" s="59">
        <f t="shared" si="121"/>
        <v>1.3007879481690141E-2</v>
      </c>
      <c r="BD96" s="60">
        <f t="shared" si="117"/>
        <v>7.575757575757576E-3</v>
      </c>
      <c r="BE96" s="59">
        <f t="shared" si="118"/>
        <v>9.0909090909090912E-2</v>
      </c>
      <c r="BQ96" s="61">
        <v>3000</v>
      </c>
      <c r="BR96" s="61">
        <v>1200</v>
      </c>
      <c r="BS96" s="28">
        <f t="shared" si="85"/>
        <v>2980</v>
      </c>
      <c r="BT96" s="28">
        <f t="shared" si="86"/>
        <v>1180</v>
      </c>
      <c r="BU96" s="28" t="s">
        <v>2541</v>
      </c>
      <c r="BV96" s="28">
        <f t="shared" si="87"/>
        <v>238.67999999999998</v>
      </c>
      <c r="BW96" s="28">
        <f t="shared" si="88"/>
        <v>103.806</v>
      </c>
      <c r="BX96" s="13">
        <f t="shared" si="89"/>
        <v>12.48533601474778</v>
      </c>
      <c r="BY96" s="13">
        <f t="shared" si="90"/>
        <v>12</v>
      </c>
      <c r="BZ96" s="13">
        <f t="shared" si="91"/>
        <v>11.367358341521685</v>
      </c>
      <c r="CA96" s="13">
        <f t="shared" si="92"/>
        <v>11</v>
      </c>
      <c r="CB96" s="13">
        <f t="shared" si="93"/>
        <v>132</v>
      </c>
      <c r="CC96" s="62">
        <f t="shared" si="94"/>
        <v>7.575757575757576E-3</v>
      </c>
      <c r="CD96" s="13">
        <f t="shared" si="95"/>
        <v>28.70739648960561</v>
      </c>
      <c r="CE96" s="13">
        <f t="shared" si="96"/>
        <v>28</v>
      </c>
      <c r="CF96" s="13">
        <f t="shared" si="97"/>
        <v>4.9438578850343564</v>
      </c>
      <c r="CG96" s="13">
        <f t="shared" si="98"/>
        <v>4</v>
      </c>
      <c r="CH96" s="28">
        <f t="shared" si="99"/>
        <v>112</v>
      </c>
      <c r="CI96" s="62">
        <f t="shared" si="100"/>
        <v>8.9285714285714281E-3</v>
      </c>
      <c r="CJ96" s="59">
        <f t="shared" si="101"/>
        <v>7.575757575757576E-3</v>
      </c>
      <c r="CL96" s="63">
        <v>6000</v>
      </c>
      <c r="CM96" s="63">
        <f t="shared" si="102"/>
        <v>233.67999999999998</v>
      </c>
      <c r="CN96" s="63">
        <f t="shared" si="103"/>
        <v>238.67999999999998</v>
      </c>
      <c r="CO96" s="63">
        <f t="shared" si="104"/>
        <v>25.138260432378082</v>
      </c>
      <c r="CP96" s="13">
        <f t="shared" si="105"/>
        <v>25</v>
      </c>
      <c r="CQ96" s="70">
        <f t="shared" si="106"/>
        <v>0.04</v>
      </c>
      <c r="CR96" s="69">
        <f t="shared" si="74"/>
        <v>0.48</v>
      </c>
    </row>
    <row r="97" spans="1:96" hidden="1" x14ac:dyDescent="0.25">
      <c r="A97" s="42">
        <v>6</v>
      </c>
      <c r="B97" s="43" t="s">
        <v>314</v>
      </c>
      <c r="C97" s="42" t="s">
        <v>318</v>
      </c>
      <c r="D97" s="42" t="s">
        <v>2270</v>
      </c>
      <c r="E97" s="42" t="s">
        <v>52</v>
      </c>
      <c r="F97" s="44">
        <f t="shared" si="75"/>
        <v>1</v>
      </c>
      <c r="G97" s="42">
        <v>1</v>
      </c>
      <c r="H97" s="42">
        <f t="shared" ref="H97:H98" si="125">G97*$H$95</f>
        <v>6</v>
      </c>
      <c r="I97" s="42">
        <v>2</v>
      </c>
      <c r="J97" s="43" t="s">
        <v>319</v>
      </c>
      <c r="K97" s="43" t="s">
        <v>34</v>
      </c>
      <c r="L97" s="42">
        <v>0</v>
      </c>
      <c r="M97" s="43" t="s">
        <v>35</v>
      </c>
      <c r="N97" s="42" t="s">
        <v>320</v>
      </c>
      <c r="O97" s="28" t="s">
        <v>41</v>
      </c>
      <c r="P97" s="28" t="s">
        <v>41</v>
      </c>
      <c r="Q97" s="28" t="s">
        <v>124</v>
      </c>
      <c r="R97" s="30">
        <v>9.782</v>
      </c>
      <c r="S97" s="30">
        <v>7.8739999999999997</v>
      </c>
      <c r="T97" s="30"/>
      <c r="U97" s="30">
        <v>9.8000000000000004E-2</v>
      </c>
      <c r="V97" s="8">
        <f t="shared" si="76"/>
        <v>248.46279999999999</v>
      </c>
      <c r="W97" s="8">
        <f t="shared" si="77"/>
        <v>199.99959999999999</v>
      </c>
      <c r="X97" s="8">
        <f t="shared" si="78"/>
        <v>0</v>
      </c>
      <c r="Y97" s="33">
        <f t="shared" si="79"/>
        <v>2.4891999999999999</v>
      </c>
      <c r="Z97" s="28" t="s">
        <v>56</v>
      </c>
      <c r="AA97" s="28" t="s">
        <v>57</v>
      </c>
      <c r="AB97" s="61" t="s">
        <v>124</v>
      </c>
      <c r="AC97" s="31" t="s">
        <v>125</v>
      </c>
      <c r="AD97" s="50">
        <f t="shared" si="80"/>
        <v>6</v>
      </c>
      <c r="AE97" s="31"/>
      <c r="AF97" s="51">
        <v>14</v>
      </c>
      <c r="AG97" s="51">
        <f t="shared" si="108"/>
        <v>8.4</v>
      </c>
      <c r="AH97" s="51">
        <f t="shared" si="73"/>
        <v>42</v>
      </c>
      <c r="AI97" s="52" t="s">
        <v>2497</v>
      </c>
      <c r="AJ97" s="52" t="s">
        <v>2498</v>
      </c>
      <c r="AK97" s="53">
        <f t="shared" si="109"/>
        <v>9.938492122975999E-2</v>
      </c>
      <c r="AL97" s="54">
        <f t="shared" si="110"/>
        <v>0.11904761904761904</v>
      </c>
      <c r="AM97" s="54">
        <f t="shared" si="111"/>
        <v>2.3809523809523808E-2</v>
      </c>
      <c r="AN97" s="55">
        <f t="shared" si="112"/>
        <v>7.0989229449828564E-2</v>
      </c>
      <c r="AO97" s="55">
        <f t="shared" si="113"/>
        <v>1.4197845889965713E-2</v>
      </c>
      <c r="AP97" s="53">
        <v>7.1</v>
      </c>
      <c r="AQ97" s="53">
        <f t="shared" si="81"/>
        <v>4.26</v>
      </c>
      <c r="AR97" s="53">
        <f t="shared" si="82"/>
        <v>21.299999999999997</v>
      </c>
      <c r="AS97" s="56">
        <f t="shared" si="83"/>
        <v>4.6948356807511742E-2</v>
      </c>
      <c r="AT97" s="56">
        <f t="shared" si="114"/>
        <v>0.23474178403755869</v>
      </c>
      <c r="AU97" s="56">
        <f t="shared" si="84"/>
        <v>0.176056338028169</v>
      </c>
      <c r="AV97" s="56">
        <f t="shared" si="115"/>
        <v>5.8685446009389672E-2</v>
      </c>
      <c r="AW97" s="57" t="s">
        <v>2511</v>
      </c>
      <c r="AX97" s="57" t="s">
        <v>2512</v>
      </c>
      <c r="AY97" s="57" t="s">
        <v>2513</v>
      </c>
      <c r="AZ97" s="58">
        <f t="shared" si="116"/>
        <v>9.938492122975999E-2</v>
      </c>
      <c r="BA97" s="59">
        <f t="shared" si="119"/>
        <v>1.7497345286929575E-2</v>
      </c>
      <c r="BB97" s="59">
        <f t="shared" si="120"/>
        <v>5.2492035860788724E-2</v>
      </c>
      <c r="BC97" s="59">
        <f t="shared" si="121"/>
        <v>1.3997876229543661E-2</v>
      </c>
      <c r="BD97" s="60">
        <f t="shared" si="117"/>
        <v>1.7857142857142856E-2</v>
      </c>
      <c r="BE97" s="59">
        <f t="shared" si="118"/>
        <v>0.10714285714285714</v>
      </c>
      <c r="BQ97" s="61">
        <v>3000</v>
      </c>
      <c r="BR97" s="61">
        <v>1200</v>
      </c>
      <c r="BS97" s="28">
        <f t="shared" si="85"/>
        <v>2980</v>
      </c>
      <c r="BT97" s="28">
        <f t="shared" si="86"/>
        <v>1180</v>
      </c>
      <c r="BU97" s="28" t="s">
        <v>2541</v>
      </c>
      <c r="BV97" s="28">
        <f t="shared" si="87"/>
        <v>253.46279999999999</v>
      </c>
      <c r="BW97" s="28">
        <f t="shared" si="88"/>
        <v>204.99959999999999</v>
      </c>
      <c r="BX97" s="13">
        <f t="shared" si="89"/>
        <v>11.757149372610103</v>
      </c>
      <c r="BY97" s="13">
        <f t="shared" si="90"/>
        <v>11</v>
      </c>
      <c r="BZ97" s="13">
        <f t="shared" si="91"/>
        <v>5.7561087924074004</v>
      </c>
      <c r="CA97" s="13">
        <f t="shared" si="92"/>
        <v>5</v>
      </c>
      <c r="CB97" s="13">
        <f t="shared" si="93"/>
        <v>55</v>
      </c>
      <c r="CC97" s="62">
        <f t="shared" si="94"/>
        <v>1.8181818181818181E-2</v>
      </c>
      <c r="CD97" s="13">
        <f t="shared" si="95"/>
        <v>14.536613729978011</v>
      </c>
      <c r="CE97" s="13">
        <f t="shared" si="96"/>
        <v>14</v>
      </c>
      <c r="CF97" s="13">
        <f t="shared" si="97"/>
        <v>4.6555155233825243</v>
      </c>
      <c r="CG97" s="13">
        <f t="shared" si="98"/>
        <v>4</v>
      </c>
      <c r="CH97" s="28">
        <f t="shared" si="99"/>
        <v>56</v>
      </c>
      <c r="CI97" s="62">
        <f t="shared" si="100"/>
        <v>1.7857142857142856E-2</v>
      </c>
      <c r="CJ97" s="59">
        <f t="shared" si="101"/>
        <v>1.7857142857142856E-2</v>
      </c>
      <c r="CL97" s="63">
        <v>6000</v>
      </c>
      <c r="CM97" s="63">
        <f t="shared" si="102"/>
        <v>248.46279999999999</v>
      </c>
      <c r="CN97" s="63">
        <f t="shared" si="103"/>
        <v>253.46279999999999</v>
      </c>
      <c r="CO97" s="63">
        <f t="shared" si="104"/>
        <v>23.672112830758596</v>
      </c>
      <c r="CP97" s="13">
        <f t="shared" si="105"/>
        <v>23</v>
      </c>
      <c r="CQ97" s="70">
        <f t="shared" si="106"/>
        <v>4.3478260869565216E-2</v>
      </c>
      <c r="CR97" s="69">
        <f t="shared" si="74"/>
        <v>0.2608695652173913</v>
      </c>
    </row>
    <row r="98" spans="1:96" hidden="1" x14ac:dyDescent="0.25">
      <c r="A98" s="42">
        <v>6</v>
      </c>
      <c r="B98" s="43" t="s">
        <v>314</v>
      </c>
      <c r="C98" s="42" t="s">
        <v>321</v>
      </c>
      <c r="D98" s="42" t="s">
        <v>2270</v>
      </c>
      <c r="E98" s="42" t="s">
        <v>52</v>
      </c>
      <c r="F98" s="44">
        <f t="shared" si="75"/>
        <v>1</v>
      </c>
      <c r="G98" s="42">
        <v>1</v>
      </c>
      <c r="H98" s="42">
        <f t="shared" si="125"/>
        <v>6</v>
      </c>
      <c r="I98" s="42">
        <v>3</v>
      </c>
      <c r="J98" s="43" t="s">
        <v>319</v>
      </c>
      <c r="K98" s="43" t="s">
        <v>34</v>
      </c>
      <c r="L98" s="42">
        <v>0</v>
      </c>
      <c r="M98" s="43" t="s">
        <v>35</v>
      </c>
      <c r="N98" s="42" t="s">
        <v>322</v>
      </c>
      <c r="O98" s="28" t="s">
        <v>41</v>
      </c>
      <c r="P98" s="28" t="s">
        <v>41</v>
      </c>
      <c r="Q98" s="28" t="s">
        <v>124</v>
      </c>
      <c r="R98" s="30">
        <v>7.8739999999999997</v>
      </c>
      <c r="S98" s="30">
        <v>3.9289999999999998</v>
      </c>
      <c r="T98" s="30"/>
      <c r="U98" s="30">
        <v>9.8000000000000004E-2</v>
      </c>
      <c r="V98" s="8">
        <f t="shared" si="76"/>
        <v>199.99959999999999</v>
      </c>
      <c r="W98" s="8">
        <f t="shared" si="77"/>
        <v>99.796599999999984</v>
      </c>
      <c r="X98" s="8">
        <f t="shared" si="78"/>
        <v>0</v>
      </c>
      <c r="Y98" s="33">
        <f t="shared" si="79"/>
        <v>2.4891999999999999</v>
      </c>
      <c r="Z98" s="28" t="s">
        <v>56</v>
      </c>
      <c r="AA98" s="28" t="s">
        <v>57</v>
      </c>
      <c r="AB98" s="61" t="s">
        <v>124</v>
      </c>
      <c r="AC98" s="31" t="s">
        <v>125</v>
      </c>
      <c r="AD98" s="50">
        <f t="shared" si="80"/>
        <v>6</v>
      </c>
      <c r="AE98" s="31"/>
      <c r="AF98" s="51">
        <v>14</v>
      </c>
      <c r="AG98" s="51">
        <f t="shared" si="108"/>
        <v>8.4</v>
      </c>
      <c r="AH98" s="51">
        <f t="shared" si="73"/>
        <v>42</v>
      </c>
      <c r="AI98" s="52" t="s">
        <v>2497</v>
      </c>
      <c r="AJ98" s="52" t="s">
        <v>2498</v>
      </c>
      <c r="AK98" s="53">
        <f t="shared" si="109"/>
        <v>3.9918560162719996E-2</v>
      </c>
      <c r="AL98" s="54">
        <f t="shared" si="110"/>
        <v>0.11904761904761904</v>
      </c>
      <c r="AM98" s="54">
        <f t="shared" si="111"/>
        <v>2.3809523809523808E-2</v>
      </c>
      <c r="AN98" s="55">
        <f t="shared" si="112"/>
        <v>2.8513257259085711E-2</v>
      </c>
      <c r="AO98" s="55">
        <f t="shared" si="113"/>
        <v>5.7026514518171423E-3</v>
      </c>
      <c r="AP98" s="53">
        <v>7.1</v>
      </c>
      <c r="AQ98" s="53">
        <f t="shared" si="81"/>
        <v>4.26</v>
      </c>
      <c r="AR98" s="53">
        <f t="shared" si="82"/>
        <v>21.299999999999997</v>
      </c>
      <c r="AS98" s="56">
        <f t="shared" si="83"/>
        <v>4.6948356807511742E-2</v>
      </c>
      <c r="AT98" s="56">
        <f t="shared" si="114"/>
        <v>0.23474178403755869</v>
      </c>
      <c r="AU98" s="56">
        <f t="shared" si="84"/>
        <v>0.176056338028169</v>
      </c>
      <c r="AV98" s="56">
        <f t="shared" si="115"/>
        <v>5.8685446009389672E-2</v>
      </c>
      <c r="AW98" s="57" t="s">
        <v>2511</v>
      </c>
      <c r="AX98" s="57" t="s">
        <v>2512</v>
      </c>
      <c r="AY98" s="57" t="s">
        <v>2513</v>
      </c>
      <c r="AZ98" s="58">
        <f t="shared" si="116"/>
        <v>3.9918560162719996E-2</v>
      </c>
      <c r="BA98" s="59">
        <f t="shared" si="119"/>
        <v>7.0279155216056328E-3</v>
      </c>
      <c r="BB98" s="59">
        <f t="shared" si="120"/>
        <v>2.1083746564816899E-2</v>
      </c>
      <c r="BC98" s="59">
        <f t="shared" si="121"/>
        <v>5.6223324172845071E-3</v>
      </c>
      <c r="BD98" s="60">
        <f t="shared" si="117"/>
        <v>6.4935064935064939E-3</v>
      </c>
      <c r="BE98" s="59">
        <f t="shared" si="118"/>
        <v>3.896103896103896E-2</v>
      </c>
      <c r="BQ98" s="61">
        <v>3000</v>
      </c>
      <c r="BR98" s="61">
        <v>1200</v>
      </c>
      <c r="BS98" s="28">
        <f t="shared" si="85"/>
        <v>2980</v>
      </c>
      <c r="BT98" s="28">
        <f t="shared" si="86"/>
        <v>1180</v>
      </c>
      <c r="BU98" s="28" t="s">
        <v>2541</v>
      </c>
      <c r="BV98" s="28">
        <f t="shared" si="87"/>
        <v>204.99959999999999</v>
      </c>
      <c r="BW98" s="28">
        <f t="shared" si="88"/>
        <v>104.79659999999998</v>
      </c>
      <c r="BX98" s="13">
        <f t="shared" si="89"/>
        <v>14.536613729978011</v>
      </c>
      <c r="BY98" s="13">
        <f t="shared" si="90"/>
        <v>14</v>
      </c>
      <c r="BZ98" s="13">
        <f t="shared" si="91"/>
        <v>11.259907287068476</v>
      </c>
      <c r="CA98" s="13">
        <f t="shared" si="92"/>
        <v>11</v>
      </c>
      <c r="CB98" s="13">
        <f t="shared" si="93"/>
        <v>154</v>
      </c>
      <c r="CC98" s="62">
        <f t="shared" si="94"/>
        <v>6.4935064935064939E-3</v>
      </c>
      <c r="CD98" s="13">
        <f t="shared" si="95"/>
        <v>28.436037047003438</v>
      </c>
      <c r="CE98" s="13">
        <f t="shared" si="96"/>
        <v>28</v>
      </c>
      <c r="CF98" s="13">
        <f t="shared" si="97"/>
        <v>5.7561087924074004</v>
      </c>
      <c r="CG98" s="13">
        <f t="shared" si="98"/>
        <v>5</v>
      </c>
      <c r="CH98" s="28">
        <f t="shared" si="99"/>
        <v>140</v>
      </c>
      <c r="CI98" s="62">
        <f t="shared" si="100"/>
        <v>7.1428571428571426E-3</v>
      </c>
      <c r="CJ98" s="59">
        <f t="shared" si="101"/>
        <v>6.4935064935064939E-3</v>
      </c>
      <c r="CL98" s="63">
        <v>6000</v>
      </c>
      <c r="CM98" s="63">
        <f t="shared" si="102"/>
        <v>199.99959999999999</v>
      </c>
      <c r="CN98" s="63">
        <f t="shared" si="103"/>
        <v>204.99959999999999</v>
      </c>
      <c r="CO98" s="63">
        <f t="shared" si="104"/>
        <v>29.268349791902036</v>
      </c>
      <c r="CP98" s="13">
        <f t="shared" si="105"/>
        <v>29</v>
      </c>
      <c r="CQ98" s="70">
        <f t="shared" si="106"/>
        <v>3.4482758620689655E-2</v>
      </c>
      <c r="CR98" s="69">
        <f t="shared" si="74"/>
        <v>0.20689655172413793</v>
      </c>
    </row>
    <row r="99" spans="1:96" hidden="1" x14ac:dyDescent="0.25">
      <c r="A99" s="17">
        <v>5</v>
      </c>
      <c r="B99" s="6" t="s">
        <v>301</v>
      </c>
      <c r="C99" s="17" t="s">
        <v>323</v>
      </c>
      <c r="D99" s="17" t="s">
        <v>2270</v>
      </c>
      <c r="E99" s="17" t="s">
        <v>52</v>
      </c>
      <c r="F99" s="7">
        <f t="shared" si="75"/>
        <v>1</v>
      </c>
      <c r="G99" s="17">
        <v>1</v>
      </c>
      <c r="H99" s="17">
        <f t="shared" ref="H99:H104" si="126">G99*$H$88</f>
        <v>1</v>
      </c>
      <c r="I99" s="17">
        <v>3</v>
      </c>
      <c r="J99" s="6" t="s">
        <v>284</v>
      </c>
      <c r="K99" s="6" t="s">
        <v>34</v>
      </c>
      <c r="L99" s="17">
        <v>0</v>
      </c>
      <c r="M99" s="6" t="s">
        <v>35</v>
      </c>
      <c r="N99" s="17" t="s">
        <v>324</v>
      </c>
      <c r="O99" s="28" t="s">
        <v>41</v>
      </c>
      <c r="P99" s="28" t="s">
        <v>41</v>
      </c>
      <c r="Q99" s="28" t="s">
        <v>124</v>
      </c>
      <c r="R99" s="30">
        <v>45.146999999999998</v>
      </c>
      <c r="S99" s="30">
        <v>4.468</v>
      </c>
      <c r="T99" s="30"/>
      <c r="U99" s="30">
        <v>9.8000000000000004E-2</v>
      </c>
      <c r="V99" s="8">
        <f t="shared" si="76"/>
        <v>1146.7338</v>
      </c>
      <c r="W99" s="8">
        <f t="shared" si="77"/>
        <v>113.48719999999999</v>
      </c>
      <c r="X99" s="8">
        <f t="shared" si="78"/>
        <v>0</v>
      </c>
      <c r="Y99" s="33">
        <f t="shared" si="79"/>
        <v>2.4891999999999999</v>
      </c>
      <c r="Z99" s="28" t="s">
        <v>56</v>
      </c>
      <c r="AA99" s="28" t="s">
        <v>57</v>
      </c>
      <c r="AB99" s="61" t="s">
        <v>124</v>
      </c>
      <c r="AC99" s="31" t="s">
        <v>125</v>
      </c>
      <c r="AD99" s="50">
        <f t="shared" si="80"/>
        <v>1</v>
      </c>
      <c r="AE99" s="31"/>
      <c r="AF99" s="51">
        <v>14</v>
      </c>
      <c r="AG99" s="51">
        <f t="shared" si="108"/>
        <v>8.4</v>
      </c>
      <c r="AH99" s="51">
        <f t="shared" si="73"/>
        <v>42</v>
      </c>
      <c r="AI99" s="52" t="s">
        <v>2497</v>
      </c>
      <c r="AJ99" s="52" t="s">
        <v>2498</v>
      </c>
      <c r="AK99" s="53">
        <f t="shared" si="109"/>
        <v>0.26027921621471994</v>
      </c>
      <c r="AL99" s="54">
        <f t="shared" si="110"/>
        <v>0.11904761904761904</v>
      </c>
      <c r="AM99" s="54">
        <f t="shared" si="111"/>
        <v>2.3809523809523808E-2</v>
      </c>
      <c r="AN99" s="55">
        <f t="shared" si="112"/>
        <v>3.098562097794285E-2</v>
      </c>
      <c r="AO99" s="55">
        <f t="shared" si="113"/>
        <v>6.1971241955885697E-3</v>
      </c>
      <c r="AP99" s="53">
        <v>7.1</v>
      </c>
      <c r="AQ99" s="53">
        <f t="shared" si="81"/>
        <v>4.26</v>
      </c>
      <c r="AR99" s="53">
        <f t="shared" si="82"/>
        <v>21.299999999999997</v>
      </c>
      <c r="AS99" s="56">
        <f t="shared" si="83"/>
        <v>4.6948356807511742E-2</v>
      </c>
      <c r="AT99" s="56">
        <f t="shared" si="114"/>
        <v>0.23474178403755869</v>
      </c>
      <c r="AU99" s="56">
        <f t="shared" si="84"/>
        <v>0.176056338028169</v>
      </c>
      <c r="AV99" s="56">
        <f t="shared" si="115"/>
        <v>5.8685446009389672E-2</v>
      </c>
      <c r="AW99" s="57" t="s">
        <v>2511</v>
      </c>
      <c r="AX99" s="57" t="s">
        <v>2512</v>
      </c>
      <c r="AY99" s="57" t="s">
        <v>2513</v>
      </c>
      <c r="AZ99" s="58">
        <f t="shared" si="116"/>
        <v>0.26027921621471994</v>
      </c>
      <c r="BA99" s="59">
        <f t="shared" si="119"/>
        <v>7.6373009452676043E-3</v>
      </c>
      <c r="BB99" s="59">
        <f t="shared" si="120"/>
        <v>2.291190283580281E-2</v>
      </c>
      <c r="BC99" s="59">
        <f t="shared" si="121"/>
        <v>6.1098407562140836E-3</v>
      </c>
      <c r="BD99" s="60">
        <f t="shared" si="117"/>
        <v>0.04</v>
      </c>
      <c r="BE99" s="59">
        <f t="shared" si="118"/>
        <v>0.04</v>
      </c>
      <c r="BQ99" s="61">
        <v>3000</v>
      </c>
      <c r="BR99" s="61">
        <v>1200</v>
      </c>
      <c r="BS99" s="28">
        <f t="shared" si="85"/>
        <v>2980</v>
      </c>
      <c r="BT99" s="28">
        <f t="shared" si="86"/>
        <v>1180</v>
      </c>
      <c r="BU99" s="28" t="s">
        <v>2541</v>
      </c>
      <c r="BV99" s="28">
        <f t="shared" si="87"/>
        <v>1151.7338</v>
      </c>
      <c r="BW99" s="28">
        <f t="shared" si="88"/>
        <v>118.48719999999999</v>
      </c>
      <c r="BX99" s="13">
        <f t="shared" si="89"/>
        <v>2.5874034433998552</v>
      </c>
      <c r="BY99" s="13">
        <f t="shared" si="90"/>
        <v>2</v>
      </c>
      <c r="BZ99" s="13">
        <f t="shared" si="91"/>
        <v>9.9588816344719095</v>
      </c>
      <c r="CA99" s="13">
        <f t="shared" si="92"/>
        <v>9</v>
      </c>
      <c r="CB99" s="13">
        <f t="shared" si="93"/>
        <v>18</v>
      </c>
      <c r="CC99" s="62">
        <f t="shared" si="94"/>
        <v>5.5555555555555552E-2</v>
      </c>
      <c r="CD99" s="13">
        <f t="shared" si="95"/>
        <v>25.150395992140925</v>
      </c>
      <c r="CE99" s="13">
        <f t="shared" si="96"/>
        <v>25</v>
      </c>
      <c r="CF99" s="13">
        <f t="shared" si="97"/>
        <v>1.0245423030912177</v>
      </c>
      <c r="CG99" s="13">
        <f t="shared" si="98"/>
        <v>1</v>
      </c>
      <c r="CH99" s="28">
        <f t="shared" si="99"/>
        <v>25</v>
      </c>
      <c r="CI99" s="62">
        <f t="shared" si="100"/>
        <v>0.04</v>
      </c>
      <c r="CJ99" s="59">
        <f t="shared" si="101"/>
        <v>0.04</v>
      </c>
      <c r="CL99" s="63">
        <v>6000</v>
      </c>
      <c r="CM99" s="63">
        <f t="shared" si="102"/>
        <v>1146.7338</v>
      </c>
      <c r="CN99" s="63">
        <f t="shared" si="103"/>
        <v>1151.7338</v>
      </c>
      <c r="CO99" s="63">
        <f t="shared" si="104"/>
        <v>5.2095371343621242</v>
      </c>
      <c r="CP99" s="13">
        <f t="shared" si="105"/>
        <v>5</v>
      </c>
      <c r="CQ99" s="70">
        <f t="shared" si="106"/>
        <v>0.2</v>
      </c>
      <c r="CR99" s="69">
        <f t="shared" si="74"/>
        <v>0.2</v>
      </c>
    </row>
    <row r="100" spans="1:96" hidden="1" x14ac:dyDescent="0.25">
      <c r="A100" s="17">
        <v>5</v>
      </c>
      <c r="B100" s="6" t="s">
        <v>301</v>
      </c>
      <c r="C100" s="17" t="s">
        <v>325</v>
      </c>
      <c r="D100" s="17" t="s">
        <v>2270</v>
      </c>
      <c r="E100" s="17" t="s">
        <v>52</v>
      </c>
      <c r="F100" s="7">
        <f t="shared" si="75"/>
        <v>1</v>
      </c>
      <c r="G100" s="17">
        <v>1</v>
      </c>
      <c r="H100" s="17">
        <f t="shared" si="126"/>
        <v>1</v>
      </c>
      <c r="I100" s="17">
        <v>4</v>
      </c>
      <c r="J100" s="6" t="s">
        <v>287</v>
      </c>
      <c r="K100" s="6" t="s">
        <v>34</v>
      </c>
      <c r="L100" s="17" t="s">
        <v>110</v>
      </c>
      <c r="M100" s="6" t="s">
        <v>35</v>
      </c>
      <c r="N100" s="17" t="s">
        <v>326</v>
      </c>
      <c r="O100" s="28" t="s">
        <v>41</v>
      </c>
      <c r="P100" s="28" t="s">
        <v>41</v>
      </c>
      <c r="Q100" s="28" t="s">
        <v>124</v>
      </c>
      <c r="R100" s="30">
        <v>27.831</v>
      </c>
      <c r="S100" s="30">
        <v>4.2670000000000003</v>
      </c>
      <c r="T100" s="30"/>
      <c r="U100" s="30">
        <v>9.8000000000000004E-2</v>
      </c>
      <c r="V100" s="8">
        <f t="shared" si="76"/>
        <v>706.90739999999994</v>
      </c>
      <c r="W100" s="8">
        <f t="shared" si="77"/>
        <v>108.3818</v>
      </c>
      <c r="X100" s="8">
        <f t="shared" si="78"/>
        <v>0</v>
      </c>
      <c r="Y100" s="33">
        <f t="shared" si="79"/>
        <v>2.4891999999999999</v>
      </c>
      <c r="Z100" s="28" t="s">
        <v>56</v>
      </c>
      <c r="AA100" s="28" t="s">
        <v>57</v>
      </c>
      <c r="AB100" s="61" t="s">
        <v>124</v>
      </c>
      <c r="AC100" s="31" t="s">
        <v>125</v>
      </c>
      <c r="AD100" s="50">
        <f t="shared" si="80"/>
        <v>1</v>
      </c>
      <c r="AE100" s="31"/>
      <c r="AF100" s="51">
        <v>14</v>
      </c>
      <c r="AG100" s="51">
        <f t="shared" si="108"/>
        <v>8.4</v>
      </c>
      <c r="AH100" s="51">
        <f t="shared" si="73"/>
        <v>42</v>
      </c>
      <c r="AI100" s="52" t="s">
        <v>2497</v>
      </c>
      <c r="AJ100" s="52" t="s">
        <v>2498</v>
      </c>
      <c r="AK100" s="53">
        <f t="shared" si="109"/>
        <v>0.15323179289063998</v>
      </c>
      <c r="AL100" s="54">
        <f t="shared" si="110"/>
        <v>0.11904761904761904</v>
      </c>
      <c r="AM100" s="54">
        <f t="shared" si="111"/>
        <v>2.3809523809523808E-2</v>
      </c>
      <c r="AN100" s="55">
        <f t="shared" si="112"/>
        <v>1.824188010602857E-2</v>
      </c>
      <c r="AO100" s="55">
        <f t="shared" si="113"/>
        <v>3.6483760212057139E-3</v>
      </c>
      <c r="AP100" s="53">
        <v>7.1</v>
      </c>
      <c r="AQ100" s="53">
        <f t="shared" si="81"/>
        <v>4.26</v>
      </c>
      <c r="AR100" s="53">
        <f t="shared" si="82"/>
        <v>21.299999999999997</v>
      </c>
      <c r="AS100" s="56">
        <f t="shared" si="83"/>
        <v>4.6948356807511742E-2</v>
      </c>
      <c r="AT100" s="56">
        <f t="shared" si="114"/>
        <v>0.23474178403755869</v>
      </c>
      <c r="AU100" s="56">
        <f t="shared" si="84"/>
        <v>0.176056338028169</v>
      </c>
      <c r="AV100" s="56">
        <f t="shared" si="115"/>
        <v>5.8685446009389672E-2</v>
      </c>
      <c r="AW100" s="57" t="s">
        <v>2511</v>
      </c>
      <c r="AX100" s="57" t="s">
        <v>2512</v>
      </c>
      <c r="AY100" s="57" t="s">
        <v>2513</v>
      </c>
      <c r="AZ100" s="58">
        <f t="shared" si="116"/>
        <v>0.15323179289063998</v>
      </c>
      <c r="BA100" s="59">
        <f t="shared" si="119"/>
        <v>4.4962380543028162E-3</v>
      </c>
      <c r="BB100" s="59">
        <f t="shared" si="120"/>
        <v>1.3488714162908448E-2</v>
      </c>
      <c r="BC100" s="59">
        <f t="shared" si="121"/>
        <v>3.5969904434422534E-3</v>
      </c>
      <c r="BD100" s="60">
        <f t="shared" si="117"/>
        <v>2.5000000000000001E-2</v>
      </c>
      <c r="BE100" s="59">
        <f t="shared" si="118"/>
        <v>2.5000000000000001E-2</v>
      </c>
      <c r="BQ100" s="61">
        <v>3000</v>
      </c>
      <c r="BR100" s="61">
        <v>1200</v>
      </c>
      <c r="BS100" s="28">
        <f t="shared" si="85"/>
        <v>2980</v>
      </c>
      <c r="BT100" s="28">
        <f t="shared" si="86"/>
        <v>1180</v>
      </c>
      <c r="BU100" s="28" t="s">
        <v>2541</v>
      </c>
      <c r="BV100" s="28">
        <f t="shared" si="87"/>
        <v>711.90739999999994</v>
      </c>
      <c r="BW100" s="28">
        <f t="shared" si="88"/>
        <v>113.3818</v>
      </c>
      <c r="BX100" s="13">
        <f t="shared" si="89"/>
        <v>4.1859376654885176</v>
      </c>
      <c r="BY100" s="13">
        <f t="shared" si="90"/>
        <v>4</v>
      </c>
      <c r="BZ100" s="13">
        <f t="shared" si="91"/>
        <v>10.407314048639201</v>
      </c>
      <c r="CA100" s="13">
        <f t="shared" si="92"/>
        <v>10</v>
      </c>
      <c r="CB100" s="13">
        <f t="shared" si="93"/>
        <v>40</v>
      </c>
      <c r="CC100" s="62">
        <f t="shared" si="94"/>
        <v>2.5000000000000001E-2</v>
      </c>
      <c r="CD100" s="13">
        <f t="shared" si="95"/>
        <v>26.282877851648148</v>
      </c>
      <c r="CE100" s="13">
        <f t="shared" si="96"/>
        <v>26</v>
      </c>
      <c r="CF100" s="13">
        <f t="shared" si="97"/>
        <v>1.6575189413679365</v>
      </c>
      <c r="CG100" s="13">
        <f t="shared" si="98"/>
        <v>1</v>
      </c>
      <c r="CH100" s="28">
        <f t="shared" si="99"/>
        <v>26</v>
      </c>
      <c r="CI100" s="62">
        <f t="shared" si="100"/>
        <v>3.8461538461538464E-2</v>
      </c>
      <c r="CJ100" s="59">
        <f t="shared" si="101"/>
        <v>2.5000000000000001E-2</v>
      </c>
      <c r="CL100" s="63">
        <v>6000</v>
      </c>
      <c r="CM100" s="63">
        <f t="shared" si="102"/>
        <v>706.90739999999994</v>
      </c>
      <c r="CN100" s="63">
        <f t="shared" si="103"/>
        <v>711.90739999999994</v>
      </c>
      <c r="CO100" s="63">
        <f t="shared" si="104"/>
        <v>8.4280624137352707</v>
      </c>
      <c r="CP100" s="13">
        <f t="shared" si="105"/>
        <v>8</v>
      </c>
      <c r="CQ100" s="70">
        <f t="shared" si="106"/>
        <v>0.125</v>
      </c>
      <c r="CR100" s="69">
        <f t="shared" si="74"/>
        <v>0.125</v>
      </c>
    </row>
    <row r="101" spans="1:96" hidden="1" x14ac:dyDescent="0.25">
      <c r="A101" s="17">
        <v>5</v>
      </c>
      <c r="B101" s="6" t="s">
        <v>301</v>
      </c>
      <c r="C101" s="17" t="s">
        <v>327</v>
      </c>
      <c r="D101" s="17" t="s">
        <v>2270</v>
      </c>
      <c r="E101" s="17" t="s">
        <v>52</v>
      </c>
      <c r="F101" s="7">
        <f t="shared" si="75"/>
        <v>1</v>
      </c>
      <c r="G101" s="17">
        <v>1</v>
      </c>
      <c r="H101" s="17">
        <f t="shared" si="126"/>
        <v>1</v>
      </c>
      <c r="I101" s="17">
        <v>5</v>
      </c>
      <c r="J101" s="6" t="s">
        <v>328</v>
      </c>
      <c r="K101" s="6" t="s">
        <v>34</v>
      </c>
      <c r="L101" s="17">
        <v>0</v>
      </c>
      <c r="M101" s="6" t="s">
        <v>35</v>
      </c>
      <c r="N101" s="17" t="s">
        <v>329</v>
      </c>
      <c r="O101" s="28" t="s">
        <v>41</v>
      </c>
      <c r="P101" s="28" t="s">
        <v>41</v>
      </c>
      <c r="Q101" s="28" t="s">
        <v>124</v>
      </c>
      <c r="R101" s="30">
        <v>61.747999999999998</v>
      </c>
      <c r="S101" s="30">
        <v>11.505000000000001</v>
      </c>
      <c r="T101" s="30"/>
      <c r="U101" s="30">
        <v>9.8000000000000004E-2</v>
      </c>
      <c r="V101" s="8">
        <f t="shared" si="76"/>
        <v>1568.3991999999998</v>
      </c>
      <c r="W101" s="8">
        <f t="shared" si="77"/>
        <v>292.22699999999998</v>
      </c>
      <c r="X101" s="8">
        <f t="shared" si="78"/>
        <v>0</v>
      </c>
      <c r="Y101" s="33">
        <f t="shared" si="79"/>
        <v>2.4891999999999999</v>
      </c>
      <c r="Z101" s="28" t="s">
        <v>56</v>
      </c>
      <c r="AA101" s="28" t="s">
        <v>57</v>
      </c>
      <c r="AB101" s="61" t="s">
        <v>124</v>
      </c>
      <c r="AC101" s="31" t="s">
        <v>125</v>
      </c>
      <c r="AD101" s="50">
        <f t="shared" si="80"/>
        <v>1</v>
      </c>
      <c r="AE101" s="31"/>
      <c r="AF101" s="51">
        <v>14</v>
      </c>
      <c r="AG101" s="51">
        <f t="shared" si="108"/>
        <v>8.4</v>
      </c>
      <c r="AH101" s="51">
        <f t="shared" si="73"/>
        <v>42</v>
      </c>
      <c r="AI101" s="52" t="s">
        <v>2497</v>
      </c>
      <c r="AJ101" s="52" t="s">
        <v>2498</v>
      </c>
      <c r="AK101" s="53">
        <f t="shared" si="109"/>
        <v>0.9166571860367998</v>
      </c>
      <c r="AL101" s="54">
        <f t="shared" si="110"/>
        <v>0.11904761904761904</v>
      </c>
      <c r="AM101" s="54">
        <f t="shared" si="111"/>
        <v>2.3809523809523808E-2</v>
      </c>
      <c r="AN101" s="55">
        <f t="shared" si="112"/>
        <v>0.1091258554805714</v>
      </c>
      <c r="AO101" s="55">
        <f t="shared" si="113"/>
        <v>2.1825171096114281E-2</v>
      </c>
      <c r="AP101" s="53">
        <v>7.1</v>
      </c>
      <c r="AQ101" s="53">
        <f t="shared" si="81"/>
        <v>4.26</v>
      </c>
      <c r="AR101" s="53">
        <f t="shared" si="82"/>
        <v>21.299999999999997</v>
      </c>
      <c r="AS101" s="56">
        <f t="shared" si="83"/>
        <v>4.6948356807511742E-2</v>
      </c>
      <c r="AT101" s="56">
        <f t="shared" si="114"/>
        <v>0.23474178403755869</v>
      </c>
      <c r="AU101" s="56">
        <f t="shared" si="84"/>
        <v>0.176056338028169</v>
      </c>
      <c r="AV101" s="56">
        <f t="shared" si="115"/>
        <v>5.8685446009389672E-2</v>
      </c>
      <c r="AW101" s="57" t="s">
        <v>2511</v>
      </c>
      <c r="AX101" s="57" t="s">
        <v>2512</v>
      </c>
      <c r="AY101" s="57" t="s">
        <v>2513</v>
      </c>
      <c r="AZ101" s="58">
        <f t="shared" si="116"/>
        <v>0.9166571860367998</v>
      </c>
      <c r="BA101" s="59">
        <f t="shared" si="119"/>
        <v>2.6897217900140838E-2</v>
      </c>
      <c r="BB101" s="59">
        <f t="shared" si="120"/>
        <v>8.0691653700422514E-2</v>
      </c>
      <c r="BC101" s="59">
        <f t="shared" si="121"/>
        <v>2.1517774320112672E-2</v>
      </c>
      <c r="BD101" s="60">
        <f t="shared" si="117"/>
        <v>0.33333333333333331</v>
      </c>
      <c r="BE101" s="59">
        <f t="shared" si="118"/>
        <v>0.33333333333333331</v>
      </c>
      <c r="BQ101" s="61">
        <v>3000</v>
      </c>
      <c r="BR101" s="61">
        <v>1200</v>
      </c>
      <c r="BS101" s="28">
        <f t="shared" si="85"/>
        <v>2980</v>
      </c>
      <c r="BT101" s="28">
        <f t="shared" si="86"/>
        <v>1180</v>
      </c>
      <c r="BU101" s="28" t="s">
        <v>2541</v>
      </c>
      <c r="BV101" s="28">
        <f t="shared" si="87"/>
        <v>1573.3991999999998</v>
      </c>
      <c r="BW101" s="28">
        <f t="shared" si="88"/>
        <v>297.22699999999998</v>
      </c>
      <c r="BX101" s="13">
        <f t="shared" si="89"/>
        <v>1.8939885059049224</v>
      </c>
      <c r="BY101" s="13">
        <f t="shared" si="90"/>
        <v>1</v>
      </c>
      <c r="BZ101" s="13">
        <f t="shared" si="91"/>
        <v>3.9700296406450293</v>
      </c>
      <c r="CA101" s="13">
        <f t="shared" si="92"/>
        <v>3</v>
      </c>
      <c r="CB101" s="13">
        <f t="shared" si="93"/>
        <v>3</v>
      </c>
      <c r="CC101" s="62">
        <f t="shared" si="94"/>
        <v>0.33333333333333331</v>
      </c>
      <c r="CD101" s="13">
        <f t="shared" si="95"/>
        <v>10.026007058578125</v>
      </c>
      <c r="CE101" s="13">
        <f t="shared" si="96"/>
        <v>10</v>
      </c>
      <c r="CF101" s="13">
        <f t="shared" si="97"/>
        <v>0.74996860300933177</v>
      </c>
      <c r="CG101" s="13">
        <f t="shared" si="98"/>
        <v>0</v>
      </c>
      <c r="CH101" s="28">
        <f t="shared" si="99"/>
        <v>0</v>
      </c>
      <c r="CI101" s="62">
        <f t="shared" si="100"/>
        <v>1</v>
      </c>
      <c r="CJ101" s="59">
        <f t="shared" si="101"/>
        <v>0.33333333333333331</v>
      </c>
      <c r="CL101" s="63">
        <v>6000</v>
      </c>
      <c r="CM101" s="63">
        <f t="shared" si="102"/>
        <v>1568.3991999999998</v>
      </c>
      <c r="CN101" s="63">
        <f t="shared" si="103"/>
        <v>1573.3991999999998</v>
      </c>
      <c r="CO101" s="63">
        <f t="shared" si="104"/>
        <v>3.8133996763186357</v>
      </c>
      <c r="CP101" s="13">
        <f t="shared" si="105"/>
        <v>3</v>
      </c>
      <c r="CQ101" s="70">
        <f t="shared" si="106"/>
        <v>0.33333333333333331</v>
      </c>
      <c r="CR101" s="69">
        <f t="shared" si="74"/>
        <v>0.33333333333333331</v>
      </c>
    </row>
    <row r="102" spans="1:96" hidden="1" x14ac:dyDescent="0.25">
      <c r="A102" s="17">
        <v>5</v>
      </c>
      <c r="B102" s="6" t="s">
        <v>301</v>
      </c>
      <c r="C102" s="17" t="s">
        <v>330</v>
      </c>
      <c r="D102" s="17" t="s">
        <v>2270</v>
      </c>
      <c r="E102" s="17" t="s">
        <v>52</v>
      </c>
      <c r="F102" s="7">
        <f t="shared" si="75"/>
        <v>1</v>
      </c>
      <c r="G102" s="17">
        <v>2</v>
      </c>
      <c r="H102" s="17">
        <f t="shared" si="126"/>
        <v>2</v>
      </c>
      <c r="I102" s="17">
        <v>6</v>
      </c>
      <c r="J102" s="6" t="s">
        <v>328</v>
      </c>
      <c r="K102" s="6" t="s">
        <v>34</v>
      </c>
      <c r="L102" s="17" t="s">
        <v>110</v>
      </c>
      <c r="M102" s="6" t="s">
        <v>35</v>
      </c>
      <c r="N102" s="17" t="s">
        <v>331</v>
      </c>
      <c r="O102" s="28" t="s">
        <v>41</v>
      </c>
      <c r="P102" s="28" t="s">
        <v>41</v>
      </c>
      <c r="Q102" s="28" t="s">
        <v>124</v>
      </c>
      <c r="R102" s="30">
        <v>62.363999999999997</v>
      </c>
      <c r="S102" s="30">
        <v>16.442</v>
      </c>
      <c r="T102" s="30"/>
      <c r="U102" s="30">
        <v>9.8000000000000004E-2</v>
      </c>
      <c r="V102" s="8">
        <f t="shared" si="76"/>
        <v>1584.0455999999999</v>
      </c>
      <c r="W102" s="8">
        <f t="shared" si="77"/>
        <v>417.6268</v>
      </c>
      <c r="X102" s="8">
        <f t="shared" si="78"/>
        <v>0</v>
      </c>
      <c r="Y102" s="33">
        <f t="shared" si="79"/>
        <v>2.4891999999999999</v>
      </c>
      <c r="Z102" s="28" t="s">
        <v>56</v>
      </c>
      <c r="AA102" s="28" t="s">
        <v>57</v>
      </c>
      <c r="AB102" s="61" t="s">
        <v>124</v>
      </c>
      <c r="AC102" s="31" t="s">
        <v>125</v>
      </c>
      <c r="AD102" s="50">
        <f t="shared" si="80"/>
        <v>2</v>
      </c>
      <c r="AE102" s="31"/>
      <c r="AF102" s="51">
        <v>14</v>
      </c>
      <c r="AG102" s="51">
        <f t="shared" si="108"/>
        <v>8.4</v>
      </c>
      <c r="AH102" s="51">
        <f t="shared" si="73"/>
        <v>42</v>
      </c>
      <c r="AI102" s="52" t="s">
        <v>2497</v>
      </c>
      <c r="AJ102" s="52" t="s">
        <v>2498</v>
      </c>
      <c r="AK102" s="53">
        <f t="shared" si="109"/>
        <v>1.32307978996416</v>
      </c>
      <c r="AL102" s="54">
        <f t="shared" si="110"/>
        <v>0.11904761904761904</v>
      </c>
      <c r="AM102" s="54">
        <f t="shared" si="111"/>
        <v>2.3809523809523808E-2</v>
      </c>
      <c r="AN102" s="55">
        <f t="shared" si="112"/>
        <v>0.31501899761051427</v>
      </c>
      <c r="AO102" s="55">
        <f t="shared" si="113"/>
        <v>6.3003799522102846E-2</v>
      </c>
      <c r="AP102" s="53">
        <v>7.1</v>
      </c>
      <c r="AQ102" s="53">
        <f t="shared" si="81"/>
        <v>4.26</v>
      </c>
      <c r="AR102" s="53">
        <f t="shared" si="82"/>
        <v>21.299999999999997</v>
      </c>
      <c r="AS102" s="56">
        <f t="shared" si="83"/>
        <v>4.6948356807511742E-2</v>
      </c>
      <c r="AT102" s="56">
        <f t="shared" si="114"/>
        <v>0.23474178403755869</v>
      </c>
      <c r="AU102" s="56">
        <f t="shared" si="84"/>
        <v>0.176056338028169</v>
      </c>
      <c r="AV102" s="56">
        <f t="shared" si="115"/>
        <v>5.8685446009389672E-2</v>
      </c>
      <c r="AW102" s="57" t="s">
        <v>2511</v>
      </c>
      <c r="AX102" s="57" t="s">
        <v>2512</v>
      </c>
      <c r="AY102" s="57" t="s">
        <v>2513</v>
      </c>
      <c r="AZ102" s="58">
        <f t="shared" si="116"/>
        <v>1.32307978996416</v>
      </c>
      <c r="BA102" s="59">
        <f t="shared" si="119"/>
        <v>7.7645527580056342E-2</v>
      </c>
      <c r="BB102" s="59">
        <f t="shared" si="120"/>
        <v>0.23293658274016898</v>
      </c>
      <c r="BC102" s="59">
        <f t="shared" si="121"/>
        <v>6.2116422064045072E-2</v>
      </c>
      <c r="BD102" s="60">
        <f t="shared" si="117"/>
        <v>0.5</v>
      </c>
      <c r="BE102" s="59">
        <f t="shared" si="118"/>
        <v>1</v>
      </c>
      <c r="BQ102" s="61">
        <v>3000</v>
      </c>
      <c r="BR102" s="61">
        <v>1200</v>
      </c>
      <c r="BS102" s="28">
        <f t="shared" si="85"/>
        <v>2980</v>
      </c>
      <c r="BT102" s="28">
        <f t="shared" si="86"/>
        <v>1180</v>
      </c>
      <c r="BU102" s="28" t="s">
        <v>2541</v>
      </c>
      <c r="BV102" s="28">
        <f t="shared" si="87"/>
        <v>1589.0455999999999</v>
      </c>
      <c r="BW102" s="28">
        <f t="shared" si="88"/>
        <v>422.6268</v>
      </c>
      <c r="BX102" s="13">
        <f t="shared" si="89"/>
        <v>1.8753395119686938</v>
      </c>
      <c r="BY102" s="13">
        <f t="shared" si="90"/>
        <v>1</v>
      </c>
      <c r="BZ102" s="13">
        <f t="shared" si="91"/>
        <v>2.7920614594247217</v>
      </c>
      <c r="CA102" s="13">
        <f t="shared" si="92"/>
        <v>2</v>
      </c>
      <c r="CB102" s="13">
        <f t="shared" si="93"/>
        <v>2</v>
      </c>
      <c r="CC102" s="62">
        <f t="shared" si="94"/>
        <v>0.5</v>
      </c>
      <c r="CD102" s="13">
        <f t="shared" si="95"/>
        <v>7.0511382619370089</v>
      </c>
      <c r="CE102" s="13">
        <f t="shared" si="96"/>
        <v>7</v>
      </c>
      <c r="CF102" s="13">
        <f t="shared" si="97"/>
        <v>0.7425841020547177</v>
      </c>
      <c r="CG102" s="13">
        <f t="shared" si="98"/>
        <v>0</v>
      </c>
      <c r="CH102" s="28">
        <f t="shared" si="99"/>
        <v>0</v>
      </c>
      <c r="CI102" s="62">
        <f t="shared" si="100"/>
        <v>1</v>
      </c>
      <c r="CJ102" s="59">
        <f t="shared" si="101"/>
        <v>0.5</v>
      </c>
      <c r="CL102" s="63">
        <v>6000</v>
      </c>
      <c r="CM102" s="63">
        <f t="shared" si="102"/>
        <v>1584.0455999999999</v>
      </c>
      <c r="CN102" s="63">
        <f t="shared" si="103"/>
        <v>1589.0455999999999</v>
      </c>
      <c r="CO102" s="63">
        <f t="shared" si="104"/>
        <v>3.7758513663799205</v>
      </c>
      <c r="CP102" s="13">
        <f t="shared" si="105"/>
        <v>3</v>
      </c>
      <c r="CQ102" s="70">
        <f t="shared" si="106"/>
        <v>0.33333333333333331</v>
      </c>
      <c r="CR102" s="69">
        <f t="shared" si="74"/>
        <v>0.66666666666666663</v>
      </c>
    </row>
    <row r="103" spans="1:96" hidden="1" x14ac:dyDescent="0.25">
      <c r="A103" s="17">
        <v>5</v>
      </c>
      <c r="B103" s="6" t="s">
        <v>301</v>
      </c>
      <c r="C103" s="17" t="s">
        <v>332</v>
      </c>
      <c r="D103" s="17" t="s">
        <v>2270</v>
      </c>
      <c r="E103" s="17" t="s">
        <v>52</v>
      </c>
      <c r="F103" s="7">
        <f t="shared" si="75"/>
        <v>1</v>
      </c>
      <c r="G103" s="17">
        <v>2</v>
      </c>
      <c r="H103" s="17">
        <f t="shared" si="126"/>
        <v>2</v>
      </c>
      <c r="I103" s="17">
        <v>7</v>
      </c>
      <c r="J103" s="6" t="s">
        <v>328</v>
      </c>
      <c r="K103" s="6" t="s">
        <v>34</v>
      </c>
      <c r="L103" s="17">
        <v>0</v>
      </c>
      <c r="M103" s="6" t="s">
        <v>35</v>
      </c>
      <c r="N103" s="17" t="s">
        <v>333</v>
      </c>
      <c r="O103" s="28" t="s">
        <v>41</v>
      </c>
      <c r="P103" s="28" t="s">
        <v>41</v>
      </c>
      <c r="Q103" s="28" t="s">
        <v>124</v>
      </c>
      <c r="R103" s="30">
        <v>64.114000000000004</v>
      </c>
      <c r="S103" s="30">
        <v>14.218</v>
      </c>
      <c r="T103" s="30"/>
      <c r="U103" s="30">
        <v>9.8000000000000004E-2</v>
      </c>
      <c r="V103" s="8">
        <f t="shared" si="76"/>
        <v>1628.4956</v>
      </c>
      <c r="W103" s="8">
        <f t="shared" si="77"/>
        <v>361.13720000000001</v>
      </c>
      <c r="X103" s="8">
        <f t="shared" si="78"/>
        <v>0</v>
      </c>
      <c r="Y103" s="33">
        <f t="shared" si="79"/>
        <v>2.4891999999999999</v>
      </c>
      <c r="Z103" s="28" t="s">
        <v>56</v>
      </c>
      <c r="AA103" s="28" t="s">
        <v>57</v>
      </c>
      <c r="AB103" s="61" t="s">
        <v>124</v>
      </c>
      <c r="AC103" s="31" t="s">
        <v>125</v>
      </c>
      <c r="AD103" s="50">
        <f t="shared" si="80"/>
        <v>2</v>
      </c>
      <c r="AE103" s="31"/>
      <c r="AF103" s="51">
        <v>14</v>
      </c>
      <c r="AG103" s="51">
        <f t="shared" si="108"/>
        <v>8.4</v>
      </c>
      <c r="AH103" s="51">
        <f t="shared" si="73"/>
        <v>42</v>
      </c>
      <c r="AI103" s="52" t="s">
        <v>2497</v>
      </c>
      <c r="AJ103" s="52" t="s">
        <v>2498</v>
      </c>
      <c r="AK103" s="53">
        <f t="shared" si="109"/>
        <v>1.17622068239264</v>
      </c>
      <c r="AL103" s="54">
        <f t="shared" si="110"/>
        <v>0.11904761904761904</v>
      </c>
      <c r="AM103" s="54">
        <f t="shared" si="111"/>
        <v>2.3809523809523808E-2</v>
      </c>
      <c r="AN103" s="55">
        <f t="shared" si="112"/>
        <v>0.28005254342681901</v>
      </c>
      <c r="AO103" s="55">
        <f t="shared" si="113"/>
        <v>5.6010508685363808E-2</v>
      </c>
      <c r="AP103" s="53">
        <v>7.1</v>
      </c>
      <c r="AQ103" s="53">
        <f t="shared" si="81"/>
        <v>4.26</v>
      </c>
      <c r="AR103" s="53">
        <f t="shared" si="82"/>
        <v>21.299999999999997</v>
      </c>
      <c r="AS103" s="56">
        <f t="shared" si="83"/>
        <v>4.6948356807511742E-2</v>
      </c>
      <c r="AT103" s="56">
        <f t="shared" si="114"/>
        <v>0.23474178403755869</v>
      </c>
      <c r="AU103" s="56">
        <f t="shared" si="84"/>
        <v>0.176056338028169</v>
      </c>
      <c r="AV103" s="56">
        <f t="shared" si="115"/>
        <v>5.8685446009389672E-2</v>
      </c>
      <c r="AW103" s="57" t="s">
        <v>2511</v>
      </c>
      <c r="AX103" s="57" t="s">
        <v>2512</v>
      </c>
      <c r="AY103" s="57" t="s">
        <v>2513</v>
      </c>
      <c r="AZ103" s="58">
        <f t="shared" si="116"/>
        <v>1.17622068239264</v>
      </c>
      <c r="BA103" s="59">
        <f t="shared" si="119"/>
        <v>6.9027035351680754E-2</v>
      </c>
      <c r="BB103" s="59">
        <f t="shared" si="120"/>
        <v>0.20708110605504224</v>
      </c>
      <c r="BC103" s="59">
        <f t="shared" si="121"/>
        <v>5.5221628281344609E-2</v>
      </c>
      <c r="BD103" s="60">
        <f t="shared" si="117"/>
        <v>0.33333333333333331</v>
      </c>
      <c r="BE103" s="59">
        <f t="shared" si="118"/>
        <v>0.66666666666666663</v>
      </c>
      <c r="BQ103" s="61">
        <v>3000</v>
      </c>
      <c r="BR103" s="61">
        <v>1200</v>
      </c>
      <c r="BS103" s="28">
        <f t="shared" si="85"/>
        <v>2980</v>
      </c>
      <c r="BT103" s="28">
        <f t="shared" si="86"/>
        <v>1180</v>
      </c>
      <c r="BU103" s="28" t="s">
        <v>2541</v>
      </c>
      <c r="BV103" s="28">
        <f t="shared" si="87"/>
        <v>1633.4956</v>
      </c>
      <c r="BW103" s="28">
        <f t="shared" si="88"/>
        <v>366.13720000000001</v>
      </c>
      <c r="BX103" s="13">
        <f t="shared" si="89"/>
        <v>1.8243085564479022</v>
      </c>
      <c r="BY103" s="13">
        <f t="shared" si="90"/>
        <v>1</v>
      </c>
      <c r="BZ103" s="13">
        <f t="shared" si="91"/>
        <v>3.2228355927777894</v>
      </c>
      <c r="CA103" s="13">
        <f t="shared" si="92"/>
        <v>3</v>
      </c>
      <c r="CB103" s="13">
        <f t="shared" si="93"/>
        <v>3</v>
      </c>
      <c r="CC103" s="62">
        <f t="shared" si="94"/>
        <v>0.33333333333333331</v>
      </c>
      <c r="CD103" s="13">
        <f t="shared" si="95"/>
        <v>8.1390254800659427</v>
      </c>
      <c r="CE103" s="13">
        <f t="shared" si="96"/>
        <v>8</v>
      </c>
      <c r="CF103" s="13">
        <f t="shared" si="97"/>
        <v>0.72237721362702167</v>
      </c>
      <c r="CG103" s="13">
        <f t="shared" si="98"/>
        <v>0</v>
      </c>
      <c r="CH103" s="28">
        <f t="shared" si="99"/>
        <v>0</v>
      </c>
      <c r="CI103" s="62">
        <f t="shared" si="100"/>
        <v>1</v>
      </c>
      <c r="CJ103" s="59">
        <f t="shared" si="101"/>
        <v>0.33333333333333331</v>
      </c>
      <c r="CL103" s="63">
        <v>6000</v>
      </c>
      <c r="CM103" s="63">
        <f t="shared" si="102"/>
        <v>1628.4956</v>
      </c>
      <c r="CN103" s="63">
        <f t="shared" si="103"/>
        <v>1633.4956</v>
      </c>
      <c r="CO103" s="63">
        <f t="shared" si="104"/>
        <v>3.6731044760696019</v>
      </c>
      <c r="CP103" s="13">
        <f t="shared" si="105"/>
        <v>3</v>
      </c>
      <c r="CQ103" s="70">
        <f t="shared" si="106"/>
        <v>0.33333333333333331</v>
      </c>
      <c r="CR103" s="69">
        <f t="shared" si="74"/>
        <v>0.66666666666666663</v>
      </c>
    </row>
    <row r="104" spans="1:96" hidden="1" x14ac:dyDescent="0.25">
      <c r="A104" s="17">
        <v>5</v>
      </c>
      <c r="B104" s="6" t="s">
        <v>301</v>
      </c>
      <c r="C104" s="17" t="s">
        <v>334</v>
      </c>
      <c r="D104" s="17" t="s">
        <v>2270</v>
      </c>
      <c r="E104" s="17" t="s">
        <v>52</v>
      </c>
      <c r="F104" s="7">
        <f t="shared" si="75"/>
        <v>1</v>
      </c>
      <c r="G104" s="17">
        <v>1</v>
      </c>
      <c r="H104" s="17">
        <f t="shared" si="126"/>
        <v>1</v>
      </c>
      <c r="I104" s="17">
        <v>8</v>
      </c>
      <c r="J104" s="6" t="s">
        <v>328</v>
      </c>
      <c r="K104" s="6" t="s">
        <v>34</v>
      </c>
      <c r="L104" s="17" t="s">
        <v>110</v>
      </c>
      <c r="M104" s="6" t="s">
        <v>35</v>
      </c>
      <c r="N104" s="17" t="s">
        <v>335</v>
      </c>
      <c r="O104" s="28" t="s">
        <v>41</v>
      </c>
      <c r="P104" s="28" t="s">
        <v>41</v>
      </c>
      <c r="Q104" s="28" t="s">
        <v>124</v>
      </c>
      <c r="R104" s="30">
        <v>59.991</v>
      </c>
      <c r="S104" s="30">
        <v>16.443000000000001</v>
      </c>
      <c r="T104" s="30"/>
      <c r="U104" s="30">
        <v>9.8000000000000004E-2</v>
      </c>
      <c r="V104" s="8">
        <f t="shared" si="76"/>
        <v>1523.7713999999999</v>
      </c>
      <c r="W104" s="8">
        <f t="shared" si="77"/>
        <v>417.65219999999999</v>
      </c>
      <c r="X104" s="8">
        <f t="shared" si="78"/>
        <v>0</v>
      </c>
      <c r="Y104" s="33">
        <f t="shared" si="79"/>
        <v>2.4891999999999999</v>
      </c>
      <c r="Z104" s="28" t="s">
        <v>56</v>
      </c>
      <c r="AA104" s="28" t="s">
        <v>57</v>
      </c>
      <c r="AB104" s="61" t="s">
        <v>124</v>
      </c>
      <c r="AC104" s="31" t="s">
        <v>125</v>
      </c>
      <c r="AD104" s="50">
        <f t="shared" si="80"/>
        <v>1</v>
      </c>
      <c r="AE104" s="31"/>
      <c r="AF104" s="51">
        <v>14</v>
      </c>
      <c r="AG104" s="51">
        <f t="shared" si="108"/>
        <v>8.4</v>
      </c>
      <c r="AH104" s="51">
        <f t="shared" si="73"/>
        <v>42</v>
      </c>
      <c r="AI104" s="52" t="s">
        <v>2497</v>
      </c>
      <c r="AJ104" s="52" t="s">
        <v>2498</v>
      </c>
      <c r="AK104" s="53">
        <f t="shared" si="109"/>
        <v>1.2728129550141598</v>
      </c>
      <c r="AL104" s="54">
        <f t="shared" si="110"/>
        <v>0.11904761904761904</v>
      </c>
      <c r="AM104" s="54">
        <f t="shared" si="111"/>
        <v>2.3809523809523808E-2</v>
      </c>
      <c r="AN104" s="55">
        <f t="shared" si="112"/>
        <v>0.15152535178739998</v>
      </c>
      <c r="AO104" s="55">
        <f t="shared" si="113"/>
        <v>3.0305070357479993E-2</v>
      </c>
      <c r="AP104" s="53">
        <v>7.1</v>
      </c>
      <c r="AQ104" s="53">
        <f t="shared" si="81"/>
        <v>4.26</v>
      </c>
      <c r="AR104" s="53">
        <f t="shared" si="82"/>
        <v>21.299999999999997</v>
      </c>
      <c r="AS104" s="56">
        <f t="shared" si="83"/>
        <v>4.6948356807511742E-2</v>
      </c>
      <c r="AT104" s="56">
        <f t="shared" si="114"/>
        <v>0.23474178403755869</v>
      </c>
      <c r="AU104" s="56">
        <f t="shared" si="84"/>
        <v>0.176056338028169</v>
      </c>
      <c r="AV104" s="56">
        <f t="shared" si="115"/>
        <v>5.8685446009389672E-2</v>
      </c>
      <c r="AW104" s="57" t="s">
        <v>2511</v>
      </c>
      <c r="AX104" s="57" t="s">
        <v>2512</v>
      </c>
      <c r="AY104" s="57" t="s">
        <v>2513</v>
      </c>
      <c r="AZ104" s="58">
        <f t="shared" si="116"/>
        <v>1.2728129550141598</v>
      </c>
      <c r="BA104" s="59">
        <f t="shared" si="119"/>
        <v>3.7347797975767601E-2</v>
      </c>
      <c r="BB104" s="59">
        <f t="shared" si="120"/>
        <v>0.1120433939273028</v>
      </c>
      <c r="BC104" s="59">
        <f t="shared" si="121"/>
        <v>2.9878238380614083E-2</v>
      </c>
      <c r="BD104" s="60">
        <f t="shared" si="117"/>
        <v>0.5</v>
      </c>
      <c r="BE104" s="59">
        <f t="shared" si="118"/>
        <v>0.5</v>
      </c>
      <c r="BQ104" s="61">
        <v>3000</v>
      </c>
      <c r="BR104" s="61">
        <v>1200</v>
      </c>
      <c r="BS104" s="28">
        <f t="shared" si="85"/>
        <v>2980</v>
      </c>
      <c r="BT104" s="28">
        <f t="shared" si="86"/>
        <v>1180</v>
      </c>
      <c r="BU104" s="28" t="s">
        <v>2541</v>
      </c>
      <c r="BV104" s="28">
        <f t="shared" si="87"/>
        <v>1528.7713999999999</v>
      </c>
      <c r="BW104" s="28">
        <f t="shared" si="88"/>
        <v>422.65219999999999</v>
      </c>
      <c r="BX104" s="13">
        <f t="shared" si="89"/>
        <v>1.949277701034962</v>
      </c>
      <c r="BY104" s="13">
        <f t="shared" si="90"/>
        <v>1</v>
      </c>
      <c r="BZ104" s="13">
        <f t="shared" si="91"/>
        <v>2.7918936657611151</v>
      </c>
      <c r="CA104" s="13">
        <f t="shared" si="92"/>
        <v>2</v>
      </c>
      <c r="CB104" s="13">
        <f t="shared" si="93"/>
        <v>2</v>
      </c>
      <c r="CC104" s="62">
        <f t="shared" si="94"/>
        <v>0.5</v>
      </c>
      <c r="CD104" s="13">
        <f t="shared" si="95"/>
        <v>7.0507145118373931</v>
      </c>
      <c r="CE104" s="13">
        <f t="shared" si="96"/>
        <v>7</v>
      </c>
      <c r="CF104" s="13">
        <f t="shared" si="97"/>
        <v>0.77186164000713264</v>
      </c>
      <c r="CG104" s="13">
        <f t="shared" si="98"/>
        <v>0</v>
      </c>
      <c r="CH104" s="28">
        <f t="shared" si="99"/>
        <v>0</v>
      </c>
      <c r="CI104" s="62">
        <f t="shared" si="100"/>
        <v>1</v>
      </c>
      <c r="CJ104" s="59">
        <f t="shared" si="101"/>
        <v>0.5</v>
      </c>
      <c r="CL104" s="63">
        <v>6000</v>
      </c>
      <c r="CM104" s="63">
        <f t="shared" si="102"/>
        <v>1523.7713999999999</v>
      </c>
      <c r="CN104" s="63">
        <f t="shared" si="103"/>
        <v>1528.7713999999999</v>
      </c>
      <c r="CO104" s="63">
        <f t="shared" si="104"/>
        <v>3.924720203426098</v>
      </c>
      <c r="CP104" s="13">
        <f t="shared" si="105"/>
        <v>3</v>
      </c>
      <c r="CQ104" s="70">
        <f t="shared" si="106"/>
        <v>0.33333333333333331</v>
      </c>
      <c r="CR104" s="69">
        <f t="shared" si="74"/>
        <v>0.33333333333333331</v>
      </c>
    </row>
    <row r="105" spans="1:96" hidden="1" x14ac:dyDescent="0.25">
      <c r="A105" s="17">
        <v>5</v>
      </c>
      <c r="B105" s="6" t="s">
        <v>301</v>
      </c>
      <c r="C105" s="17" t="s">
        <v>336</v>
      </c>
      <c r="D105" s="17" t="s">
        <v>341</v>
      </c>
      <c r="E105" s="17" t="s">
        <v>52</v>
      </c>
      <c r="F105" s="7">
        <f t="shared" si="75"/>
        <v>15</v>
      </c>
      <c r="G105" s="17" t="s">
        <v>337</v>
      </c>
      <c r="H105" s="17" t="str">
        <f>G105</f>
        <v>A/R</v>
      </c>
      <c r="I105" s="17">
        <v>10</v>
      </c>
      <c r="J105" s="6" t="s">
        <v>338</v>
      </c>
      <c r="K105" s="6" t="s">
        <v>34</v>
      </c>
      <c r="L105" s="17" t="s">
        <v>339</v>
      </c>
      <c r="M105" s="6" t="s">
        <v>340</v>
      </c>
      <c r="N105" s="17" t="s">
        <v>341</v>
      </c>
      <c r="O105" s="28" t="s">
        <v>41</v>
      </c>
      <c r="P105" s="28" t="s">
        <v>41</v>
      </c>
      <c r="Q105" s="28" t="s">
        <v>341</v>
      </c>
      <c r="R105" s="30"/>
      <c r="S105" s="30"/>
      <c r="T105" s="30"/>
      <c r="U105" s="30"/>
      <c r="V105" s="8">
        <f t="shared" si="76"/>
        <v>0</v>
      </c>
      <c r="W105" s="8">
        <f t="shared" si="77"/>
        <v>0</v>
      </c>
      <c r="X105" s="8">
        <f t="shared" si="78"/>
        <v>0</v>
      </c>
      <c r="Y105" s="33">
        <f t="shared" si="79"/>
        <v>0</v>
      </c>
      <c r="Z105" s="28"/>
      <c r="AA105" s="28"/>
      <c r="AB105" s="28" t="s">
        <v>341</v>
      </c>
      <c r="AC105" s="31" t="s">
        <v>342</v>
      </c>
      <c r="AD105" s="50">
        <v>0</v>
      </c>
      <c r="AE105" s="50" t="s">
        <v>337</v>
      </c>
      <c r="AF105" s="51">
        <v>14</v>
      </c>
      <c r="AG105" s="51">
        <f t="shared" si="108"/>
        <v>8.4</v>
      </c>
      <c r="AH105" s="51">
        <f t="shared" si="73"/>
        <v>42</v>
      </c>
      <c r="AI105" s="52" t="s">
        <v>2497</v>
      </c>
      <c r="AJ105" s="52" t="s">
        <v>2498</v>
      </c>
      <c r="AK105" s="53">
        <f t="shared" si="109"/>
        <v>0</v>
      </c>
      <c r="AL105" s="54">
        <f t="shared" si="110"/>
        <v>0.11904761904761904</v>
      </c>
      <c r="AM105" s="54">
        <f t="shared" si="111"/>
        <v>2.3809523809523808E-2</v>
      </c>
      <c r="AN105" s="55">
        <f t="shared" si="112"/>
        <v>0</v>
      </c>
      <c r="AO105" s="55">
        <f t="shared" si="113"/>
        <v>0</v>
      </c>
      <c r="AP105" s="53">
        <v>7.1</v>
      </c>
      <c r="AQ105" s="53">
        <f t="shared" si="81"/>
        <v>4.26</v>
      </c>
      <c r="AR105" s="53">
        <f t="shared" si="82"/>
        <v>21.299999999999997</v>
      </c>
      <c r="AS105" s="56">
        <f t="shared" si="83"/>
        <v>4.6948356807511742E-2</v>
      </c>
      <c r="AT105" s="56">
        <f t="shared" si="114"/>
        <v>0.23474178403755869</v>
      </c>
      <c r="AU105" s="56">
        <f t="shared" si="84"/>
        <v>0.176056338028169</v>
      </c>
      <c r="AV105" s="56">
        <f t="shared" si="115"/>
        <v>5.8685446009389672E-2</v>
      </c>
      <c r="AW105" s="57" t="s">
        <v>2511</v>
      </c>
      <c r="AX105" s="57" t="s">
        <v>2512</v>
      </c>
      <c r="AY105" s="57" t="s">
        <v>2513</v>
      </c>
      <c r="AZ105" s="58">
        <f t="shared" si="116"/>
        <v>0</v>
      </c>
      <c r="BA105" s="59">
        <f t="shared" si="119"/>
        <v>0</v>
      </c>
      <c r="BB105" s="59">
        <f t="shared" si="120"/>
        <v>0</v>
      </c>
      <c r="BC105" s="59">
        <f t="shared" si="121"/>
        <v>0</v>
      </c>
      <c r="BD105" s="60">
        <f t="shared" si="117"/>
        <v>7.1095438516664771E-6</v>
      </c>
      <c r="BE105" s="59">
        <f t="shared" si="118"/>
        <v>0</v>
      </c>
      <c r="BQ105" s="61">
        <v>3000</v>
      </c>
      <c r="BR105" s="61">
        <v>1200</v>
      </c>
      <c r="BS105" s="28">
        <f t="shared" si="85"/>
        <v>2980</v>
      </c>
      <c r="BT105" s="28">
        <f t="shared" si="86"/>
        <v>1180</v>
      </c>
      <c r="BU105" s="28" t="s">
        <v>2541</v>
      </c>
      <c r="BV105" s="28">
        <f t="shared" si="87"/>
        <v>5</v>
      </c>
      <c r="BW105" s="28">
        <f t="shared" si="88"/>
        <v>5</v>
      </c>
      <c r="BX105" s="13">
        <f t="shared" si="89"/>
        <v>596</v>
      </c>
      <c r="BY105" s="13">
        <f t="shared" si="90"/>
        <v>596</v>
      </c>
      <c r="BZ105" s="13">
        <f t="shared" si="91"/>
        <v>236</v>
      </c>
      <c r="CA105" s="13">
        <f t="shared" si="92"/>
        <v>236</v>
      </c>
      <c r="CB105" s="13">
        <f t="shared" si="93"/>
        <v>140656</v>
      </c>
      <c r="CC105" s="62">
        <f t="shared" si="94"/>
        <v>7.1095438516664771E-6</v>
      </c>
      <c r="CD105" s="13">
        <f t="shared" si="95"/>
        <v>596</v>
      </c>
      <c r="CE105" s="13">
        <f t="shared" si="96"/>
        <v>596</v>
      </c>
      <c r="CF105" s="13">
        <f t="shared" si="97"/>
        <v>236</v>
      </c>
      <c r="CG105" s="13">
        <f t="shared" si="98"/>
        <v>236</v>
      </c>
      <c r="CH105" s="28">
        <f t="shared" si="99"/>
        <v>140656</v>
      </c>
      <c r="CI105" s="62">
        <f t="shared" si="100"/>
        <v>7.1095438516664771E-6</v>
      </c>
      <c r="CJ105" s="59">
        <f t="shared" si="101"/>
        <v>7.1095438516664771E-6</v>
      </c>
      <c r="CL105" s="63">
        <v>6000</v>
      </c>
      <c r="CM105" s="63">
        <f t="shared" si="102"/>
        <v>0</v>
      </c>
      <c r="CN105" s="63">
        <f t="shared" si="103"/>
        <v>5</v>
      </c>
      <c r="CO105" s="63">
        <f t="shared" si="104"/>
        <v>1200</v>
      </c>
      <c r="CP105" s="13">
        <f t="shared" si="105"/>
        <v>1200</v>
      </c>
      <c r="CQ105" s="70">
        <f t="shared" si="106"/>
        <v>8.3333333333333339E-4</v>
      </c>
      <c r="CR105" s="69">
        <f t="shared" si="74"/>
        <v>0</v>
      </c>
    </row>
    <row r="106" spans="1:96" hidden="1" x14ac:dyDescent="0.25">
      <c r="A106" s="13">
        <v>4</v>
      </c>
      <c r="B106" s="14" t="s">
        <v>264</v>
      </c>
      <c r="C106" s="13" t="s">
        <v>343</v>
      </c>
      <c r="D106" s="13" t="s">
        <v>2270</v>
      </c>
      <c r="E106" s="13" t="s">
        <v>52</v>
      </c>
      <c r="F106" s="15">
        <f t="shared" si="75"/>
        <v>1</v>
      </c>
      <c r="G106" s="13">
        <v>1</v>
      </c>
      <c r="H106" s="13">
        <f t="shared" ref="H106:H109" si="127">G106*$H$75</f>
        <v>1</v>
      </c>
      <c r="I106" s="13">
        <v>3</v>
      </c>
      <c r="J106" s="14" t="s">
        <v>344</v>
      </c>
      <c r="K106" s="14" t="s">
        <v>34</v>
      </c>
      <c r="L106" s="13" t="s">
        <v>194</v>
      </c>
      <c r="M106" s="14" t="s">
        <v>35</v>
      </c>
      <c r="N106" s="13" t="s">
        <v>345</v>
      </c>
      <c r="O106" s="28" t="s">
        <v>41</v>
      </c>
      <c r="P106" s="28" t="s">
        <v>41</v>
      </c>
      <c r="Q106" s="28" t="s">
        <v>116</v>
      </c>
      <c r="R106" s="30">
        <v>55.045999999999999</v>
      </c>
      <c r="S106" s="30">
        <v>23.568999999999999</v>
      </c>
      <c r="T106" s="30"/>
      <c r="U106" s="30">
        <v>0.11799999999999999</v>
      </c>
      <c r="V106" s="8">
        <f t="shared" si="76"/>
        <v>1398.1683999999998</v>
      </c>
      <c r="W106" s="8">
        <f t="shared" si="77"/>
        <v>598.65259999999989</v>
      </c>
      <c r="X106" s="8">
        <f t="shared" si="78"/>
        <v>0</v>
      </c>
      <c r="Y106" s="33">
        <f t="shared" si="79"/>
        <v>2.9971999999999999</v>
      </c>
      <c r="Z106" s="28" t="s">
        <v>56</v>
      </c>
      <c r="AA106" s="28" t="s">
        <v>57</v>
      </c>
      <c r="AB106" s="28" t="s">
        <v>116</v>
      </c>
      <c r="AC106" s="31" t="s">
        <v>117</v>
      </c>
      <c r="AD106" s="50">
        <f t="shared" si="80"/>
        <v>1</v>
      </c>
      <c r="AE106" s="31"/>
      <c r="AF106" s="51">
        <v>14</v>
      </c>
      <c r="AG106" s="51">
        <f t="shared" si="108"/>
        <v>8.4</v>
      </c>
      <c r="AH106" s="51">
        <f t="shared" si="73"/>
        <v>42</v>
      </c>
      <c r="AI106" s="52" t="s">
        <v>2497</v>
      </c>
      <c r="AJ106" s="52" t="s">
        <v>2498</v>
      </c>
      <c r="AK106" s="53">
        <f t="shared" si="109"/>
        <v>1.6740342957956795</v>
      </c>
      <c r="AL106" s="54">
        <f t="shared" si="110"/>
        <v>0.11904761904761904</v>
      </c>
      <c r="AM106" s="54">
        <f t="shared" si="111"/>
        <v>2.3809523809523808E-2</v>
      </c>
      <c r="AN106" s="55">
        <f t="shared" si="112"/>
        <v>0.19928979711853326</v>
      </c>
      <c r="AO106" s="55">
        <f t="shared" si="113"/>
        <v>3.9857959423706651E-2</v>
      </c>
      <c r="AP106" s="53">
        <v>7.1</v>
      </c>
      <c r="AQ106" s="53">
        <f t="shared" si="81"/>
        <v>4.26</v>
      </c>
      <c r="AR106" s="53">
        <f t="shared" si="82"/>
        <v>21.299999999999997</v>
      </c>
      <c r="AS106" s="56">
        <f t="shared" si="83"/>
        <v>4.6948356807511742E-2</v>
      </c>
      <c r="AT106" s="56">
        <f t="shared" si="114"/>
        <v>0.23474178403755869</v>
      </c>
      <c r="AU106" s="56">
        <f t="shared" si="84"/>
        <v>0.176056338028169</v>
      </c>
      <c r="AV106" s="56">
        <f t="shared" si="115"/>
        <v>5.8685446009389672E-2</v>
      </c>
      <c r="AW106" s="57" t="s">
        <v>2511</v>
      </c>
      <c r="AX106" s="57" t="s">
        <v>2512</v>
      </c>
      <c r="AY106" s="57" t="s">
        <v>2513</v>
      </c>
      <c r="AZ106" s="58">
        <f t="shared" si="116"/>
        <v>1.6740342957956795</v>
      </c>
      <c r="BA106" s="59">
        <f t="shared" si="119"/>
        <v>4.9120724641892002E-2</v>
      </c>
      <c r="BB106" s="59">
        <f t="shared" si="120"/>
        <v>0.14736217392567599</v>
      </c>
      <c r="BC106" s="59">
        <f t="shared" si="121"/>
        <v>3.9296579713513607E-2</v>
      </c>
      <c r="BD106" s="60">
        <f t="shared" si="117"/>
        <v>0.5</v>
      </c>
      <c r="BE106" s="59">
        <f t="shared" si="118"/>
        <v>0.5</v>
      </c>
      <c r="BQ106" s="61">
        <v>3000</v>
      </c>
      <c r="BR106" s="61">
        <v>1200</v>
      </c>
      <c r="BS106" s="28">
        <f t="shared" si="85"/>
        <v>2980</v>
      </c>
      <c r="BT106" s="28">
        <f t="shared" si="86"/>
        <v>1180</v>
      </c>
      <c r="BU106" s="28" t="s">
        <v>2541</v>
      </c>
      <c r="BV106" s="28">
        <f t="shared" si="87"/>
        <v>1403.1683999999998</v>
      </c>
      <c r="BW106" s="28">
        <f t="shared" si="88"/>
        <v>603.65259999999989</v>
      </c>
      <c r="BX106" s="13">
        <f t="shared" si="89"/>
        <v>2.1237650448798595</v>
      </c>
      <c r="BY106" s="13">
        <f t="shared" si="90"/>
        <v>2</v>
      </c>
      <c r="BZ106" s="13">
        <f t="shared" si="91"/>
        <v>1.9547666985945231</v>
      </c>
      <c r="CA106" s="13">
        <f t="shared" si="92"/>
        <v>1</v>
      </c>
      <c r="CB106" s="13">
        <f t="shared" si="93"/>
        <v>2</v>
      </c>
      <c r="CC106" s="62">
        <f t="shared" si="94"/>
        <v>0.5</v>
      </c>
      <c r="CD106" s="13">
        <f t="shared" si="95"/>
        <v>4.9366142049251511</v>
      </c>
      <c r="CE106" s="13">
        <f t="shared" si="96"/>
        <v>4</v>
      </c>
      <c r="CF106" s="13">
        <f t="shared" si="97"/>
        <v>0.8409539439457161</v>
      </c>
      <c r="CG106" s="13">
        <f t="shared" si="98"/>
        <v>0</v>
      </c>
      <c r="CH106" s="28">
        <f t="shared" si="99"/>
        <v>0</v>
      </c>
      <c r="CI106" s="62">
        <f t="shared" si="100"/>
        <v>1</v>
      </c>
      <c r="CJ106" s="59">
        <f t="shared" si="101"/>
        <v>0.5</v>
      </c>
      <c r="CL106" s="63">
        <v>6000</v>
      </c>
      <c r="CM106" s="63">
        <f t="shared" si="102"/>
        <v>1398.1683999999998</v>
      </c>
      <c r="CN106" s="63">
        <f t="shared" si="103"/>
        <v>1403.1683999999998</v>
      </c>
      <c r="CO106" s="63">
        <f t="shared" si="104"/>
        <v>4.2760370031138111</v>
      </c>
      <c r="CP106" s="13">
        <f t="shared" si="105"/>
        <v>4</v>
      </c>
      <c r="CQ106" s="70">
        <f t="shared" si="106"/>
        <v>0.25</v>
      </c>
      <c r="CR106" s="69">
        <f t="shared" si="74"/>
        <v>0.25</v>
      </c>
    </row>
    <row r="107" spans="1:96" hidden="1" x14ac:dyDescent="0.25">
      <c r="A107" s="13">
        <v>4</v>
      </c>
      <c r="B107" s="14" t="s">
        <v>264</v>
      </c>
      <c r="C107" s="13" t="s">
        <v>346</v>
      </c>
      <c r="D107" s="13" t="s">
        <v>2270</v>
      </c>
      <c r="E107" s="13" t="s">
        <v>52</v>
      </c>
      <c r="F107" s="15">
        <f t="shared" si="75"/>
        <v>1</v>
      </c>
      <c r="G107" s="13">
        <v>1</v>
      </c>
      <c r="H107" s="13">
        <f t="shared" si="127"/>
        <v>1</v>
      </c>
      <c r="I107" s="13">
        <v>4</v>
      </c>
      <c r="J107" s="14" t="s">
        <v>347</v>
      </c>
      <c r="K107" s="14" t="s">
        <v>34</v>
      </c>
      <c r="L107" s="13">
        <v>0</v>
      </c>
      <c r="M107" s="14" t="s">
        <v>35</v>
      </c>
      <c r="N107" s="13" t="s">
        <v>348</v>
      </c>
      <c r="O107" s="28" t="s">
        <v>41</v>
      </c>
      <c r="P107" s="28" t="s">
        <v>41</v>
      </c>
      <c r="Q107" s="28" t="s">
        <v>116</v>
      </c>
      <c r="R107" s="30">
        <v>21.96</v>
      </c>
      <c r="S107" s="30">
        <v>3.0750000000000002</v>
      </c>
      <c r="T107" s="30"/>
      <c r="U107" s="30">
        <v>0.11799999999999999</v>
      </c>
      <c r="V107" s="8">
        <f t="shared" si="76"/>
        <v>557.78399999999999</v>
      </c>
      <c r="W107" s="8">
        <f t="shared" si="77"/>
        <v>78.105000000000004</v>
      </c>
      <c r="X107" s="8">
        <f t="shared" si="78"/>
        <v>0</v>
      </c>
      <c r="Y107" s="33">
        <f t="shared" si="79"/>
        <v>2.9971999999999999</v>
      </c>
      <c r="Z107" s="28" t="s">
        <v>56</v>
      </c>
      <c r="AA107" s="28" t="s">
        <v>57</v>
      </c>
      <c r="AB107" s="28" t="s">
        <v>116</v>
      </c>
      <c r="AC107" s="31" t="s">
        <v>117</v>
      </c>
      <c r="AD107" s="50">
        <f t="shared" si="80"/>
        <v>1</v>
      </c>
      <c r="AE107" s="31"/>
      <c r="AF107" s="51">
        <v>14</v>
      </c>
      <c r="AG107" s="51">
        <f t="shared" si="108"/>
        <v>8.4</v>
      </c>
      <c r="AH107" s="51">
        <f t="shared" si="73"/>
        <v>42</v>
      </c>
      <c r="AI107" s="52" t="s">
        <v>2497</v>
      </c>
      <c r="AJ107" s="52" t="s">
        <v>2498</v>
      </c>
      <c r="AK107" s="53">
        <f t="shared" si="109"/>
        <v>8.7131438640000003E-2</v>
      </c>
      <c r="AL107" s="54">
        <f t="shared" si="110"/>
        <v>0.11904761904761904</v>
      </c>
      <c r="AM107" s="54">
        <f t="shared" si="111"/>
        <v>2.3809523809523808E-2</v>
      </c>
      <c r="AN107" s="55">
        <f t="shared" si="112"/>
        <v>1.0372790314285714E-2</v>
      </c>
      <c r="AO107" s="55">
        <f t="shared" si="113"/>
        <v>2.0745580628571429E-3</v>
      </c>
      <c r="AP107" s="53">
        <v>7.1</v>
      </c>
      <c r="AQ107" s="53">
        <f t="shared" si="81"/>
        <v>4.26</v>
      </c>
      <c r="AR107" s="53">
        <f t="shared" si="82"/>
        <v>21.299999999999997</v>
      </c>
      <c r="AS107" s="56">
        <f t="shared" si="83"/>
        <v>4.6948356807511742E-2</v>
      </c>
      <c r="AT107" s="56">
        <f t="shared" si="114"/>
        <v>0.23474178403755869</v>
      </c>
      <c r="AU107" s="56">
        <f t="shared" si="84"/>
        <v>0.176056338028169</v>
      </c>
      <c r="AV107" s="56">
        <f t="shared" si="115"/>
        <v>5.8685446009389672E-2</v>
      </c>
      <c r="AW107" s="57" t="s">
        <v>2511</v>
      </c>
      <c r="AX107" s="57" t="s">
        <v>2512</v>
      </c>
      <c r="AY107" s="57" t="s">
        <v>2513</v>
      </c>
      <c r="AZ107" s="58">
        <f t="shared" si="116"/>
        <v>8.7131438640000003E-2</v>
      </c>
      <c r="BA107" s="59">
        <f t="shared" si="119"/>
        <v>2.5566736690140848E-3</v>
      </c>
      <c r="BB107" s="59">
        <f t="shared" si="120"/>
        <v>7.670021007042253E-3</v>
      </c>
      <c r="BC107" s="59">
        <f t="shared" si="121"/>
        <v>2.0453389352112681E-3</v>
      </c>
      <c r="BD107" s="60">
        <f t="shared" si="117"/>
        <v>1.4285714285714285E-2</v>
      </c>
      <c r="BE107" s="59">
        <f t="shared" si="118"/>
        <v>1.4285714285714285E-2</v>
      </c>
      <c r="BQ107" s="61">
        <v>3000</v>
      </c>
      <c r="BR107" s="61">
        <v>1200</v>
      </c>
      <c r="BS107" s="28">
        <f t="shared" si="85"/>
        <v>2980</v>
      </c>
      <c r="BT107" s="28">
        <f t="shared" si="86"/>
        <v>1180</v>
      </c>
      <c r="BU107" s="28" t="s">
        <v>2541</v>
      </c>
      <c r="BV107" s="28">
        <f t="shared" si="87"/>
        <v>562.78399999999999</v>
      </c>
      <c r="BW107" s="28">
        <f t="shared" si="88"/>
        <v>83.105000000000004</v>
      </c>
      <c r="BX107" s="13">
        <f t="shared" si="89"/>
        <v>5.2951043384317966</v>
      </c>
      <c r="BY107" s="13">
        <f t="shared" si="90"/>
        <v>5</v>
      </c>
      <c r="BZ107" s="13">
        <f t="shared" si="91"/>
        <v>14.198904999699176</v>
      </c>
      <c r="CA107" s="13">
        <f t="shared" si="92"/>
        <v>14</v>
      </c>
      <c r="CB107" s="13">
        <f t="shared" si="93"/>
        <v>70</v>
      </c>
      <c r="CC107" s="62">
        <f t="shared" si="94"/>
        <v>1.4285714285714285E-2</v>
      </c>
      <c r="CD107" s="13">
        <f t="shared" si="95"/>
        <v>35.858251609409784</v>
      </c>
      <c r="CE107" s="13">
        <f t="shared" si="96"/>
        <v>35</v>
      </c>
      <c r="CF107" s="13">
        <f t="shared" si="97"/>
        <v>2.096719167566953</v>
      </c>
      <c r="CG107" s="13">
        <f t="shared" si="98"/>
        <v>2</v>
      </c>
      <c r="CH107" s="28">
        <f t="shared" si="99"/>
        <v>70</v>
      </c>
      <c r="CI107" s="62">
        <f t="shared" si="100"/>
        <v>1.4285714285714285E-2</v>
      </c>
      <c r="CJ107" s="59">
        <f t="shared" si="101"/>
        <v>1.4285714285714285E-2</v>
      </c>
      <c r="CL107" s="63">
        <v>6000</v>
      </c>
      <c r="CM107" s="63">
        <f t="shared" si="102"/>
        <v>557.78399999999999</v>
      </c>
      <c r="CN107" s="63">
        <f t="shared" si="103"/>
        <v>562.78399999999999</v>
      </c>
      <c r="CO107" s="63">
        <f t="shared" si="104"/>
        <v>10.661283902882811</v>
      </c>
      <c r="CP107" s="13">
        <f t="shared" si="105"/>
        <v>10</v>
      </c>
      <c r="CQ107" s="70">
        <f t="shared" si="106"/>
        <v>0.1</v>
      </c>
      <c r="CR107" s="69">
        <f t="shared" si="74"/>
        <v>0.1</v>
      </c>
    </row>
    <row r="108" spans="1:96" hidden="1" x14ac:dyDescent="0.25">
      <c r="A108" s="13">
        <v>4</v>
      </c>
      <c r="B108" s="14" t="s">
        <v>264</v>
      </c>
      <c r="C108" s="13" t="s">
        <v>349</v>
      </c>
      <c r="D108" s="13" t="s">
        <v>2270</v>
      </c>
      <c r="E108" s="13" t="s">
        <v>52</v>
      </c>
      <c r="F108" s="15">
        <f t="shared" si="75"/>
        <v>1</v>
      </c>
      <c r="G108" s="13">
        <v>1</v>
      </c>
      <c r="H108" s="13">
        <f t="shared" si="127"/>
        <v>1</v>
      </c>
      <c r="I108" s="13">
        <v>5</v>
      </c>
      <c r="J108" s="14" t="s">
        <v>350</v>
      </c>
      <c r="K108" s="14" t="s">
        <v>34</v>
      </c>
      <c r="L108" s="13" t="s">
        <v>110</v>
      </c>
      <c r="M108" s="14" t="s">
        <v>35</v>
      </c>
      <c r="N108" s="13" t="s">
        <v>351</v>
      </c>
      <c r="O108" s="28" t="s">
        <v>41</v>
      </c>
      <c r="P108" s="28" t="s">
        <v>41</v>
      </c>
      <c r="Q108" s="28" t="s">
        <v>124</v>
      </c>
      <c r="R108" s="30">
        <v>56.585000000000001</v>
      </c>
      <c r="S108" s="30">
        <v>23.646999999999998</v>
      </c>
      <c r="T108" s="30"/>
      <c r="U108" s="30">
        <v>9.8000000000000004E-2</v>
      </c>
      <c r="V108" s="8">
        <f t="shared" si="76"/>
        <v>1437.259</v>
      </c>
      <c r="W108" s="8">
        <f t="shared" si="77"/>
        <v>600.63379999999995</v>
      </c>
      <c r="X108" s="8">
        <f t="shared" si="78"/>
        <v>0</v>
      </c>
      <c r="Y108" s="33">
        <f t="shared" si="79"/>
        <v>2.4891999999999999</v>
      </c>
      <c r="Z108" s="28" t="s">
        <v>56</v>
      </c>
      <c r="AA108" s="28" t="s">
        <v>57</v>
      </c>
      <c r="AB108" s="61" t="s">
        <v>124</v>
      </c>
      <c r="AC108" s="31" t="s">
        <v>125</v>
      </c>
      <c r="AD108" s="50">
        <f t="shared" si="80"/>
        <v>1</v>
      </c>
      <c r="AE108" s="31"/>
      <c r="AF108" s="51">
        <v>14</v>
      </c>
      <c r="AG108" s="51">
        <f t="shared" si="108"/>
        <v>8.4</v>
      </c>
      <c r="AH108" s="51">
        <f t="shared" si="73"/>
        <v>42</v>
      </c>
      <c r="AI108" s="52" t="s">
        <v>2497</v>
      </c>
      <c r="AJ108" s="52" t="s">
        <v>2498</v>
      </c>
      <c r="AK108" s="53">
        <f t="shared" si="109"/>
        <v>1.7265326695084</v>
      </c>
      <c r="AL108" s="54">
        <f t="shared" si="110"/>
        <v>0.11904761904761904</v>
      </c>
      <c r="AM108" s="54">
        <f t="shared" si="111"/>
        <v>2.3809523809523808E-2</v>
      </c>
      <c r="AN108" s="55">
        <f t="shared" si="112"/>
        <v>0.20553960351290476</v>
      </c>
      <c r="AO108" s="55">
        <f t="shared" si="113"/>
        <v>4.1107920702580951E-2</v>
      </c>
      <c r="AP108" s="53">
        <v>7.1</v>
      </c>
      <c r="AQ108" s="53">
        <f t="shared" si="81"/>
        <v>4.26</v>
      </c>
      <c r="AR108" s="53">
        <f t="shared" si="82"/>
        <v>21.299999999999997</v>
      </c>
      <c r="AS108" s="56">
        <f t="shared" si="83"/>
        <v>4.6948356807511742E-2</v>
      </c>
      <c r="AT108" s="56">
        <f t="shared" si="114"/>
        <v>0.23474178403755869</v>
      </c>
      <c r="AU108" s="56">
        <f t="shared" si="84"/>
        <v>0.176056338028169</v>
      </c>
      <c r="AV108" s="56">
        <f t="shared" si="115"/>
        <v>5.8685446009389672E-2</v>
      </c>
      <c r="AW108" s="57" t="s">
        <v>2511</v>
      </c>
      <c r="AX108" s="57" t="s">
        <v>2512</v>
      </c>
      <c r="AY108" s="57" t="s">
        <v>2513</v>
      </c>
      <c r="AZ108" s="58">
        <f t="shared" si="116"/>
        <v>1.7265326695084</v>
      </c>
      <c r="BA108" s="59">
        <f t="shared" si="119"/>
        <v>5.0661169879941313E-2</v>
      </c>
      <c r="BB108" s="59">
        <f t="shared" si="120"/>
        <v>0.15198350963982393</v>
      </c>
      <c r="BC108" s="59">
        <f t="shared" si="121"/>
        <v>4.0528935903953053E-2</v>
      </c>
      <c r="BD108" s="60">
        <f t="shared" si="117"/>
        <v>0.5</v>
      </c>
      <c r="BE108" s="59">
        <f t="shared" si="118"/>
        <v>0.5</v>
      </c>
      <c r="BQ108" s="61">
        <v>3000</v>
      </c>
      <c r="BR108" s="61">
        <v>1200</v>
      </c>
      <c r="BS108" s="28">
        <f t="shared" si="85"/>
        <v>2980</v>
      </c>
      <c r="BT108" s="28">
        <f t="shared" si="86"/>
        <v>1180</v>
      </c>
      <c r="BU108" s="28" t="s">
        <v>2541</v>
      </c>
      <c r="BV108" s="28">
        <f t="shared" si="87"/>
        <v>1442.259</v>
      </c>
      <c r="BW108" s="28">
        <f t="shared" si="88"/>
        <v>605.63379999999995</v>
      </c>
      <c r="BX108" s="13">
        <f t="shared" si="89"/>
        <v>2.0662030883495959</v>
      </c>
      <c r="BY108" s="13">
        <f t="shared" si="90"/>
        <v>2</v>
      </c>
      <c r="BZ108" s="13">
        <f t="shared" si="91"/>
        <v>1.9483721020854519</v>
      </c>
      <c r="CA108" s="13">
        <f t="shared" si="92"/>
        <v>1</v>
      </c>
      <c r="CB108" s="13">
        <f t="shared" si="93"/>
        <v>2</v>
      </c>
      <c r="CC108" s="62">
        <f t="shared" si="94"/>
        <v>0.5</v>
      </c>
      <c r="CD108" s="13">
        <f t="shared" si="95"/>
        <v>4.9204651391649543</v>
      </c>
      <c r="CE108" s="13">
        <f t="shared" si="96"/>
        <v>4</v>
      </c>
      <c r="CF108" s="13">
        <f t="shared" si="97"/>
        <v>0.81816095444715542</v>
      </c>
      <c r="CG108" s="13">
        <f t="shared" si="98"/>
        <v>0</v>
      </c>
      <c r="CH108" s="28">
        <f t="shared" si="99"/>
        <v>0</v>
      </c>
      <c r="CI108" s="62">
        <f t="shared" si="100"/>
        <v>1</v>
      </c>
      <c r="CJ108" s="59">
        <f t="shared" si="101"/>
        <v>0.5</v>
      </c>
      <c r="CL108" s="63">
        <v>6000</v>
      </c>
      <c r="CM108" s="63">
        <f t="shared" si="102"/>
        <v>1437.259</v>
      </c>
      <c r="CN108" s="63">
        <f t="shared" si="103"/>
        <v>1442.259</v>
      </c>
      <c r="CO108" s="63">
        <f t="shared" si="104"/>
        <v>4.1601404463414688</v>
      </c>
      <c r="CP108" s="13">
        <f t="shared" si="105"/>
        <v>4</v>
      </c>
      <c r="CQ108" s="70">
        <f t="shared" si="106"/>
        <v>0.25</v>
      </c>
      <c r="CR108" s="69">
        <f t="shared" si="74"/>
        <v>0.25</v>
      </c>
    </row>
    <row r="109" spans="1:96" hidden="1" x14ac:dyDescent="0.25">
      <c r="A109" s="13">
        <v>4</v>
      </c>
      <c r="B109" s="14" t="s">
        <v>264</v>
      </c>
      <c r="C109" s="13" t="s">
        <v>352</v>
      </c>
      <c r="D109" s="13" t="s">
        <v>2270</v>
      </c>
      <c r="E109" s="13" t="s">
        <v>32</v>
      </c>
      <c r="F109" s="15">
        <f t="shared" si="75"/>
        <v>1</v>
      </c>
      <c r="G109" s="13">
        <v>1</v>
      </c>
      <c r="H109" s="13">
        <f t="shared" si="127"/>
        <v>1</v>
      </c>
      <c r="I109" s="13">
        <v>6</v>
      </c>
      <c r="J109" s="14" t="s">
        <v>353</v>
      </c>
      <c r="K109" s="14" t="s">
        <v>34</v>
      </c>
      <c r="L109" s="13" t="s">
        <v>110</v>
      </c>
      <c r="M109" s="14" t="s">
        <v>35</v>
      </c>
      <c r="N109" s="13" t="s">
        <v>354</v>
      </c>
      <c r="O109" s="28" t="s">
        <v>41</v>
      </c>
      <c r="P109" s="28" t="s">
        <v>41</v>
      </c>
      <c r="Q109" s="28"/>
      <c r="R109" s="30"/>
      <c r="S109" s="30"/>
      <c r="T109" s="30"/>
      <c r="U109" s="30"/>
      <c r="V109" s="8">
        <f t="shared" si="76"/>
        <v>0</v>
      </c>
      <c r="W109" s="8">
        <f t="shared" si="77"/>
        <v>0</v>
      </c>
      <c r="X109" s="8">
        <f t="shared" si="78"/>
        <v>0</v>
      </c>
      <c r="Y109" s="33">
        <f t="shared" si="79"/>
        <v>0</v>
      </c>
      <c r="Z109" s="28"/>
      <c r="AA109" s="28"/>
      <c r="AB109" s="28">
        <v>0</v>
      </c>
      <c r="AC109" s="31"/>
      <c r="AD109" s="50">
        <f t="shared" si="80"/>
        <v>1</v>
      </c>
      <c r="AE109" s="31"/>
      <c r="AF109" s="51">
        <v>14</v>
      </c>
      <c r="AG109" s="51">
        <f t="shared" si="108"/>
        <v>8.4</v>
      </c>
      <c r="AH109" s="51">
        <f t="shared" si="73"/>
        <v>42</v>
      </c>
      <c r="AI109" s="52" t="s">
        <v>2497</v>
      </c>
      <c r="AJ109" s="52" t="s">
        <v>2498</v>
      </c>
      <c r="AK109" s="53">
        <f t="shared" si="109"/>
        <v>0</v>
      </c>
      <c r="AL109" s="54">
        <f t="shared" si="110"/>
        <v>0.11904761904761904</v>
      </c>
      <c r="AM109" s="54">
        <f t="shared" si="111"/>
        <v>2.3809523809523808E-2</v>
      </c>
      <c r="AN109" s="55">
        <f t="shared" si="112"/>
        <v>0</v>
      </c>
      <c r="AO109" s="55">
        <f t="shared" si="113"/>
        <v>0</v>
      </c>
      <c r="AP109" s="53">
        <v>7.1</v>
      </c>
      <c r="AQ109" s="53">
        <f t="shared" si="81"/>
        <v>4.26</v>
      </c>
      <c r="AR109" s="53">
        <f t="shared" si="82"/>
        <v>21.299999999999997</v>
      </c>
      <c r="AS109" s="56">
        <f t="shared" si="83"/>
        <v>4.6948356807511742E-2</v>
      </c>
      <c r="AT109" s="56">
        <f t="shared" si="114"/>
        <v>0.23474178403755869</v>
      </c>
      <c r="AU109" s="56">
        <f t="shared" si="84"/>
        <v>0.176056338028169</v>
      </c>
      <c r="AV109" s="56">
        <f t="shared" si="115"/>
        <v>5.8685446009389672E-2</v>
      </c>
      <c r="AW109" s="57" t="s">
        <v>2511</v>
      </c>
      <c r="AX109" s="57" t="s">
        <v>2512</v>
      </c>
      <c r="AY109" s="57" t="s">
        <v>2513</v>
      </c>
      <c r="AZ109" s="58">
        <f t="shared" si="116"/>
        <v>0</v>
      </c>
      <c r="BA109" s="59">
        <f t="shared" si="119"/>
        <v>0</v>
      </c>
      <c r="BB109" s="59">
        <f t="shared" si="120"/>
        <v>0</v>
      </c>
      <c r="BC109" s="59">
        <f t="shared" si="121"/>
        <v>0</v>
      </c>
      <c r="BD109" s="60">
        <f t="shared" si="117"/>
        <v>0</v>
      </c>
      <c r="BE109" s="59">
        <f t="shared" si="118"/>
        <v>0</v>
      </c>
      <c r="BQ109" s="61">
        <v>3000</v>
      </c>
      <c r="BR109" s="61">
        <v>1200</v>
      </c>
      <c r="BS109" s="28">
        <f t="shared" si="85"/>
        <v>2980</v>
      </c>
      <c r="BT109" s="28">
        <f t="shared" si="86"/>
        <v>1180</v>
      </c>
      <c r="BU109" s="28" t="s">
        <v>2541</v>
      </c>
      <c r="BV109" s="28">
        <f t="shared" si="87"/>
        <v>5</v>
      </c>
      <c r="BW109" s="28">
        <f t="shared" si="88"/>
        <v>5</v>
      </c>
      <c r="BX109" s="13">
        <f t="shared" si="89"/>
        <v>596</v>
      </c>
      <c r="BY109" s="13">
        <f t="shared" si="90"/>
        <v>596</v>
      </c>
      <c r="BZ109" s="13">
        <f t="shared" si="91"/>
        <v>236</v>
      </c>
      <c r="CA109" s="13">
        <f t="shared" si="92"/>
        <v>236</v>
      </c>
      <c r="CB109" s="13">
        <f t="shared" si="93"/>
        <v>140656</v>
      </c>
      <c r="CC109" s="62" t="str">
        <f t="shared" si="94"/>
        <v/>
      </c>
      <c r="CD109" s="13">
        <f t="shared" si="95"/>
        <v>596</v>
      </c>
      <c r="CE109" s="13">
        <f t="shared" si="96"/>
        <v>596</v>
      </c>
      <c r="CF109" s="13">
        <f t="shared" si="97"/>
        <v>236</v>
      </c>
      <c r="CG109" s="13">
        <f t="shared" si="98"/>
        <v>236</v>
      </c>
      <c r="CH109" s="28">
        <f t="shared" si="99"/>
        <v>140656</v>
      </c>
      <c r="CI109" s="62" t="str">
        <f t="shared" si="100"/>
        <v/>
      </c>
      <c r="CJ109" s="59">
        <f t="shared" si="101"/>
        <v>0</v>
      </c>
      <c r="CL109" s="63">
        <v>6000</v>
      </c>
      <c r="CM109" s="63">
        <f t="shared" si="102"/>
        <v>0</v>
      </c>
      <c r="CN109" s="63">
        <f t="shared" si="103"/>
        <v>5</v>
      </c>
      <c r="CO109" s="63">
        <f t="shared" si="104"/>
        <v>1200</v>
      </c>
      <c r="CP109" s="13">
        <f t="shared" si="105"/>
        <v>1200</v>
      </c>
      <c r="CQ109" s="70">
        <f t="shared" si="106"/>
        <v>8.3333333333333339E-4</v>
      </c>
      <c r="CR109" s="69">
        <f t="shared" si="74"/>
        <v>8.3333333333333339E-4</v>
      </c>
    </row>
    <row r="110" spans="1:96" hidden="1" x14ac:dyDescent="0.25">
      <c r="A110" s="17">
        <v>5</v>
      </c>
      <c r="B110" s="6" t="s">
        <v>355</v>
      </c>
      <c r="C110" s="17" t="s">
        <v>356</v>
      </c>
      <c r="D110" s="17" t="s">
        <v>2270</v>
      </c>
      <c r="E110" s="17" t="s">
        <v>52</v>
      </c>
      <c r="F110" s="7">
        <f t="shared" si="75"/>
        <v>1</v>
      </c>
      <c r="G110" s="17">
        <v>1</v>
      </c>
      <c r="H110" s="17">
        <f>G110*$H$109</f>
        <v>1</v>
      </c>
      <c r="I110" s="17">
        <v>1</v>
      </c>
      <c r="J110" s="6" t="s">
        <v>357</v>
      </c>
      <c r="K110" s="6" t="s">
        <v>34</v>
      </c>
      <c r="L110" s="17" t="s">
        <v>110</v>
      </c>
      <c r="M110" s="6" t="s">
        <v>35</v>
      </c>
      <c r="N110" s="17" t="s">
        <v>358</v>
      </c>
      <c r="O110" s="28" t="s">
        <v>41</v>
      </c>
      <c r="P110" s="28" t="s">
        <v>41</v>
      </c>
      <c r="Q110" s="28" t="s">
        <v>124</v>
      </c>
      <c r="R110" s="30">
        <v>4</v>
      </c>
      <c r="S110" s="30">
        <v>0.56200000000000006</v>
      </c>
      <c r="T110" s="30"/>
      <c r="U110" s="30">
        <v>9.8000000000000004E-2</v>
      </c>
      <c r="V110" s="8">
        <f t="shared" si="76"/>
        <v>101.6</v>
      </c>
      <c r="W110" s="8">
        <f t="shared" si="77"/>
        <v>14.274800000000001</v>
      </c>
      <c r="X110" s="8">
        <f t="shared" si="78"/>
        <v>0</v>
      </c>
      <c r="Y110" s="33">
        <f t="shared" si="79"/>
        <v>2.4891999999999999</v>
      </c>
      <c r="Z110" s="28" t="s">
        <v>56</v>
      </c>
      <c r="AA110" s="28" t="s">
        <v>57</v>
      </c>
      <c r="AB110" s="61" t="s">
        <v>124</v>
      </c>
      <c r="AC110" s="31" t="s">
        <v>125</v>
      </c>
      <c r="AD110" s="50">
        <f t="shared" si="80"/>
        <v>1</v>
      </c>
      <c r="AE110" s="31"/>
      <c r="AF110" s="51">
        <v>14</v>
      </c>
      <c r="AG110" s="51">
        <f t="shared" si="108"/>
        <v>8.4</v>
      </c>
      <c r="AH110" s="51">
        <f t="shared" si="73"/>
        <v>42</v>
      </c>
      <c r="AI110" s="52" t="s">
        <v>2497</v>
      </c>
      <c r="AJ110" s="52" t="s">
        <v>2498</v>
      </c>
      <c r="AK110" s="53">
        <f t="shared" si="109"/>
        <v>2.9006393600000003E-3</v>
      </c>
      <c r="AL110" s="54">
        <f t="shared" si="110"/>
        <v>0.11904761904761904</v>
      </c>
      <c r="AM110" s="54">
        <f t="shared" si="111"/>
        <v>2.3809523809523808E-2</v>
      </c>
      <c r="AN110" s="55">
        <f t="shared" si="112"/>
        <v>3.4531420952380954E-4</v>
      </c>
      <c r="AO110" s="55">
        <f t="shared" si="113"/>
        <v>6.9062841904761913E-5</v>
      </c>
      <c r="AP110" s="53">
        <v>7.1</v>
      </c>
      <c r="AQ110" s="53">
        <f t="shared" si="81"/>
        <v>4.26</v>
      </c>
      <c r="AR110" s="53">
        <f t="shared" si="82"/>
        <v>21.299999999999997</v>
      </c>
      <c r="AS110" s="56">
        <f t="shared" si="83"/>
        <v>4.6948356807511742E-2</v>
      </c>
      <c r="AT110" s="56">
        <f t="shared" si="114"/>
        <v>0.23474178403755869</v>
      </c>
      <c r="AU110" s="56">
        <f t="shared" si="84"/>
        <v>0.176056338028169</v>
      </c>
      <c r="AV110" s="56">
        <f t="shared" si="115"/>
        <v>5.8685446009389672E-2</v>
      </c>
      <c r="AW110" s="57" t="s">
        <v>2511</v>
      </c>
      <c r="AX110" s="57" t="s">
        <v>2512</v>
      </c>
      <c r="AY110" s="57" t="s">
        <v>2513</v>
      </c>
      <c r="AZ110" s="58">
        <f t="shared" si="116"/>
        <v>2.9006393600000003E-3</v>
      </c>
      <c r="BA110" s="59">
        <f t="shared" si="119"/>
        <v>8.5112657276995317E-5</v>
      </c>
      <c r="BB110" s="59">
        <f t="shared" si="120"/>
        <v>2.5533797183098592E-4</v>
      </c>
      <c r="BC110" s="59">
        <f t="shared" si="121"/>
        <v>6.8090125821596259E-5</v>
      </c>
      <c r="BD110" s="60">
        <f t="shared" si="117"/>
        <v>5.9031877213695393E-4</v>
      </c>
      <c r="BE110" s="59">
        <f t="shared" si="118"/>
        <v>5.9031877213695393E-4</v>
      </c>
      <c r="BQ110" s="61">
        <v>3000</v>
      </c>
      <c r="BR110" s="61">
        <v>1200</v>
      </c>
      <c r="BS110" s="28">
        <f t="shared" si="85"/>
        <v>2980</v>
      </c>
      <c r="BT110" s="28">
        <f t="shared" si="86"/>
        <v>1180</v>
      </c>
      <c r="BU110" s="28" t="s">
        <v>2541</v>
      </c>
      <c r="BV110" s="28">
        <f t="shared" si="87"/>
        <v>106.6</v>
      </c>
      <c r="BW110" s="28">
        <f t="shared" si="88"/>
        <v>19.274799999999999</v>
      </c>
      <c r="BX110" s="13">
        <f t="shared" si="89"/>
        <v>27.954971857410882</v>
      </c>
      <c r="BY110" s="13">
        <f t="shared" si="90"/>
        <v>27</v>
      </c>
      <c r="BZ110" s="13">
        <f t="shared" si="91"/>
        <v>61.219831074771207</v>
      </c>
      <c r="CA110" s="13">
        <f t="shared" si="92"/>
        <v>61</v>
      </c>
      <c r="CB110" s="13">
        <f t="shared" si="93"/>
        <v>1647</v>
      </c>
      <c r="CC110" s="62">
        <f t="shared" si="94"/>
        <v>6.0716454159077113E-4</v>
      </c>
      <c r="CD110" s="13">
        <f t="shared" si="95"/>
        <v>154.60601407018493</v>
      </c>
      <c r="CE110" s="13">
        <f t="shared" si="96"/>
        <v>154</v>
      </c>
      <c r="CF110" s="13">
        <f t="shared" si="97"/>
        <v>11.069418386491558</v>
      </c>
      <c r="CG110" s="13">
        <f t="shared" si="98"/>
        <v>11</v>
      </c>
      <c r="CH110" s="28">
        <f t="shared" si="99"/>
        <v>1694</v>
      </c>
      <c r="CI110" s="62">
        <f t="shared" si="100"/>
        <v>5.9031877213695393E-4</v>
      </c>
      <c r="CJ110" s="59">
        <f t="shared" si="101"/>
        <v>5.9031877213695393E-4</v>
      </c>
      <c r="CL110" s="63">
        <v>6000</v>
      </c>
      <c r="CM110" s="63">
        <f t="shared" si="102"/>
        <v>101.6</v>
      </c>
      <c r="CN110" s="63">
        <f t="shared" si="103"/>
        <v>106.6</v>
      </c>
      <c r="CO110" s="63">
        <f t="shared" si="104"/>
        <v>56.285178236397755</v>
      </c>
      <c r="CP110" s="13">
        <f t="shared" si="105"/>
        <v>56</v>
      </c>
      <c r="CQ110" s="70">
        <f t="shared" si="106"/>
        <v>1.7857142857142856E-2</v>
      </c>
      <c r="CR110" s="69">
        <f t="shared" si="74"/>
        <v>1.7857142857142856E-2</v>
      </c>
    </row>
    <row r="111" spans="1:96" hidden="1" x14ac:dyDescent="0.25">
      <c r="A111" s="17">
        <v>5</v>
      </c>
      <c r="B111" s="6" t="s">
        <v>355</v>
      </c>
      <c r="C111" s="17" t="s">
        <v>359</v>
      </c>
      <c r="D111" s="17" t="s">
        <v>361</v>
      </c>
      <c r="E111" s="17" t="s">
        <v>52</v>
      </c>
      <c r="F111" s="7">
        <f t="shared" si="75"/>
        <v>2</v>
      </c>
      <c r="G111" s="17">
        <v>2</v>
      </c>
      <c r="H111" s="17">
        <f>G111*$H$109</f>
        <v>2</v>
      </c>
      <c r="I111" s="17">
        <v>2</v>
      </c>
      <c r="J111" s="6" t="s">
        <v>360</v>
      </c>
      <c r="K111" s="6" t="s">
        <v>34</v>
      </c>
      <c r="L111" s="17" t="s">
        <v>223</v>
      </c>
      <c r="M111" s="6" t="s">
        <v>340</v>
      </c>
      <c r="N111" s="17" t="s">
        <v>361</v>
      </c>
      <c r="O111" s="28" t="s">
        <v>41</v>
      </c>
      <c r="P111" s="28" t="s">
        <v>41</v>
      </c>
      <c r="Q111" s="28" t="s">
        <v>361</v>
      </c>
      <c r="R111" s="30"/>
      <c r="S111" s="30"/>
      <c r="T111" s="30"/>
      <c r="U111" s="30"/>
      <c r="V111" s="8">
        <f t="shared" si="76"/>
        <v>0</v>
      </c>
      <c r="W111" s="8">
        <f t="shared" si="77"/>
        <v>0</v>
      </c>
      <c r="X111" s="8">
        <f t="shared" si="78"/>
        <v>0</v>
      </c>
      <c r="Y111" s="33">
        <f t="shared" si="79"/>
        <v>0</v>
      </c>
      <c r="Z111" s="28"/>
      <c r="AA111" s="28"/>
      <c r="AB111" s="61" t="s">
        <v>361</v>
      </c>
      <c r="AC111" s="31" t="s">
        <v>362</v>
      </c>
      <c r="AD111" s="50">
        <f t="shared" si="80"/>
        <v>2</v>
      </c>
      <c r="AE111" s="31"/>
      <c r="AF111" s="51">
        <v>14</v>
      </c>
      <c r="AG111" s="51">
        <f t="shared" si="108"/>
        <v>8.4</v>
      </c>
      <c r="AH111" s="51">
        <f t="shared" si="73"/>
        <v>42</v>
      </c>
      <c r="AI111" s="52" t="s">
        <v>2497</v>
      </c>
      <c r="AJ111" s="52" t="s">
        <v>2498</v>
      </c>
      <c r="AK111" s="53">
        <f t="shared" si="109"/>
        <v>0</v>
      </c>
      <c r="AL111" s="54">
        <f t="shared" si="110"/>
        <v>0.11904761904761904</v>
      </c>
      <c r="AM111" s="54">
        <f t="shared" si="111"/>
        <v>2.3809523809523808E-2</v>
      </c>
      <c r="AN111" s="55">
        <f t="shared" si="112"/>
        <v>0</v>
      </c>
      <c r="AO111" s="55">
        <f t="shared" si="113"/>
        <v>0</v>
      </c>
      <c r="AP111" s="53">
        <v>7.1</v>
      </c>
      <c r="AQ111" s="53">
        <f t="shared" si="81"/>
        <v>4.26</v>
      </c>
      <c r="AR111" s="53">
        <f t="shared" si="82"/>
        <v>21.299999999999997</v>
      </c>
      <c r="AS111" s="56">
        <f t="shared" si="83"/>
        <v>4.6948356807511742E-2</v>
      </c>
      <c r="AT111" s="56">
        <f t="shared" si="114"/>
        <v>0.23474178403755869</v>
      </c>
      <c r="AU111" s="56">
        <f t="shared" si="84"/>
        <v>0.176056338028169</v>
      </c>
      <c r="AV111" s="56">
        <f t="shared" si="115"/>
        <v>5.8685446009389672E-2</v>
      </c>
      <c r="AW111" s="57" t="s">
        <v>2511</v>
      </c>
      <c r="AX111" s="57" t="s">
        <v>2512</v>
      </c>
      <c r="AY111" s="57" t="s">
        <v>2513</v>
      </c>
      <c r="AZ111" s="58">
        <f t="shared" si="116"/>
        <v>0</v>
      </c>
      <c r="BA111" s="59">
        <f t="shared" si="119"/>
        <v>0</v>
      </c>
      <c r="BB111" s="59">
        <f t="shared" si="120"/>
        <v>0</v>
      </c>
      <c r="BC111" s="59">
        <f t="shared" si="121"/>
        <v>0</v>
      </c>
      <c r="BD111" s="60">
        <f t="shared" si="117"/>
        <v>7.1095438516664771E-6</v>
      </c>
      <c r="BE111" s="59">
        <f t="shared" si="118"/>
        <v>1.4219087703332954E-5</v>
      </c>
      <c r="BQ111" s="61">
        <v>3000</v>
      </c>
      <c r="BR111" s="61">
        <v>1200</v>
      </c>
      <c r="BS111" s="28">
        <f t="shared" si="85"/>
        <v>2980</v>
      </c>
      <c r="BT111" s="28">
        <f t="shared" si="86"/>
        <v>1180</v>
      </c>
      <c r="BU111" s="28" t="s">
        <v>2541</v>
      </c>
      <c r="BV111" s="28">
        <f t="shared" si="87"/>
        <v>5</v>
      </c>
      <c r="BW111" s="28">
        <f t="shared" si="88"/>
        <v>5</v>
      </c>
      <c r="BX111" s="13">
        <f t="shared" si="89"/>
        <v>596</v>
      </c>
      <c r="BY111" s="13">
        <f t="shared" si="90"/>
        <v>596</v>
      </c>
      <c r="BZ111" s="13">
        <f t="shared" si="91"/>
        <v>236</v>
      </c>
      <c r="CA111" s="13">
        <f t="shared" si="92"/>
        <v>236</v>
      </c>
      <c r="CB111" s="13">
        <f t="shared" si="93"/>
        <v>140656</v>
      </c>
      <c r="CC111" s="62">
        <f t="shared" si="94"/>
        <v>7.1095438516664771E-6</v>
      </c>
      <c r="CD111" s="13">
        <f t="shared" si="95"/>
        <v>596</v>
      </c>
      <c r="CE111" s="13">
        <f t="shared" si="96"/>
        <v>596</v>
      </c>
      <c r="CF111" s="13">
        <f t="shared" si="97"/>
        <v>236</v>
      </c>
      <c r="CG111" s="13">
        <f t="shared" si="98"/>
        <v>236</v>
      </c>
      <c r="CH111" s="28">
        <f t="shared" si="99"/>
        <v>140656</v>
      </c>
      <c r="CI111" s="62">
        <f t="shared" si="100"/>
        <v>7.1095438516664771E-6</v>
      </c>
      <c r="CJ111" s="59">
        <f t="shared" si="101"/>
        <v>7.1095438516664771E-6</v>
      </c>
      <c r="CL111" s="63">
        <v>6000</v>
      </c>
      <c r="CM111" s="63">
        <f t="shared" si="102"/>
        <v>0</v>
      </c>
      <c r="CN111" s="63">
        <f t="shared" si="103"/>
        <v>5</v>
      </c>
      <c r="CO111" s="63">
        <f t="shared" si="104"/>
        <v>1200</v>
      </c>
      <c r="CP111" s="13">
        <f t="shared" si="105"/>
        <v>1200</v>
      </c>
      <c r="CQ111" s="70">
        <f t="shared" si="106"/>
        <v>8.3333333333333339E-4</v>
      </c>
      <c r="CR111" s="69">
        <f t="shared" si="74"/>
        <v>1.6666666666666668E-3</v>
      </c>
    </row>
    <row r="112" spans="1:96" hidden="1" x14ac:dyDescent="0.25">
      <c r="A112" s="13">
        <v>4</v>
      </c>
      <c r="B112" s="14" t="s">
        <v>264</v>
      </c>
      <c r="C112" s="13" t="s">
        <v>363</v>
      </c>
      <c r="D112" s="13" t="s">
        <v>2270</v>
      </c>
      <c r="E112" s="13" t="s">
        <v>32</v>
      </c>
      <c r="F112" s="15">
        <f t="shared" si="75"/>
        <v>1</v>
      </c>
      <c r="G112" s="13">
        <v>1</v>
      </c>
      <c r="H112" s="13">
        <f>G112*$H$75</f>
        <v>1</v>
      </c>
      <c r="I112" s="13">
        <v>7</v>
      </c>
      <c r="J112" s="14" t="s">
        <v>364</v>
      </c>
      <c r="K112" s="14" t="s">
        <v>34</v>
      </c>
      <c r="L112" s="13">
        <v>0</v>
      </c>
      <c r="M112" s="14" t="s">
        <v>35</v>
      </c>
      <c r="N112" s="13" t="s">
        <v>365</v>
      </c>
      <c r="O112" s="28" t="s">
        <v>41</v>
      </c>
      <c r="P112" s="28" t="s">
        <v>41</v>
      </c>
      <c r="Q112" s="28"/>
      <c r="R112" s="30"/>
      <c r="S112" s="30"/>
      <c r="T112" s="30"/>
      <c r="U112" s="30"/>
      <c r="V112" s="8">
        <f t="shared" si="76"/>
        <v>0</v>
      </c>
      <c r="W112" s="8">
        <f t="shared" si="77"/>
        <v>0</v>
      </c>
      <c r="X112" s="8">
        <f t="shared" si="78"/>
        <v>0</v>
      </c>
      <c r="Y112" s="33">
        <f t="shared" si="79"/>
        <v>0</v>
      </c>
      <c r="Z112" s="28"/>
      <c r="AA112" s="28"/>
      <c r="AB112" s="28">
        <v>0</v>
      </c>
      <c r="AC112" s="31"/>
      <c r="AD112" s="50">
        <f t="shared" si="80"/>
        <v>1</v>
      </c>
      <c r="AE112" s="31"/>
      <c r="AF112" s="51">
        <v>14</v>
      </c>
      <c r="AG112" s="51">
        <f t="shared" si="108"/>
        <v>8.4</v>
      </c>
      <c r="AH112" s="51">
        <f t="shared" si="73"/>
        <v>42</v>
      </c>
      <c r="AI112" s="52" t="s">
        <v>2497</v>
      </c>
      <c r="AJ112" s="52" t="s">
        <v>2498</v>
      </c>
      <c r="AK112" s="53">
        <f t="shared" si="109"/>
        <v>0</v>
      </c>
      <c r="AL112" s="54">
        <f t="shared" si="110"/>
        <v>0.11904761904761904</v>
      </c>
      <c r="AM112" s="54">
        <f t="shared" si="111"/>
        <v>2.3809523809523808E-2</v>
      </c>
      <c r="AN112" s="55">
        <f t="shared" si="112"/>
        <v>0</v>
      </c>
      <c r="AO112" s="55">
        <f t="shared" si="113"/>
        <v>0</v>
      </c>
      <c r="AP112" s="53">
        <v>7.1</v>
      </c>
      <c r="AQ112" s="53">
        <f t="shared" si="81"/>
        <v>4.26</v>
      </c>
      <c r="AR112" s="53">
        <f t="shared" si="82"/>
        <v>21.299999999999997</v>
      </c>
      <c r="AS112" s="56">
        <f t="shared" si="83"/>
        <v>4.6948356807511742E-2</v>
      </c>
      <c r="AT112" s="56">
        <f t="shared" si="114"/>
        <v>0.23474178403755869</v>
      </c>
      <c r="AU112" s="56">
        <f t="shared" si="84"/>
        <v>0.176056338028169</v>
      </c>
      <c r="AV112" s="56">
        <f t="shared" si="115"/>
        <v>5.8685446009389672E-2</v>
      </c>
      <c r="AW112" s="57" t="s">
        <v>2511</v>
      </c>
      <c r="AX112" s="57" t="s">
        <v>2512</v>
      </c>
      <c r="AY112" s="57" t="s">
        <v>2513</v>
      </c>
      <c r="AZ112" s="58">
        <f t="shared" si="116"/>
        <v>0</v>
      </c>
      <c r="BA112" s="59">
        <f t="shared" si="119"/>
        <v>0</v>
      </c>
      <c r="BB112" s="59">
        <f t="shared" si="120"/>
        <v>0</v>
      </c>
      <c r="BC112" s="59">
        <f t="shared" si="121"/>
        <v>0</v>
      </c>
      <c r="BD112" s="60">
        <f t="shared" si="117"/>
        <v>0</v>
      </c>
      <c r="BE112" s="59">
        <f t="shared" si="118"/>
        <v>0</v>
      </c>
      <c r="BQ112" s="61">
        <v>3000</v>
      </c>
      <c r="BR112" s="61">
        <v>1200</v>
      </c>
      <c r="BS112" s="28">
        <f t="shared" si="85"/>
        <v>2980</v>
      </c>
      <c r="BT112" s="28">
        <f t="shared" si="86"/>
        <v>1180</v>
      </c>
      <c r="BU112" s="28" t="s">
        <v>2541</v>
      </c>
      <c r="BV112" s="28">
        <f t="shared" si="87"/>
        <v>5</v>
      </c>
      <c r="BW112" s="28">
        <f t="shared" si="88"/>
        <v>5</v>
      </c>
      <c r="BX112" s="13">
        <f t="shared" si="89"/>
        <v>596</v>
      </c>
      <c r="BY112" s="13">
        <f t="shared" si="90"/>
        <v>596</v>
      </c>
      <c r="BZ112" s="13">
        <f t="shared" si="91"/>
        <v>236</v>
      </c>
      <c r="CA112" s="13">
        <f t="shared" si="92"/>
        <v>236</v>
      </c>
      <c r="CB112" s="13">
        <f t="shared" si="93"/>
        <v>140656</v>
      </c>
      <c r="CC112" s="62" t="str">
        <f t="shared" si="94"/>
        <v/>
      </c>
      <c r="CD112" s="13">
        <f t="shared" si="95"/>
        <v>596</v>
      </c>
      <c r="CE112" s="13">
        <f t="shared" si="96"/>
        <v>596</v>
      </c>
      <c r="CF112" s="13">
        <f t="shared" si="97"/>
        <v>236</v>
      </c>
      <c r="CG112" s="13">
        <f t="shared" si="98"/>
        <v>236</v>
      </c>
      <c r="CH112" s="28">
        <f t="shared" si="99"/>
        <v>140656</v>
      </c>
      <c r="CI112" s="62" t="str">
        <f t="shared" si="100"/>
        <v/>
      </c>
      <c r="CJ112" s="59">
        <f t="shared" si="101"/>
        <v>0</v>
      </c>
      <c r="CL112" s="63">
        <v>6000</v>
      </c>
      <c r="CM112" s="63">
        <f t="shared" si="102"/>
        <v>0</v>
      </c>
      <c r="CN112" s="63">
        <f t="shared" si="103"/>
        <v>5</v>
      </c>
      <c r="CO112" s="63">
        <f t="shared" si="104"/>
        <v>1200</v>
      </c>
      <c r="CP112" s="13">
        <f t="shared" si="105"/>
        <v>1200</v>
      </c>
      <c r="CQ112" s="70">
        <f t="shared" si="106"/>
        <v>8.3333333333333339E-4</v>
      </c>
      <c r="CR112" s="69">
        <f t="shared" si="74"/>
        <v>8.3333333333333339E-4</v>
      </c>
    </row>
    <row r="113" spans="1:96" hidden="1" x14ac:dyDescent="0.25">
      <c r="A113" s="17">
        <v>5</v>
      </c>
      <c r="B113" s="6" t="s">
        <v>366</v>
      </c>
      <c r="C113" s="17" t="s">
        <v>367</v>
      </c>
      <c r="D113" s="17" t="s">
        <v>2270</v>
      </c>
      <c r="E113" s="17" t="s">
        <v>52</v>
      </c>
      <c r="F113" s="7">
        <f t="shared" si="75"/>
        <v>1</v>
      </c>
      <c r="G113" s="17">
        <v>1</v>
      </c>
      <c r="H113" s="17">
        <f>G113*$H$112</f>
        <v>1</v>
      </c>
      <c r="I113" s="17">
        <v>1</v>
      </c>
      <c r="J113" s="6" t="s">
        <v>357</v>
      </c>
      <c r="K113" s="6" t="s">
        <v>34</v>
      </c>
      <c r="L113" s="17">
        <v>0</v>
      </c>
      <c r="M113" s="6" t="s">
        <v>35</v>
      </c>
      <c r="N113" s="17" t="s">
        <v>368</v>
      </c>
      <c r="O113" s="28" t="s">
        <v>41</v>
      </c>
      <c r="P113" s="28" t="s">
        <v>41</v>
      </c>
      <c r="Q113" s="28" t="s">
        <v>124</v>
      </c>
      <c r="R113" s="30">
        <v>26.488</v>
      </c>
      <c r="S113" s="30">
        <v>0.91</v>
      </c>
      <c r="T113" s="30"/>
      <c r="U113" s="30">
        <v>9.8000000000000004E-2</v>
      </c>
      <c r="V113" s="8">
        <f t="shared" si="76"/>
        <v>672.79519999999991</v>
      </c>
      <c r="W113" s="8">
        <f t="shared" si="77"/>
        <v>23.114000000000001</v>
      </c>
      <c r="X113" s="8">
        <f t="shared" si="78"/>
        <v>0</v>
      </c>
      <c r="Y113" s="33">
        <f t="shared" si="79"/>
        <v>2.4891999999999999</v>
      </c>
      <c r="Z113" s="28" t="s">
        <v>56</v>
      </c>
      <c r="AA113" s="28" t="s">
        <v>57</v>
      </c>
      <c r="AB113" s="61" t="s">
        <v>124</v>
      </c>
      <c r="AC113" s="31" t="s">
        <v>125</v>
      </c>
      <c r="AD113" s="50">
        <f t="shared" si="80"/>
        <v>1</v>
      </c>
      <c r="AE113" s="31"/>
      <c r="AF113" s="51">
        <v>14</v>
      </c>
      <c r="AG113" s="51">
        <f t="shared" si="108"/>
        <v>8.4</v>
      </c>
      <c r="AH113" s="51">
        <f t="shared" si="73"/>
        <v>42</v>
      </c>
      <c r="AI113" s="52" t="s">
        <v>2497</v>
      </c>
      <c r="AJ113" s="52" t="s">
        <v>2498</v>
      </c>
      <c r="AK113" s="53">
        <f t="shared" si="109"/>
        <v>3.1101976505599996E-2</v>
      </c>
      <c r="AL113" s="54">
        <f t="shared" si="110"/>
        <v>0.11904761904761904</v>
      </c>
      <c r="AM113" s="54">
        <f t="shared" si="111"/>
        <v>2.3809523809523808E-2</v>
      </c>
      <c r="AN113" s="55">
        <f t="shared" si="112"/>
        <v>3.702616250666666E-3</v>
      </c>
      <c r="AO113" s="55">
        <f t="shared" si="113"/>
        <v>7.4052325013333319E-4</v>
      </c>
      <c r="AP113" s="53">
        <v>7.1</v>
      </c>
      <c r="AQ113" s="53">
        <f t="shared" si="81"/>
        <v>4.26</v>
      </c>
      <c r="AR113" s="53">
        <f t="shared" si="82"/>
        <v>21.299999999999997</v>
      </c>
      <c r="AS113" s="56">
        <f t="shared" si="83"/>
        <v>4.6948356807511742E-2</v>
      </c>
      <c r="AT113" s="56">
        <f t="shared" si="114"/>
        <v>0.23474178403755869</v>
      </c>
      <c r="AU113" s="56">
        <f t="shared" si="84"/>
        <v>0.176056338028169</v>
      </c>
      <c r="AV113" s="56">
        <f t="shared" si="115"/>
        <v>5.8685446009389672E-2</v>
      </c>
      <c r="AW113" s="57" t="s">
        <v>2511</v>
      </c>
      <c r="AX113" s="57" t="s">
        <v>2512</v>
      </c>
      <c r="AY113" s="57" t="s">
        <v>2513</v>
      </c>
      <c r="AZ113" s="58">
        <f t="shared" si="116"/>
        <v>3.1101976505599996E-2</v>
      </c>
      <c r="BA113" s="59">
        <f t="shared" si="119"/>
        <v>9.1261668150234728E-4</v>
      </c>
      <c r="BB113" s="59">
        <f t="shared" si="120"/>
        <v>2.7378500445070417E-3</v>
      </c>
      <c r="BC113" s="59">
        <f t="shared" si="121"/>
        <v>7.3009334520187795E-4</v>
      </c>
      <c r="BD113" s="60">
        <f t="shared" si="117"/>
        <v>6.0975609756097563E-3</v>
      </c>
      <c r="BE113" s="59">
        <f t="shared" si="118"/>
        <v>6.0975609756097563E-3</v>
      </c>
      <c r="BQ113" s="61">
        <v>3000</v>
      </c>
      <c r="BR113" s="61">
        <v>1200</v>
      </c>
      <c r="BS113" s="28">
        <f t="shared" si="85"/>
        <v>2980</v>
      </c>
      <c r="BT113" s="28">
        <f t="shared" si="86"/>
        <v>1180</v>
      </c>
      <c r="BU113" s="28" t="s">
        <v>2541</v>
      </c>
      <c r="BV113" s="28">
        <f t="shared" si="87"/>
        <v>677.79519999999991</v>
      </c>
      <c r="BW113" s="28">
        <f t="shared" si="88"/>
        <v>28.114000000000001</v>
      </c>
      <c r="BX113" s="13">
        <f t="shared" si="89"/>
        <v>4.3966082970195135</v>
      </c>
      <c r="BY113" s="13">
        <f t="shared" si="90"/>
        <v>4</v>
      </c>
      <c r="BZ113" s="13">
        <f t="shared" si="91"/>
        <v>41.971971259870529</v>
      </c>
      <c r="CA113" s="13">
        <f t="shared" si="92"/>
        <v>41</v>
      </c>
      <c r="CB113" s="13">
        <f t="shared" si="93"/>
        <v>164</v>
      </c>
      <c r="CC113" s="62">
        <f t="shared" si="94"/>
        <v>6.0975609756097563E-3</v>
      </c>
      <c r="CD113" s="13">
        <f t="shared" si="95"/>
        <v>105.99701216475776</v>
      </c>
      <c r="CE113" s="13">
        <f t="shared" si="96"/>
        <v>105</v>
      </c>
      <c r="CF113" s="13">
        <f t="shared" si="97"/>
        <v>1.7409388558667871</v>
      </c>
      <c r="CG113" s="13">
        <f t="shared" si="98"/>
        <v>1</v>
      </c>
      <c r="CH113" s="28">
        <f t="shared" si="99"/>
        <v>105</v>
      </c>
      <c r="CI113" s="62">
        <f t="shared" si="100"/>
        <v>9.5238095238095247E-3</v>
      </c>
      <c r="CJ113" s="59">
        <f t="shared" si="101"/>
        <v>6.0975609756097563E-3</v>
      </c>
      <c r="CL113" s="63">
        <v>6000</v>
      </c>
      <c r="CM113" s="63">
        <f t="shared" si="102"/>
        <v>672.79519999999991</v>
      </c>
      <c r="CN113" s="63">
        <f t="shared" si="103"/>
        <v>677.79519999999991</v>
      </c>
      <c r="CO113" s="63">
        <f t="shared" si="104"/>
        <v>8.8522314705090874</v>
      </c>
      <c r="CP113" s="13">
        <f t="shared" si="105"/>
        <v>8</v>
      </c>
      <c r="CQ113" s="70">
        <f t="shared" si="106"/>
        <v>0.125</v>
      </c>
      <c r="CR113" s="69">
        <f t="shared" si="74"/>
        <v>0.125</v>
      </c>
    </row>
    <row r="114" spans="1:96" hidden="1" x14ac:dyDescent="0.25">
      <c r="A114" s="17">
        <v>5</v>
      </c>
      <c r="B114" s="6" t="s">
        <v>366</v>
      </c>
      <c r="C114" s="17" t="s">
        <v>359</v>
      </c>
      <c r="D114" s="17" t="s">
        <v>361</v>
      </c>
      <c r="E114" s="17" t="s">
        <v>52</v>
      </c>
      <c r="F114" s="7">
        <f t="shared" si="75"/>
        <v>2</v>
      </c>
      <c r="G114" s="17">
        <v>3</v>
      </c>
      <c r="H114" s="17">
        <f t="shared" ref="H114:H115" si="128">G114*$H$112</f>
        <v>3</v>
      </c>
      <c r="I114" s="17">
        <v>2</v>
      </c>
      <c r="J114" s="6" t="s">
        <v>360</v>
      </c>
      <c r="K114" s="6" t="s">
        <v>34</v>
      </c>
      <c r="L114" s="17" t="s">
        <v>223</v>
      </c>
      <c r="M114" s="6" t="s">
        <v>340</v>
      </c>
      <c r="N114" s="17" t="s">
        <v>361</v>
      </c>
      <c r="O114" s="28" t="s">
        <v>41</v>
      </c>
      <c r="P114" s="28" t="s">
        <v>41</v>
      </c>
      <c r="Q114" s="28" t="s">
        <v>361</v>
      </c>
      <c r="R114" s="30"/>
      <c r="S114" s="30"/>
      <c r="T114" s="30"/>
      <c r="U114" s="30"/>
      <c r="V114" s="8">
        <f t="shared" si="76"/>
        <v>0</v>
      </c>
      <c r="W114" s="8">
        <f t="shared" si="77"/>
        <v>0</v>
      </c>
      <c r="X114" s="8">
        <f t="shared" si="78"/>
        <v>0</v>
      </c>
      <c r="Y114" s="33">
        <f t="shared" si="79"/>
        <v>0</v>
      </c>
      <c r="Z114" s="28"/>
      <c r="AA114" s="28"/>
      <c r="AB114" s="61" t="s">
        <v>361</v>
      </c>
      <c r="AC114" s="31" t="s">
        <v>362</v>
      </c>
      <c r="AD114" s="50">
        <f t="shared" si="80"/>
        <v>3</v>
      </c>
      <c r="AE114" s="31"/>
      <c r="AF114" s="51">
        <v>14</v>
      </c>
      <c r="AG114" s="51">
        <f t="shared" si="108"/>
        <v>8.4</v>
      </c>
      <c r="AH114" s="51">
        <f t="shared" si="73"/>
        <v>42</v>
      </c>
      <c r="AI114" s="52" t="s">
        <v>2497</v>
      </c>
      <c r="AJ114" s="52" t="s">
        <v>2498</v>
      </c>
      <c r="AK114" s="53">
        <f t="shared" si="109"/>
        <v>0</v>
      </c>
      <c r="AL114" s="54">
        <f t="shared" si="110"/>
        <v>0.11904761904761904</v>
      </c>
      <c r="AM114" s="54">
        <f t="shared" si="111"/>
        <v>2.3809523809523808E-2</v>
      </c>
      <c r="AN114" s="55">
        <f t="shared" si="112"/>
        <v>0</v>
      </c>
      <c r="AO114" s="55">
        <f t="shared" si="113"/>
        <v>0</v>
      </c>
      <c r="AP114" s="53">
        <v>7.1</v>
      </c>
      <c r="AQ114" s="53">
        <f t="shared" si="81"/>
        <v>4.26</v>
      </c>
      <c r="AR114" s="53">
        <f t="shared" si="82"/>
        <v>21.299999999999997</v>
      </c>
      <c r="AS114" s="56">
        <f t="shared" si="83"/>
        <v>4.6948356807511742E-2</v>
      </c>
      <c r="AT114" s="56">
        <f t="shared" si="114"/>
        <v>0.23474178403755869</v>
      </c>
      <c r="AU114" s="56">
        <f t="shared" si="84"/>
        <v>0.176056338028169</v>
      </c>
      <c r="AV114" s="56">
        <f t="shared" si="115"/>
        <v>5.8685446009389672E-2</v>
      </c>
      <c r="AW114" s="57" t="s">
        <v>2511</v>
      </c>
      <c r="AX114" s="57" t="s">
        <v>2512</v>
      </c>
      <c r="AY114" s="57" t="s">
        <v>2513</v>
      </c>
      <c r="AZ114" s="58">
        <f t="shared" si="116"/>
        <v>0</v>
      </c>
      <c r="BA114" s="59">
        <f t="shared" si="119"/>
        <v>0</v>
      </c>
      <c r="BB114" s="59">
        <f t="shared" si="120"/>
        <v>0</v>
      </c>
      <c r="BC114" s="59">
        <f t="shared" si="121"/>
        <v>0</v>
      </c>
      <c r="BD114" s="60">
        <f t="shared" si="117"/>
        <v>7.1095438516664771E-6</v>
      </c>
      <c r="BE114" s="59">
        <f t="shared" si="118"/>
        <v>2.1328631554999432E-5</v>
      </c>
      <c r="BQ114" s="61">
        <v>3000</v>
      </c>
      <c r="BR114" s="61">
        <v>1200</v>
      </c>
      <c r="BS114" s="28">
        <f t="shared" si="85"/>
        <v>2980</v>
      </c>
      <c r="BT114" s="28">
        <f t="shared" si="86"/>
        <v>1180</v>
      </c>
      <c r="BU114" s="28" t="s">
        <v>2541</v>
      </c>
      <c r="BV114" s="28">
        <f t="shared" si="87"/>
        <v>5</v>
      </c>
      <c r="BW114" s="28">
        <f t="shared" si="88"/>
        <v>5</v>
      </c>
      <c r="BX114" s="13">
        <f t="shared" si="89"/>
        <v>596</v>
      </c>
      <c r="BY114" s="13">
        <f t="shared" si="90"/>
        <v>596</v>
      </c>
      <c r="BZ114" s="13">
        <f t="shared" si="91"/>
        <v>236</v>
      </c>
      <c r="CA114" s="13">
        <f t="shared" si="92"/>
        <v>236</v>
      </c>
      <c r="CB114" s="13">
        <f t="shared" si="93"/>
        <v>140656</v>
      </c>
      <c r="CC114" s="62">
        <f t="shared" si="94"/>
        <v>7.1095438516664771E-6</v>
      </c>
      <c r="CD114" s="13">
        <f t="shared" si="95"/>
        <v>596</v>
      </c>
      <c r="CE114" s="13">
        <f t="shared" si="96"/>
        <v>596</v>
      </c>
      <c r="CF114" s="13">
        <f t="shared" si="97"/>
        <v>236</v>
      </c>
      <c r="CG114" s="13">
        <f t="shared" si="98"/>
        <v>236</v>
      </c>
      <c r="CH114" s="28">
        <f t="shared" si="99"/>
        <v>140656</v>
      </c>
      <c r="CI114" s="62">
        <f t="shared" si="100"/>
        <v>7.1095438516664771E-6</v>
      </c>
      <c r="CJ114" s="59">
        <f t="shared" si="101"/>
        <v>7.1095438516664771E-6</v>
      </c>
      <c r="CL114" s="63">
        <v>6000</v>
      </c>
      <c r="CM114" s="63">
        <f t="shared" si="102"/>
        <v>0</v>
      </c>
      <c r="CN114" s="63">
        <f t="shared" si="103"/>
        <v>5</v>
      </c>
      <c r="CO114" s="63">
        <f t="shared" si="104"/>
        <v>1200</v>
      </c>
      <c r="CP114" s="13">
        <f t="shared" si="105"/>
        <v>1200</v>
      </c>
      <c r="CQ114" s="70">
        <f t="shared" si="106"/>
        <v>8.3333333333333339E-4</v>
      </c>
      <c r="CR114" s="69">
        <f t="shared" si="74"/>
        <v>2.5000000000000001E-3</v>
      </c>
    </row>
    <row r="115" spans="1:96" hidden="1" x14ac:dyDescent="0.25">
      <c r="A115" s="17">
        <v>5</v>
      </c>
      <c r="B115" s="6" t="s">
        <v>366</v>
      </c>
      <c r="C115" s="17" t="s">
        <v>369</v>
      </c>
      <c r="D115" s="17" t="s">
        <v>2270</v>
      </c>
      <c r="E115" s="17" t="s">
        <v>52</v>
      </c>
      <c r="F115" s="7">
        <f t="shared" si="75"/>
        <v>2</v>
      </c>
      <c r="G115" s="17">
        <v>5</v>
      </c>
      <c r="H115" s="17">
        <f t="shared" si="128"/>
        <v>5</v>
      </c>
      <c r="I115" s="17">
        <v>3</v>
      </c>
      <c r="J115" s="6" t="s">
        <v>370</v>
      </c>
      <c r="K115" s="6" t="s">
        <v>34</v>
      </c>
      <c r="L115" s="17" t="s">
        <v>223</v>
      </c>
      <c r="M115" s="6" t="s">
        <v>340</v>
      </c>
      <c r="N115" s="17" t="s">
        <v>371</v>
      </c>
      <c r="O115" s="28" t="s">
        <v>41</v>
      </c>
      <c r="P115" s="28" t="s">
        <v>41</v>
      </c>
      <c r="Q115" s="28" t="s">
        <v>371</v>
      </c>
      <c r="R115" s="30"/>
      <c r="S115" s="30"/>
      <c r="T115" s="30"/>
      <c r="U115" s="30"/>
      <c r="V115" s="8">
        <f t="shared" si="76"/>
        <v>0</v>
      </c>
      <c r="W115" s="8">
        <f t="shared" si="77"/>
        <v>0</v>
      </c>
      <c r="X115" s="8">
        <f t="shared" si="78"/>
        <v>0</v>
      </c>
      <c r="Y115" s="33">
        <f t="shared" si="79"/>
        <v>0</v>
      </c>
      <c r="Z115" s="28"/>
      <c r="AA115" s="28"/>
      <c r="AB115" s="61" t="s">
        <v>371</v>
      </c>
      <c r="AC115" s="31" t="s">
        <v>372</v>
      </c>
      <c r="AD115" s="50">
        <f t="shared" si="80"/>
        <v>5</v>
      </c>
      <c r="AE115" s="31"/>
      <c r="AF115" s="51">
        <v>14</v>
      </c>
      <c r="AG115" s="51">
        <f t="shared" si="108"/>
        <v>8.4</v>
      </c>
      <c r="AH115" s="51">
        <f t="shared" si="73"/>
        <v>42</v>
      </c>
      <c r="AI115" s="52" t="s">
        <v>2497</v>
      </c>
      <c r="AJ115" s="52" t="s">
        <v>2498</v>
      </c>
      <c r="AK115" s="53">
        <f t="shared" si="109"/>
        <v>0</v>
      </c>
      <c r="AL115" s="54">
        <f t="shared" si="110"/>
        <v>0.11904761904761904</v>
      </c>
      <c r="AM115" s="54">
        <f t="shared" si="111"/>
        <v>2.3809523809523808E-2</v>
      </c>
      <c r="AN115" s="55">
        <f t="shared" si="112"/>
        <v>0</v>
      </c>
      <c r="AO115" s="55">
        <f t="shared" si="113"/>
        <v>0</v>
      </c>
      <c r="AP115" s="53">
        <v>7.1</v>
      </c>
      <c r="AQ115" s="53">
        <f t="shared" si="81"/>
        <v>4.26</v>
      </c>
      <c r="AR115" s="53">
        <f t="shared" si="82"/>
        <v>21.299999999999997</v>
      </c>
      <c r="AS115" s="56">
        <f t="shared" si="83"/>
        <v>4.6948356807511742E-2</v>
      </c>
      <c r="AT115" s="56">
        <f t="shared" si="114"/>
        <v>0.23474178403755869</v>
      </c>
      <c r="AU115" s="56">
        <f t="shared" si="84"/>
        <v>0.176056338028169</v>
      </c>
      <c r="AV115" s="56">
        <f t="shared" si="115"/>
        <v>5.8685446009389672E-2</v>
      </c>
      <c r="AW115" s="57" t="s">
        <v>2511</v>
      </c>
      <c r="AX115" s="57" t="s">
        <v>2512</v>
      </c>
      <c r="AY115" s="57" t="s">
        <v>2513</v>
      </c>
      <c r="AZ115" s="58">
        <f t="shared" si="116"/>
        <v>0</v>
      </c>
      <c r="BA115" s="59">
        <f t="shared" si="119"/>
        <v>0</v>
      </c>
      <c r="BB115" s="59">
        <f t="shared" si="120"/>
        <v>0</v>
      </c>
      <c r="BC115" s="59">
        <f t="shared" si="121"/>
        <v>0</v>
      </c>
      <c r="BD115" s="60">
        <f t="shared" si="117"/>
        <v>7.1095438516664771E-6</v>
      </c>
      <c r="BE115" s="59">
        <f t="shared" si="118"/>
        <v>3.5547719258332388E-5</v>
      </c>
      <c r="BQ115" s="61">
        <v>3000</v>
      </c>
      <c r="BR115" s="61">
        <v>1200</v>
      </c>
      <c r="BS115" s="28">
        <f t="shared" si="85"/>
        <v>2980</v>
      </c>
      <c r="BT115" s="28">
        <f t="shared" si="86"/>
        <v>1180</v>
      </c>
      <c r="BU115" s="28" t="s">
        <v>2541</v>
      </c>
      <c r="BV115" s="28">
        <f t="shared" si="87"/>
        <v>5</v>
      </c>
      <c r="BW115" s="28">
        <f t="shared" si="88"/>
        <v>5</v>
      </c>
      <c r="BX115" s="13">
        <f t="shared" si="89"/>
        <v>596</v>
      </c>
      <c r="BY115" s="13">
        <f t="shared" si="90"/>
        <v>596</v>
      </c>
      <c r="BZ115" s="13">
        <f t="shared" si="91"/>
        <v>236</v>
      </c>
      <c r="CA115" s="13">
        <f t="shared" si="92"/>
        <v>236</v>
      </c>
      <c r="CB115" s="13">
        <f t="shared" si="93"/>
        <v>140656</v>
      </c>
      <c r="CC115" s="62">
        <f t="shared" si="94"/>
        <v>7.1095438516664771E-6</v>
      </c>
      <c r="CD115" s="13">
        <f t="shared" si="95"/>
        <v>596</v>
      </c>
      <c r="CE115" s="13">
        <f t="shared" si="96"/>
        <v>596</v>
      </c>
      <c r="CF115" s="13">
        <f t="shared" si="97"/>
        <v>236</v>
      </c>
      <c r="CG115" s="13">
        <f t="shared" si="98"/>
        <v>236</v>
      </c>
      <c r="CH115" s="28">
        <f t="shared" si="99"/>
        <v>140656</v>
      </c>
      <c r="CI115" s="62">
        <f t="shared" si="100"/>
        <v>7.1095438516664771E-6</v>
      </c>
      <c r="CJ115" s="59">
        <f t="shared" si="101"/>
        <v>7.1095438516664771E-6</v>
      </c>
      <c r="CL115" s="63">
        <v>6000</v>
      </c>
      <c r="CM115" s="63">
        <f t="shared" si="102"/>
        <v>0</v>
      </c>
      <c r="CN115" s="63">
        <f t="shared" si="103"/>
        <v>5</v>
      </c>
      <c r="CO115" s="63">
        <f t="shared" si="104"/>
        <v>1200</v>
      </c>
      <c r="CP115" s="13">
        <f t="shared" si="105"/>
        <v>1200</v>
      </c>
      <c r="CQ115" s="70">
        <f t="shared" si="106"/>
        <v>8.3333333333333339E-4</v>
      </c>
      <c r="CR115" s="69">
        <f t="shared" si="74"/>
        <v>4.1666666666666666E-3</v>
      </c>
    </row>
    <row r="116" spans="1:96" hidden="1" x14ac:dyDescent="0.25">
      <c r="A116" s="13">
        <v>4</v>
      </c>
      <c r="B116" s="14" t="s">
        <v>264</v>
      </c>
      <c r="C116" s="13" t="s">
        <v>373</v>
      </c>
      <c r="D116" s="13" t="s">
        <v>2270</v>
      </c>
      <c r="E116" s="13" t="s">
        <v>32</v>
      </c>
      <c r="F116" s="15">
        <f t="shared" si="75"/>
        <v>1</v>
      </c>
      <c r="G116" s="13">
        <v>1</v>
      </c>
      <c r="H116" s="13">
        <f>G116*$H$75</f>
        <v>1</v>
      </c>
      <c r="I116" s="13">
        <v>8</v>
      </c>
      <c r="J116" s="14" t="s">
        <v>374</v>
      </c>
      <c r="K116" s="14" t="s">
        <v>34</v>
      </c>
      <c r="L116" s="13">
        <v>0</v>
      </c>
      <c r="M116" s="14" t="s">
        <v>35</v>
      </c>
      <c r="N116" s="13" t="s">
        <v>375</v>
      </c>
      <c r="O116" s="28" t="s">
        <v>41</v>
      </c>
      <c r="P116" s="28" t="s">
        <v>41</v>
      </c>
      <c r="Q116" s="28"/>
      <c r="R116" s="30"/>
      <c r="S116" s="30"/>
      <c r="T116" s="30"/>
      <c r="U116" s="30"/>
      <c r="V116" s="8">
        <f t="shared" si="76"/>
        <v>0</v>
      </c>
      <c r="W116" s="8">
        <f t="shared" si="77"/>
        <v>0</v>
      </c>
      <c r="X116" s="8">
        <f t="shared" si="78"/>
        <v>0</v>
      </c>
      <c r="Y116" s="33">
        <f t="shared" si="79"/>
        <v>0</v>
      </c>
      <c r="Z116" s="28"/>
      <c r="AA116" s="28"/>
      <c r="AB116" s="28">
        <v>0</v>
      </c>
      <c r="AC116" s="31"/>
      <c r="AD116" s="50">
        <f t="shared" si="80"/>
        <v>1</v>
      </c>
      <c r="AE116" s="31"/>
      <c r="AF116" s="51">
        <v>14</v>
      </c>
      <c r="AG116" s="51">
        <f t="shared" si="108"/>
        <v>8.4</v>
      </c>
      <c r="AH116" s="51">
        <f t="shared" si="73"/>
        <v>42</v>
      </c>
      <c r="AI116" s="52" t="s">
        <v>2497</v>
      </c>
      <c r="AJ116" s="52" t="s">
        <v>2498</v>
      </c>
      <c r="AK116" s="53">
        <f t="shared" si="109"/>
        <v>0</v>
      </c>
      <c r="AL116" s="54">
        <f t="shared" si="110"/>
        <v>0.11904761904761904</v>
      </c>
      <c r="AM116" s="54">
        <f t="shared" si="111"/>
        <v>2.3809523809523808E-2</v>
      </c>
      <c r="AN116" s="55">
        <f t="shared" si="112"/>
        <v>0</v>
      </c>
      <c r="AO116" s="55">
        <f t="shared" si="113"/>
        <v>0</v>
      </c>
      <c r="AP116" s="53">
        <v>7.1</v>
      </c>
      <c r="AQ116" s="53">
        <f t="shared" si="81"/>
        <v>4.26</v>
      </c>
      <c r="AR116" s="53">
        <f t="shared" si="82"/>
        <v>21.299999999999997</v>
      </c>
      <c r="AS116" s="56">
        <f t="shared" si="83"/>
        <v>4.6948356807511742E-2</v>
      </c>
      <c r="AT116" s="56">
        <f t="shared" si="114"/>
        <v>0.23474178403755869</v>
      </c>
      <c r="AU116" s="56">
        <f t="shared" si="84"/>
        <v>0.176056338028169</v>
      </c>
      <c r="AV116" s="56">
        <f t="shared" si="115"/>
        <v>5.8685446009389672E-2</v>
      </c>
      <c r="AW116" s="57" t="s">
        <v>2511</v>
      </c>
      <c r="AX116" s="57" t="s">
        <v>2512</v>
      </c>
      <c r="AY116" s="57" t="s">
        <v>2513</v>
      </c>
      <c r="AZ116" s="58">
        <f t="shared" si="116"/>
        <v>0</v>
      </c>
      <c r="BA116" s="59">
        <f t="shared" si="119"/>
        <v>0</v>
      </c>
      <c r="BB116" s="59">
        <f t="shared" si="120"/>
        <v>0</v>
      </c>
      <c r="BC116" s="59">
        <f t="shared" si="121"/>
        <v>0</v>
      </c>
      <c r="BD116" s="60">
        <f t="shared" si="117"/>
        <v>0</v>
      </c>
      <c r="BE116" s="59">
        <f t="shared" si="118"/>
        <v>0</v>
      </c>
      <c r="BQ116" s="61">
        <v>3000</v>
      </c>
      <c r="BR116" s="61">
        <v>1200</v>
      </c>
      <c r="BS116" s="28">
        <f t="shared" si="85"/>
        <v>2980</v>
      </c>
      <c r="BT116" s="28">
        <f t="shared" si="86"/>
        <v>1180</v>
      </c>
      <c r="BU116" s="28" t="s">
        <v>2541</v>
      </c>
      <c r="BV116" s="28">
        <f t="shared" si="87"/>
        <v>5</v>
      </c>
      <c r="BW116" s="28">
        <f t="shared" si="88"/>
        <v>5</v>
      </c>
      <c r="BX116" s="13">
        <f t="shared" si="89"/>
        <v>596</v>
      </c>
      <c r="BY116" s="13">
        <f t="shared" si="90"/>
        <v>596</v>
      </c>
      <c r="BZ116" s="13">
        <f t="shared" si="91"/>
        <v>236</v>
      </c>
      <c r="CA116" s="13">
        <f t="shared" si="92"/>
        <v>236</v>
      </c>
      <c r="CB116" s="13">
        <f t="shared" si="93"/>
        <v>140656</v>
      </c>
      <c r="CC116" s="62" t="str">
        <f t="shared" si="94"/>
        <v/>
      </c>
      <c r="CD116" s="13">
        <f t="shared" si="95"/>
        <v>596</v>
      </c>
      <c r="CE116" s="13">
        <f t="shared" si="96"/>
        <v>596</v>
      </c>
      <c r="CF116" s="13">
        <f t="shared" si="97"/>
        <v>236</v>
      </c>
      <c r="CG116" s="13">
        <f t="shared" si="98"/>
        <v>236</v>
      </c>
      <c r="CH116" s="28">
        <f t="shared" si="99"/>
        <v>140656</v>
      </c>
      <c r="CI116" s="62" t="str">
        <f t="shared" si="100"/>
        <v/>
      </c>
      <c r="CJ116" s="59">
        <f t="shared" si="101"/>
        <v>0</v>
      </c>
      <c r="CL116" s="63">
        <v>6000</v>
      </c>
      <c r="CM116" s="63">
        <f t="shared" si="102"/>
        <v>0</v>
      </c>
      <c r="CN116" s="63">
        <f t="shared" si="103"/>
        <v>5</v>
      </c>
      <c r="CO116" s="63">
        <f t="shared" si="104"/>
        <v>1200</v>
      </c>
      <c r="CP116" s="13">
        <f t="shared" si="105"/>
        <v>1200</v>
      </c>
      <c r="CQ116" s="70">
        <f t="shared" si="106"/>
        <v>8.3333333333333339E-4</v>
      </c>
      <c r="CR116" s="69">
        <f t="shared" si="74"/>
        <v>8.3333333333333339E-4</v>
      </c>
    </row>
    <row r="117" spans="1:96" hidden="1" x14ac:dyDescent="0.25">
      <c r="A117" s="17">
        <v>5</v>
      </c>
      <c r="B117" s="6" t="s">
        <v>376</v>
      </c>
      <c r="C117" s="17" t="s">
        <v>377</v>
      </c>
      <c r="D117" s="17" t="s">
        <v>2270</v>
      </c>
      <c r="E117" s="17" t="s">
        <v>52</v>
      </c>
      <c r="F117" s="7">
        <f t="shared" si="75"/>
        <v>1</v>
      </c>
      <c r="G117" s="17">
        <v>1</v>
      </c>
      <c r="H117" s="17">
        <f>G117*$H$116</f>
        <v>1</v>
      </c>
      <c r="I117" s="17">
        <v>1</v>
      </c>
      <c r="J117" s="6" t="s">
        <v>277</v>
      </c>
      <c r="K117" s="6" t="s">
        <v>34</v>
      </c>
      <c r="L117" s="17" t="s">
        <v>110</v>
      </c>
      <c r="M117" s="6" t="s">
        <v>35</v>
      </c>
      <c r="N117" s="17" t="s">
        <v>378</v>
      </c>
      <c r="O117" s="28" t="s">
        <v>41</v>
      </c>
      <c r="P117" s="28" t="s">
        <v>41</v>
      </c>
      <c r="Q117" s="28" t="s">
        <v>124</v>
      </c>
      <c r="R117" s="30">
        <v>7.1269999999999998</v>
      </c>
      <c r="S117" s="30">
        <v>4.7910000000000004</v>
      </c>
      <c r="T117" s="30"/>
      <c r="U117" s="30">
        <v>9.8000000000000004E-2</v>
      </c>
      <c r="V117" s="8">
        <f t="shared" si="76"/>
        <v>181.02579999999998</v>
      </c>
      <c r="W117" s="8">
        <f t="shared" si="77"/>
        <v>121.6914</v>
      </c>
      <c r="X117" s="8">
        <f t="shared" si="78"/>
        <v>0</v>
      </c>
      <c r="Y117" s="33">
        <f t="shared" si="79"/>
        <v>2.4891999999999999</v>
      </c>
      <c r="Z117" s="28" t="s">
        <v>56</v>
      </c>
      <c r="AA117" s="28" t="s">
        <v>57</v>
      </c>
      <c r="AB117" s="61" t="s">
        <v>124</v>
      </c>
      <c r="AC117" s="31" t="s">
        <v>125</v>
      </c>
      <c r="AD117" s="50">
        <f t="shared" si="80"/>
        <v>1</v>
      </c>
      <c r="AE117" s="31"/>
      <c r="AF117" s="51">
        <v>14</v>
      </c>
      <c r="AG117" s="51">
        <f t="shared" si="108"/>
        <v>8.4</v>
      </c>
      <c r="AH117" s="51">
        <f t="shared" si="73"/>
        <v>42</v>
      </c>
      <c r="AI117" s="52" t="s">
        <v>2497</v>
      </c>
      <c r="AJ117" s="52" t="s">
        <v>2498</v>
      </c>
      <c r="AK117" s="53">
        <f t="shared" si="109"/>
        <v>4.4058566076239994E-2</v>
      </c>
      <c r="AL117" s="54">
        <f t="shared" si="110"/>
        <v>0.11904761904761904</v>
      </c>
      <c r="AM117" s="54">
        <f t="shared" si="111"/>
        <v>2.3809523809523808E-2</v>
      </c>
      <c r="AN117" s="55">
        <f t="shared" si="112"/>
        <v>5.2450673900285702E-3</v>
      </c>
      <c r="AO117" s="55">
        <f t="shared" si="113"/>
        <v>1.0490134780057141E-3</v>
      </c>
      <c r="AP117" s="53">
        <v>7.1</v>
      </c>
      <c r="AQ117" s="53">
        <f t="shared" si="81"/>
        <v>4.26</v>
      </c>
      <c r="AR117" s="53">
        <f t="shared" si="82"/>
        <v>21.299999999999997</v>
      </c>
      <c r="AS117" s="56">
        <f t="shared" si="83"/>
        <v>4.6948356807511742E-2</v>
      </c>
      <c r="AT117" s="56">
        <f t="shared" si="114"/>
        <v>0.23474178403755869</v>
      </c>
      <c r="AU117" s="56">
        <f t="shared" si="84"/>
        <v>0.176056338028169</v>
      </c>
      <c r="AV117" s="56">
        <f t="shared" si="115"/>
        <v>5.8685446009389672E-2</v>
      </c>
      <c r="AW117" s="57" t="s">
        <v>2511</v>
      </c>
      <c r="AX117" s="57" t="s">
        <v>2512</v>
      </c>
      <c r="AY117" s="57" t="s">
        <v>2513</v>
      </c>
      <c r="AZ117" s="58">
        <f t="shared" si="116"/>
        <v>4.4058566076239994E-2</v>
      </c>
      <c r="BA117" s="59">
        <f t="shared" si="119"/>
        <v>1.2927983003591548E-3</v>
      </c>
      <c r="BB117" s="59">
        <f t="shared" si="120"/>
        <v>3.8783949010774638E-3</v>
      </c>
      <c r="BC117" s="59">
        <f t="shared" si="121"/>
        <v>1.0342386402873239E-3</v>
      </c>
      <c r="BD117" s="60">
        <f t="shared" si="117"/>
        <v>6.9444444444444441E-3</v>
      </c>
      <c r="BE117" s="59">
        <f t="shared" si="118"/>
        <v>6.9444444444444441E-3</v>
      </c>
      <c r="BQ117" s="61">
        <v>3000</v>
      </c>
      <c r="BR117" s="61">
        <v>1200</v>
      </c>
      <c r="BS117" s="28">
        <f t="shared" si="85"/>
        <v>2980</v>
      </c>
      <c r="BT117" s="28">
        <f t="shared" si="86"/>
        <v>1180</v>
      </c>
      <c r="BU117" s="28" t="s">
        <v>2541</v>
      </c>
      <c r="BV117" s="28">
        <f t="shared" si="87"/>
        <v>186.02579999999998</v>
      </c>
      <c r="BW117" s="28">
        <f t="shared" si="88"/>
        <v>126.6914</v>
      </c>
      <c r="BX117" s="13">
        <f t="shared" si="89"/>
        <v>16.019283346718577</v>
      </c>
      <c r="BY117" s="13">
        <f t="shared" si="90"/>
        <v>16</v>
      </c>
      <c r="BZ117" s="13">
        <f t="shared" si="91"/>
        <v>9.3139707983335889</v>
      </c>
      <c r="CA117" s="13">
        <f t="shared" si="92"/>
        <v>9</v>
      </c>
      <c r="CB117" s="13">
        <f t="shared" si="93"/>
        <v>144</v>
      </c>
      <c r="CC117" s="62">
        <f t="shared" si="94"/>
        <v>6.9444444444444441E-3</v>
      </c>
      <c r="CD117" s="13">
        <f t="shared" si="95"/>
        <v>23.521722863588217</v>
      </c>
      <c r="CE117" s="13">
        <f t="shared" si="96"/>
        <v>23</v>
      </c>
      <c r="CF117" s="13">
        <f t="shared" si="97"/>
        <v>6.3432061574254766</v>
      </c>
      <c r="CG117" s="13">
        <f t="shared" si="98"/>
        <v>6</v>
      </c>
      <c r="CH117" s="28">
        <f t="shared" si="99"/>
        <v>138</v>
      </c>
      <c r="CI117" s="62">
        <f t="shared" si="100"/>
        <v>7.246376811594203E-3</v>
      </c>
      <c r="CJ117" s="59">
        <f t="shared" si="101"/>
        <v>6.9444444444444441E-3</v>
      </c>
      <c r="CL117" s="63">
        <v>6000</v>
      </c>
      <c r="CM117" s="63">
        <f t="shared" si="102"/>
        <v>181.02579999999998</v>
      </c>
      <c r="CN117" s="63">
        <f t="shared" si="103"/>
        <v>186.02579999999998</v>
      </c>
      <c r="CO117" s="63">
        <f t="shared" si="104"/>
        <v>32.253590630977001</v>
      </c>
      <c r="CP117" s="13">
        <f t="shared" si="105"/>
        <v>32</v>
      </c>
      <c r="CQ117" s="70">
        <f t="shared" si="106"/>
        <v>3.125E-2</v>
      </c>
      <c r="CR117" s="69">
        <f t="shared" si="74"/>
        <v>3.125E-2</v>
      </c>
    </row>
    <row r="118" spans="1:96" hidden="1" x14ac:dyDescent="0.25">
      <c r="A118" s="17">
        <v>5</v>
      </c>
      <c r="B118" s="6" t="s">
        <v>376</v>
      </c>
      <c r="C118" s="17" t="s">
        <v>379</v>
      </c>
      <c r="D118" s="17" t="s">
        <v>2270</v>
      </c>
      <c r="E118" s="17" t="s">
        <v>52</v>
      </c>
      <c r="F118" s="7">
        <f t="shared" si="75"/>
        <v>1</v>
      </c>
      <c r="G118" s="17">
        <v>1</v>
      </c>
      <c r="H118" s="17">
        <f t="shared" ref="H118:H119" si="129">G118*$H$116</f>
        <v>1</v>
      </c>
      <c r="I118" s="17">
        <v>2</v>
      </c>
      <c r="J118" s="6" t="s">
        <v>380</v>
      </c>
      <c r="K118" s="6" t="s">
        <v>34</v>
      </c>
      <c r="L118" s="17">
        <v>0</v>
      </c>
      <c r="M118" s="6" t="s">
        <v>35</v>
      </c>
      <c r="N118" s="17" t="s">
        <v>381</v>
      </c>
      <c r="O118" s="28" t="s">
        <v>41</v>
      </c>
      <c r="P118" s="28" t="s">
        <v>41</v>
      </c>
      <c r="Q118" s="28" t="s">
        <v>124</v>
      </c>
      <c r="R118" s="30">
        <v>4.33</v>
      </c>
      <c r="S118" s="30">
        <v>3.16</v>
      </c>
      <c r="T118" s="30"/>
      <c r="U118" s="30">
        <v>9.8000000000000004E-2</v>
      </c>
      <c r="V118" s="8">
        <f t="shared" si="76"/>
        <v>109.982</v>
      </c>
      <c r="W118" s="8">
        <f t="shared" si="77"/>
        <v>80.263999999999996</v>
      </c>
      <c r="X118" s="8">
        <f t="shared" si="78"/>
        <v>0</v>
      </c>
      <c r="Y118" s="33">
        <f t="shared" si="79"/>
        <v>2.4891999999999999</v>
      </c>
      <c r="Z118" s="28" t="s">
        <v>56</v>
      </c>
      <c r="AA118" s="28" t="s">
        <v>57</v>
      </c>
      <c r="AB118" s="61" t="s">
        <v>124</v>
      </c>
      <c r="AC118" s="31" t="s">
        <v>125</v>
      </c>
      <c r="AD118" s="50">
        <f t="shared" si="80"/>
        <v>1</v>
      </c>
      <c r="AE118" s="31"/>
      <c r="AF118" s="51">
        <v>14</v>
      </c>
      <c r="AG118" s="51">
        <f t="shared" si="108"/>
        <v>8.4</v>
      </c>
      <c r="AH118" s="51">
        <f t="shared" si="73"/>
        <v>42</v>
      </c>
      <c r="AI118" s="52" t="s">
        <v>2497</v>
      </c>
      <c r="AJ118" s="52" t="s">
        <v>2498</v>
      </c>
      <c r="AK118" s="53">
        <f t="shared" si="109"/>
        <v>1.7655190495999999E-2</v>
      </c>
      <c r="AL118" s="54">
        <f t="shared" si="110"/>
        <v>0.11904761904761904</v>
      </c>
      <c r="AM118" s="54">
        <f t="shared" si="111"/>
        <v>2.3809523809523808E-2</v>
      </c>
      <c r="AN118" s="55">
        <f t="shared" si="112"/>
        <v>2.1018083923809521E-3</v>
      </c>
      <c r="AO118" s="55">
        <f t="shared" si="113"/>
        <v>4.2036167847619044E-4</v>
      </c>
      <c r="AP118" s="53">
        <v>7.1</v>
      </c>
      <c r="AQ118" s="53">
        <f t="shared" si="81"/>
        <v>4.26</v>
      </c>
      <c r="AR118" s="53">
        <f t="shared" si="82"/>
        <v>21.299999999999997</v>
      </c>
      <c r="AS118" s="56">
        <f t="shared" si="83"/>
        <v>4.6948356807511742E-2</v>
      </c>
      <c r="AT118" s="56">
        <f t="shared" si="114"/>
        <v>0.23474178403755869</v>
      </c>
      <c r="AU118" s="56">
        <f t="shared" si="84"/>
        <v>0.176056338028169</v>
      </c>
      <c r="AV118" s="56">
        <f t="shared" si="115"/>
        <v>5.8685446009389672E-2</v>
      </c>
      <c r="AW118" s="57" t="s">
        <v>2511</v>
      </c>
      <c r="AX118" s="57" t="s">
        <v>2512</v>
      </c>
      <c r="AY118" s="57" t="s">
        <v>2513</v>
      </c>
      <c r="AZ118" s="58">
        <f t="shared" si="116"/>
        <v>1.7655190495999999E-2</v>
      </c>
      <c r="BA118" s="59">
        <f t="shared" si="119"/>
        <v>5.1805136431924876E-4</v>
      </c>
      <c r="BB118" s="59">
        <f t="shared" si="120"/>
        <v>1.5541540929577464E-3</v>
      </c>
      <c r="BC118" s="59">
        <f t="shared" si="121"/>
        <v>4.1444109145539907E-4</v>
      </c>
      <c r="BD118" s="60">
        <f t="shared" si="117"/>
        <v>2.9411764705882353E-3</v>
      </c>
      <c r="BE118" s="59">
        <f t="shared" si="118"/>
        <v>2.9411764705882353E-3</v>
      </c>
      <c r="BQ118" s="61">
        <v>3000</v>
      </c>
      <c r="BR118" s="61">
        <v>1200</v>
      </c>
      <c r="BS118" s="28">
        <f t="shared" si="85"/>
        <v>2980</v>
      </c>
      <c r="BT118" s="28">
        <f t="shared" si="86"/>
        <v>1180</v>
      </c>
      <c r="BU118" s="28" t="s">
        <v>2541</v>
      </c>
      <c r="BV118" s="28">
        <f t="shared" si="87"/>
        <v>114.982</v>
      </c>
      <c r="BW118" s="28">
        <f t="shared" si="88"/>
        <v>85.263999999999996</v>
      </c>
      <c r="BX118" s="13">
        <f t="shared" si="89"/>
        <v>25.917100067836707</v>
      </c>
      <c r="BY118" s="13">
        <f t="shared" si="90"/>
        <v>25</v>
      </c>
      <c r="BZ118" s="13">
        <f t="shared" si="91"/>
        <v>13.839369487708764</v>
      </c>
      <c r="CA118" s="13">
        <f t="shared" si="92"/>
        <v>13</v>
      </c>
      <c r="CB118" s="13">
        <f t="shared" si="93"/>
        <v>325</v>
      </c>
      <c r="CC118" s="62">
        <f t="shared" si="94"/>
        <v>3.0769230769230769E-3</v>
      </c>
      <c r="CD118" s="13">
        <f t="shared" si="95"/>
        <v>34.950272096078066</v>
      </c>
      <c r="CE118" s="13">
        <f t="shared" si="96"/>
        <v>34</v>
      </c>
      <c r="CF118" s="13">
        <f t="shared" si="97"/>
        <v>10.262475865787689</v>
      </c>
      <c r="CG118" s="13">
        <f t="shared" si="98"/>
        <v>10</v>
      </c>
      <c r="CH118" s="28">
        <f t="shared" si="99"/>
        <v>340</v>
      </c>
      <c r="CI118" s="62">
        <f t="shared" si="100"/>
        <v>2.9411764705882353E-3</v>
      </c>
      <c r="CJ118" s="59">
        <f t="shared" si="101"/>
        <v>2.9411764705882353E-3</v>
      </c>
      <c r="CL118" s="63">
        <v>6000</v>
      </c>
      <c r="CM118" s="63">
        <f t="shared" si="102"/>
        <v>109.982</v>
      </c>
      <c r="CN118" s="63">
        <f t="shared" si="103"/>
        <v>114.982</v>
      </c>
      <c r="CO118" s="63">
        <f t="shared" si="104"/>
        <v>52.182080673496721</v>
      </c>
      <c r="CP118" s="13">
        <f t="shared" si="105"/>
        <v>52</v>
      </c>
      <c r="CQ118" s="70">
        <f t="shared" si="106"/>
        <v>1.9230769230769232E-2</v>
      </c>
      <c r="CR118" s="69">
        <f t="shared" si="74"/>
        <v>1.9230769230769232E-2</v>
      </c>
    </row>
    <row r="119" spans="1:96" hidden="1" x14ac:dyDescent="0.25">
      <c r="A119" s="17">
        <v>5</v>
      </c>
      <c r="B119" s="6" t="s">
        <v>376</v>
      </c>
      <c r="C119" s="17" t="s">
        <v>221</v>
      </c>
      <c r="D119" s="17" t="s">
        <v>224</v>
      </c>
      <c r="E119" s="17" t="s">
        <v>52</v>
      </c>
      <c r="F119" s="7">
        <f t="shared" si="75"/>
        <v>2</v>
      </c>
      <c r="G119" s="17">
        <v>1</v>
      </c>
      <c r="H119" s="17">
        <f t="shared" si="129"/>
        <v>1</v>
      </c>
      <c r="I119" s="17">
        <v>3</v>
      </c>
      <c r="J119" s="6" t="s">
        <v>222</v>
      </c>
      <c r="K119" s="6" t="s">
        <v>34</v>
      </c>
      <c r="L119" s="17" t="s">
        <v>223</v>
      </c>
      <c r="M119" s="6" t="s">
        <v>35</v>
      </c>
      <c r="N119" s="17" t="s">
        <v>224</v>
      </c>
      <c r="O119" s="28" t="s">
        <v>41</v>
      </c>
      <c r="P119" s="28" t="s">
        <v>41</v>
      </c>
      <c r="Q119" s="28" t="s">
        <v>224</v>
      </c>
      <c r="R119" s="30"/>
      <c r="S119" s="30"/>
      <c r="T119" s="30"/>
      <c r="U119" s="30"/>
      <c r="V119" s="8">
        <f t="shared" si="76"/>
        <v>0</v>
      </c>
      <c r="W119" s="8">
        <f t="shared" si="77"/>
        <v>0</v>
      </c>
      <c r="X119" s="8">
        <f t="shared" si="78"/>
        <v>0</v>
      </c>
      <c r="Y119" s="33">
        <f t="shared" si="79"/>
        <v>0</v>
      </c>
      <c r="Z119" s="28" t="s">
        <v>2477</v>
      </c>
      <c r="AA119" s="28" t="s">
        <v>2477</v>
      </c>
      <c r="AB119" s="61" t="s">
        <v>224</v>
      </c>
      <c r="AC119" s="31" t="s">
        <v>225</v>
      </c>
      <c r="AD119" s="50">
        <f t="shared" si="80"/>
        <v>1</v>
      </c>
      <c r="AE119" s="31"/>
      <c r="AF119" s="51">
        <v>14</v>
      </c>
      <c r="AG119" s="51">
        <f t="shared" si="108"/>
        <v>8.4</v>
      </c>
      <c r="AH119" s="51">
        <f t="shared" si="73"/>
        <v>42</v>
      </c>
      <c r="AI119" s="52" t="s">
        <v>2497</v>
      </c>
      <c r="AJ119" s="52" t="s">
        <v>2498</v>
      </c>
      <c r="AK119" s="53">
        <f t="shared" si="109"/>
        <v>0</v>
      </c>
      <c r="AL119" s="54">
        <f t="shared" si="110"/>
        <v>0.11904761904761904</v>
      </c>
      <c r="AM119" s="54">
        <f t="shared" si="111"/>
        <v>2.3809523809523808E-2</v>
      </c>
      <c r="AN119" s="55">
        <f t="shared" si="112"/>
        <v>0</v>
      </c>
      <c r="AO119" s="55">
        <f t="shared" si="113"/>
        <v>0</v>
      </c>
      <c r="AP119" s="53">
        <v>7.1</v>
      </c>
      <c r="AQ119" s="53">
        <f t="shared" si="81"/>
        <v>4.26</v>
      </c>
      <c r="AR119" s="53">
        <f t="shared" si="82"/>
        <v>21.299999999999997</v>
      </c>
      <c r="AS119" s="56">
        <f t="shared" si="83"/>
        <v>4.6948356807511742E-2</v>
      </c>
      <c r="AT119" s="56">
        <f t="shared" si="114"/>
        <v>0.23474178403755869</v>
      </c>
      <c r="AU119" s="56">
        <f t="shared" si="84"/>
        <v>0.176056338028169</v>
      </c>
      <c r="AV119" s="56">
        <f t="shared" si="115"/>
        <v>5.8685446009389672E-2</v>
      </c>
      <c r="AW119" s="57" t="s">
        <v>2511</v>
      </c>
      <c r="AX119" s="57" t="s">
        <v>2512</v>
      </c>
      <c r="AY119" s="57" t="s">
        <v>2513</v>
      </c>
      <c r="AZ119" s="58">
        <f t="shared" si="116"/>
        <v>0</v>
      </c>
      <c r="BA119" s="59">
        <f t="shared" si="119"/>
        <v>0</v>
      </c>
      <c r="BB119" s="59">
        <f t="shared" si="120"/>
        <v>0</v>
      </c>
      <c r="BC119" s="59">
        <f t="shared" si="121"/>
        <v>0</v>
      </c>
      <c r="BD119" s="60">
        <f t="shared" si="117"/>
        <v>7.1095438516664771E-6</v>
      </c>
      <c r="BE119" s="59">
        <f t="shared" si="118"/>
        <v>7.1095438516664771E-6</v>
      </c>
      <c r="BQ119" s="61">
        <v>3000</v>
      </c>
      <c r="BR119" s="61">
        <v>1200</v>
      </c>
      <c r="BS119" s="28">
        <f t="shared" si="85"/>
        <v>2980</v>
      </c>
      <c r="BT119" s="28">
        <f t="shared" si="86"/>
        <v>1180</v>
      </c>
      <c r="BU119" s="28" t="s">
        <v>2541</v>
      </c>
      <c r="BV119" s="28">
        <f t="shared" si="87"/>
        <v>5</v>
      </c>
      <c r="BW119" s="28">
        <f t="shared" si="88"/>
        <v>5</v>
      </c>
      <c r="BX119" s="13">
        <f t="shared" si="89"/>
        <v>596</v>
      </c>
      <c r="BY119" s="13">
        <f t="shared" si="90"/>
        <v>596</v>
      </c>
      <c r="BZ119" s="13">
        <f t="shared" si="91"/>
        <v>236</v>
      </c>
      <c r="CA119" s="13">
        <f t="shared" si="92"/>
        <v>236</v>
      </c>
      <c r="CB119" s="13">
        <f t="shared" si="93"/>
        <v>140656</v>
      </c>
      <c r="CC119" s="62">
        <f t="shared" si="94"/>
        <v>7.1095438516664771E-6</v>
      </c>
      <c r="CD119" s="13">
        <f t="shared" si="95"/>
        <v>596</v>
      </c>
      <c r="CE119" s="13">
        <f t="shared" si="96"/>
        <v>596</v>
      </c>
      <c r="CF119" s="13">
        <f t="shared" si="97"/>
        <v>236</v>
      </c>
      <c r="CG119" s="13">
        <f t="shared" si="98"/>
        <v>236</v>
      </c>
      <c r="CH119" s="28">
        <f t="shared" si="99"/>
        <v>140656</v>
      </c>
      <c r="CI119" s="62">
        <f t="shared" si="100"/>
        <v>7.1095438516664771E-6</v>
      </c>
      <c r="CJ119" s="59">
        <f t="shared" si="101"/>
        <v>7.1095438516664771E-6</v>
      </c>
      <c r="CL119" s="63">
        <v>6000</v>
      </c>
      <c r="CM119" s="63">
        <f t="shared" si="102"/>
        <v>0</v>
      </c>
      <c r="CN119" s="63">
        <f t="shared" si="103"/>
        <v>5</v>
      </c>
      <c r="CO119" s="63">
        <f t="shared" si="104"/>
        <v>1200</v>
      </c>
      <c r="CP119" s="13">
        <f t="shared" si="105"/>
        <v>1200</v>
      </c>
      <c r="CQ119" s="70">
        <f t="shared" si="106"/>
        <v>8.3333333333333339E-4</v>
      </c>
      <c r="CR119" s="69">
        <f t="shared" si="74"/>
        <v>8.3333333333333339E-4</v>
      </c>
    </row>
    <row r="120" spans="1:96" hidden="1" x14ac:dyDescent="0.25">
      <c r="A120" s="13">
        <v>4</v>
      </c>
      <c r="B120" s="14" t="s">
        <v>264</v>
      </c>
      <c r="C120" s="13" t="s">
        <v>94</v>
      </c>
      <c r="D120" s="13" t="s">
        <v>95</v>
      </c>
      <c r="E120" s="13" t="s">
        <v>52</v>
      </c>
      <c r="F120" s="15">
        <f t="shared" si="75"/>
        <v>13</v>
      </c>
      <c r="G120" s="13">
        <v>6</v>
      </c>
      <c r="H120" s="13">
        <f t="shared" ref="H120:H129" si="130">G120*$H$75</f>
        <v>6</v>
      </c>
      <c r="I120" s="13">
        <v>9</v>
      </c>
      <c r="J120" s="14" t="s">
        <v>76</v>
      </c>
      <c r="K120" s="14" t="s">
        <v>34</v>
      </c>
      <c r="L120" s="13" t="s">
        <v>77</v>
      </c>
      <c r="M120" s="14" t="s">
        <v>35</v>
      </c>
      <c r="N120" s="13" t="s">
        <v>95</v>
      </c>
      <c r="O120" s="28" t="s">
        <v>41</v>
      </c>
      <c r="P120" s="28" t="s">
        <v>41</v>
      </c>
      <c r="Q120" s="28" t="s">
        <v>79</v>
      </c>
      <c r="R120" s="30">
        <v>7.0078740157480315</v>
      </c>
      <c r="S120" s="30">
        <v>0.3125</v>
      </c>
      <c r="T120" s="30"/>
      <c r="U120" s="30">
        <v>0.3125</v>
      </c>
      <c r="V120" s="8">
        <f t="shared" si="76"/>
        <v>178</v>
      </c>
      <c r="W120" s="8">
        <f t="shared" si="77"/>
        <v>7.9375</v>
      </c>
      <c r="X120" s="8">
        <f t="shared" si="78"/>
        <v>0</v>
      </c>
      <c r="Y120" s="33">
        <f t="shared" si="79"/>
        <v>7.9375</v>
      </c>
      <c r="Z120" s="28" t="s">
        <v>80</v>
      </c>
      <c r="AA120" s="28" t="s">
        <v>81</v>
      </c>
      <c r="AB120" s="61" t="s">
        <v>79</v>
      </c>
      <c r="AC120" s="31" t="s">
        <v>82</v>
      </c>
      <c r="AD120" s="50">
        <f t="shared" si="80"/>
        <v>6</v>
      </c>
      <c r="AE120" s="31"/>
      <c r="AF120" s="51">
        <v>14</v>
      </c>
      <c r="AG120" s="51">
        <f t="shared" si="108"/>
        <v>8.4</v>
      </c>
      <c r="AH120" s="51">
        <f t="shared" si="73"/>
        <v>42</v>
      </c>
      <c r="AI120" s="52" t="s">
        <v>2497</v>
      </c>
      <c r="AJ120" s="52" t="s">
        <v>2498</v>
      </c>
      <c r="AK120" s="53">
        <f t="shared" si="109"/>
        <v>2.8257500000000001E-3</v>
      </c>
      <c r="AL120" s="54">
        <f t="shared" si="110"/>
        <v>0.11904761904761904</v>
      </c>
      <c r="AM120" s="54">
        <f t="shared" si="111"/>
        <v>2.3809523809523808E-2</v>
      </c>
      <c r="AN120" s="55">
        <f t="shared" si="112"/>
        <v>2.0183928571428575E-3</v>
      </c>
      <c r="AO120" s="55">
        <f t="shared" si="113"/>
        <v>4.0367857142857143E-4</v>
      </c>
      <c r="AP120" s="53">
        <v>7.1</v>
      </c>
      <c r="AQ120" s="53">
        <f t="shared" si="81"/>
        <v>4.26</v>
      </c>
      <c r="AR120" s="53">
        <f t="shared" si="82"/>
        <v>21.299999999999997</v>
      </c>
      <c r="AS120" s="56">
        <f t="shared" si="83"/>
        <v>4.6948356807511742E-2</v>
      </c>
      <c r="AT120" s="56">
        <f t="shared" si="114"/>
        <v>0.23474178403755869</v>
      </c>
      <c r="AU120" s="56">
        <f t="shared" si="84"/>
        <v>0.176056338028169</v>
      </c>
      <c r="AV120" s="56">
        <f t="shared" si="115"/>
        <v>5.8685446009389672E-2</v>
      </c>
      <c r="AW120" s="57" t="s">
        <v>2511</v>
      </c>
      <c r="AX120" s="57" t="s">
        <v>2512</v>
      </c>
      <c r="AY120" s="57" t="s">
        <v>2513</v>
      </c>
      <c r="AZ120" s="58">
        <f t="shared" si="116"/>
        <v>2.8257500000000001E-3</v>
      </c>
      <c r="BA120" s="59">
        <f t="shared" si="119"/>
        <v>4.974911971830986E-4</v>
      </c>
      <c r="BB120" s="59">
        <f t="shared" si="120"/>
        <v>1.4924735915492957E-3</v>
      </c>
      <c r="BC120" s="59">
        <f t="shared" si="121"/>
        <v>3.9799295774647892E-4</v>
      </c>
      <c r="BD120" s="60">
        <f t="shared" si="117"/>
        <v>6.8681318681318687E-4</v>
      </c>
      <c r="BE120" s="59">
        <f t="shared" si="118"/>
        <v>4.120879120879121E-3</v>
      </c>
      <c r="BQ120" s="61">
        <v>3000</v>
      </c>
      <c r="BR120" s="61">
        <v>1200</v>
      </c>
      <c r="BS120" s="28">
        <f t="shared" si="85"/>
        <v>2980</v>
      </c>
      <c r="BT120" s="28">
        <f t="shared" si="86"/>
        <v>1180</v>
      </c>
      <c r="BU120" s="28" t="s">
        <v>2541</v>
      </c>
      <c r="BV120" s="28">
        <f t="shared" si="87"/>
        <v>183</v>
      </c>
      <c r="BW120" s="28">
        <f t="shared" si="88"/>
        <v>12.9375</v>
      </c>
      <c r="BX120" s="13">
        <f t="shared" si="89"/>
        <v>16.284153005464482</v>
      </c>
      <c r="BY120" s="13">
        <f t="shared" si="90"/>
        <v>16</v>
      </c>
      <c r="BZ120" s="13">
        <f t="shared" si="91"/>
        <v>91.207729468599027</v>
      </c>
      <c r="CA120" s="13">
        <f t="shared" si="92"/>
        <v>91</v>
      </c>
      <c r="CB120" s="13">
        <f t="shared" si="93"/>
        <v>1456</v>
      </c>
      <c r="CC120" s="62">
        <f t="shared" si="94"/>
        <v>6.8681318681318687E-4</v>
      </c>
      <c r="CD120" s="13">
        <f t="shared" si="95"/>
        <v>230.33816425120773</v>
      </c>
      <c r="CE120" s="13">
        <f t="shared" si="96"/>
        <v>230</v>
      </c>
      <c r="CF120" s="13">
        <f t="shared" si="97"/>
        <v>6.4480874316939891</v>
      </c>
      <c r="CG120" s="13">
        <f t="shared" si="98"/>
        <v>6</v>
      </c>
      <c r="CH120" s="28">
        <f t="shared" si="99"/>
        <v>1380</v>
      </c>
      <c r="CI120" s="62">
        <f t="shared" si="100"/>
        <v>7.246376811594203E-4</v>
      </c>
      <c r="CJ120" s="59">
        <f t="shared" si="101"/>
        <v>6.8681318681318687E-4</v>
      </c>
      <c r="CL120" s="63">
        <v>6000</v>
      </c>
      <c r="CM120" s="63">
        <f t="shared" si="102"/>
        <v>178</v>
      </c>
      <c r="CN120" s="63">
        <f t="shared" si="103"/>
        <v>183</v>
      </c>
      <c r="CO120" s="63">
        <f t="shared" si="104"/>
        <v>32.786885245901637</v>
      </c>
      <c r="CP120" s="13">
        <f t="shared" si="105"/>
        <v>32</v>
      </c>
      <c r="CQ120" s="70">
        <f t="shared" si="106"/>
        <v>3.125E-2</v>
      </c>
      <c r="CR120" s="69">
        <f t="shared" si="74"/>
        <v>0.1875</v>
      </c>
    </row>
    <row r="121" spans="1:96" hidden="1" x14ac:dyDescent="0.25">
      <c r="A121" s="13">
        <v>4</v>
      </c>
      <c r="B121" s="14" t="s">
        <v>264</v>
      </c>
      <c r="C121" s="13" t="s">
        <v>382</v>
      </c>
      <c r="D121" s="13" t="s">
        <v>709</v>
      </c>
      <c r="E121" s="13" t="s">
        <v>52</v>
      </c>
      <c r="F121" s="15">
        <f t="shared" si="75"/>
        <v>6</v>
      </c>
      <c r="G121" s="13">
        <v>2</v>
      </c>
      <c r="H121" s="13">
        <f t="shared" si="130"/>
        <v>2</v>
      </c>
      <c r="I121" s="13">
        <v>10</v>
      </c>
      <c r="J121" s="14" t="s">
        <v>76</v>
      </c>
      <c r="K121" s="14" t="s">
        <v>34</v>
      </c>
      <c r="L121" s="13" t="s">
        <v>77</v>
      </c>
      <c r="M121" s="14" t="s">
        <v>35</v>
      </c>
      <c r="N121" s="13" t="s">
        <v>709</v>
      </c>
      <c r="O121" s="28" t="s">
        <v>41</v>
      </c>
      <c r="P121" s="28" t="s">
        <v>41</v>
      </c>
      <c r="Q121" s="28" t="s">
        <v>79</v>
      </c>
      <c r="R121" s="30">
        <v>21.023622047244096</v>
      </c>
      <c r="S121" s="30">
        <v>0.3125</v>
      </c>
      <c r="T121" s="30"/>
      <c r="U121" s="30">
        <v>0.3125</v>
      </c>
      <c r="V121" s="8">
        <f t="shared" si="76"/>
        <v>534</v>
      </c>
      <c r="W121" s="8">
        <f t="shared" si="77"/>
        <v>7.9375</v>
      </c>
      <c r="X121" s="8">
        <f t="shared" si="78"/>
        <v>0</v>
      </c>
      <c r="Y121" s="33">
        <f t="shared" si="79"/>
        <v>7.9375</v>
      </c>
      <c r="Z121" s="28" t="s">
        <v>80</v>
      </c>
      <c r="AA121" s="28" t="s">
        <v>81</v>
      </c>
      <c r="AB121" s="61" t="s">
        <v>79</v>
      </c>
      <c r="AC121" s="31" t="s">
        <v>82</v>
      </c>
      <c r="AD121" s="50">
        <f t="shared" si="80"/>
        <v>2</v>
      </c>
      <c r="AE121" s="31"/>
      <c r="AF121" s="51">
        <v>14</v>
      </c>
      <c r="AG121" s="51">
        <f t="shared" si="108"/>
        <v>8.4</v>
      </c>
      <c r="AH121" s="51">
        <f t="shared" si="73"/>
        <v>42</v>
      </c>
      <c r="AI121" s="52" t="s">
        <v>2497</v>
      </c>
      <c r="AJ121" s="52" t="s">
        <v>2498</v>
      </c>
      <c r="AK121" s="53">
        <f t="shared" si="109"/>
        <v>8.4772500000000004E-3</v>
      </c>
      <c r="AL121" s="54">
        <f t="shared" si="110"/>
        <v>0.11904761904761904</v>
      </c>
      <c r="AM121" s="54">
        <f t="shared" si="111"/>
        <v>2.3809523809523808E-2</v>
      </c>
      <c r="AN121" s="55">
        <f t="shared" si="112"/>
        <v>2.0183928571428571E-3</v>
      </c>
      <c r="AO121" s="55">
        <f t="shared" si="113"/>
        <v>4.0367857142857143E-4</v>
      </c>
      <c r="AP121" s="53">
        <v>7.1</v>
      </c>
      <c r="AQ121" s="53">
        <f t="shared" si="81"/>
        <v>4.26</v>
      </c>
      <c r="AR121" s="53">
        <f t="shared" si="82"/>
        <v>21.299999999999997</v>
      </c>
      <c r="AS121" s="56">
        <f t="shared" si="83"/>
        <v>4.6948356807511742E-2</v>
      </c>
      <c r="AT121" s="56">
        <f t="shared" si="114"/>
        <v>0.23474178403755869</v>
      </c>
      <c r="AU121" s="56">
        <f t="shared" si="84"/>
        <v>0.176056338028169</v>
      </c>
      <c r="AV121" s="56">
        <f t="shared" si="115"/>
        <v>5.8685446009389672E-2</v>
      </c>
      <c r="AW121" s="57" t="s">
        <v>2511</v>
      </c>
      <c r="AX121" s="57" t="s">
        <v>2512</v>
      </c>
      <c r="AY121" s="57" t="s">
        <v>2513</v>
      </c>
      <c r="AZ121" s="58">
        <f t="shared" si="116"/>
        <v>8.4772500000000004E-3</v>
      </c>
      <c r="BA121" s="59">
        <f t="shared" si="119"/>
        <v>4.974911971830986E-4</v>
      </c>
      <c r="BB121" s="59">
        <f t="shared" si="120"/>
        <v>1.4924735915492957E-3</v>
      </c>
      <c r="BC121" s="59">
        <f t="shared" si="121"/>
        <v>3.9799295774647892E-4</v>
      </c>
      <c r="BD121" s="60">
        <f t="shared" si="117"/>
        <v>2.1739130434782609E-3</v>
      </c>
      <c r="BE121" s="59">
        <f t="shared" si="118"/>
        <v>4.3478260869565218E-3</v>
      </c>
      <c r="BQ121" s="61">
        <v>3000</v>
      </c>
      <c r="BR121" s="61">
        <v>1200</v>
      </c>
      <c r="BS121" s="28">
        <f t="shared" si="85"/>
        <v>2980</v>
      </c>
      <c r="BT121" s="28">
        <f t="shared" si="86"/>
        <v>1180</v>
      </c>
      <c r="BU121" s="28" t="s">
        <v>2541</v>
      </c>
      <c r="BV121" s="28">
        <f t="shared" si="87"/>
        <v>539</v>
      </c>
      <c r="BW121" s="28">
        <f t="shared" si="88"/>
        <v>12.9375</v>
      </c>
      <c r="BX121" s="13">
        <f t="shared" si="89"/>
        <v>5.5287569573283859</v>
      </c>
      <c r="BY121" s="13">
        <f t="shared" si="90"/>
        <v>5</v>
      </c>
      <c r="BZ121" s="13">
        <f t="shared" si="91"/>
        <v>91.207729468599027</v>
      </c>
      <c r="CA121" s="13">
        <f t="shared" si="92"/>
        <v>91</v>
      </c>
      <c r="CB121" s="13">
        <f t="shared" si="93"/>
        <v>455</v>
      </c>
      <c r="CC121" s="62">
        <f t="shared" si="94"/>
        <v>2.1978021978021978E-3</v>
      </c>
      <c r="CD121" s="13">
        <f t="shared" si="95"/>
        <v>230.33816425120773</v>
      </c>
      <c r="CE121" s="13">
        <f t="shared" si="96"/>
        <v>230</v>
      </c>
      <c r="CF121" s="13">
        <f t="shared" si="97"/>
        <v>2.1892393320964749</v>
      </c>
      <c r="CG121" s="13">
        <f t="shared" si="98"/>
        <v>2</v>
      </c>
      <c r="CH121" s="28">
        <f t="shared" si="99"/>
        <v>460</v>
      </c>
      <c r="CI121" s="62">
        <f t="shared" si="100"/>
        <v>2.1739130434782609E-3</v>
      </c>
      <c r="CJ121" s="59">
        <f t="shared" si="101"/>
        <v>2.1739130434782609E-3</v>
      </c>
      <c r="CL121" s="63">
        <v>6000</v>
      </c>
      <c r="CM121" s="63">
        <f t="shared" si="102"/>
        <v>534</v>
      </c>
      <c r="CN121" s="63">
        <f t="shared" si="103"/>
        <v>539</v>
      </c>
      <c r="CO121" s="63">
        <f t="shared" si="104"/>
        <v>11.131725417439704</v>
      </c>
      <c r="CP121" s="13">
        <f t="shared" si="105"/>
        <v>11</v>
      </c>
      <c r="CQ121" s="70">
        <f t="shared" si="106"/>
        <v>9.0909090909090912E-2</v>
      </c>
      <c r="CR121" s="69">
        <f t="shared" si="74"/>
        <v>0.18181818181818182</v>
      </c>
    </row>
    <row r="122" spans="1:96" hidden="1" x14ac:dyDescent="0.25">
      <c r="A122" s="13">
        <v>4</v>
      </c>
      <c r="B122" s="14" t="s">
        <v>264</v>
      </c>
      <c r="C122" s="13" t="s">
        <v>383</v>
      </c>
      <c r="D122" s="13" t="s">
        <v>386</v>
      </c>
      <c r="E122" s="13" t="s">
        <v>52</v>
      </c>
      <c r="F122" s="15">
        <f t="shared" si="75"/>
        <v>1</v>
      </c>
      <c r="G122" s="13">
        <v>2</v>
      </c>
      <c r="H122" s="13">
        <f t="shared" si="130"/>
        <v>2</v>
      </c>
      <c r="I122" s="13">
        <v>11</v>
      </c>
      <c r="J122" s="14" t="s">
        <v>384</v>
      </c>
      <c r="K122" s="14" t="s">
        <v>34</v>
      </c>
      <c r="L122" s="13" t="s">
        <v>385</v>
      </c>
      <c r="M122" s="14" t="s">
        <v>35</v>
      </c>
      <c r="N122" s="13" t="s">
        <v>386</v>
      </c>
      <c r="O122" s="28" t="s">
        <v>41</v>
      </c>
      <c r="P122" s="28" t="s">
        <v>41</v>
      </c>
      <c r="Q122" s="28" t="s">
        <v>85</v>
      </c>
      <c r="R122" s="30">
        <v>12.637795275590552</v>
      </c>
      <c r="S122" s="30">
        <v>0.375</v>
      </c>
      <c r="T122" s="30"/>
      <c r="U122" s="30">
        <v>0.375</v>
      </c>
      <c r="V122" s="8">
        <f t="shared" si="76"/>
        <v>321</v>
      </c>
      <c r="W122" s="8">
        <f t="shared" si="77"/>
        <v>9.5249999999999986</v>
      </c>
      <c r="X122" s="8">
        <f t="shared" si="78"/>
        <v>0</v>
      </c>
      <c r="Y122" s="33">
        <f t="shared" si="79"/>
        <v>9.5249999999999986</v>
      </c>
      <c r="Z122" s="28" t="s">
        <v>80</v>
      </c>
      <c r="AA122" s="28" t="s">
        <v>81</v>
      </c>
      <c r="AB122" s="61" t="s">
        <v>85</v>
      </c>
      <c r="AC122" s="31" t="s">
        <v>86</v>
      </c>
      <c r="AD122" s="50">
        <f t="shared" si="80"/>
        <v>2</v>
      </c>
      <c r="AE122" s="48"/>
      <c r="AF122" s="51">
        <v>14</v>
      </c>
      <c r="AG122" s="51">
        <f t="shared" si="108"/>
        <v>8.4</v>
      </c>
      <c r="AH122" s="51">
        <f t="shared" si="73"/>
        <v>42</v>
      </c>
      <c r="AI122" s="52" t="s">
        <v>2497</v>
      </c>
      <c r="AJ122" s="52" t="s">
        <v>2498</v>
      </c>
      <c r="AK122" s="53">
        <f t="shared" si="109"/>
        <v>6.1150499999999995E-3</v>
      </c>
      <c r="AL122" s="54">
        <f t="shared" si="110"/>
        <v>0.11904761904761904</v>
      </c>
      <c r="AM122" s="54">
        <f t="shared" si="111"/>
        <v>2.3809523809523808E-2</v>
      </c>
      <c r="AN122" s="55">
        <f t="shared" si="112"/>
        <v>1.4559642857142855E-3</v>
      </c>
      <c r="AO122" s="55">
        <f t="shared" si="113"/>
        <v>2.9119285714285708E-4</v>
      </c>
      <c r="AP122" s="53">
        <v>7.1</v>
      </c>
      <c r="AQ122" s="53">
        <f t="shared" si="81"/>
        <v>4.26</v>
      </c>
      <c r="AR122" s="53">
        <f t="shared" si="82"/>
        <v>21.299999999999997</v>
      </c>
      <c r="AS122" s="56">
        <f t="shared" si="83"/>
        <v>4.6948356807511742E-2</v>
      </c>
      <c r="AT122" s="56">
        <f t="shared" si="114"/>
        <v>0.23474178403755869</v>
      </c>
      <c r="AU122" s="56">
        <f t="shared" si="84"/>
        <v>0.176056338028169</v>
      </c>
      <c r="AV122" s="56">
        <f t="shared" si="115"/>
        <v>5.8685446009389672E-2</v>
      </c>
      <c r="AW122" s="57" t="s">
        <v>2511</v>
      </c>
      <c r="AX122" s="57" t="s">
        <v>2512</v>
      </c>
      <c r="AY122" s="57" t="s">
        <v>2513</v>
      </c>
      <c r="AZ122" s="58">
        <f t="shared" si="116"/>
        <v>6.1150499999999995E-3</v>
      </c>
      <c r="BA122" s="59">
        <f t="shared" si="119"/>
        <v>3.5886443661971827E-4</v>
      </c>
      <c r="BB122" s="59">
        <f t="shared" si="120"/>
        <v>1.0765933098591549E-3</v>
      </c>
      <c r="BC122" s="59">
        <f t="shared" si="121"/>
        <v>2.8709154929577467E-4</v>
      </c>
      <c r="BD122" s="60">
        <f t="shared" si="117"/>
        <v>1.3717421124828531E-3</v>
      </c>
      <c r="BE122" s="59">
        <f t="shared" si="118"/>
        <v>2.7434842249657062E-3</v>
      </c>
      <c r="BQ122" s="61">
        <v>3000</v>
      </c>
      <c r="BR122" s="61">
        <v>1200</v>
      </c>
      <c r="BS122" s="28">
        <f t="shared" si="85"/>
        <v>2980</v>
      </c>
      <c r="BT122" s="28">
        <f t="shared" si="86"/>
        <v>1180</v>
      </c>
      <c r="BU122" s="28" t="s">
        <v>2541</v>
      </c>
      <c r="BV122" s="28">
        <f t="shared" si="87"/>
        <v>326</v>
      </c>
      <c r="BW122" s="28">
        <f t="shared" si="88"/>
        <v>14.524999999999999</v>
      </c>
      <c r="BX122" s="13">
        <f t="shared" si="89"/>
        <v>9.1411042944785272</v>
      </c>
      <c r="BY122" s="13">
        <f t="shared" si="90"/>
        <v>9</v>
      </c>
      <c r="BZ122" s="13">
        <f t="shared" si="91"/>
        <v>81.239242685025829</v>
      </c>
      <c r="CA122" s="13">
        <f t="shared" si="92"/>
        <v>81</v>
      </c>
      <c r="CB122" s="13">
        <f t="shared" si="93"/>
        <v>729</v>
      </c>
      <c r="CC122" s="62">
        <f t="shared" si="94"/>
        <v>1.3717421124828531E-3</v>
      </c>
      <c r="CD122" s="13">
        <f t="shared" si="95"/>
        <v>205.16351118760758</v>
      </c>
      <c r="CE122" s="13">
        <f t="shared" si="96"/>
        <v>205</v>
      </c>
      <c r="CF122" s="13">
        <f t="shared" si="97"/>
        <v>3.6196319018404908</v>
      </c>
      <c r="CG122" s="13">
        <f t="shared" si="98"/>
        <v>3</v>
      </c>
      <c r="CH122" s="28">
        <f t="shared" si="99"/>
        <v>615</v>
      </c>
      <c r="CI122" s="62">
        <f t="shared" si="100"/>
        <v>1.6260162601626016E-3</v>
      </c>
      <c r="CJ122" s="59">
        <f t="shared" si="101"/>
        <v>1.3717421124828531E-3</v>
      </c>
      <c r="CL122" s="63">
        <v>6000</v>
      </c>
      <c r="CM122" s="63">
        <f t="shared" si="102"/>
        <v>321</v>
      </c>
      <c r="CN122" s="63">
        <f t="shared" si="103"/>
        <v>326</v>
      </c>
      <c r="CO122" s="63">
        <f t="shared" si="104"/>
        <v>18.404907975460123</v>
      </c>
      <c r="CP122" s="13">
        <f t="shared" si="105"/>
        <v>18</v>
      </c>
      <c r="CQ122" s="70">
        <f t="shared" si="106"/>
        <v>5.5555555555555552E-2</v>
      </c>
      <c r="CR122" s="69">
        <f t="shared" si="74"/>
        <v>0.1111111111111111</v>
      </c>
    </row>
    <row r="123" spans="1:96" hidden="1" x14ac:dyDescent="0.25">
      <c r="A123" s="13">
        <v>4</v>
      </c>
      <c r="B123" s="14" t="s">
        <v>264</v>
      </c>
      <c r="C123" s="13" t="s">
        <v>387</v>
      </c>
      <c r="D123" s="13" t="s">
        <v>390</v>
      </c>
      <c r="E123" s="13" t="s">
        <v>52</v>
      </c>
      <c r="F123" s="15">
        <f t="shared" si="75"/>
        <v>1</v>
      </c>
      <c r="G123" s="13">
        <v>4</v>
      </c>
      <c r="H123" s="13">
        <f t="shared" si="130"/>
        <v>4</v>
      </c>
      <c r="I123" s="13">
        <v>12</v>
      </c>
      <c r="J123" s="14" t="s">
        <v>388</v>
      </c>
      <c r="K123" s="14" t="s">
        <v>34</v>
      </c>
      <c r="L123" s="13" t="s">
        <v>389</v>
      </c>
      <c r="M123" s="14" t="s">
        <v>35</v>
      </c>
      <c r="N123" s="13" t="s">
        <v>390</v>
      </c>
      <c r="O123" s="28" t="s">
        <v>41</v>
      </c>
      <c r="P123" s="28" t="s">
        <v>41</v>
      </c>
      <c r="Q123" s="28" t="s">
        <v>85</v>
      </c>
      <c r="R123" s="30">
        <v>26.535433070866144</v>
      </c>
      <c r="S123" s="30">
        <v>0.375</v>
      </c>
      <c r="T123" s="30"/>
      <c r="U123" s="30">
        <v>0.375</v>
      </c>
      <c r="V123" s="8">
        <f t="shared" si="76"/>
        <v>674</v>
      </c>
      <c r="W123" s="8">
        <f t="shared" si="77"/>
        <v>9.5249999999999986</v>
      </c>
      <c r="X123" s="8">
        <f t="shared" si="78"/>
        <v>0</v>
      </c>
      <c r="Y123" s="33">
        <f t="shared" si="79"/>
        <v>9.5249999999999986</v>
      </c>
      <c r="Z123" s="28" t="s">
        <v>80</v>
      </c>
      <c r="AA123" s="28" t="s">
        <v>81</v>
      </c>
      <c r="AB123" s="61" t="s">
        <v>85</v>
      </c>
      <c r="AC123" s="31" t="s">
        <v>86</v>
      </c>
      <c r="AD123" s="50">
        <f t="shared" si="80"/>
        <v>4</v>
      </c>
      <c r="AE123" s="31"/>
      <c r="AF123" s="51">
        <v>14</v>
      </c>
      <c r="AG123" s="51">
        <f t="shared" si="108"/>
        <v>8.4</v>
      </c>
      <c r="AH123" s="51">
        <f t="shared" si="73"/>
        <v>42</v>
      </c>
      <c r="AI123" s="52" t="s">
        <v>2497</v>
      </c>
      <c r="AJ123" s="52" t="s">
        <v>2498</v>
      </c>
      <c r="AK123" s="53">
        <f t="shared" si="109"/>
        <v>1.2839699999999999E-2</v>
      </c>
      <c r="AL123" s="54">
        <f t="shared" si="110"/>
        <v>0.11904761904761904</v>
      </c>
      <c r="AM123" s="54">
        <f t="shared" si="111"/>
        <v>2.3809523809523808E-2</v>
      </c>
      <c r="AN123" s="55">
        <f t="shared" si="112"/>
        <v>6.1141428571428562E-3</v>
      </c>
      <c r="AO123" s="55">
        <f t="shared" si="113"/>
        <v>1.2228285714285714E-3</v>
      </c>
      <c r="AP123" s="53">
        <v>7.1</v>
      </c>
      <c r="AQ123" s="53">
        <f t="shared" si="81"/>
        <v>4.26</v>
      </c>
      <c r="AR123" s="53">
        <f t="shared" si="82"/>
        <v>21.299999999999997</v>
      </c>
      <c r="AS123" s="56">
        <f t="shared" si="83"/>
        <v>4.6948356807511742E-2</v>
      </c>
      <c r="AT123" s="56">
        <f t="shared" si="114"/>
        <v>0.23474178403755869</v>
      </c>
      <c r="AU123" s="56">
        <f t="shared" si="84"/>
        <v>0.176056338028169</v>
      </c>
      <c r="AV123" s="56">
        <f t="shared" si="115"/>
        <v>5.8685446009389672E-2</v>
      </c>
      <c r="AW123" s="57" t="s">
        <v>2511</v>
      </c>
      <c r="AX123" s="57" t="s">
        <v>2512</v>
      </c>
      <c r="AY123" s="57" t="s">
        <v>2513</v>
      </c>
      <c r="AZ123" s="58">
        <f t="shared" si="116"/>
        <v>1.2839699999999999E-2</v>
      </c>
      <c r="BA123" s="59">
        <f t="shared" si="119"/>
        <v>1.5070070422535211E-3</v>
      </c>
      <c r="BB123" s="59">
        <f t="shared" si="120"/>
        <v>4.5210211267605631E-3</v>
      </c>
      <c r="BC123" s="59">
        <f t="shared" si="121"/>
        <v>1.2056056338028169E-3</v>
      </c>
      <c r="BD123" s="60">
        <f t="shared" si="117"/>
        <v>3.0864197530864196E-3</v>
      </c>
      <c r="BE123" s="59">
        <f t="shared" si="118"/>
        <v>1.2345679012345678E-2</v>
      </c>
      <c r="BQ123" s="61">
        <v>3000</v>
      </c>
      <c r="BR123" s="61">
        <v>1200</v>
      </c>
      <c r="BS123" s="28">
        <f t="shared" si="85"/>
        <v>2980</v>
      </c>
      <c r="BT123" s="28">
        <f t="shared" si="86"/>
        <v>1180</v>
      </c>
      <c r="BU123" s="28" t="s">
        <v>2541</v>
      </c>
      <c r="BV123" s="28">
        <f t="shared" si="87"/>
        <v>679</v>
      </c>
      <c r="BW123" s="28">
        <f t="shared" si="88"/>
        <v>14.524999999999999</v>
      </c>
      <c r="BX123" s="13">
        <f t="shared" si="89"/>
        <v>4.3888070692194407</v>
      </c>
      <c r="BY123" s="13">
        <f t="shared" si="90"/>
        <v>4</v>
      </c>
      <c r="BZ123" s="13">
        <f t="shared" si="91"/>
        <v>81.239242685025829</v>
      </c>
      <c r="CA123" s="13">
        <f t="shared" si="92"/>
        <v>81</v>
      </c>
      <c r="CB123" s="13">
        <f t="shared" si="93"/>
        <v>324</v>
      </c>
      <c r="CC123" s="62">
        <f t="shared" si="94"/>
        <v>3.0864197530864196E-3</v>
      </c>
      <c r="CD123" s="13">
        <f t="shared" si="95"/>
        <v>205.16351118760758</v>
      </c>
      <c r="CE123" s="13">
        <f t="shared" si="96"/>
        <v>205</v>
      </c>
      <c r="CF123" s="13">
        <f t="shared" si="97"/>
        <v>1.7378497790868925</v>
      </c>
      <c r="CG123" s="13">
        <f t="shared" si="98"/>
        <v>1</v>
      </c>
      <c r="CH123" s="28">
        <f t="shared" si="99"/>
        <v>205</v>
      </c>
      <c r="CI123" s="62">
        <f t="shared" si="100"/>
        <v>4.8780487804878049E-3</v>
      </c>
      <c r="CJ123" s="59">
        <f t="shared" si="101"/>
        <v>3.0864197530864196E-3</v>
      </c>
      <c r="CL123" s="63">
        <v>6000</v>
      </c>
      <c r="CM123" s="63">
        <f t="shared" si="102"/>
        <v>674</v>
      </c>
      <c r="CN123" s="63">
        <f t="shared" si="103"/>
        <v>679</v>
      </c>
      <c r="CO123" s="63">
        <f t="shared" si="104"/>
        <v>8.8365243004418268</v>
      </c>
      <c r="CP123" s="13">
        <f t="shared" si="105"/>
        <v>8</v>
      </c>
      <c r="CQ123" s="70">
        <f t="shared" si="106"/>
        <v>0.125</v>
      </c>
      <c r="CR123" s="69">
        <f t="shared" si="74"/>
        <v>0.5</v>
      </c>
    </row>
    <row r="124" spans="1:96" hidden="1" x14ac:dyDescent="0.25">
      <c r="A124" s="13">
        <v>4</v>
      </c>
      <c r="B124" s="14" t="s">
        <v>264</v>
      </c>
      <c r="C124" s="13" t="s">
        <v>59</v>
      </c>
      <c r="D124" s="13" t="s">
        <v>61</v>
      </c>
      <c r="E124" s="13" t="s">
        <v>52</v>
      </c>
      <c r="F124" s="15">
        <f t="shared" si="75"/>
        <v>19</v>
      </c>
      <c r="G124" s="13">
        <v>24</v>
      </c>
      <c r="H124" s="13">
        <f t="shared" si="130"/>
        <v>24</v>
      </c>
      <c r="I124" s="13">
        <v>13</v>
      </c>
      <c r="J124" s="14" t="s">
        <v>60</v>
      </c>
      <c r="K124" s="14" t="s">
        <v>34</v>
      </c>
      <c r="L124" s="13">
        <v>0</v>
      </c>
      <c r="M124" s="14" t="s">
        <v>35</v>
      </c>
      <c r="N124" s="13" t="s">
        <v>61</v>
      </c>
      <c r="O124" s="28" t="s">
        <v>41</v>
      </c>
      <c r="P124" s="28" t="s">
        <v>41</v>
      </c>
      <c r="Q124" s="28" t="s">
        <v>61</v>
      </c>
      <c r="R124" s="30"/>
      <c r="S124" s="30"/>
      <c r="T124" s="30"/>
      <c r="U124" s="30"/>
      <c r="V124" s="8">
        <f t="shared" si="76"/>
        <v>0</v>
      </c>
      <c r="W124" s="8">
        <f t="shared" si="77"/>
        <v>0</v>
      </c>
      <c r="X124" s="8">
        <f t="shared" si="78"/>
        <v>0</v>
      </c>
      <c r="Y124" s="33">
        <f t="shared" si="79"/>
        <v>0</v>
      </c>
      <c r="Z124" s="28"/>
      <c r="AA124" s="28"/>
      <c r="AB124" s="61" t="s">
        <v>61</v>
      </c>
      <c r="AC124" s="31" t="s">
        <v>62</v>
      </c>
      <c r="AD124" s="50">
        <f t="shared" si="80"/>
        <v>24</v>
      </c>
      <c r="AE124" s="47" t="s">
        <v>107</v>
      </c>
      <c r="AF124" s="51">
        <v>14</v>
      </c>
      <c r="AG124" s="51">
        <f t="shared" si="108"/>
        <v>8.4</v>
      </c>
      <c r="AH124" s="51">
        <f t="shared" si="73"/>
        <v>42</v>
      </c>
      <c r="AI124" s="52" t="s">
        <v>2497</v>
      </c>
      <c r="AJ124" s="52" t="s">
        <v>2498</v>
      </c>
      <c r="AK124" s="53">
        <f t="shared" si="109"/>
        <v>0</v>
      </c>
      <c r="AL124" s="54">
        <f t="shared" si="110"/>
        <v>0.11904761904761904</v>
      </c>
      <c r="AM124" s="54">
        <f t="shared" si="111"/>
        <v>2.3809523809523808E-2</v>
      </c>
      <c r="AN124" s="55">
        <f t="shared" si="112"/>
        <v>0</v>
      </c>
      <c r="AO124" s="55">
        <f t="shared" si="113"/>
        <v>0</v>
      </c>
      <c r="AP124" s="53">
        <v>7.1</v>
      </c>
      <c r="AQ124" s="53">
        <f t="shared" si="81"/>
        <v>4.26</v>
      </c>
      <c r="AR124" s="53">
        <f t="shared" si="82"/>
        <v>21.299999999999997</v>
      </c>
      <c r="AS124" s="56">
        <f t="shared" si="83"/>
        <v>4.6948356807511742E-2</v>
      </c>
      <c r="AT124" s="56">
        <f t="shared" si="114"/>
        <v>0.23474178403755869</v>
      </c>
      <c r="AU124" s="56">
        <f t="shared" si="84"/>
        <v>0.176056338028169</v>
      </c>
      <c r="AV124" s="56">
        <f t="shared" si="115"/>
        <v>5.8685446009389672E-2</v>
      </c>
      <c r="AW124" s="57" t="s">
        <v>2511</v>
      </c>
      <c r="AX124" s="57" t="s">
        <v>2512</v>
      </c>
      <c r="AY124" s="57" t="s">
        <v>2513</v>
      </c>
      <c r="AZ124" s="58">
        <f t="shared" si="116"/>
        <v>0</v>
      </c>
      <c r="BA124" s="59">
        <f t="shared" si="119"/>
        <v>0</v>
      </c>
      <c r="BB124" s="59">
        <f t="shared" si="120"/>
        <v>0</v>
      </c>
      <c r="BC124" s="59">
        <f t="shared" si="121"/>
        <v>0</v>
      </c>
      <c r="BD124" s="60">
        <f t="shared" si="117"/>
        <v>7.1095438516664771E-6</v>
      </c>
      <c r="BE124" s="59">
        <f t="shared" si="118"/>
        <v>1.7062905243999546E-4</v>
      </c>
      <c r="BQ124" s="61">
        <v>3000</v>
      </c>
      <c r="BR124" s="61">
        <v>1200</v>
      </c>
      <c r="BS124" s="28">
        <f t="shared" si="85"/>
        <v>2980</v>
      </c>
      <c r="BT124" s="28">
        <f t="shared" si="86"/>
        <v>1180</v>
      </c>
      <c r="BU124" s="28" t="s">
        <v>2541</v>
      </c>
      <c r="BV124" s="28">
        <f t="shared" si="87"/>
        <v>5</v>
      </c>
      <c r="BW124" s="28">
        <f t="shared" si="88"/>
        <v>5</v>
      </c>
      <c r="BX124" s="13">
        <f t="shared" si="89"/>
        <v>596</v>
      </c>
      <c r="BY124" s="13">
        <f t="shared" si="90"/>
        <v>596</v>
      </c>
      <c r="BZ124" s="13">
        <f t="shared" si="91"/>
        <v>236</v>
      </c>
      <c r="CA124" s="13">
        <f t="shared" si="92"/>
        <v>236</v>
      </c>
      <c r="CB124" s="13">
        <f t="shared" si="93"/>
        <v>140656</v>
      </c>
      <c r="CC124" s="62">
        <f t="shared" si="94"/>
        <v>7.1095438516664771E-6</v>
      </c>
      <c r="CD124" s="13">
        <f t="shared" si="95"/>
        <v>596</v>
      </c>
      <c r="CE124" s="13">
        <f t="shared" si="96"/>
        <v>596</v>
      </c>
      <c r="CF124" s="13">
        <f t="shared" si="97"/>
        <v>236</v>
      </c>
      <c r="CG124" s="13">
        <f t="shared" si="98"/>
        <v>236</v>
      </c>
      <c r="CH124" s="28">
        <f t="shared" si="99"/>
        <v>140656</v>
      </c>
      <c r="CI124" s="62">
        <f t="shared" si="100"/>
        <v>7.1095438516664771E-6</v>
      </c>
      <c r="CJ124" s="59">
        <f t="shared" si="101"/>
        <v>7.1095438516664771E-6</v>
      </c>
      <c r="CL124" s="63">
        <v>6000</v>
      </c>
      <c r="CM124" s="63">
        <f t="shared" si="102"/>
        <v>0</v>
      </c>
      <c r="CN124" s="63">
        <f t="shared" si="103"/>
        <v>5</v>
      </c>
      <c r="CO124" s="63">
        <f t="shared" si="104"/>
        <v>1200</v>
      </c>
      <c r="CP124" s="13">
        <f t="shared" si="105"/>
        <v>1200</v>
      </c>
      <c r="CQ124" s="70">
        <f t="shared" si="106"/>
        <v>8.3333333333333339E-4</v>
      </c>
      <c r="CR124" s="69">
        <f t="shared" si="74"/>
        <v>0.02</v>
      </c>
    </row>
    <row r="125" spans="1:96" hidden="1" x14ac:dyDescent="0.25">
      <c r="A125" s="13">
        <v>4</v>
      </c>
      <c r="B125" s="14" t="s">
        <v>264</v>
      </c>
      <c r="C125" s="13" t="s">
        <v>391</v>
      </c>
      <c r="D125" s="13" t="s">
        <v>829</v>
      </c>
      <c r="E125" s="13" t="s">
        <v>52</v>
      </c>
      <c r="F125" s="15">
        <f t="shared" si="75"/>
        <v>4</v>
      </c>
      <c r="G125" s="13">
        <v>1</v>
      </c>
      <c r="H125" s="13">
        <f t="shared" si="130"/>
        <v>1</v>
      </c>
      <c r="I125" s="13">
        <v>14</v>
      </c>
      <c r="J125" s="14" t="s">
        <v>76</v>
      </c>
      <c r="K125" s="14" t="s">
        <v>34</v>
      </c>
      <c r="L125" s="13" t="s">
        <v>77</v>
      </c>
      <c r="M125" s="14" t="s">
        <v>35</v>
      </c>
      <c r="N125" s="13" t="s">
        <v>829</v>
      </c>
      <c r="O125" s="28" t="s">
        <v>41</v>
      </c>
      <c r="P125" s="28" t="s">
        <v>41</v>
      </c>
      <c r="Q125" s="28" t="s">
        <v>79</v>
      </c>
      <c r="R125" s="30">
        <v>19.094488188976378</v>
      </c>
      <c r="S125" s="30">
        <v>0.3125</v>
      </c>
      <c r="T125" s="30"/>
      <c r="U125" s="30">
        <v>0.3125</v>
      </c>
      <c r="V125" s="8">
        <f t="shared" si="76"/>
        <v>484.99999999999994</v>
      </c>
      <c r="W125" s="8">
        <f t="shared" si="77"/>
        <v>7.9375</v>
      </c>
      <c r="X125" s="8">
        <f t="shared" si="78"/>
        <v>0</v>
      </c>
      <c r="Y125" s="33">
        <f t="shared" si="79"/>
        <v>7.9375</v>
      </c>
      <c r="Z125" s="28" t="s">
        <v>80</v>
      </c>
      <c r="AA125" s="28" t="s">
        <v>81</v>
      </c>
      <c r="AB125" s="61" t="s">
        <v>79</v>
      </c>
      <c r="AC125" s="31" t="s">
        <v>82</v>
      </c>
      <c r="AD125" s="50">
        <f t="shared" si="80"/>
        <v>1</v>
      </c>
      <c r="AE125" s="31"/>
      <c r="AF125" s="51">
        <v>14</v>
      </c>
      <c r="AG125" s="51">
        <f t="shared" si="108"/>
        <v>8.4</v>
      </c>
      <c r="AH125" s="51">
        <f t="shared" si="73"/>
        <v>42</v>
      </c>
      <c r="AI125" s="52" t="s">
        <v>2497</v>
      </c>
      <c r="AJ125" s="52" t="s">
        <v>2498</v>
      </c>
      <c r="AK125" s="53">
        <f t="shared" si="109"/>
        <v>7.6993749999999988E-3</v>
      </c>
      <c r="AL125" s="54">
        <f t="shared" si="110"/>
        <v>0.11904761904761904</v>
      </c>
      <c r="AM125" s="54">
        <f t="shared" si="111"/>
        <v>2.3809523809523808E-2</v>
      </c>
      <c r="AN125" s="55">
        <f t="shared" si="112"/>
        <v>9.1659226190476169E-4</v>
      </c>
      <c r="AO125" s="55">
        <f t="shared" si="113"/>
        <v>1.8331845238095233E-4</v>
      </c>
      <c r="AP125" s="53">
        <v>7.1</v>
      </c>
      <c r="AQ125" s="53">
        <f t="shared" si="81"/>
        <v>4.26</v>
      </c>
      <c r="AR125" s="53">
        <f t="shared" si="82"/>
        <v>21.299999999999997</v>
      </c>
      <c r="AS125" s="56">
        <f t="shared" si="83"/>
        <v>4.6948356807511742E-2</v>
      </c>
      <c r="AT125" s="56">
        <f t="shared" si="114"/>
        <v>0.23474178403755869</v>
      </c>
      <c r="AU125" s="56">
        <f t="shared" si="84"/>
        <v>0.176056338028169</v>
      </c>
      <c r="AV125" s="56">
        <f t="shared" si="115"/>
        <v>5.8685446009389672E-2</v>
      </c>
      <c r="AW125" s="57" t="s">
        <v>2511</v>
      </c>
      <c r="AX125" s="57" t="s">
        <v>2512</v>
      </c>
      <c r="AY125" s="57" t="s">
        <v>2513</v>
      </c>
      <c r="AZ125" s="58">
        <f t="shared" si="116"/>
        <v>7.6993749999999988E-3</v>
      </c>
      <c r="BA125" s="59">
        <f t="shared" si="119"/>
        <v>2.2592062793427227E-4</v>
      </c>
      <c r="BB125" s="59">
        <f t="shared" si="120"/>
        <v>6.7776188380281677E-4</v>
      </c>
      <c r="BC125" s="59">
        <f t="shared" si="121"/>
        <v>1.8073650234741784E-4</v>
      </c>
      <c r="BD125" s="60">
        <f t="shared" si="117"/>
        <v>1.8315018315018315E-3</v>
      </c>
      <c r="BE125" s="59">
        <f t="shared" si="118"/>
        <v>1.8315018315018315E-3</v>
      </c>
      <c r="BQ125" s="61">
        <v>3000</v>
      </c>
      <c r="BR125" s="61">
        <v>1200</v>
      </c>
      <c r="BS125" s="28">
        <f t="shared" si="85"/>
        <v>2980</v>
      </c>
      <c r="BT125" s="28">
        <f t="shared" si="86"/>
        <v>1180</v>
      </c>
      <c r="BU125" s="28" t="s">
        <v>2541</v>
      </c>
      <c r="BV125" s="28">
        <f t="shared" si="87"/>
        <v>489.99999999999994</v>
      </c>
      <c r="BW125" s="28">
        <f t="shared" si="88"/>
        <v>12.9375</v>
      </c>
      <c r="BX125" s="13">
        <f t="shared" si="89"/>
        <v>6.0816326530612255</v>
      </c>
      <c r="BY125" s="13">
        <f t="shared" si="90"/>
        <v>6</v>
      </c>
      <c r="BZ125" s="13">
        <f t="shared" si="91"/>
        <v>91.207729468599027</v>
      </c>
      <c r="CA125" s="13">
        <f t="shared" si="92"/>
        <v>91</v>
      </c>
      <c r="CB125" s="13">
        <f t="shared" si="93"/>
        <v>546</v>
      </c>
      <c r="CC125" s="62">
        <f t="shared" si="94"/>
        <v>1.8315018315018315E-3</v>
      </c>
      <c r="CD125" s="13">
        <f t="shared" si="95"/>
        <v>230.33816425120773</v>
      </c>
      <c r="CE125" s="13">
        <f t="shared" si="96"/>
        <v>230</v>
      </c>
      <c r="CF125" s="13">
        <f t="shared" si="97"/>
        <v>2.4081632653061229</v>
      </c>
      <c r="CG125" s="13">
        <f t="shared" si="98"/>
        <v>2</v>
      </c>
      <c r="CH125" s="28">
        <f t="shared" si="99"/>
        <v>460</v>
      </c>
      <c r="CI125" s="62">
        <f t="shared" si="100"/>
        <v>2.1739130434782609E-3</v>
      </c>
      <c r="CJ125" s="59">
        <f t="shared" si="101"/>
        <v>1.8315018315018315E-3</v>
      </c>
      <c r="CL125" s="63">
        <v>6000</v>
      </c>
      <c r="CM125" s="63">
        <f t="shared" si="102"/>
        <v>484.99999999999994</v>
      </c>
      <c r="CN125" s="63">
        <f t="shared" si="103"/>
        <v>489.99999999999994</v>
      </c>
      <c r="CO125" s="63">
        <f t="shared" si="104"/>
        <v>12.244897959183675</v>
      </c>
      <c r="CP125" s="13">
        <f t="shared" si="105"/>
        <v>12</v>
      </c>
      <c r="CQ125" s="70">
        <f t="shared" si="106"/>
        <v>8.3333333333333329E-2</v>
      </c>
      <c r="CR125" s="69">
        <f t="shared" si="74"/>
        <v>8.3333333333333329E-2</v>
      </c>
    </row>
    <row r="126" spans="1:96" hidden="1" x14ac:dyDescent="0.25">
      <c r="A126" s="13">
        <v>4</v>
      </c>
      <c r="B126" s="14" t="s">
        <v>264</v>
      </c>
      <c r="C126" s="13" t="s">
        <v>392</v>
      </c>
      <c r="D126" s="13" t="s">
        <v>2270</v>
      </c>
      <c r="E126" s="13" t="s">
        <v>52</v>
      </c>
      <c r="F126" s="15">
        <f t="shared" si="75"/>
        <v>1</v>
      </c>
      <c r="G126" s="13">
        <v>1</v>
      </c>
      <c r="H126" s="13">
        <f t="shared" si="130"/>
        <v>1</v>
      </c>
      <c r="I126" s="13">
        <v>15</v>
      </c>
      <c r="J126" s="14" t="s">
        <v>393</v>
      </c>
      <c r="K126" s="14" t="s">
        <v>34</v>
      </c>
      <c r="L126" s="13">
        <v>0</v>
      </c>
      <c r="M126" s="14" t="s">
        <v>35</v>
      </c>
      <c r="N126" s="13" t="s">
        <v>394</v>
      </c>
      <c r="O126" s="28" t="s">
        <v>41</v>
      </c>
      <c r="P126" s="28" t="s">
        <v>41</v>
      </c>
      <c r="Q126" s="28" t="s">
        <v>124</v>
      </c>
      <c r="R126" s="30">
        <v>16.922999999999998</v>
      </c>
      <c r="S126" s="30">
        <v>7.81</v>
      </c>
      <c r="T126" s="30"/>
      <c r="U126" s="30">
        <v>9.8000000000000004E-2</v>
      </c>
      <c r="V126" s="8">
        <f t="shared" si="76"/>
        <v>429.84419999999994</v>
      </c>
      <c r="W126" s="8">
        <f t="shared" si="77"/>
        <v>198.37399999999997</v>
      </c>
      <c r="X126" s="8">
        <f t="shared" si="78"/>
        <v>0</v>
      </c>
      <c r="Y126" s="33">
        <f t="shared" si="79"/>
        <v>2.4891999999999999</v>
      </c>
      <c r="Z126" s="28" t="s">
        <v>56</v>
      </c>
      <c r="AA126" s="28" t="s">
        <v>57</v>
      </c>
      <c r="AB126" s="61" t="s">
        <v>124</v>
      </c>
      <c r="AC126" s="31" t="s">
        <v>125</v>
      </c>
      <c r="AD126" s="50">
        <f t="shared" si="80"/>
        <v>1</v>
      </c>
      <c r="AE126" s="31"/>
      <c r="AF126" s="51">
        <v>14</v>
      </c>
      <c r="AG126" s="51">
        <f t="shared" si="108"/>
        <v>8.4</v>
      </c>
      <c r="AH126" s="51">
        <f t="shared" si="73"/>
        <v>42</v>
      </c>
      <c r="AI126" s="52" t="s">
        <v>2497</v>
      </c>
      <c r="AJ126" s="52" t="s">
        <v>2498</v>
      </c>
      <c r="AK126" s="53">
        <f t="shared" si="109"/>
        <v>0.17053982666159995</v>
      </c>
      <c r="AL126" s="54">
        <f t="shared" si="110"/>
        <v>0.11904761904761904</v>
      </c>
      <c r="AM126" s="54">
        <f t="shared" si="111"/>
        <v>2.3809523809523808E-2</v>
      </c>
      <c r="AN126" s="55">
        <f t="shared" si="112"/>
        <v>2.0302360316857136E-2</v>
      </c>
      <c r="AO126" s="55">
        <f t="shared" si="113"/>
        <v>4.0604720633714269E-3</v>
      </c>
      <c r="AP126" s="53">
        <v>7.1</v>
      </c>
      <c r="AQ126" s="53">
        <f t="shared" si="81"/>
        <v>4.26</v>
      </c>
      <c r="AR126" s="53">
        <f t="shared" si="82"/>
        <v>21.299999999999997</v>
      </c>
      <c r="AS126" s="56">
        <f t="shared" si="83"/>
        <v>4.6948356807511742E-2</v>
      </c>
      <c r="AT126" s="56">
        <f t="shared" si="114"/>
        <v>0.23474178403755869</v>
      </c>
      <c r="AU126" s="56">
        <f t="shared" si="84"/>
        <v>0.176056338028169</v>
      </c>
      <c r="AV126" s="56">
        <f t="shared" si="115"/>
        <v>5.8685446009389672E-2</v>
      </c>
      <c r="AW126" s="57" t="s">
        <v>2511</v>
      </c>
      <c r="AX126" s="57" t="s">
        <v>2512</v>
      </c>
      <c r="AY126" s="57" t="s">
        <v>2513</v>
      </c>
      <c r="AZ126" s="58">
        <f t="shared" si="116"/>
        <v>0.17053982666159995</v>
      </c>
      <c r="BA126" s="59">
        <f t="shared" si="119"/>
        <v>5.0041028949999984E-3</v>
      </c>
      <c r="BB126" s="59">
        <f t="shared" si="120"/>
        <v>1.5012308684999994E-2</v>
      </c>
      <c r="BC126" s="59">
        <f t="shared" si="121"/>
        <v>4.0032823159999991E-3</v>
      </c>
      <c r="BD126" s="60">
        <f t="shared" si="117"/>
        <v>3.3333333333333333E-2</v>
      </c>
      <c r="BE126" s="59">
        <f t="shared" si="118"/>
        <v>3.3333333333333333E-2</v>
      </c>
      <c r="BQ126" s="61">
        <v>3000</v>
      </c>
      <c r="BR126" s="61">
        <v>1200</v>
      </c>
      <c r="BS126" s="28">
        <f t="shared" si="85"/>
        <v>2980</v>
      </c>
      <c r="BT126" s="28">
        <f t="shared" si="86"/>
        <v>1180</v>
      </c>
      <c r="BU126" s="28" t="s">
        <v>2541</v>
      </c>
      <c r="BV126" s="28">
        <f t="shared" si="87"/>
        <v>434.84419999999994</v>
      </c>
      <c r="BW126" s="28">
        <f t="shared" si="88"/>
        <v>203.37399999999997</v>
      </c>
      <c r="BX126" s="13">
        <f t="shared" si="89"/>
        <v>6.8530291998835455</v>
      </c>
      <c r="BY126" s="13">
        <f t="shared" si="90"/>
        <v>6</v>
      </c>
      <c r="BZ126" s="13">
        <f t="shared" si="91"/>
        <v>5.8021182648716172</v>
      </c>
      <c r="CA126" s="13">
        <f t="shared" si="92"/>
        <v>5</v>
      </c>
      <c r="CB126" s="13">
        <f t="shared" si="93"/>
        <v>30</v>
      </c>
      <c r="CC126" s="62">
        <f t="shared" si="94"/>
        <v>3.3333333333333333E-2</v>
      </c>
      <c r="CD126" s="13">
        <f t="shared" si="95"/>
        <v>14.652807143489337</v>
      </c>
      <c r="CE126" s="13">
        <f t="shared" si="96"/>
        <v>14</v>
      </c>
      <c r="CF126" s="13">
        <f t="shared" si="97"/>
        <v>2.7136155892156322</v>
      </c>
      <c r="CG126" s="13">
        <f t="shared" si="98"/>
        <v>2</v>
      </c>
      <c r="CH126" s="28">
        <f t="shared" si="99"/>
        <v>28</v>
      </c>
      <c r="CI126" s="62">
        <f t="shared" si="100"/>
        <v>3.5714285714285712E-2</v>
      </c>
      <c r="CJ126" s="59">
        <f t="shared" si="101"/>
        <v>3.3333333333333333E-2</v>
      </c>
      <c r="CL126" s="63">
        <v>6000</v>
      </c>
      <c r="CM126" s="63">
        <f t="shared" si="102"/>
        <v>429.84419999999994</v>
      </c>
      <c r="CN126" s="63">
        <f t="shared" si="103"/>
        <v>434.84419999999994</v>
      </c>
      <c r="CO126" s="63">
        <f t="shared" si="104"/>
        <v>13.798045368893044</v>
      </c>
      <c r="CP126" s="13">
        <f t="shared" si="105"/>
        <v>13</v>
      </c>
      <c r="CQ126" s="70">
        <f t="shared" si="106"/>
        <v>7.6923076923076927E-2</v>
      </c>
      <c r="CR126" s="69">
        <f t="shared" si="74"/>
        <v>7.6923076923076927E-2</v>
      </c>
    </row>
    <row r="127" spans="1:96" hidden="1" x14ac:dyDescent="0.25">
      <c r="A127" s="13">
        <v>4</v>
      </c>
      <c r="B127" s="14" t="s">
        <v>264</v>
      </c>
      <c r="C127" s="13" t="s">
        <v>395</v>
      </c>
      <c r="D127" s="13" t="s">
        <v>2270</v>
      </c>
      <c r="E127" s="13" t="s">
        <v>52</v>
      </c>
      <c r="F127" s="15">
        <f t="shared" si="75"/>
        <v>1</v>
      </c>
      <c r="G127" s="13">
        <v>2</v>
      </c>
      <c r="H127" s="13">
        <f t="shared" si="130"/>
        <v>2</v>
      </c>
      <c r="I127" s="13">
        <v>16</v>
      </c>
      <c r="J127" s="14" t="s">
        <v>396</v>
      </c>
      <c r="K127" s="14" t="s">
        <v>34</v>
      </c>
      <c r="L127" s="13">
        <v>0</v>
      </c>
      <c r="M127" s="14" t="s">
        <v>35</v>
      </c>
      <c r="N127" s="13" t="s">
        <v>397</v>
      </c>
      <c r="O127" s="28" t="s">
        <v>41</v>
      </c>
      <c r="P127" s="28" t="s">
        <v>41</v>
      </c>
      <c r="Q127" s="28" t="s">
        <v>124</v>
      </c>
      <c r="R127" s="30">
        <v>3.5039370078740157</v>
      </c>
      <c r="S127" s="30">
        <v>3.3070866141732287</v>
      </c>
      <c r="T127" s="30"/>
      <c r="U127" s="30">
        <v>9.8425196850393706E-2</v>
      </c>
      <c r="V127" s="8">
        <f t="shared" si="76"/>
        <v>89</v>
      </c>
      <c r="W127" s="8">
        <f t="shared" si="77"/>
        <v>84</v>
      </c>
      <c r="X127" s="8">
        <f t="shared" si="78"/>
        <v>0</v>
      </c>
      <c r="Y127" s="33">
        <f t="shared" si="79"/>
        <v>2.5</v>
      </c>
      <c r="Z127" s="28" t="s">
        <v>56</v>
      </c>
      <c r="AA127" s="28" t="s">
        <v>57</v>
      </c>
      <c r="AB127" s="61" t="s">
        <v>124</v>
      </c>
      <c r="AC127" s="31" t="s">
        <v>125</v>
      </c>
      <c r="AD127" s="50">
        <f t="shared" si="80"/>
        <v>2</v>
      </c>
      <c r="AE127" s="31"/>
      <c r="AF127" s="51">
        <v>14</v>
      </c>
      <c r="AG127" s="51">
        <f t="shared" si="108"/>
        <v>8.4</v>
      </c>
      <c r="AH127" s="51">
        <f t="shared" si="73"/>
        <v>42</v>
      </c>
      <c r="AI127" s="52" t="s">
        <v>2497</v>
      </c>
      <c r="AJ127" s="52" t="s">
        <v>2498</v>
      </c>
      <c r="AK127" s="53">
        <f t="shared" si="109"/>
        <v>1.4952E-2</v>
      </c>
      <c r="AL127" s="54">
        <f t="shared" si="110"/>
        <v>0.11904761904761904</v>
      </c>
      <c r="AM127" s="54">
        <f t="shared" si="111"/>
        <v>2.3809523809523808E-2</v>
      </c>
      <c r="AN127" s="55">
        <f t="shared" si="112"/>
        <v>3.5599999999999998E-3</v>
      </c>
      <c r="AO127" s="55">
        <f t="shared" si="113"/>
        <v>7.1199999999999996E-4</v>
      </c>
      <c r="AP127" s="53">
        <v>7.1</v>
      </c>
      <c r="AQ127" s="53">
        <f t="shared" si="81"/>
        <v>4.26</v>
      </c>
      <c r="AR127" s="53">
        <f t="shared" si="82"/>
        <v>21.299999999999997</v>
      </c>
      <c r="AS127" s="56">
        <f t="shared" si="83"/>
        <v>4.6948356807511742E-2</v>
      </c>
      <c r="AT127" s="56">
        <f t="shared" si="114"/>
        <v>0.23474178403755869</v>
      </c>
      <c r="AU127" s="56">
        <f t="shared" si="84"/>
        <v>0.176056338028169</v>
      </c>
      <c r="AV127" s="56">
        <f t="shared" si="115"/>
        <v>5.8685446009389672E-2</v>
      </c>
      <c r="AW127" s="57" t="s">
        <v>2511</v>
      </c>
      <c r="AX127" s="57" t="s">
        <v>2512</v>
      </c>
      <c r="AY127" s="57" t="s">
        <v>2513</v>
      </c>
      <c r="AZ127" s="58">
        <f t="shared" si="116"/>
        <v>1.4952E-2</v>
      </c>
      <c r="BA127" s="59">
        <f t="shared" si="119"/>
        <v>8.7746478873239439E-4</v>
      </c>
      <c r="BB127" s="59">
        <f t="shared" si="120"/>
        <v>2.632394366197183E-3</v>
      </c>
      <c r="BC127" s="59">
        <f t="shared" si="121"/>
        <v>7.0197183098591551E-4</v>
      </c>
      <c r="BD127" s="60">
        <f t="shared" si="117"/>
        <v>2.4813895781637717E-3</v>
      </c>
      <c r="BE127" s="59">
        <f t="shared" si="118"/>
        <v>4.9627791563275434E-3</v>
      </c>
      <c r="BQ127" s="61">
        <v>3000</v>
      </c>
      <c r="BR127" s="61">
        <v>1200</v>
      </c>
      <c r="BS127" s="28">
        <f t="shared" si="85"/>
        <v>2980</v>
      </c>
      <c r="BT127" s="28">
        <f t="shared" si="86"/>
        <v>1180</v>
      </c>
      <c r="BU127" s="28" t="s">
        <v>2541</v>
      </c>
      <c r="BV127" s="28">
        <f t="shared" si="87"/>
        <v>94</v>
      </c>
      <c r="BW127" s="28">
        <f t="shared" si="88"/>
        <v>89</v>
      </c>
      <c r="BX127" s="13">
        <f t="shared" si="89"/>
        <v>31.702127659574469</v>
      </c>
      <c r="BY127" s="13">
        <f t="shared" si="90"/>
        <v>31</v>
      </c>
      <c r="BZ127" s="13">
        <f t="shared" si="91"/>
        <v>13.258426966292134</v>
      </c>
      <c r="CA127" s="13">
        <f t="shared" si="92"/>
        <v>13</v>
      </c>
      <c r="CB127" s="13">
        <f t="shared" si="93"/>
        <v>403</v>
      </c>
      <c r="CC127" s="62">
        <f t="shared" si="94"/>
        <v>2.4813895781637717E-3</v>
      </c>
      <c r="CD127" s="13">
        <f t="shared" si="95"/>
        <v>33.483146067415731</v>
      </c>
      <c r="CE127" s="13">
        <f t="shared" si="96"/>
        <v>33</v>
      </c>
      <c r="CF127" s="13">
        <f t="shared" si="97"/>
        <v>12.553191489361701</v>
      </c>
      <c r="CG127" s="13">
        <f t="shared" si="98"/>
        <v>12</v>
      </c>
      <c r="CH127" s="28">
        <f t="shared" si="99"/>
        <v>396</v>
      </c>
      <c r="CI127" s="62">
        <f t="shared" si="100"/>
        <v>2.5252525252525255E-3</v>
      </c>
      <c r="CJ127" s="59">
        <f t="shared" si="101"/>
        <v>2.4813895781637717E-3</v>
      </c>
      <c r="CL127" s="63">
        <v>6000</v>
      </c>
      <c r="CM127" s="63">
        <f t="shared" si="102"/>
        <v>89</v>
      </c>
      <c r="CN127" s="63">
        <f t="shared" si="103"/>
        <v>94</v>
      </c>
      <c r="CO127" s="63">
        <f t="shared" si="104"/>
        <v>63.829787234042556</v>
      </c>
      <c r="CP127" s="13">
        <f t="shared" si="105"/>
        <v>63</v>
      </c>
      <c r="CQ127" s="70">
        <f t="shared" si="106"/>
        <v>1.5873015873015872E-2</v>
      </c>
      <c r="CR127" s="69">
        <f t="shared" si="74"/>
        <v>3.1746031746031744E-2</v>
      </c>
    </row>
    <row r="128" spans="1:96" hidden="1" x14ac:dyDescent="0.25">
      <c r="A128" s="13">
        <v>4</v>
      </c>
      <c r="B128" s="14" t="s">
        <v>264</v>
      </c>
      <c r="C128" s="13" t="s">
        <v>144</v>
      </c>
      <c r="D128" s="13" t="s">
        <v>2270</v>
      </c>
      <c r="E128" s="13" t="s">
        <v>52</v>
      </c>
      <c r="F128" s="15">
        <f t="shared" si="75"/>
        <v>2</v>
      </c>
      <c r="G128" s="13">
        <v>2</v>
      </c>
      <c r="H128" s="13">
        <f t="shared" si="130"/>
        <v>2</v>
      </c>
      <c r="I128" s="13">
        <v>17</v>
      </c>
      <c r="J128" s="14" t="s">
        <v>145</v>
      </c>
      <c r="K128" s="14" t="s">
        <v>34</v>
      </c>
      <c r="L128" s="13">
        <v>0</v>
      </c>
      <c r="M128" s="14" t="s">
        <v>35</v>
      </c>
      <c r="N128" s="13" t="s">
        <v>146</v>
      </c>
      <c r="O128" s="28" t="s">
        <v>41</v>
      </c>
      <c r="P128" s="28" t="s">
        <v>41</v>
      </c>
      <c r="Q128" s="28" t="s">
        <v>146</v>
      </c>
      <c r="R128" s="30"/>
      <c r="S128" s="30"/>
      <c r="T128" s="30"/>
      <c r="U128" s="30"/>
      <c r="V128" s="8">
        <f t="shared" si="76"/>
        <v>0</v>
      </c>
      <c r="W128" s="8">
        <f t="shared" si="77"/>
        <v>0</v>
      </c>
      <c r="X128" s="8">
        <f t="shared" si="78"/>
        <v>0</v>
      </c>
      <c r="Y128" s="33">
        <f t="shared" si="79"/>
        <v>0</v>
      </c>
      <c r="Z128" s="28"/>
      <c r="AA128" s="28"/>
      <c r="AB128" s="61" t="s">
        <v>146</v>
      </c>
      <c r="AC128" s="31" t="s">
        <v>147</v>
      </c>
      <c r="AD128" s="50">
        <f t="shared" si="80"/>
        <v>2</v>
      </c>
      <c r="AE128" s="47" t="s">
        <v>107</v>
      </c>
      <c r="AF128" s="51">
        <v>14</v>
      </c>
      <c r="AG128" s="51">
        <f t="shared" si="108"/>
        <v>8.4</v>
      </c>
      <c r="AH128" s="51">
        <f t="shared" si="73"/>
        <v>42</v>
      </c>
      <c r="AI128" s="52" t="s">
        <v>2497</v>
      </c>
      <c r="AJ128" s="52" t="s">
        <v>2498</v>
      </c>
      <c r="AK128" s="53">
        <f t="shared" si="109"/>
        <v>0</v>
      </c>
      <c r="AL128" s="54">
        <f t="shared" si="110"/>
        <v>0.11904761904761904</v>
      </c>
      <c r="AM128" s="54">
        <f t="shared" si="111"/>
        <v>2.3809523809523808E-2</v>
      </c>
      <c r="AN128" s="55">
        <f t="shared" si="112"/>
        <v>0</v>
      </c>
      <c r="AO128" s="55">
        <f t="shared" si="113"/>
        <v>0</v>
      </c>
      <c r="AP128" s="53">
        <v>7.1</v>
      </c>
      <c r="AQ128" s="53">
        <f t="shared" si="81"/>
        <v>4.26</v>
      </c>
      <c r="AR128" s="53">
        <f t="shared" si="82"/>
        <v>21.299999999999997</v>
      </c>
      <c r="AS128" s="56">
        <f t="shared" si="83"/>
        <v>4.6948356807511742E-2</v>
      </c>
      <c r="AT128" s="56">
        <f t="shared" si="114"/>
        <v>0.23474178403755869</v>
      </c>
      <c r="AU128" s="56">
        <f t="shared" si="84"/>
        <v>0.176056338028169</v>
      </c>
      <c r="AV128" s="56">
        <f t="shared" si="115"/>
        <v>5.8685446009389672E-2</v>
      </c>
      <c r="AW128" s="57" t="s">
        <v>2511</v>
      </c>
      <c r="AX128" s="57" t="s">
        <v>2512</v>
      </c>
      <c r="AY128" s="57" t="s">
        <v>2513</v>
      </c>
      <c r="AZ128" s="58">
        <f t="shared" si="116"/>
        <v>0</v>
      </c>
      <c r="BA128" s="59">
        <f t="shared" si="119"/>
        <v>0</v>
      </c>
      <c r="BB128" s="59">
        <f t="shared" si="120"/>
        <v>0</v>
      </c>
      <c r="BC128" s="59">
        <f t="shared" si="121"/>
        <v>0</v>
      </c>
      <c r="BD128" s="60">
        <f t="shared" si="117"/>
        <v>7.1095438516664771E-6</v>
      </c>
      <c r="BE128" s="59">
        <f t="shared" si="118"/>
        <v>1.4219087703332954E-5</v>
      </c>
      <c r="BQ128" s="61">
        <v>3000</v>
      </c>
      <c r="BR128" s="61">
        <v>1200</v>
      </c>
      <c r="BS128" s="28">
        <f t="shared" si="85"/>
        <v>2980</v>
      </c>
      <c r="BT128" s="28">
        <f t="shared" si="86"/>
        <v>1180</v>
      </c>
      <c r="BU128" s="28" t="s">
        <v>2541</v>
      </c>
      <c r="BV128" s="28">
        <f t="shared" si="87"/>
        <v>5</v>
      </c>
      <c r="BW128" s="28">
        <f t="shared" si="88"/>
        <v>5</v>
      </c>
      <c r="BX128" s="13">
        <f t="shared" si="89"/>
        <v>596</v>
      </c>
      <c r="BY128" s="13">
        <f t="shared" si="90"/>
        <v>596</v>
      </c>
      <c r="BZ128" s="13">
        <f t="shared" si="91"/>
        <v>236</v>
      </c>
      <c r="CA128" s="13">
        <f t="shared" si="92"/>
        <v>236</v>
      </c>
      <c r="CB128" s="13">
        <f t="shared" si="93"/>
        <v>140656</v>
      </c>
      <c r="CC128" s="62">
        <f t="shared" si="94"/>
        <v>7.1095438516664771E-6</v>
      </c>
      <c r="CD128" s="13">
        <f t="shared" si="95"/>
        <v>596</v>
      </c>
      <c r="CE128" s="13">
        <f t="shared" si="96"/>
        <v>596</v>
      </c>
      <c r="CF128" s="13">
        <f t="shared" si="97"/>
        <v>236</v>
      </c>
      <c r="CG128" s="13">
        <f t="shared" si="98"/>
        <v>236</v>
      </c>
      <c r="CH128" s="28">
        <f t="shared" si="99"/>
        <v>140656</v>
      </c>
      <c r="CI128" s="62">
        <f t="shared" si="100"/>
        <v>7.1095438516664771E-6</v>
      </c>
      <c r="CJ128" s="59">
        <f t="shared" si="101"/>
        <v>7.1095438516664771E-6</v>
      </c>
      <c r="CL128" s="63">
        <v>6000</v>
      </c>
      <c r="CM128" s="63">
        <f t="shared" si="102"/>
        <v>0</v>
      </c>
      <c r="CN128" s="63">
        <f t="shared" si="103"/>
        <v>5</v>
      </c>
      <c r="CO128" s="63">
        <f t="shared" si="104"/>
        <v>1200</v>
      </c>
      <c r="CP128" s="13">
        <f t="shared" si="105"/>
        <v>1200</v>
      </c>
      <c r="CQ128" s="70">
        <f t="shared" si="106"/>
        <v>8.3333333333333339E-4</v>
      </c>
      <c r="CR128" s="69">
        <f t="shared" si="74"/>
        <v>1.6666666666666668E-3</v>
      </c>
    </row>
    <row r="129" spans="1:96" hidden="1" x14ac:dyDescent="0.25">
      <c r="A129" s="13">
        <v>4</v>
      </c>
      <c r="B129" s="14" t="s">
        <v>264</v>
      </c>
      <c r="C129" s="13" t="s">
        <v>398</v>
      </c>
      <c r="D129" s="13" t="s">
        <v>2270</v>
      </c>
      <c r="E129" s="13" t="s">
        <v>52</v>
      </c>
      <c r="F129" s="15">
        <f t="shared" si="75"/>
        <v>1</v>
      </c>
      <c r="G129" s="13">
        <v>1</v>
      </c>
      <c r="H129" s="13">
        <f t="shared" si="130"/>
        <v>1</v>
      </c>
      <c r="I129" s="13">
        <v>18</v>
      </c>
      <c r="J129" s="14" t="s">
        <v>114</v>
      </c>
      <c r="K129" s="14" t="s">
        <v>34</v>
      </c>
      <c r="L129" s="13">
        <v>0</v>
      </c>
      <c r="M129" s="14" t="s">
        <v>35</v>
      </c>
      <c r="N129" s="13" t="s">
        <v>399</v>
      </c>
      <c r="O129" s="28" t="s">
        <v>41</v>
      </c>
      <c r="P129" s="28" t="s">
        <v>41</v>
      </c>
      <c r="Q129" s="28" t="s">
        <v>116</v>
      </c>
      <c r="R129" s="30">
        <v>3</v>
      </c>
      <c r="S129" s="30">
        <v>2.008</v>
      </c>
      <c r="T129" s="30"/>
      <c r="U129" s="30">
        <v>0.11799999999999999</v>
      </c>
      <c r="V129" s="8">
        <f t="shared" si="76"/>
        <v>76.199999999999989</v>
      </c>
      <c r="W129" s="8">
        <f t="shared" si="77"/>
        <v>51.0032</v>
      </c>
      <c r="X129" s="8">
        <f t="shared" si="78"/>
        <v>0</v>
      </c>
      <c r="Y129" s="33">
        <f t="shared" si="79"/>
        <v>2.9971999999999999</v>
      </c>
      <c r="Z129" s="28" t="s">
        <v>56</v>
      </c>
      <c r="AA129" s="28" t="s">
        <v>57</v>
      </c>
      <c r="AB129" s="28" t="s">
        <v>116</v>
      </c>
      <c r="AC129" s="31" t="s">
        <v>117</v>
      </c>
      <c r="AD129" s="50">
        <f t="shared" si="80"/>
        <v>1</v>
      </c>
      <c r="AE129" s="31"/>
      <c r="AF129" s="51">
        <v>14</v>
      </c>
      <c r="AG129" s="51">
        <f t="shared" si="108"/>
        <v>8.4</v>
      </c>
      <c r="AH129" s="51">
        <f t="shared" si="73"/>
        <v>42</v>
      </c>
      <c r="AI129" s="52" t="s">
        <v>2497</v>
      </c>
      <c r="AJ129" s="52" t="s">
        <v>2498</v>
      </c>
      <c r="AK129" s="53">
        <f t="shared" si="109"/>
        <v>7.772887679999999E-3</v>
      </c>
      <c r="AL129" s="54">
        <f t="shared" si="110"/>
        <v>0.11904761904761904</v>
      </c>
      <c r="AM129" s="54">
        <f t="shared" si="111"/>
        <v>2.3809523809523808E-2</v>
      </c>
      <c r="AN129" s="55">
        <f t="shared" si="112"/>
        <v>9.2534377142857122E-4</v>
      </c>
      <c r="AO129" s="55">
        <f t="shared" si="113"/>
        <v>1.8506875428571425E-4</v>
      </c>
      <c r="AP129" s="53">
        <v>7.1</v>
      </c>
      <c r="AQ129" s="53">
        <f t="shared" si="81"/>
        <v>4.26</v>
      </c>
      <c r="AR129" s="53">
        <f t="shared" si="82"/>
        <v>21.299999999999997</v>
      </c>
      <c r="AS129" s="56">
        <f t="shared" si="83"/>
        <v>4.6948356807511742E-2</v>
      </c>
      <c r="AT129" s="56">
        <f t="shared" si="114"/>
        <v>0.23474178403755869</v>
      </c>
      <c r="AU129" s="56">
        <f t="shared" si="84"/>
        <v>0.176056338028169</v>
      </c>
      <c r="AV129" s="56">
        <f t="shared" si="115"/>
        <v>5.8685446009389672E-2</v>
      </c>
      <c r="AW129" s="57" t="s">
        <v>2511</v>
      </c>
      <c r="AX129" s="57" t="s">
        <v>2512</v>
      </c>
      <c r="AY129" s="57" t="s">
        <v>2513</v>
      </c>
      <c r="AZ129" s="58">
        <f t="shared" si="116"/>
        <v>7.772887679999999E-3</v>
      </c>
      <c r="BA129" s="59">
        <f t="shared" si="119"/>
        <v>2.2807769014084503E-4</v>
      </c>
      <c r="BB129" s="59">
        <f t="shared" si="120"/>
        <v>6.8423307042253512E-4</v>
      </c>
      <c r="BC129" s="59">
        <f t="shared" si="121"/>
        <v>1.8246215211267604E-4</v>
      </c>
      <c r="BD129" s="60">
        <f t="shared" si="117"/>
        <v>1.3227513227513227E-3</v>
      </c>
      <c r="BE129" s="59">
        <f t="shared" si="118"/>
        <v>1.3227513227513227E-3</v>
      </c>
      <c r="BQ129" s="61">
        <v>3000</v>
      </c>
      <c r="BR129" s="61">
        <v>1200</v>
      </c>
      <c r="BS129" s="28">
        <f t="shared" si="85"/>
        <v>2980</v>
      </c>
      <c r="BT129" s="28">
        <f t="shared" si="86"/>
        <v>1180</v>
      </c>
      <c r="BU129" s="28" t="s">
        <v>2541</v>
      </c>
      <c r="BV129" s="28">
        <f t="shared" si="87"/>
        <v>81.199999999999989</v>
      </c>
      <c r="BW129" s="28">
        <f t="shared" si="88"/>
        <v>56.0032</v>
      </c>
      <c r="BX129" s="13">
        <f t="shared" si="89"/>
        <v>36.699507389162569</v>
      </c>
      <c r="BY129" s="13">
        <f t="shared" si="90"/>
        <v>36</v>
      </c>
      <c r="BZ129" s="13">
        <f t="shared" si="91"/>
        <v>21.070224558596653</v>
      </c>
      <c r="CA129" s="13">
        <f t="shared" si="92"/>
        <v>21</v>
      </c>
      <c r="CB129" s="13">
        <f t="shared" si="93"/>
        <v>756</v>
      </c>
      <c r="CC129" s="62">
        <f t="shared" si="94"/>
        <v>1.3227513227513227E-3</v>
      </c>
      <c r="CD129" s="13">
        <f t="shared" si="95"/>
        <v>53.211245071710188</v>
      </c>
      <c r="CE129" s="13">
        <f t="shared" si="96"/>
        <v>53</v>
      </c>
      <c r="CF129" s="13">
        <f t="shared" si="97"/>
        <v>14.5320197044335</v>
      </c>
      <c r="CG129" s="13">
        <f t="shared" si="98"/>
        <v>14</v>
      </c>
      <c r="CH129" s="28">
        <f t="shared" si="99"/>
        <v>742</v>
      </c>
      <c r="CI129" s="62">
        <f t="shared" si="100"/>
        <v>1.3477088948787063E-3</v>
      </c>
      <c r="CJ129" s="59">
        <f t="shared" si="101"/>
        <v>1.3227513227513227E-3</v>
      </c>
      <c r="CL129" s="63">
        <v>6000</v>
      </c>
      <c r="CM129" s="63">
        <f t="shared" si="102"/>
        <v>76.199999999999989</v>
      </c>
      <c r="CN129" s="63">
        <f t="shared" si="103"/>
        <v>81.199999999999989</v>
      </c>
      <c r="CO129" s="63">
        <f t="shared" si="104"/>
        <v>73.891625615763559</v>
      </c>
      <c r="CP129" s="13">
        <f t="shared" si="105"/>
        <v>73</v>
      </c>
      <c r="CQ129" s="70">
        <f t="shared" si="106"/>
        <v>1.3698630136986301E-2</v>
      </c>
      <c r="CR129" s="69">
        <f t="shared" si="74"/>
        <v>1.3698630136986301E-2</v>
      </c>
    </row>
    <row r="130" spans="1:96" hidden="1" x14ac:dyDescent="0.25">
      <c r="A130" s="10">
        <v>3</v>
      </c>
      <c r="B130" s="8" t="s">
        <v>42</v>
      </c>
      <c r="C130" s="10" t="s">
        <v>400</v>
      </c>
      <c r="D130" s="10" t="s">
        <v>2270</v>
      </c>
      <c r="E130" s="10" t="s">
        <v>32</v>
      </c>
      <c r="F130" s="12">
        <f t="shared" si="75"/>
        <v>1</v>
      </c>
      <c r="G130" s="10">
        <v>1</v>
      </c>
      <c r="H130" s="10">
        <f>G130*$H$4</f>
        <v>1</v>
      </c>
      <c r="I130" s="10">
        <v>3</v>
      </c>
      <c r="J130" s="8" t="s">
        <v>401</v>
      </c>
      <c r="K130" s="8" t="s">
        <v>34</v>
      </c>
      <c r="L130" s="10" t="s">
        <v>236</v>
      </c>
      <c r="M130" s="8" t="s">
        <v>35</v>
      </c>
      <c r="N130" s="10" t="s">
        <v>402</v>
      </c>
      <c r="O130" s="28" t="s">
        <v>41</v>
      </c>
      <c r="P130" s="28" t="s">
        <v>41</v>
      </c>
      <c r="Q130" s="28"/>
      <c r="R130" s="30"/>
      <c r="S130" s="30"/>
      <c r="T130" s="30"/>
      <c r="U130" s="30"/>
      <c r="V130" s="8">
        <f t="shared" si="76"/>
        <v>0</v>
      </c>
      <c r="W130" s="8">
        <f t="shared" si="77"/>
        <v>0</v>
      </c>
      <c r="X130" s="8">
        <f t="shared" si="78"/>
        <v>0</v>
      </c>
      <c r="Y130" s="33">
        <f t="shared" si="79"/>
        <v>0</v>
      </c>
      <c r="Z130" s="28"/>
      <c r="AA130" s="28"/>
      <c r="AB130" s="28">
        <v>0</v>
      </c>
      <c r="AC130" s="31"/>
      <c r="AD130" s="50">
        <f t="shared" si="80"/>
        <v>1</v>
      </c>
      <c r="AE130" s="31"/>
      <c r="AF130" s="51">
        <v>14</v>
      </c>
      <c r="AG130" s="51">
        <f t="shared" si="108"/>
        <v>8.4</v>
      </c>
      <c r="AH130" s="51">
        <f t="shared" ref="AH130:AH193" si="131">AG130/0.2</f>
        <v>42</v>
      </c>
      <c r="AI130" s="52" t="s">
        <v>2497</v>
      </c>
      <c r="AJ130" s="52" t="s">
        <v>2498</v>
      </c>
      <c r="AK130" s="53">
        <f t="shared" si="109"/>
        <v>0</v>
      </c>
      <c r="AL130" s="54">
        <f t="shared" si="110"/>
        <v>0.11904761904761904</v>
      </c>
      <c r="AM130" s="54">
        <f t="shared" si="111"/>
        <v>2.3809523809523808E-2</v>
      </c>
      <c r="AN130" s="55">
        <f t="shared" si="112"/>
        <v>0</v>
      </c>
      <c r="AO130" s="55">
        <f t="shared" si="113"/>
        <v>0</v>
      </c>
      <c r="AP130" s="53">
        <v>7.1</v>
      </c>
      <c r="AQ130" s="53">
        <f t="shared" si="81"/>
        <v>4.26</v>
      </c>
      <c r="AR130" s="53">
        <f t="shared" si="82"/>
        <v>21.299999999999997</v>
      </c>
      <c r="AS130" s="56">
        <f t="shared" si="83"/>
        <v>4.6948356807511742E-2</v>
      </c>
      <c r="AT130" s="56">
        <f t="shared" si="114"/>
        <v>0.23474178403755869</v>
      </c>
      <c r="AU130" s="56">
        <f t="shared" si="84"/>
        <v>0.176056338028169</v>
      </c>
      <c r="AV130" s="56">
        <f t="shared" si="115"/>
        <v>5.8685446009389672E-2</v>
      </c>
      <c r="AW130" s="57" t="s">
        <v>2511</v>
      </c>
      <c r="AX130" s="57" t="s">
        <v>2512</v>
      </c>
      <c r="AY130" s="57" t="s">
        <v>2513</v>
      </c>
      <c r="AZ130" s="58">
        <f t="shared" si="116"/>
        <v>0</v>
      </c>
      <c r="BA130" s="59">
        <f t="shared" si="119"/>
        <v>0</v>
      </c>
      <c r="BB130" s="59">
        <f t="shared" si="120"/>
        <v>0</v>
      </c>
      <c r="BC130" s="59">
        <f t="shared" si="121"/>
        <v>0</v>
      </c>
      <c r="BD130" s="60">
        <f t="shared" si="117"/>
        <v>0</v>
      </c>
      <c r="BE130" s="59">
        <f t="shared" si="118"/>
        <v>0</v>
      </c>
      <c r="BQ130" s="61">
        <v>3000</v>
      </c>
      <c r="BR130" s="61">
        <v>1200</v>
      </c>
      <c r="BS130" s="28">
        <f t="shared" si="85"/>
        <v>2980</v>
      </c>
      <c r="BT130" s="28">
        <f t="shared" si="86"/>
        <v>1180</v>
      </c>
      <c r="BU130" s="28" t="s">
        <v>2541</v>
      </c>
      <c r="BV130" s="28">
        <f t="shared" si="87"/>
        <v>5</v>
      </c>
      <c r="BW130" s="28">
        <f t="shared" si="88"/>
        <v>5</v>
      </c>
      <c r="BX130" s="13">
        <f t="shared" si="89"/>
        <v>596</v>
      </c>
      <c r="BY130" s="13">
        <f t="shared" si="90"/>
        <v>596</v>
      </c>
      <c r="BZ130" s="13">
        <f t="shared" si="91"/>
        <v>236</v>
      </c>
      <c r="CA130" s="13">
        <f t="shared" si="92"/>
        <v>236</v>
      </c>
      <c r="CB130" s="13">
        <f t="shared" si="93"/>
        <v>140656</v>
      </c>
      <c r="CC130" s="62" t="str">
        <f t="shared" si="94"/>
        <v/>
      </c>
      <c r="CD130" s="13">
        <f t="shared" si="95"/>
        <v>596</v>
      </c>
      <c r="CE130" s="13">
        <f t="shared" si="96"/>
        <v>596</v>
      </c>
      <c r="CF130" s="13">
        <f t="shared" si="97"/>
        <v>236</v>
      </c>
      <c r="CG130" s="13">
        <f t="shared" si="98"/>
        <v>236</v>
      </c>
      <c r="CH130" s="28">
        <f t="shared" si="99"/>
        <v>140656</v>
      </c>
      <c r="CI130" s="62" t="str">
        <f t="shared" si="100"/>
        <v/>
      </c>
      <c r="CJ130" s="59">
        <f t="shared" si="101"/>
        <v>0</v>
      </c>
      <c r="CL130" s="63">
        <v>6000</v>
      </c>
      <c r="CM130" s="63">
        <f t="shared" si="102"/>
        <v>0</v>
      </c>
      <c r="CN130" s="63">
        <f t="shared" si="103"/>
        <v>5</v>
      </c>
      <c r="CO130" s="63">
        <f t="shared" si="104"/>
        <v>1200</v>
      </c>
      <c r="CP130" s="13">
        <f t="shared" si="105"/>
        <v>1200</v>
      </c>
      <c r="CQ130" s="70">
        <f t="shared" si="106"/>
        <v>8.3333333333333339E-4</v>
      </c>
      <c r="CR130" s="69">
        <f t="shared" ref="CR130:CR193" si="132">CQ130*AD130</f>
        <v>8.3333333333333339E-4</v>
      </c>
    </row>
    <row r="131" spans="1:96" hidden="1" x14ac:dyDescent="0.25">
      <c r="A131" s="13">
        <v>4</v>
      </c>
      <c r="B131" s="14" t="s">
        <v>403</v>
      </c>
      <c r="C131" s="13" t="s">
        <v>404</v>
      </c>
      <c r="D131" s="13" t="s">
        <v>2270</v>
      </c>
      <c r="E131" s="13" t="s">
        <v>32</v>
      </c>
      <c r="F131" s="15">
        <f t="shared" ref="F131:F194" si="133">COUNTIF($C$2:$C$1202,C131)</f>
        <v>1</v>
      </c>
      <c r="G131" s="13">
        <v>1</v>
      </c>
      <c r="H131" s="13">
        <f>G131*$H$130</f>
        <v>1</v>
      </c>
      <c r="I131" s="13">
        <v>1</v>
      </c>
      <c r="J131" s="14" t="s">
        <v>405</v>
      </c>
      <c r="K131" s="14" t="s">
        <v>34</v>
      </c>
      <c r="L131" s="13" t="s">
        <v>259</v>
      </c>
      <c r="M131" s="14" t="s">
        <v>35</v>
      </c>
      <c r="N131" s="13" t="s">
        <v>406</v>
      </c>
      <c r="O131" s="28" t="s">
        <v>41</v>
      </c>
      <c r="P131" s="28" t="s">
        <v>41</v>
      </c>
      <c r="Q131" s="28"/>
      <c r="R131" s="30"/>
      <c r="S131" s="30"/>
      <c r="T131" s="30"/>
      <c r="U131" s="30"/>
      <c r="V131" s="8">
        <f t="shared" ref="V131:V194" si="134">R131*25.4</f>
        <v>0</v>
      </c>
      <c r="W131" s="8">
        <f t="shared" ref="W131:W194" si="135">S131*25.4</f>
        <v>0</v>
      </c>
      <c r="X131" s="8">
        <f t="shared" ref="X131:X194" si="136">T131*25.4</f>
        <v>0</v>
      </c>
      <c r="Y131" s="33">
        <f t="shared" ref="Y131:Y194" si="137">U131*25.4</f>
        <v>0</v>
      </c>
      <c r="Z131" s="28"/>
      <c r="AA131" s="28"/>
      <c r="AB131" s="28">
        <v>0</v>
      </c>
      <c r="AC131" s="31"/>
      <c r="AD131" s="50">
        <f t="shared" ref="AD131:AD194" si="138">H131</f>
        <v>1</v>
      </c>
      <c r="AE131" s="31"/>
      <c r="AF131" s="51">
        <v>14</v>
      </c>
      <c r="AG131" s="51">
        <f t="shared" si="108"/>
        <v>8.4</v>
      </c>
      <c r="AH131" s="51">
        <f t="shared" si="131"/>
        <v>42</v>
      </c>
      <c r="AI131" s="52" t="s">
        <v>2497</v>
      </c>
      <c r="AJ131" s="52" t="s">
        <v>2498</v>
      </c>
      <c r="AK131" s="53">
        <f t="shared" si="109"/>
        <v>0</v>
      </c>
      <c r="AL131" s="54">
        <f t="shared" si="110"/>
        <v>0.11904761904761904</v>
      </c>
      <c r="AM131" s="54">
        <f t="shared" si="111"/>
        <v>2.3809523809523808E-2</v>
      </c>
      <c r="AN131" s="55">
        <f t="shared" si="112"/>
        <v>0</v>
      </c>
      <c r="AO131" s="55">
        <f t="shared" si="113"/>
        <v>0</v>
      </c>
      <c r="AP131" s="53">
        <v>7.1</v>
      </c>
      <c r="AQ131" s="53">
        <f t="shared" ref="AQ131:AQ194" si="139">AP131*0.6</f>
        <v>4.26</v>
      </c>
      <c r="AR131" s="53">
        <f t="shared" ref="AR131:AR194" si="140">AQ131*5</f>
        <v>21.299999999999997</v>
      </c>
      <c r="AS131" s="56">
        <f t="shared" ref="AS131:AS194" si="141">1/AR131</f>
        <v>4.6948356807511742E-2</v>
      </c>
      <c r="AT131" s="56">
        <f t="shared" si="114"/>
        <v>0.23474178403755869</v>
      </c>
      <c r="AU131" s="56">
        <f t="shared" ref="AU131:AU194" si="142">AT131*0.75</f>
        <v>0.176056338028169</v>
      </c>
      <c r="AV131" s="56">
        <f t="shared" si="115"/>
        <v>5.8685446009389672E-2</v>
      </c>
      <c r="AW131" s="57" t="s">
        <v>2511</v>
      </c>
      <c r="AX131" s="57" t="s">
        <v>2512</v>
      </c>
      <c r="AY131" s="57" t="s">
        <v>2513</v>
      </c>
      <c r="AZ131" s="58">
        <f t="shared" si="116"/>
        <v>0</v>
      </c>
      <c r="BA131" s="59">
        <f t="shared" si="119"/>
        <v>0</v>
      </c>
      <c r="BB131" s="59">
        <f t="shared" si="120"/>
        <v>0</v>
      </c>
      <c r="BC131" s="59">
        <f t="shared" si="121"/>
        <v>0</v>
      </c>
      <c r="BD131" s="60">
        <f t="shared" si="117"/>
        <v>0</v>
      </c>
      <c r="BE131" s="59">
        <f t="shared" si="118"/>
        <v>0</v>
      </c>
      <c r="BQ131" s="61">
        <v>3000</v>
      </c>
      <c r="BR131" s="61">
        <v>1200</v>
      </c>
      <c r="BS131" s="28">
        <f t="shared" ref="BS131:BS194" si="143">BQ131-20</f>
        <v>2980</v>
      </c>
      <c r="BT131" s="28">
        <f t="shared" ref="BT131:BT194" si="144">BR131-20</f>
        <v>1180</v>
      </c>
      <c r="BU131" s="28" t="s">
        <v>2541</v>
      </c>
      <c r="BV131" s="28">
        <f t="shared" ref="BV131:BV194" si="145">V131+5</f>
        <v>5</v>
      </c>
      <c r="BW131" s="28">
        <f t="shared" ref="BW131:BW194" si="146">W131+5</f>
        <v>5</v>
      </c>
      <c r="BX131" s="13">
        <f t="shared" ref="BX131:BX194" si="147">BS131/BV131</f>
        <v>596</v>
      </c>
      <c r="BY131" s="13">
        <f t="shared" ref="BY131:BY194" si="148">ROUNDDOWN(BX131,0)</f>
        <v>596</v>
      </c>
      <c r="BZ131" s="13">
        <f t="shared" ref="BZ131:BZ194" si="149">BT131/BW131</f>
        <v>236</v>
      </c>
      <c r="CA131" s="13">
        <f t="shared" ref="CA131:CA194" si="150">ROUNDDOWN(BZ131,0)</f>
        <v>236</v>
      </c>
      <c r="CB131" s="13">
        <f t="shared" ref="CB131:CB194" si="151">BY131*CA131</f>
        <v>140656</v>
      </c>
      <c r="CC131" s="62" t="str">
        <f t="shared" ref="CC131:CC194" si="152">IF(E131="CJ","",IFERROR((1/CB131),1))</f>
        <v/>
      </c>
      <c r="CD131" s="13">
        <f t="shared" ref="CD131:CD194" si="153">BS131/BW131</f>
        <v>596</v>
      </c>
      <c r="CE131" s="13">
        <f t="shared" ref="CE131:CE194" si="154">ROUNDDOWN(CD131,0)</f>
        <v>596</v>
      </c>
      <c r="CF131" s="13">
        <f t="shared" ref="CF131:CF194" si="155">BT131/BV131</f>
        <v>236</v>
      </c>
      <c r="CG131" s="13">
        <f t="shared" ref="CG131:CG194" si="156">ROUNDDOWN(CF131,0)</f>
        <v>236</v>
      </c>
      <c r="CH131" s="28">
        <f t="shared" ref="CH131:CH194" si="157">CE131*CG131</f>
        <v>140656</v>
      </c>
      <c r="CI131" s="62" t="str">
        <f t="shared" ref="CI131:CI194" si="158">IF(E131="CJ","",IFERROR((1/CH131),1))</f>
        <v/>
      </c>
      <c r="CJ131" s="59">
        <f t="shared" ref="CJ131:CJ194" si="159">MIN(CC131,CI131)</f>
        <v>0</v>
      </c>
      <c r="CL131" s="63">
        <v>6000</v>
      </c>
      <c r="CM131" s="63">
        <f t="shared" ref="CM131:CM194" si="160">V131</f>
        <v>0</v>
      </c>
      <c r="CN131" s="63">
        <f t="shared" ref="CN131:CN194" si="161">CM131+5</f>
        <v>5</v>
      </c>
      <c r="CO131" s="63">
        <f t="shared" ref="CO131:CO194" si="162">CL131/CN131</f>
        <v>1200</v>
      </c>
      <c r="CP131" s="13">
        <f t="shared" ref="CP131:CP194" si="163">ROUNDDOWN(CO131,0)</f>
        <v>1200</v>
      </c>
      <c r="CQ131" s="70">
        <f t="shared" ref="CQ131:CQ194" si="164">1/CP131</f>
        <v>8.3333333333333339E-4</v>
      </c>
      <c r="CR131" s="69">
        <f t="shared" si="132"/>
        <v>8.3333333333333339E-4</v>
      </c>
    </row>
    <row r="132" spans="1:96" hidden="1" x14ac:dyDescent="0.25">
      <c r="A132" s="17">
        <v>5</v>
      </c>
      <c r="B132" s="6" t="s">
        <v>407</v>
      </c>
      <c r="C132" s="17" t="s">
        <v>408</v>
      </c>
      <c r="D132" s="17" t="s">
        <v>2270</v>
      </c>
      <c r="E132" s="17" t="s">
        <v>52</v>
      </c>
      <c r="F132" s="7">
        <f t="shared" si="133"/>
        <v>1</v>
      </c>
      <c r="G132" s="17">
        <v>1</v>
      </c>
      <c r="H132" s="17">
        <f>G132*$H$131</f>
        <v>1</v>
      </c>
      <c r="I132" s="17">
        <v>1</v>
      </c>
      <c r="J132" s="6" t="s">
        <v>219</v>
      </c>
      <c r="K132" s="6" t="s">
        <v>34</v>
      </c>
      <c r="L132" s="17" t="s">
        <v>259</v>
      </c>
      <c r="M132" s="6" t="s">
        <v>35</v>
      </c>
      <c r="N132" s="17" t="s">
        <v>409</v>
      </c>
      <c r="O132" s="28" t="s">
        <v>41</v>
      </c>
      <c r="P132" s="28" t="s">
        <v>41</v>
      </c>
      <c r="Q132" s="28" t="s">
        <v>116</v>
      </c>
      <c r="R132" s="30">
        <v>52.587000000000003</v>
      </c>
      <c r="S132" s="30">
        <v>40.128999999999998</v>
      </c>
      <c r="T132" s="30"/>
      <c r="U132" s="30">
        <v>0.11799999999999999</v>
      </c>
      <c r="V132" s="8">
        <f t="shared" si="134"/>
        <v>1335.7098000000001</v>
      </c>
      <c r="W132" s="8">
        <f t="shared" si="135"/>
        <v>1019.2765999999999</v>
      </c>
      <c r="X132" s="8">
        <f t="shared" si="136"/>
        <v>0</v>
      </c>
      <c r="Y132" s="33">
        <f t="shared" si="137"/>
        <v>2.9971999999999999</v>
      </c>
      <c r="Z132" s="28" t="s">
        <v>56</v>
      </c>
      <c r="AA132" s="28" t="s">
        <v>57</v>
      </c>
      <c r="AB132" s="28" t="s">
        <v>116</v>
      </c>
      <c r="AC132" s="31" t="s">
        <v>117</v>
      </c>
      <c r="AD132" s="50">
        <f t="shared" si="138"/>
        <v>1</v>
      </c>
      <c r="AE132" s="31"/>
      <c r="AF132" s="51">
        <v>14</v>
      </c>
      <c r="AG132" s="51">
        <f t="shared" si="108"/>
        <v>8.4</v>
      </c>
      <c r="AH132" s="51">
        <f t="shared" si="131"/>
        <v>42</v>
      </c>
      <c r="AI132" s="52" t="s">
        <v>2497</v>
      </c>
      <c r="AJ132" s="52" t="s">
        <v>2498</v>
      </c>
      <c r="AK132" s="53">
        <f t="shared" si="109"/>
        <v>2.7229154870613601</v>
      </c>
      <c r="AL132" s="54">
        <f t="shared" si="110"/>
        <v>0.11904761904761904</v>
      </c>
      <c r="AM132" s="54">
        <f t="shared" si="111"/>
        <v>2.3809523809523808E-2</v>
      </c>
      <c r="AN132" s="55">
        <f t="shared" si="112"/>
        <v>0.32415660560254284</v>
      </c>
      <c r="AO132" s="55">
        <f t="shared" si="113"/>
        <v>6.4831321120508573E-2</v>
      </c>
      <c r="AP132" s="53">
        <v>7.1</v>
      </c>
      <c r="AQ132" s="53">
        <f t="shared" si="139"/>
        <v>4.26</v>
      </c>
      <c r="AR132" s="53">
        <f t="shared" si="140"/>
        <v>21.299999999999997</v>
      </c>
      <c r="AS132" s="56">
        <f t="shared" si="141"/>
        <v>4.6948356807511742E-2</v>
      </c>
      <c r="AT132" s="56">
        <f t="shared" si="114"/>
        <v>0.23474178403755869</v>
      </c>
      <c r="AU132" s="56">
        <f t="shared" si="142"/>
        <v>0.176056338028169</v>
      </c>
      <c r="AV132" s="56">
        <f t="shared" si="115"/>
        <v>5.8685446009389672E-2</v>
      </c>
      <c r="AW132" s="57" t="s">
        <v>2511</v>
      </c>
      <c r="AX132" s="57" t="s">
        <v>2512</v>
      </c>
      <c r="AY132" s="57" t="s">
        <v>2513</v>
      </c>
      <c r="AZ132" s="58">
        <f t="shared" si="116"/>
        <v>2.7229154870613601</v>
      </c>
      <c r="BA132" s="59">
        <f t="shared" si="119"/>
        <v>7.9897754902035212E-2</v>
      </c>
      <c r="BB132" s="59">
        <f t="shared" si="120"/>
        <v>0.23969326470610564</v>
      </c>
      <c r="BC132" s="59">
        <f t="shared" si="121"/>
        <v>6.3918203921628183E-2</v>
      </c>
      <c r="BD132" s="60">
        <f t="shared" si="117"/>
        <v>0.5</v>
      </c>
      <c r="BE132" s="59">
        <f t="shared" si="118"/>
        <v>0.5</v>
      </c>
      <c r="BQ132" s="61">
        <v>3000</v>
      </c>
      <c r="BR132" s="61">
        <v>1200</v>
      </c>
      <c r="BS132" s="28">
        <f t="shared" si="143"/>
        <v>2980</v>
      </c>
      <c r="BT132" s="28">
        <f t="shared" si="144"/>
        <v>1180</v>
      </c>
      <c r="BU132" s="28" t="s">
        <v>2541</v>
      </c>
      <c r="BV132" s="28">
        <f t="shared" si="145"/>
        <v>1340.7098000000001</v>
      </c>
      <c r="BW132" s="28">
        <f t="shared" si="146"/>
        <v>1024.2765999999999</v>
      </c>
      <c r="BX132" s="13">
        <f t="shared" si="147"/>
        <v>2.2227032277976932</v>
      </c>
      <c r="BY132" s="13">
        <f t="shared" si="148"/>
        <v>2</v>
      </c>
      <c r="BZ132" s="13">
        <f t="shared" si="149"/>
        <v>1.1520325662033088</v>
      </c>
      <c r="CA132" s="13">
        <f t="shared" si="150"/>
        <v>1</v>
      </c>
      <c r="CB132" s="13">
        <f t="shared" si="151"/>
        <v>2</v>
      </c>
      <c r="CC132" s="62">
        <f t="shared" si="152"/>
        <v>0.5</v>
      </c>
      <c r="CD132" s="13">
        <f t="shared" si="153"/>
        <v>2.9093703790558139</v>
      </c>
      <c r="CE132" s="13">
        <f t="shared" si="154"/>
        <v>2</v>
      </c>
      <c r="CF132" s="13">
        <f t="shared" si="155"/>
        <v>0.88013080832257651</v>
      </c>
      <c r="CG132" s="13">
        <f t="shared" si="156"/>
        <v>0</v>
      </c>
      <c r="CH132" s="28">
        <f t="shared" si="157"/>
        <v>0</v>
      </c>
      <c r="CI132" s="62">
        <f t="shared" si="158"/>
        <v>1</v>
      </c>
      <c r="CJ132" s="59">
        <f t="shared" si="159"/>
        <v>0.5</v>
      </c>
      <c r="CL132" s="63">
        <v>6000</v>
      </c>
      <c r="CM132" s="63">
        <f t="shared" si="160"/>
        <v>1335.7098000000001</v>
      </c>
      <c r="CN132" s="63">
        <f t="shared" si="161"/>
        <v>1340.7098000000001</v>
      </c>
      <c r="CO132" s="63">
        <f t="shared" si="162"/>
        <v>4.4752413982503896</v>
      </c>
      <c r="CP132" s="13">
        <f t="shared" si="163"/>
        <v>4</v>
      </c>
      <c r="CQ132" s="70">
        <f t="shared" si="164"/>
        <v>0.25</v>
      </c>
      <c r="CR132" s="69">
        <f t="shared" si="132"/>
        <v>0.25</v>
      </c>
    </row>
    <row r="133" spans="1:96" hidden="1" x14ac:dyDescent="0.25">
      <c r="A133" s="17">
        <v>5</v>
      </c>
      <c r="B133" s="6" t="s">
        <v>407</v>
      </c>
      <c r="C133" s="17" t="s">
        <v>410</v>
      </c>
      <c r="D133" s="17" t="s">
        <v>412</v>
      </c>
      <c r="E133" s="17" t="s">
        <v>52</v>
      </c>
      <c r="F133" s="7">
        <f t="shared" si="133"/>
        <v>1</v>
      </c>
      <c r="G133" s="17">
        <v>2</v>
      </c>
      <c r="H133" s="17">
        <f t="shared" ref="H133:H135" si="165">G133*$H$131</f>
        <v>2</v>
      </c>
      <c r="I133" s="17">
        <v>2</v>
      </c>
      <c r="J133" s="6" t="s">
        <v>411</v>
      </c>
      <c r="K133" s="6" t="s">
        <v>34</v>
      </c>
      <c r="L133" s="17">
        <v>0</v>
      </c>
      <c r="M133" s="6" t="s">
        <v>35</v>
      </c>
      <c r="N133" s="17" t="s">
        <v>412</v>
      </c>
      <c r="O133" s="28" t="s">
        <v>41</v>
      </c>
      <c r="P133" s="28" t="s">
        <v>41</v>
      </c>
      <c r="Q133" s="28" t="s">
        <v>412</v>
      </c>
      <c r="R133" s="30"/>
      <c r="S133" s="30"/>
      <c r="T133" s="30"/>
      <c r="U133" s="30"/>
      <c r="V133" s="8">
        <f t="shared" si="134"/>
        <v>0</v>
      </c>
      <c r="W133" s="8">
        <f t="shared" si="135"/>
        <v>0</v>
      </c>
      <c r="X133" s="8">
        <f t="shared" si="136"/>
        <v>0</v>
      </c>
      <c r="Y133" s="33">
        <f t="shared" si="137"/>
        <v>0</v>
      </c>
      <c r="Z133" s="28"/>
      <c r="AA133" s="28"/>
      <c r="AB133" s="61" t="s">
        <v>412</v>
      </c>
      <c r="AC133" s="31" t="s">
        <v>413</v>
      </c>
      <c r="AD133" s="50">
        <f t="shared" si="138"/>
        <v>2</v>
      </c>
      <c r="AE133" s="31"/>
      <c r="AF133" s="51">
        <v>14</v>
      </c>
      <c r="AG133" s="51">
        <f t="shared" si="108"/>
        <v>8.4</v>
      </c>
      <c r="AH133" s="51">
        <f t="shared" si="131"/>
        <v>42</v>
      </c>
      <c r="AI133" s="52" t="s">
        <v>2497</v>
      </c>
      <c r="AJ133" s="52" t="s">
        <v>2498</v>
      </c>
      <c r="AK133" s="53">
        <f t="shared" si="109"/>
        <v>0</v>
      </c>
      <c r="AL133" s="54">
        <f t="shared" si="110"/>
        <v>0.11904761904761904</v>
      </c>
      <c r="AM133" s="54">
        <f t="shared" si="111"/>
        <v>2.3809523809523808E-2</v>
      </c>
      <c r="AN133" s="55">
        <f t="shared" si="112"/>
        <v>0</v>
      </c>
      <c r="AO133" s="55">
        <f t="shared" si="113"/>
        <v>0</v>
      </c>
      <c r="AP133" s="53">
        <v>7.1</v>
      </c>
      <c r="AQ133" s="53">
        <f t="shared" si="139"/>
        <v>4.26</v>
      </c>
      <c r="AR133" s="53">
        <f t="shared" si="140"/>
        <v>21.299999999999997</v>
      </c>
      <c r="AS133" s="56">
        <f t="shared" si="141"/>
        <v>4.6948356807511742E-2</v>
      </c>
      <c r="AT133" s="56">
        <f t="shared" si="114"/>
        <v>0.23474178403755869</v>
      </c>
      <c r="AU133" s="56">
        <f t="shared" si="142"/>
        <v>0.176056338028169</v>
      </c>
      <c r="AV133" s="56">
        <f t="shared" si="115"/>
        <v>5.8685446009389672E-2</v>
      </c>
      <c r="AW133" s="57" t="s">
        <v>2511</v>
      </c>
      <c r="AX133" s="57" t="s">
        <v>2512</v>
      </c>
      <c r="AY133" s="57" t="s">
        <v>2513</v>
      </c>
      <c r="AZ133" s="58">
        <f t="shared" si="116"/>
        <v>0</v>
      </c>
      <c r="BA133" s="59">
        <f t="shared" si="119"/>
        <v>0</v>
      </c>
      <c r="BB133" s="59">
        <f t="shared" si="120"/>
        <v>0</v>
      </c>
      <c r="BC133" s="59">
        <f t="shared" si="121"/>
        <v>0</v>
      </c>
      <c r="BD133" s="60">
        <f t="shared" si="117"/>
        <v>7.1095438516664771E-6</v>
      </c>
      <c r="BE133" s="59">
        <f t="shared" si="118"/>
        <v>1.4219087703332954E-5</v>
      </c>
      <c r="BQ133" s="61">
        <v>3000</v>
      </c>
      <c r="BR133" s="61">
        <v>1200</v>
      </c>
      <c r="BS133" s="28">
        <f t="shared" si="143"/>
        <v>2980</v>
      </c>
      <c r="BT133" s="28">
        <f t="shared" si="144"/>
        <v>1180</v>
      </c>
      <c r="BU133" s="28" t="s">
        <v>2541</v>
      </c>
      <c r="BV133" s="28">
        <f t="shared" si="145"/>
        <v>5</v>
      </c>
      <c r="BW133" s="28">
        <f t="shared" si="146"/>
        <v>5</v>
      </c>
      <c r="BX133" s="13">
        <f t="shared" si="147"/>
        <v>596</v>
      </c>
      <c r="BY133" s="13">
        <f t="shared" si="148"/>
        <v>596</v>
      </c>
      <c r="BZ133" s="13">
        <f t="shared" si="149"/>
        <v>236</v>
      </c>
      <c r="CA133" s="13">
        <f t="shared" si="150"/>
        <v>236</v>
      </c>
      <c r="CB133" s="13">
        <f t="shared" si="151"/>
        <v>140656</v>
      </c>
      <c r="CC133" s="62">
        <f t="shared" si="152"/>
        <v>7.1095438516664771E-6</v>
      </c>
      <c r="CD133" s="13">
        <f t="shared" si="153"/>
        <v>596</v>
      </c>
      <c r="CE133" s="13">
        <f t="shared" si="154"/>
        <v>596</v>
      </c>
      <c r="CF133" s="13">
        <f t="shared" si="155"/>
        <v>236</v>
      </c>
      <c r="CG133" s="13">
        <f t="shared" si="156"/>
        <v>236</v>
      </c>
      <c r="CH133" s="28">
        <f t="shared" si="157"/>
        <v>140656</v>
      </c>
      <c r="CI133" s="62">
        <f t="shared" si="158"/>
        <v>7.1095438516664771E-6</v>
      </c>
      <c r="CJ133" s="59">
        <f t="shared" si="159"/>
        <v>7.1095438516664771E-6</v>
      </c>
      <c r="CL133" s="63">
        <v>6000</v>
      </c>
      <c r="CM133" s="63">
        <f t="shared" si="160"/>
        <v>0</v>
      </c>
      <c r="CN133" s="63">
        <f t="shared" si="161"/>
        <v>5</v>
      </c>
      <c r="CO133" s="63">
        <f t="shared" si="162"/>
        <v>1200</v>
      </c>
      <c r="CP133" s="13">
        <f t="shared" si="163"/>
        <v>1200</v>
      </c>
      <c r="CQ133" s="70">
        <f t="shared" si="164"/>
        <v>8.3333333333333339E-4</v>
      </c>
      <c r="CR133" s="69">
        <f t="shared" si="132"/>
        <v>1.6666666666666668E-3</v>
      </c>
    </row>
    <row r="134" spans="1:96" hidden="1" x14ac:dyDescent="0.25">
      <c r="A134" s="17">
        <v>5</v>
      </c>
      <c r="B134" s="6" t="s">
        <v>407</v>
      </c>
      <c r="C134" s="17" t="s">
        <v>67</v>
      </c>
      <c r="D134" s="17" t="s">
        <v>69</v>
      </c>
      <c r="E134" s="17" t="s">
        <v>52</v>
      </c>
      <c r="F134" s="7">
        <f t="shared" si="133"/>
        <v>4</v>
      </c>
      <c r="G134" s="17">
        <v>8</v>
      </c>
      <c r="H134" s="17">
        <f t="shared" si="165"/>
        <v>8</v>
      </c>
      <c r="I134" s="17">
        <v>3</v>
      </c>
      <c r="J134" s="6" t="s">
        <v>68</v>
      </c>
      <c r="K134" s="6" t="s">
        <v>34</v>
      </c>
      <c r="L134" s="17">
        <v>0</v>
      </c>
      <c r="M134" s="6" t="s">
        <v>35</v>
      </c>
      <c r="N134" s="17" t="s">
        <v>69</v>
      </c>
      <c r="O134" s="28" t="s">
        <v>41</v>
      </c>
      <c r="P134" s="28" t="s">
        <v>41</v>
      </c>
      <c r="Q134" s="28" t="s">
        <v>69</v>
      </c>
      <c r="R134" s="30"/>
      <c r="S134" s="30"/>
      <c r="T134" s="30"/>
      <c r="U134" s="30"/>
      <c r="V134" s="8">
        <f t="shared" si="134"/>
        <v>0</v>
      </c>
      <c r="W134" s="8">
        <f t="shared" si="135"/>
        <v>0</v>
      </c>
      <c r="X134" s="8">
        <f t="shared" si="136"/>
        <v>0</v>
      </c>
      <c r="Y134" s="33">
        <f t="shared" si="137"/>
        <v>0</v>
      </c>
      <c r="Z134" s="28"/>
      <c r="AA134" s="28"/>
      <c r="AB134" s="61" t="s">
        <v>69</v>
      </c>
      <c r="AC134" s="31" t="s">
        <v>70</v>
      </c>
      <c r="AD134" s="50">
        <f t="shared" si="138"/>
        <v>8</v>
      </c>
      <c r="AE134" s="31"/>
      <c r="AF134" s="51">
        <v>14</v>
      </c>
      <c r="AG134" s="51">
        <f t="shared" ref="AG134:AG197" si="166">AF134*0.6</f>
        <v>8.4</v>
      </c>
      <c r="AH134" s="51">
        <f t="shared" si="131"/>
        <v>42</v>
      </c>
      <c r="AI134" s="52" t="s">
        <v>2497</v>
      </c>
      <c r="AJ134" s="52" t="s">
        <v>2498</v>
      </c>
      <c r="AK134" s="53">
        <f t="shared" ref="AK134:AK197" si="167">(V134*W134)*2/1000000</f>
        <v>0</v>
      </c>
      <c r="AL134" s="54">
        <f t="shared" ref="AL134:AL197" si="168">1/(AF134*0.6)</f>
        <v>0.11904761904761904</v>
      </c>
      <c r="AM134" s="54">
        <f t="shared" ref="AM134:AM197" si="169">1/AG134*(20/100)</f>
        <v>2.3809523809523808E-2</v>
      </c>
      <c r="AN134" s="55">
        <f t="shared" ref="AN134:AN197" si="170">IF(AI134&lt;&gt;0,(AK134*AL134*AD134),0)</f>
        <v>0</v>
      </c>
      <c r="AO134" s="55">
        <f t="shared" ref="AO134:AO197" si="171">IF(AJ134&lt;&gt;0,(AK134*AM134*AD134),0)</f>
        <v>0</v>
      </c>
      <c r="AP134" s="53">
        <v>7.1</v>
      </c>
      <c r="AQ134" s="53">
        <f t="shared" si="139"/>
        <v>4.26</v>
      </c>
      <c r="AR134" s="53">
        <f t="shared" si="140"/>
        <v>21.299999999999997</v>
      </c>
      <c r="AS134" s="56">
        <f t="shared" si="141"/>
        <v>4.6948356807511742E-2</v>
      </c>
      <c r="AT134" s="56">
        <f t="shared" ref="AT134:AT197" si="172">1/AQ134</f>
        <v>0.23474178403755869</v>
      </c>
      <c r="AU134" s="56">
        <f t="shared" si="142"/>
        <v>0.176056338028169</v>
      </c>
      <c r="AV134" s="56">
        <f t="shared" ref="AV134:AV197" si="173">AT134*0.25</f>
        <v>5.8685446009389672E-2</v>
      </c>
      <c r="AW134" s="57" t="s">
        <v>2511</v>
      </c>
      <c r="AX134" s="57" t="s">
        <v>2512</v>
      </c>
      <c r="AY134" s="57" t="s">
        <v>2513</v>
      </c>
      <c r="AZ134" s="58">
        <f t="shared" ref="AZ134:AZ197" si="174">(V134*W134)*2/1000000</f>
        <v>0</v>
      </c>
      <c r="BA134" s="59">
        <f t="shared" si="119"/>
        <v>0</v>
      </c>
      <c r="BB134" s="59">
        <f t="shared" si="120"/>
        <v>0</v>
      </c>
      <c r="BC134" s="59">
        <f t="shared" si="121"/>
        <v>0</v>
      </c>
      <c r="BD134" s="60">
        <f t="shared" ref="BD134:BD197" si="175">CJ134</f>
        <v>7.1095438516664771E-6</v>
      </c>
      <c r="BE134" s="59">
        <f t="shared" ref="BE134:BE197" si="176">BD134*AD134</f>
        <v>5.6876350813331817E-5</v>
      </c>
      <c r="BQ134" s="61">
        <v>3000</v>
      </c>
      <c r="BR134" s="61">
        <v>1200</v>
      </c>
      <c r="BS134" s="28">
        <f t="shared" si="143"/>
        <v>2980</v>
      </c>
      <c r="BT134" s="28">
        <f t="shared" si="144"/>
        <v>1180</v>
      </c>
      <c r="BU134" s="28" t="s">
        <v>2541</v>
      </c>
      <c r="BV134" s="28">
        <f t="shared" si="145"/>
        <v>5</v>
      </c>
      <c r="BW134" s="28">
        <f t="shared" si="146"/>
        <v>5</v>
      </c>
      <c r="BX134" s="13">
        <f t="shared" si="147"/>
        <v>596</v>
      </c>
      <c r="BY134" s="13">
        <f t="shared" si="148"/>
        <v>596</v>
      </c>
      <c r="BZ134" s="13">
        <f t="shared" si="149"/>
        <v>236</v>
      </c>
      <c r="CA134" s="13">
        <f t="shared" si="150"/>
        <v>236</v>
      </c>
      <c r="CB134" s="13">
        <f t="shared" si="151"/>
        <v>140656</v>
      </c>
      <c r="CC134" s="62">
        <f t="shared" si="152"/>
        <v>7.1095438516664771E-6</v>
      </c>
      <c r="CD134" s="13">
        <f t="shared" si="153"/>
        <v>596</v>
      </c>
      <c r="CE134" s="13">
        <f t="shared" si="154"/>
        <v>596</v>
      </c>
      <c r="CF134" s="13">
        <f t="shared" si="155"/>
        <v>236</v>
      </c>
      <c r="CG134" s="13">
        <f t="shared" si="156"/>
        <v>236</v>
      </c>
      <c r="CH134" s="28">
        <f t="shared" si="157"/>
        <v>140656</v>
      </c>
      <c r="CI134" s="62">
        <f t="shared" si="158"/>
        <v>7.1095438516664771E-6</v>
      </c>
      <c r="CJ134" s="59">
        <f t="shared" si="159"/>
        <v>7.1095438516664771E-6</v>
      </c>
      <c r="CL134" s="63">
        <v>6000</v>
      </c>
      <c r="CM134" s="63">
        <f t="shared" si="160"/>
        <v>0</v>
      </c>
      <c r="CN134" s="63">
        <f t="shared" si="161"/>
        <v>5</v>
      </c>
      <c r="CO134" s="63">
        <f t="shared" si="162"/>
        <v>1200</v>
      </c>
      <c r="CP134" s="13">
        <f t="shared" si="163"/>
        <v>1200</v>
      </c>
      <c r="CQ134" s="70">
        <f t="shared" si="164"/>
        <v>8.3333333333333339E-4</v>
      </c>
      <c r="CR134" s="69">
        <f t="shared" si="132"/>
        <v>6.6666666666666671E-3</v>
      </c>
    </row>
    <row r="135" spans="1:96" hidden="1" x14ac:dyDescent="0.25">
      <c r="A135" s="17">
        <v>5</v>
      </c>
      <c r="B135" s="6" t="s">
        <v>407</v>
      </c>
      <c r="C135" s="17" t="s">
        <v>59</v>
      </c>
      <c r="D135" s="17" t="s">
        <v>61</v>
      </c>
      <c r="E135" s="17" t="s">
        <v>52</v>
      </c>
      <c r="F135" s="7">
        <f t="shared" si="133"/>
        <v>19</v>
      </c>
      <c r="G135" s="17">
        <v>2</v>
      </c>
      <c r="H135" s="17">
        <f t="shared" si="165"/>
        <v>2</v>
      </c>
      <c r="I135" s="17">
        <v>4</v>
      </c>
      <c r="J135" s="6" t="s">
        <v>60</v>
      </c>
      <c r="K135" s="6" t="s">
        <v>34</v>
      </c>
      <c r="L135" s="17">
        <v>0</v>
      </c>
      <c r="M135" s="6" t="s">
        <v>35</v>
      </c>
      <c r="N135" s="17" t="s">
        <v>61</v>
      </c>
      <c r="O135" s="28" t="s">
        <v>41</v>
      </c>
      <c r="P135" s="28" t="s">
        <v>41</v>
      </c>
      <c r="Q135" s="28" t="s">
        <v>61</v>
      </c>
      <c r="R135" s="30"/>
      <c r="S135" s="30"/>
      <c r="T135" s="30"/>
      <c r="U135" s="30"/>
      <c r="V135" s="8">
        <f t="shared" si="134"/>
        <v>0</v>
      </c>
      <c r="W135" s="8">
        <f t="shared" si="135"/>
        <v>0</v>
      </c>
      <c r="X135" s="8">
        <f t="shared" si="136"/>
        <v>0</v>
      </c>
      <c r="Y135" s="33">
        <f t="shared" si="137"/>
        <v>0</v>
      </c>
      <c r="Z135" s="28"/>
      <c r="AA135" s="28"/>
      <c r="AB135" s="61" t="s">
        <v>61</v>
      </c>
      <c r="AC135" s="31" t="s">
        <v>62</v>
      </c>
      <c r="AD135" s="50">
        <f t="shared" si="138"/>
        <v>2</v>
      </c>
      <c r="AE135" s="47" t="s">
        <v>107</v>
      </c>
      <c r="AF135" s="51">
        <v>14</v>
      </c>
      <c r="AG135" s="51">
        <f t="shared" si="166"/>
        <v>8.4</v>
      </c>
      <c r="AH135" s="51">
        <f t="shared" si="131"/>
        <v>42</v>
      </c>
      <c r="AI135" s="52" t="s">
        <v>2497</v>
      </c>
      <c r="AJ135" s="52" t="s">
        <v>2498</v>
      </c>
      <c r="AK135" s="53">
        <f t="shared" si="167"/>
        <v>0</v>
      </c>
      <c r="AL135" s="54">
        <f t="shared" si="168"/>
        <v>0.11904761904761904</v>
      </c>
      <c r="AM135" s="54">
        <f t="shared" si="169"/>
        <v>2.3809523809523808E-2</v>
      </c>
      <c r="AN135" s="55">
        <f t="shared" si="170"/>
        <v>0</v>
      </c>
      <c r="AO135" s="55">
        <f t="shared" si="171"/>
        <v>0</v>
      </c>
      <c r="AP135" s="53">
        <v>7.1</v>
      </c>
      <c r="AQ135" s="53">
        <f t="shared" si="139"/>
        <v>4.26</v>
      </c>
      <c r="AR135" s="53">
        <f t="shared" si="140"/>
        <v>21.299999999999997</v>
      </c>
      <c r="AS135" s="56">
        <f t="shared" si="141"/>
        <v>4.6948356807511742E-2</v>
      </c>
      <c r="AT135" s="56">
        <f t="shared" si="172"/>
        <v>0.23474178403755869</v>
      </c>
      <c r="AU135" s="56">
        <f t="shared" si="142"/>
        <v>0.176056338028169</v>
      </c>
      <c r="AV135" s="56">
        <f t="shared" si="173"/>
        <v>5.8685446009389672E-2</v>
      </c>
      <c r="AW135" s="57" t="s">
        <v>2511</v>
      </c>
      <c r="AX135" s="57" t="s">
        <v>2512</v>
      </c>
      <c r="AY135" s="57" t="s">
        <v>2513</v>
      </c>
      <c r="AZ135" s="58">
        <f t="shared" si="174"/>
        <v>0</v>
      </c>
      <c r="BA135" s="59">
        <f t="shared" si="119"/>
        <v>0</v>
      </c>
      <c r="BB135" s="59">
        <f t="shared" si="120"/>
        <v>0</v>
      </c>
      <c r="BC135" s="59">
        <f t="shared" si="121"/>
        <v>0</v>
      </c>
      <c r="BD135" s="60">
        <f t="shared" si="175"/>
        <v>7.1095438516664771E-6</v>
      </c>
      <c r="BE135" s="59">
        <f t="shared" si="176"/>
        <v>1.4219087703332954E-5</v>
      </c>
      <c r="BQ135" s="61">
        <v>3000</v>
      </c>
      <c r="BR135" s="61">
        <v>1200</v>
      </c>
      <c r="BS135" s="28">
        <f t="shared" si="143"/>
        <v>2980</v>
      </c>
      <c r="BT135" s="28">
        <f t="shared" si="144"/>
        <v>1180</v>
      </c>
      <c r="BU135" s="28" t="s">
        <v>2541</v>
      </c>
      <c r="BV135" s="28">
        <f t="shared" si="145"/>
        <v>5</v>
      </c>
      <c r="BW135" s="28">
        <f t="shared" si="146"/>
        <v>5</v>
      </c>
      <c r="BX135" s="13">
        <f t="shared" si="147"/>
        <v>596</v>
      </c>
      <c r="BY135" s="13">
        <f t="shared" si="148"/>
        <v>596</v>
      </c>
      <c r="BZ135" s="13">
        <f t="shared" si="149"/>
        <v>236</v>
      </c>
      <c r="CA135" s="13">
        <f t="shared" si="150"/>
        <v>236</v>
      </c>
      <c r="CB135" s="13">
        <f t="shared" si="151"/>
        <v>140656</v>
      </c>
      <c r="CC135" s="62">
        <f t="shared" si="152"/>
        <v>7.1095438516664771E-6</v>
      </c>
      <c r="CD135" s="13">
        <f t="shared" si="153"/>
        <v>596</v>
      </c>
      <c r="CE135" s="13">
        <f t="shared" si="154"/>
        <v>596</v>
      </c>
      <c r="CF135" s="13">
        <f t="shared" si="155"/>
        <v>236</v>
      </c>
      <c r="CG135" s="13">
        <f t="shared" si="156"/>
        <v>236</v>
      </c>
      <c r="CH135" s="28">
        <f t="shared" si="157"/>
        <v>140656</v>
      </c>
      <c r="CI135" s="62">
        <f t="shared" si="158"/>
        <v>7.1095438516664771E-6</v>
      </c>
      <c r="CJ135" s="59">
        <f t="shared" si="159"/>
        <v>7.1095438516664771E-6</v>
      </c>
      <c r="CL135" s="63">
        <v>6000</v>
      </c>
      <c r="CM135" s="63">
        <f t="shared" si="160"/>
        <v>0</v>
      </c>
      <c r="CN135" s="63">
        <f t="shared" si="161"/>
        <v>5</v>
      </c>
      <c r="CO135" s="63">
        <f t="shared" si="162"/>
        <v>1200</v>
      </c>
      <c r="CP135" s="13">
        <f t="shared" si="163"/>
        <v>1200</v>
      </c>
      <c r="CQ135" s="70">
        <f t="shared" si="164"/>
        <v>8.3333333333333339E-4</v>
      </c>
      <c r="CR135" s="69">
        <f t="shared" si="132"/>
        <v>1.6666666666666668E-3</v>
      </c>
    </row>
    <row r="136" spans="1:96" hidden="1" x14ac:dyDescent="0.25">
      <c r="A136" s="13">
        <v>4</v>
      </c>
      <c r="B136" s="14" t="s">
        <v>403</v>
      </c>
      <c r="C136" s="13" t="s">
        <v>414</v>
      </c>
      <c r="D136" s="13" t="s">
        <v>2270</v>
      </c>
      <c r="E136" s="13" t="s">
        <v>52</v>
      </c>
      <c r="F136" s="15">
        <f t="shared" si="133"/>
        <v>1</v>
      </c>
      <c r="G136" s="13">
        <v>1</v>
      </c>
      <c r="H136" s="13">
        <f t="shared" ref="H136:H137" si="177">G136*$H$130</f>
        <v>1</v>
      </c>
      <c r="I136" s="13">
        <v>2</v>
      </c>
      <c r="J136" s="14" t="s">
        <v>415</v>
      </c>
      <c r="K136" s="14" t="s">
        <v>34</v>
      </c>
      <c r="L136" s="13">
        <v>0</v>
      </c>
      <c r="M136" s="14" t="s">
        <v>35</v>
      </c>
      <c r="N136" s="13" t="s">
        <v>416</v>
      </c>
      <c r="O136" s="28" t="s">
        <v>41</v>
      </c>
      <c r="P136" s="28" t="s">
        <v>41</v>
      </c>
      <c r="Q136" s="28" t="s">
        <v>116</v>
      </c>
      <c r="R136" s="30">
        <v>49.686</v>
      </c>
      <c r="S136" s="30">
        <v>35.960999999999999</v>
      </c>
      <c r="T136" s="30"/>
      <c r="U136" s="30">
        <v>0.11799999999999999</v>
      </c>
      <c r="V136" s="8">
        <f t="shared" si="134"/>
        <v>1262.0244</v>
      </c>
      <c r="W136" s="8">
        <f t="shared" si="135"/>
        <v>913.40939999999989</v>
      </c>
      <c r="X136" s="8">
        <f t="shared" si="136"/>
        <v>0</v>
      </c>
      <c r="Y136" s="33">
        <f t="shared" si="137"/>
        <v>2.9971999999999999</v>
      </c>
      <c r="Z136" s="28" t="s">
        <v>56</v>
      </c>
      <c r="AA136" s="28" t="s">
        <v>57</v>
      </c>
      <c r="AB136" s="28" t="s">
        <v>116</v>
      </c>
      <c r="AC136" s="31" t="s">
        <v>117</v>
      </c>
      <c r="AD136" s="50">
        <f t="shared" si="138"/>
        <v>1</v>
      </c>
      <c r="AE136" s="31"/>
      <c r="AF136" s="51">
        <v>14</v>
      </c>
      <c r="AG136" s="51">
        <f t="shared" si="166"/>
        <v>8.4</v>
      </c>
      <c r="AH136" s="51">
        <f t="shared" si="131"/>
        <v>42</v>
      </c>
      <c r="AI136" s="52" t="s">
        <v>2497</v>
      </c>
      <c r="AJ136" s="52" t="s">
        <v>2498</v>
      </c>
      <c r="AK136" s="53">
        <f t="shared" si="167"/>
        <v>2.3054898999787197</v>
      </c>
      <c r="AL136" s="54">
        <f t="shared" si="168"/>
        <v>0.11904761904761904</v>
      </c>
      <c r="AM136" s="54">
        <f t="shared" si="169"/>
        <v>2.3809523809523808E-2</v>
      </c>
      <c r="AN136" s="55">
        <f t="shared" si="170"/>
        <v>0.27446308333079994</v>
      </c>
      <c r="AO136" s="55">
        <f t="shared" si="171"/>
        <v>5.4892616666159987E-2</v>
      </c>
      <c r="AP136" s="53">
        <v>7.1</v>
      </c>
      <c r="AQ136" s="53">
        <f t="shared" si="139"/>
        <v>4.26</v>
      </c>
      <c r="AR136" s="53">
        <f t="shared" si="140"/>
        <v>21.299999999999997</v>
      </c>
      <c r="AS136" s="56">
        <f t="shared" si="141"/>
        <v>4.6948356807511742E-2</v>
      </c>
      <c r="AT136" s="56">
        <f t="shared" si="172"/>
        <v>0.23474178403755869</v>
      </c>
      <c r="AU136" s="56">
        <f t="shared" si="142"/>
        <v>0.176056338028169</v>
      </c>
      <c r="AV136" s="56">
        <f t="shared" si="173"/>
        <v>5.8685446009389672E-2</v>
      </c>
      <c r="AW136" s="57" t="s">
        <v>2511</v>
      </c>
      <c r="AX136" s="57" t="s">
        <v>2512</v>
      </c>
      <c r="AY136" s="57" t="s">
        <v>2513</v>
      </c>
      <c r="AZ136" s="58">
        <f t="shared" si="174"/>
        <v>2.3054898999787197</v>
      </c>
      <c r="BA136" s="59">
        <f t="shared" ref="BA136:BA199" si="178">IF(AW136&lt;&gt;0,((AV136*AD136*AK136)/2),0)</f>
        <v>6.7649351525197174E-2</v>
      </c>
      <c r="BB136" s="59">
        <f t="shared" ref="BB136:BB199" si="179">IF(AX136&lt;&gt;0,((AD136*AU136*AZ136)/2),0)</f>
        <v>0.20294805457559151</v>
      </c>
      <c r="BC136" s="59">
        <f t="shared" ref="BC136:BC199" si="180">IF(AY136&lt;&gt;0,((AD136*AS136*AZ136)/2),0)</f>
        <v>5.4119481220157743E-2</v>
      </c>
      <c r="BD136" s="60">
        <f t="shared" si="175"/>
        <v>0.5</v>
      </c>
      <c r="BE136" s="59">
        <f t="shared" si="176"/>
        <v>0.5</v>
      </c>
      <c r="BQ136" s="61">
        <v>3000</v>
      </c>
      <c r="BR136" s="61">
        <v>1200</v>
      </c>
      <c r="BS136" s="28">
        <f t="shared" si="143"/>
        <v>2980</v>
      </c>
      <c r="BT136" s="28">
        <f t="shared" si="144"/>
        <v>1180</v>
      </c>
      <c r="BU136" s="28" t="s">
        <v>2541</v>
      </c>
      <c r="BV136" s="28">
        <f t="shared" si="145"/>
        <v>1267.0244</v>
      </c>
      <c r="BW136" s="28">
        <f t="shared" si="146"/>
        <v>918.40939999999989</v>
      </c>
      <c r="BX136" s="13">
        <f t="shared" si="147"/>
        <v>2.3519673338571851</v>
      </c>
      <c r="BY136" s="13">
        <f t="shared" si="148"/>
        <v>2</v>
      </c>
      <c r="BZ136" s="13">
        <f t="shared" si="149"/>
        <v>1.2848300550930774</v>
      </c>
      <c r="CA136" s="13">
        <f t="shared" si="150"/>
        <v>1</v>
      </c>
      <c r="CB136" s="13">
        <f t="shared" si="151"/>
        <v>2</v>
      </c>
      <c r="CC136" s="62">
        <f t="shared" si="152"/>
        <v>0.5</v>
      </c>
      <c r="CD136" s="13">
        <f t="shared" si="153"/>
        <v>3.2447403086248903</v>
      </c>
      <c r="CE136" s="13">
        <f t="shared" si="154"/>
        <v>3</v>
      </c>
      <c r="CF136" s="13">
        <f t="shared" si="155"/>
        <v>0.93131592414479147</v>
      </c>
      <c r="CG136" s="13">
        <f t="shared" si="156"/>
        <v>0</v>
      </c>
      <c r="CH136" s="28">
        <f t="shared" si="157"/>
        <v>0</v>
      </c>
      <c r="CI136" s="62">
        <f t="shared" si="158"/>
        <v>1</v>
      </c>
      <c r="CJ136" s="59">
        <f t="shared" si="159"/>
        <v>0.5</v>
      </c>
      <c r="CL136" s="63">
        <v>6000</v>
      </c>
      <c r="CM136" s="63">
        <f t="shared" si="160"/>
        <v>1262.0244</v>
      </c>
      <c r="CN136" s="63">
        <f t="shared" si="161"/>
        <v>1267.0244</v>
      </c>
      <c r="CO136" s="63">
        <f t="shared" si="162"/>
        <v>4.7355046990413125</v>
      </c>
      <c r="CP136" s="13">
        <f t="shared" si="163"/>
        <v>4</v>
      </c>
      <c r="CQ136" s="70">
        <f t="shared" si="164"/>
        <v>0.25</v>
      </c>
      <c r="CR136" s="69">
        <f t="shared" si="132"/>
        <v>0.25</v>
      </c>
    </row>
    <row r="137" spans="1:96" hidden="1" x14ac:dyDescent="0.25">
      <c r="A137" s="13">
        <v>4</v>
      </c>
      <c r="B137" s="14" t="s">
        <v>403</v>
      </c>
      <c r="C137" s="13" t="s">
        <v>417</v>
      </c>
      <c r="D137" s="13" t="s">
        <v>2270</v>
      </c>
      <c r="E137" s="13" t="s">
        <v>32</v>
      </c>
      <c r="F137" s="15">
        <f t="shared" si="133"/>
        <v>1</v>
      </c>
      <c r="G137" s="13">
        <v>1</v>
      </c>
      <c r="H137" s="13">
        <f t="shared" si="177"/>
        <v>1</v>
      </c>
      <c r="I137" s="13">
        <v>4</v>
      </c>
      <c r="J137" s="14" t="s">
        <v>418</v>
      </c>
      <c r="K137" s="14" t="s">
        <v>34</v>
      </c>
      <c r="L137" s="13" t="s">
        <v>194</v>
      </c>
      <c r="M137" s="14" t="s">
        <v>35</v>
      </c>
      <c r="N137" s="13" t="s">
        <v>419</v>
      </c>
      <c r="O137" s="28" t="s">
        <v>41</v>
      </c>
      <c r="P137" s="28" t="s">
        <v>41</v>
      </c>
      <c r="Q137" s="28"/>
      <c r="R137" s="30"/>
      <c r="S137" s="30"/>
      <c r="T137" s="30"/>
      <c r="U137" s="30"/>
      <c r="V137" s="8">
        <f t="shared" si="134"/>
        <v>0</v>
      </c>
      <c r="W137" s="8">
        <f t="shared" si="135"/>
        <v>0</v>
      </c>
      <c r="X137" s="8">
        <f t="shared" si="136"/>
        <v>0</v>
      </c>
      <c r="Y137" s="33">
        <f t="shared" si="137"/>
        <v>0</v>
      </c>
      <c r="Z137" s="28"/>
      <c r="AA137" s="28"/>
      <c r="AB137" s="28">
        <v>0</v>
      </c>
      <c r="AC137" s="31"/>
      <c r="AD137" s="50">
        <f t="shared" si="138"/>
        <v>1</v>
      </c>
      <c r="AE137" s="31"/>
      <c r="AF137" s="51">
        <v>14</v>
      </c>
      <c r="AG137" s="51">
        <f t="shared" si="166"/>
        <v>8.4</v>
      </c>
      <c r="AH137" s="51">
        <f t="shared" si="131"/>
        <v>42</v>
      </c>
      <c r="AI137" s="52" t="s">
        <v>2497</v>
      </c>
      <c r="AJ137" s="52" t="s">
        <v>2498</v>
      </c>
      <c r="AK137" s="53">
        <f t="shared" si="167"/>
        <v>0</v>
      </c>
      <c r="AL137" s="54">
        <f t="shared" si="168"/>
        <v>0.11904761904761904</v>
      </c>
      <c r="AM137" s="54">
        <f t="shared" si="169"/>
        <v>2.3809523809523808E-2</v>
      </c>
      <c r="AN137" s="55">
        <f t="shared" si="170"/>
        <v>0</v>
      </c>
      <c r="AO137" s="55">
        <f t="shared" si="171"/>
        <v>0</v>
      </c>
      <c r="AP137" s="53">
        <v>7.1</v>
      </c>
      <c r="AQ137" s="53">
        <f t="shared" si="139"/>
        <v>4.26</v>
      </c>
      <c r="AR137" s="53">
        <f t="shared" si="140"/>
        <v>21.299999999999997</v>
      </c>
      <c r="AS137" s="56">
        <f t="shared" si="141"/>
        <v>4.6948356807511742E-2</v>
      </c>
      <c r="AT137" s="56">
        <f t="shared" si="172"/>
        <v>0.23474178403755869</v>
      </c>
      <c r="AU137" s="56">
        <f t="shared" si="142"/>
        <v>0.176056338028169</v>
      </c>
      <c r="AV137" s="56">
        <f t="shared" si="173"/>
        <v>5.8685446009389672E-2</v>
      </c>
      <c r="AW137" s="57" t="s">
        <v>2511</v>
      </c>
      <c r="AX137" s="57" t="s">
        <v>2512</v>
      </c>
      <c r="AY137" s="57" t="s">
        <v>2513</v>
      </c>
      <c r="AZ137" s="58">
        <f t="shared" si="174"/>
        <v>0</v>
      </c>
      <c r="BA137" s="59">
        <f t="shared" si="178"/>
        <v>0</v>
      </c>
      <c r="BB137" s="59">
        <f t="shared" si="179"/>
        <v>0</v>
      </c>
      <c r="BC137" s="59">
        <f t="shared" si="180"/>
        <v>0</v>
      </c>
      <c r="BD137" s="60">
        <f t="shared" si="175"/>
        <v>0</v>
      </c>
      <c r="BE137" s="59">
        <f t="shared" si="176"/>
        <v>0</v>
      </c>
      <c r="BQ137" s="61">
        <v>3000</v>
      </c>
      <c r="BR137" s="61">
        <v>1200</v>
      </c>
      <c r="BS137" s="28">
        <f t="shared" si="143"/>
        <v>2980</v>
      </c>
      <c r="BT137" s="28">
        <f t="shared" si="144"/>
        <v>1180</v>
      </c>
      <c r="BU137" s="28" t="s">
        <v>2541</v>
      </c>
      <c r="BV137" s="28">
        <f t="shared" si="145"/>
        <v>5</v>
      </c>
      <c r="BW137" s="28">
        <f t="shared" si="146"/>
        <v>5</v>
      </c>
      <c r="BX137" s="13">
        <f t="shared" si="147"/>
        <v>596</v>
      </c>
      <c r="BY137" s="13">
        <f t="shared" si="148"/>
        <v>596</v>
      </c>
      <c r="BZ137" s="13">
        <f t="shared" si="149"/>
        <v>236</v>
      </c>
      <c r="CA137" s="13">
        <f t="shared" si="150"/>
        <v>236</v>
      </c>
      <c r="CB137" s="13">
        <f t="shared" si="151"/>
        <v>140656</v>
      </c>
      <c r="CC137" s="62" t="str">
        <f t="shared" si="152"/>
        <v/>
      </c>
      <c r="CD137" s="13">
        <f t="shared" si="153"/>
        <v>596</v>
      </c>
      <c r="CE137" s="13">
        <f t="shared" si="154"/>
        <v>596</v>
      </c>
      <c r="CF137" s="13">
        <f t="shared" si="155"/>
        <v>236</v>
      </c>
      <c r="CG137" s="13">
        <f t="shared" si="156"/>
        <v>236</v>
      </c>
      <c r="CH137" s="28">
        <f t="shared" si="157"/>
        <v>140656</v>
      </c>
      <c r="CI137" s="62" t="str">
        <f t="shared" si="158"/>
        <v/>
      </c>
      <c r="CJ137" s="59">
        <f t="shared" si="159"/>
        <v>0</v>
      </c>
      <c r="CL137" s="63">
        <v>6000</v>
      </c>
      <c r="CM137" s="63">
        <f t="shared" si="160"/>
        <v>0</v>
      </c>
      <c r="CN137" s="63">
        <f t="shared" si="161"/>
        <v>5</v>
      </c>
      <c r="CO137" s="63">
        <f t="shared" si="162"/>
        <v>1200</v>
      </c>
      <c r="CP137" s="13">
        <f t="shared" si="163"/>
        <v>1200</v>
      </c>
      <c r="CQ137" s="70">
        <f t="shared" si="164"/>
        <v>8.3333333333333339E-4</v>
      </c>
      <c r="CR137" s="69">
        <f t="shared" si="132"/>
        <v>8.3333333333333339E-4</v>
      </c>
    </row>
    <row r="138" spans="1:96" hidden="1" x14ac:dyDescent="0.25">
      <c r="A138" s="17">
        <v>5</v>
      </c>
      <c r="B138" s="6" t="s">
        <v>420</v>
      </c>
      <c r="C138" s="17" t="s">
        <v>421</v>
      </c>
      <c r="D138" s="17" t="s">
        <v>2270</v>
      </c>
      <c r="E138" s="17" t="s">
        <v>52</v>
      </c>
      <c r="F138" s="7">
        <f t="shared" si="133"/>
        <v>1</v>
      </c>
      <c r="G138" s="17">
        <v>1</v>
      </c>
      <c r="H138" s="17">
        <f>G138*$H$137</f>
        <v>1</v>
      </c>
      <c r="I138" s="17">
        <v>1</v>
      </c>
      <c r="J138" s="6" t="s">
        <v>422</v>
      </c>
      <c r="K138" s="6" t="s">
        <v>34</v>
      </c>
      <c r="L138" s="17" t="s">
        <v>194</v>
      </c>
      <c r="M138" s="6" t="s">
        <v>35</v>
      </c>
      <c r="N138" s="17" t="s">
        <v>423</v>
      </c>
      <c r="O138" s="28" t="s">
        <v>41</v>
      </c>
      <c r="P138" s="28" t="s">
        <v>41</v>
      </c>
      <c r="Q138" s="28" t="s">
        <v>116</v>
      </c>
      <c r="R138" s="30">
        <v>52.466999999999999</v>
      </c>
      <c r="S138" s="30">
        <v>23.645</v>
      </c>
      <c r="T138" s="30"/>
      <c r="U138" s="30">
        <v>0.11799999999999999</v>
      </c>
      <c r="V138" s="8">
        <f t="shared" si="134"/>
        <v>1332.6617999999999</v>
      </c>
      <c r="W138" s="8">
        <f t="shared" si="135"/>
        <v>600.58299999999997</v>
      </c>
      <c r="X138" s="8">
        <f t="shared" si="136"/>
        <v>0</v>
      </c>
      <c r="Y138" s="33">
        <f t="shared" si="137"/>
        <v>2.9971999999999999</v>
      </c>
      <c r="Z138" s="28" t="s">
        <v>56</v>
      </c>
      <c r="AA138" s="28" t="s">
        <v>57</v>
      </c>
      <c r="AB138" s="28" t="s">
        <v>116</v>
      </c>
      <c r="AC138" s="31" t="s">
        <v>117</v>
      </c>
      <c r="AD138" s="50">
        <f t="shared" si="138"/>
        <v>1</v>
      </c>
      <c r="AE138" s="31"/>
      <c r="AF138" s="51">
        <v>14</v>
      </c>
      <c r="AG138" s="51">
        <f t="shared" si="166"/>
        <v>8.4</v>
      </c>
      <c r="AH138" s="51">
        <f t="shared" si="131"/>
        <v>42</v>
      </c>
      <c r="AI138" s="52" t="s">
        <v>2497</v>
      </c>
      <c r="AJ138" s="52" t="s">
        <v>2498</v>
      </c>
      <c r="AK138" s="53">
        <f t="shared" si="167"/>
        <v>1.6007480436587997</v>
      </c>
      <c r="AL138" s="54">
        <f t="shared" si="168"/>
        <v>0.11904761904761904</v>
      </c>
      <c r="AM138" s="54">
        <f t="shared" si="169"/>
        <v>2.3809523809523808E-2</v>
      </c>
      <c r="AN138" s="55">
        <f t="shared" si="170"/>
        <v>0.19056524329271424</v>
      </c>
      <c r="AO138" s="55">
        <f t="shared" si="171"/>
        <v>3.8113048658542849E-2</v>
      </c>
      <c r="AP138" s="53">
        <v>7.1</v>
      </c>
      <c r="AQ138" s="53">
        <f t="shared" si="139"/>
        <v>4.26</v>
      </c>
      <c r="AR138" s="53">
        <f t="shared" si="140"/>
        <v>21.299999999999997</v>
      </c>
      <c r="AS138" s="56">
        <f t="shared" si="141"/>
        <v>4.6948356807511742E-2</v>
      </c>
      <c r="AT138" s="56">
        <f t="shared" si="172"/>
        <v>0.23474178403755869</v>
      </c>
      <c r="AU138" s="56">
        <f t="shared" si="142"/>
        <v>0.176056338028169</v>
      </c>
      <c r="AV138" s="56">
        <f t="shared" si="173"/>
        <v>5.8685446009389672E-2</v>
      </c>
      <c r="AW138" s="57" t="s">
        <v>2511</v>
      </c>
      <c r="AX138" s="57" t="s">
        <v>2512</v>
      </c>
      <c r="AY138" s="57" t="s">
        <v>2513</v>
      </c>
      <c r="AZ138" s="58">
        <f t="shared" si="174"/>
        <v>1.6007480436587997</v>
      </c>
      <c r="BA138" s="59">
        <f t="shared" si="178"/>
        <v>4.6970306445387314E-2</v>
      </c>
      <c r="BB138" s="59">
        <f t="shared" si="179"/>
        <v>0.14091091933616193</v>
      </c>
      <c r="BC138" s="59">
        <f t="shared" si="180"/>
        <v>3.7576245156309855E-2</v>
      </c>
      <c r="BD138" s="60">
        <f t="shared" si="175"/>
        <v>0.5</v>
      </c>
      <c r="BE138" s="59">
        <f t="shared" si="176"/>
        <v>0.5</v>
      </c>
      <c r="BQ138" s="61">
        <v>3000</v>
      </c>
      <c r="BR138" s="61">
        <v>1200</v>
      </c>
      <c r="BS138" s="28">
        <f t="shared" si="143"/>
        <v>2980</v>
      </c>
      <c r="BT138" s="28">
        <f t="shared" si="144"/>
        <v>1180</v>
      </c>
      <c r="BU138" s="28" t="s">
        <v>2541</v>
      </c>
      <c r="BV138" s="28">
        <f t="shared" si="145"/>
        <v>1337.6617999999999</v>
      </c>
      <c r="BW138" s="28">
        <f t="shared" si="146"/>
        <v>605.58299999999997</v>
      </c>
      <c r="BX138" s="13">
        <f t="shared" si="147"/>
        <v>2.2277678857241794</v>
      </c>
      <c r="BY138" s="13">
        <f t="shared" si="148"/>
        <v>2</v>
      </c>
      <c r="BZ138" s="13">
        <f t="shared" si="149"/>
        <v>1.948535543435004</v>
      </c>
      <c r="CA138" s="13">
        <f t="shared" si="150"/>
        <v>1</v>
      </c>
      <c r="CB138" s="13">
        <f t="shared" si="151"/>
        <v>2</v>
      </c>
      <c r="CC138" s="62">
        <f t="shared" si="152"/>
        <v>0.5</v>
      </c>
      <c r="CD138" s="13">
        <f t="shared" si="153"/>
        <v>4.9208778978273831</v>
      </c>
      <c r="CE138" s="13">
        <f t="shared" si="154"/>
        <v>4</v>
      </c>
      <c r="CF138" s="13">
        <f t="shared" si="155"/>
        <v>0.88213627689749396</v>
      </c>
      <c r="CG138" s="13">
        <f t="shared" si="156"/>
        <v>0</v>
      </c>
      <c r="CH138" s="28">
        <f t="shared" si="157"/>
        <v>0</v>
      </c>
      <c r="CI138" s="62">
        <f t="shared" si="158"/>
        <v>1</v>
      </c>
      <c r="CJ138" s="59">
        <f t="shared" si="159"/>
        <v>0.5</v>
      </c>
      <c r="CL138" s="63">
        <v>6000</v>
      </c>
      <c r="CM138" s="63">
        <f t="shared" si="160"/>
        <v>1332.6617999999999</v>
      </c>
      <c r="CN138" s="63">
        <f t="shared" si="161"/>
        <v>1337.6617999999999</v>
      </c>
      <c r="CO138" s="63">
        <f t="shared" si="162"/>
        <v>4.4854386960889521</v>
      </c>
      <c r="CP138" s="13">
        <f t="shared" si="163"/>
        <v>4</v>
      </c>
      <c r="CQ138" s="70">
        <f t="shared" si="164"/>
        <v>0.25</v>
      </c>
      <c r="CR138" s="69">
        <f t="shared" si="132"/>
        <v>0.25</v>
      </c>
    </row>
    <row r="139" spans="1:96" hidden="1" x14ac:dyDescent="0.25">
      <c r="A139" s="17">
        <v>5</v>
      </c>
      <c r="B139" s="6" t="s">
        <v>420</v>
      </c>
      <c r="C139" s="17" t="s">
        <v>424</v>
      </c>
      <c r="D139" s="17" t="s">
        <v>2270</v>
      </c>
      <c r="E139" s="17" t="s">
        <v>52</v>
      </c>
      <c r="F139" s="7">
        <f t="shared" si="133"/>
        <v>1</v>
      </c>
      <c r="G139" s="17">
        <v>2</v>
      </c>
      <c r="H139" s="17">
        <f t="shared" ref="H139:H140" si="181">G139*$H$137</f>
        <v>2</v>
      </c>
      <c r="I139" s="17">
        <v>2</v>
      </c>
      <c r="J139" s="6" t="s">
        <v>425</v>
      </c>
      <c r="K139" s="6" t="s">
        <v>34</v>
      </c>
      <c r="L139" s="17">
        <v>0</v>
      </c>
      <c r="M139" s="6" t="s">
        <v>35</v>
      </c>
      <c r="N139" s="17" t="s">
        <v>426</v>
      </c>
      <c r="O139" s="28" t="s">
        <v>41</v>
      </c>
      <c r="P139" s="28" t="s">
        <v>41</v>
      </c>
      <c r="Q139" s="28" t="s">
        <v>116</v>
      </c>
      <c r="R139" s="30">
        <v>15.157480314960631</v>
      </c>
      <c r="S139" s="30">
        <v>0.82677165354330717</v>
      </c>
      <c r="T139" s="30"/>
      <c r="U139" s="30">
        <v>0.11799999999999999</v>
      </c>
      <c r="V139" s="8">
        <f t="shared" si="134"/>
        <v>385</v>
      </c>
      <c r="W139" s="8">
        <f t="shared" si="135"/>
        <v>21</v>
      </c>
      <c r="X139" s="8">
        <f t="shared" si="136"/>
        <v>0</v>
      </c>
      <c r="Y139" s="33">
        <f t="shared" si="137"/>
        <v>2.9971999999999999</v>
      </c>
      <c r="Z139" s="28" t="s">
        <v>56</v>
      </c>
      <c r="AA139" s="28" t="s">
        <v>57</v>
      </c>
      <c r="AB139" s="28" t="s">
        <v>116</v>
      </c>
      <c r="AC139" s="31" t="s">
        <v>117</v>
      </c>
      <c r="AD139" s="50">
        <f t="shared" si="138"/>
        <v>2</v>
      </c>
      <c r="AE139" s="31"/>
      <c r="AF139" s="51">
        <v>14</v>
      </c>
      <c r="AG139" s="51">
        <f t="shared" si="166"/>
        <v>8.4</v>
      </c>
      <c r="AH139" s="51">
        <f t="shared" si="131"/>
        <v>42</v>
      </c>
      <c r="AI139" s="52" t="s">
        <v>2497</v>
      </c>
      <c r="AJ139" s="52" t="s">
        <v>2498</v>
      </c>
      <c r="AK139" s="53">
        <f t="shared" si="167"/>
        <v>1.617E-2</v>
      </c>
      <c r="AL139" s="54">
        <f t="shared" si="168"/>
        <v>0.11904761904761904</v>
      </c>
      <c r="AM139" s="54">
        <f t="shared" si="169"/>
        <v>2.3809523809523808E-2</v>
      </c>
      <c r="AN139" s="55">
        <f t="shared" si="170"/>
        <v>3.8499999999999997E-3</v>
      </c>
      <c r="AO139" s="55">
        <f t="shared" si="171"/>
        <v>7.6999999999999996E-4</v>
      </c>
      <c r="AP139" s="53">
        <v>7.1</v>
      </c>
      <c r="AQ139" s="53">
        <f t="shared" si="139"/>
        <v>4.26</v>
      </c>
      <c r="AR139" s="53">
        <f t="shared" si="140"/>
        <v>21.299999999999997</v>
      </c>
      <c r="AS139" s="56">
        <f t="shared" si="141"/>
        <v>4.6948356807511742E-2</v>
      </c>
      <c r="AT139" s="56">
        <f t="shared" si="172"/>
        <v>0.23474178403755869</v>
      </c>
      <c r="AU139" s="56">
        <f t="shared" si="142"/>
        <v>0.176056338028169</v>
      </c>
      <c r="AV139" s="56">
        <f t="shared" si="173"/>
        <v>5.8685446009389672E-2</v>
      </c>
      <c r="AW139" s="57" t="s">
        <v>2511</v>
      </c>
      <c r="AX139" s="57" t="s">
        <v>2512</v>
      </c>
      <c r="AY139" s="57" t="s">
        <v>2513</v>
      </c>
      <c r="AZ139" s="58">
        <f t="shared" si="174"/>
        <v>1.617E-2</v>
      </c>
      <c r="BA139" s="59">
        <f t="shared" si="178"/>
        <v>9.4894366197183103E-4</v>
      </c>
      <c r="BB139" s="59">
        <f t="shared" si="179"/>
        <v>2.8468309859154928E-3</v>
      </c>
      <c r="BC139" s="59">
        <f t="shared" si="180"/>
        <v>7.5915492957746487E-4</v>
      </c>
      <c r="BD139" s="60">
        <f t="shared" si="175"/>
        <v>2.9239766081871343E-3</v>
      </c>
      <c r="BE139" s="59">
        <f t="shared" si="176"/>
        <v>5.8479532163742687E-3</v>
      </c>
      <c r="BQ139" s="61">
        <v>3000</v>
      </c>
      <c r="BR139" s="61">
        <v>1200</v>
      </c>
      <c r="BS139" s="28">
        <f t="shared" si="143"/>
        <v>2980</v>
      </c>
      <c r="BT139" s="28">
        <f t="shared" si="144"/>
        <v>1180</v>
      </c>
      <c r="BU139" s="28" t="s">
        <v>2541</v>
      </c>
      <c r="BV139" s="28">
        <f t="shared" si="145"/>
        <v>390</v>
      </c>
      <c r="BW139" s="28">
        <f t="shared" si="146"/>
        <v>26</v>
      </c>
      <c r="BX139" s="13">
        <f t="shared" si="147"/>
        <v>7.6410256410256414</v>
      </c>
      <c r="BY139" s="13">
        <f t="shared" si="148"/>
        <v>7</v>
      </c>
      <c r="BZ139" s="13">
        <f t="shared" si="149"/>
        <v>45.384615384615387</v>
      </c>
      <c r="CA139" s="13">
        <f t="shared" si="150"/>
        <v>45</v>
      </c>
      <c r="CB139" s="13">
        <f t="shared" si="151"/>
        <v>315</v>
      </c>
      <c r="CC139" s="62">
        <f t="shared" si="152"/>
        <v>3.1746031746031746E-3</v>
      </c>
      <c r="CD139" s="13">
        <f t="shared" si="153"/>
        <v>114.61538461538461</v>
      </c>
      <c r="CE139" s="13">
        <f t="shared" si="154"/>
        <v>114</v>
      </c>
      <c r="CF139" s="13">
        <f t="shared" si="155"/>
        <v>3.0256410256410255</v>
      </c>
      <c r="CG139" s="13">
        <f t="shared" si="156"/>
        <v>3</v>
      </c>
      <c r="CH139" s="28">
        <f t="shared" si="157"/>
        <v>342</v>
      </c>
      <c r="CI139" s="62">
        <f t="shared" si="158"/>
        <v>2.9239766081871343E-3</v>
      </c>
      <c r="CJ139" s="59">
        <f t="shared" si="159"/>
        <v>2.9239766081871343E-3</v>
      </c>
      <c r="CL139" s="63">
        <v>6000</v>
      </c>
      <c r="CM139" s="63">
        <f t="shared" si="160"/>
        <v>385</v>
      </c>
      <c r="CN139" s="63">
        <f t="shared" si="161"/>
        <v>390</v>
      </c>
      <c r="CO139" s="63">
        <f t="shared" si="162"/>
        <v>15.384615384615385</v>
      </c>
      <c r="CP139" s="13">
        <f t="shared" si="163"/>
        <v>15</v>
      </c>
      <c r="CQ139" s="70">
        <f t="shared" si="164"/>
        <v>6.6666666666666666E-2</v>
      </c>
      <c r="CR139" s="69">
        <f t="shared" si="132"/>
        <v>0.13333333333333333</v>
      </c>
    </row>
    <row r="140" spans="1:96" hidden="1" x14ac:dyDescent="0.25">
      <c r="A140" s="17">
        <v>5</v>
      </c>
      <c r="B140" s="6" t="s">
        <v>420</v>
      </c>
      <c r="C140" s="17" t="s">
        <v>427</v>
      </c>
      <c r="D140" s="17" t="s">
        <v>2270</v>
      </c>
      <c r="E140" s="17" t="s">
        <v>52</v>
      </c>
      <c r="F140" s="7">
        <f t="shared" si="133"/>
        <v>1</v>
      </c>
      <c r="G140" s="17">
        <v>2</v>
      </c>
      <c r="H140" s="17">
        <f t="shared" si="181"/>
        <v>2</v>
      </c>
      <c r="I140" s="17">
        <v>3</v>
      </c>
      <c r="J140" s="6" t="s">
        <v>428</v>
      </c>
      <c r="K140" s="6" t="s">
        <v>34</v>
      </c>
      <c r="L140" s="17">
        <v>0</v>
      </c>
      <c r="M140" s="6" t="s">
        <v>35</v>
      </c>
      <c r="N140" s="17" t="s">
        <v>429</v>
      </c>
      <c r="O140" s="28" t="s">
        <v>41</v>
      </c>
      <c r="P140" s="28" t="s">
        <v>41</v>
      </c>
      <c r="Q140" s="28" t="s">
        <v>116</v>
      </c>
      <c r="R140" s="30">
        <v>38.228346456692918</v>
      </c>
      <c r="S140" s="30">
        <v>0.82677165354330717</v>
      </c>
      <c r="T140" s="30"/>
      <c r="U140" s="30">
        <v>0.11799999999999999</v>
      </c>
      <c r="V140" s="8">
        <f t="shared" si="134"/>
        <v>971.00000000000011</v>
      </c>
      <c r="W140" s="8">
        <f t="shared" si="135"/>
        <v>21</v>
      </c>
      <c r="X140" s="8">
        <f t="shared" si="136"/>
        <v>0</v>
      </c>
      <c r="Y140" s="33">
        <f t="shared" si="137"/>
        <v>2.9971999999999999</v>
      </c>
      <c r="Z140" s="28" t="s">
        <v>56</v>
      </c>
      <c r="AA140" s="28" t="s">
        <v>57</v>
      </c>
      <c r="AB140" s="28" t="s">
        <v>116</v>
      </c>
      <c r="AC140" s="31" t="s">
        <v>117</v>
      </c>
      <c r="AD140" s="50">
        <f t="shared" si="138"/>
        <v>2</v>
      </c>
      <c r="AE140" s="31"/>
      <c r="AF140" s="51">
        <v>14</v>
      </c>
      <c r="AG140" s="51">
        <f t="shared" si="166"/>
        <v>8.4</v>
      </c>
      <c r="AH140" s="51">
        <f t="shared" si="131"/>
        <v>42</v>
      </c>
      <c r="AI140" s="52" t="s">
        <v>2497</v>
      </c>
      <c r="AJ140" s="52" t="s">
        <v>2498</v>
      </c>
      <c r="AK140" s="53">
        <f t="shared" si="167"/>
        <v>4.0782000000000006E-2</v>
      </c>
      <c r="AL140" s="54">
        <f t="shared" si="168"/>
        <v>0.11904761904761904</v>
      </c>
      <c r="AM140" s="54">
        <f t="shared" si="169"/>
        <v>2.3809523809523808E-2</v>
      </c>
      <c r="AN140" s="55">
        <f t="shared" si="170"/>
        <v>9.7100000000000016E-3</v>
      </c>
      <c r="AO140" s="55">
        <f t="shared" si="171"/>
        <v>1.9420000000000001E-3</v>
      </c>
      <c r="AP140" s="53">
        <v>7.1</v>
      </c>
      <c r="AQ140" s="53">
        <f t="shared" si="139"/>
        <v>4.26</v>
      </c>
      <c r="AR140" s="53">
        <f t="shared" si="140"/>
        <v>21.299999999999997</v>
      </c>
      <c r="AS140" s="56">
        <f t="shared" si="141"/>
        <v>4.6948356807511742E-2</v>
      </c>
      <c r="AT140" s="56">
        <f t="shared" si="172"/>
        <v>0.23474178403755869</v>
      </c>
      <c r="AU140" s="56">
        <f t="shared" si="142"/>
        <v>0.176056338028169</v>
      </c>
      <c r="AV140" s="56">
        <f t="shared" si="173"/>
        <v>5.8685446009389672E-2</v>
      </c>
      <c r="AW140" s="57" t="s">
        <v>2511</v>
      </c>
      <c r="AX140" s="57" t="s">
        <v>2512</v>
      </c>
      <c r="AY140" s="57" t="s">
        <v>2513</v>
      </c>
      <c r="AZ140" s="58">
        <f t="shared" si="174"/>
        <v>4.0782000000000006E-2</v>
      </c>
      <c r="BA140" s="59">
        <f t="shared" si="178"/>
        <v>2.3933098591549301E-3</v>
      </c>
      <c r="BB140" s="59">
        <f t="shared" si="179"/>
        <v>7.1799295774647894E-3</v>
      </c>
      <c r="BC140" s="59">
        <f t="shared" si="180"/>
        <v>1.9146478873239441E-3</v>
      </c>
      <c r="BD140" s="60">
        <f t="shared" si="175"/>
        <v>7.4074074074074077E-3</v>
      </c>
      <c r="BE140" s="59">
        <f t="shared" si="176"/>
        <v>1.4814814814814815E-2</v>
      </c>
      <c r="BQ140" s="61">
        <v>3000</v>
      </c>
      <c r="BR140" s="61">
        <v>1200</v>
      </c>
      <c r="BS140" s="28">
        <f t="shared" si="143"/>
        <v>2980</v>
      </c>
      <c r="BT140" s="28">
        <f t="shared" si="144"/>
        <v>1180</v>
      </c>
      <c r="BU140" s="28" t="s">
        <v>2541</v>
      </c>
      <c r="BV140" s="28">
        <f t="shared" si="145"/>
        <v>976.00000000000011</v>
      </c>
      <c r="BW140" s="28">
        <f t="shared" si="146"/>
        <v>26</v>
      </c>
      <c r="BX140" s="13">
        <f t="shared" si="147"/>
        <v>3.0532786885245899</v>
      </c>
      <c r="BY140" s="13">
        <f t="shared" si="148"/>
        <v>3</v>
      </c>
      <c r="BZ140" s="13">
        <f t="shared" si="149"/>
        <v>45.384615384615387</v>
      </c>
      <c r="CA140" s="13">
        <f t="shared" si="150"/>
        <v>45</v>
      </c>
      <c r="CB140" s="13">
        <f t="shared" si="151"/>
        <v>135</v>
      </c>
      <c r="CC140" s="62">
        <f t="shared" si="152"/>
        <v>7.4074074074074077E-3</v>
      </c>
      <c r="CD140" s="13">
        <f t="shared" si="153"/>
        <v>114.61538461538461</v>
      </c>
      <c r="CE140" s="13">
        <f t="shared" si="154"/>
        <v>114</v>
      </c>
      <c r="CF140" s="13">
        <f t="shared" si="155"/>
        <v>1.2090163934426228</v>
      </c>
      <c r="CG140" s="13">
        <f t="shared" si="156"/>
        <v>1</v>
      </c>
      <c r="CH140" s="28">
        <f t="shared" si="157"/>
        <v>114</v>
      </c>
      <c r="CI140" s="62">
        <f t="shared" si="158"/>
        <v>8.771929824561403E-3</v>
      </c>
      <c r="CJ140" s="59">
        <f t="shared" si="159"/>
        <v>7.4074074074074077E-3</v>
      </c>
      <c r="CL140" s="63">
        <v>6000</v>
      </c>
      <c r="CM140" s="63">
        <f t="shared" si="160"/>
        <v>971.00000000000011</v>
      </c>
      <c r="CN140" s="63">
        <f t="shared" si="161"/>
        <v>976.00000000000011</v>
      </c>
      <c r="CO140" s="63">
        <f t="shared" si="162"/>
        <v>6.1475409836065564</v>
      </c>
      <c r="CP140" s="13">
        <f t="shared" si="163"/>
        <v>6</v>
      </c>
      <c r="CQ140" s="70">
        <f t="shared" si="164"/>
        <v>0.16666666666666666</v>
      </c>
      <c r="CR140" s="69">
        <f t="shared" si="132"/>
        <v>0.33333333333333331</v>
      </c>
    </row>
    <row r="141" spans="1:96" hidden="1" x14ac:dyDescent="0.25">
      <c r="A141" s="13">
        <v>4</v>
      </c>
      <c r="B141" s="14" t="s">
        <v>403</v>
      </c>
      <c r="C141" s="13" t="s">
        <v>430</v>
      </c>
      <c r="D141" s="13" t="s">
        <v>2270</v>
      </c>
      <c r="E141" s="13" t="s">
        <v>52</v>
      </c>
      <c r="F141" s="15">
        <f t="shared" si="133"/>
        <v>1</v>
      </c>
      <c r="G141" s="13">
        <v>1</v>
      </c>
      <c r="H141" s="13">
        <f t="shared" ref="H141:H144" si="182">G141*$H$130</f>
        <v>1</v>
      </c>
      <c r="I141" s="13">
        <v>6</v>
      </c>
      <c r="J141" s="14" t="s">
        <v>431</v>
      </c>
      <c r="K141" s="14" t="s">
        <v>34</v>
      </c>
      <c r="L141" s="13" t="s">
        <v>110</v>
      </c>
      <c r="M141" s="14" t="s">
        <v>35</v>
      </c>
      <c r="N141" s="13" t="s">
        <v>432</v>
      </c>
      <c r="O141" s="28" t="s">
        <v>41</v>
      </c>
      <c r="P141" s="28" t="s">
        <v>41</v>
      </c>
      <c r="Q141" s="28" t="s">
        <v>116</v>
      </c>
      <c r="R141" s="30">
        <v>34.673000000000002</v>
      </c>
      <c r="S141" s="30">
        <v>33.130000000000003</v>
      </c>
      <c r="T141" s="30"/>
      <c r="U141" s="30">
        <v>0.11799999999999999</v>
      </c>
      <c r="V141" s="8">
        <f t="shared" si="134"/>
        <v>880.69420000000002</v>
      </c>
      <c r="W141" s="8">
        <f t="shared" si="135"/>
        <v>841.50200000000007</v>
      </c>
      <c r="X141" s="8">
        <f t="shared" si="136"/>
        <v>0</v>
      </c>
      <c r="Y141" s="33">
        <f t="shared" si="137"/>
        <v>2.9971999999999999</v>
      </c>
      <c r="Z141" s="28" t="s">
        <v>56</v>
      </c>
      <c r="AA141" s="28" t="s">
        <v>57</v>
      </c>
      <c r="AB141" s="28" t="s">
        <v>116</v>
      </c>
      <c r="AC141" s="31" t="s">
        <v>117</v>
      </c>
      <c r="AD141" s="50">
        <f t="shared" si="138"/>
        <v>1</v>
      </c>
      <c r="AE141" s="31"/>
      <c r="AF141" s="51">
        <v>14</v>
      </c>
      <c r="AG141" s="51">
        <f t="shared" si="166"/>
        <v>8.4</v>
      </c>
      <c r="AH141" s="51">
        <f t="shared" si="131"/>
        <v>42</v>
      </c>
      <c r="AI141" s="52" t="s">
        <v>2497</v>
      </c>
      <c r="AJ141" s="52" t="s">
        <v>2498</v>
      </c>
      <c r="AK141" s="53">
        <f t="shared" si="167"/>
        <v>1.4822118613768001</v>
      </c>
      <c r="AL141" s="54">
        <f t="shared" si="168"/>
        <v>0.11904761904761904</v>
      </c>
      <c r="AM141" s="54">
        <f t="shared" si="169"/>
        <v>2.3809523809523808E-2</v>
      </c>
      <c r="AN141" s="55">
        <f t="shared" si="170"/>
        <v>0.17645379302104761</v>
      </c>
      <c r="AO141" s="55">
        <f t="shared" si="171"/>
        <v>3.5290758604209521E-2</v>
      </c>
      <c r="AP141" s="53">
        <v>7.1</v>
      </c>
      <c r="AQ141" s="53">
        <f t="shared" si="139"/>
        <v>4.26</v>
      </c>
      <c r="AR141" s="53">
        <f t="shared" si="140"/>
        <v>21.299999999999997</v>
      </c>
      <c r="AS141" s="56">
        <f t="shared" si="141"/>
        <v>4.6948356807511742E-2</v>
      </c>
      <c r="AT141" s="56">
        <f t="shared" si="172"/>
        <v>0.23474178403755869</v>
      </c>
      <c r="AU141" s="56">
        <f t="shared" si="142"/>
        <v>0.176056338028169</v>
      </c>
      <c r="AV141" s="56">
        <f t="shared" si="173"/>
        <v>5.8685446009389672E-2</v>
      </c>
      <c r="AW141" s="57" t="s">
        <v>2511</v>
      </c>
      <c r="AX141" s="57" t="s">
        <v>2512</v>
      </c>
      <c r="AY141" s="57" t="s">
        <v>2513</v>
      </c>
      <c r="AZ141" s="58">
        <f t="shared" si="174"/>
        <v>1.4822118613768001</v>
      </c>
      <c r="BA141" s="59">
        <f t="shared" si="178"/>
        <v>4.3492132082652582E-2</v>
      </c>
      <c r="BB141" s="59">
        <f t="shared" si="179"/>
        <v>0.13047639624795773</v>
      </c>
      <c r="BC141" s="59">
        <f t="shared" si="180"/>
        <v>3.4793705666122068E-2</v>
      </c>
      <c r="BD141" s="60">
        <f t="shared" si="175"/>
        <v>0.33333333333333331</v>
      </c>
      <c r="BE141" s="59">
        <f t="shared" si="176"/>
        <v>0.33333333333333331</v>
      </c>
      <c r="BQ141" s="61">
        <v>3000</v>
      </c>
      <c r="BR141" s="61">
        <v>1200</v>
      </c>
      <c r="BS141" s="28">
        <f t="shared" si="143"/>
        <v>2980</v>
      </c>
      <c r="BT141" s="28">
        <f t="shared" si="144"/>
        <v>1180</v>
      </c>
      <c r="BU141" s="28" t="s">
        <v>2541</v>
      </c>
      <c r="BV141" s="28">
        <f t="shared" si="145"/>
        <v>885.69420000000002</v>
      </c>
      <c r="BW141" s="28">
        <f t="shared" si="146"/>
        <v>846.50200000000007</v>
      </c>
      <c r="BX141" s="13">
        <f t="shared" si="147"/>
        <v>3.3645924293057354</v>
      </c>
      <c r="BY141" s="13">
        <f t="shared" si="148"/>
        <v>3</v>
      </c>
      <c r="BZ141" s="13">
        <f t="shared" si="149"/>
        <v>1.3939718984715923</v>
      </c>
      <c r="CA141" s="13">
        <f t="shared" si="150"/>
        <v>1</v>
      </c>
      <c r="CB141" s="13">
        <f t="shared" si="151"/>
        <v>3</v>
      </c>
      <c r="CC141" s="62">
        <f t="shared" si="152"/>
        <v>0.33333333333333331</v>
      </c>
      <c r="CD141" s="13">
        <f t="shared" si="153"/>
        <v>3.5203697096994451</v>
      </c>
      <c r="CE141" s="13">
        <f t="shared" si="154"/>
        <v>3</v>
      </c>
      <c r="CF141" s="13">
        <f t="shared" si="155"/>
        <v>1.3322882773760967</v>
      </c>
      <c r="CG141" s="13">
        <f t="shared" si="156"/>
        <v>1</v>
      </c>
      <c r="CH141" s="28">
        <f t="shared" si="157"/>
        <v>3</v>
      </c>
      <c r="CI141" s="62">
        <f t="shared" si="158"/>
        <v>0.33333333333333331</v>
      </c>
      <c r="CJ141" s="59">
        <f t="shared" si="159"/>
        <v>0.33333333333333331</v>
      </c>
      <c r="CL141" s="63">
        <v>6000</v>
      </c>
      <c r="CM141" s="63">
        <f t="shared" si="160"/>
        <v>880.69420000000002</v>
      </c>
      <c r="CN141" s="63">
        <f t="shared" si="161"/>
        <v>885.69420000000002</v>
      </c>
      <c r="CO141" s="63">
        <f t="shared" si="162"/>
        <v>6.7743471730987963</v>
      </c>
      <c r="CP141" s="13">
        <f t="shared" si="163"/>
        <v>6</v>
      </c>
      <c r="CQ141" s="70">
        <f t="shared" si="164"/>
        <v>0.16666666666666666</v>
      </c>
      <c r="CR141" s="69">
        <f t="shared" si="132"/>
        <v>0.16666666666666666</v>
      </c>
    </row>
    <row r="142" spans="1:96" hidden="1" x14ac:dyDescent="0.25">
      <c r="A142" s="13">
        <v>4</v>
      </c>
      <c r="B142" s="14" t="s">
        <v>403</v>
      </c>
      <c r="C142" s="13" t="s">
        <v>433</v>
      </c>
      <c r="D142" s="13" t="s">
        <v>2270</v>
      </c>
      <c r="E142" s="13" t="s">
        <v>52</v>
      </c>
      <c r="F142" s="15">
        <f t="shared" si="133"/>
        <v>1</v>
      </c>
      <c r="G142" s="13">
        <v>1</v>
      </c>
      <c r="H142" s="13">
        <f t="shared" si="182"/>
        <v>1</v>
      </c>
      <c r="I142" s="13">
        <v>7</v>
      </c>
      <c r="J142" s="14" t="s">
        <v>219</v>
      </c>
      <c r="K142" s="14" t="s">
        <v>34</v>
      </c>
      <c r="L142" s="13" t="s">
        <v>194</v>
      </c>
      <c r="M142" s="14" t="s">
        <v>35</v>
      </c>
      <c r="N142" s="13" t="s">
        <v>434</v>
      </c>
      <c r="O142" s="28" t="s">
        <v>41</v>
      </c>
      <c r="P142" s="28" t="s">
        <v>41</v>
      </c>
      <c r="Q142" s="28" t="s">
        <v>116</v>
      </c>
      <c r="R142" s="30">
        <v>30.88</v>
      </c>
      <c r="S142" s="30">
        <v>23.431000000000001</v>
      </c>
      <c r="T142" s="30"/>
      <c r="U142" s="30">
        <v>0.11799999999999999</v>
      </c>
      <c r="V142" s="8">
        <f t="shared" si="134"/>
        <v>784.35199999999998</v>
      </c>
      <c r="W142" s="8">
        <f t="shared" si="135"/>
        <v>595.14739999999995</v>
      </c>
      <c r="X142" s="8">
        <f t="shared" si="136"/>
        <v>0</v>
      </c>
      <c r="Y142" s="33">
        <f t="shared" si="137"/>
        <v>2.9971999999999999</v>
      </c>
      <c r="Z142" s="28" t="s">
        <v>56</v>
      </c>
      <c r="AA142" s="28" t="s">
        <v>57</v>
      </c>
      <c r="AB142" s="28" t="s">
        <v>116</v>
      </c>
      <c r="AC142" s="31" t="s">
        <v>117</v>
      </c>
      <c r="AD142" s="50">
        <f t="shared" si="138"/>
        <v>1</v>
      </c>
      <c r="AE142" s="31"/>
      <c r="AF142" s="51">
        <v>14</v>
      </c>
      <c r="AG142" s="51">
        <f t="shared" si="166"/>
        <v>8.4</v>
      </c>
      <c r="AH142" s="51">
        <f t="shared" si="131"/>
        <v>42</v>
      </c>
      <c r="AI142" s="52" t="s">
        <v>2497</v>
      </c>
      <c r="AJ142" s="52" t="s">
        <v>2498</v>
      </c>
      <c r="AK142" s="53">
        <f t="shared" si="167"/>
        <v>0.9336101069695999</v>
      </c>
      <c r="AL142" s="54">
        <f t="shared" si="168"/>
        <v>0.11904761904761904</v>
      </c>
      <c r="AM142" s="54">
        <f t="shared" si="169"/>
        <v>2.3809523809523808E-2</v>
      </c>
      <c r="AN142" s="55">
        <f t="shared" si="170"/>
        <v>0.1111440603535238</v>
      </c>
      <c r="AO142" s="55">
        <f t="shared" si="171"/>
        <v>2.2228812070704759E-2</v>
      </c>
      <c r="AP142" s="53">
        <v>7.1</v>
      </c>
      <c r="AQ142" s="53">
        <f t="shared" si="139"/>
        <v>4.26</v>
      </c>
      <c r="AR142" s="53">
        <f t="shared" si="140"/>
        <v>21.299999999999997</v>
      </c>
      <c r="AS142" s="56">
        <f t="shared" si="141"/>
        <v>4.6948356807511742E-2</v>
      </c>
      <c r="AT142" s="56">
        <f t="shared" si="172"/>
        <v>0.23474178403755869</v>
      </c>
      <c r="AU142" s="56">
        <f t="shared" si="142"/>
        <v>0.176056338028169</v>
      </c>
      <c r="AV142" s="56">
        <f t="shared" si="173"/>
        <v>5.8685446009389672E-2</v>
      </c>
      <c r="AW142" s="57" t="s">
        <v>2511</v>
      </c>
      <c r="AX142" s="57" t="s">
        <v>2512</v>
      </c>
      <c r="AY142" s="57" t="s">
        <v>2513</v>
      </c>
      <c r="AZ142" s="58">
        <f t="shared" si="174"/>
        <v>0.9336101069695999</v>
      </c>
      <c r="BA142" s="59">
        <f t="shared" si="178"/>
        <v>2.7394662763192485E-2</v>
      </c>
      <c r="BB142" s="59">
        <f t="shared" si="179"/>
        <v>8.2183988289577445E-2</v>
      </c>
      <c r="BC142" s="59">
        <f t="shared" si="180"/>
        <v>2.1915730210553989E-2</v>
      </c>
      <c r="BD142" s="60">
        <f t="shared" si="175"/>
        <v>0.25</v>
      </c>
      <c r="BE142" s="59">
        <f t="shared" si="176"/>
        <v>0.25</v>
      </c>
      <c r="BQ142" s="61">
        <v>3000</v>
      </c>
      <c r="BR142" s="61">
        <v>1200</v>
      </c>
      <c r="BS142" s="28">
        <f t="shared" si="143"/>
        <v>2980</v>
      </c>
      <c r="BT142" s="28">
        <f t="shared" si="144"/>
        <v>1180</v>
      </c>
      <c r="BU142" s="28" t="s">
        <v>2541</v>
      </c>
      <c r="BV142" s="28">
        <f t="shared" si="145"/>
        <v>789.35199999999998</v>
      </c>
      <c r="BW142" s="28">
        <f t="shared" si="146"/>
        <v>600.14739999999995</v>
      </c>
      <c r="BX142" s="13">
        <f t="shared" si="147"/>
        <v>3.7752485583111213</v>
      </c>
      <c r="BY142" s="13">
        <f t="shared" si="148"/>
        <v>3</v>
      </c>
      <c r="BZ142" s="13">
        <f t="shared" si="149"/>
        <v>1.966183640885556</v>
      </c>
      <c r="CA142" s="13">
        <f t="shared" si="150"/>
        <v>1</v>
      </c>
      <c r="CB142" s="13">
        <f t="shared" si="151"/>
        <v>3</v>
      </c>
      <c r="CC142" s="62">
        <f t="shared" si="152"/>
        <v>0.33333333333333331</v>
      </c>
      <c r="CD142" s="13">
        <f t="shared" si="153"/>
        <v>4.9654468218974213</v>
      </c>
      <c r="CE142" s="13">
        <f t="shared" si="154"/>
        <v>4</v>
      </c>
      <c r="CF142" s="13">
        <f t="shared" si="155"/>
        <v>1.4948970801366184</v>
      </c>
      <c r="CG142" s="13">
        <f t="shared" si="156"/>
        <v>1</v>
      </c>
      <c r="CH142" s="28">
        <f t="shared" si="157"/>
        <v>4</v>
      </c>
      <c r="CI142" s="62">
        <f t="shared" si="158"/>
        <v>0.25</v>
      </c>
      <c r="CJ142" s="59">
        <f t="shared" si="159"/>
        <v>0.25</v>
      </c>
      <c r="CL142" s="63">
        <v>6000</v>
      </c>
      <c r="CM142" s="63">
        <f t="shared" si="160"/>
        <v>784.35199999999998</v>
      </c>
      <c r="CN142" s="63">
        <f t="shared" si="161"/>
        <v>789.35199999999998</v>
      </c>
      <c r="CO142" s="63">
        <f t="shared" si="162"/>
        <v>7.6011715939150086</v>
      </c>
      <c r="CP142" s="13">
        <f t="shared" si="163"/>
        <v>7</v>
      </c>
      <c r="CQ142" s="70">
        <f t="shared" si="164"/>
        <v>0.14285714285714285</v>
      </c>
      <c r="CR142" s="69">
        <f t="shared" si="132"/>
        <v>0.14285714285714285</v>
      </c>
    </row>
    <row r="143" spans="1:96" hidden="1" x14ac:dyDescent="0.25">
      <c r="A143" s="13">
        <v>4</v>
      </c>
      <c r="B143" s="14" t="s">
        <v>403</v>
      </c>
      <c r="C143" s="13" t="s">
        <v>435</v>
      </c>
      <c r="D143" s="13" t="s">
        <v>2270</v>
      </c>
      <c r="E143" s="13" t="s">
        <v>52</v>
      </c>
      <c r="F143" s="15">
        <f t="shared" si="133"/>
        <v>1</v>
      </c>
      <c r="G143" s="13">
        <v>1</v>
      </c>
      <c r="H143" s="13">
        <f t="shared" si="182"/>
        <v>1</v>
      </c>
      <c r="I143" s="13">
        <v>9</v>
      </c>
      <c r="J143" s="14" t="s">
        <v>431</v>
      </c>
      <c r="K143" s="14" t="s">
        <v>34</v>
      </c>
      <c r="L143" s="13">
        <v>0</v>
      </c>
      <c r="M143" s="14" t="s">
        <v>35</v>
      </c>
      <c r="N143" s="13" t="s">
        <v>436</v>
      </c>
      <c r="O143" s="28" t="s">
        <v>41</v>
      </c>
      <c r="P143" s="28" t="s">
        <v>41</v>
      </c>
      <c r="Q143" s="28" t="s">
        <v>116</v>
      </c>
      <c r="R143" s="30">
        <v>18.14</v>
      </c>
      <c r="S143" s="30">
        <v>5.843</v>
      </c>
      <c r="T143" s="30"/>
      <c r="U143" s="30">
        <v>0.11799999999999999</v>
      </c>
      <c r="V143" s="8">
        <f t="shared" si="134"/>
        <v>460.75599999999997</v>
      </c>
      <c r="W143" s="8">
        <f t="shared" si="135"/>
        <v>148.41219999999998</v>
      </c>
      <c r="X143" s="8">
        <f t="shared" si="136"/>
        <v>0</v>
      </c>
      <c r="Y143" s="33">
        <f t="shared" si="137"/>
        <v>2.9971999999999999</v>
      </c>
      <c r="Z143" s="28" t="s">
        <v>56</v>
      </c>
      <c r="AA143" s="28" t="s">
        <v>57</v>
      </c>
      <c r="AB143" s="28" t="s">
        <v>116</v>
      </c>
      <c r="AC143" s="31" t="s">
        <v>117</v>
      </c>
      <c r="AD143" s="50">
        <f t="shared" si="138"/>
        <v>1</v>
      </c>
      <c r="AE143" s="31"/>
      <c r="AF143" s="51">
        <v>14</v>
      </c>
      <c r="AG143" s="51">
        <f t="shared" si="166"/>
        <v>8.4</v>
      </c>
      <c r="AH143" s="51">
        <f t="shared" si="131"/>
        <v>42</v>
      </c>
      <c r="AI143" s="52" t="s">
        <v>2497</v>
      </c>
      <c r="AJ143" s="52" t="s">
        <v>2498</v>
      </c>
      <c r="AK143" s="53">
        <f t="shared" si="167"/>
        <v>0.13676362324639998</v>
      </c>
      <c r="AL143" s="54">
        <f t="shared" si="168"/>
        <v>0.11904761904761904</v>
      </c>
      <c r="AM143" s="54">
        <f t="shared" si="169"/>
        <v>2.3809523809523808E-2</v>
      </c>
      <c r="AN143" s="55">
        <f t="shared" si="170"/>
        <v>1.6281383719809521E-2</v>
      </c>
      <c r="AO143" s="55">
        <f t="shared" si="171"/>
        <v>3.256276743961904E-3</v>
      </c>
      <c r="AP143" s="53">
        <v>7.1</v>
      </c>
      <c r="AQ143" s="53">
        <f t="shared" si="139"/>
        <v>4.26</v>
      </c>
      <c r="AR143" s="53">
        <f t="shared" si="140"/>
        <v>21.299999999999997</v>
      </c>
      <c r="AS143" s="56">
        <f t="shared" si="141"/>
        <v>4.6948356807511742E-2</v>
      </c>
      <c r="AT143" s="56">
        <f t="shared" si="172"/>
        <v>0.23474178403755869</v>
      </c>
      <c r="AU143" s="56">
        <f t="shared" si="142"/>
        <v>0.176056338028169</v>
      </c>
      <c r="AV143" s="56">
        <f t="shared" si="173"/>
        <v>5.8685446009389672E-2</v>
      </c>
      <c r="AW143" s="57" t="s">
        <v>2511</v>
      </c>
      <c r="AX143" s="57" t="s">
        <v>2512</v>
      </c>
      <c r="AY143" s="57" t="s">
        <v>2513</v>
      </c>
      <c r="AZ143" s="58">
        <f t="shared" si="174"/>
        <v>0.13676362324639998</v>
      </c>
      <c r="BA143" s="59">
        <f t="shared" si="178"/>
        <v>4.0130171140375578E-3</v>
      </c>
      <c r="BB143" s="59">
        <f t="shared" si="179"/>
        <v>1.2039051342112674E-2</v>
      </c>
      <c r="BC143" s="59">
        <f t="shared" si="180"/>
        <v>3.2104136912300468E-3</v>
      </c>
      <c r="BD143" s="60">
        <f t="shared" si="175"/>
        <v>2.3809523809523808E-2</v>
      </c>
      <c r="BE143" s="59">
        <f t="shared" si="176"/>
        <v>2.3809523809523808E-2</v>
      </c>
      <c r="BQ143" s="61">
        <v>3000</v>
      </c>
      <c r="BR143" s="61">
        <v>1200</v>
      </c>
      <c r="BS143" s="28">
        <f t="shared" si="143"/>
        <v>2980</v>
      </c>
      <c r="BT143" s="28">
        <f t="shared" si="144"/>
        <v>1180</v>
      </c>
      <c r="BU143" s="28" t="s">
        <v>2541</v>
      </c>
      <c r="BV143" s="28">
        <f t="shared" si="145"/>
        <v>465.75599999999997</v>
      </c>
      <c r="BW143" s="28">
        <f t="shared" si="146"/>
        <v>153.41219999999998</v>
      </c>
      <c r="BX143" s="13">
        <f t="shared" si="147"/>
        <v>6.3981999158357601</v>
      </c>
      <c r="BY143" s="13">
        <f t="shared" si="148"/>
        <v>6</v>
      </c>
      <c r="BZ143" s="13">
        <f t="shared" si="149"/>
        <v>7.691695966813592</v>
      </c>
      <c r="CA143" s="13">
        <f t="shared" si="150"/>
        <v>7</v>
      </c>
      <c r="CB143" s="13">
        <f t="shared" si="151"/>
        <v>42</v>
      </c>
      <c r="CC143" s="62">
        <f t="shared" si="152"/>
        <v>2.3809523809523808E-2</v>
      </c>
      <c r="CD143" s="13">
        <f t="shared" si="153"/>
        <v>19.424791509410596</v>
      </c>
      <c r="CE143" s="13">
        <f t="shared" si="154"/>
        <v>19</v>
      </c>
      <c r="CF143" s="13">
        <f t="shared" si="155"/>
        <v>2.5335154029148312</v>
      </c>
      <c r="CG143" s="13">
        <f t="shared" si="156"/>
        <v>2</v>
      </c>
      <c r="CH143" s="28">
        <f t="shared" si="157"/>
        <v>38</v>
      </c>
      <c r="CI143" s="62">
        <f t="shared" si="158"/>
        <v>2.6315789473684209E-2</v>
      </c>
      <c r="CJ143" s="59">
        <f t="shared" si="159"/>
        <v>2.3809523809523808E-2</v>
      </c>
      <c r="CL143" s="63">
        <v>6000</v>
      </c>
      <c r="CM143" s="63">
        <f t="shared" si="160"/>
        <v>460.75599999999997</v>
      </c>
      <c r="CN143" s="63">
        <f t="shared" si="161"/>
        <v>465.75599999999997</v>
      </c>
      <c r="CO143" s="63">
        <f t="shared" si="162"/>
        <v>12.882281709736429</v>
      </c>
      <c r="CP143" s="13">
        <f t="shared" si="163"/>
        <v>12</v>
      </c>
      <c r="CQ143" s="70">
        <f t="shared" si="164"/>
        <v>8.3333333333333329E-2</v>
      </c>
      <c r="CR143" s="69">
        <f t="shared" si="132"/>
        <v>8.3333333333333329E-2</v>
      </c>
    </row>
    <row r="144" spans="1:96" hidden="1" x14ac:dyDescent="0.25">
      <c r="A144" s="13">
        <v>4</v>
      </c>
      <c r="B144" s="14" t="s">
        <v>403</v>
      </c>
      <c r="C144" s="13" t="s">
        <v>437</v>
      </c>
      <c r="D144" s="13" t="s">
        <v>2270</v>
      </c>
      <c r="E144" s="13" t="s">
        <v>32</v>
      </c>
      <c r="F144" s="15">
        <f t="shared" si="133"/>
        <v>1</v>
      </c>
      <c r="G144" s="13">
        <v>1</v>
      </c>
      <c r="H144" s="13">
        <f t="shared" si="182"/>
        <v>1</v>
      </c>
      <c r="I144" s="13">
        <v>10</v>
      </c>
      <c r="J144" s="14" t="s">
        <v>130</v>
      </c>
      <c r="K144" s="14" t="s">
        <v>34</v>
      </c>
      <c r="L144" s="13" t="s">
        <v>110</v>
      </c>
      <c r="M144" s="14" t="s">
        <v>35</v>
      </c>
      <c r="N144" s="13" t="s">
        <v>438</v>
      </c>
      <c r="O144" s="28" t="s">
        <v>41</v>
      </c>
      <c r="P144" s="28" t="s">
        <v>41</v>
      </c>
      <c r="Q144" s="28"/>
      <c r="R144" s="30"/>
      <c r="S144" s="30"/>
      <c r="T144" s="30"/>
      <c r="U144" s="30"/>
      <c r="V144" s="8">
        <f t="shared" si="134"/>
        <v>0</v>
      </c>
      <c r="W144" s="8">
        <f t="shared" si="135"/>
        <v>0</v>
      </c>
      <c r="X144" s="8">
        <f t="shared" si="136"/>
        <v>0</v>
      </c>
      <c r="Y144" s="33">
        <f t="shared" si="137"/>
        <v>0</v>
      </c>
      <c r="Z144" s="28"/>
      <c r="AA144" s="28"/>
      <c r="AB144" s="28">
        <v>0</v>
      </c>
      <c r="AC144" s="31"/>
      <c r="AD144" s="50">
        <f t="shared" si="138"/>
        <v>1</v>
      </c>
      <c r="AE144" s="31"/>
      <c r="AF144" s="51">
        <v>14</v>
      </c>
      <c r="AG144" s="51">
        <f t="shared" si="166"/>
        <v>8.4</v>
      </c>
      <c r="AH144" s="51">
        <f t="shared" si="131"/>
        <v>42</v>
      </c>
      <c r="AI144" s="52" t="s">
        <v>2497</v>
      </c>
      <c r="AJ144" s="52" t="s">
        <v>2498</v>
      </c>
      <c r="AK144" s="53">
        <f t="shared" si="167"/>
        <v>0</v>
      </c>
      <c r="AL144" s="54">
        <f t="shared" si="168"/>
        <v>0.11904761904761904</v>
      </c>
      <c r="AM144" s="54">
        <f t="shared" si="169"/>
        <v>2.3809523809523808E-2</v>
      </c>
      <c r="AN144" s="55">
        <f t="shared" si="170"/>
        <v>0</v>
      </c>
      <c r="AO144" s="55">
        <f t="shared" si="171"/>
        <v>0</v>
      </c>
      <c r="AP144" s="53">
        <v>7.1</v>
      </c>
      <c r="AQ144" s="53">
        <f t="shared" si="139"/>
        <v>4.26</v>
      </c>
      <c r="AR144" s="53">
        <f t="shared" si="140"/>
        <v>21.299999999999997</v>
      </c>
      <c r="AS144" s="56">
        <f t="shared" si="141"/>
        <v>4.6948356807511742E-2</v>
      </c>
      <c r="AT144" s="56">
        <f t="shared" si="172"/>
        <v>0.23474178403755869</v>
      </c>
      <c r="AU144" s="56">
        <f t="shared" si="142"/>
        <v>0.176056338028169</v>
      </c>
      <c r="AV144" s="56">
        <f t="shared" si="173"/>
        <v>5.8685446009389672E-2</v>
      </c>
      <c r="AW144" s="57" t="s">
        <v>2511</v>
      </c>
      <c r="AX144" s="57" t="s">
        <v>2512</v>
      </c>
      <c r="AY144" s="57" t="s">
        <v>2513</v>
      </c>
      <c r="AZ144" s="58">
        <f t="shared" si="174"/>
        <v>0</v>
      </c>
      <c r="BA144" s="59">
        <f t="shared" si="178"/>
        <v>0</v>
      </c>
      <c r="BB144" s="59">
        <f t="shared" si="179"/>
        <v>0</v>
      </c>
      <c r="BC144" s="59">
        <f t="shared" si="180"/>
        <v>0</v>
      </c>
      <c r="BD144" s="60">
        <f t="shared" si="175"/>
        <v>0</v>
      </c>
      <c r="BE144" s="59">
        <f t="shared" si="176"/>
        <v>0</v>
      </c>
      <c r="BQ144" s="61">
        <v>3000</v>
      </c>
      <c r="BR144" s="61">
        <v>1200</v>
      </c>
      <c r="BS144" s="28">
        <f t="shared" si="143"/>
        <v>2980</v>
      </c>
      <c r="BT144" s="28">
        <f t="shared" si="144"/>
        <v>1180</v>
      </c>
      <c r="BU144" s="28" t="s">
        <v>2541</v>
      </c>
      <c r="BV144" s="28">
        <f t="shared" si="145"/>
        <v>5</v>
      </c>
      <c r="BW144" s="28">
        <f t="shared" si="146"/>
        <v>5</v>
      </c>
      <c r="BX144" s="13">
        <f t="shared" si="147"/>
        <v>596</v>
      </c>
      <c r="BY144" s="13">
        <f t="shared" si="148"/>
        <v>596</v>
      </c>
      <c r="BZ144" s="13">
        <f t="shared" si="149"/>
        <v>236</v>
      </c>
      <c r="CA144" s="13">
        <f t="shared" si="150"/>
        <v>236</v>
      </c>
      <c r="CB144" s="13">
        <f t="shared" si="151"/>
        <v>140656</v>
      </c>
      <c r="CC144" s="62" t="str">
        <f t="shared" si="152"/>
        <v/>
      </c>
      <c r="CD144" s="13">
        <f t="shared" si="153"/>
        <v>596</v>
      </c>
      <c r="CE144" s="13">
        <f t="shared" si="154"/>
        <v>596</v>
      </c>
      <c r="CF144" s="13">
        <f t="shared" si="155"/>
        <v>236</v>
      </c>
      <c r="CG144" s="13">
        <f t="shared" si="156"/>
        <v>236</v>
      </c>
      <c r="CH144" s="28">
        <f t="shared" si="157"/>
        <v>140656</v>
      </c>
      <c r="CI144" s="62" t="str">
        <f t="shared" si="158"/>
        <v/>
      </c>
      <c r="CJ144" s="59">
        <f t="shared" si="159"/>
        <v>0</v>
      </c>
      <c r="CL144" s="63">
        <v>6000</v>
      </c>
      <c r="CM144" s="63">
        <f t="shared" si="160"/>
        <v>0</v>
      </c>
      <c r="CN144" s="63">
        <f t="shared" si="161"/>
        <v>5</v>
      </c>
      <c r="CO144" s="63">
        <f t="shared" si="162"/>
        <v>1200</v>
      </c>
      <c r="CP144" s="13">
        <f t="shared" si="163"/>
        <v>1200</v>
      </c>
      <c r="CQ144" s="70">
        <f t="shared" si="164"/>
        <v>8.3333333333333339E-4</v>
      </c>
      <c r="CR144" s="69">
        <f t="shared" si="132"/>
        <v>8.3333333333333339E-4</v>
      </c>
    </row>
    <row r="145" spans="1:96" hidden="1" x14ac:dyDescent="0.25">
      <c r="A145" s="17">
        <v>5</v>
      </c>
      <c r="B145" s="6" t="s">
        <v>439</v>
      </c>
      <c r="C145" s="17" t="s">
        <v>440</v>
      </c>
      <c r="D145" s="17" t="s">
        <v>2270</v>
      </c>
      <c r="E145" s="17" t="s">
        <v>52</v>
      </c>
      <c r="F145" s="7">
        <f t="shared" si="133"/>
        <v>1</v>
      </c>
      <c r="G145" s="17">
        <v>1</v>
      </c>
      <c r="H145" s="17">
        <f>G145*$H$144</f>
        <v>1</v>
      </c>
      <c r="I145" s="17">
        <v>2</v>
      </c>
      <c r="J145" s="6" t="s">
        <v>441</v>
      </c>
      <c r="K145" s="6" t="s">
        <v>34</v>
      </c>
      <c r="L145" s="17" t="s">
        <v>170</v>
      </c>
      <c r="M145" s="6" t="s">
        <v>35</v>
      </c>
      <c r="N145" s="17" t="s">
        <v>442</v>
      </c>
      <c r="O145" s="28" t="s">
        <v>41</v>
      </c>
      <c r="P145" s="28" t="s">
        <v>41</v>
      </c>
      <c r="Q145" s="28" t="s">
        <v>442</v>
      </c>
      <c r="R145" s="30"/>
      <c r="S145" s="30"/>
      <c r="T145" s="30"/>
      <c r="U145" s="30"/>
      <c r="V145" s="8">
        <f t="shared" si="134"/>
        <v>0</v>
      </c>
      <c r="W145" s="8">
        <f t="shared" si="135"/>
        <v>0</v>
      </c>
      <c r="X145" s="8">
        <f t="shared" si="136"/>
        <v>0</v>
      </c>
      <c r="Y145" s="33">
        <f t="shared" si="137"/>
        <v>0</v>
      </c>
      <c r="Z145" s="28"/>
      <c r="AA145" s="28"/>
      <c r="AB145" s="61" t="s">
        <v>442</v>
      </c>
      <c r="AC145" s="31" t="s">
        <v>174</v>
      </c>
      <c r="AD145" s="50">
        <f t="shared" si="138"/>
        <v>1</v>
      </c>
      <c r="AE145" s="31"/>
      <c r="AF145" s="51">
        <v>14</v>
      </c>
      <c r="AG145" s="51">
        <f t="shared" si="166"/>
        <v>8.4</v>
      </c>
      <c r="AH145" s="51">
        <f t="shared" si="131"/>
        <v>42</v>
      </c>
      <c r="AI145" s="52" t="s">
        <v>2497</v>
      </c>
      <c r="AJ145" s="52" t="s">
        <v>2498</v>
      </c>
      <c r="AK145" s="53">
        <f t="shared" si="167"/>
        <v>0</v>
      </c>
      <c r="AL145" s="54">
        <f t="shared" si="168"/>
        <v>0.11904761904761904</v>
      </c>
      <c r="AM145" s="54">
        <f t="shared" si="169"/>
        <v>2.3809523809523808E-2</v>
      </c>
      <c r="AN145" s="55">
        <f t="shared" si="170"/>
        <v>0</v>
      </c>
      <c r="AO145" s="55">
        <f t="shared" si="171"/>
        <v>0</v>
      </c>
      <c r="AP145" s="53">
        <v>7.1</v>
      </c>
      <c r="AQ145" s="53">
        <f t="shared" si="139"/>
        <v>4.26</v>
      </c>
      <c r="AR145" s="53">
        <f t="shared" si="140"/>
        <v>21.299999999999997</v>
      </c>
      <c r="AS145" s="56">
        <f t="shared" si="141"/>
        <v>4.6948356807511742E-2</v>
      </c>
      <c r="AT145" s="56">
        <f t="shared" si="172"/>
        <v>0.23474178403755869</v>
      </c>
      <c r="AU145" s="56">
        <f t="shared" si="142"/>
        <v>0.176056338028169</v>
      </c>
      <c r="AV145" s="56">
        <f t="shared" si="173"/>
        <v>5.8685446009389672E-2</v>
      </c>
      <c r="AW145" s="57" t="s">
        <v>2511</v>
      </c>
      <c r="AX145" s="57" t="s">
        <v>2512</v>
      </c>
      <c r="AY145" s="57" t="s">
        <v>2513</v>
      </c>
      <c r="AZ145" s="58">
        <f t="shared" si="174"/>
        <v>0</v>
      </c>
      <c r="BA145" s="59">
        <f t="shared" si="178"/>
        <v>0</v>
      </c>
      <c r="BB145" s="59">
        <f t="shared" si="179"/>
        <v>0</v>
      </c>
      <c r="BC145" s="59">
        <f t="shared" si="180"/>
        <v>0</v>
      </c>
      <c r="BD145" s="60">
        <f t="shared" si="175"/>
        <v>7.1095438516664771E-6</v>
      </c>
      <c r="BE145" s="59">
        <f t="shared" si="176"/>
        <v>7.1095438516664771E-6</v>
      </c>
      <c r="BQ145" s="61">
        <v>3000</v>
      </c>
      <c r="BR145" s="61">
        <v>1200</v>
      </c>
      <c r="BS145" s="28">
        <f t="shared" si="143"/>
        <v>2980</v>
      </c>
      <c r="BT145" s="28">
        <f t="shared" si="144"/>
        <v>1180</v>
      </c>
      <c r="BU145" s="28" t="s">
        <v>2541</v>
      </c>
      <c r="BV145" s="28">
        <f t="shared" si="145"/>
        <v>5</v>
      </c>
      <c r="BW145" s="28">
        <f t="shared" si="146"/>
        <v>5</v>
      </c>
      <c r="BX145" s="13">
        <f t="shared" si="147"/>
        <v>596</v>
      </c>
      <c r="BY145" s="13">
        <f t="shared" si="148"/>
        <v>596</v>
      </c>
      <c r="BZ145" s="13">
        <f t="shared" si="149"/>
        <v>236</v>
      </c>
      <c r="CA145" s="13">
        <f t="shared" si="150"/>
        <v>236</v>
      </c>
      <c r="CB145" s="13">
        <f t="shared" si="151"/>
        <v>140656</v>
      </c>
      <c r="CC145" s="62">
        <f t="shared" si="152"/>
        <v>7.1095438516664771E-6</v>
      </c>
      <c r="CD145" s="13">
        <f t="shared" si="153"/>
        <v>596</v>
      </c>
      <c r="CE145" s="13">
        <f t="shared" si="154"/>
        <v>596</v>
      </c>
      <c r="CF145" s="13">
        <f t="shared" si="155"/>
        <v>236</v>
      </c>
      <c r="CG145" s="13">
        <f t="shared" si="156"/>
        <v>236</v>
      </c>
      <c r="CH145" s="28">
        <f t="shared" si="157"/>
        <v>140656</v>
      </c>
      <c r="CI145" s="62">
        <f t="shared" si="158"/>
        <v>7.1095438516664771E-6</v>
      </c>
      <c r="CJ145" s="59">
        <f t="shared" si="159"/>
        <v>7.1095438516664771E-6</v>
      </c>
      <c r="CL145" s="63">
        <v>6000</v>
      </c>
      <c r="CM145" s="63">
        <f t="shared" si="160"/>
        <v>0</v>
      </c>
      <c r="CN145" s="63">
        <f t="shared" si="161"/>
        <v>5</v>
      </c>
      <c r="CO145" s="63">
        <f t="shared" si="162"/>
        <v>1200</v>
      </c>
      <c r="CP145" s="13">
        <f t="shared" si="163"/>
        <v>1200</v>
      </c>
      <c r="CQ145" s="70">
        <f t="shared" si="164"/>
        <v>8.3333333333333339E-4</v>
      </c>
      <c r="CR145" s="69">
        <f t="shared" si="132"/>
        <v>8.3333333333333339E-4</v>
      </c>
    </row>
    <row r="146" spans="1:96" hidden="1" x14ac:dyDescent="0.25">
      <c r="A146" s="17">
        <v>5</v>
      </c>
      <c r="B146" s="6" t="s">
        <v>439</v>
      </c>
      <c r="C146" s="17" t="s">
        <v>443</v>
      </c>
      <c r="D146" s="17" t="s">
        <v>2270</v>
      </c>
      <c r="E146" s="17" t="s">
        <v>32</v>
      </c>
      <c r="F146" s="7">
        <f t="shared" si="133"/>
        <v>1</v>
      </c>
      <c r="G146" s="17">
        <v>1</v>
      </c>
      <c r="H146" s="17">
        <f>G146*$H$144</f>
        <v>1</v>
      </c>
      <c r="I146" s="17">
        <v>4</v>
      </c>
      <c r="J146" s="6" t="s">
        <v>444</v>
      </c>
      <c r="K146" s="6" t="s">
        <v>34</v>
      </c>
      <c r="L146" s="17" t="s">
        <v>110</v>
      </c>
      <c r="M146" s="6" t="s">
        <v>35</v>
      </c>
      <c r="N146" s="17" t="s">
        <v>445</v>
      </c>
      <c r="O146" s="28" t="s">
        <v>41</v>
      </c>
      <c r="P146" s="28" t="s">
        <v>41</v>
      </c>
      <c r="Q146" s="28"/>
      <c r="R146" s="30"/>
      <c r="S146" s="30"/>
      <c r="T146" s="30"/>
      <c r="U146" s="30"/>
      <c r="V146" s="8">
        <f t="shared" si="134"/>
        <v>0</v>
      </c>
      <c r="W146" s="8">
        <f t="shared" si="135"/>
        <v>0</v>
      </c>
      <c r="X146" s="8">
        <f t="shared" si="136"/>
        <v>0</v>
      </c>
      <c r="Y146" s="33">
        <f t="shared" si="137"/>
        <v>0</v>
      </c>
      <c r="Z146" s="28"/>
      <c r="AA146" s="28"/>
      <c r="AB146" s="28">
        <v>0</v>
      </c>
      <c r="AC146" s="31"/>
      <c r="AD146" s="50">
        <f t="shared" si="138"/>
        <v>1</v>
      </c>
      <c r="AE146" s="31"/>
      <c r="AF146" s="51">
        <v>14</v>
      </c>
      <c r="AG146" s="51">
        <f t="shared" si="166"/>
        <v>8.4</v>
      </c>
      <c r="AH146" s="51">
        <f t="shared" si="131"/>
        <v>42</v>
      </c>
      <c r="AI146" s="52" t="s">
        <v>2497</v>
      </c>
      <c r="AJ146" s="52" t="s">
        <v>2498</v>
      </c>
      <c r="AK146" s="53">
        <f t="shared" si="167"/>
        <v>0</v>
      </c>
      <c r="AL146" s="54">
        <f t="shared" si="168"/>
        <v>0.11904761904761904</v>
      </c>
      <c r="AM146" s="54">
        <f t="shared" si="169"/>
        <v>2.3809523809523808E-2</v>
      </c>
      <c r="AN146" s="55">
        <f t="shared" si="170"/>
        <v>0</v>
      </c>
      <c r="AO146" s="55">
        <f t="shared" si="171"/>
        <v>0</v>
      </c>
      <c r="AP146" s="53">
        <v>7.1</v>
      </c>
      <c r="AQ146" s="53">
        <f t="shared" si="139"/>
        <v>4.26</v>
      </c>
      <c r="AR146" s="53">
        <f t="shared" si="140"/>
        <v>21.299999999999997</v>
      </c>
      <c r="AS146" s="56">
        <f t="shared" si="141"/>
        <v>4.6948356807511742E-2</v>
      </c>
      <c r="AT146" s="56">
        <f t="shared" si="172"/>
        <v>0.23474178403755869</v>
      </c>
      <c r="AU146" s="56">
        <f t="shared" si="142"/>
        <v>0.176056338028169</v>
      </c>
      <c r="AV146" s="56">
        <f t="shared" si="173"/>
        <v>5.8685446009389672E-2</v>
      </c>
      <c r="AW146" s="57" t="s">
        <v>2511</v>
      </c>
      <c r="AX146" s="57" t="s">
        <v>2512</v>
      </c>
      <c r="AY146" s="57" t="s">
        <v>2513</v>
      </c>
      <c r="AZ146" s="58">
        <f t="shared" si="174"/>
        <v>0</v>
      </c>
      <c r="BA146" s="59">
        <f t="shared" si="178"/>
        <v>0</v>
      </c>
      <c r="BB146" s="59">
        <f t="shared" si="179"/>
        <v>0</v>
      </c>
      <c r="BC146" s="59">
        <f t="shared" si="180"/>
        <v>0</v>
      </c>
      <c r="BD146" s="60">
        <f t="shared" si="175"/>
        <v>0</v>
      </c>
      <c r="BE146" s="59">
        <f t="shared" si="176"/>
        <v>0</v>
      </c>
      <c r="BQ146" s="61">
        <v>3000</v>
      </c>
      <c r="BR146" s="61">
        <v>1200</v>
      </c>
      <c r="BS146" s="28">
        <f t="shared" si="143"/>
        <v>2980</v>
      </c>
      <c r="BT146" s="28">
        <f t="shared" si="144"/>
        <v>1180</v>
      </c>
      <c r="BU146" s="28" t="s">
        <v>2541</v>
      </c>
      <c r="BV146" s="28">
        <f t="shared" si="145"/>
        <v>5</v>
      </c>
      <c r="BW146" s="28">
        <f t="shared" si="146"/>
        <v>5</v>
      </c>
      <c r="BX146" s="13">
        <f t="shared" si="147"/>
        <v>596</v>
      </c>
      <c r="BY146" s="13">
        <f t="shared" si="148"/>
        <v>596</v>
      </c>
      <c r="BZ146" s="13">
        <f t="shared" si="149"/>
        <v>236</v>
      </c>
      <c r="CA146" s="13">
        <f t="shared" si="150"/>
        <v>236</v>
      </c>
      <c r="CB146" s="13">
        <f t="shared" si="151"/>
        <v>140656</v>
      </c>
      <c r="CC146" s="62" t="str">
        <f t="shared" si="152"/>
        <v/>
      </c>
      <c r="CD146" s="13">
        <f t="shared" si="153"/>
        <v>596</v>
      </c>
      <c r="CE146" s="13">
        <f t="shared" si="154"/>
        <v>596</v>
      </c>
      <c r="CF146" s="13">
        <f t="shared" si="155"/>
        <v>236</v>
      </c>
      <c r="CG146" s="13">
        <f t="shared" si="156"/>
        <v>236</v>
      </c>
      <c r="CH146" s="28">
        <f t="shared" si="157"/>
        <v>140656</v>
      </c>
      <c r="CI146" s="62" t="str">
        <f t="shared" si="158"/>
        <v/>
      </c>
      <c r="CJ146" s="59">
        <f t="shared" si="159"/>
        <v>0</v>
      </c>
      <c r="CL146" s="63">
        <v>6000</v>
      </c>
      <c r="CM146" s="63">
        <f t="shared" si="160"/>
        <v>0</v>
      </c>
      <c r="CN146" s="63">
        <f t="shared" si="161"/>
        <v>5</v>
      </c>
      <c r="CO146" s="63">
        <f t="shared" si="162"/>
        <v>1200</v>
      </c>
      <c r="CP146" s="13">
        <f t="shared" si="163"/>
        <v>1200</v>
      </c>
      <c r="CQ146" s="70">
        <f t="shared" si="164"/>
        <v>8.3333333333333339E-4</v>
      </c>
      <c r="CR146" s="69">
        <f t="shared" si="132"/>
        <v>8.3333333333333339E-4</v>
      </c>
    </row>
    <row r="147" spans="1:96" hidden="1" x14ac:dyDescent="0.25">
      <c r="A147" s="42">
        <v>6</v>
      </c>
      <c r="B147" s="43" t="s">
        <v>446</v>
      </c>
      <c r="C147" s="42" t="s">
        <v>447</v>
      </c>
      <c r="D147" s="42" t="s">
        <v>2270</v>
      </c>
      <c r="E147" s="42" t="s">
        <v>52</v>
      </c>
      <c r="F147" s="44">
        <f t="shared" si="133"/>
        <v>1</v>
      </c>
      <c r="G147" s="42">
        <v>1</v>
      </c>
      <c r="H147" s="42">
        <f>G147*$H$146</f>
        <v>1</v>
      </c>
      <c r="I147" s="42">
        <v>1</v>
      </c>
      <c r="J147" s="43" t="s">
        <v>130</v>
      </c>
      <c r="K147" s="43" t="s">
        <v>34</v>
      </c>
      <c r="L147" s="42" t="s">
        <v>110</v>
      </c>
      <c r="M147" s="43" t="s">
        <v>35</v>
      </c>
      <c r="N147" s="42" t="s">
        <v>445</v>
      </c>
      <c r="O147" s="28" t="s">
        <v>41</v>
      </c>
      <c r="P147" s="28" t="s">
        <v>41</v>
      </c>
      <c r="Q147" s="28" t="s">
        <v>116</v>
      </c>
      <c r="R147" s="30">
        <v>36.005000000000003</v>
      </c>
      <c r="S147" s="30">
        <v>10.846</v>
      </c>
      <c r="T147" s="30"/>
      <c r="U147" s="30">
        <v>0.11799999999999999</v>
      </c>
      <c r="V147" s="8">
        <f t="shared" si="134"/>
        <v>914.52700000000004</v>
      </c>
      <c r="W147" s="8">
        <f t="shared" si="135"/>
        <v>275.48840000000001</v>
      </c>
      <c r="X147" s="8">
        <f t="shared" si="136"/>
        <v>0</v>
      </c>
      <c r="Y147" s="33">
        <f t="shared" si="137"/>
        <v>2.9971999999999999</v>
      </c>
      <c r="Z147" s="28"/>
      <c r="AA147" s="28"/>
      <c r="AB147" s="28" t="s">
        <v>116</v>
      </c>
      <c r="AC147" s="31" t="s">
        <v>117</v>
      </c>
      <c r="AD147" s="50">
        <f t="shared" si="138"/>
        <v>1</v>
      </c>
      <c r="AE147" s="31"/>
      <c r="AF147" s="51">
        <v>14</v>
      </c>
      <c r="AG147" s="51">
        <f t="shared" si="166"/>
        <v>8.4</v>
      </c>
      <c r="AH147" s="51">
        <f t="shared" si="131"/>
        <v>42</v>
      </c>
      <c r="AI147" s="52" t="s">
        <v>2497</v>
      </c>
      <c r="AJ147" s="52" t="s">
        <v>2498</v>
      </c>
      <c r="AK147" s="53">
        <f t="shared" si="167"/>
        <v>0.50388315997360011</v>
      </c>
      <c r="AL147" s="54">
        <f t="shared" si="168"/>
        <v>0.11904761904761904</v>
      </c>
      <c r="AM147" s="54">
        <f t="shared" si="169"/>
        <v>2.3809523809523808E-2</v>
      </c>
      <c r="AN147" s="55">
        <f t="shared" si="170"/>
        <v>5.9986090473047628E-2</v>
      </c>
      <c r="AO147" s="55">
        <f t="shared" si="171"/>
        <v>1.1997218094609526E-2</v>
      </c>
      <c r="AP147" s="53">
        <v>7.1</v>
      </c>
      <c r="AQ147" s="53">
        <f t="shared" si="139"/>
        <v>4.26</v>
      </c>
      <c r="AR147" s="53">
        <f t="shared" si="140"/>
        <v>21.299999999999997</v>
      </c>
      <c r="AS147" s="56">
        <f t="shared" si="141"/>
        <v>4.6948356807511742E-2</v>
      </c>
      <c r="AT147" s="56">
        <f t="shared" si="172"/>
        <v>0.23474178403755869</v>
      </c>
      <c r="AU147" s="56">
        <f t="shared" si="142"/>
        <v>0.176056338028169</v>
      </c>
      <c r="AV147" s="56">
        <f t="shared" si="173"/>
        <v>5.8685446009389672E-2</v>
      </c>
      <c r="AW147" s="57" t="s">
        <v>2511</v>
      </c>
      <c r="AX147" s="57" t="s">
        <v>2512</v>
      </c>
      <c r="AY147" s="57" t="s">
        <v>2513</v>
      </c>
      <c r="AZ147" s="58">
        <f t="shared" si="174"/>
        <v>0.50388315997360011</v>
      </c>
      <c r="BA147" s="59">
        <f t="shared" si="178"/>
        <v>1.4785303989835684E-2</v>
      </c>
      <c r="BB147" s="59">
        <f t="shared" si="179"/>
        <v>4.4355911969507049E-2</v>
      </c>
      <c r="BC147" s="59">
        <f t="shared" si="180"/>
        <v>1.1828243191868549E-2</v>
      </c>
      <c r="BD147" s="60">
        <f t="shared" si="175"/>
        <v>8.3333333333333329E-2</v>
      </c>
      <c r="BE147" s="59">
        <f t="shared" si="176"/>
        <v>8.3333333333333329E-2</v>
      </c>
      <c r="BQ147" s="61">
        <v>3000</v>
      </c>
      <c r="BR147" s="61">
        <v>1200</v>
      </c>
      <c r="BS147" s="28">
        <f t="shared" si="143"/>
        <v>2980</v>
      </c>
      <c r="BT147" s="28">
        <f t="shared" si="144"/>
        <v>1180</v>
      </c>
      <c r="BU147" s="28" t="s">
        <v>2541</v>
      </c>
      <c r="BV147" s="28">
        <f t="shared" si="145"/>
        <v>919.52700000000004</v>
      </c>
      <c r="BW147" s="28">
        <f t="shared" si="146"/>
        <v>280.48840000000001</v>
      </c>
      <c r="BX147" s="13">
        <f t="shared" si="147"/>
        <v>3.2407966269614703</v>
      </c>
      <c r="BY147" s="13">
        <f t="shared" si="148"/>
        <v>3</v>
      </c>
      <c r="BZ147" s="13">
        <f t="shared" si="149"/>
        <v>4.2069475956937969</v>
      </c>
      <c r="CA147" s="13">
        <f t="shared" si="150"/>
        <v>4</v>
      </c>
      <c r="CB147" s="13">
        <f t="shared" si="151"/>
        <v>12</v>
      </c>
      <c r="CC147" s="62">
        <f t="shared" si="152"/>
        <v>8.3333333333333329E-2</v>
      </c>
      <c r="CD147" s="13">
        <f t="shared" si="153"/>
        <v>10.624325284040266</v>
      </c>
      <c r="CE147" s="13">
        <f t="shared" si="154"/>
        <v>10</v>
      </c>
      <c r="CF147" s="13">
        <f t="shared" si="155"/>
        <v>1.2832684630250117</v>
      </c>
      <c r="CG147" s="13">
        <f t="shared" si="156"/>
        <v>1</v>
      </c>
      <c r="CH147" s="28">
        <f t="shared" si="157"/>
        <v>10</v>
      </c>
      <c r="CI147" s="62">
        <f t="shared" si="158"/>
        <v>0.1</v>
      </c>
      <c r="CJ147" s="59">
        <f t="shared" si="159"/>
        <v>8.3333333333333329E-2</v>
      </c>
      <c r="CL147" s="63">
        <v>6000</v>
      </c>
      <c r="CM147" s="63">
        <f t="shared" si="160"/>
        <v>914.52700000000004</v>
      </c>
      <c r="CN147" s="63">
        <f t="shared" si="161"/>
        <v>919.52700000000004</v>
      </c>
      <c r="CO147" s="63">
        <f t="shared" si="162"/>
        <v>6.5250938797881952</v>
      </c>
      <c r="CP147" s="13">
        <f t="shared" si="163"/>
        <v>6</v>
      </c>
      <c r="CQ147" s="70">
        <f t="shared" si="164"/>
        <v>0.16666666666666666</v>
      </c>
      <c r="CR147" s="69">
        <f t="shared" si="132"/>
        <v>0.16666666666666666</v>
      </c>
    </row>
    <row r="148" spans="1:96" hidden="1" x14ac:dyDescent="0.25">
      <c r="A148" s="42">
        <v>6</v>
      </c>
      <c r="B148" s="43" t="s">
        <v>446</v>
      </c>
      <c r="C148" s="42" t="s">
        <v>448</v>
      </c>
      <c r="D148" s="42" t="s">
        <v>450</v>
      </c>
      <c r="E148" s="42" t="s">
        <v>52</v>
      </c>
      <c r="F148" s="44">
        <f t="shared" si="133"/>
        <v>23</v>
      </c>
      <c r="G148" s="42">
        <v>6</v>
      </c>
      <c r="H148" s="42">
        <f>G148*$H$146</f>
        <v>6</v>
      </c>
      <c r="I148" s="42">
        <v>3</v>
      </c>
      <c r="J148" s="43" t="s">
        <v>449</v>
      </c>
      <c r="K148" s="43" t="s">
        <v>34</v>
      </c>
      <c r="L148" s="42">
        <v>0</v>
      </c>
      <c r="M148" s="43" t="s">
        <v>35</v>
      </c>
      <c r="N148" s="42" t="s">
        <v>450</v>
      </c>
      <c r="O148" s="28" t="s">
        <v>41</v>
      </c>
      <c r="P148" s="28" t="s">
        <v>41</v>
      </c>
      <c r="Q148" s="28" t="s">
        <v>450</v>
      </c>
      <c r="R148" s="30"/>
      <c r="S148" s="30"/>
      <c r="T148" s="30"/>
      <c r="U148" s="30"/>
      <c r="V148" s="8">
        <f t="shared" si="134"/>
        <v>0</v>
      </c>
      <c r="W148" s="8">
        <f t="shared" si="135"/>
        <v>0</v>
      </c>
      <c r="X148" s="8">
        <f t="shared" si="136"/>
        <v>0</v>
      </c>
      <c r="Y148" s="33">
        <f t="shared" si="137"/>
        <v>0</v>
      </c>
      <c r="Z148" s="28"/>
      <c r="AA148" s="28"/>
      <c r="AB148" s="61" t="s">
        <v>450</v>
      </c>
      <c r="AC148" s="31" t="s">
        <v>451</v>
      </c>
      <c r="AD148" s="50">
        <f t="shared" si="138"/>
        <v>6</v>
      </c>
      <c r="AE148" s="31"/>
      <c r="AF148" s="51">
        <v>14</v>
      </c>
      <c r="AG148" s="51">
        <f t="shared" si="166"/>
        <v>8.4</v>
      </c>
      <c r="AH148" s="51">
        <f t="shared" si="131"/>
        <v>42</v>
      </c>
      <c r="AI148" s="52" t="s">
        <v>2497</v>
      </c>
      <c r="AJ148" s="52" t="s">
        <v>2498</v>
      </c>
      <c r="AK148" s="53">
        <f t="shared" si="167"/>
        <v>0</v>
      </c>
      <c r="AL148" s="54">
        <f t="shared" si="168"/>
        <v>0.11904761904761904</v>
      </c>
      <c r="AM148" s="54">
        <f t="shared" si="169"/>
        <v>2.3809523809523808E-2</v>
      </c>
      <c r="AN148" s="55">
        <f t="shared" si="170"/>
        <v>0</v>
      </c>
      <c r="AO148" s="55">
        <f t="shared" si="171"/>
        <v>0</v>
      </c>
      <c r="AP148" s="53">
        <v>7.1</v>
      </c>
      <c r="AQ148" s="53">
        <f t="shared" si="139"/>
        <v>4.26</v>
      </c>
      <c r="AR148" s="53">
        <f t="shared" si="140"/>
        <v>21.299999999999997</v>
      </c>
      <c r="AS148" s="56">
        <f t="shared" si="141"/>
        <v>4.6948356807511742E-2</v>
      </c>
      <c r="AT148" s="56">
        <f t="shared" si="172"/>
        <v>0.23474178403755869</v>
      </c>
      <c r="AU148" s="56">
        <f t="shared" si="142"/>
        <v>0.176056338028169</v>
      </c>
      <c r="AV148" s="56">
        <f t="shared" si="173"/>
        <v>5.8685446009389672E-2</v>
      </c>
      <c r="AW148" s="57" t="s">
        <v>2511</v>
      </c>
      <c r="AX148" s="57" t="s">
        <v>2512</v>
      </c>
      <c r="AY148" s="57" t="s">
        <v>2513</v>
      </c>
      <c r="AZ148" s="58">
        <f t="shared" si="174"/>
        <v>0</v>
      </c>
      <c r="BA148" s="59">
        <f t="shared" si="178"/>
        <v>0</v>
      </c>
      <c r="BB148" s="59">
        <f t="shared" si="179"/>
        <v>0</v>
      </c>
      <c r="BC148" s="59">
        <f t="shared" si="180"/>
        <v>0</v>
      </c>
      <c r="BD148" s="60">
        <f t="shared" si="175"/>
        <v>7.1095438516664771E-6</v>
      </c>
      <c r="BE148" s="59">
        <f t="shared" si="176"/>
        <v>4.2657263109998864E-5</v>
      </c>
      <c r="BQ148" s="61">
        <v>3000</v>
      </c>
      <c r="BR148" s="61">
        <v>1200</v>
      </c>
      <c r="BS148" s="28">
        <f t="shared" si="143"/>
        <v>2980</v>
      </c>
      <c r="BT148" s="28">
        <f t="shared" si="144"/>
        <v>1180</v>
      </c>
      <c r="BU148" s="28" t="s">
        <v>2541</v>
      </c>
      <c r="BV148" s="28">
        <f t="shared" si="145"/>
        <v>5</v>
      </c>
      <c r="BW148" s="28">
        <f t="shared" si="146"/>
        <v>5</v>
      </c>
      <c r="BX148" s="13">
        <f t="shared" si="147"/>
        <v>596</v>
      </c>
      <c r="BY148" s="13">
        <f t="shared" si="148"/>
        <v>596</v>
      </c>
      <c r="BZ148" s="13">
        <f t="shared" si="149"/>
        <v>236</v>
      </c>
      <c r="CA148" s="13">
        <f t="shared" si="150"/>
        <v>236</v>
      </c>
      <c r="CB148" s="13">
        <f t="shared" si="151"/>
        <v>140656</v>
      </c>
      <c r="CC148" s="62">
        <f t="shared" si="152"/>
        <v>7.1095438516664771E-6</v>
      </c>
      <c r="CD148" s="13">
        <f t="shared" si="153"/>
        <v>596</v>
      </c>
      <c r="CE148" s="13">
        <f t="shared" si="154"/>
        <v>596</v>
      </c>
      <c r="CF148" s="13">
        <f t="shared" si="155"/>
        <v>236</v>
      </c>
      <c r="CG148" s="13">
        <f t="shared" si="156"/>
        <v>236</v>
      </c>
      <c r="CH148" s="28">
        <f t="shared" si="157"/>
        <v>140656</v>
      </c>
      <c r="CI148" s="62">
        <f t="shared" si="158"/>
        <v>7.1095438516664771E-6</v>
      </c>
      <c r="CJ148" s="59">
        <f t="shared" si="159"/>
        <v>7.1095438516664771E-6</v>
      </c>
      <c r="CL148" s="63">
        <v>6000</v>
      </c>
      <c r="CM148" s="63">
        <f t="shared" si="160"/>
        <v>0</v>
      </c>
      <c r="CN148" s="63">
        <f t="shared" si="161"/>
        <v>5</v>
      </c>
      <c r="CO148" s="63">
        <f t="shared" si="162"/>
        <v>1200</v>
      </c>
      <c r="CP148" s="13">
        <f t="shared" si="163"/>
        <v>1200</v>
      </c>
      <c r="CQ148" s="70">
        <f t="shared" si="164"/>
        <v>8.3333333333333339E-4</v>
      </c>
      <c r="CR148" s="69">
        <f t="shared" si="132"/>
        <v>5.0000000000000001E-3</v>
      </c>
    </row>
    <row r="149" spans="1:96" hidden="1" x14ac:dyDescent="0.25">
      <c r="A149" s="13">
        <v>4</v>
      </c>
      <c r="B149" s="14" t="s">
        <v>403</v>
      </c>
      <c r="C149" s="13" t="s">
        <v>452</v>
      </c>
      <c r="D149" s="13" t="s">
        <v>2270</v>
      </c>
      <c r="E149" s="13" t="s">
        <v>52</v>
      </c>
      <c r="F149" s="15">
        <f t="shared" si="133"/>
        <v>1</v>
      </c>
      <c r="G149" s="13">
        <v>1</v>
      </c>
      <c r="H149" s="13">
        <f t="shared" ref="H149:H150" si="183">G149*$H$130</f>
        <v>1</v>
      </c>
      <c r="I149" s="13">
        <v>11</v>
      </c>
      <c r="J149" s="14" t="s">
        <v>119</v>
      </c>
      <c r="K149" s="14" t="s">
        <v>34</v>
      </c>
      <c r="L149" s="13">
        <v>0</v>
      </c>
      <c r="M149" s="14" t="s">
        <v>35</v>
      </c>
      <c r="N149" s="13" t="s">
        <v>453</v>
      </c>
      <c r="O149" s="28" t="s">
        <v>41</v>
      </c>
      <c r="P149" s="28" t="s">
        <v>41</v>
      </c>
      <c r="Q149" s="28" t="s">
        <v>124</v>
      </c>
      <c r="R149" s="30">
        <v>6.2030000000000003</v>
      </c>
      <c r="S149" s="30">
        <v>2.58</v>
      </c>
      <c r="T149" s="30"/>
      <c r="U149" s="30">
        <v>9.8425196850393706E-2</v>
      </c>
      <c r="V149" s="8">
        <f t="shared" si="134"/>
        <v>157.55619999999999</v>
      </c>
      <c r="W149" s="8">
        <f t="shared" si="135"/>
        <v>65.531999999999996</v>
      </c>
      <c r="X149" s="8">
        <f t="shared" si="136"/>
        <v>0</v>
      </c>
      <c r="Y149" s="33">
        <f t="shared" si="137"/>
        <v>2.5</v>
      </c>
      <c r="Z149" s="28" t="s">
        <v>56</v>
      </c>
      <c r="AA149" s="28" t="s">
        <v>57</v>
      </c>
      <c r="AB149" s="61" t="s">
        <v>124</v>
      </c>
      <c r="AC149" s="31" t="s">
        <v>125</v>
      </c>
      <c r="AD149" s="50">
        <f t="shared" si="138"/>
        <v>1</v>
      </c>
      <c r="AE149" s="31"/>
      <c r="AF149" s="51">
        <v>14</v>
      </c>
      <c r="AG149" s="51">
        <f t="shared" si="166"/>
        <v>8.4</v>
      </c>
      <c r="AH149" s="51">
        <f t="shared" si="131"/>
        <v>42</v>
      </c>
      <c r="AI149" s="52" t="s">
        <v>2497</v>
      </c>
      <c r="AJ149" s="52" t="s">
        <v>2498</v>
      </c>
      <c r="AK149" s="53">
        <f t="shared" si="167"/>
        <v>2.06499457968E-2</v>
      </c>
      <c r="AL149" s="54">
        <f t="shared" si="168"/>
        <v>0.11904761904761904</v>
      </c>
      <c r="AM149" s="54">
        <f t="shared" si="169"/>
        <v>2.3809523809523808E-2</v>
      </c>
      <c r="AN149" s="55">
        <f t="shared" si="170"/>
        <v>2.4583268805714285E-3</v>
      </c>
      <c r="AO149" s="55">
        <f t="shared" si="171"/>
        <v>4.9166537611428573E-4</v>
      </c>
      <c r="AP149" s="53">
        <v>7.1</v>
      </c>
      <c r="AQ149" s="53">
        <f t="shared" si="139"/>
        <v>4.26</v>
      </c>
      <c r="AR149" s="53">
        <f t="shared" si="140"/>
        <v>21.299999999999997</v>
      </c>
      <c r="AS149" s="56">
        <f t="shared" si="141"/>
        <v>4.6948356807511742E-2</v>
      </c>
      <c r="AT149" s="56">
        <f t="shared" si="172"/>
        <v>0.23474178403755869</v>
      </c>
      <c r="AU149" s="56">
        <f t="shared" si="142"/>
        <v>0.176056338028169</v>
      </c>
      <c r="AV149" s="56">
        <f t="shared" si="173"/>
        <v>5.8685446009389672E-2</v>
      </c>
      <c r="AW149" s="57" t="s">
        <v>2511</v>
      </c>
      <c r="AX149" s="57" t="s">
        <v>2512</v>
      </c>
      <c r="AY149" s="57" t="s">
        <v>2513</v>
      </c>
      <c r="AZ149" s="58">
        <f t="shared" si="174"/>
        <v>2.06499457968E-2</v>
      </c>
      <c r="BA149" s="59">
        <f t="shared" si="178"/>
        <v>6.0592563957746477E-4</v>
      </c>
      <c r="BB149" s="59">
        <f t="shared" si="179"/>
        <v>1.8177769187323943E-3</v>
      </c>
      <c r="BC149" s="59">
        <f t="shared" si="180"/>
        <v>4.847405116619719E-4</v>
      </c>
      <c r="BD149" s="60">
        <f t="shared" si="175"/>
        <v>3.4013605442176869E-3</v>
      </c>
      <c r="BE149" s="59">
        <f t="shared" si="176"/>
        <v>3.4013605442176869E-3</v>
      </c>
      <c r="BQ149" s="61">
        <v>3000</v>
      </c>
      <c r="BR149" s="61">
        <v>1200</v>
      </c>
      <c r="BS149" s="28">
        <f t="shared" si="143"/>
        <v>2980</v>
      </c>
      <c r="BT149" s="28">
        <f t="shared" si="144"/>
        <v>1180</v>
      </c>
      <c r="BU149" s="28" t="s">
        <v>2541</v>
      </c>
      <c r="BV149" s="28">
        <f t="shared" si="145"/>
        <v>162.55619999999999</v>
      </c>
      <c r="BW149" s="28">
        <f t="shared" si="146"/>
        <v>70.531999999999996</v>
      </c>
      <c r="BX149" s="13">
        <f t="shared" si="147"/>
        <v>18.332121444768028</v>
      </c>
      <c r="BY149" s="13">
        <f t="shared" si="148"/>
        <v>18</v>
      </c>
      <c r="BZ149" s="13">
        <f t="shared" si="149"/>
        <v>16.729994895933761</v>
      </c>
      <c r="CA149" s="13">
        <f t="shared" si="150"/>
        <v>16</v>
      </c>
      <c r="CB149" s="13">
        <f t="shared" si="151"/>
        <v>288</v>
      </c>
      <c r="CC149" s="62">
        <f t="shared" si="152"/>
        <v>3.472222222222222E-3</v>
      </c>
      <c r="CD149" s="13">
        <f t="shared" si="153"/>
        <v>42.250326093120854</v>
      </c>
      <c r="CE149" s="13">
        <f t="shared" si="154"/>
        <v>42</v>
      </c>
      <c r="CF149" s="13">
        <f t="shared" si="155"/>
        <v>7.2590279546396879</v>
      </c>
      <c r="CG149" s="13">
        <f t="shared" si="156"/>
        <v>7</v>
      </c>
      <c r="CH149" s="28">
        <f t="shared" si="157"/>
        <v>294</v>
      </c>
      <c r="CI149" s="62">
        <f t="shared" si="158"/>
        <v>3.4013605442176869E-3</v>
      </c>
      <c r="CJ149" s="59">
        <f t="shared" si="159"/>
        <v>3.4013605442176869E-3</v>
      </c>
      <c r="CL149" s="63">
        <v>6000</v>
      </c>
      <c r="CM149" s="63">
        <f t="shared" si="160"/>
        <v>157.55619999999999</v>
      </c>
      <c r="CN149" s="63">
        <f t="shared" si="161"/>
        <v>162.55619999999999</v>
      </c>
      <c r="CO149" s="63">
        <f t="shared" si="162"/>
        <v>36.910311633761125</v>
      </c>
      <c r="CP149" s="13">
        <f t="shared" si="163"/>
        <v>36</v>
      </c>
      <c r="CQ149" s="70">
        <f t="shared" si="164"/>
        <v>2.7777777777777776E-2</v>
      </c>
      <c r="CR149" s="69">
        <f t="shared" si="132"/>
        <v>2.7777777777777776E-2</v>
      </c>
    </row>
    <row r="150" spans="1:96" hidden="1" x14ac:dyDescent="0.25">
      <c r="A150" s="13">
        <v>4</v>
      </c>
      <c r="B150" s="14" t="s">
        <v>403</v>
      </c>
      <c r="C150" s="13" t="s">
        <v>454</v>
      </c>
      <c r="D150" s="13" t="s">
        <v>2270</v>
      </c>
      <c r="E150" s="13" t="s">
        <v>32</v>
      </c>
      <c r="F150" s="15">
        <f t="shared" si="133"/>
        <v>1</v>
      </c>
      <c r="G150" s="13">
        <v>1</v>
      </c>
      <c r="H150" s="13">
        <f t="shared" si="183"/>
        <v>1</v>
      </c>
      <c r="I150" s="13">
        <v>12</v>
      </c>
      <c r="J150" s="14" t="s">
        <v>455</v>
      </c>
      <c r="K150" s="14" t="s">
        <v>34</v>
      </c>
      <c r="L150" s="13" t="s">
        <v>223</v>
      </c>
      <c r="M150" s="14" t="s">
        <v>35</v>
      </c>
      <c r="N150" s="13" t="s">
        <v>456</v>
      </c>
      <c r="O150" s="28" t="s">
        <v>41</v>
      </c>
      <c r="P150" s="28" t="s">
        <v>41</v>
      </c>
      <c r="Q150" s="28"/>
      <c r="R150" s="30"/>
      <c r="S150" s="30"/>
      <c r="T150" s="30"/>
      <c r="U150" s="30"/>
      <c r="V150" s="8">
        <f t="shared" si="134"/>
        <v>0</v>
      </c>
      <c r="W150" s="8">
        <f t="shared" si="135"/>
        <v>0</v>
      </c>
      <c r="X150" s="8">
        <f t="shared" si="136"/>
        <v>0</v>
      </c>
      <c r="Y150" s="33">
        <f t="shared" si="137"/>
        <v>0</v>
      </c>
      <c r="Z150" s="28"/>
      <c r="AA150" s="28"/>
      <c r="AB150" s="28">
        <v>0</v>
      </c>
      <c r="AC150" s="31"/>
      <c r="AD150" s="50">
        <f t="shared" si="138"/>
        <v>1</v>
      </c>
      <c r="AE150" s="31"/>
      <c r="AF150" s="51">
        <v>14</v>
      </c>
      <c r="AG150" s="51">
        <f t="shared" si="166"/>
        <v>8.4</v>
      </c>
      <c r="AH150" s="51">
        <f t="shared" si="131"/>
        <v>42</v>
      </c>
      <c r="AI150" s="52" t="s">
        <v>2497</v>
      </c>
      <c r="AJ150" s="52" t="s">
        <v>2498</v>
      </c>
      <c r="AK150" s="53">
        <f t="shared" si="167"/>
        <v>0</v>
      </c>
      <c r="AL150" s="54">
        <f t="shared" si="168"/>
        <v>0.11904761904761904</v>
      </c>
      <c r="AM150" s="54">
        <f t="shared" si="169"/>
        <v>2.3809523809523808E-2</v>
      </c>
      <c r="AN150" s="55">
        <f t="shared" si="170"/>
        <v>0</v>
      </c>
      <c r="AO150" s="55">
        <f t="shared" si="171"/>
        <v>0</v>
      </c>
      <c r="AP150" s="53">
        <v>7.1</v>
      </c>
      <c r="AQ150" s="53">
        <f t="shared" si="139"/>
        <v>4.26</v>
      </c>
      <c r="AR150" s="53">
        <f t="shared" si="140"/>
        <v>21.299999999999997</v>
      </c>
      <c r="AS150" s="56">
        <f t="shared" si="141"/>
        <v>4.6948356807511742E-2</v>
      </c>
      <c r="AT150" s="56">
        <f t="shared" si="172"/>
        <v>0.23474178403755869</v>
      </c>
      <c r="AU150" s="56">
        <f t="shared" si="142"/>
        <v>0.176056338028169</v>
      </c>
      <c r="AV150" s="56">
        <f t="shared" si="173"/>
        <v>5.8685446009389672E-2</v>
      </c>
      <c r="AW150" s="57" t="s">
        <v>2511</v>
      </c>
      <c r="AX150" s="57" t="s">
        <v>2512</v>
      </c>
      <c r="AY150" s="57" t="s">
        <v>2513</v>
      </c>
      <c r="AZ150" s="58">
        <f t="shared" si="174"/>
        <v>0</v>
      </c>
      <c r="BA150" s="59">
        <f t="shared" si="178"/>
        <v>0</v>
      </c>
      <c r="BB150" s="59">
        <f t="shared" si="179"/>
        <v>0</v>
      </c>
      <c r="BC150" s="59">
        <f t="shared" si="180"/>
        <v>0</v>
      </c>
      <c r="BD150" s="60">
        <f t="shared" si="175"/>
        <v>0</v>
      </c>
      <c r="BE150" s="59">
        <f t="shared" si="176"/>
        <v>0</v>
      </c>
      <c r="BQ150" s="61">
        <v>3000</v>
      </c>
      <c r="BR150" s="61">
        <v>1200</v>
      </c>
      <c r="BS150" s="28">
        <f t="shared" si="143"/>
        <v>2980</v>
      </c>
      <c r="BT150" s="28">
        <f t="shared" si="144"/>
        <v>1180</v>
      </c>
      <c r="BU150" s="28" t="s">
        <v>2541</v>
      </c>
      <c r="BV150" s="28">
        <f t="shared" si="145"/>
        <v>5</v>
      </c>
      <c r="BW150" s="28">
        <f t="shared" si="146"/>
        <v>5</v>
      </c>
      <c r="BX150" s="13">
        <f t="shared" si="147"/>
        <v>596</v>
      </c>
      <c r="BY150" s="13">
        <f t="shared" si="148"/>
        <v>596</v>
      </c>
      <c r="BZ150" s="13">
        <f t="shared" si="149"/>
        <v>236</v>
      </c>
      <c r="CA150" s="13">
        <f t="shared" si="150"/>
        <v>236</v>
      </c>
      <c r="CB150" s="13">
        <f t="shared" si="151"/>
        <v>140656</v>
      </c>
      <c r="CC150" s="62" t="str">
        <f t="shared" si="152"/>
        <v/>
      </c>
      <c r="CD150" s="13">
        <f t="shared" si="153"/>
        <v>596</v>
      </c>
      <c r="CE150" s="13">
        <f t="shared" si="154"/>
        <v>596</v>
      </c>
      <c r="CF150" s="13">
        <f t="shared" si="155"/>
        <v>236</v>
      </c>
      <c r="CG150" s="13">
        <f t="shared" si="156"/>
        <v>236</v>
      </c>
      <c r="CH150" s="28">
        <f t="shared" si="157"/>
        <v>140656</v>
      </c>
      <c r="CI150" s="62" t="str">
        <f t="shared" si="158"/>
        <v/>
      </c>
      <c r="CJ150" s="59">
        <f t="shared" si="159"/>
        <v>0</v>
      </c>
      <c r="CL150" s="63">
        <v>6000</v>
      </c>
      <c r="CM150" s="63">
        <f t="shared" si="160"/>
        <v>0</v>
      </c>
      <c r="CN150" s="63">
        <f t="shared" si="161"/>
        <v>5</v>
      </c>
      <c r="CO150" s="63">
        <f t="shared" si="162"/>
        <v>1200</v>
      </c>
      <c r="CP150" s="13">
        <f t="shared" si="163"/>
        <v>1200</v>
      </c>
      <c r="CQ150" s="70">
        <f t="shared" si="164"/>
        <v>8.3333333333333339E-4</v>
      </c>
      <c r="CR150" s="69">
        <f t="shared" si="132"/>
        <v>8.3333333333333339E-4</v>
      </c>
    </row>
    <row r="151" spans="1:96" hidden="1" x14ac:dyDescent="0.25">
      <c r="A151" s="17">
        <v>5</v>
      </c>
      <c r="B151" s="6" t="s">
        <v>457</v>
      </c>
      <c r="C151" s="17" t="s">
        <v>458</v>
      </c>
      <c r="D151" s="17" t="s">
        <v>2270</v>
      </c>
      <c r="E151" s="17" t="s">
        <v>52</v>
      </c>
      <c r="F151" s="7">
        <f t="shared" si="133"/>
        <v>1</v>
      </c>
      <c r="G151" s="17">
        <v>1</v>
      </c>
      <c r="H151" s="17">
        <f>G151*$H$150</f>
        <v>1</v>
      </c>
      <c r="I151" s="17">
        <v>1</v>
      </c>
      <c r="J151" s="6" t="s">
        <v>459</v>
      </c>
      <c r="K151" s="6" t="s">
        <v>34</v>
      </c>
      <c r="L151" s="17" t="s">
        <v>223</v>
      </c>
      <c r="M151" s="6" t="s">
        <v>35</v>
      </c>
      <c r="N151" s="17" t="s">
        <v>460</v>
      </c>
      <c r="O151" s="28" t="s">
        <v>41</v>
      </c>
      <c r="P151" s="28" t="s">
        <v>41</v>
      </c>
      <c r="Q151" s="28" t="s">
        <v>124</v>
      </c>
      <c r="R151" s="30">
        <v>42.176000000000002</v>
      </c>
      <c r="S151" s="30">
        <v>17.206</v>
      </c>
      <c r="T151" s="30"/>
      <c r="U151" s="30">
        <v>9.8425196850393706E-2</v>
      </c>
      <c r="V151" s="8">
        <f t="shared" si="134"/>
        <v>1071.2703999999999</v>
      </c>
      <c r="W151" s="8">
        <f t="shared" si="135"/>
        <v>437.03239999999994</v>
      </c>
      <c r="X151" s="8">
        <f t="shared" si="136"/>
        <v>0</v>
      </c>
      <c r="Y151" s="33">
        <f t="shared" si="137"/>
        <v>2.5</v>
      </c>
      <c r="Z151" s="28" t="s">
        <v>56</v>
      </c>
      <c r="AA151" s="28" t="s">
        <v>57</v>
      </c>
      <c r="AB151" s="61" t="s">
        <v>124</v>
      </c>
      <c r="AC151" s="31" t="s">
        <v>125</v>
      </c>
      <c r="AD151" s="50">
        <f t="shared" si="138"/>
        <v>1</v>
      </c>
      <c r="AE151" s="31"/>
      <c r="AF151" s="51">
        <v>14</v>
      </c>
      <c r="AG151" s="51">
        <f t="shared" si="166"/>
        <v>8.4</v>
      </c>
      <c r="AH151" s="51">
        <f t="shared" si="131"/>
        <v>42</v>
      </c>
      <c r="AI151" s="52" t="s">
        <v>2497</v>
      </c>
      <c r="AJ151" s="52" t="s">
        <v>2498</v>
      </c>
      <c r="AK151" s="53">
        <f t="shared" si="167"/>
        <v>0.93635974792191978</v>
      </c>
      <c r="AL151" s="54">
        <f t="shared" si="168"/>
        <v>0.11904761904761904</v>
      </c>
      <c r="AM151" s="54">
        <f t="shared" si="169"/>
        <v>2.3809523809523808E-2</v>
      </c>
      <c r="AN151" s="55">
        <f t="shared" si="170"/>
        <v>0.1114713985621333</v>
      </c>
      <c r="AO151" s="55">
        <f t="shared" si="171"/>
        <v>2.229427971242666E-2</v>
      </c>
      <c r="AP151" s="53">
        <v>7.1</v>
      </c>
      <c r="AQ151" s="53">
        <f t="shared" si="139"/>
        <v>4.26</v>
      </c>
      <c r="AR151" s="53">
        <f t="shared" si="140"/>
        <v>21.299999999999997</v>
      </c>
      <c r="AS151" s="56">
        <f t="shared" si="141"/>
        <v>4.6948356807511742E-2</v>
      </c>
      <c r="AT151" s="56">
        <f t="shared" si="172"/>
        <v>0.23474178403755869</v>
      </c>
      <c r="AU151" s="56">
        <f t="shared" si="142"/>
        <v>0.176056338028169</v>
      </c>
      <c r="AV151" s="56">
        <f t="shared" si="173"/>
        <v>5.8685446009389672E-2</v>
      </c>
      <c r="AW151" s="57" t="s">
        <v>2511</v>
      </c>
      <c r="AX151" s="57" t="s">
        <v>2512</v>
      </c>
      <c r="AY151" s="57" t="s">
        <v>2513</v>
      </c>
      <c r="AZ151" s="58">
        <f t="shared" si="174"/>
        <v>0.93635974792191978</v>
      </c>
      <c r="BA151" s="59">
        <f t="shared" si="178"/>
        <v>2.7475344716018774E-2</v>
      </c>
      <c r="BB151" s="59">
        <f t="shared" si="179"/>
        <v>8.2426034148056312E-2</v>
      </c>
      <c r="BC151" s="59">
        <f t="shared" si="180"/>
        <v>2.1980275772815021E-2</v>
      </c>
      <c r="BD151" s="60">
        <f t="shared" si="175"/>
        <v>0.16666666666666666</v>
      </c>
      <c r="BE151" s="59">
        <f t="shared" si="176"/>
        <v>0.16666666666666666</v>
      </c>
      <c r="BQ151" s="61">
        <v>3000</v>
      </c>
      <c r="BR151" s="61">
        <v>1200</v>
      </c>
      <c r="BS151" s="28">
        <f t="shared" si="143"/>
        <v>2980</v>
      </c>
      <c r="BT151" s="28">
        <f t="shared" si="144"/>
        <v>1180</v>
      </c>
      <c r="BU151" s="28" t="s">
        <v>2541</v>
      </c>
      <c r="BV151" s="28">
        <f t="shared" si="145"/>
        <v>1076.2703999999999</v>
      </c>
      <c r="BW151" s="28">
        <f t="shared" si="146"/>
        <v>442.03239999999994</v>
      </c>
      <c r="BX151" s="13">
        <f t="shared" si="147"/>
        <v>2.7688209208392243</v>
      </c>
      <c r="BY151" s="13">
        <f t="shared" si="148"/>
        <v>2</v>
      </c>
      <c r="BZ151" s="13">
        <f t="shared" si="149"/>
        <v>2.6694875760238395</v>
      </c>
      <c r="CA151" s="13">
        <f t="shared" si="150"/>
        <v>2</v>
      </c>
      <c r="CB151" s="13">
        <f t="shared" si="151"/>
        <v>4</v>
      </c>
      <c r="CC151" s="62">
        <f t="shared" si="152"/>
        <v>0.25</v>
      </c>
      <c r="CD151" s="13">
        <f t="shared" si="153"/>
        <v>6.7415872682635944</v>
      </c>
      <c r="CE151" s="13">
        <f t="shared" si="154"/>
        <v>6</v>
      </c>
      <c r="CF151" s="13">
        <f t="shared" si="155"/>
        <v>1.0963787538893572</v>
      </c>
      <c r="CG151" s="13">
        <f t="shared" si="156"/>
        <v>1</v>
      </c>
      <c r="CH151" s="28">
        <f t="shared" si="157"/>
        <v>6</v>
      </c>
      <c r="CI151" s="62">
        <f t="shared" si="158"/>
        <v>0.16666666666666666</v>
      </c>
      <c r="CJ151" s="59">
        <f t="shared" si="159"/>
        <v>0.16666666666666666</v>
      </c>
      <c r="CL151" s="63">
        <v>6000</v>
      </c>
      <c r="CM151" s="63">
        <f t="shared" si="160"/>
        <v>1071.2703999999999</v>
      </c>
      <c r="CN151" s="63">
        <f t="shared" si="161"/>
        <v>1076.2703999999999</v>
      </c>
      <c r="CO151" s="63">
        <f t="shared" si="162"/>
        <v>5.5748072231662231</v>
      </c>
      <c r="CP151" s="13">
        <f t="shared" si="163"/>
        <v>5</v>
      </c>
      <c r="CQ151" s="70">
        <f t="shared" si="164"/>
        <v>0.2</v>
      </c>
      <c r="CR151" s="69">
        <f t="shared" si="132"/>
        <v>0.2</v>
      </c>
    </row>
    <row r="152" spans="1:96" hidden="1" x14ac:dyDescent="0.25">
      <c r="A152" s="17">
        <v>5</v>
      </c>
      <c r="B152" s="6" t="s">
        <v>457</v>
      </c>
      <c r="C152" s="17" t="s">
        <v>461</v>
      </c>
      <c r="D152" s="17" t="s">
        <v>2270</v>
      </c>
      <c r="E152" s="17" t="s">
        <v>52</v>
      </c>
      <c r="F152" s="7">
        <f t="shared" si="133"/>
        <v>1</v>
      </c>
      <c r="G152" s="17">
        <v>2</v>
      </c>
      <c r="H152" s="17">
        <f t="shared" ref="H152:H155" si="184">G152*$H$150</f>
        <v>2</v>
      </c>
      <c r="I152" s="17">
        <v>2</v>
      </c>
      <c r="J152" s="6" t="s">
        <v>122</v>
      </c>
      <c r="K152" s="6" t="s">
        <v>34</v>
      </c>
      <c r="L152" s="17" t="s">
        <v>110</v>
      </c>
      <c r="M152" s="6" t="s">
        <v>35</v>
      </c>
      <c r="N152" s="17" t="s">
        <v>462</v>
      </c>
      <c r="O152" s="28" t="s">
        <v>41</v>
      </c>
      <c r="P152" s="28" t="s">
        <v>41</v>
      </c>
      <c r="Q152" s="28" t="s">
        <v>124</v>
      </c>
      <c r="R152" s="30">
        <v>15.737</v>
      </c>
      <c r="S152" s="30">
        <v>2.2109999999999999</v>
      </c>
      <c r="T152" s="30"/>
      <c r="U152" s="30">
        <v>9.8000000000000004E-2</v>
      </c>
      <c r="V152" s="8">
        <f t="shared" si="134"/>
        <v>399.71979999999996</v>
      </c>
      <c r="W152" s="8">
        <f t="shared" si="135"/>
        <v>56.159399999999991</v>
      </c>
      <c r="X152" s="8">
        <f t="shared" si="136"/>
        <v>0</v>
      </c>
      <c r="Y152" s="33">
        <f t="shared" si="137"/>
        <v>2.4891999999999999</v>
      </c>
      <c r="Z152" s="28" t="s">
        <v>56</v>
      </c>
      <c r="AA152" s="28" t="s">
        <v>57</v>
      </c>
      <c r="AB152" s="61" t="s">
        <v>124</v>
      </c>
      <c r="AC152" s="31" t="s">
        <v>125</v>
      </c>
      <c r="AD152" s="50">
        <f t="shared" si="138"/>
        <v>2</v>
      </c>
      <c r="AE152" s="31"/>
      <c r="AF152" s="51">
        <v>14</v>
      </c>
      <c r="AG152" s="51">
        <f t="shared" si="166"/>
        <v>8.4</v>
      </c>
      <c r="AH152" s="51">
        <f t="shared" si="131"/>
        <v>42</v>
      </c>
      <c r="AI152" s="52" t="s">
        <v>2497</v>
      </c>
      <c r="AJ152" s="52" t="s">
        <v>2498</v>
      </c>
      <c r="AK152" s="53">
        <f t="shared" si="167"/>
        <v>4.4896048272239988E-2</v>
      </c>
      <c r="AL152" s="54">
        <f t="shared" si="168"/>
        <v>0.11904761904761904</v>
      </c>
      <c r="AM152" s="54">
        <f t="shared" si="169"/>
        <v>2.3809523809523808E-2</v>
      </c>
      <c r="AN152" s="55">
        <f t="shared" si="170"/>
        <v>1.0689535302914282E-2</v>
      </c>
      <c r="AO152" s="55">
        <f t="shared" si="171"/>
        <v>2.1379070605828565E-3</v>
      </c>
      <c r="AP152" s="53">
        <v>7.1</v>
      </c>
      <c r="AQ152" s="53">
        <f t="shared" si="139"/>
        <v>4.26</v>
      </c>
      <c r="AR152" s="53">
        <f t="shared" si="140"/>
        <v>21.299999999999997</v>
      </c>
      <c r="AS152" s="56">
        <f t="shared" si="141"/>
        <v>4.6948356807511742E-2</v>
      </c>
      <c r="AT152" s="56">
        <f t="shared" si="172"/>
        <v>0.23474178403755869</v>
      </c>
      <c r="AU152" s="56">
        <f t="shared" si="142"/>
        <v>0.176056338028169</v>
      </c>
      <c r="AV152" s="56">
        <f t="shared" si="173"/>
        <v>5.8685446009389672E-2</v>
      </c>
      <c r="AW152" s="57" t="s">
        <v>2511</v>
      </c>
      <c r="AX152" s="57" t="s">
        <v>2512</v>
      </c>
      <c r="AY152" s="57" t="s">
        <v>2513</v>
      </c>
      <c r="AZ152" s="58">
        <f t="shared" si="174"/>
        <v>4.4896048272239988E-2</v>
      </c>
      <c r="BA152" s="59">
        <f t="shared" si="178"/>
        <v>2.6347446169154923E-3</v>
      </c>
      <c r="BB152" s="59">
        <f t="shared" si="179"/>
        <v>7.9042338507464768E-3</v>
      </c>
      <c r="BC152" s="59">
        <f t="shared" si="180"/>
        <v>2.1077956935323938E-3</v>
      </c>
      <c r="BD152" s="60">
        <f t="shared" si="175"/>
        <v>7.5187969924812026E-3</v>
      </c>
      <c r="BE152" s="59">
        <f t="shared" si="176"/>
        <v>1.5037593984962405E-2</v>
      </c>
      <c r="BQ152" s="61">
        <v>3000</v>
      </c>
      <c r="BR152" s="61">
        <v>1200</v>
      </c>
      <c r="BS152" s="28">
        <f t="shared" si="143"/>
        <v>2980</v>
      </c>
      <c r="BT152" s="28">
        <f t="shared" si="144"/>
        <v>1180</v>
      </c>
      <c r="BU152" s="28" t="s">
        <v>2541</v>
      </c>
      <c r="BV152" s="28">
        <f t="shared" si="145"/>
        <v>404.71979999999996</v>
      </c>
      <c r="BW152" s="28">
        <f t="shared" si="146"/>
        <v>61.159399999999991</v>
      </c>
      <c r="BX152" s="13">
        <f t="shared" si="147"/>
        <v>7.363118878789721</v>
      </c>
      <c r="BY152" s="13">
        <f t="shared" si="148"/>
        <v>7</v>
      </c>
      <c r="BZ152" s="13">
        <f t="shared" si="149"/>
        <v>19.293845263360989</v>
      </c>
      <c r="CA152" s="13">
        <f t="shared" si="150"/>
        <v>19</v>
      </c>
      <c r="CB152" s="13">
        <f t="shared" si="151"/>
        <v>133</v>
      </c>
      <c r="CC152" s="62">
        <f t="shared" si="152"/>
        <v>7.5187969924812026E-3</v>
      </c>
      <c r="CD152" s="13">
        <f t="shared" si="153"/>
        <v>48.725134648148945</v>
      </c>
      <c r="CE152" s="13">
        <f t="shared" si="154"/>
        <v>48</v>
      </c>
      <c r="CF152" s="13">
        <f t="shared" si="155"/>
        <v>2.9155974083798224</v>
      </c>
      <c r="CG152" s="13">
        <f t="shared" si="156"/>
        <v>2</v>
      </c>
      <c r="CH152" s="28">
        <f t="shared" si="157"/>
        <v>96</v>
      </c>
      <c r="CI152" s="62">
        <f t="shared" si="158"/>
        <v>1.0416666666666666E-2</v>
      </c>
      <c r="CJ152" s="59">
        <f t="shared" si="159"/>
        <v>7.5187969924812026E-3</v>
      </c>
      <c r="CL152" s="63">
        <v>6000</v>
      </c>
      <c r="CM152" s="63">
        <f t="shared" si="160"/>
        <v>399.71979999999996</v>
      </c>
      <c r="CN152" s="63">
        <f t="shared" si="161"/>
        <v>404.71979999999996</v>
      </c>
      <c r="CO152" s="63">
        <f t="shared" si="162"/>
        <v>14.825071568032996</v>
      </c>
      <c r="CP152" s="13">
        <f t="shared" si="163"/>
        <v>14</v>
      </c>
      <c r="CQ152" s="70">
        <f t="shared" si="164"/>
        <v>7.1428571428571425E-2</v>
      </c>
      <c r="CR152" s="69">
        <f t="shared" si="132"/>
        <v>0.14285714285714285</v>
      </c>
    </row>
    <row r="153" spans="1:96" hidden="1" x14ac:dyDescent="0.25">
      <c r="A153" s="17">
        <v>5</v>
      </c>
      <c r="B153" s="6" t="s">
        <v>457</v>
      </c>
      <c r="C153" s="17" t="s">
        <v>463</v>
      </c>
      <c r="D153" s="17" t="s">
        <v>2270</v>
      </c>
      <c r="E153" s="17" t="s">
        <v>52</v>
      </c>
      <c r="F153" s="7">
        <f t="shared" si="133"/>
        <v>1</v>
      </c>
      <c r="G153" s="17">
        <v>2</v>
      </c>
      <c r="H153" s="17">
        <f t="shared" si="184"/>
        <v>2</v>
      </c>
      <c r="I153" s="17">
        <v>3</v>
      </c>
      <c r="J153" s="6" t="s">
        <v>122</v>
      </c>
      <c r="K153" s="6" t="s">
        <v>34</v>
      </c>
      <c r="L153" s="17" t="s">
        <v>110</v>
      </c>
      <c r="M153" s="6" t="s">
        <v>35</v>
      </c>
      <c r="N153" s="17" t="s">
        <v>464</v>
      </c>
      <c r="O153" s="28" t="s">
        <v>41</v>
      </c>
      <c r="P153" s="28" t="s">
        <v>41</v>
      </c>
      <c r="Q153" s="28" t="s">
        <v>124</v>
      </c>
      <c r="R153" s="30">
        <v>40.65</v>
      </c>
      <c r="S153" s="30">
        <v>2.2210000000000001</v>
      </c>
      <c r="T153" s="30"/>
      <c r="U153" s="30">
        <v>9.8000000000000004E-2</v>
      </c>
      <c r="V153" s="8">
        <f t="shared" si="134"/>
        <v>1032.51</v>
      </c>
      <c r="W153" s="8">
        <f t="shared" si="135"/>
        <v>56.413399999999996</v>
      </c>
      <c r="X153" s="8">
        <f t="shared" si="136"/>
        <v>0</v>
      </c>
      <c r="Y153" s="33">
        <f t="shared" si="137"/>
        <v>2.4891999999999999</v>
      </c>
      <c r="Z153" s="28" t="s">
        <v>56</v>
      </c>
      <c r="AA153" s="28" t="s">
        <v>57</v>
      </c>
      <c r="AB153" s="61" t="s">
        <v>124</v>
      </c>
      <c r="AC153" s="31" t="s">
        <v>125</v>
      </c>
      <c r="AD153" s="50">
        <f t="shared" si="138"/>
        <v>2</v>
      </c>
      <c r="AE153" s="31"/>
      <c r="AF153" s="51">
        <v>14</v>
      </c>
      <c r="AG153" s="51">
        <f t="shared" si="166"/>
        <v>8.4</v>
      </c>
      <c r="AH153" s="51">
        <f t="shared" si="131"/>
        <v>42</v>
      </c>
      <c r="AI153" s="52" t="s">
        <v>2497</v>
      </c>
      <c r="AJ153" s="52" t="s">
        <v>2498</v>
      </c>
      <c r="AK153" s="53">
        <f t="shared" si="167"/>
        <v>0.11649479926799999</v>
      </c>
      <c r="AL153" s="54">
        <f t="shared" si="168"/>
        <v>0.11904761904761904</v>
      </c>
      <c r="AM153" s="54">
        <f t="shared" si="169"/>
        <v>2.3809523809523808E-2</v>
      </c>
      <c r="AN153" s="55">
        <f t="shared" si="170"/>
        <v>2.7736856968571425E-2</v>
      </c>
      <c r="AO153" s="55">
        <f t="shared" si="171"/>
        <v>5.5473713937142849E-3</v>
      </c>
      <c r="AP153" s="53">
        <v>7.1</v>
      </c>
      <c r="AQ153" s="53">
        <f t="shared" si="139"/>
        <v>4.26</v>
      </c>
      <c r="AR153" s="53">
        <f t="shared" si="140"/>
        <v>21.299999999999997</v>
      </c>
      <c r="AS153" s="56">
        <f t="shared" si="141"/>
        <v>4.6948356807511742E-2</v>
      </c>
      <c r="AT153" s="56">
        <f t="shared" si="172"/>
        <v>0.23474178403755869</v>
      </c>
      <c r="AU153" s="56">
        <f t="shared" si="142"/>
        <v>0.176056338028169</v>
      </c>
      <c r="AV153" s="56">
        <f t="shared" si="173"/>
        <v>5.8685446009389672E-2</v>
      </c>
      <c r="AW153" s="57" t="s">
        <v>2511</v>
      </c>
      <c r="AX153" s="57" t="s">
        <v>2512</v>
      </c>
      <c r="AY153" s="57" t="s">
        <v>2513</v>
      </c>
      <c r="AZ153" s="58">
        <f t="shared" si="174"/>
        <v>0.11649479926799999</v>
      </c>
      <c r="BA153" s="59">
        <f t="shared" si="178"/>
        <v>6.836549252816901E-3</v>
      </c>
      <c r="BB153" s="59">
        <f t="shared" si="179"/>
        <v>2.05096477584507E-2</v>
      </c>
      <c r="BC153" s="59">
        <f t="shared" si="180"/>
        <v>5.4692394022535212E-3</v>
      </c>
      <c r="BD153" s="60">
        <f t="shared" si="175"/>
        <v>2.0833333333333332E-2</v>
      </c>
      <c r="BE153" s="59">
        <f t="shared" si="176"/>
        <v>4.1666666666666664E-2</v>
      </c>
      <c r="BQ153" s="61">
        <v>3000</v>
      </c>
      <c r="BR153" s="61">
        <v>1200</v>
      </c>
      <c r="BS153" s="28">
        <f t="shared" si="143"/>
        <v>2980</v>
      </c>
      <c r="BT153" s="28">
        <f t="shared" si="144"/>
        <v>1180</v>
      </c>
      <c r="BU153" s="28" t="s">
        <v>2541</v>
      </c>
      <c r="BV153" s="28">
        <f t="shared" si="145"/>
        <v>1037.51</v>
      </c>
      <c r="BW153" s="28">
        <f t="shared" si="146"/>
        <v>61.413399999999996</v>
      </c>
      <c r="BX153" s="13">
        <f t="shared" si="147"/>
        <v>2.8722614721785815</v>
      </c>
      <c r="BY153" s="13">
        <f t="shared" si="148"/>
        <v>2</v>
      </c>
      <c r="BZ153" s="13">
        <f t="shared" si="149"/>
        <v>19.214047748536967</v>
      </c>
      <c r="CA153" s="13">
        <f t="shared" si="150"/>
        <v>19</v>
      </c>
      <c r="CB153" s="13">
        <f t="shared" si="151"/>
        <v>38</v>
      </c>
      <c r="CC153" s="62">
        <f t="shared" si="152"/>
        <v>2.6315789473684209E-2</v>
      </c>
      <c r="CD153" s="13">
        <f t="shared" si="153"/>
        <v>48.523612110712001</v>
      </c>
      <c r="CE153" s="13">
        <f t="shared" si="154"/>
        <v>48</v>
      </c>
      <c r="CF153" s="13">
        <f t="shared" si="155"/>
        <v>1.13733843529219</v>
      </c>
      <c r="CG153" s="13">
        <f t="shared" si="156"/>
        <v>1</v>
      </c>
      <c r="CH153" s="28">
        <f t="shared" si="157"/>
        <v>48</v>
      </c>
      <c r="CI153" s="62">
        <f t="shared" si="158"/>
        <v>2.0833333333333332E-2</v>
      </c>
      <c r="CJ153" s="59">
        <f t="shared" si="159"/>
        <v>2.0833333333333332E-2</v>
      </c>
      <c r="CL153" s="63">
        <v>6000</v>
      </c>
      <c r="CM153" s="63">
        <f t="shared" si="160"/>
        <v>1032.51</v>
      </c>
      <c r="CN153" s="63">
        <f t="shared" si="161"/>
        <v>1037.51</v>
      </c>
      <c r="CO153" s="63">
        <f t="shared" si="162"/>
        <v>5.7830767896213047</v>
      </c>
      <c r="CP153" s="13">
        <f t="shared" si="163"/>
        <v>5</v>
      </c>
      <c r="CQ153" s="70">
        <f t="shared" si="164"/>
        <v>0.2</v>
      </c>
      <c r="CR153" s="69">
        <f t="shared" si="132"/>
        <v>0.4</v>
      </c>
    </row>
    <row r="154" spans="1:96" hidden="1" x14ac:dyDescent="0.25">
      <c r="A154" s="17">
        <v>5</v>
      </c>
      <c r="B154" s="6" t="s">
        <v>457</v>
      </c>
      <c r="C154" s="17" t="s">
        <v>465</v>
      </c>
      <c r="D154" s="17" t="s">
        <v>2270</v>
      </c>
      <c r="E154" s="17" t="s">
        <v>52</v>
      </c>
      <c r="F154" s="7">
        <f t="shared" si="133"/>
        <v>1</v>
      </c>
      <c r="G154" s="17">
        <v>3</v>
      </c>
      <c r="H154" s="17">
        <f t="shared" si="184"/>
        <v>3</v>
      </c>
      <c r="I154" s="17">
        <v>6</v>
      </c>
      <c r="J154" s="6" t="s">
        <v>466</v>
      </c>
      <c r="K154" s="6" t="s">
        <v>34</v>
      </c>
      <c r="L154" s="17">
        <v>0</v>
      </c>
      <c r="M154" s="6" t="s">
        <v>35</v>
      </c>
      <c r="N154" s="17" t="s">
        <v>467</v>
      </c>
      <c r="O154" s="28" t="s">
        <v>41</v>
      </c>
      <c r="P154" s="28" t="s">
        <v>41</v>
      </c>
      <c r="Q154" s="28" t="s">
        <v>116</v>
      </c>
      <c r="R154" s="30">
        <v>3.5649999999999999</v>
      </c>
      <c r="S154" s="30">
        <v>3.24</v>
      </c>
      <c r="T154" s="30"/>
      <c r="U154" s="30">
        <v>0.11799999999999999</v>
      </c>
      <c r="V154" s="8">
        <f t="shared" si="134"/>
        <v>90.550999999999988</v>
      </c>
      <c r="W154" s="8">
        <f t="shared" si="135"/>
        <v>82.296000000000006</v>
      </c>
      <c r="X154" s="8">
        <f t="shared" si="136"/>
        <v>0</v>
      </c>
      <c r="Y154" s="33">
        <f t="shared" si="137"/>
        <v>2.9971999999999999</v>
      </c>
      <c r="Z154" s="28" t="s">
        <v>56</v>
      </c>
      <c r="AA154" s="28" t="s">
        <v>57</v>
      </c>
      <c r="AB154" s="28" t="s">
        <v>116</v>
      </c>
      <c r="AC154" s="31" t="s">
        <v>117</v>
      </c>
      <c r="AD154" s="50">
        <f t="shared" si="138"/>
        <v>3</v>
      </c>
      <c r="AE154" s="31"/>
      <c r="AF154" s="51">
        <v>14</v>
      </c>
      <c r="AG154" s="51">
        <f t="shared" si="166"/>
        <v>8.4</v>
      </c>
      <c r="AH154" s="51">
        <f t="shared" si="131"/>
        <v>42</v>
      </c>
      <c r="AI154" s="52" t="s">
        <v>2497</v>
      </c>
      <c r="AJ154" s="52" t="s">
        <v>2498</v>
      </c>
      <c r="AK154" s="53">
        <f t="shared" si="167"/>
        <v>1.4903970191999998E-2</v>
      </c>
      <c r="AL154" s="54">
        <f t="shared" si="168"/>
        <v>0.11904761904761904</v>
      </c>
      <c r="AM154" s="54">
        <f t="shared" si="169"/>
        <v>2.3809523809523808E-2</v>
      </c>
      <c r="AN154" s="55">
        <f t="shared" si="170"/>
        <v>5.3228464971428564E-3</v>
      </c>
      <c r="AO154" s="55">
        <f t="shared" si="171"/>
        <v>1.0645692994285714E-3</v>
      </c>
      <c r="AP154" s="53">
        <v>7.1</v>
      </c>
      <c r="AQ154" s="53">
        <f t="shared" si="139"/>
        <v>4.26</v>
      </c>
      <c r="AR154" s="53">
        <f t="shared" si="140"/>
        <v>21.299999999999997</v>
      </c>
      <c r="AS154" s="56">
        <f t="shared" si="141"/>
        <v>4.6948356807511742E-2</v>
      </c>
      <c r="AT154" s="56">
        <f t="shared" si="172"/>
        <v>0.23474178403755869</v>
      </c>
      <c r="AU154" s="56">
        <f t="shared" si="142"/>
        <v>0.176056338028169</v>
      </c>
      <c r="AV154" s="56">
        <f t="shared" si="173"/>
        <v>5.8685446009389672E-2</v>
      </c>
      <c r="AW154" s="57" t="s">
        <v>2511</v>
      </c>
      <c r="AX154" s="57" t="s">
        <v>2512</v>
      </c>
      <c r="AY154" s="57" t="s">
        <v>2513</v>
      </c>
      <c r="AZ154" s="58">
        <f t="shared" si="174"/>
        <v>1.4903970191999998E-2</v>
      </c>
      <c r="BA154" s="59">
        <f t="shared" si="178"/>
        <v>1.3119692070422532E-3</v>
      </c>
      <c r="BB154" s="59">
        <f t="shared" si="179"/>
        <v>3.93590762112676E-3</v>
      </c>
      <c r="BC154" s="59">
        <f t="shared" si="180"/>
        <v>1.0495753656338028E-3</v>
      </c>
      <c r="BD154" s="60">
        <f t="shared" si="175"/>
        <v>2.4509803921568627E-3</v>
      </c>
      <c r="BE154" s="59">
        <f t="shared" si="176"/>
        <v>7.3529411764705881E-3</v>
      </c>
      <c r="BQ154" s="61">
        <v>3000</v>
      </c>
      <c r="BR154" s="61">
        <v>1200</v>
      </c>
      <c r="BS154" s="28">
        <f t="shared" si="143"/>
        <v>2980</v>
      </c>
      <c r="BT154" s="28">
        <f t="shared" si="144"/>
        <v>1180</v>
      </c>
      <c r="BU154" s="28" t="s">
        <v>2541</v>
      </c>
      <c r="BV154" s="28">
        <f t="shared" si="145"/>
        <v>95.550999999999988</v>
      </c>
      <c r="BW154" s="28">
        <f t="shared" si="146"/>
        <v>87.296000000000006</v>
      </c>
      <c r="BX154" s="13">
        <f t="shared" si="147"/>
        <v>31.187533359148521</v>
      </c>
      <c r="BY154" s="13">
        <f t="shared" si="148"/>
        <v>31</v>
      </c>
      <c r="BZ154" s="13">
        <f t="shared" si="149"/>
        <v>13.517228739002931</v>
      </c>
      <c r="CA154" s="13">
        <f t="shared" si="150"/>
        <v>13</v>
      </c>
      <c r="CB154" s="13">
        <f t="shared" si="151"/>
        <v>403</v>
      </c>
      <c r="CC154" s="62">
        <f t="shared" si="152"/>
        <v>2.4813895781637717E-3</v>
      </c>
      <c r="CD154" s="13">
        <f t="shared" si="153"/>
        <v>34.136730205278589</v>
      </c>
      <c r="CE154" s="13">
        <f t="shared" si="154"/>
        <v>34</v>
      </c>
      <c r="CF154" s="13">
        <f t="shared" si="155"/>
        <v>12.349425961005119</v>
      </c>
      <c r="CG154" s="13">
        <f t="shared" si="156"/>
        <v>12</v>
      </c>
      <c r="CH154" s="28">
        <f t="shared" si="157"/>
        <v>408</v>
      </c>
      <c r="CI154" s="62">
        <f t="shared" si="158"/>
        <v>2.4509803921568627E-3</v>
      </c>
      <c r="CJ154" s="59">
        <f t="shared" si="159"/>
        <v>2.4509803921568627E-3</v>
      </c>
      <c r="CL154" s="63">
        <v>6000</v>
      </c>
      <c r="CM154" s="63">
        <f t="shared" si="160"/>
        <v>90.550999999999988</v>
      </c>
      <c r="CN154" s="63">
        <f t="shared" si="161"/>
        <v>95.550999999999988</v>
      </c>
      <c r="CO154" s="63">
        <f t="shared" si="162"/>
        <v>62.793691327144671</v>
      </c>
      <c r="CP154" s="13">
        <f t="shared" si="163"/>
        <v>62</v>
      </c>
      <c r="CQ154" s="70">
        <f t="shared" si="164"/>
        <v>1.6129032258064516E-2</v>
      </c>
      <c r="CR154" s="69">
        <f t="shared" si="132"/>
        <v>4.8387096774193547E-2</v>
      </c>
    </row>
    <row r="155" spans="1:96" hidden="1" x14ac:dyDescent="0.25">
      <c r="A155" s="17">
        <v>5</v>
      </c>
      <c r="B155" s="6" t="s">
        <v>457</v>
      </c>
      <c r="C155" s="17" t="s">
        <v>468</v>
      </c>
      <c r="D155" s="17" t="s">
        <v>470</v>
      </c>
      <c r="E155" s="17" t="s">
        <v>52</v>
      </c>
      <c r="F155" s="7">
        <f t="shared" si="133"/>
        <v>1</v>
      </c>
      <c r="G155" s="17">
        <v>2</v>
      </c>
      <c r="H155" s="17">
        <f t="shared" si="184"/>
        <v>2</v>
      </c>
      <c r="I155" s="17">
        <v>7</v>
      </c>
      <c r="J155" s="6" t="s">
        <v>469</v>
      </c>
      <c r="K155" s="6" t="s">
        <v>34</v>
      </c>
      <c r="L155" s="17" t="s">
        <v>110</v>
      </c>
      <c r="M155" s="6" t="s">
        <v>340</v>
      </c>
      <c r="N155" s="17" t="s">
        <v>470</v>
      </c>
      <c r="O155" s="28" t="s">
        <v>41</v>
      </c>
      <c r="P155" s="28" t="s">
        <v>41</v>
      </c>
      <c r="Q155" s="28" t="s">
        <v>470</v>
      </c>
      <c r="R155" s="30"/>
      <c r="S155" s="30"/>
      <c r="T155" s="30"/>
      <c r="U155" s="30"/>
      <c r="V155" s="8">
        <f t="shared" si="134"/>
        <v>0</v>
      </c>
      <c r="W155" s="8">
        <f t="shared" si="135"/>
        <v>0</v>
      </c>
      <c r="X155" s="8">
        <f t="shared" si="136"/>
        <v>0</v>
      </c>
      <c r="Y155" s="33">
        <f t="shared" si="137"/>
        <v>0</v>
      </c>
      <c r="Z155" s="28"/>
      <c r="AA155" s="28"/>
      <c r="AB155" s="61" t="s">
        <v>470</v>
      </c>
      <c r="AC155" s="31" t="s">
        <v>471</v>
      </c>
      <c r="AD155" s="50">
        <f t="shared" si="138"/>
        <v>2</v>
      </c>
      <c r="AE155" s="31"/>
      <c r="AF155" s="51">
        <v>14</v>
      </c>
      <c r="AG155" s="51">
        <f t="shared" si="166"/>
        <v>8.4</v>
      </c>
      <c r="AH155" s="51">
        <f t="shared" si="131"/>
        <v>42</v>
      </c>
      <c r="AI155" s="52" t="s">
        <v>2497</v>
      </c>
      <c r="AJ155" s="52" t="s">
        <v>2498</v>
      </c>
      <c r="AK155" s="53">
        <f t="shared" si="167"/>
        <v>0</v>
      </c>
      <c r="AL155" s="54">
        <f t="shared" si="168"/>
        <v>0.11904761904761904</v>
      </c>
      <c r="AM155" s="54">
        <f t="shared" si="169"/>
        <v>2.3809523809523808E-2</v>
      </c>
      <c r="AN155" s="55">
        <f t="shared" si="170"/>
        <v>0</v>
      </c>
      <c r="AO155" s="55">
        <f t="shared" si="171"/>
        <v>0</v>
      </c>
      <c r="AP155" s="53">
        <v>7.1</v>
      </c>
      <c r="AQ155" s="53">
        <f t="shared" si="139"/>
        <v>4.26</v>
      </c>
      <c r="AR155" s="53">
        <f t="shared" si="140"/>
        <v>21.299999999999997</v>
      </c>
      <c r="AS155" s="56">
        <f t="shared" si="141"/>
        <v>4.6948356807511742E-2</v>
      </c>
      <c r="AT155" s="56">
        <f t="shared" si="172"/>
        <v>0.23474178403755869</v>
      </c>
      <c r="AU155" s="56">
        <f t="shared" si="142"/>
        <v>0.176056338028169</v>
      </c>
      <c r="AV155" s="56">
        <f t="shared" si="173"/>
        <v>5.8685446009389672E-2</v>
      </c>
      <c r="AW155" s="57" t="s">
        <v>2511</v>
      </c>
      <c r="AX155" s="57" t="s">
        <v>2512</v>
      </c>
      <c r="AY155" s="57" t="s">
        <v>2513</v>
      </c>
      <c r="AZ155" s="58">
        <f t="shared" si="174"/>
        <v>0</v>
      </c>
      <c r="BA155" s="59">
        <f t="shared" si="178"/>
        <v>0</v>
      </c>
      <c r="BB155" s="59">
        <f t="shared" si="179"/>
        <v>0</v>
      </c>
      <c r="BC155" s="59">
        <f t="shared" si="180"/>
        <v>0</v>
      </c>
      <c r="BD155" s="60">
        <f t="shared" si="175"/>
        <v>7.1095438516664771E-6</v>
      </c>
      <c r="BE155" s="59">
        <f t="shared" si="176"/>
        <v>1.4219087703332954E-5</v>
      </c>
      <c r="BQ155" s="61">
        <v>3000</v>
      </c>
      <c r="BR155" s="61">
        <v>1200</v>
      </c>
      <c r="BS155" s="28">
        <f t="shared" si="143"/>
        <v>2980</v>
      </c>
      <c r="BT155" s="28">
        <f t="shared" si="144"/>
        <v>1180</v>
      </c>
      <c r="BU155" s="28" t="s">
        <v>2541</v>
      </c>
      <c r="BV155" s="28">
        <f t="shared" si="145"/>
        <v>5</v>
      </c>
      <c r="BW155" s="28">
        <f t="shared" si="146"/>
        <v>5</v>
      </c>
      <c r="BX155" s="13">
        <f t="shared" si="147"/>
        <v>596</v>
      </c>
      <c r="BY155" s="13">
        <f t="shared" si="148"/>
        <v>596</v>
      </c>
      <c r="BZ155" s="13">
        <f t="shared" si="149"/>
        <v>236</v>
      </c>
      <c r="CA155" s="13">
        <f t="shared" si="150"/>
        <v>236</v>
      </c>
      <c r="CB155" s="13">
        <f t="shared" si="151"/>
        <v>140656</v>
      </c>
      <c r="CC155" s="62">
        <f t="shared" si="152"/>
        <v>7.1095438516664771E-6</v>
      </c>
      <c r="CD155" s="13">
        <f t="shared" si="153"/>
        <v>596</v>
      </c>
      <c r="CE155" s="13">
        <f t="shared" si="154"/>
        <v>596</v>
      </c>
      <c r="CF155" s="13">
        <f t="shared" si="155"/>
        <v>236</v>
      </c>
      <c r="CG155" s="13">
        <f t="shared" si="156"/>
        <v>236</v>
      </c>
      <c r="CH155" s="28">
        <f t="shared" si="157"/>
        <v>140656</v>
      </c>
      <c r="CI155" s="62">
        <f t="shared" si="158"/>
        <v>7.1095438516664771E-6</v>
      </c>
      <c r="CJ155" s="59">
        <f t="shared" si="159"/>
        <v>7.1095438516664771E-6</v>
      </c>
      <c r="CL155" s="63">
        <v>6000</v>
      </c>
      <c r="CM155" s="63">
        <f t="shared" si="160"/>
        <v>0</v>
      </c>
      <c r="CN155" s="63">
        <f t="shared" si="161"/>
        <v>5</v>
      </c>
      <c r="CO155" s="63">
        <f t="shared" si="162"/>
        <v>1200</v>
      </c>
      <c r="CP155" s="13">
        <f t="shared" si="163"/>
        <v>1200</v>
      </c>
      <c r="CQ155" s="70">
        <f t="shared" si="164"/>
        <v>8.3333333333333339E-4</v>
      </c>
      <c r="CR155" s="69">
        <f t="shared" si="132"/>
        <v>1.6666666666666668E-3</v>
      </c>
    </row>
    <row r="156" spans="1:96" hidden="1" x14ac:dyDescent="0.25">
      <c r="A156" s="42">
        <v>6</v>
      </c>
      <c r="B156" s="43" t="s">
        <v>472</v>
      </c>
      <c r="C156" s="42" t="s">
        <v>473</v>
      </c>
      <c r="D156" s="42" t="s">
        <v>2270</v>
      </c>
      <c r="E156" s="42" t="s">
        <v>52</v>
      </c>
      <c r="F156" s="44">
        <f t="shared" si="133"/>
        <v>1</v>
      </c>
      <c r="G156" s="42">
        <v>1</v>
      </c>
      <c r="H156" s="42">
        <f>G156*$H$155</f>
        <v>2</v>
      </c>
      <c r="I156" s="42">
        <v>10</v>
      </c>
      <c r="J156" s="43" t="s">
        <v>474</v>
      </c>
      <c r="K156" s="43" t="s">
        <v>34</v>
      </c>
      <c r="L156" s="42" t="s">
        <v>110</v>
      </c>
      <c r="M156" s="43" t="s">
        <v>35</v>
      </c>
      <c r="N156" s="42" t="s">
        <v>475</v>
      </c>
      <c r="O156" s="28" t="s">
        <v>41</v>
      </c>
      <c r="P156" s="28" t="s">
        <v>41</v>
      </c>
      <c r="Q156" s="28" t="s">
        <v>475</v>
      </c>
      <c r="R156" s="30"/>
      <c r="S156" s="30"/>
      <c r="T156" s="30"/>
      <c r="U156" s="30"/>
      <c r="V156" s="8">
        <f t="shared" si="134"/>
        <v>0</v>
      </c>
      <c r="W156" s="8">
        <f t="shared" si="135"/>
        <v>0</v>
      </c>
      <c r="X156" s="8">
        <f t="shared" si="136"/>
        <v>0</v>
      </c>
      <c r="Y156" s="33">
        <f t="shared" si="137"/>
        <v>0</v>
      </c>
      <c r="Z156" s="28"/>
      <c r="AA156" s="28"/>
      <c r="AB156" s="28" t="s">
        <v>475</v>
      </c>
      <c r="AC156" s="31"/>
      <c r="AD156" s="50">
        <f t="shared" si="138"/>
        <v>2</v>
      </c>
      <c r="AE156" s="31"/>
      <c r="AF156" s="51">
        <v>14</v>
      </c>
      <c r="AG156" s="51">
        <f t="shared" si="166"/>
        <v>8.4</v>
      </c>
      <c r="AH156" s="51">
        <f t="shared" si="131"/>
        <v>42</v>
      </c>
      <c r="AI156" s="52" t="s">
        <v>2497</v>
      </c>
      <c r="AJ156" s="52" t="s">
        <v>2498</v>
      </c>
      <c r="AK156" s="53">
        <f t="shared" si="167"/>
        <v>0</v>
      </c>
      <c r="AL156" s="54">
        <f t="shared" si="168"/>
        <v>0.11904761904761904</v>
      </c>
      <c r="AM156" s="54">
        <f t="shared" si="169"/>
        <v>2.3809523809523808E-2</v>
      </c>
      <c r="AN156" s="55">
        <f t="shared" si="170"/>
        <v>0</v>
      </c>
      <c r="AO156" s="55">
        <f t="shared" si="171"/>
        <v>0</v>
      </c>
      <c r="AP156" s="53">
        <v>7.1</v>
      </c>
      <c r="AQ156" s="53">
        <f t="shared" si="139"/>
        <v>4.26</v>
      </c>
      <c r="AR156" s="53">
        <f t="shared" si="140"/>
        <v>21.299999999999997</v>
      </c>
      <c r="AS156" s="56">
        <f t="shared" si="141"/>
        <v>4.6948356807511742E-2</v>
      </c>
      <c r="AT156" s="56">
        <f t="shared" si="172"/>
        <v>0.23474178403755869</v>
      </c>
      <c r="AU156" s="56">
        <f t="shared" si="142"/>
        <v>0.176056338028169</v>
      </c>
      <c r="AV156" s="56">
        <f t="shared" si="173"/>
        <v>5.8685446009389672E-2</v>
      </c>
      <c r="AW156" s="57" t="s">
        <v>2511</v>
      </c>
      <c r="AX156" s="57" t="s">
        <v>2512</v>
      </c>
      <c r="AY156" s="57" t="s">
        <v>2513</v>
      </c>
      <c r="AZ156" s="58">
        <f t="shared" si="174"/>
        <v>0</v>
      </c>
      <c r="BA156" s="59">
        <f t="shared" si="178"/>
        <v>0</v>
      </c>
      <c r="BB156" s="59">
        <f t="shared" si="179"/>
        <v>0</v>
      </c>
      <c r="BC156" s="59">
        <f t="shared" si="180"/>
        <v>0</v>
      </c>
      <c r="BD156" s="60">
        <f t="shared" si="175"/>
        <v>7.1095438516664771E-6</v>
      </c>
      <c r="BE156" s="59">
        <f t="shared" si="176"/>
        <v>1.4219087703332954E-5</v>
      </c>
      <c r="BQ156" s="61">
        <v>3000</v>
      </c>
      <c r="BR156" s="61">
        <v>1200</v>
      </c>
      <c r="BS156" s="28">
        <f t="shared" si="143"/>
        <v>2980</v>
      </c>
      <c r="BT156" s="28">
        <f t="shared" si="144"/>
        <v>1180</v>
      </c>
      <c r="BU156" s="28" t="s">
        <v>2541</v>
      </c>
      <c r="BV156" s="28">
        <f t="shared" si="145"/>
        <v>5</v>
      </c>
      <c r="BW156" s="28">
        <f t="shared" si="146"/>
        <v>5</v>
      </c>
      <c r="BX156" s="13">
        <f t="shared" si="147"/>
        <v>596</v>
      </c>
      <c r="BY156" s="13">
        <f t="shared" si="148"/>
        <v>596</v>
      </c>
      <c r="BZ156" s="13">
        <f t="shared" si="149"/>
        <v>236</v>
      </c>
      <c r="CA156" s="13">
        <f t="shared" si="150"/>
        <v>236</v>
      </c>
      <c r="CB156" s="13">
        <f t="shared" si="151"/>
        <v>140656</v>
      </c>
      <c r="CC156" s="62">
        <f t="shared" si="152"/>
        <v>7.1095438516664771E-6</v>
      </c>
      <c r="CD156" s="13">
        <f t="shared" si="153"/>
        <v>596</v>
      </c>
      <c r="CE156" s="13">
        <f t="shared" si="154"/>
        <v>596</v>
      </c>
      <c r="CF156" s="13">
        <f t="shared" si="155"/>
        <v>236</v>
      </c>
      <c r="CG156" s="13">
        <f t="shared" si="156"/>
        <v>236</v>
      </c>
      <c r="CH156" s="28">
        <f t="shared" si="157"/>
        <v>140656</v>
      </c>
      <c r="CI156" s="62">
        <f t="shared" si="158"/>
        <v>7.1095438516664771E-6</v>
      </c>
      <c r="CJ156" s="59">
        <f t="shared" si="159"/>
        <v>7.1095438516664771E-6</v>
      </c>
      <c r="CL156" s="63">
        <v>6000</v>
      </c>
      <c r="CM156" s="63">
        <f t="shared" si="160"/>
        <v>0</v>
      </c>
      <c r="CN156" s="63">
        <f t="shared" si="161"/>
        <v>5</v>
      </c>
      <c r="CO156" s="63">
        <f t="shared" si="162"/>
        <v>1200</v>
      </c>
      <c r="CP156" s="13">
        <f t="shared" si="163"/>
        <v>1200</v>
      </c>
      <c r="CQ156" s="70">
        <f t="shared" si="164"/>
        <v>8.3333333333333339E-4</v>
      </c>
      <c r="CR156" s="69">
        <f t="shared" si="132"/>
        <v>1.6666666666666668E-3</v>
      </c>
    </row>
    <row r="157" spans="1:96" hidden="1" x14ac:dyDescent="0.25">
      <c r="A157" s="42">
        <v>6</v>
      </c>
      <c r="B157" s="43" t="s">
        <v>472</v>
      </c>
      <c r="C157" s="42" t="s">
        <v>476</v>
      </c>
      <c r="D157" s="42" t="s">
        <v>2270</v>
      </c>
      <c r="E157" s="42" t="s">
        <v>52</v>
      </c>
      <c r="F157" s="44">
        <f t="shared" si="133"/>
        <v>1</v>
      </c>
      <c r="G157" s="42">
        <v>1</v>
      </c>
      <c r="H157" s="42">
        <f>G157*$H$155</f>
        <v>2</v>
      </c>
      <c r="I157" s="42">
        <v>20</v>
      </c>
      <c r="J157" s="43" t="s">
        <v>477</v>
      </c>
      <c r="K157" s="43" t="s">
        <v>34</v>
      </c>
      <c r="L157" s="42" t="s">
        <v>110</v>
      </c>
      <c r="M157" s="43" t="s">
        <v>35</v>
      </c>
      <c r="N157" s="42" t="s">
        <v>478</v>
      </c>
      <c r="O157" s="28" t="s">
        <v>41</v>
      </c>
      <c r="P157" s="28" t="s">
        <v>41</v>
      </c>
      <c r="Q157" s="28" t="s">
        <v>478</v>
      </c>
      <c r="R157" s="30"/>
      <c r="S157" s="30"/>
      <c r="T157" s="30"/>
      <c r="U157" s="30"/>
      <c r="V157" s="8">
        <f t="shared" si="134"/>
        <v>0</v>
      </c>
      <c r="W157" s="8">
        <f t="shared" si="135"/>
        <v>0</v>
      </c>
      <c r="X157" s="8">
        <f t="shared" si="136"/>
        <v>0</v>
      </c>
      <c r="Y157" s="33">
        <f t="shared" si="137"/>
        <v>0</v>
      </c>
      <c r="Z157" s="28"/>
      <c r="AA157" s="28"/>
      <c r="AB157" s="28" t="s">
        <v>478</v>
      </c>
      <c r="AC157" s="31"/>
      <c r="AD157" s="50">
        <f t="shared" si="138"/>
        <v>2</v>
      </c>
      <c r="AE157" s="31"/>
      <c r="AF157" s="51">
        <v>14</v>
      </c>
      <c r="AG157" s="51">
        <f t="shared" si="166"/>
        <v>8.4</v>
      </c>
      <c r="AH157" s="51">
        <f t="shared" si="131"/>
        <v>42</v>
      </c>
      <c r="AI157" s="52" t="s">
        <v>2497</v>
      </c>
      <c r="AJ157" s="52" t="s">
        <v>2498</v>
      </c>
      <c r="AK157" s="53">
        <f t="shared" si="167"/>
        <v>0</v>
      </c>
      <c r="AL157" s="54">
        <f t="shared" si="168"/>
        <v>0.11904761904761904</v>
      </c>
      <c r="AM157" s="54">
        <f t="shared" si="169"/>
        <v>2.3809523809523808E-2</v>
      </c>
      <c r="AN157" s="55">
        <f t="shared" si="170"/>
        <v>0</v>
      </c>
      <c r="AO157" s="55">
        <f t="shared" si="171"/>
        <v>0</v>
      </c>
      <c r="AP157" s="53">
        <v>7.1</v>
      </c>
      <c r="AQ157" s="53">
        <f t="shared" si="139"/>
        <v>4.26</v>
      </c>
      <c r="AR157" s="53">
        <f t="shared" si="140"/>
        <v>21.299999999999997</v>
      </c>
      <c r="AS157" s="56">
        <f t="shared" si="141"/>
        <v>4.6948356807511742E-2</v>
      </c>
      <c r="AT157" s="56">
        <f t="shared" si="172"/>
        <v>0.23474178403755869</v>
      </c>
      <c r="AU157" s="56">
        <f t="shared" si="142"/>
        <v>0.176056338028169</v>
      </c>
      <c r="AV157" s="56">
        <f t="shared" si="173"/>
        <v>5.8685446009389672E-2</v>
      </c>
      <c r="AW157" s="57" t="s">
        <v>2511</v>
      </c>
      <c r="AX157" s="57" t="s">
        <v>2512</v>
      </c>
      <c r="AY157" s="57" t="s">
        <v>2513</v>
      </c>
      <c r="AZ157" s="58">
        <f t="shared" si="174"/>
        <v>0</v>
      </c>
      <c r="BA157" s="59">
        <f t="shared" si="178"/>
        <v>0</v>
      </c>
      <c r="BB157" s="59">
        <f t="shared" si="179"/>
        <v>0</v>
      </c>
      <c r="BC157" s="59">
        <f t="shared" si="180"/>
        <v>0</v>
      </c>
      <c r="BD157" s="60">
        <f t="shared" si="175"/>
        <v>7.1095438516664771E-6</v>
      </c>
      <c r="BE157" s="59">
        <f t="shared" si="176"/>
        <v>1.4219087703332954E-5</v>
      </c>
      <c r="BQ157" s="61">
        <v>3000</v>
      </c>
      <c r="BR157" s="61">
        <v>1200</v>
      </c>
      <c r="BS157" s="28">
        <f t="shared" si="143"/>
        <v>2980</v>
      </c>
      <c r="BT157" s="28">
        <f t="shared" si="144"/>
        <v>1180</v>
      </c>
      <c r="BU157" s="28" t="s">
        <v>2541</v>
      </c>
      <c r="BV157" s="28">
        <f t="shared" si="145"/>
        <v>5</v>
      </c>
      <c r="BW157" s="28">
        <f t="shared" si="146"/>
        <v>5</v>
      </c>
      <c r="BX157" s="13">
        <f t="shared" si="147"/>
        <v>596</v>
      </c>
      <c r="BY157" s="13">
        <f t="shared" si="148"/>
        <v>596</v>
      </c>
      <c r="BZ157" s="13">
        <f t="shared" si="149"/>
        <v>236</v>
      </c>
      <c r="CA157" s="13">
        <f t="shared" si="150"/>
        <v>236</v>
      </c>
      <c r="CB157" s="13">
        <f t="shared" si="151"/>
        <v>140656</v>
      </c>
      <c r="CC157" s="62">
        <f t="shared" si="152"/>
        <v>7.1095438516664771E-6</v>
      </c>
      <c r="CD157" s="13">
        <f t="shared" si="153"/>
        <v>596</v>
      </c>
      <c r="CE157" s="13">
        <f t="shared" si="154"/>
        <v>596</v>
      </c>
      <c r="CF157" s="13">
        <f t="shared" si="155"/>
        <v>236</v>
      </c>
      <c r="CG157" s="13">
        <f t="shared" si="156"/>
        <v>236</v>
      </c>
      <c r="CH157" s="28">
        <f t="shared" si="157"/>
        <v>140656</v>
      </c>
      <c r="CI157" s="62">
        <f t="shared" si="158"/>
        <v>7.1095438516664771E-6</v>
      </c>
      <c r="CJ157" s="59">
        <f t="shared" si="159"/>
        <v>7.1095438516664771E-6</v>
      </c>
      <c r="CL157" s="63">
        <v>6000</v>
      </c>
      <c r="CM157" s="63">
        <f t="shared" si="160"/>
        <v>0</v>
      </c>
      <c r="CN157" s="63">
        <f t="shared" si="161"/>
        <v>5</v>
      </c>
      <c r="CO157" s="63">
        <f t="shared" si="162"/>
        <v>1200</v>
      </c>
      <c r="CP157" s="13">
        <f t="shared" si="163"/>
        <v>1200</v>
      </c>
      <c r="CQ157" s="70">
        <f t="shared" si="164"/>
        <v>8.3333333333333339E-4</v>
      </c>
      <c r="CR157" s="69">
        <f t="shared" si="132"/>
        <v>1.6666666666666668E-3</v>
      </c>
    </row>
    <row r="158" spans="1:96" hidden="1" x14ac:dyDescent="0.25">
      <c r="A158" s="17">
        <v>5</v>
      </c>
      <c r="B158" s="6" t="s">
        <v>457</v>
      </c>
      <c r="C158" s="17" t="s">
        <v>479</v>
      </c>
      <c r="D158" s="17" t="s">
        <v>2270</v>
      </c>
      <c r="E158" s="17" t="s">
        <v>52</v>
      </c>
      <c r="F158" s="7">
        <f t="shared" si="133"/>
        <v>1</v>
      </c>
      <c r="G158" s="17">
        <v>2</v>
      </c>
      <c r="H158" s="17">
        <f>G158*$H$150</f>
        <v>2</v>
      </c>
      <c r="I158" s="17">
        <v>8</v>
      </c>
      <c r="J158" s="6" t="s">
        <v>480</v>
      </c>
      <c r="K158" s="6" t="s">
        <v>34</v>
      </c>
      <c r="L158" s="17" t="s">
        <v>481</v>
      </c>
      <c r="M158" s="6" t="s">
        <v>35</v>
      </c>
      <c r="N158" s="17" t="s">
        <v>482</v>
      </c>
      <c r="O158" s="28" t="s">
        <v>2541</v>
      </c>
      <c r="P158" s="28" t="s">
        <v>2541</v>
      </c>
      <c r="Q158" s="28"/>
      <c r="R158" s="30">
        <v>15.72</v>
      </c>
      <c r="S158" s="30">
        <v>1</v>
      </c>
      <c r="T158" s="30"/>
      <c r="U158" s="30">
        <v>0.75</v>
      </c>
      <c r="V158" s="8">
        <f t="shared" si="134"/>
        <v>399.28800000000001</v>
      </c>
      <c r="W158" s="8">
        <f t="shared" si="135"/>
        <v>25.4</v>
      </c>
      <c r="X158" s="8">
        <f t="shared" si="136"/>
        <v>0</v>
      </c>
      <c r="Y158" s="33">
        <f t="shared" si="137"/>
        <v>19.049999999999997</v>
      </c>
      <c r="Z158" s="28"/>
      <c r="AA158" s="28"/>
      <c r="AB158" s="28">
        <v>0</v>
      </c>
      <c r="AC158" s="31"/>
      <c r="AD158" s="50">
        <f t="shared" si="138"/>
        <v>2</v>
      </c>
      <c r="AE158" s="31"/>
      <c r="AF158" s="51">
        <v>14</v>
      </c>
      <c r="AG158" s="51">
        <f t="shared" si="166"/>
        <v>8.4</v>
      </c>
      <c r="AH158" s="51">
        <f t="shared" si="131"/>
        <v>42</v>
      </c>
      <c r="AI158" s="52" t="s">
        <v>2497</v>
      </c>
      <c r="AJ158" s="52" t="s">
        <v>2498</v>
      </c>
      <c r="AK158" s="53">
        <f t="shared" si="167"/>
        <v>2.0283830399999998E-2</v>
      </c>
      <c r="AL158" s="54">
        <f t="shared" si="168"/>
        <v>0.11904761904761904</v>
      </c>
      <c r="AM158" s="54">
        <f t="shared" si="169"/>
        <v>2.3809523809523808E-2</v>
      </c>
      <c r="AN158" s="55">
        <f t="shared" si="170"/>
        <v>4.8294834285714273E-3</v>
      </c>
      <c r="AO158" s="55">
        <f t="shared" si="171"/>
        <v>9.6589668571428553E-4</v>
      </c>
      <c r="AP158" s="53">
        <v>7.1</v>
      </c>
      <c r="AQ158" s="53">
        <f t="shared" si="139"/>
        <v>4.26</v>
      </c>
      <c r="AR158" s="53">
        <f t="shared" si="140"/>
        <v>21.299999999999997</v>
      </c>
      <c r="AS158" s="56">
        <f t="shared" si="141"/>
        <v>4.6948356807511742E-2</v>
      </c>
      <c r="AT158" s="56">
        <f t="shared" si="172"/>
        <v>0.23474178403755869</v>
      </c>
      <c r="AU158" s="56">
        <f t="shared" si="142"/>
        <v>0.176056338028169</v>
      </c>
      <c r="AV158" s="56">
        <f t="shared" si="173"/>
        <v>5.8685446009389672E-2</v>
      </c>
      <c r="AW158" s="57" t="s">
        <v>2511</v>
      </c>
      <c r="AX158" s="57" t="s">
        <v>2512</v>
      </c>
      <c r="AY158" s="57" t="s">
        <v>2513</v>
      </c>
      <c r="AZ158" s="58">
        <f t="shared" si="174"/>
        <v>2.0283830399999998E-2</v>
      </c>
      <c r="BA158" s="59">
        <f t="shared" si="178"/>
        <v>1.1903656338028167E-3</v>
      </c>
      <c r="BB158" s="59">
        <f t="shared" si="179"/>
        <v>3.5710969014084502E-3</v>
      </c>
      <c r="BC158" s="59">
        <f t="shared" si="180"/>
        <v>9.5229250704225354E-4</v>
      </c>
      <c r="BD158" s="60">
        <f t="shared" si="175"/>
        <v>3.7593984962406013E-3</v>
      </c>
      <c r="BE158" s="59">
        <f t="shared" si="176"/>
        <v>7.5187969924812026E-3</v>
      </c>
      <c r="BQ158" s="61">
        <v>3000</v>
      </c>
      <c r="BR158" s="61">
        <v>1200</v>
      </c>
      <c r="BS158" s="28">
        <f t="shared" si="143"/>
        <v>2980</v>
      </c>
      <c r="BT158" s="28">
        <f t="shared" si="144"/>
        <v>1180</v>
      </c>
      <c r="BU158" s="28" t="s">
        <v>2541</v>
      </c>
      <c r="BV158" s="28">
        <f t="shared" si="145"/>
        <v>404.28800000000001</v>
      </c>
      <c r="BW158" s="28">
        <f t="shared" si="146"/>
        <v>30.4</v>
      </c>
      <c r="BX158" s="13">
        <f t="shared" si="147"/>
        <v>7.3709830615798637</v>
      </c>
      <c r="BY158" s="13">
        <f t="shared" si="148"/>
        <v>7</v>
      </c>
      <c r="BZ158" s="13">
        <f t="shared" si="149"/>
        <v>38.815789473684212</v>
      </c>
      <c r="CA158" s="13">
        <f t="shared" si="150"/>
        <v>38</v>
      </c>
      <c r="CB158" s="13">
        <f t="shared" si="151"/>
        <v>266</v>
      </c>
      <c r="CC158" s="62">
        <f t="shared" si="152"/>
        <v>3.7593984962406013E-3</v>
      </c>
      <c r="CD158" s="13">
        <f t="shared" si="153"/>
        <v>98.026315789473685</v>
      </c>
      <c r="CE158" s="13">
        <f t="shared" si="154"/>
        <v>98</v>
      </c>
      <c r="CF158" s="13">
        <f t="shared" si="155"/>
        <v>2.9187114136457177</v>
      </c>
      <c r="CG158" s="13">
        <f t="shared" si="156"/>
        <v>2</v>
      </c>
      <c r="CH158" s="28">
        <f t="shared" si="157"/>
        <v>196</v>
      </c>
      <c r="CI158" s="62">
        <f t="shared" si="158"/>
        <v>5.1020408163265302E-3</v>
      </c>
      <c r="CJ158" s="59">
        <f t="shared" si="159"/>
        <v>3.7593984962406013E-3</v>
      </c>
      <c r="CL158" s="63">
        <v>6000</v>
      </c>
      <c r="CM158" s="63">
        <f t="shared" si="160"/>
        <v>399.28800000000001</v>
      </c>
      <c r="CN158" s="63">
        <f t="shared" si="161"/>
        <v>404.28800000000001</v>
      </c>
      <c r="CO158" s="63">
        <f t="shared" si="162"/>
        <v>14.840905493113819</v>
      </c>
      <c r="CP158" s="13">
        <f t="shared" si="163"/>
        <v>14</v>
      </c>
      <c r="CQ158" s="70">
        <f t="shared" si="164"/>
        <v>7.1428571428571425E-2</v>
      </c>
      <c r="CR158" s="69">
        <f t="shared" si="132"/>
        <v>0.14285714285714285</v>
      </c>
    </row>
    <row r="159" spans="1:96" hidden="1" x14ac:dyDescent="0.25">
      <c r="A159" s="42">
        <v>6</v>
      </c>
      <c r="B159" s="43" t="s">
        <v>483</v>
      </c>
      <c r="C159" s="42" t="s">
        <v>484</v>
      </c>
      <c r="D159" s="42" t="s">
        <v>2270</v>
      </c>
      <c r="E159" s="42" t="s">
        <v>52</v>
      </c>
      <c r="F159" s="44">
        <f t="shared" si="133"/>
        <v>2</v>
      </c>
      <c r="G159" s="42">
        <v>15.72</v>
      </c>
      <c r="H159" s="42">
        <f>G159*$H$158</f>
        <v>31.44</v>
      </c>
      <c r="I159" s="42" t="s">
        <v>485</v>
      </c>
      <c r="J159" s="43" t="s">
        <v>480</v>
      </c>
      <c r="K159" s="43" t="s">
        <v>486</v>
      </c>
      <c r="L159" s="42" t="s">
        <v>194</v>
      </c>
      <c r="M159" s="43" t="s">
        <v>340</v>
      </c>
      <c r="N159" s="42" t="s">
        <v>487</v>
      </c>
      <c r="O159" s="28" t="s">
        <v>2541</v>
      </c>
      <c r="P159" s="28" t="s">
        <v>2541</v>
      </c>
      <c r="Q159" s="28" t="s">
        <v>487</v>
      </c>
      <c r="R159" s="30">
        <v>15.72</v>
      </c>
      <c r="S159" s="30">
        <v>1</v>
      </c>
      <c r="T159" s="30"/>
      <c r="U159" s="30">
        <v>0.75</v>
      </c>
      <c r="V159" s="8">
        <f t="shared" si="134"/>
        <v>399.28800000000001</v>
      </c>
      <c r="W159" s="8">
        <f t="shared" si="135"/>
        <v>25.4</v>
      </c>
      <c r="X159" s="8">
        <f t="shared" si="136"/>
        <v>0</v>
      </c>
      <c r="Y159" s="33">
        <f t="shared" si="137"/>
        <v>19.049999999999997</v>
      </c>
      <c r="Z159" s="28"/>
      <c r="AA159" s="28"/>
      <c r="AB159" s="61" t="s">
        <v>487</v>
      </c>
      <c r="AC159" s="31"/>
      <c r="AD159" s="50">
        <f t="shared" si="138"/>
        <v>31.44</v>
      </c>
      <c r="AE159" s="31"/>
      <c r="AF159" s="51">
        <v>14</v>
      </c>
      <c r="AG159" s="51">
        <f t="shared" si="166"/>
        <v>8.4</v>
      </c>
      <c r="AH159" s="51">
        <f t="shared" si="131"/>
        <v>42</v>
      </c>
      <c r="AI159" s="52" t="s">
        <v>2497</v>
      </c>
      <c r="AJ159" s="52" t="s">
        <v>2498</v>
      </c>
      <c r="AK159" s="53">
        <f t="shared" si="167"/>
        <v>2.0283830399999998E-2</v>
      </c>
      <c r="AL159" s="54">
        <f t="shared" si="168"/>
        <v>0.11904761904761904</v>
      </c>
      <c r="AM159" s="54">
        <f t="shared" si="169"/>
        <v>2.3809523809523808E-2</v>
      </c>
      <c r="AN159" s="55">
        <f t="shared" si="170"/>
        <v>7.5919479497142839E-2</v>
      </c>
      <c r="AO159" s="55">
        <f t="shared" si="171"/>
        <v>1.5183895899428569E-2</v>
      </c>
      <c r="AP159" s="53">
        <v>7.1</v>
      </c>
      <c r="AQ159" s="53">
        <f t="shared" si="139"/>
        <v>4.26</v>
      </c>
      <c r="AR159" s="53">
        <f t="shared" si="140"/>
        <v>21.299999999999997</v>
      </c>
      <c r="AS159" s="56">
        <f t="shared" si="141"/>
        <v>4.6948356807511742E-2</v>
      </c>
      <c r="AT159" s="56">
        <f t="shared" si="172"/>
        <v>0.23474178403755869</v>
      </c>
      <c r="AU159" s="56">
        <f t="shared" si="142"/>
        <v>0.176056338028169</v>
      </c>
      <c r="AV159" s="56">
        <f t="shared" si="173"/>
        <v>5.8685446009389672E-2</v>
      </c>
      <c r="AW159" s="57" t="s">
        <v>2511</v>
      </c>
      <c r="AX159" s="57" t="s">
        <v>2512</v>
      </c>
      <c r="AY159" s="57" t="s">
        <v>2513</v>
      </c>
      <c r="AZ159" s="58">
        <f t="shared" si="174"/>
        <v>2.0283830399999998E-2</v>
      </c>
      <c r="BA159" s="59">
        <f t="shared" si="178"/>
        <v>1.8712547763380279E-2</v>
      </c>
      <c r="BB159" s="59">
        <f t="shared" si="179"/>
        <v>5.6137643290140843E-2</v>
      </c>
      <c r="BC159" s="59">
        <f t="shared" si="180"/>
        <v>1.4970038210704226E-2</v>
      </c>
      <c r="BD159" s="60">
        <f t="shared" si="175"/>
        <v>3.7593984962406013E-3</v>
      </c>
      <c r="BE159" s="59">
        <f t="shared" si="176"/>
        <v>0.11819548872180451</v>
      </c>
      <c r="BQ159" s="61">
        <v>3000</v>
      </c>
      <c r="BR159" s="61">
        <v>1200</v>
      </c>
      <c r="BS159" s="28">
        <f t="shared" si="143"/>
        <v>2980</v>
      </c>
      <c r="BT159" s="28">
        <f t="shared" si="144"/>
        <v>1180</v>
      </c>
      <c r="BU159" s="28" t="s">
        <v>2541</v>
      </c>
      <c r="BV159" s="28">
        <f t="shared" si="145"/>
        <v>404.28800000000001</v>
      </c>
      <c r="BW159" s="28">
        <f t="shared" si="146"/>
        <v>30.4</v>
      </c>
      <c r="BX159" s="13">
        <f t="shared" si="147"/>
        <v>7.3709830615798637</v>
      </c>
      <c r="BY159" s="13">
        <f t="shared" si="148"/>
        <v>7</v>
      </c>
      <c r="BZ159" s="13">
        <f t="shared" si="149"/>
        <v>38.815789473684212</v>
      </c>
      <c r="CA159" s="13">
        <f t="shared" si="150"/>
        <v>38</v>
      </c>
      <c r="CB159" s="13">
        <f t="shared" si="151"/>
        <v>266</v>
      </c>
      <c r="CC159" s="62">
        <f t="shared" si="152"/>
        <v>3.7593984962406013E-3</v>
      </c>
      <c r="CD159" s="13">
        <f t="shared" si="153"/>
        <v>98.026315789473685</v>
      </c>
      <c r="CE159" s="13">
        <f t="shared" si="154"/>
        <v>98</v>
      </c>
      <c r="CF159" s="13">
        <f t="shared" si="155"/>
        <v>2.9187114136457177</v>
      </c>
      <c r="CG159" s="13">
        <f t="shared" si="156"/>
        <v>2</v>
      </c>
      <c r="CH159" s="28">
        <f t="shared" si="157"/>
        <v>196</v>
      </c>
      <c r="CI159" s="62">
        <f t="shared" si="158"/>
        <v>5.1020408163265302E-3</v>
      </c>
      <c r="CJ159" s="59">
        <f t="shared" si="159"/>
        <v>3.7593984962406013E-3</v>
      </c>
      <c r="CL159" s="63">
        <v>6000</v>
      </c>
      <c r="CM159" s="63">
        <f t="shared" si="160"/>
        <v>399.28800000000001</v>
      </c>
      <c r="CN159" s="63">
        <f t="shared" si="161"/>
        <v>404.28800000000001</v>
      </c>
      <c r="CO159" s="63">
        <f t="shared" si="162"/>
        <v>14.840905493113819</v>
      </c>
      <c r="CP159" s="13">
        <f t="shared" si="163"/>
        <v>14</v>
      </c>
      <c r="CQ159" s="70">
        <f t="shared" si="164"/>
        <v>7.1428571428571425E-2</v>
      </c>
      <c r="CR159" s="69">
        <f t="shared" si="132"/>
        <v>2.2457142857142856</v>
      </c>
    </row>
    <row r="160" spans="1:96" hidden="1" x14ac:dyDescent="0.25">
      <c r="A160" s="17">
        <v>5</v>
      </c>
      <c r="B160" s="6" t="s">
        <v>457</v>
      </c>
      <c r="C160" s="17" t="s">
        <v>488</v>
      </c>
      <c r="D160" s="17" t="s">
        <v>2270</v>
      </c>
      <c r="E160" s="17" t="s">
        <v>52</v>
      </c>
      <c r="F160" s="7">
        <f t="shared" si="133"/>
        <v>1</v>
      </c>
      <c r="G160" s="17">
        <v>2</v>
      </c>
      <c r="H160" s="17">
        <f>G160*$H$150</f>
        <v>2</v>
      </c>
      <c r="I160" s="17">
        <v>9</v>
      </c>
      <c r="J160" s="6" t="s">
        <v>480</v>
      </c>
      <c r="K160" s="6" t="s">
        <v>34</v>
      </c>
      <c r="L160" s="17" t="s">
        <v>489</v>
      </c>
      <c r="M160" s="6" t="s">
        <v>35</v>
      </c>
      <c r="N160" s="17" t="s">
        <v>490</v>
      </c>
      <c r="O160" s="28" t="s">
        <v>2541</v>
      </c>
      <c r="P160" s="28" t="s">
        <v>2541</v>
      </c>
      <c r="Q160" s="28"/>
      <c r="R160" s="30">
        <v>40.69</v>
      </c>
      <c r="S160" s="30">
        <v>1</v>
      </c>
      <c r="T160" s="30"/>
      <c r="U160" s="30">
        <v>0.75</v>
      </c>
      <c r="V160" s="8">
        <f t="shared" si="134"/>
        <v>1033.5259999999998</v>
      </c>
      <c r="W160" s="8">
        <f t="shared" si="135"/>
        <v>25.4</v>
      </c>
      <c r="X160" s="8">
        <f t="shared" si="136"/>
        <v>0</v>
      </c>
      <c r="Y160" s="33">
        <f t="shared" si="137"/>
        <v>19.049999999999997</v>
      </c>
      <c r="Z160" s="28"/>
      <c r="AA160" s="28"/>
      <c r="AB160" s="28">
        <v>0</v>
      </c>
      <c r="AC160" s="31"/>
      <c r="AD160" s="50">
        <f t="shared" si="138"/>
        <v>2</v>
      </c>
      <c r="AE160" s="31"/>
      <c r="AF160" s="51">
        <v>14</v>
      </c>
      <c r="AG160" s="51">
        <f t="shared" si="166"/>
        <v>8.4</v>
      </c>
      <c r="AH160" s="51">
        <f t="shared" si="131"/>
        <v>42</v>
      </c>
      <c r="AI160" s="52" t="s">
        <v>2497</v>
      </c>
      <c r="AJ160" s="52" t="s">
        <v>2498</v>
      </c>
      <c r="AK160" s="53">
        <f t="shared" si="167"/>
        <v>5.250312079999999E-2</v>
      </c>
      <c r="AL160" s="54">
        <f t="shared" si="168"/>
        <v>0.11904761904761904</v>
      </c>
      <c r="AM160" s="54">
        <f t="shared" si="169"/>
        <v>2.3809523809523808E-2</v>
      </c>
      <c r="AN160" s="55">
        <f t="shared" si="170"/>
        <v>1.2500743047619044E-2</v>
      </c>
      <c r="AO160" s="55">
        <f t="shared" si="171"/>
        <v>2.5001486095238088E-3</v>
      </c>
      <c r="AP160" s="53">
        <v>7.1</v>
      </c>
      <c r="AQ160" s="53">
        <f t="shared" si="139"/>
        <v>4.26</v>
      </c>
      <c r="AR160" s="53">
        <f t="shared" si="140"/>
        <v>21.299999999999997</v>
      </c>
      <c r="AS160" s="56">
        <f t="shared" si="141"/>
        <v>4.6948356807511742E-2</v>
      </c>
      <c r="AT160" s="56">
        <f t="shared" si="172"/>
        <v>0.23474178403755869</v>
      </c>
      <c r="AU160" s="56">
        <f t="shared" si="142"/>
        <v>0.176056338028169</v>
      </c>
      <c r="AV160" s="56">
        <f t="shared" si="173"/>
        <v>5.8685446009389672E-2</v>
      </c>
      <c r="AW160" s="57" t="s">
        <v>2511</v>
      </c>
      <c r="AX160" s="57" t="s">
        <v>2512</v>
      </c>
      <c r="AY160" s="57" t="s">
        <v>2513</v>
      </c>
      <c r="AZ160" s="58">
        <f t="shared" si="174"/>
        <v>5.250312079999999E-2</v>
      </c>
      <c r="BA160" s="59">
        <f t="shared" si="178"/>
        <v>3.0811690610328631E-3</v>
      </c>
      <c r="BB160" s="59">
        <f t="shared" si="179"/>
        <v>9.2435071830985899E-3</v>
      </c>
      <c r="BC160" s="59">
        <f t="shared" si="180"/>
        <v>2.4649352488262909E-3</v>
      </c>
      <c r="BD160" s="60">
        <f t="shared" si="175"/>
        <v>1.020408163265306E-2</v>
      </c>
      <c r="BE160" s="59">
        <f t="shared" si="176"/>
        <v>2.0408163265306121E-2</v>
      </c>
      <c r="BQ160" s="61">
        <v>3000</v>
      </c>
      <c r="BR160" s="61">
        <v>1200</v>
      </c>
      <c r="BS160" s="28">
        <f t="shared" si="143"/>
        <v>2980</v>
      </c>
      <c r="BT160" s="28">
        <f t="shared" si="144"/>
        <v>1180</v>
      </c>
      <c r="BU160" s="28" t="s">
        <v>2541</v>
      </c>
      <c r="BV160" s="28">
        <f t="shared" si="145"/>
        <v>1038.5259999999998</v>
      </c>
      <c r="BW160" s="28">
        <f t="shared" si="146"/>
        <v>30.4</v>
      </c>
      <c r="BX160" s="13">
        <f t="shared" si="147"/>
        <v>2.8694515110839789</v>
      </c>
      <c r="BY160" s="13">
        <f t="shared" si="148"/>
        <v>2</v>
      </c>
      <c r="BZ160" s="13">
        <f t="shared" si="149"/>
        <v>38.815789473684212</v>
      </c>
      <c r="CA160" s="13">
        <f t="shared" si="150"/>
        <v>38</v>
      </c>
      <c r="CB160" s="13">
        <f t="shared" si="151"/>
        <v>76</v>
      </c>
      <c r="CC160" s="62">
        <f t="shared" si="152"/>
        <v>1.3157894736842105E-2</v>
      </c>
      <c r="CD160" s="13">
        <f t="shared" si="153"/>
        <v>98.026315789473685</v>
      </c>
      <c r="CE160" s="13">
        <f t="shared" si="154"/>
        <v>98</v>
      </c>
      <c r="CF160" s="13">
        <f t="shared" si="155"/>
        <v>1.1362257661339246</v>
      </c>
      <c r="CG160" s="13">
        <f t="shared" si="156"/>
        <v>1</v>
      </c>
      <c r="CH160" s="28">
        <f t="shared" si="157"/>
        <v>98</v>
      </c>
      <c r="CI160" s="62">
        <f t="shared" si="158"/>
        <v>1.020408163265306E-2</v>
      </c>
      <c r="CJ160" s="59">
        <f t="shared" si="159"/>
        <v>1.020408163265306E-2</v>
      </c>
      <c r="CL160" s="63">
        <v>6000</v>
      </c>
      <c r="CM160" s="63">
        <f t="shared" si="160"/>
        <v>1033.5259999999998</v>
      </c>
      <c r="CN160" s="63">
        <f t="shared" si="161"/>
        <v>1038.5259999999998</v>
      </c>
      <c r="CO160" s="63">
        <f t="shared" si="162"/>
        <v>5.7774191498335146</v>
      </c>
      <c r="CP160" s="13">
        <f t="shared" si="163"/>
        <v>5</v>
      </c>
      <c r="CQ160" s="70">
        <f t="shared" si="164"/>
        <v>0.2</v>
      </c>
      <c r="CR160" s="69">
        <f t="shared" si="132"/>
        <v>0.4</v>
      </c>
    </row>
    <row r="161" spans="1:96" hidden="1" x14ac:dyDescent="0.25">
      <c r="A161" s="42">
        <v>6</v>
      </c>
      <c r="B161" s="43" t="s">
        <v>491</v>
      </c>
      <c r="C161" s="42" t="s">
        <v>484</v>
      </c>
      <c r="D161" s="42" t="s">
        <v>2270</v>
      </c>
      <c r="E161" s="42" t="s">
        <v>52</v>
      </c>
      <c r="F161" s="44">
        <f t="shared" si="133"/>
        <v>2</v>
      </c>
      <c r="G161" s="42">
        <v>40.69</v>
      </c>
      <c r="H161" s="42">
        <f>G161*$H$160</f>
        <v>81.38</v>
      </c>
      <c r="I161" s="42" t="s">
        <v>485</v>
      </c>
      <c r="J161" s="43" t="s">
        <v>480</v>
      </c>
      <c r="K161" s="43" t="s">
        <v>486</v>
      </c>
      <c r="L161" s="42" t="s">
        <v>194</v>
      </c>
      <c r="M161" s="43" t="s">
        <v>340</v>
      </c>
      <c r="N161" s="42" t="s">
        <v>487</v>
      </c>
      <c r="O161" s="28" t="s">
        <v>2541</v>
      </c>
      <c r="P161" s="28" t="s">
        <v>2541</v>
      </c>
      <c r="Q161" s="28" t="s">
        <v>487</v>
      </c>
      <c r="R161" s="30">
        <v>40.69</v>
      </c>
      <c r="S161" s="30">
        <v>1</v>
      </c>
      <c r="T161" s="30"/>
      <c r="U161" s="30">
        <v>0.75</v>
      </c>
      <c r="V161" s="8">
        <f t="shared" si="134"/>
        <v>1033.5259999999998</v>
      </c>
      <c r="W161" s="8">
        <f t="shared" si="135"/>
        <v>25.4</v>
      </c>
      <c r="X161" s="8">
        <f t="shared" si="136"/>
        <v>0</v>
      </c>
      <c r="Y161" s="33">
        <f t="shared" si="137"/>
        <v>19.049999999999997</v>
      </c>
      <c r="Z161" s="28"/>
      <c r="AA161" s="28"/>
      <c r="AB161" s="61" t="s">
        <v>487</v>
      </c>
      <c r="AC161" s="31"/>
      <c r="AD161" s="50">
        <f t="shared" si="138"/>
        <v>81.38</v>
      </c>
      <c r="AE161" s="31"/>
      <c r="AF161" s="51">
        <v>14</v>
      </c>
      <c r="AG161" s="51">
        <f t="shared" si="166"/>
        <v>8.4</v>
      </c>
      <c r="AH161" s="51">
        <f t="shared" si="131"/>
        <v>42</v>
      </c>
      <c r="AI161" s="52" t="s">
        <v>2497</v>
      </c>
      <c r="AJ161" s="52" t="s">
        <v>2498</v>
      </c>
      <c r="AK161" s="53">
        <f t="shared" si="167"/>
        <v>5.250312079999999E-2</v>
      </c>
      <c r="AL161" s="54">
        <f t="shared" si="168"/>
        <v>0.11904761904761904</v>
      </c>
      <c r="AM161" s="54">
        <f t="shared" si="169"/>
        <v>2.3809523809523808E-2</v>
      </c>
      <c r="AN161" s="55">
        <f t="shared" si="170"/>
        <v>0.50865523460761886</v>
      </c>
      <c r="AO161" s="55">
        <f t="shared" si="171"/>
        <v>0.10173104692152378</v>
      </c>
      <c r="AP161" s="53">
        <v>7.1</v>
      </c>
      <c r="AQ161" s="53">
        <f t="shared" si="139"/>
        <v>4.26</v>
      </c>
      <c r="AR161" s="53">
        <f t="shared" si="140"/>
        <v>21.299999999999997</v>
      </c>
      <c r="AS161" s="56">
        <f t="shared" si="141"/>
        <v>4.6948356807511742E-2</v>
      </c>
      <c r="AT161" s="56">
        <f t="shared" si="172"/>
        <v>0.23474178403755869</v>
      </c>
      <c r="AU161" s="56">
        <f t="shared" si="142"/>
        <v>0.176056338028169</v>
      </c>
      <c r="AV161" s="56">
        <f t="shared" si="173"/>
        <v>5.8685446009389672E-2</v>
      </c>
      <c r="AW161" s="57" t="s">
        <v>2511</v>
      </c>
      <c r="AX161" s="57" t="s">
        <v>2512</v>
      </c>
      <c r="AY161" s="57" t="s">
        <v>2513</v>
      </c>
      <c r="AZ161" s="58">
        <f t="shared" si="174"/>
        <v>5.250312079999999E-2</v>
      </c>
      <c r="BA161" s="59">
        <f t="shared" si="178"/>
        <v>0.12537276909342721</v>
      </c>
      <c r="BB161" s="59">
        <f t="shared" si="179"/>
        <v>0.37611830728028156</v>
      </c>
      <c r="BC161" s="59">
        <f t="shared" si="180"/>
        <v>0.10029821527474177</v>
      </c>
      <c r="BD161" s="60">
        <f t="shared" si="175"/>
        <v>1.020408163265306E-2</v>
      </c>
      <c r="BE161" s="59">
        <f t="shared" si="176"/>
        <v>0.83040816326530598</v>
      </c>
      <c r="BQ161" s="61">
        <v>3000</v>
      </c>
      <c r="BR161" s="61">
        <v>1200</v>
      </c>
      <c r="BS161" s="28">
        <f t="shared" si="143"/>
        <v>2980</v>
      </c>
      <c r="BT161" s="28">
        <f t="shared" si="144"/>
        <v>1180</v>
      </c>
      <c r="BU161" s="28" t="s">
        <v>2541</v>
      </c>
      <c r="BV161" s="28">
        <f t="shared" si="145"/>
        <v>1038.5259999999998</v>
      </c>
      <c r="BW161" s="28">
        <f t="shared" si="146"/>
        <v>30.4</v>
      </c>
      <c r="BX161" s="13">
        <f t="shared" si="147"/>
        <v>2.8694515110839789</v>
      </c>
      <c r="BY161" s="13">
        <f t="shared" si="148"/>
        <v>2</v>
      </c>
      <c r="BZ161" s="13">
        <f t="shared" si="149"/>
        <v>38.815789473684212</v>
      </c>
      <c r="CA161" s="13">
        <f t="shared" si="150"/>
        <v>38</v>
      </c>
      <c r="CB161" s="13">
        <f t="shared" si="151"/>
        <v>76</v>
      </c>
      <c r="CC161" s="62">
        <f t="shared" si="152"/>
        <v>1.3157894736842105E-2</v>
      </c>
      <c r="CD161" s="13">
        <f t="shared" si="153"/>
        <v>98.026315789473685</v>
      </c>
      <c r="CE161" s="13">
        <f t="shared" si="154"/>
        <v>98</v>
      </c>
      <c r="CF161" s="13">
        <f t="shared" si="155"/>
        <v>1.1362257661339246</v>
      </c>
      <c r="CG161" s="13">
        <f t="shared" si="156"/>
        <v>1</v>
      </c>
      <c r="CH161" s="28">
        <f t="shared" si="157"/>
        <v>98</v>
      </c>
      <c r="CI161" s="62">
        <f t="shared" si="158"/>
        <v>1.020408163265306E-2</v>
      </c>
      <c r="CJ161" s="59">
        <f t="shared" si="159"/>
        <v>1.020408163265306E-2</v>
      </c>
      <c r="CL161" s="63">
        <v>6000</v>
      </c>
      <c r="CM161" s="63">
        <f t="shared" si="160"/>
        <v>1033.5259999999998</v>
      </c>
      <c r="CN161" s="63">
        <f t="shared" si="161"/>
        <v>1038.5259999999998</v>
      </c>
      <c r="CO161" s="63">
        <f t="shared" si="162"/>
        <v>5.7774191498335146</v>
      </c>
      <c r="CP161" s="13">
        <f t="shared" si="163"/>
        <v>5</v>
      </c>
      <c r="CQ161" s="70">
        <f t="shared" si="164"/>
        <v>0.2</v>
      </c>
      <c r="CR161" s="69">
        <f t="shared" si="132"/>
        <v>16.276</v>
      </c>
    </row>
    <row r="162" spans="1:96" hidden="1" x14ac:dyDescent="0.25">
      <c r="A162" s="17">
        <v>5</v>
      </c>
      <c r="B162" s="6" t="s">
        <v>457</v>
      </c>
      <c r="C162" s="17" t="s">
        <v>492</v>
      </c>
      <c r="D162" s="17" t="s">
        <v>495</v>
      </c>
      <c r="E162" s="17" t="s">
        <v>52</v>
      </c>
      <c r="F162" s="7">
        <f t="shared" si="133"/>
        <v>7</v>
      </c>
      <c r="G162" s="17" t="s">
        <v>337</v>
      </c>
      <c r="H162" s="17" t="str">
        <f>G162</f>
        <v>A/R</v>
      </c>
      <c r="I162" s="17">
        <v>10</v>
      </c>
      <c r="J162" s="6" t="s">
        <v>493</v>
      </c>
      <c r="K162" s="6" t="s">
        <v>494</v>
      </c>
      <c r="L162" s="17" t="s">
        <v>339</v>
      </c>
      <c r="M162" s="6" t="s">
        <v>35</v>
      </c>
      <c r="N162" s="17" t="s">
        <v>495</v>
      </c>
      <c r="O162" s="28" t="s">
        <v>2541</v>
      </c>
      <c r="P162" s="28" t="s">
        <v>2541</v>
      </c>
      <c r="Q162" s="28" t="s">
        <v>495</v>
      </c>
      <c r="R162" s="30"/>
      <c r="S162" s="30"/>
      <c r="T162" s="30"/>
      <c r="U162" s="30"/>
      <c r="V162" s="8">
        <f t="shared" si="134"/>
        <v>0</v>
      </c>
      <c r="W162" s="8">
        <f t="shared" si="135"/>
        <v>0</v>
      </c>
      <c r="X162" s="8">
        <f t="shared" si="136"/>
        <v>0</v>
      </c>
      <c r="Y162" s="33">
        <f t="shared" si="137"/>
        <v>0</v>
      </c>
      <c r="Z162" s="28"/>
      <c r="AA162" s="28"/>
      <c r="AB162" s="61" t="s">
        <v>495</v>
      </c>
      <c r="AC162" s="31" t="s">
        <v>496</v>
      </c>
      <c r="AD162" s="50">
        <v>0</v>
      </c>
      <c r="AE162" s="50" t="s">
        <v>337</v>
      </c>
      <c r="AF162" s="51">
        <v>14</v>
      </c>
      <c r="AG162" s="51">
        <f t="shared" si="166"/>
        <v>8.4</v>
      </c>
      <c r="AH162" s="51">
        <f t="shared" si="131"/>
        <v>42</v>
      </c>
      <c r="AI162" s="52" t="s">
        <v>2497</v>
      </c>
      <c r="AJ162" s="52" t="s">
        <v>2498</v>
      </c>
      <c r="AK162" s="53">
        <f t="shared" si="167"/>
        <v>0</v>
      </c>
      <c r="AL162" s="54">
        <f t="shared" si="168"/>
        <v>0.11904761904761904</v>
      </c>
      <c r="AM162" s="54">
        <f t="shared" si="169"/>
        <v>2.3809523809523808E-2</v>
      </c>
      <c r="AN162" s="55">
        <f t="shared" si="170"/>
        <v>0</v>
      </c>
      <c r="AO162" s="55">
        <f t="shared" si="171"/>
        <v>0</v>
      </c>
      <c r="AP162" s="53">
        <v>7.1</v>
      </c>
      <c r="AQ162" s="53">
        <f t="shared" si="139"/>
        <v>4.26</v>
      </c>
      <c r="AR162" s="53">
        <f t="shared" si="140"/>
        <v>21.299999999999997</v>
      </c>
      <c r="AS162" s="56">
        <f t="shared" si="141"/>
        <v>4.6948356807511742E-2</v>
      </c>
      <c r="AT162" s="56">
        <f t="shared" si="172"/>
        <v>0.23474178403755869</v>
      </c>
      <c r="AU162" s="56">
        <f t="shared" si="142"/>
        <v>0.176056338028169</v>
      </c>
      <c r="AV162" s="56">
        <f t="shared" si="173"/>
        <v>5.8685446009389672E-2</v>
      </c>
      <c r="AW162" s="57" t="s">
        <v>2511</v>
      </c>
      <c r="AX162" s="57" t="s">
        <v>2512</v>
      </c>
      <c r="AY162" s="57" t="s">
        <v>2513</v>
      </c>
      <c r="AZ162" s="58">
        <f t="shared" si="174"/>
        <v>0</v>
      </c>
      <c r="BA162" s="59">
        <f t="shared" si="178"/>
        <v>0</v>
      </c>
      <c r="BB162" s="59">
        <f t="shared" si="179"/>
        <v>0</v>
      </c>
      <c r="BC162" s="59">
        <f t="shared" si="180"/>
        <v>0</v>
      </c>
      <c r="BD162" s="60">
        <f t="shared" si="175"/>
        <v>7.1095438516664771E-6</v>
      </c>
      <c r="BE162" s="59">
        <f t="shared" si="176"/>
        <v>0</v>
      </c>
      <c r="BQ162" s="61">
        <v>3000</v>
      </c>
      <c r="BR162" s="61">
        <v>1200</v>
      </c>
      <c r="BS162" s="28">
        <f t="shared" si="143"/>
        <v>2980</v>
      </c>
      <c r="BT162" s="28">
        <f t="shared" si="144"/>
        <v>1180</v>
      </c>
      <c r="BU162" s="28" t="s">
        <v>2541</v>
      </c>
      <c r="BV162" s="28">
        <f t="shared" si="145"/>
        <v>5</v>
      </c>
      <c r="BW162" s="28">
        <f t="shared" si="146"/>
        <v>5</v>
      </c>
      <c r="BX162" s="13">
        <f t="shared" si="147"/>
        <v>596</v>
      </c>
      <c r="BY162" s="13">
        <f t="shared" si="148"/>
        <v>596</v>
      </c>
      <c r="BZ162" s="13">
        <f t="shared" si="149"/>
        <v>236</v>
      </c>
      <c r="CA162" s="13">
        <f t="shared" si="150"/>
        <v>236</v>
      </c>
      <c r="CB162" s="13">
        <f t="shared" si="151"/>
        <v>140656</v>
      </c>
      <c r="CC162" s="62">
        <f t="shared" si="152"/>
        <v>7.1095438516664771E-6</v>
      </c>
      <c r="CD162" s="13">
        <f t="shared" si="153"/>
        <v>596</v>
      </c>
      <c r="CE162" s="13">
        <f t="shared" si="154"/>
        <v>596</v>
      </c>
      <c r="CF162" s="13">
        <f t="shared" si="155"/>
        <v>236</v>
      </c>
      <c r="CG162" s="13">
        <f t="shared" si="156"/>
        <v>236</v>
      </c>
      <c r="CH162" s="28">
        <f t="shared" si="157"/>
        <v>140656</v>
      </c>
      <c r="CI162" s="62">
        <f t="shared" si="158"/>
        <v>7.1095438516664771E-6</v>
      </c>
      <c r="CJ162" s="59">
        <f t="shared" si="159"/>
        <v>7.1095438516664771E-6</v>
      </c>
      <c r="CL162" s="63">
        <v>6000</v>
      </c>
      <c r="CM162" s="63">
        <f t="shared" si="160"/>
        <v>0</v>
      </c>
      <c r="CN162" s="63">
        <f t="shared" si="161"/>
        <v>5</v>
      </c>
      <c r="CO162" s="63">
        <f t="shared" si="162"/>
        <v>1200</v>
      </c>
      <c r="CP162" s="13">
        <f t="shared" si="163"/>
        <v>1200</v>
      </c>
      <c r="CQ162" s="70">
        <f t="shared" si="164"/>
        <v>8.3333333333333339E-4</v>
      </c>
      <c r="CR162" s="69">
        <f t="shared" si="132"/>
        <v>0</v>
      </c>
    </row>
    <row r="163" spans="1:96" hidden="1" x14ac:dyDescent="0.25">
      <c r="A163" s="17">
        <v>5</v>
      </c>
      <c r="B163" s="6" t="s">
        <v>457</v>
      </c>
      <c r="C163" s="17" t="s">
        <v>497</v>
      </c>
      <c r="D163" s="17" t="s">
        <v>498</v>
      </c>
      <c r="E163" s="17" t="s">
        <v>52</v>
      </c>
      <c r="F163" s="7">
        <f t="shared" si="133"/>
        <v>1</v>
      </c>
      <c r="G163" s="17">
        <v>1</v>
      </c>
      <c r="H163" s="17">
        <f t="shared" ref="H163:H166" si="185">G163*$H$150</f>
        <v>1</v>
      </c>
      <c r="I163" s="17">
        <v>11</v>
      </c>
      <c r="J163" s="6" t="s">
        <v>76</v>
      </c>
      <c r="K163" s="6" t="s">
        <v>34</v>
      </c>
      <c r="L163" s="17" t="s">
        <v>98</v>
      </c>
      <c r="M163" s="6" t="s">
        <v>35</v>
      </c>
      <c r="N163" s="17" t="s">
        <v>498</v>
      </c>
      <c r="O163" s="28" t="s">
        <v>41</v>
      </c>
      <c r="P163" s="28" t="s">
        <v>41</v>
      </c>
      <c r="Q163" s="28" t="s">
        <v>79</v>
      </c>
      <c r="R163" s="30">
        <v>9.9291338582677167</v>
      </c>
      <c r="S163" s="30">
        <v>0.3125</v>
      </c>
      <c r="T163" s="30"/>
      <c r="U163" s="30">
        <v>0.3125</v>
      </c>
      <c r="V163" s="8">
        <f t="shared" si="134"/>
        <v>252.2</v>
      </c>
      <c r="W163" s="8">
        <f t="shared" si="135"/>
        <v>7.9375</v>
      </c>
      <c r="X163" s="8">
        <f t="shared" si="136"/>
        <v>0</v>
      </c>
      <c r="Y163" s="33">
        <f t="shared" si="137"/>
        <v>7.9375</v>
      </c>
      <c r="Z163" s="28" t="s">
        <v>80</v>
      </c>
      <c r="AA163" s="28" t="s">
        <v>81</v>
      </c>
      <c r="AB163" s="61" t="s">
        <v>79</v>
      </c>
      <c r="AC163" s="31" t="s">
        <v>82</v>
      </c>
      <c r="AD163" s="50">
        <f t="shared" si="138"/>
        <v>1</v>
      </c>
      <c r="AE163" s="31"/>
      <c r="AF163" s="51">
        <v>14</v>
      </c>
      <c r="AG163" s="51">
        <f t="shared" si="166"/>
        <v>8.4</v>
      </c>
      <c r="AH163" s="51">
        <f t="shared" si="131"/>
        <v>42</v>
      </c>
      <c r="AI163" s="52" t="s">
        <v>2497</v>
      </c>
      <c r="AJ163" s="52" t="s">
        <v>2498</v>
      </c>
      <c r="AK163" s="53">
        <f t="shared" si="167"/>
        <v>4.0036749999999999E-3</v>
      </c>
      <c r="AL163" s="54">
        <f t="shared" si="168"/>
        <v>0.11904761904761904</v>
      </c>
      <c r="AM163" s="54">
        <f t="shared" si="169"/>
        <v>2.3809523809523808E-2</v>
      </c>
      <c r="AN163" s="55">
        <f t="shared" si="170"/>
        <v>4.7662797619047614E-4</v>
      </c>
      <c r="AO163" s="55">
        <f t="shared" si="171"/>
        <v>9.5325595238095236E-5</v>
      </c>
      <c r="AP163" s="53">
        <v>7.1</v>
      </c>
      <c r="AQ163" s="53">
        <f t="shared" si="139"/>
        <v>4.26</v>
      </c>
      <c r="AR163" s="53">
        <f t="shared" si="140"/>
        <v>21.299999999999997</v>
      </c>
      <c r="AS163" s="56">
        <f t="shared" si="141"/>
        <v>4.6948356807511742E-2</v>
      </c>
      <c r="AT163" s="56">
        <f t="shared" si="172"/>
        <v>0.23474178403755869</v>
      </c>
      <c r="AU163" s="56">
        <f t="shared" si="142"/>
        <v>0.176056338028169</v>
      </c>
      <c r="AV163" s="56">
        <f t="shared" si="173"/>
        <v>5.8685446009389672E-2</v>
      </c>
      <c r="AW163" s="57" t="s">
        <v>2511</v>
      </c>
      <c r="AX163" s="57" t="s">
        <v>2512</v>
      </c>
      <c r="AY163" s="57" t="s">
        <v>2513</v>
      </c>
      <c r="AZ163" s="58">
        <f t="shared" si="174"/>
        <v>4.0036749999999999E-3</v>
      </c>
      <c r="BA163" s="59">
        <f t="shared" si="178"/>
        <v>1.1747872652582159E-4</v>
      </c>
      <c r="BB163" s="59">
        <f t="shared" si="179"/>
        <v>3.5243617957746474E-4</v>
      </c>
      <c r="BC163" s="59">
        <f t="shared" si="180"/>
        <v>9.3982981220657279E-5</v>
      </c>
      <c r="BD163" s="60">
        <f t="shared" si="175"/>
        <v>9.99000999000999E-4</v>
      </c>
      <c r="BE163" s="59">
        <f t="shared" si="176"/>
        <v>9.99000999000999E-4</v>
      </c>
      <c r="BQ163" s="61">
        <v>3000</v>
      </c>
      <c r="BR163" s="61">
        <v>1200</v>
      </c>
      <c r="BS163" s="28">
        <f t="shared" si="143"/>
        <v>2980</v>
      </c>
      <c r="BT163" s="28">
        <f t="shared" si="144"/>
        <v>1180</v>
      </c>
      <c r="BU163" s="28" t="s">
        <v>2541</v>
      </c>
      <c r="BV163" s="28">
        <f t="shared" si="145"/>
        <v>257.2</v>
      </c>
      <c r="BW163" s="28">
        <f t="shared" si="146"/>
        <v>12.9375</v>
      </c>
      <c r="BX163" s="13">
        <f t="shared" si="147"/>
        <v>11.586314152410576</v>
      </c>
      <c r="BY163" s="13">
        <f t="shared" si="148"/>
        <v>11</v>
      </c>
      <c r="BZ163" s="13">
        <f t="shared" si="149"/>
        <v>91.207729468599027</v>
      </c>
      <c r="CA163" s="13">
        <f t="shared" si="150"/>
        <v>91</v>
      </c>
      <c r="CB163" s="13">
        <f t="shared" si="151"/>
        <v>1001</v>
      </c>
      <c r="CC163" s="62">
        <f t="shared" si="152"/>
        <v>9.99000999000999E-4</v>
      </c>
      <c r="CD163" s="13">
        <f t="shared" si="153"/>
        <v>230.33816425120773</v>
      </c>
      <c r="CE163" s="13">
        <f t="shared" si="154"/>
        <v>230</v>
      </c>
      <c r="CF163" s="13">
        <f t="shared" si="155"/>
        <v>4.5878693623639197</v>
      </c>
      <c r="CG163" s="13">
        <f t="shared" si="156"/>
        <v>4</v>
      </c>
      <c r="CH163" s="28">
        <f t="shared" si="157"/>
        <v>920</v>
      </c>
      <c r="CI163" s="62">
        <f t="shared" si="158"/>
        <v>1.0869565217391304E-3</v>
      </c>
      <c r="CJ163" s="59">
        <f t="shared" si="159"/>
        <v>9.99000999000999E-4</v>
      </c>
      <c r="CL163" s="63">
        <v>6000</v>
      </c>
      <c r="CM163" s="63">
        <f t="shared" si="160"/>
        <v>252.2</v>
      </c>
      <c r="CN163" s="63">
        <f t="shared" si="161"/>
        <v>257.2</v>
      </c>
      <c r="CO163" s="63">
        <f t="shared" si="162"/>
        <v>23.328149300155523</v>
      </c>
      <c r="CP163" s="13">
        <f t="shared" si="163"/>
        <v>23</v>
      </c>
      <c r="CQ163" s="70">
        <f t="shared" si="164"/>
        <v>4.3478260869565216E-2</v>
      </c>
      <c r="CR163" s="69">
        <f t="shared" si="132"/>
        <v>4.3478260869565216E-2</v>
      </c>
    </row>
    <row r="164" spans="1:96" hidden="1" x14ac:dyDescent="0.25">
      <c r="A164" s="17">
        <v>5</v>
      </c>
      <c r="B164" s="6" t="s">
        <v>457</v>
      </c>
      <c r="C164" s="17" t="s">
        <v>499</v>
      </c>
      <c r="D164" s="17" t="s">
        <v>2270</v>
      </c>
      <c r="E164" s="17" t="s">
        <v>52</v>
      </c>
      <c r="F164" s="7">
        <f t="shared" si="133"/>
        <v>1</v>
      </c>
      <c r="G164" s="17">
        <v>1</v>
      </c>
      <c r="H164" s="17">
        <f t="shared" si="185"/>
        <v>1</v>
      </c>
      <c r="I164" s="17">
        <v>12</v>
      </c>
      <c r="J164" s="6" t="s">
        <v>500</v>
      </c>
      <c r="K164" s="6" t="s">
        <v>34</v>
      </c>
      <c r="L164" s="17" t="s">
        <v>110</v>
      </c>
      <c r="M164" s="6" t="s">
        <v>35</v>
      </c>
      <c r="N164" s="17" t="s">
        <v>501</v>
      </c>
      <c r="O164" s="28" t="s">
        <v>41</v>
      </c>
      <c r="P164" s="28" t="s">
        <v>41</v>
      </c>
      <c r="Q164" s="28" t="s">
        <v>116</v>
      </c>
      <c r="R164" s="30">
        <v>5.5650000000000004</v>
      </c>
      <c r="S164" s="30">
        <v>4.5650000000000004</v>
      </c>
      <c r="T164" s="30"/>
      <c r="U164" s="30">
        <v>0.11799999999999999</v>
      </c>
      <c r="V164" s="8">
        <f t="shared" si="134"/>
        <v>141.351</v>
      </c>
      <c r="W164" s="8">
        <f t="shared" si="135"/>
        <v>115.95100000000001</v>
      </c>
      <c r="X164" s="8">
        <f t="shared" si="136"/>
        <v>0</v>
      </c>
      <c r="Y164" s="33">
        <f t="shared" si="137"/>
        <v>2.9971999999999999</v>
      </c>
      <c r="Z164" s="28" t="s">
        <v>56</v>
      </c>
      <c r="AA164" s="28" t="s">
        <v>57</v>
      </c>
      <c r="AB164" s="28" t="s">
        <v>116</v>
      </c>
      <c r="AC164" s="31" t="s">
        <v>117</v>
      </c>
      <c r="AD164" s="50">
        <f t="shared" si="138"/>
        <v>1</v>
      </c>
      <c r="AE164" s="31"/>
      <c r="AF164" s="51">
        <v>14</v>
      </c>
      <c r="AG164" s="51">
        <f t="shared" si="166"/>
        <v>8.4</v>
      </c>
      <c r="AH164" s="51">
        <f t="shared" si="131"/>
        <v>42</v>
      </c>
      <c r="AI164" s="52" t="s">
        <v>2497</v>
      </c>
      <c r="AJ164" s="52" t="s">
        <v>2498</v>
      </c>
      <c r="AK164" s="53">
        <f t="shared" si="167"/>
        <v>3.2779579602000009E-2</v>
      </c>
      <c r="AL164" s="54">
        <f t="shared" si="168"/>
        <v>0.11904761904761904</v>
      </c>
      <c r="AM164" s="54">
        <f t="shared" si="169"/>
        <v>2.3809523809523808E-2</v>
      </c>
      <c r="AN164" s="55">
        <f t="shared" si="170"/>
        <v>3.902330905000001E-3</v>
      </c>
      <c r="AO164" s="55">
        <f t="shared" si="171"/>
        <v>7.804661810000002E-4</v>
      </c>
      <c r="AP164" s="53">
        <v>7.1</v>
      </c>
      <c r="AQ164" s="53">
        <f t="shared" si="139"/>
        <v>4.26</v>
      </c>
      <c r="AR164" s="53">
        <f t="shared" si="140"/>
        <v>21.299999999999997</v>
      </c>
      <c r="AS164" s="56">
        <f t="shared" si="141"/>
        <v>4.6948356807511742E-2</v>
      </c>
      <c r="AT164" s="56">
        <f t="shared" si="172"/>
        <v>0.23474178403755869</v>
      </c>
      <c r="AU164" s="56">
        <f t="shared" si="142"/>
        <v>0.176056338028169</v>
      </c>
      <c r="AV164" s="56">
        <f t="shared" si="173"/>
        <v>5.8685446009389672E-2</v>
      </c>
      <c r="AW164" s="57" t="s">
        <v>2511</v>
      </c>
      <c r="AX164" s="57" t="s">
        <v>2512</v>
      </c>
      <c r="AY164" s="57" t="s">
        <v>2513</v>
      </c>
      <c r="AZ164" s="58">
        <f t="shared" si="174"/>
        <v>3.2779579602000009E-2</v>
      </c>
      <c r="BA164" s="59">
        <f t="shared" si="178"/>
        <v>9.6184212447183125E-4</v>
      </c>
      <c r="BB164" s="59">
        <f t="shared" si="179"/>
        <v>2.8855263734154936E-3</v>
      </c>
      <c r="BC164" s="59">
        <f t="shared" si="180"/>
        <v>7.6947369957746509E-4</v>
      </c>
      <c r="BD164" s="60">
        <f t="shared" si="175"/>
        <v>5.208333333333333E-3</v>
      </c>
      <c r="BE164" s="59">
        <f t="shared" si="176"/>
        <v>5.208333333333333E-3</v>
      </c>
      <c r="BQ164" s="61">
        <v>3000</v>
      </c>
      <c r="BR164" s="61">
        <v>1200</v>
      </c>
      <c r="BS164" s="28">
        <f t="shared" si="143"/>
        <v>2980</v>
      </c>
      <c r="BT164" s="28">
        <f t="shared" si="144"/>
        <v>1180</v>
      </c>
      <c r="BU164" s="28" t="s">
        <v>2541</v>
      </c>
      <c r="BV164" s="28">
        <f t="shared" si="145"/>
        <v>146.351</v>
      </c>
      <c r="BW164" s="28">
        <f t="shared" si="146"/>
        <v>120.95100000000001</v>
      </c>
      <c r="BX164" s="13">
        <f t="shared" si="147"/>
        <v>20.362006409248998</v>
      </c>
      <c r="BY164" s="13">
        <f t="shared" si="148"/>
        <v>20</v>
      </c>
      <c r="BZ164" s="13">
        <f t="shared" si="149"/>
        <v>9.7560168994055445</v>
      </c>
      <c r="CA164" s="13">
        <f t="shared" si="150"/>
        <v>9</v>
      </c>
      <c r="CB164" s="13">
        <f t="shared" si="151"/>
        <v>180</v>
      </c>
      <c r="CC164" s="62">
        <f t="shared" si="152"/>
        <v>5.5555555555555558E-3</v>
      </c>
      <c r="CD164" s="13">
        <f t="shared" si="153"/>
        <v>24.638076576464847</v>
      </c>
      <c r="CE164" s="13">
        <f t="shared" si="154"/>
        <v>24</v>
      </c>
      <c r="CF164" s="13">
        <f t="shared" si="155"/>
        <v>8.06280790701806</v>
      </c>
      <c r="CG164" s="13">
        <f t="shared" si="156"/>
        <v>8</v>
      </c>
      <c r="CH164" s="28">
        <f t="shared" si="157"/>
        <v>192</v>
      </c>
      <c r="CI164" s="62">
        <f t="shared" si="158"/>
        <v>5.208333333333333E-3</v>
      </c>
      <c r="CJ164" s="59">
        <f t="shared" si="159"/>
        <v>5.208333333333333E-3</v>
      </c>
      <c r="CL164" s="63">
        <v>6000</v>
      </c>
      <c r="CM164" s="63">
        <f t="shared" si="160"/>
        <v>141.351</v>
      </c>
      <c r="CN164" s="63">
        <f t="shared" si="161"/>
        <v>146.351</v>
      </c>
      <c r="CO164" s="63">
        <f t="shared" si="162"/>
        <v>40.997328340769791</v>
      </c>
      <c r="CP164" s="13">
        <f t="shared" si="163"/>
        <v>40</v>
      </c>
      <c r="CQ164" s="70">
        <f t="shared" si="164"/>
        <v>2.5000000000000001E-2</v>
      </c>
      <c r="CR164" s="69">
        <f t="shared" si="132"/>
        <v>2.5000000000000001E-2</v>
      </c>
    </row>
    <row r="165" spans="1:96" hidden="1" x14ac:dyDescent="0.25">
      <c r="A165" s="17">
        <v>5</v>
      </c>
      <c r="B165" s="6" t="s">
        <v>457</v>
      </c>
      <c r="C165" s="17" t="s">
        <v>336</v>
      </c>
      <c r="D165" s="17" t="s">
        <v>341</v>
      </c>
      <c r="E165" s="17" t="s">
        <v>52</v>
      </c>
      <c r="F165" s="7">
        <f t="shared" si="133"/>
        <v>15</v>
      </c>
      <c r="G165" s="17" t="s">
        <v>337</v>
      </c>
      <c r="H165" s="17" t="str">
        <f>G165</f>
        <v>A/R</v>
      </c>
      <c r="I165" s="17">
        <v>13</v>
      </c>
      <c r="J165" s="6" t="s">
        <v>338</v>
      </c>
      <c r="K165" s="6" t="s">
        <v>34</v>
      </c>
      <c r="L165" s="17" t="s">
        <v>339</v>
      </c>
      <c r="M165" s="6" t="s">
        <v>340</v>
      </c>
      <c r="N165" s="17" t="s">
        <v>341</v>
      </c>
      <c r="O165" s="28" t="s">
        <v>41</v>
      </c>
      <c r="P165" s="28" t="s">
        <v>41</v>
      </c>
      <c r="Q165" s="28" t="s">
        <v>341</v>
      </c>
      <c r="R165" s="30"/>
      <c r="S165" s="30"/>
      <c r="T165" s="30"/>
      <c r="U165" s="30"/>
      <c r="V165" s="8">
        <f t="shared" si="134"/>
        <v>0</v>
      </c>
      <c r="W165" s="8">
        <f t="shared" si="135"/>
        <v>0</v>
      </c>
      <c r="X165" s="8">
        <f t="shared" si="136"/>
        <v>0</v>
      </c>
      <c r="Y165" s="33">
        <f t="shared" si="137"/>
        <v>0</v>
      </c>
      <c r="Z165" s="28"/>
      <c r="AA165" s="28"/>
      <c r="AB165" s="28" t="s">
        <v>341</v>
      </c>
      <c r="AC165" s="31" t="s">
        <v>342</v>
      </c>
      <c r="AD165" s="50">
        <v>0</v>
      </c>
      <c r="AE165" s="50" t="s">
        <v>337</v>
      </c>
      <c r="AF165" s="51">
        <v>14</v>
      </c>
      <c r="AG165" s="51">
        <f t="shared" si="166"/>
        <v>8.4</v>
      </c>
      <c r="AH165" s="51">
        <f t="shared" si="131"/>
        <v>42</v>
      </c>
      <c r="AI165" s="52" t="s">
        <v>2497</v>
      </c>
      <c r="AJ165" s="52" t="s">
        <v>2498</v>
      </c>
      <c r="AK165" s="53">
        <f t="shared" si="167"/>
        <v>0</v>
      </c>
      <c r="AL165" s="54">
        <f t="shared" si="168"/>
        <v>0.11904761904761904</v>
      </c>
      <c r="AM165" s="54">
        <f t="shared" si="169"/>
        <v>2.3809523809523808E-2</v>
      </c>
      <c r="AN165" s="55">
        <f t="shared" si="170"/>
        <v>0</v>
      </c>
      <c r="AO165" s="55">
        <f t="shared" si="171"/>
        <v>0</v>
      </c>
      <c r="AP165" s="53">
        <v>7.1</v>
      </c>
      <c r="AQ165" s="53">
        <f t="shared" si="139"/>
        <v>4.26</v>
      </c>
      <c r="AR165" s="53">
        <f t="shared" si="140"/>
        <v>21.299999999999997</v>
      </c>
      <c r="AS165" s="56">
        <f t="shared" si="141"/>
        <v>4.6948356807511742E-2</v>
      </c>
      <c r="AT165" s="56">
        <f t="shared" si="172"/>
        <v>0.23474178403755869</v>
      </c>
      <c r="AU165" s="56">
        <f t="shared" si="142"/>
        <v>0.176056338028169</v>
      </c>
      <c r="AV165" s="56">
        <f t="shared" si="173"/>
        <v>5.8685446009389672E-2</v>
      </c>
      <c r="AW165" s="57" t="s">
        <v>2511</v>
      </c>
      <c r="AX165" s="57" t="s">
        <v>2512</v>
      </c>
      <c r="AY165" s="57" t="s">
        <v>2513</v>
      </c>
      <c r="AZ165" s="58">
        <f t="shared" si="174"/>
        <v>0</v>
      </c>
      <c r="BA165" s="59">
        <f t="shared" si="178"/>
        <v>0</v>
      </c>
      <c r="BB165" s="59">
        <f t="shared" si="179"/>
        <v>0</v>
      </c>
      <c r="BC165" s="59">
        <f t="shared" si="180"/>
        <v>0</v>
      </c>
      <c r="BD165" s="60">
        <f t="shared" si="175"/>
        <v>7.1095438516664771E-6</v>
      </c>
      <c r="BE165" s="59">
        <f t="shared" si="176"/>
        <v>0</v>
      </c>
      <c r="BQ165" s="61">
        <v>3000</v>
      </c>
      <c r="BR165" s="61">
        <v>1200</v>
      </c>
      <c r="BS165" s="28">
        <f t="shared" si="143"/>
        <v>2980</v>
      </c>
      <c r="BT165" s="28">
        <f t="shared" si="144"/>
        <v>1180</v>
      </c>
      <c r="BU165" s="28" t="s">
        <v>2541</v>
      </c>
      <c r="BV165" s="28">
        <f t="shared" si="145"/>
        <v>5</v>
      </c>
      <c r="BW165" s="28">
        <f t="shared" si="146"/>
        <v>5</v>
      </c>
      <c r="BX165" s="13">
        <f t="shared" si="147"/>
        <v>596</v>
      </c>
      <c r="BY165" s="13">
        <f t="shared" si="148"/>
        <v>596</v>
      </c>
      <c r="BZ165" s="13">
        <f t="shared" si="149"/>
        <v>236</v>
      </c>
      <c r="CA165" s="13">
        <f t="shared" si="150"/>
        <v>236</v>
      </c>
      <c r="CB165" s="13">
        <f t="shared" si="151"/>
        <v>140656</v>
      </c>
      <c r="CC165" s="62">
        <f t="shared" si="152"/>
        <v>7.1095438516664771E-6</v>
      </c>
      <c r="CD165" s="13">
        <f t="shared" si="153"/>
        <v>596</v>
      </c>
      <c r="CE165" s="13">
        <f t="shared" si="154"/>
        <v>596</v>
      </c>
      <c r="CF165" s="13">
        <f t="shared" si="155"/>
        <v>236</v>
      </c>
      <c r="CG165" s="13">
        <f t="shared" si="156"/>
        <v>236</v>
      </c>
      <c r="CH165" s="28">
        <f t="shared" si="157"/>
        <v>140656</v>
      </c>
      <c r="CI165" s="62">
        <f t="shared" si="158"/>
        <v>7.1095438516664771E-6</v>
      </c>
      <c r="CJ165" s="59">
        <f t="shared" si="159"/>
        <v>7.1095438516664771E-6</v>
      </c>
      <c r="CL165" s="63">
        <v>6000</v>
      </c>
      <c r="CM165" s="63">
        <f t="shared" si="160"/>
        <v>0</v>
      </c>
      <c r="CN165" s="63">
        <f t="shared" si="161"/>
        <v>5</v>
      </c>
      <c r="CO165" s="63">
        <f t="shared" si="162"/>
        <v>1200</v>
      </c>
      <c r="CP165" s="13">
        <f t="shared" si="163"/>
        <v>1200</v>
      </c>
      <c r="CQ165" s="70">
        <f t="shared" si="164"/>
        <v>8.3333333333333339E-4</v>
      </c>
      <c r="CR165" s="69">
        <f t="shared" si="132"/>
        <v>0</v>
      </c>
    </row>
    <row r="166" spans="1:96" x14ac:dyDescent="0.25">
      <c r="A166" s="17">
        <v>5</v>
      </c>
      <c r="B166" s="6" t="s">
        <v>457</v>
      </c>
      <c r="C166" s="17" t="s">
        <v>502</v>
      </c>
      <c r="D166" s="17" t="s">
        <v>2270</v>
      </c>
      <c r="E166" s="17" t="s">
        <v>52</v>
      </c>
      <c r="F166" s="7">
        <f t="shared" si="133"/>
        <v>1</v>
      </c>
      <c r="G166" s="17">
        <v>1</v>
      </c>
      <c r="H166" s="17">
        <f t="shared" si="185"/>
        <v>1</v>
      </c>
      <c r="I166" s="17">
        <v>14</v>
      </c>
      <c r="J166" s="6" t="s">
        <v>503</v>
      </c>
      <c r="K166" s="6" t="s">
        <v>34</v>
      </c>
      <c r="L166" s="17">
        <v>0</v>
      </c>
      <c r="M166" s="6" t="s">
        <v>35</v>
      </c>
      <c r="N166" s="17" t="s">
        <v>504</v>
      </c>
      <c r="O166" s="28" t="s">
        <v>41</v>
      </c>
      <c r="P166" s="28" t="s">
        <v>41</v>
      </c>
      <c r="Q166" s="28" t="s">
        <v>2585</v>
      </c>
      <c r="R166" s="30">
        <v>6.3940000000000001</v>
      </c>
      <c r="S166" s="30">
        <v>1.56</v>
      </c>
      <c r="T166" s="30"/>
      <c r="U166" s="30">
        <v>0.06</v>
      </c>
      <c r="V166" s="8">
        <f t="shared" si="134"/>
        <v>162.4076</v>
      </c>
      <c r="W166" s="8">
        <f t="shared" si="135"/>
        <v>39.624000000000002</v>
      </c>
      <c r="X166" s="8">
        <f t="shared" si="136"/>
        <v>0</v>
      </c>
      <c r="Y166" s="33">
        <f t="shared" si="137"/>
        <v>1.5239999999999998</v>
      </c>
      <c r="Z166" s="28" t="s">
        <v>2477</v>
      </c>
      <c r="AA166" s="28" t="s">
        <v>1765</v>
      </c>
      <c r="AB166" s="61" t="s">
        <v>2585</v>
      </c>
      <c r="AC166" s="31" t="s">
        <v>2586</v>
      </c>
      <c r="AD166" s="50">
        <f t="shared" si="138"/>
        <v>1</v>
      </c>
      <c r="AE166" s="31"/>
      <c r="AF166" s="51">
        <v>14</v>
      </c>
      <c r="AG166" s="51">
        <f t="shared" si="166"/>
        <v>8.4</v>
      </c>
      <c r="AH166" s="51">
        <f t="shared" si="131"/>
        <v>42</v>
      </c>
      <c r="AI166" s="52" t="s">
        <v>2497</v>
      </c>
      <c r="AJ166" s="52" t="s">
        <v>2498</v>
      </c>
      <c r="AK166" s="53">
        <f t="shared" si="167"/>
        <v>1.2870477484800002E-2</v>
      </c>
      <c r="AL166" s="54">
        <f t="shared" si="168"/>
        <v>0.11904761904761904</v>
      </c>
      <c r="AM166" s="54">
        <f t="shared" si="169"/>
        <v>2.3809523809523808E-2</v>
      </c>
      <c r="AN166" s="55">
        <f t="shared" si="170"/>
        <v>1.5321997005714287E-3</v>
      </c>
      <c r="AO166" s="55">
        <f t="shared" si="171"/>
        <v>3.0643994011428577E-4</v>
      </c>
      <c r="AP166" s="53">
        <v>7.1</v>
      </c>
      <c r="AQ166" s="53">
        <f t="shared" si="139"/>
        <v>4.26</v>
      </c>
      <c r="AR166" s="53">
        <f t="shared" si="140"/>
        <v>21.299999999999997</v>
      </c>
      <c r="AS166" s="56">
        <f t="shared" si="141"/>
        <v>4.6948356807511742E-2</v>
      </c>
      <c r="AT166" s="56">
        <f t="shared" si="172"/>
        <v>0.23474178403755869</v>
      </c>
      <c r="AU166" s="56">
        <f t="shared" si="142"/>
        <v>0.176056338028169</v>
      </c>
      <c r="AV166" s="56">
        <f t="shared" si="173"/>
        <v>5.8685446009389672E-2</v>
      </c>
      <c r="AW166" s="57" t="s">
        <v>2511</v>
      </c>
      <c r="AX166" s="57" t="s">
        <v>2512</v>
      </c>
      <c r="AY166" s="57" t="s">
        <v>2513</v>
      </c>
      <c r="AZ166" s="58">
        <f t="shared" si="174"/>
        <v>1.2870477484800002E-2</v>
      </c>
      <c r="BA166" s="59">
        <f t="shared" si="178"/>
        <v>3.7765485577464798E-4</v>
      </c>
      <c r="BB166" s="59">
        <f t="shared" si="179"/>
        <v>1.1329645673239439E-3</v>
      </c>
      <c r="BC166" s="59">
        <f t="shared" si="180"/>
        <v>3.0212388461971841E-4</v>
      </c>
      <c r="BD166" s="60">
        <f t="shared" si="175"/>
        <v>2.1645021645021645E-3</v>
      </c>
      <c r="BE166" s="59">
        <f t="shared" si="176"/>
        <v>2.1645021645021645E-3</v>
      </c>
      <c r="BQ166" s="61">
        <v>3000</v>
      </c>
      <c r="BR166" s="61">
        <v>1200</v>
      </c>
      <c r="BS166" s="28">
        <f t="shared" si="143"/>
        <v>2980</v>
      </c>
      <c r="BT166" s="28">
        <f t="shared" si="144"/>
        <v>1180</v>
      </c>
      <c r="BU166" s="28" t="s">
        <v>2541</v>
      </c>
      <c r="BV166" s="28">
        <f t="shared" si="145"/>
        <v>167.4076</v>
      </c>
      <c r="BW166" s="28">
        <f t="shared" si="146"/>
        <v>44.624000000000002</v>
      </c>
      <c r="BX166" s="13">
        <f t="shared" si="147"/>
        <v>17.800864476881575</v>
      </c>
      <c r="BY166" s="13">
        <f t="shared" si="148"/>
        <v>17</v>
      </c>
      <c r="BZ166" s="13">
        <f t="shared" si="149"/>
        <v>26.443169594836856</v>
      </c>
      <c r="CA166" s="13">
        <f t="shared" si="150"/>
        <v>26</v>
      </c>
      <c r="CB166" s="13">
        <f t="shared" si="151"/>
        <v>442</v>
      </c>
      <c r="CC166" s="62">
        <f t="shared" si="152"/>
        <v>2.2624434389140274E-3</v>
      </c>
      <c r="CD166" s="13">
        <f t="shared" si="153"/>
        <v>66.78020795984223</v>
      </c>
      <c r="CE166" s="13">
        <f t="shared" si="154"/>
        <v>66</v>
      </c>
      <c r="CF166" s="13">
        <f t="shared" si="155"/>
        <v>7.0486644572886776</v>
      </c>
      <c r="CG166" s="13">
        <f t="shared" si="156"/>
        <v>7</v>
      </c>
      <c r="CH166" s="28">
        <f t="shared" si="157"/>
        <v>462</v>
      </c>
      <c r="CI166" s="62">
        <f t="shared" si="158"/>
        <v>2.1645021645021645E-3</v>
      </c>
      <c r="CJ166" s="59">
        <f t="shared" si="159"/>
        <v>2.1645021645021645E-3</v>
      </c>
      <c r="CL166" s="63">
        <v>6000</v>
      </c>
      <c r="CM166" s="63">
        <f t="shared" si="160"/>
        <v>162.4076</v>
      </c>
      <c r="CN166" s="63">
        <f t="shared" si="161"/>
        <v>167.4076</v>
      </c>
      <c r="CO166" s="63">
        <f t="shared" si="162"/>
        <v>35.840666731976327</v>
      </c>
      <c r="CP166" s="13">
        <f t="shared" si="163"/>
        <v>35</v>
      </c>
      <c r="CQ166" s="70">
        <f t="shared" si="164"/>
        <v>2.8571428571428571E-2</v>
      </c>
      <c r="CR166" s="69">
        <f t="shared" si="132"/>
        <v>2.8571428571428571E-2</v>
      </c>
    </row>
    <row r="167" spans="1:96" hidden="1" x14ac:dyDescent="0.25">
      <c r="A167" s="13">
        <v>4</v>
      </c>
      <c r="B167" s="14" t="s">
        <v>403</v>
      </c>
      <c r="C167" s="13" t="s">
        <v>507</v>
      </c>
      <c r="D167" s="13" t="s">
        <v>2270</v>
      </c>
      <c r="E167" s="13" t="s">
        <v>32</v>
      </c>
      <c r="F167" s="15">
        <f t="shared" si="133"/>
        <v>1</v>
      </c>
      <c r="G167" s="13">
        <v>3</v>
      </c>
      <c r="H167" s="13">
        <f>G167*$H$130</f>
        <v>3</v>
      </c>
      <c r="I167" s="13">
        <v>13</v>
      </c>
      <c r="J167" s="14" t="s">
        <v>508</v>
      </c>
      <c r="K167" s="14" t="s">
        <v>34</v>
      </c>
      <c r="L167" s="13">
        <v>0</v>
      </c>
      <c r="M167" s="14" t="s">
        <v>35</v>
      </c>
      <c r="N167" s="13" t="s">
        <v>509</v>
      </c>
      <c r="O167" s="28" t="s">
        <v>41</v>
      </c>
      <c r="P167" s="28" t="s">
        <v>41</v>
      </c>
      <c r="Q167" s="28"/>
      <c r="R167" s="30"/>
      <c r="S167" s="30"/>
      <c r="T167" s="30"/>
      <c r="U167" s="30"/>
      <c r="V167" s="8">
        <f t="shared" si="134"/>
        <v>0</v>
      </c>
      <c r="W167" s="8">
        <f t="shared" si="135"/>
        <v>0</v>
      </c>
      <c r="X167" s="8">
        <f t="shared" si="136"/>
        <v>0</v>
      </c>
      <c r="Y167" s="33">
        <f t="shared" si="137"/>
        <v>0</v>
      </c>
      <c r="Z167" s="28"/>
      <c r="AA167" s="28"/>
      <c r="AB167" s="28">
        <v>0</v>
      </c>
      <c r="AC167" s="31"/>
      <c r="AD167" s="50">
        <f t="shared" si="138"/>
        <v>3</v>
      </c>
      <c r="AE167" s="31"/>
      <c r="AF167" s="51">
        <v>14</v>
      </c>
      <c r="AG167" s="51">
        <f t="shared" si="166"/>
        <v>8.4</v>
      </c>
      <c r="AH167" s="51">
        <f t="shared" si="131"/>
        <v>42</v>
      </c>
      <c r="AI167" s="52" t="s">
        <v>2497</v>
      </c>
      <c r="AJ167" s="52" t="s">
        <v>2498</v>
      </c>
      <c r="AK167" s="53">
        <f t="shared" si="167"/>
        <v>0</v>
      </c>
      <c r="AL167" s="54">
        <f t="shared" si="168"/>
        <v>0.11904761904761904</v>
      </c>
      <c r="AM167" s="54">
        <f t="shared" si="169"/>
        <v>2.3809523809523808E-2</v>
      </c>
      <c r="AN167" s="55">
        <f t="shared" si="170"/>
        <v>0</v>
      </c>
      <c r="AO167" s="55">
        <f t="shared" si="171"/>
        <v>0</v>
      </c>
      <c r="AP167" s="53">
        <v>7.1</v>
      </c>
      <c r="AQ167" s="53">
        <f t="shared" si="139"/>
        <v>4.26</v>
      </c>
      <c r="AR167" s="53">
        <f t="shared" si="140"/>
        <v>21.299999999999997</v>
      </c>
      <c r="AS167" s="56">
        <f t="shared" si="141"/>
        <v>4.6948356807511742E-2</v>
      </c>
      <c r="AT167" s="56">
        <f t="shared" si="172"/>
        <v>0.23474178403755869</v>
      </c>
      <c r="AU167" s="56">
        <f t="shared" si="142"/>
        <v>0.176056338028169</v>
      </c>
      <c r="AV167" s="56">
        <f t="shared" si="173"/>
        <v>5.8685446009389672E-2</v>
      </c>
      <c r="AW167" s="57" t="s">
        <v>2511</v>
      </c>
      <c r="AX167" s="57" t="s">
        <v>2512</v>
      </c>
      <c r="AY167" s="57" t="s">
        <v>2513</v>
      </c>
      <c r="AZ167" s="58">
        <f t="shared" si="174"/>
        <v>0</v>
      </c>
      <c r="BA167" s="59">
        <f t="shared" si="178"/>
        <v>0</v>
      </c>
      <c r="BB167" s="59">
        <f t="shared" si="179"/>
        <v>0</v>
      </c>
      <c r="BC167" s="59">
        <f t="shared" si="180"/>
        <v>0</v>
      </c>
      <c r="BD167" s="60">
        <f t="shared" si="175"/>
        <v>0</v>
      </c>
      <c r="BE167" s="59">
        <f t="shared" si="176"/>
        <v>0</v>
      </c>
      <c r="BQ167" s="61">
        <v>3000</v>
      </c>
      <c r="BR167" s="61">
        <v>1200</v>
      </c>
      <c r="BS167" s="28">
        <f t="shared" si="143"/>
        <v>2980</v>
      </c>
      <c r="BT167" s="28">
        <f t="shared" si="144"/>
        <v>1180</v>
      </c>
      <c r="BU167" s="28" t="s">
        <v>2541</v>
      </c>
      <c r="BV167" s="28">
        <f t="shared" si="145"/>
        <v>5</v>
      </c>
      <c r="BW167" s="28">
        <f t="shared" si="146"/>
        <v>5</v>
      </c>
      <c r="BX167" s="13">
        <f t="shared" si="147"/>
        <v>596</v>
      </c>
      <c r="BY167" s="13">
        <f t="shared" si="148"/>
        <v>596</v>
      </c>
      <c r="BZ167" s="13">
        <f t="shared" si="149"/>
        <v>236</v>
      </c>
      <c r="CA167" s="13">
        <f t="shared" si="150"/>
        <v>236</v>
      </c>
      <c r="CB167" s="13">
        <f t="shared" si="151"/>
        <v>140656</v>
      </c>
      <c r="CC167" s="62" t="str">
        <f t="shared" si="152"/>
        <v/>
      </c>
      <c r="CD167" s="13">
        <f t="shared" si="153"/>
        <v>596</v>
      </c>
      <c r="CE167" s="13">
        <f t="shared" si="154"/>
        <v>596</v>
      </c>
      <c r="CF167" s="13">
        <f t="shared" si="155"/>
        <v>236</v>
      </c>
      <c r="CG167" s="13">
        <f t="shared" si="156"/>
        <v>236</v>
      </c>
      <c r="CH167" s="28">
        <f t="shared" si="157"/>
        <v>140656</v>
      </c>
      <c r="CI167" s="62" t="str">
        <f t="shared" si="158"/>
        <v/>
      </c>
      <c r="CJ167" s="59">
        <f t="shared" si="159"/>
        <v>0</v>
      </c>
      <c r="CL167" s="63">
        <v>6000</v>
      </c>
      <c r="CM167" s="63">
        <f t="shared" si="160"/>
        <v>0</v>
      </c>
      <c r="CN167" s="63">
        <f t="shared" si="161"/>
        <v>5</v>
      </c>
      <c r="CO167" s="63">
        <f t="shared" si="162"/>
        <v>1200</v>
      </c>
      <c r="CP167" s="13">
        <f t="shared" si="163"/>
        <v>1200</v>
      </c>
      <c r="CQ167" s="70">
        <f t="shared" si="164"/>
        <v>8.3333333333333339E-4</v>
      </c>
      <c r="CR167" s="69">
        <f t="shared" si="132"/>
        <v>2.5000000000000001E-3</v>
      </c>
    </row>
    <row r="168" spans="1:96" hidden="1" x14ac:dyDescent="0.25">
      <c r="A168" s="17">
        <v>5</v>
      </c>
      <c r="B168" s="6" t="s">
        <v>510</v>
      </c>
      <c r="C168" s="17" t="s">
        <v>511</v>
      </c>
      <c r="D168" s="17" t="s">
        <v>2270</v>
      </c>
      <c r="E168" s="17" t="s">
        <v>52</v>
      </c>
      <c r="F168" s="7">
        <f t="shared" si="133"/>
        <v>1</v>
      </c>
      <c r="G168" s="17">
        <v>1</v>
      </c>
      <c r="H168" s="17">
        <f>G168*$H$167</f>
        <v>3</v>
      </c>
      <c r="I168" s="17">
        <v>1</v>
      </c>
      <c r="J168" s="6" t="s">
        <v>512</v>
      </c>
      <c r="K168" s="6" t="s">
        <v>34</v>
      </c>
      <c r="L168" s="17">
        <v>0</v>
      </c>
      <c r="M168" s="6" t="s">
        <v>35</v>
      </c>
      <c r="N168" s="17" t="s">
        <v>513</v>
      </c>
      <c r="O168" s="28" t="s">
        <v>41</v>
      </c>
      <c r="P168" s="28" t="s">
        <v>41</v>
      </c>
      <c r="Q168" s="28" t="s">
        <v>116</v>
      </c>
      <c r="R168" s="30">
        <v>2.8149999999999999</v>
      </c>
      <c r="S168" s="30">
        <v>1.19</v>
      </c>
      <c r="T168" s="30"/>
      <c r="U168" s="30">
        <v>0.11799999999999999</v>
      </c>
      <c r="V168" s="8">
        <f t="shared" si="134"/>
        <v>71.500999999999991</v>
      </c>
      <c r="W168" s="8">
        <f t="shared" si="135"/>
        <v>30.225999999999996</v>
      </c>
      <c r="X168" s="8">
        <f t="shared" si="136"/>
        <v>0</v>
      </c>
      <c r="Y168" s="33">
        <f t="shared" si="137"/>
        <v>2.9971999999999999</v>
      </c>
      <c r="Z168" s="28" t="s">
        <v>56</v>
      </c>
      <c r="AA168" s="28" t="s">
        <v>57</v>
      </c>
      <c r="AB168" s="28" t="s">
        <v>116</v>
      </c>
      <c r="AC168" s="31" t="s">
        <v>117</v>
      </c>
      <c r="AD168" s="50">
        <f t="shared" si="138"/>
        <v>3</v>
      </c>
      <c r="AE168" s="31"/>
      <c r="AF168" s="51">
        <v>14</v>
      </c>
      <c r="AG168" s="51">
        <f t="shared" si="166"/>
        <v>8.4</v>
      </c>
      <c r="AH168" s="51">
        <f t="shared" si="131"/>
        <v>42</v>
      </c>
      <c r="AI168" s="52" t="s">
        <v>2497</v>
      </c>
      <c r="AJ168" s="52" t="s">
        <v>2498</v>
      </c>
      <c r="AK168" s="53">
        <f t="shared" si="167"/>
        <v>4.322378451999999E-3</v>
      </c>
      <c r="AL168" s="54">
        <f t="shared" si="168"/>
        <v>0.11904761904761904</v>
      </c>
      <c r="AM168" s="54">
        <f t="shared" si="169"/>
        <v>2.3809523809523808E-2</v>
      </c>
      <c r="AN168" s="55">
        <f t="shared" si="170"/>
        <v>1.5437065899999995E-3</v>
      </c>
      <c r="AO168" s="55">
        <f t="shared" si="171"/>
        <v>3.0874131799999989E-4</v>
      </c>
      <c r="AP168" s="53">
        <v>7.1</v>
      </c>
      <c r="AQ168" s="53">
        <f t="shared" si="139"/>
        <v>4.26</v>
      </c>
      <c r="AR168" s="53">
        <f t="shared" si="140"/>
        <v>21.299999999999997</v>
      </c>
      <c r="AS168" s="56">
        <f t="shared" si="141"/>
        <v>4.6948356807511742E-2</v>
      </c>
      <c r="AT168" s="56">
        <f t="shared" si="172"/>
        <v>0.23474178403755869</v>
      </c>
      <c r="AU168" s="56">
        <f t="shared" si="142"/>
        <v>0.176056338028169</v>
      </c>
      <c r="AV168" s="56">
        <f t="shared" si="173"/>
        <v>5.8685446009389672E-2</v>
      </c>
      <c r="AW168" s="57" t="s">
        <v>2511</v>
      </c>
      <c r="AX168" s="57" t="s">
        <v>2512</v>
      </c>
      <c r="AY168" s="57" t="s">
        <v>2513</v>
      </c>
      <c r="AZ168" s="58">
        <f t="shared" si="174"/>
        <v>4.322378451999999E-3</v>
      </c>
      <c r="BA168" s="59">
        <f t="shared" si="178"/>
        <v>3.8049106091549286E-4</v>
      </c>
      <c r="BB168" s="59">
        <f t="shared" si="179"/>
        <v>1.1414731827464786E-3</v>
      </c>
      <c r="BC168" s="59">
        <f t="shared" si="180"/>
        <v>3.0439284873239432E-4</v>
      </c>
      <c r="BD168" s="60">
        <f t="shared" si="175"/>
        <v>7.9365079365079365E-4</v>
      </c>
      <c r="BE168" s="59">
        <f t="shared" si="176"/>
        <v>2.3809523809523812E-3</v>
      </c>
      <c r="BQ168" s="61">
        <v>3000</v>
      </c>
      <c r="BR168" s="61">
        <v>1200</v>
      </c>
      <c r="BS168" s="28">
        <f t="shared" si="143"/>
        <v>2980</v>
      </c>
      <c r="BT168" s="28">
        <f t="shared" si="144"/>
        <v>1180</v>
      </c>
      <c r="BU168" s="28" t="s">
        <v>2541</v>
      </c>
      <c r="BV168" s="28">
        <f t="shared" si="145"/>
        <v>76.500999999999991</v>
      </c>
      <c r="BW168" s="28">
        <f t="shared" si="146"/>
        <v>35.225999999999999</v>
      </c>
      <c r="BX168" s="13">
        <f t="shared" si="147"/>
        <v>38.953739166808283</v>
      </c>
      <c r="BY168" s="13">
        <f t="shared" si="148"/>
        <v>38</v>
      </c>
      <c r="BZ168" s="13">
        <f t="shared" si="149"/>
        <v>33.497984443308923</v>
      </c>
      <c r="CA168" s="13">
        <f t="shared" si="150"/>
        <v>33</v>
      </c>
      <c r="CB168" s="13">
        <f t="shared" si="151"/>
        <v>1254</v>
      </c>
      <c r="CC168" s="62">
        <f t="shared" si="152"/>
        <v>7.9744816586921851E-4</v>
      </c>
      <c r="CD168" s="13">
        <f t="shared" si="153"/>
        <v>84.596604780559815</v>
      </c>
      <c r="CE168" s="13">
        <f t="shared" si="154"/>
        <v>84</v>
      </c>
      <c r="CF168" s="13">
        <f t="shared" si="155"/>
        <v>15.424634972091869</v>
      </c>
      <c r="CG168" s="13">
        <f t="shared" si="156"/>
        <v>15</v>
      </c>
      <c r="CH168" s="28">
        <f t="shared" si="157"/>
        <v>1260</v>
      </c>
      <c r="CI168" s="62">
        <f t="shared" si="158"/>
        <v>7.9365079365079365E-4</v>
      </c>
      <c r="CJ168" s="59">
        <f t="shared" si="159"/>
        <v>7.9365079365079365E-4</v>
      </c>
      <c r="CL168" s="63">
        <v>6000</v>
      </c>
      <c r="CM168" s="63">
        <f t="shared" si="160"/>
        <v>71.500999999999991</v>
      </c>
      <c r="CN168" s="63">
        <f t="shared" si="161"/>
        <v>76.500999999999991</v>
      </c>
      <c r="CO168" s="63">
        <f t="shared" si="162"/>
        <v>78.430347315721377</v>
      </c>
      <c r="CP168" s="13">
        <f t="shared" si="163"/>
        <v>78</v>
      </c>
      <c r="CQ168" s="70">
        <f t="shared" si="164"/>
        <v>1.282051282051282E-2</v>
      </c>
      <c r="CR168" s="69">
        <f t="shared" si="132"/>
        <v>3.8461538461538464E-2</v>
      </c>
    </row>
    <row r="169" spans="1:96" hidden="1" x14ac:dyDescent="0.25">
      <c r="A169" s="17">
        <v>5</v>
      </c>
      <c r="B169" s="6" t="s">
        <v>510</v>
      </c>
      <c r="C169" s="17" t="s">
        <v>514</v>
      </c>
      <c r="D169" s="17" t="s">
        <v>516</v>
      </c>
      <c r="E169" s="17" t="s">
        <v>52</v>
      </c>
      <c r="F169" s="7">
        <f t="shared" si="133"/>
        <v>1</v>
      </c>
      <c r="G169" s="17">
        <v>1</v>
      </c>
      <c r="H169" s="17">
        <f t="shared" ref="H169:H170" si="186">G169*$H$167</f>
        <v>3</v>
      </c>
      <c r="I169" s="17">
        <v>2</v>
      </c>
      <c r="J169" s="6" t="s">
        <v>515</v>
      </c>
      <c r="K169" s="6" t="s">
        <v>34</v>
      </c>
      <c r="L169" s="17" t="s">
        <v>110</v>
      </c>
      <c r="M169" s="6" t="s">
        <v>35</v>
      </c>
      <c r="N169" s="17" t="s">
        <v>516</v>
      </c>
      <c r="O169" s="28" t="s">
        <v>41</v>
      </c>
      <c r="P169" s="28" t="s">
        <v>41</v>
      </c>
      <c r="Q169" s="28" t="s">
        <v>516</v>
      </c>
      <c r="R169" s="30"/>
      <c r="S169" s="30"/>
      <c r="T169" s="30"/>
      <c r="U169" s="30"/>
      <c r="V169" s="8">
        <f t="shared" si="134"/>
        <v>0</v>
      </c>
      <c r="W169" s="8">
        <f t="shared" si="135"/>
        <v>0</v>
      </c>
      <c r="X169" s="8">
        <f t="shared" si="136"/>
        <v>0</v>
      </c>
      <c r="Y169" s="33">
        <f t="shared" si="137"/>
        <v>0</v>
      </c>
      <c r="Z169" s="28" t="s">
        <v>517</v>
      </c>
      <c r="AA169" s="28" t="s">
        <v>518</v>
      </c>
      <c r="AB169" s="61" t="s">
        <v>516</v>
      </c>
      <c r="AC169" s="31" t="s">
        <v>519</v>
      </c>
      <c r="AD169" s="50">
        <f t="shared" si="138"/>
        <v>3</v>
      </c>
      <c r="AE169" s="31"/>
      <c r="AF169" s="51">
        <v>14</v>
      </c>
      <c r="AG169" s="51">
        <f t="shared" si="166"/>
        <v>8.4</v>
      </c>
      <c r="AH169" s="51">
        <f t="shared" si="131"/>
        <v>42</v>
      </c>
      <c r="AI169" s="52" t="s">
        <v>2497</v>
      </c>
      <c r="AJ169" s="52" t="s">
        <v>2498</v>
      </c>
      <c r="AK169" s="53">
        <f t="shared" si="167"/>
        <v>0</v>
      </c>
      <c r="AL169" s="54">
        <f t="shared" si="168"/>
        <v>0.11904761904761904</v>
      </c>
      <c r="AM169" s="54">
        <f t="shared" si="169"/>
        <v>2.3809523809523808E-2</v>
      </c>
      <c r="AN169" s="55">
        <f t="shared" si="170"/>
        <v>0</v>
      </c>
      <c r="AO169" s="55">
        <f t="shared" si="171"/>
        <v>0</v>
      </c>
      <c r="AP169" s="53">
        <v>7.1</v>
      </c>
      <c r="AQ169" s="53">
        <f t="shared" si="139"/>
        <v>4.26</v>
      </c>
      <c r="AR169" s="53">
        <f t="shared" si="140"/>
        <v>21.299999999999997</v>
      </c>
      <c r="AS169" s="56">
        <f t="shared" si="141"/>
        <v>4.6948356807511742E-2</v>
      </c>
      <c r="AT169" s="56">
        <f t="shared" si="172"/>
        <v>0.23474178403755869</v>
      </c>
      <c r="AU169" s="56">
        <f t="shared" si="142"/>
        <v>0.176056338028169</v>
      </c>
      <c r="AV169" s="56">
        <f t="shared" si="173"/>
        <v>5.8685446009389672E-2</v>
      </c>
      <c r="AW169" s="57" t="s">
        <v>2511</v>
      </c>
      <c r="AX169" s="57" t="s">
        <v>2512</v>
      </c>
      <c r="AY169" s="57" t="s">
        <v>2513</v>
      </c>
      <c r="AZ169" s="58">
        <f t="shared" si="174"/>
        <v>0</v>
      </c>
      <c r="BA169" s="59">
        <f t="shared" si="178"/>
        <v>0</v>
      </c>
      <c r="BB169" s="59">
        <f t="shared" si="179"/>
        <v>0</v>
      </c>
      <c r="BC169" s="59">
        <f t="shared" si="180"/>
        <v>0</v>
      </c>
      <c r="BD169" s="60">
        <f t="shared" si="175"/>
        <v>7.1095438516664771E-6</v>
      </c>
      <c r="BE169" s="59">
        <f t="shared" si="176"/>
        <v>2.1328631554999432E-5</v>
      </c>
      <c r="BQ169" s="61">
        <v>3000</v>
      </c>
      <c r="BR169" s="61">
        <v>1200</v>
      </c>
      <c r="BS169" s="28">
        <f t="shared" si="143"/>
        <v>2980</v>
      </c>
      <c r="BT169" s="28">
        <f t="shared" si="144"/>
        <v>1180</v>
      </c>
      <c r="BU169" s="28" t="s">
        <v>2541</v>
      </c>
      <c r="BV169" s="28">
        <f t="shared" si="145"/>
        <v>5</v>
      </c>
      <c r="BW169" s="28">
        <f t="shared" si="146"/>
        <v>5</v>
      </c>
      <c r="BX169" s="13">
        <f t="shared" si="147"/>
        <v>596</v>
      </c>
      <c r="BY169" s="13">
        <f t="shared" si="148"/>
        <v>596</v>
      </c>
      <c r="BZ169" s="13">
        <f t="shared" si="149"/>
        <v>236</v>
      </c>
      <c r="CA169" s="13">
        <f t="shared" si="150"/>
        <v>236</v>
      </c>
      <c r="CB169" s="13">
        <f t="shared" si="151"/>
        <v>140656</v>
      </c>
      <c r="CC169" s="62">
        <f t="shared" si="152"/>
        <v>7.1095438516664771E-6</v>
      </c>
      <c r="CD169" s="13">
        <f t="shared" si="153"/>
        <v>596</v>
      </c>
      <c r="CE169" s="13">
        <f t="shared" si="154"/>
        <v>596</v>
      </c>
      <c r="CF169" s="13">
        <f t="shared" si="155"/>
        <v>236</v>
      </c>
      <c r="CG169" s="13">
        <f t="shared" si="156"/>
        <v>236</v>
      </c>
      <c r="CH169" s="28">
        <f t="shared" si="157"/>
        <v>140656</v>
      </c>
      <c r="CI169" s="62">
        <f t="shared" si="158"/>
        <v>7.1095438516664771E-6</v>
      </c>
      <c r="CJ169" s="59">
        <f t="shared" si="159"/>
        <v>7.1095438516664771E-6</v>
      </c>
      <c r="CL169" s="63">
        <v>6000</v>
      </c>
      <c r="CM169" s="63">
        <f t="shared" si="160"/>
        <v>0</v>
      </c>
      <c r="CN169" s="63">
        <f t="shared" si="161"/>
        <v>5</v>
      </c>
      <c r="CO169" s="63">
        <f t="shared" si="162"/>
        <v>1200</v>
      </c>
      <c r="CP169" s="13">
        <f t="shared" si="163"/>
        <v>1200</v>
      </c>
      <c r="CQ169" s="70">
        <f t="shared" si="164"/>
        <v>8.3333333333333339E-4</v>
      </c>
      <c r="CR169" s="69">
        <f t="shared" si="132"/>
        <v>2.5000000000000001E-3</v>
      </c>
    </row>
    <row r="170" spans="1:96" hidden="1" x14ac:dyDescent="0.25">
      <c r="A170" s="17">
        <v>5</v>
      </c>
      <c r="B170" s="6" t="s">
        <v>510</v>
      </c>
      <c r="C170" s="17" t="s">
        <v>520</v>
      </c>
      <c r="D170" s="17" t="s">
        <v>2270</v>
      </c>
      <c r="E170" s="17" t="s">
        <v>52</v>
      </c>
      <c r="F170" s="7">
        <f t="shared" si="133"/>
        <v>1</v>
      </c>
      <c r="G170" s="17">
        <v>1</v>
      </c>
      <c r="H170" s="17">
        <f t="shared" si="186"/>
        <v>3</v>
      </c>
      <c r="I170" s="17">
        <v>3</v>
      </c>
      <c r="J170" s="6" t="s">
        <v>521</v>
      </c>
      <c r="K170" s="6" t="s">
        <v>34</v>
      </c>
      <c r="L170" s="17">
        <v>0</v>
      </c>
      <c r="M170" s="6" t="s">
        <v>35</v>
      </c>
      <c r="N170" s="17" t="s">
        <v>522</v>
      </c>
      <c r="O170" s="28" t="s">
        <v>41</v>
      </c>
      <c r="P170" s="28" t="s">
        <v>41</v>
      </c>
      <c r="Q170" s="28" t="s">
        <v>522</v>
      </c>
      <c r="R170" s="30"/>
      <c r="S170" s="30"/>
      <c r="T170" s="30"/>
      <c r="U170" s="30"/>
      <c r="V170" s="8">
        <f t="shared" si="134"/>
        <v>0</v>
      </c>
      <c r="W170" s="8">
        <f t="shared" si="135"/>
        <v>0</v>
      </c>
      <c r="X170" s="8">
        <f t="shared" si="136"/>
        <v>0</v>
      </c>
      <c r="Y170" s="33">
        <f t="shared" si="137"/>
        <v>0</v>
      </c>
      <c r="Z170" s="28"/>
      <c r="AA170" s="28"/>
      <c r="AB170" s="61" t="s">
        <v>522</v>
      </c>
      <c r="AC170" s="31" t="s">
        <v>523</v>
      </c>
      <c r="AD170" s="50">
        <f t="shared" si="138"/>
        <v>3</v>
      </c>
      <c r="AE170" s="31"/>
      <c r="AF170" s="51">
        <v>14</v>
      </c>
      <c r="AG170" s="51">
        <f t="shared" si="166"/>
        <v>8.4</v>
      </c>
      <c r="AH170" s="51">
        <f t="shared" si="131"/>
        <v>42</v>
      </c>
      <c r="AI170" s="52" t="s">
        <v>2497</v>
      </c>
      <c r="AJ170" s="52" t="s">
        <v>2498</v>
      </c>
      <c r="AK170" s="53">
        <f t="shared" si="167"/>
        <v>0</v>
      </c>
      <c r="AL170" s="54">
        <f t="shared" si="168"/>
        <v>0.11904761904761904</v>
      </c>
      <c r="AM170" s="54">
        <f t="shared" si="169"/>
        <v>2.3809523809523808E-2</v>
      </c>
      <c r="AN170" s="55">
        <f t="shared" si="170"/>
        <v>0</v>
      </c>
      <c r="AO170" s="55">
        <f t="shared" si="171"/>
        <v>0</v>
      </c>
      <c r="AP170" s="53">
        <v>7.1</v>
      </c>
      <c r="AQ170" s="53">
        <f t="shared" si="139"/>
        <v>4.26</v>
      </c>
      <c r="AR170" s="53">
        <f t="shared" si="140"/>
        <v>21.299999999999997</v>
      </c>
      <c r="AS170" s="56">
        <f t="shared" si="141"/>
        <v>4.6948356807511742E-2</v>
      </c>
      <c r="AT170" s="56">
        <f t="shared" si="172"/>
        <v>0.23474178403755869</v>
      </c>
      <c r="AU170" s="56">
        <f t="shared" si="142"/>
        <v>0.176056338028169</v>
      </c>
      <c r="AV170" s="56">
        <f t="shared" si="173"/>
        <v>5.8685446009389672E-2</v>
      </c>
      <c r="AW170" s="57" t="s">
        <v>2511</v>
      </c>
      <c r="AX170" s="57" t="s">
        <v>2512</v>
      </c>
      <c r="AY170" s="57" t="s">
        <v>2513</v>
      </c>
      <c r="AZ170" s="58">
        <f t="shared" si="174"/>
        <v>0</v>
      </c>
      <c r="BA170" s="59">
        <f t="shared" si="178"/>
        <v>0</v>
      </c>
      <c r="BB170" s="59">
        <f t="shared" si="179"/>
        <v>0</v>
      </c>
      <c r="BC170" s="59">
        <f t="shared" si="180"/>
        <v>0</v>
      </c>
      <c r="BD170" s="60">
        <f t="shared" si="175"/>
        <v>7.1095438516664771E-6</v>
      </c>
      <c r="BE170" s="59">
        <f t="shared" si="176"/>
        <v>2.1328631554999432E-5</v>
      </c>
      <c r="BQ170" s="61">
        <v>3000</v>
      </c>
      <c r="BR170" s="61">
        <v>1200</v>
      </c>
      <c r="BS170" s="28">
        <f t="shared" si="143"/>
        <v>2980</v>
      </c>
      <c r="BT170" s="28">
        <f t="shared" si="144"/>
        <v>1180</v>
      </c>
      <c r="BU170" s="28" t="s">
        <v>2541</v>
      </c>
      <c r="BV170" s="28">
        <f t="shared" si="145"/>
        <v>5</v>
      </c>
      <c r="BW170" s="28">
        <f t="shared" si="146"/>
        <v>5</v>
      </c>
      <c r="BX170" s="13">
        <f t="shared" si="147"/>
        <v>596</v>
      </c>
      <c r="BY170" s="13">
        <f t="shared" si="148"/>
        <v>596</v>
      </c>
      <c r="BZ170" s="13">
        <f t="shared" si="149"/>
        <v>236</v>
      </c>
      <c r="CA170" s="13">
        <f t="shared" si="150"/>
        <v>236</v>
      </c>
      <c r="CB170" s="13">
        <f t="shared" si="151"/>
        <v>140656</v>
      </c>
      <c r="CC170" s="62">
        <f t="shared" si="152"/>
        <v>7.1095438516664771E-6</v>
      </c>
      <c r="CD170" s="13">
        <f t="shared" si="153"/>
        <v>596</v>
      </c>
      <c r="CE170" s="13">
        <f t="shared" si="154"/>
        <v>596</v>
      </c>
      <c r="CF170" s="13">
        <f t="shared" si="155"/>
        <v>236</v>
      </c>
      <c r="CG170" s="13">
        <f t="shared" si="156"/>
        <v>236</v>
      </c>
      <c r="CH170" s="28">
        <f t="shared" si="157"/>
        <v>140656</v>
      </c>
      <c r="CI170" s="62">
        <f t="shared" si="158"/>
        <v>7.1095438516664771E-6</v>
      </c>
      <c r="CJ170" s="59">
        <f t="shared" si="159"/>
        <v>7.1095438516664771E-6</v>
      </c>
      <c r="CL170" s="63">
        <v>6000</v>
      </c>
      <c r="CM170" s="63">
        <f t="shared" si="160"/>
        <v>0</v>
      </c>
      <c r="CN170" s="63">
        <f t="shared" si="161"/>
        <v>5</v>
      </c>
      <c r="CO170" s="63">
        <f t="shared" si="162"/>
        <v>1200</v>
      </c>
      <c r="CP170" s="13">
        <f t="shared" si="163"/>
        <v>1200</v>
      </c>
      <c r="CQ170" s="70">
        <f t="shared" si="164"/>
        <v>8.3333333333333339E-4</v>
      </c>
      <c r="CR170" s="69">
        <f t="shared" si="132"/>
        <v>2.5000000000000001E-3</v>
      </c>
    </row>
    <row r="171" spans="1:96" hidden="1" x14ac:dyDescent="0.25">
      <c r="A171" s="13">
        <v>4</v>
      </c>
      <c r="B171" s="14" t="s">
        <v>403</v>
      </c>
      <c r="C171" s="13" t="s">
        <v>524</v>
      </c>
      <c r="D171" s="13" t="s">
        <v>526</v>
      </c>
      <c r="E171" s="13" t="s">
        <v>52</v>
      </c>
      <c r="F171" s="15">
        <f t="shared" si="133"/>
        <v>1</v>
      </c>
      <c r="G171" s="13">
        <v>3</v>
      </c>
      <c r="H171" s="13">
        <f t="shared" ref="H171:H173" si="187">G171*$H$130</f>
        <v>3</v>
      </c>
      <c r="I171" s="13">
        <v>14</v>
      </c>
      <c r="J171" s="14" t="s">
        <v>525</v>
      </c>
      <c r="K171" s="14" t="s">
        <v>34</v>
      </c>
      <c r="L171" s="13">
        <v>0</v>
      </c>
      <c r="M171" s="14" t="s">
        <v>35</v>
      </c>
      <c r="N171" s="13" t="s">
        <v>526</v>
      </c>
      <c r="O171" s="28" t="s">
        <v>41</v>
      </c>
      <c r="P171" s="28" t="s">
        <v>41</v>
      </c>
      <c r="Q171" s="28" t="s">
        <v>526</v>
      </c>
      <c r="R171" s="30"/>
      <c r="S171" s="30"/>
      <c r="T171" s="30"/>
      <c r="U171" s="30"/>
      <c r="V171" s="8">
        <f t="shared" si="134"/>
        <v>0</v>
      </c>
      <c r="W171" s="8">
        <f t="shared" si="135"/>
        <v>0</v>
      </c>
      <c r="X171" s="8">
        <f t="shared" si="136"/>
        <v>0</v>
      </c>
      <c r="Y171" s="33">
        <f t="shared" si="137"/>
        <v>0</v>
      </c>
      <c r="Z171" s="28"/>
      <c r="AA171" s="28"/>
      <c r="AB171" s="61" t="s">
        <v>526</v>
      </c>
      <c r="AC171" s="31" t="s">
        <v>527</v>
      </c>
      <c r="AD171" s="50">
        <f t="shared" si="138"/>
        <v>3</v>
      </c>
      <c r="AE171" s="31"/>
      <c r="AF171" s="51">
        <v>14</v>
      </c>
      <c r="AG171" s="51">
        <f t="shared" si="166"/>
        <v>8.4</v>
      </c>
      <c r="AH171" s="51">
        <f t="shared" si="131"/>
        <v>42</v>
      </c>
      <c r="AI171" s="52" t="s">
        <v>2497</v>
      </c>
      <c r="AJ171" s="52" t="s">
        <v>2498</v>
      </c>
      <c r="AK171" s="53">
        <f t="shared" si="167"/>
        <v>0</v>
      </c>
      <c r="AL171" s="54">
        <f t="shared" si="168"/>
        <v>0.11904761904761904</v>
      </c>
      <c r="AM171" s="54">
        <f t="shared" si="169"/>
        <v>2.3809523809523808E-2</v>
      </c>
      <c r="AN171" s="55">
        <f t="shared" si="170"/>
        <v>0</v>
      </c>
      <c r="AO171" s="55">
        <f t="shared" si="171"/>
        <v>0</v>
      </c>
      <c r="AP171" s="53">
        <v>7.1</v>
      </c>
      <c r="AQ171" s="53">
        <f t="shared" si="139"/>
        <v>4.26</v>
      </c>
      <c r="AR171" s="53">
        <f t="shared" si="140"/>
        <v>21.299999999999997</v>
      </c>
      <c r="AS171" s="56">
        <f t="shared" si="141"/>
        <v>4.6948356807511742E-2</v>
      </c>
      <c r="AT171" s="56">
        <f t="shared" si="172"/>
        <v>0.23474178403755869</v>
      </c>
      <c r="AU171" s="56">
        <f t="shared" si="142"/>
        <v>0.176056338028169</v>
      </c>
      <c r="AV171" s="56">
        <f t="shared" si="173"/>
        <v>5.8685446009389672E-2</v>
      </c>
      <c r="AW171" s="57" t="s">
        <v>2511</v>
      </c>
      <c r="AX171" s="57" t="s">
        <v>2512</v>
      </c>
      <c r="AY171" s="57" t="s">
        <v>2513</v>
      </c>
      <c r="AZ171" s="58">
        <f t="shared" si="174"/>
        <v>0</v>
      </c>
      <c r="BA171" s="59">
        <f t="shared" si="178"/>
        <v>0</v>
      </c>
      <c r="BB171" s="59">
        <f t="shared" si="179"/>
        <v>0</v>
      </c>
      <c r="BC171" s="59">
        <f t="shared" si="180"/>
        <v>0</v>
      </c>
      <c r="BD171" s="60">
        <f t="shared" si="175"/>
        <v>7.1095438516664771E-6</v>
      </c>
      <c r="BE171" s="59">
        <f t="shared" si="176"/>
        <v>2.1328631554999432E-5</v>
      </c>
      <c r="BQ171" s="61">
        <v>3000</v>
      </c>
      <c r="BR171" s="61">
        <v>1200</v>
      </c>
      <c r="BS171" s="28">
        <f t="shared" si="143"/>
        <v>2980</v>
      </c>
      <c r="BT171" s="28">
        <f t="shared" si="144"/>
        <v>1180</v>
      </c>
      <c r="BU171" s="28" t="s">
        <v>2541</v>
      </c>
      <c r="BV171" s="28">
        <f t="shared" si="145"/>
        <v>5</v>
      </c>
      <c r="BW171" s="28">
        <f t="shared" si="146"/>
        <v>5</v>
      </c>
      <c r="BX171" s="13">
        <f t="shared" si="147"/>
        <v>596</v>
      </c>
      <c r="BY171" s="13">
        <f t="shared" si="148"/>
        <v>596</v>
      </c>
      <c r="BZ171" s="13">
        <f t="shared" si="149"/>
        <v>236</v>
      </c>
      <c r="CA171" s="13">
        <f t="shared" si="150"/>
        <v>236</v>
      </c>
      <c r="CB171" s="13">
        <f t="shared" si="151"/>
        <v>140656</v>
      </c>
      <c r="CC171" s="62">
        <f t="shared" si="152"/>
        <v>7.1095438516664771E-6</v>
      </c>
      <c r="CD171" s="13">
        <f t="shared" si="153"/>
        <v>596</v>
      </c>
      <c r="CE171" s="13">
        <f t="shared" si="154"/>
        <v>596</v>
      </c>
      <c r="CF171" s="13">
        <f t="shared" si="155"/>
        <v>236</v>
      </c>
      <c r="CG171" s="13">
        <f t="shared" si="156"/>
        <v>236</v>
      </c>
      <c r="CH171" s="28">
        <f t="shared" si="157"/>
        <v>140656</v>
      </c>
      <c r="CI171" s="62">
        <f t="shared" si="158"/>
        <v>7.1095438516664771E-6</v>
      </c>
      <c r="CJ171" s="59">
        <f t="shared" si="159"/>
        <v>7.1095438516664771E-6</v>
      </c>
      <c r="CL171" s="63">
        <v>6000</v>
      </c>
      <c r="CM171" s="63">
        <f t="shared" si="160"/>
        <v>0</v>
      </c>
      <c r="CN171" s="63">
        <f t="shared" si="161"/>
        <v>5</v>
      </c>
      <c r="CO171" s="63">
        <f t="shared" si="162"/>
        <v>1200</v>
      </c>
      <c r="CP171" s="13">
        <f t="shared" si="163"/>
        <v>1200</v>
      </c>
      <c r="CQ171" s="70">
        <f t="shared" si="164"/>
        <v>8.3333333333333339E-4</v>
      </c>
      <c r="CR171" s="69">
        <f t="shared" si="132"/>
        <v>2.5000000000000001E-3</v>
      </c>
    </row>
    <row r="172" spans="1:96" hidden="1" x14ac:dyDescent="0.25">
      <c r="A172" s="13">
        <v>4</v>
      </c>
      <c r="B172" s="14" t="s">
        <v>403</v>
      </c>
      <c r="C172" s="13" t="s">
        <v>528</v>
      </c>
      <c r="D172" s="13" t="s">
        <v>2270</v>
      </c>
      <c r="E172" s="13" t="s">
        <v>52</v>
      </c>
      <c r="F172" s="15">
        <f t="shared" si="133"/>
        <v>1</v>
      </c>
      <c r="G172" s="13">
        <v>1</v>
      </c>
      <c r="H172" s="13">
        <f t="shared" si="187"/>
        <v>1</v>
      </c>
      <c r="I172" s="13">
        <v>15</v>
      </c>
      <c r="J172" s="14" t="s">
        <v>130</v>
      </c>
      <c r="K172" s="14" t="s">
        <v>34</v>
      </c>
      <c r="L172" s="13">
        <v>0</v>
      </c>
      <c r="M172" s="14" t="s">
        <v>35</v>
      </c>
      <c r="N172" s="13" t="s">
        <v>529</v>
      </c>
      <c r="O172" s="28" t="s">
        <v>41</v>
      </c>
      <c r="P172" s="28" t="s">
        <v>41</v>
      </c>
      <c r="Q172" s="28" t="s">
        <v>124</v>
      </c>
      <c r="R172" s="30">
        <v>20.338000000000001</v>
      </c>
      <c r="S172" s="30">
        <v>5.3789999999999996</v>
      </c>
      <c r="T172" s="30"/>
      <c r="U172" s="30">
        <v>9.8000000000000004E-2</v>
      </c>
      <c r="V172" s="8">
        <f t="shared" si="134"/>
        <v>516.58519999999999</v>
      </c>
      <c r="W172" s="8">
        <f t="shared" si="135"/>
        <v>136.62659999999997</v>
      </c>
      <c r="X172" s="8">
        <f t="shared" si="136"/>
        <v>0</v>
      </c>
      <c r="Y172" s="33">
        <f t="shared" si="137"/>
        <v>2.4891999999999999</v>
      </c>
      <c r="Z172" s="28" t="s">
        <v>56</v>
      </c>
      <c r="AA172" s="28" t="s">
        <v>57</v>
      </c>
      <c r="AB172" s="61" t="s">
        <v>124</v>
      </c>
      <c r="AC172" s="31" t="s">
        <v>125</v>
      </c>
      <c r="AD172" s="50">
        <f t="shared" si="138"/>
        <v>1</v>
      </c>
      <c r="AE172" s="31"/>
      <c r="AF172" s="51">
        <v>14</v>
      </c>
      <c r="AG172" s="51">
        <f t="shared" si="166"/>
        <v>8.4</v>
      </c>
      <c r="AH172" s="51">
        <f t="shared" si="131"/>
        <v>42</v>
      </c>
      <c r="AI172" s="52" t="s">
        <v>2497</v>
      </c>
      <c r="AJ172" s="52" t="s">
        <v>2498</v>
      </c>
      <c r="AK172" s="53">
        <f t="shared" si="167"/>
        <v>0.14115855897263996</v>
      </c>
      <c r="AL172" s="54">
        <f t="shared" si="168"/>
        <v>0.11904761904761904</v>
      </c>
      <c r="AM172" s="54">
        <f t="shared" si="169"/>
        <v>2.3809523809523808E-2</v>
      </c>
      <c r="AN172" s="55">
        <f t="shared" si="170"/>
        <v>1.6804590353885707E-2</v>
      </c>
      <c r="AO172" s="55">
        <f t="shared" si="171"/>
        <v>3.3609180707771416E-3</v>
      </c>
      <c r="AP172" s="53">
        <v>7.1</v>
      </c>
      <c r="AQ172" s="53">
        <f t="shared" si="139"/>
        <v>4.26</v>
      </c>
      <c r="AR172" s="53">
        <f t="shared" si="140"/>
        <v>21.299999999999997</v>
      </c>
      <c r="AS172" s="56">
        <f t="shared" si="141"/>
        <v>4.6948356807511742E-2</v>
      </c>
      <c r="AT172" s="56">
        <f t="shared" si="172"/>
        <v>0.23474178403755869</v>
      </c>
      <c r="AU172" s="56">
        <f t="shared" si="142"/>
        <v>0.176056338028169</v>
      </c>
      <c r="AV172" s="56">
        <f t="shared" si="173"/>
        <v>5.8685446009389672E-2</v>
      </c>
      <c r="AW172" s="57" t="s">
        <v>2511</v>
      </c>
      <c r="AX172" s="57" t="s">
        <v>2512</v>
      </c>
      <c r="AY172" s="57" t="s">
        <v>2513</v>
      </c>
      <c r="AZ172" s="58">
        <f t="shared" si="174"/>
        <v>0.14115855897263996</v>
      </c>
      <c r="BA172" s="59">
        <f t="shared" si="178"/>
        <v>4.1419764956760552E-3</v>
      </c>
      <c r="BB172" s="59">
        <f t="shared" si="179"/>
        <v>1.2425929487028165E-2</v>
      </c>
      <c r="BC172" s="59">
        <f t="shared" si="180"/>
        <v>3.3135811965408443E-3</v>
      </c>
      <c r="BD172" s="60">
        <f t="shared" si="175"/>
        <v>2.3809523809523808E-2</v>
      </c>
      <c r="BE172" s="59">
        <f t="shared" si="176"/>
        <v>2.3809523809523808E-2</v>
      </c>
      <c r="BQ172" s="61">
        <v>3000</v>
      </c>
      <c r="BR172" s="61">
        <v>1200</v>
      </c>
      <c r="BS172" s="28">
        <f t="shared" si="143"/>
        <v>2980</v>
      </c>
      <c r="BT172" s="28">
        <f t="shared" si="144"/>
        <v>1180</v>
      </c>
      <c r="BU172" s="28" t="s">
        <v>2541</v>
      </c>
      <c r="BV172" s="28">
        <f t="shared" si="145"/>
        <v>521.58519999999999</v>
      </c>
      <c r="BW172" s="28">
        <f t="shared" si="146"/>
        <v>141.62659999999997</v>
      </c>
      <c r="BX172" s="13">
        <f t="shared" si="147"/>
        <v>5.7133522960390746</v>
      </c>
      <c r="BY172" s="13">
        <f t="shared" si="148"/>
        <v>5</v>
      </c>
      <c r="BZ172" s="13">
        <f t="shared" si="149"/>
        <v>8.3317681847901479</v>
      </c>
      <c r="CA172" s="13">
        <f t="shared" si="150"/>
        <v>8</v>
      </c>
      <c r="CB172" s="13">
        <f t="shared" si="151"/>
        <v>40</v>
      </c>
      <c r="CC172" s="62">
        <f t="shared" si="152"/>
        <v>2.5000000000000001E-2</v>
      </c>
      <c r="CD172" s="13">
        <f t="shared" si="153"/>
        <v>21.041245076842912</v>
      </c>
      <c r="CE172" s="13">
        <f t="shared" si="154"/>
        <v>21</v>
      </c>
      <c r="CF172" s="13">
        <f t="shared" si="155"/>
        <v>2.2623341306463449</v>
      </c>
      <c r="CG172" s="13">
        <f t="shared" si="156"/>
        <v>2</v>
      </c>
      <c r="CH172" s="28">
        <f t="shared" si="157"/>
        <v>42</v>
      </c>
      <c r="CI172" s="62">
        <f t="shared" si="158"/>
        <v>2.3809523809523808E-2</v>
      </c>
      <c r="CJ172" s="59">
        <f t="shared" si="159"/>
        <v>2.3809523809523808E-2</v>
      </c>
      <c r="CL172" s="63">
        <v>6000</v>
      </c>
      <c r="CM172" s="63">
        <f t="shared" si="160"/>
        <v>516.58519999999999</v>
      </c>
      <c r="CN172" s="63">
        <f t="shared" si="161"/>
        <v>521.58519999999999</v>
      </c>
      <c r="CO172" s="63">
        <f t="shared" si="162"/>
        <v>11.503393884642433</v>
      </c>
      <c r="CP172" s="13">
        <f t="shared" si="163"/>
        <v>11</v>
      </c>
      <c r="CQ172" s="70">
        <f t="shared" si="164"/>
        <v>9.0909090909090912E-2</v>
      </c>
      <c r="CR172" s="69">
        <f t="shared" si="132"/>
        <v>9.0909090909090912E-2</v>
      </c>
    </row>
    <row r="173" spans="1:96" hidden="1" x14ac:dyDescent="0.25">
      <c r="A173" s="13">
        <v>4</v>
      </c>
      <c r="B173" s="14" t="s">
        <v>403</v>
      </c>
      <c r="C173" s="13" t="s">
        <v>530</v>
      </c>
      <c r="D173" s="13" t="s">
        <v>532</v>
      </c>
      <c r="E173" s="13" t="s">
        <v>32</v>
      </c>
      <c r="F173" s="15">
        <f t="shared" si="133"/>
        <v>21</v>
      </c>
      <c r="G173" s="13">
        <v>4</v>
      </c>
      <c r="H173" s="13">
        <f t="shared" si="187"/>
        <v>4</v>
      </c>
      <c r="I173" s="13">
        <v>16</v>
      </c>
      <c r="J173" s="14" t="s">
        <v>531</v>
      </c>
      <c r="K173" s="14" t="s">
        <v>34</v>
      </c>
      <c r="L173" s="13" t="s">
        <v>110</v>
      </c>
      <c r="M173" s="14" t="s">
        <v>35</v>
      </c>
      <c r="N173" s="13" t="s">
        <v>532</v>
      </c>
      <c r="O173" s="28" t="s">
        <v>41</v>
      </c>
      <c r="P173" s="28" t="s">
        <v>41</v>
      </c>
      <c r="Q173" s="28"/>
      <c r="R173" s="30"/>
      <c r="S173" s="30"/>
      <c r="T173" s="30"/>
      <c r="U173" s="30"/>
      <c r="V173" s="8">
        <f t="shared" si="134"/>
        <v>0</v>
      </c>
      <c r="W173" s="8">
        <f t="shared" si="135"/>
        <v>0</v>
      </c>
      <c r="X173" s="8">
        <f t="shared" si="136"/>
        <v>0</v>
      </c>
      <c r="Y173" s="33">
        <f t="shared" si="137"/>
        <v>0</v>
      </c>
      <c r="Z173" s="28"/>
      <c r="AA173" s="28"/>
      <c r="AB173" s="28"/>
      <c r="AC173" s="31"/>
      <c r="AD173" s="50">
        <f t="shared" si="138"/>
        <v>4</v>
      </c>
      <c r="AE173" s="31"/>
      <c r="AF173" s="51">
        <v>14</v>
      </c>
      <c r="AG173" s="51">
        <f t="shared" si="166"/>
        <v>8.4</v>
      </c>
      <c r="AH173" s="51">
        <f t="shared" si="131"/>
        <v>42</v>
      </c>
      <c r="AI173" s="52" t="s">
        <v>2497</v>
      </c>
      <c r="AJ173" s="52" t="s">
        <v>2498</v>
      </c>
      <c r="AK173" s="53">
        <f t="shared" si="167"/>
        <v>0</v>
      </c>
      <c r="AL173" s="54">
        <f t="shared" si="168"/>
        <v>0.11904761904761904</v>
      </c>
      <c r="AM173" s="54">
        <f t="shared" si="169"/>
        <v>2.3809523809523808E-2</v>
      </c>
      <c r="AN173" s="55">
        <f t="shared" si="170"/>
        <v>0</v>
      </c>
      <c r="AO173" s="55">
        <f t="shared" si="171"/>
        <v>0</v>
      </c>
      <c r="AP173" s="53">
        <v>7.1</v>
      </c>
      <c r="AQ173" s="53">
        <f t="shared" si="139"/>
        <v>4.26</v>
      </c>
      <c r="AR173" s="53">
        <f t="shared" si="140"/>
        <v>21.299999999999997</v>
      </c>
      <c r="AS173" s="56">
        <f t="shared" si="141"/>
        <v>4.6948356807511742E-2</v>
      </c>
      <c r="AT173" s="56">
        <f t="shared" si="172"/>
        <v>0.23474178403755869</v>
      </c>
      <c r="AU173" s="56">
        <f t="shared" si="142"/>
        <v>0.176056338028169</v>
      </c>
      <c r="AV173" s="56">
        <f t="shared" si="173"/>
        <v>5.8685446009389672E-2</v>
      </c>
      <c r="AW173" s="57" t="s">
        <v>2511</v>
      </c>
      <c r="AX173" s="57" t="s">
        <v>2512</v>
      </c>
      <c r="AY173" s="57" t="s">
        <v>2513</v>
      </c>
      <c r="AZ173" s="58">
        <f t="shared" si="174"/>
        <v>0</v>
      </c>
      <c r="BA173" s="59">
        <f t="shared" si="178"/>
        <v>0</v>
      </c>
      <c r="BB173" s="59">
        <f t="shared" si="179"/>
        <v>0</v>
      </c>
      <c r="BC173" s="59">
        <f t="shared" si="180"/>
        <v>0</v>
      </c>
      <c r="BD173" s="60">
        <f t="shared" si="175"/>
        <v>0</v>
      </c>
      <c r="BE173" s="59">
        <f t="shared" si="176"/>
        <v>0</v>
      </c>
      <c r="BQ173" s="61">
        <v>3000</v>
      </c>
      <c r="BR173" s="61">
        <v>1200</v>
      </c>
      <c r="BS173" s="28">
        <f t="shared" si="143"/>
        <v>2980</v>
      </c>
      <c r="BT173" s="28">
        <f t="shared" si="144"/>
        <v>1180</v>
      </c>
      <c r="BU173" s="28" t="s">
        <v>2541</v>
      </c>
      <c r="BV173" s="28">
        <f t="shared" si="145"/>
        <v>5</v>
      </c>
      <c r="BW173" s="28">
        <f t="shared" si="146"/>
        <v>5</v>
      </c>
      <c r="BX173" s="13">
        <f t="shared" si="147"/>
        <v>596</v>
      </c>
      <c r="BY173" s="13">
        <f t="shared" si="148"/>
        <v>596</v>
      </c>
      <c r="BZ173" s="13">
        <f t="shared" si="149"/>
        <v>236</v>
      </c>
      <c r="CA173" s="13">
        <f t="shared" si="150"/>
        <v>236</v>
      </c>
      <c r="CB173" s="13">
        <f t="shared" si="151"/>
        <v>140656</v>
      </c>
      <c r="CC173" s="62" t="str">
        <f t="shared" si="152"/>
        <v/>
      </c>
      <c r="CD173" s="13">
        <f t="shared" si="153"/>
        <v>596</v>
      </c>
      <c r="CE173" s="13">
        <f t="shared" si="154"/>
        <v>596</v>
      </c>
      <c r="CF173" s="13">
        <f t="shared" si="155"/>
        <v>236</v>
      </c>
      <c r="CG173" s="13">
        <f t="shared" si="156"/>
        <v>236</v>
      </c>
      <c r="CH173" s="28">
        <f t="shared" si="157"/>
        <v>140656</v>
      </c>
      <c r="CI173" s="62" t="str">
        <f t="shared" si="158"/>
        <v/>
      </c>
      <c r="CJ173" s="59">
        <f t="shared" si="159"/>
        <v>0</v>
      </c>
      <c r="CL173" s="63">
        <v>6000</v>
      </c>
      <c r="CM173" s="63">
        <f t="shared" si="160"/>
        <v>0</v>
      </c>
      <c r="CN173" s="63">
        <f t="shared" si="161"/>
        <v>5</v>
      </c>
      <c r="CO173" s="63">
        <f t="shared" si="162"/>
        <v>1200</v>
      </c>
      <c r="CP173" s="13">
        <f t="shared" si="163"/>
        <v>1200</v>
      </c>
      <c r="CQ173" s="70">
        <f t="shared" si="164"/>
        <v>8.3333333333333339E-4</v>
      </c>
      <c r="CR173" s="69">
        <f t="shared" si="132"/>
        <v>3.3333333333333335E-3</v>
      </c>
    </row>
    <row r="174" spans="1:96" hidden="1" x14ac:dyDescent="0.25">
      <c r="A174" s="17">
        <v>5</v>
      </c>
      <c r="B174" s="6" t="s">
        <v>533</v>
      </c>
      <c r="C174" s="17" t="s">
        <v>534</v>
      </c>
      <c r="D174" s="17" t="s">
        <v>2270</v>
      </c>
      <c r="E174" s="17" t="s">
        <v>52</v>
      </c>
      <c r="F174" s="7">
        <f t="shared" si="133"/>
        <v>21</v>
      </c>
      <c r="G174" s="17">
        <v>1</v>
      </c>
      <c r="H174" s="17">
        <f>G174*$H$173</f>
        <v>4</v>
      </c>
      <c r="I174" s="17">
        <v>1</v>
      </c>
      <c r="J174" s="6" t="s">
        <v>101</v>
      </c>
      <c r="K174" s="6" t="s">
        <v>34</v>
      </c>
      <c r="L174" s="17" t="s">
        <v>110</v>
      </c>
      <c r="M174" s="6" t="s">
        <v>35</v>
      </c>
      <c r="N174" s="17" t="s">
        <v>535</v>
      </c>
      <c r="O174" s="28" t="s">
        <v>41</v>
      </c>
      <c r="P174" s="28" t="s">
        <v>41</v>
      </c>
      <c r="Q174" s="28" t="s">
        <v>535</v>
      </c>
      <c r="R174" s="30">
        <v>0.98</v>
      </c>
      <c r="S174" s="30">
        <v>0.98</v>
      </c>
      <c r="T174" s="30"/>
      <c r="U174" s="30">
        <v>0.11811023622047245</v>
      </c>
      <c r="V174" s="8">
        <f t="shared" si="134"/>
        <v>24.891999999999999</v>
      </c>
      <c r="W174" s="8">
        <f t="shared" si="135"/>
        <v>24.891999999999999</v>
      </c>
      <c r="X174" s="8">
        <f t="shared" si="136"/>
        <v>0</v>
      </c>
      <c r="Y174" s="33">
        <f t="shared" si="137"/>
        <v>3</v>
      </c>
      <c r="Z174" s="28" t="s">
        <v>536</v>
      </c>
      <c r="AA174" s="28" t="s">
        <v>537</v>
      </c>
      <c r="AB174" s="61" t="s">
        <v>535</v>
      </c>
      <c r="AC174" s="31" t="s">
        <v>538</v>
      </c>
      <c r="AD174" s="50">
        <f t="shared" si="138"/>
        <v>4</v>
      </c>
      <c r="AE174" s="31"/>
      <c r="AF174" s="51">
        <v>14</v>
      </c>
      <c r="AG174" s="51">
        <f t="shared" si="166"/>
        <v>8.4</v>
      </c>
      <c r="AH174" s="51">
        <f t="shared" si="131"/>
        <v>42</v>
      </c>
      <c r="AI174" s="52" t="s">
        <v>2497</v>
      </c>
      <c r="AJ174" s="52" t="s">
        <v>2498</v>
      </c>
      <c r="AK174" s="53">
        <f t="shared" si="167"/>
        <v>1.239223328E-3</v>
      </c>
      <c r="AL174" s="54">
        <f t="shared" si="168"/>
        <v>0.11904761904761904</v>
      </c>
      <c r="AM174" s="54">
        <f t="shared" si="169"/>
        <v>2.3809523809523808E-2</v>
      </c>
      <c r="AN174" s="55">
        <f t="shared" si="170"/>
        <v>5.9010634666666669E-4</v>
      </c>
      <c r="AO174" s="55">
        <f t="shared" si="171"/>
        <v>1.1802126933333333E-4</v>
      </c>
      <c r="AP174" s="53">
        <v>7.1</v>
      </c>
      <c r="AQ174" s="53">
        <f t="shared" si="139"/>
        <v>4.26</v>
      </c>
      <c r="AR174" s="53">
        <f t="shared" si="140"/>
        <v>21.299999999999997</v>
      </c>
      <c r="AS174" s="56">
        <f t="shared" si="141"/>
        <v>4.6948356807511742E-2</v>
      </c>
      <c r="AT174" s="56">
        <f t="shared" si="172"/>
        <v>0.23474178403755869</v>
      </c>
      <c r="AU174" s="56">
        <f t="shared" si="142"/>
        <v>0.176056338028169</v>
      </c>
      <c r="AV174" s="56">
        <f t="shared" si="173"/>
        <v>5.8685446009389672E-2</v>
      </c>
      <c r="AW174" s="57" t="s">
        <v>2511</v>
      </c>
      <c r="AX174" s="57" t="s">
        <v>2512</v>
      </c>
      <c r="AY174" s="57" t="s">
        <v>2513</v>
      </c>
      <c r="AZ174" s="58">
        <f t="shared" si="174"/>
        <v>1.239223328E-3</v>
      </c>
      <c r="BA174" s="59">
        <f t="shared" si="178"/>
        <v>1.4544874741784038E-4</v>
      </c>
      <c r="BB174" s="59">
        <f t="shared" si="179"/>
        <v>4.3634624225352112E-4</v>
      </c>
      <c r="BC174" s="59">
        <f t="shared" si="180"/>
        <v>1.1635899793427231E-4</v>
      </c>
      <c r="BD174" s="60">
        <f t="shared" si="175"/>
        <v>2.5900025900025902E-4</v>
      </c>
      <c r="BE174" s="59">
        <f t="shared" si="176"/>
        <v>1.0360010360010361E-3</v>
      </c>
      <c r="BQ174" s="61">
        <v>3000</v>
      </c>
      <c r="BR174" s="61">
        <v>1200</v>
      </c>
      <c r="BS174" s="28">
        <f t="shared" si="143"/>
        <v>2980</v>
      </c>
      <c r="BT174" s="28">
        <f t="shared" si="144"/>
        <v>1180</v>
      </c>
      <c r="BU174" s="28" t="s">
        <v>2541</v>
      </c>
      <c r="BV174" s="28">
        <f t="shared" si="145"/>
        <v>29.891999999999999</v>
      </c>
      <c r="BW174" s="28">
        <f t="shared" si="146"/>
        <v>29.891999999999999</v>
      </c>
      <c r="BX174" s="13">
        <f t="shared" si="147"/>
        <v>99.692225344573799</v>
      </c>
      <c r="BY174" s="13">
        <f t="shared" si="148"/>
        <v>99</v>
      </c>
      <c r="BZ174" s="13">
        <f t="shared" si="149"/>
        <v>39.475444935099695</v>
      </c>
      <c r="CA174" s="13">
        <f t="shared" si="150"/>
        <v>39</v>
      </c>
      <c r="CB174" s="13">
        <f t="shared" si="151"/>
        <v>3861</v>
      </c>
      <c r="CC174" s="62">
        <f t="shared" si="152"/>
        <v>2.5900025900025902E-4</v>
      </c>
      <c r="CD174" s="13">
        <f t="shared" si="153"/>
        <v>99.692225344573799</v>
      </c>
      <c r="CE174" s="13">
        <f t="shared" si="154"/>
        <v>99</v>
      </c>
      <c r="CF174" s="13">
        <f t="shared" si="155"/>
        <v>39.475444935099695</v>
      </c>
      <c r="CG174" s="13">
        <f t="shared" si="156"/>
        <v>39</v>
      </c>
      <c r="CH174" s="28">
        <f t="shared" si="157"/>
        <v>3861</v>
      </c>
      <c r="CI174" s="62">
        <f t="shared" si="158"/>
        <v>2.5900025900025902E-4</v>
      </c>
      <c r="CJ174" s="59">
        <f t="shared" si="159"/>
        <v>2.5900025900025902E-4</v>
      </c>
      <c r="CL174" s="63">
        <v>6000</v>
      </c>
      <c r="CM174" s="63">
        <f t="shared" si="160"/>
        <v>24.891999999999999</v>
      </c>
      <c r="CN174" s="63">
        <f t="shared" si="161"/>
        <v>29.891999999999999</v>
      </c>
      <c r="CO174" s="63">
        <f t="shared" si="162"/>
        <v>200.72260136491369</v>
      </c>
      <c r="CP174" s="13">
        <f t="shared" si="163"/>
        <v>200</v>
      </c>
      <c r="CQ174" s="70">
        <f t="shared" si="164"/>
        <v>5.0000000000000001E-3</v>
      </c>
      <c r="CR174" s="69">
        <f t="shared" si="132"/>
        <v>0.02</v>
      </c>
    </row>
    <row r="175" spans="1:96" hidden="1" x14ac:dyDescent="0.25">
      <c r="A175" s="17">
        <v>5</v>
      </c>
      <c r="B175" s="6" t="s">
        <v>533</v>
      </c>
      <c r="C175" s="17" t="s">
        <v>539</v>
      </c>
      <c r="D175" s="17" t="s">
        <v>2270</v>
      </c>
      <c r="E175" s="17" t="s">
        <v>52</v>
      </c>
      <c r="F175" s="7">
        <f t="shared" si="133"/>
        <v>21</v>
      </c>
      <c r="G175" s="17">
        <v>1</v>
      </c>
      <c r="H175" s="17">
        <f>G175*$H$173</f>
        <v>4</v>
      </c>
      <c r="I175" s="17">
        <v>2</v>
      </c>
      <c r="J175" s="6" t="s">
        <v>101</v>
      </c>
      <c r="K175" s="6" t="s">
        <v>34</v>
      </c>
      <c r="L175" s="17" t="s">
        <v>110</v>
      </c>
      <c r="M175" s="6" t="s">
        <v>35</v>
      </c>
      <c r="N175" s="17" t="s">
        <v>540</v>
      </c>
      <c r="O175" s="28" t="s">
        <v>41</v>
      </c>
      <c r="P175" s="28" t="s">
        <v>41</v>
      </c>
      <c r="Q175" s="28" t="s">
        <v>540</v>
      </c>
      <c r="R175" s="30">
        <v>0.98</v>
      </c>
      <c r="S175" s="30">
        <v>0.98</v>
      </c>
      <c r="T175" s="30"/>
      <c r="U175" s="30">
        <v>0.47244094488188981</v>
      </c>
      <c r="V175" s="8">
        <f t="shared" si="134"/>
        <v>24.891999999999999</v>
      </c>
      <c r="W175" s="8">
        <f t="shared" si="135"/>
        <v>24.891999999999999</v>
      </c>
      <c r="X175" s="8">
        <f t="shared" si="136"/>
        <v>0</v>
      </c>
      <c r="Y175" s="33">
        <f t="shared" si="137"/>
        <v>12</v>
      </c>
      <c r="Z175" s="28" t="s">
        <v>2477</v>
      </c>
      <c r="AA175" s="28" t="s">
        <v>2477</v>
      </c>
      <c r="AB175" s="61" t="s">
        <v>540</v>
      </c>
      <c r="AC175" s="31" t="s">
        <v>541</v>
      </c>
      <c r="AD175" s="50">
        <f t="shared" si="138"/>
        <v>4</v>
      </c>
      <c r="AE175" s="31"/>
      <c r="AF175" s="51">
        <v>14</v>
      </c>
      <c r="AG175" s="51">
        <f t="shared" si="166"/>
        <v>8.4</v>
      </c>
      <c r="AH175" s="51">
        <f t="shared" si="131"/>
        <v>42</v>
      </c>
      <c r="AI175" s="52" t="s">
        <v>2497</v>
      </c>
      <c r="AJ175" s="52" t="s">
        <v>2498</v>
      </c>
      <c r="AK175" s="53">
        <f t="shared" si="167"/>
        <v>1.239223328E-3</v>
      </c>
      <c r="AL175" s="54">
        <f t="shared" si="168"/>
        <v>0.11904761904761904</v>
      </c>
      <c r="AM175" s="54">
        <f t="shared" si="169"/>
        <v>2.3809523809523808E-2</v>
      </c>
      <c r="AN175" s="55">
        <f t="shared" si="170"/>
        <v>5.9010634666666669E-4</v>
      </c>
      <c r="AO175" s="55">
        <f t="shared" si="171"/>
        <v>1.1802126933333333E-4</v>
      </c>
      <c r="AP175" s="53">
        <v>7.1</v>
      </c>
      <c r="AQ175" s="53">
        <f t="shared" si="139"/>
        <v>4.26</v>
      </c>
      <c r="AR175" s="53">
        <f t="shared" si="140"/>
        <v>21.299999999999997</v>
      </c>
      <c r="AS175" s="56">
        <f t="shared" si="141"/>
        <v>4.6948356807511742E-2</v>
      </c>
      <c r="AT175" s="56">
        <f t="shared" si="172"/>
        <v>0.23474178403755869</v>
      </c>
      <c r="AU175" s="56">
        <f t="shared" si="142"/>
        <v>0.176056338028169</v>
      </c>
      <c r="AV175" s="56">
        <f t="shared" si="173"/>
        <v>5.8685446009389672E-2</v>
      </c>
      <c r="AW175" s="57" t="s">
        <v>2511</v>
      </c>
      <c r="AX175" s="57" t="s">
        <v>2512</v>
      </c>
      <c r="AY175" s="57" t="s">
        <v>2513</v>
      </c>
      <c r="AZ175" s="58">
        <f t="shared" si="174"/>
        <v>1.239223328E-3</v>
      </c>
      <c r="BA175" s="59">
        <f t="shared" si="178"/>
        <v>1.4544874741784038E-4</v>
      </c>
      <c r="BB175" s="59">
        <f t="shared" si="179"/>
        <v>4.3634624225352112E-4</v>
      </c>
      <c r="BC175" s="59">
        <f t="shared" si="180"/>
        <v>1.1635899793427231E-4</v>
      </c>
      <c r="BD175" s="60">
        <f t="shared" si="175"/>
        <v>2.5900025900025902E-4</v>
      </c>
      <c r="BE175" s="59">
        <f t="shared" si="176"/>
        <v>1.0360010360010361E-3</v>
      </c>
      <c r="BQ175" s="61">
        <v>3000</v>
      </c>
      <c r="BR175" s="61">
        <v>1200</v>
      </c>
      <c r="BS175" s="28">
        <f t="shared" si="143"/>
        <v>2980</v>
      </c>
      <c r="BT175" s="28">
        <f t="shared" si="144"/>
        <v>1180</v>
      </c>
      <c r="BU175" s="28" t="s">
        <v>2541</v>
      </c>
      <c r="BV175" s="28">
        <f t="shared" si="145"/>
        <v>29.891999999999999</v>
      </c>
      <c r="BW175" s="28">
        <f t="shared" si="146"/>
        <v>29.891999999999999</v>
      </c>
      <c r="BX175" s="13">
        <f t="shared" si="147"/>
        <v>99.692225344573799</v>
      </c>
      <c r="BY175" s="13">
        <f t="shared" si="148"/>
        <v>99</v>
      </c>
      <c r="BZ175" s="13">
        <f t="shared" si="149"/>
        <v>39.475444935099695</v>
      </c>
      <c r="CA175" s="13">
        <f t="shared" si="150"/>
        <v>39</v>
      </c>
      <c r="CB175" s="13">
        <f t="shared" si="151"/>
        <v>3861</v>
      </c>
      <c r="CC175" s="62">
        <f t="shared" si="152"/>
        <v>2.5900025900025902E-4</v>
      </c>
      <c r="CD175" s="13">
        <f t="shared" si="153"/>
        <v>99.692225344573799</v>
      </c>
      <c r="CE175" s="13">
        <f t="shared" si="154"/>
        <v>99</v>
      </c>
      <c r="CF175" s="13">
        <f t="shared" si="155"/>
        <v>39.475444935099695</v>
      </c>
      <c r="CG175" s="13">
        <f t="shared" si="156"/>
        <v>39</v>
      </c>
      <c r="CH175" s="28">
        <f t="shared" si="157"/>
        <v>3861</v>
      </c>
      <c r="CI175" s="62">
        <f t="shared" si="158"/>
        <v>2.5900025900025902E-4</v>
      </c>
      <c r="CJ175" s="59">
        <f t="shared" si="159"/>
        <v>2.5900025900025902E-4</v>
      </c>
      <c r="CL175" s="63">
        <v>6000</v>
      </c>
      <c r="CM175" s="63">
        <f t="shared" si="160"/>
        <v>24.891999999999999</v>
      </c>
      <c r="CN175" s="63">
        <f t="shared" si="161"/>
        <v>29.891999999999999</v>
      </c>
      <c r="CO175" s="63">
        <f t="shared" si="162"/>
        <v>200.72260136491369</v>
      </c>
      <c r="CP175" s="13">
        <f t="shared" si="163"/>
        <v>200</v>
      </c>
      <c r="CQ175" s="70">
        <f t="shared" si="164"/>
        <v>5.0000000000000001E-3</v>
      </c>
      <c r="CR175" s="69">
        <f t="shared" si="132"/>
        <v>0.02</v>
      </c>
    </row>
    <row r="176" spans="1:96" hidden="1" x14ac:dyDescent="0.25">
      <c r="A176" s="13">
        <v>4</v>
      </c>
      <c r="B176" s="14" t="s">
        <v>403</v>
      </c>
      <c r="C176" s="13" t="s">
        <v>542</v>
      </c>
      <c r="D176" s="13" t="s">
        <v>2270</v>
      </c>
      <c r="E176" s="13" t="s">
        <v>52</v>
      </c>
      <c r="F176" s="15">
        <f t="shared" si="133"/>
        <v>1</v>
      </c>
      <c r="G176" s="13">
        <v>5</v>
      </c>
      <c r="H176" s="13">
        <f t="shared" ref="H176:H177" si="188">G176*$H$130</f>
        <v>5</v>
      </c>
      <c r="I176" s="13">
        <v>19</v>
      </c>
      <c r="J176" s="14" t="s">
        <v>122</v>
      </c>
      <c r="K176" s="14" t="s">
        <v>34</v>
      </c>
      <c r="L176" s="13" t="s">
        <v>110</v>
      </c>
      <c r="M176" s="14" t="s">
        <v>35</v>
      </c>
      <c r="N176" s="13" t="s">
        <v>543</v>
      </c>
      <c r="O176" s="28" t="s">
        <v>41</v>
      </c>
      <c r="P176" s="28" t="s">
        <v>41</v>
      </c>
      <c r="Q176" s="28" t="s">
        <v>124</v>
      </c>
      <c r="R176" s="30">
        <v>27.832999999999998</v>
      </c>
      <c r="S176" s="30">
        <v>4.125</v>
      </c>
      <c r="T176" s="30"/>
      <c r="U176" s="30">
        <v>9.8000000000000004E-2</v>
      </c>
      <c r="V176" s="8">
        <f t="shared" si="134"/>
        <v>706.95819999999992</v>
      </c>
      <c r="W176" s="8">
        <f t="shared" si="135"/>
        <v>104.77499999999999</v>
      </c>
      <c r="X176" s="8">
        <f t="shared" si="136"/>
        <v>0</v>
      </c>
      <c r="Y176" s="33">
        <f t="shared" si="137"/>
        <v>2.4891999999999999</v>
      </c>
      <c r="Z176" s="28" t="s">
        <v>56</v>
      </c>
      <c r="AA176" s="28" t="s">
        <v>57</v>
      </c>
      <c r="AB176" s="61" t="s">
        <v>124</v>
      </c>
      <c r="AC176" s="31" t="s">
        <v>125</v>
      </c>
      <c r="AD176" s="50">
        <f t="shared" si="138"/>
        <v>5</v>
      </c>
      <c r="AE176" s="31"/>
      <c r="AF176" s="51">
        <v>14</v>
      </c>
      <c r="AG176" s="51">
        <f t="shared" si="166"/>
        <v>8.4</v>
      </c>
      <c r="AH176" s="51">
        <f t="shared" si="131"/>
        <v>42</v>
      </c>
      <c r="AI176" s="52" t="s">
        <v>2497</v>
      </c>
      <c r="AJ176" s="52" t="s">
        <v>2498</v>
      </c>
      <c r="AK176" s="53">
        <f t="shared" si="167"/>
        <v>0.14814309080999996</v>
      </c>
      <c r="AL176" s="54">
        <f t="shared" si="168"/>
        <v>0.11904761904761904</v>
      </c>
      <c r="AM176" s="54">
        <f t="shared" si="169"/>
        <v>2.3809523809523808E-2</v>
      </c>
      <c r="AN176" s="55">
        <f t="shared" si="170"/>
        <v>8.8180411196428554E-2</v>
      </c>
      <c r="AO176" s="55">
        <f t="shared" si="171"/>
        <v>1.7636082239285707E-2</v>
      </c>
      <c r="AP176" s="53">
        <v>7.1</v>
      </c>
      <c r="AQ176" s="53">
        <f t="shared" si="139"/>
        <v>4.26</v>
      </c>
      <c r="AR176" s="53">
        <f t="shared" si="140"/>
        <v>21.299999999999997</v>
      </c>
      <c r="AS176" s="56">
        <f t="shared" si="141"/>
        <v>4.6948356807511742E-2</v>
      </c>
      <c r="AT176" s="56">
        <f t="shared" si="172"/>
        <v>0.23474178403755869</v>
      </c>
      <c r="AU176" s="56">
        <f t="shared" si="142"/>
        <v>0.176056338028169</v>
      </c>
      <c r="AV176" s="56">
        <f t="shared" si="173"/>
        <v>5.8685446009389672E-2</v>
      </c>
      <c r="AW176" s="57" t="s">
        <v>2511</v>
      </c>
      <c r="AX176" s="57" t="s">
        <v>2512</v>
      </c>
      <c r="AY176" s="57" t="s">
        <v>2513</v>
      </c>
      <c r="AZ176" s="58">
        <f t="shared" si="174"/>
        <v>0.14814309080999996</v>
      </c>
      <c r="BA176" s="59">
        <f t="shared" si="178"/>
        <v>2.173460839348591E-2</v>
      </c>
      <c r="BB176" s="59">
        <f t="shared" si="179"/>
        <v>6.5203825180457725E-2</v>
      </c>
      <c r="BC176" s="59">
        <f t="shared" si="180"/>
        <v>1.7387686714788731E-2</v>
      </c>
      <c r="BD176" s="60">
        <f t="shared" si="175"/>
        <v>2.5000000000000001E-2</v>
      </c>
      <c r="BE176" s="59">
        <f t="shared" si="176"/>
        <v>0.125</v>
      </c>
      <c r="BQ176" s="61">
        <v>3000</v>
      </c>
      <c r="BR176" s="61">
        <v>1200</v>
      </c>
      <c r="BS176" s="28">
        <f t="shared" si="143"/>
        <v>2980</v>
      </c>
      <c r="BT176" s="28">
        <f t="shared" si="144"/>
        <v>1180</v>
      </c>
      <c r="BU176" s="28" t="s">
        <v>2541</v>
      </c>
      <c r="BV176" s="28">
        <f t="shared" si="145"/>
        <v>711.95819999999992</v>
      </c>
      <c r="BW176" s="28">
        <f t="shared" si="146"/>
        <v>109.77499999999999</v>
      </c>
      <c r="BX176" s="13">
        <f t="shared" si="147"/>
        <v>4.185638988356339</v>
      </c>
      <c r="BY176" s="13">
        <f t="shared" si="148"/>
        <v>4</v>
      </c>
      <c r="BZ176" s="13">
        <f t="shared" si="149"/>
        <v>10.749259849692553</v>
      </c>
      <c r="CA176" s="13">
        <f t="shared" si="150"/>
        <v>10</v>
      </c>
      <c r="CB176" s="13">
        <f t="shared" si="151"/>
        <v>40</v>
      </c>
      <c r="CC176" s="62">
        <f t="shared" si="152"/>
        <v>2.5000000000000001E-2</v>
      </c>
      <c r="CD176" s="13">
        <f t="shared" si="153"/>
        <v>27.14643589159645</v>
      </c>
      <c r="CE176" s="13">
        <f t="shared" si="154"/>
        <v>27</v>
      </c>
      <c r="CF176" s="13">
        <f t="shared" si="155"/>
        <v>1.6574006732417719</v>
      </c>
      <c r="CG176" s="13">
        <f t="shared" si="156"/>
        <v>1</v>
      </c>
      <c r="CH176" s="28">
        <f t="shared" si="157"/>
        <v>27</v>
      </c>
      <c r="CI176" s="62">
        <f t="shared" si="158"/>
        <v>3.7037037037037035E-2</v>
      </c>
      <c r="CJ176" s="59">
        <f t="shared" si="159"/>
        <v>2.5000000000000001E-2</v>
      </c>
      <c r="CL176" s="63">
        <v>6000</v>
      </c>
      <c r="CM176" s="63">
        <f t="shared" si="160"/>
        <v>706.95819999999992</v>
      </c>
      <c r="CN176" s="63">
        <f t="shared" si="161"/>
        <v>711.95819999999992</v>
      </c>
      <c r="CO176" s="63">
        <f t="shared" si="162"/>
        <v>8.4274610503818916</v>
      </c>
      <c r="CP176" s="13">
        <f t="shared" si="163"/>
        <v>8</v>
      </c>
      <c r="CQ176" s="70">
        <f t="shared" si="164"/>
        <v>0.125</v>
      </c>
      <c r="CR176" s="69">
        <f t="shared" si="132"/>
        <v>0.625</v>
      </c>
    </row>
    <row r="177" spans="1:96" hidden="1" x14ac:dyDescent="0.25">
      <c r="A177" s="13">
        <v>4</v>
      </c>
      <c r="B177" s="14" t="s">
        <v>403</v>
      </c>
      <c r="C177" s="13" t="s">
        <v>544</v>
      </c>
      <c r="D177" s="13" t="s">
        <v>2270</v>
      </c>
      <c r="E177" s="13" t="s">
        <v>32</v>
      </c>
      <c r="F177" s="15">
        <f t="shared" si="133"/>
        <v>1</v>
      </c>
      <c r="G177" s="13">
        <v>10</v>
      </c>
      <c r="H177" s="13">
        <f t="shared" si="188"/>
        <v>10</v>
      </c>
      <c r="I177" s="13">
        <v>20</v>
      </c>
      <c r="J177" s="14" t="s">
        <v>545</v>
      </c>
      <c r="K177" s="14" t="s">
        <v>34</v>
      </c>
      <c r="L177" s="13">
        <v>0</v>
      </c>
      <c r="M177" s="14" t="s">
        <v>35</v>
      </c>
      <c r="N177" s="13" t="s">
        <v>546</v>
      </c>
      <c r="O177" s="28" t="s">
        <v>41</v>
      </c>
      <c r="P177" s="28" t="s">
        <v>41</v>
      </c>
      <c r="Q177" s="28"/>
      <c r="R177" s="30"/>
      <c r="S177" s="30"/>
      <c r="T177" s="30"/>
      <c r="U177" s="30"/>
      <c r="V177" s="8">
        <f t="shared" si="134"/>
        <v>0</v>
      </c>
      <c r="W177" s="8">
        <f t="shared" si="135"/>
        <v>0</v>
      </c>
      <c r="X177" s="8">
        <f t="shared" si="136"/>
        <v>0</v>
      </c>
      <c r="Y177" s="33">
        <f t="shared" si="137"/>
        <v>0</v>
      </c>
      <c r="Z177" s="28"/>
      <c r="AA177" s="28"/>
      <c r="AB177" s="28">
        <v>0</v>
      </c>
      <c r="AC177" s="31"/>
      <c r="AD177" s="50">
        <f t="shared" si="138"/>
        <v>10</v>
      </c>
      <c r="AE177" s="31"/>
      <c r="AF177" s="51">
        <v>14</v>
      </c>
      <c r="AG177" s="51">
        <f t="shared" si="166"/>
        <v>8.4</v>
      </c>
      <c r="AH177" s="51">
        <f t="shared" si="131"/>
        <v>42</v>
      </c>
      <c r="AI177" s="52" t="s">
        <v>2497</v>
      </c>
      <c r="AJ177" s="52" t="s">
        <v>2498</v>
      </c>
      <c r="AK177" s="53">
        <f t="shared" si="167"/>
        <v>0</v>
      </c>
      <c r="AL177" s="54">
        <f t="shared" si="168"/>
        <v>0.11904761904761904</v>
      </c>
      <c r="AM177" s="54">
        <f t="shared" si="169"/>
        <v>2.3809523809523808E-2</v>
      </c>
      <c r="AN177" s="55">
        <f t="shared" si="170"/>
        <v>0</v>
      </c>
      <c r="AO177" s="55">
        <f t="shared" si="171"/>
        <v>0</v>
      </c>
      <c r="AP177" s="53">
        <v>7.1</v>
      </c>
      <c r="AQ177" s="53">
        <f t="shared" si="139"/>
        <v>4.26</v>
      </c>
      <c r="AR177" s="53">
        <f t="shared" si="140"/>
        <v>21.299999999999997</v>
      </c>
      <c r="AS177" s="56">
        <f t="shared" si="141"/>
        <v>4.6948356807511742E-2</v>
      </c>
      <c r="AT177" s="56">
        <f t="shared" si="172"/>
        <v>0.23474178403755869</v>
      </c>
      <c r="AU177" s="56">
        <f t="shared" si="142"/>
        <v>0.176056338028169</v>
      </c>
      <c r="AV177" s="56">
        <f t="shared" si="173"/>
        <v>5.8685446009389672E-2</v>
      </c>
      <c r="AW177" s="57" t="s">
        <v>2511</v>
      </c>
      <c r="AX177" s="57" t="s">
        <v>2512</v>
      </c>
      <c r="AY177" s="57" t="s">
        <v>2513</v>
      </c>
      <c r="AZ177" s="58">
        <f t="shared" si="174"/>
        <v>0</v>
      </c>
      <c r="BA177" s="59">
        <f t="shared" si="178"/>
        <v>0</v>
      </c>
      <c r="BB177" s="59">
        <f t="shared" si="179"/>
        <v>0</v>
      </c>
      <c r="BC177" s="59">
        <f t="shared" si="180"/>
        <v>0</v>
      </c>
      <c r="BD177" s="60">
        <f t="shared" si="175"/>
        <v>0</v>
      </c>
      <c r="BE177" s="59">
        <f t="shared" si="176"/>
        <v>0</v>
      </c>
      <c r="BQ177" s="61">
        <v>3000</v>
      </c>
      <c r="BR177" s="61">
        <v>1200</v>
      </c>
      <c r="BS177" s="28">
        <f t="shared" si="143"/>
        <v>2980</v>
      </c>
      <c r="BT177" s="28">
        <f t="shared" si="144"/>
        <v>1180</v>
      </c>
      <c r="BU177" s="28" t="s">
        <v>2541</v>
      </c>
      <c r="BV177" s="28">
        <f t="shared" si="145"/>
        <v>5</v>
      </c>
      <c r="BW177" s="28">
        <f t="shared" si="146"/>
        <v>5</v>
      </c>
      <c r="BX177" s="13">
        <f t="shared" si="147"/>
        <v>596</v>
      </c>
      <c r="BY177" s="13">
        <f t="shared" si="148"/>
        <v>596</v>
      </c>
      <c r="BZ177" s="13">
        <f t="shared" si="149"/>
        <v>236</v>
      </c>
      <c r="CA177" s="13">
        <f t="shared" si="150"/>
        <v>236</v>
      </c>
      <c r="CB177" s="13">
        <f t="shared" si="151"/>
        <v>140656</v>
      </c>
      <c r="CC177" s="62" t="str">
        <f t="shared" si="152"/>
        <v/>
      </c>
      <c r="CD177" s="13">
        <f t="shared" si="153"/>
        <v>596</v>
      </c>
      <c r="CE177" s="13">
        <f t="shared" si="154"/>
        <v>596</v>
      </c>
      <c r="CF177" s="13">
        <f t="shared" si="155"/>
        <v>236</v>
      </c>
      <c r="CG177" s="13">
        <f t="shared" si="156"/>
        <v>236</v>
      </c>
      <c r="CH177" s="28">
        <f t="shared" si="157"/>
        <v>140656</v>
      </c>
      <c r="CI177" s="62" t="str">
        <f t="shared" si="158"/>
        <v/>
      </c>
      <c r="CJ177" s="59">
        <f t="shared" si="159"/>
        <v>0</v>
      </c>
      <c r="CL177" s="63">
        <v>6000</v>
      </c>
      <c r="CM177" s="63">
        <f t="shared" si="160"/>
        <v>0</v>
      </c>
      <c r="CN177" s="63">
        <f t="shared" si="161"/>
        <v>5</v>
      </c>
      <c r="CO177" s="63">
        <f t="shared" si="162"/>
        <v>1200</v>
      </c>
      <c r="CP177" s="13">
        <f t="shared" si="163"/>
        <v>1200</v>
      </c>
      <c r="CQ177" s="70">
        <f t="shared" si="164"/>
        <v>8.3333333333333339E-4</v>
      </c>
      <c r="CR177" s="69">
        <f t="shared" si="132"/>
        <v>8.3333333333333332E-3</v>
      </c>
    </row>
    <row r="178" spans="1:96" hidden="1" x14ac:dyDescent="0.25">
      <c r="A178" s="17">
        <v>5</v>
      </c>
      <c r="B178" s="6" t="s">
        <v>547</v>
      </c>
      <c r="C178" s="17" t="s">
        <v>548</v>
      </c>
      <c r="D178" s="17" t="s">
        <v>2270</v>
      </c>
      <c r="E178" s="17" t="s">
        <v>52</v>
      </c>
      <c r="F178" s="7">
        <f t="shared" si="133"/>
        <v>1</v>
      </c>
      <c r="G178" s="17">
        <v>1</v>
      </c>
      <c r="H178" s="17">
        <f>G178*$H$177</f>
        <v>10</v>
      </c>
      <c r="I178" s="17">
        <v>1</v>
      </c>
      <c r="J178" s="6" t="s">
        <v>549</v>
      </c>
      <c r="K178" s="6" t="s">
        <v>34</v>
      </c>
      <c r="L178" s="17">
        <v>0</v>
      </c>
      <c r="M178" s="6" t="s">
        <v>35</v>
      </c>
      <c r="N178" s="17" t="s">
        <v>550</v>
      </c>
      <c r="O178" s="28" t="s">
        <v>41</v>
      </c>
      <c r="P178" s="28" t="s">
        <v>41</v>
      </c>
      <c r="Q178" s="28" t="s">
        <v>124</v>
      </c>
      <c r="R178" s="30">
        <v>8</v>
      </c>
      <c r="S178" s="30">
        <v>4</v>
      </c>
      <c r="T178" s="30"/>
      <c r="U178" s="30">
        <v>9.8000000000000004E-2</v>
      </c>
      <c r="V178" s="8">
        <f t="shared" si="134"/>
        <v>203.2</v>
      </c>
      <c r="W178" s="8">
        <f t="shared" si="135"/>
        <v>101.6</v>
      </c>
      <c r="X178" s="8">
        <f t="shared" si="136"/>
        <v>0</v>
      </c>
      <c r="Y178" s="33">
        <f t="shared" si="137"/>
        <v>2.4891999999999999</v>
      </c>
      <c r="Z178" s="28" t="s">
        <v>56</v>
      </c>
      <c r="AA178" s="28" t="s">
        <v>57</v>
      </c>
      <c r="AB178" s="61" t="s">
        <v>124</v>
      </c>
      <c r="AC178" s="31" t="s">
        <v>125</v>
      </c>
      <c r="AD178" s="50">
        <f t="shared" si="138"/>
        <v>10</v>
      </c>
      <c r="AE178" s="31"/>
      <c r="AF178" s="51">
        <v>14</v>
      </c>
      <c r="AG178" s="51">
        <f t="shared" si="166"/>
        <v>8.4</v>
      </c>
      <c r="AH178" s="51">
        <f t="shared" si="131"/>
        <v>42</v>
      </c>
      <c r="AI178" s="52" t="s">
        <v>2497</v>
      </c>
      <c r="AJ178" s="52" t="s">
        <v>2498</v>
      </c>
      <c r="AK178" s="53">
        <f t="shared" si="167"/>
        <v>4.1290239999999999E-2</v>
      </c>
      <c r="AL178" s="54">
        <f t="shared" si="168"/>
        <v>0.11904761904761904</v>
      </c>
      <c r="AM178" s="54">
        <f t="shared" si="169"/>
        <v>2.3809523809523808E-2</v>
      </c>
      <c r="AN178" s="55">
        <f t="shared" si="170"/>
        <v>4.9155047619047619E-2</v>
      </c>
      <c r="AO178" s="55">
        <f t="shared" si="171"/>
        <v>9.8310095238095235E-3</v>
      </c>
      <c r="AP178" s="53">
        <v>7.1</v>
      </c>
      <c r="AQ178" s="53">
        <f t="shared" si="139"/>
        <v>4.26</v>
      </c>
      <c r="AR178" s="53">
        <f t="shared" si="140"/>
        <v>21.299999999999997</v>
      </c>
      <c r="AS178" s="56">
        <f t="shared" si="141"/>
        <v>4.6948356807511742E-2</v>
      </c>
      <c r="AT178" s="56">
        <f t="shared" si="172"/>
        <v>0.23474178403755869</v>
      </c>
      <c r="AU178" s="56">
        <f t="shared" si="142"/>
        <v>0.176056338028169</v>
      </c>
      <c r="AV178" s="56">
        <f t="shared" si="173"/>
        <v>5.8685446009389672E-2</v>
      </c>
      <c r="AW178" s="57" t="s">
        <v>2511</v>
      </c>
      <c r="AX178" s="57" t="s">
        <v>2512</v>
      </c>
      <c r="AY178" s="57" t="s">
        <v>2513</v>
      </c>
      <c r="AZ178" s="58">
        <f t="shared" si="174"/>
        <v>4.1290239999999999E-2</v>
      </c>
      <c r="BA178" s="59">
        <f t="shared" si="178"/>
        <v>1.2115680751173709E-2</v>
      </c>
      <c r="BB178" s="59">
        <f t="shared" si="179"/>
        <v>3.6347042253521124E-2</v>
      </c>
      <c r="BC178" s="59">
        <f t="shared" si="180"/>
        <v>9.6925446009389678E-3</v>
      </c>
      <c r="BD178" s="60">
        <f t="shared" si="175"/>
        <v>6.4935064935064939E-3</v>
      </c>
      <c r="BE178" s="59">
        <f t="shared" si="176"/>
        <v>6.4935064935064943E-2</v>
      </c>
      <c r="BQ178" s="61">
        <v>3000</v>
      </c>
      <c r="BR178" s="61">
        <v>1200</v>
      </c>
      <c r="BS178" s="28">
        <f t="shared" si="143"/>
        <v>2980</v>
      </c>
      <c r="BT178" s="28">
        <f t="shared" si="144"/>
        <v>1180</v>
      </c>
      <c r="BU178" s="28" t="s">
        <v>2541</v>
      </c>
      <c r="BV178" s="28">
        <f t="shared" si="145"/>
        <v>208.2</v>
      </c>
      <c r="BW178" s="28">
        <f t="shared" si="146"/>
        <v>106.6</v>
      </c>
      <c r="BX178" s="13">
        <f t="shared" si="147"/>
        <v>14.31316042267051</v>
      </c>
      <c r="BY178" s="13">
        <f t="shared" si="148"/>
        <v>14</v>
      </c>
      <c r="BZ178" s="13">
        <f t="shared" si="149"/>
        <v>11.069418386491558</v>
      </c>
      <c r="CA178" s="13">
        <f t="shared" si="150"/>
        <v>11</v>
      </c>
      <c r="CB178" s="13">
        <f t="shared" si="151"/>
        <v>154</v>
      </c>
      <c r="CC178" s="62">
        <f t="shared" si="152"/>
        <v>6.4935064935064939E-3</v>
      </c>
      <c r="CD178" s="13">
        <f t="shared" si="153"/>
        <v>27.954971857410882</v>
      </c>
      <c r="CE178" s="13">
        <f t="shared" si="154"/>
        <v>27</v>
      </c>
      <c r="CF178" s="13">
        <f t="shared" si="155"/>
        <v>5.6676272814601347</v>
      </c>
      <c r="CG178" s="13">
        <f t="shared" si="156"/>
        <v>5</v>
      </c>
      <c r="CH178" s="28">
        <f t="shared" si="157"/>
        <v>135</v>
      </c>
      <c r="CI178" s="62">
        <f t="shared" si="158"/>
        <v>7.4074074074074077E-3</v>
      </c>
      <c r="CJ178" s="59">
        <f t="shared" si="159"/>
        <v>6.4935064935064939E-3</v>
      </c>
      <c r="CL178" s="63">
        <v>6000</v>
      </c>
      <c r="CM178" s="63">
        <f t="shared" si="160"/>
        <v>203.2</v>
      </c>
      <c r="CN178" s="63">
        <f t="shared" si="161"/>
        <v>208.2</v>
      </c>
      <c r="CO178" s="63">
        <f t="shared" si="162"/>
        <v>28.818443804034583</v>
      </c>
      <c r="CP178" s="13">
        <f t="shared" si="163"/>
        <v>28</v>
      </c>
      <c r="CQ178" s="70">
        <f t="shared" si="164"/>
        <v>3.5714285714285712E-2</v>
      </c>
      <c r="CR178" s="69">
        <f t="shared" si="132"/>
        <v>0.3571428571428571</v>
      </c>
    </row>
    <row r="179" spans="1:96" hidden="1" x14ac:dyDescent="0.25">
      <c r="A179" s="17">
        <v>5</v>
      </c>
      <c r="B179" s="6" t="s">
        <v>547</v>
      </c>
      <c r="C179" s="17" t="s">
        <v>551</v>
      </c>
      <c r="D179" s="17" t="s">
        <v>2270</v>
      </c>
      <c r="E179" s="17" t="s">
        <v>52</v>
      </c>
      <c r="F179" s="7">
        <f t="shared" si="133"/>
        <v>1</v>
      </c>
      <c r="G179" s="17">
        <v>1</v>
      </c>
      <c r="H179" s="17">
        <f t="shared" ref="H179:H180" si="189">G179*$H$177</f>
        <v>10</v>
      </c>
      <c r="I179" s="17">
        <v>2</v>
      </c>
      <c r="J179" s="6" t="s">
        <v>549</v>
      </c>
      <c r="K179" s="6" t="s">
        <v>34</v>
      </c>
      <c r="L179" s="17">
        <v>0</v>
      </c>
      <c r="M179" s="6" t="s">
        <v>35</v>
      </c>
      <c r="N179" s="17" t="s">
        <v>552</v>
      </c>
      <c r="O179" s="28" t="s">
        <v>41</v>
      </c>
      <c r="P179" s="28" t="s">
        <v>41</v>
      </c>
      <c r="Q179" s="28" t="s">
        <v>124</v>
      </c>
      <c r="R179" s="30">
        <v>8</v>
      </c>
      <c r="S179" s="30">
        <v>4</v>
      </c>
      <c r="T179" s="30"/>
      <c r="U179" s="30">
        <v>9.8000000000000004E-2</v>
      </c>
      <c r="V179" s="8">
        <f t="shared" si="134"/>
        <v>203.2</v>
      </c>
      <c r="W179" s="8">
        <f t="shared" si="135"/>
        <v>101.6</v>
      </c>
      <c r="X179" s="8">
        <f t="shared" si="136"/>
        <v>0</v>
      </c>
      <c r="Y179" s="33">
        <f t="shared" si="137"/>
        <v>2.4891999999999999</v>
      </c>
      <c r="Z179" s="28" t="s">
        <v>56</v>
      </c>
      <c r="AA179" s="28" t="s">
        <v>57</v>
      </c>
      <c r="AB179" s="61" t="s">
        <v>124</v>
      </c>
      <c r="AC179" s="31" t="s">
        <v>125</v>
      </c>
      <c r="AD179" s="50">
        <f t="shared" si="138"/>
        <v>10</v>
      </c>
      <c r="AE179" s="31"/>
      <c r="AF179" s="51">
        <v>14</v>
      </c>
      <c r="AG179" s="51">
        <f t="shared" si="166"/>
        <v>8.4</v>
      </c>
      <c r="AH179" s="51">
        <f t="shared" si="131"/>
        <v>42</v>
      </c>
      <c r="AI179" s="52" t="s">
        <v>2497</v>
      </c>
      <c r="AJ179" s="52" t="s">
        <v>2498</v>
      </c>
      <c r="AK179" s="53">
        <f t="shared" si="167"/>
        <v>4.1290239999999999E-2</v>
      </c>
      <c r="AL179" s="54">
        <f t="shared" si="168"/>
        <v>0.11904761904761904</v>
      </c>
      <c r="AM179" s="54">
        <f t="shared" si="169"/>
        <v>2.3809523809523808E-2</v>
      </c>
      <c r="AN179" s="55">
        <f t="shared" si="170"/>
        <v>4.9155047619047619E-2</v>
      </c>
      <c r="AO179" s="55">
        <f t="shared" si="171"/>
        <v>9.8310095238095235E-3</v>
      </c>
      <c r="AP179" s="53">
        <v>7.1</v>
      </c>
      <c r="AQ179" s="53">
        <f t="shared" si="139"/>
        <v>4.26</v>
      </c>
      <c r="AR179" s="53">
        <f t="shared" si="140"/>
        <v>21.299999999999997</v>
      </c>
      <c r="AS179" s="56">
        <f t="shared" si="141"/>
        <v>4.6948356807511742E-2</v>
      </c>
      <c r="AT179" s="56">
        <f t="shared" si="172"/>
        <v>0.23474178403755869</v>
      </c>
      <c r="AU179" s="56">
        <f t="shared" si="142"/>
        <v>0.176056338028169</v>
      </c>
      <c r="AV179" s="56">
        <f t="shared" si="173"/>
        <v>5.8685446009389672E-2</v>
      </c>
      <c r="AW179" s="57" t="s">
        <v>2511</v>
      </c>
      <c r="AX179" s="57" t="s">
        <v>2512</v>
      </c>
      <c r="AY179" s="57" t="s">
        <v>2513</v>
      </c>
      <c r="AZ179" s="58">
        <f t="shared" si="174"/>
        <v>4.1290239999999999E-2</v>
      </c>
      <c r="BA179" s="59">
        <f t="shared" si="178"/>
        <v>1.2115680751173709E-2</v>
      </c>
      <c r="BB179" s="59">
        <f t="shared" si="179"/>
        <v>3.6347042253521124E-2</v>
      </c>
      <c r="BC179" s="59">
        <f t="shared" si="180"/>
        <v>9.6925446009389678E-3</v>
      </c>
      <c r="BD179" s="60">
        <f t="shared" si="175"/>
        <v>6.4935064935064939E-3</v>
      </c>
      <c r="BE179" s="59">
        <f t="shared" si="176"/>
        <v>6.4935064935064943E-2</v>
      </c>
      <c r="BQ179" s="61">
        <v>3000</v>
      </c>
      <c r="BR179" s="61">
        <v>1200</v>
      </c>
      <c r="BS179" s="28">
        <f t="shared" si="143"/>
        <v>2980</v>
      </c>
      <c r="BT179" s="28">
        <f t="shared" si="144"/>
        <v>1180</v>
      </c>
      <c r="BU179" s="28" t="s">
        <v>2541</v>
      </c>
      <c r="BV179" s="28">
        <f t="shared" si="145"/>
        <v>208.2</v>
      </c>
      <c r="BW179" s="28">
        <f t="shared" si="146"/>
        <v>106.6</v>
      </c>
      <c r="BX179" s="13">
        <f t="shared" si="147"/>
        <v>14.31316042267051</v>
      </c>
      <c r="BY179" s="13">
        <f t="shared" si="148"/>
        <v>14</v>
      </c>
      <c r="BZ179" s="13">
        <f t="shared" si="149"/>
        <v>11.069418386491558</v>
      </c>
      <c r="CA179" s="13">
        <f t="shared" si="150"/>
        <v>11</v>
      </c>
      <c r="CB179" s="13">
        <f t="shared" si="151"/>
        <v>154</v>
      </c>
      <c r="CC179" s="62">
        <f t="shared" si="152"/>
        <v>6.4935064935064939E-3</v>
      </c>
      <c r="CD179" s="13">
        <f t="shared" si="153"/>
        <v>27.954971857410882</v>
      </c>
      <c r="CE179" s="13">
        <f t="shared" si="154"/>
        <v>27</v>
      </c>
      <c r="CF179" s="13">
        <f t="shared" si="155"/>
        <v>5.6676272814601347</v>
      </c>
      <c r="CG179" s="13">
        <f t="shared" si="156"/>
        <v>5</v>
      </c>
      <c r="CH179" s="28">
        <f t="shared" si="157"/>
        <v>135</v>
      </c>
      <c r="CI179" s="62">
        <f t="shared" si="158"/>
        <v>7.4074074074074077E-3</v>
      </c>
      <c r="CJ179" s="59">
        <f t="shared" si="159"/>
        <v>6.4935064935064939E-3</v>
      </c>
      <c r="CL179" s="63">
        <v>6000</v>
      </c>
      <c r="CM179" s="63">
        <f t="shared" si="160"/>
        <v>203.2</v>
      </c>
      <c r="CN179" s="63">
        <f t="shared" si="161"/>
        <v>208.2</v>
      </c>
      <c r="CO179" s="63">
        <f t="shared" si="162"/>
        <v>28.818443804034583</v>
      </c>
      <c r="CP179" s="13">
        <f t="shared" si="163"/>
        <v>28</v>
      </c>
      <c r="CQ179" s="70">
        <f t="shared" si="164"/>
        <v>3.5714285714285712E-2</v>
      </c>
      <c r="CR179" s="69">
        <f t="shared" si="132"/>
        <v>0.3571428571428571</v>
      </c>
    </row>
    <row r="180" spans="1:96" hidden="1" x14ac:dyDescent="0.25">
      <c r="A180" s="17">
        <v>5</v>
      </c>
      <c r="B180" s="6" t="s">
        <v>547</v>
      </c>
      <c r="C180" s="17" t="s">
        <v>553</v>
      </c>
      <c r="D180" s="17" t="s">
        <v>554</v>
      </c>
      <c r="E180" s="17" t="s">
        <v>52</v>
      </c>
      <c r="F180" s="7">
        <f t="shared" si="133"/>
        <v>1</v>
      </c>
      <c r="G180" s="17">
        <v>1</v>
      </c>
      <c r="H180" s="17">
        <f t="shared" si="189"/>
        <v>10</v>
      </c>
      <c r="I180" s="17">
        <v>3</v>
      </c>
      <c r="J180" s="6" t="s">
        <v>244</v>
      </c>
      <c r="K180" s="6" t="s">
        <v>34</v>
      </c>
      <c r="L180" s="17" t="s">
        <v>110</v>
      </c>
      <c r="M180" s="6" t="s">
        <v>35</v>
      </c>
      <c r="N180" s="17" t="s">
        <v>554</v>
      </c>
      <c r="O180" s="28" t="s">
        <v>41</v>
      </c>
      <c r="P180" s="28" t="s">
        <v>41</v>
      </c>
      <c r="Q180" s="28" t="s">
        <v>554</v>
      </c>
      <c r="R180" s="30"/>
      <c r="S180" s="30"/>
      <c r="T180" s="30"/>
      <c r="U180" s="30"/>
      <c r="V180" s="8">
        <f t="shared" si="134"/>
        <v>0</v>
      </c>
      <c r="W180" s="8">
        <f t="shared" si="135"/>
        <v>0</v>
      </c>
      <c r="X180" s="8">
        <f t="shared" si="136"/>
        <v>0</v>
      </c>
      <c r="Y180" s="33">
        <f t="shared" si="137"/>
        <v>0</v>
      </c>
      <c r="Z180" s="28" t="s">
        <v>555</v>
      </c>
      <c r="AA180" s="28" t="s">
        <v>556</v>
      </c>
      <c r="AB180" s="28" t="s">
        <v>554</v>
      </c>
      <c r="AC180" s="31" t="s">
        <v>244</v>
      </c>
      <c r="AD180" s="50">
        <f t="shared" si="138"/>
        <v>10</v>
      </c>
      <c r="AE180" s="31"/>
      <c r="AF180" s="51">
        <v>14</v>
      </c>
      <c r="AG180" s="51">
        <f t="shared" si="166"/>
        <v>8.4</v>
      </c>
      <c r="AH180" s="51">
        <f t="shared" si="131"/>
        <v>42</v>
      </c>
      <c r="AI180" s="52" t="s">
        <v>2497</v>
      </c>
      <c r="AJ180" s="52" t="s">
        <v>2498</v>
      </c>
      <c r="AK180" s="53">
        <f t="shared" si="167"/>
        <v>0</v>
      </c>
      <c r="AL180" s="54">
        <f t="shared" si="168"/>
        <v>0.11904761904761904</v>
      </c>
      <c r="AM180" s="54">
        <f t="shared" si="169"/>
        <v>2.3809523809523808E-2</v>
      </c>
      <c r="AN180" s="55">
        <f t="shared" si="170"/>
        <v>0</v>
      </c>
      <c r="AO180" s="55">
        <f t="shared" si="171"/>
        <v>0</v>
      </c>
      <c r="AP180" s="53">
        <v>7.1</v>
      </c>
      <c r="AQ180" s="53">
        <f t="shared" si="139"/>
        <v>4.26</v>
      </c>
      <c r="AR180" s="53">
        <f t="shared" si="140"/>
        <v>21.299999999999997</v>
      </c>
      <c r="AS180" s="56">
        <f t="shared" si="141"/>
        <v>4.6948356807511742E-2</v>
      </c>
      <c r="AT180" s="56">
        <f t="shared" si="172"/>
        <v>0.23474178403755869</v>
      </c>
      <c r="AU180" s="56">
        <f t="shared" si="142"/>
        <v>0.176056338028169</v>
      </c>
      <c r="AV180" s="56">
        <f t="shared" si="173"/>
        <v>5.8685446009389672E-2</v>
      </c>
      <c r="AW180" s="57" t="s">
        <v>2511</v>
      </c>
      <c r="AX180" s="57" t="s">
        <v>2512</v>
      </c>
      <c r="AY180" s="57" t="s">
        <v>2513</v>
      </c>
      <c r="AZ180" s="58">
        <f t="shared" si="174"/>
        <v>0</v>
      </c>
      <c r="BA180" s="59">
        <f t="shared" si="178"/>
        <v>0</v>
      </c>
      <c r="BB180" s="59">
        <f t="shared" si="179"/>
        <v>0</v>
      </c>
      <c r="BC180" s="59">
        <f t="shared" si="180"/>
        <v>0</v>
      </c>
      <c r="BD180" s="60">
        <f t="shared" si="175"/>
        <v>7.1095438516664771E-6</v>
      </c>
      <c r="BE180" s="59">
        <f t="shared" si="176"/>
        <v>7.1095438516664776E-5</v>
      </c>
      <c r="BQ180" s="61">
        <v>3000</v>
      </c>
      <c r="BR180" s="61">
        <v>1200</v>
      </c>
      <c r="BS180" s="28">
        <f t="shared" si="143"/>
        <v>2980</v>
      </c>
      <c r="BT180" s="28">
        <f t="shared" si="144"/>
        <v>1180</v>
      </c>
      <c r="BU180" s="28" t="s">
        <v>2541</v>
      </c>
      <c r="BV180" s="28">
        <f t="shared" si="145"/>
        <v>5</v>
      </c>
      <c r="BW180" s="28">
        <f t="shared" si="146"/>
        <v>5</v>
      </c>
      <c r="BX180" s="13">
        <f t="shared" si="147"/>
        <v>596</v>
      </c>
      <c r="BY180" s="13">
        <f t="shared" si="148"/>
        <v>596</v>
      </c>
      <c r="BZ180" s="13">
        <f t="shared" si="149"/>
        <v>236</v>
      </c>
      <c r="CA180" s="13">
        <f t="shared" si="150"/>
        <v>236</v>
      </c>
      <c r="CB180" s="13">
        <f t="shared" si="151"/>
        <v>140656</v>
      </c>
      <c r="CC180" s="62">
        <f t="shared" si="152"/>
        <v>7.1095438516664771E-6</v>
      </c>
      <c r="CD180" s="13">
        <f t="shared" si="153"/>
        <v>596</v>
      </c>
      <c r="CE180" s="13">
        <f t="shared" si="154"/>
        <v>596</v>
      </c>
      <c r="CF180" s="13">
        <f t="shared" si="155"/>
        <v>236</v>
      </c>
      <c r="CG180" s="13">
        <f t="shared" si="156"/>
        <v>236</v>
      </c>
      <c r="CH180" s="28">
        <f t="shared" si="157"/>
        <v>140656</v>
      </c>
      <c r="CI180" s="62">
        <f t="shared" si="158"/>
        <v>7.1095438516664771E-6</v>
      </c>
      <c r="CJ180" s="59">
        <f t="shared" si="159"/>
        <v>7.1095438516664771E-6</v>
      </c>
      <c r="CL180" s="63">
        <v>6000</v>
      </c>
      <c r="CM180" s="63">
        <f t="shared" si="160"/>
        <v>0</v>
      </c>
      <c r="CN180" s="63">
        <f t="shared" si="161"/>
        <v>5</v>
      </c>
      <c r="CO180" s="63">
        <f t="shared" si="162"/>
        <v>1200</v>
      </c>
      <c r="CP180" s="13">
        <f t="shared" si="163"/>
        <v>1200</v>
      </c>
      <c r="CQ180" s="70">
        <f t="shared" si="164"/>
        <v>8.3333333333333339E-4</v>
      </c>
      <c r="CR180" s="69">
        <f t="shared" si="132"/>
        <v>8.3333333333333332E-3</v>
      </c>
    </row>
    <row r="181" spans="1:96" hidden="1" x14ac:dyDescent="0.25">
      <c r="A181" s="13">
        <v>4</v>
      </c>
      <c r="B181" s="14" t="s">
        <v>403</v>
      </c>
      <c r="C181" s="13" t="s">
        <v>557</v>
      </c>
      <c r="D181" s="13" t="s">
        <v>2270</v>
      </c>
      <c r="E181" s="13" t="s">
        <v>52</v>
      </c>
      <c r="F181" s="15">
        <f t="shared" si="133"/>
        <v>1</v>
      </c>
      <c r="G181" s="13">
        <v>1</v>
      </c>
      <c r="H181" s="13">
        <f t="shared" ref="H181:H184" si="190">G181*$H$130</f>
        <v>1</v>
      </c>
      <c r="I181" s="13">
        <v>21</v>
      </c>
      <c r="J181" s="14" t="s">
        <v>76</v>
      </c>
      <c r="K181" s="14" t="s">
        <v>34</v>
      </c>
      <c r="L181" s="13" t="s">
        <v>77</v>
      </c>
      <c r="M181" s="14" t="s">
        <v>35</v>
      </c>
      <c r="N181" s="13" t="s">
        <v>558</v>
      </c>
      <c r="O181" s="28" t="s">
        <v>41</v>
      </c>
      <c r="P181" s="28" t="s">
        <v>41</v>
      </c>
      <c r="Q181" s="28" t="s">
        <v>79</v>
      </c>
      <c r="R181" s="30">
        <v>11.118110236220472</v>
      </c>
      <c r="S181" s="30">
        <v>0.3125</v>
      </c>
      <c r="T181" s="30"/>
      <c r="U181" s="30">
        <v>0.3125</v>
      </c>
      <c r="V181" s="8">
        <f t="shared" si="134"/>
        <v>282.39999999999998</v>
      </c>
      <c r="W181" s="8">
        <f t="shared" si="135"/>
        <v>7.9375</v>
      </c>
      <c r="X181" s="8">
        <f t="shared" si="136"/>
        <v>0</v>
      </c>
      <c r="Y181" s="33">
        <f t="shared" si="137"/>
        <v>7.9375</v>
      </c>
      <c r="Z181" s="28" t="s">
        <v>80</v>
      </c>
      <c r="AA181" s="28" t="s">
        <v>81</v>
      </c>
      <c r="AB181" s="61" t="s">
        <v>79</v>
      </c>
      <c r="AC181" s="31" t="s">
        <v>82</v>
      </c>
      <c r="AD181" s="50">
        <f t="shared" si="138"/>
        <v>1</v>
      </c>
      <c r="AE181" s="31"/>
      <c r="AF181" s="51">
        <v>14</v>
      </c>
      <c r="AG181" s="51">
        <f t="shared" si="166"/>
        <v>8.4</v>
      </c>
      <c r="AH181" s="51">
        <f t="shared" si="131"/>
        <v>42</v>
      </c>
      <c r="AI181" s="52" t="s">
        <v>2497</v>
      </c>
      <c r="AJ181" s="52" t="s">
        <v>2498</v>
      </c>
      <c r="AK181" s="53">
        <f t="shared" si="167"/>
        <v>4.4830999999999994E-3</v>
      </c>
      <c r="AL181" s="54">
        <f t="shared" si="168"/>
        <v>0.11904761904761904</v>
      </c>
      <c r="AM181" s="54">
        <f t="shared" si="169"/>
        <v>2.3809523809523808E-2</v>
      </c>
      <c r="AN181" s="55">
        <f t="shared" si="170"/>
        <v>5.337023809523808E-4</v>
      </c>
      <c r="AO181" s="55">
        <f t="shared" si="171"/>
        <v>1.0674047619047617E-4</v>
      </c>
      <c r="AP181" s="53">
        <v>7.1</v>
      </c>
      <c r="AQ181" s="53">
        <f t="shared" si="139"/>
        <v>4.26</v>
      </c>
      <c r="AR181" s="53">
        <f t="shared" si="140"/>
        <v>21.299999999999997</v>
      </c>
      <c r="AS181" s="56">
        <f t="shared" si="141"/>
        <v>4.6948356807511742E-2</v>
      </c>
      <c r="AT181" s="56">
        <f t="shared" si="172"/>
        <v>0.23474178403755869</v>
      </c>
      <c r="AU181" s="56">
        <f t="shared" si="142"/>
        <v>0.176056338028169</v>
      </c>
      <c r="AV181" s="56">
        <f t="shared" si="173"/>
        <v>5.8685446009389672E-2</v>
      </c>
      <c r="AW181" s="57" t="s">
        <v>2511</v>
      </c>
      <c r="AX181" s="57" t="s">
        <v>2512</v>
      </c>
      <c r="AY181" s="57" t="s">
        <v>2513</v>
      </c>
      <c r="AZ181" s="58">
        <f t="shared" si="174"/>
        <v>4.4830999999999994E-3</v>
      </c>
      <c r="BA181" s="59">
        <f t="shared" si="178"/>
        <v>1.3154636150234739E-4</v>
      </c>
      <c r="BB181" s="59">
        <f t="shared" si="179"/>
        <v>3.9463908450704217E-4</v>
      </c>
      <c r="BC181" s="59">
        <f t="shared" si="180"/>
        <v>1.0523708920187794E-4</v>
      </c>
      <c r="BD181" s="60">
        <f t="shared" si="175"/>
        <v>1.0869565217391304E-3</v>
      </c>
      <c r="BE181" s="59">
        <f t="shared" si="176"/>
        <v>1.0869565217391304E-3</v>
      </c>
      <c r="BQ181" s="61">
        <v>3000</v>
      </c>
      <c r="BR181" s="61">
        <v>1200</v>
      </c>
      <c r="BS181" s="28">
        <f t="shared" si="143"/>
        <v>2980</v>
      </c>
      <c r="BT181" s="28">
        <f t="shared" si="144"/>
        <v>1180</v>
      </c>
      <c r="BU181" s="28" t="s">
        <v>2541</v>
      </c>
      <c r="BV181" s="28">
        <f t="shared" si="145"/>
        <v>287.39999999999998</v>
      </c>
      <c r="BW181" s="28">
        <f t="shared" si="146"/>
        <v>12.9375</v>
      </c>
      <c r="BX181" s="13">
        <f t="shared" si="147"/>
        <v>10.368823938761309</v>
      </c>
      <c r="BY181" s="13">
        <f t="shared" si="148"/>
        <v>10</v>
      </c>
      <c r="BZ181" s="13">
        <f t="shared" si="149"/>
        <v>91.207729468599027</v>
      </c>
      <c r="CA181" s="13">
        <f t="shared" si="150"/>
        <v>91</v>
      </c>
      <c r="CB181" s="13">
        <f t="shared" si="151"/>
        <v>910</v>
      </c>
      <c r="CC181" s="62">
        <f t="shared" si="152"/>
        <v>1.0989010989010989E-3</v>
      </c>
      <c r="CD181" s="13">
        <f t="shared" si="153"/>
        <v>230.33816425120773</v>
      </c>
      <c r="CE181" s="13">
        <f t="shared" si="154"/>
        <v>230</v>
      </c>
      <c r="CF181" s="13">
        <f t="shared" si="155"/>
        <v>4.1057759220598475</v>
      </c>
      <c r="CG181" s="13">
        <f t="shared" si="156"/>
        <v>4</v>
      </c>
      <c r="CH181" s="28">
        <f t="shared" si="157"/>
        <v>920</v>
      </c>
      <c r="CI181" s="62">
        <f t="shared" si="158"/>
        <v>1.0869565217391304E-3</v>
      </c>
      <c r="CJ181" s="59">
        <f t="shared" si="159"/>
        <v>1.0869565217391304E-3</v>
      </c>
      <c r="CL181" s="63">
        <v>6000</v>
      </c>
      <c r="CM181" s="63">
        <f t="shared" si="160"/>
        <v>282.39999999999998</v>
      </c>
      <c r="CN181" s="63">
        <f t="shared" si="161"/>
        <v>287.39999999999998</v>
      </c>
      <c r="CO181" s="63">
        <f t="shared" si="162"/>
        <v>20.876826722338205</v>
      </c>
      <c r="CP181" s="13">
        <f t="shared" si="163"/>
        <v>20</v>
      </c>
      <c r="CQ181" s="70">
        <f t="shared" si="164"/>
        <v>0.05</v>
      </c>
      <c r="CR181" s="69">
        <f t="shared" si="132"/>
        <v>0.05</v>
      </c>
    </row>
    <row r="182" spans="1:96" hidden="1" x14ac:dyDescent="0.25">
      <c r="A182" s="13">
        <v>4</v>
      </c>
      <c r="B182" s="14" t="s">
        <v>403</v>
      </c>
      <c r="C182" s="13" t="s">
        <v>559</v>
      </c>
      <c r="D182" s="13" t="s">
        <v>2270</v>
      </c>
      <c r="E182" s="13" t="s">
        <v>52</v>
      </c>
      <c r="F182" s="15">
        <f t="shared" si="133"/>
        <v>1</v>
      </c>
      <c r="G182" s="13">
        <v>1</v>
      </c>
      <c r="H182" s="13">
        <f t="shared" si="190"/>
        <v>1</v>
      </c>
      <c r="I182" s="13">
        <v>22</v>
      </c>
      <c r="J182" s="14" t="s">
        <v>560</v>
      </c>
      <c r="K182" s="14" t="s">
        <v>34</v>
      </c>
      <c r="L182" s="13">
        <v>0</v>
      </c>
      <c r="M182" s="14" t="s">
        <v>35</v>
      </c>
      <c r="N182" s="13" t="s">
        <v>561</v>
      </c>
      <c r="O182" s="28" t="s">
        <v>41</v>
      </c>
      <c r="P182" s="28" t="s">
        <v>41</v>
      </c>
      <c r="Q182" s="28" t="s">
        <v>124</v>
      </c>
      <c r="R182" s="30">
        <v>17.855</v>
      </c>
      <c r="S182" s="30">
        <v>6.99</v>
      </c>
      <c r="T182" s="30"/>
      <c r="U182" s="30">
        <v>9.8000000000000004E-2</v>
      </c>
      <c r="V182" s="8">
        <f t="shared" si="134"/>
        <v>453.517</v>
      </c>
      <c r="W182" s="8">
        <f t="shared" si="135"/>
        <v>177.54599999999999</v>
      </c>
      <c r="X182" s="8">
        <f t="shared" si="136"/>
        <v>0</v>
      </c>
      <c r="Y182" s="33">
        <f t="shared" si="137"/>
        <v>2.4891999999999999</v>
      </c>
      <c r="Z182" s="28" t="s">
        <v>56</v>
      </c>
      <c r="AA182" s="28" t="s">
        <v>57</v>
      </c>
      <c r="AB182" s="61" t="s">
        <v>124</v>
      </c>
      <c r="AC182" s="31" t="s">
        <v>125</v>
      </c>
      <c r="AD182" s="50">
        <f t="shared" si="138"/>
        <v>1</v>
      </c>
      <c r="AE182" s="31"/>
      <c r="AF182" s="51">
        <v>14</v>
      </c>
      <c r="AG182" s="51">
        <f t="shared" si="166"/>
        <v>8.4</v>
      </c>
      <c r="AH182" s="51">
        <f t="shared" si="131"/>
        <v>42</v>
      </c>
      <c r="AI182" s="52" t="s">
        <v>2497</v>
      </c>
      <c r="AJ182" s="52" t="s">
        <v>2498</v>
      </c>
      <c r="AK182" s="53">
        <f t="shared" si="167"/>
        <v>0.16104025856399998</v>
      </c>
      <c r="AL182" s="54">
        <f t="shared" si="168"/>
        <v>0.11904761904761904</v>
      </c>
      <c r="AM182" s="54">
        <f t="shared" si="169"/>
        <v>2.3809523809523808E-2</v>
      </c>
      <c r="AN182" s="55">
        <f t="shared" si="170"/>
        <v>1.9171459352857138E-2</v>
      </c>
      <c r="AO182" s="55">
        <f t="shared" si="171"/>
        <v>3.834291870571428E-3</v>
      </c>
      <c r="AP182" s="53">
        <v>7.1</v>
      </c>
      <c r="AQ182" s="53">
        <f t="shared" si="139"/>
        <v>4.26</v>
      </c>
      <c r="AR182" s="53">
        <f t="shared" si="140"/>
        <v>21.299999999999997</v>
      </c>
      <c r="AS182" s="56">
        <f t="shared" si="141"/>
        <v>4.6948356807511742E-2</v>
      </c>
      <c r="AT182" s="56">
        <f t="shared" si="172"/>
        <v>0.23474178403755869</v>
      </c>
      <c r="AU182" s="56">
        <f t="shared" si="142"/>
        <v>0.176056338028169</v>
      </c>
      <c r="AV182" s="56">
        <f t="shared" si="173"/>
        <v>5.8685446009389672E-2</v>
      </c>
      <c r="AW182" s="57" t="s">
        <v>2511</v>
      </c>
      <c r="AX182" s="57" t="s">
        <v>2512</v>
      </c>
      <c r="AY182" s="57" t="s">
        <v>2513</v>
      </c>
      <c r="AZ182" s="58">
        <f t="shared" si="174"/>
        <v>0.16104025856399998</v>
      </c>
      <c r="BA182" s="59">
        <f t="shared" si="178"/>
        <v>4.7253596996478867E-3</v>
      </c>
      <c r="BB182" s="59">
        <f t="shared" si="179"/>
        <v>1.4176079098943658E-2</v>
      </c>
      <c r="BC182" s="59">
        <f t="shared" si="180"/>
        <v>3.7802877597183098E-3</v>
      </c>
      <c r="BD182" s="60">
        <f t="shared" si="175"/>
        <v>2.7777777777777776E-2</v>
      </c>
      <c r="BE182" s="59">
        <f t="shared" si="176"/>
        <v>2.7777777777777776E-2</v>
      </c>
      <c r="BQ182" s="61">
        <v>3000</v>
      </c>
      <c r="BR182" s="61">
        <v>1200</v>
      </c>
      <c r="BS182" s="28">
        <f t="shared" si="143"/>
        <v>2980</v>
      </c>
      <c r="BT182" s="28">
        <f t="shared" si="144"/>
        <v>1180</v>
      </c>
      <c r="BU182" s="28" t="s">
        <v>2541</v>
      </c>
      <c r="BV182" s="28">
        <f t="shared" si="145"/>
        <v>458.517</v>
      </c>
      <c r="BW182" s="28">
        <f t="shared" si="146"/>
        <v>182.54599999999999</v>
      </c>
      <c r="BX182" s="13">
        <f t="shared" si="147"/>
        <v>6.4992137696094145</v>
      </c>
      <c r="BY182" s="13">
        <f t="shared" si="148"/>
        <v>6</v>
      </c>
      <c r="BZ182" s="13">
        <f t="shared" si="149"/>
        <v>6.4641241111829348</v>
      </c>
      <c r="CA182" s="13">
        <f t="shared" si="150"/>
        <v>6</v>
      </c>
      <c r="CB182" s="13">
        <f t="shared" si="151"/>
        <v>36</v>
      </c>
      <c r="CC182" s="62">
        <f t="shared" si="152"/>
        <v>2.7777777777777776E-2</v>
      </c>
      <c r="CD182" s="13">
        <f t="shared" si="153"/>
        <v>16.324652416377244</v>
      </c>
      <c r="CE182" s="13">
        <f t="shared" si="154"/>
        <v>16</v>
      </c>
      <c r="CF182" s="13">
        <f t="shared" si="155"/>
        <v>2.5735141772278891</v>
      </c>
      <c r="CG182" s="13">
        <f t="shared" si="156"/>
        <v>2</v>
      </c>
      <c r="CH182" s="28">
        <f t="shared" si="157"/>
        <v>32</v>
      </c>
      <c r="CI182" s="62">
        <f t="shared" si="158"/>
        <v>3.125E-2</v>
      </c>
      <c r="CJ182" s="59">
        <f t="shared" si="159"/>
        <v>2.7777777777777776E-2</v>
      </c>
      <c r="CL182" s="63">
        <v>6000</v>
      </c>
      <c r="CM182" s="63">
        <f t="shared" si="160"/>
        <v>453.517</v>
      </c>
      <c r="CN182" s="63">
        <f t="shared" si="161"/>
        <v>458.517</v>
      </c>
      <c r="CO182" s="63">
        <f t="shared" si="162"/>
        <v>13.085665307938418</v>
      </c>
      <c r="CP182" s="13">
        <f t="shared" si="163"/>
        <v>13</v>
      </c>
      <c r="CQ182" s="70">
        <f t="shared" si="164"/>
        <v>7.6923076923076927E-2</v>
      </c>
      <c r="CR182" s="69">
        <f t="shared" si="132"/>
        <v>7.6923076923076927E-2</v>
      </c>
    </row>
    <row r="183" spans="1:96" hidden="1" x14ac:dyDescent="0.25">
      <c r="A183" s="13">
        <v>4</v>
      </c>
      <c r="B183" s="14" t="s">
        <v>403</v>
      </c>
      <c r="C183" s="13" t="s">
        <v>562</v>
      </c>
      <c r="D183" s="13" t="s">
        <v>2270</v>
      </c>
      <c r="E183" s="13" t="s">
        <v>52</v>
      </c>
      <c r="F183" s="15">
        <f t="shared" si="133"/>
        <v>1</v>
      </c>
      <c r="G183" s="13">
        <v>1</v>
      </c>
      <c r="H183" s="13">
        <f t="shared" si="190"/>
        <v>1</v>
      </c>
      <c r="I183" s="13">
        <v>25</v>
      </c>
      <c r="J183" s="14" t="s">
        <v>130</v>
      </c>
      <c r="K183" s="14" t="s">
        <v>34</v>
      </c>
      <c r="L183" s="13">
        <v>0</v>
      </c>
      <c r="M183" s="14" t="s">
        <v>35</v>
      </c>
      <c r="N183" s="13" t="s">
        <v>563</v>
      </c>
      <c r="O183" s="28" t="s">
        <v>41</v>
      </c>
      <c r="P183" s="28" t="s">
        <v>41</v>
      </c>
      <c r="Q183" s="28" t="s">
        <v>116</v>
      </c>
      <c r="R183" s="30">
        <v>26</v>
      </c>
      <c r="S183" s="30">
        <v>5.3470000000000004</v>
      </c>
      <c r="T183" s="30"/>
      <c r="U183" s="30">
        <v>0.11799999999999999</v>
      </c>
      <c r="V183" s="8">
        <f t="shared" si="134"/>
        <v>660.4</v>
      </c>
      <c r="W183" s="8">
        <f t="shared" si="135"/>
        <v>135.81380000000001</v>
      </c>
      <c r="X183" s="8">
        <f t="shared" si="136"/>
        <v>0</v>
      </c>
      <c r="Y183" s="33">
        <f t="shared" si="137"/>
        <v>2.9971999999999999</v>
      </c>
      <c r="Z183" s="28" t="s">
        <v>56</v>
      </c>
      <c r="AA183" s="28" t="s">
        <v>57</v>
      </c>
      <c r="AB183" s="28" t="s">
        <v>116</v>
      </c>
      <c r="AC183" s="31" t="s">
        <v>117</v>
      </c>
      <c r="AD183" s="50">
        <f t="shared" si="138"/>
        <v>1</v>
      </c>
      <c r="AE183" s="31"/>
      <c r="AF183" s="51">
        <v>14</v>
      </c>
      <c r="AG183" s="51">
        <f t="shared" si="166"/>
        <v>8.4</v>
      </c>
      <c r="AH183" s="51">
        <f t="shared" si="131"/>
        <v>42</v>
      </c>
      <c r="AI183" s="52" t="s">
        <v>2497</v>
      </c>
      <c r="AJ183" s="52" t="s">
        <v>2498</v>
      </c>
      <c r="AK183" s="53">
        <f t="shared" si="167"/>
        <v>0.17938286704</v>
      </c>
      <c r="AL183" s="54">
        <f t="shared" si="168"/>
        <v>0.11904761904761904</v>
      </c>
      <c r="AM183" s="54">
        <f t="shared" si="169"/>
        <v>2.3809523809523808E-2</v>
      </c>
      <c r="AN183" s="55">
        <f t="shared" si="170"/>
        <v>2.1355103219047617E-2</v>
      </c>
      <c r="AO183" s="55">
        <f t="shared" si="171"/>
        <v>4.2710206438095234E-3</v>
      </c>
      <c r="AP183" s="53">
        <v>7.1</v>
      </c>
      <c r="AQ183" s="53">
        <f t="shared" si="139"/>
        <v>4.26</v>
      </c>
      <c r="AR183" s="53">
        <f t="shared" si="140"/>
        <v>21.299999999999997</v>
      </c>
      <c r="AS183" s="56">
        <f t="shared" si="141"/>
        <v>4.6948356807511742E-2</v>
      </c>
      <c r="AT183" s="56">
        <f t="shared" si="172"/>
        <v>0.23474178403755869</v>
      </c>
      <c r="AU183" s="56">
        <f t="shared" si="142"/>
        <v>0.176056338028169</v>
      </c>
      <c r="AV183" s="56">
        <f t="shared" si="173"/>
        <v>5.8685446009389672E-2</v>
      </c>
      <c r="AW183" s="57" t="s">
        <v>2511</v>
      </c>
      <c r="AX183" s="57" t="s">
        <v>2512</v>
      </c>
      <c r="AY183" s="57" t="s">
        <v>2513</v>
      </c>
      <c r="AZ183" s="58">
        <f t="shared" si="174"/>
        <v>0.17938286704</v>
      </c>
      <c r="BA183" s="59">
        <f t="shared" si="178"/>
        <v>5.263581779342723E-3</v>
      </c>
      <c r="BB183" s="59">
        <f t="shared" si="179"/>
        <v>1.579074533802817E-2</v>
      </c>
      <c r="BC183" s="59">
        <f t="shared" si="180"/>
        <v>4.2108654234741787E-3</v>
      </c>
      <c r="BD183" s="60">
        <f t="shared" si="175"/>
        <v>3.125E-2</v>
      </c>
      <c r="BE183" s="59">
        <f t="shared" si="176"/>
        <v>3.125E-2</v>
      </c>
      <c r="BQ183" s="61">
        <v>3000</v>
      </c>
      <c r="BR183" s="61">
        <v>1200</v>
      </c>
      <c r="BS183" s="28">
        <f t="shared" si="143"/>
        <v>2980</v>
      </c>
      <c r="BT183" s="28">
        <f t="shared" si="144"/>
        <v>1180</v>
      </c>
      <c r="BU183" s="28" t="s">
        <v>2541</v>
      </c>
      <c r="BV183" s="28">
        <f t="shared" si="145"/>
        <v>665.4</v>
      </c>
      <c r="BW183" s="28">
        <f t="shared" si="146"/>
        <v>140.81380000000001</v>
      </c>
      <c r="BX183" s="13">
        <f t="shared" si="147"/>
        <v>4.4785091674180943</v>
      </c>
      <c r="BY183" s="13">
        <f t="shared" si="148"/>
        <v>4</v>
      </c>
      <c r="BZ183" s="13">
        <f t="shared" si="149"/>
        <v>8.3798604966274599</v>
      </c>
      <c r="CA183" s="13">
        <f t="shared" si="150"/>
        <v>8</v>
      </c>
      <c r="CB183" s="13">
        <f t="shared" si="151"/>
        <v>32</v>
      </c>
      <c r="CC183" s="62">
        <f t="shared" si="152"/>
        <v>3.125E-2</v>
      </c>
      <c r="CD183" s="13">
        <f t="shared" si="153"/>
        <v>21.162698542330364</v>
      </c>
      <c r="CE183" s="13">
        <f t="shared" si="154"/>
        <v>21</v>
      </c>
      <c r="CF183" s="13">
        <f t="shared" si="155"/>
        <v>1.7733694018635409</v>
      </c>
      <c r="CG183" s="13">
        <f t="shared" si="156"/>
        <v>1</v>
      </c>
      <c r="CH183" s="28">
        <f t="shared" si="157"/>
        <v>21</v>
      </c>
      <c r="CI183" s="62">
        <f t="shared" si="158"/>
        <v>4.7619047619047616E-2</v>
      </c>
      <c r="CJ183" s="59">
        <f t="shared" si="159"/>
        <v>3.125E-2</v>
      </c>
      <c r="CL183" s="63">
        <v>6000</v>
      </c>
      <c r="CM183" s="63">
        <f t="shared" si="160"/>
        <v>660.4</v>
      </c>
      <c r="CN183" s="63">
        <f t="shared" si="161"/>
        <v>665.4</v>
      </c>
      <c r="CO183" s="63">
        <f t="shared" si="162"/>
        <v>9.0171325518485119</v>
      </c>
      <c r="CP183" s="13">
        <f t="shared" si="163"/>
        <v>9</v>
      </c>
      <c r="CQ183" s="70">
        <f t="shared" si="164"/>
        <v>0.1111111111111111</v>
      </c>
      <c r="CR183" s="69">
        <f t="shared" si="132"/>
        <v>0.1111111111111111</v>
      </c>
    </row>
    <row r="184" spans="1:96" hidden="1" x14ac:dyDescent="0.25">
      <c r="A184" s="13">
        <v>4</v>
      </c>
      <c r="B184" s="14" t="s">
        <v>403</v>
      </c>
      <c r="C184" s="13" t="s">
        <v>564</v>
      </c>
      <c r="D184" s="13" t="s">
        <v>2270</v>
      </c>
      <c r="E184" s="13" t="s">
        <v>32</v>
      </c>
      <c r="F184" s="15">
        <f t="shared" si="133"/>
        <v>1</v>
      </c>
      <c r="G184" s="13">
        <v>1</v>
      </c>
      <c r="H184" s="13">
        <f t="shared" si="190"/>
        <v>1</v>
      </c>
      <c r="I184" s="13">
        <v>29</v>
      </c>
      <c r="J184" s="14" t="s">
        <v>508</v>
      </c>
      <c r="K184" s="14" t="s">
        <v>34</v>
      </c>
      <c r="L184" s="13">
        <v>0</v>
      </c>
      <c r="M184" s="14" t="s">
        <v>35</v>
      </c>
      <c r="N184" s="13" t="s">
        <v>565</v>
      </c>
      <c r="O184" s="28" t="s">
        <v>41</v>
      </c>
      <c r="P184" s="28" t="s">
        <v>41</v>
      </c>
      <c r="Q184" s="28"/>
      <c r="R184" s="30"/>
      <c r="S184" s="30"/>
      <c r="T184" s="30"/>
      <c r="U184" s="30"/>
      <c r="V184" s="8">
        <f t="shared" si="134"/>
        <v>0</v>
      </c>
      <c r="W184" s="8">
        <f t="shared" si="135"/>
        <v>0</v>
      </c>
      <c r="X184" s="8">
        <f t="shared" si="136"/>
        <v>0</v>
      </c>
      <c r="Y184" s="33">
        <f t="shared" si="137"/>
        <v>0</v>
      </c>
      <c r="Z184" s="28"/>
      <c r="AA184" s="28"/>
      <c r="AB184" s="28">
        <v>0</v>
      </c>
      <c r="AC184" s="31"/>
      <c r="AD184" s="50">
        <f t="shared" si="138"/>
        <v>1</v>
      </c>
      <c r="AE184" s="31"/>
      <c r="AF184" s="51">
        <v>14</v>
      </c>
      <c r="AG184" s="51">
        <f t="shared" si="166"/>
        <v>8.4</v>
      </c>
      <c r="AH184" s="51">
        <f t="shared" si="131"/>
        <v>42</v>
      </c>
      <c r="AI184" s="52" t="s">
        <v>2497</v>
      </c>
      <c r="AJ184" s="52" t="s">
        <v>2498</v>
      </c>
      <c r="AK184" s="53">
        <f t="shared" si="167"/>
        <v>0</v>
      </c>
      <c r="AL184" s="54">
        <f t="shared" si="168"/>
        <v>0.11904761904761904</v>
      </c>
      <c r="AM184" s="54">
        <f t="shared" si="169"/>
        <v>2.3809523809523808E-2</v>
      </c>
      <c r="AN184" s="55">
        <f t="shared" si="170"/>
        <v>0</v>
      </c>
      <c r="AO184" s="55">
        <f t="shared" si="171"/>
        <v>0</v>
      </c>
      <c r="AP184" s="53">
        <v>7.1</v>
      </c>
      <c r="AQ184" s="53">
        <f t="shared" si="139"/>
        <v>4.26</v>
      </c>
      <c r="AR184" s="53">
        <f t="shared" si="140"/>
        <v>21.299999999999997</v>
      </c>
      <c r="AS184" s="56">
        <f t="shared" si="141"/>
        <v>4.6948356807511742E-2</v>
      </c>
      <c r="AT184" s="56">
        <f t="shared" si="172"/>
        <v>0.23474178403755869</v>
      </c>
      <c r="AU184" s="56">
        <f t="shared" si="142"/>
        <v>0.176056338028169</v>
      </c>
      <c r="AV184" s="56">
        <f t="shared" si="173"/>
        <v>5.8685446009389672E-2</v>
      </c>
      <c r="AW184" s="57" t="s">
        <v>2511</v>
      </c>
      <c r="AX184" s="57" t="s">
        <v>2512</v>
      </c>
      <c r="AY184" s="57" t="s">
        <v>2513</v>
      </c>
      <c r="AZ184" s="58">
        <f t="shared" si="174"/>
        <v>0</v>
      </c>
      <c r="BA184" s="59">
        <f t="shared" si="178"/>
        <v>0</v>
      </c>
      <c r="BB184" s="59">
        <f t="shared" si="179"/>
        <v>0</v>
      </c>
      <c r="BC184" s="59">
        <f t="shared" si="180"/>
        <v>0</v>
      </c>
      <c r="BD184" s="60">
        <f t="shared" si="175"/>
        <v>0</v>
      </c>
      <c r="BE184" s="59">
        <f t="shared" si="176"/>
        <v>0</v>
      </c>
      <c r="BQ184" s="61">
        <v>3000</v>
      </c>
      <c r="BR184" s="61">
        <v>1200</v>
      </c>
      <c r="BS184" s="28">
        <f t="shared" si="143"/>
        <v>2980</v>
      </c>
      <c r="BT184" s="28">
        <f t="shared" si="144"/>
        <v>1180</v>
      </c>
      <c r="BU184" s="28" t="s">
        <v>2541</v>
      </c>
      <c r="BV184" s="28">
        <f t="shared" si="145"/>
        <v>5</v>
      </c>
      <c r="BW184" s="28">
        <f t="shared" si="146"/>
        <v>5</v>
      </c>
      <c r="BX184" s="13">
        <f t="shared" si="147"/>
        <v>596</v>
      </c>
      <c r="BY184" s="13">
        <f t="shared" si="148"/>
        <v>596</v>
      </c>
      <c r="BZ184" s="13">
        <f t="shared" si="149"/>
        <v>236</v>
      </c>
      <c r="CA184" s="13">
        <f t="shared" si="150"/>
        <v>236</v>
      </c>
      <c r="CB184" s="13">
        <f t="shared" si="151"/>
        <v>140656</v>
      </c>
      <c r="CC184" s="62" t="str">
        <f t="shared" si="152"/>
        <v/>
      </c>
      <c r="CD184" s="13">
        <f t="shared" si="153"/>
        <v>596</v>
      </c>
      <c r="CE184" s="13">
        <f t="shared" si="154"/>
        <v>596</v>
      </c>
      <c r="CF184" s="13">
        <f t="shared" si="155"/>
        <v>236</v>
      </c>
      <c r="CG184" s="13">
        <f t="shared" si="156"/>
        <v>236</v>
      </c>
      <c r="CH184" s="28">
        <f t="shared" si="157"/>
        <v>140656</v>
      </c>
      <c r="CI184" s="62" t="str">
        <f t="shared" si="158"/>
        <v/>
      </c>
      <c r="CJ184" s="59">
        <f t="shared" si="159"/>
        <v>0</v>
      </c>
      <c r="CL184" s="63">
        <v>6000</v>
      </c>
      <c r="CM184" s="63">
        <f t="shared" si="160"/>
        <v>0</v>
      </c>
      <c r="CN184" s="63">
        <f t="shared" si="161"/>
        <v>5</v>
      </c>
      <c r="CO184" s="63">
        <f t="shared" si="162"/>
        <v>1200</v>
      </c>
      <c r="CP184" s="13">
        <f t="shared" si="163"/>
        <v>1200</v>
      </c>
      <c r="CQ184" s="70">
        <f t="shared" si="164"/>
        <v>8.3333333333333339E-4</v>
      </c>
      <c r="CR184" s="69">
        <f t="shared" si="132"/>
        <v>8.3333333333333339E-4</v>
      </c>
    </row>
    <row r="185" spans="1:96" hidden="1" x14ac:dyDescent="0.25">
      <c r="A185" s="17">
        <v>5</v>
      </c>
      <c r="B185" s="6" t="s">
        <v>566</v>
      </c>
      <c r="C185" s="17" t="s">
        <v>567</v>
      </c>
      <c r="D185" s="17" t="s">
        <v>2270</v>
      </c>
      <c r="E185" s="17" t="s">
        <v>32</v>
      </c>
      <c r="F185" s="7">
        <f t="shared" si="133"/>
        <v>1</v>
      </c>
      <c r="G185" s="17">
        <v>1</v>
      </c>
      <c r="H185" s="17">
        <f>G185*$H$184</f>
        <v>1</v>
      </c>
      <c r="I185" s="17">
        <v>5</v>
      </c>
      <c r="J185" s="6" t="s">
        <v>508</v>
      </c>
      <c r="K185" s="6" t="s">
        <v>34</v>
      </c>
      <c r="L185" s="17">
        <v>0</v>
      </c>
      <c r="M185" s="6" t="s">
        <v>35</v>
      </c>
      <c r="N185" s="17" t="s">
        <v>568</v>
      </c>
      <c r="O185" s="28" t="s">
        <v>41</v>
      </c>
      <c r="P185" s="28" t="s">
        <v>41</v>
      </c>
      <c r="Q185" s="28"/>
      <c r="R185" s="30"/>
      <c r="S185" s="30"/>
      <c r="T185" s="30"/>
      <c r="U185" s="30"/>
      <c r="V185" s="8">
        <f t="shared" si="134"/>
        <v>0</v>
      </c>
      <c r="W185" s="8">
        <f t="shared" si="135"/>
        <v>0</v>
      </c>
      <c r="X185" s="8">
        <f t="shared" si="136"/>
        <v>0</v>
      </c>
      <c r="Y185" s="33">
        <f t="shared" si="137"/>
        <v>0</v>
      </c>
      <c r="Z185" s="28"/>
      <c r="AA185" s="28"/>
      <c r="AB185" s="28">
        <v>0</v>
      </c>
      <c r="AC185" s="31"/>
      <c r="AD185" s="50">
        <f t="shared" si="138"/>
        <v>1</v>
      </c>
      <c r="AE185" s="31"/>
      <c r="AF185" s="51">
        <v>14</v>
      </c>
      <c r="AG185" s="51">
        <f t="shared" si="166"/>
        <v>8.4</v>
      </c>
      <c r="AH185" s="51">
        <f t="shared" si="131"/>
        <v>42</v>
      </c>
      <c r="AI185" s="52" t="s">
        <v>2497</v>
      </c>
      <c r="AJ185" s="52" t="s">
        <v>2498</v>
      </c>
      <c r="AK185" s="53">
        <f t="shared" si="167"/>
        <v>0</v>
      </c>
      <c r="AL185" s="54">
        <f t="shared" si="168"/>
        <v>0.11904761904761904</v>
      </c>
      <c r="AM185" s="54">
        <f t="shared" si="169"/>
        <v>2.3809523809523808E-2</v>
      </c>
      <c r="AN185" s="55">
        <f t="shared" si="170"/>
        <v>0</v>
      </c>
      <c r="AO185" s="55">
        <f t="shared" si="171"/>
        <v>0</v>
      </c>
      <c r="AP185" s="53">
        <v>7.1</v>
      </c>
      <c r="AQ185" s="53">
        <f t="shared" si="139"/>
        <v>4.26</v>
      </c>
      <c r="AR185" s="53">
        <f t="shared" si="140"/>
        <v>21.299999999999997</v>
      </c>
      <c r="AS185" s="56">
        <f t="shared" si="141"/>
        <v>4.6948356807511742E-2</v>
      </c>
      <c r="AT185" s="56">
        <f t="shared" si="172"/>
        <v>0.23474178403755869</v>
      </c>
      <c r="AU185" s="56">
        <f t="shared" si="142"/>
        <v>0.176056338028169</v>
      </c>
      <c r="AV185" s="56">
        <f t="shared" si="173"/>
        <v>5.8685446009389672E-2</v>
      </c>
      <c r="AW185" s="57" t="s">
        <v>2511</v>
      </c>
      <c r="AX185" s="57" t="s">
        <v>2512</v>
      </c>
      <c r="AY185" s="57" t="s">
        <v>2513</v>
      </c>
      <c r="AZ185" s="58">
        <f t="shared" si="174"/>
        <v>0</v>
      </c>
      <c r="BA185" s="59">
        <f t="shared" si="178"/>
        <v>0</v>
      </c>
      <c r="BB185" s="59">
        <f t="shared" si="179"/>
        <v>0</v>
      </c>
      <c r="BC185" s="59">
        <f t="shared" si="180"/>
        <v>0</v>
      </c>
      <c r="BD185" s="60">
        <f t="shared" si="175"/>
        <v>0</v>
      </c>
      <c r="BE185" s="59">
        <f t="shared" si="176"/>
        <v>0</v>
      </c>
      <c r="BQ185" s="61">
        <v>3000</v>
      </c>
      <c r="BR185" s="61">
        <v>1200</v>
      </c>
      <c r="BS185" s="28">
        <f t="shared" si="143"/>
        <v>2980</v>
      </c>
      <c r="BT185" s="28">
        <f t="shared" si="144"/>
        <v>1180</v>
      </c>
      <c r="BU185" s="28" t="s">
        <v>2541</v>
      </c>
      <c r="BV185" s="28">
        <f t="shared" si="145"/>
        <v>5</v>
      </c>
      <c r="BW185" s="28">
        <f t="shared" si="146"/>
        <v>5</v>
      </c>
      <c r="BX185" s="13">
        <f t="shared" si="147"/>
        <v>596</v>
      </c>
      <c r="BY185" s="13">
        <f t="shared" si="148"/>
        <v>596</v>
      </c>
      <c r="BZ185" s="13">
        <f t="shared" si="149"/>
        <v>236</v>
      </c>
      <c r="CA185" s="13">
        <f t="shared" si="150"/>
        <v>236</v>
      </c>
      <c r="CB185" s="13">
        <f t="shared" si="151"/>
        <v>140656</v>
      </c>
      <c r="CC185" s="62" t="str">
        <f t="shared" si="152"/>
        <v/>
      </c>
      <c r="CD185" s="13">
        <f t="shared" si="153"/>
        <v>596</v>
      </c>
      <c r="CE185" s="13">
        <f t="shared" si="154"/>
        <v>596</v>
      </c>
      <c r="CF185" s="13">
        <f t="shared" si="155"/>
        <v>236</v>
      </c>
      <c r="CG185" s="13">
        <f t="shared" si="156"/>
        <v>236</v>
      </c>
      <c r="CH185" s="28">
        <f t="shared" si="157"/>
        <v>140656</v>
      </c>
      <c r="CI185" s="62" t="str">
        <f t="shared" si="158"/>
        <v/>
      </c>
      <c r="CJ185" s="59">
        <f t="shared" si="159"/>
        <v>0</v>
      </c>
      <c r="CL185" s="63">
        <v>6000</v>
      </c>
      <c r="CM185" s="63">
        <f t="shared" si="160"/>
        <v>0</v>
      </c>
      <c r="CN185" s="63">
        <f t="shared" si="161"/>
        <v>5</v>
      </c>
      <c r="CO185" s="63">
        <f t="shared" si="162"/>
        <v>1200</v>
      </c>
      <c r="CP185" s="13">
        <f t="shared" si="163"/>
        <v>1200</v>
      </c>
      <c r="CQ185" s="70">
        <f t="shared" si="164"/>
        <v>8.3333333333333339E-4</v>
      </c>
      <c r="CR185" s="69">
        <f t="shared" si="132"/>
        <v>8.3333333333333339E-4</v>
      </c>
    </row>
    <row r="186" spans="1:96" hidden="1" x14ac:dyDescent="0.25">
      <c r="A186" s="42">
        <v>6</v>
      </c>
      <c r="B186" s="43" t="s">
        <v>569</v>
      </c>
      <c r="C186" s="42" t="s">
        <v>570</v>
      </c>
      <c r="D186" s="42" t="s">
        <v>2270</v>
      </c>
      <c r="E186" s="42" t="s">
        <v>52</v>
      </c>
      <c r="F186" s="44">
        <f t="shared" si="133"/>
        <v>1</v>
      </c>
      <c r="G186" s="42">
        <v>1</v>
      </c>
      <c r="H186" s="42">
        <f>G186*$H$185</f>
        <v>1</v>
      </c>
      <c r="I186" s="42">
        <v>1</v>
      </c>
      <c r="J186" s="43" t="s">
        <v>512</v>
      </c>
      <c r="K186" s="43" t="s">
        <v>34</v>
      </c>
      <c r="L186" s="42">
        <v>0</v>
      </c>
      <c r="M186" s="43" t="s">
        <v>35</v>
      </c>
      <c r="N186" s="42" t="s">
        <v>571</v>
      </c>
      <c r="O186" s="28" t="s">
        <v>41</v>
      </c>
      <c r="P186" s="28" t="s">
        <v>41</v>
      </c>
      <c r="Q186" s="28" t="s">
        <v>116</v>
      </c>
      <c r="R186" s="30">
        <v>6.5</v>
      </c>
      <c r="S186" s="30">
        <v>6.4130000000000003</v>
      </c>
      <c r="T186" s="30"/>
      <c r="U186" s="30">
        <v>0.11799999999999999</v>
      </c>
      <c r="V186" s="8">
        <f t="shared" si="134"/>
        <v>165.1</v>
      </c>
      <c r="W186" s="8">
        <f t="shared" si="135"/>
        <v>162.89019999999999</v>
      </c>
      <c r="X186" s="8">
        <f t="shared" si="136"/>
        <v>0</v>
      </c>
      <c r="Y186" s="33">
        <f t="shared" si="137"/>
        <v>2.9971999999999999</v>
      </c>
      <c r="Z186" s="28" t="s">
        <v>56</v>
      </c>
      <c r="AA186" s="28" t="s">
        <v>57</v>
      </c>
      <c r="AB186" s="28" t="s">
        <v>116</v>
      </c>
      <c r="AC186" s="31" t="s">
        <v>117</v>
      </c>
      <c r="AD186" s="50">
        <f t="shared" si="138"/>
        <v>1</v>
      </c>
      <c r="AE186" s="31"/>
      <c r="AF186" s="51">
        <v>14</v>
      </c>
      <c r="AG186" s="51">
        <f t="shared" si="166"/>
        <v>8.4</v>
      </c>
      <c r="AH186" s="51">
        <f t="shared" si="131"/>
        <v>42</v>
      </c>
      <c r="AI186" s="52" t="s">
        <v>2497</v>
      </c>
      <c r="AJ186" s="52" t="s">
        <v>2498</v>
      </c>
      <c r="AK186" s="53">
        <f t="shared" si="167"/>
        <v>5.3786344039999996E-2</v>
      </c>
      <c r="AL186" s="54">
        <f t="shared" si="168"/>
        <v>0.11904761904761904</v>
      </c>
      <c r="AM186" s="54">
        <f t="shared" si="169"/>
        <v>2.3809523809523808E-2</v>
      </c>
      <c r="AN186" s="55">
        <f t="shared" si="170"/>
        <v>6.4031361952380942E-3</v>
      </c>
      <c r="AO186" s="55">
        <f t="shared" si="171"/>
        <v>1.2806272390476188E-3</v>
      </c>
      <c r="AP186" s="53">
        <v>7.1</v>
      </c>
      <c r="AQ186" s="53">
        <f t="shared" si="139"/>
        <v>4.26</v>
      </c>
      <c r="AR186" s="53">
        <f t="shared" si="140"/>
        <v>21.299999999999997</v>
      </c>
      <c r="AS186" s="56">
        <f t="shared" si="141"/>
        <v>4.6948356807511742E-2</v>
      </c>
      <c r="AT186" s="56">
        <f t="shared" si="172"/>
        <v>0.23474178403755869</v>
      </c>
      <c r="AU186" s="56">
        <f t="shared" si="142"/>
        <v>0.176056338028169</v>
      </c>
      <c r="AV186" s="56">
        <f t="shared" si="173"/>
        <v>5.8685446009389672E-2</v>
      </c>
      <c r="AW186" s="57" t="s">
        <v>2511</v>
      </c>
      <c r="AX186" s="57" t="s">
        <v>2512</v>
      </c>
      <c r="AY186" s="57" t="s">
        <v>2513</v>
      </c>
      <c r="AZ186" s="58">
        <f t="shared" si="174"/>
        <v>5.3786344039999996E-2</v>
      </c>
      <c r="BA186" s="59">
        <f t="shared" si="178"/>
        <v>1.5782377946009388E-3</v>
      </c>
      <c r="BB186" s="59">
        <f t="shared" si="179"/>
        <v>4.7347133838028166E-3</v>
      </c>
      <c r="BC186" s="59">
        <f t="shared" si="180"/>
        <v>1.2625902356807512E-3</v>
      </c>
      <c r="BD186" s="60">
        <f t="shared" si="175"/>
        <v>8.4033613445378148E-3</v>
      </c>
      <c r="BE186" s="59">
        <f t="shared" si="176"/>
        <v>8.4033613445378148E-3</v>
      </c>
      <c r="BQ186" s="61">
        <v>3000</v>
      </c>
      <c r="BR186" s="61">
        <v>1200</v>
      </c>
      <c r="BS186" s="28">
        <f t="shared" si="143"/>
        <v>2980</v>
      </c>
      <c r="BT186" s="28">
        <f t="shared" si="144"/>
        <v>1180</v>
      </c>
      <c r="BU186" s="28" t="s">
        <v>2541</v>
      </c>
      <c r="BV186" s="28">
        <f t="shared" si="145"/>
        <v>170.1</v>
      </c>
      <c r="BW186" s="28">
        <f t="shared" si="146"/>
        <v>167.89019999999999</v>
      </c>
      <c r="BX186" s="13">
        <f t="shared" si="147"/>
        <v>17.519106407995299</v>
      </c>
      <c r="BY186" s="13">
        <f t="shared" si="148"/>
        <v>17</v>
      </c>
      <c r="BZ186" s="13">
        <f t="shared" si="149"/>
        <v>7.0284030872558381</v>
      </c>
      <c r="CA186" s="13">
        <f t="shared" si="150"/>
        <v>7</v>
      </c>
      <c r="CB186" s="13">
        <f t="shared" si="151"/>
        <v>119</v>
      </c>
      <c r="CC186" s="62">
        <f t="shared" si="152"/>
        <v>8.4033613445378148E-3</v>
      </c>
      <c r="CD186" s="13">
        <f t="shared" si="153"/>
        <v>17.74969593222237</v>
      </c>
      <c r="CE186" s="13">
        <f t="shared" si="154"/>
        <v>17</v>
      </c>
      <c r="CF186" s="13">
        <f t="shared" si="155"/>
        <v>6.9370958259847155</v>
      </c>
      <c r="CG186" s="13">
        <f t="shared" si="156"/>
        <v>6</v>
      </c>
      <c r="CH186" s="28">
        <f t="shared" si="157"/>
        <v>102</v>
      </c>
      <c r="CI186" s="62">
        <f t="shared" si="158"/>
        <v>9.8039215686274508E-3</v>
      </c>
      <c r="CJ186" s="59">
        <f t="shared" si="159"/>
        <v>8.4033613445378148E-3</v>
      </c>
      <c r="CL186" s="63">
        <v>6000</v>
      </c>
      <c r="CM186" s="63">
        <f t="shared" si="160"/>
        <v>165.1</v>
      </c>
      <c r="CN186" s="63">
        <f t="shared" si="161"/>
        <v>170.1</v>
      </c>
      <c r="CO186" s="63">
        <f t="shared" si="162"/>
        <v>35.273368606701943</v>
      </c>
      <c r="CP186" s="13">
        <f t="shared" si="163"/>
        <v>35</v>
      </c>
      <c r="CQ186" s="70">
        <f t="shared" si="164"/>
        <v>2.8571428571428571E-2</v>
      </c>
      <c r="CR186" s="69">
        <f t="shared" si="132"/>
        <v>2.8571428571428571E-2</v>
      </c>
    </row>
    <row r="187" spans="1:96" hidden="1" x14ac:dyDescent="0.25">
      <c r="A187" s="42">
        <v>6</v>
      </c>
      <c r="B187" s="43" t="s">
        <v>569</v>
      </c>
      <c r="C187" s="42" t="s">
        <v>572</v>
      </c>
      <c r="D187" s="42" t="s">
        <v>574</v>
      </c>
      <c r="E187" s="42" t="s">
        <v>52</v>
      </c>
      <c r="F187" s="44">
        <f t="shared" si="133"/>
        <v>2</v>
      </c>
      <c r="G187" s="42">
        <v>2</v>
      </c>
      <c r="H187" s="42">
        <f t="shared" ref="H187:H188" si="191">G187*$H$185</f>
        <v>2</v>
      </c>
      <c r="I187" s="42">
        <v>2</v>
      </c>
      <c r="J187" s="43" t="s">
        <v>573</v>
      </c>
      <c r="K187" s="43" t="s">
        <v>34</v>
      </c>
      <c r="L187" s="42" t="s">
        <v>223</v>
      </c>
      <c r="M187" s="43" t="s">
        <v>340</v>
      </c>
      <c r="N187" s="42" t="s">
        <v>574</v>
      </c>
      <c r="O187" s="28" t="s">
        <v>41</v>
      </c>
      <c r="P187" s="28" t="s">
        <v>41</v>
      </c>
      <c r="Q187" s="28" t="s">
        <v>574</v>
      </c>
      <c r="R187" s="30"/>
      <c r="S187" s="30"/>
      <c r="T187" s="30"/>
      <c r="U187" s="30"/>
      <c r="V187" s="8">
        <f t="shared" si="134"/>
        <v>0</v>
      </c>
      <c r="W187" s="8">
        <f t="shared" si="135"/>
        <v>0</v>
      </c>
      <c r="X187" s="8">
        <f t="shared" si="136"/>
        <v>0</v>
      </c>
      <c r="Y187" s="33">
        <f t="shared" si="137"/>
        <v>0</v>
      </c>
      <c r="Z187" s="28"/>
      <c r="AA187" s="28"/>
      <c r="AB187" s="61" t="s">
        <v>574</v>
      </c>
      <c r="AC187" s="31" t="s">
        <v>575</v>
      </c>
      <c r="AD187" s="50">
        <f t="shared" si="138"/>
        <v>2</v>
      </c>
      <c r="AE187" s="31"/>
      <c r="AF187" s="51">
        <v>14</v>
      </c>
      <c r="AG187" s="51">
        <f t="shared" si="166"/>
        <v>8.4</v>
      </c>
      <c r="AH187" s="51">
        <f t="shared" si="131"/>
        <v>42</v>
      </c>
      <c r="AI187" s="52" t="s">
        <v>2497</v>
      </c>
      <c r="AJ187" s="52" t="s">
        <v>2498</v>
      </c>
      <c r="AK187" s="53">
        <f t="shared" si="167"/>
        <v>0</v>
      </c>
      <c r="AL187" s="54">
        <f t="shared" si="168"/>
        <v>0.11904761904761904</v>
      </c>
      <c r="AM187" s="54">
        <f t="shared" si="169"/>
        <v>2.3809523809523808E-2</v>
      </c>
      <c r="AN187" s="55">
        <f t="shared" si="170"/>
        <v>0</v>
      </c>
      <c r="AO187" s="55">
        <f t="shared" si="171"/>
        <v>0</v>
      </c>
      <c r="AP187" s="53">
        <v>7.1</v>
      </c>
      <c r="AQ187" s="53">
        <f t="shared" si="139"/>
        <v>4.26</v>
      </c>
      <c r="AR187" s="53">
        <f t="shared" si="140"/>
        <v>21.299999999999997</v>
      </c>
      <c r="AS187" s="56">
        <f t="shared" si="141"/>
        <v>4.6948356807511742E-2</v>
      </c>
      <c r="AT187" s="56">
        <f t="shared" si="172"/>
        <v>0.23474178403755869</v>
      </c>
      <c r="AU187" s="56">
        <f t="shared" si="142"/>
        <v>0.176056338028169</v>
      </c>
      <c r="AV187" s="56">
        <f t="shared" si="173"/>
        <v>5.8685446009389672E-2</v>
      </c>
      <c r="AW187" s="57" t="s">
        <v>2511</v>
      </c>
      <c r="AX187" s="57" t="s">
        <v>2512</v>
      </c>
      <c r="AY187" s="57" t="s">
        <v>2513</v>
      </c>
      <c r="AZ187" s="58">
        <f t="shared" si="174"/>
        <v>0</v>
      </c>
      <c r="BA187" s="59">
        <f t="shared" si="178"/>
        <v>0</v>
      </c>
      <c r="BB187" s="59">
        <f t="shared" si="179"/>
        <v>0</v>
      </c>
      <c r="BC187" s="59">
        <f t="shared" si="180"/>
        <v>0</v>
      </c>
      <c r="BD187" s="60">
        <f t="shared" si="175"/>
        <v>7.1095438516664771E-6</v>
      </c>
      <c r="BE187" s="59">
        <f t="shared" si="176"/>
        <v>1.4219087703332954E-5</v>
      </c>
      <c r="BQ187" s="61">
        <v>3000</v>
      </c>
      <c r="BR187" s="61">
        <v>1200</v>
      </c>
      <c r="BS187" s="28">
        <f t="shared" si="143"/>
        <v>2980</v>
      </c>
      <c r="BT187" s="28">
        <f t="shared" si="144"/>
        <v>1180</v>
      </c>
      <c r="BU187" s="28" t="s">
        <v>2541</v>
      </c>
      <c r="BV187" s="28">
        <f t="shared" si="145"/>
        <v>5</v>
      </c>
      <c r="BW187" s="28">
        <f t="shared" si="146"/>
        <v>5</v>
      </c>
      <c r="BX187" s="13">
        <f t="shared" si="147"/>
        <v>596</v>
      </c>
      <c r="BY187" s="13">
        <f t="shared" si="148"/>
        <v>596</v>
      </c>
      <c r="BZ187" s="13">
        <f t="shared" si="149"/>
        <v>236</v>
      </c>
      <c r="CA187" s="13">
        <f t="shared" si="150"/>
        <v>236</v>
      </c>
      <c r="CB187" s="13">
        <f t="shared" si="151"/>
        <v>140656</v>
      </c>
      <c r="CC187" s="62">
        <f t="shared" si="152"/>
        <v>7.1095438516664771E-6</v>
      </c>
      <c r="CD187" s="13">
        <f t="shared" si="153"/>
        <v>596</v>
      </c>
      <c r="CE187" s="13">
        <f t="shared" si="154"/>
        <v>596</v>
      </c>
      <c r="CF187" s="13">
        <f t="shared" si="155"/>
        <v>236</v>
      </c>
      <c r="CG187" s="13">
        <f t="shared" si="156"/>
        <v>236</v>
      </c>
      <c r="CH187" s="28">
        <f t="shared" si="157"/>
        <v>140656</v>
      </c>
      <c r="CI187" s="62">
        <f t="shared" si="158"/>
        <v>7.1095438516664771E-6</v>
      </c>
      <c r="CJ187" s="59">
        <f t="shared" si="159"/>
        <v>7.1095438516664771E-6</v>
      </c>
      <c r="CL187" s="63">
        <v>6000</v>
      </c>
      <c r="CM187" s="63">
        <f t="shared" si="160"/>
        <v>0</v>
      </c>
      <c r="CN187" s="63">
        <f t="shared" si="161"/>
        <v>5</v>
      </c>
      <c r="CO187" s="63">
        <f t="shared" si="162"/>
        <v>1200</v>
      </c>
      <c r="CP187" s="13">
        <f t="shared" si="163"/>
        <v>1200</v>
      </c>
      <c r="CQ187" s="70">
        <f t="shared" si="164"/>
        <v>8.3333333333333339E-4</v>
      </c>
      <c r="CR187" s="69">
        <f t="shared" si="132"/>
        <v>1.6666666666666668E-3</v>
      </c>
    </row>
    <row r="188" spans="1:96" hidden="1" x14ac:dyDescent="0.25">
      <c r="A188" s="42">
        <v>6</v>
      </c>
      <c r="B188" s="43" t="s">
        <v>569</v>
      </c>
      <c r="C188" s="42" t="s">
        <v>576</v>
      </c>
      <c r="D188" s="42" t="s">
        <v>578</v>
      </c>
      <c r="E188" s="42" t="s">
        <v>52</v>
      </c>
      <c r="F188" s="44">
        <f t="shared" si="133"/>
        <v>1</v>
      </c>
      <c r="G188" s="42">
        <v>2</v>
      </c>
      <c r="H188" s="42">
        <f t="shared" si="191"/>
        <v>2</v>
      </c>
      <c r="I188" s="42">
        <v>3</v>
      </c>
      <c r="J188" s="43" t="s">
        <v>577</v>
      </c>
      <c r="K188" s="43" t="s">
        <v>34</v>
      </c>
      <c r="L188" s="42" t="s">
        <v>223</v>
      </c>
      <c r="M188" s="43" t="s">
        <v>340</v>
      </c>
      <c r="N188" s="42" t="s">
        <v>578</v>
      </c>
      <c r="O188" s="28" t="s">
        <v>41</v>
      </c>
      <c r="P188" s="28" t="s">
        <v>41</v>
      </c>
      <c r="Q188" s="28" t="s">
        <v>578</v>
      </c>
      <c r="R188" s="30"/>
      <c r="S188" s="30"/>
      <c r="T188" s="30"/>
      <c r="U188" s="30"/>
      <c r="V188" s="8">
        <f t="shared" si="134"/>
        <v>0</v>
      </c>
      <c r="W188" s="8">
        <f t="shared" si="135"/>
        <v>0</v>
      </c>
      <c r="X188" s="8">
        <f t="shared" si="136"/>
        <v>0</v>
      </c>
      <c r="Y188" s="33">
        <f t="shared" si="137"/>
        <v>0</v>
      </c>
      <c r="Z188" s="28"/>
      <c r="AA188" s="28"/>
      <c r="AB188" s="61" t="s">
        <v>578</v>
      </c>
      <c r="AC188" s="31" t="s">
        <v>579</v>
      </c>
      <c r="AD188" s="50">
        <f t="shared" si="138"/>
        <v>2</v>
      </c>
      <c r="AE188" s="31"/>
      <c r="AF188" s="51">
        <v>14</v>
      </c>
      <c r="AG188" s="51">
        <f t="shared" si="166"/>
        <v>8.4</v>
      </c>
      <c r="AH188" s="51">
        <f t="shared" si="131"/>
        <v>42</v>
      </c>
      <c r="AI188" s="52" t="s">
        <v>2497</v>
      </c>
      <c r="AJ188" s="52" t="s">
        <v>2498</v>
      </c>
      <c r="AK188" s="53">
        <f t="shared" si="167"/>
        <v>0</v>
      </c>
      <c r="AL188" s="54">
        <f t="shared" si="168"/>
        <v>0.11904761904761904</v>
      </c>
      <c r="AM188" s="54">
        <f t="shared" si="169"/>
        <v>2.3809523809523808E-2</v>
      </c>
      <c r="AN188" s="55">
        <f t="shared" si="170"/>
        <v>0</v>
      </c>
      <c r="AO188" s="55">
        <f t="shared" si="171"/>
        <v>0</v>
      </c>
      <c r="AP188" s="53">
        <v>7.1</v>
      </c>
      <c r="AQ188" s="53">
        <f t="shared" si="139"/>
        <v>4.26</v>
      </c>
      <c r="AR188" s="53">
        <f t="shared" si="140"/>
        <v>21.299999999999997</v>
      </c>
      <c r="AS188" s="56">
        <f t="shared" si="141"/>
        <v>4.6948356807511742E-2</v>
      </c>
      <c r="AT188" s="56">
        <f t="shared" si="172"/>
        <v>0.23474178403755869</v>
      </c>
      <c r="AU188" s="56">
        <f t="shared" si="142"/>
        <v>0.176056338028169</v>
      </c>
      <c r="AV188" s="56">
        <f t="shared" si="173"/>
        <v>5.8685446009389672E-2</v>
      </c>
      <c r="AW188" s="57" t="s">
        <v>2511</v>
      </c>
      <c r="AX188" s="57" t="s">
        <v>2512</v>
      </c>
      <c r="AY188" s="57" t="s">
        <v>2513</v>
      </c>
      <c r="AZ188" s="58">
        <f t="shared" si="174"/>
        <v>0</v>
      </c>
      <c r="BA188" s="59">
        <f t="shared" si="178"/>
        <v>0</v>
      </c>
      <c r="BB188" s="59">
        <f t="shared" si="179"/>
        <v>0</v>
      </c>
      <c r="BC188" s="59">
        <f t="shared" si="180"/>
        <v>0</v>
      </c>
      <c r="BD188" s="60">
        <f t="shared" si="175"/>
        <v>7.1095438516664771E-6</v>
      </c>
      <c r="BE188" s="59">
        <f t="shared" si="176"/>
        <v>1.4219087703332954E-5</v>
      </c>
      <c r="BQ188" s="61">
        <v>3000</v>
      </c>
      <c r="BR188" s="61">
        <v>1200</v>
      </c>
      <c r="BS188" s="28">
        <f t="shared" si="143"/>
        <v>2980</v>
      </c>
      <c r="BT188" s="28">
        <f t="shared" si="144"/>
        <v>1180</v>
      </c>
      <c r="BU188" s="28" t="s">
        <v>2541</v>
      </c>
      <c r="BV188" s="28">
        <f t="shared" si="145"/>
        <v>5</v>
      </c>
      <c r="BW188" s="28">
        <f t="shared" si="146"/>
        <v>5</v>
      </c>
      <c r="BX188" s="13">
        <f t="shared" si="147"/>
        <v>596</v>
      </c>
      <c r="BY188" s="13">
        <f t="shared" si="148"/>
        <v>596</v>
      </c>
      <c r="BZ188" s="13">
        <f t="shared" si="149"/>
        <v>236</v>
      </c>
      <c r="CA188" s="13">
        <f t="shared" si="150"/>
        <v>236</v>
      </c>
      <c r="CB188" s="13">
        <f t="shared" si="151"/>
        <v>140656</v>
      </c>
      <c r="CC188" s="62">
        <f t="shared" si="152"/>
        <v>7.1095438516664771E-6</v>
      </c>
      <c r="CD188" s="13">
        <f t="shared" si="153"/>
        <v>596</v>
      </c>
      <c r="CE188" s="13">
        <f t="shared" si="154"/>
        <v>596</v>
      </c>
      <c r="CF188" s="13">
        <f t="shared" si="155"/>
        <v>236</v>
      </c>
      <c r="CG188" s="13">
        <f t="shared" si="156"/>
        <v>236</v>
      </c>
      <c r="CH188" s="28">
        <f t="shared" si="157"/>
        <v>140656</v>
      </c>
      <c r="CI188" s="62">
        <f t="shared" si="158"/>
        <v>7.1095438516664771E-6</v>
      </c>
      <c r="CJ188" s="59">
        <f t="shared" si="159"/>
        <v>7.1095438516664771E-6</v>
      </c>
      <c r="CL188" s="63">
        <v>6000</v>
      </c>
      <c r="CM188" s="63">
        <f t="shared" si="160"/>
        <v>0</v>
      </c>
      <c r="CN188" s="63">
        <f t="shared" si="161"/>
        <v>5</v>
      </c>
      <c r="CO188" s="63">
        <f t="shared" si="162"/>
        <v>1200</v>
      </c>
      <c r="CP188" s="13">
        <f t="shared" si="163"/>
        <v>1200</v>
      </c>
      <c r="CQ188" s="70">
        <f t="shared" si="164"/>
        <v>8.3333333333333339E-4</v>
      </c>
      <c r="CR188" s="69">
        <f t="shared" si="132"/>
        <v>1.6666666666666668E-3</v>
      </c>
    </row>
    <row r="189" spans="1:96" hidden="1" x14ac:dyDescent="0.25">
      <c r="A189" s="17">
        <v>5</v>
      </c>
      <c r="B189" s="6" t="s">
        <v>566</v>
      </c>
      <c r="C189" s="17" t="s">
        <v>580</v>
      </c>
      <c r="D189" s="17" t="s">
        <v>582</v>
      </c>
      <c r="E189" s="17" t="s">
        <v>52</v>
      </c>
      <c r="F189" s="7">
        <f t="shared" si="133"/>
        <v>1</v>
      </c>
      <c r="G189" s="17">
        <v>2</v>
      </c>
      <c r="H189" s="17">
        <f>G189*$H$184</f>
        <v>2</v>
      </c>
      <c r="I189" s="17">
        <v>6</v>
      </c>
      <c r="J189" s="6" t="s">
        <v>581</v>
      </c>
      <c r="K189" s="6" t="s">
        <v>34</v>
      </c>
      <c r="L189" s="17" t="s">
        <v>236</v>
      </c>
      <c r="M189" s="6" t="s">
        <v>35</v>
      </c>
      <c r="N189" s="17" t="s">
        <v>582</v>
      </c>
      <c r="O189" s="28" t="s">
        <v>41</v>
      </c>
      <c r="P189" s="28" t="s">
        <v>41</v>
      </c>
      <c r="Q189" s="28" t="s">
        <v>79</v>
      </c>
      <c r="R189" s="30">
        <v>5.984251968503937</v>
      </c>
      <c r="S189" s="30">
        <v>0.3125</v>
      </c>
      <c r="T189" s="30"/>
      <c r="U189" s="30">
        <v>0.3125</v>
      </c>
      <c r="V189" s="8">
        <f t="shared" si="134"/>
        <v>152</v>
      </c>
      <c r="W189" s="8">
        <f t="shared" si="135"/>
        <v>7.9375</v>
      </c>
      <c r="X189" s="8">
        <f t="shared" si="136"/>
        <v>0</v>
      </c>
      <c r="Y189" s="33">
        <f t="shared" si="137"/>
        <v>7.9375</v>
      </c>
      <c r="Z189" s="28" t="s">
        <v>80</v>
      </c>
      <c r="AA189" s="28" t="s">
        <v>81</v>
      </c>
      <c r="AB189" s="61" t="s">
        <v>79</v>
      </c>
      <c r="AC189" s="31" t="s">
        <v>82</v>
      </c>
      <c r="AD189" s="50">
        <f t="shared" si="138"/>
        <v>2</v>
      </c>
      <c r="AE189" s="31"/>
      <c r="AF189" s="51">
        <v>14</v>
      </c>
      <c r="AG189" s="51">
        <f t="shared" si="166"/>
        <v>8.4</v>
      </c>
      <c r="AH189" s="51">
        <f t="shared" si="131"/>
        <v>42</v>
      </c>
      <c r="AI189" s="52" t="s">
        <v>2497</v>
      </c>
      <c r="AJ189" s="52" t="s">
        <v>2498</v>
      </c>
      <c r="AK189" s="53">
        <f t="shared" si="167"/>
        <v>2.4130000000000002E-3</v>
      </c>
      <c r="AL189" s="54">
        <f t="shared" si="168"/>
        <v>0.11904761904761904</v>
      </c>
      <c r="AM189" s="54">
        <f t="shared" si="169"/>
        <v>2.3809523809523808E-2</v>
      </c>
      <c r="AN189" s="55">
        <f t="shared" si="170"/>
        <v>5.7452380952380949E-4</v>
      </c>
      <c r="AO189" s="55">
        <f t="shared" si="171"/>
        <v>1.1490476190476191E-4</v>
      </c>
      <c r="AP189" s="53">
        <v>7.1</v>
      </c>
      <c r="AQ189" s="53">
        <f t="shared" si="139"/>
        <v>4.26</v>
      </c>
      <c r="AR189" s="53">
        <f t="shared" si="140"/>
        <v>21.299999999999997</v>
      </c>
      <c r="AS189" s="56">
        <f t="shared" si="141"/>
        <v>4.6948356807511742E-2</v>
      </c>
      <c r="AT189" s="56">
        <f t="shared" si="172"/>
        <v>0.23474178403755869</v>
      </c>
      <c r="AU189" s="56">
        <f t="shared" si="142"/>
        <v>0.176056338028169</v>
      </c>
      <c r="AV189" s="56">
        <f t="shared" si="173"/>
        <v>5.8685446009389672E-2</v>
      </c>
      <c r="AW189" s="57" t="s">
        <v>2511</v>
      </c>
      <c r="AX189" s="57" t="s">
        <v>2512</v>
      </c>
      <c r="AY189" s="57" t="s">
        <v>2513</v>
      </c>
      <c r="AZ189" s="58">
        <f t="shared" si="174"/>
        <v>2.4130000000000002E-3</v>
      </c>
      <c r="BA189" s="59">
        <f t="shared" si="178"/>
        <v>1.416079812206573E-4</v>
      </c>
      <c r="BB189" s="59">
        <f t="shared" si="179"/>
        <v>4.2482394366197181E-4</v>
      </c>
      <c r="BC189" s="59">
        <f t="shared" si="180"/>
        <v>1.1328638497652584E-4</v>
      </c>
      <c r="BD189" s="60">
        <f t="shared" si="175"/>
        <v>6.105006105006105E-4</v>
      </c>
      <c r="BE189" s="59">
        <f t="shared" si="176"/>
        <v>1.221001221001221E-3</v>
      </c>
      <c r="BQ189" s="61">
        <v>3000</v>
      </c>
      <c r="BR189" s="61">
        <v>1200</v>
      </c>
      <c r="BS189" s="28">
        <f t="shared" si="143"/>
        <v>2980</v>
      </c>
      <c r="BT189" s="28">
        <f t="shared" si="144"/>
        <v>1180</v>
      </c>
      <c r="BU189" s="28" t="s">
        <v>2541</v>
      </c>
      <c r="BV189" s="28">
        <f t="shared" si="145"/>
        <v>157</v>
      </c>
      <c r="BW189" s="28">
        <f t="shared" si="146"/>
        <v>12.9375</v>
      </c>
      <c r="BX189" s="13">
        <f t="shared" si="147"/>
        <v>18.980891719745223</v>
      </c>
      <c r="BY189" s="13">
        <f t="shared" si="148"/>
        <v>18</v>
      </c>
      <c r="BZ189" s="13">
        <f t="shared" si="149"/>
        <v>91.207729468599027</v>
      </c>
      <c r="CA189" s="13">
        <f t="shared" si="150"/>
        <v>91</v>
      </c>
      <c r="CB189" s="13">
        <f t="shared" si="151"/>
        <v>1638</v>
      </c>
      <c r="CC189" s="62">
        <f t="shared" si="152"/>
        <v>6.105006105006105E-4</v>
      </c>
      <c r="CD189" s="13">
        <f t="shared" si="153"/>
        <v>230.33816425120773</v>
      </c>
      <c r="CE189" s="13">
        <f t="shared" si="154"/>
        <v>230</v>
      </c>
      <c r="CF189" s="13">
        <f t="shared" si="155"/>
        <v>7.515923566878981</v>
      </c>
      <c r="CG189" s="13">
        <f t="shared" si="156"/>
        <v>7</v>
      </c>
      <c r="CH189" s="28">
        <f t="shared" si="157"/>
        <v>1610</v>
      </c>
      <c r="CI189" s="62">
        <f t="shared" si="158"/>
        <v>6.2111801242236027E-4</v>
      </c>
      <c r="CJ189" s="59">
        <f t="shared" si="159"/>
        <v>6.105006105006105E-4</v>
      </c>
      <c r="CL189" s="63">
        <v>6000</v>
      </c>
      <c r="CM189" s="63">
        <f t="shared" si="160"/>
        <v>152</v>
      </c>
      <c r="CN189" s="63">
        <f t="shared" si="161"/>
        <v>157</v>
      </c>
      <c r="CO189" s="63">
        <f t="shared" si="162"/>
        <v>38.216560509554142</v>
      </c>
      <c r="CP189" s="13">
        <f t="shared" si="163"/>
        <v>38</v>
      </c>
      <c r="CQ189" s="70">
        <f t="shared" si="164"/>
        <v>2.6315789473684209E-2</v>
      </c>
      <c r="CR189" s="69">
        <f t="shared" si="132"/>
        <v>5.2631578947368418E-2</v>
      </c>
    </row>
    <row r="190" spans="1:96" hidden="1" x14ac:dyDescent="0.25">
      <c r="A190" s="13">
        <v>4</v>
      </c>
      <c r="B190" s="14" t="s">
        <v>403</v>
      </c>
      <c r="C190" s="13" t="s">
        <v>583</v>
      </c>
      <c r="D190" s="13" t="s">
        <v>585</v>
      </c>
      <c r="E190" s="13" t="s">
        <v>52</v>
      </c>
      <c r="F190" s="15">
        <f t="shared" si="133"/>
        <v>2</v>
      </c>
      <c r="G190" s="13">
        <v>1</v>
      </c>
      <c r="H190" s="13">
        <f t="shared" ref="H190:H193" si="192">G190*$H$130</f>
        <v>1</v>
      </c>
      <c r="I190" s="13">
        <v>34</v>
      </c>
      <c r="J190" s="14" t="s">
        <v>584</v>
      </c>
      <c r="K190" s="14" t="s">
        <v>34</v>
      </c>
      <c r="L190" s="13" t="s">
        <v>77</v>
      </c>
      <c r="M190" s="14" t="s">
        <v>35</v>
      </c>
      <c r="N190" s="13" t="s">
        <v>585</v>
      </c>
      <c r="O190" s="28" t="s">
        <v>41</v>
      </c>
      <c r="P190" s="28" t="s">
        <v>41</v>
      </c>
      <c r="Q190" s="28" t="s">
        <v>79</v>
      </c>
      <c r="R190" s="30">
        <v>3.1496062992125986</v>
      </c>
      <c r="S190" s="30">
        <v>0.3125</v>
      </c>
      <c r="T190" s="30"/>
      <c r="U190" s="30">
        <v>0.3125</v>
      </c>
      <c r="V190" s="8">
        <f t="shared" si="134"/>
        <v>80</v>
      </c>
      <c r="W190" s="8">
        <f t="shared" si="135"/>
        <v>7.9375</v>
      </c>
      <c r="X190" s="8">
        <f t="shared" si="136"/>
        <v>0</v>
      </c>
      <c r="Y190" s="33">
        <f t="shared" si="137"/>
        <v>7.9375</v>
      </c>
      <c r="Z190" s="28" t="s">
        <v>80</v>
      </c>
      <c r="AA190" s="28" t="s">
        <v>81</v>
      </c>
      <c r="AB190" s="61" t="s">
        <v>79</v>
      </c>
      <c r="AC190" s="31" t="s">
        <v>82</v>
      </c>
      <c r="AD190" s="50">
        <f t="shared" si="138"/>
        <v>1</v>
      </c>
      <c r="AE190" s="31"/>
      <c r="AF190" s="51">
        <v>14</v>
      </c>
      <c r="AG190" s="51">
        <f t="shared" si="166"/>
        <v>8.4</v>
      </c>
      <c r="AH190" s="51">
        <f t="shared" si="131"/>
        <v>42</v>
      </c>
      <c r="AI190" s="52" t="s">
        <v>2497</v>
      </c>
      <c r="AJ190" s="52" t="s">
        <v>2498</v>
      </c>
      <c r="AK190" s="53">
        <f t="shared" si="167"/>
        <v>1.2700000000000001E-3</v>
      </c>
      <c r="AL190" s="54">
        <f t="shared" si="168"/>
        <v>0.11904761904761904</v>
      </c>
      <c r="AM190" s="54">
        <f t="shared" si="169"/>
        <v>2.3809523809523808E-2</v>
      </c>
      <c r="AN190" s="55">
        <f t="shared" si="170"/>
        <v>1.511904761904762E-4</v>
      </c>
      <c r="AO190" s="55">
        <f t="shared" si="171"/>
        <v>3.023809523809524E-5</v>
      </c>
      <c r="AP190" s="53">
        <v>7.1</v>
      </c>
      <c r="AQ190" s="53">
        <f t="shared" si="139"/>
        <v>4.26</v>
      </c>
      <c r="AR190" s="53">
        <f t="shared" si="140"/>
        <v>21.299999999999997</v>
      </c>
      <c r="AS190" s="56">
        <f t="shared" si="141"/>
        <v>4.6948356807511742E-2</v>
      </c>
      <c r="AT190" s="56">
        <f t="shared" si="172"/>
        <v>0.23474178403755869</v>
      </c>
      <c r="AU190" s="56">
        <f t="shared" si="142"/>
        <v>0.176056338028169</v>
      </c>
      <c r="AV190" s="56">
        <f t="shared" si="173"/>
        <v>5.8685446009389672E-2</v>
      </c>
      <c r="AW190" s="57" t="s">
        <v>2511</v>
      </c>
      <c r="AX190" s="57" t="s">
        <v>2512</v>
      </c>
      <c r="AY190" s="57" t="s">
        <v>2513</v>
      </c>
      <c r="AZ190" s="58">
        <f t="shared" si="174"/>
        <v>1.2700000000000001E-3</v>
      </c>
      <c r="BA190" s="59">
        <f t="shared" si="178"/>
        <v>3.7265258215962443E-5</v>
      </c>
      <c r="BB190" s="59">
        <f t="shared" si="179"/>
        <v>1.1179577464788732E-4</v>
      </c>
      <c r="BC190" s="59">
        <f t="shared" si="180"/>
        <v>2.9812206572769959E-5</v>
      </c>
      <c r="BD190" s="60">
        <f t="shared" si="175"/>
        <v>3.1397174254317112E-4</v>
      </c>
      <c r="BE190" s="59">
        <f t="shared" si="176"/>
        <v>3.1397174254317112E-4</v>
      </c>
      <c r="BQ190" s="61">
        <v>3000</v>
      </c>
      <c r="BR190" s="61">
        <v>1200</v>
      </c>
      <c r="BS190" s="28">
        <f t="shared" si="143"/>
        <v>2980</v>
      </c>
      <c r="BT190" s="28">
        <f t="shared" si="144"/>
        <v>1180</v>
      </c>
      <c r="BU190" s="28" t="s">
        <v>2541</v>
      </c>
      <c r="BV190" s="28">
        <f t="shared" si="145"/>
        <v>85</v>
      </c>
      <c r="BW190" s="28">
        <f t="shared" si="146"/>
        <v>12.9375</v>
      </c>
      <c r="BX190" s="13">
        <f t="shared" si="147"/>
        <v>35.058823529411768</v>
      </c>
      <c r="BY190" s="13">
        <f t="shared" si="148"/>
        <v>35</v>
      </c>
      <c r="BZ190" s="13">
        <f t="shared" si="149"/>
        <v>91.207729468599027</v>
      </c>
      <c r="CA190" s="13">
        <f t="shared" si="150"/>
        <v>91</v>
      </c>
      <c r="CB190" s="13">
        <f t="shared" si="151"/>
        <v>3185</v>
      </c>
      <c r="CC190" s="62">
        <f t="shared" si="152"/>
        <v>3.1397174254317112E-4</v>
      </c>
      <c r="CD190" s="13">
        <f t="shared" si="153"/>
        <v>230.33816425120773</v>
      </c>
      <c r="CE190" s="13">
        <f t="shared" si="154"/>
        <v>230</v>
      </c>
      <c r="CF190" s="13">
        <f t="shared" si="155"/>
        <v>13.882352941176471</v>
      </c>
      <c r="CG190" s="13">
        <f t="shared" si="156"/>
        <v>13</v>
      </c>
      <c r="CH190" s="28">
        <f t="shared" si="157"/>
        <v>2990</v>
      </c>
      <c r="CI190" s="62">
        <f t="shared" si="158"/>
        <v>3.3444816053511704E-4</v>
      </c>
      <c r="CJ190" s="59">
        <f t="shared" si="159"/>
        <v>3.1397174254317112E-4</v>
      </c>
      <c r="CL190" s="63">
        <v>6000</v>
      </c>
      <c r="CM190" s="63">
        <f t="shared" si="160"/>
        <v>80</v>
      </c>
      <c r="CN190" s="63">
        <f t="shared" si="161"/>
        <v>85</v>
      </c>
      <c r="CO190" s="63">
        <f t="shared" si="162"/>
        <v>70.588235294117652</v>
      </c>
      <c r="CP190" s="13">
        <f t="shared" si="163"/>
        <v>70</v>
      </c>
      <c r="CQ190" s="70">
        <f t="shared" si="164"/>
        <v>1.4285714285714285E-2</v>
      </c>
      <c r="CR190" s="69">
        <f t="shared" si="132"/>
        <v>1.4285714285714285E-2</v>
      </c>
    </row>
    <row r="191" spans="1:96" hidden="1" x14ac:dyDescent="0.25">
      <c r="A191" s="13">
        <v>4</v>
      </c>
      <c r="B191" s="14" t="s">
        <v>403</v>
      </c>
      <c r="C191" s="13" t="s">
        <v>586</v>
      </c>
      <c r="D191" s="13" t="s">
        <v>588</v>
      </c>
      <c r="E191" s="13" t="s">
        <v>52</v>
      </c>
      <c r="F191" s="15">
        <f t="shared" si="133"/>
        <v>4</v>
      </c>
      <c r="G191" s="13">
        <v>1</v>
      </c>
      <c r="H191" s="13">
        <f t="shared" si="192"/>
        <v>1</v>
      </c>
      <c r="I191" s="13">
        <v>35</v>
      </c>
      <c r="J191" s="14" t="s">
        <v>587</v>
      </c>
      <c r="K191" s="14" t="s">
        <v>34</v>
      </c>
      <c r="L191" s="13" t="s">
        <v>89</v>
      </c>
      <c r="M191" s="14" t="s">
        <v>35</v>
      </c>
      <c r="N191" s="13" t="s">
        <v>588</v>
      </c>
      <c r="O191" s="28" t="s">
        <v>41</v>
      </c>
      <c r="P191" s="28" t="s">
        <v>41</v>
      </c>
      <c r="Q191" s="28" t="s">
        <v>79</v>
      </c>
      <c r="R191" s="30">
        <v>3.9763779527559056</v>
      </c>
      <c r="S191" s="30">
        <v>0.3125</v>
      </c>
      <c r="T191" s="30"/>
      <c r="U191" s="30">
        <v>0.3125</v>
      </c>
      <c r="V191" s="8">
        <f t="shared" si="134"/>
        <v>101</v>
      </c>
      <c r="W191" s="8">
        <f t="shared" si="135"/>
        <v>7.9375</v>
      </c>
      <c r="X191" s="8">
        <f t="shared" si="136"/>
        <v>0</v>
      </c>
      <c r="Y191" s="33">
        <f t="shared" si="137"/>
        <v>7.9375</v>
      </c>
      <c r="Z191" s="28" t="s">
        <v>80</v>
      </c>
      <c r="AA191" s="28" t="s">
        <v>81</v>
      </c>
      <c r="AB191" s="61" t="s">
        <v>79</v>
      </c>
      <c r="AC191" s="31" t="s">
        <v>82</v>
      </c>
      <c r="AD191" s="50">
        <f t="shared" si="138"/>
        <v>1</v>
      </c>
      <c r="AE191" s="31"/>
      <c r="AF191" s="51">
        <v>14</v>
      </c>
      <c r="AG191" s="51">
        <f t="shared" si="166"/>
        <v>8.4</v>
      </c>
      <c r="AH191" s="51">
        <f t="shared" si="131"/>
        <v>42</v>
      </c>
      <c r="AI191" s="52" t="s">
        <v>2497</v>
      </c>
      <c r="AJ191" s="52" t="s">
        <v>2498</v>
      </c>
      <c r="AK191" s="53">
        <f t="shared" si="167"/>
        <v>1.603375E-3</v>
      </c>
      <c r="AL191" s="54">
        <f t="shared" si="168"/>
        <v>0.11904761904761904</v>
      </c>
      <c r="AM191" s="54">
        <f t="shared" si="169"/>
        <v>2.3809523809523808E-2</v>
      </c>
      <c r="AN191" s="55">
        <f t="shared" si="170"/>
        <v>1.9087797619047619E-4</v>
      </c>
      <c r="AO191" s="55">
        <f t="shared" si="171"/>
        <v>3.8175595238095236E-5</v>
      </c>
      <c r="AP191" s="53">
        <v>7.1</v>
      </c>
      <c r="AQ191" s="53">
        <f t="shared" si="139"/>
        <v>4.26</v>
      </c>
      <c r="AR191" s="53">
        <f t="shared" si="140"/>
        <v>21.299999999999997</v>
      </c>
      <c r="AS191" s="56">
        <f t="shared" si="141"/>
        <v>4.6948356807511742E-2</v>
      </c>
      <c r="AT191" s="56">
        <f t="shared" si="172"/>
        <v>0.23474178403755869</v>
      </c>
      <c r="AU191" s="56">
        <f t="shared" si="142"/>
        <v>0.176056338028169</v>
      </c>
      <c r="AV191" s="56">
        <f t="shared" si="173"/>
        <v>5.8685446009389672E-2</v>
      </c>
      <c r="AW191" s="57" t="s">
        <v>2511</v>
      </c>
      <c r="AX191" s="57" t="s">
        <v>2512</v>
      </c>
      <c r="AY191" s="57" t="s">
        <v>2513</v>
      </c>
      <c r="AZ191" s="58">
        <f t="shared" si="174"/>
        <v>1.603375E-3</v>
      </c>
      <c r="BA191" s="59">
        <f t="shared" si="178"/>
        <v>4.7047388497652585E-5</v>
      </c>
      <c r="BB191" s="59">
        <f t="shared" si="179"/>
        <v>1.4114216549295774E-4</v>
      </c>
      <c r="BC191" s="59">
        <f t="shared" si="180"/>
        <v>3.7637910798122068E-5</v>
      </c>
      <c r="BD191" s="60">
        <f t="shared" si="175"/>
        <v>3.9246467817896392E-4</v>
      </c>
      <c r="BE191" s="59">
        <f t="shared" si="176"/>
        <v>3.9246467817896392E-4</v>
      </c>
      <c r="BQ191" s="61">
        <v>3000</v>
      </c>
      <c r="BR191" s="61">
        <v>1200</v>
      </c>
      <c r="BS191" s="28">
        <f t="shared" si="143"/>
        <v>2980</v>
      </c>
      <c r="BT191" s="28">
        <f t="shared" si="144"/>
        <v>1180</v>
      </c>
      <c r="BU191" s="28" t="s">
        <v>2541</v>
      </c>
      <c r="BV191" s="28">
        <f t="shared" si="145"/>
        <v>106</v>
      </c>
      <c r="BW191" s="28">
        <f t="shared" si="146"/>
        <v>12.9375</v>
      </c>
      <c r="BX191" s="13">
        <f t="shared" si="147"/>
        <v>28.113207547169811</v>
      </c>
      <c r="BY191" s="13">
        <f t="shared" si="148"/>
        <v>28</v>
      </c>
      <c r="BZ191" s="13">
        <f t="shared" si="149"/>
        <v>91.207729468599027</v>
      </c>
      <c r="CA191" s="13">
        <f t="shared" si="150"/>
        <v>91</v>
      </c>
      <c r="CB191" s="13">
        <f t="shared" si="151"/>
        <v>2548</v>
      </c>
      <c r="CC191" s="62">
        <f t="shared" si="152"/>
        <v>3.9246467817896392E-4</v>
      </c>
      <c r="CD191" s="13">
        <f t="shared" si="153"/>
        <v>230.33816425120773</v>
      </c>
      <c r="CE191" s="13">
        <f t="shared" si="154"/>
        <v>230</v>
      </c>
      <c r="CF191" s="13">
        <f t="shared" si="155"/>
        <v>11.132075471698114</v>
      </c>
      <c r="CG191" s="13">
        <f t="shared" si="156"/>
        <v>11</v>
      </c>
      <c r="CH191" s="28">
        <f t="shared" si="157"/>
        <v>2530</v>
      </c>
      <c r="CI191" s="62">
        <f t="shared" si="158"/>
        <v>3.9525691699604743E-4</v>
      </c>
      <c r="CJ191" s="59">
        <f t="shared" si="159"/>
        <v>3.9246467817896392E-4</v>
      </c>
      <c r="CL191" s="63">
        <v>6000</v>
      </c>
      <c r="CM191" s="63">
        <f t="shared" si="160"/>
        <v>101</v>
      </c>
      <c r="CN191" s="63">
        <f t="shared" si="161"/>
        <v>106</v>
      </c>
      <c r="CO191" s="63">
        <f t="shared" si="162"/>
        <v>56.60377358490566</v>
      </c>
      <c r="CP191" s="13">
        <f t="shared" si="163"/>
        <v>56</v>
      </c>
      <c r="CQ191" s="70">
        <f t="shared" si="164"/>
        <v>1.7857142857142856E-2</v>
      </c>
      <c r="CR191" s="69">
        <f t="shared" si="132"/>
        <v>1.7857142857142856E-2</v>
      </c>
    </row>
    <row r="192" spans="1:96" hidden="1" x14ac:dyDescent="0.25">
      <c r="A192" s="13">
        <v>4</v>
      </c>
      <c r="B192" s="14" t="s">
        <v>403</v>
      </c>
      <c r="C192" s="13" t="s">
        <v>589</v>
      </c>
      <c r="D192" s="13" t="s">
        <v>2270</v>
      </c>
      <c r="E192" s="13" t="s">
        <v>52</v>
      </c>
      <c r="F192" s="15">
        <f t="shared" si="133"/>
        <v>1</v>
      </c>
      <c r="G192" s="13">
        <v>1</v>
      </c>
      <c r="H192" s="13">
        <f t="shared" si="192"/>
        <v>1</v>
      </c>
      <c r="I192" s="13">
        <v>36</v>
      </c>
      <c r="J192" s="14" t="s">
        <v>119</v>
      </c>
      <c r="K192" s="14" t="s">
        <v>34</v>
      </c>
      <c r="L192" s="13" t="s">
        <v>110</v>
      </c>
      <c r="M192" s="14" t="s">
        <v>35</v>
      </c>
      <c r="N192" s="13" t="s">
        <v>590</v>
      </c>
      <c r="O192" s="28" t="s">
        <v>41</v>
      </c>
      <c r="P192" s="28" t="s">
        <v>41</v>
      </c>
      <c r="Q192" s="28" t="s">
        <v>116</v>
      </c>
      <c r="R192" s="30">
        <v>8.6999999999999993</v>
      </c>
      <c r="S192" s="30">
        <v>5.9859999999999998</v>
      </c>
      <c r="T192" s="30"/>
      <c r="U192" s="30">
        <v>0.11799999999999999</v>
      </c>
      <c r="V192" s="8">
        <f t="shared" si="134"/>
        <v>220.97999999999996</v>
      </c>
      <c r="W192" s="8">
        <f t="shared" si="135"/>
        <v>152.0444</v>
      </c>
      <c r="X192" s="8">
        <f t="shared" si="136"/>
        <v>0</v>
      </c>
      <c r="Y192" s="33">
        <f t="shared" si="137"/>
        <v>2.9971999999999999</v>
      </c>
      <c r="Z192" s="28" t="s">
        <v>56</v>
      </c>
      <c r="AA192" s="28" t="s">
        <v>57</v>
      </c>
      <c r="AB192" s="28" t="s">
        <v>116</v>
      </c>
      <c r="AC192" s="31" t="s">
        <v>117</v>
      </c>
      <c r="AD192" s="50">
        <f t="shared" si="138"/>
        <v>1</v>
      </c>
      <c r="AE192" s="31"/>
      <c r="AF192" s="51">
        <v>14</v>
      </c>
      <c r="AG192" s="51">
        <f t="shared" si="166"/>
        <v>8.4</v>
      </c>
      <c r="AH192" s="51">
        <f t="shared" si="131"/>
        <v>42</v>
      </c>
      <c r="AI192" s="52" t="s">
        <v>2497</v>
      </c>
      <c r="AJ192" s="52" t="s">
        <v>2498</v>
      </c>
      <c r="AK192" s="53">
        <f t="shared" si="167"/>
        <v>6.7197543023999981E-2</v>
      </c>
      <c r="AL192" s="54">
        <f t="shared" si="168"/>
        <v>0.11904761904761904</v>
      </c>
      <c r="AM192" s="54">
        <f t="shared" si="169"/>
        <v>2.3809523809523808E-2</v>
      </c>
      <c r="AN192" s="55">
        <f t="shared" si="170"/>
        <v>7.9997075028571396E-3</v>
      </c>
      <c r="AO192" s="55">
        <f t="shared" si="171"/>
        <v>1.599941500571428E-3</v>
      </c>
      <c r="AP192" s="53">
        <v>7.1</v>
      </c>
      <c r="AQ192" s="53">
        <f t="shared" si="139"/>
        <v>4.26</v>
      </c>
      <c r="AR192" s="53">
        <f t="shared" si="140"/>
        <v>21.299999999999997</v>
      </c>
      <c r="AS192" s="56">
        <f t="shared" si="141"/>
        <v>4.6948356807511742E-2</v>
      </c>
      <c r="AT192" s="56">
        <f t="shared" si="172"/>
        <v>0.23474178403755869</v>
      </c>
      <c r="AU192" s="56">
        <f t="shared" si="142"/>
        <v>0.176056338028169</v>
      </c>
      <c r="AV192" s="56">
        <f t="shared" si="173"/>
        <v>5.8685446009389672E-2</v>
      </c>
      <c r="AW192" s="57" t="s">
        <v>2511</v>
      </c>
      <c r="AX192" s="57" t="s">
        <v>2512</v>
      </c>
      <c r="AY192" s="57" t="s">
        <v>2513</v>
      </c>
      <c r="AZ192" s="58">
        <f t="shared" si="174"/>
        <v>6.7197543023999981E-2</v>
      </c>
      <c r="BA192" s="59">
        <f t="shared" si="178"/>
        <v>1.9717588915492954E-3</v>
      </c>
      <c r="BB192" s="59">
        <f t="shared" si="179"/>
        <v>5.915276674647885E-3</v>
      </c>
      <c r="BC192" s="59">
        <f t="shared" si="180"/>
        <v>1.5774071132394363E-3</v>
      </c>
      <c r="BD192" s="60">
        <f t="shared" si="175"/>
        <v>1.098901098901099E-2</v>
      </c>
      <c r="BE192" s="59">
        <f t="shared" si="176"/>
        <v>1.098901098901099E-2</v>
      </c>
      <c r="BQ192" s="61">
        <v>3000</v>
      </c>
      <c r="BR192" s="61">
        <v>1200</v>
      </c>
      <c r="BS192" s="28">
        <f t="shared" si="143"/>
        <v>2980</v>
      </c>
      <c r="BT192" s="28">
        <f t="shared" si="144"/>
        <v>1180</v>
      </c>
      <c r="BU192" s="28" t="s">
        <v>2541</v>
      </c>
      <c r="BV192" s="28">
        <f t="shared" si="145"/>
        <v>225.97999999999996</v>
      </c>
      <c r="BW192" s="28">
        <f t="shared" si="146"/>
        <v>157.0444</v>
      </c>
      <c r="BX192" s="13">
        <f t="shared" si="147"/>
        <v>13.187007699796444</v>
      </c>
      <c r="BY192" s="13">
        <f t="shared" si="148"/>
        <v>13</v>
      </c>
      <c r="BZ192" s="13">
        <f t="shared" si="149"/>
        <v>7.5137986454786034</v>
      </c>
      <c r="CA192" s="13">
        <f t="shared" si="150"/>
        <v>7</v>
      </c>
      <c r="CB192" s="13">
        <f t="shared" si="151"/>
        <v>91</v>
      </c>
      <c r="CC192" s="62">
        <f t="shared" si="152"/>
        <v>1.098901098901099E-2</v>
      </c>
      <c r="CD192" s="13">
        <f t="shared" si="153"/>
        <v>18.975525392818845</v>
      </c>
      <c r="CE192" s="13">
        <f t="shared" si="154"/>
        <v>18</v>
      </c>
      <c r="CF192" s="13">
        <f t="shared" si="155"/>
        <v>5.2217010354898674</v>
      </c>
      <c r="CG192" s="13">
        <f t="shared" si="156"/>
        <v>5</v>
      </c>
      <c r="CH192" s="28">
        <f t="shared" si="157"/>
        <v>90</v>
      </c>
      <c r="CI192" s="62">
        <f t="shared" si="158"/>
        <v>1.1111111111111112E-2</v>
      </c>
      <c r="CJ192" s="59">
        <f t="shared" si="159"/>
        <v>1.098901098901099E-2</v>
      </c>
      <c r="CL192" s="63">
        <v>6000</v>
      </c>
      <c r="CM192" s="63">
        <f t="shared" si="160"/>
        <v>220.97999999999996</v>
      </c>
      <c r="CN192" s="63">
        <f t="shared" si="161"/>
        <v>225.97999999999996</v>
      </c>
      <c r="CO192" s="63">
        <f t="shared" si="162"/>
        <v>26.551022214355257</v>
      </c>
      <c r="CP192" s="13">
        <f t="shared" si="163"/>
        <v>26</v>
      </c>
      <c r="CQ192" s="70">
        <f t="shared" si="164"/>
        <v>3.8461538461538464E-2</v>
      </c>
      <c r="CR192" s="69">
        <f t="shared" si="132"/>
        <v>3.8461538461538464E-2</v>
      </c>
    </row>
    <row r="193" spans="1:96" hidden="1" x14ac:dyDescent="0.25">
      <c r="A193" s="13">
        <v>4</v>
      </c>
      <c r="B193" s="14" t="s">
        <v>403</v>
      </c>
      <c r="C193" s="13" t="s">
        <v>591</v>
      </c>
      <c r="D193" s="13" t="s">
        <v>2270</v>
      </c>
      <c r="E193" s="13" t="s">
        <v>52</v>
      </c>
      <c r="F193" s="15">
        <f t="shared" si="133"/>
        <v>1</v>
      </c>
      <c r="G193" s="13">
        <v>3</v>
      </c>
      <c r="H193" s="13">
        <f t="shared" si="192"/>
        <v>3</v>
      </c>
      <c r="I193" s="13">
        <v>37</v>
      </c>
      <c r="J193" s="14" t="s">
        <v>592</v>
      </c>
      <c r="K193" s="14" t="s">
        <v>34</v>
      </c>
      <c r="L193" s="13" t="s">
        <v>236</v>
      </c>
      <c r="M193" s="14" t="s">
        <v>340</v>
      </c>
      <c r="N193" s="13" t="s">
        <v>593</v>
      </c>
      <c r="O193" s="28" t="s">
        <v>41</v>
      </c>
      <c r="P193" s="28" t="s">
        <v>41</v>
      </c>
      <c r="Q193" s="28" t="s">
        <v>593</v>
      </c>
      <c r="R193" s="30"/>
      <c r="S193" s="30"/>
      <c r="T193" s="30"/>
      <c r="U193" s="30"/>
      <c r="V193" s="8">
        <f t="shared" si="134"/>
        <v>0</v>
      </c>
      <c r="W193" s="8">
        <f t="shared" si="135"/>
        <v>0</v>
      </c>
      <c r="X193" s="8">
        <f t="shared" si="136"/>
        <v>0</v>
      </c>
      <c r="Y193" s="33">
        <f t="shared" si="137"/>
        <v>0</v>
      </c>
      <c r="Z193" s="28"/>
      <c r="AA193" s="28"/>
      <c r="AB193" s="61" t="s">
        <v>593</v>
      </c>
      <c r="AC193" s="31" t="s">
        <v>594</v>
      </c>
      <c r="AD193" s="50">
        <f t="shared" si="138"/>
        <v>3</v>
      </c>
      <c r="AE193" s="31"/>
      <c r="AF193" s="51">
        <v>14</v>
      </c>
      <c r="AG193" s="51">
        <f t="shared" si="166"/>
        <v>8.4</v>
      </c>
      <c r="AH193" s="51">
        <f t="shared" si="131"/>
        <v>42</v>
      </c>
      <c r="AI193" s="52" t="s">
        <v>2497</v>
      </c>
      <c r="AJ193" s="52" t="s">
        <v>2498</v>
      </c>
      <c r="AK193" s="53">
        <f t="shared" si="167"/>
        <v>0</v>
      </c>
      <c r="AL193" s="54">
        <f t="shared" si="168"/>
        <v>0.11904761904761904</v>
      </c>
      <c r="AM193" s="54">
        <f t="shared" si="169"/>
        <v>2.3809523809523808E-2</v>
      </c>
      <c r="AN193" s="55">
        <f t="shared" si="170"/>
        <v>0</v>
      </c>
      <c r="AO193" s="55">
        <f t="shared" si="171"/>
        <v>0</v>
      </c>
      <c r="AP193" s="53">
        <v>7.1</v>
      </c>
      <c r="AQ193" s="53">
        <f t="shared" si="139"/>
        <v>4.26</v>
      </c>
      <c r="AR193" s="53">
        <f t="shared" si="140"/>
        <v>21.299999999999997</v>
      </c>
      <c r="AS193" s="56">
        <f t="shared" si="141"/>
        <v>4.6948356807511742E-2</v>
      </c>
      <c r="AT193" s="56">
        <f t="shared" si="172"/>
        <v>0.23474178403755869</v>
      </c>
      <c r="AU193" s="56">
        <f t="shared" si="142"/>
        <v>0.176056338028169</v>
      </c>
      <c r="AV193" s="56">
        <f t="shared" si="173"/>
        <v>5.8685446009389672E-2</v>
      </c>
      <c r="AW193" s="57" t="s">
        <v>2511</v>
      </c>
      <c r="AX193" s="57" t="s">
        <v>2512</v>
      </c>
      <c r="AY193" s="57" t="s">
        <v>2513</v>
      </c>
      <c r="AZ193" s="58">
        <f t="shared" si="174"/>
        <v>0</v>
      </c>
      <c r="BA193" s="59">
        <f t="shared" si="178"/>
        <v>0</v>
      </c>
      <c r="BB193" s="59">
        <f t="shared" si="179"/>
        <v>0</v>
      </c>
      <c r="BC193" s="59">
        <f t="shared" si="180"/>
        <v>0</v>
      </c>
      <c r="BD193" s="60">
        <f t="shared" si="175"/>
        <v>7.1095438516664771E-6</v>
      </c>
      <c r="BE193" s="59">
        <f t="shared" si="176"/>
        <v>2.1328631554999432E-5</v>
      </c>
      <c r="BQ193" s="61">
        <v>3000</v>
      </c>
      <c r="BR193" s="61">
        <v>1200</v>
      </c>
      <c r="BS193" s="28">
        <f t="shared" si="143"/>
        <v>2980</v>
      </c>
      <c r="BT193" s="28">
        <f t="shared" si="144"/>
        <v>1180</v>
      </c>
      <c r="BU193" s="28" t="s">
        <v>2541</v>
      </c>
      <c r="BV193" s="28">
        <f t="shared" si="145"/>
        <v>5</v>
      </c>
      <c r="BW193" s="28">
        <f t="shared" si="146"/>
        <v>5</v>
      </c>
      <c r="BX193" s="13">
        <f t="shared" si="147"/>
        <v>596</v>
      </c>
      <c r="BY193" s="13">
        <f t="shared" si="148"/>
        <v>596</v>
      </c>
      <c r="BZ193" s="13">
        <f t="shared" si="149"/>
        <v>236</v>
      </c>
      <c r="CA193" s="13">
        <f t="shared" si="150"/>
        <v>236</v>
      </c>
      <c r="CB193" s="13">
        <f t="shared" si="151"/>
        <v>140656</v>
      </c>
      <c r="CC193" s="62">
        <f t="shared" si="152"/>
        <v>7.1095438516664771E-6</v>
      </c>
      <c r="CD193" s="13">
        <f t="shared" si="153"/>
        <v>596</v>
      </c>
      <c r="CE193" s="13">
        <f t="shared" si="154"/>
        <v>596</v>
      </c>
      <c r="CF193" s="13">
        <f t="shared" si="155"/>
        <v>236</v>
      </c>
      <c r="CG193" s="13">
        <f t="shared" si="156"/>
        <v>236</v>
      </c>
      <c r="CH193" s="28">
        <f t="shared" si="157"/>
        <v>140656</v>
      </c>
      <c r="CI193" s="62">
        <f t="shared" si="158"/>
        <v>7.1095438516664771E-6</v>
      </c>
      <c r="CJ193" s="59">
        <f t="shared" si="159"/>
        <v>7.1095438516664771E-6</v>
      </c>
      <c r="CL193" s="63">
        <v>6000</v>
      </c>
      <c r="CM193" s="63">
        <f t="shared" si="160"/>
        <v>0</v>
      </c>
      <c r="CN193" s="63">
        <f t="shared" si="161"/>
        <v>5</v>
      </c>
      <c r="CO193" s="63">
        <f t="shared" si="162"/>
        <v>1200</v>
      </c>
      <c r="CP193" s="13">
        <f t="shared" si="163"/>
        <v>1200</v>
      </c>
      <c r="CQ193" s="70">
        <f t="shared" si="164"/>
        <v>8.3333333333333339E-4</v>
      </c>
      <c r="CR193" s="69">
        <f t="shared" si="132"/>
        <v>2.5000000000000001E-3</v>
      </c>
    </row>
    <row r="194" spans="1:96" hidden="1" x14ac:dyDescent="0.25">
      <c r="A194" s="10">
        <v>3</v>
      </c>
      <c r="B194" s="8" t="s">
        <v>42</v>
      </c>
      <c r="C194" s="10" t="s">
        <v>595</v>
      </c>
      <c r="D194" s="10" t="s">
        <v>2270</v>
      </c>
      <c r="E194" s="10" t="s">
        <v>32</v>
      </c>
      <c r="F194" s="12">
        <f t="shared" si="133"/>
        <v>1</v>
      </c>
      <c r="G194" s="10">
        <v>1</v>
      </c>
      <c r="H194" s="10">
        <f>G194*$H$4</f>
        <v>1</v>
      </c>
      <c r="I194" s="10">
        <v>4</v>
      </c>
      <c r="J194" s="8" t="s">
        <v>596</v>
      </c>
      <c r="K194" s="8" t="s">
        <v>34</v>
      </c>
      <c r="L194" s="10">
        <v>0</v>
      </c>
      <c r="M194" s="8" t="s">
        <v>35</v>
      </c>
      <c r="N194" s="10" t="s">
        <v>597</v>
      </c>
      <c r="O194" s="28" t="s">
        <v>41</v>
      </c>
      <c r="P194" s="28" t="s">
        <v>41</v>
      </c>
      <c r="Q194" s="28"/>
      <c r="R194" s="30"/>
      <c r="S194" s="30"/>
      <c r="T194" s="30"/>
      <c r="U194" s="30"/>
      <c r="V194" s="8">
        <f t="shared" si="134"/>
        <v>0</v>
      </c>
      <c r="W194" s="8">
        <f t="shared" si="135"/>
        <v>0</v>
      </c>
      <c r="X194" s="8">
        <f t="shared" si="136"/>
        <v>0</v>
      </c>
      <c r="Y194" s="33">
        <f t="shared" si="137"/>
        <v>0</v>
      </c>
      <c r="Z194" s="28"/>
      <c r="AA194" s="28"/>
      <c r="AB194" s="28">
        <v>0</v>
      </c>
      <c r="AC194" s="31"/>
      <c r="AD194" s="50">
        <f t="shared" si="138"/>
        <v>1</v>
      </c>
      <c r="AE194" s="31"/>
      <c r="AF194" s="51">
        <v>14</v>
      </c>
      <c r="AG194" s="51">
        <f t="shared" si="166"/>
        <v>8.4</v>
      </c>
      <c r="AH194" s="51">
        <f t="shared" ref="AH194:AH257" si="193">AG194/0.2</f>
        <v>42</v>
      </c>
      <c r="AI194" s="52" t="s">
        <v>2497</v>
      </c>
      <c r="AJ194" s="52" t="s">
        <v>2498</v>
      </c>
      <c r="AK194" s="53">
        <f t="shared" si="167"/>
        <v>0</v>
      </c>
      <c r="AL194" s="54">
        <f t="shared" si="168"/>
        <v>0.11904761904761904</v>
      </c>
      <c r="AM194" s="54">
        <f t="shared" si="169"/>
        <v>2.3809523809523808E-2</v>
      </c>
      <c r="AN194" s="55">
        <f t="shared" si="170"/>
        <v>0</v>
      </c>
      <c r="AO194" s="55">
        <f t="shared" si="171"/>
        <v>0</v>
      </c>
      <c r="AP194" s="53">
        <v>7.1</v>
      </c>
      <c r="AQ194" s="53">
        <f t="shared" si="139"/>
        <v>4.26</v>
      </c>
      <c r="AR194" s="53">
        <f t="shared" si="140"/>
        <v>21.299999999999997</v>
      </c>
      <c r="AS194" s="56">
        <f t="shared" si="141"/>
        <v>4.6948356807511742E-2</v>
      </c>
      <c r="AT194" s="56">
        <f t="shared" si="172"/>
        <v>0.23474178403755869</v>
      </c>
      <c r="AU194" s="56">
        <f t="shared" si="142"/>
        <v>0.176056338028169</v>
      </c>
      <c r="AV194" s="56">
        <f t="shared" si="173"/>
        <v>5.8685446009389672E-2</v>
      </c>
      <c r="AW194" s="57" t="s">
        <v>2511</v>
      </c>
      <c r="AX194" s="57" t="s">
        <v>2512</v>
      </c>
      <c r="AY194" s="57" t="s">
        <v>2513</v>
      </c>
      <c r="AZ194" s="58">
        <f t="shared" si="174"/>
        <v>0</v>
      </c>
      <c r="BA194" s="59">
        <f t="shared" si="178"/>
        <v>0</v>
      </c>
      <c r="BB194" s="59">
        <f t="shared" si="179"/>
        <v>0</v>
      </c>
      <c r="BC194" s="59">
        <f t="shared" si="180"/>
        <v>0</v>
      </c>
      <c r="BD194" s="60">
        <f t="shared" si="175"/>
        <v>0</v>
      </c>
      <c r="BE194" s="59">
        <f t="shared" si="176"/>
        <v>0</v>
      </c>
      <c r="BQ194" s="61">
        <v>3000</v>
      </c>
      <c r="BR194" s="61">
        <v>1200</v>
      </c>
      <c r="BS194" s="28">
        <f t="shared" si="143"/>
        <v>2980</v>
      </c>
      <c r="BT194" s="28">
        <f t="shared" si="144"/>
        <v>1180</v>
      </c>
      <c r="BU194" s="28" t="s">
        <v>2541</v>
      </c>
      <c r="BV194" s="28">
        <f t="shared" si="145"/>
        <v>5</v>
      </c>
      <c r="BW194" s="28">
        <f t="shared" si="146"/>
        <v>5</v>
      </c>
      <c r="BX194" s="13">
        <f t="shared" si="147"/>
        <v>596</v>
      </c>
      <c r="BY194" s="13">
        <f t="shared" si="148"/>
        <v>596</v>
      </c>
      <c r="BZ194" s="13">
        <f t="shared" si="149"/>
        <v>236</v>
      </c>
      <c r="CA194" s="13">
        <f t="shared" si="150"/>
        <v>236</v>
      </c>
      <c r="CB194" s="13">
        <f t="shared" si="151"/>
        <v>140656</v>
      </c>
      <c r="CC194" s="62" t="str">
        <f t="shared" si="152"/>
        <v/>
      </c>
      <c r="CD194" s="13">
        <f t="shared" si="153"/>
        <v>596</v>
      </c>
      <c r="CE194" s="13">
        <f t="shared" si="154"/>
        <v>596</v>
      </c>
      <c r="CF194" s="13">
        <f t="shared" si="155"/>
        <v>236</v>
      </c>
      <c r="CG194" s="13">
        <f t="shared" si="156"/>
        <v>236</v>
      </c>
      <c r="CH194" s="28">
        <f t="shared" si="157"/>
        <v>140656</v>
      </c>
      <c r="CI194" s="62" t="str">
        <f t="shared" si="158"/>
        <v/>
      </c>
      <c r="CJ194" s="59">
        <f t="shared" si="159"/>
        <v>0</v>
      </c>
      <c r="CL194" s="63">
        <v>6000</v>
      </c>
      <c r="CM194" s="63">
        <f t="shared" si="160"/>
        <v>0</v>
      </c>
      <c r="CN194" s="63">
        <f t="shared" si="161"/>
        <v>5</v>
      </c>
      <c r="CO194" s="63">
        <f t="shared" si="162"/>
        <v>1200</v>
      </c>
      <c r="CP194" s="13">
        <f t="shared" si="163"/>
        <v>1200</v>
      </c>
      <c r="CQ194" s="70">
        <f t="shared" si="164"/>
        <v>8.3333333333333339E-4</v>
      </c>
      <c r="CR194" s="69">
        <f t="shared" ref="CR194:CR257" si="194">CQ194*AD194</f>
        <v>8.3333333333333339E-4</v>
      </c>
    </row>
    <row r="195" spans="1:96" hidden="1" x14ac:dyDescent="0.25">
      <c r="A195" s="13">
        <v>4</v>
      </c>
      <c r="B195" s="14" t="s">
        <v>598</v>
      </c>
      <c r="C195" s="13" t="s">
        <v>599</v>
      </c>
      <c r="D195" s="13" t="s">
        <v>2270</v>
      </c>
      <c r="E195" s="13" t="s">
        <v>52</v>
      </c>
      <c r="F195" s="15">
        <f t="shared" ref="F195:F258" si="195">COUNTIF($C$2:$C$1202,C195)</f>
        <v>1</v>
      </c>
      <c r="G195" s="13">
        <v>1</v>
      </c>
      <c r="H195" s="13">
        <f>G195*$H$194</f>
        <v>1</v>
      </c>
      <c r="I195" s="13">
        <v>1</v>
      </c>
      <c r="J195" s="14" t="s">
        <v>180</v>
      </c>
      <c r="K195" s="14" t="s">
        <v>34</v>
      </c>
      <c r="L195" s="13">
        <v>0</v>
      </c>
      <c r="M195" s="14" t="s">
        <v>35</v>
      </c>
      <c r="N195" s="13" t="s">
        <v>600</v>
      </c>
      <c r="O195" s="28" t="s">
        <v>41</v>
      </c>
      <c r="P195" s="28" t="s">
        <v>41</v>
      </c>
      <c r="Q195" s="28" t="s">
        <v>601</v>
      </c>
      <c r="R195" s="30">
        <v>51.5</v>
      </c>
      <c r="S195" s="30">
        <v>5</v>
      </c>
      <c r="T195" s="30">
        <v>2.99</v>
      </c>
      <c r="U195" s="30">
        <v>0.17699999999999999</v>
      </c>
      <c r="V195" s="8">
        <f t="shared" ref="V195:V258" si="196">R195*25.4</f>
        <v>1308.0999999999999</v>
      </c>
      <c r="W195" s="8">
        <f t="shared" ref="W195:W258" si="197">S195*25.4</f>
        <v>127</v>
      </c>
      <c r="X195" s="8">
        <f t="shared" ref="X195:X258" si="198">T195*25.4</f>
        <v>75.945999999999998</v>
      </c>
      <c r="Y195" s="33">
        <f t="shared" ref="Y195:Y258" si="199">U195*25.4</f>
        <v>4.4957999999999991</v>
      </c>
      <c r="Z195" s="28" t="s">
        <v>602</v>
      </c>
      <c r="AA195" s="28" t="s">
        <v>603</v>
      </c>
      <c r="AB195" s="61" t="s">
        <v>601</v>
      </c>
      <c r="AC195" s="31" t="s">
        <v>604</v>
      </c>
      <c r="AD195" s="50">
        <f t="shared" ref="AD195:AD258" si="200">H195</f>
        <v>1</v>
      </c>
      <c r="AE195" s="31"/>
      <c r="AF195" s="51">
        <v>14</v>
      </c>
      <c r="AG195" s="51">
        <f t="shared" si="166"/>
        <v>8.4</v>
      </c>
      <c r="AH195" s="51">
        <f t="shared" si="193"/>
        <v>42</v>
      </c>
      <c r="AI195" s="52" t="s">
        <v>2497</v>
      </c>
      <c r="AJ195" s="52" t="s">
        <v>2498</v>
      </c>
      <c r="AK195" s="53">
        <f t="shared" si="167"/>
        <v>0.33225739999999998</v>
      </c>
      <c r="AL195" s="54">
        <f t="shared" si="168"/>
        <v>0.11904761904761904</v>
      </c>
      <c r="AM195" s="54">
        <f t="shared" si="169"/>
        <v>2.3809523809523808E-2</v>
      </c>
      <c r="AN195" s="55">
        <f t="shared" si="170"/>
        <v>3.9554452380952378E-2</v>
      </c>
      <c r="AO195" s="55">
        <f t="shared" si="171"/>
        <v>7.9108904761904745E-3</v>
      </c>
      <c r="AP195" s="53">
        <v>7.1</v>
      </c>
      <c r="AQ195" s="53">
        <f t="shared" ref="AQ195:AQ258" si="201">AP195*0.6</f>
        <v>4.26</v>
      </c>
      <c r="AR195" s="53">
        <f t="shared" ref="AR195:AR258" si="202">AQ195*5</f>
        <v>21.299999999999997</v>
      </c>
      <c r="AS195" s="56">
        <f t="shared" ref="AS195:AS258" si="203">1/AR195</f>
        <v>4.6948356807511742E-2</v>
      </c>
      <c r="AT195" s="56">
        <f t="shared" si="172"/>
        <v>0.23474178403755869</v>
      </c>
      <c r="AU195" s="56">
        <f t="shared" ref="AU195:AU258" si="204">AT195*0.75</f>
        <v>0.176056338028169</v>
      </c>
      <c r="AV195" s="56">
        <f t="shared" si="173"/>
        <v>5.8685446009389672E-2</v>
      </c>
      <c r="AW195" s="57" t="s">
        <v>2511</v>
      </c>
      <c r="AX195" s="57" t="s">
        <v>2512</v>
      </c>
      <c r="AY195" s="57" t="s">
        <v>2513</v>
      </c>
      <c r="AZ195" s="58">
        <f t="shared" si="174"/>
        <v>0.33225739999999998</v>
      </c>
      <c r="BA195" s="59">
        <f t="shared" si="178"/>
        <v>9.7493368544600938E-3</v>
      </c>
      <c r="BB195" s="59">
        <f t="shared" si="179"/>
        <v>2.9248010563380278E-2</v>
      </c>
      <c r="BC195" s="59">
        <f t="shared" si="180"/>
        <v>7.7994694835680752E-3</v>
      </c>
      <c r="BD195" s="60">
        <f t="shared" si="175"/>
        <v>6.25E-2</v>
      </c>
      <c r="BE195" s="59">
        <f t="shared" si="176"/>
        <v>6.25E-2</v>
      </c>
      <c r="BQ195" s="61">
        <v>3000</v>
      </c>
      <c r="BR195" s="61">
        <v>1200</v>
      </c>
      <c r="BS195" s="28">
        <f t="shared" ref="BS195:BS258" si="205">BQ195-20</f>
        <v>2980</v>
      </c>
      <c r="BT195" s="28">
        <f t="shared" ref="BT195:BT258" si="206">BR195-20</f>
        <v>1180</v>
      </c>
      <c r="BU195" s="28" t="s">
        <v>2541</v>
      </c>
      <c r="BV195" s="28">
        <f t="shared" ref="BV195:BV258" si="207">V195+5</f>
        <v>1313.1</v>
      </c>
      <c r="BW195" s="28">
        <f t="shared" ref="BW195:BW258" si="208">W195+5</f>
        <v>132</v>
      </c>
      <c r="BX195" s="13">
        <f t="shared" ref="BX195:BX258" si="209">BS195/BV195</f>
        <v>2.2694387327697818</v>
      </c>
      <c r="BY195" s="13">
        <f t="shared" ref="BY195:BY258" si="210">ROUNDDOWN(BX195,0)</f>
        <v>2</v>
      </c>
      <c r="BZ195" s="13">
        <f t="shared" ref="BZ195:BZ258" si="211">BT195/BW195</f>
        <v>8.9393939393939394</v>
      </c>
      <c r="CA195" s="13">
        <f t="shared" ref="CA195:CA258" si="212">ROUNDDOWN(BZ195,0)</f>
        <v>8</v>
      </c>
      <c r="CB195" s="13">
        <f t="shared" ref="CB195:CB258" si="213">BY195*CA195</f>
        <v>16</v>
      </c>
      <c r="CC195" s="62">
        <f t="shared" ref="CC195:CC258" si="214">IF(E195="CJ","",IFERROR((1/CB195),1))</f>
        <v>6.25E-2</v>
      </c>
      <c r="CD195" s="13">
        <f t="shared" ref="CD195:CD258" si="215">BS195/BW195</f>
        <v>22.575757575757574</v>
      </c>
      <c r="CE195" s="13">
        <f t="shared" ref="CE195:CE258" si="216">ROUNDDOWN(CD195,0)</f>
        <v>22</v>
      </c>
      <c r="CF195" s="13">
        <f t="shared" ref="CF195:CF258" si="217">BT195/BV195</f>
        <v>0.89863681364709469</v>
      </c>
      <c r="CG195" s="13">
        <f t="shared" ref="CG195:CG258" si="218">ROUNDDOWN(CF195,0)</f>
        <v>0</v>
      </c>
      <c r="CH195" s="28">
        <f t="shared" ref="CH195:CH258" si="219">CE195*CG195</f>
        <v>0</v>
      </c>
      <c r="CI195" s="62">
        <f t="shared" ref="CI195:CI258" si="220">IF(E195="CJ","",IFERROR((1/CH195),1))</f>
        <v>1</v>
      </c>
      <c r="CJ195" s="59">
        <f t="shared" ref="CJ195:CJ258" si="221">MIN(CC195,CI195)</f>
        <v>6.25E-2</v>
      </c>
      <c r="CL195" s="63">
        <v>6000</v>
      </c>
      <c r="CM195" s="63">
        <f t="shared" ref="CM195:CM258" si="222">V195</f>
        <v>1308.0999999999999</v>
      </c>
      <c r="CN195" s="63">
        <f t="shared" ref="CN195:CN258" si="223">CM195+5</f>
        <v>1313.1</v>
      </c>
      <c r="CO195" s="63">
        <f t="shared" ref="CO195:CO258" si="224">CL195/CN195</f>
        <v>4.5693397304089558</v>
      </c>
      <c r="CP195" s="13">
        <f t="shared" ref="CP195:CP258" si="225">ROUNDDOWN(CO195,0)</f>
        <v>4</v>
      </c>
      <c r="CQ195" s="70">
        <f t="shared" ref="CQ195:CQ258" si="226">1/CP195</f>
        <v>0.25</v>
      </c>
      <c r="CR195" s="69">
        <f t="shared" si="194"/>
        <v>0.25</v>
      </c>
    </row>
    <row r="196" spans="1:96" hidden="1" x14ac:dyDescent="0.25">
      <c r="A196" s="13">
        <v>4</v>
      </c>
      <c r="B196" s="14" t="s">
        <v>598</v>
      </c>
      <c r="C196" s="13" t="s">
        <v>605</v>
      </c>
      <c r="D196" s="13" t="s">
        <v>2270</v>
      </c>
      <c r="E196" s="13" t="s">
        <v>52</v>
      </c>
      <c r="F196" s="15">
        <f t="shared" si="195"/>
        <v>1</v>
      </c>
      <c r="G196" s="13">
        <v>1</v>
      </c>
      <c r="H196" s="13">
        <f>G196*$H$194</f>
        <v>1</v>
      </c>
      <c r="I196" s="13">
        <v>2</v>
      </c>
      <c r="J196" s="14" t="s">
        <v>606</v>
      </c>
      <c r="K196" s="14" t="s">
        <v>34</v>
      </c>
      <c r="L196" s="13">
        <v>0</v>
      </c>
      <c r="M196" s="14" t="s">
        <v>35</v>
      </c>
      <c r="N196" s="13" t="s">
        <v>607</v>
      </c>
      <c r="O196" s="28" t="s">
        <v>41</v>
      </c>
      <c r="P196" s="28" t="s">
        <v>41</v>
      </c>
      <c r="Q196" s="28" t="s">
        <v>116</v>
      </c>
      <c r="R196" s="30">
        <v>12.116</v>
      </c>
      <c r="S196" s="30">
        <v>4.2</v>
      </c>
      <c r="T196" s="30"/>
      <c r="U196" s="30">
        <v>0.11799999999999999</v>
      </c>
      <c r="V196" s="8">
        <f t="shared" si="196"/>
        <v>307.74639999999999</v>
      </c>
      <c r="W196" s="8">
        <f t="shared" si="197"/>
        <v>106.67999999999999</v>
      </c>
      <c r="X196" s="8">
        <f t="shared" si="198"/>
        <v>0</v>
      </c>
      <c r="Y196" s="33">
        <f t="shared" si="199"/>
        <v>2.9971999999999999</v>
      </c>
      <c r="Z196" s="28" t="s">
        <v>56</v>
      </c>
      <c r="AA196" s="28" t="s">
        <v>57</v>
      </c>
      <c r="AB196" s="28" t="s">
        <v>116</v>
      </c>
      <c r="AC196" s="31" t="s">
        <v>117</v>
      </c>
      <c r="AD196" s="50">
        <f t="shared" si="200"/>
        <v>1</v>
      </c>
      <c r="AE196" s="31"/>
      <c r="AF196" s="51">
        <v>14</v>
      </c>
      <c r="AG196" s="51">
        <f t="shared" si="166"/>
        <v>8.4</v>
      </c>
      <c r="AH196" s="51">
        <f t="shared" si="193"/>
        <v>42</v>
      </c>
      <c r="AI196" s="52" t="s">
        <v>2497</v>
      </c>
      <c r="AJ196" s="52" t="s">
        <v>2498</v>
      </c>
      <c r="AK196" s="53">
        <f t="shared" si="167"/>
        <v>6.5660771903999993E-2</v>
      </c>
      <c r="AL196" s="54">
        <f t="shared" si="168"/>
        <v>0.11904761904761904</v>
      </c>
      <c r="AM196" s="54">
        <f t="shared" si="169"/>
        <v>2.3809523809523808E-2</v>
      </c>
      <c r="AN196" s="55">
        <f t="shared" si="170"/>
        <v>7.8167585599999995E-3</v>
      </c>
      <c r="AO196" s="55">
        <f t="shared" si="171"/>
        <v>1.5633517119999997E-3</v>
      </c>
      <c r="AP196" s="53">
        <v>7.1</v>
      </c>
      <c r="AQ196" s="53">
        <f t="shared" si="201"/>
        <v>4.26</v>
      </c>
      <c r="AR196" s="53">
        <f t="shared" si="202"/>
        <v>21.299999999999997</v>
      </c>
      <c r="AS196" s="56">
        <f t="shared" si="203"/>
        <v>4.6948356807511742E-2</v>
      </c>
      <c r="AT196" s="56">
        <f t="shared" si="172"/>
        <v>0.23474178403755869</v>
      </c>
      <c r="AU196" s="56">
        <f t="shared" si="204"/>
        <v>0.176056338028169</v>
      </c>
      <c r="AV196" s="56">
        <f t="shared" si="173"/>
        <v>5.8685446009389672E-2</v>
      </c>
      <c r="AW196" s="57" t="s">
        <v>2511</v>
      </c>
      <c r="AX196" s="57" t="s">
        <v>2512</v>
      </c>
      <c r="AY196" s="57" t="s">
        <v>2513</v>
      </c>
      <c r="AZ196" s="58">
        <f t="shared" si="174"/>
        <v>6.5660771903999993E-2</v>
      </c>
      <c r="BA196" s="59">
        <f t="shared" si="178"/>
        <v>1.926665842253521E-3</v>
      </c>
      <c r="BB196" s="59">
        <f t="shared" si="179"/>
        <v>5.7799975267605625E-3</v>
      </c>
      <c r="BC196" s="59">
        <f t="shared" si="180"/>
        <v>1.5413326738028168E-3</v>
      </c>
      <c r="BD196" s="60">
        <f t="shared" si="175"/>
        <v>1.1111111111111112E-2</v>
      </c>
      <c r="BE196" s="59">
        <f t="shared" si="176"/>
        <v>1.1111111111111112E-2</v>
      </c>
      <c r="BQ196" s="61">
        <v>3000</v>
      </c>
      <c r="BR196" s="61">
        <v>1200</v>
      </c>
      <c r="BS196" s="28">
        <f t="shared" si="205"/>
        <v>2980</v>
      </c>
      <c r="BT196" s="28">
        <f t="shared" si="206"/>
        <v>1180</v>
      </c>
      <c r="BU196" s="28" t="s">
        <v>2541</v>
      </c>
      <c r="BV196" s="28">
        <f t="shared" si="207"/>
        <v>312.74639999999999</v>
      </c>
      <c r="BW196" s="28">
        <f t="shared" si="208"/>
        <v>111.67999999999999</v>
      </c>
      <c r="BX196" s="13">
        <f t="shared" si="209"/>
        <v>9.5284869785871233</v>
      </c>
      <c r="BY196" s="13">
        <f t="shared" si="210"/>
        <v>9</v>
      </c>
      <c r="BZ196" s="13">
        <f t="shared" si="211"/>
        <v>10.565902578796562</v>
      </c>
      <c r="CA196" s="13">
        <f t="shared" si="212"/>
        <v>10</v>
      </c>
      <c r="CB196" s="13">
        <f t="shared" si="213"/>
        <v>90</v>
      </c>
      <c r="CC196" s="62">
        <f t="shared" si="214"/>
        <v>1.1111111111111112E-2</v>
      </c>
      <c r="CD196" s="13">
        <f t="shared" si="215"/>
        <v>26.683381088825218</v>
      </c>
      <c r="CE196" s="13">
        <f t="shared" si="216"/>
        <v>26</v>
      </c>
      <c r="CF196" s="13">
        <f t="shared" si="217"/>
        <v>3.7730250452123508</v>
      </c>
      <c r="CG196" s="13">
        <f t="shared" si="218"/>
        <v>3</v>
      </c>
      <c r="CH196" s="28">
        <f t="shared" si="219"/>
        <v>78</v>
      </c>
      <c r="CI196" s="62">
        <f t="shared" si="220"/>
        <v>1.282051282051282E-2</v>
      </c>
      <c r="CJ196" s="59">
        <f t="shared" si="221"/>
        <v>1.1111111111111112E-2</v>
      </c>
      <c r="CL196" s="63">
        <v>6000</v>
      </c>
      <c r="CM196" s="63">
        <f t="shared" si="222"/>
        <v>307.74639999999999</v>
      </c>
      <c r="CN196" s="63">
        <f t="shared" si="223"/>
        <v>312.74639999999999</v>
      </c>
      <c r="CO196" s="63">
        <f t="shared" si="224"/>
        <v>19.184873111249242</v>
      </c>
      <c r="CP196" s="13">
        <f t="shared" si="225"/>
        <v>19</v>
      </c>
      <c r="CQ196" s="70">
        <f t="shared" si="226"/>
        <v>5.2631578947368418E-2</v>
      </c>
      <c r="CR196" s="69">
        <f t="shared" si="194"/>
        <v>5.2631578947368418E-2</v>
      </c>
    </row>
    <row r="197" spans="1:96" hidden="1" x14ac:dyDescent="0.25">
      <c r="A197" s="10">
        <v>3</v>
      </c>
      <c r="B197" s="8" t="s">
        <v>42</v>
      </c>
      <c r="C197" s="10" t="s">
        <v>608</v>
      </c>
      <c r="D197" s="10" t="s">
        <v>2270</v>
      </c>
      <c r="E197" s="10" t="s">
        <v>52</v>
      </c>
      <c r="F197" s="12">
        <f t="shared" si="195"/>
        <v>1</v>
      </c>
      <c r="G197" s="10">
        <v>2</v>
      </c>
      <c r="H197" s="10">
        <f t="shared" ref="H197:H198" si="227">G197*$H$4</f>
        <v>2</v>
      </c>
      <c r="I197" s="10">
        <v>5</v>
      </c>
      <c r="J197" s="8" t="s">
        <v>609</v>
      </c>
      <c r="K197" s="8" t="s">
        <v>34</v>
      </c>
      <c r="L197" s="10">
        <v>0</v>
      </c>
      <c r="M197" s="8" t="s">
        <v>35</v>
      </c>
      <c r="N197" s="10" t="s">
        <v>610</v>
      </c>
      <c r="O197" s="28" t="s">
        <v>41</v>
      </c>
      <c r="P197" s="28" t="s">
        <v>41</v>
      </c>
      <c r="Q197" s="28" t="s">
        <v>611</v>
      </c>
      <c r="R197" s="30">
        <v>57.94</v>
      </c>
      <c r="S197" s="30">
        <v>2</v>
      </c>
      <c r="T197" s="30">
        <v>2</v>
      </c>
      <c r="U197" s="30">
        <v>9.8000000000000004E-2</v>
      </c>
      <c r="V197" s="8">
        <f t="shared" si="196"/>
        <v>1471.6759999999999</v>
      </c>
      <c r="W197" s="8">
        <f t="shared" si="197"/>
        <v>50.8</v>
      </c>
      <c r="X197" s="8">
        <f t="shared" si="198"/>
        <v>50.8</v>
      </c>
      <c r="Y197" s="33">
        <f t="shared" si="199"/>
        <v>2.4891999999999999</v>
      </c>
      <c r="Z197" s="28" t="s">
        <v>602</v>
      </c>
      <c r="AA197" s="28" t="s">
        <v>603</v>
      </c>
      <c r="AB197" s="61" t="s">
        <v>611</v>
      </c>
      <c r="AC197" s="31" t="s">
        <v>612</v>
      </c>
      <c r="AD197" s="50">
        <f t="shared" si="200"/>
        <v>2</v>
      </c>
      <c r="AE197" s="31"/>
      <c r="AF197" s="51">
        <v>14</v>
      </c>
      <c r="AG197" s="51">
        <f t="shared" si="166"/>
        <v>8.4</v>
      </c>
      <c r="AH197" s="51">
        <f t="shared" si="193"/>
        <v>42</v>
      </c>
      <c r="AI197" s="52" t="s">
        <v>2497</v>
      </c>
      <c r="AJ197" s="52" t="s">
        <v>2498</v>
      </c>
      <c r="AK197" s="53">
        <f t="shared" si="167"/>
        <v>0.1495222816</v>
      </c>
      <c r="AL197" s="54">
        <f t="shared" si="168"/>
        <v>0.11904761904761904</v>
      </c>
      <c r="AM197" s="54">
        <f t="shared" si="169"/>
        <v>2.3809523809523808E-2</v>
      </c>
      <c r="AN197" s="55">
        <f t="shared" si="170"/>
        <v>3.5600543238095236E-2</v>
      </c>
      <c r="AO197" s="55">
        <f t="shared" si="171"/>
        <v>7.1201086476190469E-3</v>
      </c>
      <c r="AP197" s="53">
        <v>7.1</v>
      </c>
      <c r="AQ197" s="53">
        <f t="shared" si="201"/>
        <v>4.26</v>
      </c>
      <c r="AR197" s="53">
        <f t="shared" si="202"/>
        <v>21.299999999999997</v>
      </c>
      <c r="AS197" s="56">
        <f t="shared" si="203"/>
        <v>4.6948356807511742E-2</v>
      </c>
      <c r="AT197" s="56">
        <f t="shared" si="172"/>
        <v>0.23474178403755869</v>
      </c>
      <c r="AU197" s="56">
        <f t="shared" si="204"/>
        <v>0.176056338028169</v>
      </c>
      <c r="AV197" s="56">
        <f t="shared" si="173"/>
        <v>5.8685446009389672E-2</v>
      </c>
      <c r="AW197" s="57" t="s">
        <v>2511</v>
      </c>
      <c r="AX197" s="57" t="s">
        <v>2512</v>
      </c>
      <c r="AY197" s="57" t="s">
        <v>2513</v>
      </c>
      <c r="AZ197" s="58">
        <f t="shared" si="174"/>
        <v>0.1495222816</v>
      </c>
      <c r="BA197" s="59">
        <f t="shared" si="178"/>
        <v>8.7747817840375594E-3</v>
      </c>
      <c r="BB197" s="59">
        <f t="shared" si="179"/>
        <v>2.6324345352112675E-2</v>
      </c>
      <c r="BC197" s="59">
        <f t="shared" si="180"/>
        <v>7.0198254272300477E-3</v>
      </c>
      <c r="BD197" s="60">
        <f t="shared" si="175"/>
        <v>2.3809523809523808E-2</v>
      </c>
      <c r="BE197" s="59">
        <f t="shared" si="176"/>
        <v>4.7619047619047616E-2</v>
      </c>
      <c r="BQ197" s="61">
        <v>3000</v>
      </c>
      <c r="BR197" s="61">
        <v>1200</v>
      </c>
      <c r="BS197" s="28">
        <f t="shared" si="205"/>
        <v>2980</v>
      </c>
      <c r="BT197" s="28">
        <f t="shared" si="206"/>
        <v>1180</v>
      </c>
      <c r="BU197" s="28" t="s">
        <v>2541</v>
      </c>
      <c r="BV197" s="28">
        <f t="shared" si="207"/>
        <v>1476.6759999999999</v>
      </c>
      <c r="BW197" s="28">
        <f t="shared" si="208"/>
        <v>55.8</v>
      </c>
      <c r="BX197" s="13">
        <f t="shared" si="209"/>
        <v>2.0180459356013101</v>
      </c>
      <c r="BY197" s="13">
        <f t="shared" si="210"/>
        <v>2</v>
      </c>
      <c r="BZ197" s="13">
        <f t="shared" si="211"/>
        <v>21.146953405017921</v>
      </c>
      <c r="CA197" s="13">
        <f t="shared" si="212"/>
        <v>21</v>
      </c>
      <c r="CB197" s="13">
        <f t="shared" si="213"/>
        <v>42</v>
      </c>
      <c r="CC197" s="62">
        <f t="shared" si="214"/>
        <v>2.3809523809523808E-2</v>
      </c>
      <c r="CD197" s="13">
        <f t="shared" si="215"/>
        <v>53.405017921146957</v>
      </c>
      <c r="CE197" s="13">
        <f t="shared" si="216"/>
        <v>53</v>
      </c>
      <c r="CF197" s="13">
        <f t="shared" si="217"/>
        <v>0.79909201476830394</v>
      </c>
      <c r="CG197" s="13">
        <f t="shared" si="218"/>
        <v>0</v>
      </c>
      <c r="CH197" s="28">
        <f t="shared" si="219"/>
        <v>0</v>
      </c>
      <c r="CI197" s="62">
        <f t="shared" si="220"/>
        <v>1</v>
      </c>
      <c r="CJ197" s="59">
        <f t="shared" si="221"/>
        <v>2.3809523809523808E-2</v>
      </c>
      <c r="CL197" s="63">
        <v>6000</v>
      </c>
      <c r="CM197" s="63">
        <f t="shared" si="222"/>
        <v>1471.6759999999999</v>
      </c>
      <c r="CN197" s="63">
        <f t="shared" si="223"/>
        <v>1476.6759999999999</v>
      </c>
      <c r="CO197" s="63">
        <f t="shared" si="224"/>
        <v>4.0631797361100199</v>
      </c>
      <c r="CP197" s="13">
        <f t="shared" si="225"/>
        <v>4</v>
      </c>
      <c r="CQ197" s="70">
        <f t="shared" si="226"/>
        <v>0.25</v>
      </c>
      <c r="CR197" s="69">
        <f t="shared" si="194"/>
        <v>0.5</v>
      </c>
    </row>
    <row r="198" spans="1:96" hidden="1" x14ac:dyDescent="0.25">
      <c r="A198" s="10">
        <v>3</v>
      </c>
      <c r="B198" s="8" t="s">
        <v>42</v>
      </c>
      <c r="C198" s="10" t="s">
        <v>613</v>
      </c>
      <c r="D198" s="10" t="s">
        <v>2270</v>
      </c>
      <c r="E198" s="10" t="s">
        <v>32</v>
      </c>
      <c r="F198" s="12">
        <f t="shared" si="195"/>
        <v>1</v>
      </c>
      <c r="G198" s="10">
        <v>1</v>
      </c>
      <c r="H198" s="10">
        <f t="shared" si="227"/>
        <v>1</v>
      </c>
      <c r="I198" s="10">
        <v>6</v>
      </c>
      <c r="J198" s="8" t="s">
        <v>109</v>
      </c>
      <c r="K198" s="8" t="s">
        <v>34</v>
      </c>
      <c r="L198" s="10" t="s">
        <v>110</v>
      </c>
      <c r="M198" s="8" t="s">
        <v>35</v>
      </c>
      <c r="N198" s="10" t="s">
        <v>614</v>
      </c>
      <c r="O198" s="28" t="s">
        <v>41</v>
      </c>
      <c r="P198" s="28" t="s">
        <v>41</v>
      </c>
      <c r="Q198" s="28"/>
      <c r="R198" s="30"/>
      <c r="S198" s="30"/>
      <c r="T198" s="30"/>
      <c r="U198" s="30"/>
      <c r="V198" s="8">
        <f t="shared" si="196"/>
        <v>0</v>
      </c>
      <c r="W198" s="8">
        <f t="shared" si="197"/>
        <v>0</v>
      </c>
      <c r="X198" s="8">
        <f t="shared" si="198"/>
        <v>0</v>
      </c>
      <c r="Y198" s="33">
        <f t="shared" si="199"/>
        <v>0</v>
      </c>
      <c r="Z198" s="28"/>
      <c r="AA198" s="28"/>
      <c r="AB198" s="28">
        <v>0</v>
      </c>
      <c r="AC198" s="31"/>
      <c r="AD198" s="50">
        <f t="shared" si="200"/>
        <v>1</v>
      </c>
      <c r="AE198" s="31"/>
      <c r="AF198" s="51">
        <v>14</v>
      </c>
      <c r="AG198" s="51">
        <f t="shared" ref="AG198:AG261" si="228">AF198*0.6</f>
        <v>8.4</v>
      </c>
      <c r="AH198" s="51">
        <f t="shared" si="193"/>
        <v>42</v>
      </c>
      <c r="AI198" s="52" t="s">
        <v>2497</v>
      </c>
      <c r="AJ198" s="52" t="s">
        <v>2498</v>
      </c>
      <c r="AK198" s="53">
        <f t="shared" ref="AK198:AK261" si="229">(V198*W198)*2/1000000</f>
        <v>0</v>
      </c>
      <c r="AL198" s="54">
        <f t="shared" ref="AL198:AL261" si="230">1/(AF198*0.6)</f>
        <v>0.11904761904761904</v>
      </c>
      <c r="AM198" s="54">
        <f t="shared" ref="AM198:AM261" si="231">1/AG198*(20/100)</f>
        <v>2.3809523809523808E-2</v>
      </c>
      <c r="AN198" s="55">
        <f t="shared" ref="AN198:AN261" si="232">IF(AI198&lt;&gt;0,(AK198*AL198*AD198),0)</f>
        <v>0</v>
      </c>
      <c r="AO198" s="55">
        <f t="shared" ref="AO198:AO261" si="233">IF(AJ198&lt;&gt;0,(AK198*AM198*AD198),0)</f>
        <v>0</v>
      </c>
      <c r="AP198" s="53">
        <v>7.1</v>
      </c>
      <c r="AQ198" s="53">
        <f t="shared" si="201"/>
        <v>4.26</v>
      </c>
      <c r="AR198" s="53">
        <f t="shared" si="202"/>
        <v>21.299999999999997</v>
      </c>
      <c r="AS198" s="56">
        <f t="shared" si="203"/>
        <v>4.6948356807511742E-2</v>
      </c>
      <c r="AT198" s="56">
        <f t="shared" ref="AT198:AT261" si="234">1/AQ198</f>
        <v>0.23474178403755869</v>
      </c>
      <c r="AU198" s="56">
        <f t="shared" si="204"/>
        <v>0.176056338028169</v>
      </c>
      <c r="AV198" s="56">
        <f t="shared" ref="AV198:AV261" si="235">AT198*0.25</f>
        <v>5.8685446009389672E-2</v>
      </c>
      <c r="AW198" s="57" t="s">
        <v>2511</v>
      </c>
      <c r="AX198" s="57" t="s">
        <v>2512</v>
      </c>
      <c r="AY198" s="57" t="s">
        <v>2513</v>
      </c>
      <c r="AZ198" s="58">
        <f t="shared" ref="AZ198:AZ261" si="236">(V198*W198)*2/1000000</f>
        <v>0</v>
      </c>
      <c r="BA198" s="59">
        <f t="shared" si="178"/>
        <v>0</v>
      </c>
      <c r="BB198" s="59">
        <f t="shared" si="179"/>
        <v>0</v>
      </c>
      <c r="BC198" s="59">
        <f t="shared" si="180"/>
        <v>0</v>
      </c>
      <c r="BD198" s="60">
        <f t="shared" ref="BD198:BD261" si="237">CJ198</f>
        <v>0</v>
      </c>
      <c r="BE198" s="59">
        <f t="shared" ref="BE198:BE261" si="238">BD198*AD198</f>
        <v>0</v>
      </c>
      <c r="BQ198" s="61">
        <v>3000</v>
      </c>
      <c r="BR198" s="61">
        <v>1200</v>
      </c>
      <c r="BS198" s="28">
        <f t="shared" si="205"/>
        <v>2980</v>
      </c>
      <c r="BT198" s="28">
        <f t="shared" si="206"/>
        <v>1180</v>
      </c>
      <c r="BU198" s="28" t="s">
        <v>2541</v>
      </c>
      <c r="BV198" s="28">
        <f t="shared" si="207"/>
        <v>5</v>
      </c>
      <c r="BW198" s="28">
        <f t="shared" si="208"/>
        <v>5</v>
      </c>
      <c r="BX198" s="13">
        <f t="shared" si="209"/>
        <v>596</v>
      </c>
      <c r="BY198" s="13">
        <f t="shared" si="210"/>
        <v>596</v>
      </c>
      <c r="BZ198" s="13">
        <f t="shared" si="211"/>
        <v>236</v>
      </c>
      <c r="CA198" s="13">
        <f t="shared" si="212"/>
        <v>236</v>
      </c>
      <c r="CB198" s="13">
        <f t="shared" si="213"/>
        <v>140656</v>
      </c>
      <c r="CC198" s="62" t="str">
        <f t="shared" si="214"/>
        <v/>
      </c>
      <c r="CD198" s="13">
        <f t="shared" si="215"/>
        <v>596</v>
      </c>
      <c r="CE198" s="13">
        <f t="shared" si="216"/>
        <v>596</v>
      </c>
      <c r="CF198" s="13">
        <f t="shared" si="217"/>
        <v>236</v>
      </c>
      <c r="CG198" s="13">
        <f t="shared" si="218"/>
        <v>236</v>
      </c>
      <c r="CH198" s="28">
        <f t="shared" si="219"/>
        <v>140656</v>
      </c>
      <c r="CI198" s="62" t="str">
        <f t="shared" si="220"/>
        <v/>
      </c>
      <c r="CJ198" s="59">
        <f t="shared" si="221"/>
        <v>0</v>
      </c>
      <c r="CL198" s="63">
        <v>6000</v>
      </c>
      <c r="CM198" s="63">
        <f t="shared" si="222"/>
        <v>0</v>
      </c>
      <c r="CN198" s="63">
        <f t="shared" si="223"/>
        <v>5</v>
      </c>
      <c r="CO198" s="63">
        <f t="shared" si="224"/>
        <v>1200</v>
      </c>
      <c r="CP198" s="13">
        <f t="shared" si="225"/>
        <v>1200</v>
      </c>
      <c r="CQ198" s="70">
        <f t="shared" si="226"/>
        <v>8.3333333333333339E-4</v>
      </c>
      <c r="CR198" s="69">
        <f t="shared" si="194"/>
        <v>8.3333333333333339E-4</v>
      </c>
    </row>
    <row r="199" spans="1:96" hidden="1" x14ac:dyDescent="0.25">
      <c r="A199" s="13">
        <v>4</v>
      </c>
      <c r="B199" s="14" t="s">
        <v>615</v>
      </c>
      <c r="C199" s="13" t="s">
        <v>616</v>
      </c>
      <c r="D199" s="13" t="s">
        <v>2270</v>
      </c>
      <c r="E199" s="13" t="s">
        <v>52</v>
      </c>
      <c r="F199" s="15">
        <f t="shared" si="195"/>
        <v>1</v>
      </c>
      <c r="G199" s="13">
        <v>1</v>
      </c>
      <c r="H199" s="13">
        <f>G199*$H$198</f>
        <v>1</v>
      </c>
      <c r="I199" s="13">
        <v>1</v>
      </c>
      <c r="J199" s="14" t="s">
        <v>617</v>
      </c>
      <c r="K199" s="14" t="s">
        <v>34</v>
      </c>
      <c r="L199" s="13">
        <v>0</v>
      </c>
      <c r="M199" s="14" t="s">
        <v>35</v>
      </c>
      <c r="N199" s="13" t="s">
        <v>618</v>
      </c>
      <c r="O199" s="28" t="s">
        <v>41</v>
      </c>
      <c r="P199" s="28" t="s">
        <v>41</v>
      </c>
      <c r="Q199" s="28" t="s">
        <v>103</v>
      </c>
      <c r="R199" s="30">
        <v>4.4880000000000004</v>
      </c>
      <c r="S199" s="30">
        <v>4.4881889763779528</v>
      </c>
      <c r="T199" s="30"/>
      <c r="U199" s="30">
        <v>0.23622047244094491</v>
      </c>
      <c r="V199" s="8">
        <f t="shared" si="196"/>
        <v>113.99520000000001</v>
      </c>
      <c r="W199" s="8">
        <f t="shared" si="197"/>
        <v>114</v>
      </c>
      <c r="X199" s="8">
        <f t="shared" si="198"/>
        <v>0</v>
      </c>
      <c r="Y199" s="33">
        <f t="shared" si="199"/>
        <v>6</v>
      </c>
      <c r="Z199" s="28" t="s">
        <v>56</v>
      </c>
      <c r="AA199" s="28" t="s">
        <v>57</v>
      </c>
      <c r="AB199" s="28" t="s">
        <v>103</v>
      </c>
      <c r="AC199" s="31" t="s">
        <v>104</v>
      </c>
      <c r="AD199" s="50">
        <f t="shared" si="200"/>
        <v>1</v>
      </c>
      <c r="AE199" s="31"/>
      <c r="AF199" s="51">
        <v>14</v>
      </c>
      <c r="AG199" s="51">
        <f t="shared" si="228"/>
        <v>8.4</v>
      </c>
      <c r="AH199" s="51">
        <f t="shared" si="193"/>
        <v>42</v>
      </c>
      <c r="AI199" s="52" t="s">
        <v>2497</v>
      </c>
      <c r="AJ199" s="52" t="s">
        <v>2498</v>
      </c>
      <c r="AK199" s="53">
        <f t="shared" si="229"/>
        <v>2.5990905600000003E-2</v>
      </c>
      <c r="AL199" s="54">
        <f t="shared" si="230"/>
        <v>0.11904761904761904</v>
      </c>
      <c r="AM199" s="54">
        <f t="shared" si="231"/>
        <v>2.3809523809523808E-2</v>
      </c>
      <c r="AN199" s="55">
        <f t="shared" si="232"/>
        <v>3.0941554285714287E-3</v>
      </c>
      <c r="AO199" s="55">
        <f t="shared" si="233"/>
        <v>6.1883108571428574E-4</v>
      </c>
      <c r="AP199" s="53">
        <v>7.1</v>
      </c>
      <c r="AQ199" s="53">
        <f t="shared" si="201"/>
        <v>4.26</v>
      </c>
      <c r="AR199" s="53">
        <f t="shared" si="202"/>
        <v>21.299999999999997</v>
      </c>
      <c r="AS199" s="56">
        <f t="shared" si="203"/>
        <v>4.6948356807511742E-2</v>
      </c>
      <c r="AT199" s="56">
        <f t="shared" si="234"/>
        <v>0.23474178403755869</v>
      </c>
      <c r="AU199" s="56">
        <f t="shared" si="204"/>
        <v>0.176056338028169</v>
      </c>
      <c r="AV199" s="56">
        <f t="shared" si="235"/>
        <v>5.8685446009389672E-2</v>
      </c>
      <c r="AW199" s="57" t="s">
        <v>2511</v>
      </c>
      <c r="AX199" s="57" t="s">
        <v>2512</v>
      </c>
      <c r="AY199" s="57" t="s">
        <v>2513</v>
      </c>
      <c r="AZ199" s="58">
        <f t="shared" si="236"/>
        <v>2.5990905600000003E-2</v>
      </c>
      <c r="BA199" s="59">
        <f t="shared" si="178"/>
        <v>7.6264394366197194E-4</v>
      </c>
      <c r="BB199" s="59">
        <f t="shared" si="179"/>
        <v>2.2879318309859155E-3</v>
      </c>
      <c r="BC199" s="59">
        <f t="shared" si="180"/>
        <v>6.1011515492957757E-4</v>
      </c>
      <c r="BD199" s="60">
        <f t="shared" si="237"/>
        <v>4.4444444444444444E-3</v>
      </c>
      <c r="BE199" s="59">
        <f t="shared" si="238"/>
        <v>4.4444444444444444E-3</v>
      </c>
      <c r="BQ199" s="61">
        <v>3000</v>
      </c>
      <c r="BR199" s="61">
        <v>1200</v>
      </c>
      <c r="BS199" s="28">
        <f t="shared" si="205"/>
        <v>2980</v>
      </c>
      <c r="BT199" s="28">
        <f t="shared" si="206"/>
        <v>1180</v>
      </c>
      <c r="BU199" s="28" t="s">
        <v>2541</v>
      </c>
      <c r="BV199" s="28">
        <f t="shared" si="207"/>
        <v>118.99520000000001</v>
      </c>
      <c r="BW199" s="28">
        <f t="shared" si="208"/>
        <v>119</v>
      </c>
      <c r="BX199" s="13">
        <f t="shared" si="209"/>
        <v>25.043026945624696</v>
      </c>
      <c r="BY199" s="13">
        <f t="shared" si="210"/>
        <v>25</v>
      </c>
      <c r="BZ199" s="13">
        <f t="shared" si="211"/>
        <v>9.9159663865546221</v>
      </c>
      <c r="CA199" s="13">
        <f t="shared" si="212"/>
        <v>9</v>
      </c>
      <c r="CB199" s="13">
        <f t="shared" si="213"/>
        <v>225</v>
      </c>
      <c r="CC199" s="62">
        <f t="shared" si="214"/>
        <v>4.4444444444444444E-3</v>
      </c>
      <c r="CD199" s="13">
        <f t="shared" si="215"/>
        <v>25.042016806722689</v>
      </c>
      <c r="CE199" s="13">
        <f t="shared" si="216"/>
        <v>25</v>
      </c>
      <c r="CF199" s="13">
        <f t="shared" si="217"/>
        <v>9.9163663744419939</v>
      </c>
      <c r="CG199" s="13">
        <f t="shared" si="218"/>
        <v>9</v>
      </c>
      <c r="CH199" s="28">
        <f t="shared" si="219"/>
        <v>225</v>
      </c>
      <c r="CI199" s="62">
        <f t="shared" si="220"/>
        <v>4.4444444444444444E-3</v>
      </c>
      <c r="CJ199" s="59">
        <f t="shared" si="221"/>
        <v>4.4444444444444444E-3</v>
      </c>
      <c r="CL199" s="63">
        <v>6000</v>
      </c>
      <c r="CM199" s="63">
        <f t="shared" si="222"/>
        <v>113.99520000000001</v>
      </c>
      <c r="CN199" s="63">
        <f t="shared" si="223"/>
        <v>118.99520000000001</v>
      </c>
      <c r="CO199" s="63">
        <f t="shared" si="224"/>
        <v>50.422201903942337</v>
      </c>
      <c r="CP199" s="13">
        <f t="shared" si="225"/>
        <v>50</v>
      </c>
      <c r="CQ199" s="70">
        <f t="shared" si="226"/>
        <v>0.02</v>
      </c>
      <c r="CR199" s="69">
        <f t="shared" si="194"/>
        <v>0.02</v>
      </c>
    </row>
    <row r="200" spans="1:96" hidden="1" x14ac:dyDescent="0.25">
      <c r="A200" s="13">
        <v>4</v>
      </c>
      <c r="B200" s="14" t="s">
        <v>615</v>
      </c>
      <c r="C200" s="13" t="s">
        <v>619</v>
      </c>
      <c r="D200" s="13" t="s">
        <v>2270</v>
      </c>
      <c r="E200" s="13" t="s">
        <v>52</v>
      </c>
      <c r="F200" s="15">
        <f t="shared" si="195"/>
        <v>1</v>
      </c>
      <c r="G200" s="13">
        <v>1</v>
      </c>
      <c r="H200" s="13">
        <f t="shared" ref="H200:H201" si="239">G200*$H$198</f>
        <v>1</v>
      </c>
      <c r="I200" s="13">
        <v>2</v>
      </c>
      <c r="J200" s="14" t="s">
        <v>620</v>
      </c>
      <c r="K200" s="14" t="s">
        <v>34</v>
      </c>
      <c r="L200" s="13">
        <v>0</v>
      </c>
      <c r="M200" s="14" t="s">
        <v>35</v>
      </c>
      <c r="N200" s="13" t="s">
        <v>621</v>
      </c>
      <c r="O200" s="28" t="s">
        <v>41</v>
      </c>
      <c r="P200" s="28" t="s">
        <v>41</v>
      </c>
      <c r="Q200" s="28" t="s">
        <v>103</v>
      </c>
      <c r="R200" s="30">
        <v>2.7559055118110236</v>
      </c>
      <c r="S200" s="30">
        <v>0.82677165354330717</v>
      </c>
      <c r="T200" s="30"/>
      <c r="U200" s="30">
        <v>0.23622047244094491</v>
      </c>
      <c r="V200" s="8">
        <f t="shared" si="196"/>
        <v>70</v>
      </c>
      <c r="W200" s="8">
        <f t="shared" si="197"/>
        <v>21</v>
      </c>
      <c r="X200" s="8">
        <f t="shared" si="198"/>
        <v>0</v>
      </c>
      <c r="Y200" s="33">
        <f t="shared" si="199"/>
        <v>6</v>
      </c>
      <c r="Z200" s="28" t="s">
        <v>56</v>
      </c>
      <c r="AA200" s="28" t="s">
        <v>57</v>
      </c>
      <c r="AB200" s="28" t="s">
        <v>103</v>
      </c>
      <c r="AC200" s="31" t="s">
        <v>104</v>
      </c>
      <c r="AD200" s="50">
        <f t="shared" si="200"/>
        <v>1</v>
      </c>
      <c r="AE200" s="31"/>
      <c r="AF200" s="51">
        <v>14</v>
      </c>
      <c r="AG200" s="51">
        <f t="shared" si="228"/>
        <v>8.4</v>
      </c>
      <c r="AH200" s="51">
        <f t="shared" si="193"/>
        <v>42</v>
      </c>
      <c r="AI200" s="52" t="s">
        <v>2497</v>
      </c>
      <c r="AJ200" s="52" t="s">
        <v>2498</v>
      </c>
      <c r="AK200" s="53">
        <f t="shared" si="229"/>
        <v>2.9399999999999999E-3</v>
      </c>
      <c r="AL200" s="54">
        <f t="shared" si="230"/>
        <v>0.11904761904761904</v>
      </c>
      <c r="AM200" s="54">
        <f t="shared" si="231"/>
        <v>2.3809523809523808E-2</v>
      </c>
      <c r="AN200" s="55">
        <f t="shared" si="232"/>
        <v>3.4999999999999994E-4</v>
      </c>
      <c r="AO200" s="55">
        <f t="shared" si="233"/>
        <v>6.9999999999999994E-5</v>
      </c>
      <c r="AP200" s="53">
        <v>7.1</v>
      </c>
      <c r="AQ200" s="53">
        <f t="shared" si="201"/>
        <v>4.26</v>
      </c>
      <c r="AR200" s="53">
        <f t="shared" si="202"/>
        <v>21.299999999999997</v>
      </c>
      <c r="AS200" s="56">
        <f t="shared" si="203"/>
        <v>4.6948356807511742E-2</v>
      </c>
      <c r="AT200" s="56">
        <f t="shared" si="234"/>
        <v>0.23474178403755869</v>
      </c>
      <c r="AU200" s="56">
        <f t="shared" si="204"/>
        <v>0.176056338028169</v>
      </c>
      <c r="AV200" s="56">
        <f t="shared" si="235"/>
        <v>5.8685446009389672E-2</v>
      </c>
      <c r="AW200" s="57" t="s">
        <v>2511</v>
      </c>
      <c r="AX200" s="57" t="s">
        <v>2512</v>
      </c>
      <c r="AY200" s="57" t="s">
        <v>2513</v>
      </c>
      <c r="AZ200" s="58">
        <f t="shared" si="236"/>
        <v>2.9399999999999999E-3</v>
      </c>
      <c r="BA200" s="59">
        <f t="shared" ref="BA200:BA263" si="240">IF(AW200&lt;&gt;0,((AV200*AD200*AK200)/2),0)</f>
        <v>8.6267605633802812E-5</v>
      </c>
      <c r="BB200" s="59">
        <f t="shared" ref="BB200:BB263" si="241">IF(AX200&lt;&gt;0,((AD200*AU200*AZ200)/2),0)</f>
        <v>2.5880281690140842E-4</v>
      </c>
      <c r="BC200" s="59">
        <f t="shared" ref="BC200:BC263" si="242">IF(AY200&lt;&gt;0,((AD200*AS200*AZ200)/2),0)</f>
        <v>6.901408450704226E-5</v>
      </c>
      <c r="BD200" s="60">
        <f t="shared" si="237"/>
        <v>5.6980056980056976E-4</v>
      </c>
      <c r="BE200" s="59">
        <f t="shared" si="238"/>
        <v>5.6980056980056976E-4</v>
      </c>
      <c r="BQ200" s="61">
        <v>3000</v>
      </c>
      <c r="BR200" s="61">
        <v>1200</v>
      </c>
      <c r="BS200" s="28">
        <f t="shared" si="205"/>
        <v>2980</v>
      </c>
      <c r="BT200" s="28">
        <f t="shared" si="206"/>
        <v>1180</v>
      </c>
      <c r="BU200" s="28" t="s">
        <v>2541</v>
      </c>
      <c r="BV200" s="28">
        <f t="shared" si="207"/>
        <v>75</v>
      </c>
      <c r="BW200" s="28">
        <f t="shared" si="208"/>
        <v>26</v>
      </c>
      <c r="BX200" s="13">
        <f t="shared" si="209"/>
        <v>39.733333333333334</v>
      </c>
      <c r="BY200" s="13">
        <f t="shared" si="210"/>
        <v>39</v>
      </c>
      <c r="BZ200" s="13">
        <f t="shared" si="211"/>
        <v>45.384615384615387</v>
      </c>
      <c r="CA200" s="13">
        <f t="shared" si="212"/>
        <v>45</v>
      </c>
      <c r="CB200" s="13">
        <f t="shared" si="213"/>
        <v>1755</v>
      </c>
      <c r="CC200" s="62">
        <f t="shared" si="214"/>
        <v>5.6980056980056976E-4</v>
      </c>
      <c r="CD200" s="13">
        <f t="shared" si="215"/>
        <v>114.61538461538461</v>
      </c>
      <c r="CE200" s="13">
        <f t="shared" si="216"/>
        <v>114</v>
      </c>
      <c r="CF200" s="13">
        <f t="shared" si="217"/>
        <v>15.733333333333333</v>
      </c>
      <c r="CG200" s="13">
        <f t="shared" si="218"/>
        <v>15</v>
      </c>
      <c r="CH200" s="28">
        <f t="shared" si="219"/>
        <v>1710</v>
      </c>
      <c r="CI200" s="62">
        <f t="shared" si="220"/>
        <v>5.8479532163742691E-4</v>
      </c>
      <c r="CJ200" s="59">
        <f t="shared" si="221"/>
        <v>5.6980056980056976E-4</v>
      </c>
      <c r="CL200" s="63">
        <v>6000</v>
      </c>
      <c r="CM200" s="63">
        <f t="shared" si="222"/>
        <v>70</v>
      </c>
      <c r="CN200" s="63">
        <f t="shared" si="223"/>
        <v>75</v>
      </c>
      <c r="CO200" s="63">
        <f t="shared" si="224"/>
        <v>80</v>
      </c>
      <c r="CP200" s="13">
        <f t="shared" si="225"/>
        <v>80</v>
      </c>
      <c r="CQ200" s="70">
        <f t="shared" si="226"/>
        <v>1.2500000000000001E-2</v>
      </c>
      <c r="CR200" s="69">
        <f t="shared" si="194"/>
        <v>1.2500000000000001E-2</v>
      </c>
    </row>
    <row r="201" spans="1:96" hidden="1" x14ac:dyDescent="0.25">
      <c r="A201" s="13">
        <v>4</v>
      </c>
      <c r="B201" s="14" t="s">
        <v>615</v>
      </c>
      <c r="C201" s="13" t="s">
        <v>622</v>
      </c>
      <c r="D201" s="13" t="s">
        <v>2270</v>
      </c>
      <c r="E201" s="13" t="s">
        <v>52</v>
      </c>
      <c r="F201" s="15">
        <f t="shared" si="195"/>
        <v>1</v>
      </c>
      <c r="G201" s="13">
        <v>1</v>
      </c>
      <c r="H201" s="13">
        <f t="shared" si="239"/>
        <v>1</v>
      </c>
      <c r="I201" s="13">
        <v>3</v>
      </c>
      <c r="J201" s="14" t="s">
        <v>623</v>
      </c>
      <c r="K201" s="14" t="s">
        <v>34</v>
      </c>
      <c r="L201" s="13">
        <v>0</v>
      </c>
      <c r="M201" s="14" t="s">
        <v>35</v>
      </c>
      <c r="N201" s="13" t="s">
        <v>624</v>
      </c>
      <c r="O201" s="28" t="s">
        <v>41</v>
      </c>
      <c r="P201" s="28" t="s">
        <v>41</v>
      </c>
      <c r="Q201" s="28" t="s">
        <v>103</v>
      </c>
      <c r="R201" s="30">
        <v>4.4881889763779528</v>
      </c>
      <c r="S201" s="30">
        <v>0.82677165354330717</v>
      </c>
      <c r="T201" s="30"/>
      <c r="U201" s="30">
        <v>0.23622047244094491</v>
      </c>
      <c r="V201" s="8">
        <f t="shared" si="196"/>
        <v>114</v>
      </c>
      <c r="W201" s="8">
        <f t="shared" si="197"/>
        <v>21</v>
      </c>
      <c r="X201" s="8">
        <f t="shared" si="198"/>
        <v>0</v>
      </c>
      <c r="Y201" s="33">
        <f t="shared" si="199"/>
        <v>6</v>
      </c>
      <c r="Z201" s="28" t="s">
        <v>56</v>
      </c>
      <c r="AA201" s="28" t="s">
        <v>57</v>
      </c>
      <c r="AB201" s="28" t="s">
        <v>103</v>
      </c>
      <c r="AC201" s="31" t="s">
        <v>104</v>
      </c>
      <c r="AD201" s="50">
        <f t="shared" si="200"/>
        <v>1</v>
      </c>
      <c r="AE201" s="31"/>
      <c r="AF201" s="51">
        <v>14</v>
      </c>
      <c r="AG201" s="51">
        <f t="shared" si="228"/>
        <v>8.4</v>
      </c>
      <c r="AH201" s="51">
        <f t="shared" si="193"/>
        <v>42</v>
      </c>
      <c r="AI201" s="52" t="s">
        <v>2497</v>
      </c>
      <c r="AJ201" s="52" t="s">
        <v>2498</v>
      </c>
      <c r="AK201" s="53">
        <f t="shared" si="229"/>
        <v>4.7879999999999997E-3</v>
      </c>
      <c r="AL201" s="54">
        <f t="shared" si="230"/>
        <v>0.11904761904761904</v>
      </c>
      <c r="AM201" s="54">
        <f t="shared" si="231"/>
        <v>2.3809523809523808E-2</v>
      </c>
      <c r="AN201" s="55">
        <f t="shared" si="232"/>
        <v>5.6999999999999998E-4</v>
      </c>
      <c r="AO201" s="55">
        <f t="shared" si="233"/>
        <v>1.1399999999999999E-4</v>
      </c>
      <c r="AP201" s="53">
        <v>7.1</v>
      </c>
      <c r="AQ201" s="53">
        <f t="shared" si="201"/>
        <v>4.26</v>
      </c>
      <c r="AR201" s="53">
        <f t="shared" si="202"/>
        <v>21.299999999999997</v>
      </c>
      <c r="AS201" s="56">
        <f t="shared" si="203"/>
        <v>4.6948356807511742E-2</v>
      </c>
      <c r="AT201" s="56">
        <f t="shared" si="234"/>
        <v>0.23474178403755869</v>
      </c>
      <c r="AU201" s="56">
        <f t="shared" si="204"/>
        <v>0.176056338028169</v>
      </c>
      <c r="AV201" s="56">
        <f t="shared" si="235"/>
        <v>5.8685446009389672E-2</v>
      </c>
      <c r="AW201" s="57" t="s">
        <v>2511</v>
      </c>
      <c r="AX201" s="57" t="s">
        <v>2512</v>
      </c>
      <c r="AY201" s="57" t="s">
        <v>2513</v>
      </c>
      <c r="AZ201" s="58">
        <f t="shared" si="236"/>
        <v>4.7879999999999997E-3</v>
      </c>
      <c r="BA201" s="59">
        <f t="shared" si="240"/>
        <v>1.4049295774647887E-4</v>
      </c>
      <c r="BB201" s="59">
        <f t="shared" si="241"/>
        <v>4.2147887323943658E-4</v>
      </c>
      <c r="BC201" s="59">
        <f t="shared" si="242"/>
        <v>1.123943661971831E-4</v>
      </c>
      <c r="BD201" s="60">
        <f t="shared" si="237"/>
        <v>8.8888888888888893E-4</v>
      </c>
      <c r="BE201" s="59">
        <f t="shared" si="238"/>
        <v>8.8888888888888893E-4</v>
      </c>
      <c r="BQ201" s="61">
        <v>3000</v>
      </c>
      <c r="BR201" s="61">
        <v>1200</v>
      </c>
      <c r="BS201" s="28">
        <f t="shared" si="205"/>
        <v>2980</v>
      </c>
      <c r="BT201" s="28">
        <f t="shared" si="206"/>
        <v>1180</v>
      </c>
      <c r="BU201" s="28" t="s">
        <v>2541</v>
      </c>
      <c r="BV201" s="28">
        <f t="shared" si="207"/>
        <v>119</v>
      </c>
      <c r="BW201" s="28">
        <f t="shared" si="208"/>
        <v>26</v>
      </c>
      <c r="BX201" s="13">
        <f t="shared" si="209"/>
        <v>25.042016806722689</v>
      </c>
      <c r="BY201" s="13">
        <f t="shared" si="210"/>
        <v>25</v>
      </c>
      <c r="BZ201" s="13">
        <f t="shared" si="211"/>
        <v>45.384615384615387</v>
      </c>
      <c r="CA201" s="13">
        <f t="shared" si="212"/>
        <v>45</v>
      </c>
      <c r="CB201" s="13">
        <f t="shared" si="213"/>
        <v>1125</v>
      </c>
      <c r="CC201" s="62">
        <f t="shared" si="214"/>
        <v>8.8888888888888893E-4</v>
      </c>
      <c r="CD201" s="13">
        <f t="shared" si="215"/>
        <v>114.61538461538461</v>
      </c>
      <c r="CE201" s="13">
        <f t="shared" si="216"/>
        <v>114</v>
      </c>
      <c r="CF201" s="13">
        <f t="shared" si="217"/>
        <v>9.9159663865546221</v>
      </c>
      <c r="CG201" s="13">
        <f t="shared" si="218"/>
        <v>9</v>
      </c>
      <c r="CH201" s="28">
        <f t="shared" si="219"/>
        <v>1026</v>
      </c>
      <c r="CI201" s="62">
        <f t="shared" si="220"/>
        <v>9.7465886939571145E-4</v>
      </c>
      <c r="CJ201" s="59">
        <f t="shared" si="221"/>
        <v>8.8888888888888893E-4</v>
      </c>
      <c r="CL201" s="63">
        <v>6000</v>
      </c>
      <c r="CM201" s="63">
        <f t="shared" si="222"/>
        <v>114</v>
      </c>
      <c r="CN201" s="63">
        <f t="shared" si="223"/>
        <v>119</v>
      </c>
      <c r="CO201" s="63">
        <f t="shared" si="224"/>
        <v>50.420168067226889</v>
      </c>
      <c r="CP201" s="13">
        <f t="shared" si="225"/>
        <v>50</v>
      </c>
      <c r="CQ201" s="70">
        <f t="shared" si="226"/>
        <v>0.02</v>
      </c>
      <c r="CR201" s="69">
        <f t="shared" si="194"/>
        <v>0.02</v>
      </c>
    </row>
    <row r="202" spans="1:96" hidden="1" x14ac:dyDescent="0.25">
      <c r="A202" s="10">
        <v>3</v>
      </c>
      <c r="B202" s="8" t="s">
        <v>42</v>
      </c>
      <c r="C202" s="10" t="s">
        <v>625</v>
      </c>
      <c r="D202" s="10" t="s">
        <v>2270</v>
      </c>
      <c r="E202" s="10" t="s">
        <v>52</v>
      </c>
      <c r="F202" s="12">
        <f t="shared" si="195"/>
        <v>1</v>
      </c>
      <c r="G202" s="10">
        <v>1</v>
      </c>
      <c r="H202" s="10">
        <f t="shared" ref="H202:H208" si="243">G202*$H$4</f>
        <v>1</v>
      </c>
      <c r="I202" s="10">
        <v>7</v>
      </c>
      <c r="J202" s="8" t="s">
        <v>626</v>
      </c>
      <c r="K202" s="8" t="s">
        <v>34</v>
      </c>
      <c r="L202" s="10">
        <v>0</v>
      </c>
      <c r="M202" s="8" t="s">
        <v>35</v>
      </c>
      <c r="N202" s="10" t="s">
        <v>627</v>
      </c>
      <c r="O202" s="28" t="s">
        <v>41</v>
      </c>
      <c r="P202" s="28" t="s">
        <v>41</v>
      </c>
      <c r="Q202" s="28" t="s">
        <v>611</v>
      </c>
      <c r="R202" s="30">
        <v>52.25</v>
      </c>
      <c r="S202" s="30">
        <v>2</v>
      </c>
      <c r="T202" s="30">
        <v>2</v>
      </c>
      <c r="U202" s="30">
        <v>9.8000000000000004E-2</v>
      </c>
      <c r="V202" s="8">
        <f t="shared" si="196"/>
        <v>1327.1499999999999</v>
      </c>
      <c r="W202" s="8">
        <f t="shared" si="197"/>
        <v>50.8</v>
      </c>
      <c r="X202" s="8">
        <f t="shared" si="198"/>
        <v>50.8</v>
      </c>
      <c r="Y202" s="33">
        <f t="shared" si="199"/>
        <v>2.4891999999999999</v>
      </c>
      <c r="Z202" s="28" t="s">
        <v>602</v>
      </c>
      <c r="AA202" s="28" t="s">
        <v>603</v>
      </c>
      <c r="AB202" s="61" t="s">
        <v>611</v>
      </c>
      <c r="AC202" s="31" t="s">
        <v>612</v>
      </c>
      <c r="AD202" s="50">
        <f t="shared" si="200"/>
        <v>1</v>
      </c>
      <c r="AE202" s="31"/>
      <c r="AF202" s="51">
        <v>14</v>
      </c>
      <c r="AG202" s="51">
        <f t="shared" si="228"/>
        <v>8.4</v>
      </c>
      <c r="AH202" s="51">
        <f t="shared" si="193"/>
        <v>42</v>
      </c>
      <c r="AI202" s="52" t="s">
        <v>2497</v>
      </c>
      <c r="AJ202" s="52" t="s">
        <v>2498</v>
      </c>
      <c r="AK202" s="53">
        <f t="shared" si="229"/>
        <v>0.13483843999999998</v>
      </c>
      <c r="AL202" s="54">
        <f t="shared" si="230"/>
        <v>0.11904761904761904</v>
      </c>
      <c r="AM202" s="54">
        <f t="shared" si="231"/>
        <v>2.3809523809523808E-2</v>
      </c>
      <c r="AN202" s="55">
        <f t="shared" si="232"/>
        <v>1.6052195238095233E-2</v>
      </c>
      <c r="AO202" s="55">
        <f t="shared" si="233"/>
        <v>3.210439047619047E-3</v>
      </c>
      <c r="AP202" s="53">
        <v>7.1</v>
      </c>
      <c r="AQ202" s="53">
        <f t="shared" si="201"/>
        <v>4.26</v>
      </c>
      <c r="AR202" s="53">
        <f t="shared" si="202"/>
        <v>21.299999999999997</v>
      </c>
      <c r="AS202" s="56">
        <f t="shared" si="203"/>
        <v>4.6948356807511742E-2</v>
      </c>
      <c r="AT202" s="56">
        <f t="shared" si="234"/>
        <v>0.23474178403755869</v>
      </c>
      <c r="AU202" s="56">
        <f t="shared" si="204"/>
        <v>0.176056338028169</v>
      </c>
      <c r="AV202" s="56">
        <f t="shared" si="235"/>
        <v>5.8685446009389672E-2</v>
      </c>
      <c r="AW202" s="57" t="s">
        <v>2511</v>
      </c>
      <c r="AX202" s="57" t="s">
        <v>2512</v>
      </c>
      <c r="AY202" s="57" t="s">
        <v>2513</v>
      </c>
      <c r="AZ202" s="58">
        <f t="shared" si="236"/>
        <v>0.13483843999999998</v>
      </c>
      <c r="BA202" s="59">
        <f t="shared" si="240"/>
        <v>3.9565269953051639E-3</v>
      </c>
      <c r="BB202" s="59">
        <f t="shared" si="241"/>
        <v>1.1869580985915489E-2</v>
      </c>
      <c r="BC202" s="59">
        <f t="shared" si="242"/>
        <v>3.1652215962441311E-3</v>
      </c>
      <c r="BD202" s="60">
        <f t="shared" si="237"/>
        <v>2.3809523809523808E-2</v>
      </c>
      <c r="BE202" s="59">
        <f t="shared" si="238"/>
        <v>2.3809523809523808E-2</v>
      </c>
      <c r="BQ202" s="61">
        <v>3000</v>
      </c>
      <c r="BR202" s="61">
        <v>1200</v>
      </c>
      <c r="BS202" s="28">
        <f t="shared" si="205"/>
        <v>2980</v>
      </c>
      <c r="BT202" s="28">
        <f t="shared" si="206"/>
        <v>1180</v>
      </c>
      <c r="BU202" s="28" t="s">
        <v>2541</v>
      </c>
      <c r="BV202" s="28">
        <f t="shared" si="207"/>
        <v>1332.1499999999999</v>
      </c>
      <c r="BW202" s="28">
        <f t="shared" si="208"/>
        <v>55.8</v>
      </c>
      <c r="BX202" s="13">
        <f t="shared" si="209"/>
        <v>2.236985324475472</v>
      </c>
      <c r="BY202" s="13">
        <f t="shared" si="210"/>
        <v>2</v>
      </c>
      <c r="BZ202" s="13">
        <f t="shared" si="211"/>
        <v>21.146953405017921</v>
      </c>
      <c r="CA202" s="13">
        <f t="shared" si="212"/>
        <v>21</v>
      </c>
      <c r="CB202" s="13">
        <f t="shared" si="213"/>
        <v>42</v>
      </c>
      <c r="CC202" s="62">
        <f t="shared" si="214"/>
        <v>2.3809523809523808E-2</v>
      </c>
      <c r="CD202" s="13">
        <f t="shared" si="215"/>
        <v>53.405017921146957</v>
      </c>
      <c r="CE202" s="13">
        <f t="shared" si="216"/>
        <v>53</v>
      </c>
      <c r="CF202" s="13">
        <f t="shared" si="217"/>
        <v>0.88578613519498561</v>
      </c>
      <c r="CG202" s="13">
        <f t="shared" si="218"/>
        <v>0</v>
      </c>
      <c r="CH202" s="28">
        <f t="shared" si="219"/>
        <v>0</v>
      </c>
      <c r="CI202" s="62">
        <f t="shared" si="220"/>
        <v>1</v>
      </c>
      <c r="CJ202" s="59">
        <f t="shared" si="221"/>
        <v>2.3809523809523808E-2</v>
      </c>
      <c r="CL202" s="63">
        <v>6000</v>
      </c>
      <c r="CM202" s="63">
        <f t="shared" si="222"/>
        <v>1327.1499999999999</v>
      </c>
      <c r="CN202" s="63">
        <f t="shared" si="223"/>
        <v>1332.1499999999999</v>
      </c>
      <c r="CO202" s="63">
        <f t="shared" si="224"/>
        <v>4.5039972976016216</v>
      </c>
      <c r="CP202" s="13">
        <f t="shared" si="225"/>
        <v>4</v>
      </c>
      <c r="CQ202" s="70">
        <f t="shared" si="226"/>
        <v>0.25</v>
      </c>
      <c r="CR202" s="69">
        <f t="shared" si="194"/>
        <v>0.25</v>
      </c>
    </row>
    <row r="203" spans="1:96" hidden="1" x14ac:dyDescent="0.25">
      <c r="A203" s="10">
        <v>3</v>
      </c>
      <c r="B203" s="8" t="s">
        <v>42</v>
      </c>
      <c r="C203" s="10" t="s">
        <v>628</v>
      </c>
      <c r="D203" s="10" t="s">
        <v>2270</v>
      </c>
      <c r="E203" s="10" t="s">
        <v>52</v>
      </c>
      <c r="F203" s="12">
        <f t="shared" si="195"/>
        <v>1</v>
      </c>
      <c r="G203" s="10">
        <v>1</v>
      </c>
      <c r="H203" s="10">
        <f t="shared" si="243"/>
        <v>1</v>
      </c>
      <c r="I203" s="10">
        <v>8</v>
      </c>
      <c r="J203" s="8" t="s">
        <v>626</v>
      </c>
      <c r="K203" s="8" t="s">
        <v>34</v>
      </c>
      <c r="L203" s="10">
        <v>0</v>
      </c>
      <c r="M203" s="8" t="s">
        <v>35</v>
      </c>
      <c r="N203" s="10" t="s">
        <v>629</v>
      </c>
      <c r="O203" s="28" t="s">
        <v>41</v>
      </c>
      <c r="P203" s="28" t="s">
        <v>41</v>
      </c>
      <c r="Q203" s="28" t="s">
        <v>611</v>
      </c>
      <c r="R203" s="30">
        <v>57.75</v>
      </c>
      <c r="S203" s="30">
        <v>2</v>
      </c>
      <c r="T203" s="30">
        <v>2</v>
      </c>
      <c r="U203" s="30">
        <v>9.8000000000000004E-2</v>
      </c>
      <c r="V203" s="8">
        <f t="shared" si="196"/>
        <v>1466.85</v>
      </c>
      <c r="W203" s="8">
        <f t="shared" si="197"/>
        <v>50.8</v>
      </c>
      <c r="X203" s="8">
        <f t="shared" si="198"/>
        <v>50.8</v>
      </c>
      <c r="Y203" s="33">
        <f t="shared" si="199"/>
        <v>2.4891999999999999</v>
      </c>
      <c r="Z203" s="28" t="s">
        <v>602</v>
      </c>
      <c r="AA203" s="28" t="s">
        <v>603</v>
      </c>
      <c r="AB203" s="61" t="s">
        <v>611</v>
      </c>
      <c r="AC203" s="31" t="s">
        <v>612</v>
      </c>
      <c r="AD203" s="50">
        <f t="shared" si="200"/>
        <v>1</v>
      </c>
      <c r="AE203" s="31"/>
      <c r="AF203" s="51">
        <v>14</v>
      </c>
      <c r="AG203" s="51">
        <f t="shared" si="228"/>
        <v>8.4</v>
      </c>
      <c r="AH203" s="51">
        <f t="shared" si="193"/>
        <v>42</v>
      </c>
      <c r="AI203" s="52" t="s">
        <v>2497</v>
      </c>
      <c r="AJ203" s="52" t="s">
        <v>2498</v>
      </c>
      <c r="AK203" s="53">
        <f t="shared" si="229"/>
        <v>0.14903195999999999</v>
      </c>
      <c r="AL203" s="54">
        <f t="shared" si="230"/>
        <v>0.11904761904761904</v>
      </c>
      <c r="AM203" s="54">
        <f t="shared" si="231"/>
        <v>2.3809523809523808E-2</v>
      </c>
      <c r="AN203" s="55">
        <f t="shared" si="232"/>
        <v>1.7741899999999998E-2</v>
      </c>
      <c r="AO203" s="55">
        <f t="shared" si="233"/>
        <v>3.5483799999999994E-3</v>
      </c>
      <c r="AP203" s="53">
        <v>7.1</v>
      </c>
      <c r="AQ203" s="53">
        <f t="shared" si="201"/>
        <v>4.26</v>
      </c>
      <c r="AR203" s="53">
        <f t="shared" si="202"/>
        <v>21.299999999999997</v>
      </c>
      <c r="AS203" s="56">
        <f t="shared" si="203"/>
        <v>4.6948356807511742E-2</v>
      </c>
      <c r="AT203" s="56">
        <f t="shared" si="234"/>
        <v>0.23474178403755869</v>
      </c>
      <c r="AU203" s="56">
        <f t="shared" si="204"/>
        <v>0.176056338028169</v>
      </c>
      <c r="AV203" s="56">
        <f t="shared" si="235"/>
        <v>5.8685446009389672E-2</v>
      </c>
      <c r="AW203" s="57" t="s">
        <v>2511</v>
      </c>
      <c r="AX203" s="57" t="s">
        <v>2512</v>
      </c>
      <c r="AY203" s="57" t="s">
        <v>2513</v>
      </c>
      <c r="AZ203" s="58">
        <f t="shared" si="236"/>
        <v>0.14903195999999999</v>
      </c>
      <c r="BA203" s="59">
        <f t="shared" si="240"/>
        <v>4.3730035211267601E-3</v>
      </c>
      <c r="BB203" s="59">
        <f t="shared" si="241"/>
        <v>1.311901056338028E-2</v>
      </c>
      <c r="BC203" s="59">
        <f t="shared" si="242"/>
        <v>3.4984028169014088E-3</v>
      </c>
      <c r="BD203" s="60">
        <f t="shared" si="237"/>
        <v>2.3809523809523808E-2</v>
      </c>
      <c r="BE203" s="59">
        <f t="shared" si="238"/>
        <v>2.3809523809523808E-2</v>
      </c>
      <c r="BQ203" s="61">
        <v>3000</v>
      </c>
      <c r="BR203" s="61">
        <v>1200</v>
      </c>
      <c r="BS203" s="28">
        <f t="shared" si="205"/>
        <v>2980</v>
      </c>
      <c r="BT203" s="28">
        <f t="shared" si="206"/>
        <v>1180</v>
      </c>
      <c r="BU203" s="28" t="s">
        <v>2541</v>
      </c>
      <c r="BV203" s="28">
        <f t="shared" si="207"/>
        <v>1471.85</v>
      </c>
      <c r="BW203" s="28">
        <f t="shared" si="208"/>
        <v>55.8</v>
      </c>
      <c r="BX203" s="13">
        <f t="shared" si="209"/>
        <v>2.0246628392838946</v>
      </c>
      <c r="BY203" s="13">
        <f t="shared" si="210"/>
        <v>2</v>
      </c>
      <c r="BZ203" s="13">
        <f t="shared" si="211"/>
        <v>21.146953405017921</v>
      </c>
      <c r="CA203" s="13">
        <f t="shared" si="212"/>
        <v>21</v>
      </c>
      <c r="CB203" s="13">
        <f t="shared" si="213"/>
        <v>42</v>
      </c>
      <c r="CC203" s="62">
        <f t="shared" si="214"/>
        <v>2.3809523809523808E-2</v>
      </c>
      <c r="CD203" s="13">
        <f t="shared" si="215"/>
        <v>53.405017921146957</v>
      </c>
      <c r="CE203" s="13">
        <f t="shared" si="216"/>
        <v>53</v>
      </c>
      <c r="CF203" s="13">
        <f t="shared" si="217"/>
        <v>0.80171213099160921</v>
      </c>
      <c r="CG203" s="13">
        <f t="shared" si="218"/>
        <v>0</v>
      </c>
      <c r="CH203" s="28">
        <f t="shared" si="219"/>
        <v>0</v>
      </c>
      <c r="CI203" s="62">
        <f t="shared" si="220"/>
        <v>1</v>
      </c>
      <c r="CJ203" s="59">
        <f t="shared" si="221"/>
        <v>2.3809523809523808E-2</v>
      </c>
      <c r="CL203" s="63">
        <v>6000</v>
      </c>
      <c r="CM203" s="63">
        <f t="shared" si="222"/>
        <v>1466.85</v>
      </c>
      <c r="CN203" s="63">
        <f t="shared" si="223"/>
        <v>1471.85</v>
      </c>
      <c r="CO203" s="63">
        <f t="shared" si="224"/>
        <v>4.0765023609742848</v>
      </c>
      <c r="CP203" s="13">
        <f t="shared" si="225"/>
        <v>4</v>
      </c>
      <c r="CQ203" s="70">
        <f t="shared" si="226"/>
        <v>0.25</v>
      </c>
      <c r="CR203" s="69">
        <f t="shared" si="194"/>
        <v>0.25</v>
      </c>
    </row>
    <row r="204" spans="1:96" hidden="1" x14ac:dyDescent="0.25">
      <c r="A204" s="10">
        <v>3</v>
      </c>
      <c r="B204" s="8" t="s">
        <v>42</v>
      </c>
      <c r="C204" s="10" t="s">
        <v>630</v>
      </c>
      <c r="D204" s="10" t="s">
        <v>2270</v>
      </c>
      <c r="E204" s="10" t="s">
        <v>52</v>
      </c>
      <c r="F204" s="12">
        <f t="shared" si="195"/>
        <v>1</v>
      </c>
      <c r="G204" s="10">
        <v>2</v>
      </c>
      <c r="H204" s="10">
        <f t="shared" si="243"/>
        <v>2</v>
      </c>
      <c r="I204" s="10">
        <v>9</v>
      </c>
      <c r="J204" s="8" t="s">
        <v>631</v>
      </c>
      <c r="K204" s="8" t="s">
        <v>34</v>
      </c>
      <c r="L204" s="10">
        <v>0</v>
      </c>
      <c r="M204" s="8" t="s">
        <v>35</v>
      </c>
      <c r="N204" s="10" t="s">
        <v>632</v>
      </c>
      <c r="O204" s="28" t="s">
        <v>41</v>
      </c>
      <c r="P204" s="28" t="s">
        <v>41</v>
      </c>
      <c r="Q204" s="28" t="s">
        <v>124</v>
      </c>
      <c r="R204" s="30">
        <v>4.0999999999999996</v>
      </c>
      <c r="S204" s="30">
        <v>1.224</v>
      </c>
      <c r="T204" s="30"/>
      <c r="U204" s="30">
        <v>9.8000000000000004E-2</v>
      </c>
      <c r="V204" s="8">
        <f t="shared" si="196"/>
        <v>104.13999999999999</v>
      </c>
      <c r="W204" s="8">
        <f t="shared" si="197"/>
        <v>31.089599999999997</v>
      </c>
      <c r="X204" s="8">
        <f t="shared" si="198"/>
        <v>0</v>
      </c>
      <c r="Y204" s="33">
        <f t="shared" si="199"/>
        <v>2.4891999999999999</v>
      </c>
      <c r="Z204" s="28" t="s">
        <v>56</v>
      </c>
      <c r="AA204" s="28" t="s">
        <v>57</v>
      </c>
      <c r="AB204" s="61" t="s">
        <v>124</v>
      </c>
      <c r="AC204" s="31" t="s">
        <v>125</v>
      </c>
      <c r="AD204" s="50">
        <f t="shared" si="200"/>
        <v>2</v>
      </c>
      <c r="AE204" s="31"/>
      <c r="AF204" s="51">
        <v>14</v>
      </c>
      <c r="AG204" s="51">
        <f t="shared" si="228"/>
        <v>8.4</v>
      </c>
      <c r="AH204" s="51">
        <f t="shared" si="193"/>
        <v>42</v>
      </c>
      <c r="AI204" s="52" t="s">
        <v>2497</v>
      </c>
      <c r="AJ204" s="52" t="s">
        <v>2498</v>
      </c>
      <c r="AK204" s="53">
        <f t="shared" si="229"/>
        <v>6.475341887999999E-3</v>
      </c>
      <c r="AL204" s="54">
        <f t="shared" si="230"/>
        <v>0.11904761904761904</v>
      </c>
      <c r="AM204" s="54">
        <f t="shared" si="231"/>
        <v>2.3809523809523808E-2</v>
      </c>
      <c r="AN204" s="55">
        <f t="shared" si="232"/>
        <v>1.5417480685714282E-3</v>
      </c>
      <c r="AO204" s="55">
        <f t="shared" si="233"/>
        <v>3.0834961371428563E-4</v>
      </c>
      <c r="AP204" s="53">
        <v>7.1</v>
      </c>
      <c r="AQ204" s="53">
        <f t="shared" si="201"/>
        <v>4.26</v>
      </c>
      <c r="AR204" s="53">
        <f t="shared" si="202"/>
        <v>21.299999999999997</v>
      </c>
      <c r="AS204" s="56">
        <f t="shared" si="203"/>
        <v>4.6948356807511742E-2</v>
      </c>
      <c r="AT204" s="56">
        <f t="shared" si="234"/>
        <v>0.23474178403755869</v>
      </c>
      <c r="AU204" s="56">
        <f t="shared" si="204"/>
        <v>0.176056338028169</v>
      </c>
      <c r="AV204" s="56">
        <f t="shared" si="235"/>
        <v>5.8685446009389672E-2</v>
      </c>
      <c r="AW204" s="57" t="s">
        <v>2511</v>
      </c>
      <c r="AX204" s="57" t="s">
        <v>2512</v>
      </c>
      <c r="AY204" s="57" t="s">
        <v>2513</v>
      </c>
      <c r="AZ204" s="58">
        <f t="shared" si="236"/>
        <v>6.475341887999999E-3</v>
      </c>
      <c r="BA204" s="59">
        <f t="shared" si="240"/>
        <v>3.8000832676056331E-4</v>
      </c>
      <c r="BB204" s="59">
        <f t="shared" si="241"/>
        <v>1.1400249802816899E-3</v>
      </c>
      <c r="BC204" s="59">
        <f t="shared" si="242"/>
        <v>3.0400666140845069E-4</v>
      </c>
      <c r="BD204" s="60">
        <f t="shared" si="237"/>
        <v>1.1574074074074073E-3</v>
      </c>
      <c r="BE204" s="59">
        <f t="shared" si="238"/>
        <v>2.3148148148148147E-3</v>
      </c>
      <c r="BQ204" s="61">
        <v>3000</v>
      </c>
      <c r="BR204" s="61">
        <v>1200</v>
      </c>
      <c r="BS204" s="28">
        <f t="shared" si="205"/>
        <v>2980</v>
      </c>
      <c r="BT204" s="28">
        <f t="shared" si="206"/>
        <v>1180</v>
      </c>
      <c r="BU204" s="28" t="s">
        <v>2541</v>
      </c>
      <c r="BV204" s="28">
        <f t="shared" si="207"/>
        <v>109.13999999999999</v>
      </c>
      <c r="BW204" s="28">
        <f t="shared" si="208"/>
        <v>36.089599999999997</v>
      </c>
      <c r="BX204" s="13">
        <f t="shared" si="209"/>
        <v>27.304379695803558</v>
      </c>
      <c r="BY204" s="13">
        <f t="shared" si="210"/>
        <v>27</v>
      </c>
      <c r="BZ204" s="13">
        <f t="shared" si="211"/>
        <v>32.696400070934565</v>
      </c>
      <c r="CA204" s="13">
        <f t="shared" si="212"/>
        <v>32</v>
      </c>
      <c r="CB204" s="13">
        <f t="shared" si="213"/>
        <v>864</v>
      </c>
      <c r="CC204" s="62">
        <f t="shared" si="214"/>
        <v>1.1574074074074073E-3</v>
      </c>
      <c r="CD204" s="13">
        <f t="shared" si="215"/>
        <v>82.572264585919498</v>
      </c>
      <c r="CE204" s="13">
        <f t="shared" si="216"/>
        <v>82</v>
      </c>
      <c r="CF204" s="13">
        <f t="shared" si="217"/>
        <v>10.811801356056442</v>
      </c>
      <c r="CG204" s="13">
        <f t="shared" si="218"/>
        <v>10</v>
      </c>
      <c r="CH204" s="28">
        <f t="shared" si="219"/>
        <v>820</v>
      </c>
      <c r="CI204" s="62">
        <f t="shared" si="220"/>
        <v>1.2195121951219512E-3</v>
      </c>
      <c r="CJ204" s="59">
        <f t="shared" si="221"/>
        <v>1.1574074074074073E-3</v>
      </c>
      <c r="CL204" s="63">
        <v>6000</v>
      </c>
      <c r="CM204" s="63">
        <f t="shared" si="222"/>
        <v>104.13999999999999</v>
      </c>
      <c r="CN204" s="63">
        <f t="shared" si="223"/>
        <v>109.13999999999999</v>
      </c>
      <c r="CO204" s="63">
        <f t="shared" si="224"/>
        <v>54.975261132490388</v>
      </c>
      <c r="CP204" s="13">
        <f t="shared" si="225"/>
        <v>54</v>
      </c>
      <c r="CQ204" s="70">
        <f t="shared" si="226"/>
        <v>1.8518518518518517E-2</v>
      </c>
      <c r="CR204" s="69">
        <f t="shared" si="194"/>
        <v>3.7037037037037035E-2</v>
      </c>
    </row>
    <row r="205" spans="1:96" hidden="1" x14ac:dyDescent="0.25">
      <c r="A205" s="10">
        <v>3</v>
      </c>
      <c r="B205" s="8" t="s">
        <v>42</v>
      </c>
      <c r="C205" s="10" t="s">
        <v>633</v>
      </c>
      <c r="D205" s="10" t="s">
        <v>2270</v>
      </c>
      <c r="E205" s="10" t="s">
        <v>52</v>
      </c>
      <c r="F205" s="12">
        <f t="shared" si="195"/>
        <v>1</v>
      </c>
      <c r="G205" s="10">
        <v>1</v>
      </c>
      <c r="H205" s="10">
        <f t="shared" si="243"/>
        <v>1</v>
      </c>
      <c r="I205" s="10">
        <v>10</v>
      </c>
      <c r="J205" s="8" t="s">
        <v>634</v>
      </c>
      <c r="K205" s="8" t="s">
        <v>34</v>
      </c>
      <c r="L205" s="10" t="s">
        <v>110</v>
      </c>
      <c r="M205" s="8" t="s">
        <v>35</v>
      </c>
      <c r="N205" s="10" t="s">
        <v>635</v>
      </c>
      <c r="O205" s="28" t="s">
        <v>41</v>
      </c>
      <c r="P205" s="28" t="s">
        <v>41</v>
      </c>
      <c r="Q205" s="28" t="s">
        <v>124</v>
      </c>
      <c r="R205" s="30">
        <v>2.004</v>
      </c>
      <c r="S205" s="30">
        <v>1.5189999999999999</v>
      </c>
      <c r="T205" s="30"/>
      <c r="U205" s="30">
        <v>9.8000000000000004E-2</v>
      </c>
      <c r="V205" s="8">
        <f t="shared" si="196"/>
        <v>50.901599999999995</v>
      </c>
      <c r="W205" s="8">
        <f t="shared" si="197"/>
        <v>38.582599999999992</v>
      </c>
      <c r="X205" s="8">
        <f t="shared" si="198"/>
        <v>0</v>
      </c>
      <c r="Y205" s="33">
        <f t="shared" si="199"/>
        <v>2.4891999999999999</v>
      </c>
      <c r="Z205" s="28" t="s">
        <v>56</v>
      </c>
      <c r="AA205" s="28" t="s">
        <v>57</v>
      </c>
      <c r="AB205" s="61" t="s">
        <v>124</v>
      </c>
      <c r="AC205" s="31" t="s">
        <v>125</v>
      </c>
      <c r="AD205" s="50">
        <f t="shared" si="200"/>
        <v>1</v>
      </c>
      <c r="AE205" s="31"/>
      <c r="AF205" s="51">
        <v>14</v>
      </c>
      <c r="AG205" s="51">
        <f t="shared" si="228"/>
        <v>8.4</v>
      </c>
      <c r="AH205" s="51">
        <f t="shared" si="193"/>
        <v>42</v>
      </c>
      <c r="AI205" s="52" t="s">
        <v>2497</v>
      </c>
      <c r="AJ205" s="52" t="s">
        <v>2498</v>
      </c>
      <c r="AK205" s="53">
        <f t="shared" si="229"/>
        <v>3.9278321443199987E-3</v>
      </c>
      <c r="AL205" s="54">
        <f t="shared" si="230"/>
        <v>0.11904761904761904</v>
      </c>
      <c r="AM205" s="54">
        <f t="shared" si="231"/>
        <v>2.3809523809523808E-2</v>
      </c>
      <c r="AN205" s="55">
        <f t="shared" si="232"/>
        <v>4.675990647999998E-4</v>
      </c>
      <c r="AO205" s="55">
        <f t="shared" si="233"/>
        <v>9.3519812959999961E-5</v>
      </c>
      <c r="AP205" s="53">
        <v>7.1</v>
      </c>
      <c r="AQ205" s="53">
        <f t="shared" si="201"/>
        <v>4.26</v>
      </c>
      <c r="AR205" s="53">
        <f t="shared" si="202"/>
        <v>21.299999999999997</v>
      </c>
      <c r="AS205" s="56">
        <f t="shared" si="203"/>
        <v>4.6948356807511742E-2</v>
      </c>
      <c r="AT205" s="56">
        <f t="shared" si="234"/>
        <v>0.23474178403755869</v>
      </c>
      <c r="AU205" s="56">
        <f t="shared" si="204"/>
        <v>0.176056338028169</v>
      </c>
      <c r="AV205" s="56">
        <f t="shared" si="235"/>
        <v>5.8685446009389672E-2</v>
      </c>
      <c r="AW205" s="57" t="s">
        <v>2511</v>
      </c>
      <c r="AX205" s="57" t="s">
        <v>2512</v>
      </c>
      <c r="AY205" s="57" t="s">
        <v>2513</v>
      </c>
      <c r="AZ205" s="58">
        <f t="shared" si="236"/>
        <v>3.9278321443199987E-3</v>
      </c>
      <c r="BA205" s="59">
        <f t="shared" si="240"/>
        <v>1.1525329061971828E-4</v>
      </c>
      <c r="BB205" s="59">
        <f t="shared" si="241"/>
        <v>3.4575987185915481E-4</v>
      </c>
      <c r="BC205" s="59">
        <f t="shared" si="242"/>
        <v>9.2202632495774623E-5</v>
      </c>
      <c r="BD205" s="60">
        <f t="shared" si="237"/>
        <v>6.9881201956673651E-4</v>
      </c>
      <c r="BE205" s="59">
        <f t="shared" si="238"/>
        <v>6.9881201956673651E-4</v>
      </c>
      <c r="BQ205" s="61">
        <v>3000</v>
      </c>
      <c r="BR205" s="61">
        <v>1200</v>
      </c>
      <c r="BS205" s="28">
        <f t="shared" si="205"/>
        <v>2980</v>
      </c>
      <c r="BT205" s="28">
        <f t="shared" si="206"/>
        <v>1180</v>
      </c>
      <c r="BU205" s="28" t="s">
        <v>2541</v>
      </c>
      <c r="BV205" s="28">
        <f t="shared" si="207"/>
        <v>55.901599999999995</v>
      </c>
      <c r="BW205" s="28">
        <f t="shared" si="208"/>
        <v>43.582599999999992</v>
      </c>
      <c r="BX205" s="13">
        <f t="shared" si="209"/>
        <v>53.307955407358648</v>
      </c>
      <c r="BY205" s="13">
        <f t="shared" si="210"/>
        <v>53</v>
      </c>
      <c r="BZ205" s="13">
        <f t="shared" si="211"/>
        <v>27.075025354155102</v>
      </c>
      <c r="CA205" s="13">
        <f t="shared" si="212"/>
        <v>27</v>
      </c>
      <c r="CB205" s="13">
        <f t="shared" si="213"/>
        <v>1431</v>
      </c>
      <c r="CC205" s="62">
        <f t="shared" si="214"/>
        <v>6.9881201956673651E-4</v>
      </c>
      <c r="CD205" s="13">
        <f t="shared" si="215"/>
        <v>68.375911487612044</v>
      </c>
      <c r="CE205" s="13">
        <f t="shared" si="216"/>
        <v>68</v>
      </c>
      <c r="CF205" s="13">
        <f t="shared" si="217"/>
        <v>21.10851925526282</v>
      </c>
      <c r="CG205" s="13">
        <f t="shared" si="218"/>
        <v>21</v>
      </c>
      <c r="CH205" s="28">
        <f t="shared" si="219"/>
        <v>1428</v>
      </c>
      <c r="CI205" s="62">
        <f t="shared" si="220"/>
        <v>7.0028011204481793E-4</v>
      </c>
      <c r="CJ205" s="59">
        <f t="shared" si="221"/>
        <v>6.9881201956673651E-4</v>
      </c>
      <c r="CL205" s="63">
        <v>6000</v>
      </c>
      <c r="CM205" s="63">
        <f t="shared" si="222"/>
        <v>50.901599999999995</v>
      </c>
      <c r="CN205" s="63">
        <f t="shared" si="223"/>
        <v>55.901599999999995</v>
      </c>
      <c r="CO205" s="63">
        <f t="shared" si="224"/>
        <v>107.33145384031943</v>
      </c>
      <c r="CP205" s="13">
        <f t="shared" si="225"/>
        <v>107</v>
      </c>
      <c r="CQ205" s="70">
        <f t="shared" si="226"/>
        <v>9.3457943925233638E-3</v>
      </c>
      <c r="CR205" s="69">
        <f t="shared" si="194"/>
        <v>9.3457943925233638E-3</v>
      </c>
    </row>
    <row r="206" spans="1:96" hidden="1" x14ac:dyDescent="0.25">
      <c r="A206" s="10">
        <v>3</v>
      </c>
      <c r="B206" s="8" t="s">
        <v>42</v>
      </c>
      <c r="C206" s="10" t="s">
        <v>636</v>
      </c>
      <c r="D206" s="10" t="s">
        <v>2270</v>
      </c>
      <c r="E206" s="10" t="s">
        <v>52</v>
      </c>
      <c r="F206" s="12">
        <f t="shared" si="195"/>
        <v>1</v>
      </c>
      <c r="G206" s="10">
        <v>1</v>
      </c>
      <c r="H206" s="10">
        <f t="shared" si="243"/>
        <v>1</v>
      </c>
      <c r="I206" s="10">
        <v>11</v>
      </c>
      <c r="J206" s="8" t="s">
        <v>119</v>
      </c>
      <c r="K206" s="8" t="s">
        <v>34</v>
      </c>
      <c r="L206" s="10">
        <v>0</v>
      </c>
      <c r="M206" s="8" t="s">
        <v>35</v>
      </c>
      <c r="N206" s="10" t="s">
        <v>637</v>
      </c>
      <c r="O206" s="28" t="s">
        <v>41</v>
      </c>
      <c r="P206" s="28" t="s">
        <v>41</v>
      </c>
      <c r="Q206" s="28" t="s">
        <v>124</v>
      </c>
      <c r="R206" s="30">
        <v>6.2549999999999999</v>
      </c>
      <c r="S206" s="30">
        <v>5.9050000000000002</v>
      </c>
      <c r="T206" s="30"/>
      <c r="U206" s="30">
        <v>9.8000000000000004E-2</v>
      </c>
      <c r="V206" s="8">
        <f t="shared" si="196"/>
        <v>158.87699999999998</v>
      </c>
      <c r="W206" s="8">
        <f t="shared" si="197"/>
        <v>149.98699999999999</v>
      </c>
      <c r="X206" s="8">
        <f t="shared" si="198"/>
        <v>0</v>
      </c>
      <c r="Y206" s="33">
        <f t="shared" si="199"/>
        <v>2.4891999999999999</v>
      </c>
      <c r="Z206" s="28" t="s">
        <v>56</v>
      </c>
      <c r="AA206" s="28" t="s">
        <v>57</v>
      </c>
      <c r="AB206" s="61" t="s">
        <v>124</v>
      </c>
      <c r="AC206" s="31" t="s">
        <v>125</v>
      </c>
      <c r="AD206" s="50">
        <f t="shared" si="200"/>
        <v>1</v>
      </c>
      <c r="AE206" s="31"/>
      <c r="AF206" s="51">
        <v>14</v>
      </c>
      <c r="AG206" s="51">
        <f t="shared" si="228"/>
        <v>8.4</v>
      </c>
      <c r="AH206" s="51">
        <f t="shared" si="193"/>
        <v>42</v>
      </c>
      <c r="AI206" s="52" t="s">
        <v>2497</v>
      </c>
      <c r="AJ206" s="52" t="s">
        <v>2498</v>
      </c>
      <c r="AK206" s="53">
        <f t="shared" si="229"/>
        <v>4.7658969197999994E-2</v>
      </c>
      <c r="AL206" s="54">
        <f t="shared" si="230"/>
        <v>0.11904761904761904</v>
      </c>
      <c r="AM206" s="54">
        <f t="shared" si="231"/>
        <v>2.3809523809523808E-2</v>
      </c>
      <c r="AN206" s="55">
        <f t="shared" si="232"/>
        <v>5.6736868092857129E-3</v>
      </c>
      <c r="AO206" s="55">
        <f t="shared" si="233"/>
        <v>1.1347373618571426E-3</v>
      </c>
      <c r="AP206" s="53">
        <v>7.1</v>
      </c>
      <c r="AQ206" s="53">
        <f t="shared" si="201"/>
        <v>4.26</v>
      </c>
      <c r="AR206" s="53">
        <f t="shared" si="202"/>
        <v>21.299999999999997</v>
      </c>
      <c r="AS206" s="56">
        <f t="shared" si="203"/>
        <v>4.6948356807511742E-2</v>
      </c>
      <c r="AT206" s="56">
        <f t="shared" si="234"/>
        <v>0.23474178403755869</v>
      </c>
      <c r="AU206" s="56">
        <f t="shared" si="204"/>
        <v>0.176056338028169</v>
      </c>
      <c r="AV206" s="56">
        <f t="shared" si="235"/>
        <v>5.8685446009389672E-2</v>
      </c>
      <c r="AW206" s="57" t="s">
        <v>2511</v>
      </c>
      <c r="AX206" s="57" t="s">
        <v>2512</v>
      </c>
      <c r="AY206" s="57" t="s">
        <v>2513</v>
      </c>
      <c r="AZ206" s="58">
        <f t="shared" si="236"/>
        <v>4.7658969197999994E-2</v>
      </c>
      <c r="BA206" s="59">
        <f t="shared" si="240"/>
        <v>1.3984439318661969E-3</v>
      </c>
      <c r="BB206" s="59">
        <f t="shared" si="241"/>
        <v>4.1953317955985905E-3</v>
      </c>
      <c r="BC206" s="59">
        <f t="shared" si="242"/>
        <v>1.1187551454929577E-3</v>
      </c>
      <c r="BD206" s="60">
        <f t="shared" si="237"/>
        <v>7.5187969924812026E-3</v>
      </c>
      <c r="BE206" s="59">
        <f t="shared" si="238"/>
        <v>7.5187969924812026E-3</v>
      </c>
      <c r="BQ206" s="61">
        <v>3000</v>
      </c>
      <c r="BR206" s="61">
        <v>1200</v>
      </c>
      <c r="BS206" s="28">
        <f t="shared" si="205"/>
        <v>2980</v>
      </c>
      <c r="BT206" s="28">
        <f t="shared" si="206"/>
        <v>1180</v>
      </c>
      <c r="BU206" s="28" t="s">
        <v>2541</v>
      </c>
      <c r="BV206" s="28">
        <f t="shared" si="207"/>
        <v>163.87699999999998</v>
      </c>
      <c r="BW206" s="28">
        <f t="shared" si="208"/>
        <v>154.98699999999999</v>
      </c>
      <c r="BX206" s="13">
        <f t="shared" si="209"/>
        <v>18.184369984805681</v>
      </c>
      <c r="BY206" s="13">
        <f t="shared" si="210"/>
        <v>18</v>
      </c>
      <c r="BZ206" s="13">
        <f t="shared" si="211"/>
        <v>7.6135417809235619</v>
      </c>
      <c r="CA206" s="13">
        <f t="shared" si="212"/>
        <v>7</v>
      </c>
      <c r="CB206" s="13">
        <f t="shared" si="213"/>
        <v>126</v>
      </c>
      <c r="CC206" s="62">
        <f t="shared" si="214"/>
        <v>7.9365079365079361E-3</v>
      </c>
      <c r="CD206" s="13">
        <f t="shared" si="215"/>
        <v>19.227419073857806</v>
      </c>
      <c r="CE206" s="13">
        <f t="shared" si="216"/>
        <v>19</v>
      </c>
      <c r="CF206" s="13">
        <f t="shared" si="217"/>
        <v>7.200522342976746</v>
      </c>
      <c r="CG206" s="13">
        <f t="shared" si="218"/>
        <v>7</v>
      </c>
      <c r="CH206" s="28">
        <f t="shared" si="219"/>
        <v>133</v>
      </c>
      <c r="CI206" s="62">
        <f t="shared" si="220"/>
        <v>7.5187969924812026E-3</v>
      </c>
      <c r="CJ206" s="59">
        <f t="shared" si="221"/>
        <v>7.5187969924812026E-3</v>
      </c>
      <c r="CL206" s="63">
        <v>6000</v>
      </c>
      <c r="CM206" s="63">
        <f t="shared" si="222"/>
        <v>158.87699999999998</v>
      </c>
      <c r="CN206" s="63">
        <f t="shared" si="223"/>
        <v>163.87699999999998</v>
      </c>
      <c r="CO206" s="63">
        <f t="shared" si="224"/>
        <v>36.612825472763113</v>
      </c>
      <c r="CP206" s="13">
        <f t="shared" si="225"/>
        <v>36</v>
      </c>
      <c r="CQ206" s="70">
        <f t="shared" si="226"/>
        <v>2.7777777777777776E-2</v>
      </c>
      <c r="CR206" s="69">
        <f t="shared" si="194"/>
        <v>2.7777777777777776E-2</v>
      </c>
    </row>
    <row r="207" spans="1:96" hidden="1" x14ac:dyDescent="0.25">
      <c r="A207" s="10">
        <v>3</v>
      </c>
      <c r="B207" s="8" t="s">
        <v>42</v>
      </c>
      <c r="C207" s="10" t="s">
        <v>638</v>
      </c>
      <c r="D207" s="10" t="s">
        <v>2270</v>
      </c>
      <c r="E207" s="10" t="s">
        <v>52</v>
      </c>
      <c r="F207" s="12">
        <f t="shared" si="195"/>
        <v>1</v>
      </c>
      <c r="G207" s="10">
        <v>1</v>
      </c>
      <c r="H207" s="10">
        <f t="shared" si="243"/>
        <v>1</v>
      </c>
      <c r="I207" s="10">
        <v>12</v>
      </c>
      <c r="J207" s="8" t="s">
        <v>219</v>
      </c>
      <c r="K207" s="8" t="s">
        <v>34</v>
      </c>
      <c r="L207" s="10">
        <v>0</v>
      </c>
      <c r="M207" s="8" t="s">
        <v>35</v>
      </c>
      <c r="N207" s="10" t="s">
        <v>639</v>
      </c>
      <c r="O207" s="28" t="s">
        <v>41</v>
      </c>
      <c r="P207" s="28" t="s">
        <v>41</v>
      </c>
      <c r="Q207" s="28" t="s">
        <v>116</v>
      </c>
      <c r="R207" s="30">
        <v>16.905000000000001</v>
      </c>
      <c r="S207" s="30">
        <v>3.0830000000000002</v>
      </c>
      <c r="T207" s="30"/>
      <c r="U207" s="30">
        <v>0.12</v>
      </c>
      <c r="V207" s="8">
        <f t="shared" si="196"/>
        <v>429.387</v>
      </c>
      <c r="W207" s="8">
        <f t="shared" si="197"/>
        <v>78.308199999999999</v>
      </c>
      <c r="X207" s="8">
        <f t="shared" si="198"/>
        <v>0</v>
      </c>
      <c r="Y207" s="33">
        <f t="shared" si="199"/>
        <v>3.0479999999999996</v>
      </c>
      <c r="Z207" s="28" t="s">
        <v>56</v>
      </c>
      <c r="AA207" s="28" t="s">
        <v>57</v>
      </c>
      <c r="AB207" s="28" t="s">
        <v>116</v>
      </c>
      <c r="AC207" s="31" t="s">
        <v>117</v>
      </c>
      <c r="AD207" s="50">
        <f t="shared" si="200"/>
        <v>1</v>
      </c>
      <c r="AE207" s="31"/>
      <c r="AF207" s="51">
        <v>14</v>
      </c>
      <c r="AG207" s="51">
        <f t="shared" si="228"/>
        <v>8.4</v>
      </c>
      <c r="AH207" s="51">
        <f t="shared" si="193"/>
        <v>42</v>
      </c>
      <c r="AI207" s="52" t="s">
        <v>2497</v>
      </c>
      <c r="AJ207" s="52" t="s">
        <v>2498</v>
      </c>
      <c r="AK207" s="53">
        <f t="shared" si="229"/>
        <v>6.7249046146799996E-2</v>
      </c>
      <c r="AL207" s="54">
        <f t="shared" si="230"/>
        <v>0.11904761904761904</v>
      </c>
      <c r="AM207" s="54">
        <f t="shared" si="231"/>
        <v>2.3809523809523808E-2</v>
      </c>
      <c r="AN207" s="55">
        <f t="shared" si="232"/>
        <v>8.0058388269999992E-3</v>
      </c>
      <c r="AO207" s="55">
        <f t="shared" si="233"/>
        <v>1.6011677653999998E-3</v>
      </c>
      <c r="AP207" s="53">
        <v>7.1</v>
      </c>
      <c r="AQ207" s="53">
        <f t="shared" si="201"/>
        <v>4.26</v>
      </c>
      <c r="AR207" s="53">
        <f t="shared" si="202"/>
        <v>21.299999999999997</v>
      </c>
      <c r="AS207" s="56">
        <f t="shared" si="203"/>
        <v>4.6948356807511742E-2</v>
      </c>
      <c r="AT207" s="56">
        <f t="shared" si="234"/>
        <v>0.23474178403755869</v>
      </c>
      <c r="AU207" s="56">
        <f t="shared" si="204"/>
        <v>0.176056338028169</v>
      </c>
      <c r="AV207" s="56">
        <f t="shared" si="235"/>
        <v>5.8685446009389672E-2</v>
      </c>
      <c r="AW207" s="57" t="s">
        <v>2511</v>
      </c>
      <c r="AX207" s="57" t="s">
        <v>2512</v>
      </c>
      <c r="AY207" s="57" t="s">
        <v>2513</v>
      </c>
      <c r="AZ207" s="58">
        <f t="shared" si="236"/>
        <v>6.7249046146799996E-2</v>
      </c>
      <c r="BA207" s="59">
        <f t="shared" si="240"/>
        <v>1.9732701334154927E-3</v>
      </c>
      <c r="BB207" s="59">
        <f t="shared" si="241"/>
        <v>5.9198104002464785E-3</v>
      </c>
      <c r="BC207" s="59">
        <f t="shared" si="242"/>
        <v>1.5786161067323943E-3</v>
      </c>
      <c r="BD207" s="60">
        <f t="shared" si="237"/>
        <v>1.1904761904761904E-2</v>
      </c>
      <c r="BE207" s="59">
        <f t="shared" si="238"/>
        <v>1.1904761904761904E-2</v>
      </c>
      <c r="BQ207" s="61">
        <v>3000</v>
      </c>
      <c r="BR207" s="61">
        <v>1200</v>
      </c>
      <c r="BS207" s="28">
        <f t="shared" si="205"/>
        <v>2980</v>
      </c>
      <c r="BT207" s="28">
        <f t="shared" si="206"/>
        <v>1180</v>
      </c>
      <c r="BU207" s="28" t="s">
        <v>2541</v>
      </c>
      <c r="BV207" s="28">
        <f t="shared" si="207"/>
        <v>434.387</v>
      </c>
      <c r="BW207" s="28">
        <f t="shared" si="208"/>
        <v>83.308199999999999</v>
      </c>
      <c r="BX207" s="13">
        <f t="shared" si="209"/>
        <v>6.8602421343180158</v>
      </c>
      <c r="BY207" s="13">
        <f t="shared" si="210"/>
        <v>6</v>
      </c>
      <c r="BZ207" s="13">
        <f t="shared" si="211"/>
        <v>14.164271944418436</v>
      </c>
      <c r="CA207" s="13">
        <f t="shared" si="212"/>
        <v>14</v>
      </c>
      <c r="CB207" s="13">
        <f t="shared" si="213"/>
        <v>84</v>
      </c>
      <c r="CC207" s="62">
        <f t="shared" si="214"/>
        <v>1.1904761904761904E-2</v>
      </c>
      <c r="CD207" s="13">
        <f t="shared" si="215"/>
        <v>35.77078846980249</v>
      </c>
      <c r="CE207" s="13">
        <f t="shared" si="216"/>
        <v>35</v>
      </c>
      <c r="CF207" s="13">
        <f t="shared" si="217"/>
        <v>2.7164717176158586</v>
      </c>
      <c r="CG207" s="13">
        <f t="shared" si="218"/>
        <v>2</v>
      </c>
      <c r="CH207" s="28">
        <f t="shared" si="219"/>
        <v>70</v>
      </c>
      <c r="CI207" s="62">
        <f t="shared" si="220"/>
        <v>1.4285714285714285E-2</v>
      </c>
      <c r="CJ207" s="59">
        <f t="shared" si="221"/>
        <v>1.1904761904761904E-2</v>
      </c>
      <c r="CL207" s="63">
        <v>6000</v>
      </c>
      <c r="CM207" s="63">
        <f t="shared" si="222"/>
        <v>429.387</v>
      </c>
      <c r="CN207" s="63">
        <f t="shared" si="223"/>
        <v>434.387</v>
      </c>
      <c r="CO207" s="63">
        <f t="shared" si="224"/>
        <v>13.812568055673857</v>
      </c>
      <c r="CP207" s="13">
        <f t="shared" si="225"/>
        <v>13</v>
      </c>
      <c r="CQ207" s="70">
        <f t="shared" si="226"/>
        <v>7.6923076923076927E-2</v>
      </c>
      <c r="CR207" s="69">
        <f t="shared" si="194"/>
        <v>7.6923076923076927E-2</v>
      </c>
    </row>
    <row r="208" spans="1:96" hidden="1" x14ac:dyDescent="0.25">
      <c r="A208" s="10">
        <v>3</v>
      </c>
      <c r="B208" s="8" t="s">
        <v>42</v>
      </c>
      <c r="C208" s="10" t="s">
        <v>640</v>
      </c>
      <c r="D208" s="10" t="s">
        <v>2270</v>
      </c>
      <c r="E208" s="10" t="s">
        <v>52</v>
      </c>
      <c r="F208" s="12">
        <f t="shared" si="195"/>
        <v>1</v>
      </c>
      <c r="G208" s="10">
        <v>1</v>
      </c>
      <c r="H208" s="10">
        <f t="shared" si="243"/>
        <v>1</v>
      </c>
      <c r="I208" s="10">
        <v>14</v>
      </c>
      <c r="J208" s="8" t="s">
        <v>641</v>
      </c>
      <c r="K208" s="8" t="s">
        <v>34</v>
      </c>
      <c r="L208" s="10" t="s">
        <v>642</v>
      </c>
      <c r="M208" s="8" t="s">
        <v>35</v>
      </c>
      <c r="N208" s="10" t="s">
        <v>643</v>
      </c>
      <c r="O208" s="28" t="s">
        <v>41</v>
      </c>
      <c r="P208" s="28" t="s">
        <v>41</v>
      </c>
      <c r="Q208" s="28" t="s">
        <v>644</v>
      </c>
      <c r="R208" s="30">
        <v>12.6</v>
      </c>
      <c r="S208" s="30" t="s">
        <v>645</v>
      </c>
      <c r="T208" s="30"/>
      <c r="U208" s="30" t="s">
        <v>645</v>
      </c>
      <c r="V208" s="8">
        <f t="shared" si="196"/>
        <v>320.03999999999996</v>
      </c>
      <c r="W208" s="8">
        <v>0</v>
      </c>
      <c r="X208" s="8">
        <f t="shared" si="198"/>
        <v>0</v>
      </c>
      <c r="Y208" s="33">
        <v>0</v>
      </c>
      <c r="Z208" s="28" t="s">
        <v>646</v>
      </c>
      <c r="AA208" s="28" t="s">
        <v>173</v>
      </c>
      <c r="AB208" s="61" t="s">
        <v>644</v>
      </c>
      <c r="AC208" s="31" t="s">
        <v>647</v>
      </c>
      <c r="AD208" s="50">
        <f t="shared" si="200"/>
        <v>1</v>
      </c>
      <c r="AE208" s="31"/>
      <c r="AF208" s="51">
        <v>14</v>
      </c>
      <c r="AG208" s="51">
        <f t="shared" si="228"/>
        <v>8.4</v>
      </c>
      <c r="AH208" s="51">
        <f t="shared" si="193"/>
        <v>42</v>
      </c>
      <c r="AI208" s="52" t="s">
        <v>2497</v>
      </c>
      <c r="AJ208" s="52" t="s">
        <v>2498</v>
      </c>
      <c r="AK208" s="53">
        <f t="shared" si="229"/>
        <v>0</v>
      </c>
      <c r="AL208" s="54">
        <f t="shared" si="230"/>
        <v>0.11904761904761904</v>
      </c>
      <c r="AM208" s="54">
        <f t="shared" si="231"/>
        <v>2.3809523809523808E-2</v>
      </c>
      <c r="AN208" s="55">
        <f t="shared" si="232"/>
        <v>0</v>
      </c>
      <c r="AO208" s="55">
        <f t="shared" si="233"/>
        <v>0</v>
      </c>
      <c r="AP208" s="53">
        <v>7.1</v>
      </c>
      <c r="AQ208" s="53">
        <f t="shared" si="201"/>
        <v>4.26</v>
      </c>
      <c r="AR208" s="53">
        <f t="shared" si="202"/>
        <v>21.299999999999997</v>
      </c>
      <c r="AS208" s="56">
        <f t="shared" si="203"/>
        <v>4.6948356807511742E-2</v>
      </c>
      <c r="AT208" s="56">
        <f t="shared" si="234"/>
        <v>0.23474178403755869</v>
      </c>
      <c r="AU208" s="56">
        <f t="shared" si="204"/>
        <v>0.176056338028169</v>
      </c>
      <c r="AV208" s="56">
        <f t="shared" si="235"/>
        <v>5.8685446009389672E-2</v>
      </c>
      <c r="AW208" s="57" t="s">
        <v>2511</v>
      </c>
      <c r="AX208" s="57" t="s">
        <v>2512</v>
      </c>
      <c r="AY208" s="57" t="s">
        <v>2513</v>
      </c>
      <c r="AZ208" s="58">
        <f t="shared" si="236"/>
        <v>0</v>
      </c>
      <c r="BA208" s="59">
        <f t="shared" si="240"/>
        <v>0</v>
      </c>
      <c r="BB208" s="59">
        <f t="shared" si="241"/>
        <v>0</v>
      </c>
      <c r="BC208" s="59">
        <f t="shared" si="242"/>
        <v>0</v>
      </c>
      <c r="BD208" s="60">
        <f t="shared" si="237"/>
        <v>4.7080979284369113E-4</v>
      </c>
      <c r="BE208" s="59">
        <f t="shared" si="238"/>
        <v>4.7080979284369113E-4</v>
      </c>
      <c r="BQ208" s="61">
        <v>3000</v>
      </c>
      <c r="BR208" s="61">
        <v>1200</v>
      </c>
      <c r="BS208" s="28">
        <f t="shared" si="205"/>
        <v>2980</v>
      </c>
      <c r="BT208" s="28">
        <f t="shared" si="206"/>
        <v>1180</v>
      </c>
      <c r="BU208" s="28" t="s">
        <v>2541</v>
      </c>
      <c r="BV208" s="28">
        <f t="shared" si="207"/>
        <v>325.03999999999996</v>
      </c>
      <c r="BW208" s="28">
        <f t="shared" si="208"/>
        <v>5</v>
      </c>
      <c r="BX208" s="13">
        <f t="shared" si="209"/>
        <v>9.1681023873984753</v>
      </c>
      <c r="BY208" s="13">
        <f t="shared" si="210"/>
        <v>9</v>
      </c>
      <c r="BZ208" s="13">
        <f t="shared" si="211"/>
        <v>236</v>
      </c>
      <c r="CA208" s="13">
        <f t="shared" si="212"/>
        <v>236</v>
      </c>
      <c r="CB208" s="13">
        <f t="shared" si="213"/>
        <v>2124</v>
      </c>
      <c r="CC208" s="62">
        <f t="shared" si="214"/>
        <v>4.7080979284369113E-4</v>
      </c>
      <c r="CD208" s="13">
        <f t="shared" si="215"/>
        <v>596</v>
      </c>
      <c r="CE208" s="13">
        <f t="shared" si="216"/>
        <v>596</v>
      </c>
      <c r="CF208" s="13">
        <f t="shared" si="217"/>
        <v>3.6303224218557721</v>
      </c>
      <c r="CG208" s="13">
        <f t="shared" si="218"/>
        <v>3</v>
      </c>
      <c r="CH208" s="28">
        <f t="shared" si="219"/>
        <v>1788</v>
      </c>
      <c r="CI208" s="62">
        <f t="shared" si="220"/>
        <v>5.5928411633109618E-4</v>
      </c>
      <c r="CJ208" s="59">
        <f t="shared" si="221"/>
        <v>4.7080979284369113E-4</v>
      </c>
      <c r="CL208" s="63">
        <v>6000</v>
      </c>
      <c r="CM208" s="63">
        <f t="shared" si="222"/>
        <v>320.03999999999996</v>
      </c>
      <c r="CN208" s="63">
        <f t="shared" si="223"/>
        <v>325.03999999999996</v>
      </c>
      <c r="CO208" s="63">
        <f t="shared" si="224"/>
        <v>18.459266551809009</v>
      </c>
      <c r="CP208" s="13">
        <f t="shared" si="225"/>
        <v>18</v>
      </c>
      <c r="CQ208" s="70">
        <f t="shared" si="226"/>
        <v>5.5555555555555552E-2</v>
      </c>
      <c r="CR208" s="69">
        <f t="shared" si="194"/>
        <v>5.5555555555555552E-2</v>
      </c>
    </row>
    <row r="209" spans="1:96" hidden="1" x14ac:dyDescent="0.25">
      <c r="A209" s="13">
        <v>4</v>
      </c>
      <c r="B209" s="14" t="s">
        <v>648</v>
      </c>
      <c r="C209" s="13" t="s">
        <v>649</v>
      </c>
      <c r="D209" s="13" t="s">
        <v>2270</v>
      </c>
      <c r="E209" s="13" t="s">
        <v>52</v>
      </c>
      <c r="F209" s="15">
        <f t="shared" si="195"/>
        <v>3</v>
      </c>
      <c r="G209" s="13">
        <v>1</v>
      </c>
      <c r="H209" s="13">
        <f>G209*$H$208</f>
        <v>1</v>
      </c>
      <c r="I209" s="13" t="s">
        <v>485</v>
      </c>
      <c r="J209" s="14" t="s">
        <v>650</v>
      </c>
      <c r="K209" s="14" t="s">
        <v>651</v>
      </c>
      <c r="L209" s="13" t="s">
        <v>194</v>
      </c>
      <c r="M209" s="14" t="s">
        <v>35</v>
      </c>
      <c r="N209" s="13" t="s">
        <v>652</v>
      </c>
      <c r="O209" s="28" t="s">
        <v>2541</v>
      </c>
      <c r="P209" s="28" t="s">
        <v>2541</v>
      </c>
      <c r="Q209" s="28" t="s">
        <v>652</v>
      </c>
      <c r="R209" s="30"/>
      <c r="S209" s="30"/>
      <c r="T209" s="30"/>
      <c r="U209" s="30"/>
      <c r="V209" s="8">
        <f t="shared" si="196"/>
        <v>0</v>
      </c>
      <c r="W209" s="8">
        <f t="shared" si="197"/>
        <v>0</v>
      </c>
      <c r="X209" s="8">
        <f t="shared" si="198"/>
        <v>0</v>
      </c>
      <c r="Y209" s="33">
        <f t="shared" si="199"/>
        <v>0</v>
      </c>
      <c r="Z209" s="28"/>
      <c r="AA209" s="28"/>
      <c r="AB209" s="28" t="s">
        <v>652</v>
      </c>
      <c r="AC209" s="31"/>
      <c r="AD209" s="50">
        <f t="shared" si="200"/>
        <v>1</v>
      </c>
      <c r="AE209" s="31"/>
      <c r="AF209" s="51">
        <v>14</v>
      </c>
      <c r="AG209" s="51">
        <f t="shared" si="228"/>
        <v>8.4</v>
      </c>
      <c r="AH209" s="51">
        <f t="shared" si="193"/>
        <v>42</v>
      </c>
      <c r="AI209" s="52" t="s">
        <v>2497</v>
      </c>
      <c r="AJ209" s="52" t="s">
        <v>2498</v>
      </c>
      <c r="AK209" s="53">
        <f t="shared" si="229"/>
        <v>0</v>
      </c>
      <c r="AL209" s="54">
        <f t="shared" si="230"/>
        <v>0.11904761904761904</v>
      </c>
      <c r="AM209" s="54">
        <f t="shared" si="231"/>
        <v>2.3809523809523808E-2</v>
      </c>
      <c r="AN209" s="55">
        <f t="shared" si="232"/>
        <v>0</v>
      </c>
      <c r="AO209" s="55">
        <f t="shared" si="233"/>
        <v>0</v>
      </c>
      <c r="AP209" s="53">
        <v>7.1</v>
      </c>
      <c r="AQ209" s="53">
        <f t="shared" si="201"/>
        <v>4.26</v>
      </c>
      <c r="AR209" s="53">
        <f t="shared" si="202"/>
        <v>21.299999999999997</v>
      </c>
      <c r="AS209" s="56">
        <f t="shared" si="203"/>
        <v>4.6948356807511742E-2</v>
      </c>
      <c r="AT209" s="56">
        <f t="shared" si="234"/>
        <v>0.23474178403755869</v>
      </c>
      <c r="AU209" s="56">
        <f t="shared" si="204"/>
        <v>0.176056338028169</v>
      </c>
      <c r="AV209" s="56">
        <f t="shared" si="235"/>
        <v>5.8685446009389672E-2</v>
      </c>
      <c r="AW209" s="57" t="s">
        <v>2511</v>
      </c>
      <c r="AX209" s="57" t="s">
        <v>2512</v>
      </c>
      <c r="AY209" s="57" t="s">
        <v>2513</v>
      </c>
      <c r="AZ209" s="58">
        <f t="shared" si="236"/>
        <v>0</v>
      </c>
      <c r="BA209" s="59">
        <f t="shared" si="240"/>
        <v>0</v>
      </c>
      <c r="BB209" s="59">
        <f t="shared" si="241"/>
        <v>0</v>
      </c>
      <c r="BC209" s="59">
        <f t="shared" si="242"/>
        <v>0</v>
      </c>
      <c r="BD209" s="60">
        <f t="shared" si="237"/>
        <v>7.1095438516664771E-6</v>
      </c>
      <c r="BE209" s="59">
        <f t="shared" si="238"/>
        <v>7.1095438516664771E-6</v>
      </c>
      <c r="BQ209" s="61">
        <v>3000</v>
      </c>
      <c r="BR209" s="61">
        <v>1200</v>
      </c>
      <c r="BS209" s="28">
        <f t="shared" si="205"/>
        <v>2980</v>
      </c>
      <c r="BT209" s="28">
        <f t="shared" si="206"/>
        <v>1180</v>
      </c>
      <c r="BU209" s="28" t="s">
        <v>2541</v>
      </c>
      <c r="BV209" s="28">
        <f t="shared" si="207"/>
        <v>5</v>
      </c>
      <c r="BW209" s="28">
        <f t="shared" si="208"/>
        <v>5</v>
      </c>
      <c r="BX209" s="13">
        <f t="shared" si="209"/>
        <v>596</v>
      </c>
      <c r="BY209" s="13">
        <f t="shared" si="210"/>
        <v>596</v>
      </c>
      <c r="BZ209" s="13">
        <f t="shared" si="211"/>
        <v>236</v>
      </c>
      <c r="CA209" s="13">
        <f t="shared" si="212"/>
        <v>236</v>
      </c>
      <c r="CB209" s="13">
        <f t="shared" si="213"/>
        <v>140656</v>
      </c>
      <c r="CC209" s="62">
        <f t="shared" si="214"/>
        <v>7.1095438516664771E-6</v>
      </c>
      <c r="CD209" s="13">
        <f t="shared" si="215"/>
        <v>596</v>
      </c>
      <c r="CE209" s="13">
        <f t="shared" si="216"/>
        <v>596</v>
      </c>
      <c r="CF209" s="13">
        <f t="shared" si="217"/>
        <v>236</v>
      </c>
      <c r="CG209" s="13">
        <f t="shared" si="218"/>
        <v>236</v>
      </c>
      <c r="CH209" s="28">
        <f t="shared" si="219"/>
        <v>140656</v>
      </c>
      <c r="CI209" s="62">
        <f t="shared" si="220"/>
        <v>7.1095438516664771E-6</v>
      </c>
      <c r="CJ209" s="59">
        <f t="shared" si="221"/>
        <v>7.1095438516664771E-6</v>
      </c>
      <c r="CL209" s="63">
        <v>6000</v>
      </c>
      <c r="CM209" s="63">
        <f t="shared" si="222"/>
        <v>0</v>
      </c>
      <c r="CN209" s="63">
        <f t="shared" si="223"/>
        <v>5</v>
      </c>
      <c r="CO209" s="63">
        <f t="shared" si="224"/>
        <v>1200</v>
      </c>
      <c r="CP209" s="13">
        <f t="shared" si="225"/>
        <v>1200</v>
      </c>
      <c r="CQ209" s="70">
        <f t="shared" si="226"/>
        <v>8.3333333333333339E-4</v>
      </c>
      <c r="CR209" s="69">
        <f t="shared" si="194"/>
        <v>8.3333333333333339E-4</v>
      </c>
    </row>
    <row r="210" spans="1:96" hidden="1" x14ac:dyDescent="0.25">
      <c r="A210" s="10">
        <v>3</v>
      </c>
      <c r="B210" s="8" t="s">
        <v>42</v>
      </c>
      <c r="C210" s="10" t="s">
        <v>653</v>
      </c>
      <c r="D210" s="10" t="s">
        <v>2270</v>
      </c>
      <c r="E210" s="10" t="s">
        <v>52</v>
      </c>
      <c r="F210" s="12">
        <f t="shared" si="195"/>
        <v>1</v>
      </c>
      <c r="G210" s="10">
        <v>1</v>
      </c>
      <c r="H210" s="10">
        <f>G210*$H$4</f>
        <v>1</v>
      </c>
      <c r="I210" s="10">
        <v>13</v>
      </c>
      <c r="J210" s="8" t="s">
        <v>654</v>
      </c>
      <c r="K210" s="8" t="s">
        <v>34</v>
      </c>
      <c r="L210" s="10">
        <v>0</v>
      </c>
      <c r="M210" s="8" t="s">
        <v>35</v>
      </c>
      <c r="N210" s="10" t="s">
        <v>655</v>
      </c>
      <c r="O210" s="28" t="s">
        <v>41</v>
      </c>
      <c r="P210" s="28" t="s">
        <v>41</v>
      </c>
      <c r="Q210" s="28" t="s">
        <v>655</v>
      </c>
      <c r="R210" s="30"/>
      <c r="S210" s="30"/>
      <c r="T210" s="30"/>
      <c r="U210" s="30"/>
      <c r="V210" s="8">
        <f t="shared" si="196"/>
        <v>0</v>
      </c>
      <c r="W210" s="8">
        <f t="shared" si="197"/>
        <v>0</v>
      </c>
      <c r="X210" s="8">
        <f t="shared" si="198"/>
        <v>0</v>
      </c>
      <c r="Y210" s="33">
        <f t="shared" si="199"/>
        <v>0</v>
      </c>
      <c r="Z210" s="28"/>
      <c r="AA210" s="28"/>
      <c r="AB210" s="61" t="s">
        <v>655</v>
      </c>
      <c r="AC210" s="31" t="s">
        <v>656</v>
      </c>
      <c r="AD210" s="50">
        <f t="shared" si="200"/>
        <v>1</v>
      </c>
      <c r="AE210" s="31"/>
      <c r="AF210" s="51">
        <v>14</v>
      </c>
      <c r="AG210" s="51">
        <f t="shared" si="228"/>
        <v>8.4</v>
      </c>
      <c r="AH210" s="51">
        <f t="shared" si="193"/>
        <v>42</v>
      </c>
      <c r="AI210" s="52" t="s">
        <v>2497</v>
      </c>
      <c r="AJ210" s="52" t="s">
        <v>2498</v>
      </c>
      <c r="AK210" s="53">
        <f t="shared" si="229"/>
        <v>0</v>
      </c>
      <c r="AL210" s="54">
        <f t="shared" si="230"/>
        <v>0.11904761904761904</v>
      </c>
      <c r="AM210" s="54">
        <f t="shared" si="231"/>
        <v>2.3809523809523808E-2</v>
      </c>
      <c r="AN210" s="55">
        <f t="shared" si="232"/>
        <v>0</v>
      </c>
      <c r="AO210" s="55">
        <f t="shared" si="233"/>
        <v>0</v>
      </c>
      <c r="AP210" s="53">
        <v>7.1</v>
      </c>
      <c r="AQ210" s="53">
        <f t="shared" si="201"/>
        <v>4.26</v>
      </c>
      <c r="AR210" s="53">
        <f t="shared" si="202"/>
        <v>21.299999999999997</v>
      </c>
      <c r="AS210" s="56">
        <f t="shared" si="203"/>
        <v>4.6948356807511742E-2</v>
      </c>
      <c r="AT210" s="56">
        <f t="shared" si="234"/>
        <v>0.23474178403755869</v>
      </c>
      <c r="AU210" s="56">
        <f t="shared" si="204"/>
        <v>0.176056338028169</v>
      </c>
      <c r="AV210" s="56">
        <f t="shared" si="235"/>
        <v>5.8685446009389672E-2</v>
      </c>
      <c r="AW210" s="57" t="s">
        <v>2511</v>
      </c>
      <c r="AX210" s="57" t="s">
        <v>2512</v>
      </c>
      <c r="AY210" s="57" t="s">
        <v>2513</v>
      </c>
      <c r="AZ210" s="58">
        <f t="shared" si="236"/>
        <v>0</v>
      </c>
      <c r="BA210" s="59">
        <f t="shared" si="240"/>
        <v>0</v>
      </c>
      <c r="BB210" s="59">
        <f t="shared" si="241"/>
        <v>0</v>
      </c>
      <c r="BC210" s="59">
        <f t="shared" si="242"/>
        <v>0</v>
      </c>
      <c r="BD210" s="60">
        <f t="shared" si="237"/>
        <v>7.1095438516664771E-6</v>
      </c>
      <c r="BE210" s="59">
        <f t="shared" si="238"/>
        <v>7.1095438516664771E-6</v>
      </c>
      <c r="BQ210" s="61">
        <v>3000</v>
      </c>
      <c r="BR210" s="61">
        <v>1200</v>
      </c>
      <c r="BS210" s="28">
        <f t="shared" si="205"/>
        <v>2980</v>
      </c>
      <c r="BT210" s="28">
        <f t="shared" si="206"/>
        <v>1180</v>
      </c>
      <c r="BU210" s="28" t="s">
        <v>2541</v>
      </c>
      <c r="BV210" s="28">
        <f t="shared" si="207"/>
        <v>5</v>
      </c>
      <c r="BW210" s="28">
        <f t="shared" si="208"/>
        <v>5</v>
      </c>
      <c r="BX210" s="13">
        <f t="shared" si="209"/>
        <v>596</v>
      </c>
      <c r="BY210" s="13">
        <f t="shared" si="210"/>
        <v>596</v>
      </c>
      <c r="BZ210" s="13">
        <f t="shared" si="211"/>
        <v>236</v>
      </c>
      <c r="CA210" s="13">
        <f t="shared" si="212"/>
        <v>236</v>
      </c>
      <c r="CB210" s="13">
        <f t="shared" si="213"/>
        <v>140656</v>
      </c>
      <c r="CC210" s="62">
        <f t="shared" si="214"/>
        <v>7.1095438516664771E-6</v>
      </c>
      <c r="CD210" s="13">
        <f t="shared" si="215"/>
        <v>596</v>
      </c>
      <c r="CE210" s="13">
        <f t="shared" si="216"/>
        <v>596</v>
      </c>
      <c r="CF210" s="13">
        <f t="shared" si="217"/>
        <v>236</v>
      </c>
      <c r="CG210" s="13">
        <f t="shared" si="218"/>
        <v>236</v>
      </c>
      <c r="CH210" s="28">
        <f t="shared" si="219"/>
        <v>140656</v>
      </c>
      <c r="CI210" s="62">
        <f t="shared" si="220"/>
        <v>7.1095438516664771E-6</v>
      </c>
      <c r="CJ210" s="59">
        <f t="shared" si="221"/>
        <v>7.1095438516664771E-6</v>
      </c>
      <c r="CL210" s="63">
        <v>6000</v>
      </c>
      <c r="CM210" s="63">
        <f t="shared" si="222"/>
        <v>0</v>
      </c>
      <c r="CN210" s="63">
        <f t="shared" si="223"/>
        <v>5</v>
      </c>
      <c r="CO210" s="63">
        <f t="shared" si="224"/>
        <v>1200</v>
      </c>
      <c r="CP210" s="13">
        <f t="shared" si="225"/>
        <v>1200</v>
      </c>
      <c r="CQ210" s="70">
        <f t="shared" si="226"/>
        <v>8.3333333333333339E-4</v>
      </c>
      <c r="CR210" s="69">
        <f t="shared" si="194"/>
        <v>8.3333333333333339E-4</v>
      </c>
    </row>
    <row r="211" spans="1:96" hidden="1" x14ac:dyDescent="0.25">
      <c r="A211" s="36">
        <v>2</v>
      </c>
      <c r="B211" s="37" t="s">
        <v>37</v>
      </c>
      <c r="C211" s="36" t="s">
        <v>657</v>
      </c>
      <c r="D211" s="36" t="s">
        <v>2270</v>
      </c>
      <c r="E211" s="36" t="s">
        <v>32</v>
      </c>
      <c r="F211" s="38">
        <f t="shared" si="195"/>
        <v>1</v>
      </c>
      <c r="G211" s="36">
        <v>1</v>
      </c>
      <c r="H211" s="36">
        <f>G211*$H$3</f>
        <v>1</v>
      </c>
      <c r="I211" s="36">
        <v>2</v>
      </c>
      <c r="J211" s="37" t="s">
        <v>658</v>
      </c>
      <c r="K211" s="37" t="s">
        <v>34</v>
      </c>
      <c r="L211" s="36">
        <v>0</v>
      </c>
      <c r="M211" s="37" t="s">
        <v>35</v>
      </c>
      <c r="N211" s="36" t="s">
        <v>659</v>
      </c>
      <c r="O211" s="28" t="s">
        <v>41</v>
      </c>
      <c r="P211" s="28" t="s">
        <v>41</v>
      </c>
      <c r="Q211" s="28"/>
      <c r="R211" s="30"/>
      <c r="S211" s="30"/>
      <c r="T211" s="30"/>
      <c r="U211" s="30"/>
      <c r="V211" s="8">
        <f t="shared" si="196"/>
        <v>0</v>
      </c>
      <c r="W211" s="8">
        <f t="shared" si="197"/>
        <v>0</v>
      </c>
      <c r="X211" s="8">
        <f t="shared" si="198"/>
        <v>0</v>
      </c>
      <c r="Y211" s="33">
        <f t="shared" si="199"/>
        <v>0</v>
      </c>
      <c r="Z211" s="28"/>
      <c r="AA211" s="28"/>
      <c r="AB211" s="28">
        <v>0</v>
      </c>
      <c r="AC211" s="31"/>
      <c r="AD211" s="50">
        <f t="shared" si="200"/>
        <v>1</v>
      </c>
      <c r="AE211" s="31"/>
      <c r="AF211" s="51">
        <v>14</v>
      </c>
      <c r="AG211" s="51">
        <f t="shared" si="228"/>
        <v>8.4</v>
      </c>
      <c r="AH211" s="51">
        <f t="shared" si="193"/>
        <v>42</v>
      </c>
      <c r="AI211" s="52" t="s">
        <v>2497</v>
      </c>
      <c r="AJ211" s="52" t="s">
        <v>2498</v>
      </c>
      <c r="AK211" s="53">
        <f t="shared" si="229"/>
        <v>0</v>
      </c>
      <c r="AL211" s="54">
        <f t="shared" si="230"/>
        <v>0.11904761904761904</v>
      </c>
      <c r="AM211" s="54">
        <f t="shared" si="231"/>
        <v>2.3809523809523808E-2</v>
      </c>
      <c r="AN211" s="55">
        <f t="shared" si="232"/>
        <v>0</v>
      </c>
      <c r="AO211" s="55">
        <f t="shared" si="233"/>
        <v>0</v>
      </c>
      <c r="AP211" s="53">
        <v>7.1</v>
      </c>
      <c r="AQ211" s="53">
        <f t="shared" si="201"/>
        <v>4.26</v>
      </c>
      <c r="AR211" s="53">
        <f t="shared" si="202"/>
        <v>21.299999999999997</v>
      </c>
      <c r="AS211" s="56">
        <f t="shared" si="203"/>
        <v>4.6948356807511742E-2</v>
      </c>
      <c r="AT211" s="56">
        <f t="shared" si="234"/>
        <v>0.23474178403755869</v>
      </c>
      <c r="AU211" s="56">
        <f t="shared" si="204"/>
        <v>0.176056338028169</v>
      </c>
      <c r="AV211" s="56">
        <f t="shared" si="235"/>
        <v>5.8685446009389672E-2</v>
      </c>
      <c r="AW211" s="57" t="s">
        <v>2511</v>
      </c>
      <c r="AX211" s="57" t="s">
        <v>2512</v>
      </c>
      <c r="AY211" s="57" t="s">
        <v>2513</v>
      </c>
      <c r="AZ211" s="58">
        <f t="shared" si="236"/>
        <v>0</v>
      </c>
      <c r="BA211" s="59">
        <f t="shared" si="240"/>
        <v>0</v>
      </c>
      <c r="BB211" s="59">
        <f t="shared" si="241"/>
        <v>0</v>
      </c>
      <c r="BC211" s="59">
        <f t="shared" si="242"/>
        <v>0</v>
      </c>
      <c r="BD211" s="60">
        <f t="shared" si="237"/>
        <v>0</v>
      </c>
      <c r="BE211" s="59">
        <f t="shared" si="238"/>
        <v>0</v>
      </c>
      <c r="BQ211" s="61">
        <v>3000</v>
      </c>
      <c r="BR211" s="61">
        <v>1200</v>
      </c>
      <c r="BS211" s="28">
        <f t="shared" si="205"/>
        <v>2980</v>
      </c>
      <c r="BT211" s="28">
        <f t="shared" si="206"/>
        <v>1180</v>
      </c>
      <c r="BU211" s="28" t="s">
        <v>2541</v>
      </c>
      <c r="BV211" s="28">
        <f t="shared" si="207"/>
        <v>5</v>
      </c>
      <c r="BW211" s="28">
        <f t="shared" si="208"/>
        <v>5</v>
      </c>
      <c r="BX211" s="13">
        <f t="shared" si="209"/>
        <v>596</v>
      </c>
      <c r="BY211" s="13">
        <f t="shared" si="210"/>
        <v>596</v>
      </c>
      <c r="BZ211" s="13">
        <f t="shared" si="211"/>
        <v>236</v>
      </c>
      <c r="CA211" s="13">
        <f t="shared" si="212"/>
        <v>236</v>
      </c>
      <c r="CB211" s="13">
        <f t="shared" si="213"/>
        <v>140656</v>
      </c>
      <c r="CC211" s="62" t="str">
        <f t="shared" si="214"/>
        <v/>
      </c>
      <c r="CD211" s="13">
        <f t="shared" si="215"/>
        <v>596</v>
      </c>
      <c r="CE211" s="13">
        <f t="shared" si="216"/>
        <v>596</v>
      </c>
      <c r="CF211" s="13">
        <f t="shared" si="217"/>
        <v>236</v>
      </c>
      <c r="CG211" s="13">
        <f t="shared" si="218"/>
        <v>236</v>
      </c>
      <c r="CH211" s="28">
        <f t="shared" si="219"/>
        <v>140656</v>
      </c>
      <c r="CI211" s="62" t="str">
        <f t="shared" si="220"/>
        <v/>
      </c>
      <c r="CJ211" s="59">
        <f t="shared" si="221"/>
        <v>0</v>
      </c>
      <c r="CL211" s="63">
        <v>6000</v>
      </c>
      <c r="CM211" s="63">
        <f t="shared" si="222"/>
        <v>0</v>
      </c>
      <c r="CN211" s="63">
        <f t="shared" si="223"/>
        <v>5</v>
      </c>
      <c r="CO211" s="63">
        <f t="shared" si="224"/>
        <v>1200</v>
      </c>
      <c r="CP211" s="13">
        <f t="shared" si="225"/>
        <v>1200</v>
      </c>
      <c r="CQ211" s="70">
        <f t="shared" si="226"/>
        <v>8.3333333333333339E-4</v>
      </c>
      <c r="CR211" s="69">
        <f t="shared" si="194"/>
        <v>8.3333333333333339E-4</v>
      </c>
    </row>
    <row r="212" spans="1:96" hidden="1" x14ac:dyDescent="0.25">
      <c r="A212" s="10">
        <v>3</v>
      </c>
      <c r="B212" s="8" t="s">
        <v>660</v>
      </c>
      <c r="C212" s="10" t="s">
        <v>661</v>
      </c>
      <c r="D212" s="10" t="s">
        <v>2270</v>
      </c>
      <c r="E212" s="10" t="s">
        <v>52</v>
      </c>
      <c r="F212" s="12">
        <f t="shared" si="195"/>
        <v>1</v>
      </c>
      <c r="G212" s="10">
        <v>1</v>
      </c>
      <c r="H212" s="10">
        <f>G212*$H$211</f>
        <v>1</v>
      </c>
      <c r="I212" s="10">
        <v>1</v>
      </c>
      <c r="J212" s="8" t="s">
        <v>662</v>
      </c>
      <c r="K212" s="8" t="s">
        <v>34</v>
      </c>
      <c r="L212" s="10">
        <v>0</v>
      </c>
      <c r="M212" s="8" t="s">
        <v>35</v>
      </c>
      <c r="N212" s="10" t="s">
        <v>663</v>
      </c>
      <c r="O212" s="28" t="s">
        <v>41</v>
      </c>
      <c r="P212" s="28" t="s">
        <v>41</v>
      </c>
      <c r="Q212" s="28" t="s">
        <v>664</v>
      </c>
      <c r="R212" s="30">
        <v>70</v>
      </c>
      <c r="S212" s="30">
        <v>58.737000000000002</v>
      </c>
      <c r="T212" s="30"/>
      <c r="U212" s="30">
        <v>9.8000000000000004E-2</v>
      </c>
      <c r="V212" s="8">
        <f t="shared" si="196"/>
        <v>1778</v>
      </c>
      <c r="W212" s="8">
        <f t="shared" si="197"/>
        <v>1491.9197999999999</v>
      </c>
      <c r="X212" s="8">
        <f t="shared" si="198"/>
        <v>0</v>
      </c>
      <c r="Y212" s="33">
        <f t="shared" si="199"/>
        <v>2.4891999999999999</v>
      </c>
      <c r="Z212" s="28" t="s">
        <v>56</v>
      </c>
      <c r="AA212" s="28" t="s">
        <v>57</v>
      </c>
      <c r="AB212" s="61" t="s">
        <v>664</v>
      </c>
      <c r="AC212" s="31" t="s">
        <v>665</v>
      </c>
      <c r="AD212" s="50">
        <f t="shared" si="200"/>
        <v>1</v>
      </c>
      <c r="AE212" s="31"/>
      <c r="AF212" s="51">
        <v>14</v>
      </c>
      <c r="AG212" s="51">
        <f t="shared" si="228"/>
        <v>8.4</v>
      </c>
      <c r="AH212" s="51">
        <f t="shared" si="193"/>
        <v>42</v>
      </c>
      <c r="AI212" s="52" t="s">
        <v>2497</v>
      </c>
      <c r="AJ212" s="52" t="s">
        <v>2498</v>
      </c>
      <c r="AK212" s="53">
        <f t="shared" si="229"/>
        <v>5.3052668087999999</v>
      </c>
      <c r="AL212" s="54">
        <f t="shared" si="230"/>
        <v>0.11904761904761904</v>
      </c>
      <c r="AM212" s="54">
        <f t="shared" si="231"/>
        <v>2.3809523809523808E-2</v>
      </c>
      <c r="AN212" s="55">
        <f t="shared" si="232"/>
        <v>0.63157938199999997</v>
      </c>
      <c r="AO212" s="55">
        <f t="shared" si="233"/>
        <v>0.1263158764</v>
      </c>
      <c r="AP212" s="53">
        <v>7.1</v>
      </c>
      <c r="AQ212" s="53">
        <f t="shared" si="201"/>
        <v>4.26</v>
      </c>
      <c r="AR212" s="53">
        <f t="shared" si="202"/>
        <v>21.299999999999997</v>
      </c>
      <c r="AS212" s="56">
        <f t="shared" si="203"/>
        <v>4.6948356807511742E-2</v>
      </c>
      <c r="AT212" s="56">
        <f t="shared" si="234"/>
        <v>0.23474178403755869</v>
      </c>
      <c r="AU212" s="56">
        <f t="shared" si="204"/>
        <v>0.176056338028169</v>
      </c>
      <c r="AV212" s="56">
        <f t="shared" si="235"/>
        <v>5.8685446009389672E-2</v>
      </c>
      <c r="AW212" s="57" t="s">
        <v>2511</v>
      </c>
      <c r="AX212" s="57" t="s">
        <v>2512</v>
      </c>
      <c r="AY212" s="57" t="s">
        <v>2513</v>
      </c>
      <c r="AZ212" s="58">
        <f t="shared" si="236"/>
        <v>5.3052668087999999</v>
      </c>
      <c r="BA212" s="59">
        <f t="shared" si="240"/>
        <v>0.15567097443661973</v>
      </c>
      <c r="BB212" s="59">
        <f t="shared" si="241"/>
        <v>0.46701292330985911</v>
      </c>
      <c r="BC212" s="59">
        <f t="shared" si="242"/>
        <v>0.12453677954929579</v>
      </c>
      <c r="BD212" s="60">
        <f t="shared" si="237"/>
        <v>1</v>
      </c>
      <c r="BE212" s="59">
        <f t="shared" si="238"/>
        <v>1</v>
      </c>
      <c r="BQ212" s="61">
        <v>3000</v>
      </c>
      <c r="BR212" s="11">
        <v>1500</v>
      </c>
      <c r="BS212" s="28">
        <f t="shared" si="205"/>
        <v>2980</v>
      </c>
      <c r="BT212" s="28">
        <f t="shared" si="206"/>
        <v>1480</v>
      </c>
      <c r="BU212" s="28" t="s">
        <v>2541</v>
      </c>
      <c r="BV212" s="28">
        <f t="shared" si="207"/>
        <v>1783</v>
      </c>
      <c r="BW212" s="28">
        <f t="shared" si="208"/>
        <v>1496.9197999999999</v>
      </c>
      <c r="BX212" s="13">
        <f t="shared" si="209"/>
        <v>1.6713404374649468</v>
      </c>
      <c r="BY212" s="13">
        <f t="shared" si="210"/>
        <v>1</v>
      </c>
      <c r="BZ212" s="13">
        <f t="shared" si="211"/>
        <v>0.98869692284115696</v>
      </c>
      <c r="CA212" s="13">
        <f t="shared" si="212"/>
        <v>0</v>
      </c>
      <c r="CB212" s="13">
        <f t="shared" si="213"/>
        <v>0</v>
      </c>
      <c r="CC212" s="62">
        <f t="shared" si="214"/>
        <v>1</v>
      </c>
      <c r="CD212" s="13">
        <f t="shared" si="215"/>
        <v>1.9907546149098971</v>
      </c>
      <c r="CE212" s="13">
        <f t="shared" si="216"/>
        <v>1</v>
      </c>
      <c r="CF212" s="13">
        <f t="shared" si="217"/>
        <v>0.83006169377453731</v>
      </c>
      <c r="CG212" s="13">
        <f t="shared" si="218"/>
        <v>0</v>
      </c>
      <c r="CH212" s="28">
        <f t="shared" si="219"/>
        <v>0</v>
      </c>
      <c r="CI212" s="62">
        <f t="shared" si="220"/>
        <v>1</v>
      </c>
      <c r="CJ212" s="59">
        <f t="shared" si="221"/>
        <v>1</v>
      </c>
      <c r="CL212" s="63">
        <v>6000</v>
      </c>
      <c r="CM212" s="63">
        <f t="shared" si="222"/>
        <v>1778</v>
      </c>
      <c r="CN212" s="63">
        <f t="shared" si="223"/>
        <v>1783</v>
      </c>
      <c r="CO212" s="63">
        <f t="shared" si="224"/>
        <v>3.3651149747616378</v>
      </c>
      <c r="CP212" s="13">
        <f t="shared" si="225"/>
        <v>3</v>
      </c>
      <c r="CQ212" s="70">
        <f t="shared" si="226"/>
        <v>0.33333333333333331</v>
      </c>
      <c r="CR212" s="69">
        <f t="shared" si="194"/>
        <v>0.33333333333333331</v>
      </c>
    </row>
    <row r="213" spans="1:96" hidden="1" x14ac:dyDescent="0.25">
      <c r="A213" s="10">
        <v>3</v>
      </c>
      <c r="B213" s="8" t="s">
        <v>660</v>
      </c>
      <c r="C213" s="10" t="s">
        <v>666</v>
      </c>
      <c r="D213" s="10" t="s">
        <v>2270</v>
      </c>
      <c r="E213" s="10" t="s">
        <v>32</v>
      </c>
      <c r="F213" s="12">
        <f t="shared" si="195"/>
        <v>1</v>
      </c>
      <c r="G213" s="10">
        <v>1</v>
      </c>
      <c r="H213" s="10">
        <f>G213*$H$211</f>
        <v>1</v>
      </c>
      <c r="I213" s="10">
        <v>2</v>
      </c>
      <c r="J213" s="8" t="s">
        <v>508</v>
      </c>
      <c r="K213" s="8" t="s">
        <v>34</v>
      </c>
      <c r="L213" s="10">
        <v>0</v>
      </c>
      <c r="M213" s="8" t="s">
        <v>35</v>
      </c>
      <c r="N213" s="10" t="s">
        <v>667</v>
      </c>
      <c r="O213" s="28" t="s">
        <v>41</v>
      </c>
      <c r="P213" s="28" t="s">
        <v>41</v>
      </c>
      <c r="Q213" s="28"/>
      <c r="R213" s="30"/>
      <c r="S213" s="30"/>
      <c r="T213" s="30"/>
      <c r="U213" s="30"/>
      <c r="V213" s="8">
        <f t="shared" si="196"/>
        <v>0</v>
      </c>
      <c r="W213" s="8">
        <f t="shared" si="197"/>
        <v>0</v>
      </c>
      <c r="X213" s="8">
        <f t="shared" si="198"/>
        <v>0</v>
      </c>
      <c r="Y213" s="33">
        <f t="shared" si="199"/>
        <v>0</v>
      </c>
      <c r="Z213" s="28"/>
      <c r="AA213" s="28"/>
      <c r="AB213" s="28">
        <v>0</v>
      </c>
      <c r="AC213" s="31"/>
      <c r="AD213" s="50">
        <f t="shared" si="200"/>
        <v>1</v>
      </c>
      <c r="AE213" s="31"/>
      <c r="AF213" s="51">
        <v>14</v>
      </c>
      <c r="AG213" s="51">
        <f t="shared" si="228"/>
        <v>8.4</v>
      </c>
      <c r="AH213" s="51">
        <f t="shared" si="193"/>
        <v>42</v>
      </c>
      <c r="AI213" s="52" t="s">
        <v>2497</v>
      </c>
      <c r="AJ213" s="52" t="s">
        <v>2498</v>
      </c>
      <c r="AK213" s="53">
        <f t="shared" si="229"/>
        <v>0</v>
      </c>
      <c r="AL213" s="54">
        <f t="shared" si="230"/>
        <v>0.11904761904761904</v>
      </c>
      <c r="AM213" s="54">
        <f t="shared" si="231"/>
        <v>2.3809523809523808E-2</v>
      </c>
      <c r="AN213" s="55">
        <f t="shared" si="232"/>
        <v>0</v>
      </c>
      <c r="AO213" s="55">
        <f t="shared" si="233"/>
        <v>0</v>
      </c>
      <c r="AP213" s="53">
        <v>7.1</v>
      </c>
      <c r="AQ213" s="53">
        <f t="shared" si="201"/>
        <v>4.26</v>
      </c>
      <c r="AR213" s="53">
        <f t="shared" si="202"/>
        <v>21.299999999999997</v>
      </c>
      <c r="AS213" s="56">
        <f t="shared" si="203"/>
        <v>4.6948356807511742E-2</v>
      </c>
      <c r="AT213" s="56">
        <f t="shared" si="234"/>
        <v>0.23474178403755869</v>
      </c>
      <c r="AU213" s="56">
        <f t="shared" si="204"/>
        <v>0.176056338028169</v>
      </c>
      <c r="AV213" s="56">
        <f t="shared" si="235"/>
        <v>5.8685446009389672E-2</v>
      </c>
      <c r="AW213" s="57" t="s">
        <v>2511</v>
      </c>
      <c r="AX213" s="57" t="s">
        <v>2512</v>
      </c>
      <c r="AY213" s="57" t="s">
        <v>2513</v>
      </c>
      <c r="AZ213" s="58">
        <f t="shared" si="236"/>
        <v>0</v>
      </c>
      <c r="BA213" s="59">
        <f t="shared" si="240"/>
        <v>0</v>
      </c>
      <c r="BB213" s="59">
        <f t="shared" si="241"/>
        <v>0</v>
      </c>
      <c r="BC213" s="59">
        <f t="shared" si="242"/>
        <v>0</v>
      </c>
      <c r="BD213" s="60">
        <f t="shared" si="237"/>
        <v>0</v>
      </c>
      <c r="BE213" s="59">
        <f t="shared" si="238"/>
        <v>0</v>
      </c>
      <c r="BQ213" s="61">
        <v>3000</v>
      </c>
      <c r="BR213" s="61">
        <v>1200</v>
      </c>
      <c r="BS213" s="28">
        <f t="shared" si="205"/>
        <v>2980</v>
      </c>
      <c r="BT213" s="28">
        <f t="shared" si="206"/>
        <v>1180</v>
      </c>
      <c r="BU213" s="28" t="s">
        <v>2541</v>
      </c>
      <c r="BV213" s="28">
        <f t="shared" si="207"/>
        <v>5</v>
      </c>
      <c r="BW213" s="28">
        <f t="shared" si="208"/>
        <v>5</v>
      </c>
      <c r="BX213" s="13">
        <f t="shared" si="209"/>
        <v>596</v>
      </c>
      <c r="BY213" s="13">
        <f t="shared" si="210"/>
        <v>596</v>
      </c>
      <c r="BZ213" s="13">
        <f t="shared" si="211"/>
        <v>236</v>
      </c>
      <c r="CA213" s="13">
        <f t="shared" si="212"/>
        <v>236</v>
      </c>
      <c r="CB213" s="13">
        <f t="shared" si="213"/>
        <v>140656</v>
      </c>
      <c r="CC213" s="62" t="str">
        <f t="shared" si="214"/>
        <v/>
      </c>
      <c r="CD213" s="13">
        <f t="shared" si="215"/>
        <v>596</v>
      </c>
      <c r="CE213" s="13">
        <f t="shared" si="216"/>
        <v>596</v>
      </c>
      <c r="CF213" s="13">
        <f t="shared" si="217"/>
        <v>236</v>
      </c>
      <c r="CG213" s="13">
        <f t="shared" si="218"/>
        <v>236</v>
      </c>
      <c r="CH213" s="28">
        <f t="shared" si="219"/>
        <v>140656</v>
      </c>
      <c r="CI213" s="62" t="str">
        <f t="shared" si="220"/>
        <v/>
      </c>
      <c r="CJ213" s="59">
        <f t="shared" si="221"/>
        <v>0</v>
      </c>
      <c r="CL213" s="63">
        <v>6000</v>
      </c>
      <c r="CM213" s="63">
        <f t="shared" si="222"/>
        <v>0</v>
      </c>
      <c r="CN213" s="63">
        <f t="shared" si="223"/>
        <v>5</v>
      </c>
      <c r="CO213" s="63">
        <f t="shared" si="224"/>
        <v>1200</v>
      </c>
      <c r="CP213" s="13">
        <f t="shared" si="225"/>
        <v>1200</v>
      </c>
      <c r="CQ213" s="70">
        <f t="shared" si="226"/>
        <v>8.3333333333333339E-4</v>
      </c>
      <c r="CR213" s="69">
        <f t="shared" si="194"/>
        <v>8.3333333333333339E-4</v>
      </c>
    </row>
    <row r="214" spans="1:96" x14ac:dyDescent="0.25">
      <c r="A214" s="13">
        <v>4</v>
      </c>
      <c r="B214" s="14" t="s">
        <v>668</v>
      </c>
      <c r="C214" s="13" t="s">
        <v>669</v>
      </c>
      <c r="D214" s="13" t="s">
        <v>670</v>
      </c>
      <c r="E214" s="13" t="s">
        <v>52</v>
      </c>
      <c r="F214" s="15">
        <f t="shared" si="195"/>
        <v>1</v>
      </c>
      <c r="G214" s="13">
        <v>1</v>
      </c>
      <c r="H214" s="13">
        <f>G214*$H$213</f>
        <v>1</v>
      </c>
      <c r="I214" s="13">
        <v>1</v>
      </c>
      <c r="J214" s="14" t="s">
        <v>130</v>
      </c>
      <c r="K214" s="14" t="s">
        <v>34</v>
      </c>
      <c r="L214" s="13">
        <v>0</v>
      </c>
      <c r="M214" s="14" t="s">
        <v>35</v>
      </c>
      <c r="N214" s="13" t="s">
        <v>670</v>
      </c>
      <c r="O214" s="28" t="s">
        <v>41</v>
      </c>
      <c r="P214" s="28" t="s">
        <v>41</v>
      </c>
      <c r="Q214" s="28" t="s">
        <v>2585</v>
      </c>
      <c r="R214" s="30">
        <v>22.5</v>
      </c>
      <c r="S214" s="30">
        <v>3.484</v>
      </c>
      <c r="T214" s="30"/>
      <c r="U214" s="30">
        <v>0.06</v>
      </c>
      <c r="V214" s="8">
        <f t="shared" si="196"/>
        <v>571.5</v>
      </c>
      <c r="W214" s="8">
        <f t="shared" si="197"/>
        <v>88.493600000000001</v>
      </c>
      <c r="X214" s="8">
        <f t="shared" si="198"/>
        <v>0</v>
      </c>
      <c r="Y214" s="33">
        <f t="shared" si="199"/>
        <v>1.5239999999999998</v>
      </c>
      <c r="Z214" s="28" t="s">
        <v>2477</v>
      </c>
      <c r="AA214" s="28" t="s">
        <v>1765</v>
      </c>
      <c r="AB214" s="61" t="s">
        <v>2585</v>
      </c>
      <c r="AC214" s="31" t="s">
        <v>2586</v>
      </c>
      <c r="AD214" s="50">
        <f t="shared" si="200"/>
        <v>1</v>
      </c>
      <c r="AE214" s="31"/>
      <c r="AF214" s="51">
        <v>14</v>
      </c>
      <c r="AG214" s="51">
        <f t="shared" si="228"/>
        <v>8.4</v>
      </c>
      <c r="AH214" s="51">
        <f t="shared" si="193"/>
        <v>42</v>
      </c>
      <c r="AI214" s="52" t="s">
        <v>2497</v>
      </c>
      <c r="AJ214" s="52" t="s">
        <v>2498</v>
      </c>
      <c r="AK214" s="53">
        <f t="shared" si="229"/>
        <v>0.1011481848</v>
      </c>
      <c r="AL214" s="54">
        <f t="shared" si="230"/>
        <v>0.11904761904761904</v>
      </c>
      <c r="AM214" s="54">
        <f t="shared" si="231"/>
        <v>2.3809523809523808E-2</v>
      </c>
      <c r="AN214" s="55">
        <f t="shared" si="232"/>
        <v>1.204145057142857E-2</v>
      </c>
      <c r="AO214" s="55">
        <f t="shared" si="233"/>
        <v>2.4082901142857141E-3</v>
      </c>
      <c r="AP214" s="53">
        <v>7.1</v>
      </c>
      <c r="AQ214" s="53">
        <f t="shared" si="201"/>
        <v>4.26</v>
      </c>
      <c r="AR214" s="53">
        <f t="shared" si="202"/>
        <v>21.299999999999997</v>
      </c>
      <c r="AS214" s="56">
        <f t="shared" si="203"/>
        <v>4.6948356807511742E-2</v>
      </c>
      <c r="AT214" s="56">
        <f t="shared" si="234"/>
        <v>0.23474178403755869</v>
      </c>
      <c r="AU214" s="56">
        <f t="shared" si="204"/>
        <v>0.176056338028169</v>
      </c>
      <c r="AV214" s="56">
        <f t="shared" si="235"/>
        <v>5.8685446009389672E-2</v>
      </c>
      <c r="AW214" s="57" t="s">
        <v>2511</v>
      </c>
      <c r="AX214" s="57" t="s">
        <v>2512</v>
      </c>
      <c r="AY214" s="57" t="s">
        <v>2513</v>
      </c>
      <c r="AZ214" s="58">
        <f t="shared" si="236"/>
        <v>0.1011481848</v>
      </c>
      <c r="BA214" s="59">
        <f t="shared" si="240"/>
        <v>2.9679631690140845E-3</v>
      </c>
      <c r="BB214" s="59">
        <f t="shared" si="241"/>
        <v>8.9038895070422536E-3</v>
      </c>
      <c r="BC214" s="59">
        <f t="shared" si="242"/>
        <v>2.3743705352112679E-3</v>
      </c>
      <c r="BD214" s="60">
        <f t="shared" si="237"/>
        <v>1.6129032258064516E-2</v>
      </c>
      <c r="BE214" s="59">
        <f t="shared" si="238"/>
        <v>1.6129032258064516E-2</v>
      </c>
      <c r="BQ214" s="61">
        <v>3000</v>
      </c>
      <c r="BR214" s="61">
        <v>1200</v>
      </c>
      <c r="BS214" s="28">
        <f t="shared" si="205"/>
        <v>2980</v>
      </c>
      <c r="BT214" s="28">
        <f t="shared" si="206"/>
        <v>1180</v>
      </c>
      <c r="BU214" s="28" t="s">
        <v>2541</v>
      </c>
      <c r="BV214" s="28">
        <f t="shared" si="207"/>
        <v>576.5</v>
      </c>
      <c r="BW214" s="28">
        <f t="shared" si="208"/>
        <v>93.493600000000001</v>
      </c>
      <c r="BX214" s="13">
        <f t="shared" si="209"/>
        <v>5.1691240242844749</v>
      </c>
      <c r="BY214" s="13">
        <f t="shared" si="210"/>
        <v>5</v>
      </c>
      <c r="BZ214" s="13">
        <f t="shared" si="211"/>
        <v>12.621184765588232</v>
      </c>
      <c r="CA214" s="13">
        <f t="shared" si="212"/>
        <v>12</v>
      </c>
      <c r="CB214" s="13">
        <f t="shared" si="213"/>
        <v>60</v>
      </c>
      <c r="CC214" s="62">
        <f t="shared" si="214"/>
        <v>1.6666666666666666E-2</v>
      </c>
      <c r="CD214" s="13">
        <f t="shared" si="215"/>
        <v>31.873839492756723</v>
      </c>
      <c r="CE214" s="13">
        <f t="shared" si="216"/>
        <v>31</v>
      </c>
      <c r="CF214" s="13">
        <f t="shared" si="217"/>
        <v>2.0468343451864701</v>
      </c>
      <c r="CG214" s="13">
        <f t="shared" si="218"/>
        <v>2</v>
      </c>
      <c r="CH214" s="28">
        <f t="shared" si="219"/>
        <v>62</v>
      </c>
      <c r="CI214" s="62">
        <f t="shared" si="220"/>
        <v>1.6129032258064516E-2</v>
      </c>
      <c r="CJ214" s="59">
        <f t="shared" si="221"/>
        <v>1.6129032258064516E-2</v>
      </c>
      <c r="CL214" s="63">
        <v>6000</v>
      </c>
      <c r="CM214" s="63">
        <f t="shared" si="222"/>
        <v>571.5</v>
      </c>
      <c r="CN214" s="63">
        <f t="shared" si="223"/>
        <v>576.5</v>
      </c>
      <c r="CO214" s="63">
        <f t="shared" si="224"/>
        <v>10.407632263660018</v>
      </c>
      <c r="CP214" s="13">
        <f t="shared" si="225"/>
        <v>10</v>
      </c>
      <c r="CQ214" s="70">
        <f t="shared" si="226"/>
        <v>0.1</v>
      </c>
      <c r="CR214" s="69">
        <f t="shared" si="194"/>
        <v>0.1</v>
      </c>
    </row>
    <row r="215" spans="1:96" hidden="1" x14ac:dyDescent="0.25">
      <c r="A215" s="13">
        <v>4</v>
      </c>
      <c r="B215" s="14" t="s">
        <v>668</v>
      </c>
      <c r="C215" s="13" t="s">
        <v>671</v>
      </c>
      <c r="D215" s="13" t="s">
        <v>2270</v>
      </c>
      <c r="E215" s="13" t="s">
        <v>52</v>
      </c>
      <c r="F215" s="15">
        <f t="shared" si="195"/>
        <v>1</v>
      </c>
      <c r="G215" s="13">
        <v>1</v>
      </c>
      <c r="H215" s="13">
        <f>G215*$H$213</f>
        <v>1</v>
      </c>
      <c r="I215" s="13">
        <v>2</v>
      </c>
      <c r="J215" s="14" t="s">
        <v>672</v>
      </c>
      <c r="K215" s="14" t="s">
        <v>34</v>
      </c>
      <c r="L215" s="13">
        <v>0</v>
      </c>
      <c r="M215" s="14" t="s">
        <v>35</v>
      </c>
      <c r="N215" s="13" t="s">
        <v>673</v>
      </c>
      <c r="O215" s="28" t="s">
        <v>41</v>
      </c>
      <c r="P215" s="28" t="s">
        <v>41</v>
      </c>
      <c r="Q215" s="28" t="s">
        <v>124</v>
      </c>
      <c r="R215" s="30">
        <v>22.5</v>
      </c>
      <c r="S215" s="30">
        <v>4.3230000000000004</v>
      </c>
      <c r="T215" s="30"/>
      <c r="U215" s="30">
        <v>9.8000000000000004E-2</v>
      </c>
      <c r="V215" s="8">
        <f t="shared" si="196"/>
        <v>571.5</v>
      </c>
      <c r="W215" s="8">
        <f t="shared" si="197"/>
        <v>109.80420000000001</v>
      </c>
      <c r="X215" s="8">
        <f t="shared" si="198"/>
        <v>0</v>
      </c>
      <c r="Y215" s="33">
        <f t="shared" si="199"/>
        <v>2.4891999999999999</v>
      </c>
      <c r="Z215" s="28" t="s">
        <v>56</v>
      </c>
      <c r="AA215" s="28" t="s">
        <v>57</v>
      </c>
      <c r="AB215" s="61" t="s">
        <v>124</v>
      </c>
      <c r="AC215" s="31" t="s">
        <v>125</v>
      </c>
      <c r="AD215" s="50">
        <f t="shared" si="200"/>
        <v>1</v>
      </c>
      <c r="AE215" s="31"/>
      <c r="AF215" s="51">
        <v>14</v>
      </c>
      <c r="AG215" s="51">
        <f t="shared" si="228"/>
        <v>8.4</v>
      </c>
      <c r="AH215" s="51">
        <f t="shared" si="193"/>
        <v>42</v>
      </c>
      <c r="AI215" s="52" t="s">
        <v>2497</v>
      </c>
      <c r="AJ215" s="52" t="s">
        <v>2498</v>
      </c>
      <c r="AK215" s="53">
        <f t="shared" si="229"/>
        <v>0.12550620060000001</v>
      </c>
      <c r="AL215" s="54">
        <f t="shared" si="230"/>
        <v>0.11904761904761904</v>
      </c>
      <c r="AM215" s="54">
        <f t="shared" si="231"/>
        <v>2.3809523809523808E-2</v>
      </c>
      <c r="AN215" s="55">
        <f t="shared" si="232"/>
        <v>1.4941214357142856E-2</v>
      </c>
      <c r="AO215" s="55">
        <f t="shared" si="233"/>
        <v>2.9882428714285716E-3</v>
      </c>
      <c r="AP215" s="53">
        <v>7.1</v>
      </c>
      <c r="AQ215" s="53">
        <f t="shared" si="201"/>
        <v>4.26</v>
      </c>
      <c r="AR215" s="53">
        <f t="shared" si="202"/>
        <v>21.299999999999997</v>
      </c>
      <c r="AS215" s="56">
        <f t="shared" si="203"/>
        <v>4.6948356807511742E-2</v>
      </c>
      <c r="AT215" s="56">
        <f t="shared" si="234"/>
        <v>0.23474178403755869</v>
      </c>
      <c r="AU215" s="56">
        <f t="shared" si="204"/>
        <v>0.176056338028169</v>
      </c>
      <c r="AV215" s="56">
        <f t="shared" si="235"/>
        <v>5.8685446009389672E-2</v>
      </c>
      <c r="AW215" s="57" t="s">
        <v>2511</v>
      </c>
      <c r="AX215" s="57" t="s">
        <v>2512</v>
      </c>
      <c r="AY215" s="57" t="s">
        <v>2513</v>
      </c>
      <c r="AZ215" s="58">
        <f t="shared" si="236"/>
        <v>0.12550620060000001</v>
      </c>
      <c r="BA215" s="59">
        <f t="shared" si="240"/>
        <v>3.682693679577465E-3</v>
      </c>
      <c r="BB215" s="59">
        <f t="shared" si="241"/>
        <v>1.1048081038732394E-2</v>
      </c>
      <c r="BC215" s="59">
        <f t="shared" si="242"/>
        <v>2.9461549436619722E-3</v>
      </c>
      <c r="BD215" s="60">
        <f t="shared" si="237"/>
        <v>0.02</v>
      </c>
      <c r="BE215" s="59">
        <f t="shared" si="238"/>
        <v>0.02</v>
      </c>
      <c r="BQ215" s="61">
        <v>3000</v>
      </c>
      <c r="BR215" s="61">
        <v>1200</v>
      </c>
      <c r="BS215" s="28">
        <f t="shared" si="205"/>
        <v>2980</v>
      </c>
      <c r="BT215" s="28">
        <f t="shared" si="206"/>
        <v>1180</v>
      </c>
      <c r="BU215" s="28" t="s">
        <v>2541</v>
      </c>
      <c r="BV215" s="28">
        <f t="shared" si="207"/>
        <v>576.5</v>
      </c>
      <c r="BW215" s="28">
        <f t="shared" si="208"/>
        <v>114.80420000000001</v>
      </c>
      <c r="BX215" s="13">
        <f t="shared" si="209"/>
        <v>5.1691240242844749</v>
      </c>
      <c r="BY215" s="13">
        <f t="shared" si="210"/>
        <v>5</v>
      </c>
      <c r="BZ215" s="13">
        <f t="shared" si="211"/>
        <v>10.278369606686862</v>
      </c>
      <c r="CA215" s="13">
        <f t="shared" si="212"/>
        <v>10</v>
      </c>
      <c r="CB215" s="13">
        <f t="shared" si="213"/>
        <v>50</v>
      </c>
      <c r="CC215" s="62">
        <f t="shared" si="214"/>
        <v>0.02</v>
      </c>
      <c r="CD215" s="13">
        <f t="shared" si="215"/>
        <v>25.957238498243093</v>
      </c>
      <c r="CE215" s="13">
        <f t="shared" si="216"/>
        <v>25</v>
      </c>
      <c r="CF215" s="13">
        <f t="shared" si="217"/>
        <v>2.0468343451864701</v>
      </c>
      <c r="CG215" s="13">
        <f t="shared" si="218"/>
        <v>2</v>
      </c>
      <c r="CH215" s="28">
        <f t="shared" si="219"/>
        <v>50</v>
      </c>
      <c r="CI215" s="62">
        <f t="shared" si="220"/>
        <v>0.02</v>
      </c>
      <c r="CJ215" s="59">
        <f t="shared" si="221"/>
        <v>0.02</v>
      </c>
      <c r="CL215" s="63">
        <v>6000</v>
      </c>
      <c r="CM215" s="63">
        <f t="shared" si="222"/>
        <v>571.5</v>
      </c>
      <c r="CN215" s="63">
        <f t="shared" si="223"/>
        <v>576.5</v>
      </c>
      <c r="CO215" s="63">
        <f t="shared" si="224"/>
        <v>10.407632263660018</v>
      </c>
      <c r="CP215" s="13">
        <f t="shared" si="225"/>
        <v>10</v>
      </c>
      <c r="CQ215" s="70">
        <f t="shared" si="226"/>
        <v>0.1</v>
      </c>
      <c r="CR215" s="69">
        <f t="shared" si="194"/>
        <v>0.1</v>
      </c>
    </row>
    <row r="216" spans="1:96" hidden="1" x14ac:dyDescent="0.25">
      <c r="A216" s="10">
        <v>3</v>
      </c>
      <c r="B216" s="8" t="s">
        <v>660</v>
      </c>
      <c r="C216" s="10" t="s">
        <v>674</v>
      </c>
      <c r="D216" s="10" t="s">
        <v>2270</v>
      </c>
      <c r="E216" s="10" t="s">
        <v>32</v>
      </c>
      <c r="F216" s="12">
        <f t="shared" si="195"/>
        <v>1</v>
      </c>
      <c r="G216" s="10">
        <v>1</v>
      </c>
      <c r="H216" s="10">
        <f>G216*$H$211</f>
        <v>1</v>
      </c>
      <c r="I216" s="10">
        <v>3</v>
      </c>
      <c r="J216" s="8" t="s">
        <v>675</v>
      </c>
      <c r="K216" s="8" t="s">
        <v>34</v>
      </c>
      <c r="L216" s="10">
        <v>0</v>
      </c>
      <c r="M216" s="8" t="s">
        <v>35</v>
      </c>
      <c r="N216" s="10" t="s">
        <v>676</v>
      </c>
      <c r="O216" s="28" t="s">
        <v>41</v>
      </c>
      <c r="P216" s="28" t="s">
        <v>41</v>
      </c>
      <c r="Q216" s="28"/>
      <c r="R216" s="30"/>
      <c r="S216" s="30"/>
      <c r="T216" s="30"/>
      <c r="U216" s="30"/>
      <c r="V216" s="8">
        <f t="shared" si="196"/>
        <v>0</v>
      </c>
      <c r="W216" s="8">
        <f t="shared" si="197"/>
        <v>0</v>
      </c>
      <c r="X216" s="8">
        <f t="shared" si="198"/>
        <v>0</v>
      </c>
      <c r="Y216" s="33">
        <f t="shared" si="199"/>
        <v>0</v>
      </c>
      <c r="Z216" s="28"/>
      <c r="AA216" s="28"/>
      <c r="AB216" s="28">
        <v>0</v>
      </c>
      <c r="AC216" s="31"/>
      <c r="AD216" s="50">
        <f t="shared" si="200"/>
        <v>1</v>
      </c>
      <c r="AE216" s="31"/>
      <c r="AF216" s="51">
        <v>14</v>
      </c>
      <c r="AG216" s="51">
        <f t="shared" si="228"/>
        <v>8.4</v>
      </c>
      <c r="AH216" s="51">
        <f t="shared" si="193"/>
        <v>42</v>
      </c>
      <c r="AI216" s="52" t="s">
        <v>2497</v>
      </c>
      <c r="AJ216" s="52" t="s">
        <v>2498</v>
      </c>
      <c r="AK216" s="53">
        <f t="shared" si="229"/>
        <v>0</v>
      </c>
      <c r="AL216" s="54">
        <f t="shared" si="230"/>
        <v>0.11904761904761904</v>
      </c>
      <c r="AM216" s="54">
        <f t="shared" si="231"/>
        <v>2.3809523809523808E-2</v>
      </c>
      <c r="AN216" s="55">
        <f t="shared" si="232"/>
        <v>0</v>
      </c>
      <c r="AO216" s="55">
        <f t="shared" si="233"/>
        <v>0</v>
      </c>
      <c r="AP216" s="53">
        <v>7.1</v>
      </c>
      <c r="AQ216" s="53">
        <f t="shared" si="201"/>
        <v>4.26</v>
      </c>
      <c r="AR216" s="53">
        <f t="shared" si="202"/>
        <v>21.299999999999997</v>
      </c>
      <c r="AS216" s="56">
        <f t="shared" si="203"/>
        <v>4.6948356807511742E-2</v>
      </c>
      <c r="AT216" s="56">
        <f t="shared" si="234"/>
        <v>0.23474178403755869</v>
      </c>
      <c r="AU216" s="56">
        <f t="shared" si="204"/>
        <v>0.176056338028169</v>
      </c>
      <c r="AV216" s="56">
        <f t="shared" si="235"/>
        <v>5.8685446009389672E-2</v>
      </c>
      <c r="AW216" s="57" t="s">
        <v>2511</v>
      </c>
      <c r="AX216" s="57" t="s">
        <v>2512</v>
      </c>
      <c r="AY216" s="57" t="s">
        <v>2513</v>
      </c>
      <c r="AZ216" s="58">
        <f t="shared" si="236"/>
        <v>0</v>
      </c>
      <c r="BA216" s="59">
        <f t="shared" si="240"/>
        <v>0</v>
      </c>
      <c r="BB216" s="59">
        <f t="shared" si="241"/>
        <v>0</v>
      </c>
      <c r="BC216" s="59">
        <f t="shared" si="242"/>
        <v>0</v>
      </c>
      <c r="BD216" s="60">
        <f t="shared" si="237"/>
        <v>0</v>
      </c>
      <c r="BE216" s="59">
        <f t="shared" si="238"/>
        <v>0</v>
      </c>
      <c r="BQ216" s="61">
        <v>3000</v>
      </c>
      <c r="BR216" s="61">
        <v>1200</v>
      </c>
      <c r="BS216" s="28">
        <f t="shared" si="205"/>
        <v>2980</v>
      </c>
      <c r="BT216" s="28">
        <f t="shared" si="206"/>
        <v>1180</v>
      </c>
      <c r="BU216" s="28" t="s">
        <v>2541</v>
      </c>
      <c r="BV216" s="28">
        <f t="shared" si="207"/>
        <v>5</v>
      </c>
      <c r="BW216" s="28">
        <f t="shared" si="208"/>
        <v>5</v>
      </c>
      <c r="BX216" s="13">
        <f t="shared" si="209"/>
        <v>596</v>
      </c>
      <c r="BY216" s="13">
        <f t="shared" si="210"/>
        <v>596</v>
      </c>
      <c r="BZ216" s="13">
        <f t="shared" si="211"/>
        <v>236</v>
      </c>
      <c r="CA216" s="13">
        <f t="shared" si="212"/>
        <v>236</v>
      </c>
      <c r="CB216" s="13">
        <f t="shared" si="213"/>
        <v>140656</v>
      </c>
      <c r="CC216" s="62" t="str">
        <f t="shared" si="214"/>
        <v/>
      </c>
      <c r="CD216" s="13">
        <f t="shared" si="215"/>
        <v>596</v>
      </c>
      <c r="CE216" s="13">
        <f t="shared" si="216"/>
        <v>596</v>
      </c>
      <c r="CF216" s="13">
        <f t="shared" si="217"/>
        <v>236</v>
      </c>
      <c r="CG216" s="13">
        <f t="shared" si="218"/>
        <v>236</v>
      </c>
      <c r="CH216" s="28">
        <f t="shared" si="219"/>
        <v>140656</v>
      </c>
      <c r="CI216" s="62" t="str">
        <f t="shared" si="220"/>
        <v/>
      </c>
      <c r="CJ216" s="59">
        <f t="shared" si="221"/>
        <v>0</v>
      </c>
      <c r="CL216" s="63">
        <v>6000</v>
      </c>
      <c r="CM216" s="63">
        <f t="shared" si="222"/>
        <v>0</v>
      </c>
      <c r="CN216" s="63">
        <f t="shared" si="223"/>
        <v>5</v>
      </c>
      <c r="CO216" s="63">
        <f t="shared" si="224"/>
        <v>1200</v>
      </c>
      <c r="CP216" s="13">
        <f t="shared" si="225"/>
        <v>1200</v>
      </c>
      <c r="CQ216" s="70">
        <f t="shared" si="226"/>
        <v>8.3333333333333339E-4</v>
      </c>
      <c r="CR216" s="69">
        <f t="shared" si="194"/>
        <v>8.3333333333333339E-4</v>
      </c>
    </row>
    <row r="217" spans="1:96" hidden="1" x14ac:dyDescent="0.25">
      <c r="A217" s="13">
        <v>4</v>
      </c>
      <c r="B217" s="14" t="s">
        <v>677</v>
      </c>
      <c r="C217" s="13" t="s">
        <v>678</v>
      </c>
      <c r="D217" s="13" t="s">
        <v>2270</v>
      </c>
      <c r="E217" s="13" t="s">
        <v>52</v>
      </c>
      <c r="F217" s="15">
        <f t="shared" si="195"/>
        <v>1</v>
      </c>
      <c r="G217" s="13">
        <v>1</v>
      </c>
      <c r="H217" s="13">
        <f>G217*$H$216</f>
        <v>1</v>
      </c>
      <c r="I217" s="13">
        <v>1</v>
      </c>
      <c r="J217" s="14" t="s">
        <v>549</v>
      </c>
      <c r="K217" s="14" t="s">
        <v>34</v>
      </c>
      <c r="L217" s="13">
        <v>0</v>
      </c>
      <c r="M217" s="14" t="s">
        <v>35</v>
      </c>
      <c r="N217" s="13" t="s">
        <v>679</v>
      </c>
      <c r="O217" s="28" t="s">
        <v>41</v>
      </c>
      <c r="P217" s="28" t="s">
        <v>41</v>
      </c>
      <c r="Q217" s="28" t="s">
        <v>124</v>
      </c>
      <c r="R217" s="30">
        <v>11.311999999999999</v>
      </c>
      <c r="S217" s="30">
        <v>7.9749999999999996</v>
      </c>
      <c r="T217" s="30"/>
      <c r="U217" s="30">
        <v>9.8000000000000004E-2</v>
      </c>
      <c r="V217" s="8">
        <f t="shared" si="196"/>
        <v>287.32479999999998</v>
      </c>
      <c r="W217" s="8">
        <f t="shared" si="197"/>
        <v>202.56499999999997</v>
      </c>
      <c r="X217" s="8">
        <f t="shared" si="198"/>
        <v>0</v>
      </c>
      <c r="Y217" s="33">
        <f t="shared" si="199"/>
        <v>2.4891999999999999</v>
      </c>
      <c r="Z217" s="28" t="s">
        <v>56</v>
      </c>
      <c r="AA217" s="28" t="s">
        <v>57</v>
      </c>
      <c r="AB217" s="61" t="s">
        <v>124</v>
      </c>
      <c r="AC217" s="31" t="s">
        <v>125</v>
      </c>
      <c r="AD217" s="50">
        <f t="shared" si="200"/>
        <v>1</v>
      </c>
      <c r="AE217" s="31"/>
      <c r="AF217" s="51">
        <v>14</v>
      </c>
      <c r="AG217" s="51">
        <f t="shared" si="228"/>
        <v>8.4</v>
      </c>
      <c r="AH217" s="51">
        <f t="shared" si="193"/>
        <v>42</v>
      </c>
      <c r="AI217" s="52" t="s">
        <v>2497</v>
      </c>
      <c r="AJ217" s="52" t="s">
        <v>2498</v>
      </c>
      <c r="AK217" s="53">
        <f t="shared" si="229"/>
        <v>0.11640389622399998</v>
      </c>
      <c r="AL217" s="54">
        <f t="shared" si="230"/>
        <v>0.11904761904761904</v>
      </c>
      <c r="AM217" s="54">
        <f t="shared" si="231"/>
        <v>2.3809523809523808E-2</v>
      </c>
      <c r="AN217" s="55">
        <f t="shared" si="232"/>
        <v>1.385760669333333E-2</v>
      </c>
      <c r="AO217" s="55">
        <f t="shared" si="233"/>
        <v>2.7715213386666662E-3</v>
      </c>
      <c r="AP217" s="53">
        <v>7.1</v>
      </c>
      <c r="AQ217" s="53">
        <f t="shared" si="201"/>
        <v>4.26</v>
      </c>
      <c r="AR217" s="53">
        <f t="shared" si="202"/>
        <v>21.299999999999997</v>
      </c>
      <c r="AS217" s="56">
        <f t="shared" si="203"/>
        <v>4.6948356807511742E-2</v>
      </c>
      <c r="AT217" s="56">
        <f t="shared" si="234"/>
        <v>0.23474178403755869</v>
      </c>
      <c r="AU217" s="56">
        <f t="shared" si="204"/>
        <v>0.176056338028169</v>
      </c>
      <c r="AV217" s="56">
        <f t="shared" si="235"/>
        <v>5.8685446009389672E-2</v>
      </c>
      <c r="AW217" s="57" t="s">
        <v>2511</v>
      </c>
      <c r="AX217" s="57" t="s">
        <v>2512</v>
      </c>
      <c r="AY217" s="57" t="s">
        <v>2513</v>
      </c>
      <c r="AZ217" s="58">
        <f t="shared" si="236"/>
        <v>0.11640389622399998</v>
      </c>
      <c r="BA217" s="59">
        <f t="shared" si="240"/>
        <v>3.4156072835680746E-3</v>
      </c>
      <c r="BB217" s="59">
        <f t="shared" si="241"/>
        <v>1.0246821850704222E-2</v>
      </c>
      <c r="BC217" s="59">
        <f t="shared" si="242"/>
        <v>2.7324858268544597E-3</v>
      </c>
      <c r="BD217" s="60">
        <f t="shared" si="237"/>
        <v>1.7857142857142856E-2</v>
      </c>
      <c r="BE217" s="59">
        <f t="shared" si="238"/>
        <v>1.7857142857142856E-2</v>
      </c>
      <c r="BQ217" s="61">
        <v>3000</v>
      </c>
      <c r="BR217" s="61">
        <v>1200</v>
      </c>
      <c r="BS217" s="28">
        <f t="shared" si="205"/>
        <v>2980</v>
      </c>
      <c r="BT217" s="28">
        <f t="shared" si="206"/>
        <v>1180</v>
      </c>
      <c r="BU217" s="28" t="s">
        <v>2541</v>
      </c>
      <c r="BV217" s="28">
        <f t="shared" si="207"/>
        <v>292.32479999999998</v>
      </c>
      <c r="BW217" s="28">
        <f t="shared" si="208"/>
        <v>207.56499999999997</v>
      </c>
      <c r="BX217" s="13">
        <f t="shared" si="209"/>
        <v>10.194140216635743</v>
      </c>
      <c r="BY217" s="13">
        <f t="shared" si="210"/>
        <v>10</v>
      </c>
      <c r="BZ217" s="13">
        <f t="shared" si="211"/>
        <v>5.6849661551803061</v>
      </c>
      <c r="CA217" s="13">
        <f t="shared" si="212"/>
        <v>5</v>
      </c>
      <c r="CB217" s="13">
        <f t="shared" si="213"/>
        <v>50</v>
      </c>
      <c r="CC217" s="62">
        <f t="shared" si="214"/>
        <v>0.02</v>
      </c>
      <c r="CD217" s="13">
        <f t="shared" si="215"/>
        <v>14.356948425794332</v>
      </c>
      <c r="CE217" s="13">
        <f t="shared" si="216"/>
        <v>14</v>
      </c>
      <c r="CF217" s="13">
        <f t="shared" si="217"/>
        <v>4.0366058575940187</v>
      </c>
      <c r="CG217" s="13">
        <f t="shared" si="218"/>
        <v>4</v>
      </c>
      <c r="CH217" s="28">
        <f t="shared" si="219"/>
        <v>56</v>
      </c>
      <c r="CI217" s="62">
        <f t="shared" si="220"/>
        <v>1.7857142857142856E-2</v>
      </c>
      <c r="CJ217" s="59">
        <f t="shared" si="221"/>
        <v>1.7857142857142856E-2</v>
      </c>
      <c r="CL217" s="63">
        <v>6000</v>
      </c>
      <c r="CM217" s="63">
        <f t="shared" si="222"/>
        <v>287.32479999999998</v>
      </c>
      <c r="CN217" s="63">
        <f t="shared" si="223"/>
        <v>292.32479999999998</v>
      </c>
      <c r="CO217" s="63">
        <f t="shared" si="224"/>
        <v>20.525114530139078</v>
      </c>
      <c r="CP217" s="13">
        <f t="shared" si="225"/>
        <v>20</v>
      </c>
      <c r="CQ217" s="70">
        <f t="shared" si="226"/>
        <v>0.05</v>
      </c>
      <c r="CR217" s="69">
        <f t="shared" si="194"/>
        <v>0.05</v>
      </c>
    </row>
    <row r="218" spans="1:96" hidden="1" x14ac:dyDescent="0.25">
      <c r="A218" s="13">
        <v>4</v>
      </c>
      <c r="B218" s="14" t="s">
        <v>677</v>
      </c>
      <c r="C218" s="13" t="s">
        <v>680</v>
      </c>
      <c r="D218" s="13" t="s">
        <v>2478</v>
      </c>
      <c r="E218" s="13" t="s">
        <v>52</v>
      </c>
      <c r="F218" s="15">
        <f t="shared" si="195"/>
        <v>1</v>
      </c>
      <c r="G218" s="13">
        <v>3</v>
      </c>
      <c r="H218" s="13">
        <f>G218*$H$216</f>
        <v>3</v>
      </c>
      <c r="I218" s="13">
        <v>2</v>
      </c>
      <c r="J218" s="14" t="s">
        <v>681</v>
      </c>
      <c r="K218" s="14" t="s">
        <v>34</v>
      </c>
      <c r="L218" s="13">
        <v>0</v>
      </c>
      <c r="M218" s="14" t="s">
        <v>35</v>
      </c>
      <c r="N218" s="13" t="s">
        <v>2478</v>
      </c>
      <c r="O218" s="28" t="s">
        <v>41</v>
      </c>
      <c r="P218" s="28" t="s">
        <v>41</v>
      </c>
      <c r="Q218" s="28" t="s">
        <v>2478</v>
      </c>
      <c r="R218" s="30"/>
      <c r="S218" s="30"/>
      <c r="T218" s="30"/>
      <c r="U218" s="30"/>
      <c r="V218" s="8">
        <f t="shared" si="196"/>
        <v>0</v>
      </c>
      <c r="W218" s="8">
        <f t="shared" si="197"/>
        <v>0</v>
      </c>
      <c r="X218" s="8">
        <f t="shared" si="198"/>
        <v>0</v>
      </c>
      <c r="Y218" s="33">
        <f t="shared" si="199"/>
        <v>0</v>
      </c>
      <c r="Z218" s="28" t="s">
        <v>2477</v>
      </c>
      <c r="AA218" s="28" t="s">
        <v>2477</v>
      </c>
      <c r="AB218" s="61" t="s">
        <v>2478</v>
      </c>
      <c r="AC218" s="31" t="s">
        <v>682</v>
      </c>
      <c r="AD218" s="50">
        <f t="shared" si="200"/>
        <v>3</v>
      </c>
      <c r="AE218" s="47" t="s">
        <v>107</v>
      </c>
      <c r="AF218" s="51">
        <v>14</v>
      </c>
      <c r="AG218" s="51">
        <f t="shared" si="228"/>
        <v>8.4</v>
      </c>
      <c r="AH218" s="51">
        <f t="shared" si="193"/>
        <v>42</v>
      </c>
      <c r="AI218" s="52" t="s">
        <v>2497</v>
      </c>
      <c r="AJ218" s="52" t="s">
        <v>2498</v>
      </c>
      <c r="AK218" s="53">
        <f t="shared" si="229"/>
        <v>0</v>
      </c>
      <c r="AL218" s="54">
        <f t="shared" si="230"/>
        <v>0.11904761904761904</v>
      </c>
      <c r="AM218" s="54">
        <f t="shared" si="231"/>
        <v>2.3809523809523808E-2</v>
      </c>
      <c r="AN218" s="55">
        <f t="shared" si="232"/>
        <v>0</v>
      </c>
      <c r="AO218" s="55">
        <f t="shared" si="233"/>
        <v>0</v>
      </c>
      <c r="AP218" s="53">
        <v>7.1</v>
      </c>
      <c r="AQ218" s="53">
        <f t="shared" si="201"/>
        <v>4.26</v>
      </c>
      <c r="AR218" s="53">
        <f t="shared" si="202"/>
        <v>21.299999999999997</v>
      </c>
      <c r="AS218" s="56">
        <f t="shared" si="203"/>
        <v>4.6948356807511742E-2</v>
      </c>
      <c r="AT218" s="56">
        <f t="shared" si="234"/>
        <v>0.23474178403755869</v>
      </c>
      <c r="AU218" s="56">
        <f t="shared" si="204"/>
        <v>0.176056338028169</v>
      </c>
      <c r="AV218" s="56">
        <f t="shared" si="235"/>
        <v>5.8685446009389672E-2</v>
      </c>
      <c r="AW218" s="57" t="s">
        <v>2511</v>
      </c>
      <c r="AX218" s="57" t="s">
        <v>2512</v>
      </c>
      <c r="AY218" s="57" t="s">
        <v>2513</v>
      </c>
      <c r="AZ218" s="58">
        <f t="shared" si="236"/>
        <v>0</v>
      </c>
      <c r="BA218" s="59">
        <f t="shared" si="240"/>
        <v>0</v>
      </c>
      <c r="BB218" s="59">
        <f t="shared" si="241"/>
        <v>0</v>
      </c>
      <c r="BC218" s="59">
        <f t="shared" si="242"/>
        <v>0</v>
      </c>
      <c r="BD218" s="60">
        <f t="shared" si="237"/>
        <v>7.1095438516664771E-6</v>
      </c>
      <c r="BE218" s="59">
        <f t="shared" si="238"/>
        <v>2.1328631554999432E-5</v>
      </c>
      <c r="BQ218" s="61">
        <v>3000</v>
      </c>
      <c r="BR218" s="61">
        <v>1200</v>
      </c>
      <c r="BS218" s="28">
        <f t="shared" si="205"/>
        <v>2980</v>
      </c>
      <c r="BT218" s="28">
        <f t="shared" si="206"/>
        <v>1180</v>
      </c>
      <c r="BU218" s="28" t="s">
        <v>2541</v>
      </c>
      <c r="BV218" s="28">
        <f t="shared" si="207"/>
        <v>5</v>
      </c>
      <c r="BW218" s="28">
        <f t="shared" si="208"/>
        <v>5</v>
      </c>
      <c r="BX218" s="13">
        <f t="shared" si="209"/>
        <v>596</v>
      </c>
      <c r="BY218" s="13">
        <f t="shared" si="210"/>
        <v>596</v>
      </c>
      <c r="BZ218" s="13">
        <f t="shared" si="211"/>
        <v>236</v>
      </c>
      <c r="CA218" s="13">
        <f t="shared" si="212"/>
        <v>236</v>
      </c>
      <c r="CB218" s="13">
        <f t="shared" si="213"/>
        <v>140656</v>
      </c>
      <c r="CC218" s="62">
        <f t="shared" si="214"/>
        <v>7.1095438516664771E-6</v>
      </c>
      <c r="CD218" s="13">
        <f t="shared" si="215"/>
        <v>596</v>
      </c>
      <c r="CE218" s="13">
        <f t="shared" si="216"/>
        <v>596</v>
      </c>
      <c r="CF218" s="13">
        <f t="shared" si="217"/>
        <v>236</v>
      </c>
      <c r="CG218" s="13">
        <f t="shared" si="218"/>
        <v>236</v>
      </c>
      <c r="CH218" s="28">
        <f t="shared" si="219"/>
        <v>140656</v>
      </c>
      <c r="CI218" s="62">
        <f t="shared" si="220"/>
        <v>7.1095438516664771E-6</v>
      </c>
      <c r="CJ218" s="59">
        <f t="shared" si="221"/>
        <v>7.1095438516664771E-6</v>
      </c>
      <c r="CL218" s="63">
        <v>6000</v>
      </c>
      <c r="CM218" s="63">
        <f t="shared" si="222"/>
        <v>0</v>
      </c>
      <c r="CN218" s="63">
        <f t="shared" si="223"/>
        <v>5</v>
      </c>
      <c r="CO218" s="63">
        <f t="shared" si="224"/>
        <v>1200</v>
      </c>
      <c r="CP218" s="13">
        <f t="shared" si="225"/>
        <v>1200</v>
      </c>
      <c r="CQ218" s="70">
        <f t="shared" si="226"/>
        <v>8.3333333333333339E-4</v>
      </c>
      <c r="CR218" s="69">
        <f t="shared" si="194"/>
        <v>2.5000000000000001E-3</v>
      </c>
    </row>
    <row r="219" spans="1:96" hidden="1" x14ac:dyDescent="0.25">
      <c r="A219" s="10">
        <v>3</v>
      </c>
      <c r="B219" s="8" t="s">
        <v>660</v>
      </c>
      <c r="C219" s="10" t="s">
        <v>683</v>
      </c>
      <c r="D219" s="10" t="s">
        <v>2270</v>
      </c>
      <c r="E219" s="10" t="s">
        <v>52</v>
      </c>
      <c r="F219" s="12">
        <f t="shared" si="195"/>
        <v>1</v>
      </c>
      <c r="G219" s="10">
        <v>1</v>
      </c>
      <c r="H219" s="10">
        <f t="shared" ref="H219:H233" si="244">G219*$H$211</f>
        <v>1</v>
      </c>
      <c r="I219" s="10">
        <v>4</v>
      </c>
      <c r="J219" s="8" t="s">
        <v>606</v>
      </c>
      <c r="K219" s="8" t="s">
        <v>34</v>
      </c>
      <c r="L219" s="10">
        <v>0</v>
      </c>
      <c r="M219" s="8" t="s">
        <v>35</v>
      </c>
      <c r="N219" s="10" t="s">
        <v>684</v>
      </c>
      <c r="O219" s="28" t="s">
        <v>41</v>
      </c>
      <c r="P219" s="28" t="s">
        <v>41</v>
      </c>
      <c r="Q219" s="28" t="s">
        <v>116</v>
      </c>
      <c r="R219" s="30">
        <v>12.116</v>
      </c>
      <c r="S219" s="30">
        <v>2.5</v>
      </c>
      <c r="T219" s="30"/>
      <c r="U219" s="30">
        <v>0.11799999999999999</v>
      </c>
      <c r="V219" s="8">
        <f t="shared" si="196"/>
        <v>307.74639999999999</v>
      </c>
      <c r="W219" s="8">
        <f t="shared" si="197"/>
        <v>63.5</v>
      </c>
      <c r="X219" s="8">
        <f t="shared" si="198"/>
        <v>0</v>
      </c>
      <c r="Y219" s="33">
        <f t="shared" si="199"/>
        <v>2.9971999999999999</v>
      </c>
      <c r="Z219" s="28" t="s">
        <v>56</v>
      </c>
      <c r="AA219" s="28" t="s">
        <v>57</v>
      </c>
      <c r="AB219" s="28" t="s">
        <v>116</v>
      </c>
      <c r="AC219" s="31" t="s">
        <v>117</v>
      </c>
      <c r="AD219" s="50">
        <f t="shared" si="200"/>
        <v>1</v>
      </c>
      <c r="AE219" s="31"/>
      <c r="AF219" s="51">
        <v>14</v>
      </c>
      <c r="AG219" s="51">
        <f t="shared" si="228"/>
        <v>8.4</v>
      </c>
      <c r="AH219" s="51">
        <f t="shared" si="193"/>
        <v>42</v>
      </c>
      <c r="AI219" s="52" t="s">
        <v>2497</v>
      </c>
      <c r="AJ219" s="52" t="s">
        <v>2498</v>
      </c>
      <c r="AK219" s="53">
        <f t="shared" si="229"/>
        <v>3.9083792799999996E-2</v>
      </c>
      <c r="AL219" s="54">
        <f t="shared" si="230"/>
        <v>0.11904761904761904</v>
      </c>
      <c r="AM219" s="54">
        <f t="shared" si="231"/>
        <v>2.3809523809523808E-2</v>
      </c>
      <c r="AN219" s="55">
        <f t="shared" si="232"/>
        <v>4.652832476190475E-3</v>
      </c>
      <c r="AO219" s="55">
        <f t="shared" si="233"/>
        <v>9.3056649523809507E-4</v>
      </c>
      <c r="AP219" s="53">
        <v>7.1</v>
      </c>
      <c r="AQ219" s="53">
        <f t="shared" si="201"/>
        <v>4.26</v>
      </c>
      <c r="AR219" s="53">
        <f t="shared" si="202"/>
        <v>21.299999999999997</v>
      </c>
      <c r="AS219" s="56">
        <f t="shared" si="203"/>
        <v>4.6948356807511742E-2</v>
      </c>
      <c r="AT219" s="56">
        <f t="shared" si="234"/>
        <v>0.23474178403755869</v>
      </c>
      <c r="AU219" s="56">
        <f t="shared" si="204"/>
        <v>0.176056338028169</v>
      </c>
      <c r="AV219" s="56">
        <f t="shared" si="235"/>
        <v>5.8685446009389672E-2</v>
      </c>
      <c r="AW219" s="57" t="s">
        <v>2511</v>
      </c>
      <c r="AX219" s="57" t="s">
        <v>2512</v>
      </c>
      <c r="AY219" s="57" t="s">
        <v>2513</v>
      </c>
      <c r="AZ219" s="58">
        <f t="shared" si="236"/>
        <v>3.9083792799999996E-2</v>
      </c>
      <c r="BA219" s="59">
        <f t="shared" si="240"/>
        <v>1.1468249061032862E-3</v>
      </c>
      <c r="BB219" s="59">
        <f t="shared" si="241"/>
        <v>3.4404747183098584E-3</v>
      </c>
      <c r="BC219" s="59">
        <f t="shared" si="242"/>
        <v>9.1745992488262906E-4</v>
      </c>
      <c r="BD219" s="60">
        <f t="shared" si="237"/>
        <v>6.5359477124183009E-3</v>
      </c>
      <c r="BE219" s="59">
        <f t="shared" si="238"/>
        <v>6.5359477124183009E-3</v>
      </c>
      <c r="BQ219" s="61">
        <v>3000</v>
      </c>
      <c r="BR219" s="61">
        <v>1200</v>
      </c>
      <c r="BS219" s="28">
        <f t="shared" si="205"/>
        <v>2980</v>
      </c>
      <c r="BT219" s="28">
        <f t="shared" si="206"/>
        <v>1180</v>
      </c>
      <c r="BU219" s="28" t="s">
        <v>2541</v>
      </c>
      <c r="BV219" s="28">
        <f t="shared" si="207"/>
        <v>312.74639999999999</v>
      </c>
      <c r="BW219" s="28">
        <f t="shared" si="208"/>
        <v>68.5</v>
      </c>
      <c r="BX219" s="13">
        <f t="shared" si="209"/>
        <v>9.5284869785871233</v>
      </c>
      <c r="BY219" s="13">
        <f t="shared" si="210"/>
        <v>9</v>
      </c>
      <c r="BZ219" s="13">
        <f t="shared" si="211"/>
        <v>17.226277372262775</v>
      </c>
      <c r="CA219" s="13">
        <f t="shared" si="212"/>
        <v>17</v>
      </c>
      <c r="CB219" s="13">
        <f t="shared" si="213"/>
        <v>153</v>
      </c>
      <c r="CC219" s="62">
        <f t="shared" si="214"/>
        <v>6.5359477124183009E-3</v>
      </c>
      <c r="CD219" s="13">
        <f t="shared" si="215"/>
        <v>43.503649635036496</v>
      </c>
      <c r="CE219" s="13">
        <f t="shared" si="216"/>
        <v>43</v>
      </c>
      <c r="CF219" s="13">
        <f t="shared" si="217"/>
        <v>3.7730250452123508</v>
      </c>
      <c r="CG219" s="13">
        <f t="shared" si="218"/>
        <v>3</v>
      </c>
      <c r="CH219" s="28">
        <f t="shared" si="219"/>
        <v>129</v>
      </c>
      <c r="CI219" s="62">
        <f t="shared" si="220"/>
        <v>7.7519379844961239E-3</v>
      </c>
      <c r="CJ219" s="59">
        <f t="shared" si="221"/>
        <v>6.5359477124183009E-3</v>
      </c>
      <c r="CL219" s="63">
        <v>6000</v>
      </c>
      <c r="CM219" s="63">
        <f t="shared" si="222"/>
        <v>307.74639999999999</v>
      </c>
      <c r="CN219" s="63">
        <f t="shared" si="223"/>
        <v>312.74639999999999</v>
      </c>
      <c r="CO219" s="63">
        <f t="shared" si="224"/>
        <v>19.184873111249242</v>
      </c>
      <c r="CP219" s="13">
        <f t="shared" si="225"/>
        <v>19</v>
      </c>
      <c r="CQ219" s="70">
        <f t="shared" si="226"/>
        <v>5.2631578947368418E-2</v>
      </c>
      <c r="CR219" s="69">
        <f t="shared" si="194"/>
        <v>5.2631578947368418E-2</v>
      </c>
    </row>
    <row r="220" spans="1:96" hidden="1" x14ac:dyDescent="0.25">
      <c r="A220" s="10">
        <v>3</v>
      </c>
      <c r="B220" s="8" t="s">
        <v>660</v>
      </c>
      <c r="C220" s="10" t="s">
        <v>685</v>
      </c>
      <c r="D220" s="10" t="s">
        <v>2270</v>
      </c>
      <c r="E220" s="10" t="s">
        <v>52</v>
      </c>
      <c r="F220" s="12">
        <f t="shared" si="195"/>
        <v>1</v>
      </c>
      <c r="G220" s="10">
        <v>2</v>
      </c>
      <c r="H220" s="10">
        <f t="shared" si="244"/>
        <v>2</v>
      </c>
      <c r="I220" s="10">
        <v>5</v>
      </c>
      <c r="J220" s="8" t="s">
        <v>686</v>
      </c>
      <c r="K220" s="8" t="s">
        <v>34</v>
      </c>
      <c r="L220" s="10" t="s">
        <v>687</v>
      </c>
      <c r="M220" s="8" t="s">
        <v>340</v>
      </c>
      <c r="N220" s="10" t="s">
        <v>688</v>
      </c>
      <c r="O220" s="28" t="s">
        <v>41</v>
      </c>
      <c r="P220" s="28" t="s">
        <v>41</v>
      </c>
      <c r="Q220" s="28" t="s">
        <v>688</v>
      </c>
      <c r="R220" s="30"/>
      <c r="S220" s="30"/>
      <c r="T220" s="30"/>
      <c r="U220" s="30"/>
      <c r="V220" s="8">
        <f t="shared" si="196"/>
        <v>0</v>
      </c>
      <c r="W220" s="8">
        <f t="shared" si="197"/>
        <v>0</v>
      </c>
      <c r="X220" s="8">
        <f t="shared" si="198"/>
        <v>0</v>
      </c>
      <c r="Y220" s="33">
        <f t="shared" si="199"/>
        <v>0</v>
      </c>
      <c r="Z220" s="28"/>
      <c r="AA220" s="28"/>
      <c r="AB220" s="61" t="s">
        <v>688</v>
      </c>
      <c r="AC220" s="31" t="s">
        <v>689</v>
      </c>
      <c r="AD220" s="50">
        <f t="shared" si="200"/>
        <v>2</v>
      </c>
      <c r="AE220" s="31"/>
      <c r="AF220" s="51">
        <v>14</v>
      </c>
      <c r="AG220" s="51">
        <f t="shared" si="228"/>
        <v>8.4</v>
      </c>
      <c r="AH220" s="51">
        <f t="shared" si="193"/>
        <v>42</v>
      </c>
      <c r="AI220" s="52" t="s">
        <v>2497</v>
      </c>
      <c r="AJ220" s="52" t="s">
        <v>2498</v>
      </c>
      <c r="AK220" s="53">
        <f t="shared" si="229"/>
        <v>0</v>
      </c>
      <c r="AL220" s="54">
        <f t="shared" si="230"/>
        <v>0.11904761904761904</v>
      </c>
      <c r="AM220" s="54">
        <f t="shared" si="231"/>
        <v>2.3809523809523808E-2</v>
      </c>
      <c r="AN220" s="55">
        <f t="shared" si="232"/>
        <v>0</v>
      </c>
      <c r="AO220" s="55">
        <f t="shared" si="233"/>
        <v>0</v>
      </c>
      <c r="AP220" s="53">
        <v>7.1</v>
      </c>
      <c r="AQ220" s="53">
        <f t="shared" si="201"/>
        <v>4.26</v>
      </c>
      <c r="AR220" s="53">
        <f t="shared" si="202"/>
        <v>21.299999999999997</v>
      </c>
      <c r="AS220" s="56">
        <f t="shared" si="203"/>
        <v>4.6948356807511742E-2</v>
      </c>
      <c r="AT220" s="56">
        <f t="shared" si="234"/>
        <v>0.23474178403755869</v>
      </c>
      <c r="AU220" s="56">
        <f t="shared" si="204"/>
        <v>0.176056338028169</v>
      </c>
      <c r="AV220" s="56">
        <f t="shared" si="235"/>
        <v>5.8685446009389672E-2</v>
      </c>
      <c r="AW220" s="57" t="s">
        <v>2511</v>
      </c>
      <c r="AX220" s="57" t="s">
        <v>2512</v>
      </c>
      <c r="AY220" s="57" t="s">
        <v>2513</v>
      </c>
      <c r="AZ220" s="58">
        <f t="shared" si="236"/>
        <v>0</v>
      </c>
      <c r="BA220" s="59">
        <f t="shared" si="240"/>
        <v>0</v>
      </c>
      <c r="BB220" s="59">
        <f t="shared" si="241"/>
        <v>0</v>
      </c>
      <c r="BC220" s="59">
        <f t="shared" si="242"/>
        <v>0</v>
      </c>
      <c r="BD220" s="60">
        <f t="shared" si="237"/>
        <v>7.1095438516664771E-6</v>
      </c>
      <c r="BE220" s="59">
        <f t="shared" si="238"/>
        <v>1.4219087703332954E-5</v>
      </c>
      <c r="BQ220" s="61">
        <v>3000</v>
      </c>
      <c r="BR220" s="61">
        <v>1200</v>
      </c>
      <c r="BS220" s="28">
        <f t="shared" si="205"/>
        <v>2980</v>
      </c>
      <c r="BT220" s="28">
        <f t="shared" si="206"/>
        <v>1180</v>
      </c>
      <c r="BU220" s="28" t="s">
        <v>2541</v>
      </c>
      <c r="BV220" s="28">
        <f t="shared" si="207"/>
        <v>5</v>
      </c>
      <c r="BW220" s="28">
        <f t="shared" si="208"/>
        <v>5</v>
      </c>
      <c r="BX220" s="13">
        <f t="shared" si="209"/>
        <v>596</v>
      </c>
      <c r="BY220" s="13">
        <f t="shared" si="210"/>
        <v>596</v>
      </c>
      <c r="BZ220" s="13">
        <f t="shared" si="211"/>
        <v>236</v>
      </c>
      <c r="CA220" s="13">
        <f t="shared" si="212"/>
        <v>236</v>
      </c>
      <c r="CB220" s="13">
        <f t="shared" si="213"/>
        <v>140656</v>
      </c>
      <c r="CC220" s="62">
        <f t="shared" si="214"/>
        <v>7.1095438516664771E-6</v>
      </c>
      <c r="CD220" s="13">
        <f t="shared" si="215"/>
        <v>596</v>
      </c>
      <c r="CE220" s="13">
        <f t="shared" si="216"/>
        <v>596</v>
      </c>
      <c r="CF220" s="13">
        <f t="shared" si="217"/>
        <v>236</v>
      </c>
      <c r="CG220" s="13">
        <f t="shared" si="218"/>
        <v>236</v>
      </c>
      <c r="CH220" s="28">
        <f t="shared" si="219"/>
        <v>140656</v>
      </c>
      <c r="CI220" s="62">
        <f t="shared" si="220"/>
        <v>7.1095438516664771E-6</v>
      </c>
      <c r="CJ220" s="59">
        <f t="shared" si="221"/>
        <v>7.1095438516664771E-6</v>
      </c>
      <c r="CL220" s="63">
        <v>6000</v>
      </c>
      <c r="CM220" s="63">
        <f t="shared" si="222"/>
        <v>0</v>
      </c>
      <c r="CN220" s="63">
        <f t="shared" si="223"/>
        <v>5</v>
      </c>
      <c r="CO220" s="63">
        <f t="shared" si="224"/>
        <v>1200</v>
      </c>
      <c r="CP220" s="13">
        <f t="shared" si="225"/>
        <v>1200</v>
      </c>
      <c r="CQ220" s="70">
        <f t="shared" si="226"/>
        <v>8.3333333333333339E-4</v>
      </c>
      <c r="CR220" s="69">
        <f t="shared" si="194"/>
        <v>1.6666666666666668E-3</v>
      </c>
    </row>
    <row r="221" spans="1:96" hidden="1" x14ac:dyDescent="0.25">
      <c r="A221" s="10">
        <v>3</v>
      </c>
      <c r="B221" s="8" t="s">
        <v>660</v>
      </c>
      <c r="C221" s="10" t="s">
        <v>690</v>
      </c>
      <c r="D221" s="10" t="s">
        <v>2270</v>
      </c>
      <c r="E221" s="10" t="s">
        <v>52</v>
      </c>
      <c r="F221" s="12">
        <f t="shared" si="195"/>
        <v>1</v>
      </c>
      <c r="G221" s="10">
        <v>4</v>
      </c>
      <c r="H221" s="10">
        <f t="shared" si="244"/>
        <v>4</v>
      </c>
      <c r="I221" s="10">
        <v>6</v>
      </c>
      <c r="J221" s="8" t="s">
        <v>691</v>
      </c>
      <c r="K221" s="8" t="s">
        <v>34</v>
      </c>
      <c r="L221" s="10">
        <v>0</v>
      </c>
      <c r="M221" s="8" t="s">
        <v>35</v>
      </c>
      <c r="N221" s="10" t="s">
        <v>692</v>
      </c>
      <c r="O221" s="28" t="s">
        <v>41</v>
      </c>
      <c r="P221" s="28" t="s">
        <v>41</v>
      </c>
      <c r="Q221" s="28" t="s">
        <v>692</v>
      </c>
      <c r="R221" s="30"/>
      <c r="S221" s="30"/>
      <c r="T221" s="30"/>
      <c r="U221" s="30"/>
      <c r="V221" s="8">
        <f t="shared" si="196"/>
        <v>0</v>
      </c>
      <c r="W221" s="8">
        <f t="shared" si="197"/>
        <v>0</v>
      </c>
      <c r="X221" s="8">
        <f t="shared" si="198"/>
        <v>0</v>
      </c>
      <c r="Y221" s="33">
        <f t="shared" si="199"/>
        <v>0</v>
      </c>
      <c r="Z221" s="28"/>
      <c r="AA221" s="28"/>
      <c r="AB221" s="28" t="s">
        <v>692</v>
      </c>
      <c r="AC221" s="31" t="s">
        <v>693</v>
      </c>
      <c r="AD221" s="50">
        <f t="shared" si="200"/>
        <v>4</v>
      </c>
      <c r="AE221" s="31"/>
      <c r="AF221" s="51">
        <v>14</v>
      </c>
      <c r="AG221" s="51">
        <f t="shared" si="228"/>
        <v>8.4</v>
      </c>
      <c r="AH221" s="51">
        <f t="shared" si="193"/>
        <v>42</v>
      </c>
      <c r="AI221" s="52" t="s">
        <v>2497</v>
      </c>
      <c r="AJ221" s="52" t="s">
        <v>2498</v>
      </c>
      <c r="AK221" s="53">
        <f t="shared" si="229"/>
        <v>0</v>
      </c>
      <c r="AL221" s="54">
        <f t="shared" si="230"/>
        <v>0.11904761904761904</v>
      </c>
      <c r="AM221" s="54">
        <f t="shared" si="231"/>
        <v>2.3809523809523808E-2</v>
      </c>
      <c r="AN221" s="55">
        <f t="shared" si="232"/>
        <v>0</v>
      </c>
      <c r="AO221" s="55">
        <f t="shared" si="233"/>
        <v>0</v>
      </c>
      <c r="AP221" s="53">
        <v>7.1</v>
      </c>
      <c r="AQ221" s="53">
        <f t="shared" si="201"/>
        <v>4.26</v>
      </c>
      <c r="AR221" s="53">
        <f t="shared" si="202"/>
        <v>21.299999999999997</v>
      </c>
      <c r="AS221" s="56">
        <f t="shared" si="203"/>
        <v>4.6948356807511742E-2</v>
      </c>
      <c r="AT221" s="56">
        <f t="shared" si="234"/>
        <v>0.23474178403755869</v>
      </c>
      <c r="AU221" s="56">
        <f t="shared" si="204"/>
        <v>0.176056338028169</v>
      </c>
      <c r="AV221" s="56">
        <f t="shared" si="235"/>
        <v>5.8685446009389672E-2</v>
      </c>
      <c r="AW221" s="57" t="s">
        <v>2511</v>
      </c>
      <c r="AX221" s="57" t="s">
        <v>2512</v>
      </c>
      <c r="AY221" s="57" t="s">
        <v>2513</v>
      </c>
      <c r="AZ221" s="58">
        <f t="shared" si="236"/>
        <v>0</v>
      </c>
      <c r="BA221" s="59">
        <f t="shared" si="240"/>
        <v>0</v>
      </c>
      <c r="BB221" s="59">
        <f t="shared" si="241"/>
        <v>0</v>
      </c>
      <c r="BC221" s="59">
        <f t="shared" si="242"/>
        <v>0</v>
      </c>
      <c r="BD221" s="60">
        <f t="shared" si="237"/>
        <v>7.1095438516664771E-6</v>
      </c>
      <c r="BE221" s="59">
        <f t="shared" si="238"/>
        <v>2.8438175406665908E-5</v>
      </c>
      <c r="BQ221" s="61">
        <v>3000</v>
      </c>
      <c r="BR221" s="61">
        <v>1200</v>
      </c>
      <c r="BS221" s="28">
        <f t="shared" si="205"/>
        <v>2980</v>
      </c>
      <c r="BT221" s="28">
        <f t="shared" si="206"/>
        <v>1180</v>
      </c>
      <c r="BU221" s="28" t="s">
        <v>2541</v>
      </c>
      <c r="BV221" s="28">
        <f t="shared" si="207"/>
        <v>5</v>
      </c>
      <c r="BW221" s="28">
        <f t="shared" si="208"/>
        <v>5</v>
      </c>
      <c r="BX221" s="13">
        <f t="shared" si="209"/>
        <v>596</v>
      </c>
      <c r="BY221" s="13">
        <f t="shared" si="210"/>
        <v>596</v>
      </c>
      <c r="BZ221" s="13">
        <f t="shared" si="211"/>
        <v>236</v>
      </c>
      <c r="CA221" s="13">
        <f t="shared" si="212"/>
        <v>236</v>
      </c>
      <c r="CB221" s="13">
        <f t="shared" si="213"/>
        <v>140656</v>
      </c>
      <c r="CC221" s="62">
        <f t="shared" si="214"/>
        <v>7.1095438516664771E-6</v>
      </c>
      <c r="CD221" s="13">
        <f t="shared" si="215"/>
        <v>596</v>
      </c>
      <c r="CE221" s="13">
        <f t="shared" si="216"/>
        <v>596</v>
      </c>
      <c r="CF221" s="13">
        <f t="shared" si="217"/>
        <v>236</v>
      </c>
      <c r="CG221" s="13">
        <f t="shared" si="218"/>
        <v>236</v>
      </c>
      <c r="CH221" s="28">
        <f t="shared" si="219"/>
        <v>140656</v>
      </c>
      <c r="CI221" s="62">
        <f t="shared" si="220"/>
        <v>7.1095438516664771E-6</v>
      </c>
      <c r="CJ221" s="59">
        <f t="shared" si="221"/>
        <v>7.1095438516664771E-6</v>
      </c>
      <c r="CL221" s="63">
        <v>6000</v>
      </c>
      <c r="CM221" s="63">
        <f t="shared" si="222"/>
        <v>0</v>
      </c>
      <c r="CN221" s="63">
        <f t="shared" si="223"/>
        <v>5</v>
      </c>
      <c r="CO221" s="63">
        <f t="shared" si="224"/>
        <v>1200</v>
      </c>
      <c r="CP221" s="13">
        <f t="shared" si="225"/>
        <v>1200</v>
      </c>
      <c r="CQ221" s="70">
        <f t="shared" si="226"/>
        <v>8.3333333333333339E-4</v>
      </c>
      <c r="CR221" s="69">
        <f t="shared" si="194"/>
        <v>3.3333333333333335E-3</v>
      </c>
    </row>
    <row r="222" spans="1:96" hidden="1" x14ac:dyDescent="0.25">
      <c r="A222" s="10">
        <v>3</v>
      </c>
      <c r="B222" s="8" t="s">
        <v>660</v>
      </c>
      <c r="C222" s="10" t="s">
        <v>694</v>
      </c>
      <c r="D222" s="10" t="s">
        <v>696</v>
      </c>
      <c r="E222" s="10" t="s">
        <v>52</v>
      </c>
      <c r="F222" s="12">
        <f t="shared" si="195"/>
        <v>1</v>
      </c>
      <c r="G222" s="10">
        <v>2</v>
      </c>
      <c r="H222" s="10">
        <f t="shared" si="244"/>
        <v>2</v>
      </c>
      <c r="I222" s="10">
        <v>7</v>
      </c>
      <c r="J222" s="8" t="s">
        <v>695</v>
      </c>
      <c r="K222" s="8" t="s">
        <v>34</v>
      </c>
      <c r="L222" s="10" t="s">
        <v>687</v>
      </c>
      <c r="M222" s="8" t="s">
        <v>340</v>
      </c>
      <c r="N222" s="10" t="s">
        <v>696</v>
      </c>
      <c r="O222" s="28" t="s">
        <v>41</v>
      </c>
      <c r="P222" s="28" t="s">
        <v>41</v>
      </c>
      <c r="Q222" s="28" t="s">
        <v>696</v>
      </c>
      <c r="R222" s="30"/>
      <c r="S222" s="30"/>
      <c r="T222" s="30"/>
      <c r="U222" s="30"/>
      <c r="V222" s="8">
        <f t="shared" si="196"/>
        <v>0</v>
      </c>
      <c r="W222" s="8">
        <f t="shared" si="197"/>
        <v>0</v>
      </c>
      <c r="X222" s="8">
        <f t="shared" si="198"/>
        <v>0</v>
      </c>
      <c r="Y222" s="33">
        <f t="shared" si="199"/>
        <v>0</v>
      </c>
      <c r="Z222" s="28" t="s">
        <v>2477</v>
      </c>
      <c r="AA222" s="28" t="s">
        <v>2477</v>
      </c>
      <c r="AB222" s="61" t="s">
        <v>696</v>
      </c>
      <c r="AC222" s="31" t="s">
        <v>697</v>
      </c>
      <c r="AD222" s="50">
        <f t="shared" si="200"/>
        <v>2</v>
      </c>
      <c r="AE222" s="31"/>
      <c r="AF222" s="51">
        <v>14</v>
      </c>
      <c r="AG222" s="51">
        <f t="shared" si="228"/>
        <v>8.4</v>
      </c>
      <c r="AH222" s="51">
        <f t="shared" si="193"/>
        <v>42</v>
      </c>
      <c r="AI222" s="52" t="s">
        <v>2497</v>
      </c>
      <c r="AJ222" s="52" t="s">
        <v>2498</v>
      </c>
      <c r="AK222" s="53">
        <f t="shared" si="229"/>
        <v>0</v>
      </c>
      <c r="AL222" s="54">
        <f t="shared" si="230"/>
        <v>0.11904761904761904</v>
      </c>
      <c r="AM222" s="54">
        <f t="shared" si="231"/>
        <v>2.3809523809523808E-2</v>
      </c>
      <c r="AN222" s="55">
        <f t="shared" si="232"/>
        <v>0</v>
      </c>
      <c r="AO222" s="55">
        <f t="shared" si="233"/>
        <v>0</v>
      </c>
      <c r="AP222" s="53">
        <v>7.1</v>
      </c>
      <c r="AQ222" s="53">
        <f t="shared" si="201"/>
        <v>4.26</v>
      </c>
      <c r="AR222" s="53">
        <f t="shared" si="202"/>
        <v>21.299999999999997</v>
      </c>
      <c r="AS222" s="56">
        <f t="shared" si="203"/>
        <v>4.6948356807511742E-2</v>
      </c>
      <c r="AT222" s="56">
        <f t="shared" si="234"/>
        <v>0.23474178403755869</v>
      </c>
      <c r="AU222" s="56">
        <f t="shared" si="204"/>
        <v>0.176056338028169</v>
      </c>
      <c r="AV222" s="56">
        <f t="shared" si="235"/>
        <v>5.8685446009389672E-2</v>
      </c>
      <c r="AW222" s="57" t="s">
        <v>2511</v>
      </c>
      <c r="AX222" s="57" t="s">
        <v>2512</v>
      </c>
      <c r="AY222" s="57" t="s">
        <v>2513</v>
      </c>
      <c r="AZ222" s="58">
        <f t="shared" si="236"/>
        <v>0</v>
      </c>
      <c r="BA222" s="59">
        <f t="shared" si="240"/>
        <v>0</v>
      </c>
      <c r="BB222" s="59">
        <f t="shared" si="241"/>
        <v>0</v>
      </c>
      <c r="BC222" s="59">
        <f t="shared" si="242"/>
        <v>0</v>
      </c>
      <c r="BD222" s="60">
        <f t="shared" si="237"/>
        <v>7.1095438516664771E-6</v>
      </c>
      <c r="BE222" s="59">
        <f t="shared" si="238"/>
        <v>1.4219087703332954E-5</v>
      </c>
      <c r="BQ222" s="61">
        <v>3000</v>
      </c>
      <c r="BR222" s="61">
        <v>1200</v>
      </c>
      <c r="BS222" s="28">
        <f t="shared" si="205"/>
        <v>2980</v>
      </c>
      <c r="BT222" s="28">
        <f t="shared" si="206"/>
        <v>1180</v>
      </c>
      <c r="BU222" s="28" t="s">
        <v>2541</v>
      </c>
      <c r="BV222" s="28">
        <f t="shared" si="207"/>
        <v>5</v>
      </c>
      <c r="BW222" s="28">
        <f t="shared" si="208"/>
        <v>5</v>
      </c>
      <c r="BX222" s="13">
        <f t="shared" si="209"/>
        <v>596</v>
      </c>
      <c r="BY222" s="13">
        <f t="shared" si="210"/>
        <v>596</v>
      </c>
      <c r="BZ222" s="13">
        <f t="shared" si="211"/>
        <v>236</v>
      </c>
      <c r="CA222" s="13">
        <f t="shared" si="212"/>
        <v>236</v>
      </c>
      <c r="CB222" s="13">
        <f t="shared" si="213"/>
        <v>140656</v>
      </c>
      <c r="CC222" s="62">
        <f t="shared" si="214"/>
        <v>7.1095438516664771E-6</v>
      </c>
      <c r="CD222" s="13">
        <f t="shared" si="215"/>
        <v>596</v>
      </c>
      <c r="CE222" s="13">
        <f t="shared" si="216"/>
        <v>596</v>
      </c>
      <c r="CF222" s="13">
        <f t="shared" si="217"/>
        <v>236</v>
      </c>
      <c r="CG222" s="13">
        <f t="shared" si="218"/>
        <v>236</v>
      </c>
      <c r="CH222" s="28">
        <f t="shared" si="219"/>
        <v>140656</v>
      </c>
      <c r="CI222" s="62">
        <f t="shared" si="220"/>
        <v>7.1095438516664771E-6</v>
      </c>
      <c r="CJ222" s="59">
        <f t="shared" si="221"/>
        <v>7.1095438516664771E-6</v>
      </c>
      <c r="CL222" s="63">
        <v>6000</v>
      </c>
      <c r="CM222" s="63">
        <f t="shared" si="222"/>
        <v>0</v>
      </c>
      <c r="CN222" s="63">
        <f t="shared" si="223"/>
        <v>5</v>
      </c>
      <c r="CO222" s="63">
        <f t="shared" si="224"/>
        <v>1200</v>
      </c>
      <c r="CP222" s="13">
        <f t="shared" si="225"/>
        <v>1200</v>
      </c>
      <c r="CQ222" s="70">
        <f t="shared" si="226"/>
        <v>8.3333333333333339E-4</v>
      </c>
      <c r="CR222" s="69">
        <f t="shared" si="194"/>
        <v>1.6666666666666668E-3</v>
      </c>
    </row>
    <row r="223" spans="1:96" hidden="1" x14ac:dyDescent="0.25">
      <c r="A223" s="10">
        <v>3</v>
      </c>
      <c r="B223" s="8" t="s">
        <v>660</v>
      </c>
      <c r="C223" s="10" t="s">
        <v>698</v>
      </c>
      <c r="D223" s="10" t="s">
        <v>700</v>
      </c>
      <c r="E223" s="10" t="s">
        <v>52</v>
      </c>
      <c r="F223" s="12">
        <f t="shared" si="195"/>
        <v>4</v>
      </c>
      <c r="G223" s="10">
        <v>4</v>
      </c>
      <c r="H223" s="10">
        <f t="shared" si="244"/>
        <v>4</v>
      </c>
      <c r="I223" s="10">
        <v>8</v>
      </c>
      <c r="J223" s="8" t="s">
        <v>699</v>
      </c>
      <c r="K223" s="8" t="s">
        <v>34</v>
      </c>
      <c r="L223" s="10" t="s">
        <v>89</v>
      </c>
      <c r="M223" s="8" t="s">
        <v>35</v>
      </c>
      <c r="N223" s="10" t="s">
        <v>700</v>
      </c>
      <c r="O223" s="28" t="s">
        <v>41</v>
      </c>
      <c r="P223" s="28" t="s">
        <v>41</v>
      </c>
      <c r="Q223" s="28" t="s">
        <v>79</v>
      </c>
      <c r="R223" s="30">
        <v>6.0629921259842527</v>
      </c>
      <c r="S223" s="30">
        <v>0.3125</v>
      </c>
      <c r="T223" s="30"/>
      <c r="U223" s="30">
        <v>0.3125</v>
      </c>
      <c r="V223" s="8">
        <f t="shared" si="196"/>
        <v>154</v>
      </c>
      <c r="W223" s="8">
        <f t="shared" si="197"/>
        <v>7.9375</v>
      </c>
      <c r="X223" s="8">
        <f t="shared" si="198"/>
        <v>0</v>
      </c>
      <c r="Y223" s="33">
        <f t="shared" si="199"/>
        <v>7.9375</v>
      </c>
      <c r="Z223" s="28" t="s">
        <v>80</v>
      </c>
      <c r="AA223" s="28" t="s">
        <v>81</v>
      </c>
      <c r="AB223" s="61" t="s">
        <v>79</v>
      </c>
      <c r="AC223" s="31" t="s">
        <v>82</v>
      </c>
      <c r="AD223" s="50">
        <f t="shared" si="200"/>
        <v>4</v>
      </c>
      <c r="AE223" s="31"/>
      <c r="AF223" s="51">
        <v>14</v>
      </c>
      <c r="AG223" s="51">
        <f t="shared" si="228"/>
        <v>8.4</v>
      </c>
      <c r="AH223" s="51">
        <f t="shared" si="193"/>
        <v>42</v>
      </c>
      <c r="AI223" s="52" t="s">
        <v>2497</v>
      </c>
      <c r="AJ223" s="52" t="s">
        <v>2498</v>
      </c>
      <c r="AK223" s="53">
        <f t="shared" si="229"/>
        <v>2.4447499999999999E-3</v>
      </c>
      <c r="AL223" s="54">
        <f t="shared" si="230"/>
        <v>0.11904761904761904</v>
      </c>
      <c r="AM223" s="54">
        <f t="shared" si="231"/>
        <v>2.3809523809523808E-2</v>
      </c>
      <c r="AN223" s="55">
        <f t="shared" si="232"/>
        <v>1.1641666666666666E-3</v>
      </c>
      <c r="AO223" s="55">
        <f t="shared" si="233"/>
        <v>2.3283333333333332E-4</v>
      </c>
      <c r="AP223" s="53">
        <v>7.1</v>
      </c>
      <c r="AQ223" s="53">
        <f t="shared" si="201"/>
        <v>4.26</v>
      </c>
      <c r="AR223" s="53">
        <f t="shared" si="202"/>
        <v>21.299999999999997</v>
      </c>
      <c r="AS223" s="56">
        <f t="shared" si="203"/>
        <v>4.6948356807511742E-2</v>
      </c>
      <c r="AT223" s="56">
        <f t="shared" si="234"/>
        <v>0.23474178403755869</v>
      </c>
      <c r="AU223" s="56">
        <f t="shared" si="204"/>
        <v>0.176056338028169</v>
      </c>
      <c r="AV223" s="56">
        <f t="shared" si="235"/>
        <v>5.8685446009389672E-2</v>
      </c>
      <c r="AW223" s="57" t="s">
        <v>2511</v>
      </c>
      <c r="AX223" s="57" t="s">
        <v>2512</v>
      </c>
      <c r="AY223" s="57" t="s">
        <v>2513</v>
      </c>
      <c r="AZ223" s="58">
        <f t="shared" si="236"/>
        <v>2.4447499999999999E-3</v>
      </c>
      <c r="BA223" s="59">
        <f t="shared" si="240"/>
        <v>2.8694248826291078E-4</v>
      </c>
      <c r="BB223" s="59">
        <f t="shared" si="241"/>
        <v>8.6082746478873234E-4</v>
      </c>
      <c r="BC223" s="59">
        <f t="shared" si="242"/>
        <v>2.2955399061032865E-4</v>
      </c>
      <c r="BD223" s="60">
        <f t="shared" si="237"/>
        <v>6.105006105006105E-4</v>
      </c>
      <c r="BE223" s="59">
        <f t="shared" si="238"/>
        <v>2.442002442002442E-3</v>
      </c>
      <c r="BQ223" s="61">
        <v>3000</v>
      </c>
      <c r="BR223" s="61">
        <v>1200</v>
      </c>
      <c r="BS223" s="28">
        <f t="shared" si="205"/>
        <v>2980</v>
      </c>
      <c r="BT223" s="28">
        <f t="shared" si="206"/>
        <v>1180</v>
      </c>
      <c r="BU223" s="28" t="s">
        <v>2541</v>
      </c>
      <c r="BV223" s="28">
        <f t="shared" si="207"/>
        <v>159</v>
      </c>
      <c r="BW223" s="28">
        <f t="shared" si="208"/>
        <v>12.9375</v>
      </c>
      <c r="BX223" s="13">
        <f t="shared" si="209"/>
        <v>18.742138364779873</v>
      </c>
      <c r="BY223" s="13">
        <f t="shared" si="210"/>
        <v>18</v>
      </c>
      <c r="BZ223" s="13">
        <f t="shared" si="211"/>
        <v>91.207729468599027</v>
      </c>
      <c r="CA223" s="13">
        <f t="shared" si="212"/>
        <v>91</v>
      </c>
      <c r="CB223" s="13">
        <f t="shared" si="213"/>
        <v>1638</v>
      </c>
      <c r="CC223" s="62">
        <f t="shared" si="214"/>
        <v>6.105006105006105E-4</v>
      </c>
      <c r="CD223" s="13">
        <f t="shared" si="215"/>
        <v>230.33816425120773</v>
      </c>
      <c r="CE223" s="13">
        <f t="shared" si="216"/>
        <v>230</v>
      </c>
      <c r="CF223" s="13">
        <f t="shared" si="217"/>
        <v>7.4213836477987423</v>
      </c>
      <c r="CG223" s="13">
        <f t="shared" si="218"/>
        <v>7</v>
      </c>
      <c r="CH223" s="28">
        <f t="shared" si="219"/>
        <v>1610</v>
      </c>
      <c r="CI223" s="62">
        <f t="shared" si="220"/>
        <v>6.2111801242236027E-4</v>
      </c>
      <c r="CJ223" s="59">
        <f t="shared" si="221"/>
        <v>6.105006105006105E-4</v>
      </c>
      <c r="CL223" s="63">
        <v>6000</v>
      </c>
      <c r="CM223" s="63">
        <f t="shared" si="222"/>
        <v>154</v>
      </c>
      <c r="CN223" s="63">
        <f t="shared" si="223"/>
        <v>159</v>
      </c>
      <c r="CO223" s="63">
        <f t="shared" si="224"/>
        <v>37.735849056603776</v>
      </c>
      <c r="CP223" s="13">
        <f t="shared" si="225"/>
        <v>37</v>
      </c>
      <c r="CQ223" s="70">
        <f t="shared" si="226"/>
        <v>2.7027027027027029E-2</v>
      </c>
      <c r="CR223" s="69">
        <f t="shared" si="194"/>
        <v>0.10810810810810811</v>
      </c>
    </row>
    <row r="224" spans="1:96" hidden="1" x14ac:dyDescent="0.25">
      <c r="A224" s="10">
        <v>3</v>
      </c>
      <c r="B224" s="8" t="s">
        <v>660</v>
      </c>
      <c r="C224" s="10" t="s">
        <v>701</v>
      </c>
      <c r="D224" s="10" t="s">
        <v>702</v>
      </c>
      <c r="E224" s="10" t="s">
        <v>52</v>
      </c>
      <c r="F224" s="12">
        <f t="shared" si="195"/>
        <v>1</v>
      </c>
      <c r="G224" s="10">
        <v>1</v>
      </c>
      <c r="H224" s="10">
        <f t="shared" si="244"/>
        <v>1</v>
      </c>
      <c r="I224" s="10">
        <v>9</v>
      </c>
      <c r="J224" s="8" t="s">
        <v>76</v>
      </c>
      <c r="K224" s="8" t="s">
        <v>34</v>
      </c>
      <c r="L224" s="10" t="s">
        <v>77</v>
      </c>
      <c r="M224" s="8" t="s">
        <v>35</v>
      </c>
      <c r="N224" s="10" t="s">
        <v>702</v>
      </c>
      <c r="O224" s="28" t="s">
        <v>41</v>
      </c>
      <c r="P224" s="28" t="s">
        <v>41</v>
      </c>
      <c r="Q224" s="28" t="s">
        <v>79</v>
      </c>
      <c r="R224" s="30">
        <v>25.393700787401578</v>
      </c>
      <c r="S224" s="30">
        <v>0.3125</v>
      </c>
      <c r="T224" s="30"/>
      <c r="U224" s="30">
        <v>0.3125</v>
      </c>
      <c r="V224" s="8">
        <f t="shared" si="196"/>
        <v>645</v>
      </c>
      <c r="W224" s="8">
        <f t="shared" si="197"/>
        <v>7.9375</v>
      </c>
      <c r="X224" s="8">
        <f t="shared" si="198"/>
        <v>0</v>
      </c>
      <c r="Y224" s="33">
        <f t="shared" si="199"/>
        <v>7.9375</v>
      </c>
      <c r="Z224" s="28" t="s">
        <v>80</v>
      </c>
      <c r="AA224" s="28" t="s">
        <v>81</v>
      </c>
      <c r="AB224" s="61" t="s">
        <v>79</v>
      </c>
      <c r="AC224" s="31" t="s">
        <v>82</v>
      </c>
      <c r="AD224" s="50">
        <f t="shared" si="200"/>
        <v>1</v>
      </c>
      <c r="AE224" s="31"/>
      <c r="AF224" s="51">
        <v>14</v>
      </c>
      <c r="AG224" s="51">
        <f t="shared" si="228"/>
        <v>8.4</v>
      </c>
      <c r="AH224" s="51">
        <f t="shared" si="193"/>
        <v>42</v>
      </c>
      <c r="AI224" s="52" t="s">
        <v>2497</v>
      </c>
      <c r="AJ224" s="52" t="s">
        <v>2498</v>
      </c>
      <c r="AK224" s="53">
        <f t="shared" si="229"/>
        <v>1.0239375E-2</v>
      </c>
      <c r="AL224" s="54">
        <f t="shared" si="230"/>
        <v>0.11904761904761904</v>
      </c>
      <c r="AM224" s="54">
        <f t="shared" si="231"/>
        <v>2.3809523809523808E-2</v>
      </c>
      <c r="AN224" s="55">
        <f t="shared" si="232"/>
        <v>1.2189732142857143E-3</v>
      </c>
      <c r="AO224" s="55">
        <f t="shared" si="233"/>
        <v>2.4379464285714285E-4</v>
      </c>
      <c r="AP224" s="53">
        <v>7.1</v>
      </c>
      <c r="AQ224" s="53">
        <f t="shared" si="201"/>
        <v>4.26</v>
      </c>
      <c r="AR224" s="53">
        <f t="shared" si="202"/>
        <v>21.299999999999997</v>
      </c>
      <c r="AS224" s="56">
        <f t="shared" si="203"/>
        <v>4.6948356807511742E-2</v>
      </c>
      <c r="AT224" s="56">
        <f t="shared" si="234"/>
        <v>0.23474178403755869</v>
      </c>
      <c r="AU224" s="56">
        <f t="shared" si="204"/>
        <v>0.176056338028169</v>
      </c>
      <c r="AV224" s="56">
        <f t="shared" si="235"/>
        <v>5.8685446009389672E-2</v>
      </c>
      <c r="AW224" s="57" t="s">
        <v>2511</v>
      </c>
      <c r="AX224" s="57" t="s">
        <v>2512</v>
      </c>
      <c r="AY224" s="57" t="s">
        <v>2513</v>
      </c>
      <c r="AZ224" s="58">
        <f t="shared" si="236"/>
        <v>1.0239375E-2</v>
      </c>
      <c r="BA224" s="59">
        <f t="shared" si="240"/>
        <v>3.0045114436619719E-4</v>
      </c>
      <c r="BB224" s="59">
        <f t="shared" si="241"/>
        <v>9.0135343309859152E-4</v>
      </c>
      <c r="BC224" s="59">
        <f t="shared" si="242"/>
        <v>2.4036091549295776E-4</v>
      </c>
      <c r="BD224" s="60">
        <f t="shared" si="237"/>
        <v>2.7472527472527475E-3</v>
      </c>
      <c r="BE224" s="59">
        <f t="shared" si="238"/>
        <v>2.7472527472527475E-3</v>
      </c>
      <c r="BQ224" s="61">
        <v>3000</v>
      </c>
      <c r="BR224" s="61">
        <v>1200</v>
      </c>
      <c r="BS224" s="28">
        <f t="shared" si="205"/>
        <v>2980</v>
      </c>
      <c r="BT224" s="28">
        <f t="shared" si="206"/>
        <v>1180</v>
      </c>
      <c r="BU224" s="28" t="s">
        <v>2541</v>
      </c>
      <c r="BV224" s="28">
        <f t="shared" si="207"/>
        <v>650</v>
      </c>
      <c r="BW224" s="28">
        <f t="shared" si="208"/>
        <v>12.9375</v>
      </c>
      <c r="BX224" s="13">
        <f t="shared" si="209"/>
        <v>4.5846153846153843</v>
      </c>
      <c r="BY224" s="13">
        <f t="shared" si="210"/>
        <v>4</v>
      </c>
      <c r="BZ224" s="13">
        <f t="shared" si="211"/>
        <v>91.207729468599027</v>
      </c>
      <c r="CA224" s="13">
        <f t="shared" si="212"/>
        <v>91</v>
      </c>
      <c r="CB224" s="13">
        <f t="shared" si="213"/>
        <v>364</v>
      </c>
      <c r="CC224" s="62">
        <f t="shared" si="214"/>
        <v>2.7472527472527475E-3</v>
      </c>
      <c r="CD224" s="13">
        <f t="shared" si="215"/>
        <v>230.33816425120773</v>
      </c>
      <c r="CE224" s="13">
        <f t="shared" si="216"/>
        <v>230</v>
      </c>
      <c r="CF224" s="13">
        <f t="shared" si="217"/>
        <v>1.8153846153846154</v>
      </c>
      <c r="CG224" s="13">
        <f t="shared" si="218"/>
        <v>1</v>
      </c>
      <c r="CH224" s="28">
        <f t="shared" si="219"/>
        <v>230</v>
      </c>
      <c r="CI224" s="62">
        <f t="shared" si="220"/>
        <v>4.3478260869565218E-3</v>
      </c>
      <c r="CJ224" s="59">
        <f t="shared" si="221"/>
        <v>2.7472527472527475E-3</v>
      </c>
      <c r="CL224" s="63">
        <v>6000</v>
      </c>
      <c r="CM224" s="63">
        <f t="shared" si="222"/>
        <v>645</v>
      </c>
      <c r="CN224" s="63">
        <f t="shared" si="223"/>
        <v>650</v>
      </c>
      <c r="CO224" s="63">
        <f t="shared" si="224"/>
        <v>9.2307692307692299</v>
      </c>
      <c r="CP224" s="13">
        <f t="shared" si="225"/>
        <v>9</v>
      </c>
      <c r="CQ224" s="70">
        <f t="shared" si="226"/>
        <v>0.1111111111111111</v>
      </c>
      <c r="CR224" s="69">
        <f t="shared" si="194"/>
        <v>0.1111111111111111</v>
      </c>
    </row>
    <row r="225" spans="1:96" hidden="1" x14ac:dyDescent="0.25">
      <c r="A225" s="10">
        <v>3</v>
      </c>
      <c r="B225" s="8" t="s">
        <v>660</v>
      </c>
      <c r="C225" s="10" t="s">
        <v>75</v>
      </c>
      <c r="D225" s="10" t="s">
        <v>78</v>
      </c>
      <c r="E225" s="10" t="s">
        <v>52</v>
      </c>
      <c r="F225" s="12">
        <f t="shared" si="195"/>
        <v>2</v>
      </c>
      <c r="G225" s="10">
        <v>1</v>
      </c>
      <c r="H225" s="10">
        <f t="shared" si="244"/>
        <v>1</v>
      </c>
      <c r="I225" s="10">
        <v>10</v>
      </c>
      <c r="J225" s="8" t="s">
        <v>76</v>
      </c>
      <c r="K225" s="8" t="s">
        <v>34</v>
      </c>
      <c r="L225" s="10" t="s">
        <v>77</v>
      </c>
      <c r="M225" s="8" t="s">
        <v>35</v>
      </c>
      <c r="N225" s="10" t="s">
        <v>78</v>
      </c>
      <c r="O225" s="28" t="s">
        <v>41</v>
      </c>
      <c r="P225" s="28" t="s">
        <v>41</v>
      </c>
      <c r="Q225" s="28" t="s">
        <v>79</v>
      </c>
      <c r="R225" s="30">
        <v>11.102362204724409</v>
      </c>
      <c r="S225" s="30">
        <v>0.3125</v>
      </c>
      <c r="T225" s="30"/>
      <c r="U225" s="30">
        <v>0.3125</v>
      </c>
      <c r="V225" s="8">
        <f t="shared" si="196"/>
        <v>282</v>
      </c>
      <c r="W225" s="8">
        <f t="shared" si="197"/>
        <v>7.9375</v>
      </c>
      <c r="X225" s="8">
        <f t="shared" si="198"/>
        <v>0</v>
      </c>
      <c r="Y225" s="33">
        <f t="shared" si="199"/>
        <v>7.9375</v>
      </c>
      <c r="Z225" s="28" t="s">
        <v>80</v>
      </c>
      <c r="AA225" s="28" t="s">
        <v>81</v>
      </c>
      <c r="AB225" s="61" t="s">
        <v>79</v>
      </c>
      <c r="AC225" s="31" t="s">
        <v>82</v>
      </c>
      <c r="AD225" s="50">
        <f t="shared" si="200"/>
        <v>1</v>
      </c>
      <c r="AE225" s="31"/>
      <c r="AF225" s="51">
        <v>14</v>
      </c>
      <c r="AG225" s="51">
        <f t="shared" si="228"/>
        <v>8.4</v>
      </c>
      <c r="AH225" s="51">
        <f t="shared" si="193"/>
        <v>42</v>
      </c>
      <c r="AI225" s="52" t="s">
        <v>2497</v>
      </c>
      <c r="AJ225" s="52" t="s">
        <v>2498</v>
      </c>
      <c r="AK225" s="53">
        <f t="shared" si="229"/>
        <v>4.4767499999999998E-3</v>
      </c>
      <c r="AL225" s="54">
        <f t="shared" si="230"/>
        <v>0.11904761904761904</v>
      </c>
      <c r="AM225" s="54">
        <f t="shared" si="231"/>
        <v>2.3809523809523808E-2</v>
      </c>
      <c r="AN225" s="55">
        <f t="shared" si="232"/>
        <v>5.3294642857142852E-4</v>
      </c>
      <c r="AO225" s="55">
        <f t="shared" si="233"/>
        <v>1.065892857142857E-4</v>
      </c>
      <c r="AP225" s="53">
        <v>7.1</v>
      </c>
      <c r="AQ225" s="53">
        <f t="shared" si="201"/>
        <v>4.26</v>
      </c>
      <c r="AR225" s="53">
        <f t="shared" si="202"/>
        <v>21.299999999999997</v>
      </c>
      <c r="AS225" s="56">
        <f t="shared" si="203"/>
        <v>4.6948356807511742E-2</v>
      </c>
      <c r="AT225" s="56">
        <f t="shared" si="234"/>
        <v>0.23474178403755869</v>
      </c>
      <c r="AU225" s="56">
        <f t="shared" si="204"/>
        <v>0.176056338028169</v>
      </c>
      <c r="AV225" s="56">
        <f t="shared" si="235"/>
        <v>5.8685446009389672E-2</v>
      </c>
      <c r="AW225" s="57" t="s">
        <v>2511</v>
      </c>
      <c r="AX225" s="57" t="s">
        <v>2512</v>
      </c>
      <c r="AY225" s="57" t="s">
        <v>2513</v>
      </c>
      <c r="AZ225" s="58">
        <f t="shared" si="236"/>
        <v>4.4767499999999998E-3</v>
      </c>
      <c r="BA225" s="59">
        <f t="shared" si="240"/>
        <v>1.3136003521126759E-4</v>
      </c>
      <c r="BB225" s="59">
        <f t="shared" si="241"/>
        <v>3.9408010563380275E-4</v>
      </c>
      <c r="BC225" s="59">
        <f t="shared" si="242"/>
        <v>1.0508802816901409E-4</v>
      </c>
      <c r="BD225" s="60">
        <f t="shared" si="237"/>
        <v>1.0869565217391304E-3</v>
      </c>
      <c r="BE225" s="59">
        <f t="shared" si="238"/>
        <v>1.0869565217391304E-3</v>
      </c>
      <c r="BQ225" s="61">
        <v>3000</v>
      </c>
      <c r="BR225" s="61">
        <v>1200</v>
      </c>
      <c r="BS225" s="28">
        <f t="shared" si="205"/>
        <v>2980</v>
      </c>
      <c r="BT225" s="28">
        <f t="shared" si="206"/>
        <v>1180</v>
      </c>
      <c r="BU225" s="28" t="s">
        <v>2541</v>
      </c>
      <c r="BV225" s="28">
        <f t="shared" si="207"/>
        <v>287</v>
      </c>
      <c r="BW225" s="28">
        <f t="shared" si="208"/>
        <v>12.9375</v>
      </c>
      <c r="BX225" s="13">
        <f t="shared" si="209"/>
        <v>10.383275261324043</v>
      </c>
      <c r="BY225" s="13">
        <f t="shared" si="210"/>
        <v>10</v>
      </c>
      <c r="BZ225" s="13">
        <f t="shared" si="211"/>
        <v>91.207729468599027</v>
      </c>
      <c r="CA225" s="13">
        <f t="shared" si="212"/>
        <v>91</v>
      </c>
      <c r="CB225" s="13">
        <f t="shared" si="213"/>
        <v>910</v>
      </c>
      <c r="CC225" s="62">
        <f t="shared" si="214"/>
        <v>1.0989010989010989E-3</v>
      </c>
      <c r="CD225" s="13">
        <f t="shared" si="215"/>
        <v>230.33816425120773</v>
      </c>
      <c r="CE225" s="13">
        <f t="shared" si="216"/>
        <v>230</v>
      </c>
      <c r="CF225" s="13">
        <f t="shared" si="217"/>
        <v>4.1114982578397212</v>
      </c>
      <c r="CG225" s="13">
        <f t="shared" si="218"/>
        <v>4</v>
      </c>
      <c r="CH225" s="28">
        <f t="shared" si="219"/>
        <v>920</v>
      </c>
      <c r="CI225" s="62">
        <f t="shared" si="220"/>
        <v>1.0869565217391304E-3</v>
      </c>
      <c r="CJ225" s="59">
        <f t="shared" si="221"/>
        <v>1.0869565217391304E-3</v>
      </c>
      <c r="CL225" s="63">
        <v>6000</v>
      </c>
      <c r="CM225" s="63">
        <f t="shared" si="222"/>
        <v>282</v>
      </c>
      <c r="CN225" s="63">
        <f t="shared" si="223"/>
        <v>287</v>
      </c>
      <c r="CO225" s="63">
        <f t="shared" si="224"/>
        <v>20.905923344947734</v>
      </c>
      <c r="CP225" s="13">
        <f t="shared" si="225"/>
        <v>20</v>
      </c>
      <c r="CQ225" s="70">
        <f t="shared" si="226"/>
        <v>0.05</v>
      </c>
      <c r="CR225" s="69">
        <f t="shared" si="194"/>
        <v>0.05</v>
      </c>
    </row>
    <row r="226" spans="1:96" hidden="1" x14ac:dyDescent="0.25">
      <c r="A226" s="10">
        <v>3</v>
      </c>
      <c r="B226" s="8" t="s">
        <v>660</v>
      </c>
      <c r="C226" s="10" t="s">
        <v>703</v>
      </c>
      <c r="D226" s="10" t="s">
        <v>705</v>
      </c>
      <c r="E226" s="10" t="s">
        <v>52</v>
      </c>
      <c r="F226" s="12">
        <f t="shared" si="195"/>
        <v>7</v>
      </c>
      <c r="G226" s="10">
        <v>2</v>
      </c>
      <c r="H226" s="10">
        <f t="shared" si="244"/>
        <v>2</v>
      </c>
      <c r="I226" s="10">
        <v>11</v>
      </c>
      <c r="J226" s="8" t="s">
        <v>704</v>
      </c>
      <c r="K226" s="8" t="s">
        <v>34</v>
      </c>
      <c r="L226" s="10" t="s">
        <v>89</v>
      </c>
      <c r="M226" s="8" t="s">
        <v>35</v>
      </c>
      <c r="N226" s="10" t="s">
        <v>705</v>
      </c>
      <c r="O226" s="28" t="s">
        <v>41</v>
      </c>
      <c r="P226" s="28" t="s">
        <v>41</v>
      </c>
      <c r="Q226" s="28" t="s">
        <v>79</v>
      </c>
      <c r="R226" s="30">
        <v>7.9921259842519685</v>
      </c>
      <c r="S226" s="30">
        <v>0.3125</v>
      </c>
      <c r="T226" s="30"/>
      <c r="U226" s="30">
        <v>0.3125</v>
      </c>
      <c r="V226" s="8">
        <f t="shared" si="196"/>
        <v>203</v>
      </c>
      <c r="W226" s="8">
        <f t="shared" si="197"/>
        <v>7.9375</v>
      </c>
      <c r="X226" s="8">
        <f t="shared" si="198"/>
        <v>0</v>
      </c>
      <c r="Y226" s="33">
        <f t="shared" si="199"/>
        <v>7.9375</v>
      </c>
      <c r="Z226" s="28" t="s">
        <v>80</v>
      </c>
      <c r="AA226" s="28" t="s">
        <v>81</v>
      </c>
      <c r="AB226" s="61" t="s">
        <v>79</v>
      </c>
      <c r="AC226" s="31" t="s">
        <v>82</v>
      </c>
      <c r="AD226" s="50">
        <f t="shared" si="200"/>
        <v>2</v>
      </c>
      <c r="AE226" s="47" t="s">
        <v>706</v>
      </c>
      <c r="AF226" s="51">
        <v>14</v>
      </c>
      <c r="AG226" s="51">
        <f t="shared" si="228"/>
        <v>8.4</v>
      </c>
      <c r="AH226" s="51">
        <f t="shared" si="193"/>
        <v>42</v>
      </c>
      <c r="AI226" s="52" t="s">
        <v>2497</v>
      </c>
      <c r="AJ226" s="52" t="s">
        <v>2498</v>
      </c>
      <c r="AK226" s="53">
        <f t="shared" si="229"/>
        <v>3.2226249999999998E-3</v>
      </c>
      <c r="AL226" s="54">
        <f t="shared" si="230"/>
        <v>0.11904761904761904</v>
      </c>
      <c r="AM226" s="54">
        <f t="shared" si="231"/>
        <v>2.3809523809523808E-2</v>
      </c>
      <c r="AN226" s="55">
        <f t="shared" si="232"/>
        <v>7.6729166666666656E-4</v>
      </c>
      <c r="AO226" s="55">
        <f t="shared" si="233"/>
        <v>1.5345833333333333E-4</v>
      </c>
      <c r="AP226" s="53">
        <v>7.1</v>
      </c>
      <c r="AQ226" s="53">
        <f t="shared" si="201"/>
        <v>4.26</v>
      </c>
      <c r="AR226" s="53">
        <f t="shared" si="202"/>
        <v>21.299999999999997</v>
      </c>
      <c r="AS226" s="56">
        <f t="shared" si="203"/>
        <v>4.6948356807511742E-2</v>
      </c>
      <c r="AT226" s="56">
        <f t="shared" si="234"/>
        <v>0.23474178403755869</v>
      </c>
      <c r="AU226" s="56">
        <f t="shared" si="204"/>
        <v>0.176056338028169</v>
      </c>
      <c r="AV226" s="56">
        <f t="shared" si="235"/>
        <v>5.8685446009389672E-2</v>
      </c>
      <c r="AW226" s="57" t="s">
        <v>2511</v>
      </c>
      <c r="AX226" s="57" t="s">
        <v>2512</v>
      </c>
      <c r="AY226" s="57" t="s">
        <v>2513</v>
      </c>
      <c r="AZ226" s="58">
        <f t="shared" si="236"/>
        <v>3.2226249999999998E-3</v>
      </c>
      <c r="BA226" s="59">
        <f t="shared" si="240"/>
        <v>1.8912118544600937E-4</v>
      </c>
      <c r="BB226" s="59">
        <f t="shared" si="241"/>
        <v>5.6736355633802815E-4</v>
      </c>
      <c r="BC226" s="59">
        <f t="shared" si="242"/>
        <v>1.5129694835680751E-4</v>
      </c>
      <c r="BD226" s="60">
        <f t="shared" si="237"/>
        <v>7.8492935635792783E-4</v>
      </c>
      <c r="BE226" s="59">
        <f t="shared" si="238"/>
        <v>1.5698587127158557E-3</v>
      </c>
      <c r="BQ226" s="61">
        <v>3000</v>
      </c>
      <c r="BR226" s="61">
        <v>1200</v>
      </c>
      <c r="BS226" s="28">
        <f t="shared" si="205"/>
        <v>2980</v>
      </c>
      <c r="BT226" s="28">
        <f t="shared" si="206"/>
        <v>1180</v>
      </c>
      <c r="BU226" s="28" t="s">
        <v>2541</v>
      </c>
      <c r="BV226" s="28">
        <f t="shared" si="207"/>
        <v>208</v>
      </c>
      <c r="BW226" s="28">
        <f t="shared" si="208"/>
        <v>12.9375</v>
      </c>
      <c r="BX226" s="13">
        <f t="shared" si="209"/>
        <v>14.326923076923077</v>
      </c>
      <c r="BY226" s="13">
        <f t="shared" si="210"/>
        <v>14</v>
      </c>
      <c r="BZ226" s="13">
        <f t="shared" si="211"/>
        <v>91.207729468599027</v>
      </c>
      <c r="CA226" s="13">
        <f t="shared" si="212"/>
        <v>91</v>
      </c>
      <c r="CB226" s="13">
        <f t="shared" si="213"/>
        <v>1274</v>
      </c>
      <c r="CC226" s="62">
        <f t="shared" si="214"/>
        <v>7.8492935635792783E-4</v>
      </c>
      <c r="CD226" s="13">
        <f t="shared" si="215"/>
        <v>230.33816425120773</v>
      </c>
      <c r="CE226" s="13">
        <f t="shared" si="216"/>
        <v>230</v>
      </c>
      <c r="CF226" s="13">
        <f t="shared" si="217"/>
        <v>5.6730769230769234</v>
      </c>
      <c r="CG226" s="13">
        <f t="shared" si="218"/>
        <v>5</v>
      </c>
      <c r="CH226" s="28">
        <f t="shared" si="219"/>
        <v>1150</v>
      </c>
      <c r="CI226" s="62">
        <f t="shared" si="220"/>
        <v>8.6956521739130438E-4</v>
      </c>
      <c r="CJ226" s="59">
        <f t="shared" si="221"/>
        <v>7.8492935635792783E-4</v>
      </c>
      <c r="CL226" s="63">
        <v>6000</v>
      </c>
      <c r="CM226" s="63">
        <f t="shared" si="222"/>
        <v>203</v>
      </c>
      <c r="CN226" s="63">
        <f t="shared" si="223"/>
        <v>208</v>
      </c>
      <c r="CO226" s="63">
        <f t="shared" si="224"/>
        <v>28.846153846153847</v>
      </c>
      <c r="CP226" s="13">
        <f t="shared" si="225"/>
        <v>28</v>
      </c>
      <c r="CQ226" s="70">
        <f t="shared" si="226"/>
        <v>3.5714285714285712E-2</v>
      </c>
      <c r="CR226" s="69">
        <f t="shared" si="194"/>
        <v>7.1428571428571425E-2</v>
      </c>
    </row>
    <row r="227" spans="1:96" hidden="1" x14ac:dyDescent="0.25">
      <c r="A227" s="10">
        <v>3</v>
      </c>
      <c r="B227" s="8" t="s">
        <v>660</v>
      </c>
      <c r="C227" s="10" t="s">
        <v>707</v>
      </c>
      <c r="D227" s="10" t="s">
        <v>708</v>
      </c>
      <c r="E227" s="10" t="s">
        <v>52</v>
      </c>
      <c r="F227" s="12">
        <f t="shared" si="195"/>
        <v>4</v>
      </c>
      <c r="G227" s="10">
        <v>3</v>
      </c>
      <c r="H227" s="10">
        <f t="shared" si="244"/>
        <v>3</v>
      </c>
      <c r="I227" s="10">
        <v>12</v>
      </c>
      <c r="J227" s="8" t="s">
        <v>76</v>
      </c>
      <c r="K227" s="8" t="s">
        <v>34</v>
      </c>
      <c r="L227" s="10" t="s">
        <v>77</v>
      </c>
      <c r="M227" s="8" t="s">
        <v>35</v>
      </c>
      <c r="N227" s="10" t="s">
        <v>708</v>
      </c>
      <c r="O227" s="28" t="s">
        <v>41</v>
      </c>
      <c r="P227" s="28" t="s">
        <v>41</v>
      </c>
      <c r="Q227" s="28" t="s">
        <v>79</v>
      </c>
      <c r="R227" s="30">
        <v>12.992125984251969</v>
      </c>
      <c r="S227" s="30">
        <v>0.3125</v>
      </c>
      <c r="T227" s="30"/>
      <c r="U227" s="30">
        <v>0.3125</v>
      </c>
      <c r="V227" s="8">
        <f t="shared" si="196"/>
        <v>330</v>
      </c>
      <c r="W227" s="8">
        <f t="shared" si="197"/>
        <v>7.9375</v>
      </c>
      <c r="X227" s="8">
        <f t="shared" si="198"/>
        <v>0</v>
      </c>
      <c r="Y227" s="33">
        <f t="shared" si="199"/>
        <v>7.9375</v>
      </c>
      <c r="Z227" s="28" t="s">
        <v>80</v>
      </c>
      <c r="AA227" s="28" t="s">
        <v>81</v>
      </c>
      <c r="AB227" s="61" t="s">
        <v>79</v>
      </c>
      <c r="AC227" s="31" t="s">
        <v>82</v>
      </c>
      <c r="AD227" s="50">
        <f t="shared" si="200"/>
        <v>3</v>
      </c>
      <c r="AE227" s="31"/>
      <c r="AF227" s="51">
        <v>14</v>
      </c>
      <c r="AG227" s="51">
        <f t="shared" si="228"/>
        <v>8.4</v>
      </c>
      <c r="AH227" s="51">
        <f t="shared" si="193"/>
        <v>42</v>
      </c>
      <c r="AI227" s="52" t="s">
        <v>2497</v>
      </c>
      <c r="AJ227" s="52" t="s">
        <v>2498</v>
      </c>
      <c r="AK227" s="53">
        <f t="shared" si="229"/>
        <v>5.2387500000000004E-3</v>
      </c>
      <c r="AL227" s="54">
        <f t="shared" si="230"/>
        <v>0.11904761904761904</v>
      </c>
      <c r="AM227" s="54">
        <f t="shared" si="231"/>
        <v>2.3809523809523808E-2</v>
      </c>
      <c r="AN227" s="55">
        <f t="shared" si="232"/>
        <v>1.870982142857143E-3</v>
      </c>
      <c r="AO227" s="55">
        <f t="shared" si="233"/>
        <v>3.7419642857142854E-4</v>
      </c>
      <c r="AP227" s="53">
        <v>7.1</v>
      </c>
      <c r="AQ227" s="53">
        <f t="shared" si="201"/>
        <v>4.26</v>
      </c>
      <c r="AR227" s="53">
        <f t="shared" si="202"/>
        <v>21.299999999999997</v>
      </c>
      <c r="AS227" s="56">
        <f t="shared" si="203"/>
        <v>4.6948356807511742E-2</v>
      </c>
      <c r="AT227" s="56">
        <f t="shared" si="234"/>
        <v>0.23474178403755869</v>
      </c>
      <c r="AU227" s="56">
        <f t="shared" si="204"/>
        <v>0.176056338028169</v>
      </c>
      <c r="AV227" s="56">
        <f t="shared" si="235"/>
        <v>5.8685446009389672E-2</v>
      </c>
      <c r="AW227" s="57" t="s">
        <v>2511</v>
      </c>
      <c r="AX227" s="57" t="s">
        <v>2512</v>
      </c>
      <c r="AY227" s="57" t="s">
        <v>2513</v>
      </c>
      <c r="AZ227" s="58">
        <f t="shared" si="236"/>
        <v>5.2387500000000004E-3</v>
      </c>
      <c r="BA227" s="59">
        <f t="shared" si="240"/>
        <v>4.6115757042253523E-4</v>
      </c>
      <c r="BB227" s="59">
        <f t="shared" si="241"/>
        <v>1.3834727112676055E-3</v>
      </c>
      <c r="BC227" s="59">
        <f t="shared" si="242"/>
        <v>3.6892605633802821E-4</v>
      </c>
      <c r="BD227" s="60">
        <f t="shared" si="237"/>
        <v>1.3736263736263737E-3</v>
      </c>
      <c r="BE227" s="59">
        <f t="shared" si="238"/>
        <v>4.120879120879121E-3</v>
      </c>
      <c r="BQ227" s="61">
        <v>3000</v>
      </c>
      <c r="BR227" s="61">
        <v>1200</v>
      </c>
      <c r="BS227" s="28">
        <f t="shared" si="205"/>
        <v>2980</v>
      </c>
      <c r="BT227" s="28">
        <f t="shared" si="206"/>
        <v>1180</v>
      </c>
      <c r="BU227" s="28" t="s">
        <v>2541</v>
      </c>
      <c r="BV227" s="28">
        <f t="shared" si="207"/>
        <v>335</v>
      </c>
      <c r="BW227" s="28">
        <f t="shared" si="208"/>
        <v>12.9375</v>
      </c>
      <c r="BX227" s="13">
        <f t="shared" si="209"/>
        <v>8.8955223880597014</v>
      </c>
      <c r="BY227" s="13">
        <f t="shared" si="210"/>
        <v>8</v>
      </c>
      <c r="BZ227" s="13">
        <f t="shared" si="211"/>
        <v>91.207729468599027</v>
      </c>
      <c r="CA227" s="13">
        <f t="shared" si="212"/>
        <v>91</v>
      </c>
      <c r="CB227" s="13">
        <f t="shared" si="213"/>
        <v>728</v>
      </c>
      <c r="CC227" s="62">
        <f t="shared" si="214"/>
        <v>1.3736263736263737E-3</v>
      </c>
      <c r="CD227" s="13">
        <f t="shared" si="215"/>
        <v>230.33816425120773</v>
      </c>
      <c r="CE227" s="13">
        <f t="shared" si="216"/>
        <v>230</v>
      </c>
      <c r="CF227" s="13">
        <f t="shared" si="217"/>
        <v>3.5223880597014925</v>
      </c>
      <c r="CG227" s="13">
        <f t="shared" si="218"/>
        <v>3</v>
      </c>
      <c r="CH227" s="28">
        <f t="shared" si="219"/>
        <v>690</v>
      </c>
      <c r="CI227" s="62">
        <f t="shared" si="220"/>
        <v>1.4492753623188406E-3</v>
      </c>
      <c r="CJ227" s="59">
        <f t="shared" si="221"/>
        <v>1.3736263736263737E-3</v>
      </c>
      <c r="CL227" s="63">
        <v>6000</v>
      </c>
      <c r="CM227" s="63">
        <f t="shared" si="222"/>
        <v>330</v>
      </c>
      <c r="CN227" s="63">
        <f t="shared" si="223"/>
        <v>335</v>
      </c>
      <c r="CO227" s="63">
        <f t="shared" si="224"/>
        <v>17.910447761194028</v>
      </c>
      <c r="CP227" s="13">
        <f t="shared" si="225"/>
        <v>17</v>
      </c>
      <c r="CQ227" s="70">
        <f t="shared" si="226"/>
        <v>5.8823529411764705E-2</v>
      </c>
      <c r="CR227" s="69">
        <f t="shared" si="194"/>
        <v>0.1764705882352941</v>
      </c>
    </row>
    <row r="228" spans="1:96" hidden="1" x14ac:dyDescent="0.25">
      <c r="A228" s="10">
        <v>3</v>
      </c>
      <c r="B228" s="8" t="s">
        <v>660</v>
      </c>
      <c r="C228" s="10" t="s">
        <v>382</v>
      </c>
      <c r="D228" s="10" t="s">
        <v>709</v>
      </c>
      <c r="E228" s="10" t="s">
        <v>52</v>
      </c>
      <c r="F228" s="12">
        <f t="shared" si="195"/>
        <v>6</v>
      </c>
      <c r="G228" s="10">
        <v>2</v>
      </c>
      <c r="H228" s="10">
        <f t="shared" si="244"/>
        <v>2</v>
      </c>
      <c r="I228" s="10">
        <v>13</v>
      </c>
      <c r="J228" s="8" t="s">
        <v>76</v>
      </c>
      <c r="K228" s="8" t="s">
        <v>34</v>
      </c>
      <c r="L228" s="10" t="s">
        <v>77</v>
      </c>
      <c r="M228" s="8" t="s">
        <v>35</v>
      </c>
      <c r="N228" s="10" t="s">
        <v>709</v>
      </c>
      <c r="O228" s="28" t="s">
        <v>41</v>
      </c>
      <c r="P228" s="28" t="s">
        <v>41</v>
      </c>
      <c r="Q228" s="28" t="s">
        <v>79</v>
      </c>
      <c r="R228" s="30">
        <v>21.023622047244096</v>
      </c>
      <c r="S228" s="30">
        <v>0.3125</v>
      </c>
      <c r="T228" s="30"/>
      <c r="U228" s="30">
        <v>0.3125</v>
      </c>
      <c r="V228" s="8">
        <f t="shared" si="196"/>
        <v>534</v>
      </c>
      <c r="W228" s="8">
        <f t="shared" si="197"/>
        <v>7.9375</v>
      </c>
      <c r="X228" s="8">
        <f t="shared" si="198"/>
        <v>0</v>
      </c>
      <c r="Y228" s="33">
        <f t="shared" si="199"/>
        <v>7.9375</v>
      </c>
      <c r="Z228" s="28" t="s">
        <v>80</v>
      </c>
      <c r="AA228" s="28" t="s">
        <v>81</v>
      </c>
      <c r="AB228" s="61" t="s">
        <v>79</v>
      </c>
      <c r="AC228" s="31" t="s">
        <v>82</v>
      </c>
      <c r="AD228" s="50">
        <f t="shared" si="200"/>
        <v>2</v>
      </c>
      <c r="AE228" s="31"/>
      <c r="AF228" s="51">
        <v>14</v>
      </c>
      <c r="AG228" s="51">
        <f t="shared" si="228"/>
        <v>8.4</v>
      </c>
      <c r="AH228" s="51">
        <f t="shared" si="193"/>
        <v>42</v>
      </c>
      <c r="AI228" s="52" t="s">
        <v>2497</v>
      </c>
      <c r="AJ228" s="52" t="s">
        <v>2498</v>
      </c>
      <c r="AK228" s="53">
        <f t="shared" si="229"/>
        <v>8.4772500000000004E-3</v>
      </c>
      <c r="AL228" s="54">
        <f t="shared" si="230"/>
        <v>0.11904761904761904</v>
      </c>
      <c r="AM228" s="54">
        <f t="shared" si="231"/>
        <v>2.3809523809523808E-2</v>
      </c>
      <c r="AN228" s="55">
        <f t="shared" si="232"/>
        <v>2.0183928571428571E-3</v>
      </c>
      <c r="AO228" s="55">
        <f t="shared" si="233"/>
        <v>4.0367857142857143E-4</v>
      </c>
      <c r="AP228" s="53">
        <v>7.1</v>
      </c>
      <c r="AQ228" s="53">
        <f t="shared" si="201"/>
        <v>4.26</v>
      </c>
      <c r="AR228" s="53">
        <f t="shared" si="202"/>
        <v>21.299999999999997</v>
      </c>
      <c r="AS228" s="56">
        <f t="shared" si="203"/>
        <v>4.6948356807511742E-2</v>
      </c>
      <c r="AT228" s="56">
        <f t="shared" si="234"/>
        <v>0.23474178403755869</v>
      </c>
      <c r="AU228" s="56">
        <f t="shared" si="204"/>
        <v>0.176056338028169</v>
      </c>
      <c r="AV228" s="56">
        <f t="shared" si="235"/>
        <v>5.8685446009389672E-2</v>
      </c>
      <c r="AW228" s="57" t="s">
        <v>2511</v>
      </c>
      <c r="AX228" s="57" t="s">
        <v>2512</v>
      </c>
      <c r="AY228" s="57" t="s">
        <v>2513</v>
      </c>
      <c r="AZ228" s="58">
        <f t="shared" si="236"/>
        <v>8.4772500000000004E-3</v>
      </c>
      <c r="BA228" s="59">
        <f t="shared" si="240"/>
        <v>4.974911971830986E-4</v>
      </c>
      <c r="BB228" s="59">
        <f t="shared" si="241"/>
        <v>1.4924735915492957E-3</v>
      </c>
      <c r="BC228" s="59">
        <f t="shared" si="242"/>
        <v>3.9799295774647892E-4</v>
      </c>
      <c r="BD228" s="60">
        <f t="shared" si="237"/>
        <v>2.1739130434782609E-3</v>
      </c>
      <c r="BE228" s="59">
        <f t="shared" si="238"/>
        <v>4.3478260869565218E-3</v>
      </c>
      <c r="BQ228" s="61">
        <v>3000</v>
      </c>
      <c r="BR228" s="61">
        <v>1200</v>
      </c>
      <c r="BS228" s="28">
        <f t="shared" si="205"/>
        <v>2980</v>
      </c>
      <c r="BT228" s="28">
        <f t="shared" si="206"/>
        <v>1180</v>
      </c>
      <c r="BU228" s="28" t="s">
        <v>2541</v>
      </c>
      <c r="BV228" s="28">
        <f t="shared" si="207"/>
        <v>539</v>
      </c>
      <c r="BW228" s="28">
        <f t="shared" si="208"/>
        <v>12.9375</v>
      </c>
      <c r="BX228" s="13">
        <f t="shared" si="209"/>
        <v>5.5287569573283859</v>
      </c>
      <c r="BY228" s="13">
        <f t="shared" si="210"/>
        <v>5</v>
      </c>
      <c r="BZ228" s="13">
        <f t="shared" si="211"/>
        <v>91.207729468599027</v>
      </c>
      <c r="CA228" s="13">
        <f t="shared" si="212"/>
        <v>91</v>
      </c>
      <c r="CB228" s="13">
        <f t="shared" si="213"/>
        <v>455</v>
      </c>
      <c r="CC228" s="62">
        <f t="shared" si="214"/>
        <v>2.1978021978021978E-3</v>
      </c>
      <c r="CD228" s="13">
        <f t="shared" si="215"/>
        <v>230.33816425120773</v>
      </c>
      <c r="CE228" s="13">
        <f t="shared" si="216"/>
        <v>230</v>
      </c>
      <c r="CF228" s="13">
        <f t="shared" si="217"/>
        <v>2.1892393320964749</v>
      </c>
      <c r="CG228" s="13">
        <f t="shared" si="218"/>
        <v>2</v>
      </c>
      <c r="CH228" s="28">
        <f t="shared" si="219"/>
        <v>460</v>
      </c>
      <c r="CI228" s="62">
        <f t="shared" si="220"/>
        <v>2.1739130434782609E-3</v>
      </c>
      <c r="CJ228" s="59">
        <f t="shared" si="221"/>
        <v>2.1739130434782609E-3</v>
      </c>
      <c r="CL228" s="63">
        <v>6000</v>
      </c>
      <c r="CM228" s="63">
        <f t="shared" si="222"/>
        <v>534</v>
      </c>
      <c r="CN228" s="63">
        <f t="shared" si="223"/>
        <v>539</v>
      </c>
      <c r="CO228" s="63">
        <f t="shared" si="224"/>
        <v>11.131725417439704</v>
      </c>
      <c r="CP228" s="13">
        <f t="shared" si="225"/>
        <v>11</v>
      </c>
      <c r="CQ228" s="70">
        <f t="shared" si="226"/>
        <v>9.0909090909090912E-2</v>
      </c>
      <c r="CR228" s="69">
        <f t="shared" si="194"/>
        <v>0.18181818181818182</v>
      </c>
    </row>
    <row r="229" spans="1:96" hidden="1" x14ac:dyDescent="0.25">
      <c r="A229" s="10">
        <v>3</v>
      </c>
      <c r="B229" s="8" t="s">
        <v>660</v>
      </c>
      <c r="C229" s="10" t="s">
        <v>710</v>
      </c>
      <c r="D229" s="10" t="s">
        <v>711</v>
      </c>
      <c r="E229" s="10" t="s">
        <v>52</v>
      </c>
      <c r="F229" s="12">
        <f t="shared" si="195"/>
        <v>4</v>
      </c>
      <c r="G229" s="10">
        <v>1</v>
      </c>
      <c r="H229" s="10">
        <f t="shared" si="244"/>
        <v>1</v>
      </c>
      <c r="I229" s="10">
        <v>14</v>
      </c>
      <c r="J229" s="8" t="s">
        <v>76</v>
      </c>
      <c r="K229" s="8" t="s">
        <v>34</v>
      </c>
      <c r="L229" s="10" t="s">
        <v>77</v>
      </c>
      <c r="M229" s="8" t="s">
        <v>35</v>
      </c>
      <c r="N229" s="10" t="s">
        <v>711</v>
      </c>
      <c r="O229" s="28" t="s">
        <v>41</v>
      </c>
      <c r="P229" s="28" t="s">
        <v>41</v>
      </c>
      <c r="Q229" s="28" t="s">
        <v>79</v>
      </c>
      <c r="R229" s="30">
        <v>25.098425196850396</v>
      </c>
      <c r="S229" s="30">
        <v>0.3125</v>
      </c>
      <c r="T229" s="30"/>
      <c r="U229" s="30">
        <v>0.3125</v>
      </c>
      <c r="V229" s="8">
        <f t="shared" si="196"/>
        <v>637.5</v>
      </c>
      <c r="W229" s="8">
        <f t="shared" si="197"/>
        <v>7.9375</v>
      </c>
      <c r="X229" s="8">
        <f t="shared" si="198"/>
        <v>0</v>
      </c>
      <c r="Y229" s="33">
        <f t="shared" si="199"/>
        <v>7.9375</v>
      </c>
      <c r="Z229" s="28" t="s">
        <v>80</v>
      </c>
      <c r="AA229" s="28" t="s">
        <v>81</v>
      </c>
      <c r="AB229" s="61" t="s">
        <v>79</v>
      </c>
      <c r="AC229" s="31" t="s">
        <v>82</v>
      </c>
      <c r="AD229" s="50">
        <f t="shared" si="200"/>
        <v>1</v>
      </c>
      <c r="AE229" s="31"/>
      <c r="AF229" s="51">
        <v>14</v>
      </c>
      <c r="AG229" s="51">
        <f t="shared" si="228"/>
        <v>8.4</v>
      </c>
      <c r="AH229" s="51">
        <f t="shared" si="193"/>
        <v>42</v>
      </c>
      <c r="AI229" s="52" t="s">
        <v>2497</v>
      </c>
      <c r="AJ229" s="52" t="s">
        <v>2498</v>
      </c>
      <c r="AK229" s="53">
        <f t="shared" si="229"/>
        <v>1.0120312500000001E-2</v>
      </c>
      <c r="AL229" s="54">
        <f t="shared" si="230"/>
        <v>0.11904761904761904</v>
      </c>
      <c r="AM229" s="54">
        <f t="shared" si="231"/>
        <v>2.3809523809523808E-2</v>
      </c>
      <c r="AN229" s="55">
        <f t="shared" si="232"/>
        <v>1.2047991071428572E-3</v>
      </c>
      <c r="AO229" s="55">
        <f t="shared" si="233"/>
        <v>2.4095982142857144E-4</v>
      </c>
      <c r="AP229" s="53">
        <v>7.1</v>
      </c>
      <c r="AQ229" s="53">
        <f t="shared" si="201"/>
        <v>4.26</v>
      </c>
      <c r="AR229" s="53">
        <f t="shared" si="202"/>
        <v>21.299999999999997</v>
      </c>
      <c r="AS229" s="56">
        <f t="shared" si="203"/>
        <v>4.6948356807511742E-2</v>
      </c>
      <c r="AT229" s="56">
        <f t="shared" si="234"/>
        <v>0.23474178403755869</v>
      </c>
      <c r="AU229" s="56">
        <f t="shared" si="204"/>
        <v>0.176056338028169</v>
      </c>
      <c r="AV229" s="56">
        <f t="shared" si="235"/>
        <v>5.8685446009389672E-2</v>
      </c>
      <c r="AW229" s="57" t="s">
        <v>2511</v>
      </c>
      <c r="AX229" s="57" t="s">
        <v>2512</v>
      </c>
      <c r="AY229" s="57" t="s">
        <v>2513</v>
      </c>
      <c r="AZ229" s="58">
        <f t="shared" si="236"/>
        <v>1.0120312500000001E-2</v>
      </c>
      <c r="BA229" s="59">
        <f t="shared" si="240"/>
        <v>2.9695752640845072E-4</v>
      </c>
      <c r="BB229" s="59">
        <f t="shared" si="241"/>
        <v>8.9087257922535216E-4</v>
      </c>
      <c r="BC229" s="59">
        <f t="shared" si="242"/>
        <v>2.3756602112676061E-4</v>
      </c>
      <c r="BD229" s="60">
        <f t="shared" si="237"/>
        <v>2.7472527472527475E-3</v>
      </c>
      <c r="BE229" s="59">
        <f t="shared" si="238"/>
        <v>2.7472527472527475E-3</v>
      </c>
      <c r="BQ229" s="61">
        <v>3000</v>
      </c>
      <c r="BR229" s="61">
        <v>1200</v>
      </c>
      <c r="BS229" s="28">
        <f t="shared" si="205"/>
        <v>2980</v>
      </c>
      <c r="BT229" s="28">
        <f t="shared" si="206"/>
        <v>1180</v>
      </c>
      <c r="BU229" s="28" t="s">
        <v>2541</v>
      </c>
      <c r="BV229" s="28">
        <f t="shared" si="207"/>
        <v>642.5</v>
      </c>
      <c r="BW229" s="28">
        <f t="shared" si="208"/>
        <v>12.9375</v>
      </c>
      <c r="BX229" s="13">
        <f t="shared" si="209"/>
        <v>4.6381322957198448</v>
      </c>
      <c r="BY229" s="13">
        <f t="shared" si="210"/>
        <v>4</v>
      </c>
      <c r="BZ229" s="13">
        <f t="shared" si="211"/>
        <v>91.207729468599027</v>
      </c>
      <c r="CA229" s="13">
        <f t="shared" si="212"/>
        <v>91</v>
      </c>
      <c r="CB229" s="13">
        <f t="shared" si="213"/>
        <v>364</v>
      </c>
      <c r="CC229" s="62">
        <f t="shared" si="214"/>
        <v>2.7472527472527475E-3</v>
      </c>
      <c r="CD229" s="13">
        <f t="shared" si="215"/>
        <v>230.33816425120773</v>
      </c>
      <c r="CE229" s="13">
        <f t="shared" si="216"/>
        <v>230</v>
      </c>
      <c r="CF229" s="13">
        <f t="shared" si="217"/>
        <v>1.8365758754863812</v>
      </c>
      <c r="CG229" s="13">
        <f t="shared" si="218"/>
        <v>1</v>
      </c>
      <c r="CH229" s="28">
        <f t="shared" si="219"/>
        <v>230</v>
      </c>
      <c r="CI229" s="62">
        <f t="shared" si="220"/>
        <v>4.3478260869565218E-3</v>
      </c>
      <c r="CJ229" s="59">
        <f t="shared" si="221"/>
        <v>2.7472527472527475E-3</v>
      </c>
      <c r="CL229" s="63">
        <v>6000</v>
      </c>
      <c r="CM229" s="63">
        <f t="shared" si="222"/>
        <v>637.5</v>
      </c>
      <c r="CN229" s="63">
        <f t="shared" si="223"/>
        <v>642.5</v>
      </c>
      <c r="CO229" s="63">
        <f t="shared" si="224"/>
        <v>9.3385214007782107</v>
      </c>
      <c r="CP229" s="13">
        <f t="shared" si="225"/>
        <v>9</v>
      </c>
      <c r="CQ229" s="70">
        <f t="shared" si="226"/>
        <v>0.1111111111111111</v>
      </c>
      <c r="CR229" s="69">
        <f t="shared" si="194"/>
        <v>0.1111111111111111</v>
      </c>
    </row>
    <row r="230" spans="1:96" hidden="1" x14ac:dyDescent="0.25">
      <c r="A230" s="10">
        <v>3</v>
      </c>
      <c r="B230" s="8" t="s">
        <v>660</v>
      </c>
      <c r="C230" s="10" t="s">
        <v>712</v>
      </c>
      <c r="D230" s="10" t="s">
        <v>714</v>
      </c>
      <c r="E230" s="10" t="s">
        <v>52</v>
      </c>
      <c r="F230" s="12">
        <f t="shared" si="195"/>
        <v>3</v>
      </c>
      <c r="G230" s="10">
        <v>1</v>
      </c>
      <c r="H230" s="10">
        <f t="shared" si="244"/>
        <v>1</v>
      </c>
      <c r="I230" s="10">
        <v>15</v>
      </c>
      <c r="J230" s="8" t="s">
        <v>713</v>
      </c>
      <c r="K230" s="8" t="s">
        <v>34</v>
      </c>
      <c r="L230" s="10" t="s">
        <v>194</v>
      </c>
      <c r="M230" s="8" t="s">
        <v>35</v>
      </c>
      <c r="N230" s="10" t="s">
        <v>714</v>
      </c>
      <c r="O230" s="28" t="s">
        <v>41</v>
      </c>
      <c r="P230" s="28" t="s">
        <v>41</v>
      </c>
      <c r="Q230" s="28" t="s">
        <v>79</v>
      </c>
      <c r="R230" s="30">
        <v>17.984251968503937</v>
      </c>
      <c r="S230" s="30">
        <v>0.3125</v>
      </c>
      <c r="T230" s="30"/>
      <c r="U230" s="30">
        <v>0.3125</v>
      </c>
      <c r="V230" s="8">
        <f t="shared" si="196"/>
        <v>456.79999999999995</v>
      </c>
      <c r="W230" s="8">
        <f t="shared" si="197"/>
        <v>7.9375</v>
      </c>
      <c r="X230" s="8">
        <f t="shared" si="198"/>
        <v>0</v>
      </c>
      <c r="Y230" s="33">
        <f t="shared" si="199"/>
        <v>7.9375</v>
      </c>
      <c r="Z230" s="28" t="s">
        <v>80</v>
      </c>
      <c r="AA230" s="28" t="s">
        <v>81</v>
      </c>
      <c r="AB230" s="61" t="s">
        <v>79</v>
      </c>
      <c r="AC230" s="31" t="s">
        <v>82</v>
      </c>
      <c r="AD230" s="50">
        <f t="shared" si="200"/>
        <v>1</v>
      </c>
      <c r="AE230" s="31"/>
      <c r="AF230" s="51">
        <v>14</v>
      </c>
      <c r="AG230" s="51">
        <f t="shared" si="228"/>
        <v>8.4</v>
      </c>
      <c r="AH230" s="51">
        <f t="shared" si="193"/>
        <v>42</v>
      </c>
      <c r="AI230" s="52" t="s">
        <v>2497</v>
      </c>
      <c r="AJ230" s="52" t="s">
        <v>2498</v>
      </c>
      <c r="AK230" s="53">
        <f t="shared" si="229"/>
        <v>7.2516999999999989E-3</v>
      </c>
      <c r="AL230" s="54">
        <f t="shared" si="230"/>
        <v>0.11904761904761904</v>
      </c>
      <c r="AM230" s="54">
        <f t="shared" si="231"/>
        <v>2.3809523809523808E-2</v>
      </c>
      <c r="AN230" s="55">
        <f t="shared" si="232"/>
        <v>8.632976190476189E-4</v>
      </c>
      <c r="AO230" s="55">
        <f t="shared" si="233"/>
        <v>1.7265952380952378E-4</v>
      </c>
      <c r="AP230" s="53">
        <v>7.1</v>
      </c>
      <c r="AQ230" s="53">
        <f t="shared" si="201"/>
        <v>4.26</v>
      </c>
      <c r="AR230" s="53">
        <f t="shared" si="202"/>
        <v>21.299999999999997</v>
      </c>
      <c r="AS230" s="56">
        <f t="shared" si="203"/>
        <v>4.6948356807511742E-2</v>
      </c>
      <c r="AT230" s="56">
        <f t="shared" si="234"/>
        <v>0.23474178403755869</v>
      </c>
      <c r="AU230" s="56">
        <f t="shared" si="204"/>
        <v>0.176056338028169</v>
      </c>
      <c r="AV230" s="56">
        <f t="shared" si="235"/>
        <v>5.8685446009389672E-2</v>
      </c>
      <c r="AW230" s="57" t="s">
        <v>2511</v>
      </c>
      <c r="AX230" s="57" t="s">
        <v>2512</v>
      </c>
      <c r="AY230" s="57" t="s">
        <v>2513</v>
      </c>
      <c r="AZ230" s="58">
        <f t="shared" si="236"/>
        <v>7.2516999999999989E-3</v>
      </c>
      <c r="BA230" s="59">
        <f t="shared" si="240"/>
        <v>2.127846244131455E-4</v>
      </c>
      <c r="BB230" s="59">
        <f t="shared" si="241"/>
        <v>6.3835387323943652E-4</v>
      </c>
      <c r="BC230" s="59">
        <f t="shared" si="242"/>
        <v>1.7022769953051642E-4</v>
      </c>
      <c r="BD230" s="60">
        <f t="shared" si="237"/>
        <v>1.8315018315018315E-3</v>
      </c>
      <c r="BE230" s="59">
        <f t="shared" si="238"/>
        <v>1.8315018315018315E-3</v>
      </c>
      <c r="BQ230" s="61">
        <v>3000</v>
      </c>
      <c r="BR230" s="61">
        <v>1200</v>
      </c>
      <c r="BS230" s="28">
        <f t="shared" si="205"/>
        <v>2980</v>
      </c>
      <c r="BT230" s="28">
        <f t="shared" si="206"/>
        <v>1180</v>
      </c>
      <c r="BU230" s="28" t="s">
        <v>2541</v>
      </c>
      <c r="BV230" s="28">
        <f t="shared" si="207"/>
        <v>461.79999999999995</v>
      </c>
      <c r="BW230" s="28">
        <f t="shared" si="208"/>
        <v>12.9375</v>
      </c>
      <c r="BX230" s="13">
        <f t="shared" si="209"/>
        <v>6.4530099610220883</v>
      </c>
      <c r="BY230" s="13">
        <f t="shared" si="210"/>
        <v>6</v>
      </c>
      <c r="BZ230" s="13">
        <f t="shared" si="211"/>
        <v>91.207729468599027</v>
      </c>
      <c r="CA230" s="13">
        <f t="shared" si="212"/>
        <v>91</v>
      </c>
      <c r="CB230" s="13">
        <f t="shared" si="213"/>
        <v>546</v>
      </c>
      <c r="CC230" s="62">
        <f t="shared" si="214"/>
        <v>1.8315018315018315E-3</v>
      </c>
      <c r="CD230" s="13">
        <f t="shared" si="215"/>
        <v>230.33816425120773</v>
      </c>
      <c r="CE230" s="13">
        <f t="shared" si="216"/>
        <v>230</v>
      </c>
      <c r="CF230" s="13">
        <f t="shared" si="217"/>
        <v>2.5552187093980079</v>
      </c>
      <c r="CG230" s="13">
        <f t="shared" si="218"/>
        <v>2</v>
      </c>
      <c r="CH230" s="28">
        <f t="shared" si="219"/>
        <v>460</v>
      </c>
      <c r="CI230" s="62">
        <f t="shared" si="220"/>
        <v>2.1739130434782609E-3</v>
      </c>
      <c r="CJ230" s="59">
        <f t="shared" si="221"/>
        <v>1.8315018315018315E-3</v>
      </c>
      <c r="CL230" s="63">
        <v>6000</v>
      </c>
      <c r="CM230" s="63">
        <f t="shared" si="222"/>
        <v>456.79999999999995</v>
      </c>
      <c r="CN230" s="63">
        <f t="shared" si="223"/>
        <v>461.79999999999995</v>
      </c>
      <c r="CO230" s="63">
        <f t="shared" si="224"/>
        <v>12.992637505413601</v>
      </c>
      <c r="CP230" s="13">
        <f t="shared" si="225"/>
        <v>12</v>
      </c>
      <c r="CQ230" s="70">
        <f t="shared" si="226"/>
        <v>8.3333333333333329E-2</v>
      </c>
      <c r="CR230" s="69">
        <f t="shared" si="194"/>
        <v>8.3333333333333329E-2</v>
      </c>
    </row>
    <row r="231" spans="1:96" hidden="1" x14ac:dyDescent="0.25">
      <c r="A231" s="10">
        <v>3</v>
      </c>
      <c r="B231" s="8" t="s">
        <v>660</v>
      </c>
      <c r="C231" s="10" t="s">
        <v>188</v>
      </c>
      <c r="D231" s="10" t="s">
        <v>189</v>
      </c>
      <c r="E231" s="10" t="s">
        <v>52</v>
      </c>
      <c r="F231" s="12">
        <f t="shared" si="195"/>
        <v>5</v>
      </c>
      <c r="G231" s="10">
        <v>1</v>
      </c>
      <c r="H231" s="10">
        <f t="shared" si="244"/>
        <v>1</v>
      </c>
      <c r="I231" s="10">
        <v>16</v>
      </c>
      <c r="J231" s="8" t="s">
        <v>76</v>
      </c>
      <c r="K231" s="8" t="s">
        <v>34</v>
      </c>
      <c r="L231" s="10" t="s">
        <v>77</v>
      </c>
      <c r="M231" s="8" t="s">
        <v>35</v>
      </c>
      <c r="N231" s="10" t="s">
        <v>189</v>
      </c>
      <c r="O231" s="28" t="s">
        <v>41</v>
      </c>
      <c r="P231" s="28" t="s">
        <v>41</v>
      </c>
      <c r="Q231" s="28" t="s">
        <v>79</v>
      </c>
      <c r="R231" s="30">
        <v>15.039370078740159</v>
      </c>
      <c r="S231" s="30">
        <v>0.3125</v>
      </c>
      <c r="T231" s="30"/>
      <c r="U231" s="30">
        <v>0.3125</v>
      </c>
      <c r="V231" s="8">
        <f t="shared" si="196"/>
        <v>382</v>
      </c>
      <c r="W231" s="8">
        <f t="shared" si="197"/>
        <v>7.9375</v>
      </c>
      <c r="X231" s="8">
        <f t="shared" si="198"/>
        <v>0</v>
      </c>
      <c r="Y231" s="33">
        <f t="shared" si="199"/>
        <v>7.9375</v>
      </c>
      <c r="Z231" s="28" t="s">
        <v>80</v>
      </c>
      <c r="AA231" s="28" t="s">
        <v>81</v>
      </c>
      <c r="AB231" s="61" t="s">
        <v>79</v>
      </c>
      <c r="AC231" s="31" t="s">
        <v>82</v>
      </c>
      <c r="AD231" s="50">
        <f t="shared" si="200"/>
        <v>1</v>
      </c>
      <c r="AE231" s="31"/>
      <c r="AF231" s="51">
        <v>14</v>
      </c>
      <c r="AG231" s="51">
        <f t="shared" si="228"/>
        <v>8.4</v>
      </c>
      <c r="AH231" s="51">
        <f t="shared" si="193"/>
        <v>42</v>
      </c>
      <c r="AI231" s="52" t="s">
        <v>2497</v>
      </c>
      <c r="AJ231" s="52" t="s">
        <v>2498</v>
      </c>
      <c r="AK231" s="53">
        <f t="shared" si="229"/>
        <v>6.0642500000000002E-3</v>
      </c>
      <c r="AL231" s="54">
        <f t="shared" si="230"/>
        <v>0.11904761904761904</v>
      </c>
      <c r="AM231" s="54">
        <f t="shared" si="231"/>
        <v>2.3809523809523808E-2</v>
      </c>
      <c r="AN231" s="55">
        <f t="shared" si="232"/>
        <v>7.2193452380952378E-4</v>
      </c>
      <c r="AO231" s="55">
        <f t="shared" si="233"/>
        <v>1.4438690476190476E-4</v>
      </c>
      <c r="AP231" s="53">
        <v>7.1</v>
      </c>
      <c r="AQ231" s="53">
        <f t="shared" si="201"/>
        <v>4.26</v>
      </c>
      <c r="AR231" s="53">
        <f t="shared" si="202"/>
        <v>21.299999999999997</v>
      </c>
      <c r="AS231" s="56">
        <f t="shared" si="203"/>
        <v>4.6948356807511742E-2</v>
      </c>
      <c r="AT231" s="56">
        <f t="shared" si="234"/>
        <v>0.23474178403755869</v>
      </c>
      <c r="AU231" s="56">
        <f t="shared" si="204"/>
        <v>0.176056338028169</v>
      </c>
      <c r="AV231" s="56">
        <f t="shared" si="235"/>
        <v>5.8685446009389672E-2</v>
      </c>
      <c r="AW231" s="57" t="s">
        <v>2511</v>
      </c>
      <c r="AX231" s="57" t="s">
        <v>2512</v>
      </c>
      <c r="AY231" s="57" t="s">
        <v>2513</v>
      </c>
      <c r="AZ231" s="58">
        <f t="shared" si="236"/>
        <v>6.0642500000000002E-3</v>
      </c>
      <c r="BA231" s="59">
        <f t="shared" si="240"/>
        <v>1.7794160798122066E-4</v>
      </c>
      <c r="BB231" s="59">
        <f t="shared" si="241"/>
        <v>5.3382482394366191E-4</v>
      </c>
      <c r="BC231" s="59">
        <f t="shared" si="242"/>
        <v>1.4235328638497654E-4</v>
      </c>
      <c r="BD231" s="60">
        <f t="shared" si="237"/>
        <v>1.4492753623188406E-3</v>
      </c>
      <c r="BE231" s="59">
        <f t="shared" si="238"/>
        <v>1.4492753623188406E-3</v>
      </c>
      <c r="BQ231" s="61">
        <v>3000</v>
      </c>
      <c r="BR231" s="61">
        <v>1200</v>
      </c>
      <c r="BS231" s="28">
        <f t="shared" si="205"/>
        <v>2980</v>
      </c>
      <c r="BT231" s="28">
        <f t="shared" si="206"/>
        <v>1180</v>
      </c>
      <c r="BU231" s="28" t="s">
        <v>2541</v>
      </c>
      <c r="BV231" s="28">
        <f t="shared" si="207"/>
        <v>387</v>
      </c>
      <c r="BW231" s="28">
        <f t="shared" si="208"/>
        <v>12.9375</v>
      </c>
      <c r="BX231" s="13">
        <f t="shared" si="209"/>
        <v>7.7002583979328163</v>
      </c>
      <c r="BY231" s="13">
        <f t="shared" si="210"/>
        <v>7</v>
      </c>
      <c r="BZ231" s="13">
        <f t="shared" si="211"/>
        <v>91.207729468599027</v>
      </c>
      <c r="CA231" s="13">
        <f t="shared" si="212"/>
        <v>91</v>
      </c>
      <c r="CB231" s="13">
        <f t="shared" si="213"/>
        <v>637</v>
      </c>
      <c r="CC231" s="62">
        <f t="shared" si="214"/>
        <v>1.5698587127158557E-3</v>
      </c>
      <c r="CD231" s="13">
        <f t="shared" si="215"/>
        <v>230.33816425120773</v>
      </c>
      <c r="CE231" s="13">
        <f t="shared" si="216"/>
        <v>230</v>
      </c>
      <c r="CF231" s="13">
        <f t="shared" si="217"/>
        <v>3.0490956072351421</v>
      </c>
      <c r="CG231" s="13">
        <f t="shared" si="218"/>
        <v>3</v>
      </c>
      <c r="CH231" s="28">
        <f t="shared" si="219"/>
        <v>690</v>
      </c>
      <c r="CI231" s="62">
        <f t="shared" si="220"/>
        <v>1.4492753623188406E-3</v>
      </c>
      <c r="CJ231" s="59">
        <f t="shared" si="221"/>
        <v>1.4492753623188406E-3</v>
      </c>
      <c r="CL231" s="63">
        <v>6000</v>
      </c>
      <c r="CM231" s="63">
        <f t="shared" si="222"/>
        <v>382</v>
      </c>
      <c r="CN231" s="63">
        <f t="shared" si="223"/>
        <v>387</v>
      </c>
      <c r="CO231" s="63">
        <f t="shared" si="224"/>
        <v>15.503875968992247</v>
      </c>
      <c r="CP231" s="13">
        <f t="shared" si="225"/>
        <v>15</v>
      </c>
      <c r="CQ231" s="70">
        <f t="shared" si="226"/>
        <v>6.6666666666666666E-2</v>
      </c>
      <c r="CR231" s="69">
        <f t="shared" si="194"/>
        <v>6.6666666666666666E-2</v>
      </c>
    </row>
    <row r="232" spans="1:96" hidden="1" x14ac:dyDescent="0.25">
      <c r="A232" s="10">
        <v>3</v>
      </c>
      <c r="B232" s="8" t="s">
        <v>660</v>
      </c>
      <c r="C232" s="10" t="s">
        <v>94</v>
      </c>
      <c r="D232" s="10" t="s">
        <v>95</v>
      </c>
      <c r="E232" s="10" t="s">
        <v>52</v>
      </c>
      <c r="F232" s="12">
        <f t="shared" si="195"/>
        <v>13</v>
      </c>
      <c r="G232" s="10">
        <v>1</v>
      </c>
      <c r="H232" s="10">
        <f t="shared" si="244"/>
        <v>1</v>
      </c>
      <c r="I232" s="10">
        <v>17</v>
      </c>
      <c r="J232" s="8" t="s">
        <v>76</v>
      </c>
      <c r="K232" s="8" t="s">
        <v>34</v>
      </c>
      <c r="L232" s="10" t="s">
        <v>77</v>
      </c>
      <c r="M232" s="8" t="s">
        <v>35</v>
      </c>
      <c r="N232" s="10" t="s">
        <v>95</v>
      </c>
      <c r="O232" s="28" t="s">
        <v>41</v>
      </c>
      <c r="P232" s="28" t="s">
        <v>41</v>
      </c>
      <c r="Q232" s="28" t="s">
        <v>79</v>
      </c>
      <c r="R232" s="30">
        <v>7.0078740157480315</v>
      </c>
      <c r="S232" s="30">
        <v>0.3125</v>
      </c>
      <c r="T232" s="30"/>
      <c r="U232" s="30">
        <v>0.3125</v>
      </c>
      <c r="V232" s="8">
        <f t="shared" si="196"/>
        <v>178</v>
      </c>
      <c r="W232" s="8">
        <f t="shared" si="197"/>
        <v>7.9375</v>
      </c>
      <c r="X232" s="8">
        <f t="shared" si="198"/>
        <v>0</v>
      </c>
      <c r="Y232" s="33">
        <f t="shared" si="199"/>
        <v>7.9375</v>
      </c>
      <c r="Z232" s="28" t="s">
        <v>80</v>
      </c>
      <c r="AA232" s="28" t="s">
        <v>81</v>
      </c>
      <c r="AB232" s="61" t="s">
        <v>79</v>
      </c>
      <c r="AC232" s="31" t="s">
        <v>82</v>
      </c>
      <c r="AD232" s="50">
        <f t="shared" si="200"/>
        <v>1</v>
      </c>
      <c r="AE232" s="47" t="s">
        <v>715</v>
      </c>
      <c r="AF232" s="51">
        <v>14</v>
      </c>
      <c r="AG232" s="51">
        <f t="shared" si="228"/>
        <v>8.4</v>
      </c>
      <c r="AH232" s="51">
        <f t="shared" si="193"/>
        <v>42</v>
      </c>
      <c r="AI232" s="52" t="s">
        <v>2497</v>
      </c>
      <c r="AJ232" s="52" t="s">
        <v>2498</v>
      </c>
      <c r="AK232" s="53">
        <f t="shared" si="229"/>
        <v>2.8257500000000001E-3</v>
      </c>
      <c r="AL232" s="54">
        <f t="shared" si="230"/>
        <v>0.11904761904761904</v>
      </c>
      <c r="AM232" s="54">
        <f t="shared" si="231"/>
        <v>2.3809523809523808E-2</v>
      </c>
      <c r="AN232" s="55">
        <f t="shared" si="232"/>
        <v>3.3639880952380955E-4</v>
      </c>
      <c r="AO232" s="55">
        <f t="shared" si="233"/>
        <v>6.7279761904761901E-5</v>
      </c>
      <c r="AP232" s="53">
        <v>7.1</v>
      </c>
      <c r="AQ232" s="53">
        <f t="shared" si="201"/>
        <v>4.26</v>
      </c>
      <c r="AR232" s="53">
        <f t="shared" si="202"/>
        <v>21.299999999999997</v>
      </c>
      <c r="AS232" s="56">
        <f t="shared" si="203"/>
        <v>4.6948356807511742E-2</v>
      </c>
      <c r="AT232" s="56">
        <f t="shared" si="234"/>
        <v>0.23474178403755869</v>
      </c>
      <c r="AU232" s="56">
        <f t="shared" si="204"/>
        <v>0.176056338028169</v>
      </c>
      <c r="AV232" s="56">
        <f t="shared" si="235"/>
        <v>5.8685446009389672E-2</v>
      </c>
      <c r="AW232" s="57" t="s">
        <v>2511</v>
      </c>
      <c r="AX232" s="57" t="s">
        <v>2512</v>
      </c>
      <c r="AY232" s="57" t="s">
        <v>2513</v>
      </c>
      <c r="AZ232" s="58">
        <f t="shared" si="236"/>
        <v>2.8257500000000001E-3</v>
      </c>
      <c r="BA232" s="59">
        <f t="shared" si="240"/>
        <v>8.2915199530516433E-5</v>
      </c>
      <c r="BB232" s="59">
        <f t="shared" si="241"/>
        <v>2.487455985915493E-4</v>
      </c>
      <c r="BC232" s="59">
        <f t="shared" si="242"/>
        <v>6.6332159624413149E-5</v>
      </c>
      <c r="BD232" s="60">
        <f t="shared" si="237"/>
        <v>6.8681318681318687E-4</v>
      </c>
      <c r="BE232" s="59">
        <f t="shared" si="238"/>
        <v>6.8681318681318687E-4</v>
      </c>
      <c r="BQ232" s="61">
        <v>3000</v>
      </c>
      <c r="BR232" s="61">
        <v>1200</v>
      </c>
      <c r="BS232" s="28">
        <f t="shared" si="205"/>
        <v>2980</v>
      </c>
      <c r="BT232" s="28">
        <f t="shared" si="206"/>
        <v>1180</v>
      </c>
      <c r="BU232" s="28" t="s">
        <v>2541</v>
      </c>
      <c r="BV232" s="28">
        <f t="shared" si="207"/>
        <v>183</v>
      </c>
      <c r="BW232" s="28">
        <f t="shared" si="208"/>
        <v>12.9375</v>
      </c>
      <c r="BX232" s="13">
        <f t="shared" si="209"/>
        <v>16.284153005464482</v>
      </c>
      <c r="BY232" s="13">
        <f t="shared" si="210"/>
        <v>16</v>
      </c>
      <c r="BZ232" s="13">
        <f t="shared" si="211"/>
        <v>91.207729468599027</v>
      </c>
      <c r="CA232" s="13">
        <f t="shared" si="212"/>
        <v>91</v>
      </c>
      <c r="CB232" s="13">
        <f t="shared" si="213"/>
        <v>1456</v>
      </c>
      <c r="CC232" s="62">
        <f t="shared" si="214"/>
        <v>6.8681318681318687E-4</v>
      </c>
      <c r="CD232" s="13">
        <f t="shared" si="215"/>
        <v>230.33816425120773</v>
      </c>
      <c r="CE232" s="13">
        <f t="shared" si="216"/>
        <v>230</v>
      </c>
      <c r="CF232" s="13">
        <f t="shared" si="217"/>
        <v>6.4480874316939891</v>
      </c>
      <c r="CG232" s="13">
        <f t="shared" si="218"/>
        <v>6</v>
      </c>
      <c r="CH232" s="28">
        <f t="shared" si="219"/>
        <v>1380</v>
      </c>
      <c r="CI232" s="62">
        <f t="shared" si="220"/>
        <v>7.246376811594203E-4</v>
      </c>
      <c r="CJ232" s="59">
        <f t="shared" si="221"/>
        <v>6.8681318681318687E-4</v>
      </c>
      <c r="CL232" s="63">
        <v>6000</v>
      </c>
      <c r="CM232" s="63">
        <f t="shared" si="222"/>
        <v>178</v>
      </c>
      <c r="CN232" s="63">
        <f t="shared" si="223"/>
        <v>183</v>
      </c>
      <c r="CO232" s="63">
        <f t="shared" si="224"/>
        <v>32.786885245901637</v>
      </c>
      <c r="CP232" s="13">
        <f t="shared" si="225"/>
        <v>32</v>
      </c>
      <c r="CQ232" s="70">
        <f t="shared" si="226"/>
        <v>3.125E-2</v>
      </c>
      <c r="CR232" s="69">
        <f t="shared" si="194"/>
        <v>3.125E-2</v>
      </c>
    </row>
    <row r="233" spans="1:96" hidden="1" x14ac:dyDescent="0.25">
      <c r="A233" s="10">
        <v>3</v>
      </c>
      <c r="B233" s="8" t="s">
        <v>660</v>
      </c>
      <c r="C233" s="10" t="s">
        <v>234</v>
      </c>
      <c r="D233" s="10" t="s">
        <v>237</v>
      </c>
      <c r="E233" s="10" t="s">
        <v>52</v>
      </c>
      <c r="F233" s="12">
        <f t="shared" si="195"/>
        <v>5</v>
      </c>
      <c r="G233" s="10">
        <v>1</v>
      </c>
      <c r="H233" s="10">
        <f t="shared" si="244"/>
        <v>1</v>
      </c>
      <c r="I233" s="10">
        <v>18</v>
      </c>
      <c r="J233" s="8" t="s">
        <v>235</v>
      </c>
      <c r="K233" s="8" t="s">
        <v>34</v>
      </c>
      <c r="L233" s="10" t="s">
        <v>236</v>
      </c>
      <c r="M233" s="8" t="s">
        <v>35</v>
      </c>
      <c r="N233" s="10" t="s">
        <v>237</v>
      </c>
      <c r="O233" s="28" t="s">
        <v>41</v>
      </c>
      <c r="P233" s="28" t="s">
        <v>41</v>
      </c>
      <c r="Q233" s="28" t="s">
        <v>79</v>
      </c>
      <c r="R233" s="30">
        <v>22.047244094488189</v>
      </c>
      <c r="S233" s="30">
        <v>0.3125</v>
      </c>
      <c r="T233" s="30"/>
      <c r="U233" s="30">
        <v>0.3125</v>
      </c>
      <c r="V233" s="8">
        <f t="shared" si="196"/>
        <v>560</v>
      </c>
      <c r="W233" s="8">
        <f t="shared" si="197"/>
        <v>7.9375</v>
      </c>
      <c r="X233" s="8">
        <f t="shared" si="198"/>
        <v>0</v>
      </c>
      <c r="Y233" s="33">
        <f t="shared" si="199"/>
        <v>7.9375</v>
      </c>
      <c r="Z233" s="28" t="s">
        <v>80</v>
      </c>
      <c r="AA233" s="28" t="s">
        <v>81</v>
      </c>
      <c r="AB233" s="61" t="s">
        <v>79</v>
      </c>
      <c r="AC233" s="31" t="s">
        <v>82</v>
      </c>
      <c r="AD233" s="50">
        <f t="shared" si="200"/>
        <v>1</v>
      </c>
      <c r="AE233" s="47" t="s">
        <v>716</v>
      </c>
      <c r="AF233" s="51">
        <v>14</v>
      </c>
      <c r="AG233" s="51">
        <f t="shared" si="228"/>
        <v>8.4</v>
      </c>
      <c r="AH233" s="51">
        <f t="shared" si="193"/>
        <v>42</v>
      </c>
      <c r="AI233" s="52" t="s">
        <v>2497</v>
      </c>
      <c r="AJ233" s="52" t="s">
        <v>2498</v>
      </c>
      <c r="AK233" s="53">
        <f t="shared" si="229"/>
        <v>8.8900000000000003E-3</v>
      </c>
      <c r="AL233" s="54">
        <f t="shared" si="230"/>
        <v>0.11904761904761904</v>
      </c>
      <c r="AM233" s="54">
        <f t="shared" si="231"/>
        <v>2.3809523809523808E-2</v>
      </c>
      <c r="AN233" s="55">
        <f t="shared" si="232"/>
        <v>1.0583333333333332E-3</v>
      </c>
      <c r="AO233" s="55">
        <f t="shared" si="233"/>
        <v>2.1166666666666667E-4</v>
      </c>
      <c r="AP233" s="53">
        <v>7.1</v>
      </c>
      <c r="AQ233" s="53">
        <f t="shared" si="201"/>
        <v>4.26</v>
      </c>
      <c r="AR233" s="53">
        <f t="shared" si="202"/>
        <v>21.299999999999997</v>
      </c>
      <c r="AS233" s="56">
        <f t="shared" si="203"/>
        <v>4.6948356807511742E-2</v>
      </c>
      <c r="AT233" s="56">
        <f t="shared" si="234"/>
        <v>0.23474178403755869</v>
      </c>
      <c r="AU233" s="56">
        <f t="shared" si="204"/>
        <v>0.176056338028169</v>
      </c>
      <c r="AV233" s="56">
        <f t="shared" si="235"/>
        <v>5.8685446009389672E-2</v>
      </c>
      <c r="AW233" s="57" t="s">
        <v>2511</v>
      </c>
      <c r="AX233" s="57" t="s">
        <v>2512</v>
      </c>
      <c r="AY233" s="57" t="s">
        <v>2513</v>
      </c>
      <c r="AZ233" s="58">
        <f t="shared" si="236"/>
        <v>8.8900000000000003E-3</v>
      </c>
      <c r="BA233" s="59">
        <f t="shared" si="240"/>
        <v>2.6085680751173712E-4</v>
      </c>
      <c r="BB233" s="59">
        <f t="shared" si="241"/>
        <v>7.8257042253521126E-4</v>
      </c>
      <c r="BC233" s="59">
        <f t="shared" si="242"/>
        <v>2.086854460093897E-4</v>
      </c>
      <c r="BD233" s="60">
        <f t="shared" si="237"/>
        <v>2.1739130434782609E-3</v>
      </c>
      <c r="BE233" s="59">
        <f t="shared" si="238"/>
        <v>2.1739130434782609E-3</v>
      </c>
      <c r="BQ233" s="61">
        <v>3000</v>
      </c>
      <c r="BR233" s="61">
        <v>1200</v>
      </c>
      <c r="BS233" s="28">
        <f t="shared" si="205"/>
        <v>2980</v>
      </c>
      <c r="BT233" s="28">
        <f t="shared" si="206"/>
        <v>1180</v>
      </c>
      <c r="BU233" s="28" t="s">
        <v>2541</v>
      </c>
      <c r="BV233" s="28">
        <f t="shared" si="207"/>
        <v>565</v>
      </c>
      <c r="BW233" s="28">
        <f t="shared" si="208"/>
        <v>12.9375</v>
      </c>
      <c r="BX233" s="13">
        <f t="shared" si="209"/>
        <v>5.2743362831858409</v>
      </c>
      <c r="BY233" s="13">
        <f t="shared" si="210"/>
        <v>5</v>
      </c>
      <c r="BZ233" s="13">
        <f t="shared" si="211"/>
        <v>91.207729468599027</v>
      </c>
      <c r="CA233" s="13">
        <f t="shared" si="212"/>
        <v>91</v>
      </c>
      <c r="CB233" s="13">
        <f t="shared" si="213"/>
        <v>455</v>
      </c>
      <c r="CC233" s="62">
        <f t="shared" si="214"/>
        <v>2.1978021978021978E-3</v>
      </c>
      <c r="CD233" s="13">
        <f t="shared" si="215"/>
        <v>230.33816425120773</v>
      </c>
      <c r="CE233" s="13">
        <f t="shared" si="216"/>
        <v>230</v>
      </c>
      <c r="CF233" s="13">
        <f t="shared" si="217"/>
        <v>2.0884955752212391</v>
      </c>
      <c r="CG233" s="13">
        <f t="shared" si="218"/>
        <v>2</v>
      </c>
      <c r="CH233" s="28">
        <f t="shared" si="219"/>
        <v>460</v>
      </c>
      <c r="CI233" s="62">
        <f t="shared" si="220"/>
        <v>2.1739130434782609E-3</v>
      </c>
      <c r="CJ233" s="59">
        <f t="shared" si="221"/>
        <v>2.1739130434782609E-3</v>
      </c>
      <c r="CL233" s="63">
        <v>6000</v>
      </c>
      <c r="CM233" s="63">
        <f t="shared" si="222"/>
        <v>560</v>
      </c>
      <c r="CN233" s="63">
        <f t="shared" si="223"/>
        <v>565</v>
      </c>
      <c r="CO233" s="63">
        <f t="shared" si="224"/>
        <v>10.619469026548673</v>
      </c>
      <c r="CP233" s="13">
        <f t="shared" si="225"/>
        <v>10</v>
      </c>
      <c r="CQ233" s="70">
        <f t="shared" si="226"/>
        <v>0.1</v>
      </c>
      <c r="CR233" s="69">
        <f t="shared" si="194"/>
        <v>0.1</v>
      </c>
    </row>
    <row r="234" spans="1:96" hidden="1" x14ac:dyDescent="0.25">
      <c r="A234" s="36">
        <v>2</v>
      </c>
      <c r="B234" s="37" t="s">
        <v>37</v>
      </c>
      <c r="C234" s="36" t="s">
        <v>717</v>
      </c>
      <c r="D234" s="36" t="s">
        <v>2270</v>
      </c>
      <c r="E234" s="36" t="s">
        <v>32</v>
      </c>
      <c r="F234" s="38">
        <f t="shared" si="195"/>
        <v>1</v>
      </c>
      <c r="G234" s="36">
        <v>1</v>
      </c>
      <c r="H234" s="36">
        <f>G234*$H$3</f>
        <v>1</v>
      </c>
      <c r="I234" s="36">
        <v>3</v>
      </c>
      <c r="J234" s="37" t="s">
        <v>718</v>
      </c>
      <c r="K234" s="37" t="s">
        <v>34</v>
      </c>
      <c r="L234" s="36">
        <v>0</v>
      </c>
      <c r="M234" s="37" t="s">
        <v>35</v>
      </c>
      <c r="N234" s="36" t="s">
        <v>719</v>
      </c>
      <c r="O234" s="28" t="s">
        <v>41</v>
      </c>
      <c r="P234" s="28" t="s">
        <v>41</v>
      </c>
      <c r="Q234" s="28"/>
      <c r="R234" s="30"/>
      <c r="S234" s="30"/>
      <c r="T234" s="30"/>
      <c r="U234" s="30"/>
      <c r="V234" s="8">
        <f t="shared" si="196"/>
        <v>0</v>
      </c>
      <c r="W234" s="8">
        <f t="shared" si="197"/>
        <v>0</v>
      </c>
      <c r="X234" s="8">
        <f t="shared" si="198"/>
        <v>0</v>
      </c>
      <c r="Y234" s="33">
        <f t="shared" si="199"/>
        <v>0</v>
      </c>
      <c r="Z234" s="28"/>
      <c r="AA234" s="28"/>
      <c r="AB234" s="28">
        <v>0</v>
      </c>
      <c r="AC234" s="31"/>
      <c r="AD234" s="50">
        <f t="shared" si="200"/>
        <v>1</v>
      </c>
      <c r="AE234" s="31"/>
      <c r="AF234" s="51">
        <v>14</v>
      </c>
      <c r="AG234" s="51">
        <f t="shared" si="228"/>
        <v>8.4</v>
      </c>
      <c r="AH234" s="51">
        <f t="shared" si="193"/>
        <v>42</v>
      </c>
      <c r="AI234" s="52" t="s">
        <v>2497</v>
      </c>
      <c r="AJ234" s="52" t="s">
        <v>2498</v>
      </c>
      <c r="AK234" s="53">
        <f t="shared" si="229"/>
        <v>0</v>
      </c>
      <c r="AL234" s="54">
        <f t="shared" si="230"/>
        <v>0.11904761904761904</v>
      </c>
      <c r="AM234" s="54">
        <f t="shared" si="231"/>
        <v>2.3809523809523808E-2</v>
      </c>
      <c r="AN234" s="55">
        <f t="shared" si="232"/>
        <v>0</v>
      </c>
      <c r="AO234" s="55">
        <f t="shared" si="233"/>
        <v>0</v>
      </c>
      <c r="AP234" s="53">
        <v>7.1</v>
      </c>
      <c r="AQ234" s="53">
        <f t="shared" si="201"/>
        <v>4.26</v>
      </c>
      <c r="AR234" s="53">
        <f t="shared" si="202"/>
        <v>21.299999999999997</v>
      </c>
      <c r="AS234" s="56">
        <f t="shared" si="203"/>
        <v>4.6948356807511742E-2</v>
      </c>
      <c r="AT234" s="56">
        <f t="shared" si="234"/>
        <v>0.23474178403755869</v>
      </c>
      <c r="AU234" s="56">
        <f t="shared" si="204"/>
        <v>0.176056338028169</v>
      </c>
      <c r="AV234" s="56">
        <f t="shared" si="235"/>
        <v>5.8685446009389672E-2</v>
      </c>
      <c r="AW234" s="57" t="s">
        <v>2511</v>
      </c>
      <c r="AX234" s="57" t="s">
        <v>2512</v>
      </c>
      <c r="AY234" s="57" t="s">
        <v>2513</v>
      </c>
      <c r="AZ234" s="58">
        <f t="shared" si="236"/>
        <v>0</v>
      </c>
      <c r="BA234" s="59">
        <f t="shared" si="240"/>
        <v>0</v>
      </c>
      <c r="BB234" s="59">
        <f t="shared" si="241"/>
        <v>0</v>
      </c>
      <c r="BC234" s="59">
        <f t="shared" si="242"/>
        <v>0</v>
      </c>
      <c r="BD234" s="60">
        <f t="shared" si="237"/>
        <v>0</v>
      </c>
      <c r="BE234" s="59">
        <f t="shared" si="238"/>
        <v>0</v>
      </c>
      <c r="BQ234" s="61">
        <v>3000</v>
      </c>
      <c r="BR234" s="61">
        <v>1200</v>
      </c>
      <c r="BS234" s="28">
        <f t="shared" si="205"/>
        <v>2980</v>
      </c>
      <c r="BT234" s="28">
        <f t="shared" si="206"/>
        <v>1180</v>
      </c>
      <c r="BU234" s="28" t="s">
        <v>2541</v>
      </c>
      <c r="BV234" s="28">
        <f t="shared" si="207"/>
        <v>5</v>
      </c>
      <c r="BW234" s="28">
        <f t="shared" si="208"/>
        <v>5</v>
      </c>
      <c r="BX234" s="13">
        <f t="shared" si="209"/>
        <v>596</v>
      </c>
      <c r="BY234" s="13">
        <f t="shared" si="210"/>
        <v>596</v>
      </c>
      <c r="BZ234" s="13">
        <f t="shared" si="211"/>
        <v>236</v>
      </c>
      <c r="CA234" s="13">
        <f t="shared" si="212"/>
        <v>236</v>
      </c>
      <c r="CB234" s="13">
        <f t="shared" si="213"/>
        <v>140656</v>
      </c>
      <c r="CC234" s="62" t="str">
        <f t="shared" si="214"/>
        <v/>
      </c>
      <c r="CD234" s="13">
        <f t="shared" si="215"/>
        <v>596</v>
      </c>
      <c r="CE234" s="13">
        <f t="shared" si="216"/>
        <v>596</v>
      </c>
      <c r="CF234" s="13">
        <f t="shared" si="217"/>
        <v>236</v>
      </c>
      <c r="CG234" s="13">
        <f t="shared" si="218"/>
        <v>236</v>
      </c>
      <c r="CH234" s="28">
        <f t="shared" si="219"/>
        <v>140656</v>
      </c>
      <c r="CI234" s="62" t="str">
        <f t="shared" si="220"/>
        <v/>
      </c>
      <c r="CJ234" s="59">
        <f t="shared" si="221"/>
        <v>0</v>
      </c>
      <c r="CL234" s="63">
        <v>6000</v>
      </c>
      <c r="CM234" s="63">
        <f t="shared" si="222"/>
        <v>0</v>
      </c>
      <c r="CN234" s="63">
        <f t="shared" si="223"/>
        <v>5</v>
      </c>
      <c r="CO234" s="63">
        <f t="shared" si="224"/>
        <v>1200</v>
      </c>
      <c r="CP234" s="13">
        <f t="shared" si="225"/>
        <v>1200</v>
      </c>
      <c r="CQ234" s="70">
        <f t="shared" si="226"/>
        <v>8.3333333333333339E-4</v>
      </c>
      <c r="CR234" s="69">
        <f t="shared" si="194"/>
        <v>8.3333333333333339E-4</v>
      </c>
    </row>
    <row r="235" spans="1:96" hidden="1" x14ac:dyDescent="0.25">
      <c r="A235" s="10">
        <v>3</v>
      </c>
      <c r="B235" s="8" t="s">
        <v>720</v>
      </c>
      <c r="C235" s="10" t="s">
        <v>721</v>
      </c>
      <c r="D235" s="10" t="s">
        <v>2270</v>
      </c>
      <c r="E235" s="10" t="s">
        <v>32</v>
      </c>
      <c r="F235" s="12">
        <f t="shared" si="195"/>
        <v>1</v>
      </c>
      <c r="G235" s="10">
        <v>1</v>
      </c>
      <c r="H235" s="10">
        <f>G235*$H$234</f>
        <v>1</v>
      </c>
      <c r="I235" s="10">
        <v>1</v>
      </c>
      <c r="J235" s="8" t="s">
        <v>722</v>
      </c>
      <c r="K235" s="8" t="s">
        <v>34</v>
      </c>
      <c r="L235" s="10" t="s">
        <v>194</v>
      </c>
      <c r="M235" s="8" t="s">
        <v>35</v>
      </c>
      <c r="N235" s="10" t="s">
        <v>723</v>
      </c>
      <c r="O235" s="28" t="s">
        <v>41</v>
      </c>
      <c r="P235" s="28" t="s">
        <v>41</v>
      </c>
      <c r="Q235" s="28"/>
      <c r="R235" s="30"/>
      <c r="S235" s="30"/>
      <c r="T235" s="30"/>
      <c r="U235" s="30"/>
      <c r="V235" s="8">
        <f t="shared" si="196"/>
        <v>0</v>
      </c>
      <c r="W235" s="8">
        <f t="shared" si="197"/>
        <v>0</v>
      </c>
      <c r="X235" s="8">
        <f t="shared" si="198"/>
        <v>0</v>
      </c>
      <c r="Y235" s="33">
        <f t="shared" si="199"/>
        <v>0</v>
      </c>
      <c r="Z235" s="28"/>
      <c r="AA235" s="28"/>
      <c r="AB235" s="28">
        <v>0</v>
      </c>
      <c r="AC235" s="31" t="s">
        <v>2477</v>
      </c>
      <c r="AD235" s="50">
        <f t="shared" si="200"/>
        <v>1</v>
      </c>
      <c r="AE235" s="31"/>
      <c r="AF235" s="51">
        <v>14</v>
      </c>
      <c r="AG235" s="51">
        <f t="shared" si="228"/>
        <v>8.4</v>
      </c>
      <c r="AH235" s="51">
        <f t="shared" si="193"/>
        <v>42</v>
      </c>
      <c r="AI235" s="52" t="s">
        <v>2497</v>
      </c>
      <c r="AJ235" s="52" t="s">
        <v>2498</v>
      </c>
      <c r="AK235" s="53">
        <f t="shared" si="229"/>
        <v>0</v>
      </c>
      <c r="AL235" s="54">
        <f t="shared" si="230"/>
        <v>0.11904761904761904</v>
      </c>
      <c r="AM235" s="54">
        <f t="shared" si="231"/>
        <v>2.3809523809523808E-2</v>
      </c>
      <c r="AN235" s="55">
        <f t="shared" si="232"/>
        <v>0</v>
      </c>
      <c r="AO235" s="55">
        <f t="shared" si="233"/>
        <v>0</v>
      </c>
      <c r="AP235" s="53">
        <v>7.1</v>
      </c>
      <c r="AQ235" s="53">
        <f t="shared" si="201"/>
        <v>4.26</v>
      </c>
      <c r="AR235" s="53">
        <f t="shared" si="202"/>
        <v>21.299999999999997</v>
      </c>
      <c r="AS235" s="56">
        <f t="shared" si="203"/>
        <v>4.6948356807511742E-2</v>
      </c>
      <c r="AT235" s="56">
        <f t="shared" si="234"/>
        <v>0.23474178403755869</v>
      </c>
      <c r="AU235" s="56">
        <f t="shared" si="204"/>
        <v>0.176056338028169</v>
      </c>
      <c r="AV235" s="56">
        <f t="shared" si="235"/>
        <v>5.8685446009389672E-2</v>
      </c>
      <c r="AW235" s="57" t="s">
        <v>2511</v>
      </c>
      <c r="AX235" s="57" t="s">
        <v>2512</v>
      </c>
      <c r="AY235" s="57" t="s">
        <v>2513</v>
      </c>
      <c r="AZ235" s="58">
        <f t="shared" si="236"/>
        <v>0</v>
      </c>
      <c r="BA235" s="59">
        <f t="shared" si="240"/>
        <v>0</v>
      </c>
      <c r="BB235" s="59">
        <f t="shared" si="241"/>
        <v>0</v>
      </c>
      <c r="BC235" s="59">
        <f t="shared" si="242"/>
        <v>0</v>
      </c>
      <c r="BD235" s="60">
        <f t="shared" si="237"/>
        <v>0</v>
      </c>
      <c r="BE235" s="59">
        <f t="shared" si="238"/>
        <v>0</v>
      </c>
      <c r="BQ235" s="61">
        <v>3000</v>
      </c>
      <c r="BR235" s="61">
        <v>1200</v>
      </c>
      <c r="BS235" s="28">
        <f t="shared" si="205"/>
        <v>2980</v>
      </c>
      <c r="BT235" s="28">
        <f t="shared" si="206"/>
        <v>1180</v>
      </c>
      <c r="BU235" s="28" t="s">
        <v>2541</v>
      </c>
      <c r="BV235" s="28">
        <f t="shared" si="207"/>
        <v>5</v>
      </c>
      <c r="BW235" s="28">
        <f t="shared" si="208"/>
        <v>5</v>
      </c>
      <c r="BX235" s="13">
        <f t="shared" si="209"/>
        <v>596</v>
      </c>
      <c r="BY235" s="13">
        <f t="shared" si="210"/>
        <v>596</v>
      </c>
      <c r="BZ235" s="13">
        <f t="shared" si="211"/>
        <v>236</v>
      </c>
      <c r="CA235" s="13">
        <f t="shared" si="212"/>
        <v>236</v>
      </c>
      <c r="CB235" s="13">
        <f t="shared" si="213"/>
        <v>140656</v>
      </c>
      <c r="CC235" s="62" t="str">
        <f t="shared" si="214"/>
        <v/>
      </c>
      <c r="CD235" s="13">
        <f t="shared" si="215"/>
        <v>596</v>
      </c>
      <c r="CE235" s="13">
        <f t="shared" si="216"/>
        <v>596</v>
      </c>
      <c r="CF235" s="13">
        <f t="shared" si="217"/>
        <v>236</v>
      </c>
      <c r="CG235" s="13">
        <f t="shared" si="218"/>
        <v>236</v>
      </c>
      <c r="CH235" s="28">
        <f t="shared" si="219"/>
        <v>140656</v>
      </c>
      <c r="CI235" s="62" t="str">
        <f t="shared" si="220"/>
        <v/>
      </c>
      <c r="CJ235" s="59">
        <f t="shared" si="221"/>
        <v>0</v>
      </c>
      <c r="CL235" s="63">
        <v>6000</v>
      </c>
      <c r="CM235" s="63">
        <f t="shared" si="222"/>
        <v>0</v>
      </c>
      <c r="CN235" s="63">
        <f t="shared" si="223"/>
        <v>5</v>
      </c>
      <c r="CO235" s="63">
        <f t="shared" si="224"/>
        <v>1200</v>
      </c>
      <c r="CP235" s="13">
        <f t="shared" si="225"/>
        <v>1200</v>
      </c>
      <c r="CQ235" s="70">
        <f t="shared" si="226"/>
        <v>8.3333333333333339E-4</v>
      </c>
      <c r="CR235" s="69">
        <f t="shared" si="194"/>
        <v>8.3333333333333339E-4</v>
      </c>
    </row>
    <row r="236" spans="1:96" hidden="1" x14ac:dyDescent="0.25">
      <c r="A236" s="13">
        <v>4</v>
      </c>
      <c r="B236" s="14" t="s">
        <v>724</v>
      </c>
      <c r="C236" s="13" t="s">
        <v>725</v>
      </c>
      <c r="D236" s="13" t="s">
        <v>2270</v>
      </c>
      <c r="E236" s="13" t="s">
        <v>52</v>
      </c>
      <c r="F236" s="15">
        <f t="shared" si="195"/>
        <v>1</v>
      </c>
      <c r="G236" s="13">
        <v>1</v>
      </c>
      <c r="H236" s="13">
        <f>G236*$H$235</f>
        <v>1</v>
      </c>
      <c r="I236" s="13">
        <v>1</v>
      </c>
      <c r="J236" s="14" t="s">
        <v>503</v>
      </c>
      <c r="K236" s="14" t="s">
        <v>34</v>
      </c>
      <c r="L236" s="13" t="s">
        <v>194</v>
      </c>
      <c r="M236" s="14" t="s">
        <v>35</v>
      </c>
      <c r="N236" s="13" t="s">
        <v>726</v>
      </c>
      <c r="O236" s="28" t="s">
        <v>41</v>
      </c>
      <c r="P236" s="28" t="s">
        <v>41</v>
      </c>
      <c r="Q236" s="28" t="s">
        <v>249</v>
      </c>
      <c r="R236" s="30">
        <v>20.742999999999999</v>
      </c>
      <c r="S236" s="30">
        <v>16.131</v>
      </c>
      <c r="T236" s="30"/>
      <c r="U236" s="30">
        <v>0.19700000000000001</v>
      </c>
      <c r="V236" s="8">
        <f t="shared" si="196"/>
        <v>526.87219999999991</v>
      </c>
      <c r="W236" s="8">
        <f t="shared" si="197"/>
        <v>409.72739999999999</v>
      </c>
      <c r="X236" s="8">
        <f t="shared" si="198"/>
        <v>0</v>
      </c>
      <c r="Y236" s="33">
        <f t="shared" si="199"/>
        <v>5.0038</v>
      </c>
      <c r="Z236" s="28" t="s">
        <v>250</v>
      </c>
      <c r="AA236" s="28" t="s">
        <v>251</v>
      </c>
      <c r="AB236" s="61" t="s">
        <v>249</v>
      </c>
      <c r="AC236" s="31" t="s">
        <v>252</v>
      </c>
      <c r="AD236" s="50">
        <f t="shared" si="200"/>
        <v>1</v>
      </c>
      <c r="AE236" s="31"/>
      <c r="AF236" s="51">
        <v>14</v>
      </c>
      <c r="AG236" s="51">
        <f t="shared" si="228"/>
        <v>8.4</v>
      </c>
      <c r="AH236" s="51">
        <f t="shared" si="193"/>
        <v>42</v>
      </c>
      <c r="AI236" s="52" t="s">
        <v>2497</v>
      </c>
      <c r="AJ236" s="52" t="s">
        <v>2498</v>
      </c>
      <c r="AK236" s="53">
        <f t="shared" si="229"/>
        <v>0.4317479532765599</v>
      </c>
      <c r="AL236" s="54">
        <f t="shared" si="230"/>
        <v>0.11904761904761904</v>
      </c>
      <c r="AM236" s="54">
        <f t="shared" si="231"/>
        <v>2.3809523809523808E-2</v>
      </c>
      <c r="AN236" s="55">
        <f t="shared" si="232"/>
        <v>5.1398565866257129E-2</v>
      </c>
      <c r="AO236" s="55">
        <f t="shared" si="233"/>
        <v>1.0279713173251426E-2</v>
      </c>
      <c r="AP236" s="53">
        <v>7.1</v>
      </c>
      <c r="AQ236" s="53">
        <f t="shared" si="201"/>
        <v>4.26</v>
      </c>
      <c r="AR236" s="53">
        <f t="shared" si="202"/>
        <v>21.299999999999997</v>
      </c>
      <c r="AS236" s="56">
        <f t="shared" si="203"/>
        <v>4.6948356807511742E-2</v>
      </c>
      <c r="AT236" s="56">
        <f t="shared" si="234"/>
        <v>0.23474178403755869</v>
      </c>
      <c r="AU236" s="56">
        <f t="shared" si="204"/>
        <v>0.176056338028169</v>
      </c>
      <c r="AV236" s="56">
        <f t="shared" si="235"/>
        <v>5.8685446009389672E-2</v>
      </c>
      <c r="AW236" s="57" t="s">
        <v>2511</v>
      </c>
      <c r="AX236" s="57" t="s">
        <v>2512</v>
      </c>
      <c r="AY236" s="57" t="s">
        <v>2513</v>
      </c>
      <c r="AZ236" s="58">
        <f t="shared" si="236"/>
        <v>0.4317479532765599</v>
      </c>
      <c r="BA236" s="59">
        <f t="shared" si="240"/>
        <v>1.2668660600838025E-2</v>
      </c>
      <c r="BB236" s="59">
        <f t="shared" si="241"/>
        <v>3.800598180251407E-2</v>
      </c>
      <c r="BC236" s="59">
        <f t="shared" si="242"/>
        <v>1.0134928480670422E-2</v>
      </c>
      <c r="BD236" s="60">
        <f t="shared" si="237"/>
        <v>7.1428571428571425E-2</v>
      </c>
      <c r="BE236" s="59">
        <f t="shared" si="238"/>
        <v>7.1428571428571425E-2</v>
      </c>
      <c r="BQ236" s="61">
        <v>3000</v>
      </c>
      <c r="BR236" s="61">
        <v>1200</v>
      </c>
      <c r="BS236" s="28">
        <f t="shared" si="205"/>
        <v>2980</v>
      </c>
      <c r="BT236" s="28">
        <f t="shared" si="206"/>
        <v>1180</v>
      </c>
      <c r="BU236" s="28" t="s">
        <v>2541</v>
      </c>
      <c r="BV236" s="28">
        <f t="shared" si="207"/>
        <v>531.87219999999991</v>
      </c>
      <c r="BW236" s="28">
        <f t="shared" si="208"/>
        <v>414.72739999999999</v>
      </c>
      <c r="BX236" s="13">
        <f t="shared" si="209"/>
        <v>5.6028497071288941</v>
      </c>
      <c r="BY236" s="13">
        <f t="shared" si="210"/>
        <v>5</v>
      </c>
      <c r="BZ236" s="13">
        <f t="shared" si="211"/>
        <v>2.845242441179435</v>
      </c>
      <c r="CA236" s="13">
        <f t="shared" si="212"/>
        <v>2</v>
      </c>
      <c r="CB236" s="13">
        <f t="shared" si="213"/>
        <v>10</v>
      </c>
      <c r="CC236" s="62">
        <f t="shared" si="214"/>
        <v>0.1</v>
      </c>
      <c r="CD236" s="13">
        <f t="shared" si="215"/>
        <v>7.1854427751819632</v>
      </c>
      <c r="CE236" s="13">
        <f t="shared" si="216"/>
        <v>7</v>
      </c>
      <c r="CF236" s="13">
        <f t="shared" si="217"/>
        <v>2.2185780719503674</v>
      </c>
      <c r="CG236" s="13">
        <f t="shared" si="218"/>
        <v>2</v>
      </c>
      <c r="CH236" s="28">
        <f t="shared" si="219"/>
        <v>14</v>
      </c>
      <c r="CI236" s="62">
        <f t="shared" si="220"/>
        <v>7.1428571428571425E-2</v>
      </c>
      <c r="CJ236" s="59">
        <f t="shared" si="221"/>
        <v>7.1428571428571425E-2</v>
      </c>
      <c r="CL236" s="63">
        <v>6000</v>
      </c>
      <c r="CM236" s="63">
        <f t="shared" si="222"/>
        <v>526.87219999999991</v>
      </c>
      <c r="CN236" s="63">
        <f t="shared" si="223"/>
        <v>531.87219999999991</v>
      </c>
      <c r="CO236" s="63">
        <f t="shared" si="224"/>
        <v>11.280905450595089</v>
      </c>
      <c r="CP236" s="13">
        <f t="shared" si="225"/>
        <v>11</v>
      </c>
      <c r="CQ236" s="70">
        <f t="shared" si="226"/>
        <v>9.0909090909090912E-2</v>
      </c>
      <c r="CR236" s="69">
        <f t="shared" si="194"/>
        <v>9.0909090909090912E-2</v>
      </c>
    </row>
    <row r="237" spans="1:96" hidden="1" x14ac:dyDescent="0.25">
      <c r="A237" s="13">
        <v>4</v>
      </c>
      <c r="B237" s="14" t="s">
        <v>724</v>
      </c>
      <c r="C237" s="13" t="s">
        <v>727</v>
      </c>
      <c r="D237" s="13" t="s">
        <v>2270</v>
      </c>
      <c r="E237" s="13" t="s">
        <v>52</v>
      </c>
      <c r="F237" s="15">
        <f t="shared" si="195"/>
        <v>1</v>
      </c>
      <c r="G237" s="13">
        <v>1</v>
      </c>
      <c r="H237" s="13">
        <f t="shared" ref="H237:H241" si="245">G237*$H$235</f>
        <v>1</v>
      </c>
      <c r="I237" s="13">
        <v>2</v>
      </c>
      <c r="J237" s="14" t="s">
        <v>728</v>
      </c>
      <c r="K237" s="14" t="s">
        <v>34</v>
      </c>
      <c r="L237" s="13" t="s">
        <v>110</v>
      </c>
      <c r="M237" s="14" t="s">
        <v>35</v>
      </c>
      <c r="N237" s="13" t="s">
        <v>729</v>
      </c>
      <c r="O237" s="28" t="s">
        <v>41</v>
      </c>
      <c r="P237" s="28" t="s">
        <v>41</v>
      </c>
      <c r="Q237" s="28" t="s">
        <v>730</v>
      </c>
      <c r="R237" s="30">
        <v>19.898</v>
      </c>
      <c r="S237" s="30">
        <v>4.75</v>
      </c>
      <c r="T237" s="30"/>
      <c r="U237" s="30">
        <v>0.315</v>
      </c>
      <c r="V237" s="8">
        <f t="shared" si="196"/>
        <v>505.40919999999994</v>
      </c>
      <c r="W237" s="8">
        <f t="shared" si="197"/>
        <v>120.64999999999999</v>
      </c>
      <c r="X237" s="8">
        <f t="shared" si="198"/>
        <v>0</v>
      </c>
      <c r="Y237" s="33">
        <f t="shared" si="199"/>
        <v>8.0009999999999994</v>
      </c>
      <c r="Z237" s="28" t="s">
        <v>731</v>
      </c>
      <c r="AA237" s="28" t="s">
        <v>251</v>
      </c>
      <c r="AB237" s="61" t="s">
        <v>730</v>
      </c>
      <c r="AC237" s="31" t="s">
        <v>732</v>
      </c>
      <c r="AD237" s="50">
        <f t="shared" si="200"/>
        <v>1</v>
      </c>
      <c r="AE237" s="31"/>
      <c r="AF237" s="51">
        <v>14</v>
      </c>
      <c r="AG237" s="51">
        <f t="shared" si="228"/>
        <v>8.4</v>
      </c>
      <c r="AH237" s="51">
        <f t="shared" si="193"/>
        <v>42</v>
      </c>
      <c r="AI237" s="52" t="s">
        <v>2497</v>
      </c>
      <c r="AJ237" s="52" t="s">
        <v>2498</v>
      </c>
      <c r="AK237" s="53">
        <f t="shared" si="229"/>
        <v>0.12195523995999998</v>
      </c>
      <c r="AL237" s="54">
        <f t="shared" si="230"/>
        <v>0.11904761904761904</v>
      </c>
      <c r="AM237" s="54">
        <f t="shared" si="231"/>
        <v>2.3809523809523808E-2</v>
      </c>
      <c r="AN237" s="55">
        <f t="shared" si="232"/>
        <v>1.4518480947619044E-2</v>
      </c>
      <c r="AO237" s="55">
        <f t="shared" si="233"/>
        <v>2.9036961895238089E-3</v>
      </c>
      <c r="AP237" s="53">
        <v>7.1</v>
      </c>
      <c r="AQ237" s="53">
        <f t="shared" si="201"/>
        <v>4.26</v>
      </c>
      <c r="AR237" s="53">
        <f t="shared" si="202"/>
        <v>21.299999999999997</v>
      </c>
      <c r="AS237" s="56">
        <f t="shared" si="203"/>
        <v>4.6948356807511742E-2</v>
      </c>
      <c r="AT237" s="56">
        <f t="shared" si="234"/>
        <v>0.23474178403755869</v>
      </c>
      <c r="AU237" s="56">
        <f t="shared" si="204"/>
        <v>0.176056338028169</v>
      </c>
      <c r="AV237" s="56">
        <f t="shared" si="235"/>
        <v>5.8685446009389672E-2</v>
      </c>
      <c r="AW237" s="57" t="s">
        <v>2511</v>
      </c>
      <c r="AX237" s="57" t="s">
        <v>2512</v>
      </c>
      <c r="AY237" s="57" t="s">
        <v>2513</v>
      </c>
      <c r="AZ237" s="58">
        <f t="shared" si="236"/>
        <v>0.12195523995999998</v>
      </c>
      <c r="BA237" s="59">
        <f t="shared" si="240"/>
        <v>3.5784988251173701E-3</v>
      </c>
      <c r="BB237" s="59">
        <f t="shared" si="241"/>
        <v>1.0735496475352109E-2</v>
      </c>
      <c r="BC237" s="59">
        <f t="shared" si="242"/>
        <v>2.8627990600938965E-3</v>
      </c>
      <c r="BD237" s="60">
        <f t="shared" si="237"/>
        <v>2.1739130434782608E-2</v>
      </c>
      <c r="BE237" s="59">
        <f t="shared" si="238"/>
        <v>2.1739130434782608E-2</v>
      </c>
      <c r="BQ237" s="61">
        <v>3000</v>
      </c>
      <c r="BR237" s="61">
        <v>1200</v>
      </c>
      <c r="BS237" s="28">
        <f t="shared" si="205"/>
        <v>2980</v>
      </c>
      <c r="BT237" s="28">
        <f t="shared" si="206"/>
        <v>1180</v>
      </c>
      <c r="BU237" s="28" t="s">
        <v>2541</v>
      </c>
      <c r="BV237" s="28">
        <f t="shared" si="207"/>
        <v>510.40919999999994</v>
      </c>
      <c r="BW237" s="28">
        <f t="shared" si="208"/>
        <v>125.64999999999999</v>
      </c>
      <c r="BX237" s="13">
        <f t="shared" si="209"/>
        <v>5.8384527551619376</v>
      </c>
      <c r="BY237" s="13">
        <f t="shared" si="210"/>
        <v>5</v>
      </c>
      <c r="BZ237" s="13">
        <f t="shared" si="211"/>
        <v>9.3911659371269405</v>
      </c>
      <c r="CA237" s="13">
        <f t="shared" si="212"/>
        <v>9</v>
      </c>
      <c r="CB237" s="13">
        <f t="shared" si="213"/>
        <v>45</v>
      </c>
      <c r="CC237" s="62">
        <f t="shared" si="214"/>
        <v>2.2222222222222223E-2</v>
      </c>
      <c r="CD237" s="13">
        <f t="shared" si="215"/>
        <v>23.716673298846004</v>
      </c>
      <c r="CE237" s="13">
        <f t="shared" si="216"/>
        <v>23</v>
      </c>
      <c r="CF237" s="13">
        <f t="shared" si="217"/>
        <v>2.3118705540574114</v>
      </c>
      <c r="CG237" s="13">
        <f t="shared" si="218"/>
        <v>2</v>
      </c>
      <c r="CH237" s="28">
        <f t="shared" si="219"/>
        <v>46</v>
      </c>
      <c r="CI237" s="62">
        <f t="shared" si="220"/>
        <v>2.1739130434782608E-2</v>
      </c>
      <c r="CJ237" s="59">
        <f t="shared" si="221"/>
        <v>2.1739130434782608E-2</v>
      </c>
      <c r="CL237" s="63">
        <v>6000</v>
      </c>
      <c r="CM237" s="63">
        <f t="shared" si="222"/>
        <v>505.40919999999994</v>
      </c>
      <c r="CN237" s="63">
        <f t="shared" si="223"/>
        <v>510.40919999999994</v>
      </c>
      <c r="CO237" s="63">
        <f t="shared" si="224"/>
        <v>11.755274003681754</v>
      </c>
      <c r="CP237" s="13">
        <f t="shared" si="225"/>
        <v>11</v>
      </c>
      <c r="CQ237" s="70">
        <f t="shared" si="226"/>
        <v>9.0909090909090912E-2</v>
      </c>
      <c r="CR237" s="69">
        <f t="shared" si="194"/>
        <v>9.0909090909090912E-2</v>
      </c>
    </row>
    <row r="238" spans="1:96" hidden="1" x14ac:dyDescent="0.25">
      <c r="A238" s="13">
        <v>4</v>
      </c>
      <c r="B238" s="14" t="s">
        <v>724</v>
      </c>
      <c r="C238" s="13" t="s">
        <v>733</v>
      </c>
      <c r="D238" s="13" t="s">
        <v>2270</v>
      </c>
      <c r="E238" s="13" t="s">
        <v>52</v>
      </c>
      <c r="F238" s="15">
        <f t="shared" si="195"/>
        <v>1</v>
      </c>
      <c r="G238" s="13">
        <v>1</v>
      </c>
      <c r="H238" s="13">
        <f t="shared" si="245"/>
        <v>1</v>
      </c>
      <c r="I238" s="13">
        <v>3</v>
      </c>
      <c r="J238" s="14" t="s">
        <v>122</v>
      </c>
      <c r="K238" s="14" t="s">
        <v>34</v>
      </c>
      <c r="L238" s="13" t="s">
        <v>110</v>
      </c>
      <c r="M238" s="14" t="s">
        <v>35</v>
      </c>
      <c r="N238" s="13" t="s">
        <v>734</v>
      </c>
      <c r="O238" s="28" t="s">
        <v>41</v>
      </c>
      <c r="P238" s="28" t="s">
        <v>41</v>
      </c>
      <c r="Q238" s="28" t="s">
        <v>730</v>
      </c>
      <c r="R238" s="30">
        <v>25.324000000000002</v>
      </c>
      <c r="S238" s="30">
        <v>5.8179999999999996</v>
      </c>
      <c r="T238" s="30"/>
      <c r="U238" s="30">
        <v>0.315</v>
      </c>
      <c r="V238" s="8">
        <f t="shared" si="196"/>
        <v>643.2296</v>
      </c>
      <c r="W238" s="8">
        <f t="shared" si="197"/>
        <v>147.77719999999999</v>
      </c>
      <c r="X238" s="8">
        <f t="shared" si="198"/>
        <v>0</v>
      </c>
      <c r="Y238" s="33">
        <f t="shared" si="199"/>
        <v>8.0009999999999994</v>
      </c>
      <c r="Z238" s="28" t="s">
        <v>731</v>
      </c>
      <c r="AA238" s="28" t="s">
        <v>251</v>
      </c>
      <c r="AB238" s="61" t="s">
        <v>730</v>
      </c>
      <c r="AC238" s="31" t="s">
        <v>732</v>
      </c>
      <c r="AD238" s="50">
        <f t="shared" si="200"/>
        <v>1</v>
      </c>
      <c r="AE238" s="31"/>
      <c r="AF238" s="51">
        <v>14</v>
      </c>
      <c r="AG238" s="51">
        <f t="shared" si="228"/>
        <v>8.4</v>
      </c>
      <c r="AH238" s="51">
        <f t="shared" si="193"/>
        <v>42</v>
      </c>
      <c r="AI238" s="52" t="s">
        <v>2497</v>
      </c>
      <c r="AJ238" s="52" t="s">
        <v>2498</v>
      </c>
      <c r="AK238" s="53">
        <f t="shared" si="229"/>
        <v>0.19010933849023998</v>
      </c>
      <c r="AL238" s="54">
        <f t="shared" si="230"/>
        <v>0.11904761904761904</v>
      </c>
      <c r="AM238" s="54">
        <f t="shared" si="231"/>
        <v>2.3809523809523808E-2</v>
      </c>
      <c r="AN238" s="55">
        <f t="shared" si="232"/>
        <v>2.2632064105980947E-2</v>
      </c>
      <c r="AO238" s="55">
        <f t="shared" si="233"/>
        <v>4.5264128211961897E-3</v>
      </c>
      <c r="AP238" s="53">
        <v>7.1</v>
      </c>
      <c r="AQ238" s="53">
        <f t="shared" si="201"/>
        <v>4.26</v>
      </c>
      <c r="AR238" s="53">
        <f t="shared" si="202"/>
        <v>21.299999999999997</v>
      </c>
      <c r="AS238" s="56">
        <f t="shared" si="203"/>
        <v>4.6948356807511742E-2</v>
      </c>
      <c r="AT238" s="56">
        <f t="shared" si="234"/>
        <v>0.23474178403755869</v>
      </c>
      <c r="AU238" s="56">
        <f t="shared" si="204"/>
        <v>0.176056338028169</v>
      </c>
      <c r="AV238" s="56">
        <f t="shared" si="235"/>
        <v>5.8685446009389672E-2</v>
      </c>
      <c r="AW238" s="57" t="s">
        <v>2511</v>
      </c>
      <c r="AX238" s="57" t="s">
        <v>2512</v>
      </c>
      <c r="AY238" s="57" t="s">
        <v>2513</v>
      </c>
      <c r="AZ238" s="58">
        <f t="shared" si="236"/>
        <v>0.19010933849023998</v>
      </c>
      <c r="BA238" s="59">
        <f t="shared" si="240"/>
        <v>5.5783256599248824E-3</v>
      </c>
      <c r="BB238" s="59">
        <f t="shared" si="241"/>
        <v>1.6734976979774645E-2</v>
      </c>
      <c r="BC238" s="59">
        <f t="shared" si="242"/>
        <v>4.4626605279399056E-3</v>
      </c>
      <c r="BD238" s="60">
        <f t="shared" si="237"/>
        <v>3.5714285714285712E-2</v>
      </c>
      <c r="BE238" s="59">
        <f t="shared" si="238"/>
        <v>3.5714285714285712E-2</v>
      </c>
      <c r="BQ238" s="61">
        <v>3000</v>
      </c>
      <c r="BR238" s="61">
        <v>1200</v>
      </c>
      <c r="BS238" s="28">
        <f t="shared" si="205"/>
        <v>2980</v>
      </c>
      <c r="BT238" s="28">
        <f t="shared" si="206"/>
        <v>1180</v>
      </c>
      <c r="BU238" s="28" t="s">
        <v>2541</v>
      </c>
      <c r="BV238" s="28">
        <f t="shared" si="207"/>
        <v>648.2296</v>
      </c>
      <c r="BW238" s="28">
        <f t="shared" si="208"/>
        <v>152.77719999999999</v>
      </c>
      <c r="BX238" s="13">
        <f t="shared" si="209"/>
        <v>4.5971365701288551</v>
      </c>
      <c r="BY238" s="13">
        <f t="shared" si="210"/>
        <v>4</v>
      </c>
      <c r="BZ238" s="13">
        <f t="shared" si="211"/>
        <v>7.7236655731352588</v>
      </c>
      <c r="CA238" s="13">
        <f t="shared" si="212"/>
        <v>7</v>
      </c>
      <c r="CB238" s="13">
        <f t="shared" si="213"/>
        <v>28</v>
      </c>
      <c r="CC238" s="62">
        <f t="shared" si="214"/>
        <v>3.5714285714285712E-2</v>
      </c>
      <c r="CD238" s="13">
        <f t="shared" si="215"/>
        <v>19.50552831181616</v>
      </c>
      <c r="CE238" s="13">
        <f t="shared" si="216"/>
        <v>19</v>
      </c>
      <c r="CF238" s="13">
        <f t="shared" si="217"/>
        <v>1.8203426687087414</v>
      </c>
      <c r="CG238" s="13">
        <f t="shared" si="218"/>
        <v>1</v>
      </c>
      <c r="CH238" s="28">
        <f t="shared" si="219"/>
        <v>19</v>
      </c>
      <c r="CI238" s="62">
        <f t="shared" si="220"/>
        <v>5.2631578947368418E-2</v>
      </c>
      <c r="CJ238" s="59">
        <f t="shared" si="221"/>
        <v>3.5714285714285712E-2</v>
      </c>
      <c r="CL238" s="63">
        <v>6000</v>
      </c>
      <c r="CM238" s="63">
        <f t="shared" si="222"/>
        <v>643.2296</v>
      </c>
      <c r="CN238" s="63">
        <f t="shared" si="223"/>
        <v>648.2296</v>
      </c>
      <c r="CO238" s="63">
        <f t="shared" si="224"/>
        <v>9.2559796714003806</v>
      </c>
      <c r="CP238" s="13">
        <f t="shared" si="225"/>
        <v>9</v>
      </c>
      <c r="CQ238" s="70">
        <f t="shared" si="226"/>
        <v>0.1111111111111111</v>
      </c>
      <c r="CR238" s="69">
        <f t="shared" si="194"/>
        <v>0.1111111111111111</v>
      </c>
    </row>
    <row r="239" spans="1:96" hidden="1" x14ac:dyDescent="0.25">
      <c r="A239" s="13">
        <v>4</v>
      </c>
      <c r="B239" s="14" t="s">
        <v>724</v>
      </c>
      <c r="C239" s="13" t="s">
        <v>735</v>
      </c>
      <c r="D239" s="13" t="s">
        <v>2270</v>
      </c>
      <c r="E239" s="13" t="s">
        <v>52</v>
      </c>
      <c r="F239" s="15">
        <f t="shared" si="195"/>
        <v>1</v>
      </c>
      <c r="G239" s="13">
        <v>2</v>
      </c>
      <c r="H239" s="13">
        <f t="shared" si="245"/>
        <v>2</v>
      </c>
      <c r="I239" s="13">
        <v>4</v>
      </c>
      <c r="J239" s="14" t="s">
        <v>736</v>
      </c>
      <c r="K239" s="14" t="s">
        <v>34</v>
      </c>
      <c r="L239" s="13" t="s">
        <v>110</v>
      </c>
      <c r="M239" s="14" t="s">
        <v>35</v>
      </c>
      <c r="N239" s="13" t="s">
        <v>737</v>
      </c>
      <c r="O239" s="28" t="s">
        <v>41</v>
      </c>
      <c r="P239" s="28" t="s">
        <v>41</v>
      </c>
      <c r="Q239" s="28" t="s">
        <v>249</v>
      </c>
      <c r="R239" s="30">
        <v>7</v>
      </c>
      <c r="S239" s="30">
        <v>4.75</v>
      </c>
      <c r="T239" s="30"/>
      <c r="U239" s="30">
        <v>0.19700000000000001</v>
      </c>
      <c r="V239" s="8">
        <f t="shared" si="196"/>
        <v>177.79999999999998</v>
      </c>
      <c r="W239" s="8">
        <f t="shared" si="197"/>
        <v>120.64999999999999</v>
      </c>
      <c r="X239" s="8">
        <f t="shared" si="198"/>
        <v>0</v>
      </c>
      <c r="Y239" s="33">
        <f t="shared" si="199"/>
        <v>5.0038</v>
      </c>
      <c r="Z239" s="28" t="s">
        <v>250</v>
      </c>
      <c r="AA239" s="28" t="s">
        <v>251</v>
      </c>
      <c r="AB239" s="61" t="s">
        <v>249</v>
      </c>
      <c r="AC239" s="31" t="s">
        <v>252</v>
      </c>
      <c r="AD239" s="50">
        <f t="shared" si="200"/>
        <v>2</v>
      </c>
      <c r="AE239" s="31"/>
      <c r="AF239" s="51">
        <v>14</v>
      </c>
      <c r="AG239" s="51">
        <f t="shared" si="228"/>
        <v>8.4</v>
      </c>
      <c r="AH239" s="51">
        <f t="shared" si="193"/>
        <v>42</v>
      </c>
      <c r="AI239" s="52" t="s">
        <v>2497</v>
      </c>
      <c r="AJ239" s="52" t="s">
        <v>2498</v>
      </c>
      <c r="AK239" s="53">
        <f t="shared" si="229"/>
        <v>4.2903139999999992E-2</v>
      </c>
      <c r="AL239" s="54">
        <f t="shared" si="230"/>
        <v>0.11904761904761904</v>
      </c>
      <c r="AM239" s="54">
        <f t="shared" si="231"/>
        <v>2.3809523809523808E-2</v>
      </c>
      <c r="AN239" s="55">
        <f t="shared" si="232"/>
        <v>1.0215033333333332E-2</v>
      </c>
      <c r="AO239" s="55">
        <f t="shared" si="233"/>
        <v>2.0430066666666663E-3</v>
      </c>
      <c r="AP239" s="53">
        <v>7.1</v>
      </c>
      <c r="AQ239" s="53">
        <f t="shared" si="201"/>
        <v>4.26</v>
      </c>
      <c r="AR239" s="53">
        <f t="shared" si="202"/>
        <v>21.299999999999997</v>
      </c>
      <c r="AS239" s="56">
        <f t="shared" si="203"/>
        <v>4.6948356807511742E-2</v>
      </c>
      <c r="AT239" s="56">
        <f t="shared" si="234"/>
        <v>0.23474178403755869</v>
      </c>
      <c r="AU239" s="56">
        <f t="shared" si="204"/>
        <v>0.176056338028169</v>
      </c>
      <c r="AV239" s="56">
        <f t="shared" si="235"/>
        <v>5.8685446009389672E-2</v>
      </c>
      <c r="AW239" s="57" t="s">
        <v>2511</v>
      </c>
      <c r="AX239" s="57" t="s">
        <v>2512</v>
      </c>
      <c r="AY239" s="57" t="s">
        <v>2513</v>
      </c>
      <c r="AZ239" s="58">
        <f t="shared" si="236"/>
        <v>4.2903139999999992E-2</v>
      </c>
      <c r="BA239" s="59">
        <f t="shared" si="240"/>
        <v>2.517789906103286E-3</v>
      </c>
      <c r="BB239" s="59">
        <f t="shared" si="241"/>
        <v>7.5533697183098577E-3</v>
      </c>
      <c r="BC239" s="59">
        <f t="shared" si="242"/>
        <v>2.0142319248826288E-3</v>
      </c>
      <c r="BD239" s="60">
        <f t="shared" si="237"/>
        <v>6.9444444444444441E-3</v>
      </c>
      <c r="BE239" s="59">
        <f t="shared" si="238"/>
        <v>1.3888888888888888E-2</v>
      </c>
      <c r="BQ239" s="61">
        <v>3000</v>
      </c>
      <c r="BR239" s="61">
        <v>1200</v>
      </c>
      <c r="BS239" s="28">
        <f t="shared" si="205"/>
        <v>2980</v>
      </c>
      <c r="BT239" s="28">
        <f t="shared" si="206"/>
        <v>1180</v>
      </c>
      <c r="BU239" s="28" t="s">
        <v>2541</v>
      </c>
      <c r="BV239" s="28">
        <f t="shared" si="207"/>
        <v>182.79999999999998</v>
      </c>
      <c r="BW239" s="28">
        <f t="shared" si="208"/>
        <v>125.64999999999999</v>
      </c>
      <c r="BX239" s="13">
        <f t="shared" si="209"/>
        <v>16.301969365426697</v>
      </c>
      <c r="BY239" s="13">
        <f t="shared" si="210"/>
        <v>16</v>
      </c>
      <c r="BZ239" s="13">
        <f t="shared" si="211"/>
        <v>9.3911659371269405</v>
      </c>
      <c r="CA239" s="13">
        <f t="shared" si="212"/>
        <v>9</v>
      </c>
      <c r="CB239" s="13">
        <f t="shared" si="213"/>
        <v>144</v>
      </c>
      <c r="CC239" s="62">
        <f t="shared" si="214"/>
        <v>6.9444444444444441E-3</v>
      </c>
      <c r="CD239" s="13">
        <f t="shared" si="215"/>
        <v>23.716673298846004</v>
      </c>
      <c r="CE239" s="13">
        <f t="shared" si="216"/>
        <v>23</v>
      </c>
      <c r="CF239" s="13">
        <f t="shared" si="217"/>
        <v>6.4551422319474838</v>
      </c>
      <c r="CG239" s="13">
        <f t="shared" si="218"/>
        <v>6</v>
      </c>
      <c r="CH239" s="28">
        <f t="shared" si="219"/>
        <v>138</v>
      </c>
      <c r="CI239" s="62">
        <f t="shared" si="220"/>
        <v>7.246376811594203E-3</v>
      </c>
      <c r="CJ239" s="59">
        <f t="shared" si="221"/>
        <v>6.9444444444444441E-3</v>
      </c>
      <c r="CL239" s="63">
        <v>6000</v>
      </c>
      <c r="CM239" s="63">
        <f t="shared" si="222"/>
        <v>177.79999999999998</v>
      </c>
      <c r="CN239" s="63">
        <f t="shared" si="223"/>
        <v>182.79999999999998</v>
      </c>
      <c r="CO239" s="63">
        <f t="shared" si="224"/>
        <v>32.822757111597376</v>
      </c>
      <c r="CP239" s="13">
        <f t="shared" si="225"/>
        <v>32</v>
      </c>
      <c r="CQ239" s="70">
        <f t="shared" si="226"/>
        <v>3.125E-2</v>
      </c>
      <c r="CR239" s="69">
        <f t="shared" si="194"/>
        <v>6.25E-2</v>
      </c>
    </row>
    <row r="240" spans="1:96" hidden="1" x14ac:dyDescent="0.25">
      <c r="A240" s="13">
        <v>4</v>
      </c>
      <c r="B240" s="14" t="s">
        <v>724</v>
      </c>
      <c r="C240" s="13" t="s">
        <v>738</v>
      </c>
      <c r="D240" s="13" t="s">
        <v>739</v>
      </c>
      <c r="E240" s="13" t="s">
        <v>52</v>
      </c>
      <c r="F240" s="15">
        <f t="shared" si="195"/>
        <v>4</v>
      </c>
      <c r="G240" s="13">
        <v>2</v>
      </c>
      <c r="H240" s="13">
        <f t="shared" si="245"/>
        <v>2</v>
      </c>
      <c r="I240" s="13">
        <v>5</v>
      </c>
      <c r="J240" s="14" t="s">
        <v>76</v>
      </c>
      <c r="K240" s="14" t="s">
        <v>34</v>
      </c>
      <c r="L240" s="13" t="s">
        <v>77</v>
      </c>
      <c r="M240" s="14" t="s">
        <v>35</v>
      </c>
      <c r="N240" s="13" t="s">
        <v>739</v>
      </c>
      <c r="O240" s="28" t="s">
        <v>41</v>
      </c>
      <c r="P240" s="28" t="s">
        <v>41</v>
      </c>
      <c r="Q240" s="28" t="s">
        <v>79</v>
      </c>
      <c r="R240" s="30">
        <v>5.0787401574803148</v>
      </c>
      <c r="S240" s="30">
        <v>0.3125</v>
      </c>
      <c r="T240" s="30"/>
      <c r="U240" s="30">
        <v>0.3125</v>
      </c>
      <c r="V240" s="8">
        <f t="shared" si="196"/>
        <v>129</v>
      </c>
      <c r="W240" s="8">
        <f t="shared" si="197"/>
        <v>7.9375</v>
      </c>
      <c r="X240" s="8">
        <f t="shared" si="198"/>
        <v>0</v>
      </c>
      <c r="Y240" s="33">
        <f t="shared" si="199"/>
        <v>7.9375</v>
      </c>
      <c r="Z240" s="28" t="s">
        <v>80</v>
      </c>
      <c r="AA240" s="28" t="s">
        <v>81</v>
      </c>
      <c r="AB240" s="61" t="s">
        <v>79</v>
      </c>
      <c r="AC240" s="31" t="s">
        <v>82</v>
      </c>
      <c r="AD240" s="50">
        <f t="shared" si="200"/>
        <v>2</v>
      </c>
      <c r="AE240" s="47" t="s">
        <v>716</v>
      </c>
      <c r="AF240" s="51">
        <v>14</v>
      </c>
      <c r="AG240" s="51">
        <f t="shared" si="228"/>
        <v>8.4</v>
      </c>
      <c r="AH240" s="51">
        <f t="shared" si="193"/>
        <v>42</v>
      </c>
      <c r="AI240" s="52" t="s">
        <v>2497</v>
      </c>
      <c r="AJ240" s="52" t="s">
        <v>2498</v>
      </c>
      <c r="AK240" s="53">
        <f t="shared" si="229"/>
        <v>2.0478750000000002E-3</v>
      </c>
      <c r="AL240" s="54">
        <f t="shared" si="230"/>
        <v>0.11904761904761904</v>
      </c>
      <c r="AM240" s="54">
        <f t="shared" si="231"/>
        <v>2.3809523809523808E-2</v>
      </c>
      <c r="AN240" s="55">
        <f t="shared" si="232"/>
        <v>4.8758928571428575E-4</v>
      </c>
      <c r="AO240" s="55">
        <f t="shared" si="233"/>
        <v>9.7517857142857147E-5</v>
      </c>
      <c r="AP240" s="53">
        <v>7.1</v>
      </c>
      <c r="AQ240" s="53">
        <f t="shared" si="201"/>
        <v>4.26</v>
      </c>
      <c r="AR240" s="53">
        <f t="shared" si="202"/>
        <v>21.299999999999997</v>
      </c>
      <c r="AS240" s="56">
        <f t="shared" si="203"/>
        <v>4.6948356807511742E-2</v>
      </c>
      <c r="AT240" s="56">
        <f t="shared" si="234"/>
        <v>0.23474178403755869</v>
      </c>
      <c r="AU240" s="56">
        <f t="shared" si="204"/>
        <v>0.176056338028169</v>
      </c>
      <c r="AV240" s="56">
        <f t="shared" si="235"/>
        <v>5.8685446009389672E-2</v>
      </c>
      <c r="AW240" s="57" t="s">
        <v>2511</v>
      </c>
      <c r="AX240" s="57" t="s">
        <v>2512</v>
      </c>
      <c r="AY240" s="57" t="s">
        <v>2513</v>
      </c>
      <c r="AZ240" s="58">
        <f t="shared" si="236"/>
        <v>2.0478750000000002E-3</v>
      </c>
      <c r="BA240" s="59">
        <f t="shared" si="240"/>
        <v>1.2018045774647888E-4</v>
      </c>
      <c r="BB240" s="59">
        <f t="shared" si="241"/>
        <v>3.6054137323943662E-4</v>
      </c>
      <c r="BC240" s="59">
        <f t="shared" si="242"/>
        <v>9.6144366197183111E-5</v>
      </c>
      <c r="BD240" s="60">
        <f t="shared" si="237"/>
        <v>4.995004995004995E-4</v>
      </c>
      <c r="BE240" s="59">
        <f t="shared" si="238"/>
        <v>9.99000999000999E-4</v>
      </c>
      <c r="BQ240" s="61">
        <v>3000</v>
      </c>
      <c r="BR240" s="61">
        <v>1200</v>
      </c>
      <c r="BS240" s="28">
        <f t="shared" si="205"/>
        <v>2980</v>
      </c>
      <c r="BT240" s="28">
        <f t="shared" si="206"/>
        <v>1180</v>
      </c>
      <c r="BU240" s="28" t="s">
        <v>2541</v>
      </c>
      <c r="BV240" s="28">
        <f t="shared" si="207"/>
        <v>134</v>
      </c>
      <c r="BW240" s="28">
        <f t="shared" si="208"/>
        <v>12.9375</v>
      </c>
      <c r="BX240" s="13">
        <f t="shared" si="209"/>
        <v>22.238805970149254</v>
      </c>
      <c r="BY240" s="13">
        <f t="shared" si="210"/>
        <v>22</v>
      </c>
      <c r="BZ240" s="13">
        <f t="shared" si="211"/>
        <v>91.207729468599027</v>
      </c>
      <c r="CA240" s="13">
        <f t="shared" si="212"/>
        <v>91</v>
      </c>
      <c r="CB240" s="13">
        <f t="shared" si="213"/>
        <v>2002</v>
      </c>
      <c r="CC240" s="62">
        <f t="shared" si="214"/>
        <v>4.995004995004995E-4</v>
      </c>
      <c r="CD240" s="13">
        <f t="shared" si="215"/>
        <v>230.33816425120773</v>
      </c>
      <c r="CE240" s="13">
        <f t="shared" si="216"/>
        <v>230</v>
      </c>
      <c r="CF240" s="13">
        <f t="shared" si="217"/>
        <v>8.8059701492537314</v>
      </c>
      <c r="CG240" s="13">
        <f t="shared" si="218"/>
        <v>8</v>
      </c>
      <c r="CH240" s="28">
        <f t="shared" si="219"/>
        <v>1840</v>
      </c>
      <c r="CI240" s="62">
        <f t="shared" si="220"/>
        <v>5.4347826086956522E-4</v>
      </c>
      <c r="CJ240" s="59">
        <f t="shared" si="221"/>
        <v>4.995004995004995E-4</v>
      </c>
      <c r="CL240" s="63">
        <v>6000</v>
      </c>
      <c r="CM240" s="63">
        <f t="shared" si="222"/>
        <v>129</v>
      </c>
      <c r="CN240" s="63">
        <f t="shared" si="223"/>
        <v>134</v>
      </c>
      <c r="CO240" s="63">
        <f t="shared" si="224"/>
        <v>44.776119402985074</v>
      </c>
      <c r="CP240" s="13">
        <f t="shared" si="225"/>
        <v>44</v>
      </c>
      <c r="CQ240" s="70">
        <f t="shared" si="226"/>
        <v>2.2727272727272728E-2</v>
      </c>
      <c r="CR240" s="69">
        <f t="shared" si="194"/>
        <v>4.5454545454545456E-2</v>
      </c>
    </row>
    <row r="241" spans="1:96" hidden="1" x14ac:dyDescent="0.25">
      <c r="A241" s="13">
        <v>4</v>
      </c>
      <c r="B241" s="14" t="s">
        <v>724</v>
      </c>
      <c r="C241" s="13" t="s">
        <v>94</v>
      </c>
      <c r="D241" s="13" t="s">
        <v>95</v>
      </c>
      <c r="E241" s="13" t="s">
        <v>52</v>
      </c>
      <c r="F241" s="15">
        <f t="shared" si="195"/>
        <v>13</v>
      </c>
      <c r="G241" s="13">
        <v>2</v>
      </c>
      <c r="H241" s="13">
        <f t="shared" si="245"/>
        <v>2</v>
      </c>
      <c r="I241" s="13">
        <v>6</v>
      </c>
      <c r="J241" s="14" t="s">
        <v>76</v>
      </c>
      <c r="K241" s="14" t="s">
        <v>34</v>
      </c>
      <c r="L241" s="13" t="s">
        <v>77</v>
      </c>
      <c r="M241" s="14" t="s">
        <v>35</v>
      </c>
      <c r="N241" s="13" t="s">
        <v>95</v>
      </c>
      <c r="O241" s="28" t="s">
        <v>41</v>
      </c>
      <c r="P241" s="28" t="s">
        <v>41</v>
      </c>
      <c r="Q241" s="28" t="s">
        <v>79</v>
      </c>
      <c r="R241" s="30">
        <v>7.0078740157480315</v>
      </c>
      <c r="S241" s="30">
        <v>0.3125</v>
      </c>
      <c r="T241" s="30"/>
      <c r="U241" s="30">
        <v>0.3125</v>
      </c>
      <c r="V241" s="8">
        <f t="shared" si="196"/>
        <v>178</v>
      </c>
      <c r="W241" s="8">
        <f t="shared" si="197"/>
        <v>7.9375</v>
      </c>
      <c r="X241" s="8">
        <f t="shared" si="198"/>
        <v>0</v>
      </c>
      <c r="Y241" s="33">
        <f t="shared" si="199"/>
        <v>7.9375</v>
      </c>
      <c r="Z241" s="28" t="s">
        <v>80</v>
      </c>
      <c r="AA241" s="28" t="s">
        <v>81</v>
      </c>
      <c r="AB241" s="61" t="s">
        <v>79</v>
      </c>
      <c r="AC241" s="31" t="s">
        <v>82</v>
      </c>
      <c r="AD241" s="50">
        <f t="shared" si="200"/>
        <v>2</v>
      </c>
      <c r="AE241" s="47" t="s">
        <v>716</v>
      </c>
      <c r="AF241" s="51">
        <v>14</v>
      </c>
      <c r="AG241" s="51">
        <f t="shared" si="228"/>
        <v>8.4</v>
      </c>
      <c r="AH241" s="51">
        <f t="shared" si="193"/>
        <v>42</v>
      </c>
      <c r="AI241" s="52" t="s">
        <v>2497</v>
      </c>
      <c r="AJ241" s="52" t="s">
        <v>2498</v>
      </c>
      <c r="AK241" s="53">
        <f t="shared" si="229"/>
        <v>2.8257500000000001E-3</v>
      </c>
      <c r="AL241" s="54">
        <f t="shared" si="230"/>
        <v>0.11904761904761904</v>
      </c>
      <c r="AM241" s="54">
        <f t="shared" si="231"/>
        <v>2.3809523809523808E-2</v>
      </c>
      <c r="AN241" s="55">
        <f t="shared" si="232"/>
        <v>6.7279761904761909E-4</v>
      </c>
      <c r="AO241" s="55">
        <f t="shared" si="233"/>
        <v>1.345595238095238E-4</v>
      </c>
      <c r="AP241" s="53">
        <v>7.1</v>
      </c>
      <c r="AQ241" s="53">
        <f t="shared" si="201"/>
        <v>4.26</v>
      </c>
      <c r="AR241" s="53">
        <f t="shared" si="202"/>
        <v>21.299999999999997</v>
      </c>
      <c r="AS241" s="56">
        <f t="shared" si="203"/>
        <v>4.6948356807511742E-2</v>
      </c>
      <c r="AT241" s="56">
        <f t="shared" si="234"/>
        <v>0.23474178403755869</v>
      </c>
      <c r="AU241" s="56">
        <f t="shared" si="204"/>
        <v>0.176056338028169</v>
      </c>
      <c r="AV241" s="56">
        <f t="shared" si="235"/>
        <v>5.8685446009389672E-2</v>
      </c>
      <c r="AW241" s="57" t="s">
        <v>2511</v>
      </c>
      <c r="AX241" s="57" t="s">
        <v>2512</v>
      </c>
      <c r="AY241" s="57" t="s">
        <v>2513</v>
      </c>
      <c r="AZ241" s="58">
        <f t="shared" si="236"/>
        <v>2.8257500000000001E-3</v>
      </c>
      <c r="BA241" s="59">
        <f t="shared" si="240"/>
        <v>1.6583039906103287E-4</v>
      </c>
      <c r="BB241" s="59">
        <f t="shared" si="241"/>
        <v>4.974911971830986E-4</v>
      </c>
      <c r="BC241" s="59">
        <f t="shared" si="242"/>
        <v>1.326643192488263E-4</v>
      </c>
      <c r="BD241" s="60">
        <f t="shared" si="237"/>
        <v>6.8681318681318687E-4</v>
      </c>
      <c r="BE241" s="59">
        <f t="shared" si="238"/>
        <v>1.3736263736263737E-3</v>
      </c>
      <c r="BQ241" s="61">
        <v>3000</v>
      </c>
      <c r="BR241" s="61">
        <v>1200</v>
      </c>
      <c r="BS241" s="28">
        <f t="shared" si="205"/>
        <v>2980</v>
      </c>
      <c r="BT241" s="28">
        <f t="shared" si="206"/>
        <v>1180</v>
      </c>
      <c r="BU241" s="28" t="s">
        <v>2541</v>
      </c>
      <c r="BV241" s="28">
        <f t="shared" si="207"/>
        <v>183</v>
      </c>
      <c r="BW241" s="28">
        <f t="shared" si="208"/>
        <v>12.9375</v>
      </c>
      <c r="BX241" s="13">
        <f t="shared" si="209"/>
        <v>16.284153005464482</v>
      </c>
      <c r="BY241" s="13">
        <f t="shared" si="210"/>
        <v>16</v>
      </c>
      <c r="BZ241" s="13">
        <f t="shared" si="211"/>
        <v>91.207729468599027</v>
      </c>
      <c r="CA241" s="13">
        <f t="shared" si="212"/>
        <v>91</v>
      </c>
      <c r="CB241" s="13">
        <f t="shared" si="213"/>
        <v>1456</v>
      </c>
      <c r="CC241" s="62">
        <f t="shared" si="214"/>
        <v>6.8681318681318687E-4</v>
      </c>
      <c r="CD241" s="13">
        <f t="shared" si="215"/>
        <v>230.33816425120773</v>
      </c>
      <c r="CE241" s="13">
        <f t="shared" si="216"/>
        <v>230</v>
      </c>
      <c r="CF241" s="13">
        <f t="shared" si="217"/>
        <v>6.4480874316939891</v>
      </c>
      <c r="CG241" s="13">
        <f t="shared" si="218"/>
        <v>6</v>
      </c>
      <c r="CH241" s="28">
        <f t="shared" si="219"/>
        <v>1380</v>
      </c>
      <c r="CI241" s="62">
        <f t="shared" si="220"/>
        <v>7.246376811594203E-4</v>
      </c>
      <c r="CJ241" s="59">
        <f t="shared" si="221"/>
        <v>6.8681318681318687E-4</v>
      </c>
      <c r="CL241" s="63">
        <v>6000</v>
      </c>
      <c r="CM241" s="63">
        <f t="shared" si="222"/>
        <v>178</v>
      </c>
      <c r="CN241" s="63">
        <f t="shared" si="223"/>
        <v>183</v>
      </c>
      <c r="CO241" s="63">
        <f t="shared" si="224"/>
        <v>32.786885245901637</v>
      </c>
      <c r="CP241" s="13">
        <f t="shared" si="225"/>
        <v>32</v>
      </c>
      <c r="CQ241" s="70">
        <f t="shared" si="226"/>
        <v>3.125E-2</v>
      </c>
      <c r="CR241" s="69">
        <f t="shared" si="194"/>
        <v>6.25E-2</v>
      </c>
    </row>
    <row r="242" spans="1:96" hidden="1" x14ac:dyDescent="0.25">
      <c r="A242" s="10">
        <v>3</v>
      </c>
      <c r="B242" s="8" t="s">
        <v>720</v>
      </c>
      <c r="C242" s="10" t="s">
        <v>740</v>
      </c>
      <c r="D242" s="10" t="s">
        <v>2270</v>
      </c>
      <c r="E242" s="10" t="s">
        <v>52</v>
      </c>
      <c r="F242" s="12">
        <f t="shared" si="195"/>
        <v>1</v>
      </c>
      <c r="G242" s="10">
        <v>1</v>
      </c>
      <c r="H242" s="10">
        <f t="shared" ref="H242:H245" si="246">G242*$H$234</f>
        <v>1</v>
      </c>
      <c r="I242" s="10">
        <v>2</v>
      </c>
      <c r="J242" s="8" t="s">
        <v>626</v>
      </c>
      <c r="K242" s="8" t="s">
        <v>34</v>
      </c>
      <c r="L242" s="10" t="s">
        <v>110</v>
      </c>
      <c r="M242" s="8" t="s">
        <v>35</v>
      </c>
      <c r="N242" s="10" t="s">
        <v>741</v>
      </c>
      <c r="O242" s="28" t="s">
        <v>41</v>
      </c>
      <c r="P242" s="28" t="s">
        <v>41</v>
      </c>
      <c r="Q242" s="28" t="s">
        <v>742</v>
      </c>
      <c r="R242" s="30">
        <v>69.62</v>
      </c>
      <c r="S242" s="30">
        <v>2</v>
      </c>
      <c r="T242" s="30">
        <v>3</v>
      </c>
      <c r="U242" s="30">
        <v>0.188</v>
      </c>
      <c r="V242" s="8">
        <f t="shared" si="196"/>
        <v>1768.348</v>
      </c>
      <c r="W242" s="8">
        <f t="shared" si="197"/>
        <v>50.8</v>
      </c>
      <c r="X242" s="8">
        <f t="shared" si="198"/>
        <v>76.199999999999989</v>
      </c>
      <c r="Y242" s="33">
        <f t="shared" si="199"/>
        <v>4.7751999999999999</v>
      </c>
      <c r="Z242" s="28" t="s">
        <v>602</v>
      </c>
      <c r="AA242" s="28" t="s">
        <v>743</v>
      </c>
      <c r="AB242" s="61" t="s">
        <v>742</v>
      </c>
      <c r="AC242" s="31" t="s">
        <v>744</v>
      </c>
      <c r="AD242" s="50">
        <f t="shared" si="200"/>
        <v>1</v>
      </c>
      <c r="AE242" s="31"/>
      <c r="AF242" s="51">
        <v>14</v>
      </c>
      <c r="AG242" s="51">
        <f t="shared" si="228"/>
        <v>8.4</v>
      </c>
      <c r="AH242" s="51">
        <f t="shared" si="193"/>
        <v>42</v>
      </c>
      <c r="AI242" s="52" t="s">
        <v>2497</v>
      </c>
      <c r="AJ242" s="52" t="s">
        <v>2498</v>
      </c>
      <c r="AK242" s="53">
        <f t="shared" si="229"/>
        <v>0.1796641568</v>
      </c>
      <c r="AL242" s="54">
        <f t="shared" si="230"/>
        <v>0.11904761904761904</v>
      </c>
      <c r="AM242" s="54">
        <f t="shared" si="231"/>
        <v>2.3809523809523808E-2</v>
      </c>
      <c r="AN242" s="55">
        <f t="shared" si="232"/>
        <v>2.1388590095238094E-2</v>
      </c>
      <c r="AO242" s="55">
        <f t="shared" si="233"/>
        <v>4.2777180190476192E-3</v>
      </c>
      <c r="AP242" s="53">
        <v>7.1</v>
      </c>
      <c r="AQ242" s="53">
        <f t="shared" si="201"/>
        <v>4.26</v>
      </c>
      <c r="AR242" s="53">
        <f t="shared" si="202"/>
        <v>21.299999999999997</v>
      </c>
      <c r="AS242" s="56">
        <f t="shared" si="203"/>
        <v>4.6948356807511742E-2</v>
      </c>
      <c r="AT242" s="56">
        <f t="shared" si="234"/>
        <v>0.23474178403755869</v>
      </c>
      <c r="AU242" s="56">
        <f t="shared" si="204"/>
        <v>0.176056338028169</v>
      </c>
      <c r="AV242" s="56">
        <f t="shared" si="235"/>
        <v>5.8685446009389672E-2</v>
      </c>
      <c r="AW242" s="57" t="s">
        <v>2511</v>
      </c>
      <c r="AX242" s="57" t="s">
        <v>2512</v>
      </c>
      <c r="AY242" s="57" t="s">
        <v>2513</v>
      </c>
      <c r="AZ242" s="58">
        <f t="shared" si="236"/>
        <v>0.1796641568</v>
      </c>
      <c r="BA242" s="59">
        <f t="shared" si="240"/>
        <v>5.2718355868544599E-3</v>
      </c>
      <c r="BB242" s="59">
        <f t="shared" si="241"/>
        <v>1.581550676056338E-2</v>
      </c>
      <c r="BC242" s="59">
        <f t="shared" si="242"/>
        <v>4.2174684694835686E-3</v>
      </c>
      <c r="BD242" s="60">
        <f t="shared" si="237"/>
        <v>4.7619047619047616E-2</v>
      </c>
      <c r="BE242" s="59">
        <f t="shared" si="238"/>
        <v>4.7619047619047616E-2</v>
      </c>
      <c r="BQ242" s="61">
        <v>3000</v>
      </c>
      <c r="BR242" s="61">
        <v>1200</v>
      </c>
      <c r="BS242" s="28">
        <f t="shared" si="205"/>
        <v>2980</v>
      </c>
      <c r="BT242" s="28">
        <f t="shared" si="206"/>
        <v>1180</v>
      </c>
      <c r="BU242" s="28" t="s">
        <v>2541</v>
      </c>
      <c r="BV242" s="28">
        <f t="shared" si="207"/>
        <v>1773.348</v>
      </c>
      <c r="BW242" s="28">
        <f t="shared" si="208"/>
        <v>55.8</v>
      </c>
      <c r="BX242" s="13">
        <f t="shared" si="209"/>
        <v>1.6804372294665233</v>
      </c>
      <c r="BY242" s="13">
        <f t="shared" si="210"/>
        <v>1</v>
      </c>
      <c r="BZ242" s="13">
        <f t="shared" si="211"/>
        <v>21.146953405017921</v>
      </c>
      <c r="CA242" s="13">
        <f t="shared" si="212"/>
        <v>21</v>
      </c>
      <c r="CB242" s="13">
        <f t="shared" si="213"/>
        <v>21</v>
      </c>
      <c r="CC242" s="62">
        <f t="shared" si="214"/>
        <v>4.7619047619047616E-2</v>
      </c>
      <c r="CD242" s="13">
        <f t="shared" si="215"/>
        <v>53.405017921146957</v>
      </c>
      <c r="CE242" s="13">
        <f t="shared" si="216"/>
        <v>53</v>
      </c>
      <c r="CF242" s="13">
        <f t="shared" si="217"/>
        <v>0.66540803045989849</v>
      </c>
      <c r="CG242" s="13">
        <f t="shared" si="218"/>
        <v>0</v>
      </c>
      <c r="CH242" s="28">
        <f t="shared" si="219"/>
        <v>0</v>
      </c>
      <c r="CI242" s="62">
        <f t="shared" si="220"/>
        <v>1</v>
      </c>
      <c r="CJ242" s="59">
        <f t="shared" si="221"/>
        <v>4.7619047619047616E-2</v>
      </c>
      <c r="CL242" s="63">
        <v>6000</v>
      </c>
      <c r="CM242" s="63">
        <f t="shared" si="222"/>
        <v>1768.348</v>
      </c>
      <c r="CN242" s="63">
        <f t="shared" si="223"/>
        <v>1773.348</v>
      </c>
      <c r="CO242" s="63">
        <f t="shared" si="224"/>
        <v>3.3834306633554161</v>
      </c>
      <c r="CP242" s="13">
        <f t="shared" si="225"/>
        <v>3</v>
      </c>
      <c r="CQ242" s="70">
        <f t="shared" si="226"/>
        <v>0.33333333333333331</v>
      </c>
      <c r="CR242" s="69">
        <f t="shared" si="194"/>
        <v>0.33333333333333331</v>
      </c>
    </row>
    <row r="243" spans="1:96" hidden="1" x14ac:dyDescent="0.25">
      <c r="A243" s="10">
        <v>3</v>
      </c>
      <c r="B243" s="8" t="s">
        <v>720</v>
      </c>
      <c r="C243" s="10" t="s">
        <v>745</v>
      </c>
      <c r="D243" s="10" t="s">
        <v>2270</v>
      </c>
      <c r="E243" s="10" t="s">
        <v>52</v>
      </c>
      <c r="F243" s="12">
        <f t="shared" si="195"/>
        <v>1</v>
      </c>
      <c r="G243" s="10">
        <v>1</v>
      </c>
      <c r="H243" s="10">
        <f t="shared" si="246"/>
        <v>1</v>
      </c>
      <c r="I243" s="10">
        <v>3</v>
      </c>
      <c r="J243" s="8" t="s">
        <v>626</v>
      </c>
      <c r="K243" s="8" t="s">
        <v>34</v>
      </c>
      <c r="L243" s="10">
        <v>0</v>
      </c>
      <c r="M243" s="8" t="s">
        <v>35</v>
      </c>
      <c r="N243" s="10" t="s">
        <v>746</v>
      </c>
      <c r="O243" s="28" t="s">
        <v>41</v>
      </c>
      <c r="P243" s="28" t="s">
        <v>41</v>
      </c>
      <c r="Q243" s="28" t="s">
        <v>747</v>
      </c>
      <c r="R243" s="30">
        <v>69.75</v>
      </c>
      <c r="S243" s="30">
        <v>2</v>
      </c>
      <c r="T243" s="30">
        <v>4</v>
      </c>
      <c r="U243" s="30">
        <v>0.12</v>
      </c>
      <c r="V243" s="8">
        <f t="shared" si="196"/>
        <v>1771.6499999999999</v>
      </c>
      <c r="W243" s="8">
        <f t="shared" si="197"/>
        <v>50.8</v>
      </c>
      <c r="X243" s="8">
        <f t="shared" si="198"/>
        <v>101.6</v>
      </c>
      <c r="Y243" s="33">
        <f t="shared" si="199"/>
        <v>3.0479999999999996</v>
      </c>
      <c r="Z243" s="28" t="s">
        <v>2477</v>
      </c>
      <c r="AA243" s="28" t="s">
        <v>2477</v>
      </c>
      <c r="AB243" s="61" t="s">
        <v>747</v>
      </c>
      <c r="AC243" s="31" t="s">
        <v>748</v>
      </c>
      <c r="AD243" s="50">
        <f t="shared" si="200"/>
        <v>1</v>
      </c>
      <c r="AE243" s="47" t="s">
        <v>749</v>
      </c>
      <c r="AF243" s="51">
        <v>14</v>
      </c>
      <c r="AG243" s="51">
        <f t="shared" si="228"/>
        <v>8.4</v>
      </c>
      <c r="AH243" s="51">
        <f t="shared" si="193"/>
        <v>42</v>
      </c>
      <c r="AI243" s="52" t="s">
        <v>2497</v>
      </c>
      <c r="AJ243" s="52" t="s">
        <v>2498</v>
      </c>
      <c r="AK243" s="53">
        <f t="shared" si="229"/>
        <v>0.17999963999999999</v>
      </c>
      <c r="AL243" s="54">
        <f t="shared" si="230"/>
        <v>0.11904761904761904</v>
      </c>
      <c r="AM243" s="54">
        <f t="shared" si="231"/>
        <v>2.3809523809523808E-2</v>
      </c>
      <c r="AN243" s="55">
        <f t="shared" si="232"/>
        <v>2.142852857142857E-2</v>
      </c>
      <c r="AO243" s="55">
        <f t="shared" si="233"/>
        <v>4.2857057142857138E-3</v>
      </c>
      <c r="AP243" s="53">
        <v>7.1</v>
      </c>
      <c r="AQ243" s="53">
        <f t="shared" si="201"/>
        <v>4.26</v>
      </c>
      <c r="AR243" s="53">
        <f t="shared" si="202"/>
        <v>21.299999999999997</v>
      </c>
      <c r="AS243" s="56">
        <f t="shared" si="203"/>
        <v>4.6948356807511742E-2</v>
      </c>
      <c r="AT243" s="56">
        <f t="shared" si="234"/>
        <v>0.23474178403755869</v>
      </c>
      <c r="AU243" s="56">
        <f t="shared" si="204"/>
        <v>0.176056338028169</v>
      </c>
      <c r="AV243" s="56">
        <f t="shared" si="235"/>
        <v>5.8685446009389672E-2</v>
      </c>
      <c r="AW243" s="57" t="s">
        <v>2511</v>
      </c>
      <c r="AX243" s="57" t="s">
        <v>2512</v>
      </c>
      <c r="AY243" s="57" t="s">
        <v>2513</v>
      </c>
      <c r="AZ243" s="58">
        <f t="shared" si="236"/>
        <v>0.17999963999999999</v>
      </c>
      <c r="BA243" s="59">
        <f t="shared" si="240"/>
        <v>5.2816795774647887E-3</v>
      </c>
      <c r="BB243" s="59">
        <f t="shared" si="241"/>
        <v>1.5845038732394363E-2</v>
      </c>
      <c r="BC243" s="59">
        <f t="shared" si="242"/>
        <v>4.225343661971831E-3</v>
      </c>
      <c r="BD243" s="60">
        <f t="shared" si="237"/>
        <v>4.7619047619047616E-2</v>
      </c>
      <c r="BE243" s="59">
        <f t="shared" si="238"/>
        <v>4.7619047619047616E-2</v>
      </c>
      <c r="BQ243" s="61">
        <v>3000</v>
      </c>
      <c r="BR243" s="61">
        <v>1200</v>
      </c>
      <c r="BS243" s="28">
        <f t="shared" si="205"/>
        <v>2980</v>
      </c>
      <c r="BT243" s="28">
        <f t="shared" si="206"/>
        <v>1180</v>
      </c>
      <c r="BU243" s="28" t="s">
        <v>2541</v>
      </c>
      <c r="BV243" s="28">
        <f t="shared" si="207"/>
        <v>1776.6499999999999</v>
      </c>
      <c r="BW243" s="28">
        <f t="shared" si="208"/>
        <v>55.8</v>
      </c>
      <c r="BX243" s="13">
        <f t="shared" si="209"/>
        <v>1.6773140460979936</v>
      </c>
      <c r="BY243" s="13">
        <f t="shared" si="210"/>
        <v>1</v>
      </c>
      <c r="BZ243" s="13">
        <f t="shared" si="211"/>
        <v>21.146953405017921</v>
      </c>
      <c r="CA243" s="13">
        <f t="shared" si="212"/>
        <v>21</v>
      </c>
      <c r="CB243" s="13">
        <f t="shared" si="213"/>
        <v>21</v>
      </c>
      <c r="CC243" s="62">
        <f t="shared" si="214"/>
        <v>4.7619047619047616E-2</v>
      </c>
      <c r="CD243" s="13">
        <f t="shared" si="215"/>
        <v>53.405017921146957</v>
      </c>
      <c r="CE243" s="13">
        <f t="shared" si="216"/>
        <v>53</v>
      </c>
      <c r="CF243" s="13">
        <f t="shared" si="217"/>
        <v>0.66417133368980952</v>
      </c>
      <c r="CG243" s="13">
        <f t="shared" si="218"/>
        <v>0</v>
      </c>
      <c r="CH243" s="28">
        <f t="shared" si="219"/>
        <v>0</v>
      </c>
      <c r="CI243" s="62">
        <f t="shared" si="220"/>
        <v>1</v>
      </c>
      <c r="CJ243" s="59">
        <f t="shared" si="221"/>
        <v>4.7619047619047616E-2</v>
      </c>
      <c r="CL243" s="63">
        <v>6000</v>
      </c>
      <c r="CM243" s="63">
        <f t="shared" si="222"/>
        <v>1771.6499999999999</v>
      </c>
      <c r="CN243" s="63">
        <f t="shared" si="223"/>
        <v>1776.6499999999999</v>
      </c>
      <c r="CO243" s="63">
        <f t="shared" si="224"/>
        <v>3.3771423746939466</v>
      </c>
      <c r="CP243" s="13">
        <f t="shared" si="225"/>
        <v>3</v>
      </c>
      <c r="CQ243" s="70">
        <f t="shared" si="226"/>
        <v>0.33333333333333331</v>
      </c>
      <c r="CR243" s="69">
        <f t="shared" si="194"/>
        <v>0.33333333333333331</v>
      </c>
    </row>
    <row r="244" spans="1:96" hidden="1" x14ac:dyDescent="0.25">
      <c r="A244" s="10">
        <v>3</v>
      </c>
      <c r="B244" s="8" t="s">
        <v>720</v>
      </c>
      <c r="C244" s="10" t="s">
        <v>750</v>
      </c>
      <c r="D244" s="10" t="s">
        <v>2270</v>
      </c>
      <c r="E244" s="10" t="s">
        <v>52</v>
      </c>
      <c r="F244" s="12">
        <f t="shared" si="195"/>
        <v>1</v>
      </c>
      <c r="G244" s="10">
        <v>2</v>
      </c>
      <c r="H244" s="10">
        <f t="shared" si="246"/>
        <v>2</v>
      </c>
      <c r="I244" s="10">
        <v>4</v>
      </c>
      <c r="J244" s="8" t="s">
        <v>76</v>
      </c>
      <c r="K244" s="8" t="s">
        <v>34</v>
      </c>
      <c r="L244" s="10" t="s">
        <v>236</v>
      </c>
      <c r="M244" s="8" t="s">
        <v>35</v>
      </c>
      <c r="N244" s="10" t="s">
        <v>751</v>
      </c>
      <c r="O244" s="28" t="s">
        <v>41</v>
      </c>
      <c r="P244" s="28" t="s">
        <v>41</v>
      </c>
      <c r="Q244" s="28" t="s">
        <v>79</v>
      </c>
      <c r="R244" s="30">
        <v>29.992125984251967</v>
      </c>
      <c r="S244" s="30">
        <v>0.3125</v>
      </c>
      <c r="T244" s="30"/>
      <c r="U244" s="30">
        <v>0.3125</v>
      </c>
      <c r="V244" s="8">
        <f t="shared" si="196"/>
        <v>761.8</v>
      </c>
      <c r="W244" s="8">
        <f t="shared" si="197"/>
        <v>7.9375</v>
      </c>
      <c r="X244" s="8">
        <f t="shared" si="198"/>
        <v>0</v>
      </c>
      <c r="Y244" s="33">
        <f t="shared" si="199"/>
        <v>7.9375</v>
      </c>
      <c r="Z244" s="28" t="s">
        <v>80</v>
      </c>
      <c r="AA244" s="28" t="s">
        <v>81</v>
      </c>
      <c r="AB244" s="61" t="s">
        <v>79</v>
      </c>
      <c r="AC244" s="31" t="s">
        <v>82</v>
      </c>
      <c r="AD244" s="50">
        <f t="shared" si="200"/>
        <v>2</v>
      </c>
      <c r="AE244" s="47" t="s">
        <v>749</v>
      </c>
      <c r="AF244" s="51">
        <v>14</v>
      </c>
      <c r="AG244" s="51">
        <f t="shared" si="228"/>
        <v>8.4</v>
      </c>
      <c r="AH244" s="51">
        <f t="shared" si="193"/>
        <v>42</v>
      </c>
      <c r="AI244" s="52" t="s">
        <v>2497</v>
      </c>
      <c r="AJ244" s="52" t="s">
        <v>2498</v>
      </c>
      <c r="AK244" s="53">
        <f t="shared" si="229"/>
        <v>1.2093574999999999E-2</v>
      </c>
      <c r="AL244" s="54">
        <f t="shared" si="230"/>
        <v>0.11904761904761904</v>
      </c>
      <c r="AM244" s="54">
        <f t="shared" si="231"/>
        <v>2.3809523809523808E-2</v>
      </c>
      <c r="AN244" s="55">
        <f t="shared" si="232"/>
        <v>2.8794226190476187E-3</v>
      </c>
      <c r="AO244" s="55">
        <f t="shared" si="233"/>
        <v>5.7588452380952367E-4</v>
      </c>
      <c r="AP244" s="53">
        <v>7.1</v>
      </c>
      <c r="AQ244" s="53">
        <f t="shared" si="201"/>
        <v>4.26</v>
      </c>
      <c r="AR244" s="53">
        <f t="shared" si="202"/>
        <v>21.299999999999997</v>
      </c>
      <c r="AS244" s="56">
        <f t="shared" si="203"/>
        <v>4.6948356807511742E-2</v>
      </c>
      <c r="AT244" s="56">
        <f t="shared" si="234"/>
        <v>0.23474178403755869</v>
      </c>
      <c r="AU244" s="56">
        <f t="shared" si="204"/>
        <v>0.176056338028169</v>
      </c>
      <c r="AV244" s="56">
        <f t="shared" si="235"/>
        <v>5.8685446009389672E-2</v>
      </c>
      <c r="AW244" s="57" t="s">
        <v>2511</v>
      </c>
      <c r="AX244" s="57" t="s">
        <v>2512</v>
      </c>
      <c r="AY244" s="57" t="s">
        <v>2513</v>
      </c>
      <c r="AZ244" s="58">
        <f t="shared" si="236"/>
        <v>1.2093574999999999E-2</v>
      </c>
      <c r="BA244" s="59">
        <f t="shared" si="240"/>
        <v>7.0971684272300465E-4</v>
      </c>
      <c r="BB244" s="59">
        <f t="shared" si="241"/>
        <v>2.1291505281690135E-3</v>
      </c>
      <c r="BC244" s="59">
        <f t="shared" si="242"/>
        <v>5.6777347417840372E-4</v>
      </c>
      <c r="BD244" s="60">
        <f t="shared" si="237"/>
        <v>3.663003663003663E-3</v>
      </c>
      <c r="BE244" s="59">
        <f t="shared" si="238"/>
        <v>7.326007326007326E-3</v>
      </c>
      <c r="BQ244" s="61">
        <v>3000</v>
      </c>
      <c r="BR244" s="61">
        <v>1200</v>
      </c>
      <c r="BS244" s="28">
        <f t="shared" si="205"/>
        <v>2980</v>
      </c>
      <c r="BT244" s="28">
        <f t="shared" si="206"/>
        <v>1180</v>
      </c>
      <c r="BU244" s="28" t="s">
        <v>2541</v>
      </c>
      <c r="BV244" s="28">
        <f t="shared" si="207"/>
        <v>766.8</v>
      </c>
      <c r="BW244" s="28">
        <f t="shared" si="208"/>
        <v>12.9375</v>
      </c>
      <c r="BX244" s="13">
        <f t="shared" si="209"/>
        <v>3.8862806468440274</v>
      </c>
      <c r="BY244" s="13">
        <f t="shared" si="210"/>
        <v>3</v>
      </c>
      <c r="BZ244" s="13">
        <f t="shared" si="211"/>
        <v>91.207729468599027</v>
      </c>
      <c r="CA244" s="13">
        <f t="shared" si="212"/>
        <v>91</v>
      </c>
      <c r="CB244" s="13">
        <f t="shared" si="213"/>
        <v>273</v>
      </c>
      <c r="CC244" s="62">
        <f t="shared" si="214"/>
        <v>3.663003663003663E-3</v>
      </c>
      <c r="CD244" s="13">
        <f t="shared" si="215"/>
        <v>230.33816425120773</v>
      </c>
      <c r="CE244" s="13">
        <f t="shared" si="216"/>
        <v>230</v>
      </c>
      <c r="CF244" s="13">
        <f t="shared" si="217"/>
        <v>1.5388628064684404</v>
      </c>
      <c r="CG244" s="13">
        <f t="shared" si="218"/>
        <v>1</v>
      </c>
      <c r="CH244" s="28">
        <f t="shared" si="219"/>
        <v>230</v>
      </c>
      <c r="CI244" s="62">
        <f t="shared" si="220"/>
        <v>4.3478260869565218E-3</v>
      </c>
      <c r="CJ244" s="59">
        <f t="shared" si="221"/>
        <v>3.663003663003663E-3</v>
      </c>
      <c r="CL244" s="63">
        <v>6000</v>
      </c>
      <c r="CM244" s="63">
        <f t="shared" si="222"/>
        <v>761.8</v>
      </c>
      <c r="CN244" s="63">
        <f t="shared" si="223"/>
        <v>766.8</v>
      </c>
      <c r="CO244" s="63">
        <f t="shared" si="224"/>
        <v>7.8247261345852896</v>
      </c>
      <c r="CP244" s="13">
        <f t="shared" si="225"/>
        <v>7</v>
      </c>
      <c r="CQ244" s="70">
        <f t="shared" si="226"/>
        <v>0.14285714285714285</v>
      </c>
      <c r="CR244" s="69">
        <f t="shared" si="194"/>
        <v>0.2857142857142857</v>
      </c>
    </row>
    <row r="245" spans="1:96" hidden="1" x14ac:dyDescent="0.25">
      <c r="A245" s="10">
        <v>3</v>
      </c>
      <c r="B245" s="8" t="s">
        <v>720</v>
      </c>
      <c r="C245" s="10" t="s">
        <v>752</v>
      </c>
      <c r="D245" s="10" t="s">
        <v>2270</v>
      </c>
      <c r="E245" s="10" t="s">
        <v>32</v>
      </c>
      <c r="F245" s="12">
        <f t="shared" si="195"/>
        <v>1</v>
      </c>
      <c r="G245" s="10">
        <v>1</v>
      </c>
      <c r="H245" s="10">
        <f t="shared" si="246"/>
        <v>1</v>
      </c>
      <c r="I245" s="10">
        <v>5</v>
      </c>
      <c r="J245" s="8" t="s">
        <v>753</v>
      </c>
      <c r="K245" s="8" t="s">
        <v>34</v>
      </c>
      <c r="L245" s="10">
        <v>0</v>
      </c>
      <c r="M245" s="8" t="s">
        <v>35</v>
      </c>
      <c r="N245" s="10" t="s">
        <v>754</v>
      </c>
      <c r="O245" s="28" t="s">
        <v>41</v>
      </c>
      <c r="P245" s="28" t="s">
        <v>41</v>
      </c>
      <c r="Q245" s="28"/>
      <c r="R245" s="30"/>
      <c r="S245" s="30"/>
      <c r="T245" s="30"/>
      <c r="U245" s="30"/>
      <c r="V245" s="8">
        <f t="shared" si="196"/>
        <v>0</v>
      </c>
      <c r="W245" s="8">
        <f t="shared" si="197"/>
        <v>0</v>
      </c>
      <c r="X245" s="8">
        <f t="shared" si="198"/>
        <v>0</v>
      </c>
      <c r="Y245" s="33">
        <f t="shared" si="199"/>
        <v>0</v>
      </c>
      <c r="Z245" s="28"/>
      <c r="AA245" s="28"/>
      <c r="AB245" s="28">
        <v>0</v>
      </c>
      <c r="AC245" s="31" t="s">
        <v>2477</v>
      </c>
      <c r="AD245" s="50">
        <f t="shared" si="200"/>
        <v>1</v>
      </c>
      <c r="AE245" s="47" t="s">
        <v>749</v>
      </c>
      <c r="AF245" s="51">
        <v>14</v>
      </c>
      <c r="AG245" s="51">
        <f t="shared" si="228"/>
        <v>8.4</v>
      </c>
      <c r="AH245" s="51">
        <f t="shared" si="193"/>
        <v>42</v>
      </c>
      <c r="AI245" s="52" t="s">
        <v>2497</v>
      </c>
      <c r="AJ245" s="52" t="s">
        <v>2498</v>
      </c>
      <c r="AK245" s="53">
        <f t="shared" si="229"/>
        <v>0</v>
      </c>
      <c r="AL245" s="54">
        <f t="shared" si="230"/>
        <v>0.11904761904761904</v>
      </c>
      <c r="AM245" s="54">
        <f t="shared" si="231"/>
        <v>2.3809523809523808E-2</v>
      </c>
      <c r="AN245" s="55">
        <f t="shared" si="232"/>
        <v>0</v>
      </c>
      <c r="AO245" s="55">
        <f t="shared" si="233"/>
        <v>0</v>
      </c>
      <c r="AP245" s="53">
        <v>7.1</v>
      </c>
      <c r="AQ245" s="53">
        <f t="shared" si="201"/>
        <v>4.26</v>
      </c>
      <c r="AR245" s="53">
        <f t="shared" si="202"/>
        <v>21.299999999999997</v>
      </c>
      <c r="AS245" s="56">
        <f t="shared" si="203"/>
        <v>4.6948356807511742E-2</v>
      </c>
      <c r="AT245" s="56">
        <f t="shared" si="234"/>
        <v>0.23474178403755869</v>
      </c>
      <c r="AU245" s="56">
        <f t="shared" si="204"/>
        <v>0.176056338028169</v>
      </c>
      <c r="AV245" s="56">
        <f t="shared" si="235"/>
        <v>5.8685446009389672E-2</v>
      </c>
      <c r="AW245" s="57" t="s">
        <v>2511</v>
      </c>
      <c r="AX245" s="57" t="s">
        <v>2512</v>
      </c>
      <c r="AY245" s="57" t="s">
        <v>2513</v>
      </c>
      <c r="AZ245" s="58">
        <f t="shared" si="236"/>
        <v>0</v>
      </c>
      <c r="BA245" s="59">
        <f t="shared" si="240"/>
        <v>0</v>
      </c>
      <c r="BB245" s="59">
        <f t="shared" si="241"/>
        <v>0</v>
      </c>
      <c r="BC245" s="59">
        <f t="shared" si="242"/>
        <v>0</v>
      </c>
      <c r="BD245" s="60">
        <f t="shared" si="237"/>
        <v>0</v>
      </c>
      <c r="BE245" s="59">
        <f t="shared" si="238"/>
        <v>0</v>
      </c>
      <c r="BQ245" s="61">
        <v>3000</v>
      </c>
      <c r="BR245" s="61">
        <v>1200</v>
      </c>
      <c r="BS245" s="28">
        <f t="shared" si="205"/>
        <v>2980</v>
      </c>
      <c r="BT245" s="28">
        <f t="shared" si="206"/>
        <v>1180</v>
      </c>
      <c r="BU245" s="28" t="s">
        <v>2541</v>
      </c>
      <c r="BV245" s="28">
        <f t="shared" si="207"/>
        <v>5</v>
      </c>
      <c r="BW245" s="28">
        <f t="shared" si="208"/>
        <v>5</v>
      </c>
      <c r="BX245" s="13">
        <f t="shared" si="209"/>
        <v>596</v>
      </c>
      <c r="BY245" s="13">
        <f t="shared" si="210"/>
        <v>596</v>
      </c>
      <c r="BZ245" s="13">
        <f t="shared" si="211"/>
        <v>236</v>
      </c>
      <c r="CA245" s="13">
        <f t="shared" si="212"/>
        <v>236</v>
      </c>
      <c r="CB245" s="13">
        <f t="shared" si="213"/>
        <v>140656</v>
      </c>
      <c r="CC245" s="62" t="str">
        <f t="shared" si="214"/>
        <v/>
      </c>
      <c r="CD245" s="13">
        <f t="shared" si="215"/>
        <v>596</v>
      </c>
      <c r="CE245" s="13">
        <f t="shared" si="216"/>
        <v>596</v>
      </c>
      <c r="CF245" s="13">
        <f t="shared" si="217"/>
        <v>236</v>
      </c>
      <c r="CG245" s="13">
        <f t="shared" si="218"/>
        <v>236</v>
      </c>
      <c r="CH245" s="28">
        <f t="shared" si="219"/>
        <v>140656</v>
      </c>
      <c r="CI245" s="62" t="str">
        <f t="shared" si="220"/>
        <v/>
      </c>
      <c r="CJ245" s="59">
        <f t="shared" si="221"/>
        <v>0</v>
      </c>
      <c r="CL245" s="63">
        <v>6000</v>
      </c>
      <c r="CM245" s="63">
        <f t="shared" si="222"/>
        <v>0</v>
      </c>
      <c r="CN245" s="63">
        <f t="shared" si="223"/>
        <v>5</v>
      </c>
      <c r="CO245" s="63">
        <f t="shared" si="224"/>
        <v>1200</v>
      </c>
      <c r="CP245" s="13">
        <f t="shared" si="225"/>
        <v>1200</v>
      </c>
      <c r="CQ245" s="70">
        <f t="shared" si="226"/>
        <v>8.3333333333333339E-4</v>
      </c>
      <c r="CR245" s="69">
        <f t="shared" si="194"/>
        <v>8.3333333333333339E-4</v>
      </c>
    </row>
    <row r="246" spans="1:96" hidden="1" x14ac:dyDescent="0.25">
      <c r="A246" s="13">
        <v>4</v>
      </c>
      <c r="B246" s="14" t="s">
        <v>755</v>
      </c>
      <c r="C246" s="13" t="s">
        <v>756</v>
      </c>
      <c r="D246" s="13" t="s">
        <v>2270</v>
      </c>
      <c r="E246" s="13" t="s">
        <v>52</v>
      </c>
      <c r="F246" s="15">
        <f t="shared" si="195"/>
        <v>1</v>
      </c>
      <c r="G246" s="13">
        <v>1</v>
      </c>
      <c r="H246" s="13">
        <f>G246*$H$245</f>
        <v>1</v>
      </c>
      <c r="I246" s="13">
        <v>1</v>
      </c>
      <c r="J246" s="14" t="s">
        <v>757</v>
      </c>
      <c r="K246" s="14" t="s">
        <v>34</v>
      </c>
      <c r="L246" s="13">
        <v>0</v>
      </c>
      <c r="M246" s="14" t="s">
        <v>35</v>
      </c>
      <c r="N246" s="13" t="s">
        <v>758</v>
      </c>
      <c r="O246" s="28" t="s">
        <v>41</v>
      </c>
      <c r="P246" s="28" t="s">
        <v>41</v>
      </c>
      <c r="Q246" s="28" t="s">
        <v>55</v>
      </c>
      <c r="R246" s="30">
        <v>69.760000000000005</v>
      </c>
      <c r="S246" s="30">
        <v>59.430999999999997</v>
      </c>
      <c r="T246" s="30"/>
      <c r="U246" s="30">
        <v>0.11799999999999999</v>
      </c>
      <c r="V246" s="8">
        <f t="shared" si="196"/>
        <v>1771.904</v>
      </c>
      <c r="W246" s="8">
        <f t="shared" si="197"/>
        <v>1509.5473999999999</v>
      </c>
      <c r="X246" s="8">
        <f t="shared" si="198"/>
        <v>0</v>
      </c>
      <c r="Y246" s="33">
        <f t="shared" si="199"/>
        <v>2.9971999999999999</v>
      </c>
      <c r="Z246" s="28" t="s">
        <v>56</v>
      </c>
      <c r="AA246" s="28" t="s">
        <v>57</v>
      </c>
      <c r="AB246" s="61" t="s">
        <v>55</v>
      </c>
      <c r="AC246" s="31" t="s">
        <v>58</v>
      </c>
      <c r="AD246" s="50">
        <f t="shared" si="200"/>
        <v>1</v>
      </c>
      <c r="AE246" s="47" t="s">
        <v>759</v>
      </c>
      <c r="AF246" s="51">
        <v>14</v>
      </c>
      <c r="AG246" s="51">
        <f t="shared" si="228"/>
        <v>8.4</v>
      </c>
      <c r="AH246" s="51">
        <f t="shared" si="193"/>
        <v>42</v>
      </c>
      <c r="AI246" s="52" t="s">
        <v>2497</v>
      </c>
      <c r="AJ246" s="52" t="s">
        <v>2498</v>
      </c>
      <c r="AK246" s="53">
        <f t="shared" si="229"/>
        <v>5.3495461524992001</v>
      </c>
      <c r="AL246" s="54">
        <f t="shared" si="230"/>
        <v>0.11904761904761904</v>
      </c>
      <c r="AM246" s="54">
        <f t="shared" si="231"/>
        <v>2.3809523809523808E-2</v>
      </c>
      <c r="AN246" s="55">
        <f t="shared" si="232"/>
        <v>0.63685073244038093</v>
      </c>
      <c r="AO246" s="55">
        <f t="shared" si="233"/>
        <v>0.12737014648807618</v>
      </c>
      <c r="AP246" s="53">
        <v>7.1</v>
      </c>
      <c r="AQ246" s="53">
        <f t="shared" si="201"/>
        <v>4.26</v>
      </c>
      <c r="AR246" s="53">
        <f t="shared" si="202"/>
        <v>21.299999999999997</v>
      </c>
      <c r="AS246" s="56">
        <f t="shared" si="203"/>
        <v>4.6948356807511742E-2</v>
      </c>
      <c r="AT246" s="56">
        <f t="shared" si="234"/>
        <v>0.23474178403755869</v>
      </c>
      <c r="AU246" s="56">
        <f t="shared" si="204"/>
        <v>0.176056338028169</v>
      </c>
      <c r="AV246" s="56">
        <f t="shared" si="235"/>
        <v>5.8685446009389672E-2</v>
      </c>
      <c r="AW246" s="57" t="s">
        <v>2511</v>
      </c>
      <c r="AX246" s="57" t="s">
        <v>2512</v>
      </c>
      <c r="AY246" s="57" t="s">
        <v>2513</v>
      </c>
      <c r="AZ246" s="58">
        <f t="shared" si="236"/>
        <v>5.3495461524992001</v>
      </c>
      <c r="BA246" s="59">
        <f t="shared" si="240"/>
        <v>0.15697025095361503</v>
      </c>
      <c r="BB246" s="59">
        <f t="shared" si="241"/>
        <v>0.47091075286084505</v>
      </c>
      <c r="BC246" s="59">
        <f t="shared" si="242"/>
        <v>0.12557620076289203</v>
      </c>
      <c r="BD246" s="60">
        <f t="shared" si="237"/>
        <v>1</v>
      </c>
      <c r="BE246" s="59">
        <f t="shared" si="238"/>
        <v>1</v>
      </c>
      <c r="BQ246" s="61">
        <v>3000</v>
      </c>
      <c r="BR246" s="11">
        <v>1500</v>
      </c>
      <c r="BS246" s="28">
        <f t="shared" si="205"/>
        <v>2980</v>
      </c>
      <c r="BT246" s="28">
        <f t="shared" si="206"/>
        <v>1480</v>
      </c>
      <c r="BU246" s="28" t="s">
        <v>2541</v>
      </c>
      <c r="BV246" s="28">
        <f t="shared" si="207"/>
        <v>1776.904</v>
      </c>
      <c r="BW246" s="28">
        <f t="shared" si="208"/>
        <v>1514.5473999999999</v>
      </c>
      <c r="BX246" s="13">
        <f t="shared" si="209"/>
        <v>1.6770742820096076</v>
      </c>
      <c r="BY246" s="13">
        <f t="shared" si="210"/>
        <v>1</v>
      </c>
      <c r="BZ246" s="13">
        <f t="shared" si="211"/>
        <v>0.97718962113698127</v>
      </c>
      <c r="CA246" s="13">
        <f t="shared" si="212"/>
        <v>0</v>
      </c>
      <c r="CB246" s="13">
        <f t="shared" si="213"/>
        <v>0</v>
      </c>
      <c r="CC246" s="62">
        <f t="shared" si="214"/>
        <v>1</v>
      </c>
      <c r="CD246" s="13">
        <f t="shared" si="215"/>
        <v>1.9675845074244624</v>
      </c>
      <c r="CE246" s="13">
        <f t="shared" si="216"/>
        <v>1</v>
      </c>
      <c r="CF246" s="13">
        <f t="shared" si="217"/>
        <v>0.83290937495779171</v>
      </c>
      <c r="CG246" s="13">
        <f t="shared" si="218"/>
        <v>0</v>
      </c>
      <c r="CH246" s="28">
        <f t="shared" si="219"/>
        <v>0</v>
      </c>
      <c r="CI246" s="62">
        <f t="shared" si="220"/>
        <v>1</v>
      </c>
      <c r="CJ246" s="59">
        <f t="shared" si="221"/>
        <v>1</v>
      </c>
      <c r="CL246" s="63">
        <v>6000</v>
      </c>
      <c r="CM246" s="63">
        <f t="shared" si="222"/>
        <v>1771.904</v>
      </c>
      <c r="CN246" s="63">
        <f t="shared" si="223"/>
        <v>1776.904</v>
      </c>
      <c r="CO246" s="63">
        <f t="shared" si="224"/>
        <v>3.3766596282072641</v>
      </c>
      <c r="CP246" s="13">
        <f t="shared" si="225"/>
        <v>3</v>
      </c>
      <c r="CQ246" s="70">
        <f t="shared" si="226"/>
        <v>0.33333333333333331</v>
      </c>
      <c r="CR246" s="69">
        <f t="shared" si="194"/>
        <v>0.33333333333333331</v>
      </c>
    </row>
    <row r="247" spans="1:96" hidden="1" x14ac:dyDescent="0.25">
      <c r="A247" s="13">
        <v>4</v>
      </c>
      <c r="B247" s="14" t="s">
        <v>755</v>
      </c>
      <c r="C247" s="13" t="s">
        <v>760</v>
      </c>
      <c r="D247" s="13" t="s">
        <v>2270</v>
      </c>
      <c r="E247" s="13" t="s">
        <v>32</v>
      </c>
      <c r="F247" s="15">
        <f t="shared" si="195"/>
        <v>1</v>
      </c>
      <c r="G247" s="13">
        <v>1</v>
      </c>
      <c r="H247" s="13">
        <f>G247*$H$245</f>
        <v>1</v>
      </c>
      <c r="I247" s="13">
        <v>2</v>
      </c>
      <c r="J247" s="14" t="s">
        <v>512</v>
      </c>
      <c r="K247" s="14" t="s">
        <v>34</v>
      </c>
      <c r="L247" s="13">
        <v>0</v>
      </c>
      <c r="M247" s="14" t="s">
        <v>35</v>
      </c>
      <c r="N247" s="13" t="s">
        <v>761</v>
      </c>
      <c r="O247" s="28" t="s">
        <v>41</v>
      </c>
      <c r="P247" s="28" t="s">
        <v>41</v>
      </c>
      <c r="Q247" s="28"/>
      <c r="R247" s="30"/>
      <c r="S247" s="30"/>
      <c r="T247" s="30"/>
      <c r="U247" s="30"/>
      <c r="V247" s="8">
        <f t="shared" si="196"/>
        <v>0</v>
      </c>
      <c r="W247" s="8">
        <f t="shared" si="197"/>
        <v>0</v>
      </c>
      <c r="X247" s="8">
        <f t="shared" si="198"/>
        <v>0</v>
      </c>
      <c r="Y247" s="33">
        <f t="shared" si="199"/>
        <v>0</v>
      </c>
      <c r="Z247" s="28"/>
      <c r="AA247" s="28"/>
      <c r="AB247" s="28">
        <v>0</v>
      </c>
      <c r="AC247" s="31" t="s">
        <v>2477</v>
      </c>
      <c r="AD247" s="50">
        <f t="shared" si="200"/>
        <v>1</v>
      </c>
      <c r="AE247" s="31"/>
      <c r="AF247" s="51">
        <v>14</v>
      </c>
      <c r="AG247" s="51">
        <f t="shared" si="228"/>
        <v>8.4</v>
      </c>
      <c r="AH247" s="51">
        <f t="shared" si="193"/>
        <v>42</v>
      </c>
      <c r="AI247" s="52" t="s">
        <v>2497</v>
      </c>
      <c r="AJ247" s="52" t="s">
        <v>2498</v>
      </c>
      <c r="AK247" s="53">
        <f t="shared" si="229"/>
        <v>0</v>
      </c>
      <c r="AL247" s="54">
        <f t="shared" si="230"/>
        <v>0.11904761904761904</v>
      </c>
      <c r="AM247" s="54">
        <f t="shared" si="231"/>
        <v>2.3809523809523808E-2</v>
      </c>
      <c r="AN247" s="55">
        <f t="shared" si="232"/>
        <v>0</v>
      </c>
      <c r="AO247" s="55">
        <f t="shared" si="233"/>
        <v>0</v>
      </c>
      <c r="AP247" s="53">
        <v>7.1</v>
      </c>
      <c r="AQ247" s="53">
        <f t="shared" si="201"/>
        <v>4.26</v>
      </c>
      <c r="AR247" s="53">
        <f t="shared" si="202"/>
        <v>21.299999999999997</v>
      </c>
      <c r="AS247" s="56">
        <f t="shared" si="203"/>
        <v>4.6948356807511742E-2</v>
      </c>
      <c r="AT247" s="56">
        <f t="shared" si="234"/>
        <v>0.23474178403755869</v>
      </c>
      <c r="AU247" s="56">
        <f t="shared" si="204"/>
        <v>0.176056338028169</v>
      </c>
      <c r="AV247" s="56">
        <f t="shared" si="235"/>
        <v>5.8685446009389672E-2</v>
      </c>
      <c r="AW247" s="57" t="s">
        <v>2511</v>
      </c>
      <c r="AX247" s="57" t="s">
        <v>2512</v>
      </c>
      <c r="AY247" s="57" t="s">
        <v>2513</v>
      </c>
      <c r="AZ247" s="58">
        <f t="shared" si="236"/>
        <v>0</v>
      </c>
      <c r="BA247" s="59">
        <f t="shared" si="240"/>
        <v>0</v>
      </c>
      <c r="BB247" s="59">
        <f t="shared" si="241"/>
        <v>0</v>
      </c>
      <c r="BC247" s="59">
        <f t="shared" si="242"/>
        <v>0</v>
      </c>
      <c r="BD247" s="60">
        <f t="shared" si="237"/>
        <v>0</v>
      </c>
      <c r="BE247" s="59">
        <f t="shared" si="238"/>
        <v>0</v>
      </c>
      <c r="BQ247" s="61">
        <v>3000</v>
      </c>
      <c r="BR247" s="61">
        <v>1200</v>
      </c>
      <c r="BS247" s="28">
        <f t="shared" si="205"/>
        <v>2980</v>
      </c>
      <c r="BT247" s="28">
        <f t="shared" si="206"/>
        <v>1180</v>
      </c>
      <c r="BU247" s="28" t="s">
        <v>2541</v>
      </c>
      <c r="BV247" s="28">
        <f t="shared" si="207"/>
        <v>5</v>
      </c>
      <c r="BW247" s="28">
        <f t="shared" si="208"/>
        <v>5</v>
      </c>
      <c r="BX247" s="13">
        <f t="shared" si="209"/>
        <v>596</v>
      </c>
      <c r="BY247" s="13">
        <f t="shared" si="210"/>
        <v>596</v>
      </c>
      <c r="BZ247" s="13">
        <f t="shared" si="211"/>
        <v>236</v>
      </c>
      <c r="CA247" s="13">
        <f t="shared" si="212"/>
        <v>236</v>
      </c>
      <c r="CB247" s="13">
        <f t="shared" si="213"/>
        <v>140656</v>
      </c>
      <c r="CC247" s="62" t="str">
        <f t="shared" si="214"/>
        <v/>
      </c>
      <c r="CD247" s="13">
        <f t="shared" si="215"/>
        <v>596</v>
      </c>
      <c r="CE247" s="13">
        <f t="shared" si="216"/>
        <v>596</v>
      </c>
      <c r="CF247" s="13">
        <f t="shared" si="217"/>
        <v>236</v>
      </c>
      <c r="CG247" s="13">
        <f t="shared" si="218"/>
        <v>236</v>
      </c>
      <c r="CH247" s="28">
        <f t="shared" si="219"/>
        <v>140656</v>
      </c>
      <c r="CI247" s="62" t="str">
        <f t="shared" si="220"/>
        <v/>
      </c>
      <c r="CJ247" s="59">
        <f t="shared" si="221"/>
        <v>0</v>
      </c>
      <c r="CL247" s="63">
        <v>6000</v>
      </c>
      <c r="CM247" s="63">
        <f t="shared" si="222"/>
        <v>0</v>
      </c>
      <c r="CN247" s="63">
        <f t="shared" si="223"/>
        <v>5</v>
      </c>
      <c r="CO247" s="63">
        <f t="shared" si="224"/>
        <v>1200</v>
      </c>
      <c r="CP247" s="13">
        <f t="shared" si="225"/>
        <v>1200</v>
      </c>
      <c r="CQ247" s="70">
        <f t="shared" si="226"/>
        <v>8.3333333333333339E-4</v>
      </c>
      <c r="CR247" s="69">
        <f t="shared" si="194"/>
        <v>8.3333333333333339E-4</v>
      </c>
    </row>
    <row r="248" spans="1:96" hidden="1" x14ac:dyDescent="0.25">
      <c r="A248" s="17">
        <v>5</v>
      </c>
      <c r="B248" s="6" t="s">
        <v>762</v>
      </c>
      <c r="C248" s="17" t="s">
        <v>763</v>
      </c>
      <c r="D248" s="17" t="s">
        <v>2270</v>
      </c>
      <c r="E248" s="17" t="s">
        <v>52</v>
      </c>
      <c r="F248" s="7">
        <f t="shared" si="195"/>
        <v>1</v>
      </c>
      <c r="G248" s="17">
        <v>1</v>
      </c>
      <c r="H248" s="17">
        <f>G248*$H$247</f>
        <v>1</v>
      </c>
      <c r="I248" s="17">
        <v>1</v>
      </c>
      <c r="J248" s="6" t="s">
        <v>512</v>
      </c>
      <c r="K248" s="6" t="s">
        <v>34</v>
      </c>
      <c r="L248" s="17">
        <v>0</v>
      </c>
      <c r="M248" s="6" t="s">
        <v>35</v>
      </c>
      <c r="N248" s="17" t="s">
        <v>764</v>
      </c>
      <c r="O248" s="28" t="s">
        <v>41</v>
      </c>
      <c r="P248" s="28" t="s">
        <v>41</v>
      </c>
      <c r="Q248" s="28" t="s">
        <v>116</v>
      </c>
      <c r="R248" s="30">
        <v>13.984999999999999</v>
      </c>
      <c r="S248" s="30">
        <v>8.4030000000000005</v>
      </c>
      <c r="T248" s="30"/>
      <c r="U248" s="30">
        <v>0.12</v>
      </c>
      <c r="V248" s="8">
        <f t="shared" si="196"/>
        <v>355.21899999999999</v>
      </c>
      <c r="W248" s="8">
        <f t="shared" si="197"/>
        <v>213.43620000000001</v>
      </c>
      <c r="X248" s="8">
        <f t="shared" si="198"/>
        <v>0</v>
      </c>
      <c r="Y248" s="33">
        <f t="shared" si="199"/>
        <v>3.0479999999999996</v>
      </c>
      <c r="Z248" s="28" t="s">
        <v>56</v>
      </c>
      <c r="AA248" s="28" t="s">
        <v>57</v>
      </c>
      <c r="AB248" s="28" t="s">
        <v>116</v>
      </c>
      <c r="AC248" s="31" t="s">
        <v>117</v>
      </c>
      <c r="AD248" s="50">
        <f t="shared" si="200"/>
        <v>1</v>
      </c>
      <c r="AE248" s="31"/>
      <c r="AF248" s="51">
        <v>14</v>
      </c>
      <c r="AG248" s="51">
        <f t="shared" si="228"/>
        <v>8.4</v>
      </c>
      <c r="AH248" s="51">
        <f t="shared" si="193"/>
        <v>42</v>
      </c>
      <c r="AI248" s="52" t="s">
        <v>2497</v>
      </c>
      <c r="AJ248" s="52" t="s">
        <v>2498</v>
      </c>
      <c r="AK248" s="53">
        <f t="shared" si="229"/>
        <v>0.15163318705560003</v>
      </c>
      <c r="AL248" s="54">
        <f t="shared" si="230"/>
        <v>0.11904761904761904</v>
      </c>
      <c r="AM248" s="54">
        <f t="shared" si="231"/>
        <v>2.3809523809523808E-2</v>
      </c>
      <c r="AN248" s="55">
        <f t="shared" si="232"/>
        <v>1.8051569887571429E-2</v>
      </c>
      <c r="AO248" s="55">
        <f t="shared" si="233"/>
        <v>3.6103139775142861E-3</v>
      </c>
      <c r="AP248" s="53">
        <v>7.1</v>
      </c>
      <c r="AQ248" s="53">
        <f t="shared" si="201"/>
        <v>4.26</v>
      </c>
      <c r="AR248" s="53">
        <f t="shared" si="202"/>
        <v>21.299999999999997</v>
      </c>
      <c r="AS248" s="56">
        <f t="shared" si="203"/>
        <v>4.6948356807511742E-2</v>
      </c>
      <c r="AT248" s="56">
        <f t="shared" si="234"/>
        <v>0.23474178403755869</v>
      </c>
      <c r="AU248" s="56">
        <f t="shared" si="204"/>
        <v>0.176056338028169</v>
      </c>
      <c r="AV248" s="56">
        <f t="shared" si="235"/>
        <v>5.8685446009389672E-2</v>
      </c>
      <c r="AW248" s="57" t="s">
        <v>2511</v>
      </c>
      <c r="AX248" s="57" t="s">
        <v>2512</v>
      </c>
      <c r="AY248" s="57" t="s">
        <v>2513</v>
      </c>
      <c r="AZ248" s="58">
        <f t="shared" si="236"/>
        <v>0.15163318705560003</v>
      </c>
      <c r="BA248" s="59">
        <f t="shared" si="240"/>
        <v>4.4493306060915498E-3</v>
      </c>
      <c r="BB248" s="59">
        <f t="shared" si="241"/>
        <v>1.3347991818274649E-2</v>
      </c>
      <c r="BC248" s="59">
        <f t="shared" si="242"/>
        <v>3.5594644848732405E-3</v>
      </c>
      <c r="BD248" s="60">
        <f t="shared" si="237"/>
        <v>2.5000000000000001E-2</v>
      </c>
      <c r="BE248" s="59">
        <f t="shared" si="238"/>
        <v>2.5000000000000001E-2</v>
      </c>
      <c r="BQ248" s="61">
        <v>3000</v>
      </c>
      <c r="BR248" s="61">
        <v>1200</v>
      </c>
      <c r="BS248" s="28">
        <f t="shared" si="205"/>
        <v>2980</v>
      </c>
      <c r="BT248" s="28">
        <f t="shared" si="206"/>
        <v>1180</v>
      </c>
      <c r="BU248" s="28" t="s">
        <v>2541</v>
      </c>
      <c r="BV248" s="28">
        <f t="shared" si="207"/>
        <v>360.21899999999999</v>
      </c>
      <c r="BW248" s="28">
        <f t="shared" si="208"/>
        <v>218.43620000000001</v>
      </c>
      <c r="BX248" s="13">
        <f t="shared" si="209"/>
        <v>8.2727451911198475</v>
      </c>
      <c r="BY248" s="13">
        <f t="shared" si="210"/>
        <v>8</v>
      </c>
      <c r="BZ248" s="13">
        <f t="shared" si="211"/>
        <v>5.4020350106804642</v>
      </c>
      <c r="CA248" s="13">
        <f t="shared" si="212"/>
        <v>5</v>
      </c>
      <c r="CB248" s="13">
        <f t="shared" si="213"/>
        <v>40</v>
      </c>
      <c r="CC248" s="62">
        <f t="shared" si="214"/>
        <v>2.5000000000000001E-2</v>
      </c>
      <c r="CD248" s="13">
        <f t="shared" si="215"/>
        <v>13.642427399854054</v>
      </c>
      <c r="CE248" s="13">
        <f t="shared" si="216"/>
        <v>13</v>
      </c>
      <c r="CF248" s="13">
        <f t="shared" si="217"/>
        <v>3.2757850085642346</v>
      </c>
      <c r="CG248" s="13">
        <f t="shared" si="218"/>
        <v>3</v>
      </c>
      <c r="CH248" s="28">
        <f t="shared" si="219"/>
        <v>39</v>
      </c>
      <c r="CI248" s="62">
        <f t="shared" si="220"/>
        <v>2.564102564102564E-2</v>
      </c>
      <c r="CJ248" s="59">
        <f t="shared" si="221"/>
        <v>2.5000000000000001E-2</v>
      </c>
      <c r="CL248" s="63">
        <v>6000</v>
      </c>
      <c r="CM248" s="63">
        <f t="shared" si="222"/>
        <v>355.21899999999999</v>
      </c>
      <c r="CN248" s="63">
        <f t="shared" si="223"/>
        <v>360.21899999999999</v>
      </c>
      <c r="CO248" s="63">
        <f t="shared" si="224"/>
        <v>16.65653394185204</v>
      </c>
      <c r="CP248" s="13">
        <f t="shared" si="225"/>
        <v>16</v>
      </c>
      <c r="CQ248" s="70">
        <f t="shared" si="226"/>
        <v>6.25E-2</v>
      </c>
      <c r="CR248" s="69">
        <f t="shared" si="194"/>
        <v>6.25E-2</v>
      </c>
    </row>
    <row r="249" spans="1:96" hidden="1" x14ac:dyDescent="0.25">
      <c r="A249" s="17">
        <v>5</v>
      </c>
      <c r="B249" s="6" t="s">
        <v>762</v>
      </c>
      <c r="C249" s="17" t="s">
        <v>765</v>
      </c>
      <c r="D249" s="17" t="s">
        <v>767</v>
      </c>
      <c r="E249" s="17" t="s">
        <v>52</v>
      </c>
      <c r="F249" s="7">
        <f t="shared" si="195"/>
        <v>2</v>
      </c>
      <c r="G249" s="17">
        <v>2</v>
      </c>
      <c r="H249" s="17">
        <f>G249*$H$247</f>
        <v>2</v>
      </c>
      <c r="I249" s="17">
        <v>2</v>
      </c>
      <c r="J249" s="6" t="s">
        <v>766</v>
      </c>
      <c r="K249" s="6" t="s">
        <v>34</v>
      </c>
      <c r="L249" s="17">
        <v>0</v>
      </c>
      <c r="M249" s="6" t="s">
        <v>35</v>
      </c>
      <c r="N249" s="17" t="s">
        <v>767</v>
      </c>
      <c r="O249" s="28" t="s">
        <v>41</v>
      </c>
      <c r="P249" s="28" t="s">
        <v>41</v>
      </c>
      <c r="Q249" s="28" t="s">
        <v>767</v>
      </c>
      <c r="R249" s="30"/>
      <c r="S249" s="30"/>
      <c r="T249" s="30"/>
      <c r="U249" s="30"/>
      <c r="V249" s="8">
        <f t="shared" si="196"/>
        <v>0</v>
      </c>
      <c r="W249" s="8">
        <f t="shared" si="197"/>
        <v>0</v>
      </c>
      <c r="X249" s="8">
        <f t="shared" si="198"/>
        <v>0</v>
      </c>
      <c r="Y249" s="33">
        <f t="shared" si="199"/>
        <v>0</v>
      </c>
      <c r="Z249" s="28"/>
      <c r="AA249" s="28"/>
      <c r="AB249" s="61" t="s">
        <v>767</v>
      </c>
      <c r="AC249" s="31" t="s">
        <v>768</v>
      </c>
      <c r="AD249" s="50">
        <f t="shared" si="200"/>
        <v>2</v>
      </c>
      <c r="AE249" s="31"/>
      <c r="AF249" s="51">
        <v>14</v>
      </c>
      <c r="AG249" s="51">
        <f t="shared" si="228"/>
        <v>8.4</v>
      </c>
      <c r="AH249" s="51">
        <f t="shared" si="193"/>
        <v>42</v>
      </c>
      <c r="AI249" s="52" t="s">
        <v>2497</v>
      </c>
      <c r="AJ249" s="52" t="s">
        <v>2498</v>
      </c>
      <c r="AK249" s="53">
        <f t="shared" si="229"/>
        <v>0</v>
      </c>
      <c r="AL249" s="54">
        <f t="shared" si="230"/>
        <v>0.11904761904761904</v>
      </c>
      <c r="AM249" s="54">
        <f t="shared" si="231"/>
        <v>2.3809523809523808E-2</v>
      </c>
      <c r="AN249" s="55">
        <f t="shared" si="232"/>
        <v>0</v>
      </c>
      <c r="AO249" s="55">
        <f t="shared" si="233"/>
        <v>0</v>
      </c>
      <c r="AP249" s="53">
        <v>7.1</v>
      </c>
      <c r="AQ249" s="53">
        <f t="shared" si="201"/>
        <v>4.26</v>
      </c>
      <c r="AR249" s="53">
        <f t="shared" si="202"/>
        <v>21.299999999999997</v>
      </c>
      <c r="AS249" s="56">
        <f t="shared" si="203"/>
        <v>4.6948356807511742E-2</v>
      </c>
      <c r="AT249" s="56">
        <f t="shared" si="234"/>
        <v>0.23474178403755869</v>
      </c>
      <c r="AU249" s="56">
        <f t="shared" si="204"/>
        <v>0.176056338028169</v>
      </c>
      <c r="AV249" s="56">
        <f t="shared" si="235"/>
        <v>5.8685446009389672E-2</v>
      </c>
      <c r="AW249" s="57" t="s">
        <v>2511</v>
      </c>
      <c r="AX249" s="57" t="s">
        <v>2512</v>
      </c>
      <c r="AY249" s="57" t="s">
        <v>2513</v>
      </c>
      <c r="AZ249" s="58">
        <f t="shared" si="236"/>
        <v>0</v>
      </c>
      <c r="BA249" s="59">
        <f t="shared" si="240"/>
        <v>0</v>
      </c>
      <c r="BB249" s="59">
        <f t="shared" si="241"/>
        <v>0</v>
      </c>
      <c r="BC249" s="59">
        <f t="shared" si="242"/>
        <v>0</v>
      </c>
      <c r="BD249" s="60">
        <f t="shared" si="237"/>
        <v>7.1095438516664771E-6</v>
      </c>
      <c r="BE249" s="59">
        <f t="shared" si="238"/>
        <v>1.4219087703332954E-5</v>
      </c>
      <c r="BQ249" s="61">
        <v>3000</v>
      </c>
      <c r="BR249" s="61">
        <v>1200</v>
      </c>
      <c r="BS249" s="28">
        <f t="shared" si="205"/>
        <v>2980</v>
      </c>
      <c r="BT249" s="28">
        <f t="shared" si="206"/>
        <v>1180</v>
      </c>
      <c r="BU249" s="28" t="s">
        <v>2541</v>
      </c>
      <c r="BV249" s="28">
        <f t="shared" si="207"/>
        <v>5</v>
      </c>
      <c r="BW249" s="28">
        <f t="shared" si="208"/>
        <v>5</v>
      </c>
      <c r="BX249" s="13">
        <f t="shared" si="209"/>
        <v>596</v>
      </c>
      <c r="BY249" s="13">
        <f t="shared" si="210"/>
        <v>596</v>
      </c>
      <c r="BZ249" s="13">
        <f t="shared" si="211"/>
        <v>236</v>
      </c>
      <c r="CA249" s="13">
        <f t="shared" si="212"/>
        <v>236</v>
      </c>
      <c r="CB249" s="13">
        <f t="shared" si="213"/>
        <v>140656</v>
      </c>
      <c r="CC249" s="62">
        <f t="shared" si="214"/>
        <v>7.1095438516664771E-6</v>
      </c>
      <c r="CD249" s="13">
        <f t="shared" si="215"/>
        <v>596</v>
      </c>
      <c r="CE249" s="13">
        <f t="shared" si="216"/>
        <v>596</v>
      </c>
      <c r="CF249" s="13">
        <f t="shared" si="217"/>
        <v>236</v>
      </c>
      <c r="CG249" s="13">
        <f t="shared" si="218"/>
        <v>236</v>
      </c>
      <c r="CH249" s="28">
        <f t="shared" si="219"/>
        <v>140656</v>
      </c>
      <c r="CI249" s="62">
        <f t="shared" si="220"/>
        <v>7.1095438516664771E-6</v>
      </c>
      <c r="CJ249" s="59">
        <f t="shared" si="221"/>
        <v>7.1095438516664771E-6</v>
      </c>
      <c r="CL249" s="63">
        <v>6000</v>
      </c>
      <c r="CM249" s="63">
        <f t="shared" si="222"/>
        <v>0</v>
      </c>
      <c r="CN249" s="63">
        <f t="shared" si="223"/>
        <v>5</v>
      </c>
      <c r="CO249" s="63">
        <f t="shared" si="224"/>
        <v>1200</v>
      </c>
      <c r="CP249" s="13">
        <f t="shared" si="225"/>
        <v>1200</v>
      </c>
      <c r="CQ249" s="70">
        <f t="shared" si="226"/>
        <v>8.3333333333333339E-4</v>
      </c>
      <c r="CR249" s="69">
        <f t="shared" si="194"/>
        <v>1.6666666666666668E-3</v>
      </c>
    </row>
    <row r="250" spans="1:96" hidden="1" x14ac:dyDescent="0.25">
      <c r="A250" s="13">
        <v>4</v>
      </c>
      <c r="B250" s="14" t="s">
        <v>755</v>
      </c>
      <c r="C250" s="13" t="s">
        <v>530</v>
      </c>
      <c r="D250" s="13" t="s">
        <v>532</v>
      </c>
      <c r="E250" s="13" t="s">
        <v>32</v>
      </c>
      <c r="F250" s="15">
        <f t="shared" si="195"/>
        <v>21</v>
      </c>
      <c r="G250" s="13">
        <v>1</v>
      </c>
      <c r="H250" s="13">
        <f>G250*$H$245</f>
        <v>1</v>
      </c>
      <c r="I250" s="13">
        <v>3</v>
      </c>
      <c r="J250" s="14" t="s">
        <v>531</v>
      </c>
      <c r="K250" s="14" t="s">
        <v>34</v>
      </c>
      <c r="L250" s="13" t="s">
        <v>110</v>
      </c>
      <c r="M250" s="14" t="s">
        <v>35</v>
      </c>
      <c r="N250" s="13" t="s">
        <v>532</v>
      </c>
      <c r="O250" s="28" t="s">
        <v>41</v>
      </c>
      <c r="P250" s="28" t="s">
        <v>41</v>
      </c>
      <c r="Q250" s="28"/>
      <c r="R250" s="30"/>
      <c r="S250" s="30"/>
      <c r="T250" s="30"/>
      <c r="U250" s="30"/>
      <c r="V250" s="8">
        <f t="shared" si="196"/>
        <v>0</v>
      </c>
      <c r="W250" s="8">
        <f t="shared" si="197"/>
        <v>0</v>
      </c>
      <c r="X250" s="8">
        <f t="shared" si="198"/>
        <v>0</v>
      </c>
      <c r="Y250" s="33">
        <f t="shared" si="199"/>
        <v>0</v>
      </c>
      <c r="Z250" s="28"/>
      <c r="AA250" s="28"/>
      <c r="AB250" s="28">
        <v>0</v>
      </c>
      <c r="AC250" s="31" t="s">
        <v>2477</v>
      </c>
      <c r="AD250" s="50">
        <f t="shared" si="200"/>
        <v>1</v>
      </c>
      <c r="AE250" s="31"/>
      <c r="AF250" s="51">
        <v>14</v>
      </c>
      <c r="AG250" s="51">
        <f t="shared" si="228"/>
        <v>8.4</v>
      </c>
      <c r="AH250" s="51">
        <f t="shared" si="193"/>
        <v>42</v>
      </c>
      <c r="AI250" s="52" t="s">
        <v>2497</v>
      </c>
      <c r="AJ250" s="52" t="s">
        <v>2498</v>
      </c>
      <c r="AK250" s="53">
        <f t="shared" si="229"/>
        <v>0</v>
      </c>
      <c r="AL250" s="54">
        <f t="shared" si="230"/>
        <v>0.11904761904761904</v>
      </c>
      <c r="AM250" s="54">
        <f t="shared" si="231"/>
        <v>2.3809523809523808E-2</v>
      </c>
      <c r="AN250" s="55">
        <f t="shared" si="232"/>
        <v>0</v>
      </c>
      <c r="AO250" s="55">
        <f t="shared" si="233"/>
        <v>0</v>
      </c>
      <c r="AP250" s="53">
        <v>7.1</v>
      </c>
      <c r="AQ250" s="53">
        <f t="shared" si="201"/>
        <v>4.26</v>
      </c>
      <c r="AR250" s="53">
        <f t="shared" si="202"/>
        <v>21.299999999999997</v>
      </c>
      <c r="AS250" s="56">
        <f t="shared" si="203"/>
        <v>4.6948356807511742E-2</v>
      </c>
      <c r="AT250" s="56">
        <f t="shared" si="234"/>
        <v>0.23474178403755869</v>
      </c>
      <c r="AU250" s="56">
        <f t="shared" si="204"/>
        <v>0.176056338028169</v>
      </c>
      <c r="AV250" s="56">
        <f t="shared" si="235"/>
        <v>5.8685446009389672E-2</v>
      </c>
      <c r="AW250" s="57" t="s">
        <v>2511</v>
      </c>
      <c r="AX250" s="57" t="s">
        <v>2512</v>
      </c>
      <c r="AY250" s="57" t="s">
        <v>2513</v>
      </c>
      <c r="AZ250" s="58">
        <f t="shared" si="236"/>
        <v>0</v>
      </c>
      <c r="BA250" s="59">
        <f t="shared" si="240"/>
        <v>0</v>
      </c>
      <c r="BB250" s="59">
        <f t="shared" si="241"/>
        <v>0</v>
      </c>
      <c r="BC250" s="59">
        <f t="shared" si="242"/>
        <v>0</v>
      </c>
      <c r="BD250" s="60">
        <f t="shared" si="237"/>
        <v>0</v>
      </c>
      <c r="BE250" s="59">
        <f t="shared" si="238"/>
        <v>0</v>
      </c>
      <c r="BQ250" s="61">
        <v>3000</v>
      </c>
      <c r="BR250" s="61">
        <v>1200</v>
      </c>
      <c r="BS250" s="28">
        <f t="shared" si="205"/>
        <v>2980</v>
      </c>
      <c r="BT250" s="28">
        <f t="shared" si="206"/>
        <v>1180</v>
      </c>
      <c r="BU250" s="28" t="s">
        <v>2541</v>
      </c>
      <c r="BV250" s="28">
        <f t="shared" si="207"/>
        <v>5</v>
      </c>
      <c r="BW250" s="28">
        <f t="shared" si="208"/>
        <v>5</v>
      </c>
      <c r="BX250" s="13">
        <f t="shared" si="209"/>
        <v>596</v>
      </c>
      <c r="BY250" s="13">
        <f t="shared" si="210"/>
        <v>596</v>
      </c>
      <c r="BZ250" s="13">
        <f t="shared" si="211"/>
        <v>236</v>
      </c>
      <c r="CA250" s="13">
        <f t="shared" si="212"/>
        <v>236</v>
      </c>
      <c r="CB250" s="13">
        <f t="shared" si="213"/>
        <v>140656</v>
      </c>
      <c r="CC250" s="62" t="str">
        <f t="shared" si="214"/>
        <v/>
      </c>
      <c r="CD250" s="13">
        <f t="shared" si="215"/>
        <v>596</v>
      </c>
      <c r="CE250" s="13">
        <f t="shared" si="216"/>
        <v>596</v>
      </c>
      <c r="CF250" s="13">
        <f t="shared" si="217"/>
        <v>236</v>
      </c>
      <c r="CG250" s="13">
        <f t="shared" si="218"/>
        <v>236</v>
      </c>
      <c r="CH250" s="28">
        <f t="shared" si="219"/>
        <v>140656</v>
      </c>
      <c r="CI250" s="62" t="str">
        <f t="shared" si="220"/>
        <v/>
      </c>
      <c r="CJ250" s="59">
        <f t="shared" si="221"/>
        <v>0</v>
      </c>
      <c r="CL250" s="63">
        <v>6000</v>
      </c>
      <c r="CM250" s="63">
        <f t="shared" si="222"/>
        <v>0</v>
      </c>
      <c r="CN250" s="63">
        <f t="shared" si="223"/>
        <v>5</v>
      </c>
      <c r="CO250" s="63">
        <f t="shared" si="224"/>
        <v>1200</v>
      </c>
      <c r="CP250" s="13">
        <f t="shared" si="225"/>
        <v>1200</v>
      </c>
      <c r="CQ250" s="70">
        <f t="shared" si="226"/>
        <v>8.3333333333333339E-4</v>
      </c>
      <c r="CR250" s="69">
        <f t="shared" si="194"/>
        <v>8.3333333333333339E-4</v>
      </c>
    </row>
    <row r="251" spans="1:96" hidden="1" x14ac:dyDescent="0.25">
      <c r="A251" s="17">
        <v>5</v>
      </c>
      <c r="B251" s="6" t="s">
        <v>769</v>
      </c>
      <c r="C251" s="17" t="s">
        <v>534</v>
      </c>
      <c r="D251" s="17" t="s">
        <v>2270</v>
      </c>
      <c r="E251" s="17" t="s">
        <v>52</v>
      </c>
      <c r="F251" s="7">
        <f t="shared" si="195"/>
        <v>21</v>
      </c>
      <c r="G251" s="17">
        <v>1</v>
      </c>
      <c r="H251" s="17">
        <f>G251*$H$250</f>
        <v>1</v>
      </c>
      <c r="I251" s="17">
        <v>1</v>
      </c>
      <c r="J251" s="6" t="s">
        <v>101</v>
      </c>
      <c r="K251" s="6" t="s">
        <v>34</v>
      </c>
      <c r="L251" s="17" t="s">
        <v>110</v>
      </c>
      <c r="M251" s="6" t="s">
        <v>35</v>
      </c>
      <c r="N251" s="17" t="s">
        <v>535</v>
      </c>
      <c r="O251" s="28" t="s">
        <v>41</v>
      </c>
      <c r="P251" s="28" t="s">
        <v>41</v>
      </c>
      <c r="Q251" s="28" t="s">
        <v>535</v>
      </c>
      <c r="R251" s="30">
        <v>0.98</v>
      </c>
      <c r="S251" s="30">
        <v>0.98</v>
      </c>
      <c r="T251" s="30"/>
      <c r="U251" s="30">
        <v>0.11811023622047245</v>
      </c>
      <c r="V251" s="8">
        <f t="shared" si="196"/>
        <v>24.891999999999999</v>
      </c>
      <c r="W251" s="8">
        <f t="shared" si="197"/>
        <v>24.891999999999999</v>
      </c>
      <c r="X251" s="8">
        <f t="shared" si="198"/>
        <v>0</v>
      </c>
      <c r="Y251" s="33">
        <f t="shared" si="199"/>
        <v>3</v>
      </c>
      <c r="Z251" s="28" t="s">
        <v>536</v>
      </c>
      <c r="AA251" s="28" t="s">
        <v>537</v>
      </c>
      <c r="AB251" s="61" t="s">
        <v>535</v>
      </c>
      <c r="AC251" s="31" t="s">
        <v>538</v>
      </c>
      <c r="AD251" s="50">
        <f t="shared" si="200"/>
        <v>1</v>
      </c>
      <c r="AE251" s="31"/>
      <c r="AF251" s="51">
        <v>14</v>
      </c>
      <c r="AG251" s="51">
        <f t="shared" si="228"/>
        <v>8.4</v>
      </c>
      <c r="AH251" s="51">
        <f t="shared" si="193"/>
        <v>42</v>
      </c>
      <c r="AI251" s="52" t="s">
        <v>2497</v>
      </c>
      <c r="AJ251" s="52" t="s">
        <v>2498</v>
      </c>
      <c r="AK251" s="53">
        <f t="shared" si="229"/>
        <v>1.239223328E-3</v>
      </c>
      <c r="AL251" s="54">
        <f t="shared" si="230"/>
        <v>0.11904761904761904</v>
      </c>
      <c r="AM251" s="54">
        <f t="shared" si="231"/>
        <v>2.3809523809523808E-2</v>
      </c>
      <c r="AN251" s="55">
        <f t="shared" si="232"/>
        <v>1.4752658666666667E-4</v>
      </c>
      <c r="AO251" s="55">
        <f t="shared" si="233"/>
        <v>2.9505317333333333E-5</v>
      </c>
      <c r="AP251" s="53">
        <v>7.1</v>
      </c>
      <c r="AQ251" s="53">
        <f t="shared" si="201"/>
        <v>4.26</v>
      </c>
      <c r="AR251" s="53">
        <f t="shared" si="202"/>
        <v>21.299999999999997</v>
      </c>
      <c r="AS251" s="56">
        <f t="shared" si="203"/>
        <v>4.6948356807511742E-2</v>
      </c>
      <c r="AT251" s="56">
        <f t="shared" si="234"/>
        <v>0.23474178403755869</v>
      </c>
      <c r="AU251" s="56">
        <f t="shared" si="204"/>
        <v>0.176056338028169</v>
      </c>
      <c r="AV251" s="56">
        <f t="shared" si="235"/>
        <v>5.8685446009389672E-2</v>
      </c>
      <c r="AW251" s="57" t="s">
        <v>2511</v>
      </c>
      <c r="AX251" s="57" t="s">
        <v>2512</v>
      </c>
      <c r="AY251" s="57" t="s">
        <v>2513</v>
      </c>
      <c r="AZ251" s="58">
        <f t="shared" si="236"/>
        <v>1.239223328E-3</v>
      </c>
      <c r="BA251" s="59">
        <f t="shared" si="240"/>
        <v>3.6362186854460095E-5</v>
      </c>
      <c r="BB251" s="59">
        <f t="shared" si="241"/>
        <v>1.0908656056338028E-4</v>
      </c>
      <c r="BC251" s="59">
        <f t="shared" si="242"/>
        <v>2.9089749483568078E-5</v>
      </c>
      <c r="BD251" s="60">
        <f t="shared" si="237"/>
        <v>2.5900025900025902E-4</v>
      </c>
      <c r="BE251" s="59">
        <f t="shared" si="238"/>
        <v>2.5900025900025902E-4</v>
      </c>
      <c r="BQ251" s="61">
        <v>3000</v>
      </c>
      <c r="BR251" s="61">
        <v>1200</v>
      </c>
      <c r="BS251" s="28">
        <f t="shared" si="205"/>
        <v>2980</v>
      </c>
      <c r="BT251" s="28">
        <f t="shared" si="206"/>
        <v>1180</v>
      </c>
      <c r="BU251" s="28" t="s">
        <v>2541</v>
      </c>
      <c r="BV251" s="28">
        <f t="shared" si="207"/>
        <v>29.891999999999999</v>
      </c>
      <c r="BW251" s="28">
        <f t="shared" si="208"/>
        <v>29.891999999999999</v>
      </c>
      <c r="BX251" s="13">
        <f t="shared" si="209"/>
        <v>99.692225344573799</v>
      </c>
      <c r="BY251" s="13">
        <f t="shared" si="210"/>
        <v>99</v>
      </c>
      <c r="BZ251" s="13">
        <f t="shared" si="211"/>
        <v>39.475444935099695</v>
      </c>
      <c r="CA251" s="13">
        <f t="shared" si="212"/>
        <v>39</v>
      </c>
      <c r="CB251" s="13">
        <f t="shared" si="213"/>
        <v>3861</v>
      </c>
      <c r="CC251" s="62">
        <f t="shared" si="214"/>
        <v>2.5900025900025902E-4</v>
      </c>
      <c r="CD251" s="13">
        <f t="shared" si="215"/>
        <v>99.692225344573799</v>
      </c>
      <c r="CE251" s="13">
        <f t="shared" si="216"/>
        <v>99</v>
      </c>
      <c r="CF251" s="13">
        <f t="shared" si="217"/>
        <v>39.475444935099695</v>
      </c>
      <c r="CG251" s="13">
        <f t="shared" si="218"/>
        <v>39</v>
      </c>
      <c r="CH251" s="28">
        <f t="shared" si="219"/>
        <v>3861</v>
      </c>
      <c r="CI251" s="62">
        <f t="shared" si="220"/>
        <v>2.5900025900025902E-4</v>
      </c>
      <c r="CJ251" s="59">
        <f t="shared" si="221"/>
        <v>2.5900025900025902E-4</v>
      </c>
      <c r="CL251" s="63">
        <v>6000</v>
      </c>
      <c r="CM251" s="63">
        <f t="shared" si="222"/>
        <v>24.891999999999999</v>
      </c>
      <c r="CN251" s="63">
        <f t="shared" si="223"/>
        <v>29.891999999999999</v>
      </c>
      <c r="CO251" s="63">
        <f t="shared" si="224"/>
        <v>200.72260136491369</v>
      </c>
      <c r="CP251" s="13">
        <f t="shared" si="225"/>
        <v>200</v>
      </c>
      <c r="CQ251" s="70">
        <f t="shared" si="226"/>
        <v>5.0000000000000001E-3</v>
      </c>
      <c r="CR251" s="69">
        <f t="shared" si="194"/>
        <v>5.0000000000000001E-3</v>
      </c>
    </row>
    <row r="252" spans="1:96" hidden="1" x14ac:dyDescent="0.25">
      <c r="A252" s="17">
        <v>5</v>
      </c>
      <c r="B252" s="6" t="s">
        <v>769</v>
      </c>
      <c r="C252" s="17" t="s">
        <v>539</v>
      </c>
      <c r="D252" s="17" t="s">
        <v>2270</v>
      </c>
      <c r="E252" s="17" t="s">
        <v>52</v>
      </c>
      <c r="F252" s="7">
        <f t="shared" si="195"/>
        <v>21</v>
      </c>
      <c r="G252" s="17">
        <v>1</v>
      </c>
      <c r="H252" s="17">
        <f>G252*$H$250</f>
        <v>1</v>
      </c>
      <c r="I252" s="17">
        <v>2</v>
      </c>
      <c r="J252" s="6" t="s">
        <v>101</v>
      </c>
      <c r="K252" s="6" t="s">
        <v>34</v>
      </c>
      <c r="L252" s="17" t="s">
        <v>110</v>
      </c>
      <c r="M252" s="6" t="s">
        <v>35</v>
      </c>
      <c r="N252" s="17" t="s">
        <v>540</v>
      </c>
      <c r="O252" s="28" t="s">
        <v>41</v>
      </c>
      <c r="P252" s="28" t="s">
        <v>41</v>
      </c>
      <c r="Q252" s="28" t="s">
        <v>540</v>
      </c>
      <c r="R252" s="30">
        <v>0.98</v>
      </c>
      <c r="S252" s="30">
        <v>0.98</v>
      </c>
      <c r="T252" s="30"/>
      <c r="U252" s="30">
        <v>0.47244094488188981</v>
      </c>
      <c r="V252" s="8">
        <f t="shared" si="196"/>
        <v>24.891999999999999</v>
      </c>
      <c r="W252" s="8">
        <f t="shared" si="197"/>
        <v>24.891999999999999</v>
      </c>
      <c r="X252" s="8">
        <f t="shared" si="198"/>
        <v>0</v>
      </c>
      <c r="Y252" s="33">
        <f t="shared" si="199"/>
        <v>12</v>
      </c>
      <c r="Z252" s="28" t="s">
        <v>2477</v>
      </c>
      <c r="AA252" s="28" t="s">
        <v>2477</v>
      </c>
      <c r="AB252" s="61" t="s">
        <v>540</v>
      </c>
      <c r="AC252" s="31" t="s">
        <v>541</v>
      </c>
      <c r="AD252" s="50">
        <f t="shared" si="200"/>
        <v>1</v>
      </c>
      <c r="AE252" s="31"/>
      <c r="AF252" s="51">
        <v>14</v>
      </c>
      <c r="AG252" s="51">
        <f t="shared" si="228"/>
        <v>8.4</v>
      </c>
      <c r="AH252" s="51">
        <f t="shared" si="193"/>
        <v>42</v>
      </c>
      <c r="AI252" s="52" t="s">
        <v>2497</v>
      </c>
      <c r="AJ252" s="52" t="s">
        <v>2498</v>
      </c>
      <c r="AK252" s="53">
        <f t="shared" si="229"/>
        <v>1.239223328E-3</v>
      </c>
      <c r="AL252" s="54">
        <f t="shared" si="230"/>
        <v>0.11904761904761904</v>
      </c>
      <c r="AM252" s="54">
        <f t="shared" si="231"/>
        <v>2.3809523809523808E-2</v>
      </c>
      <c r="AN252" s="55">
        <f t="shared" si="232"/>
        <v>1.4752658666666667E-4</v>
      </c>
      <c r="AO252" s="55">
        <f t="shared" si="233"/>
        <v>2.9505317333333333E-5</v>
      </c>
      <c r="AP252" s="53">
        <v>7.1</v>
      </c>
      <c r="AQ252" s="53">
        <f t="shared" si="201"/>
        <v>4.26</v>
      </c>
      <c r="AR252" s="53">
        <f t="shared" si="202"/>
        <v>21.299999999999997</v>
      </c>
      <c r="AS252" s="56">
        <f t="shared" si="203"/>
        <v>4.6948356807511742E-2</v>
      </c>
      <c r="AT252" s="56">
        <f t="shared" si="234"/>
        <v>0.23474178403755869</v>
      </c>
      <c r="AU252" s="56">
        <f t="shared" si="204"/>
        <v>0.176056338028169</v>
      </c>
      <c r="AV252" s="56">
        <f t="shared" si="235"/>
        <v>5.8685446009389672E-2</v>
      </c>
      <c r="AW252" s="57" t="s">
        <v>2511</v>
      </c>
      <c r="AX252" s="57" t="s">
        <v>2512</v>
      </c>
      <c r="AY252" s="57" t="s">
        <v>2513</v>
      </c>
      <c r="AZ252" s="58">
        <f t="shared" si="236"/>
        <v>1.239223328E-3</v>
      </c>
      <c r="BA252" s="59">
        <f t="shared" si="240"/>
        <v>3.6362186854460095E-5</v>
      </c>
      <c r="BB252" s="59">
        <f t="shared" si="241"/>
        <v>1.0908656056338028E-4</v>
      </c>
      <c r="BC252" s="59">
        <f t="shared" si="242"/>
        <v>2.9089749483568078E-5</v>
      </c>
      <c r="BD252" s="60">
        <f t="shared" si="237"/>
        <v>2.5900025900025902E-4</v>
      </c>
      <c r="BE252" s="59">
        <f t="shared" si="238"/>
        <v>2.5900025900025902E-4</v>
      </c>
      <c r="BQ252" s="61">
        <v>3000</v>
      </c>
      <c r="BR252" s="61">
        <v>1200</v>
      </c>
      <c r="BS252" s="28">
        <f t="shared" si="205"/>
        <v>2980</v>
      </c>
      <c r="BT252" s="28">
        <f t="shared" si="206"/>
        <v>1180</v>
      </c>
      <c r="BU252" s="28" t="s">
        <v>2541</v>
      </c>
      <c r="BV252" s="28">
        <f t="shared" si="207"/>
        <v>29.891999999999999</v>
      </c>
      <c r="BW252" s="28">
        <f t="shared" si="208"/>
        <v>29.891999999999999</v>
      </c>
      <c r="BX252" s="13">
        <f t="shared" si="209"/>
        <v>99.692225344573799</v>
      </c>
      <c r="BY252" s="13">
        <f t="shared" si="210"/>
        <v>99</v>
      </c>
      <c r="BZ252" s="13">
        <f t="shared" si="211"/>
        <v>39.475444935099695</v>
      </c>
      <c r="CA252" s="13">
        <f t="shared" si="212"/>
        <v>39</v>
      </c>
      <c r="CB252" s="13">
        <f t="shared" si="213"/>
        <v>3861</v>
      </c>
      <c r="CC252" s="62">
        <f t="shared" si="214"/>
        <v>2.5900025900025902E-4</v>
      </c>
      <c r="CD252" s="13">
        <f t="shared" si="215"/>
        <v>99.692225344573799</v>
      </c>
      <c r="CE252" s="13">
        <f t="shared" si="216"/>
        <v>99</v>
      </c>
      <c r="CF252" s="13">
        <f t="shared" si="217"/>
        <v>39.475444935099695</v>
      </c>
      <c r="CG252" s="13">
        <f t="shared" si="218"/>
        <v>39</v>
      </c>
      <c r="CH252" s="28">
        <f t="shared" si="219"/>
        <v>3861</v>
      </c>
      <c r="CI252" s="62">
        <f t="shared" si="220"/>
        <v>2.5900025900025902E-4</v>
      </c>
      <c r="CJ252" s="59">
        <f t="shared" si="221"/>
        <v>2.5900025900025902E-4</v>
      </c>
      <c r="CL252" s="63">
        <v>6000</v>
      </c>
      <c r="CM252" s="63">
        <f t="shared" si="222"/>
        <v>24.891999999999999</v>
      </c>
      <c r="CN252" s="63">
        <f t="shared" si="223"/>
        <v>29.891999999999999</v>
      </c>
      <c r="CO252" s="63">
        <f t="shared" si="224"/>
        <v>200.72260136491369</v>
      </c>
      <c r="CP252" s="13">
        <f t="shared" si="225"/>
        <v>200</v>
      </c>
      <c r="CQ252" s="70">
        <f t="shared" si="226"/>
        <v>5.0000000000000001E-3</v>
      </c>
      <c r="CR252" s="69">
        <f t="shared" si="194"/>
        <v>5.0000000000000001E-3</v>
      </c>
    </row>
    <row r="253" spans="1:96" hidden="1" x14ac:dyDescent="0.25">
      <c r="A253" s="13">
        <v>4</v>
      </c>
      <c r="B253" s="14" t="s">
        <v>755</v>
      </c>
      <c r="C253" s="13" t="s">
        <v>87</v>
      </c>
      <c r="D253" s="13" t="s">
        <v>90</v>
      </c>
      <c r="E253" s="13" t="s">
        <v>52</v>
      </c>
      <c r="F253" s="15">
        <f t="shared" si="195"/>
        <v>7</v>
      </c>
      <c r="G253" s="13">
        <v>2</v>
      </c>
      <c r="H253" s="13">
        <f t="shared" ref="H253:H263" si="247">G253*$H$245</f>
        <v>2</v>
      </c>
      <c r="I253" s="13">
        <v>4</v>
      </c>
      <c r="J253" s="14" t="s">
        <v>88</v>
      </c>
      <c r="K253" s="14" t="s">
        <v>34</v>
      </c>
      <c r="L253" s="13" t="s">
        <v>89</v>
      </c>
      <c r="M253" s="14" t="s">
        <v>35</v>
      </c>
      <c r="N253" s="13" t="s">
        <v>90</v>
      </c>
      <c r="O253" s="28" t="s">
        <v>41</v>
      </c>
      <c r="P253" s="28" t="s">
        <v>41</v>
      </c>
      <c r="Q253" s="28" t="s">
        <v>79</v>
      </c>
      <c r="R253" s="30">
        <v>14.05511811023622</v>
      </c>
      <c r="S253" s="30">
        <v>0.3125</v>
      </c>
      <c r="T253" s="30"/>
      <c r="U253" s="30">
        <v>0.3125</v>
      </c>
      <c r="V253" s="8">
        <f t="shared" si="196"/>
        <v>357</v>
      </c>
      <c r="W253" s="8">
        <f t="shared" si="197"/>
        <v>7.9375</v>
      </c>
      <c r="X253" s="8">
        <f t="shared" si="198"/>
        <v>0</v>
      </c>
      <c r="Y253" s="33">
        <f t="shared" si="199"/>
        <v>7.9375</v>
      </c>
      <c r="Z253" s="28" t="s">
        <v>80</v>
      </c>
      <c r="AA253" s="28" t="s">
        <v>81</v>
      </c>
      <c r="AB253" s="61" t="s">
        <v>79</v>
      </c>
      <c r="AC253" s="31" t="s">
        <v>82</v>
      </c>
      <c r="AD253" s="50">
        <f t="shared" si="200"/>
        <v>2</v>
      </c>
      <c r="AE253" s="31"/>
      <c r="AF253" s="51">
        <v>14</v>
      </c>
      <c r="AG253" s="51">
        <f t="shared" si="228"/>
        <v>8.4</v>
      </c>
      <c r="AH253" s="51">
        <f t="shared" si="193"/>
        <v>42</v>
      </c>
      <c r="AI253" s="52" t="s">
        <v>2497</v>
      </c>
      <c r="AJ253" s="52" t="s">
        <v>2498</v>
      </c>
      <c r="AK253" s="53">
        <f t="shared" si="229"/>
        <v>5.6673749999999997E-3</v>
      </c>
      <c r="AL253" s="54">
        <f t="shared" si="230"/>
        <v>0.11904761904761904</v>
      </c>
      <c r="AM253" s="54">
        <f t="shared" si="231"/>
        <v>2.3809523809523808E-2</v>
      </c>
      <c r="AN253" s="55">
        <f t="shared" si="232"/>
        <v>1.3493749999999999E-3</v>
      </c>
      <c r="AO253" s="55">
        <f t="shared" si="233"/>
        <v>2.6987499999999999E-4</v>
      </c>
      <c r="AP253" s="53">
        <v>7.1</v>
      </c>
      <c r="AQ253" s="53">
        <f t="shared" si="201"/>
        <v>4.26</v>
      </c>
      <c r="AR253" s="53">
        <f t="shared" si="202"/>
        <v>21.299999999999997</v>
      </c>
      <c r="AS253" s="56">
        <f t="shared" si="203"/>
        <v>4.6948356807511742E-2</v>
      </c>
      <c r="AT253" s="56">
        <f t="shared" si="234"/>
        <v>0.23474178403755869</v>
      </c>
      <c r="AU253" s="56">
        <f t="shared" si="204"/>
        <v>0.176056338028169</v>
      </c>
      <c r="AV253" s="56">
        <f t="shared" si="235"/>
        <v>5.8685446009389672E-2</v>
      </c>
      <c r="AW253" s="57" t="s">
        <v>2511</v>
      </c>
      <c r="AX253" s="57" t="s">
        <v>2512</v>
      </c>
      <c r="AY253" s="57" t="s">
        <v>2513</v>
      </c>
      <c r="AZ253" s="58">
        <f t="shared" si="236"/>
        <v>5.6673749999999997E-3</v>
      </c>
      <c r="BA253" s="59">
        <f t="shared" si="240"/>
        <v>3.3259242957746479E-4</v>
      </c>
      <c r="BB253" s="59">
        <f t="shared" si="241"/>
        <v>9.9777728873239415E-4</v>
      </c>
      <c r="BC253" s="59">
        <f t="shared" si="242"/>
        <v>2.6607394366197183E-4</v>
      </c>
      <c r="BD253" s="60">
        <f t="shared" si="237"/>
        <v>1.3736263736263737E-3</v>
      </c>
      <c r="BE253" s="59">
        <f t="shared" si="238"/>
        <v>2.7472527472527475E-3</v>
      </c>
      <c r="BQ253" s="61">
        <v>3000</v>
      </c>
      <c r="BR253" s="61">
        <v>1200</v>
      </c>
      <c r="BS253" s="28">
        <f t="shared" si="205"/>
        <v>2980</v>
      </c>
      <c r="BT253" s="28">
        <f t="shared" si="206"/>
        <v>1180</v>
      </c>
      <c r="BU253" s="28" t="s">
        <v>2541</v>
      </c>
      <c r="BV253" s="28">
        <f t="shared" si="207"/>
        <v>362</v>
      </c>
      <c r="BW253" s="28">
        <f t="shared" si="208"/>
        <v>12.9375</v>
      </c>
      <c r="BX253" s="13">
        <f t="shared" si="209"/>
        <v>8.2320441988950268</v>
      </c>
      <c r="BY253" s="13">
        <f t="shared" si="210"/>
        <v>8</v>
      </c>
      <c r="BZ253" s="13">
        <f t="shared" si="211"/>
        <v>91.207729468599027</v>
      </c>
      <c r="CA253" s="13">
        <f t="shared" si="212"/>
        <v>91</v>
      </c>
      <c r="CB253" s="13">
        <f t="shared" si="213"/>
        <v>728</v>
      </c>
      <c r="CC253" s="62">
        <f t="shared" si="214"/>
        <v>1.3736263736263737E-3</v>
      </c>
      <c r="CD253" s="13">
        <f t="shared" si="215"/>
        <v>230.33816425120773</v>
      </c>
      <c r="CE253" s="13">
        <f t="shared" si="216"/>
        <v>230</v>
      </c>
      <c r="CF253" s="13">
        <f t="shared" si="217"/>
        <v>3.2596685082872927</v>
      </c>
      <c r="CG253" s="13">
        <f t="shared" si="218"/>
        <v>3</v>
      </c>
      <c r="CH253" s="28">
        <f t="shared" si="219"/>
        <v>690</v>
      </c>
      <c r="CI253" s="62">
        <f t="shared" si="220"/>
        <v>1.4492753623188406E-3</v>
      </c>
      <c r="CJ253" s="59">
        <f t="shared" si="221"/>
        <v>1.3736263736263737E-3</v>
      </c>
      <c r="CL253" s="63">
        <v>6000</v>
      </c>
      <c r="CM253" s="63">
        <f t="shared" si="222"/>
        <v>357</v>
      </c>
      <c r="CN253" s="63">
        <f t="shared" si="223"/>
        <v>362</v>
      </c>
      <c r="CO253" s="63">
        <f t="shared" si="224"/>
        <v>16.574585635359117</v>
      </c>
      <c r="CP253" s="13">
        <f t="shared" si="225"/>
        <v>16</v>
      </c>
      <c r="CQ253" s="70">
        <f t="shared" si="226"/>
        <v>6.25E-2</v>
      </c>
      <c r="CR253" s="69">
        <f t="shared" si="194"/>
        <v>0.125</v>
      </c>
    </row>
    <row r="254" spans="1:96" hidden="1" x14ac:dyDescent="0.25">
      <c r="A254" s="13">
        <v>4</v>
      </c>
      <c r="B254" s="14" t="s">
        <v>755</v>
      </c>
      <c r="C254" s="13" t="s">
        <v>229</v>
      </c>
      <c r="D254" s="13" t="s">
        <v>231</v>
      </c>
      <c r="E254" s="13" t="s">
        <v>52</v>
      </c>
      <c r="F254" s="15">
        <f t="shared" si="195"/>
        <v>4</v>
      </c>
      <c r="G254" s="13">
        <v>2</v>
      </c>
      <c r="H254" s="13">
        <f t="shared" si="247"/>
        <v>2</v>
      </c>
      <c r="I254" s="13">
        <v>5</v>
      </c>
      <c r="J254" s="14" t="s">
        <v>230</v>
      </c>
      <c r="K254" s="14" t="s">
        <v>34</v>
      </c>
      <c r="L254" s="13" t="s">
        <v>89</v>
      </c>
      <c r="M254" s="14" t="s">
        <v>35</v>
      </c>
      <c r="N254" s="13" t="s">
        <v>231</v>
      </c>
      <c r="O254" s="28" t="s">
        <v>41</v>
      </c>
      <c r="P254" s="28" t="s">
        <v>41</v>
      </c>
      <c r="Q254" s="28" t="s">
        <v>79</v>
      </c>
      <c r="R254" s="30">
        <v>12.027559055118111</v>
      </c>
      <c r="S254" s="30">
        <v>0.3125</v>
      </c>
      <c r="T254" s="30"/>
      <c r="U254" s="30">
        <v>0.3125</v>
      </c>
      <c r="V254" s="8">
        <f t="shared" si="196"/>
        <v>305.5</v>
      </c>
      <c r="W254" s="8">
        <f t="shared" si="197"/>
        <v>7.9375</v>
      </c>
      <c r="X254" s="8">
        <f t="shared" si="198"/>
        <v>0</v>
      </c>
      <c r="Y254" s="33">
        <f t="shared" si="199"/>
        <v>7.9375</v>
      </c>
      <c r="Z254" s="28" t="s">
        <v>80</v>
      </c>
      <c r="AA254" s="28" t="s">
        <v>81</v>
      </c>
      <c r="AB254" s="61" t="s">
        <v>79</v>
      </c>
      <c r="AC254" s="31" t="s">
        <v>82</v>
      </c>
      <c r="AD254" s="50">
        <f t="shared" si="200"/>
        <v>2</v>
      </c>
      <c r="AE254" s="31"/>
      <c r="AF254" s="51">
        <v>14</v>
      </c>
      <c r="AG254" s="51">
        <f t="shared" si="228"/>
        <v>8.4</v>
      </c>
      <c r="AH254" s="51">
        <f t="shared" si="193"/>
        <v>42</v>
      </c>
      <c r="AI254" s="52" t="s">
        <v>2497</v>
      </c>
      <c r="AJ254" s="52" t="s">
        <v>2498</v>
      </c>
      <c r="AK254" s="53">
        <f t="shared" si="229"/>
        <v>4.8498125E-3</v>
      </c>
      <c r="AL254" s="54">
        <f t="shared" si="230"/>
        <v>0.11904761904761904</v>
      </c>
      <c r="AM254" s="54">
        <f t="shared" si="231"/>
        <v>2.3809523809523808E-2</v>
      </c>
      <c r="AN254" s="55">
        <f t="shared" si="232"/>
        <v>1.1547172619047617E-3</v>
      </c>
      <c r="AO254" s="55">
        <f t="shared" si="233"/>
        <v>2.3094345238095236E-4</v>
      </c>
      <c r="AP254" s="53">
        <v>7.1</v>
      </c>
      <c r="AQ254" s="53">
        <f t="shared" si="201"/>
        <v>4.26</v>
      </c>
      <c r="AR254" s="53">
        <f t="shared" si="202"/>
        <v>21.299999999999997</v>
      </c>
      <c r="AS254" s="56">
        <f t="shared" si="203"/>
        <v>4.6948356807511742E-2</v>
      </c>
      <c r="AT254" s="56">
        <f t="shared" si="234"/>
        <v>0.23474178403755869</v>
      </c>
      <c r="AU254" s="56">
        <f t="shared" si="204"/>
        <v>0.176056338028169</v>
      </c>
      <c r="AV254" s="56">
        <f t="shared" si="235"/>
        <v>5.8685446009389672E-2</v>
      </c>
      <c r="AW254" s="57" t="s">
        <v>2511</v>
      </c>
      <c r="AX254" s="57" t="s">
        <v>2512</v>
      </c>
      <c r="AY254" s="57" t="s">
        <v>2513</v>
      </c>
      <c r="AZ254" s="58">
        <f t="shared" si="236"/>
        <v>4.8498125E-3</v>
      </c>
      <c r="BA254" s="59">
        <f t="shared" si="240"/>
        <v>2.8461340962441313E-4</v>
      </c>
      <c r="BB254" s="59">
        <f t="shared" si="241"/>
        <v>8.538402288732394E-4</v>
      </c>
      <c r="BC254" s="59">
        <f t="shared" si="242"/>
        <v>2.2769072769953053E-4</v>
      </c>
      <c r="BD254" s="60">
        <f t="shared" si="237"/>
        <v>1.221001221001221E-3</v>
      </c>
      <c r="BE254" s="59">
        <f t="shared" si="238"/>
        <v>2.442002442002442E-3</v>
      </c>
      <c r="BQ254" s="61">
        <v>3000</v>
      </c>
      <c r="BR254" s="61">
        <v>1200</v>
      </c>
      <c r="BS254" s="28">
        <f t="shared" si="205"/>
        <v>2980</v>
      </c>
      <c r="BT254" s="28">
        <f t="shared" si="206"/>
        <v>1180</v>
      </c>
      <c r="BU254" s="28" t="s">
        <v>2541</v>
      </c>
      <c r="BV254" s="28">
        <f t="shared" si="207"/>
        <v>310.5</v>
      </c>
      <c r="BW254" s="28">
        <f t="shared" si="208"/>
        <v>12.9375</v>
      </c>
      <c r="BX254" s="13">
        <f t="shared" si="209"/>
        <v>9.5974235104669887</v>
      </c>
      <c r="BY254" s="13">
        <f t="shared" si="210"/>
        <v>9</v>
      </c>
      <c r="BZ254" s="13">
        <f t="shared" si="211"/>
        <v>91.207729468599027</v>
      </c>
      <c r="CA254" s="13">
        <f t="shared" si="212"/>
        <v>91</v>
      </c>
      <c r="CB254" s="13">
        <f t="shared" si="213"/>
        <v>819</v>
      </c>
      <c r="CC254" s="62">
        <f t="shared" si="214"/>
        <v>1.221001221001221E-3</v>
      </c>
      <c r="CD254" s="13">
        <f t="shared" si="215"/>
        <v>230.33816425120773</v>
      </c>
      <c r="CE254" s="13">
        <f t="shared" si="216"/>
        <v>230</v>
      </c>
      <c r="CF254" s="13">
        <f t="shared" si="217"/>
        <v>3.8003220611916264</v>
      </c>
      <c r="CG254" s="13">
        <f t="shared" si="218"/>
        <v>3</v>
      </c>
      <c r="CH254" s="28">
        <f t="shared" si="219"/>
        <v>690</v>
      </c>
      <c r="CI254" s="62">
        <f t="shared" si="220"/>
        <v>1.4492753623188406E-3</v>
      </c>
      <c r="CJ254" s="59">
        <f t="shared" si="221"/>
        <v>1.221001221001221E-3</v>
      </c>
      <c r="CL254" s="63">
        <v>6000</v>
      </c>
      <c r="CM254" s="63">
        <f t="shared" si="222"/>
        <v>305.5</v>
      </c>
      <c r="CN254" s="63">
        <f t="shared" si="223"/>
        <v>310.5</v>
      </c>
      <c r="CO254" s="63">
        <f t="shared" si="224"/>
        <v>19.323671497584542</v>
      </c>
      <c r="CP254" s="13">
        <f t="shared" si="225"/>
        <v>19</v>
      </c>
      <c r="CQ254" s="70">
        <f t="shared" si="226"/>
        <v>5.2631578947368418E-2</v>
      </c>
      <c r="CR254" s="69">
        <f t="shared" si="194"/>
        <v>0.10526315789473684</v>
      </c>
    </row>
    <row r="255" spans="1:96" hidden="1" x14ac:dyDescent="0.25">
      <c r="A255" s="13">
        <v>4</v>
      </c>
      <c r="B255" s="14" t="s">
        <v>755</v>
      </c>
      <c r="C255" s="13" t="s">
        <v>226</v>
      </c>
      <c r="D255" s="13" t="s">
        <v>228</v>
      </c>
      <c r="E255" s="13" t="s">
        <v>52</v>
      </c>
      <c r="F255" s="15">
        <f t="shared" si="195"/>
        <v>5</v>
      </c>
      <c r="G255" s="13">
        <v>1</v>
      </c>
      <c r="H255" s="13">
        <f t="shared" si="247"/>
        <v>1</v>
      </c>
      <c r="I255" s="13">
        <v>6</v>
      </c>
      <c r="J255" s="14" t="s">
        <v>227</v>
      </c>
      <c r="K255" s="14" t="s">
        <v>34</v>
      </c>
      <c r="L255" s="13" t="s">
        <v>89</v>
      </c>
      <c r="M255" s="14" t="s">
        <v>35</v>
      </c>
      <c r="N255" s="13" t="s">
        <v>228</v>
      </c>
      <c r="O255" s="28" t="s">
        <v>41</v>
      </c>
      <c r="P255" s="28" t="s">
        <v>41</v>
      </c>
      <c r="Q255" s="28" t="s">
        <v>79</v>
      </c>
      <c r="R255" s="30">
        <v>10</v>
      </c>
      <c r="S255" s="30">
        <v>0.3125</v>
      </c>
      <c r="T255" s="30"/>
      <c r="U255" s="30">
        <v>0.3125</v>
      </c>
      <c r="V255" s="8">
        <f t="shared" si="196"/>
        <v>254</v>
      </c>
      <c r="W255" s="8">
        <f t="shared" si="197"/>
        <v>7.9375</v>
      </c>
      <c r="X255" s="8">
        <f t="shared" si="198"/>
        <v>0</v>
      </c>
      <c r="Y255" s="33">
        <f t="shared" si="199"/>
        <v>7.9375</v>
      </c>
      <c r="Z255" s="28" t="s">
        <v>80</v>
      </c>
      <c r="AA255" s="28" t="s">
        <v>81</v>
      </c>
      <c r="AB255" s="61" t="s">
        <v>79</v>
      </c>
      <c r="AC255" s="31" t="s">
        <v>82</v>
      </c>
      <c r="AD255" s="50">
        <f t="shared" si="200"/>
        <v>1</v>
      </c>
      <c r="AE255" s="31"/>
      <c r="AF255" s="51">
        <v>14</v>
      </c>
      <c r="AG255" s="51">
        <f t="shared" si="228"/>
        <v>8.4</v>
      </c>
      <c r="AH255" s="51">
        <f t="shared" si="193"/>
        <v>42</v>
      </c>
      <c r="AI255" s="52" t="s">
        <v>2497</v>
      </c>
      <c r="AJ255" s="52" t="s">
        <v>2498</v>
      </c>
      <c r="AK255" s="53">
        <f t="shared" si="229"/>
        <v>4.0322500000000002E-3</v>
      </c>
      <c r="AL255" s="54">
        <f t="shared" si="230"/>
        <v>0.11904761904761904</v>
      </c>
      <c r="AM255" s="54">
        <f t="shared" si="231"/>
        <v>2.3809523809523808E-2</v>
      </c>
      <c r="AN255" s="55">
        <f t="shared" si="232"/>
        <v>4.8002976190476192E-4</v>
      </c>
      <c r="AO255" s="55">
        <f t="shared" si="233"/>
        <v>9.6005952380952381E-5</v>
      </c>
      <c r="AP255" s="53">
        <v>7.1</v>
      </c>
      <c r="AQ255" s="53">
        <f t="shared" si="201"/>
        <v>4.26</v>
      </c>
      <c r="AR255" s="53">
        <f t="shared" si="202"/>
        <v>21.299999999999997</v>
      </c>
      <c r="AS255" s="56">
        <f t="shared" si="203"/>
        <v>4.6948356807511742E-2</v>
      </c>
      <c r="AT255" s="56">
        <f t="shared" si="234"/>
        <v>0.23474178403755869</v>
      </c>
      <c r="AU255" s="56">
        <f t="shared" si="204"/>
        <v>0.176056338028169</v>
      </c>
      <c r="AV255" s="56">
        <f t="shared" si="235"/>
        <v>5.8685446009389672E-2</v>
      </c>
      <c r="AW255" s="57" t="s">
        <v>2511</v>
      </c>
      <c r="AX255" s="57" t="s">
        <v>2512</v>
      </c>
      <c r="AY255" s="57" t="s">
        <v>2513</v>
      </c>
      <c r="AZ255" s="58">
        <f t="shared" si="236"/>
        <v>4.0322500000000002E-3</v>
      </c>
      <c r="BA255" s="59">
        <f t="shared" si="240"/>
        <v>1.1831719483568076E-4</v>
      </c>
      <c r="BB255" s="59">
        <f t="shared" si="241"/>
        <v>3.5495158450704227E-4</v>
      </c>
      <c r="BC255" s="59">
        <f t="shared" si="242"/>
        <v>9.4653755868544611E-5</v>
      </c>
      <c r="BD255" s="60">
        <f t="shared" si="237"/>
        <v>9.99000999000999E-4</v>
      </c>
      <c r="BE255" s="59">
        <f t="shared" si="238"/>
        <v>9.99000999000999E-4</v>
      </c>
      <c r="BQ255" s="61">
        <v>3000</v>
      </c>
      <c r="BR255" s="61">
        <v>1200</v>
      </c>
      <c r="BS255" s="28">
        <f t="shared" si="205"/>
        <v>2980</v>
      </c>
      <c r="BT255" s="28">
        <f t="shared" si="206"/>
        <v>1180</v>
      </c>
      <c r="BU255" s="28" t="s">
        <v>2541</v>
      </c>
      <c r="BV255" s="28">
        <f t="shared" si="207"/>
        <v>259</v>
      </c>
      <c r="BW255" s="28">
        <f t="shared" si="208"/>
        <v>12.9375</v>
      </c>
      <c r="BX255" s="13">
        <f t="shared" si="209"/>
        <v>11.505791505791505</v>
      </c>
      <c r="BY255" s="13">
        <f t="shared" si="210"/>
        <v>11</v>
      </c>
      <c r="BZ255" s="13">
        <f t="shared" si="211"/>
        <v>91.207729468599027</v>
      </c>
      <c r="CA255" s="13">
        <f t="shared" si="212"/>
        <v>91</v>
      </c>
      <c r="CB255" s="13">
        <f t="shared" si="213"/>
        <v>1001</v>
      </c>
      <c r="CC255" s="62">
        <f t="shared" si="214"/>
        <v>9.99000999000999E-4</v>
      </c>
      <c r="CD255" s="13">
        <f t="shared" si="215"/>
        <v>230.33816425120773</v>
      </c>
      <c r="CE255" s="13">
        <f t="shared" si="216"/>
        <v>230</v>
      </c>
      <c r="CF255" s="13">
        <f t="shared" si="217"/>
        <v>4.5559845559845558</v>
      </c>
      <c r="CG255" s="13">
        <f t="shared" si="218"/>
        <v>4</v>
      </c>
      <c r="CH255" s="28">
        <f t="shared" si="219"/>
        <v>920</v>
      </c>
      <c r="CI255" s="62">
        <f t="shared" si="220"/>
        <v>1.0869565217391304E-3</v>
      </c>
      <c r="CJ255" s="59">
        <f t="shared" si="221"/>
        <v>9.99000999000999E-4</v>
      </c>
      <c r="CL255" s="63">
        <v>6000</v>
      </c>
      <c r="CM255" s="63">
        <f t="shared" si="222"/>
        <v>254</v>
      </c>
      <c r="CN255" s="63">
        <f t="shared" si="223"/>
        <v>259</v>
      </c>
      <c r="CO255" s="63">
        <f t="shared" si="224"/>
        <v>23.166023166023166</v>
      </c>
      <c r="CP255" s="13">
        <f t="shared" si="225"/>
        <v>23</v>
      </c>
      <c r="CQ255" s="70">
        <f t="shared" si="226"/>
        <v>4.3478260869565216E-2</v>
      </c>
      <c r="CR255" s="69">
        <f t="shared" si="194"/>
        <v>4.3478260869565216E-2</v>
      </c>
    </row>
    <row r="256" spans="1:96" hidden="1" x14ac:dyDescent="0.25">
      <c r="A256" s="13">
        <v>4</v>
      </c>
      <c r="B256" s="14" t="s">
        <v>755</v>
      </c>
      <c r="C256" s="13" t="s">
        <v>703</v>
      </c>
      <c r="D256" s="13" t="s">
        <v>705</v>
      </c>
      <c r="E256" s="13" t="s">
        <v>52</v>
      </c>
      <c r="F256" s="15">
        <f t="shared" si="195"/>
        <v>7</v>
      </c>
      <c r="G256" s="13">
        <v>1</v>
      </c>
      <c r="H256" s="13">
        <f t="shared" si="247"/>
        <v>1</v>
      </c>
      <c r="I256" s="13">
        <v>7</v>
      </c>
      <c r="J256" s="14" t="s">
        <v>704</v>
      </c>
      <c r="K256" s="14" t="s">
        <v>34</v>
      </c>
      <c r="L256" s="13" t="s">
        <v>89</v>
      </c>
      <c r="M256" s="14" t="s">
        <v>35</v>
      </c>
      <c r="N256" s="13" t="s">
        <v>705</v>
      </c>
      <c r="O256" s="28" t="s">
        <v>41</v>
      </c>
      <c r="P256" s="28" t="s">
        <v>41</v>
      </c>
      <c r="Q256" s="28" t="s">
        <v>79</v>
      </c>
      <c r="R256" s="30">
        <v>7.9921259842519685</v>
      </c>
      <c r="S256" s="30">
        <v>0.3125</v>
      </c>
      <c r="T256" s="30"/>
      <c r="U256" s="30">
        <v>0.3125</v>
      </c>
      <c r="V256" s="8">
        <f t="shared" si="196"/>
        <v>203</v>
      </c>
      <c r="W256" s="8">
        <f t="shared" si="197"/>
        <v>7.9375</v>
      </c>
      <c r="X256" s="8">
        <f t="shared" si="198"/>
        <v>0</v>
      </c>
      <c r="Y256" s="33">
        <f t="shared" si="199"/>
        <v>7.9375</v>
      </c>
      <c r="Z256" s="28" t="s">
        <v>80</v>
      </c>
      <c r="AA256" s="28" t="s">
        <v>81</v>
      </c>
      <c r="AB256" s="61" t="s">
        <v>79</v>
      </c>
      <c r="AC256" s="31" t="s">
        <v>82</v>
      </c>
      <c r="AD256" s="50">
        <f t="shared" si="200"/>
        <v>1</v>
      </c>
      <c r="AE256" s="47" t="s">
        <v>107</v>
      </c>
      <c r="AF256" s="51">
        <v>14</v>
      </c>
      <c r="AG256" s="51">
        <f t="shared" si="228"/>
        <v>8.4</v>
      </c>
      <c r="AH256" s="51">
        <f t="shared" si="193"/>
        <v>42</v>
      </c>
      <c r="AI256" s="52" t="s">
        <v>2497</v>
      </c>
      <c r="AJ256" s="52" t="s">
        <v>2498</v>
      </c>
      <c r="AK256" s="53">
        <f t="shared" si="229"/>
        <v>3.2226249999999998E-3</v>
      </c>
      <c r="AL256" s="54">
        <f t="shared" si="230"/>
        <v>0.11904761904761904</v>
      </c>
      <c r="AM256" s="54">
        <f t="shared" si="231"/>
        <v>2.3809523809523808E-2</v>
      </c>
      <c r="AN256" s="55">
        <f t="shared" si="232"/>
        <v>3.8364583333333328E-4</v>
      </c>
      <c r="AO256" s="55">
        <f t="shared" si="233"/>
        <v>7.6729166666666664E-5</v>
      </c>
      <c r="AP256" s="53">
        <v>7.1</v>
      </c>
      <c r="AQ256" s="53">
        <f t="shared" si="201"/>
        <v>4.26</v>
      </c>
      <c r="AR256" s="53">
        <f t="shared" si="202"/>
        <v>21.299999999999997</v>
      </c>
      <c r="AS256" s="56">
        <f t="shared" si="203"/>
        <v>4.6948356807511742E-2</v>
      </c>
      <c r="AT256" s="56">
        <f t="shared" si="234"/>
        <v>0.23474178403755869</v>
      </c>
      <c r="AU256" s="56">
        <f t="shared" si="204"/>
        <v>0.176056338028169</v>
      </c>
      <c r="AV256" s="56">
        <f t="shared" si="235"/>
        <v>5.8685446009389672E-2</v>
      </c>
      <c r="AW256" s="57" t="s">
        <v>2511</v>
      </c>
      <c r="AX256" s="57" t="s">
        <v>2512</v>
      </c>
      <c r="AY256" s="57" t="s">
        <v>2513</v>
      </c>
      <c r="AZ256" s="58">
        <f t="shared" si="236"/>
        <v>3.2226249999999998E-3</v>
      </c>
      <c r="BA256" s="59">
        <f t="shared" si="240"/>
        <v>9.4560592723004686E-5</v>
      </c>
      <c r="BB256" s="59">
        <f t="shared" si="241"/>
        <v>2.8368177816901407E-4</v>
      </c>
      <c r="BC256" s="59">
        <f t="shared" si="242"/>
        <v>7.5648474178403754E-5</v>
      </c>
      <c r="BD256" s="60">
        <f t="shared" si="237"/>
        <v>7.8492935635792783E-4</v>
      </c>
      <c r="BE256" s="59">
        <f t="shared" si="238"/>
        <v>7.8492935635792783E-4</v>
      </c>
      <c r="BQ256" s="61">
        <v>3000</v>
      </c>
      <c r="BR256" s="61">
        <v>1200</v>
      </c>
      <c r="BS256" s="28">
        <f t="shared" si="205"/>
        <v>2980</v>
      </c>
      <c r="BT256" s="28">
        <f t="shared" si="206"/>
        <v>1180</v>
      </c>
      <c r="BU256" s="28" t="s">
        <v>2541</v>
      </c>
      <c r="BV256" s="28">
        <f t="shared" si="207"/>
        <v>208</v>
      </c>
      <c r="BW256" s="28">
        <f t="shared" si="208"/>
        <v>12.9375</v>
      </c>
      <c r="BX256" s="13">
        <f t="shared" si="209"/>
        <v>14.326923076923077</v>
      </c>
      <c r="BY256" s="13">
        <f t="shared" si="210"/>
        <v>14</v>
      </c>
      <c r="BZ256" s="13">
        <f t="shared" si="211"/>
        <v>91.207729468599027</v>
      </c>
      <c r="CA256" s="13">
        <f t="shared" si="212"/>
        <v>91</v>
      </c>
      <c r="CB256" s="13">
        <f t="shared" si="213"/>
        <v>1274</v>
      </c>
      <c r="CC256" s="62">
        <f t="shared" si="214"/>
        <v>7.8492935635792783E-4</v>
      </c>
      <c r="CD256" s="13">
        <f t="shared" si="215"/>
        <v>230.33816425120773</v>
      </c>
      <c r="CE256" s="13">
        <f t="shared" si="216"/>
        <v>230</v>
      </c>
      <c r="CF256" s="13">
        <f t="shared" si="217"/>
        <v>5.6730769230769234</v>
      </c>
      <c r="CG256" s="13">
        <f t="shared" si="218"/>
        <v>5</v>
      </c>
      <c r="CH256" s="28">
        <f t="shared" si="219"/>
        <v>1150</v>
      </c>
      <c r="CI256" s="62">
        <f t="shared" si="220"/>
        <v>8.6956521739130438E-4</v>
      </c>
      <c r="CJ256" s="59">
        <f t="shared" si="221"/>
        <v>7.8492935635792783E-4</v>
      </c>
      <c r="CL256" s="63">
        <v>6000</v>
      </c>
      <c r="CM256" s="63">
        <f t="shared" si="222"/>
        <v>203</v>
      </c>
      <c r="CN256" s="63">
        <f t="shared" si="223"/>
        <v>208</v>
      </c>
      <c r="CO256" s="63">
        <f t="shared" si="224"/>
        <v>28.846153846153847</v>
      </c>
      <c r="CP256" s="13">
        <f t="shared" si="225"/>
        <v>28</v>
      </c>
      <c r="CQ256" s="70">
        <f t="shared" si="226"/>
        <v>3.5714285714285712E-2</v>
      </c>
      <c r="CR256" s="69">
        <f t="shared" si="194"/>
        <v>3.5714285714285712E-2</v>
      </c>
    </row>
    <row r="257" spans="1:96" hidden="1" x14ac:dyDescent="0.25">
      <c r="A257" s="13">
        <v>4</v>
      </c>
      <c r="B257" s="14" t="s">
        <v>755</v>
      </c>
      <c r="C257" s="13" t="s">
        <v>586</v>
      </c>
      <c r="D257" s="13" t="s">
        <v>588</v>
      </c>
      <c r="E257" s="13" t="s">
        <v>52</v>
      </c>
      <c r="F257" s="15">
        <f t="shared" si="195"/>
        <v>4</v>
      </c>
      <c r="G257" s="13">
        <v>2</v>
      </c>
      <c r="H257" s="13">
        <f t="shared" si="247"/>
        <v>2</v>
      </c>
      <c r="I257" s="13">
        <v>8</v>
      </c>
      <c r="J257" s="14" t="s">
        <v>587</v>
      </c>
      <c r="K257" s="14" t="s">
        <v>34</v>
      </c>
      <c r="L257" s="13" t="s">
        <v>89</v>
      </c>
      <c r="M257" s="14" t="s">
        <v>35</v>
      </c>
      <c r="N257" s="13" t="s">
        <v>588</v>
      </c>
      <c r="O257" s="28" t="s">
        <v>41</v>
      </c>
      <c r="P257" s="28" t="s">
        <v>41</v>
      </c>
      <c r="Q257" s="28" t="s">
        <v>79</v>
      </c>
      <c r="R257" s="30">
        <v>3.9763779527559056</v>
      </c>
      <c r="S257" s="30">
        <v>0.3125</v>
      </c>
      <c r="T257" s="30"/>
      <c r="U257" s="30">
        <v>0.3125</v>
      </c>
      <c r="V257" s="8">
        <f t="shared" si="196"/>
        <v>101</v>
      </c>
      <c r="W257" s="8">
        <f t="shared" si="197"/>
        <v>7.9375</v>
      </c>
      <c r="X257" s="8">
        <f t="shared" si="198"/>
        <v>0</v>
      </c>
      <c r="Y257" s="33">
        <f t="shared" si="199"/>
        <v>7.9375</v>
      </c>
      <c r="Z257" s="28" t="s">
        <v>80</v>
      </c>
      <c r="AA257" s="28" t="s">
        <v>81</v>
      </c>
      <c r="AB257" s="61" t="s">
        <v>79</v>
      </c>
      <c r="AC257" s="31" t="s">
        <v>82</v>
      </c>
      <c r="AD257" s="50">
        <f t="shared" si="200"/>
        <v>2</v>
      </c>
      <c r="AE257" s="31"/>
      <c r="AF257" s="51">
        <v>14</v>
      </c>
      <c r="AG257" s="51">
        <f t="shared" si="228"/>
        <v>8.4</v>
      </c>
      <c r="AH257" s="51">
        <f t="shared" si="193"/>
        <v>42</v>
      </c>
      <c r="AI257" s="52" t="s">
        <v>2497</v>
      </c>
      <c r="AJ257" s="52" t="s">
        <v>2498</v>
      </c>
      <c r="AK257" s="53">
        <f t="shared" si="229"/>
        <v>1.603375E-3</v>
      </c>
      <c r="AL257" s="54">
        <f t="shared" si="230"/>
        <v>0.11904761904761904</v>
      </c>
      <c r="AM257" s="54">
        <f t="shared" si="231"/>
        <v>2.3809523809523808E-2</v>
      </c>
      <c r="AN257" s="55">
        <f t="shared" si="232"/>
        <v>3.8175595238095237E-4</v>
      </c>
      <c r="AO257" s="55">
        <f t="shared" si="233"/>
        <v>7.6351190476190472E-5</v>
      </c>
      <c r="AP257" s="53">
        <v>7.1</v>
      </c>
      <c r="AQ257" s="53">
        <f t="shared" si="201"/>
        <v>4.26</v>
      </c>
      <c r="AR257" s="53">
        <f t="shared" si="202"/>
        <v>21.299999999999997</v>
      </c>
      <c r="AS257" s="56">
        <f t="shared" si="203"/>
        <v>4.6948356807511742E-2</v>
      </c>
      <c r="AT257" s="56">
        <f t="shared" si="234"/>
        <v>0.23474178403755869</v>
      </c>
      <c r="AU257" s="56">
        <f t="shared" si="204"/>
        <v>0.176056338028169</v>
      </c>
      <c r="AV257" s="56">
        <f t="shared" si="235"/>
        <v>5.8685446009389672E-2</v>
      </c>
      <c r="AW257" s="57" t="s">
        <v>2511</v>
      </c>
      <c r="AX257" s="57" t="s">
        <v>2512</v>
      </c>
      <c r="AY257" s="57" t="s">
        <v>2513</v>
      </c>
      <c r="AZ257" s="58">
        <f t="shared" si="236"/>
        <v>1.603375E-3</v>
      </c>
      <c r="BA257" s="59">
        <f t="shared" si="240"/>
        <v>9.409477699530517E-5</v>
      </c>
      <c r="BB257" s="59">
        <f t="shared" si="241"/>
        <v>2.8228433098591548E-4</v>
      </c>
      <c r="BC257" s="59">
        <f t="shared" si="242"/>
        <v>7.5275821596244136E-5</v>
      </c>
      <c r="BD257" s="60">
        <f t="shared" si="237"/>
        <v>3.9246467817896392E-4</v>
      </c>
      <c r="BE257" s="59">
        <f t="shared" si="238"/>
        <v>7.8492935635792783E-4</v>
      </c>
      <c r="BQ257" s="61">
        <v>3000</v>
      </c>
      <c r="BR257" s="61">
        <v>1200</v>
      </c>
      <c r="BS257" s="28">
        <f t="shared" si="205"/>
        <v>2980</v>
      </c>
      <c r="BT257" s="28">
        <f t="shared" si="206"/>
        <v>1180</v>
      </c>
      <c r="BU257" s="28" t="s">
        <v>2541</v>
      </c>
      <c r="BV257" s="28">
        <f t="shared" si="207"/>
        <v>106</v>
      </c>
      <c r="BW257" s="28">
        <f t="shared" si="208"/>
        <v>12.9375</v>
      </c>
      <c r="BX257" s="13">
        <f t="shared" si="209"/>
        <v>28.113207547169811</v>
      </c>
      <c r="BY257" s="13">
        <f t="shared" si="210"/>
        <v>28</v>
      </c>
      <c r="BZ257" s="13">
        <f t="shared" si="211"/>
        <v>91.207729468599027</v>
      </c>
      <c r="CA257" s="13">
        <f t="shared" si="212"/>
        <v>91</v>
      </c>
      <c r="CB257" s="13">
        <f t="shared" si="213"/>
        <v>2548</v>
      </c>
      <c r="CC257" s="62">
        <f t="shared" si="214"/>
        <v>3.9246467817896392E-4</v>
      </c>
      <c r="CD257" s="13">
        <f t="shared" si="215"/>
        <v>230.33816425120773</v>
      </c>
      <c r="CE257" s="13">
        <f t="shared" si="216"/>
        <v>230</v>
      </c>
      <c r="CF257" s="13">
        <f t="shared" si="217"/>
        <v>11.132075471698114</v>
      </c>
      <c r="CG257" s="13">
        <f t="shared" si="218"/>
        <v>11</v>
      </c>
      <c r="CH257" s="28">
        <f t="shared" si="219"/>
        <v>2530</v>
      </c>
      <c r="CI257" s="62">
        <f t="shared" si="220"/>
        <v>3.9525691699604743E-4</v>
      </c>
      <c r="CJ257" s="59">
        <f t="shared" si="221"/>
        <v>3.9246467817896392E-4</v>
      </c>
      <c r="CL257" s="63">
        <v>6000</v>
      </c>
      <c r="CM257" s="63">
        <f t="shared" si="222"/>
        <v>101</v>
      </c>
      <c r="CN257" s="63">
        <f t="shared" si="223"/>
        <v>106</v>
      </c>
      <c r="CO257" s="63">
        <f t="shared" si="224"/>
        <v>56.60377358490566</v>
      </c>
      <c r="CP257" s="13">
        <f t="shared" si="225"/>
        <v>56</v>
      </c>
      <c r="CQ257" s="70">
        <f t="shared" si="226"/>
        <v>1.7857142857142856E-2</v>
      </c>
      <c r="CR257" s="69">
        <f t="shared" si="194"/>
        <v>3.5714285714285712E-2</v>
      </c>
    </row>
    <row r="258" spans="1:96" hidden="1" x14ac:dyDescent="0.25">
      <c r="A258" s="13">
        <v>4</v>
      </c>
      <c r="B258" s="14" t="s">
        <v>755</v>
      </c>
      <c r="C258" s="13" t="s">
        <v>382</v>
      </c>
      <c r="D258" s="13" t="s">
        <v>709</v>
      </c>
      <c r="E258" s="13" t="s">
        <v>52</v>
      </c>
      <c r="F258" s="15">
        <f t="shared" si="195"/>
        <v>6</v>
      </c>
      <c r="G258" s="13">
        <v>1</v>
      </c>
      <c r="H258" s="13">
        <f t="shared" si="247"/>
        <v>1</v>
      </c>
      <c r="I258" s="13">
        <v>9</v>
      </c>
      <c r="J258" s="14" t="s">
        <v>76</v>
      </c>
      <c r="K258" s="14" t="s">
        <v>34</v>
      </c>
      <c r="L258" s="13" t="s">
        <v>77</v>
      </c>
      <c r="M258" s="14" t="s">
        <v>35</v>
      </c>
      <c r="N258" s="13" t="s">
        <v>709</v>
      </c>
      <c r="O258" s="28" t="s">
        <v>41</v>
      </c>
      <c r="P258" s="28" t="s">
        <v>41</v>
      </c>
      <c r="Q258" s="28" t="s">
        <v>79</v>
      </c>
      <c r="R258" s="30">
        <v>21.023622047244096</v>
      </c>
      <c r="S258" s="30">
        <v>0.3125</v>
      </c>
      <c r="T258" s="30"/>
      <c r="U258" s="30">
        <v>0.3125</v>
      </c>
      <c r="V258" s="8">
        <f t="shared" si="196"/>
        <v>534</v>
      </c>
      <c r="W258" s="8">
        <f t="shared" si="197"/>
        <v>7.9375</v>
      </c>
      <c r="X258" s="8">
        <f t="shared" si="198"/>
        <v>0</v>
      </c>
      <c r="Y258" s="33">
        <f t="shared" si="199"/>
        <v>7.9375</v>
      </c>
      <c r="Z258" s="28" t="s">
        <v>80</v>
      </c>
      <c r="AA258" s="28" t="s">
        <v>81</v>
      </c>
      <c r="AB258" s="61" t="s">
        <v>79</v>
      </c>
      <c r="AC258" s="31" t="s">
        <v>82</v>
      </c>
      <c r="AD258" s="50">
        <f t="shared" si="200"/>
        <v>1</v>
      </c>
      <c r="AE258" s="31"/>
      <c r="AF258" s="51">
        <v>14</v>
      </c>
      <c r="AG258" s="51">
        <f t="shared" si="228"/>
        <v>8.4</v>
      </c>
      <c r="AH258" s="51">
        <f t="shared" ref="AH258:AH321" si="248">AG258/0.2</f>
        <v>42</v>
      </c>
      <c r="AI258" s="52" t="s">
        <v>2497</v>
      </c>
      <c r="AJ258" s="52" t="s">
        <v>2498</v>
      </c>
      <c r="AK258" s="53">
        <f t="shared" si="229"/>
        <v>8.4772500000000004E-3</v>
      </c>
      <c r="AL258" s="54">
        <f t="shared" si="230"/>
        <v>0.11904761904761904</v>
      </c>
      <c r="AM258" s="54">
        <f t="shared" si="231"/>
        <v>2.3809523809523808E-2</v>
      </c>
      <c r="AN258" s="55">
        <f t="shared" si="232"/>
        <v>1.0091964285714285E-3</v>
      </c>
      <c r="AO258" s="55">
        <f t="shared" si="233"/>
        <v>2.0183928571428572E-4</v>
      </c>
      <c r="AP258" s="53">
        <v>7.1</v>
      </c>
      <c r="AQ258" s="53">
        <f t="shared" si="201"/>
        <v>4.26</v>
      </c>
      <c r="AR258" s="53">
        <f t="shared" si="202"/>
        <v>21.299999999999997</v>
      </c>
      <c r="AS258" s="56">
        <f t="shared" si="203"/>
        <v>4.6948356807511742E-2</v>
      </c>
      <c r="AT258" s="56">
        <f t="shared" si="234"/>
        <v>0.23474178403755869</v>
      </c>
      <c r="AU258" s="56">
        <f t="shared" si="204"/>
        <v>0.176056338028169</v>
      </c>
      <c r="AV258" s="56">
        <f t="shared" si="235"/>
        <v>5.8685446009389672E-2</v>
      </c>
      <c r="AW258" s="57" t="s">
        <v>2511</v>
      </c>
      <c r="AX258" s="57" t="s">
        <v>2512</v>
      </c>
      <c r="AY258" s="57" t="s">
        <v>2513</v>
      </c>
      <c r="AZ258" s="58">
        <f t="shared" si="236"/>
        <v>8.4772500000000004E-3</v>
      </c>
      <c r="BA258" s="59">
        <f t="shared" si="240"/>
        <v>2.487455985915493E-4</v>
      </c>
      <c r="BB258" s="59">
        <f t="shared" si="241"/>
        <v>7.4623679577464784E-4</v>
      </c>
      <c r="BC258" s="59">
        <f t="shared" si="242"/>
        <v>1.9899647887323946E-4</v>
      </c>
      <c r="BD258" s="60">
        <f t="shared" si="237"/>
        <v>2.1739130434782609E-3</v>
      </c>
      <c r="BE258" s="59">
        <f t="shared" si="238"/>
        <v>2.1739130434782609E-3</v>
      </c>
      <c r="BQ258" s="61">
        <v>3000</v>
      </c>
      <c r="BR258" s="61">
        <v>1200</v>
      </c>
      <c r="BS258" s="28">
        <f t="shared" si="205"/>
        <v>2980</v>
      </c>
      <c r="BT258" s="28">
        <f t="shared" si="206"/>
        <v>1180</v>
      </c>
      <c r="BU258" s="28" t="s">
        <v>2541</v>
      </c>
      <c r="BV258" s="28">
        <f t="shared" si="207"/>
        <v>539</v>
      </c>
      <c r="BW258" s="28">
        <f t="shared" si="208"/>
        <v>12.9375</v>
      </c>
      <c r="BX258" s="13">
        <f t="shared" si="209"/>
        <v>5.5287569573283859</v>
      </c>
      <c r="BY258" s="13">
        <f t="shared" si="210"/>
        <v>5</v>
      </c>
      <c r="BZ258" s="13">
        <f t="shared" si="211"/>
        <v>91.207729468599027</v>
      </c>
      <c r="CA258" s="13">
        <f t="shared" si="212"/>
        <v>91</v>
      </c>
      <c r="CB258" s="13">
        <f t="shared" si="213"/>
        <v>455</v>
      </c>
      <c r="CC258" s="62">
        <f t="shared" si="214"/>
        <v>2.1978021978021978E-3</v>
      </c>
      <c r="CD258" s="13">
        <f t="shared" si="215"/>
        <v>230.33816425120773</v>
      </c>
      <c r="CE258" s="13">
        <f t="shared" si="216"/>
        <v>230</v>
      </c>
      <c r="CF258" s="13">
        <f t="shared" si="217"/>
        <v>2.1892393320964749</v>
      </c>
      <c r="CG258" s="13">
        <f t="shared" si="218"/>
        <v>2</v>
      </c>
      <c r="CH258" s="28">
        <f t="shared" si="219"/>
        <v>460</v>
      </c>
      <c r="CI258" s="62">
        <f t="shared" si="220"/>
        <v>2.1739130434782609E-3</v>
      </c>
      <c r="CJ258" s="59">
        <f t="shared" si="221"/>
        <v>2.1739130434782609E-3</v>
      </c>
      <c r="CL258" s="63">
        <v>6000</v>
      </c>
      <c r="CM258" s="63">
        <f t="shared" si="222"/>
        <v>534</v>
      </c>
      <c r="CN258" s="63">
        <f t="shared" si="223"/>
        <v>539</v>
      </c>
      <c r="CO258" s="63">
        <f t="shared" si="224"/>
        <v>11.131725417439704</v>
      </c>
      <c r="CP258" s="13">
        <f t="shared" si="225"/>
        <v>11</v>
      </c>
      <c r="CQ258" s="70">
        <f t="shared" si="226"/>
        <v>9.0909090909090912E-2</v>
      </c>
      <c r="CR258" s="69">
        <f t="shared" ref="CR258:CR321" si="249">CQ258*AD258</f>
        <v>9.0909090909090912E-2</v>
      </c>
    </row>
    <row r="259" spans="1:96" hidden="1" x14ac:dyDescent="0.25">
      <c r="A259" s="13">
        <v>4</v>
      </c>
      <c r="B259" s="14" t="s">
        <v>755</v>
      </c>
      <c r="C259" s="13" t="s">
        <v>770</v>
      </c>
      <c r="D259" s="13" t="s">
        <v>2270</v>
      </c>
      <c r="E259" s="13" t="s">
        <v>52</v>
      </c>
      <c r="F259" s="15">
        <f t="shared" ref="F259:F322" si="250">COUNTIF($C$2:$C$1202,C259)</f>
        <v>1</v>
      </c>
      <c r="G259" s="13">
        <v>1</v>
      </c>
      <c r="H259" s="13">
        <f t="shared" si="247"/>
        <v>1</v>
      </c>
      <c r="I259" s="13">
        <v>10</v>
      </c>
      <c r="J259" s="14" t="s">
        <v>771</v>
      </c>
      <c r="K259" s="14" t="s">
        <v>34</v>
      </c>
      <c r="L259" s="13">
        <v>0</v>
      </c>
      <c r="M259" s="14" t="s">
        <v>35</v>
      </c>
      <c r="N259" s="13" t="s">
        <v>772</v>
      </c>
      <c r="O259" s="28" t="s">
        <v>41</v>
      </c>
      <c r="P259" s="28" t="s">
        <v>41</v>
      </c>
      <c r="Q259" s="28" t="s">
        <v>79</v>
      </c>
      <c r="R259" s="30">
        <v>19.14</v>
      </c>
      <c r="S259" s="30">
        <v>0.3125</v>
      </c>
      <c r="T259" s="30"/>
      <c r="U259" s="30">
        <v>0.3125</v>
      </c>
      <c r="V259" s="8">
        <f t="shared" ref="V259:V322" si="251">R259*25.4</f>
        <v>486.15600000000001</v>
      </c>
      <c r="W259" s="8">
        <f t="shared" ref="W259:W322" si="252">S259*25.4</f>
        <v>7.9375</v>
      </c>
      <c r="X259" s="8">
        <f t="shared" ref="X259:X322" si="253">T259*25.4</f>
        <v>0</v>
      </c>
      <c r="Y259" s="33">
        <f t="shared" ref="Y259:Y322" si="254">U259*25.4</f>
        <v>7.9375</v>
      </c>
      <c r="Z259" s="28" t="s">
        <v>80</v>
      </c>
      <c r="AA259" s="28" t="s">
        <v>81</v>
      </c>
      <c r="AB259" s="61" t="s">
        <v>79</v>
      </c>
      <c r="AC259" s="31" t="s">
        <v>82</v>
      </c>
      <c r="AD259" s="50">
        <f t="shared" ref="AD259:AD322" si="255">H259</f>
        <v>1</v>
      </c>
      <c r="AE259" s="31"/>
      <c r="AF259" s="51">
        <v>14</v>
      </c>
      <c r="AG259" s="51">
        <f t="shared" si="228"/>
        <v>8.4</v>
      </c>
      <c r="AH259" s="51">
        <f t="shared" si="248"/>
        <v>42</v>
      </c>
      <c r="AI259" s="52" t="s">
        <v>2497</v>
      </c>
      <c r="AJ259" s="52" t="s">
        <v>2498</v>
      </c>
      <c r="AK259" s="53">
        <f t="shared" si="229"/>
        <v>7.7177265E-3</v>
      </c>
      <c r="AL259" s="54">
        <f t="shared" si="230"/>
        <v>0.11904761904761904</v>
      </c>
      <c r="AM259" s="54">
        <f t="shared" si="231"/>
        <v>2.3809523809523808E-2</v>
      </c>
      <c r="AN259" s="55">
        <f t="shared" si="232"/>
        <v>9.1877696428571427E-4</v>
      </c>
      <c r="AO259" s="55">
        <f t="shared" si="233"/>
        <v>1.8375539285714286E-4</v>
      </c>
      <c r="AP259" s="53">
        <v>7.1</v>
      </c>
      <c r="AQ259" s="53">
        <f t="shared" ref="AQ259:AQ322" si="256">AP259*0.6</f>
        <v>4.26</v>
      </c>
      <c r="AR259" s="53">
        <f t="shared" ref="AR259:AR322" si="257">AQ259*5</f>
        <v>21.299999999999997</v>
      </c>
      <c r="AS259" s="56">
        <f t="shared" ref="AS259:AS322" si="258">1/AR259</f>
        <v>4.6948356807511742E-2</v>
      </c>
      <c r="AT259" s="56">
        <f t="shared" si="234"/>
        <v>0.23474178403755869</v>
      </c>
      <c r="AU259" s="56">
        <f t="shared" ref="AU259:AU322" si="259">AT259*0.75</f>
        <v>0.176056338028169</v>
      </c>
      <c r="AV259" s="56">
        <f t="shared" si="235"/>
        <v>5.8685446009389672E-2</v>
      </c>
      <c r="AW259" s="57" t="s">
        <v>2511</v>
      </c>
      <c r="AX259" s="57" t="s">
        <v>2512</v>
      </c>
      <c r="AY259" s="57" t="s">
        <v>2513</v>
      </c>
      <c r="AZ259" s="58">
        <f t="shared" si="236"/>
        <v>7.7177265E-3</v>
      </c>
      <c r="BA259" s="59">
        <f t="shared" si="240"/>
        <v>2.2645911091549297E-4</v>
      </c>
      <c r="BB259" s="59">
        <f t="shared" si="241"/>
        <v>6.7937733274647881E-4</v>
      </c>
      <c r="BC259" s="59">
        <f t="shared" si="242"/>
        <v>1.8116728873239439E-4</v>
      </c>
      <c r="BD259" s="60">
        <f t="shared" si="237"/>
        <v>1.8315018315018315E-3</v>
      </c>
      <c r="BE259" s="59">
        <f t="shared" si="238"/>
        <v>1.8315018315018315E-3</v>
      </c>
      <c r="BQ259" s="61">
        <v>3000</v>
      </c>
      <c r="BR259" s="61">
        <v>1200</v>
      </c>
      <c r="BS259" s="28">
        <f t="shared" ref="BS259:BS322" si="260">BQ259-20</f>
        <v>2980</v>
      </c>
      <c r="BT259" s="28">
        <f t="shared" ref="BT259:BT322" si="261">BR259-20</f>
        <v>1180</v>
      </c>
      <c r="BU259" s="28" t="s">
        <v>2541</v>
      </c>
      <c r="BV259" s="28">
        <f t="shared" ref="BV259:BV322" si="262">V259+5</f>
        <v>491.15600000000001</v>
      </c>
      <c r="BW259" s="28">
        <f t="shared" ref="BW259:BW322" si="263">W259+5</f>
        <v>12.9375</v>
      </c>
      <c r="BX259" s="13">
        <f t="shared" ref="BX259:BX322" si="264">BS259/BV259</f>
        <v>6.0673187337627965</v>
      </c>
      <c r="BY259" s="13">
        <f t="shared" ref="BY259:BY322" si="265">ROUNDDOWN(BX259,0)</f>
        <v>6</v>
      </c>
      <c r="BZ259" s="13">
        <f t="shared" ref="BZ259:BZ322" si="266">BT259/BW259</f>
        <v>91.207729468599027</v>
      </c>
      <c r="CA259" s="13">
        <f t="shared" ref="CA259:CA322" si="267">ROUNDDOWN(BZ259,0)</f>
        <v>91</v>
      </c>
      <c r="CB259" s="13">
        <f t="shared" ref="CB259:CB322" si="268">BY259*CA259</f>
        <v>546</v>
      </c>
      <c r="CC259" s="62">
        <f t="shared" ref="CC259:CC322" si="269">IF(E259="CJ","",IFERROR((1/CB259),1))</f>
        <v>1.8315018315018315E-3</v>
      </c>
      <c r="CD259" s="13">
        <f t="shared" ref="CD259:CD322" si="270">BS259/BW259</f>
        <v>230.33816425120773</v>
      </c>
      <c r="CE259" s="13">
        <f t="shared" ref="CE259:CE322" si="271">ROUNDDOWN(CD259,0)</f>
        <v>230</v>
      </c>
      <c r="CF259" s="13">
        <f t="shared" ref="CF259:CF322" si="272">BT259/BV259</f>
        <v>2.4024953375302349</v>
      </c>
      <c r="CG259" s="13">
        <f t="shared" ref="CG259:CG322" si="273">ROUNDDOWN(CF259,0)</f>
        <v>2</v>
      </c>
      <c r="CH259" s="28">
        <f t="shared" ref="CH259:CH322" si="274">CE259*CG259</f>
        <v>460</v>
      </c>
      <c r="CI259" s="62">
        <f t="shared" ref="CI259:CI322" si="275">IF(E259="CJ","",IFERROR((1/CH259),1))</f>
        <v>2.1739130434782609E-3</v>
      </c>
      <c r="CJ259" s="59">
        <f t="shared" ref="CJ259:CJ322" si="276">MIN(CC259,CI259)</f>
        <v>1.8315018315018315E-3</v>
      </c>
      <c r="CL259" s="63">
        <v>6000</v>
      </c>
      <c r="CM259" s="63">
        <f t="shared" ref="CM259:CM322" si="277">V259</f>
        <v>486.15600000000001</v>
      </c>
      <c r="CN259" s="63">
        <f t="shared" ref="CN259:CN322" si="278">CM259+5</f>
        <v>491.15600000000001</v>
      </c>
      <c r="CO259" s="63">
        <f t="shared" ref="CO259:CO322" si="279">CL259/CN259</f>
        <v>12.216077987441873</v>
      </c>
      <c r="CP259" s="13">
        <f t="shared" ref="CP259:CP322" si="280">ROUNDDOWN(CO259,0)</f>
        <v>12</v>
      </c>
      <c r="CQ259" s="70">
        <f t="shared" ref="CQ259:CQ322" si="281">1/CP259</f>
        <v>8.3333333333333329E-2</v>
      </c>
      <c r="CR259" s="69">
        <f t="shared" si="249"/>
        <v>8.3333333333333329E-2</v>
      </c>
    </row>
    <row r="260" spans="1:96" hidden="1" x14ac:dyDescent="0.25">
      <c r="A260" s="13">
        <v>4</v>
      </c>
      <c r="B260" s="14" t="s">
        <v>755</v>
      </c>
      <c r="C260" s="13" t="s">
        <v>773</v>
      </c>
      <c r="D260" s="13" t="s">
        <v>2270</v>
      </c>
      <c r="E260" s="13" t="s">
        <v>52</v>
      </c>
      <c r="F260" s="15">
        <f t="shared" si="250"/>
        <v>1</v>
      </c>
      <c r="G260" s="13">
        <v>1</v>
      </c>
      <c r="H260" s="13">
        <f t="shared" si="247"/>
        <v>1</v>
      </c>
      <c r="I260" s="13">
        <v>11</v>
      </c>
      <c r="J260" s="14" t="s">
        <v>774</v>
      </c>
      <c r="K260" s="14" t="s">
        <v>34</v>
      </c>
      <c r="L260" s="13" t="s">
        <v>170</v>
      </c>
      <c r="M260" s="14" t="s">
        <v>35</v>
      </c>
      <c r="N260" s="13" t="s">
        <v>775</v>
      </c>
      <c r="O260" s="28" t="s">
        <v>41</v>
      </c>
      <c r="P260" s="28" t="s">
        <v>41</v>
      </c>
      <c r="Q260" s="28" t="s">
        <v>775</v>
      </c>
      <c r="R260" s="30"/>
      <c r="S260" s="30"/>
      <c r="T260" s="30"/>
      <c r="U260" s="30"/>
      <c r="V260" s="8">
        <f t="shared" si="251"/>
        <v>0</v>
      </c>
      <c r="W260" s="8">
        <f t="shared" si="252"/>
        <v>0</v>
      </c>
      <c r="X260" s="8">
        <f t="shared" si="253"/>
        <v>0</v>
      </c>
      <c r="Y260" s="33">
        <f t="shared" si="254"/>
        <v>0</v>
      </c>
      <c r="Z260" s="28"/>
      <c r="AA260" s="28"/>
      <c r="AB260" s="61" t="s">
        <v>775</v>
      </c>
      <c r="AC260" s="31" t="s">
        <v>776</v>
      </c>
      <c r="AD260" s="50">
        <f t="shared" si="255"/>
        <v>1</v>
      </c>
      <c r="AE260" s="31"/>
      <c r="AF260" s="51">
        <v>14</v>
      </c>
      <c r="AG260" s="51">
        <f t="shared" si="228"/>
        <v>8.4</v>
      </c>
      <c r="AH260" s="51">
        <f t="shared" si="248"/>
        <v>42</v>
      </c>
      <c r="AI260" s="52" t="s">
        <v>2497</v>
      </c>
      <c r="AJ260" s="52" t="s">
        <v>2498</v>
      </c>
      <c r="AK260" s="53">
        <f t="shared" si="229"/>
        <v>0</v>
      </c>
      <c r="AL260" s="54">
        <f t="shared" si="230"/>
        <v>0.11904761904761904</v>
      </c>
      <c r="AM260" s="54">
        <f t="shared" si="231"/>
        <v>2.3809523809523808E-2</v>
      </c>
      <c r="AN260" s="55">
        <f t="shared" si="232"/>
        <v>0</v>
      </c>
      <c r="AO260" s="55">
        <f t="shared" si="233"/>
        <v>0</v>
      </c>
      <c r="AP260" s="53">
        <v>7.1</v>
      </c>
      <c r="AQ260" s="53">
        <f t="shared" si="256"/>
        <v>4.26</v>
      </c>
      <c r="AR260" s="53">
        <f t="shared" si="257"/>
        <v>21.299999999999997</v>
      </c>
      <c r="AS260" s="56">
        <f t="shared" si="258"/>
        <v>4.6948356807511742E-2</v>
      </c>
      <c r="AT260" s="56">
        <f t="shared" si="234"/>
        <v>0.23474178403755869</v>
      </c>
      <c r="AU260" s="56">
        <f t="shared" si="259"/>
        <v>0.176056338028169</v>
      </c>
      <c r="AV260" s="56">
        <f t="shared" si="235"/>
        <v>5.8685446009389672E-2</v>
      </c>
      <c r="AW260" s="57" t="s">
        <v>2511</v>
      </c>
      <c r="AX260" s="57" t="s">
        <v>2512</v>
      </c>
      <c r="AY260" s="57" t="s">
        <v>2513</v>
      </c>
      <c r="AZ260" s="58">
        <f t="shared" si="236"/>
        <v>0</v>
      </c>
      <c r="BA260" s="59">
        <f t="shared" si="240"/>
        <v>0</v>
      </c>
      <c r="BB260" s="59">
        <f t="shared" si="241"/>
        <v>0</v>
      </c>
      <c r="BC260" s="59">
        <f t="shared" si="242"/>
        <v>0</v>
      </c>
      <c r="BD260" s="60">
        <f t="shared" si="237"/>
        <v>7.1095438516664771E-6</v>
      </c>
      <c r="BE260" s="59">
        <f t="shared" si="238"/>
        <v>7.1095438516664771E-6</v>
      </c>
      <c r="BQ260" s="61">
        <v>3000</v>
      </c>
      <c r="BR260" s="61">
        <v>1200</v>
      </c>
      <c r="BS260" s="28">
        <f t="shared" si="260"/>
        <v>2980</v>
      </c>
      <c r="BT260" s="28">
        <f t="shared" si="261"/>
        <v>1180</v>
      </c>
      <c r="BU260" s="28" t="s">
        <v>2541</v>
      </c>
      <c r="BV260" s="28">
        <f t="shared" si="262"/>
        <v>5</v>
      </c>
      <c r="BW260" s="28">
        <f t="shared" si="263"/>
        <v>5</v>
      </c>
      <c r="BX260" s="13">
        <f t="shared" si="264"/>
        <v>596</v>
      </c>
      <c r="BY260" s="13">
        <f t="shared" si="265"/>
        <v>596</v>
      </c>
      <c r="BZ260" s="13">
        <f t="shared" si="266"/>
        <v>236</v>
      </c>
      <c r="CA260" s="13">
        <f t="shared" si="267"/>
        <v>236</v>
      </c>
      <c r="CB260" s="13">
        <f t="shared" si="268"/>
        <v>140656</v>
      </c>
      <c r="CC260" s="62">
        <f t="shared" si="269"/>
        <v>7.1095438516664771E-6</v>
      </c>
      <c r="CD260" s="13">
        <f t="shared" si="270"/>
        <v>596</v>
      </c>
      <c r="CE260" s="13">
        <f t="shared" si="271"/>
        <v>596</v>
      </c>
      <c r="CF260" s="13">
        <f t="shared" si="272"/>
        <v>236</v>
      </c>
      <c r="CG260" s="13">
        <f t="shared" si="273"/>
        <v>236</v>
      </c>
      <c r="CH260" s="28">
        <f t="shared" si="274"/>
        <v>140656</v>
      </c>
      <c r="CI260" s="62">
        <f t="shared" si="275"/>
        <v>7.1095438516664771E-6</v>
      </c>
      <c r="CJ260" s="59">
        <f t="shared" si="276"/>
        <v>7.1095438516664771E-6</v>
      </c>
      <c r="CL260" s="63">
        <v>6000</v>
      </c>
      <c r="CM260" s="63">
        <f t="shared" si="277"/>
        <v>0</v>
      </c>
      <c r="CN260" s="63">
        <f t="shared" si="278"/>
        <v>5</v>
      </c>
      <c r="CO260" s="63">
        <f t="shared" si="279"/>
        <v>1200</v>
      </c>
      <c r="CP260" s="13">
        <f t="shared" si="280"/>
        <v>1200</v>
      </c>
      <c r="CQ260" s="70">
        <f t="shared" si="281"/>
        <v>8.3333333333333339E-4</v>
      </c>
      <c r="CR260" s="69">
        <f t="shared" si="249"/>
        <v>8.3333333333333339E-4</v>
      </c>
    </row>
    <row r="261" spans="1:96" hidden="1" x14ac:dyDescent="0.25">
      <c r="A261" s="13">
        <v>4</v>
      </c>
      <c r="B261" s="14" t="s">
        <v>755</v>
      </c>
      <c r="C261" s="13" t="s">
        <v>105</v>
      </c>
      <c r="D261" s="13" t="s">
        <v>106</v>
      </c>
      <c r="E261" s="13" t="s">
        <v>52</v>
      </c>
      <c r="F261" s="15">
        <f t="shared" si="250"/>
        <v>9</v>
      </c>
      <c r="G261" s="13">
        <v>1</v>
      </c>
      <c r="H261" s="13">
        <f t="shared" si="247"/>
        <v>1</v>
      </c>
      <c r="I261" s="13">
        <v>12</v>
      </c>
      <c r="J261" s="14" t="s">
        <v>76</v>
      </c>
      <c r="K261" s="14" t="s">
        <v>34</v>
      </c>
      <c r="L261" s="13" t="s">
        <v>77</v>
      </c>
      <c r="M261" s="14" t="s">
        <v>35</v>
      </c>
      <c r="N261" s="13" t="s">
        <v>106</v>
      </c>
      <c r="O261" s="28" t="s">
        <v>41</v>
      </c>
      <c r="P261" s="28" t="s">
        <v>41</v>
      </c>
      <c r="Q261" s="28" t="s">
        <v>79</v>
      </c>
      <c r="R261" s="30">
        <v>11.023622047244094</v>
      </c>
      <c r="S261" s="30">
        <v>0.3125</v>
      </c>
      <c r="T261" s="30"/>
      <c r="U261" s="30">
        <v>0.3125</v>
      </c>
      <c r="V261" s="8">
        <f t="shared" si="251"/>
        <v>280</v>
      </c>
      <c r="W261" s="8">
        <f t="shared" si="252"/>
        <v>7.9375</v>
      </c>
      <c r="X261" s="8">
        <f t="shared" si="253"/>
        <v>0</v>
      </c>
      <c r="Y261" s="33">
        <f t="shared" si="254"/>
        <v>7.9375</v>
      </c>
      <c r="Z261" s="28" t="s">
        <v>80</v>
      </c>
      <c r="AA261" s="28" t="s">
        <v>81</v>
      </c>
      <c r="AB261" s="61" t="s">
        <v>79</v>
      </c>
      <c r="AC261" s="31" t="s">
        <v>82</v>
      </c>
      <c r="AD261" s="50">
        <f t="shared" si="255"/>
        <v>1</v>
      </c>
      <c r="AE261" s="31"/>
      <c r="AF261" s="51">
        <v>14</v>
      </c>
      <c r="AG261" s="51">
        <f t="shared" si="228"/>
        <v>8.4</v>
      </c>
      <c r="AH261" s="51">
        <f t="shared" si="248"/>
        <v>42</v>
      </c>
      <c r="AI261" s="52" t="s">
        <v>2497</v>
      </c>
      <c r="AJ261" s="52" t="s">
        <v>2498</v>
      </c>
      <c r="AK261" s="53">
        <f t="shared" si="229"/>
        <v>4.4450000000000002E-3</v>
      </c>
      <c r="AL261" s="54">
        <f t="shared" si="230"/>
        <v>0.11904761904761904</v>
      </c>
      <c r="AM261" s="54">
        <f t="shared" si="231"/>
        <v>2.3809523809523808E-2</v>
      </c>
      <c r="AN261" s="55">
        <f t="shared" si="232"/>
        <v>5.2916666666666661E-4</v>
      </c>
      <c r="AO261" s="55">
        <f t="shared" si="233"/>
        <v>1.0583333333333334E-4</v>
      </c>
      <c r="AP261" s="53">
        <v>7.1</v>
      </c>
      <c r="AQ261" s="53">
        <f t="shared" si="256"/>
        <v>4.26</v>
      </c>
      <c r="AR261" s="53">
        <f t="shared" si="257"/>
        <v>21.299999999999997</v>
      </c>
      <c r="AS261" s="56">
        <f t="shared" si="258"/>
        <v>4.6948356807511742E-2</v>
      </c>
      <c r="AT261" s="56">
        <f t="shared" si="234"/>
        <v>0.23474178403755869</v>
      </c>
      <c r="AU261" s="56">
        <f t="shared" si="259"/>
        <v>0.176056338028169</v>
      </c>
      <c r="AV261" s="56">
        <f t="shared" si="235"/>
        <v>5.8685446009389672E-2</v>
      </c>
      <c r="AW261" s="57" t="s">
        <v>2511</v>
      </c>
      <c r="AX261" s="57" t="s">
        <v>2512</v>
      </c>
      <c r="AY261" s="57" t="s">
        <v>2513</v>
      </c>
      <c r="AZ261" s="58">
        <f t="shared" si="236"/>
        <v>4.4450000000000002E-3</v>
      </c>
      <c r="BA261" s="59">
        <f t="shared" si="240"/>
        <v>1.3042840375586856E-4</v>
      </c>
      <c r="BB261" s="59">
        <f t="shared" si="241"/>
        <v>3.9128521126760563E-4</v>
      </c>
      <c r="BC261" s="59">
        <f t="shared" si="242"/>
        <v>1.0434272300469485E-4</v>
      </c>
      <c r="BD261" s="60">
        <f t="shared" si="237"/>
        <v>1.0869565217391304E-3</v>
      </c>
      <c r="BE261" s="59">
        <f t="shared" si="238"/>
        <v>1.0869565217391304E-3</v>
      </c>
      <c r="BQ261" s="61">
        <v>3000</v>
      </c>
      <c r="BR261" s="61">
        <v>1200</v>
      </c>
      <c r="BS261" s="28">
        <f t="shared" si="260"/>
        <v>2980</v>
      </c>
      <c r="BT261" s="28">
        <f t="shared" si="261"/>
        <v>1180</v>
      </c>
      <c r="BU261" s="28" t="s">
        <v>2541</v>
      </c>
      <c r="BV261" s="28">
        <f t="shared" si="262"/>
        <v>285</v>
      </c>
      <c r="BW261" s="28">
        <f t="shared" si="263"/>
        <v>12.9375</v>
      </c>
      <c r="BX261" s="13">
        <f t="shared" si="264"/>
        <v>10.456140350877194</v>
      </c>
      <c r="BY261" s="13">
        <f t="shared" si="265"/>
        <v>10</v>
      </c>
      <c r="BZ261" s="13">
        <f t="shared" si="266"/>
        <v>91.207729468599027</v>
      </c>
      <c r="CA261" s="13">
        <f t="shared" si="267"/>
        <v>91</v>
      </c>
      <c r="CB261" s="13">
        <f t="shared" si="268"/>
        <v>910</v>
      </c>
      <c r="CC261" s="62">
        <f t="shared" si="269"/>
        <v>1.0989010989010989E-3</v>
      </c>
      <c r="CD261" s="13">
        <f t="shared" si="270"/>
        <v>230.33816425120773</v>
      </c>
      <c r="CE261" s="13">
        <f t="shared" si="271"/>
        <v>230</v>
      </c>
      <c r="CF261" s="13">
        <f t="shared" si="272"/>
        <v>4.1403508771929829</v>
      </c>
      <c r="CG261" s="13">
        <f t="shared" si="273"/>
        <v>4</v>
      </c>
      <c r="CH261" s="28">
        <f t="shared" si="274"/>
        <v>920</v>
      </c>
      <c r="CI261" s="62">
        <f t="shared" si="275"/>
        <v>1.0869565217391304E-3</v>
      </c>
      <c r="CJ261" s="59">
        <f t="shared" si="276"/>
        <v>1.0869565217391304E-3</v>
      </c>
      <c r="CL261" s="63">
        <v>6000</v>
      </c>
      <c r="CM261" s="63">
        <f t="shared" si="277"/>
        <v>280</v>
      </c>
      <c r="CN261" s="63">
        <f t="shared" si="278"/>
        <v>285</v>
      </c>
      <c r="CO261" s="63">
        <f t="shared" si="279"/>
        <v>21.05263157894737</v>
      </c>
      <c r="CP261" s="13">
        <f t="shared" si="280"/>
        <v>21</v>
      </c>
      <c r="CQ261" s="70">
        <f t="shared" si="281"/>
        <v>4.7619047619047616E-2</v>
      </c>
      <c r="CR261" s="69">
        <f t="shared" si="249"/>
        <v>4.7619047619047616E-2</v>
      </c>
    </row>
    <row r="262" spans="1:96" hidden="1" x14ac:dyDescent="0.25">
      <c r="A262" s="13">
        <v>4</v>
      </c>
      <c r="B262" s="14" t="s">
        <v>755</v>
      </c>
      <c r="C262" s="13" t="s">
        <v>777</v>
      </c>
      <c r="D262" s="13" t="s">
        <v>779</v>
      </c>
      <c r="E262" s="13" t="s">
        <v>52</v>
      </c>
      <c r="F262" s="15">
        <f t="shared" si="250"/>
        <v>2</v>
      </c>
      <c r="G262" s="13">
        <v>1</v>
      </c>
      <c r="H262" s="13">
        <f t="shared" si="247"/>
        <v>1</v>
      </c>
      <c r="I262" s="13">
        <v>13</v>
      </c>
      <c r="J262" s="14" t="s">
        <v>778</v>
      </c>
      <c r="K262" s="14" t="s">
        <v>34</v>
      </c>
      <c r="L262" s="13" t="s">
        <v>77</v>
      </c>
      <c r="M262" s="14" t="s">
        <v>35</v>
      </c>
      <c r="N262" s="13" t="s">
        <v>779</v>
      </c>
      <c r="O262" s="28" t="s">
        <v>41</v>
      </c>
      <c r="P262" s="28" t="s">
        <v>41</v>
      </c>
      <c r="Q262" s="28" t="s">
        <v>79</v>
      </c>
      <c r="R262" s="30">
        <v>9.1023622047244093</v>
      </c>
      <c r="S262" s="30">
        <v>0.3125</v>
      </c>
      <c r="T262" s="30"/>
      <c r="U262" s="30">
        <v>0.3125</v>
      </c>
      <c r="V262" s="8">
        <f t="shared" si="251"/>
        <v>231.2</v>
      </c>
      <c r="W262" s="8">
        <f t="shared" si="252"/>
        <v>7.9375</v>
      </c>
      <c r="X262" s="8">
        <f t="shared" si="253"/>
        <v>0</v>
      </c>
      <c r="Y262" s="33">
        <f t="shared" si="254"/>
        <v>7.9375</v>
      </c>
      <c r="Z262" s="28" t="s">
        <v>80</v>
      </c>
      <c r="AA262" s="28" t="s">
        <v>81</v>
      </c>
      <c r="AB262" s="61" t="s">
        <v>79</v>
      </c>
      <c r="AC262" s="31" t="s">
        <v>82</v>
      </c>
      <c r="AD262" s="50">
        <f t="shared" si="255"/>
        <v>1</v>
      </c>
      <c r="AE262" s="31"/>
      <c r="AF262" s="51">
        <v>14</v>
      </c>
      <c r="AG262" s="51">
        <f t="shared" ref="AG262:AG325" si="282">AF262*0.6</f>
        <v>8.4</v>
      </c>
      <c r="AH262" s="51">
        <f t="shared" si="248"/>
        <v>42</v>
      </c>
      <c r="AI262" s="52" t="s">
        <v>2497</v>
      </c>
      <c r="AJ262" s="52" t="s">
        <v>2498</v>
      </c>
      <c r="AK262" s="53">
        <f t="shared" ref="AK262:AK325" si="283">(V262*W262)*2/1000000</f>
        <v>3.6702999999999996E-3</v>
      </c>
      <c r="AL262" s="54">
        <f t="shared" ref="AL262:AL325" si="284">1/(AF262*0.6)</f>
        <v>0.11904761904761904</v>
      </c>
      <c r="AM262" s="54">
        <f t="shared" ref="AM262:AM325" si="285">1/AG262*(20/100)</f>
        <v>2.3809523809523808E-2</v>
      </c>
      <c r="AN262" s="55">
        <f t="shared" ref="AN262:AN325" si="286">IF(AI262&lt;&gt;0,(AK262*AL262*AD262),0)</f>
        <v>4.3694047619047613E-4</v>
      </c>
      <c r="AO262" s="55">
        <f t="shared" ref="AO262:AO325" si="287">IF(AJ262&lt;&gt;0,(AK262*AM262*AD262),0)</f>
        <v>8.7388095238095226E-5</v>
      </c>
      <c r="AP262" s="53">
        <v>7.1</v>
      </c>
      <c r="AQ262" s="53">
        <f t="shared" si="256"/>
        <v>4.26</v>
      </c>
      <c r="AR262" s="53">
        <f t="shared" si="257"/>
        <v>21.299999999999997</v>
      </c>
      <c r="AS262" s="56">
        <f t="shared" si="258"/>
        <v>4.6948356807511742E-2</v>
      </c>
      <c r="AT262" s="56">
        <f t="shared" ref="AT262:AT325" si="288">1/AQ262</f>
        <v>0.23474178403755869</v>
      </c>
      <c r="AU262" s="56">
        <f t="shared" si="259"/>
        <v>0.176056338028169</v>
      </c>
      <c r="AV262" s="56">
        <f t="shared" ref="AV262:AV325" si="289">AT262*0.25</f>
        <v>5.8685446009389672E-2</v>
      </c>
      <c r="AW262" s="57" t="s">
        <v>2511</v>
      </c>
      <c r="AX262" s="57" t="s">
        <v>2512</v>
      </c>
      <c r="AY262" s="57" t="s">
        <v>2513</v>
      </c>
      <c r="AZ262" s="58">
        <f t="shared" ref="AZ262:AZ325" si="290">(V262*W262)*2/1000000</f>
        <v>3.6702999999999996E-3</v>
      </c>
      <c r="BA262" s="59">
        <f t="shared" si="240"/>
        <v>1.0769659624413144E-4</v>
      </c>
      <c r="BB262" s="59">
        <f t="shared" si="241"/>
        <v>3.2308978873239432E-4</v>
      </c>
      <c r="BC262" s="59">
        <f t="shared" si="242"/>
        <v>8.615727699530516E-5</v>
      </c>
      <c r="BD262" s="60">
        <f t="shared" ref="BD262:BD325" si="291">CJ262</f>
        <v>9.1575091575091575E-4</v>
      </c>
      <c r="BE262" s="59">
        <f t="shared" ref="BE262:BE325" si="292">BD262*AD262</f>
        <v>9.1575091575091575E-4</v>
      </c>
      <c r="BQ262" s="61">
        <v>3000</v>
      </c>
      <c r="BR262" s="61">
        <v>1200</v>
      </c>
      <c r="BS262" s="28">
        <f t="shared" si="260"/>
        <v>2980</v>
      </c>
      <c r="BT262" s="28">
        <f t="shared" si="261"/>
        <v>1180</v>
      </c>
      <c r="BU262" s="28" t="s">
        <v>2541</v>
      </c>
      <c r="BV262" s="28">
        <f t="shared" si="262"/>
        <v>236.2</v>
      </c>
      <c r="BW262" s="28">
        <f t="shared" si="263"/>
        <v>12.9375</v>
      </c>
      <c r="BX262" s="13">
        <f t="shared" si="264"/>
        <v>12.616426756985605</v>
      </c>
      <c r="BY262" s="13">
        <f t="shared" si="265"/>
        <v>12</v>
      </c>
      <c r="BZ262" s="13">
        <f t="shared" si="266"/>
        <v>91.207729468599027</v>
      </c>
      <c r="CA262" s="13">
        <f t="shared" si="267"/>
        <v>91</v>
      </c>
      <c r="CB262" s="13">
        <f t="shared" si="268"/>
        <v>1092</v>
      </c>
      <c r="CC262" s="62">
        <f t="shared" si="269"/>
        <v>9.1575091575091575E-4</v>
      </c>
      <c r="CD262" s="13">
        <f t="shared" si="270"/>
        <v>230.33816425120773</v>
      </c>
      <c r="CE262" s="13">
        <f t="shared" si="271"/>
        <v>230</v>
      </c>
      <c r="CF262" s="13">
        <f t="shared" si="272"/>
        <v>4.995766299745978</v>
      </c>
      <c r="CG262" s="13">
        <f t="shared" si="273"/>
        <v>4</v>
      </c>
      <c r="CH262" s="28">
        <f t="shared" si="274"/>
        <v>920</v>
      </c>
      <c r="CI262" s="62">
        <f t="shared" si="275"/>
        <v>1.0869565217391304E-3</v>
      </c>
      <c r="CJ262" s="59">
        <f t="shared" si="276"/>
        <v>9.1575091575091575E-4</v>
      </c>
      <c r="CL262" s="63">
        <v>6000</v>
      </c>
      <c r="CM262" s="63">
        <f t="shared" si="277"/>
        <v>231.2</v>
      </c>
      <c r="CN262" s="63">
        <f t="shared" si="278"/>
        <v>236.2</v>
      </c>
      <c r="CO262" s="63">
        <f t="shared" si="279"/>
        <v>25.402201524132092</v>
      </c>
      <c r="CP262" s="13">
        <f t="shared" si="280"/>
        <v>25</v>
      </c>
      <c r="CQ262" s="70">
        <f t="shared" si="281"/>
        <v>0.04</v>
      </c>
      <c r="CR262" s="69">
        <f t="shared" si="249"/>
        <v>0.04</v>
      </c>
    </row>
    <row r="263" spans="1:96" hidden="1" x14ac:dyDescent="0.25">
      <c r="A263" s="13">
        <v>4</v>
      </c>
      <c r="B263" s="14" t="s">
        <v>755</v>
      </c>
      <c r="C263" s="13" t="s">
        <v>780</v>
      </c>
      <c r="D263" s="13" t="s">
        <v>2270</v>
      </c>
      <c r="E263" s="13" t="s">
        <v>52</v>
      </c>
      <c r="F263" s="15">
        <f t="shared" si="250"/>
        <v>1</v>
      </c>
      <c r="G263" s="13">
        <v>1</v>
      </c>
      <c r="H263" s="13">
        <f t="shared" si="247"/>
        <v>1</v>
      </c>
      <c r="I263" s="13">
        <v>14</v>
      </c>
      <c r="J263" s="14" t="s">
        <v>781</v>
      </c>
      <c r="K263" s="14" t="s">
        <v>34</v>
      </c>
      <c r="L263" s="13">
        <v>0</v>
      </c>
      <c r="M263" s="14" t="s">
        <v>35</v>
      </c>
      <c r="N263" s="13" t="s">
        <v>782</v>
      </c>
      <c r="O263" s="28" t="s">
        <v>41</v>
      </c>
      <c r="P263" s="28" t="s">
        <v>41</v>
      </c>
      <c r="Q263" s="28"/>
      <c r="R263" s="30"/>
      <c r="S263" s="30"/>
      <c r="T263" s="30"/>
      <c r="U263" s="30"/>
      <c r="V263" s="8">
        <f t="shared" si="251"/>
        <v>0</v>
      </c>
      <c r="W263" s="8">
        <f t="shared" si="252"/>
        <v>0</v>
      </c>
      <c r="X263" s="8">
        <f t="shared" si="253"/>
        <v>0</v>
      </c>
      <c r="Y263" s="33">
        <f t="shared" si="254"/>
        <v>0</v>
      </c>
      <c r="Z263" s="28"/>
      <c r="AA263" s="28"/>
      <c r="AB263" s="28">
        <v>0</v>
      </c>
      <c r="AC263" s="31"/>
      <c r="AD263" s="50">
        <f t="shared" si="255"/>
        <v>1</v>
      </c>
      <c r="AE263" s="31"/>
      <c r="AF263" s="51">
        <v>14</v>
      </c>
      <c r="AG263" s="51">
        <f t="shared" si="282"/>
        <v>8.4</v>
      </c>
      <c r="AH263" s="51">
        <f t="shared" si="248"/>
        <v>42</v>
      </c>
      <c r="AI263" s="52" t="s">
        <v>2497</v>
      </c>
      <c r="AJ263" s="52" t="s">
        <v>2498</v>
      </c>
      <c r="AK263" s="53">
        <f t="shared" si="283"/>
        <v>0</v>
      </c>
      <c r="AL263" s="54">
        <f t="shared" si="284"/>
        <v>0.11904761904761904</v>
      </c>
      <c r="AM263" s="54">
        <f t="shared" si="285"/>
        <v>2.3809523809523808E-2</v>
      </c>
      <c r="AN263" s="55">
        <f t="shared" si="286"/>
        <v>0</v>
      </c>
      <c r="AO263" s="55">
        <f t="shared" si="287"/>
        <v>0</v>
      </c>
      <c r="AP263" s="53">
        <v>7.1</v>
      </c>
      <c r="AQ263" s="53">
        <f t="shared" si="256"/>
        <v>4.26</v>
      </c>
      <c r="AR263" s="53">
        <f t="shared" si="257"/>
        <v>21.299999999999997</v>
      </c>
      <c r="AS263" s="56">
        <f t="shared" si="258"/>
        <v>4.6948356807511742E-2</v>
      </c>
      <c r="AT263" s="56">
        <f t="shared" si="288"/>
        <v>0.23474178403755869</v>
      </c>
      <c r="AU263" s="56">
        <f t="shared" si="259"/>
        <v>0.176056338028169</v>
      </c>
      <c r="AV263" s="56">
        <f t="shared" si="289"/>
        <v>5.8685446009389672E-2</v>
      </c>
      <c r="AW263" s="57" t="s">
        <v>2511</v>
      </c>
      <c r="AX263" s="57" t="s">
        <v>2512</v>
      </c>
      <c r="AY263" s="57" t="s">
        <v>2513</v>
      </c>
      <c r="AZ263" s="58">
        <f t="shared" si="290"/>
        <v>0</v>
      </c>
      <c r="BA263" s="59">
        <f t="shared" si="240"/>
        <v>0</v>
      </c>
      <c r="BB263" s="59">
        <f t="shared" si="241"/>
        <v>0</v>
      </c>
      <c r="BC263" s="59">
        <f t="shared" si="242"/>
        <v>0</v>
      </c>
      <c r="BD263" s="60">
        <f t="shared" si="291"/>
        <v>7.1095438516664771E-6</v>
      </c>
      <c r="BE263" s="59">
        <f t="shared" si="292"/>
        <v>7.1095438516664771E-6</v>
      </c>
      <c r="BQ263" s="61">
        <v>3000</v>
      </c>
      <c r="BR263" s="61">
        <v>1200</v>
      </c>
      <c r="BS263" s="28">
        <f t="shared" si="260"/>
        <v>2980</v>
      </c>
      <c r="BT263" s="28">
        <f t="shared" si="261"/>
        <v>1180</v>
      </c>
      <c r="BU263" s="28" t="s">
        <v>2541</v>
      </c>
      <c r="BV263" s="28">
        <f t="shared" si="262"/>
        <v>5</v>
      </c>
      <c r="BW263" s="28">
        <f t="shared" si="263"/>
        <v>5</v>
      </c>
      <c r="BX263" s="13">
        <f t="shared" si="264"/>
        <v>596</v>
      </c>
      <c r="BY263" s="13">
        <f t="shared" si="265"/>
        <v>596</v>
      </c>
      <c r="BZ263" s="13">
        <f t="shared" si="266"/>
        <v>236</v>
      </c>
      <c r="CA263" s="13">
        <f t="shared" si="267"/>
        <v>236</v>
      </c>
      <c r="CB263" s="13">
        <f t="shared" si="268"/>
        <v>140656</v>
      </c>
      <c r="CC263" s="62">
        <f t="shared" si="269"/>
        <v>7.1095438516664771E-6</v>
      </c>
      <c r="CD263" s="13">
        <f t="shared" si="270"/>
        <v>596</v>
      </c>
      <c r="CE263" s="13">
        <f t="shared" si="271"/>
        <v>596</v>
      </c>
      <c r="CF263" s="13">
        <f t="shared" si="272"/>
        <v>236</v>
      </c>
      <c r="CG263" s="13">
        <f t="shared" si="273"/>
        <v>236</v>
      </c>
      <c r="CH263" s="28">
        <f t="shared" si="274"/>
        <v>140656</v>
      </c>
      <c r="CI263" s="62">
        <f t="shared" si="275"/>
        <v>7.1095438516664771E-6</v>
      </c>
      <c r="CJ263" s="59">
        <f t="shared" si="276"/>
        <v>7.1095438516664771E-6</v>
      </c>
      <c r="CL263" s="63">
        <v>6000</v>
      </c>
      <c r="CM263" s="63">
        <f t="shared" si="277"/>
        <v>0</v>
      </c>
      <c r="CN263" s="63">
        <f t="shared" si="278"/>
        <v>5</v>
      </c>
      <c r="CO263" s="63">
        <f t="shared" si="279"/>
        <v>1200</v>
      </c>
      <c r="CP263" s="13">
        <f t="shared" si="280"/>
        <v>1200</v>
      </c>
      <c r="CQ263" s="70">
        <f t="shared" si="281"/>
        <v>8.3333333333333339E-4</v>
      </c>
      <c r="CR263" s="69">
        <f t="shared" si="249"/>
        <v>8.3333333333333339E-4</v>
      </c>
    </row>
    <row r="264" spans="1:96" hidden="1" x14ac:dyDescent="0.25">
      <c r="A264" s="17">
        <v>5</v>
      </c>
      <c r="B264" s="6" t="s">
        <v>783</v>
      </c>
      <c r="C264" s="17" t="s">
        <v>784</v>
      </c>
      <c r="D264" s="17" t="s">
        <v>2270</v>
      </c>
      <c r="E264" s="17" t="s">
        <v>52</v>
      </c>
      <c r="F264" s="7">
        <f t="shared" si="250"/>
        <v>1</v>
      </c>
      <c r="G264" s="17">
        <v>1</v>
      </c>
      <c r="H264" s="17">
        <f>G264*$H$263</f>
        <v>1</v>
      </c>
      <c r="I264" s="17">
        <v>1</v>
      </c>
      <c r="J264" s="6" t="s">
        <v>503</v>
      </c>
      <c r="K264" s="6" t="s">
        <v>34</v>
      </c>
      <c r="L264" s="17">
        <v>0</v>
      </c>
      <c r="M264" s="6" t="s">
        <v>35</v>
      </c>
      <c r="N264" s="17" t="s">
        <v>785</v>
      </c>
      <c r="O264" s="28" t="s">
        <v>41</v>
      </c>
      <c r="P264" s="28" t="s">
        <v>41</v>
      </c>
      <c r="Q264" s="28" t="s">
        <v>116</v>
      </c>
      <c r="R264" s="30">
        <v>2.806</v>
      </c>
      <c r="S264" s="30">
        <v>1.5</v>
      </c>
      <c r="T264" s="30"/>
      <c r="U264" s="30">
        <v>0.12</v>
      </c>
      <c r="V264" s="8">
        <f t="shared" si="251"/>
        <v>71.27239999999999</v>
      </c>
      <c r="W264" s="8">
        <f t="shared" si="252"/>
        <v>38.099999999999994</v>
      </c>
      <c r="X264" s="8">
        <f t="shared" si="253"/>
        <v>0</v>
      </c>
      <c r="Y264" s="33">
        <f t="shared" si="254"/>
        <v>3.0479999999999996</v>
      </c>
      <c r="Z264" s="28" t="s">
        <v>56</v>
      </c>
      <c r="AA264" s="28" t="s">
        <v>57</v>
      </c>
      <c r="AB264" s="28" t="s">
        <v>116</v>
      </c>
      <c r="AC264" s="31" t="s">
        <v>117</v>
      </c>
      <c r="AD264" s="50">
        <f t="shared" si="255"/>
        <v>1</v>
      </c>
      <c r="AE264" s="31"/>
      <c r="AF264" s="51">
        <v>14</v>
      </c>
      <c r="AG264" s="51">
        <f t="shared" si="282"/>
        <v>8.4</v>
      </c>
      <c r="AH264" s="51">
        <f t="shared" si="248"/>
        <v>42</v>
      </c>
      <c r="AI264" s="52" t="s">
        <v>2497</v>
      </c>
      <c r="AJ264" s="52" t="s">
        <v>2498</v>
      </c>
      <c r="AK264" s="53">
        <f t="shared" si="283"/>
        <v>5.4309568799999989E-3</v>
      </c>
      <c r="AL264" s="54">
        <f t="shared" si="284"/>
        <v>0.11904761904761904</v>
      </c>
      <c r="AM264" s="54">
        <f t="shared" si="285"/>
        <v>2.3809523809523808E-2</v>
      </c>
      <c r="AN264" s="55">
        <f t="shared" si="286"/>
        <v>6.4654248571428558E-4</v>
      </c>
      <c r="AO264" s="55">
        <f t="shared" si="287"/>
        <v>1.2930849714285712E-4</v>
      </c>
      <c r="AP264" s="53">
        <v>7.1</v>
      </c>
      <c r="AQ264" s="53">
        <f t="shared" si="256"/>
        <v>4.26</v>
      </c>
      <c r="AR264" s="53">
        <f t="shared" si="257"/>
        <v>21.299999999999997</v>
      </c>
      <c r="AS264" s="56">
        <f t="shared" si="258"/>
        <v>4.6948356807511742E-2</v>
      </c>
      <c r="AT264" s="56">
        <f t="shared" si="288"/>
        <v>0.23474178403755869</v>
      </c>
      <c r="AU264" s="56">
        <f t="shared" si="259"/>
        <v>0.176056338028169</v>
      </c>
      <c r="AV264" s="56">
        <f t="shared" si="289"/>
        <v>5.8685446009389672E-2</v>
      </c>
      <c r="AW264" s="57" t="s">
        <v>2511</v>
      </c>
      <c r="AX264" s="57" t="s">
        <v>2512</v>
      </c>
      <c r="AY264" s="57" t="s">
        <v>2513</v>
      </c>
      <c r="AZ264" s="58">
        <f t="shared" si="290"/>
        <v>5.4309568799999989E-3</v>
      </c>
      <c r="BA264" s="59">
        <f t="shared" ref="BA264:BA327" si="293">IF(AW264&lt;&gt;0,((AV264*AD264*AK264)/2),0)</f>
        <v>1.5935906338028166E-4</v>
      </c>
      <c r="BB264" s="59">
        <f t="shared" ref="BB264:BB327" si="294">IF(AX264&lt;&gt;0,((AD264*AU264*AZ264)/2),0)</f>
        <v>4.7807719014084495E-4</v>
      </c>
      <c r="BC264" s="59">
        <f t="shared" ref="BC264:BC327" si="295">IF(AY264&lt;&gt;0,((AD264*AS264*AZ264)/2),0)</f>
        <v>1.2748725070422533E-4</v>
      </c>
      <c r="BD264" s="60">
        <f t="shared" si="291"/>
        <v>9.4966761633428305E-4</v>
      </c>
      <c r="BE264" s="59">
        <f t="shared" si="292"/>
        <v>9.4966761633428305E-4</v>
      </c>
      <c r="BQ264" s="61">
        <v>3000</v>
      </c>
      <c r="BR264" s="61">
        <v>1200</v>
      </c>
      <c r="BS264" s="28">
        <f t="shared" si="260"/>
        <v>2980</v>
      </c>
      <c r="BT264" s="28">
        <f t="shared" si="261"/>
        <v>1180</v>
      </c>
      <c r="BU264" s="28" t="s">
        <v>2541</v>
      </c>
      <c r="BV264" s="28">
        <f t="shared" si="262"/>
        <v>76.27239999999999</v>
      </c>
      <c r="BW264" s="28">
        <f t="shared" si="263"/>
        <v>43.099999999999994</v>
      </c>
      <c r="BX264" s="13">
        <f t="shared" si="264"/>
        <v>39.070489456212215</v>
      </c>
      <c r="BY264" s="13">
        <f t="shared" si="265"/>
        <v>39</v>
      </c>
      <c r="BZ264" s="13">
        <f t="shared" si="266"/>
        <v>27.378190255220421</v>
      </c>
      <c r="CA264" s="13">
        <f t="shared" si="267"/>
        <v>27</v>
      </c>
      <c r="CB264" s="13">
        <f t="shared" si="268"/>
        <v>1053</v>
      </c>
      <c r="CC264" s="62">
        <f t="shared" si="269"/>
        <v>9.4966761633428305E-4</v>
      </c>
      <c r="CD264" s="13">
        <f t="shared" si="270"/>
        <v>69.141531322505813</v>
      </c>
      <c r="CE264" s="13">
        <f t="shared" si="271"/>
        <v>69</v>
      </c>
      <c r="CF264" s="13">
        <f t="shared" si="272"/>
        <v>15.47086495245987</v>
      </c>
      <c r="CG264" s="13">
        <f t="shared" si="273"/>
        <v>15</v>
      </c>
      <c r="CH264" s="28">
        <f t="shared" si="274"/>
        <v>1035</v>
      </c>
      <c r="CI264" s="62">
        <f t="shared" si="275"/>
        <v>9.6618357487922703E-4</v>
      </c>
      <c r="CJ264" s="59">
        <f t="shared" si="276"/>
        <v>9.4966761633428305E-4</v>
      </c>
      <c r="CL264" s="63">
        <v>6000</v>
      </c>
      <c r="CM264" s="63">
        <f t="shared" si="277"/>
        <v>71.27239999999999</v>
      </c>
      <c r="CN264" s="63">
        <f t="shared" si="278"/>
        <v>76.27239999999999</v>
      </c>
      <c r="CO264" s="63">
        <f t="shared" si="279"/>
        <v>78.665415012507808</v>
      </c>
      <c r="CP264" s="13">
        <f t="shared" si="280"/>
        <v>78</v>
      </c>
      <c r="CQ264" s="70">
        <f t="shared" si="281"/>
        <v>1.282051282051282E-2</v>
      </c>
      <c r="CR264" s="69">
        <f t="shared" si="249"/>
        <v>1.282051282051282E-2</v>
      </c>
    </row>
    <row r="265" spans="1:96" hidden="1" x14ac:dyDescent="0.25">
      <c r="A265" s="17">
        <v>5</v>
      </c>
      <c r="B265" s="6" t="s">
        <v>783</v>
      </c>
      <c r="C265" s="17" t="s">
        <v>307</v>
      </c>
      <c r="D265" s="17" t="s">
        <v>309</v>
      </c>
      <c r="E265" s="17" t="s">
        <v>52</v>
      </c>
      <c r="F265" s="7">
        <f t="shared" si="250"/>
        <v>2</v>
      </c>
      <c r="G265" s="17">
        <v>1</v>
      </c>
      <c r="H265" s="17">
        <f>G265*$H$263</f>
        <v>1</v>
      </c>
      <c r="I265" s="17">
        <v>2</v>
      </c>
      <c r="J265" s="6" t="s">
        <v>308</v>
      </c>
      <c r="K265" s="6" t="s">
        <v>34</v>
      </c>
      <c r="L265" s="17" t="s">
        <v>223</v>
      </c>
      <c r="M265" s="6" t="s">
        <v>35</v>
      </c>
      <c r="N265" s="17" t="s">
        <v>309</v>
      </c>
      <c r="O265" s="28" t="s">
        <v>41</v>
      </c>
      <c r="P265" s="28" t="s">
        <v>41</v>
      </c>
      <c r="Q265" s="28" t="s">
        <v>309</v>
      </c>
      <c r="R265" s="30"/>
      <c r="S265" s="30"/>
      <c r="T265" s="30"/>
      <c r="U265" s="30"/>
      <c r="V265" s="8">
        <f t="shared" si="251"/>
        <v>0</v>
      </c>
      <c r="W265" s="8">
        <f t="shared" si="252"/>
        <v>0</v>
      </c>
      <c r="X265" s="8">
        <f t="shared" si="253"/>
        <v>0</v>
      </c>
      <c r="Y265" s="33">
        <f t="shared" si="254"/>
        <v>0</v>
      </c>
      <c r="Z265" s="28"/>
      <c r="AA265" s="28"/>
      <c r="AB265" s="61" t="s">
        <v>309</v>
      </c>
      <c r="AC265" s="31" t="s">
        <v>310</v>
      </c>
      <c r="AD265" s="50">
        <f t="shared" si="255"/>
        <v>1</v>
      </c>
      <c r="AE265" s="31"/>
      <c r="AF265" s="51">
        <v>14</v>
      </c>
      <c r="AG265" s="51">
        <f t="shared" si="282"/>
        <v>8.4</v>
      </c>
      <c r="AH265" s="51">
        <f t="shared" si="248"/>
        <v>42</v>
      </c>
      <c r="AI265" s="52" t="s">
        <v>2497</v>
      </c>
      <c r="AJ265" s="52" t="s">
        <v>2498</v>
      </c>
      <c r="AK265" s="53">
        <f t="shared" si="283"/>
        <v>0</v>
      </c>
      <c r="AL265" s="54">
        <f t="shared" si="284"/>
        <v>0.11904761904761904</v>
      </c>
      <c r="AM265" s="54">
        <f t="shared" si="285"/>
        <v>2.3809523809523808E-2</v>
      </c>
      <c r="AN265" s="55">
        <f t="shared" si="286"/>
        <v>0</v>
      </c>
      <c r="AO265" s="55">
        <f t="shared" si="287"/>
        <v>0</v>
      </c>
      <c r="AP265" s="53">
        <v>7.1</v>
      </c>
      <c r="AQ265" s="53">
        <f t="shared" si="256"/>
        <v>4.26</v>
      </c>
      <c r="AR265" s="53">
        <f t="shared" si="257"/>
        <v>21.299999999999997</v>
      </c>
      <c r="AS265" s="56">
        <f t="shared" si="258"/>
        <v>4.6948356807511742E-2</v>
      </c>
      <c r="AT265" s="56">
        <f t="shared" si="288"/>
        <v>0.23474178403755869</v>
      </c>
      <c r="AU265" s="56">
        <f t="shared" si="259"/>
        <v>0.176056338028169</v>
      </c>
      <c r="AV265" s="56">
        <f t="shared" si="289"/>
        <v>5.8685446009389672E-2</v>
      </c>
      <c r="AW265" s="57" t="s">
        <v>2511</v>
      </c>
      <c r="AX265" s="57" t="s">
        <v>2512</v>
      </c>
      <c r="AY265" s="57" t="s">
        <v>2513</v>
      </c>
      <c r="AZ265" s="58">
        <f t="shared" si="290"/>
        <v>0</v>
      </c>
      <c r="BA265" s="59">
        <f t="shared" si="293"/>
        <v>0</v>
      </c>
      <c r="BB265" s="59">
        <f t="shared" si="294"/>
        <v>0</v>
      </c>
      <c r="BC265" s="59">
        <f t="shared" si="295"/>
        <v>0</v>
      </c>
      <c r="BD265" s="60">
        <f t="shared" si="291"/>
        <v>7.1095438516664771E-6</v>
      </c>
      <c r="BE265" s="59">
        <f t="shared" si="292"/>
        <v>7.1095438516664771E-6</v>
      </c>
      <c r="BQ265" s="61">
        <v>3000</v>
      </c>
      <c r="BR265" s="61">
        <v>1200</v>
      </c>
      <c r="BS265" s="28">
        <f t="shared" si="260"/>
        <v>2980</v>
      </c>
      <c r="BT265" s="28">
        <f t="shared" si="261"/>
        <v>1180</v>
      </c>
      <c r="BU265" s="28" t="s">
        <v>2541</v>
      </c>
      <c r="BV265" s="28">
        <f t="shared" si="262"/>
        <v>5</v>
      </c>
      <c r="BW265" s="28">
        <f t="shared" si="263"/>
        <v>5</v>
      </c>
      <c r="BX265" s="13">
        <f t="shared" si="264"/>
        <v>596</v>
      </c>
      <c r="BY265" s="13">
        <f t="shared" si="265"/>
        <v>596</v>
      </c>
      <c r="BZ265" s="13">
        <f t="shared" si="266"/>
        <v>236</v>
      </c>
      <c r="CA265" s="13">
        <f t="shared" si="267"/>
        <v>236</v>
      </c>
      <c r="CB265" s="13">
        <f t="shared" si="268"/>
        <v>140656</v>
      </c>
      <c r="CC265" s="62">
        <f t="shared" si="269"/>
        <v>7.1095438516664771E-6</v>
      </c>
      <c r="CD265" s="13">
        <f t="shared" si="270"/>
        <v>596</v>
      </c>
      <c r="CE265" s="13">
        <f t="shared" si="271"/>
        <v>596</v>
      </c>
      <c r="CF265" s="13">
        <f t="shared" si="272"/>
        <v>236</v>
      </c>
      <c r="CG265" s="13">
        <f t="shared" si="273"/>
        <v>236</v>
      </c>
      <c r="CH265" s="28">
        <f t="shared" si="274"/>
        <v>140656</v>
      </c>
      <c r="CI265" s="62">
        <f t="shared" si="275"/>
        <v>7.1095438516664771E-6</v>
      </c>
      <c r="CJ265" s="59">
        <f t="shared" si="276"/>
        <v>7.1095438516664771E-6</v>
      </c>
      <c r="CL265" s="63">
        <v>6000</v>
      </c>
      <c r="CM265" s="63">
        <f t="shared" si="277"/>
        <v>0</v>
      </c>
      <c r="CN265" s="63">
        <f t="shared" si="278"/>
        <v>5</v>
      </c>
      <c r="CO265" s="63">
        <f t="shared" si="279"/>
        <v>1200</v>
      </c>
      <c r="CP265" s="13">
        <f t="shared" si="280"/>
        <v>1200</v>
      </c>
      <c r="CQ265" s="70">
        <f t="shared" si="281"/>
        <v>8.3333333333333339E-4</v>
      </c>
      <c r="CR265" s="69">
        <f t="shared" si="249"/>
        <v>8.3333333333333339E-4</v>
      </c>
    </row>
    <row r="266" spans="1:96" hidden="1" x14ac:dyDescent="0.25">
      <c r="A266" s="13">
        <v>4</v>
      </c>
      <c r="B266" s="14" t="s">
        <v>755</v>
      </c>
      <c r="C266" s="13" t="s">
        <v>786</v>
      </c>
      <c r="D266" s="13" t="s">
        <v>2270</v>
      </c>
      <c r="E266" s="13" t="s">
        <v>32</v>
      </c>
      <c r="F266" s="15">
        <f t="shared" si="250"/>
        <v>3</v>
      </c>
      <c r="G266" s="13">
        <v>1</v>
      </c>
      <c r="H266" s="13">
        <f>G266*$H$245</f>
        <v>1</v>
      </c>
      <c r="I266" s="13">
        <v>15</v>
      </c>
      <c r="J266" s="14" t="s">
        <v>787</v>
      </c>
      <c r="K266" s="14" t="s">
        <v>34</v>
      </c>
      <c r="L266" s="13">
        <v>0</v>
      </c>
      <c r="M266" s="14" t="s">
        <v>35</v>
      </c>
      <c r="N266" s="13" t="s">
        <v>788</v>
      </c>
      <c r="O266" s="28" t="s">
        <v>41</v>
      </c>
      <c r="P266" s="28" t="s">
        <v>41</v>
      </c>
      <c r="Q266" s="28"/>
      <c r="R266" s="30"/>
      <c r="S266" s="30"/>
      <c r="T266" s="30"/>
      <c r="U266" s="30"/>
      <c r="V266" s="8">
        <f t="shared" si="251"/>
        <v>0</v>
      </c>
      <c r="W266" s="8">
        <f t="shared" si="252"/>
        <v>0</v>
      </c>
      <c r="X266" s="8">
        <f t="shared" si="253"/>
        <v>0</v>
      </c>
      <c r="Y266" s="33">
        <f t="shared" si="254"/>
        <v>0</v>
      </c>
      <c r="Z266" s="28"/>
      <c r="AA266" s="28"/>
      <c r="AB266" s="28">
        <v>0</v>
      </c>
      <c r="AC266" s="31"/>
      <c r="AD266" s="50">
        <f t="shared" si="255"/>
        <v>1</v>
      </c>
      <c r="AE266" s="31"/>
      <c r="AF266" s="51">
        <v>14</v>
      </c>
      <c r="AG266" s="51">
        <f t="shared" si="282"/>
        <v>8.4</v>
      </c>
      <c r="AH266" s="51">
        <f t="shared" si="248"/>
        <v>42</v>
      </c>
      <c r="AI266" s="52" t="s">
        <v>2497</v>
      </c>
      <c r="AJ266" s="52" t="s">
        <v>2498</v>
      </c>
      <c r="AK266" s="53">
        <f t="shared" si="283"/>
        <v>0</v>
      </c>
      <c r="AL266" s="54">
        <f t="shared" si="284"/>
        <v>0.11904761904761904</v>
      </c>
      <c r="AM266" s="54">
        <f t="shared" si="285"/>
        <v>2.3809523809523808E-2</v>
      </c>
      <c r="AN266" s="55">
        <f t="shared" si="286"/>
        <v>0</v>
      </c>
      <c r="AO266" s="55">
        <f t="shared" si="287"/>
        <v>0</v>
      </c>
      <c r="AP266" s="53">
        <v>7.1</v>
      </c>
      <c r="AQ266" s="53">
        <f t="shared" si="256"/>
        <v>4.26</v>
      </c>
      <c r="AR266" s="53">
        <f t="shared" si="257"/>
        <v>21.299999999999997</v>
      </c>
      <c r="AS266" s="56">
        <f t="shared" si="258"/>
        <v>4.6948356807511742E-2</v>
      </c>
      <c r="AT266" s="56">
        <f t="shared" si="288"/>
        <v>0.23474178403755869</v>
      </c>
      <c r="AU266" s="56">
        <f t="shared" si="259"/>
        <v>0.176056338028169</v>
      </c>
      <c r="AV266" s="56">
        <f t="shared" si="289"/>
        <v>5.8685446009389672E-2</v>
      </c>
      <c r="AW266" s="57" t="s">
        <v>2511</v>
      </c>
      <c r="AX266" s="57" t="s">
        <v>2512</v>
      </c>
      <c r="AY266" s="57" t="s">
        <v>2513</v>
      </c>
      <c r="AZ266" s="58">
        <f t="shared" si="290"/>
        <v>0</v>
      </c>
      <c r="BA266" s="59">
        <f t="shared" si="293"/>
        <v>0</v>
      </c>
      <c r="BB266" s="59">
        <f t="shared" si="294"/>
        <v>0</v>
      </c>
      <c r="BC266" s="59">
        <f t="shared" si="295"/>
        <v>0</v>
      </c>
      <c r="BD266" s="60">
        <f t="shared" si="291"/>
        <v>0</v>
      </c>
      <c r="BE266" s="59">
        <f t="shared" si="292"/>
        <v>0</v>
      </c>
      <c r="BQ266" s="61">
        <v>3000</v>
      </c>
      <c r="BR266" s="61">
        <v>1200</v>
      </c>
      <c r="BS266" s="28">
        <f t="shared" si="260"/>
        <v>2980</v>
      </c>
      <c r="BT266" s="28">
        <f t="shared" si="261"/>
        <v>1180</v>
      </c>
      <c r="BU266" s="28" t="s">
        <v>2541</v>
      </c>
      <c r="BV266" s="28">
        <f t="shared" si="262"/>
        <v>5</v>
      </c>
      <c r="BW266" s="28">
        <f t="shared" si="263"/>
        <v>5</v>
      </c>
      <c r="BX266" s="13">
        <f t="shared" si="264"/>
        <v>596</v>
      </c>
      <c r="BY266" s="13">
        <f t="shared" si="265"/>
        <v>596</v>
      </c>
      <c r="BZ266" s="13">
        <f t="shared" si="266"/>
        <v>236</v>
      </c>
      <c r="CA266" s="13">
        <f t="shared" si="267"/>
        <v>236</v>
      </c>
      <c r="CB266" s="13">
        <f t="shared" si="268"/>
        <v>140656</v>
      </c>
      <c r="CC266" s="62" t="str">
        <f t="shared" si="269"/>
        <v/>
      </c>
      <c r="CD266" s="13">
        <f t="shared" si="270"/>
        <v>596</v>
      </c>
      <c r="CE266" s="13">
        <f t="shared" si="271"/>
        <v>596</v>
      </c>
      <c r="CF266" s="13">
        <f t="shared" si="272"/>
        <v>236</v>
      </c>
      <c r="CG266" s="13">
        <f t="shared" si="273"/>
        <v>236</v>
      </c>
      <c r="CH266" s="28">
        <f t="shared" si="274"/>
        <v>140656</v>
      </c>
      <c r="CI266" s="62" t="str">
        <f t="shared" si="275"/>
        <v/>
      </c>
      <c r="CJ266" s="59">
        <f t="shared" si="276"/>
        <v>0</v>
      </c>
      <c r="CL266" s="63">
        <v>6000</v>
      </c>
      <c r="CM266" s="63">
        <f t="shared" si="277"/>
        <v>0</v>
      </c>
      <c r="CN266" s="63">
        <f t="shared" si="278"/>
        <v>5</v>
      </c>
      <c r="CO266" s="63">
        <f t="shared" si="279"/>
        <v>1200</v>
      </c>
      <c r="CP266" s="13">
        <f t="shared" si="280"/>
        <v>1200</v>
      </c>
      <c r="CQ266" s="70">
        <f t="shared" si="281"/>
        <v>8.3333333333333339E-4</v>
      </c>
      <c r="CR266" s="69">
        <f t="shared" si="249"/>
        <v>8.3333333333333339E-4</v>
      </c>
    </row>
    <row r="267" spans="1:96" hidden="1" x14ac:dyDescent="0.25">
      <c r="A267" s="17">
        <v>5</v>
      </c>
      <c r="B267" s="6" t="s">
        <v>789</v>
      </c>
      <c r="C267" s="17" t="s">
        <v>790</v>
      </c>
      <c r="D267" s="17" t="s">
        <v>2270</v>
      </c>
      <c r="E267" s="17" t="s">
        <v>52</v>
      </c>
      <c r="F267" s="7">
        <f t="shared" si="250"/>
        <v>3</v>
      </c>
      <c r="G267" s="17">
        <v>1</v>
      </c>
      <c r="H267" s="17">
        <f>G267*$H$266</f>
        <v>1</v>
      </c>
      <c r="I267" s="17">
        <v>1</v>
      </c>
      <c r="J267" s="6" t="s">
        <v>791</v>
      </c>
      <c r="K267" s="6" t="s">
        <v>34</v>
      </c>
      <c r="L267" s="17">
        <v>0</v>
      </c>
      <c r="M267" s="6" t="s">
        <v>35</v>
      </c>
      <c r="N267" s="17" t="s">
        <v>792</v>
      </c>
      <c r="O267" s="28" t="s">
        <v>41</v>
      </c>
      <c r="P267" s="28" t="s">
        <v>41</v>
      </c>
      <c r="Q267" s="28" t="s">
        <v>124</v>
      </c>
      <c r="R267" s="30">
        <v>5.0209999999999999</v>
      </c>
      <c r="S267" s="30">
        <v>4.0679999999999996</v>
      </c>
      <c r="T267" s="30"/>
      <c r="U267" s="30">
        <v>9.8000000000000004E-2</v>
      </c>
      <c r="V267" s="8">
        <f t="shared" si="251"/>
        <v>127.53339999999999</v>
      </c>
      <c r="W267" s="8">
        <f t="shared" si="252"/>
        <v>103.32719999999999</v>
      </c>
      <c r="X267" s="8">
        <f t="shared" si="253"/>
        <v>0</v>
      </c>
      <c r="Y267" s="33">
        <f t="shared" si="254"/>
        <v>2.4891999999999999</v>
      </c>
      <c r="Z267" s="28" t="s">
        <v>56</v>
      </c>
      <c r="AA267" s="28" t="s">
        <v>57</v>
      </c>
      <c r="AB267" s="61" t="s">
        <v>124</v>
      </c>
      <c r="AC267" s="31" t="s">
        <v>125</v>
      </c>
      <c r="AD267" s="50">
        <f t="shared" si="255"/>
        <v>1</v>
      </c>
      <c r="AE267" s="31"/>
      <c r="AF267" s="51">
        <v>14</v>
      </c>
      <c r="AG267" s="51">
        <f t="shared" si="282"/>
        <v>8.4</v>
      </c>
      <c r="AH267" s="51">
        <f t="shared" si="248"/>
        <v>42</v>
      </c>
      <c r="AI267" s="52" t="s">
        <v>2497</v>
      </c>
      <c r="AJ267" s="52" t="s">
        <v>2498</v>
      </c>
      <c r="AK267" s="53">
        <f t="shared" si="283"/>
        <v>2.6355338256959997E-2</v>
      </c>
      <c r="AL267" s="54">
        <f t="shared" si="284"/>
        <v>0.11904761904761904</v>
      </c>
      <c r="AM267" s="54">
        <f t="shared" si="285"/>
        <v>2.3809523809523808E-2</v>
      </c>
      <c r="AN267" s="55">
        <f t="shared" si="286"/>
        <v>3.1375402686857137E-3</v>
      </c>
      <c r="AO267" s="55">
        <f t="shared" si="287"/>
        <v>6.2750805373714281E-4</v>
      </c>
      <c r="AP267" s="53">
        <v>7.1</v>
      </c>
      <c r="AQ267" s="53">
        <f t="shared" si="256"/>
        <v>4.26</v>
      </c>
      <c r="AR267" s="53">
        <f t="shared" si="257"/>
        <v>21.299999999999997</v>
      </c>
      <c r="AS267" s="56">
        <f t="shared" si="258"/>
        <v>4.6948356807511742E-2</v>
      </c>
      <c r="AT267" s="56">
        <f t="shared" si="288"/>
        <v>0.23474178403755869</v>
      </c>
      <c r="AU267" s="56">
        <f t="shared" si="259"/>
        <v>0.176056338028169</v>
      </c>
      <c r="AV267" s="56">
        <f t="shared" si="289"/>
        <v>5.8685446009389672E-2</v>
      </c>
      <c r="AW267" s="57" t="s">
        <v>2511</v>
      </c>
      <c r="AX267" s="57" t="s">
        <v>2512</v>
      </c>
      <c r="AY267" s="57" t="s">
        <v>2513</v>
      </c>
      <c r="AZ267" s="58">
        <f t="shared" si="290"/>
        <v>2.6355338256959997E-2</v>
      </c>
      <c r="BA267" s="59">
        <f t="shared" si="293"/>
        <v>7.7333739016901399E-4</v>
      </c>
      <c r="BB267" s="59">
        <f t="shared" si="294"/>
        <v>2.3200121705070418E-3</v>
      </c>
      <c r="BC267" s="59">
        <f t="shared" si="295"/>
        <v>6.186699121352113E-4</v>
      </c>
      <c r="BD267" s="60">
        <f t="shared" si="291"/>
        <v>4.5454545454545452E-3</v>
      </c>
      <c r="BE267" s="59">
        <f t="shared" si="292"/>
        <v>4.5454545454545452E-3</v>
      </c>
      <c r="BQ267" s="61">
        <v>3000</v>
      </c>
      <c r="BR267" s="61">
        <v>1200</v>
      </c>
      <c r="BS267" s="28">
        <f t="shared" si="260"/>
        <v>2980</v>
      </c>
      <c r="BT267" s="28">
        <f t="shared" si="261"/>
        <v>1180</v>
      </c>
      <c r="BU267" s="28" t="s">
        <v>2541</v>
      </c>
      <c r="BV267" s="28">
        <f t="shared" si="262"/>
        <v>132.53339999999997</v>
      </c>
      <c r="BW267" s="28">
        <f t="shared" si="263"/>
        <v>108.32719999999999</v>
      </c>
      <c r="BX267" s="13">
        <f t="shared" si="264"/>
        <v>22.484898146429508</v>
      </c>
      <c r="BY267" s="13">
        <f t="shared" si="265"/>
        <v>22</v>
      </c>
      <c r="BZ267" s="13">
        <f t="shared" si="266"/>
        <v>10.892924399412152</v>
      </c>
      <c r="CA267" s="13">
        <f t="shared" si="267"/>
        <v>10</v>
      </c>
      <c r="CB267" s="13">
        <f t="shared" si="268"/>
        <v>220</v>
      </c>
      <c r="CC267" s="62">
        <f t="shared" si="269"/>
        <v>4.5454545454545452E-3</v>
      </c>
      <c r="CD267" s="13">
        <f t="shared" si="270"/>
        <v>27.509249754447637</v>
      </c>
      <c r="CE267" s="13">
        <f t="shared" si="271"/>
        <v>27</v>
      </c>
      <c r="CF267" s="13">
        <f t="shared" si="272"/>
        <v>8.9034160445593358</v>
      </c>
      <c r="CG267" s="13">
        <f t="shared" si="273"/>
        <v>8</v>
      </c>
      <c r="CH267" s="28">
        <f t="shared" si="274"/>
        <v>216</v>
      </c>
      <c r="CI267" s="62">
        <f t="shared" si="275"/>
        <v>4.6296296296296294E-3</v>
      </c>
      <c r="CJ267" s="59">
        <f t="shared" si="276"/>
        <v>4.5454545454545452E-3</v>
      </c>
      <c r="CL267" s="63">
        <v>6000</v>
      </c>
      <c r="CM267" s="63">
        <f t="shared" si="277"/>
        <v>127.53339999999999</v>
      </c>
      <c r="CN267" s="63">
        <f t="shared" si="278"/>
        <v>132.53339999999997</v>
      </c>
      <c r="CO267" s="63">
        <f t="shared" si="279"/>
        <v>45.271607006233907</v>
      </c>
      <c r="CP267" s="13">
        <f t="shared" si="280"/>
        <v>45</v>
      </c>
      <c r="CQ267" s="70">
        <f t="shared" si="281"/>
        <v>2.2222222222222223E-2</v>
      </c>
      <c r="CR267" s="69">
        <f t="shared" si="249"/>
        <v>2.2222222222222223E-2</v>
      </c>
    </row>
    <row r="268" spans="1:96" hidden="1" x14ac:dyDescent="0.25">
      <c r="A268" s="17">
        <v>5</v>
      </c>
      <c r="B268" s="6" t="s">
        <v>789</v>
      </c>
      <c r="C268" s="17" t="s">
        <v>793</v>
      </c>
      <c r="D268" s="17" t="s">
        <v>795</v>
      </c>
      <c r="E268" s="17" t="s">
        <v>52</v>
      </c>
      <c r="F268" s="7">
        <f t="shared" si="250"/>
        <v>4</v>
      </c>
      <c r="G268" s="17">
        <v>2</v>
      </c>
      <c r="H268" s="17">
        <f>G268*$H$266</f>
        <v>2</v>
      </c>
      <c r="I268" s="17">
        <v>2</v>
      </c>
      <c r="J268" s="6" t="s">
        <v>794</v>
      </c>
      <c r="K268" s="6" t="s">
        <v>34</v>
      </c>
      <c r="L268" s="17" t="s">
        <v>687</v>
      </c>
      <c r="M268" s="6" t="s">
        <v>340</v>
      </c>
      <c r="N268" s="17" t="s">
        <v>795</v>
      </c>
      <c r="O268" s="28" t="s">
        <v>41</v>
      </c>
      <c r="P268" s="28" t="s">
        <v>41</v>
      </c>
      <c r="Q268" s="28" t="s">
        <v>795</v>
      </c>
      <c r="R268" s="30"/>
      <c r="S268" s="30"/>
      <c r="T268" s="30"/>
      <c r="U268" s="30"/>
      <c r="V268" s="8">
        <f t="shared" si="251"/>
        <v>0</v>
      </c>
      <c r="W268" s="8">
        <f t="shared" si="252"/>
        <v>0</v>
      </c>
      <c r="X268" s="8">
        <f t="shared" si="253"/>
        <v>0</v>
      </c>
      <c r="Y268" s="33">
        <f t="shared" si="254"/>
        <v>0</v>
      </c>
      <c r="Z268" s="28"/>
      <c r="AA268" s="28"/>
      <c r="AB268" s="61" t="s">
        <v>795</v>
      </c>
      <c r="AC268" s="31" t="s">
        <v>796</v>
      </c>
      <c r="AD268" s="50">
        <f t="shared" si="255"/>
        <v>2</v>
      </c>
      <c r="AE268" s="31"/>
      <c r="AF268" s="51">
        <v>14</v>
      </c>
      <c r="AG268" s="51">
        <f t="shared" si="282"/>
        <v>8.4</v>
      </c>
      <c r="AH268" s="51">
        <f t="shared" si="248"/>
        <v>42</v>
      </c>
      <c r="AI268" s="52" t="s">
        <v>2497</v>
      </c>
      <c r="AJ268" s="52" t="s">
        <v>2498</v>
      </c>
      <c r="AK268" s="53">
        <f t="shared" si="283"/>
        <v>0</v>
      </c>
      <c r="AL268" s="54">
        <f t="shared" si="284"/>
        <v>0.11904761904761904</v>
      </c>
      <c r="AM268" s="54">
        <f t="shared" si="285"/>
        <v>2.3809523809523808E-2</v>
      </c>
      <c r="AN268" s="55">
        <f t="shared" si="286"/>
        <v>0</v>
      </c>
      <c r="AO268" s="55">
        <f t="shared" si="287"/>
        <v>0</v>
      </c>
      <c r="AP268" s="53">
        <v>7.1</v>
      </c>
      <c r="AQ268" s="53">
        <f t="shared" si="256"/>
        <v>4.26</v>
      </c>
      <c r="AR268" s="53">
        <f t="shared" si="257"/>
        <v>21.299999999999997</v>
      </c>
      <c r="AS268" s="56">
        <f t="shared" si="258"/>
        <v>4.6948356807511742E-2</v>
      </c>
      <c r="AT268" s="56">
        <f t="shared" si="288"/>
        <v>0.23474178403755869</v>
      </c>
      <c r="AU268" s="56">
        <f t="shared" si="259"/>
        <v>0.176056338028169</v>
      </c>
      <c r="AV268" s="56">
        <f t="shared" si="289"/>
        <v>5.8685446009389672E-2</v>
      </c>
      <c r="AW268" s="57" t="s">
        <v>2511</v>
      </c>
      <c r="AX268" s="57" t="s">
        <v>2512</v>
      </c>
      <c r="AY268" s="57" t="s">
        <v>2513</v>
      </c>
      <c r="AZ268" s="58">
        <f t="shared" si="290"/>
        <v>0</v>
      </c>
      <c r="BA268" s="59">
        <f t="shared" si="293"/>
        <v>0</v>
      </c>
      <c r="BB268" s="59">
        <f t="shared" si="294"/>
        <v>0</v>
      </c>
      <c r="BC268" s="59">
        <f t="shared" si="295"/>
        <v>0</v>
      </c>
      <c r="BD268" s="60">
        <f t="shared" si="291"/>
        <v>7.1095438516664771E-6</v>
      </c>
      <c r="BE268" s="59">
        <f t="shared" si="292"/>
        <v>1.4219087703332954E-5</v>
      </c>
      <c r="BQ268" s="61">
        <v>3000</v>
      </c>
      <c r="BR268" s="61">
        <v>1200</v>
      </c>
      <c r="BS268" s="28">
        <f t="shared" si="260"/>
        <v>2980</v>
      </c>
      <c r="BT268" s="28">
        <f t="shared" si="261"/>
        <v>1180</v>
      </c>
      <c r="BU268" s="28" t="s">
        <v>2541</v>
      </c>
      <c r="BV268" s="28">
        <f t="shared" si="262"/>
        <v>5</v>
      </c>
      <c r="BW268" s="28">
        <f t="shared" si="263"/>
        <v>5</v>
      </c>
      <c r="BX268" s="13">
        <f t="shared" si="264"/>
        <v>596</v>
      </c>
      <c r="BY268" s="13">
        <f t="shared" si="265"/>
        <v>596</v>
      </c>
      <c r="BZ268" s="13">
        <f t="shared" si="266"/>
        <v>236</v>
      </c>
      <c r="CA268" s="13">
        <f t="shared" si="267"/>
        <v>236</v>
      </c>
      <c r="CB268" s="13">
        <f t="shared" si="268"/>
        <v>140656</v>
      </c>
      <c r="CC268" s="62">
        <f t="shared" si="269"/>
        <v>7.1095438516664771E-6</v>
      </c>
      <c r="CD268" s="13">
        <f t="shared" si="270"/>
        <v>596</v>
      </c>
      <c r="CE268" s="13">
        <f t="shared" si="271"/>
        <v>596</v>
      </c>
      <c r="CF268" s="13">
        <f t="shared" si="272"/>
        <v>236</v>
      </c>
      <c r="CG268" s="13">
        <f t="shared" si="273"/>
        <v>236</v>
      </c>
      <c r="CH268" s="28">
        <f t="shared" si="274"/>
        <v>140656</v>
      </c>
      <c r="CI268" s="62">
        <f t="shared" si="275"/>
        <v>7.1095438516664771E-6</v>
      </c>
      <c r="CJ268" s="59">
        <f t="shared" si="276"/>
        <v>7.1095438516664771E-6</v>
      </c>
      <c r="CL268" s="63">
        <v>6000</v>
      </c>
      <c r="CM268" s="63">
        <f t="shared" si="277"/>
        <v>0</v>
      </c>
      <c r="CN268" s="63">
        <f t="shared" si="278"/>
        <v>5</v>
      </c>
      <c r="CO268" s="63">
        <f t="shared" si="279"/>
        <v>1200</v>
      </c>
      <c r="CP268" s="13">
        <f t="shared" si="280"/>
        <v>1200</v>
      </c>
      <c r="CQ268" s="70">
        <f t="shared" si="281"/>
        <v>8.3333333333333339E-4</v>
      </c>
      <c r="CR268" s="69">
        <f t="shared" si="249"/>
        <v>1.6666666666666668E-3</v>
      </c>
    </row>
    <row r="269" spans="1:96" hidden="1" x14ac:dyDescent="0.25">
      <c r="A269" s="10">
        <v>3</v>
      </c>
      <c r="B269" s="8" t="s">
        <v>720</v>
      </c>
      <c r="C269" s="10" t="s">
        <v>797</v>
      </c>
      <c r="D269" s="10" t="s">
        <v>2270</v>
      </c>
      <c r="E269" s="10" t="s">
        <v>52</v>
      </c>
      <c r="F269" s="12">
        <f t="shared" si="250"/>
        <v>1</v>
      </c>
      <c r="G269" s="10">
        <v>1</v>
      </c>
      <c r="H269" s="10">
        <f t="shared" ref="H269:H271" si="296">G269*$H$234</f>
        <v>1</v>
      </c>
      <c r="I269" s="10">
        <v>6</v>
      </c>
      <c r="J269" s="8" t="s">
        <v>798</v>
      </c>
      <c r="K269" s="8" t="s">
        <v>34</v>
      </c>
      <c r="L269" s="10">
        <v>0</v>
      </c>
      <c r="M269" s="8" t="s">
        <v>35</v>
      </c>
      <c r="N269" s="10" t="s">
        <v>799</v>
      </c>
      <c r="O269" s="28" t="s">
        <v>41</v>
      </c>
      <c r="P269" s="28" t="s">
        <v>41</v>
      </c>
      <c r="Q269" s="28" t="s">
        <v>116</v>
      </c>
      <c r="R269" s="30">
        <v>51.619</v>
      </c>
      <c r="S269" s="30">
        <v>14.286</v>
      </c>
      <c r="T269" s="30"/>
      <c r="U269" s="30">
        <v>0.12</v>
      </c>
      <c r="V269" s="8">
        <f t="shared" si="251"/>
        <v>1311.1225999999999</v>
      </c>
      <c r="W269" s="8">
        <f t="shared" si="252"/>
        <v>362.86439999999999</v>
      </c>
      <c r="X269" s="8">
        <f t="shared" si="253"/>
        <v>0</v>
      </c>
      <c r="Y269" s="33">
        <f t="shared" si="254"/>
        <v>3.0479999999999996</v>
      </c>
      <c r="Z269" s="28" t="s">
        <v>56</v>
      </c>
      <c r="AA269" s="28" t="s">
        <v>57</v>
      </c>
      <c r="AB269" s="28" t="s">
        <v>116</v>
      </c>
      <c r="AC269" s="31" t="s">
        <v>117</v>
      </c>
      <c r="AD269" s="50">
        <f t="shared" si="255"/>
        <v>1</v>
      </c>
      <c r="AE269" s="31"/>
      <c r="AF269" s="51">
        <v>14</v>
      </c>
      <c r="AG269" s="51">
        <f t="shared" si="282"/>
        <v>8.4</v>
      </c>
      <c r="AH269" s="51">
        <f t="shared" si="248"/>
        <v>42</v>
      </c>
      <c r="AI269" s="52" t="s">
        <v>2497</v>
      </c>
      <c r="AJ269" s="52" t="s">
        <v>2498</v>
      </c>
      <c r="AK269" s="53">
        <f t="shared" si="283"/>
        <v>0.95151943115087989</v>
      </c>
      <c r="AL269" s="54">
        <f t="shared" si="284"/>
        <v>0.11904761904761904</v>
      </c>
      <c r="AM269" s="54">
        <f t="shared" si="285"/>
        <v>2.3809523809523808E-2</v>
      </c>
      <c r="AN269" s="55">
        <f t="shared" si="286"/>
        <v>0.11327612275605713</v>
      </c>
      <c r="AO269" s="55">
        <f t="shared" si="287"/>
        <v>2.2655224551211425E-2</v>
      </c>
      <c r="AP269" s="53">
        <v>7.1</v>
      </c>
      <c r="AQ269" s="53">
        <f t="shared" si="256"/>
        <v>4.26</v>
      </c>
      <c r="AR269" s="53">
        <f t="shared" si="257"/>
        <v>21.299999999999997</v>
      </c>
      <c r="AS269" s="56">
        <f t="shared" si="258"/>
        <v>4.6948356807511742E-2</v>
      </c>
      <c r="AT269" s="56">
        <f t="shared" si="288"/>
        <v>0.23474178403755869</v>
      </c>
      <c r="AU269" s="56">
        <f t="shared" si="259"/>
        <v>0.176056338028169</v>
      </c>
      <c r="AV269" s="56">
        <f t="shared" si="289"/>
        <v>5.8685446009389672E-2</v>
      </c>
      <c r="AW269" s="57" t="s">
        <v>2511</v>
      </c>
      <c r="AX269" s="57" t="s">
        <v>2512</v>
      </c>
      <c r="AY269" s="57" t="s">
        <v>2513</v>
      </c>
      <c r="AZ269" s="58">
        <f t="shared" si="290"/>
        <v>0.95151943115087989</v>
      </c>
      <c r="BA269" s="59">
        <f t="shared" si="293"/>
        <v>2.7920171101845068E-2</v>
      </c>
      <c r="BB269" s="59">
        <f t="shared" si="294"/>
        <v>8.3760513305535189E-2</v>
      </c>
      <c r="BC269" s="59">
        <f t="shared" si="295"/>
        <v>2.2336136881476055E-2</v>
      </c>
      <c r="BD269" s="60">
        <f t="shared" si="291"/>
        <v>0.16666666666666666</v>
      </c>
      <c r="BE269" s="59">
        <f t="shared" si="292"/>
        <v>0.16666666666666666</v>
      </c>
      <c r="BQ269" s="61">
        <v>3000</v>
      </c>
      <c r="BR269" s="61">
        <v>1200</v>
      </c>
      <c r="BS269" s="28">
        <f t="shared" si="260"/>
        <v>2980</v>
      </c>
      <c r="BT269" s="28">
        <f t="shared" si="261"/>
        <v>1180</v>
      </c>
      <c r="BU269" s="28" t="s">
        <v>2541</v>
      </c>
      <c r="BV269" s="28">
        <f t="shared" si="262"/>
        <v>1316.1225999999999</v>
      </c>
      <c r="BW269" s="28">
        <f t="shared" si="263"/>
        <v>367.86439999999999</v>
      </c>
      <c r="BX269" s="13">
        <f t="shared" si="264"/>
        <v>2.2642267521278034</v>
      </c>
      <c r="BY269" s="13">
        <f t="shared" si="265"/>
        <v>2</v>
      </c>
      <c r="BZ269" s="13">
        <f t="shared" si="266"/>
        <v>3.2077037082142223</v>
      </c>
      <c r="CA269" s="13">
        <f t="shared" si="267"/>
        <v>3</v>
      </c>
      <c r="CB269" s="13">
        <f t="shared" si="268"/>
        <v>6</v>
      </c>
      <c r="CC269" s="62">
        <f t="shared" si="269"/>
        <v>0.16666666666666666</v>
      </c>
      <c r="CD269" s="13">
        <f t="shared" si="270"/>
        <v>8.1008110597274428</v>
      </c>
      <c r="CE269" s="13">
        <f t="shared" si="271"/>
        <v>8</v>
      </c>
      <c r="CF269" s="13">
        <f t="shared" si="272"/>
        <v>0.89657300923181482</v>
      </c>
      <c r="CG269" s="13">
        <f t="shared" si="273"/>
        <v>0</v>
      </c>
      <c r="CH269" s="28">
        <f t="shared" si="274"/>
        <v>0</v>
      </c>
      <c r="CI269" s="62">
        <f t="shared" si="275"/>
        <v>1</v>
      </c>
      <c r="CJ269" s="59">
        <f t="shared" si="276"/>
        <v>0.16666666666666666</v>
      </c>
      <c r="CL269" s="63">
        <v>6000</v>
      </c>
      <c r="CM269" s="63">
        <f t="shared" si="277"/>
        <v>1311.1225999999999</v>
      </c>
      <c r="CN269" s="63">
        <f t="shared" si="278"/>
        <v>1316.1225999999999</v>
      </c>
      <c r="CO269" s="63">
        <f t="shared" si="279"/>
        <v>4.5588458096532953</v>
      </c>
      <c r="CP269" s="13">
        <f t="shared" si="280"/>
        <v>4</v>
      </c>
      <c r="CQ269" s="70">
        <f t="shared" si="281"/>
        <v>0.25</v>
      </c>
      <c r="CR269" s="69">
        <f t="shared" si="249"/>
        <v>0.25</v>
      </c>
    </row>
    <row r="270" spans="1:96" hidden="1" x14ac:dyDescent="0.25">
      <c r="A270" s="10">
        <v>3</v>
      </c>
      <c r="B270" s="8" t="s">
        <v>720</v>
      </c>
      <c r="C270" s="10" t="s">
        <v>800</v>
      </c>
      <c r="D270" s="10" t="s">
        <v>2270</v>
      </c>
      <c r="E270" s="10" t="s">
        <v>52</v>
      </c>
      <c r="F270" s="12">
        <f t="shared" si="250"/>
        <v>1</v>
      </c>
      <c r="G270" s="10">
        <v>1</v>
      </c>
      <c r="H270" s="10">
        <f t="shared" si="296"/>
        <v>1</v>
      </c>
      <c r="I270" s="10">
        <v>7</v>
      </c>
      <c r="J270" s="8" t="s">
        <v>798</v>
      </c>
      <c r="K270" s="8" t="s">
        <v>34</v>
      </c>
      <c r="L270" s="10">
        <v>0</v>
      </c>
      <c r="M270" s="8" t="s">
        <v>35</v>
      </c>
      <c r="N270" s="10" t="s">
        <v>801</v>
      </c>
      <c r="O270" s="28" t="s">
        <v>41</v>
      </c>
      <c r="P270" s="28" t="s">
        <v>41</v>
      </c>
      <c r="Q270" s="28" t="s">
        <v>116</v>
      </c>
      <c r="R270" s="30">
        <v>51.63</v>
      </c>
      <c r="S270" s="30">
        <v>14.839</v>
      </c>
      <c r="T270" s="30"/>
      <c r="U270" s="30">
        <v>0.12</v>
      </c>
      <c r="V270" s="8">
        <f t="shared" si="251"/>
        <v>1311.402</v>
      </c>
      <c r="W270" s="8">
        <f t="shared" si="252"/>
        <v>376.91059999999999</v>
      </c>
      <c r="X270" s="8">
        <f t="shared" si="253"/>
        <v>0</v>
      </c>
      <c r="Y270" s="33">
        <f t="shared" si="254"/>
        <v>3.0479999999999996</v>
      </c>
      <c r="Z270" s="28" t="s">
        <v>56</v>
      </c>
      <c r="AA270" s="28" t="s">
        <v>57</v>
      </c>
      <c r="AB270" s="28" t="s">
        <v>116</v>
      </c>
      <c r="AC270" s="31" t="s">
        <v>117</v>
      </c>
      <c r="AD270" s="50">
        <f t="shared" si="255"/>
        <v>1</v>
      </c>
      <c r="AE270" s="31"/>
      <c r="AF270" s="51">
        <v>14</v>
      </c>
      <c r="AG270" s="51">
        <f t="shared" si="282"/>
        <v>8.4</v>
      </c>
      <c r="AH270" s="51">
        <f t="shared" si="248"/>
        <v>42</v>
      </c>
      <c r="AI270" s="52" t="s">
        <v>2497</v>
      </c>
      <c r="AJ270" s="52" t="s">
        <v>2498</v>
      </c>
      <c r="AK270" s="53">
        <f t="shared" si="283"/>
        <v>0.98856262932240002</v>
      </c>
      <c r="AL270" s="54">
        <f t="shared" si="284"/>
        <v>0.11904761904761904</v>
      </c>
      <c r="AM270" s="54">
        <f t="shared" si="285"/>
        <v>2.3809523809523808E-2</v>
      </c>
      <c r="AN270" s="55">
        <f t="shared" si="286"/>
        <v>0.11768602730028571</v>
      </c>
      <c r="AO270" s="55">
        <f t="shared" si="287"/>
        <v>2.3537205460057144E-2</v>
      </c>
      <c r="AP270" s="53">
        <v>7.1</v>
      </c>
      <c r="AQ270" s="53">
        <f t="shared" si="256"/>
        <v>4.26</v>
      </c>
      <c r="AR270" s="53">
        <f t="shared" si="257"/>
        <v>21.299999999999997</v>
      </c>
      <c r="AS270" s="56">
        <f t="shared" si="258"/>
        <v>4.6948356807511742E-2</v>
      </c>
      <c r="AT270" s="56">
        <f t="shared" si="288"/>
        <v>0.23474178403755869</v>
      </c>
      <c r="AU270" s="56">
        <f t="shared" si="259"/>
        <v>0.176056338028169</v>
      </c>
      <c r="AV270" s="56">
        <f t="shared" si="289"/>
        <v>5.8685446009389672E-2</v>
      </c>
      <c r="AW270" s="57" t="s">
        <v>2511</v>
      </c>
      <c r="AX270" s="57" t="s">
        <v>2512</v>
      </c>
      <c r="AY270" s="57" t="s">
        <v>2513</v>
      </c>
      <c r="AZ270" s="58">
        <f t="shared" si="290"/>
        <v>0.98856262932240002</v>
      </c>
      <c r="BA270" s="59">
        <f t="shared" si="293"/>
        <v>2.9007119405E-2</v>
      </c>
      <c r="BB270" s="59">
        <f t="shared" si="294"/>
        <v>8.7021358214999997E-2</v>
      </c>
      <c r="BC270" s="59">
        <f t="shared" si="295"/>
        <v>2.3205695524000002E-2</v>
      </c>
      <c r="BD270" s="60">
        <f t="shared" si="291"/>
        <v>0.16666666666666666</v>
      </c>
      <c r="BE270" s="59">
        <f t="shared" si="292"/>
        <v>0.16666666666666666</v>
      </c>
      <c r="BQ270" s="61">
        <v>3000</v>
      </c>
      <c r="BR270" s="61">
        <v>1200</v>
      </c>
      <c r="BS270" s="28">
        <f t="shared" si="260"/>
        <v>2980</v>
      </c>
      <c r="BT270" s="28">
        <f t="shared" si="261"/>
        <v>1180</v>
      </c>
      <c r="BU270" s="28" t="s">
        <v>2541</v>
      </c>
      <c r="BV270" s="28">
        <f t="shared" si="262"/>
        <v>1316.402</v>
      </c>
      <c r="BW270" s="28">
        <f t="shared" si="263"/>
        <v>381.91059999999999</v>
      </c>
      <c r="BX270" s="13">
        <f t="shared" si="264"/>
        <v>2.2637461808778778</v>
      </c>
      <c r="BY270" s="13">
        <f t="shared" si="265"/>
        <v>2</v>
      </c>
      <c r="BZ270" s="13">
        <f t="shared" si="266"/>
        <v>3.0897283290906303</v>
      </c>
      <c r="CA270" s="13">
        <f t="shared" si="267"/>
        <v>3</v>
      </c>
      <c r="CB270" s="13">
        <f t="shared" si="268"/>
        <v>6</v>
      </c>
      <c r="CC270" s="62">
        <f t="shared" si="269"/>
        <v>0.16666666666666666</v>
      </c>
      <c r="CD270" s="13">
        <f t="shared" si="270"/>
        <v>7.8028732378729471</v>
      </c>
      <c r="CE270" s="13">
        <f t="shared" si="271"/>
        <v>7</v>
      </c>
      <c r="CF270" s="13">
        <f t="shared" si="272"/>
        <v>0.89638271591808583</v>
      </c>
      <c r="CG270" s="13">
        <f t="shared" si="273"/>
        <v>0</v>
      </c>
      <c r="CH270" s="28">
        <f t="shared" si="274"/>
        <v>0</v>
      </c>
      <c r="CI270" s="62">
        <f t="shared" si="275"/>
        <v>1</v>
      </c>
      <c r="CJ270" s="59">
        <f t="shared" si="276"/>
        <v>0.16666666666666666</v>
      </c>
      <c r="CL270" s="63">
        <v>6000</v>
      </c>
      <c r="CM270" s="63">
        <f t="shared" si="277"/>
        <v>1311.402</v>
      </c>
      <c r="CN270" s="63">
        <f t="shared" si="278"/>
        <v>1316.402</v>
      </c>
      <c r="CO270" s="63">
        <f t="shared" si="279"/>
        <v>4.5578782165326395</v>
      </c>
      <c r="CP270" s="13">
        <f t="shared" si="280"/>
        <v>4</v>
      </c>
      <c r="CQ270" s="70">
        <f t="shared" si="281"/>
        <v>0.25</v>
      </c>
      <c r="CR270" s="69">
        <f t="shared" si="249"/>
        <v>0.25</v>
      </c>
    </row>
    <row r="271" spans="1:96" hidden="1" x14ac:dyDescent="0.25">
      <c r="A271" s="10">
        <v>3</v>
      </c>
      <c r="B271" s="8" t="s">
        <v>720</v>
      </c>
      <c r="C271" s="10" t="s">
        <v>802</v>
      </c>
      <c r="D271" s="10" t="s">
        <v>2270</v>
      </c>
      <c r="E271" s="10" t="s">
        <v>32</v>
      </c>
      <c r="F271" s="12">
        <f t="shared" si="250"/>
        <v>1</v>
      </c>
      <c r="G271" s="10">
        <v>1</v>
      </c>
      <c r="H271" s="10">
        <f t="shared" si="296"/>
        <v>1</v>
      </c>
      <c r="I271" s="10">
        <v>8</v>
      </c>
      <c r="J271" s="8" t="s">
        <v>803</v>
      </c>
      <c r="K271" s="8" t="s">
        <v>34</v>
      </c>
      <c r="L271" s="10">
        <v>0</v>
      </c>
      <c r="M271" s="8" t="s">
        <v>35</v>
      </c>
      <c r="N271" s="10" t="s">
        <v>804</v>
      </c>
      <c r="O271" s="28" t="s">
        <v>41</v>
      </c>
      <c r="P271" s="28" t="s">
        <v>41</v>
      </c>
      <c r="Q271" s="28"/>
      <c r="R271" s="30"/>
      <c r="S271" s="30"/>
      <c r="T271" s="30"/>
      <c r="U271" s="30"/>
      <c r="V271" s="8">
        <f t="shared" si="251"/>
        <v>0</v>
      </c>
      <c r="W271" s="8">
        <f t="shared" si="252"/>
        <v>0</v>
      </c>
      <c r="X271" s="8">
        <f t="shared" si="253"/>
        <v>0</v>
      </c>
      <c r="Y271" s="33">
        <f t="shared" si="254"/>
        <v>0</v>
      </c>
      <c r="Z271" s="28"/>
      <c r="AA271" s="28"/>
      <c r="AB271" s="28">
        <v>0</v>
      </c>
      <c r="AC271" s="31"/>
      <c r="AD271" s="50">
        <f t="shared" si="255"/>
        <v>1</v>
      </c>
      <c r="AE271" s="31"/>
      <c r="AF271" s="51">
        <v>14</v>
      </c>
      <c r="AG271" s="51">
        <f t="shared" si="282"/>
        <v>8.4</v>
      </c>
      <c r="AH271" s="51">
        <f t="shared" si="248"/>
        <v>42</v>
      </c>
      <c r="AI271" s="52" t="s">
        <v>2497</v>
      </c>
      <c r="AJ271" s="52" t="s">
        <v>2498</v>
      </c>
      <c r="AK271" s="53">
        <f t="shared" si="283"/>
        <v>0</v>
      </c>
      <c r="AL271" s="54">
        <f t="shared" si="284"/>
        <v>0.11904761904761904</v>
      </c>
      <c r="AM271" s="54">
        <f t="shared" si="285"/>
        <v>2.3809523809523808E-2</v>
      </c>
      <c r="AN271" s="55">
        <f t="shared" si="286"/>
        <v>0</v>
      </c>
      <c r="AO271" s="55">
        <f t="shared" si="287"/>
        <v>0</v>
      </c>
      <c r="AP271" s="53">
        <v>7.1</v>
      </c>
      <c r="AQ271" s="53">
        <f t="shared" si="256"/>
        <v>4.26</v>
      </c>
      <c r="AR271" s="53">
        <f t="shared" si="257"/>
        <v>21.299999999999997</v>
      </c>
      <c r="AS271" s="56">
        <f t="shared" si="258"/>
        <v>4.6948356807511742E-2</v>
      </c>
      <c r="AT271" s="56">
        <f t="shared" si="288"/>
        <v>0.23474178403755869</v>
      </c>
      <c r="AU271" s="56">
        <f t="shared" si="259"/>
        <v>0.176056338028169</v>
      </c>
      <c r="AV271" s="56">
        <f t="shared" si="289"/>
        <v>5.8685446009389672E-2</v>
      </c>
      <c r="AW271" s="57" t="s">
        <v>2511</v>
      </c>
      <c r="AX271" s="57" t="s">
        <v>2512</v>
      </c>
      <c r="AY271" s="57" t="s">
        <v>2513</v>
      </c>
      <c r="AZ271" s="58">
        <f t="shared" si="290"/>
        <v>0</v>
      </c>
      <c r="BA271" s="59">
        <f t="shared" si="293"/>
        <v>0</v>
      </c>
      <c r="BB271" s="59">
        <f t="shared" si="294"/>
        <v>0</v>
      </c>
      <c r="BC271" s="59">
        <f t="shared" si="295"/>
        <v>0</v>
      </c>
      <c r="BD271" s="60">
        <f t="shared" si="291"/>
        <v>0</v>
      </c>
      <c r="BE271" s="59">
        <f t="shared" si="292"/>
        <v>0</v>
      </c>
      <c r="BQ271" s="61">
        <v>3000</v>
      </c>
      <c r="BR271" s="61">
        <v>1200</v>
      </c>
      <c r="BS271" s="28">
        <f t="shared" si="260"/>
        <v>2980</v>
      </c>
      <c r="BT271" s="28">
        <f t="shared" si="261"/>
        <v>1180</v>
      </c>
      <c r="BU271" s="28" t="s">
        <v>2541</v>
      </c>
      <c r="BV271" s="28">
        <f t="shared" si="262"/>
        <v>5</v>
      </c>
      <c r="BW271" s="28">
        <f t="shared" si="263"/>
        <v>5</v>
      </c>
      <c r="BX271" s="13">
        <f t="shared" si="264"/>
        <v>596</v>
      </c>
      <c r="BY271" s="13">
        <f t="shared" si="265"/>
        <v>596</v>
      </c>
      <c r="BZ271" s="13">
        <f t="shared" si="266"/>
        <v>236</v>
      </c>
      <c r="CA271" s="13">
        <f t="shared" si="267"/>
        <v>236</v>
      </c>
      <c r="CB271" s="13">
        <f t="shared" si="268"/>
        <v>140656</v>
      </c>
      <c r="CC271" s="62" t="str">
        <f t="shared" si="269"/>
        <v/>
      </c>
      <c r="CD271" s="13">
        <f t="shared" si="270"/>
        <v>596</v>
      </c>
      <c r="CE271" s="13">
        <f t="shared" si="271"/>
        <v>596</v>
      </c>
      <c r="CF271" s="13">
        <f t="shared" si="272"/>
        <v>236</v>
      </c>
      <c r="CG271" s="13">
        <f t="shared" si="273"/>
        <v>236</v>
      </c>
      <c r="CH271" s="28">
        <f t="shared" si="274"/>
        <v>140656</v>
      </c>
      <c r="CI271" s="62" t="str">
        <f t="shared" si="275"/>
        <v/>
      </c>
      <c r="CJ271" s="59">
        <f t="shared" si="276"/>
        <v>0</v>
      </c>
      <c r="CL271" s="63">
        <v>6000</v>
      </c>
      <c r="CM271" s="63">
        <f t="shared" si="277"/>
        <v>0</v>
      </c>
      <c r="CN271" s="63">
        <f t="shared" si="278"/>
        <v>5</v>
      </c>
      <c r="CO271" s="63">
        <f t="shared" si="279"/>
        <v>1200</v>
      </c>
      <c r="CP271" s="13">
        <f t="shared" si="280"/>
        <v>1200</v>
      </c>
      <c r="CQ271" s="70">
        <f t="shared" si="281"/>
        <v>8.3333333333333339E-4</v>
      </c>
      <c r="CR271" s="69">
        <f t="shared" si="249"/>
        <v>8.3333333333333339E-4</v>
      </c>
    </row>
    <row r="272" spans="1:96" hidden="1" x14ac:dyDescent="0.25">
      <c r="A272" s="13">
        <v>4</v>
      </c>
      <c r="B272" s="14" t="s">
        <v>805</v>
      </c>
      <c r="C272" s="13" t="s">
        <v>806</v>
      </c>
      <c r="D272" s="13" t="s">
        <v>2270</v>
      </c>
      <c r="E272" s="13" t="s">
        <v>52</v>
      </c>
      <c r="F272" s="15">
        <f t="shared" si="250"/>
        <v>1</v>
      </c>
      <c r="G272" s="13">
        <v>1</v>
      </c>
      <c r="H272" s="13">
        <f>G272*$H$271</f>
        <v>1</v>
      </c>
      <c r="I272" s="13">
        <v>1</v>
      </c>
      <c r="J272" s="14" t="s">
        <v>798</v>
      </c>
      <c r="K272" s="14" t="s">
        <v>34</v>
      </c>
      <c r="L272" s="13">
        <v>0</v>
      </c>
      <c r="M272" s="14" t="s">
        <v>35</v>
      </c>
      <c r="N272" s="13" t="s">
        <v>807</v>
      </c>
      <c r="O272" s="28" t="s">
        <v>41</v>
      </c>
      <c r="P272" s="28" t="s">
        <v>41</v>
      </c>
      <c r="Q272" s="28" t="s">
        <v>116</v>
      </c>
      <c r="R272" s="30">
        <v>75.760000000000005</v>
      </c>
      <c r="S272" s="30">
        <v>39.485999999999997</v>
      </c>
      <c r="T272" s="30"/>
      <c r="U272" s="30">
        <v>0.12</v>
      </c>
      <c r="V272" s="8">
        <f t="shared" si="251"/>
        <v>1924.3040000000001</v>
      </c>
      <c r="W272" s="8">
        <f t="shared" si="252"/>
        <v>1002.9443999999999</v>
      </c>
      <c r="X272" s="8">
        <f t="shared" si="253"/>
        <v>0</v>
      </c>
      <c r="Y272" s="33">
        <f t="shared" si="254"/>
        <v>3.0479999999999996</v>
      </c>
      <c r="Z272" s="28" t="s">
        <v>56</v>
      </c>
      <c r="AA272" s="28" t="s">
        <v>57</v>
      </c>
      <c r="AB272" s="28" t="s">
        <v>116</v>
      </c>
      <c r="AC272" s="31" t="s">
        <v>117</v>
      </c>
      <c r="AD272" s="50">
        <f t="shared" si="255"/>
        <v>1</v>
      </c>
      <c r="AE272" s="31"/>
      <c r="AF272" s="51">
        <v>14</v>
      </c>
      <c r="AG272" s="51">
        <f t="shared" si="282"/>
        <v>8.4</v>
      </c>
      <c r="AH272" s="51">
        <f t="shared" si="248"/>
        <v>42</v>
      </c>
      <c r="AI272" s="52" t="s">
        <v>2497</v>
      </c>
      <c r="AJ272" s="52" t="s">
        <v>2498</v>
      </c>
      <c r="AK272" s="53">
        <f t="shared" si="283"/>
        <v>3.8599398413952</v>
      </c>
      <c r="AL272" s="54">
        <f t="shared" si="284"/>
        <v>0.11904761904761904</v>
      </c>
      <c r="AM272" s="54">
        <f t="shared" si="285"/>
        <v>2.3809523809523808E-2</v>
      </c>
      <c r="AN272" s="55">
        <f t="shared" si="286"/>
        <v>0.45951664778514284</v>
      </c>
      <c r="AO272" s="55">
        <f t="shared" si="287"/>
        <v>9.1903329557028568E-2</v>
      </c>
      <c r="AP272" s="53">
        <v>7.1</v>
      </c>
      <c r="AQ272" s="53">
        <f t="shared" si="256"/>
        <v>4.26</v>
      </c>
      <c r="AR272" s="53">
        <f t="shared" si="257"/>
        <v>21.299999999999997</v>
      </c>
      <c r="AS272" s="56">
        <f t="shared" si="258"/>
        <v>4.6948356807511742E-2</v>
      </c>
      <c r="AT272" s="56">
        <f t="shared" si="288"/>
        <v>0.23474178403755869</v>
      </c>
      <c r="AU272" s="56">
        <f t="shared" si="259"/>
        <v>0.176056338028169</v>
      </c>
      <c r="AV272" s="56">
        <f t="shared" si="289"/>
        <v>5.8685446009389672E-2</v>
      </c>
      <c r="AW272" s="57" t="s">
        <v>2511</v>
      </c>
      <c r="AX272" s="57" t="s">
        <v>2512</v>
      </c>
      <c r="AY272" s="57" t="s">
        <v>2513</v>
      </c>
      <c r="AZ272" s="58">
        <f t="shared" si="290"/>
        <v>3.8599398413952</v>
      </c>
      <c r="BA272" s="59">
        <f t="shared" si="293"/>
        <v>0.11326114558084507</v>
      </c>
      <c r="BB272" s="59">
        <f t="shared" si="294"/>
        <v>0.33978343674253519</v>
      </c>
      <c r="BC272" s="59">
        <f t="shared" si="295"/>
        <v>9.0608916464676059E-2</v>
      </c>
      <c r="BD272" s="60">
        <f t="shared" si="291"/>
        <v>1</v>
      </c>
      <c r="BE272" s="59">
        <f t="shared" si="292"/>
        <v>1</v>
      </c>
      <c r="BQ272" s="61">
        <v>3000</v>
      </c>
      <c r="BR272" s="61">
        <v>1200</v>
      </c>
      <c r="BS272" s="28">
        <f t="shared" si="260"/>
        <v>2980</v>
      </c>
      <c r="BT272" s="28">
        <f t="shared" si="261"/>
        <v>1180</v>
      </c>
      <c r="BU272" s="28" t="s">
        <v>2541</v>
      </c>
      <c r="BV272" s="28">
        <f t="shared" si="262"/>
        <v>1929.3040000000001</v>
      </c>
      <c r="BW272" s="28">
        <f t="shared" si="263"/>
        <v>1007.9443999999999</v>
      </c>
      <c r="BX272" s="13">
        <f t="shared" si="264"/>
        <v>1.5445984665972805</v>
      </c>
      <c r="BY272" s="13">
        <f t="shared" si="265"/>
        <v>1</v>
      </c>
      <c r="BZ272" s="13">
        <f t="shared" si="266"/>
        <v>1.1706994949324587</v>
      </c>
      <c r="CA272" s="13">
        <f t="shared" si="267"/>
        <v>1</v>
      </c>
      <c r="CB272" s="13">
        <f t="shared" si="268"/>
        <v>1</v>
      </c>
      <c r="CC272" s="62">
        <f t="shared" si="269"/>
        <v>1</v>
      </c>
      <c r="CD272" s="13">
        <f t="shared" si="270"/>
        <v>2.9565122838124807</v>
      </c>
      <c r="CE272" s="13">
        <f t="shared" si="271"/>
        <v>2</v>
      </c>
      <c r="CF272" s="13">
        <f t="shared" si="272"/>
        <v>0.61161952704187617</v>
      </c>
      <c r="CG272" s="13">
        <f t="shared" si="273"/>
        <v>0</v>
      </c>
      <c r="CH272" s="28">
        <f t="shared" si="274"/>
        <v>0</v>
      </c>
      <c r="CI272" s="62">
        <f t="shared" si="275"/>
        <v>1</v>
      </c>
      <c r="CJ272" s="59">
        <f t="shared" si="276"/>
        <v>1</v>
      </c>
      <c r="CL272" s="63">
        <v>6000</v>
      </c>
      <c r="CM272" s="63">
        <f t="shared" si="277"/>
        <v>1924.3040000000001</v>
      </c>
      <c r="CN272" s="63">
        <f t="shared" si="278"/>
        <v>1929.3040000000001</v>
      </c>
      <c r="CO272" s="63">
        <f t="shared" si="279"/>
        <v>3.1099297985180145</v>
      </c>
      <c r="CP272" s="13">
        <f t="shared" si="280"/>
        <v>3</v>
      </c>
      <c r="CQ272" s="70">
        <f t="shared" si="281"/>
        <v>0.33333333333333331</v>
      </c>
      <c r="CR272" s="69">
        <f t="shared" si="249"/>
        <v>0.33333333333333331</v>
      </c>
    </row>
    <row r="273" spans="1:96" hidden="1" x14ac:dyDescent="0.25">
      <c r="A273" s="13">
        <v>4</v>
      </c>
      <c r="B273" s="14" t="s">
        <v>805</v>
      </c>
      <c r="C273" s="13" t="s">
        <v>808</v>
      </c>
      <c r="D273" s="13" t="s">
        <v>809</v>
      </c>
      <c r="E273" s="13" t="s">
        <v>52</v>
      </c>
      <c r="F273" s="15">
        <f t="shared" si="250"/>
        <v>1</v>
      </c>
      <c r="G273" s="13">
        <v>4</v>
      </c>
      <c r="H273" s="13">
        <f t="shared" ref="H273:H274" si="297">G273*$H$271</f>
        <v>4</v>
      </c>
      <c r="I273" s="13">
        <v>2</v>
      </c>
      <c r="J273" s="14" t="s">
        <v>681</v>
      </c>
      <c r="K273" s="14" t="s">
        <v>34</v>
      </c>
      <c r="L273" s="13">
        <v>0</v>
      </c>
      <c r="M273" s="14" t="s">
        <v>35</v>
      </c>
      <c r="N273" s="13" t="s">
        <v>809</v>
      </c>
      <c r="O273" s="28" t="s">
        <v>41</v>
      </c>
      <c r="P273" s="28" t="s">
        <v>41</v>
      </c>
      <c r="Q273" s="28" t="s">
        <v>809</v>
      </c>
      <c r="R273" s="30"/>
      <c r="S273" s="30"/>
      <c r="T273" s="30"/>
      <c r="U273" s="30"/>
      <c r="V273" s="8">
        <f t="shared" si="251"/>
        <v>0</v>
      </c>
      <c r="W273" s="8">
        <f t="shared" si="252"/>
        <v>0</v>
      </c>
      <c r="X273" s="8">
        <f t="shared" si="253"/>
        <v>0</v>
      </c>
      <c r="Y273" s="33">
        <f t="shared" si="254"/>
        <v>0</v>
      </c>
      <c r="Z273" s="28"/>
      <c r="AA273" s="28"/>
      <c r="AB273" s="61" t="s">
        <v>809</v>
      </c>
      <c r="AC273" s="31" t="s">
        <v>810</v>
      </c>
      <c r="AD273" s="50">
        <f t="shared" si="255"/>
        <v>4</v>
      </c>
      <c r="AE273" s="31"/>
      <c r="AF273" s="51">
        <v>14</v>
      </c>
      <c r="AG273" s="51">
        <f t="shared" si="282"/>
        <v>8.4</v>
      </c>
      <c r="AH273" s="51">
        <f t="shared" si="248"/>
        <v>42</v>
      </c>
      <c r="AI273" s="52" t="s">
        <v>2497</v>
      </c>
      <c r="AJ273" s="52" t="s">
        <v>2498</v>
      </c>
      <c r="AK273" s="53">
        <f t="shared" si="283"/>
        <v>0</v>
      </c>
      <c r="AL273" s="54">
        <f t="shared" si="284"/>
        <v>0.11904761904761904</v>
      </c>
      <c r="AM273" s="54">
        <f t="shared" si="285"/>
        <v>2.3809523809523808E-2</v>
      </c>
      <c r="AN273" s="55">
        <f t="shared" si="286"/>
        <v>0</v>
      </c>
      <c r="AO273" s="55">
        <f t="shared" si="287"/>
        <v>0</v>
      </c>
      <c r="AP273" s="53">
        <v>7.1</v>
      </c>
      <c r="AQ273" s="53">
        <f t="shared" si="256"/>
        <v>4.26</v>
      </c>
      <c r="AR273" s="53">
        <f t="shared" si="257"/>
        <v>21.299999999999997</v>
      </c>
      <c r="AS273" s="56">
        <f t="shared" si="258"/>
        <v>4.6948356807511742E-2</v>
      </c>
      <c r="AT273" s="56">
        <f t="shared" si="288"/>
        <v>0.23474178403755869</v>
      </c>
      <c r="AU273" s="56">
        <f t="shared" si="259"/>
        <v>0.176056338028169</v>
      </c>
      <c r="AV273" s="56">
        <f t="shared" si="289"/>
        <v>5.8685446009389672E-2</v>
      </c>
      <c r="AW273" s="57" t="s">
        <v>2511</v>
      </c>
      <c r="AX273" s="57" t="s">
        <v>2512</v>
      </c>
      <c r="AY273" s="57" t="s">
        <v>2513</v>
      </c>
      <c r="AZ273" s="58">
        <f t="shared" si="290"/>
        <v>0</v>
      </c>
      <c r="BA273" s="59">
        <f t="shared" si="293"/>
        <v>0</v>
      </c>
      <c r="BB273" s="59">
        <f t="shared" si="294"/>
        <v>0</v>
      </c>
      <c r="BC273" s="59">
        <f t="shared" si="295"/>
        <v>0</v>
      </c>
      <c r="BD273" s="60">
        <f t="shared" si="291"/>
        <v>7.1095438516664771E-6</v>
      </c>
      <c r="BE273" s="59">
        <f t="shared" si="292"/>
        <v>2.8438175406665908E-5</v>
      </c>
      <c r="BQ273" s="61">
        <v>3000</v>
      </c>
      <c r="BR273" s="61">
        <v>1200</v>
      </c>
      <c r="BS273" s="28">
        <f t="shared" si="260"/>
        <v>2980</v>
      </c>
      <c r="BT273" s="28">
        <f t="shared" si="261"/>
        <v>1180</v>
      </c>
      <c r="BU273" s="28" t="s">
        <v>2541</v>
      </c>
      <c r="BV273" s="28">
        <f t="shared" si="262"/>
        <v>5</v>
      </c>
      <c r="BW273" s="28">
        <f t="shared" si="263"/>
        <v>5</v>
      </c>
      <c r="BX273" s="13">
        <f t="shared" si="264"/>
        <v>596</v>
      </c>
      <c r="BY273" s="13">
        <f t="shared" si="265"/>
        <v>596</v>
      </c>
      <c r="BZ273" s="13">
        <f t="shared" si="266"/>
        <v>236</v>
      </c>
      <c r="CA273" s="13">
        <f t="shared" si="267"/>
        <v>236</v>
      </c>
      <c r="CB273" s="13">
        <f t="shared" si="268"/>
        <v>140656</v>
      </c>
      <c r="CC273" s="62">
        <f t="shared" si="269"/>
        <v>7.1095438516664771E-6</v>
      </c>
      <c r="CD273" s="13">
        <f t="shared" si="270"/>
        <v>596</v>
      </c>
      <c r="CE273" s="13">
        <f t="shared" si="271"/>
        <v>596</v>
      </c>
      <c r="CF273" s="13">
        <f t="shared" si="272"/>
        <v>236</v>
      </c>
      <c r="CG273" s="13">
        <f t="shared" si="273"/>
        <v>236</v>
      </c>
      <c r="CH273" s="28">
        <f t="shared" si="274"/>
        <v>140656</v>
      </c>
      <c r="CI273" s="62">
        <f t="shared" si="275"/>
        <v>7.1095438516664771E-6</v>
      </c>
      <c r="CJ273" s="59">
        <f t="shared" si="276"/>
        <v>7.1095438516664771E-6</v>
      </c>
      <c r="CL273" s="63">
        <v>6000</v>
      </c>
      <c r="CM273" s="63">
        <f t="shared" si="277"/>
        <v>0</v>
      </c>
      <c r="CN273" s="63">
        <f t="shared" si="278"/>
        <v>5</v>
      </c>
      <c r="CO273" s="63">
        <f t="shared" si="279"/>
        <v>1200</v>
      </c>
      <c r="CP273" s="13">
        <f t="shared" si="280"/>
        <v>1200</v>
      </c>
      <c r="CQ273" s="70">
        <f t="shared" si="281"/>
        <v>8.3333333333333339E-4</v>
      </c>
      <c r="CR273" s="69">
        <f t="shared" si="249"/>
        <v>3.3333333333333335E-3</v>
      </c>
    </row>
    <row r="274" spans="1:96" hidden="1" x14ac:dyDescent="0.25">
      <c r="A274" s="13">
        <v>4</v>
      </c>
      <c r="B274" s="14" t="s">
        <v>805</v>
      </c>
      <c r="C274" s="13" t="s">
        <v>786</v>
      </c>
      <c r="D274" s="13" t="s">
        <v>2270</v>
      </c>
      <c r="E274" s="13" t="s">
        <v>32</v>
      </c>
      <c r="F274" s="15">
        <f t="shared" si="250"/>
        <v>3</v>
      </c>
      <c r="G274" s="13">
        <v>1</v>
      </c>
      <c r="H274" s="13">
        <f t="shared" si="297"/>
        <v>1</v>
      </c>
      <c r="I274" s="13">
        <v>3</v>
      </c>
      <c r="J274" s="14" t="s">
        <v>787</v>
      </c>
      <c r="K274" s="14" t="s">
        <v>34</v>
      </c>
      <c r="L274" s="13">
        <v>0</v>
      </c>
      <c r="M274" s="14" t="s">
        <v>35</v>
      </c>
      <c r="N274" s="13" t="s">
        <v>788</v>
      </c>
      <c r="O274" s="28" t="s">
        <v>41</v>
      </c>
      <c r="P274" s="28" t="s">
        <v>41</v>
      </c>
      <c r="Q274" s="28"/>
      <c r="R274" s="30"/>
      <c r="S274" s="30"/>
      <c r="T274" s="30"/>
      <c r="U274" s="30"/>
      <c r="V274" s="8">
        <f t="shared" si="251"/>
        <v>0</v>
      </c>
      <c r="W274" s="8">
        <f t="shared" si="252"/>
        <v>0</v>
      </c>
      <c r="X274" s="8">
        <f t="shared" si="253"/>
        <v>0</v>
      </c>
      <c r="Y274" s="33">
        <f t="shared" si="254"/>
        <v>0</v>
      </c>
      <c r="Z274" s="28"/>
      <c r="AA274" s="28"/>
      <c r="AB274" s="28">
        <v>0</v>
      </c>
      <c r="AC274" s="31"/>
      <c r="AD274" s="50">
        <f t="shared" si="255"/>
        <v>1</v>
      </c>
      <c r="AE274" s="31"/>
      <c r="AF274" s="51">
        <v>14</v>
      </c>
      <c r="AG274" s="51">
        <f t="shared" si="282"/>
        <v>8.4</v>
      </c>
      <c r="AH274" s="51">
        <f t="shared" si="248"/>
        <v>42</v>
      </c>
      <c r="AI274" s="52" t="s">
        <v>2497</v>
      </c>
      <c r="AJ274" s="52" t="s">
        <v>2498</v>
      </c>
      <c r="AK274" s="53">
        <f t="shared" si="283"/>
        <v>0</v>
      </c>
      <c r="AL274" s="54">
        <f t="shared" si="284"/>
        <v>0.11904761904761904</v>
      </c>
      <c r="AM274" s="54">
        <f t="shared" si="285"/>
        <v>2.3809523809523808E-2</v>
      </c>
      <c r="AN274" s="55">
        <f t="shared" si="286"/>
        <v>0</v>
      </c>
      <c r="AO274" s="55">
        <f t="shared" si="287"/>
        <v>0</v>
      </c>
      <c r="AP274" s="53">
        <v>7.1</v>
      </c>
      <c r="AQ274" s="53">
        <f t="shared" si="256"/>
        <v>4.26</v>
      </c>
      <c r="AR274" s="53">
        <f t="shared" si="257"/>
        <v>21.299999999999997</v>
      </c>
      <c r="AS274" s="56">
        <f t="shared" si="258"/>
        <v>4.6948356807511742E-2</v>
      </c>
      <c r="AT274" s="56">
        <f t="shared" si="288"/>
        <v>0.23474178403755869</v>
      </c>
      <c r="AU274" s="56">
        <f t="shared" si="259"/>
        <v>0.176056338028169</v>
      </c>
      <c r="AV274" s="56">
        <f t="shared" si="289"/>
        <v>5.8685446009389672E-2</v>
      </c>
      <c r="AW274" s="57" t="s">
        <v>2511</v>
      </c>
      <c r="AX274" s="57" t="s">
        <v>2512</v>
      </c>
      <c r="AY274" s="57" t="s">
        <v>2513</v>
      </c>
      <c r="AZ274" s="58">
        <f t="shared" si="290"/>
        <v>0</v>
      </c>
      <c r="BA274" s="59">
        <f t="shared" si="293"/>
        <v>0</v>
      </c>
      <c r="BB274" s="59">
        <f t="shared" si="294"/>
        <v>0</v>
      </c>
      <c r="BC274" s="59">
        <f t="shared" si="295"/>
        <v>0</v>
      </c>
      <c r="BD274" s="60">
        <f t="shared" si="291"/>
        <v>0</v>
      </c>
      <c r="BE274" s="59">
        <f t="shared" si="292"/>
        <v>0</v>
      </c>
      <c r="BQ274" s="61">
        <v>3000</v>
      </c>
      <c r="BR274" s="61">
        <v>1200</v>
      </c>
      <c r="BS274" s="28">
        <f t="shared" si="260"/>
        <v>2980</v>
      </c>
      <c r="BT274" s="28">
        <f t="shared" si="261"/>
        <v>1180</v>
      </c>
      <c r="BU274" s="28" t="s">
        <v>2541</v>
      </c>
      <c r="BV274" s="28">
        <f t="shared" si="262"/>
        <v>5</v>
      </c>
      <c r="BW274" s="28">
        <f t="shared" si="263"/>
        <v>5</v>
      </c>
      <c r="BX274" s="13">
        <f t="shared" si="264"/>
        <v>596</v>
      </c>
      <c r="BY274" s="13">
        <f t="shared" si="265"/>
        <v>596</v>
      </c>
      <c r="BZ274" s="13">
        <f t="shared" si="266"/>
        <v>236</v>
      </c>
      <c r="CA274" s="13">
        <f t="shared" si="267"/>
        <v>236</v>
      </c>
      <c r="CB274" s="13">
        <f t="shared" si="268"/>
        <v>140656</v>
      </c>
      <c r="CC274" s="62" t="str">
        <f t="shared" si="269"/>
        <v/>
      </c>
      <c r="CD274" s="13">
        <f t="shared" si="270"/>
        <v>596</v>
      </c>
      <c r="CE274" s="13">
        <f t="shared" si="271"/>
        <v>596</v>
      </c>
      <c r="CF274" s="13">
        <f t="shared" si="272"/>
        <v>236</v>
      </c>
      <c r="CG274" s="13">
        <f t="shared" si="273"/>
        <v>236</v>
      </c>
      <c r="CH274" s="28">
        <f t="shared" si="274"/>
        <v>140656</v>
      </c>
      <c r="CI274" s="62" t="str">
        <f t="shared" si="275"/>
        <v/>
      </c>
      <c r="CJ274" s="59">
        <f t="shared" si="276"/>
        <v>0</v>
      </c>
      <c r="CL274" s="63">
        <v>6000</v>
      </c>
      <c r="CM274" s="63">
        <f t="shared" si="277"/>
        <v>0</v>
      </c>
      <c r="CN274" s="63">
        <f t="shared" si="278"/>
        <v>5</v>
      </c>
      <c r="CO274" s="63">
        <f t="shared" si="279"/>
        <v>1200</v>
      </c>
      <c r="CP274" s="13">
        <f t="shared" si="280"/>
        <v>1200</v>
      </c>
      <c r="CQ274" s="70">
        <f t="shared" si="281"/>
        <v>8.3333333333333339E-4</v>
      </c>
      <c r="CR274" s="69">
        <f t="shared" si="249"/>
        <v>8.3333333333333339E-4</v>
      </c>
    </row>
    <row r="275" spans="1:96" hidden="1" x14ac:dyDescent="0.25">
      <c r="A275" s="17">
        <v>5</v>
      </c>
      <c r="B275" s="6" t="s">
        <v>789</v>
      </c>
      <c r="C275" s="17" t="s">
        <v>790</v>
      </c>
      <c r="D275" s="17" t="s">
        <v>2270</v>
      </c>
      <c r="E275" s="17" t="s">
        <v>52</v>
      </c>
      <c r="F275" s="7">
        <f t="shared" si="250"/>
        <v>3</v>
      </c>
      <c r="G275" s="17">
        <v>1</v>
      </c>
      <c r="H275" s="17">
        <f>G275*$H$274</f>
        <v>1</v>
      </c>
      <c r="I275" s="17">
        <v>1</v>
      </c>
      <c r="J275" s="6" t="s">
        <v>791</v>
      </c>
      <c r="K275" s="6" t="s">
        <v>34</v>
      </c>
      <c r="L275" s="17">
        <v>0</v>
      </c>
      <c r="M275" s="6" t="s">
        <v>35</v>
      </c>
      <c r="N275" s="17" t="s">
        <v>792</v>
      </c>
      <c r="O275" s="28" t="s">
        <v>41</v>
      </c>
      <c r="P275" s="28" t="s">
        <v>41</v>
      </c>
      <c r="Q275" s="28" t="s">
        <v>124</v>
      </c>
      <c r="R275" s="30">
        <v>5.0209999999999999</v>
      </c>
      <c r="S275" s="30">
        <v>4.0679999999999996</v>
      </c>
      <c r="T275" s="30"/>
      <c r="U275" s="30">
        <v>9.8000000000000004E-2</v>
      </c>
      <c r="V275" s="8">
        <f t="shared" si="251"/>
        <v>127.53339999999999</v>
      </c>
      <c r="W275" s="8">
        <f t="shared" si="252"/>
        <v>103.32719999999999</v>
      </c>
      <c r="X275" s="8">
        <f t="shared" si="253"/>
        <v>0</v>
      </c>
      <c r="Y275" s="33">
        <f t="shared" si="254"/>
        <v>2.4891999999999999</v>
      </c>
      <c r="Z275" s="28" t="s">
        <v>56</v>
      </c>
      <c r="AA275" s="28" t="s">
        <v>57</v>
      </c>
      <c r="AB275" s="61" t="s">
        <v>124</v>
      </c>
      <c r="AC275" s="31" t="s">
        <v>125</v>
      </c>
      <c r="AD275" s="50">
        <f t="shared" si="255"/>
        <v>1</v>
      </c>
      <c r="AE275" s="31"/>
      <c r="AF275" s="51">
        <v>14</v>
      </c>
      <c r="AG275" s="51">
        <f t="shared" si="282"/>
        <v>8.4</v>
      </c>
      <c r="AH275" s="51">
        <f t="shared" si="248"/>
        <v>42</v>
      </c>
      <c r="AI275" s="52" t="s">
        <v>2497</v>
      </c>
      <c r="AJ275" s="52" t="s">
        <v>2498</v>
      </c>
      <c r="AK275" s="53">
        <f t="shared" si="283"/>
        <v>2.6355338256959997E-2</v>
      </c>
      <c r="AL275" s="54">
        <f t="shared" si="284"/>
        <v>0.11904761904761904</v>
      </c>
      <c r="AM275" s="54">
        <f t="shared" si="285"/>
        <v>2.3809523809523808E-2</v>
      </c>
      <c r="AN275" s="55">
        <f t="shared" si="286"/>
        <v>3.1375402686857137E-3</v>
      </c>
      <c r="AO275" s="55">
        <f t="shared" si="287"/>
        <v>6.2750805373714281E-4</v>
      </c>
      <c r="AP275" s="53">
        <v>7.1</v>
      </c>
      <c r="AQ275" s="53">
        <f t="shared" si="256"/>
        <v>4.26</v>
      </c>
      <c r="AR275" s="53">
        <f t="shared" si="257"/>
        <v>21.299999999999997</v>
      </c>
      <c r="AS275" s="56">
        <f t="shared" si="258"/>
        <v>4.6948356807511742E-2</v>
      </c>
      <c r="AT275" s="56">
        <f t="shared" si="288"/>
        <v>0.23474178403755869</v>
      </c>
      <c r="AU275" s="56">
        <f t="shared" si="259"/>
        <v>0.176056338028169</v>
      </c>
      <c r="AV275" s="56">
        <f t="shared" si="289"/>
        <v>5.8685446009389672E-2</v>
      </c>
      <c r="AW275" s="57" t="s">
        <v>2511</v>
      </c>
      <c r="AX275" s="57" t="s">
        <v>2512</v>
      </c>
      <c r="AY275" s="57" t="s">
        <v>2513</v>
      </c>
      <c r="AZ275" s="58">
        <f t="shared" si="290"/>
        <v>2.6355338256959997E-2</v>
      </c>
      <c r="BA275" s="59">
        <f t="shared" si="293"/>
        <v>7.7333739016901399E-4</v>
      </c>
      <c r="BB275" s="59">
        <f t="shared" si="294"/>
        <v>2.3200121705070418E-3</v>
      </c>
      <c r="BC275" s="59">
        <f t="shared" si="295"/>
        <v>6.186699121352113E-4</v>
      </c>
      <c r="BD275" s="60">
        <f t="shared" si="291"/>
        <v>4.5454545454545452E-3</v>
      </c>
      <c r="BE275" s="59">
        <f t="shared" si="292"/>
        <v>4.5454545454545452E-3</v>
      </c>
      <c r="BQ275" s="61">
        <v>3000</v>
      </c>
      <c r="BR275" s="61">
        <v>1200</v>
      </c>
      <c r="BS275" s="28">
        <f t="shared" si="260"/>
        <v>2980</v>
      </c>
      <c r="BT275" s="28">
        <f t="shared" si="261"/>
        <v>1180</v>
      </c>
      <c r="BU275" s="28" t="s">
        <v>2541</v>
      </c>
      <c r="BV275" s="28">
        <f t="shared" si="262"/>
        <v>132.53339999999997</v>
      </c>
      <c r="BW275" s="28">
        <f t="shared" si="263"/>
        <v>108.32719999999999</v>
      </c>
      <c r="BX275" s="13">
        <f t="shared" si="264"/>
        <v>22.484898146429508</v>
      </c>
      <c r="BY275" s="13">
        <f t="shared" si="265"/>
        <v>22</v>
      </c>
      <c r="BZ275" s="13">
        <f t="shared" si="266"/>
        <v>10.892924399412152</v>
      </c>
      <c r="CA275" s="13">
        <f t="shared" si="267"/>
        <v>10</v>
      </c>
      <c r="CB275" s="13">
        <f t="shared" si="268"/>
        <v>220</v>
      </c>
      <c r="CC275" s="62">
        <f t="shared" si="269"/>
        <v>4.5454545454545452E-3</v>
      </c>
      <c r="CD275" s="13">
        <f t="shared" si="270"/>
        <v>27.509249754447637</v>
      </c>
      <c r="CE275" s="13">
        <f t="shared" si="271"/>
        <v>27</v>
      </c>
      <c r="CF275" s="13">
        <f t="shared" si="272"/>
        <v>8.9034160445593358</v>
      </c>
      <c r="CG275" s="13">
        <f t="shared" si="273"/>
        <v>8</v>
      </c>
      <c r="CH275" s="28">
        <f t="shared" si="274"/>
        <v>216</v>
      </c>
      <c r="CI275" s="62">
        <f t="shared" si="275"/>
        <v>4.6296296296296294E-3</v>
      </c>
      <c r="CJ275" s="59">
        <f t="shared" si="276"/>
        <v>4.5454545454545452E-3</v>
      </c>
      <c r="CL275" s="63">
        <v>6000</v>
      </c>
      <c r="CM275" s="63">
        <f t="shared" si="277"/>
        <v>127.53339999999999</v>
      </c>
      <c r="CN275" s="63">
        <f t="shared" si="278"/>
        <v>132.53339999999997</v>
      </c>
      <c r="CO275" s="63">
        <f t="shared" si="279"/>
        <v>45.271607006233907</v>
      </c>
      <c r="CP275" s="13">
        <f t="shared" si="280"/>
        <v>45</v>
      </c>
      <c r="CQ275" s="70">
        <f t="shared" si="281"/>
        <v>2.2222222222222223E-2</v>
      </c>
      <c r="CR275" s="69">
        <f t="shared" si="249"/>
        <v>2.2222222222222223E-2</v>
      </c>
    </row>
    <row r="276" spans="1:96" hidden="1" x14ac:dyDescent="0.25">
      <c r="A276" s="17">
        <v>5</v>
      </c>
      <c r="B276" s="6" t="s">
        <v>789</v>
      </c>
      <c r="C276" s="17" t="s">
        <v>793</v>
      </c>
      <c r="D276" s="17" t="s">
        <v>795</v>
      </c>
      <c r="E276" s="17" t="s">
        <v>52</v>
      </c>
      <c r="F276" s="7">
        <f t="shared" si="250"/>
        <v>4</v>
      </c>
      <c r="G276" s="17">
        <v>2</v>
      </c>
      <c r="H276" s="17">
        <f>G276*$H$274</f>
        <v>2</v>
      </c>
      <c r="I276" s="17">
        <v>2</v>
      </c>
      <c r="J276" s="6" t="s">
        <v>794</v>
      </c>
      <c r="K276" s="6" t="s">
        <v>34</v>
      </c>
      <c r="L276" s="17" t="s">
        <v>687</v>
      </c>
      <c r="M276" s="6" t="s">
        <v>340</v>
      </c>
      <c r="N276" s="17" t="s">
        <v>795</v>
      </c>
      <c r="O276" s="28" t="s">
        <v>41</v>
      </c>
      <c r="P276" s="28" t="s">
        <v>41</v>
      </c>
      <c r="Q276" s="28" t="s">
        <v>795</v>
      </c>
      <c r="R276" s="30"/>
      <c r="S276" s="30"/>
      <c r="T276" s="30"/>
      <c r="U276" s="30"/>
      <c r="V276" s="8">
        <f t="shared" si="251"/>
        <v>0</v>
      </c>
      <c r="W276" s="8">
        <f t="shared" si="252"/>
        <v>0</v>
      </c>
      <c r="X276" s="8">
        <f t="shared" si="253"/>
        <v>0</v>
      </c>
      <c r="Y276" s="33">
        <f t="shared" si="254"/>
        <v>0</v>
      </c>
      <c r="Z276" s="28"/>
      <c r="AA276" s="28"/>
      <c r="AB276" s="61" t="s">
        <v>795</v>
      </c>
      <c r="AC276" s="31" t="s">
        <v>796</v>
      </c>
      <c r="AD276" s="50">
        <f t="shared" si="255"/>
        <v>2</v>
      </c>
      <c r="AE276" s="31"/>
      <c r="AF276" s="51">
        <v>14</v>
      </c>
      <c r="AG276" s="51">
        <f t="shared" si="282"/>
        <v>8.4</v>
      </c>
      <c r="AH276" s="51">
        <f t="shared" si="248"/>
        <v>42</v>
      </c>
      <c r="AI276" s="52" t="s">
        <v>2497</v>
      </c>
      <c r="AJ276" s="52" t="s">
        <v>2498</v>
      </c>
      <c r="AK276" s="53">
        <f t="shared" si="283"/>
        <v>0</v>
      </c>
      <c r="AL276" s="54">
        <f t="shared" si="284"/>
        <v>0.11904761904761904</v>
      </c>
      <c r="AM276" s="54">
        <f t="shared" si="285"/>
        <v>2.3809523809523808E-2</v>
      </c>
      <c r="AN276" s="55">
        <f t="shared" si="286"/>
        <v>0</v>
      </c>
      <c r="AO276" s="55">
        <f t="shared" si="287"/>
        <v>0</v>
      </c>
      <c r="AP276" s="53">
        <v>7.1</v>
      </c>
      <c r="AQ276" s="53">
        <f t="shared" si="256"/>
        <v>4.26</v>
      </c>
      <c r="AR276" s="53">
        <f t="shared" si="257"/>
        <v>21.299999999999997</v>
      </c>
      <c r="AS276" s="56">
        <f t="shared" si="258"/>
        <v>4.6948356807511742E-2</v>
      </c>
      <c r="AT276" s="56">
        <f t="shared" si="288"/>
        <v>0.23474178403755869</v>
      </c>
      <c r="AU276" s="56">
        <f t="shared" si="259"/>
        <v>0.176056338028169</v>
      </c>
      <c r="AV276" s="56">
        <f t="shared" si="289"/>
        <v>5.8685446009389672E-2</v>
      </c>
      <c r="AW276" s="57" t="s">
        <v>2511</v>
      </c>
      <c r="AX276" s="57" t="s">
        <v>2512</v>
      </c>
      <c r="AY276" s="57" t="s">
        <v>2513</v>
      </c>
      <c r="AZ276" s="58">
        <f t="shared" si="290"/>
        <v>0</v>
      </c>
      <c r="BA276" s="59">
        <f t="shared" si="293"/>
        <v>0</v>
      </c>
      <c r="BB276" s="59">
        <f t="shared" si="294"/>
        <v>0</v>
      </c>
      <c r="BC276" s="59">
        <f t="shared" si="295"/>
        <v>0</v>
      </c>
      <c r="BD276" s="60">
        <f t="shared" si="291"/>
        <v>7.1095438516664771E-6</v>
      </c>
      <c r="BE276" s="59">
        <f t="shared" si="292"/>
        <v>1.4219087703332954E-5</v>
      </c>
      <c r="BQ276" s="61">
        <v>3000</v>
      </c>
      <c r="BR276" s="61">
        <v>1200</v>
      </c>
      <c r="BS276" s="28">
        <f t="shared" si="260"/>
        <v>2980</v>
      </c>
      <c r="BT276" s="28">
        <f t="shared" si="261"/>
        <v>1180</v>
      </c>
      <c r="BU276" s="28" t="s">
        <v>2541</v>
      </c>
      <c r="BV276" s="28">
        <f t="shared" si="262"/>
        <v>5</v>
      </c>
      <c r="BW276" s="28">
        <f t="shared" si="263"/>
        <v>5</v>
      </c>
      <c r="BX276" s="13">
        <f t="shared" si="264"/>
        <v>596</v>
      </c>
      <c r="BY276" s="13">
        <f t="shared" si="265"/>
        <v>596</v>
      </c>
      <c r="BZ276" s="13">
        <f t="shared" si="266"/>
        <v>236</v>
      </c>
      <c r="CA276" s="13">
        <f t="shared" si="267"/>
        <v>236</v>
      </c>
      <c r="CB276" s="13">
        <f t="shared" si="268"/>
        <v>140656</v>
      </c>
      <c r="CC276" s="62">
        <f t="shared" si="269"/>
        <v>7.1095438516664771E-6</v>
      </c>
      <c r="CD276" s="13">
        <f t="shared" si="270"/>
        <v>596</v>
      </c>
      <c r="CE276" s="13">
        <f t="shared" si="271"/>
        <v>596</v>
      </c>
      <c r="CF276" s="13">
        <f t="shared" si="272"/>
        <v>236</v>
      </c>
      <c r="CG276" s="13">
        <f t="shared" si="273"/>
        <v>236</v>
      </c>
      <c r="CH276" s="28">
        <f t="shared" si="274"/>
        <v>140656</v>
      </c>
      <c r="CI276" s="62">
        <f t="shared" si="275"/>
        <v>7.1095438516664771E-6</v>
      </c>
      <c r="CJ276" s="59">
        <f t="shared" si="276"/>
        <v>7.1095438516664771E-6</v>
      </c>
      <c r="CL276" s="63">
        <v>6000</v>
      </c>
      <c r="CM276" s="63">
        <f t="shared" si="277"/>
        <v>0</v>
      </c>
      <c r="CN276" s="63">
        <f t="shared" si="278"/>
        <v>5</v>
      </c>
      <c r="CO276" s="63">
        <f t="shared" si="279"/>
        <v>1200</v>
      </c>
      <c r="CP276" s="13">
        <f t="shared" si="280"/>
        <v>1200</v>
      </c>
      <c r="CQ276" s="70">
        <f t="shared" si="281"/>
        <v>8.3333333333333339E-4</v>
      </c>
      <c r="CR276" s="69">
        <f t="shared" si="249"/>
        <v>1.6666666666666668E-3</v>
      </c>
    </row>
    <row r="277" spans="1:96" hidden="1" x14ac:dyDescent="0.25">
      <c r="A277" s="13">
        <v>4</v>
      </c>
      <c r="B277" s="14" t="s">
        <v>805</v>
      </c>
      <c r="C277" s="13" t="s">
        <v>811</v>
      </c>
      <c r="D277" s="13" t="s">
        <v>2270</v>
      </c>
      <c r="E277" s="13" t="s">
        <v>32</v>
      </c>
      <c r="F277" s="15">
        <f t="shared" si="250"/>
        <v>1</v>
      </c>
      <c r="G277" s="13">
        <v>1</v>
      </c>
      <c r="H277" s="13">
        <f>G277*$H$271</f>
        <v>1</v>
      </c>
      <c r="I277" s="13">
        <v>4</v>
      </c>
      <c r="J277" s="14" t="s">
        <v>812</v>
      </c>
      <c r="K277" s="14" t="s">
        <v>34</v>
      </c>
      <c r="L277" s="13">
        <v>0</v>
      </c>
      <c r="M277" s="14" t="s">
        <v>35</v>
      </c>
      <c r="N277" s="13" t="s">
        <v>813</v>
      </c>
      <c r="O277" s="28" t="s">
        <v>41</v>
      </c>
      <c r="P277" s="28" t="s">
        <v>41</v>
      </c>
      <c r="Q277" s="28"/>
      <c r="R277" s="30"/>
      <c r="S277" s="30"/>
      <c r="T277" s="30"/>
      <c r="U277" s="30"/>
      <c r="V277" s="8">
        <f t="shared" si="251"/>
        <v>0</v>
      </c>
      <c r="W277" s="8">
        <f t="shared" si="252"/>
        <v>0</v>
      </c>
      <c r="X277" s="8">
        <f t="shared" si="253"/>
        <v>0</v>
      </c>
      <c r="Y277" s="33">
        <f t="shared" si="254"/>
        <v>0</v>
      </c>
      <c r="Z277" s="28"/>
      <c r="AA277" s="28"/>
      <c r="AB277" s="28">
        <v>0</v>
      </c>
      <c r="AC277" s="31"/>
      <c r="AD277" s="50">
        <f t="shared" si="255"/>
        <v>1</v>
      </c>
      <c r="AE277" s="31"/>
      <c r="AF277" s="51">
        <v>14</v>
      </c>
      <c r="AG277" s="51">
        <f t="shared" si="282"/>
        <v>8.4</v>
      </c>
      <c r="AH277" s="51">
        <f t="shared" si="248"/>
        <v>42</v>
      </c>
      <c r="AI277" s="52" t="s">
        <v>2497</v>
      </c>
      <c r="AJ277" s="52" t="s">
        <v>2498</v>
      </c>
      <c r="AK277" s="53">
        <f t="shared" si="283"/>
        <v>0</v>
      </c>
      <c r="AL277" s="54">
        <f t="shared" si="284"/>
        <v>0.11904761904761904</v>
      </c>
      <c r="AM277" s="54">
        <f t="shared" si="285"/>
        <v>2.3809523809523808E-2</v>
      </c>
      <c r="AN277" s="55">
        <f t="shared" si="286"/>
        <v>0</v>
      </c>
      <c r="AO277" s="55">
        <f t="shared" si="287"/>
        <v>0</v>
      </c>
      <c r="AP277" s="53">
        <v>7.1</v>
      </c>
      <c r="AQ277" s="53">
        <f t="shared" si="256"/>
        <v>4.26</v>
      </c>
      <c r="AR277" s="53">
        <f t="shared" si="257"/>
        <v>21.299999999999997</v>
      </c>
      <c r="AS277" s="56">
        <f t="shared" si="258"/>
        <v>4.6948356807511742E-2</v>
      </c>
      <c r="AT277" s="56">
        <f t="shared" si="288"/>
        <v>0.23474178403755869</v>
      </c>
      <c r="AU277" s="56">
        <f t="shared" si="259"/>
        <v>0.176056338028169</v>
      </c>
      <c r="AV277" s="56">
        <f t="shared" si="289"/>
        <v>5.8685446009389672E-2</v>
      </c>
      <c r="AW277" s="57" t="s">
        <v>2511</v>
      </c>
      <c r="AX277" s="57" t="s">
        <v>2512</v>
      </c>
      <c r="AY277" s="57" t="s">
        <v>2513</v>
      </c>
      <c r="AZ277" s="58">
        <f t="shared" si="290"/>
        <v>0</v>
      </c>
      <c r="BA277" s="59">
        <f t="shared" si="293"/>
        <v>0</v>
      </c>
      <c r="BB277" s="59">
        <f t="shared" si="294"/>
        <v>0</v>
      </c>
      <c r="BC277" s="59">
        <f t="shared" si="295"/>
        <v>0</v>
      </c>
      <c r="BD277" s="60">
        <f t="shared" si="291"/>
        <v>0</v>
      </c>
      <c r="BE277" s="59">
        <f t="shared" si="292"/>
        <v>0</v>
      </c>
      <c r="BQ277" s="61">
        <v>3000</v>
      </c>
      <c r="BR277" s="61">
        <v>1200</v>
      </c>
      <c r="BS277" s="28">
        <f t="shared" si="260"/>
        <v>2980</v>
      </c>
      <c r="BT277" s="28">
        <f t="shared" si="261"/>
        <v>1180</v>
      </c>
      <c r="BU277" s="28" t="s">
        <v>2541</v>
      </c>
      <c r="BV277" s="28">
        <f t="shared" si="262"/>
        <v>5</v>
      </c>
      <c r="BW277" s="28">
        <f t="shared" si="263"/>
        <v>5</v>
      </c>
      <c r="BX277" s="13">
        <f t="shared" si="264"/>
        <v>596</v>
      </c>
      <c r="BY277" s="13">
        <f t="shared" si="265"/>
        <v>596</v>
      </c>
      <c r="BZ277" s="13">
        <f t="shared" si="266"/>
        <v>236</v>
      </c>
      <c r="CA277" s="13">
        <f t="shared" si="267"/>
        <v>236</v>
      </c>
      <c r="CB277" s="13">
        <f t="shared" si="268"/>
        <v>140656</v>
      </c>
      <c r="CC277" s="62" t="str">
        <f t="shared" si="269"/>
        <v/>
      </c>
      <c r="CD277" s="13">
        <f t="shared" si="270"/>
        <v>596</v>
      </c>
      <c r="CE277" s="13">
        <f t="shared" si="271"/>
        <v>596</v>
      </c>
      <c r="CF277" s="13">
        <f t="shared" si="272"/>
        <v>236</v>
      </c>
      <c r="CG277" s="13">
        <f t="shared" si="273"/>
        <v>236</v>
      </c>
      <c r="CH277" s="28">
        <f t="shared" si="274"/>
        <v>140656</v>
      </c>
      <c r="CI277" s="62" t="str">
        <f t="shared" si="275"/>
        <v/>
      </c>
      <c r="CJ277" s="59">
        <f t="shared" si="276"/>
        <v>0</v>
      </c>
      <c r="CL277" s="63">
        <v>6000</v>
      </c>
      <c r="CM277" s="63">
        <f t="shared" si="277"/>
        <v>0</v>
      </c>
      <c r="CN277" s="63">
        <f t="shared" si="278"/>
        <v>5</v>
      </c>
      <c r="CO277" s="63">
        <f t="shared" si="279"/>
        <v>1200</v>
      </c>
      <c r="CP277" s="13">
        <f t="shared" si="280"/>
        <v>1200</v>
      </c>
      <c r="CQ277" s="70">
        <f t="shared" si="281"/>
        <v>8.3333333333333339E-4</v>
      </c>
      <c r="CR277" s="69">
        <f t="shared" si="249"/>
        <v>8.3333333333333339E-4</v>
      </c>
    </row>
    <row r="278" spans="1:96" hidden="1" x14ac:dyDescent="0.25">
      <c r="A278" s="17">
        <v>5</v>
      </c>
      <c r="B278" s="6" t="s">
        <v>814</v>
      </c>
      <c r="C278" s="17" t="s">
        <v>815</v>
      </c>
      <c r="D278" s="17" t="s">
        <v>2270</v>
      </c>
      <c r="E278" s="17" t="s">
        <v>52</v>
      </c>
      <c r="F278" s="7">
        <f t="shared" si="250"/>
        <v>1</v>
      </c>
      <c r="G278" s="17">
        <v>1</v>
      </c>
      <c r="H278" s="17">
        <f>G278*$H$277</f>
        <v>1</v>
      </c>
      <c r="I278" s="17">
        <v>1</v>
      </c>
      <c r="J278" s="6" t="s">
        <v>155</v>
      </c>
      <c r="K278" s="6" t="s">
        <v>34</v>
      </c>
      <c r="L278" s="17">
        <v>0</v>
      </c>
      <c r="M278" s="6" t="s">
        <v>35</v>
      </c>
      <c r="N278" s="17" t="s">
        <v>816</v>
      </c>
      <c r="O278" s="28" t="s">
        <v>41</v>
      </c>
      <c r="P278" s="28" t="s">
        <v>41</v>
      </c>
      <c r="Q278" s="28" t="s">
        <v>124</v>
      </c>
      <c r="R278" s="30">
        <v>45</v>
      </c>
      <c r="S278" s="30">
        <v>4.8019999999999996</v>
      </c>
      <c r="T278" s="30"/>
      <c r="U278" s="30">
        <v>9.8000000000000004E-2</v>
      </c>
      <c r="V278" s="8">
        <f t="shared" si="251"/>
        <v>1143</v>
      </c>
      <c r="W278" s="8">
        <f t="shared" si="252"/>
        <v>121.97079999999998</v>
      </c>
      <c r="X278" s="8">
        <f t="shared" si="253"/>
        <v>0</v>
      </c>
      <c r="Y278" s="33">
        <f t="shared" si="254"/>
        <v>2.4891999999999999</v>
      </c>
      <c r="Z278" s="28" t="s">
        <v>56</v>
      </c>
      <c r="AA278" s="28" t="s">
        <v>57</v>
      </c>
      <c r="AB278" s="61" t="s">
        <v>124</v>
      </c>
      <c r="AC278" s="31" t="s">
        <v>125</v>
      </c>
      <c r="AD278" s="50">
        <f t="shared" si="255"/>
        <v>1</v>
      </c>
      <c r="AE278" s="31"/>
      <c r="AF278" s="51">
        <v>14</v>
      </c>
      <c r="AG278" s="51">
        <f t="shared" si="282"/>
        <v>8.4</v>
      </c>
      <c r="AH278" s="51">
        <f t="shared" si="248"/>
        <v>42</v>
      </c>
      <c r="AI278" s="52" t="s">
        <v>2497</v>
      </c>
      <c r="AJ278" s="52" t="s">
        <v>2498</v>
      </c>
      <c r="AK278" s="53">
        <f t="shared" si="283"/>
        <v>0.27882524879999993</v>
      </c>
      <c r="AL278" s="54">
        <f t="shared" si="284"/>
        <v>0.11904761904761904</v>
      </c>
      <c r="AM278" s="54">
        <f t="shared" si="285"/>
        <v>2.3809523809523808E-2</v>
      </c>
      <c r="AN278" s="55">
        <f t="shared" si="286"/>
        <v>3.3193481999999989E-2</v>
      </c>
      <c r="AO278" s="55">
        <f t="shared" si="287"/>
        <v>6.6386963999999979E-3</v>
      </c>
      <c r="AP278" s="53">
        <v>7.1</v>
      </c>
      <c r="AQ278" s="53">
        <f t="shared" si="256"/>
        <v>4.26</v>
      </c>
      <c r="AR278" s="53">
        <f t="shared" si="257"/>
        <v>21.299999999999997</v>
      </c>
      <c r="AS278" s="56">
        <f t="shared" si="258"/>
        <v>4.6948356807511742E-2</v>
      </c>
      <c r="AT278" s="56">
        <f t="shared" si="288"/>
        <v>0.23474178403755869</v>
      </c>
      <c r="AU278" s="56">
        <f t="shared" si="259"/>
        <v>0.176056338028169</v>
      </c>
      <c r="AV278" s="56">
        <f t="shared" si="289"/>
        <v>5.8685446009389672E-2</v>
      </c>
      <c r="AW278" s="57" t="s">
        <v>2511</v>
      </c>
      <c r="AX278" s="57" t="s">
        <v>2512</v>
      </c>
      <c r="AY278" s="57" t="s">
        <v>2513</v>
      </c>
      <c r="AZ278" s="58">
        <f t="shared" si="290"/>
        <v>0.27882524879999993</v>
      </c>
      <c r="BA278" s="59">
        <f t="shared" si="293"/>
        <v>8.1814920422535187E-3</v>
      </c>
      <c r="BB278" s="59">
        <f t="shared" si="294"/>
        <v>2.4544476126760556E-2</v>
      </c>
      <c r="BC278" s="59">
        <f t="shared" si="295"/>
        <v>6.5451936338028162E-3</v>
      </c>
      <c r="BD278" s="60">
        <f t="shared" si="291"/>
        <v>4.3478260869565216E-2</v>
      </c>
      <c r="BE278" s="59">
        <f t="shared" si="292"/>
        <v>4.3478260869565216E-2</v>
      </c>
      <c r="BQ278" s="61">
        <v>3000</v>
      </c>
      <c r="BR278" s="61">
        <v>1200</v>
      </c>
      <c r="BS278" s="28">
        <f t="shared" si="260"/>
        <v>2980</v>
      </c>
      <c r="BT278" s="28">
        <f t="shared" si="261"/>
        <v>1180</v>
      </c>
      <c r="BU278" s="28" t="s">
        <v>2541</v>
      </c>
      <c r="BV278" s="28">
        <f t="shared" si="262"/>
        <v>1148</v>
      </c>
      <c r="BW278" s="28">
        <f t="shared" si="263"/>
        <v>126.97079999999998</v>
      </c>
      <c r="BX278" s="13">
        <f t="shared" si="264"/>
        <v>2.5958188153310107</v>
      </c>
      <c r="BY278" s="13">
        <f t="shared" si="265"/>
        <v>2</v>
      </c>
      <c r="BZ278" s="13">
        <f t="shared" si="266"/>
        <v>9.2934753502380083</v>
      </c>
      <c r="CA278" s="13">
        <f t="shared" si="267"/>
        <v>9</v>
      </c>
      <c r="CB278" s="13">
        <f t="shared" si="268"/>
        <v>18</v>
      </c>
      <c r="CC278" s="62">
        <f t="shared" si="269"/>
        <v>5.5555555555555552E-2</v>
      </c>
      <c r="CD278" s="13">
        <f t="shared" si="270"/>
        <v>23.469963172634973</v>
      </c>
      <c r="CE278" s="13">
        <f t="shared" si="271"/>
        <v>23</v>
      </c>
      <c r="CF278" s="13">
        <f t="shared" si="272"/>
        <v>1.0278745644599303</v>
      </c>
      <c r="CG278" s="13">
        <f t="shared" si="273"/>
        <v>1</v>
      </c>
      <c r="CH278" s="28">
        <f t="shared" si="274"/>
        <v>23</v>
      </c>
      <c r="CI278" s="62">
        <f t="shared" si="275"/>
        <v>4.3478260869565216E-2</v>
      </c>
      <c r="CJ278" s="59">
        <f t="shared" si="276"/>
        <v>4.3478260869565216E-2</v>
      </c>
      <c r="CL278" s="63">
        <v>6000</v>
      </c>
      <c r="CM278" s="63">
        <f t="shared" si="277"/>
        <v>1143</v>
      </c>
      <c r="CN278" s="63">
        <f t="shared" si="278"/>
        <v>1148</v>
      </c>
      <c r="CO278" s="63">
        <f t="shared" si="279"/>
        <v>5.2264808362369335</v>
      </c>
      <c r="CP278" s="13">
        <f t="shared" si="280"/>
        <v>5</v>
      </c>
      <c r="CQ278" s="70">
        <f t="shared" si="281"/>
        <v>0.2</v>
      </c>
      <c r="CR278" s="69">
        <f t="shared" si="249"/>
        <v>0.2</v>
      </c>
    </row>
    <row r="279" spans="1:96" hidden="1" x14ac:dyDescent="0.25">
      <c r="A279" s="17">
        <v>5</v>
      </c>
      <c r="B279" s="6" t="s">
        <v>814</v>
      </c>
      <c r="C279" s="17" t="s">
        <v>448</v>
      </c>
      <c r="D279" s="17" t="s">
        <v>450</v>
      </c>
      <c r="E279" s="17" t="s">
        <v>52</v>
      </c>
      <c r="F279" s="7">
        <f t="shared" si="250"/>
        <v>23</v>
      </c>
      <c r="G279" s="17">
        <v>18</v>
      </c>
      <c r="H279" s="17">
        <f>G279*$H$277</f>
        <v>18</v>
      </c>
      <c r="I279" s="17">
        <v>2</v>
      </c>
      <c r="J279" s="6" t="s">
        <v>449</v>
      </c>
      <c r="K279" s="6" t="s">
        <v>34</v>
      </c>
      <c r="L279" s="17">
        <v>0</v>
      </c>
      <c r="M279" s="6" t="s">
        <v>35</v>
      </c>
      <c r="N279" s="17" t="s">
        <v>450</v>
      </c>
      <c r="O279" s="28" t="s">
        <v>41</v>
      </c>
      <c r="P279" s="28" t="s">
        <v>41</v>
      </c>
      <c r="Q279" s="28" t="s">
        <v>450</v>
      </c>
      <c r="R279" s="30"/>
      <c r="S279" s="30"/>
      <c r="T279" s="30"/>
      <c r="U279" s="30"/>
      <c r="V279" s="8">
        <f t="shared" si="251"/>
        <v>0</v>
      </c>
      <c r="W279" s="8">
        <f t="shared" si="252"/>
        <v>0</v>
      </c>
      <c r="X279" s="8">
        <f t="shared" si="253"/>
        <v>0</v>
      </c>
      <c r="Y279" s="33">
        <f t="shared" si="254"/>
        <v>0</v>
      </c>
      <c r="Z279" s="28"/>
      <c r="AA279" s="28"/>
      <c r="AB279" s="61" t="s">
        <v>450</v>
      </c>
      <c r="AC279" s="31" t="s">
        <v>451</v>
      </c>
      <c r="AD279" s="50">
        <f t="shared" si="255"/>
        <v>18</v>
      </c>
      <c r="AE279" s="31"/>
      <c r="AF279" s="51">
        <v>14</v>
      </c>
      <c r="AG279" s="51">
        <f t="shared" si="282"/>
        <v>8.4</v>
      </c>
      <c r="AH279" s="51">
        <f t="shared" si="248"/>
        <v>42</v>
      </c>
      <c r="AI279" s="52" t="s">
        <v>2497</v>
      </c>
      <c r="AJ279" s="52" t="s">
        <v>2498</v>
      </c>
      <c r="AK279" s="53">
        <f t="shared" si="283"/>
        <v>0</v>
      </c>
      <c r="AL279" s="54">
        <f t="shared" si="284"/>
        <v>0.11904761904761904</v>
      </c>
      <c r="AM279" s="54">
        <f t="shared" si="285"/>
        <v>2.3809523809523808E-2</v>
      </c>
      <c r="AN279" s="55">
        <f t="shared" si="286"/>
        <v>0</v>
      </c>
      <c r="AO279" s="55">
        <f t="shared" si="287"/>
        <v>0</v>
      </c>
      <c r="AP279" s="53">
        <v>7.1</v>
      </c>
      <c r="AQ279" s="53">
        <f t="shared" si="256"/>
        <v>4.26</v>
      </c>
      <c r="AR279" s="53">
        <f t="shared" si="257"/>
        <v>21.299999999999997</v>
      </c>
      <c r="AS279" s="56">
        <f t="shared" si="258"/>
        <v>4.6948356807511742E-2</v>
      </c>
      <c r="AT279" s="56">
        <f t="shared" si="288"/>
        <v>0.23474178403755869</v>
      </c>
      <c r="AU279" s="56">
        <f t="shared" si="259"/>
        <v>0.176056338028169</v>
      </c>
      <c r="AV279" s="56">
        <f t="shared" si="289"/>
        <v>5.8685446009389672E-2</v>
      </c>
      <c r="AW279" s="57" t="s">
        <v>2511</v>
      </c>
      <c r="AX279" s="57" t="s">
        <v>2512</v>
      </c>
      <c r="AY279" s="57" t="s">
        <v>2513</v>
      </c>
      <c r="AZ279" s="58">
        <f t="shared" si="290"/>
        <v>0</v>
      </c>
      <c r="BA279" s="59">
        <f t="shared" si="293"/>
        <v>0</v>
      </c>
      <c r="BB279" s="59">
        <f t="shared" si="294"/>
        <v>0</v>
      </c>
      <c r="BC279" s="59">
        <f t="shared" si="295"/>
        <v>0</v>
      </c>
      <c r="BD279" s="60">
        <f t="shared" si="291"/>
        <v>7.1095438516664771E-6</v>
      </c>
      <c r="BE279" s="59">
        <f t="shared" si="292"/>
        <v>1.279717893299966E-4</v>
      </c>
      <c r="BQ279" s="61">
        <v>3000</v>
      </c>
      <c r="BR279" s="61">
        <v>1200</v>
      </c>
      <c r="BS279" s="28">
        <f t="shared" si="260"/>
        <v>2980</v>
      </c>
      <c r="BT279" s="28">
        <f t="shared" si="261"/>
        <v>1180</v>
      </c>
      <c r="BU279" s="28" t="s">
        <v>2541</v>
      </c>
      <c r="BV279" s="28">
        <f t="shared" si="262"/>
        <v>5</v>
      </c>
      <c r="BW279" s="28">
        <f t="shared" si="263"/>
        <v>5</v>
      </c>
      <c r="BX279" s="13">
        <f t="shared" si="264"/>
        <v>596</v>
      </c>
      <c r="BY279" s="13">
        <f t="shared" si="265"/>
        <v>596</v>
      </c>
      <c r="BZ279" s="13">
        <f t="shared" si="266"/>
        <v>236</v>
      </c>
      <c r="CA279" s="13">
        <f t="shared" si="267"/>
        <v>236</v>
      </c>
      <c r="CB279" s="13">
        <f t="shared" si="268"/>
        <v>140656</v>
      </c>
      <c r="CC279" s="62">
        <f t="shared" si="269"/>
        <v>7.1095438516664771E-6</v>
      </c>
      <c r="CD279" s="13">
        <f t="shared" si="270"/>
        <v>596</v>
      </c>
      <c r="CE279" s="13">
        <f t="shared" si="271"/>
        <v>596</v>
      </c>
      <c r="CF279" s="13">
        <f t="shared" si="272"/>
        <v>236</v>
      </c>
      <c r="CG279" s="13">
        <f t="shared" si="273"/>
        <v>236</v>
      </c>
      <c r="CH279" s="28">
        <f t="shared" si="274"/>
        <v>140656</v>
      </c>
      <c r="CI279" s="62">
        <f t="shared" si="275"/>
        <v>7.1095438516664771E-6</v>
      </c>
      <c r="CJ279" s="59">
        <f t="shared" si="276"/>
        <v>7.1095438516664771E-6</v>
      </c>
      <c r="CL279" s="63">
        <v>6000</v>
      </c>
      <c r="CM279" s="63">
        <f t="shared" si="277"/>
        <v>0</v>
      </c>
      <c r="CN279" s="63">
        <f t="shared" si="278"/>
        <v>5</v>
      </c>
      <c r="CO279" s="63">
        <f t="shared" si="279"/>
        <v>1200</v>
      </c>
      <c r="CP279" s="13">
        <f t="shared" si="280"/>
        <v>1200</v>
      </c>
      <c r="CQ279" s="70">
        <f t="shared" si="281"/>
        <v>8.3333333333333339E-4</v>
      </c>
      <c r="CR279" s="69">
        <f t="shared" si="249"/>
        <v>1.5000000000000001E-2</v>
      </c>
    </row>
    <row r="280" spans="1:96" hidden="1" x14ac:dyDescent="0.25">
      <c r="A280" s="13">
        <v>4</v>
      </c>
      <c r="B280" s="14" t="s">
        <v>805</v>
      </c>
      <c r="C280" s="13" t="s">
        <v>698</v>
      </c>
      <c r="D280" s="13" t="s">
        <v>700</v>
      </c>
      <c r="E280" s="13" t="s">
        <v>52</v>
      </c>
      <c r="F280" s="15">
        <f t="shared" si="250"/>
        <v>4</v>
      </c>
      <c r="G280" s="13">
        <v>4</v>
      </c>
      <c r="H280" s="13">
        <f t="shared" ref="H280:H290" si="298">G280*$H$271</f>
        <v>4</v>
      </c>
      <c r="I280" s="13">
        <v>5</v>
      </c>
      <c r="J280" s="14" t="s">
        <v>699</v>
      </c>
      <c r="K280" s="14" t="s">
        <v>34</v>
      </c>
      <c r="L280" s="13" t="s">
        <v>89</v>
      </c>
      <c r="M280" s="14" t="s">
        <v>35</v>
      </c>
      <c r="N280" s="13" t="s">
        <v>700</v>
      </c>
      <c r="O280" s="28" t="s">
        <v>41</v>
      </c>
      <c r="P280" s="28" t="s">
        <v>41</v>
      </c>
      <c r="Q280" s="28" t="s">
        <v>79</v>
      </c>
      <c r="R280" s="30">
        <v>6.0629921259842527</v>
      </c>
      <c r="S280" s="30">
        <v>0.3125</v>
      </c>
      <c r="T280" s="30"/>
      <c r="U280" s="30">
        <v>0.3125</v>
      </c>
      <c r="V280" s="8">
        <f t="shared" si="251"/>
        <v>154</v>
      </c>
      <c r="W280" s="8">
        <f t="shared" si="252"/>
        <v>7.9375</v>
      </c>
      <c r="X280" s="8">
        <f t="shared" si="253"/>
        <v>0</v>
      </c>
      <c r="Y280" s="33">
        <f t="shared" si="254"/>
        <v>7.9375</v>
      </c>
      <c r="Z280" s="28" t="s">
        <v>80</v>
      </c>
      <c r="AA280" s="28" t="s">
        <v>81</v>
      </c>
      <c r="AB280" s="61" t="s">
        <v>79</v>
      </c>
      <c r="AC280" s="31" t="s">
        <v>82</v>
      </c>
      <c r="AD280" s="50">
        <f t="shared" si="255"/>
        <v>4</v>
      </c>
      <c r="AE280" s="31"/>
      <c r="AF280" s="51">
        <v>14</v>
      </c>
      <c r="AG280" s="51">
        <f t="shared" si="282"/>
        <v>8.4</v>
      </c>
      <c r="AH280" s="51">
        <f t="shared" si="248"/>
        <v>42</v>
      </c>
      <c r="AI280" s="52" t="s">
        <v>2497</v>
      </c>
      <c r="AJ280" s="52" t="s">
        <v>2498</v>
      </c>
      <c r="AK280" s="53">
        <f t="shared" si="283"/>
        <v>2.4447499999999999E-3</v>
      </c>
      <c r="AL280" s="54">
        <f t="shared" si="284"/>
        <v>0.11904761904761904</v>
      </c>
      <c r="AM280" s="54">
        <f t="shared" si="285"/>
        <v>2.3809523809523808E-2</v>
      </c>
      <c r="AN280" s="55">
        <f t="shared" si="286"/>
        <v>1.1641666666666666E-3</v>
      </c>
      <c r="AO280" s="55">
        <f t="shared" si="287"/>
        <v>2.3283333333333332E-4</v>
      </c>
      <c r="AP280" s="53">
        <v>7.1</v>
      </c>
      <c r="AQ280" s="53">
        <f t="shared" si="256"/>
        <v>4.26</v>
      </c>
      <c r="AR280" s="53">
        <f t="shared" si="257"/>
        <v>21.299999999999997</v>
      </c>
      <c r="AS280" s="56">
        <f t="shared" si="258"/>
        <v>4.6948356807511742E-2</v>
      </c>
      <c r="AT280" s="56">
        <f t="shared" si="288"/>
        <v>0.23474178403755869</v>
      </c>
      <c r="AU280" s="56">
        <f t="shared" si="259"/>
        <v>0.176056338028169</v>
      </c>
      <c r="AV280" s="56">
        <f t="shared" si="289"/>
        <v>5.8685446009389672E-2</v>
      </c>
      <c r="AW280" s="57" t="s">
        <v>2511</v>
      </c>
      <c r="AX280" s="57" t="s">
        <v>2512</v>
      </c>
      <c r="AY280" s="57" t="s">
        <v>2513</v>
      </c>
      <c r="AZ280" s="58">
        <f t="shared" si="290"/>
        <v>2.4447499999999999E-3</v>
      </c>
      <c r="BA280" s="59">
        <f t="shared" si="293"/>
        <v>2.8694248826291078E-4</v>
      </c>
      <c r="BB280" s="59">
        <f t="shared" si="294"/>
        <v>8.6082746478873234E-4</v>
      </c>
      <c r="BC280" s="59">
        <f t="shared" si="295"/>
        <v>2.2955399061032865E-4</v>
      </c>
      <c r="BD280" s="60">
        <f t="shared" si="291"/>
        <v>6.105006105006105E-4</v>
      </c>
      <c r="BE280" s="59">
        <f t="shared" si="292"/>
        <v>2.442002442002442E-3</v>
      </c>
      <c r="BQ280" s="61">
        <v>3000</v>
      </c>
      <c r="BR280" s="61">
        <v>1200</v>
      </c>
      <c r="BS280" s="28">
        <f t="shared" si="260"/>
        <v>2980</v>
      </c>
      <c r="BT280" s="28">
        <f t="shared" si="261"/>
        <v>1180</v>
      </c>
      <c r="BU280" s="28" t="s">
        <v>2541</v>
      </c>
      <c r="BV280" s="28">
        <f t="shared" si="262"/>
        <v>159</v>
      </c>
      <c r="BW280" s="28">
        <f t="shared" si="263"/>
        <v>12.9375</v>
      </c>
      <c r="BX280" s="13">
        <f t="shared" si="264"/>
        <v>18.742138364779873</v>
      </c>
      <c r="BY280" s="13">
        <f t="shared" si="265"/>
        <v>18</v>
      </c>
      <c r="BZ280" s="13">
        <f t="shared" si="266"/>
        <v>91.207729468599027</v>
      </c>
      <c r="CA280" s="13">
        <f t="shared" si="267"/>
        <v>91</v>
      </c>
      <c r="CB280" s="13">
        <f t="shared" si="268"/>
        <v>1638</v>
      </c>
      <c r="CC280" s="62">
        <f t="shared" si="269"/>
        <v>6.105006105006105E-4</v>
      </c>
      <c r="CD280" s="13">
        <f t="shared" si="270"/>
        <v>230.33816425120773</v>
      </c>
      <c r="CE280" s="13">
        <f t="shared" si="271"/>
        <v>230</v>
      </c>
      <c r="CF280" s="13">
        <f t="shared" si="272"/>
        <v>7.4213836477987423</v>
      </c>
      <c r="CG280" s="13">
        <f t="shared" si="273"/>
        <v>7</v>
      </c>
      <c r="CH280" s="28">
        <f t="shared" si="274"/>
        <v>1610</v>
      </c>
      <c r="CI280" s="62">
        <f t="shared" si="275"/>
        <v>6.2111801242236027E-4</v>
      </c>
      <c r="CJ280" s="59">
        <f t="shared" si="276"/>
        <v>6.105006105006105E-4</v>
      </c>
      <c r="CL280" s="63">
        <v>6000</v>
      </c>
      <c r="CM280" s="63">
        <f t="shared" si="277"/>
        <v>154</v>
      </c>
      <c r="CN280" s="63">
        <f t="shared" si="278"/>
        <v>159</v>
      </c>
      <c r="CO280" s="63">
        <f t="shared" si="279"/>
        <v>37.735849056603776</v>
      </c>
      <c r="CP280" s="13">
        <f t="shared" si="280"/>
        <v>37</v>
      </c>
      <c r="CQ280" s="70">
        <f t="shared" si="281"/>
        <v>2.7027027027027029E-2</v>
      </c>
      <c r="CR280" s="69">
        <f t="shared" si="249"/>
        <v>0.10810810810810811</v>
      </c>
    </row>
    <row r="281" spans="1:96" hidden="1" x14ac:dyDescent="0.25">
      <c r="A281" s="13">
        <v>4</v>
      </c>
      <c r="B281" s="14" t="s">
        <v>805</v>
      </c>
      <c r="C281" s="13" t="s">
        <v>817</v>
      </c>
      <c r="D281" s="13" t="s">
        <v>819</v>
      </c>
      <c r="E281" s="13" t="s">
        <v>52</v>
      </c>
      <c r="F281" s="15">
        <f t="shared" si="250"/>
        <v>5</v>
      </c>
      <c r="G281" s="13">
        <v>1</v>
      </c>
      <c r="H281" s="13">
        <f t="shared" si="298"/>
        <v>1</v>
      </c>
      <c r="I281" s="13">
        <v>6</v>
      </c>
      <c r="J281" s="14" t="s">
        <v>818</v>
      </c>
      <c r="K281" s="14" t="s">
        <v>34</v>
      </c>
      <c r="L281" s="13" t="s">
        <v>89</v>
      </c>
      <c r="M281" s="14" t="s">
        <v>35</v>
      </c>
      <c r="N281" s="13" t="s">
        <v>819</v>
      </c>
      <c r="O281" s="28" t="s">
        <v>41</v>
      </c>
      <c r="P281" s="28" t="s">
        <v>41</v>
      </c>
      <c r="Q281" s="28" t="s">
        <v>79</v>
      </c>
      <c r="R281" s="30">
        <v>16.023622047244096</v>
      </c>
      <c r="S281" s="30">
        <v>0.3125</v>
      </c>
      <c r="T281" s="30"/>
      <c r="U281" s="30">
        <v>0.3125</v>
      </c>
      <c r="V281" s="8">
        <f t="shared" si="251"/>
        <v>407</v>
      </c>
      <c r="W281" s="8">
        <f t="shared" si="252"/>
        <v>7.9375</v>
      </c>
      <c r="X281" s="8">
        <f t="shared" si="253"/>
        <v>0</v>
      </c>
      <c r="Y281" s="33">
        <f t="shared" si="254"/>
        <v>7.9375</v>
      </c>
      <c r="Z281" s="28" t="s">
        <v>80</v>
      </c>
      <c r="AA281" s="28" t="s">
        <v>81</v>
      </c>
      <c r="AB281" s="61" t="s">
        <v>79</v>
      </c>
      <c r="AC281" s="31" t="s">
        <v>82</v>
      </c>
      <c r="AD281" s="50">
        <f t="shared" si="255"/>
        <v>1</v>
      </c>
      <c r="AE281" s="31"/>
      <c r="AF281" s="51">
        <v>14</v>
      </c>
      <c r="AG281" s="51">
        <f t="shared" si="282"/>
        <v>8.4</v>
      </c>
      <c r="AH281" s="51">
        <f t="shared" si="248"/>
        <v>42</v>
      </c>
      <c r="AI281" s="52" t="s">
        <v>2497</v>
      </c>
      <c r="AJ281" s="52" t="s">
        <v>2498</v>
      </c>
      <c r="AK281" s="53">
        <f t="shared" si="283"/>
        <v>6.4611249999999999E-3</v>
      </c>
      <c r="AL281" s="54">
        <f t="shared" si="284"/>
        <v>0.11904761904761904</v>
      </c>
      <c r="AM281" s="54">
        <f t="shared" si="285"/>
        <v>2.3809523809523808E-2</v>
      </c>
      <c r="AN281" s="55">
        <f t="shared" si="286"/>
        <v>7.6918154761904751E-4</v>
      </c>
      <c r="AO281" s="55">
        <f t="shared" si="287"/>
        <v>1.5383630952380952E-4</v>
      </c>
      <c r="AP281" s="53">
        <v>7.1</v>
      </c>
      <c r="AQ281" s="53">
        <f t="shared" si="256"/>
        <v>4.26</v>
      </c>
      <c r="AR281" s="53">
        <f t="shared" si="257"/>
        <v>21.299999999999997</v>
      </c>
      <c r="AS281" s="56">
        <f t="shared" si="258"/>
        <v>4.6948356807511742E-2</v>
      </c>
      <c r="AT281" s="56">
        <f t="shared" si="288"/>
        <v>0.23474178403755869</v>
      </c>
      <c r="AU281" s="56">
        <f t="shared" si="259"/>
        <v>0.176056338028169</v>
      </c>
      <c r="AV281" s="56">
        <f t="shared" si="289"/>
        <v>5.8685446009389672E-2</v>
      </c>
      <c r="AW281" s="57" t="s">
        <v>2511</v>
      </c>
      <c r="AX281" s="57" t="s">
        <v>2512</v>
      </c>
      <c r="AY281" s="57" t="s">
        <v>2513</v>
      </c>
      <c r="AZ281" s="58">
        <f t="shared" si="290"/>
        <v>6.4611249999999999E-3</v>
      </c>
      <c r="BA281" s="59">
        <f t="shared" si="293"/>
        <v>1.8958700117370893E-4</v>
      </c>
      <c r="BB281" s="59">
        <f t="shared" si="294"/>
        <v>5.6876100352112673E-4</v>
      </c>
      <c r="BC281" s="59">
        <f t="shared" si="295"/>
        <v>1.5166960093896715E-4</v>
      </c>
      <c r="BD281" s="60">
        <f t="shared" si="291"/>
        <v>1.5698587127158557E-3</v>
      </c>
      <c r="BE281" s="59">
        <f t="shared" si="292"/>
        <v>1.5698587127158557E-3</v>
      </c>
      <c r="BQ281" s="61">
        <v>3000</v>
      </c>
      <c r="BR281" s="61">
        <v>1200</v>
      </c>
      <c r="BS281" s="28">
        <f t="shared" si="260"/>
        <v>2980</v>
      </c>
      <c r="BT281" s="28">
        <f t="shared" si="261"/>
        <v>1180</v>
      </c>
      <c r="BU281" s="28" t="s">
        <v>2541</v>
      </c>
      <c r="BV281" s="28">
        <f t="shared" si="262"/>
        <v>412</v>
      </c>
      <c r="BW281" s="28">
        <f t="shared" si="263"/>
        <v>12.9375</v>
      </c>
      <c r="BX281" s="13">
        <f t="shared" si="264"/>
        <v>7.233009708737864</v>
      </c>
      <c r="BY281" s="13">
        <f t="shared" si="265"/>
        <v>7</v>
      </c>
      <c r="BZ281" s="13">
        <f t="shared" si="266"/>
        <v>91.207729468599027</v>
      </c>
      <c r="CA281" s="13">
        <f t="shared" si="267"/>
        <v>91</v>
      </c>
      <c r="CB281" s="13">
        <f t="shared" si="268"/>
        <v>637</v>
      </c>
      <c r="CC281" s="62">
        <f t="shared" si="269"/>
        <v>1.5698587127158557E-3</v>
      </c>
      <c r="CD281" s="13">
        <f t="shared" si="270"/>
        <v>230.33816425120773</v>
      </c>
      <c r="CE281" s="13">
        <f t="shared" si="271"/>
        <v>230</v>
      </c>
      <c r="CF281" s="13">
        <f t="shared" si="272"/>
        <v>2.8640776699029127</v>
      </c>
      <c r="CG281" s="13">
        <f t="shared" si="273"/>
        <v>2</v>
      </c>
      <c r="CH281" s="28">
        <f t="shared" si="274"/>
        <v>460</v>
      </c>
      <c r="CI281" s="62">
        <f t="shared" si="275"/>
        <v>2.1739130434782609E-3</v>
      </c>
      <c r="CJ281" s="59">
        <f t="shared" si="276"/>
        <v>1.5698587127158557E-3</v>
      </c>
      <c r="CL281" s="63">
        <v>6000</v>
      </c>
      <c r="CM281" s="63">
        <f t="shared" si="277"/>
        <v>407</v>
      </c>
      <c r="CN281" s="63">
        <f t="shared" si="278"/>
        <v>412</v>
      </c>
      <c r="CO281" s="63">
        <f t="shared" si="279"/>
        <v>14.563106796116505</v>
      </c>
      <c r="CP281" s="13">
        <f t="shared" si="280"/>
        <v>14</v>
      </c>
      <c r="CQ281" s="70">
        <f t="shared" si="281"/>
        <v>7.1428571428571425E-2</v>
      </c>
      <c r="CR281" s="69">
        <f t="shared" si="249"/>
        <v>7.1428571428571425E-2</v>
      </c>
    </row>
    <row r="282" spans="1:96" hidden="1" x14ac:dyDescent="0.25">
      <c r="A282" s="13">
        <v>4</v>
      </c>
      <c r="B282" s="14" t="s">
        <v>805</v>
      </c>
      <c r="C282" s="13" t="s">
        <v>87</v>
      </c>
      <c r="D282" s="13" t="s">
        <v>90</v>
      </c>
      <c r="E282" s="13" t="s">
        <v>52</v>
      </c>
      <c r="F282" s="15">
        <f t="shared" si="250"/>
        <v>7</v>
      </c>
      <c r="G282" s="13">
        <v>1</v>
      </c>
      <c r="H282" s="13">
        <f t="shared" si="298"/>
        <v>1</v>
      </c>
      <c r="I282" s="13">
        <v>7</v>
      </c>
      <c r="J282" s="14" t="s">
        <v>88</v>
      </c>
      <c r="K282" s="14" t="s">
        <v>34</v>
      </c>
      <c r="L282" s="13" t="s">
        <v>89</v>
      </c>
      <c r="M282" s="14" t="s">
        <v>35</v>
      </c>
      <c r="N282" s="13" t="s">
        <v>90</v>
      </c>
      <c r="O282" s="28" t="s">
        <v>41</v>
      </c>
      <c r="P282" s="28" t="s">
        <v>41</v>
      </c>
      <c r="Q282" s="28" t="s">
        <v>79</v>
      </c>
      <c r="R282" s="30">
        <v>14.05511811023622</v>
      </c>
      <c r="S282" s="30">
        <v>0.3125</v>
      </c>
      <c r="T282" s="30"/>
      <c r="U282" s="30">
        <v>0.3125</v>
      </c>
      <c r="V282" s="8">
        <f t="shared" si="251"/>
        <v>357</v>
      </c>
      <c r="W282" s="8">
        <f t="shared" si="252"/>
        <v>7.9375</v>
      </c>
      <c r="X282" s="8">
        <f t="shared" si="253"/>
        <v>0</v>
      </c>
      <c r="Y282" s="33">
        <f t="shared" si="254"/>
        <v>7.9375</v>
      </c>
      <c r="Z282" s="28" t="s">
        <v>80</v>
      </c>
      <c r="AA282" s="28" t="s">
        <v>81</v>
      </c>
      <c r="AB282" s="61" t="s">
        <v>79</v>
      </c>
      <c r="AC282" s="31" t="s">
        <v>82</v>
      </c>
      <c r="AD282" s="50">
        <f t="shared" si="255"/>
        <v>1</v>
      </c>
      <c r="AE282" s="31"/>
      <c r="AF282" s="51">
        <v>14</v>
      </c>
      <c r="AG282" s="51">
        <f t="shared" si="282"/>
        <v>8.4</v>
      </c>
      <c r="AH282" s="51">
        <f t="shared" si="248"/>
        <v>42</v>
      </c>
      <c r="AI282" s="52" t="s">
        <v>2497</v>
      </c>
      <c r="AJ282" s="52" t="s">
        <v>2498</v>
      </c>
      <c r="AK282" s="53">
        <f t="shared" si="283"/>
        <v>5.6673749999999997E-3</v>
      </c>
      <c r="AL282" s="54">
        <f t="shared" si="284"/>
        <v>0.11904761904761904</v>
      </c>
      <c r="AM282" s="54">
        <f t="shared" si="285"/>
        <v>2.3809523809523808E-2</v>
      </c>
      <c r="AN282" s="55">
        <f t="shared" si="286"/>
        <v>6.7468749999999994E-4</v>
      </c>
      <c r="AO282" s="55">
        <f t="shared" si="287"/>
        <v>1.3493749999999999E-4</v>
      </c>
      <c r="AP282" s="53">
        <v>7.1</v>
      </c>
      <c r="AQ282" s="53">
        <f t="shared" si="256"/>
        <v>4.26</v>
      </c>
      <c r="AR282" s="53">
        <f t="shared" si="257"/>
        <v>21.299999999999997</v>
      </c>
      <c r="AS282" s="56">
        <f t="shared" si="258"/>
        <v>4.6948356807511742E-2</v>
      </c>
      <c r="AT282" s="56">
        <f t="shared" si="288"/>
        <v>0.23474178403755869</v>
      </c>
      <c r="AU282" s="56">
        <f t="shared" si="259"/>
        <v>0.176056338028169</v>
      </c>
      <c r="AV282" s="56">
        <f t="shared" si="289"/>
        <v>5.8685446009389672E-2</v>
      </c>
      <c r="AW282" s="57" t="s">
        <v>2511</v>
      </c>
      <c r="AX282" s="57" t="s">
        <v>2512</v>
      </c>
      <c r="AY282" s="57" t="s">
        <v>2513</v>
      </c>
      <c r="AZ282" s="58">
        <f t="shared" si="290"/>
        <v>5.6673749999999997E-3</v>
      </c>
      <c r="BA282" s="59">
        <f t="shared" si="293"/>
        <v>1.6629621478873239E-4</v>
      </c>
      <c r="BB282" s="59">
        <f t="shared" si="294"/>
        <v>4.9888864436619708E-4</v>
      </c>
      <c r="BC282" s="59">
        <f t="shared" si="295"/>
        <v>1.3303697183098592E-4</v>
      </c>
      <c r="BD282" s="60">
        <f t="shared" si="291"/>
        <v>1.3736263736263737E-3</v>
      </c>
      <c r="BE282" s="59">
        <f t="shared" si="292"/>
        <v>1.3736263736263737E-3</v>
      </c>
      <c r="BQ282" s="61">
        <v>3000</v>
      </c>
      <c r="BR282" s="61">
        <v>1200</v>
      </c>
      <c r="BS282" s="28">
        <f t="shared" si="260"/>
        <v>2980</v>
      </c>
      <c r="BT282" s="28">
        <f t="shared" si="261"/>
        <v>1180</v>
      </c>
      <c r="BU282" s="28" t="s">
        <v>2541</v>
      </c>
      <c r="BV282" s="28">
        <f t="shared" si="262"/>
        <v>362</v>
      </c>
      <c r="BW282" s="28">
        <f t="shared" si="263"/>
        <v>12.9375</v>
      </c>
      <c r="BX282" s="13">
        <f t="shared" si="264"/>
        <v>8.2320441988950268</v>
      </c>
      <c r="BY282" s="13">
        <f t="shared" si="265"/>
        <v>8</v>
      </c>
      <c r="BZ282" s="13">
        <f t="shared" si="266"/>
        <v>91.207729468599027</v>
      </c>
      <c r="CA282" s="13">
        <f t="shared" si="267"/>
        <v>91</v>
      </c>
      <c r="CB282" s="13">
        <f t="shared" si="268"/>
        <v>728</v>
      </c>
      <c r="CC282" s="62">
        <f t="shared" si="269"/>
        <v>1.3736263736263737E-3</v>
      </c>
      <c r="CD282" s="13">
        <f t="shared" si="270"/>
        <v>230.33816425120773</v>
      </c>
      <c r="CE282" s="13">
        <f t="shared" si="271"/>
        <v>230</v>
      </c>
      <c r="CF282" s="13">
        <f t="shared" si="272"/>
        <v>3.2596685082872927</v>
      </c>
      <c r="CG282" s="13">
        <f t="shared" si="273"/>
        <v>3</v>
      </c>
      <c r="CH282" s="28">
        <f t="shared" si="274"/>
        <v>690</v>
      </c>
      <c r="CI282" s="62">
        <f t="shared" si="275"/>
        <v>1.4492753623188406E-3</v>
      </c>
      <c r="CJ282" s="59">
        <f t="shared" si="276"/>
        <v>1.3736263736263737E-3</v>
      </c>
      <c r="CL282" s="63">
        <v>6000</v>
      </c>
      <c r="CM282" s="63">
        <f t="shared" si="277"/>
        <v>357</v>
      </c>
      <c r="CN282" s="63">
        <f t="shared" si="278"/>
        <v>362</v>
      </c>
      <c r="CO282" s="63">
        <f t="shared" si="279"/>
        <v>16.574585635359117</v>
      </c>
      <c r="CP282" s="13">
        <f t="shared" si="280"/>
        <v>16</v>
      </c>
      <c r="CQ282" s="70">
        <f t="shared" si="281"/>
        <v>6.25E-2</v>
      </c>
      <c r="CR282" s="69">
        <f t="shared" si="249"/>
        <v>6.25E-2</v>
      </c>
    </row>
    <row r="283" spans="1:96" hidden="1" x14ac:dyDescent="0.25">
      <c r="A283" s="13">
        <v>4</v>
      </c>
      <c r="B283" s="14" t="s">
        <v>805</v>
      </c>
      <c r="C283" s="13" t="s">
        <v>703</v>
      </c>
      <c r="D283" s="13" t="s">
        <v>705</v>
      </c>
      <c r="E283" s="13" t="s">
        <v>52</v>
      </c>
      <c r="F283" s="15">
        <f t="shared" si="250"/>
        <v>7</v>
      </c>
      <c r="G283" s="13">
        <v>1</v>
      </c>
      <c r="H283" s="13">
        <f t="shared" si="298"/>
        <v>1</v>
      </c>
      <c r="I283" s="13">
        <v>8</v>
      </c>
      <c r="J283" s="14" t="s">
        <v>704</v>
      </c>
      <c r="K283" s="14" t="s">
        <v>34</v>
      </c>
      <c r="L283" s="13" t="s">
        <v>89</v>
      </c>
      <c r="M283" s="14" t="s">
        <v>35</v>
      </c>
      <c r="N283" s="13" t="s">
        <v>705</v>
      </c>
      <c r="O283" s="28" t="s">
        <v>41</v>
      </c>
      <c r="P283" s="28" t="s">
        <v>41</v>
      </c>
      <c r="Q283" s="28" t="s">
        <v>79</v>
      </c>
      <c r="R283" s="30">
        <v>7.9921259842519685</v>
      </c>
      <c r="S283" s="30">
        <v>0.3125</v>
      </c>
      <c r="T283" s="30"/>
      <c r="U283" s="30">
        <v>0.3125</v>
      </c>
      <c r="V283" s="8">
        <f t="shared" si="251"/>
        <v>203</v>
      </c>
      <c r="W283" s="8">
        <f t="shared" si="252"/>
        <v>7.9375</v>
      </c>
      <c r="X283" s="8">
        <f t="shared" si="253"/>
        <v>0</v>
      </c>
      <c r="Y283" s="33">
        <f t="shared" si="254"/>
        <v>7.9375</v>
      </c>
      <c r="Z283" s="28" t="s">
        <v>80</v>
      </c>
      <c r="AA283" s="28" t="s">
        <v>81</v>
      </c>
      <c r="AB283" s="61" t="s">
        <v>79</v>
      </c>
      <c r="AC283" s="31" t="s">
        <v>82</v>
      </c>
      <c r="AD283" s="50">
        <f t="shared" si="255"/>
        <v>1</v>
      </c>
      <c r="AE283" s="31"/>
      <c r="AF283" s="51">
        <v>14</v>
      </c>
      <c r="AG283" s="51">
        <f t="shared" si="282"/>
        <v>8.4</v>
      </c>
      <c r="AH283" s="51">
        <f t="shared" si="248"/>
        <v>42</v>
      </c>
      <c r="AI283" s="52" t="s">
        <v>2497</v>
      </c>
      <c r="AJ283" s="52" t="s">
        <v>2498</v>
      </c>
      <c r="AK283" s="53">
        <f t="shared" si="283"/>
        <v>3.2226249999999998E-3</v>
      </c>
      <c r="AL283" s="54">
        <f t="shared" si="284"/>
        <v>0.11904761904761904</v>
      </c>
      <c r="AM283" s="54">
        <f t="shared" si="285"/>
        <v>2.3809523809523808E-2</v>
      </c>
      <c r="AN283" s="55">
        <f t="shared" si="286"/>
        <v>3.8364583333333328E-4</v>
      </c>
      <c r="AO283" s="55">
        <f t="shared" si="287"/>
        <v>7.6729166666666664E-5</v>
      </c>
      <c r="AP283" s="53">
        <v>7.1</v>
      </c>
      <c r="AQ283" s="53">
        <f t="shared" si="256"/>
        <v>4.26</v>
      </c>
      <c r="AR283" s="53">
        <f t="shared" si="257"/>
        <v>21.299999999999997</v>
      </c>
      <c r="AS283" s="56">
        <f t="shared" si="258"/>
        <v>4.6948356807511742E-2</v>
      </c>
      <c r="AT283" s="56">
        <f t="shared" si="288"/>
        <v>0.23474178403755869</v>
      </c>
      <c r="AU283" s="56">
        <f t="shared" si="259"/>
        <v>0.176056338028169</v>
      </c>
      <c r="AV283" s="56">
        <f t="shared" si="289"/>
        <v>5.8685446009389672E-2</v>
      </c>
      <c r="AW283" s="57" t="s">
        <v>2511</v>
      </c>
      <c r="AX283" s="57" t="s">
        <v>2512</v>
      </c>
      <c r="AY283" s="57" t="s">
        <v>2513</v>
      </c>
      <c r="AZ283" s="58">
        <f t="shared" si="290"/>
        <v>3.2226249999999998E-3</v>
      </c>
      <c r="BA283" s="59">
        <f t="shared" si="293"/>
        <v>9.4560592723004686E-5</v>
      </c>
      <c r="BB283" s="59">
        <f t="shared" si="294"/>
        <v>2.8368177816901407E-4</v>
      </c>
      <c r="BC283" s="59">
        <f t="shared" si="295"/>
        <v>7.5648474178403754E-5</v>
      </c>
      <c r="BD283" s="60">
        <f t="shared" si="291"/>
        <v>7.8492935635792783E-4</v>
      </c>
      <c r="BE283" s="59">
        <f t="shared" si="292"/>
        <v>7.8492935635792783E-4</v>
      </c>
      <c r="BQ283" s="61">
        <v>3000</v>
      </c>
      <c r="BR283" s="61">
        <v>1200</v>
      </c>
      <c r="BS283" s="28">
        <f t="shared" si="260"/>
        <v>2980</v>
      </c>
      <c r="BT283" s="28">
        <f t="shared" si="261"/>
        <v>1180</v>
      </c>
      <c r="BU283" s="28" t="s">
        <v>2541</v>
      </c>
      <c r="BV283" s="28">
        <f t="shared" si="262"/>
        <v>208</v>
      </c>
      <c r="BW283" s="28">
        <f t="shared" si="263"/>
        <v>12.9375</v>
      </c>
      <c r="BX283" s="13">
        <f t="shared" si="264"/>
        <v>14.326923076923077</v>
      </c>
      <c r="BY283" s="13">
        <f t="shared" si="265"/>
        <v>14</v>
      </c>
      <c r="BZ283" s="13">
        <f t="shared" si="266"/>
        <v>91.207729468599027</v>
      </c>
      <c r="CA283" s="13">
        <f t="shared" si="267"/>
        <v>91</v>
      </c>
      <c r="CB283" s="13">
        <f t="shared" si="268"/>
        <v>1274</v>
      </c>
      <c r="CC283" s="62">
        <f t="shared" si="269"/>
        <v>7.8492935635792783E-4</v>
      </c>
      <c r="CD283" s="13">
        <f t="shared" si="270"/>
        <v>230.33816425120773</v>
      </c>
      <c r="CE283" s="13">
        <f t="shared" si="271"/>
        <v>230</v>
      </c>
      <c r="CF283" s="13">
        <f t="shared" si="272"/>
        <v>5.6730769230769234</v>
      </c>
      <c r="CG283" s="13">
        <f t="shared" si="273"/>
        <v>5</v>
      </c>
      <c r="CH283" s="28">
        <f t="shared" si="274"/>
        <v>1150</v>
      </c>
      <c r="CI283" s="62">
        <f t="shared" si="275"/>
        <v>8.6956521739130438E-4</v>
      </c>
      <c r="CJ283" s="59">
        <f t="shared" si="276"/>
        <v>7.8492935635792783E-4</v>
      </c>
      <c r="CL283" s="63">
        <v>6000</v>
      </c>
      <c r="CM283" s="63">
        <f t="shared" si="277"/>
        <v>203</v>
      </c>
      <c r="CN283" s="63">
        <f t="shared" si="278"/>
        <v>208</v>
      </c>
      <c r="CO283" s="63">
        <f t="shared" si="279"/>
        <v>28.846153846153847</v>
      </c>
      <c r="CP283" s="13">
        <f t="shared" si="280"/>
        <v>28</v>
      </c>
      <c r="CQ283" s="70">
        <f t="shared" si="281"/>
        <v>3.5714285714285712E-2</v>
      </c>
      <c r="CR283" s="69">
        <f t="shared" si="249"/>
        <v>3.5714285714285712E-2</v>
      </c>
    </row>
    <row r="284" spans="1:96" hidden="1" x14ac:dyDescent="0.25">
      <c r="A284" s="13">
        <v>4</v>
      </c>
      <c r="B284" s="14" t="s">
        <v>805</v>
      </c>
      <c r="C284" s="13" t="s">
        <v>820</v>
      </c>
      <c r="D284" s="13" t="s">
        <v>2270</v>
      </c>
      <c r="E284" s="13" t="s">
        <v>52</v>
      </c>
      <c r="F284" s="15">
        <f t="shared" si="250"/>
        <v>1</v>
      </c>
      <c r="G284" s="13">
        <v>1</v>
      </c>
      <c r="H284" s="13">
        <f t="shared" si="298"/>
        <v>1</v>
      </c>
      <c r="I284" s="13">
        <v>9</v>
      </c>
      <c r="J284" s="14" t="s">
        <v>821</v>
      </c>
      <c r="K284" s="14" t="s">
        <v>34</v>
      </c>
      <c r="L284" s="13" t="s">
        <v>259</v>
      </c>
      <c r="M284" s="14" t="s">
        <v>35</v>
      </c>
      <c r="N284" s="13" t="s">
        <v>822</v>
      </c>
      <c r="O284" s="28" t="s">
        <v>41</v>
      </c>
      <c r="P284" s="28" t="s">
        <v>41</v>
      </c>
      <c r="Q284" s="28" t="s">
        <v>79</v>
      </c>
      <c r="R284" s="30">
        <v>11.461</v>
      </c>
      <c r="S284" s="30">
        <v>0.3125</v>
      </c>
      <c r="T284" s="30"/>
      <c r="U284" s="30">
        <v>0.3125</v>
      </c>
      <c r="V284" s="8">
        <f t="shared" si="251"/>
        <v>291.10939999999999</v>
      </c>
      <c r="W284" s="8">
        <f t="shared" si="252"/>
        <v>7.9375</v>
      </c>
      <c r="X284" s="8">
        <f t="shared" si="253"/>
        <v>0</v>
      </c>
      <c r="Y284" s="33">
        <f t="shared" si="254"/>
        <v>7.9375</v>
      </c>
      <c r="Z284" s="28" t="s">
        <v>80</v>
      </c>
      <c r="AA284" s="28" t="s">
        <v>81</v>
      </c>
      <c r="AB284" s="61" t="s">
        <v>79</v>
      </c>
      <c r="AC284" s="31" t="s">
        <v>82</v>
      </c>
      <c r="AD284" s="50">
        <f t="shared" si="255"/>
        <v>1</v>
      </c>
      <c r="AE284" s="31"/>
      <c r="AF284" s="51">
        <v>14</v>
      </c>
      <c r="AG284" s="51">
        <f t="shared" si="282"/>
        <v>8.4</v>
      </c>
      <c r="AH284" s="51">
        <f t="shared" si="248"/>
        <v>42</v>
      </c>
      <c r="AI284" s="52" t="s">
        <v>2497</v>
      </c>
      <c r="AJ284" s="52" t="s">
        <v>2498</v>
      </c>
      <c r="AK284" s="53">
        <f t="shared" si="283"/>
        <v>4.6213617250000002E-3</v>
      </c>
      <c r="AL284" s="54">
        <f t="shared" si="284"/>
        <v>0.11904761904761904</v>
      </c>
      <c r="AM284" s="54">
        <f t="shared" si="285"/>
        <v>2.3809523809523808E-2</v>
      </c>
      <c r="AN284" s="55">
        <f t="shared" si="286"/>
        <v>5.5016211011904765E-4</v>
      </c>
      <c r="AO284" s="55">
        <f t="shared" si="287"/>
        <v>1.1003242202380953E-4</v>
      </c>
      <c r="AP284" s="53">
        <v>7.1</v>
      </c>
      <c r="AQ284" s="53">
        <f t="shared" si="256"/>
        <v>4.26</v>
      </c>
      <c r="AR284" s="53">
        <f t="shared" si="257"/>
        <v>21.299999999999997</v>
      </c>
      <c r="AS284" s="56">
        <f t="shared" si="258"/>
        <v>4.6948356807511742E-2</v>
      </c>
      <c r="AT284" s="56">
        <f t="shared" si="288"/>
        <v>0.23474178403755869</v>
      </c>
      <c r="AU284" s="56">
        <f t="shared" si="259"/>
        <v>0.176056338028169</v>
      </c>
      <c r="AV284" s="56">
        <f t="shared" si="289"/>
        <v>5.8685446009389672E-2</v>
      </c>
      <c r="AW284" s="57" t="s">
        <v>2511</v>
      </c>
      <c r="AX284" s="57" t="s">
        <v>2512</v>
      </c>
      <c r="AY284" s="57" t="s">
        <v>2513</v>
      </c>
      <c r="AZ284" s="58">
        <f t="shared" si="290"/>
        <v>4.6213617250000002E-3</v>
      </c>
      <c r="BA284" s="59">
        <f t="shared" si="293"/>
        <v>1.3560333700117372E-4</v>
      </c>
      <c r="BB284" s="59">
        <f t="shared" si="294"/>
        <v>4.0681001100352114E-4</v>
      </c>
      <c r="BC284" s="59">
        <f t="shared" si="295"/>
        <v>1.0848266960093898E-4</v>
      </c>
      <c r="BD284" s="60">
        <f t="shared" si="291"/>
        <v>1.0989010989010989E-3</v>
      </c>
      <c r="BE284" s="59">
        <f t="shared" si="292"/>
        <v>1.0989010989010989E-3</v>
      </c>
      <c r="BQ284" s="61">
        <v>3000</v>
      </c>
      <c r="BR284" s="61">
        <v>1200</v>
      </c>
      <c r="BS284" s="28">
        <f t="shared" si="260"/>
        <v>2980</v>
      </c>
      <c r="BT284" s="28">
        <f t="shared" si="261"/>
        <v>1180</v>
      </c>
      <c r="BU284" s="28" t="s">
        <v>2541</v>
      </c>
      <c r="BV284" s="28">
        <f t="shared" si="262"/>
        <v>296.10939999999999</v>
      </c>
      <c r="BW284" s="28">
        <f t="shared" si="263"/>
        <v>12.9375</v>
      </c>
      <c r="BX284" s="13">
        <f t="shared" si="264"/>
        <v>10.063848023737172</v>
      </c>
      <c r="BY284" s="13">
        <f t="shared" si="265"/>
        <v>10</v>
      </c>
      <c r="BZ284" s="13">
        <f t="shared" si="266"/>
        <v>91.207729468599027</v>
      </c>
      <c r="CA284" s="13">
        <f t="shared" si="267"/>
        <v>91</v>
      </c>
      <c r="CB284" s="13">
        <f t="shared" si="268"/>
        <v>910</v>
      </c>
      <c r="CC284" s="62">
        <f t="shared" si="269"/>
        <v>1.0989010989010989E-3</v>
      </c>
      <c r="CD284" s="13">
        <f t="shared" si="270"/>
        <v>230.33816425120773</v>
      </c>
      <c r="CE284" s="13">
        <f t="shared" si="271"/>
        <v>230</v>
      </c>
      <c r="CF284" s="13">
        <f t="shared" si="272"/>
        <v>3.9850136469831758</v>
      </c>
      <c r="CG284" s="13">
        <f t="shared" si="273"/>
        <v>3</v>
      </c>
      <c r="CH284" s="28">
        <f t="shared" si="274"/>
        <v>690</v>
      </c>
      <c r="CI284" s="62">
        <f t="shared" si="275"/>
        <v>1.4492753623188406E-3</v>
      </c>
      <c r="CJ284" s="59">
        <f t="shared" si="276"/>
        <v>1.0989010989010989E-3</v>
      </c>
      <c r="CL284" s="63">
        <v>6000</v>
      </c>
      <c r="CM284" s="63">
        <f t="shared" si="277"/>
        <v>291.10939999999999</v>
      </c>
      <c r="CN284" s="63">
        <f t="shared" si="278"/>
        <v>296.10939999999999</v>
      </c>
      <c r="CO284" s="63">
        <f t="shared" si="279"/>
        <v>20.262781255846658</v>
      </c>
      <c r="CP284" s="13">
        <f t="shared" si="280"/>
        <v>20</v>
      </c>
      <c r="CQ284" s="70">
        <f t="shared" si="281"/>
        <v>0.05</v>
      </c>
      <c r="CR284" s="69">
        <f t="shared" si="249"/>
        <v>0.05</v>
      </c>
    </row>
    <row r="285" spans="1:96" hidden="1" x14ac:dyDescent="0.25">
      <c r="A285" s="13">
        <v>4</v>
      </c>
      <c r="B285" s="14" t="s">
        <v>805</v>
      </c>
      <c r="C285" s="13" t="s">
        <v>823</v>
      </c>
      <c r="D285" s="13" t="s">
        <v>824</v>
      </c>
      <c r="E285" s="13" t="s">
        <v>52</v>
      </c>
      <c r="F285" s="15">
        <f t="shared" si="250"/>
        <v>1</v>
      </c>
      <c r="G285" s="13">
        <v>1</v>
      </c>
      <c r="H285" s="13">
        <f t="shared" si="298"/>
        <v>1</v>
      </c>
      <c r="I285" s="13">
        <v>10</v>
      </c>
      <c r="J285" s="14" t="s">
        <v>76</v>
      </c>
      <c r="K285" s="14" t="s">
        <v>34</v>
      </c>
      <c r="L285" s="13">
        <v>0</v>
      </c>
      <c r="M285" s="14" t="s">
        <v>35</v>
      </c>
      <c r="N285" s="13" t="s">
        <v>824</v>
      </c>
      <c r="O285" s="28" t="s">
        <v>41</v>
      </c>
      <c r="P285" s="28" t="s">
        <v>41</v>
      </c>
      <c r="Q285" s="28" t="s">
        <v>824</v>
      </c>
      <c r="R285" s="30">
        <v>12.7</v>
      </c>
      <c r="S285" s="30">
        <v>0.3125</v>
      </c>
      <c r="T285" s="30"/>
      <c r="U285" s="30">
        <v>0.3125</v>
      </c>
      <c r="V285" s="8">
        <f t="shared" si="251"/>
        <v>322.58</v>
      </c>
      <c r="W285" s="8">
        <f t="shared" si="252"/>
        <v>7.9375</v>
      </c>
      <c r="X285" s="8">
        <f t="shared" si="253"/>
        <v>0</v>
      </c>
      <c r="Y285" s="33">
        <f t="shared" si="254"/>
        <v>7.9375</v>
      </c>
      <c r="Z285" s="28" t="s">
        <v>80</v>
      </c>
      <c r="AA285" s="28" t="s">
        <v>81</v>
      </c>
      <c r="AB285" s="61" t="s">
        <v>824</v>
      </c>
      <c r="AC285" s="31" t="s">
        <v>76</v>
      </c>
      <c r="AD285" s="50">
        <f t="shared" si="255"/>
        <v>1</v>
      </c>
      <c r="AE285" s="31"/>
      <c r="AF285" s="51">
        <v>14</v>
      </c>
      <c r="AG285" s="51">
        <f t="shared" si="282"/>
        <v>8.4</v>
      </c>
      <c r="AH285" s="51">
        <f t="shared" si="248"/>
        <v>42</v>
      </c>
      <c r="AI285" s="52" t="s">
        <v>2497</v>
      </c>
      <c r="AJ285" s="52" t="s">
        <v>2498</v>
      </c>
      <c r="AK285" s="53">
        <f t="shared" si="283"/>
        <v>5.1209574999999995E-3</v>
      </c>
      <c r="AL285" s="54">
        <f t="shared" si="284"/>
        <v>0.11904761904761904</v>
      </c>
      <c r="AM285" s="54">
        <f t="shared" si="285"/>
        <v>2.3809523809523808E-2</v>
      </c>
      <c r="AN285" s="55">
        <f t="shared" si="286"/>
        <v>6.0963779761904753E-4</v>
      </c>
      <c r="AO285" s="55">
        <f t="shared" si="287"/>
        <v>1.219275595238095E-4</v>
      </c>
      <c r="AP285" s="53">
        <v>7.1</v>
      </c>
      <c r="AQ285" s="53">
        <f t="shared" si="256"/>
        <v>4.26</v>
      </c>
      <c r="AR285" s="53">
        <f t="shared" si="257"/>
        <v>21.299999999999997</v>
      </c>
      <c r="AS285" s="56">
        <f t="shared" si="258"/>
        <v>4.6948356807511742E-2</v>
      </c>
      <c r="AT285" s="56">
        <f t="shared" si="288"/>
        <v>0.23474178403755869</v>
      </c>
      <c r="AU285" s="56">
        <f t="shared" si="259"/>
        <v>0.176056338028169</v>
      </c>
      <c r="AV285" s="56">
        <f t="shared" si="289"/>
        <v>5.8685446009389672E-2</v>
      </c>
      <c r="AW285" s="57" t="s">
        <v>2511</v>
      </c>
      <c r="AX285" s="57" t="s">
        <v>2512</v>
      </c>
      <c r="AY285" s="57" t="s">
        <v>2513</v>
      </c>
      <c r="AZ285" s="58">
        <f t="shared" si="290"/>
        <v>5.1209574999999995E-3</v>
      </c>
      <c r="BA285" s="59">
        <f t="shared" si="293"/>
        <v>1.5026283744131453E-4</v>
      </c>
      <c r="BB285" s="59">
        <f t="shared" si="294"/>
        <v>4.5078851232394361E-4</v>
      </c>
      <c r="BC285" s="59">
        <f t="shared" si="295"/>
        <v>1.2021026995305164E-4</v>
      </c>
      <c r="BD285" s="60">
        <f t="shared" si="291"/>
        <v>1.221001221001221E-3</v>
      </c>
      <c r="BE285" s="59">
        <f t="shared" si="292"/>
        <v>1.221001221001221E-3</v>
      </c>
      <c r="BQ285" s="61">
        <v>3000</v>
      </c>
      <c r="BR285" s="61">
        <v>1200</v>
      </c>
      <c r="BS285" s="28">
        <f t="shared" si="260"/>
        <v>2980</v>
      </c>
      <c r="BT285" s="28">
        <f t="shared" si="261"/>
        <v>1180</v>
      </c>
      <c r="BU285" s="28" t="s">
        <v>2541</v>
      </c>
      <c r="BV285" s="28">
        <f t="shared" si="262"/>
        <v>327.58</v>
      </c>
      <c r="BW285" s="28">
        <f t="shared" si="263"/>
        <v>12.9375</v>
      </c>
      <c r="BX285" s="13">
        <f t="shared" si="264"/>
        <v>9.0970144697478474</v>
      </c>
      <c r="BY285" s="13">
        <f t="shared" si="265"/>
        <v>9</v>
      </c>
      <c r="BZ285" s="13">
        <f t="shared" si="266"/>
        <v>91.207729468599027</v>
      </c>
      <c r="CA285" s="13">
        <f t="shared" si="267"/>
        <v>91</v>
      </c>
      <c r="CB285" s="13">
        <f t="shared" si="268"/>
        <v>819</v>
      </c>
      <c r="CC285" s="62">
        <f t="shared" si="269"/>
        <v>1.221001221001221E-3</v>
      </c>
      <c r="CD285" s="13">
        <f t="shared" si="270"/>
        <v>230.33816425120773</v>
      </c>
      <c r="CE285" s="13">
        <f t="shared" si="271"/>
        <v>230</v>
      </c>
      <c r="CF285" s="13">
        <f t="shared" si="272"/>
        <v>3.6021735148665974</v>
      </c>
      <c r="CG285" s="13">
        <f t="shared" si="273"/>
        <v>3</v>
      </c>
      <c r="CH285" s="28">
        <f t="shared" si="274"/>
        <v>690</v>
      </c>
      <c r="CI285" s="62">
        <f t="shared" si="275"/>
        <v>1.4492753623188406E-3</v>
      </c>
      <c r="CJ285" s="59">
        <f t="shared" si="276"/>
        <v>1.221001221001221E-3</v>
      </c>
      <c r="CL285" s="63">
        <v>6000</v>
      </c>
      <c r="CM285" s="63">
        <f t="shared" si="277"/>
        <v>322.58</v>
      </c>
      <c r="CN285" s="63">
        <f t="shared" si="278"/>
        <v>327.58</v>
      </c>
      <c r="CO285" s="63">
        <f t="shared" si="279"/>
        <v>18.316136516270834</v>
      </c>
      <c r="CP285" s="13">
        <f t="shared" si="280"/>
        <v>18</v>
      </c>
      <c r="CQ285" s="70">
        <f t="shared" si="281"/>
        <v>5.5555555555555552E-2</v>
      </c>
      <c r="CR285" s="69">
        <f t="shared" si="249"/>
        <v>5.5555555555555552E-2</v>
      </c>
    </row>
    <row r="286" spans="1:96" hidden="1" x14ac:dyDescent="0.25">
      <c r="A286" s="13">
        <v>4</v>
      </c>
      <c r="B286" s="14" t="s">
        <v>805</v>
      </c>
      <c r="C286" s="13" t="s">
        <v>825</v>
      </c>
      <c r="D286" s="13" t="s">
        <v>826</v>
      </c>
      <c r="E286" s="13" t="s">
        <v>52</v>
      </c>
      <c r="F286" s="15">
        <f t="shared" si="250"/>
        <v>9</v>
      </c>
      <c r="G286" s="13">
        <v>2</v>
      </c>
      <c r="H286" s="13">
        <f t="shared" si="298"/>
        <v>2</v>
      </c>
      <c r="I286" s="13">
        <v>11</v>
      </c>
      <c r="J286" s="14" t="s">
        <v>76</v>
      </c>
      <c r="K286" s="14" t="s">
        <v>34</v>
      </c>
      <c r="L286" s="13" t="s">
        <v>77</v>
      </c>
      <c r="M286" s="14" t="s">
        <v>35</v>
      </c>
      <c r="N286" s="13" t="s">
        <v>826</v>
      </c>
      <c r="O286" s="28" t="s">
        <v>41</v>
      </c>
      <c r="P286" s="28" t="s">
        <v>41</v>
      </c>
      <c r="Q286" s="28" t="s">
        <v>79</v>
      </c>
      <c r="R286" s="30">
        <v>8.0709999999999997</v>
      </c>
      <c r="S286" s="30">
        <v>0.3125</v>
      </c>
      <c r="T286" s="30"/>
      <c r="U286" s="30">
        <v>0.3125</v>
      </c>
      <c r="V286" s="8">
        <f t="shared" si="251"/>
        <v>205.00339999999997</v>
      </c>
      <c r="W286" s="8">
        <f t="shared" si="252"/>
        <v>7.9375</v>
      </c>
      <c r="X286" s="8">
        <f t="shared" si="253"/>
        <v>0</v>
      </c>
      <c r="Y286" s="33">
        <f t="shared" si="254"/>
        <v>7.9375</v>
      </c>
      <c r="Z286" s="28" t="s">
        <v>80</v>
      </c>
      <c r="AA286" s="28" t="s">
        <v>81</v>
      </c>
      <c r="AB286" s="61" t="s">
        <v>79</v>
      </c>
      <c r="AC286" s="31" t="s">
        <v>82</v>
      </c>
      <c r="AD286" s="50">
        <f t="shared" si="255"/>
        <v>2</v>
      </c>
      <c r="AE286" s="31"/>
      <c r="AF286" s="51">
        <v>14</v>
      </c>
      <c r="AG286" s="51">
        <f t="shared" si="282"/>
        <v>8.4</v>
      </c>
      <c r="AH286" s="51">
        <f t="shared" si="248"/>
        <v>42</v>
      </c>
      <c r="AI286" s="52" t="s">
        <v>2497</v>
      </c>
      <c r="AJ286" s="52" t="s">
        <v>2498</v>
      </c>
      <c r="AK286" s="53">
        <f t="shared" si="283"/>
        <v>3.2544289749999993E-3</v>
      </c>
      <c r="AL286" s="54">
        <f t="shared" si="284"/>
        <v>0.11904761904761904</v>
      </c>
      <c r="AM286" s="54">
        <f t="shared" si="285"/>
        <v>2.3809523809523808E-2</v>
      </c>
      <c r="AN286" s="55">
        <f t="shared" si="286"/>
        <v>7.7486404166666643E-4</v>
      </c>
      <c r="AO286" s="55">
        <f t="shared" si="287"/>
        <v>1.5497280833333329E-4</v>
      </c>
      <c r="AP286" s="53">
        <v>7.1</v>
      </c>
      <c r="AQ286" s="53">
        <f t="shared" si="256"/>
        <v>4.26</v>
      </c>
      <c r="AR286" s="53">
        <f t="shared" si="257"/>
        <v>21.299999999999997</v>
      </c>
      <c r="AS286" s="56">
        <f t="shared" si="258"/>
        <v>4.6948356807511742E-2</v>
      </c>
      <c r="AT286" s="56">
        <f t="shared" si="288"/>
        <v>0.23474178403755869</v>
      </c>
      <c r="AU286" s="56">
        <f t="shared" si="259"/>
        <v>0.176056338028169</v>
      </c>
      <c r="AV286" s="56">
        <f t="shared" si="289"/>
        <v>5.8685446009389672E-2</v>
      </c>
      <c r="AW286" s="57" t="s">
        <v>2511</v>
      </c>
      <c r="AX286" s="57" t="s">
        <v>2512</v>
      </c>
      <c r="AY286" s="57" t="s">
        <v>2513</v>
      </c>
      <c r="AZ286" s="58">
        <f t="shared" si="290"/>
        <v>3.2544289749999993E-3</v>
      </c>
      <c r="BA286" s="59">
        <f t="shared" si="293"/>
        <v>1.9098761590375583E-4</v>
      </c>
      <c r="BB286" s="59">
        <f t="shared" si="294"/>
        <v>5.729628477112675E-4</v>
      </c>
      <c r="BC286" s="59">
        <f t="shared" si="295"/>
        <v>1.5279009272300468E-4</v>
      </c>
      <c r="BD286" s="60">
        <f t="shared" si="291"/>
        <v>7.8492935635792783E-4</v>
      </c>
      <c r="BE286" s="59">
        <f t="shared" si="292"/>
        <v>1.5698587127158557E-3</v>
      </c>
      <c r="BQ286" s="61">
        <v>3000</v>
      </c>
      <c r="BR286" s="61">
        <v>1200</v>
      </c>
      <c r="BS286" s="28">
        <f t="shared" si="260"/>
        <v>2980</v>
      </c>
      <c r="BT286" s="28">
        <f t="shared" si="261"/>
        <v>1180</v>
      </c>
      <c r="BU286" s="28" t="s">
        <v>2541</v>
      </c>
      <c r="BV286" s="28">
        <f t="shared" si="262"/>
        <v>210.00339999999997</v>
      </c>
      <c r="BW286" s="28">
        <f t="shared" si="263"/>
        <v>12.9375</v>
      </c>
      <c r="BX286" s="13">
        <f t="shared" si="264"/>
        <v>14.190246443629009</v>
      </c>
      <c r="BY286" s="13">
        <f t="shared" si="265"/>
        <v>14</v>
      </c>
      <c r="BZ286" s="13">
        <f t="shared" si="266"/>
        <v>91.207729468599027</v>
      </c>
      <c r="CA286" s="13">
        <f t="shared" si="267"/>
        <v>91</v>
      </c>
      <c r="CB286" s="13">
        <f t="shared" si="268"/>
        <v>1274</v>
      </c>
      <c r="CC286" s="62">
        <f t="shared" si="269"/>
        <v>7.8492935635792783E-4</v>
      </c>
      <c r="CD286" s="13">
        <f t="shared" si="270"/>
        <v>230.33816425120773</v>
      </c>
      <c r="CE286" s="13">
        <f t="shared" si="271"/>
        <v>230</v>
      </c>
      <c r="CF286" s="13">
        <f t="shared" si="272"/>
        <v>5.618956645463836</v>
      </c>
      <c r="CG286" s="13">
        <f t="shared" si="273"/>
        <v>5</v>
      </c>
      <c r="CH286" s="28">
        <f t="shared" si="274"/>
        <v>1150</v>
      </c>
      <c r="CI286" s="62">
        <f t="shared" si="275"/>
        <v>8.6956521739130438E-4</v>
      </c>
      <c r="CJ286" s="59">
        <f t="shared" si="276"/>
        <v>7.8492935635792783E-4</v>
      </c>
      <c r="CL286" s="63">
        <v>6000</v>
      </c>
      <c r="CM286" s="63">
        <f t="shared" si="277"/>
        <v>205.00339999999997</v>
      </c>
      <c r="CN286" s="63">
        <f t="shared" si="278"/>
        <v>210.00339999999997</v>
      </c>
      <c r="CO286" s="63">
        <f t="shared" si="279"/>
        <v>28.570965993883913</v>
      </c>
      <c r="CP286" s="13">
        <f t="shared" si="280"/>
        <v>28</v>
      </c>
      <c r="CQ286" s="70">
        <f t="shared" si="281"/>
        <v>3.5714285714285712E-2</v>
      </c>
      <c r="CR286" s="69">
        <f t="shared" si="249"/>
        <v>7.1428571428571425E-2</v>
      </c>
    </row>
    <row r="287" spans="1:96" hidden="1" x14ac:dyDescent="0.25">
      <c r="A287" s="13">
        <v>4</v>
      </c>
      <c r="B287" s="14" t="s">
        <v>805</v>
      </c>
      <c r="C287" s="13" t="s">
        <v>827</v>
      </c>
      <c r="D287" s="13" t="s">
        <v>828</v>
      </c>
      <c r="E287" s="13" t="s">
        <v>52</v>
      </c>
      <c r="F287" s="15">
        <f t="shared" si="250"/>
        <v>6</v>
      </c>
      <c r="G287" s="13">
        <v>1</v>
      </c>
      <c r="H287" s="13">
        <f t="shared" si="298"/>
        <v>1</v>
      </c>
      <c r="I287" s="13">
        <v>12</v>
      </c>
      <c r="J287" s="14" t="s">
        <v>76</v>
      </c>
      <c r="K287" s="14" t="s">
        <v>34</v>
      </c>
      <c r="L287" s="13" t="s">
        <v>77</v>
      </c>
      <c r="M287" s="14" t="s">
        <v>35</v>
      </c>
      <c r="N287" s="13" t="s">
        <v>828</v>
      </c>
      <c r="O287" s="28" t="s">
        <v>41</v>
      </c>
      <c r="P287" s="28" t="s">
        <v>41</v>
      </c>
      <c r="Q287" s="28" t="s">
        <v>79</v>
      </c>
      <c r="R287" s="30">
        <v>9.016</v>
      </c>
      <c r="S287" s="30">
        <v>0.3125</v>
      </c>
      <c r="T287" s="30"/>
      <c r="U287" s="30">
        <v>0.3125</v>
      </c>
      <c r="V287" s="8">
        <f t="shared" si="251"/>
        <v>229.00639999999999</v>
      </c>
      <c r="W287" s="8">
        <f t="shared" si="252"/>
        <v>7.9375</v>
      </c>
      <c r="X287" s="8">
        <f t="shared" si="253"/>
        <v>0</v>
      </c>
      <c r="Y287" s="33">
        <f t="shared" si="254"/>
        <v>7.9375</v>
      </c>
      <c r="Z287" s="28" t="s">
        <v>80</v>
      </c>
      <c r="AA287" s="28" t="s">
        <v>81</v>
      </c>
      <c r="AB287" s="61" t="s">
        <v>79</v>
      </c>
      <c r="AC287" s="31" t="s">
        <v>82</v>
      </c>
      <c r="AD287" s="50">
        <f t="shared" si="255"/>
        <v>1</v>
      </c>
      <c r="AE287" s="31"/>
      <c r="AF287" s="51">
        <v>14</v>
      </c>
      <c r="AG287" s="51">
        <f t="shared" si="282"/>
        <v>8.4</v>
      </c>
      <c r="AH287" s="51">
        <f t="shared" si="248"/>
        <v>42</v>
      </c>
      <c r="AI287" s="52" t="s">
        <v>2497</v>
      </c>
      <c r="AJ287" s="52" t="s">
        <v>2498</v>
      </c>
      <c r="AK287" s="53">
        <f t="shared" si="283"/>
        <v>3.6354766000000001E-3</v>
      </c>
      <c r="AL287" s="54">
        <f t="shared" si="284"/>
        <v>0.11904761904761904</v>
      </c>
      <c r="AM287" s="54">
        <f t="shared" si="285"/>
        <v>2.3809523809523808E-2</v>
      </c>
      <c r="AN287" s="55">
        <f t="shared" si="286"/>
        <v>4.3279483333333335E-4</v>
      </c>
      <c r="AO287" s="55">
        <f t="shared" si="287"/>
        <v>8.6558966666666669E-5</v>
      </c>
      <c r="AP287" s="53">
        <v>7.1</v>
      </c>
      <c r="AQ287" s="53">
        <f t="shared" si="256"/>
        <v>4.26</v>
      </c>
      <c r="AR287" s="53">
        <f t="shared" si="257"/>
        <v>21.299999999999997</v>
      </c>
      <c r="AS287" s="56">
        <f t="shared" si="258"/>
        <v>4.6948356807511742E-2</v>
      </c>
      <c r="AT287" s="56">
        <f t="shared" si="288"/>
        <v>0.23474178403755869</v>
      </c>
      <c r="AU287" s="56">
        <f t="shared" si="259"/>
        <v>0.176056338028169</v>
      </c>
      <c r="AV287" s="56">
        <f t="shared" si="289"/>
        <v>5.8685446009389672E-2</v>
      </c>
      <c r="AW287" s="57" t="s">
        <v>2511</v>
      </c>
      <c r="AX287" s="57" t="s">
        <v>2512</v>
      </c>
      <c r="AY287" s="57" t="s">
        <v>2513</v>
      </c>
      <c r="AZ287" s="58">
        <f t="shared" si="290"/>
        <v>3.6354766000000001E-3</v>
      </c>
      <c r="BA287" s="59">
        <f t="shared" si="293"/>
        <v>1.0667478286384977E-4</v>
      </c>
      <c r="BB287" s="59">
        <f t="shared" si="294"/>
        <v>3.2002434859154926E-4</v>
      </c>
      <c r="BC287" s="59">
        <f t="shared" si="295"/>
        <v>8.533982629107982E-5</v>
      </c>
      <c r="BD287" s="60">
        <f t="shared" si="291"/>
        <v>8.6956521739130438E-4</v>
      </c>
      <c r="BE287" s="59">
        <f t="shared" si="292"/>
        <v>8.6956521739130438E-4</v>
      </c>
      <c r="BQ287" s="61">
        <v>3000</v>
      </c>
      <c r="BR287" s="61">
        <v>1200</v>
      </c>
      <c r="BS287" s="28">
        <f t="shared" si="260"/>
        <v>2980</v>
      </c>
      <c r="BT287" s="28">
        <f t="shared" si="261"/>
        <v>1180</v>
      </c>
      <c r="BU287" s="28" t="s">
        <v>2541</v>
      </c>
      <c r="BV287" s="28">
        <f t="shared" si="262"/>
        <v>234.00639999999999</v>
      </c>
      <c r="BW287" s="28">
        <f t="shared" si="263"/>
        <v>12.9375</v>
      </c>
      <c r="BX287" s="13">
        <f t="shared" si="264"/>
        <v>12.734694435707743</v>
      </c>
      <c r="BY287" s="13">
        <f t="shared" si="265"/>
        <v>12</v>
      </c>
      <c r="BZ287" s="13">
        <f t="shared" si="266"/>
        <v>91.207729468599027</v>
      </c>
      <c r="CA287" s="13">
        <f t="shared" si="267"/>
        <v>91</v>
      </c>
      <c r="CB287" s="13">
        <f t="shared" si="268"/>
        <v>1092</v>
      </c>
      <c r="CC287" s="62">
        <f t="shared" si="269"/>
        <v>9.1575091575091575E-4</v>
      </c>
      <c r="CD287" s="13">
        <f t="shared" si="270"/>
        <v>230.33816425120773</v>
      </c>
      <c r="CE287" s="13">
        <f t="shared" si="271"/>
        <v>230</v>
      </c>
      <c r="CF287" s="13">
        <f t="shared" si="272"/>
        <v>5.0425971255487037</v>
      </c>
      <c r="CG287" s="13">
        <f t="shared" si="273"/>
        <v>5</v>
      </c>
      <c r="CH287" s="28">
        <f t="shared" si="274"/>
        <v>1150</v>
      </c>
      <c r="CI287" s="62">
        <f t="shared" si="275"/>
        <v>8.6956521739130438E-4</v>
      </c>
      <c r="CJ287" s="59">
        <f t="shared" si="276"/>
        <v>8.6956521739130438E-4</v>
      </c>
      <c r="CL287" s="63">
        <v>6000</v>
      </c>
      <c r="CM287" s="63">
        <f t="shared" si="277"/>
        <v>229.00639999999999</v>
      </c>
      <c r="CN287" s="63">
        <f t="shared" si="278"/>
        <v>234.00639999999999</v>
      </c>
      <c r="CO287" s="63">
        <f t="shared" si="279"/>
        <v>25.640324367196797</v>
      </c>
      <c r="CP287" s="13">
        <f t="shared" si="280"/>
        <v>25</v>
      </c>
      <c r="CQ287" s="70">
        <f t="shared" si="281"/>
        <v>0.04</v>
      </c>
      <c r="CR287" s="69">
        <f t="shared" si="249"/>
        <v>0.04</v>
      </c>
    </row>
    <row r="288" spans="1:96" hidden="1" x14ac:dyDescent="0.25">
      <c r="A288" s="13">
        <v>4</v>
      </c>
      <c r="B288" s="14" t="s">
        <v>805</v>
      </c>
      <c r="C288" s="13" t="s">
        <v>391</v>
      </c>
      <c r="D288" s="13" t="s">
        <v>829</v>
      </c>
      <c r="E288" s="13" t="s">
        <v>52</v>
      </c>
      <c r="F288" s="15">
        <f t="shared" si="250"/>
        <v>4</v>
      </c>
      <c r="G288" s="13">
        <v>1</v>
      </c>
      <c r="H288" s="13">
        <f t="shared" si="298"/>
        <v>1</v>
      </c>
      <c r="I288" s="13">
        <v>13</v>
      </c>
      <c r="J288" s="14" t="s">
        <v>76</v>
      </c>
      <c r="K288" s="14" t="s">
        <v>34</v>
      </c>
      <c r="L288" s="13" t="s">
        <v>77</v>
      </c>
      <c r="M288" s="14" t="s">
        <v>35</v>
      </c>
      <c r="N288" s="13" t="s">
        <v>829</v>
      </c>
      <c r="O288" s="28" t="s">
        <v>41</v>
      </c>
      <c r="P288" s="28" t="s">
        <v>41</v>
      </c>
      <c r="Q288" s="28" t="s">
        <v>79</v>
      </c>
      <c r="R288" s="30">
        <v>19.094488188976378</v>
      </c>
      <c r="S288" s="30">
        <v>0.3125</v>
      </c>
      <c r="T288" s="30"/>
      <c r="U288" s="30">
        <v>0.3125</v>
      </c>
      <c r="V288" s="8">
        <f t="shared" si="251"/>
        <v>484.99999999999994</v>
      </c>
      <c r="W288" s="8">
        <f t="shared" si="252"/>
        <v>7.9375</v>
      </c>
      <c r="X288" s="8">
        <f t="shared" si="253"/>
        <v>0</v>
      </c>
      <c r="Y288" s="33">
        <f t="shared" si="254"/>
        <v>7.9375</v>
      </c>
      <c r="Z288" s="28" t="s">
        <v>80</v>
      </c>
      <c r="AA288" s="28" t="s">
        <v>81</v>
      </c>
      <c r="AB288" s="61" t="s">
        <v>79</v>
      </c>
      <c r="AC288" s="31" t="s">
        <v>82</v>
      </c>
      <c r="AD288" s="50">
        <f t="shared" si="255"/>
        <v>1</v>
      </c>
      <c r="AE288" s="31"/>
      <c r="AF288" s="51">
        <v>14</v>
      </c>
      <c r="AG288" s="51">
        <f t="shared" si="282"/>
        <v>8.4</v>
      </c>
      <c r="AH288" s="51">
        <f t="shared" si="248"/>
        <v>42</v>
      </c>
      <c r="AI288" s="52" t="s">
        <v>2497</v>
      </c>
      <c r="AJ288" s="52" t="s">
        <v>2498</v>
      </c>
      <c r="AK288" s="53">
        <f t="shared" si="283"/>
        <v>7.6993749999999988E-3</v>
      </c>
      <c r="AL288" s="54">
        <f t="shared" si="284"/>
        <v>0.11904761904761904</v>
      </c>
      <c r="AM288" s="54">
        <f t="shared" si="285"/>
        <v>2.3809523809523808E-2</v>
      </c>
      <c r="AN288" s="55">
        <f t="shared" si="286"/>
        <v>9.1659226190476169E-4</v>
      </c>
      <c r="AO288" s="55">
        <f t="shared" si="287"/>
        <v>1.8331845238095233E-4</v>
      </c>
      <c r="AP288" s="53">
        <v>7.1</v>
      </c>
      <c r="AQ288" s="53">
        <f t="shared" si="256"/>
        <v>4.26</v>
      </c>
      <c r="AR288" s="53">
        <f t="shared" si="257"/>
        <v>21.299999999999997</v>
      </c>
      <c r="AS288" s="56">
        <f t="shared" si="258"/>
        <v>4.6948356807511742E-2</v>
      </c>
      <c r="AT288" s="56">
        <f t="shared" si="288"/>
        <v>0.23474178403755869</v>
      </c>
      <c r="AU288" s="56">
        <f t="shared" si="259"/>
        <v>0.176056338028169</v>
      </c>
      <c r="AV288" s="56">
        <f t="shared" si="289"/>
        <v>5.8685446009389672E-2</v>
      </c>
      <c r="AW288" s="57" t="s">
        <v>2511</v>
      </c>
      <c r="AX288" s="57" t="s">
        <v>2512</v>
      </c>
      <c r="AY288" s="57" t="s">
        <v>2513</v>
      </c>
      <c r="AZ288" s="58">
        <f t="shared" si="290"/>
        <v>7.6993749999999988E-3</v>
      </c>
      <c r="BA288" s="59">
        <f t="shared" si="293"/>
        <v>2.2592062793427227E-4</v>
      </c>
      <c r="BB288" s="59">
        <f t="shared" si="294"/>
        <v>6.7776188380281677E-4</v>
      </c>
      <c r="BC288" s="59">
        <f t="shared" si="295"/>
        <v>1.8073650234741784E-4</v>
      </c>
      <c r="BD288" s="60">
        <f t="shared" si="291"/>
        <v>1.8315018315018315E-3</v>
      </c>
      <c r="BE288" s="59">
        <f t="shared" si="292"/>
        <v>1.8315018315018315E-3</v>
      </c>
      <c r="BQ288" s="61">
        <v>3000</v>
      </c>
      <c r="BR288" s="61">
        <v>1200</v>
      </c>
      <c r="BS288" s="28">
        <f t="shared" si="260"/>
        <v>2980</v>
      </c>
      <c r="BT288" s="28">
        <f t="shared" si="261"/>
        <v>1180</v>
      </c>
      <c r="BU288" s="28" t="s">
        <v>2541</v>
      </c>
      <c r="BV288" s="28">
        <f t="shared" si="262"/>
        <v>489.99999999999994</v>
      </c>
      <c r="BW288" s="28">
        <f t="shared" si="263"/>
        <v>12.9375</v>
      </c>
      <c r="BX288" s="13">
        <f t="shared" si="264"/>
        <v>6.0816326530612255</v>
      </c>
      <c r="BY288" s="13">
        <f t="shared" si="265"/>
        <v>6</v>
      </c>
      <c r="BZ288" s="13">
        <f t="shared" si="266"/>
        <v>91.207729468599027</v>
      </c>
      <c r="CA288" s="13">
        <f t="shared" si="267"/>
        <v>91</v>
      </c>
      <c r="CB288" s="13">
        <f t="shared" si="268"/>
        <v>546</v>
      </c>
      <c r="CC288" s="62">
        <f t="shared" si="269"/>
        <v>1.8315018315018315E-3</v>
      </c>
      <c r="CD288" s="13">
        <f t="shared" si="270"/>
        <v>230.33816425120773</v>
      </c>
      <c r="CE288" s="13">
        <f t="shared" si="271"/>
        <v>230</v>
      </c>
      <c r="CF288" s="13">
        <f t="shared" si="272"/>
        <v>2.4081632653061229</v>
      </c>
      <c r="CG288" s="13">
        <f t="shared" si="273"/>
        <v>2</v>
      </c>
      <c r="CH288" s="28">
        <f t="shared" si="274"/>
        <v>460</v>
      </c>
      <c r="CI288" s="62">
        <f t="shared" si="275"/>
        <v>2.1739130434782609E-3</v>
      </c>
      <c r="CJ288" s="59">
        <f t="shared" si="276"/>
        <v>1.8315018315018315E-3</v>
      </c>
      <c r="CL288" s="63">
        <v>6000</v>
      </c>
      <c r="CM288" s="63">
        <f t="shared" si="277"/>
        <v>484.99999999999994</v>
      </c>
      <c r="CN288" s="63">
        <f t="shared" si="278"/>
        <v>489.99999999999994</v>
      </c>
      <c r="CO288" s="63">
        <f t="shared" si="279"/>
        <v>12.244897959183675</v>
      </c>
      <c r="CP288" s="13">
        <f t="shared" si="280"/>
        <v>12</v>
      </c>
      <c r="CQ288" s="70">
        <f t="shared" si="281"/>
        <v>8.3333333333333329E-2</v>
      </c>
      <c r="CR288" s="69">
        <f t="shared" si="249"/>
        <v>8.3333333333333329E-2</v>
      </c>
    </row>
    <row r="289" spans="1:96" hidden="1" x14ac:dyDescent="0.25">
      <c r="A289" s="13">
        <v>4</v>
      </c>
      <c r="B289" s="14" t="s">
        <v>805</v>
      </c>
      <c r="C289" s="13" t="s">
        <v>830</v>
      </c>
      <c r="D289" s="13" t="s">
        <v>831</v>
      </c>
      <c r="E289" s="13" t="s">
        <v>52</v>
      </c>
      <c r="F289" s="15">
        <f t="shared" si="250"/>
        <v>1</v>
      </c>
      <c r="G289" s="13">
        <v>1</v>
      </c>
      <c r="H289" s="13">
        <f t="shared" si="298"/>
        <v>1</v>
      </c>
      <c r="I289" s="13">
        <v>14</v>
      </c>
      <c r="J289" s="14" t="s">
        <v>76</v>
      </c>
      <c r="K289" s="14" t="s">
        <v>34</v>
      </c>
      <c r="L289" s="13" t="s">
        <v>77</v>
      </c>
      <c r="M289" s="14" t="s">
        <v>35</v>
      </c>
      <c r="N289" s="13" t="s">
        <v>831</v>
      </c>
      <c r="O289" s="28" t="s">
        <v>41</v>
      </c>
      <c r="P289" s="28" t="s">
        <v>41</v>
      </c>
      <c r="Q289" s="28" t="s">
        <v>79</v>
      </c>
      <c r="R289" s="30">
        <v>10.078740157480315</v>
      </c>
      <c r="S289" s="30">
        <v>0.3125</v>
      </c>
      <c r="T289" s="30"/>
      <c r="U289" s="30">
        <v>0.3125</v>
      </c>
      <c r="V289" s="8">
        <f t="shared" si="251"/>
        <v>255.99999999999997</v>
      </c>
      <c r="W289" s="8">
        <f t="shared" si="252"/>
        <v>7.9375</v>
      </c>
      <c r="X289" s="8">
        <f t="shared" si="253"/>
        <v>0</v>
      </c>
      <c r="Y289" s="33">
        <f t="shared" si="254"/>
        <v>7.9375</v>
      </c>
      <c r="Z289" s="28" t="s">
        <v>80</v>
      </c>
      <c r="AA289" s="28" t="s">
        <v>81</v>
      </c>
      <c r="AB289" s="61" t="s">
        <v>79</v>
      </c>
      <c r="AC289" s="31" t="s">
        <v>82</v>
      </c>
      <c r="AD289" s="50">
        <f t="shared" si="255"/>
        <v>1</v>
      </c>
      <c r="AE289" s="31"/>
      <c r="AF289" s="51">
        <v>14</v>
      </c>
      <c r="AG289" s="51">
        <f t="shared" si="282"/>
        <v>8.4</v>
      </c>
      <c r="AH289" s="51">
        <f t="shared" si="248"/>
        <v>42</v>
      </c>
      <c r="AI289" s="52" t="s">
        <v>2497</v>
      </c>
      <c r="AJ289" s="52" t="s">
        <v>2498</v>
      </c>
      <c r="AK289" s="53">
        <f t="shared" si="283"/>
        <v>4.0639999999999999E-3</v>
      </c>
      <c r="AL289" s="54">
        <f t="shared" si="284"/>
        <v>0.11904761904761904</v>
      </c>
      <c r="AM289" s="54">
        <f t="shared" si="285"/>
        <v>2.3809523809523808E-2</v>
      </c>
      <c r="AN289" s="55">
        <f t="shared" si="286"/>
        <v>4.8380952380952378E-4</v>
      </c>
      <c r="AO289" s="55">
        <f t="shared" si="287"/>
        <v>9.6761904761904751E-5</v>
      </c>
      <c r="AP289" s="53">
        <v>7.1</v>
      </c>
      <c r="AQ289" s="53">
        <f t="shared" si="256"/>
        <v>4.26</v>
      </c>
      <c r="AR289" s="53">
        <f t="shared" si="257"/>
        <v>21.299999999999997</v>
      </c>
      <c r="AS289" s="56">
        <f t="shared" si="258"/>
        <v>4.6948356807511742E-2</v>
      </c>
      <c r="AT289" s="56">
        <f t="shared" si="288"/>
        <v>0.23474178403755869</v>
      </c>
      <c r="AU289" s="56">
        <f t="shared" si="259"/>
        <v>0.176056338028169</v>
      </c>
      <c r="AV289" s="56">
        <f t="shared" si="289"/>
        <v>5.8685446009389672E-2</v>
      </c>
      <c r="AW289" s="57" t="s">
        <v>2511</v>
      </c>
      <c r="AX289" s="57" t="s">
        <v>2512</v>
      </c>
      <c r="AY289" s="57" t="s">
        <v>2513</v>
      </c>
      <c r="AZ289" s="58">
        <f t="shared" si="290"/>
        <v>4.0639999999999999E-3</v>
      </c>
      <c r="BA289" s="59">
        <f t="shared" si="293"/>
        <v>1.1924882629107981E-4</v>
      </c>
      <c r="BB289" s="59">
        <f t="shared" si="294"/>
        <v>3.5774647887323939E-4</v>
      </c>
      <c r="BC289" s="59">
        <f t="shared" si="295"/>
        <v>9.5399061032863861E-5</v>
      </c>
      <c r="BD289" s="60">
        <f t="shared" si="291"/>
        <v>9.99000999000999E-4</v>
      </c>
      <c r="BE289" s="59">
        <f t="shared" si="292"/>
        <v>9.99000999000999E-4</v>
      </c>
      <c r="BQ289" s="61">
        <v>3000</v>
      </c>
      <c r="BR289" s="61">
        <v>1200</v>
      </c>
      <c r="BS289" s="28">
        <f t="shared" si="260"/>
        <v>2980</v>
      </c>
      <c r="BT289" s="28">
        <f t="shared" si="261"/>
        <v>1180</v>
      </c>
      <c r="BU289" s="28" t="s">
        <v>2541</v>
      </c>
      <c r="BV289" s="28">
        <f t="shared" si="262"/>
        <v>261</v>
      </c>
      <c r="BW289" s="28">
        <f t="shared" si="263"/>
        <v>12.9375</v>
      </c>
      <c r="BX289" s="13">
        <f t="shared" si="264"/>
        <v>11.417624521072797</v>
      </c>
      <c r="BY289" s="13">
        <f t="shared" si="265"/>
        <v>11</v>
      </c>
      <c r="BZ289" s="13">
        <f t="shared" si="266"/>
        <v>91.207729468599027</v>
      </c>
      <c r="CA289" s="13">
        <f t="shared" si="267"/>
        <v>91</v>
      </c>
      <c r="CB289" s="13">
        <f t="shared" si="268"/>
        <v>1001</v>
      </c>
      <c r="CC289" s="62">
        <f t="shared" si="269"/>
        <v>9.99000999000999E-4</v>
      </c>
      <c r="CD289" s="13">
        <f t="shared" si="270"/>
        <v>230.33816425120773</v>
      </c>
      <c r="CE289" s="13">
        <f t="shared" si="271"/>
        <v>230</v>
      </c>
      <c r="CF289" s="13">
        <f t="shared" si="272"/>
        <v>4.5210727969348659</v>
      </c>
      <c r="CG289" s="13">
        <f t="shared" si="273"/>
        <v>4</v>
      </c>
      <c r="CH289" s="28">
        <f t="shared" si="274"/>
        <v>920</v>
      </c>
      <c r="CI289" s="62">
        <f t="shared" si="275"/>
        <v>1.0869565217391304E-3</v>
      </c>
      <c r="CJ289" s="59">
        <f t="shared" si="276"/>
        <v>9.99000999000999E-4</v>
      </c>
      <c r="CL289" s="63">
        <v>6000</v>
      </c>
      <c r="CM289" s="63">
        <f t="shared" si="277"/>
        <v>255.99999999999997</v>
      </c>
      <c r="CN289" s="63">
        <f t="shared" si="278"/>
        <v>261</v>
      </c>
      <c r="CO289" s="63">
        <f t="shared" si="279"/>
        <v>22.988505747126435</v>
      </c>
      <c r="CP289" s="13">
        <f t="shared" si="280"/>
        <v>22</v>
      </c>
      <c r="CQ289" s="70">
        <f t="shared" si="281"/>
        <v>4.5454545454545456E-2</v>
      </c>
      <c r="CR289" s="69">
        <f t="shared" si="249"/>
        <v>4.5454545454545456E-2</v>
      </c>
    </row>
    <row r="290" spans="1:96" hidden="1" x14ac:dyDescent="0.25">
      <c r="A290" s="13">
        <v>4</v>
      </c>
      <c r="B290" s="14" t="s">
        <v>805</v>
      </c>
      <c r="C290" s="13" t="s">
        <v>832</v>
      </c>
      <c r="D290" s="13" t="s">
        <v>2270</v>
      </c>
      <c r="E290" s="13" t="s">
        <v>32</v>
      </c>
      <c r="F290" s="15">
        <f t="shared" si="250"/>
        <v>1</v>
      </c>
      <c r="G290" s="13">
        <v>1</v>
      </c>
      <c r="H290" s="13">
        <f t="shared" si="298"/>
        <v>1</v>
      </c>
      <c r="I290" s="13">
        <v>15</v>
      </c>
      <c r="J290" s="14" t="s">
        <v>215</v>
      </c>
      <c r="K290" s="14" t="s">
        <v>34</v>
      </c>
      <c r="L290" s="13" t="s">
        <v>110</v>
      </c>
      <c r="M290" s="14" t="s">
        <v>35</v>
      </c>
      <c r="N290" s="13" t="s">
        <v>833</v>
      </c>
      <c r="O290" s="28" t="s">
        <v>41</v>
      </c>
      <c r="P290" s="28" t="s">
        <v>41</v>
      </c>
      <c r="Q290" s="28"/>
      <c r="R290" s="30"/>
      <c r="S290" s="30"/>
      <c r="T290" s="30"/>
      <c r="U290" s="30"/>
      <c r="V290" s="8">
        <f t="shared" si="251"/>
        <v>0</v>
      </c>
      <c r="W290" s="8">
        <f t="shared" si="252"/>
        <v>0</v>
      </c>
      <c r="X290" s="8">
        <f t="shared" si="253"/>
        <v>0</v>
      </c>
      <c r="Y290" s="33">
        <f t="shared" si="254"/>
        <v>0</v>
      </c>
      <c r="Z290" s="28"/>
      <c r="AA290" s="28"/>
      <c r="AB290" s="28">
        <v>0</v>
      </c>
      <c r="AC290" s="31"/>
      <c r="AD290" s="50">
        <f t="shared" si="255"/>
        <v>1</v>
      </c>
      <c r="AE290" s="31"/>
      <c r="AF290" s="51">
        <v>14</v>
      </c>
      <c r="AG290" s="51">
        <f t="shared" si="282"/>
        <v>8.4</v>
      </c>
      <c r="AH290" s="51">
        <f t="shared" si="248"/>
        <v>42</v>
      </c>
      <c r="AI290" s="52" t="s">
        <v>2497</v>
      </c>
      <c r="AJ290" s="52" t="s">
        <v>2498</v>
      </c>
      <c r="AK290" s="53">
        <f t="shared" si="283"/>
        <v>0</v>
      </c>
      <c r="AL290" s="54">
        <f t="shared" si="284"/>
        <v>0.11904761904761904</v>
      </c>
      <c r="AM290" s="54">
        <f t="shared" si="285"/>
        <v>2.3809523809523808E-2</v>
      </c>
      <c r="AN290" s="55">
        <f t="shared" si="286"/>
        <v>0</v>
      </c>
      <c r="AO290" s="55">
        <f t="shared" si="287"/>
        <v>0</v>
      </c>
      <c r="AP290" s="53">
        <v>7.1</v>
      </c>
      <c r="AQ290" s="53">
        <f t="shared" si="256"/>
        <v>4.26</v>
      </c>
      <c r="AR290" s="53">
        <f t="shared" si="257"/>
        <v>21.299999999999997</v>
      </c>
      <c r="AS290" s="56">
        <f t="shared" si="258"/>
        <v>4.6948356807511742E-2</v>
      </c>
      <c r="AT290" s="56">
        <f t="shared" si="288"/>
        <v>0.23474178403755869</v>
      </c>
      <c r="AU290" s="56">
        <f t="shared" si="259"/>
        <v>0.176056338028169</v>
      </c>
      <c r="AV290" s="56">
        <f t="shared" si="289"/>
        <v>5.8685446009389672E-2</v>
      </c>
      <c r="AW290" s="57" t="s">
        <v>2511</v>
      </c>
      <c r="AX290" s="57" t="s">
        <v>2512</v>
      </c>
      <c r="AY290" s="57" t="s">
        <v>2513</v>
      </c>
      <c r="AZ290" s="58">
        <f t="shared" si="290"/>
        <v>0</v>
      </c>
      <c r="BA290" s="59">
        <f t="shared" si="293"/>
        <v>0</v>
      </c>
      <c r="BB290" s="59">
        <f t="shared" si="294"/>
        <v>0</v>
      </c>
      <c r="BC290" s="59">
        <f t="shared" si="295"/>
        <v>0</v>
      </c>
      <c r="BD290" s="60">
        <f t="shared" si="291"/>
        <v>0</v>
      </c>
      <c r="BE290" s="59">
        <f t="shared" si="292"/>
        <v>0</v>
      </c>
      <c r="BQ290" s="61">
        <v>3000</v>
      </c>
      <c r="BR290" s="61">
        <v>1200</v>
      </c>
      <c r="BS290" s="28">
        <f t="shared" si="260"/>
        <v>2980</v>
      </c>
      <c r="BT290" s="28">
        <f t="shared" si="261"/>
        <v>1180</v>
      </c>
      <c r="BU290" s="28" t="s">
        <v>2541</v>
      </c>
      <c r="BV290" s="28">
        <f t="shared" si="262"/>
        <v>5</v>
      </c>
      <c r="BW290" s="28">
        <f t="shared" si="263"/>
        <v>5</v>
      </c>
      <c r="BX290" s="13">
        <f t="shared" si="264"/>
        <v>596</v>
      </c>
      <c r="BY290" s="13">
        <f t="shared" si="265"/>
        <v>596</v>
      </c>
      <c r="BZ290" s="13">
        <f t="shared" si="266"/>
        <v>236</v>
      </c>
      <c r="CA290" s="13">
        <f t="shared" si="267"/>
        <v>236</v>
      </c>
      <c r="CB290" s="13">
        <f t="shared" si="268"/>
        <v>140656</v>
      </c>
      <c r="CC290" s="62" t="str">
        <f t="shared" si="269"/>
        <v/>
      </c>
      <c r="CD290" s="13">
        <f t="shared" si="270"/>
        <v>596</v>
      </c>
      <c r="CE290" s="13">
        <f t="shared" si="271"/>
        <v>596</v>
      </c>
      <c r="CF290" s="13">
        <f t="shared" si="272"/>
        <v>236</v>
      </c>
      <c r="CG290" s="13">
        <f t="shared" si="273"/>
        <v>236</v>
      </c>
      <c r="CH290" s="28">
        <f t="shared" si="274"/>
        <v>140656</v>
      </c>
      <c r="CI290" s="62" t="str">
        <f t="shared" si="275"/>
        <v/>
      </c>
      <c r="CJ290" s="59">
        <f t="shared" si="276"/>
        <v>0</v>
      </c>
      <c r="CL290" s="63">
        <v>6000</v>
      </c>
      <c r="CM290" s="63">
        <f t="shared" si="277"/>
        <v>0</v>
      </c>
      <c r="CN290" s="63">
        <f t="shared" si="278"/>
        <v>5</v>
      </c>
      <c r="CO290" s="63">
        <f t="shared" si="279"/>
        <v>1200</v>
      </c>
      <c r="CP290" s="13">
        <f t="shared" si="280"/>
        <v>1200</v>
      </c>
      <c r="CQ290" s="70">
        <f t="shared" si="281"/>
        <v>8.3333333333333339E-4</v>
      </c>
      <c r="CR290" s="69">
        <f t="shared" si="249"/>
        <v>8.3333333333333339E-4</v>
      </c>
    </row>
    <row r="291" spans="1:96" hidden="1" x14ac:dyDescent="0.25">
      <c r="A291" s="17">
        <v>5</v>
      </c>
      <c r="B291" s="6" t="s">
        <v>834</v>
      </c>
      <c r="C291" s="17" t="s">
        <v>835</v>
      </c>
      <c r="D291" s="17" t="s">
        <v>2270</v>
      </c>
      <c r="E291" s="17" t="s">
        <v>52</v>
      </c>
      <c r="F291" s="7">
        <f t="shared" si="250"/>
        <v>1</v>
      </c>
      <c r="G291" s="17">
        <v>1</v>
      </c>
      <c r="H291" s="17">
        <f>G291*$H$290</f>
        <v>1</v>
      </c>
      <c r="I291" s="17">
        <v>1</v>
      </c>
      <c r="J291" s="6" t="s">
        <v>219</v>
      </c>
      <c r="K291" s="6" t="s">
        <v>34</v>
      </c>
      <c r="L291" s="17" t="s">
        <v>110</v>
      </c>
      <c r="M291" s="6" t="s">
        <v>35</v>
      </c>
      <c r="N291" s="17" t="s">
        <v>836</v>
      </c>
      <c r="O291" s="28" t="s">
        <v>41</v>
      </c>
      <c r="P291" s="28" t="s">
        <v>41</v>
      </c>
      <c r="Q291" s="28" t="s">
        <v>124</v>
      </c>
      <c r="R291" s="30">
        <v>16.154</v>
      </c>
      <c r="S291" s="30">
        <v>8.3889999999999993</v>
      </c>
      <c r="T291" s="30"/>
      <c r="U291" s="30">
        <v>9.8000000000000004E-2</v>
      </c>
      <c r="V291" s="8">
        <f t="shared" si="251"/>
        <v>410.3116</v>
      </c>
      <c r="W291" s="8">
        <f t="shared" si="252"/>
        <v>213.08059999999998</v>
      </c>
      <c r="X291" s="8">
        <f t="shared" si="253"/>
        <v>0</v>
      </c>
      <c r="Y291" s="33">
        <f t="shared" si="254"/>
        <v>2.4891999999999999</v>
      </c>
      <c r="Z291" s="28" t="s">
        <v>2477</v>
      </c>
      <c r="AA291" s="28" t="s">
        <v>2477</v>
      </c>
      <c r="AB291" s="61" t="s">
        <v>124</v>
      </c>
      <c r="AC291" s="31" t="s">
        <v>125</v>
      </c>
      <c r="AD291" s="50">
        <f t="shared" si="255"/>
        <v>1</v>
      </c>
      <c r="AE291" s="31"/>
      <c r="AF291" s="51">
        <v>14</v>
      </c>
      <c r="AG291" s="51">
        <f t="shared" si="282"/>
        <v>8.4</v>
      </c>
      <c r="AH291" s="51">
        <f t="shared" si="248"/>
        <v>42</v>
      </c>
      <c r="AI291" s="52" t="s">
        <v>2497</v>
      </c>
      <c r="AJ291" s="52" t="s">
        <v>2498</v>
      </c>
      <c r="AK291" s="53">
        <f t="shared" si="283"/>
        <v>0.17485888382991996</v>
      </c>
      <c r="AL291" s="54">
        <f t="shared" si="284"/>
        <v>0.11904761904761904</v>
      </c>
      <c r="AM291" s="54">
        <f t="shared" si="285"/>
        <v>2.3809523809523808E-2</v>
      </c>
      <c r="AN291" s="55">
        <f t="shared" si="286"/>
        <v>2.0816533789276184E-2</v>
      </c>
      <c r="AO291" s="55">
        <f t="shared" si="287"/>
        <v>4.1633067578552372E-3</v>
      </c>
      <c r="AP291" s="53">
        <v>7.1</v>
      </c>
      <c r="AQ291" s="53">
        <f t="shared" si="256"/>
        <v>4.26</v>
      </c>
      <c r="AR291" s="53">
        <f t="shared" si="257"/>
        <v>21.299999999999997</v>
      </c>
      <c r="AS291" s="56">
        <f t="shared" si="258"/>
        <v>4.6948356807511742E-2</v>
      </c>
      <c r="AT291" s="56">
        <f t="shared" si="288"/>
        <v>0.23474178403755869</v>
      </c>
      <c r="AU291" s="56">
        <f t="shared" si="259"/>
        <v>0.176056338028169</v>
      </c>
      <c r="AV291" s="56">
        <f t="shared" si="289"/>
        <v>5.8685446009389672E-2</v>
      </c>
      <c r="AW291" s="57" t="s">
        <v>2511</v>
      </c>
      <c r="AX291" s="57" t="s">
        <v>2512</v>
      </c>
      <c r="AY291" s="57" t="s">
        <v>2513</v>
      </c>
      <c r="AZ291" s="58">
        <f t="shared" si="290"/>
        <v>0.17485888382991996</v>
      </c>
      <c r="BA291" s="59">
        <f t="shared" si="293"/>
        <v>5.130835793131454E-3</v>
      </c>
      <c r="BB291" s="59">
        <f t="shared" si="294"/>
        <v>1.5392507379394361E-2</v>
      </c>
      <c r="BC291" s="59">
        <f t="shared" si="295"/>
        <v>4.1046686345051634E-3</v>
      </c>
      <c r="BD291" s="60">
        <f t="shared" si="291"/>
        <v>2.8571428571428571E-2</v>
      </c>
      <c r="BE291" s="59">
        <f t="shared" si="292"/>
        <v>2.8571428571428571E-2</v>
      </c>
      <c r="BQ291" s="61">
        <v>3000</v>
      </c>
      <c r="BR291" s="61">
        <v>1200</v>
      </c>
      <c r="BS291" s="28">
        <f t="shared" si="260"/>
        <v>2980</v>
      </c>
      <c r="BT291" s="28">
        <f t="shared" si="261"/>
        <v>1180</v>
      </c>
      <c r="BU291" s="28" t="s">
        <v>2541</v>
      </c>
      <c r="BV291" s="28">
        <f t="shared" si="262"/>
        <v>415.3116</v>
      </c>
      <c r="BW291" s="28">
        <f t="shared" si="263"/>
        <v>218.08059999999998</v>
      </c>
      <c r="BX291" s="13">
        <f t="shared" si="264"/>
        <v>7.1753353385746994</v>
      </c>
      <c r="BY291" s="13">
        <f t="shared" si="265"/>
        <v>7</v>
      </c>
      <c r="BZ291" s="13">
        <f t="shared" si="266"/>
        <v>5.4108435138201205</v>
      </c>
      <c r="CA291" s="13">
        <f t="shared" si="267"/>
        <v>5</v>
      </c>
      <c r="CB291" s="13">
        <f t="shared" si="268"/>
        <v>35</v>
      </c>
      <c r="CC291" s="62">
        <f t="shared" si="269"/>
        <v>2.8571428571428571E-2</v>
      </c>
      <c r="CD291" s="13">
        <f t="shared" si="270"/>
        <v>13.664672602698269</v>
      </c>
      <c r="CE291" s="13">
        <f t="shared" si="271"/>
        <v>13</v>
      </c>
      <c r="CF291" s="13">
        <f t="shared" si="272"/>
        <v>2.8412401676235386</v>
      </c>
      <c r="CG291" s="13">
        <f t="shared" si="273"/>
        <v>2</v>
      </c>
      <c r="CH291" s="28">
        <f t="shared" si="274"/>
        <v>26</v>
      </c>
      <c r="CI291" s="62">
        <f t="shared" si="275"/>
        <v>3.8461538461538464E-2</v>
      </c>
      <c r="CJ291" s="59">
        <f t="shared" si="276"/>
        <v>2.8571428571428571E-2</v>
      </c>
      <c r="CL291" s="63">
        <v>6000</v>
      </c>
      <c r="CM291" s="63">
        <f t="shared" si="277"/>
        <v>410.3116</v>
      </c>
      <c r="CN291" s="63">
        <f t="shared" si="278"/>
        <v>415.3116</v>
      </c>
      <c r="CO291" s="63">
        <f t="shared" si="279"/>
        <v>14.446983903170535</v>
      </c>
      <c r="CP291" s="13">
        <f t="shared" si="280"/>
        <v>14</v>
      </c>
      <c r="CQ291" s="70">
        <f t="shared" si="281"/>
        <v>7.1428571428571425E-2</v>
      </c>
      <c r="CR291" s="69">
        <f t="shared" si="249"/>
        <v>7.1428571428571425E-2</v>
      </c>
    </row>
    <row r="292" spans="1:96" hidden="1" x14ac:dyDescent="0.25">
      <c r="A292" s="17">
        <v>5</v>
      </c>
      <c r="B292" s="6" t="s">
        <v>834</v>
      </c>
      <c r="C292" s="17" t="s">
        <v>837</v>
      </c>
      <c r="D292" s="17" t="s">
        <v>839</v>
      </c>
      <c r="E292" s="17" t="s">
        <v>52</v>
      </c>
      <c r="F292" s="7">
        <f t="shared" si="250"/>
        <v>1</v>
      </c>
      <c r="G292" s="17">
        <v>4</v>
      </c>
      <c r="H292" s="17">
        <f>G292*$H$290</f>
        <v>4</v>
      </c>
      <c r="I292" s="17">
        <v>2</v>
      </c>
      <c r="J292" s="6" t="s">
        <v>838</v>
      </c>
      <c r="K292" s="6" t="s">
        <v>34</v>
      </c>
      <c r="L292" s="17" t="s">
        <v>687</v>
      </c>
      <c r="M292" s="6" t="s">
        <v>340</v>
      </c>
      <c r="N292" s="17" t="s">
        <v>839</v>
      </c>
      <c r="O292" s="28" t="s">
        <v>41</v>
      </c>
      <c r="P292" s="28" t="s">
        <v>41</v>
      </c>
      <c r="Q292" s="28" t="s">
        <v>839</v>
      </c>
      <c r="R292" s="30"/>
      <c r="S292" s="30"/>
      <c r="T292" s="30"/>
      <c r="U292" s="30"/>
      <c r="V292" s="8">
        <f t="shared" si="251"/>
        <v>0</v>
      </c>
      <c r="W292" s="8">
        <f t="shared" si="252"/>
        <v>0</v>
      </c>
      <c r="X292" s="8">
        <f t="shared" si="253"/>
        <v>0</v>
      </c>
      <c r="Y292" s="33">
        <f t="shared" si="254"/>
        <v>0</v>
      </c>
      <c r="Z292" s="28"/>
      <c r="AA292" s="28"/>
      <c r="AB292" s="61" t="s">
        <v>839</v>
      </c>
      <c r="AC292" s="31" t="s">
        <v>840</v>
      </c>
      <c r="AD292" s="50">
        <f t="shared" si="255"/>
        <v>4</v>
      </c>
      <c r="AE292" s="47" t="s">
        <v>715</v>
      </c>
      <c r="AF292" s="51">
        <v>14</v>
      </c>
      <c r="AG292" s="51">
        <f t="shared" si="282"/>
        <v>8.4</v>
      </c>
      <c r="AH292" s="51">
        <f t="shared" si="248"/>
        <v>42</v>
      </c>
      <c r="AI292" s="52" t="s">
        <v>2497</v>
      </c>
      <c r="AJ292" s="52" t="s">
        <v>2498</v>
      </c>
      <c r="AK292" s="53">
        <f t="shared" si="283"/>
        <v>0</v>
      </c>
      <c r="AL292" s="54">
        <f t="shared" si="284"/>
        <v>0.11904761904761904</v>
      </c>
      <c r="AM292" s="54">
        <f t="shared" si="285"/>
        <v>2.3809523809523808E-2</v>
      </c>
      <c r="AN292" s="55">
        <f t="shared" si="286"/>
        <v>0</v>
      </c>
      <c r="AO292" s="55">
        <f t="shared" si="287"/>
        <v>0</v>
      </c>
      <c r="AP292" s="53">
        <v>7.1</v>
      </c>
      <c r="AQ292" s="53">
        <f t="shared" si="256"/>
        <v>4.26</v>
      </c>
      <c r="AR292" s="53">
        <f t="shared" si="257"/>
        <v>21.299999999999997</v>
      </c>
      <c r="AS292" s="56">
        <f t="shared" si="258"/>
        <v>4.6948356807511742E-2</v>
      </c>
      <c r="AT292" s="56">
        <f t="shared" si="288"/>
        <v>0.23474178403755869</v>
      </c>
      <c r="AU292" s="56">
        <f t="shared" si="259"/>
        <v>0.176056338028169</v>
      </c>
      <c r="AV292" s="56">
        <f t="shared" si="289"/>
        <v>5.8685446009389672E-2</v>
      </c>
      <c r="AW292" s="57" t="s">
        <v>2511</v>
      </c>
      <c r="AX292" s="57" t="s">
        <v>2512</v>
      </c>
      <c r="AY292" s="57" t="s">
        <v>2513</v>
      </c>
      <c r="AZ292" s="58">
        <f t="shared" si="290"/>
        <v>0</v>
      </c>
      <c r="BA292" s="59">
        <f t="shared" si="293"/>
        <v>0</v>
      </c>
      <c r="BB292" s="59">
        <f t="shared" si="294"/>
        <v>0</v>
      </c>
      <c r="BC292" s="59">
        <f t="shared" si="295"/>
        <v>0</v>
      </c>
      <c r="BD292" s="60">
        <f t="shared" si="291"/>
        <v>7.1095438516664771E-6</v>
      </c>
      <c r="BE292" s="59">
        <f t="shared" si="292"/>
        <v>2.8438175406665908E-5</v>
      </c>
      <c r="BQ292" s="61">
        <v>3000</v>
      </c>
      <c r="BR292" s="61">
        <v>1200</v>
      </c>
      <c r="BS292" s="28">
        <f t="shared" si="260"/>
        <v>2980</v>
      </c>
      <c r="BT292" s="28">
        <f t="shared" si="261"/>
        <v>1180</v>
      </c>
      <c r="BU292" s="28" t="s">
        <v>2541</v>
      </c>
      <c r="BV292" s="28">
        <f t="shared" si="262"/>
        <v>5</v>
      </c>
      <c r="BW292" s="28">
        <f t="shared" si="263"/>
        <v>5</v>
      </c>
      <c r="BX292" s="13">
        <f t="shared" si="264"/>
        <v>596</v>
      </c>
      <c r="BY292" s="13">
        <f t="shared" si="265"/>
        <v>596</v>
      </c>
      <c r="BZ292" s="13">
        <f t="shared" si="266"/>
        <v>236</v>
      </c>
      <c r="CA292" s="13">
        <f t="shared" si="267"/>
        <v>236</v>
      </c>
      <c r="CB292" s="13">
        <f t="shared" si="268"/>
        <v>140656</v>
      </c>
      <c r="CC292" s="62">
        <f t="shared" si="269"/>
        <v>7.1095438516664771E-6</v>
      </c>
      <c r="CD292" s="13">
        <f t="shared" si="270"/>
        <v>596</v>
      </c>
      <c r="CE292" s="13">
        <f t="shared" si="271"/>
        <v>596</v>
      </c>
      <c r="CF292" s="13">
        <f t="shared" si="272"/>
        <v>236</v>
      </c>
      <c r="CG292" s="13">
        <f t="shared" si="273"/>
        <v>236</v>
      </c>
      <c r="CH292" s="28">
        <f t="shared" si="274"/>
        <v>140656</v>
      </c>
      <c r="CI292" s="62">
        <f t="shared" si="275"/>
        <v>7.1095438516664771E-6</v>
      </c>
      <c r="CJ292" s="59">
        <f t="shared" si="276"/>
        <v>7.1095438516664771E-6</v>
      </c>
      <c r="CL292" s="63">
        <v>6000</v>
      </c>
      <c r="CM292" s="63">
        <f t="shared" si="277"/>
        <v>0</v>
      </c>
      <c r="CN292" s="63">
        <f t="shared" si="278"/>
        <v>5</v>
      </c>
      <c r="CO292" s="63">
        <f t="shared" si="279"/>
        <v>1200</v>
      </c>
      <c r="CP292" s="13">
        <f t="shared" si="280"/>
        <v>1200</v>
      </c>
      <c r="CQ292" s="70">
        <f t="shared" si="281"/>
        <v>8.3333333333333339E-4</v>
      </c>
      <c r="CR292" s="69">
        <f t="shared" si="249"/>
        <v>3.3333333333333335E-3</v>
      </c>
    </row>
    <row r="293" spans="1:96" hidden="1" x14ac:dyDescent="0.25">
      <c r="A293" s="13">
        <v>4</v>
      </c>
      <c r="B293" s="14" t="s">
        <v>805</v>
      </c>
      <c r="C293" s="13" t="s">
        <v>234</v>
      </c>
      <c r="D293" s="13" t="s">
        <v>237</v>
      </c>
      <c r="E293" s="13" t="s">
        <v>52</v>
      </c>
      <c r="F293" s="15">
        <f t="shared" si="250"/>
        <v>5</v>
      </c>
      <c r="G293" s="13">
        <v>2</v>
      </c>
      <c r="H293" s="13">
        <f>G293*$H$271</f>
        <v>2</v>
      </c>
      <c r="I293" s="13">
        <v>16</v>
      </c>
      <c r="J293" s="14" t="s">
        <v>235</v>
      </c>
      <c r="K293" s="14" t="s">
        <v>34</v>
      </c>
      <c r="L293" s="13" t="s">
        <v>236</v>
      </c>
      <c r="M293" s="14" t="s">
        <v>35</v>
      </c>
      <c r="N293" s="13" t="s">
        <v>237</v>
      </c>
      <c r="O293" s="28" t="s">
        <v>41</v>
      </c>
      <c r="P293" s="28" t="s">
        <v>41</v>
      </c>
      <c r="Q293" s="28" t="s">
        <v>79</v>
      </c>
      <c r="R293" s="30">
        <v>22.047244094488189</v>
      </c>
      <c r="S293" s="30">
        <v>0.3125</v>
      </c>
      <c r="T293" s="30"/>
      <c r="U293" s="30">
        <v>0.3125</v>
      </c>
      <c r="V293" s="8">
        <f t="shared" si="251"/>
        <v>560</v>
      </c>
      <c r="W293" s="8">
        <f t="shared" si="252"/>
        <v>7.9375</v>
      </c>
      <c r="X293" s="8">
        <f t="shared" si="253"/>
        <v>0</v>
      </c>
      <c r="Y293" s="33">
        <f t="shared" si="254"/>
        <v>7.9375</v>
      </c>
      <c r="Z293" s="28" t="s">
        <v>80</v>
      </c>
      <c r="AA293" s="28" t="s">
        <v>81</v>
      </c>
      <c r="AB293" s="61" t="s">
        <v>79</v>
      </c>
      <c r="AC293" s="31" t="s">
        <v>82</v>
      </c>
      <c r="AD293" s="50">
        <f t="shared" si="255"/>
        <v>2</v>
      </c>
      <c r="AE293" s="31"/>
      <c r="AF293" s="51">
        <v>14</v>
      </c>
      <c r="AG293" s="51">
        <f t="shared" si="282"/>
        <v>8.4</v>
      </c>
      <c r="AH293" s="51">
        <f t="shared" si="248"/>
        <v>42</v>
      </c>
      <c r="AI293" s="52" t="s">
        <v>2497</v>
      </c>
      <c r="AJ293" s="52" t="s">
        <v>2498</v>
      </c>
      <c r="AK293" s="53">
        <f t="shared" si="283"/>
        <v>8.8900000000000003E-3</v>
      </c>
      <c r="AL293" s="54">
        <f t="shared" si="284"/>
        <v>0.11904761904761904</v>
      </c>
      <c r="AM293" s="54">
        <f t="shared" si="285"/>
        <v>2.3809523809523808E-2</v>
      </c>
      <c r="AN293" s="55">
        <f t="shared" si="286"/>
        <v>2.1166666666666664E-3</v>
      </c>
      <c r="AO293" s="55">
        <f t="shared" si="287"/>
        <v>4.2333333333333334E-4</v>
      </c>
      <c r="AP293" s="53">
        <v>7.1</v>
      </c>
      <c r="AQ293" s="53">
        <f t="shared" si="256"/>
        <v>4.26</v>
      </c>
      <c r="AR293" s="53">
        <f t="shared" si="257"/>
        <v>21.299999999999997</v>
      </c>
      <c r="AS293" s="56">
        <f t="shared" si="258"/>
        <v>4.6948356807511742E-2</v>
      </c>
      <c r="AT293" s="56">
        <f t="shared" si="288"/>
        <v>0.23474178403755869</v>
      </c>
      <c r="AU293" s="56">
        <f t="shared" si="259"/>
        <v>0.176056338028169</v>
      </c>
      <c r="AV293" s="56">
        <f t="shared" si="289"/>
        <v>5.8685446009389672E-2</v>
      </c>
      <c r="AW293" s="57" t="s">
        <v>2511</v>
      </c>
      <c r="AX293" s="57" t="s">
        <v>2512</v>
      </c>
      <c r="AY293" s="57" t="s">
        <v>2513</v>
      </c>
      <c r="AZ293" s="58">
        <f t="shared" si="290"/>
        <v>8.8900000000000003E-3</v>
      </c>
      <c r="BA293" s="59">
        <f t="shared" si="293"/>
        <v>5.2171361502347424E-4</v>
      </c>
      <c r="BB293" s="59">
        <f t="shared" si="294"/>
        <v>1.5651408450704225E-3</v>
      </c>
      <c r="BC293" s="59">
        <f t="shared" si="295"/>
        <v>4.1737089201877939E-4</v>
      </c>
      <c r="BD293" s="60">
        <f t="shared" si="291"/>
        <v>2.1739130434782609E-3</v>
      </c>
      <c r="BE293" s="59">
        <f t="shared" si="292"/>
        <v>4.3478260869565218E-3</v>
      </c>
      <c r="BQ293" s="61">
        <v>3000</v>
      </c>
      <c r="BR293" s="61">
        <v>1200</v>
      </c>
      <c r="BS293" s="28">
        <f t="shared" si="260"/>
        <v>2980</v>
      </c>
      <c r="BT293" s="28">
        <f t="shared" si="261"/>
        <v>1180</v>
      </c>
      <c r="BU293" s="28" t="s">
        <v>2541</v>
      </c>
      <c r="BV293" s="28">
        <f t="shared" si="262"/>
        <v>565</v>
      </c>
      <c r="BW293" s="28">
        <f t="shared" si="263"/>
        <v>12.9375</v>
      </c>
      <c r="BX293" s="13">
        <f t="shared" si="264"/>
        <v>5.2743362831858409</v>
      </c>
      <c r="BY293" s="13">
        <f t="shared" si="265"/>
        <v>5</v>
      </c>
      <c r="BZ293" s="13">
        <f t="shared" si="266"/>
        <v>91.207729468599027</v>
      </c>
      <c r="CA293" s="13">
        <f t="shared" si="267"/>
        <v>91</v>
      </c>
      <c r="CB293" s="13">
        <f t="shared" si="268"/>
        <v>455</v>
      </c>
      <c r="CC293" s="62">
        <f t="shared" si="269"/>
        <v>2.1978021978021978E-3</v>
      </c>
      <c r="CD293" s="13">
        <f t="shared" si="270"/>
        <v>230.33816425120773</v>
      </c>
      <c r="CE293" s="13">
        <f t="shared" si="271"/>
        <v>230</v>
      </c>
      <c r="CF293" s="13">
        <f t="shared" si="272"/>
        <v>2.0884955752212391</v>
      </c>
      <c r="CG293" s="13">
        <f t="shared" si="273"/>
        <v>2</v>
      </c>
      <c r="CH293" s="28">
        <f t="shared" si="274"/>
        <v>460</v>
      </c>
      <c r="CI293" s="62">
        <f t="shared" si="275"/>
        <v>2.1739130434782609E-3</v>
      </c>
      <c r="CJ293" s="59">
        <f t="shared" si="276"/>
        <v>2.1739130434782609E-3</v>
      </c>
      <c r="CL293" s="63">
        <v>6000</v>
      </c>
      <c r="CM293" s="63">
        <f t="shared" si="277"/>
        <v>560</v>
      </c>
      <c r="CN293" s="63">
        <f t="shared" si="278"/>
        <v>565</v>
      </c>
      <c r="CO293" s="63">
        <f t="shared" si="279"/>
        <v>10.619469026548673</v>
      </c>
      <c r="CP293" s="13">
        <f t="shared" si="280"/>
        <v>10</v>
      </c>
      <c r="CQ293" s="70">
        <f t="shared" si="281"/>
        <v>0.1</v>
      </c>
      <c r="CR293" s="69">
        <f t="shared" si="249"/>
        <v>0.2</v>
      </c>
    </row>
    <row r="294" spans="1:96" hidden="1" x14ac:dyDescent="0.25">
      <c r="A294" s="10">
        <v>3</v>
      </c>
      <c r="B294" s="8" t="s">
        <v>720</v>
      </c>
      <c r="C294" s="10" t="s">
        <v>841</v>
      </c>
      <c r="D294" s="10" t="s">
        <v>2270</v>
      </c>
      <c r="E294" s="10" t="s">
        <v>32</v>
      </c>
      <c r="F294" s="12">
        <f t="shared" si="250"/>
        <v>1</v>
      </c>
      <c r="G294" s="10">
        <v>1</v>
      </c>
      <c r="H294" s="10">
        <f>G294*$H$234</f>
        <v>1</v>
      </c>
      <c r="I294" s="10">
        <v>9</v>
      </c>
      <c r="J294" s="8" t="s">
        <v>803</v>
      </c>
      <c r="K294" s="8" t="s">
        <v>34</v>
      </c>
      <c r="L294" s="10">
        <v>0</v>
      </c>
      <c r="M294" s="8" t="s">
        <v>35</v>
      </c>
      <c r="N294" s="10" t="s">
        <v>842</v>
      </c>
      <c r="O294" s="28" t="s">
        <v>41</v>
      </c>
      <c r="P294" s="28" t="s">
        <v>41</v>
      </c>
      <c r="Q294" s="28"/>
      <c r="R294" s="30"/>
      <c r="S294" s="30"/>
      <c r="T294" s="30"/>
      <c r="U294" s="30"/>
      <c r="V294" s="8">
        <f t="shared" si="251"/>
        <v>0</v>
      </c>
      <c r="W294" s="8">
        <f t="shared" si="252"/>
        <v>0</v>
      </c>
      <c r="X294" s="8">
        <f t="shared" si="253"/>
        <v>0</v>
      </c>
      <c r="Y294" s="33">
        <f t="shared" si="254"/>
        <v>0</v>
      </c>
      <c r="Z294" s="28"/>
      <c r="AA294" s="28"/>
      <c r="AB294" s="28">
        <v>0</v>
      </c>
      <c r="AC294" s="31"/>
      <c r="AD294" s="50">
        <f t="shared" si="255"/>
        <v>1</v>
      </c>
      <c r="AE294" s="31"/>
      <c r="AF294" s="51">
        <v>14</v>
      </c>
      <c r="AG294" s="51">
        <f t="shared" si="282"/>
        <v>8.4</v>
      </c>
      <c r="AH294" s="51">
        <f t="shared" si="248"/>
        <v>42</v>
      </c>
      <c r="AI294" s="52" t="s">
        <v>2497</v>
      </c>
      <c r="AJ294" s="52" t="s">
        <v>2498</v>
      </c>
      <c r="AK294" s="53">
        <f t="shared" si="283"/>
        <v>0</v>
      </c>
      <c r="AL294" s="54">
        <f t="shared" si="284"/>
        <v>0.11904761904761904</v>
      </c>
      <c r="AM294" s="54">
        <f t="shared" si="285"/>
        <v>2.3809523809523808E-2</v>
      </c>
      <c r="AN294" s="55">
        <f t="shared" si="286"/>
        <v>0</v>
      </c>
      <c r="AO294" s="55">
        <f t="shared" si="287"/>
        <v>0</v>
      </c>
      <c r="AP294" s="53">
        <v>7.1</v>
      </c>
      <c r="AQ294" s="53">
        <f t="shared" si="256"/>
        <v>4.26</v>
      </c>
      <c r="AR294" s="53">
        <f t="shared" si="257"/>
        <v>21.299999999999997</v>
      </c>
      <c r="AS294" s="56">
        <f t="shared" si="258"/>
        <v>4.6948356807511742E-2</v>
      </c>
      <c r="AT294" s="56">
        <f t="shared" si="288"/>
        <v>0.23474178403755869</v>
      </c>
      <c r="AU294" s="56">
        <f t="shared" si="259"/>
        <v>0.176056338028169</v>
      </c>
      <c r="AV294" s="56">
        <f t="shared" si="289"/>
        <v>5.8685446009389672E-2</v>
      </c>
      <c r="AW294" s="57" t="s">
        <v>2511</v>
      </c>
      <c r="AX294" s="57" t="s">
        <v>2512</v>
      </c>
      <c r="AY294" s="57" t="s">
        <v>2513</v>
      </c>
      <c r="AZ294" s="58">
        <f t="shared" si="290"/>
        <v>0</v>
      </c>
      <c r="BA294" s="59">
        <f t="shared" si="293"/>
        <v>0</v>
      </c>
      <c r="BB294" s="59">
        <f t="shared" si="294"/>
        <v>0</v>
      </c>
      <c r="BC294" s="59">
        <f t="shared" si="295"/>
        <v>0</v>
      </c>
      <c r="BD294" s="60">
        <f t="shared" si="291"/>
        <v>0</v>
      </c>
      <c r="BE294" s="59">
        <f t="shared" si="292"/>
        <v>0</v>
      </c>
      <c r="BQ294" s="61">
        <v>3000</v>
      </c>
      <c r="BR294" s="61">
        <v>1200</v>
      </c>
      <c r="BS294" s="28">
        <f t="shared" si="260"/>
        <v>2980</v>
      </c>
      <c r="BT294" s="28">
        <f t="shared" si="261"/>
        <v>1180</v>
      </c>
      <c r="BU294" s="28" t="s">
        <v>2541</v>
      </c>
      <c r="BV294" s="28">
        <f t="shared" si="262"/>
        <v>5</v>
      </c>
      <c r="BW294" s="28">
        <f t="shared" si="263"/>
        <v>5</v>
      </c>
      <c r="BX294" s="13">
        <f t="shared" si="264"/>
        <v>596</v>
      </c>
      <c r="BY294" s="13">
        <f t="shared" si="265"/>
        <v>596</v>
      </c>
      <c r="BZ294" s="13">
        <f t="shared" si="266"/>
        <v>236</v>
      </c>
      <c r="CA294" s="13">
        <f t="shared" si="267"/>
        <v>236</v>
      </c>
      <c r="CB294" s="13">
        <f t="shared" si="268"/>
        <v>140656</v>
      </c>
      <c r="CC294" s="62" t="str">
        <f t="shared" si="269"/>
        <v/>
      </c>
      <c r="CD294" s="13">
        <f t="shared" si="270"/>
        <v>596</v>
      </c>
      <c r="CE294" s="13">
        <f t="shared" si="271"/>
        <v>596</v>
      </c>
      <c r="CF294" s="13">
        <f t="shared" si="272"/>
        <v>236</v>
      </c>
      <c r="CG294" s="13">
        <f t="shared" si="273"/>
        <v>236</v>
      </c>
      <c r="CH294" s="28">
        <f t="shared" si="274"/>
        <v>140656</v>
      </c>
      <c r="CI294" s="62" t="str">
        <f t="shared" si="275"/>
        <v/>
      </c>
      <c r="CJ294" s="59">
        <f t="shared" si="276"/>
        <v>0</v>
      </c>
      <c r="CL294" s="63">
        <v>6000</v>
      </c>
      <c r="CM294" s="63">
        <f t="shared" si="277"/>
        <v>0</v>
      </c>
      <c r="CN294" s="63">
        <f t="shared" si="278"/>
        <v>5</v>
      </c>
      <c r="CO294" s="63">
        <f t="shared" si="279"/>
        <v>1200</v>
      </c>
      <c r="CP294" s="13">
        <f t="shared" si="280"/>
        <v>1200</v>
      </c>
      <c r="CQ294" s="70">
        <f t="shared" si="281"/>
        <v>8.3333333333333339E-4</v>
      </c>
      <c r="CR294" s="69">
        <f t="shared" si="249"/>
        <v>8.3333333333333339E-4</v>
      </c>
    </row>
    <row r="295" spans="1:96" hidden="1" x14ac:dyDescent="0.25">
      <c r="A295" s="13">
        <v>4</v>
      </c>
      <c r="B295" s="14" t="s">
        <v>843</v>
      </c>
      <c r="C295" s="13" t="s">
        <v>844</v>
      </c>
      <c r="D295" s="13" t="s">
        <v>2270</v>
      </c>
      <c r="E295" s="13" t="s">
        <v>52</v>
      </c>
      <c r="F295" s="15">
        <f t="shared" si="250"/>
        <v>1</v>
      </c>
      <c r="G295" s="13">
        <v>1</v>
      </c>
      <c r="H295" s="13">
        <f>G295*$H$294</f>
        <v>1</v>
      </c>
      <c r="I295" s="13">
        <v>1</v>
      </c>
      <c r="J295" s="14" t="s">
        <v>798</v>
      </c>
      <c r="K295" s="14" t="s">
        <v>34</v>
      </c>
      <c r="L295" s="13">
        <v>0</v>
      </c>
      <c r="M295" s="14" t="s">
        <v>35</v>
      </c>
      <c r="N295" s="13" t="s">
        <v>845</v>
      </c>
      <c r="O295" s="28" t="s">
        <v>41</v>
      </c>
      <c r="P295" s="28" t="s">
        <v>41</v>
      </c>
      <c r="Q295" s="28" t="s">
        <v>116</v>
      </c>
      <c r="R295" s="30">
        <v>75.760000000000005</v>
      </c>
      <c r="S295" s="30">
        <v>35.761000000000003</v>
      </c>
      <c r="T295" s="30"/>
      <c r="U295" s="30">
        <v>0.12</v>
      </c>
      <c r="V295" s="8">
        <f t="shared" si="251"/>
        <v>1924.3040000000001</v>
      </c>
      <c r="W295" s="8">
        <f t="shared" si="252"/>
        <v>908.32939999999996</v>
      </c>
      <c r="X295" s="8">
        <f t="shared" si="253"/>
        <v>0</v>
      </c>
      <c r="Y295" s="33">
        <f t="shared" si="254"/>
        <v>3.0479999999999996</v>
      </c>
      <c r="Z295" s="28" t="s">
        <v>56</v>
      </c>
      <c r="AA295" s="28" t="s">
        <v>57</v>
      </c>
      <c r="AB295" s="28" t="s">
        <v>116</v>
      </c>
      <c r="AC295" s="31" t="s">
        <v>117</v>
      </c>
      <c r="AD295" s="50">
        <f t="shared" si="255"/>
        <v>1</v>
      </c>
      <c r="AE295" s="31"/>
      <c r="AF295" s="51">
        <v>14</v>
      </c>
      <c r="AG295" s="51">
        <f t="shared" si="282"/>
        <v>8.4</v>
      </c>
      <c r="AH295" s="51">
        <f t="shared" si="248"/>
        <v>42</v>
      </c>
      <c r="AI295" s="52" t="s">
        <v>2497</v>
      </c>
      <c r="AJ295" s="52" t="s">
        <v>2498</v>
      </c>
      <c r="AK295" s="53">
        <f t="shared" si="283"/>
        <v>3.4958037954751999</v>
      </c>
      <c r="AL295" s="54">
        <f t="shared" si="284"/>
        <v>0.11904761904761904</v>
      </c>
      <c r="AM295" s="54">
        <f t="shared" si="285"/>
        <v>2.3809523809523808E-2</v>
      </c>
      <c r="AN295" s="55">
        <f t="shared" si="286"/>
        <v>0.41616711850895233</v>
      </c>
      <c r="AO295" s="55">
        <f t="shared" si="287"/>
        <v>8.3233423701790474E-2</v>
      </c>
      <c r="AP295" s="53">
        <v>7.1</v>
      </c>
      <c r="AQ295" s="53">
        <f t="shared" si="256"/>
        <v>4.26</v>
      </c>
      <c r="AR295" s="53">
        <f t="shared" si="257"/>
        <v>21.299999999999997</v>
      </c>
      <c r="AS295" s="56">
        <f t="shared" si="258"/>
        <v>4.6948356807511742E-2</v>
      </c>
      <c r="AT295" s="56">
        <f t="shared" si="288"/>
        <v>0.23474178403755869</v>
      </c>
      <c r="AU295" s="56">
        <f t="shared" si="259"/>
        <v>0.176056338028169</v>
      </c>
      <c r="AV295" s="56">
        <f t="shared" si="289"/>
        <v>5.8685446009389672E-2</v>
      </c>
      <c r="AW295" s="57" t="s">
        <v>2511</v>
      </c>
      <c r="AX295" s="57" t="s">
        <v>2512</v>
      </c>
      <c r="AY295" s="57" t="s">
        <v>2513</v>
      </c>
      <c r="AZ295" s="58">
        <f t="shared" si="290"/>
        <v>3.4958037954751999</v>
      </c>
      <c r="BA295" s="59">
        <f t="shared" si="293"/>
        <v>0.10257640244938968</v>
      </c>
      <c r="BB295" s="59">
        <f t="shared" si="294"/>
        <v>0.307729207348169</v>
      </c>
      <c r="BC295" s="59">
        <f t="shared" si="295"/>
        <v>8.2061121959511749E-2</v>
      </c>
      <c r="BD295" s="60">
        <f t="shared" si="291"/>
        <v>1</v>
      </c>
      <c r="BE295" s="59">
        <f t="shared" si="292"/>
        <v>1</v>
      </c>
      <c r="BQ295" s="61">
        <v>3000</v>
      </c>
      <c r="BR295" s="61">
        <v>1200</v>
      </c>
      <c r="BS295" s="28">
        <f t="shared" si="260"/>
        <v>2980</v>
      </c>
      <c r="BT295" s="28">
        <f t="shared" si="261"/>
        <v>1180</v>
      </c>
      <c r="BU295" s="28" t="s">
        <v>2541</v>
      </c>
      <c r="BV295" s="28">
        <f t="shared" si="262"/>
        <v>1929.3040000000001</v>
      </c>
      <c r="BW295" s="28">
        <f t="shared" si="263"/>
        <v>913.32939999999996</v>
      </c>
      <c r="BX295" s="13">
        <f t="shared" si="264"/>
        <v>1.5445984665972805</v>
      </c>
      <c r="BY295" s="13">
        <f t="shared" si="265"/>
        <v>1</v>
      </c>
      <c r="BZ295" s="13">
        <f t="shared" si="266"/>
        <v>1.2919763669055218</v>
      </c>
      <c r="CA295" s="13">
        <f t="shared" si="267"/>
        <v>1</v>
      </c>
      <c r="CB295" s="13">
        <f t="shared" si="268"/>
        <v>1</v>
      </c>
      <c r="CC295" s="62">
        <f t="shared" si="269"/>
        <v>1</v>
      </c>
      <c r="CD295" s="13">
        <f t="shared" si="270"/>
        <v>3.2627877740495381</v>
      </c>
      <c r="CE295" s="13">
        <f t="shared" si="271"/>
        <v>3</v>
      </c>
      <c r="CF295" s="13">
        <f t="shared" si="272"/>
        <v>0.61161952704187617</v>
      </c>
      <c r="CG295" s="13">
        <f t="shared" si="273"/>
        <v>0</v>
      </c>
      <c r="CH295" s="28">
        <f t="shared" si="274"/>
        <v>0</v>
      </c>
      <c r="CI295" s="62">
        <f t="shared" si="275"/>
        <v>1</v>
      </c>
      <c r="CJ295" s="59">
        <f t="shared" si="276"/>
        <v>1</v>
      </c>
      <c r="CL295" s="63">
        <v>6000</v>
      </c>
      <c r="CM295" s="63">
        <f t="shared" si="277"/>
        <v>1924.3040000000001</v>
      </c>
      <c r="CN295" s="63">
        <f t="shared" si="278"/>
        <v>1929.3040000000001</v>
      </c>
      <c r="CO295" s="63">
        <f t="shared" si="279"/>
        <v>3.1099297985180145</v>
      </c>
      <c r="CP295" s="13">
        <f t="shared" si="280"/>
        <v>3</v>
      </c>
      <c r="CQ295" s="70">
        <f t="shared" si="281"/>
        <v>0.33333333333333331</v>
      </c>
      <c r="CR295" s="69">
        <f t="shared" si="249"/>
        <v>0.33333333333333331</v>
      </c>
    </row>
    <row r="296" spans="1:96" hidden="1" x14ac:dyDescent="0.25">
      <c r="A296" s="13">
        <v>4</v>
      </c>
      <c r="B296" s="14" t="s">
        <v>843</v>
      </c>
      <c r="C296" s="13" t="s">
        <v>846</v>
      </c>
      <c r="D296" s="13" t="s">
        <v>2270</v>
      </c>
      <c r="E296" s="13" t="s">
        <v>32</v>
      </c>
      <c r="F296" s="15">
        <f t="shared" si="250"/>
        <v>1</v>
      </c>
      <c r="G296" s="13">
        <v>1</v>
      </c>
      <c r="H296" s="13">
        <f>G296*$H$294</f>
        <v>1</v>
      </c>
      <c r="I296" s="13">
        <v>2</v>
      </c>
      <c r="J296" s="14" t="s">
        <v>847</v>
      </c>
      <c r="K296" s="14" t="s">
        <v>34</v>
      </c>
      <c r="L296" s="13">
        <v>0</v>
      </c>
      <c r="M296" s="14" t="s">
        <v>35</v>
      </c>
      <c r="N296" s="13" t="s">
        <v>848</v>
      </c>
      <c r="O296" s="28" t="s">
        <v>41</v>
      </c>
      <c r="P296" s="28" t="s">
        <v>41</v>
      </c>
      <c r="Q296" s="28"/>
      <c r="R296" s="30"/>
      <c r="S296" s="30"/>
      <c r="T296" s="30"/>
      <c r="U296" s="30"/>
      <c r="V296" s="8">
        <f t="shared" si="251"/>
        <v>0</v>
      </c>
      <c r="W296" s="8">
        <f t="shared" si="252"/>
        <v>0</v>
      </c>
      <c r="X296" s="8">
        <f t="shared" si="253"/>
        <v>0</v>
      </c>
      <c r="Y296" s="33">
        <f t="shared" si="254"/>
        <v>0</v>
      </c>
      <c r="Z296" s="28"/>
      <c r="AA296" s="28"/>
      <c r="AB296" s="28">
        <v>0</v>
      </c>
      <c r="AC296" s="31"/>
      <c r="AD296" s="50">
        <f t="shared" si="255"/>
        <v>1</v>
      </c>
      <c r="AE296" s="31"/>
      <c r="AF296" s="51">
        <v>14</v>
      </c>
      <c r="AG296" s="51">
        <f t="shared" si="282"/>
        <v>8.4</v>
      </c>
      <c r="AH296" s="51">
        <f t="shared" si="248"/>
        <v>42</v>
      </c>
      <c r="AI296" s="52" t="s">
        <v>2497</v>
      </c>
      <c r="AJ296" s="52" t="s">
        <v>2498</v>
      </c>
      <c r="AK296" s="53">
        <f t="shared" si="283"/>
        <v>0</v>
      </c>
      <c r="AL296" s="54">
        <f t="shared" si="284"/>
        <v>0.11904761904761904</v>
      </c>
      <c r="AM296" s="54">
        <f t="shared" si="285"/>
        <v>2.3809523809523808E-2</v>
      </c>
      <c r="AN296" s="55">
        <f t="shared" si="286"/>
        <v>0</v>
      </c>
      <c r="AO296" s="55">
        <f t="shared" si="287"/>
        <v>0</v>
      </c>
      <c r="AP296" s="53">
        <v>7.1</v>
      </c>
      <c r="AQ296" s="53">
        <f t="shared" si="256"/>
        <v>4.26</v>
      </c>
      <c r="AR296" s="53">
        <f t="shared" si="257"/>
        <v>21.299999999999997</v>
      </c>
      <c r="AS296" s="56">
        <f t="shared" si="258"/>
        <v>4.6948356807511742E-2</v>
      </c>
      <c r="AT296" s="56">
        <f t="shared" si="288"/>
        <v>0.23474178403755869</v>
      </c>
      <c r="AU296" s="56">
        <f t="shared" si="259"/>
        <v>0.176056338028169</v>
      </c>
      <c r="AV296" s="56">
        <f t="shared" si="289"/>
        <v>5.8685446009389672E-2</v>
      </c>
      <c r="AW296" s="57" t="s">
        <v>2511</v>
      </c>
      <c r="AX296" s="57" t="s">
        <v>2512</v>
      </c>
      <c r="AY296" s="57" t="s">
        <v>2513</v>
      </c>
      <c r="AZ296" s="58">
        <f t="shared" si="290"/>
        <v>0</v>
      </c>
      <c r="BA296" s="59">
        <f t="shared" si="293"/>
        <v>0</v>
      </c>
      <c r="BB296" s="59">
        <f t="shared" si="294"/>
        <v>0</v>
      </c>
      <c r="BC296" s="59">
        <f t="shared" si="295"/>
        <v>0</v>
      </c>
      <c r="BD296" s="60">
        <f t="shared" si="291"/>
        <v>0</v>
      </c>
      <c r="BE296" s="59">
        <f t="shared" si="292"/>
        <v>0</v>
      </c>
      <c r="BQ296" s="61">
        <v>3000</v>
      </c>
      <c r="BR296" s="61">
        <v>1200</v>
      </c>
      <c r="BS296" s="28">
        <f t="shared" si="260"/>
        <v>2980</v>
      </c>
      <c r="BT296" s="28">
        <f t="shared" si="261"/>
        <v>1180</v>
      </c>
      <c r="BU296" s="28" t="s">
        <v>2541</v>
      </c>
      <c r="BV296" s="28">
        <f t="shared" si="262"/>
        <v>5</v>
      </c>
      <c r="BW296" s="28">
        <f t="shared" si="263"/>
        <v>5</v>
      </c>
      <c r="BX296" s="13">
        <f t="shared" si="264"/>
        <v>596</v>
      </c>
      <c r="BY296" s="13">
        <f t="shared" si="265"/>
        <v>596</v>
      </c>
      <c r="BZ296" s="13">
        <f t="shared" si="266"/>
        <v>236</v>
      </c>
      <c r="CA296" s="13">
        <f t="shared" si="267"/>
        <v>236</v>
      </c>
      <c r="CB296" s="13">
        <f t="shared" si="268"/>
        <v>140656</v>
      </c>
      <c r="CC296" s="62" t="str">
        <f t="shared" si="269"/>
        <v/>
      </c>
      <c r="CD296" s="13">
        <f t="shared" si="270"/>
        <v>596</v>
      </c>
      <c r="CE296" s="13">
        <f t="shared" si="271"/>
        <v>596</v>
      </c>
      <c r="CF296" s="13">
        <f t="shared" si="272"/>
        <v>236</v>
      </c>
      <c r="CG296" s="13">
        <f t="shared" si="273"/>
        <v>236</v>
      </c>
      <c r="CH296" s="28">
        <f t="shared" si="274"/>
        <v>140656</v>
      </c>
      <c r="CI296" s="62" t="str">
        <f t="shared" si="275"/>
        <v/>
      </c>
      <c r="CJ296" s="59">
        <f t="shared" si="276"/>
        <v>0</v>
      </c>
      <c r="CL296" s="63">
        <v>6000</v>
      </c>
      <c r="CM296" s="63">
        <f t="shared" si="277"/>
        <v>0</v>
      </c>
      <c r="CN296" s="63">
        <f t="shared" si="278"/>
        <v>5</v>
      </c>
      <c r="CO296" s="63">
        <f t="shared" si="279"/>
        <v>1200</v>
      </c>
      <c r="CP296" s="13">
        <f t="shared" si="280"/>
        <v>1200</v>
      </c>
      <c r="CQ296" s="70">
        <f t="shared" si="281"/>
        <v>8.3333333333333339E-4</v>
      </c>
      <c r="CR296" s="69">
        <f t="shared" si="249"/>
        <v>8.3333333333333339E-4</v>
      </c>
    </row>
    <row r="297" spans="1:96" hidden="1" x14ac:dyDescent="0.25">
      <c r="A297" s="17">
        <v>5</v>
      </c>
      <c r="B297" s="6" t="s">
        <v>849</v>
      </c>
      <c r="C297" s="17" t="s">
        <v>850</v>
      </c>
      <c r="D297" s="17" t="s">
        <v>2270</v>
      </c>
      <c r="E297" s="17" t="s">
        <v>52</v>
      </c>
      <c r="F297" s="7">
        <f t="shared" si="250"/>
        <v>1</v>
      </c>
      <c r="G297" s="17">
        <v>1</v>
      </c>
      <c r="H297" s="17">
        <f>G297*$H$296</f>
        <v>1</v>
      </c>
      <c r="I297" s="17">
        <v>1</v>
      </c>
      <c r="J297" s="6" t="s">
        <v>851</v>
      </c>
      <c r="K297" s="6" t="s">
        <v>34</v>
      </c>
      <c r="L297" s="17">
        <v>0</v>
      </c>
      <c r="M297" s="6" t="s">
        <v>35</v>
      </c>
      <c r="N297" s="17" t="s">
        <v>852</v>
      </c>
      <c r="O297" s="28" t="s">
        <v>41</v>
      </c>
      <c r="P297" s="28" t="s">
        <v>41</v>
      </c>
      <c r="Q297" s="28" t="s">
        <v>124</v>
      </c>
      <c r="R297" s="30">
        <v>45</v>
      </c>
      <c r="S297" s="30">
        <v>4.8019999999999996</v>
      </c>
      <c r="T297" s="30"/>
      <c r="U297" s="30">
        <v>9.8000000000000004E-2</v>
      </c>
      <c r="V297" s="8">
        <f t="shared" si="251"/>
        <v>1143</v>
      </c>
      <c r="W297" s="8">
        <f t="shared" si="252"/>
        <v>121.97079999999998</v>
      </c>
      <c r="X297" s="8">
        <f t="shared" si="253"/>
        <v>0</v>
      </c>
      <c r="Y297" s="33">
        <f t="shared" si="254"/>
        <v>2.4891999999999999</v>
      </c>
      <c r="Z297" s="28" t="s">
        <v>56</v>
      </c>
      <c r="AA297" s="28" t="s">
        <v>57</v>
      </c>
      <c r="AB297" s="61" t="s">
        <v>124</v>
      </c>
      <c r="AC297" s="31" t="s">
        <v>125</v>
      </c>
      <c r="AD297" s="50">
        <f t="shared" si="255"/>
        <v>1</v>
      </c>
      <c r="AE297" s="31"/>
      <c r="AF297" s="51">
        <v>14</v>
      </c>
      <c r="AG297" s="51">
        <f t="shared" si="282"/>
        <v>8.4</v>
      </c>
      <c r="AH297" s="51">
        <f t="shared" si="248"/>
        <v>42</v>
      </c>
      <c r="AI297" s="52" t="s">
        <v>2497</v>
      </c>
      <c r="AJ297" s="52" t="s">
        <v>2498</v>
      </c>
      <c r="AK297" s="53">
        <f t="shared" si="283"/>
        <v>0.27882524879999993</v>
      </c>
      <c r="AL297" s="54">
        <f t="shared" si="284"/>
        <v>0.11904761904761904</v>
      </c>
      <c r="AM297" s="54">
        <f t="shared" si="285"/>
        <v>2.3809523809523808E-2</v>
      </c>
      <c r="AN297" s="55">
        <f t="shared" si="286"/>
        <v>3.3193481999999989E-2</v>
      </c>
      <c r="AO297" s="55">
        <f t="shared" si="287"/>
        <v>6.6386963999999979E-3</v>
      </c>
      <c r="AP297" s="53">
        <v>7.1</v>
      </c>
      <c r="AQ297" s="53">
        <f t="shared" si="256"/>
        <v>4.26</v>
      </c>
      <c r="AR297" s="53">
        <f t="shared" si="257"/>
        <v>21.299999999999997</v>
      </c>
      <c r="AS297" s="56">
        <f t="shared" si="258"/>
        <v>4.6948356807511742E-2</v>
      </c>
      <c r="AT297" s="56">
        <f t="shared" si="288"/>
        <v>0.23474178403755869</v>
      </c>
      <c r="AU297" s="56">
        <f t="shared" si="259"/>
        <v>0.176056338028169</v>
      </c>
      <c r="AV297" s="56">
        <f t="shared" si="289"/>
        <v>5.8685446009389672E-2</v>
      </c>
      <c r="AW297" s="57" t="s">
        <v>2511</v>
      </c>
      <c r="AX297" s="57" t="s">
        <v>2512</v>
      </c>
      <c r="AY297" s="57" t="s">
        <v>2513</v>
      </c>
      <c r="AZ297" s="58">
        <f t="shared" si="290"/>
        <v>0.27882524879999993</v>
      </c>
      <c r="BA297" s="59">
        <f t="shared" si="293"/>
        <v>8.1814920422535187E-3</v>
      </c>
      <c r="BB297" s="59">
        <f t="shared" si="294"/>
        <v>2.4544476126760556E-2</v>
      </c>
      <c r="BC297" s="59">
        <f t="shared" si="295"/>
        <v>6.5451936338028162E-3</v>
      </c>
      <c r="BD297" s="60">
        <f t="shared" si="291"/>
        <v>4.3478260869565216E-2</v>
      </c>
      <c r="BE297" s="59">
        <f t="shared" si="292"/>
        <v>4.3478260869565216E-2</v>
      </c>
      <c r="BQ297" s="61">
        <v>3000</v>
      </c>
      <c r="BR297" s="61">
        <v>1200</v>
      </c>
      <c r="BS297" s="28">
        <f t="shared" si="260"/>
        <v>2980</v>
      </c>
      <c r="BT297" s="28">
        <f t="shared" si="261"/>
        <v>1180</v>
      </c>
      <c r="BU297" s="28" t="s">
        <v>2541</v>
      </c>
      <c r="BV297" s="28">
        <f t="shared" si="262"/>
        <v>1148</v>
      </c>
      <c r="BW297" s="28">
        <f t="shared" si="263"/>
        <v>126.97079999999998</v>
      </c>
      <c r="BX297" s="13">
        <f t="shared" si="264"/>
        <v>2.5958188153310107</v>
      </c>
      <c r="BY297" s="13">
        <f t="shared" si="265"/>
        <v>2</v>
      </c>
      <c r="BZ297" s="13">
        <f t="shared" si="266"/>
        <v>9.2934753502380083</v>
      </c>
      <c r="CA297" s="13">
        <f t="shared" si="267"/>
        <v>9</v>
      </c>
      <c r="CB297" s="13">
        <f t="shared" si="268"/>
        <v>18</v>
      </c>
      <c r="CC297" s="62">
        <f t="shared" si="269"/>
        <v>5.5555555555555552E-2</v>
      </c>
      <c r="CD297" s="13">
        <f t="shared" si="270"/>
        <v>23.469963172634973</v>
      </c>
      <c r="CE297" s="13">
        <f t="shared" si="271"/>
        <v>23</v>
      </c>
      <c r="CF297" s="13">
        <f t="shared" si="272"/>
        <v>1.0278745644599303</v>
      </c>
      <c r="CG297" s="13">
        <f t="shared" si="273"/>
        <v>1</v>
      </c>
      <c r="CH297" s="28">
        <f t="shared" si="274"/>
        <v>23</v>
      </c>
      <c r="CI297" s="62">
        <f t="shared" si="275"/>
        <v>4.3478260869565216E-2</v>
      </c>
      <c r="CJ297" s="59">
        <f t="shared" si="276"/>
        <v>4.3478260869565216E-2</v>
      </c>
      <c r="CL297" s="63">
        <v>6000</v>
      </c>
      <c r="CM297" s="63">
        <f t="shared" si="277"/>
        <v>1143</v>
      </c>
      <c r="CN297" s="63">
        <f t="shared" si="278"/>
        <v>1148</v>
      </c>
      <c r="CO297" s="63">
        <f t="shared" si="279"/>
        <v>5.2264808362369335</v>
      </c>
      <c r="CP297" s="13">
        <f t="shared" si="280"/>
        <v>5</v>
      </c>
      <c r="CQ297" s="70">
        <f t="shared" si="281"/>
        <v>0.2</v>
      </c>
      <c r="CR297" s="69">
        <f t="shared" si="249"/>
        <v>0.2</v>
      </c>
    </row>
    <row r="298" spans="1:96" hidden="1" x14ac:dyDescent="0.25">
      <c r="A298" s="17">
        <v>5</v>
      </c>
      <c r="B298" s="6" t="s">
        <v>849</v>
      </c>
      <c r="C298" s="17" t="s">
        <v>448</v>
      </c>
      <c r="D298" s="17" t="s">
        <v>450</v>
      </c>
      <c r="E298" s="17" t="s">
        <v>52</v>
      </c>
      <c r="F298" s="7">
        <f t="shared" si="250"/>
        <v>23</v>
      </c>
      <c r="G298" s="17">
        <v>18</v>
      </c>
      <c r="H298" s="17">
        <f>G298*$H$296</f>
        <v>18</v>
      </c>
      <c r="I298" s="17">
        <v>2</v>
      </c>
      <c r="J298" s="6" t="s">
        <v>449</v>
      </c>
      <c r="K298" s="6" t="s">
        <v>34</v>
      </c>
      <c r="L298" s="17">
        <v>0</v>
      </c>
      <c r="M298" s="6" t="s">
        <v>35</v>
      </c>
      <c r="N298" s="17" t="s">
        <v>450</v>
      </c>
      <c r="O298" s="28" t="s">
        <v>41</v>
      </c>
      <c r="P298" s="28" t="s">
        <v>41</v>
      </c>
      <c r="Q298" s="28" t="s">
        <v>450</v>
      </c>
      <c r="R298" s="30"/>
      <c r="S298" s="30"/>
      <c r="T298" s="30"/>
      <c r="U298" s="30"/>
      <c r="V298" s="8">
        <f t="shared" si="251"/>
        <v>0</v>
      </c>
      <c r="W298" s="8">
        <f t="shared" si="252"/>
        <v>0</v>
      </c>
      <c r="X298" s="8">
        <f t="shared" si="253"/>
        <v>0</v>
      </c>
      <c r="Y298" s="33">
        <f t="shared" si="254"/>
        <v>0</v>
      </c>
      <c r="Z298" s="28"/>
      <c r="AA298" s="28"/>
      <c r="AB298" s="61" t="s">
        <v>450</v>
      </c>
      <c r="AC298" s="31" t="s">
        <v>451</v>
      </c>
      <c r="AD298" s="50">
        <f t="shared" si="255"/>
        <v>18</v>
      </c>
      <c r="AE298" s="47" t="s">
        <v>107</v>
      </c>
      <c r="AF298" s="51">
        <v>14</v>
      </c>
      <c r="AG298" s="51">
        <f t="shared" si="282"/>
        <v>8.4</v>
      </c>
      <c r="AH298" s="51">
        <f t="shared" si="248"/>
        <v>42</v>
      </c>
      <c r="AI298" s="52" t="s">
        <v>2497</v>
      </c>
      <c r="AJ298" s="52" t="s">
        <v>2498</v>
      </c>
      <c r="AK298" s="53">
        <f t="shared" si="283"/>
        <v>0</v>
      </c>
      <c r="AL298" s="54">
        <f t="shared" si="284"/>
        <v>0.11904761904761904</v>
      </c>
      <c r="AM298" s="54">
        <f t="shared" si="285"/>
        <v>2.3809523809523808E-2</v>
      </c>
      <c r="AN298" s="55">
        <f t="shared" si="286"/>
        <v>0</v>
      </c>
      <c r="AO298" s="55">
        <f t="shared" si="287"/>
        <v>0</v>
      </c>
      <c r="AP298" s="53">
        <v>7.1</v>
      </c>
      <c r="AQ298" s="53">
        <f t="shared" si="256"/>
        <v>4.26</v>
      </c>
      <c r="AR298" s="53">
        <f t="shared" si="257"/>
        <v>21.299999999999997</v>
      </c>
      <c r="AS298" s="56">
        <f t="shared" si="258"/>
        <v>4.6948356807511742E-2</v>
      </c>
      <c r="AT298" s="56">
        <f t="shared" si="288"/>
        <v>0.23474178403755869</v>
      </c>
      <c r="AU298" s="56">
        <f t="shared" si="259"/>
        <v>0.176056338028169</v>
      </c>
      <c r="AV298" s="56">
        <f t="shared" si="289"/>
        <v>5.8685446009389672E-2</v>
      </c>
      <c r="AW298" s="57" t="s">
        <v>2511</v>
      </c>
      <c r="AX298" s="57" t="s">
        <v>2512</v>
      </c>
      <c r="AY298" s="57" t="s">
        <v>2513</v>
      </c>
      <c r="AZ298" s="58">
        <f t="shared" si="290"/>
        <v>0</v>
      </c>
      <c r="BA298" s="59">
        <f t="shared" si="293"/>
        <v>0</v>
      </c>
      <c r="BB298" s="59">
        <f t="shared" si="294"/>
        <v>0</v>
      </c>
      <c r="BC298" s="59">
        <f t="shared" si="295"/>
        <v>0</v>
      </c>
      <c r="BD298" s="60">
        <f t="shared" si="291"/>
        <v>7.1095438516664771E-6</v>
      </c>
      <c r="BE298" s="59">
        <f t="shared" si="292"/>
        <v>1.279717893299966E-4</v>
      </c>
      <c r="BQ298" s="61">
        <v>3000</v>
      </c>
      <c r="BR298" s="61">
        <v>1200</v>
      </c>
      <c r="BS298" s="28">
        <f t="shared" si="260"/>
        <v>2980</v>
      </c>
      <c r="BT298" s="28">
        <f t="shared" si="261"/>
        <v>1180</v>
      </c>
      <c r="BU298" s="28" t="s">
        <v>2541</v>
      </c>
      <c r="BV298" s="28">
        <f t="shared" si="262"/>
        <v>5</v>
      </c>
      <c r="BW298" s="28">
        <f t="shared" si="263"/>
        <v>5</v>
      </c>
      <c r="BX298" s="13">
        <f t="shared" si="264"/>
        <v>596</v>
      </c>
      <c r="BY298" s="13">
        <f t="shared" si="265"/>
        <v>596</v>
      </c>
      <c r="BZ298" s="13">
        <f t="shared" si="266"/>
        <v>236</v>
      </c>
      <c r="CA298" s="13">
        <f t="shared" si="267"/>
        <v>236</v>
      </c>
      <c r="CB298" s="13">
        <f t="shared" si="268"/>
        <v>140656</v>
      </c>
      <c r="CC298" s="62">
        <f t="shared" si="269"/>
        <v>7.1095438516664771E-6</v>
      </c>
      <c r="CD298" s="13">
        <f t="shared" si="270"/>
        <v>596</v>
      </c>
      <c r="CE298" s="13">
        <f t="shared" si="271"/>
        <v>596</v>
      </c>
      <c r="CF298" s="13">
        <f t="shared" si="272"/>
        <v>236</v>
      </c>
      <c r="CG298" s="13">
        <f t="shared" si="273"/>
        <v>236</v>
      </c>
      <c r="CH298" s="28">
        <f t="shared" si="274"/>
        <v>140656</v>
      </c>
      <c r="CI298" s="62">
        <f t="shared" si="275"/>
        <v>7.1095438516664771E-6</v>
      </c>
      <c r="CJ298" s="59">
        <f t="shared" si="276"/>
        <v>7.1095438516664771E-6</v>
      </c>
      <c r="CL298" s="63">
        <v>6000</v>
      </c>
      <c r="CM298" s="63">
        <f t="shared" si="277"/>
        <v>0</v>
      </c>
      <c r="CN298" s="63">
        <f t="shared" si="278"/>
        <v>5</v>
      </c>
      <c r="CO298" s="63">
        <f t="shared" si="279"/>
        <v>1200</v>
      </c>
      <c r="CP298" s="13">
        <f t="shared" si="280"/>
        <v>1200</v>
      </c>
      <c r="CQ298" s="70">
        <f t="shared" si="281"/>
        <v>8.3333333333333339E-4</v>
      </c>
      <c r="CR298" s="69">
        <f t="shared" si="249"/>
        <v>1.5000000000000001E-2</v>
      </c>
    </row>
    <row r="299" spans="1:96" hidden="1" x14ac:dyDescent="0.25">
      <c r="A299" s="13">
        <v>4</v>
      </c>
      <c r="B299" s="14" t="s">
        <v>843</v>
      </c>
      <c r="C299" s="13" t="s">
        <v>853</v>
      </c>
      <c r="D299" s="13" t="s">
        <v>2270</v>
      </c>
      <c r="E299" s="13" t="s">
        <v>32</v>
      </c>
      <c r="F299" s="15">
        <f t="shared" si="250"/>
        <v>1</v>
      </c>
      <c r="G299" s="13">
        <v>1</v>
      </c>
      <c r="H299" s="13">
        <f>G299*$H$294</f>
        <v>1</v>
      </c>
      <c r="I299" s="13">
        <v>3</v>
      </c>
      <c r="J299" s="14" t="s">
        <v>854</v>
      </c>
      <c r="K299" s="14" t="s">
        <v>34</v>
      </c>
      <c r="L299" s="13">
        <v>0</v>
      </c>
      <c r="M299" s="14" t="s">
        <v>35</v>
      </c>
      <c r="N299" s="13" t="s">
        <v>855</v>
      </c>
      <c r="O299" s="28" t="s">
        <v>41</v>
      </c>
      <c r="P299" s="28" t="s">
        <v>41</v>
      </c>
      <c r="Q299" s="28"/>
      <c r="R299" s="30"/>
      <c r="S299" s="30"/>
      <c r="T299" s="30"/>
      <c r="U299" s="30"/>
      <c r="V299" s="8">
        <f t="shared" si="251"/>
        <v>0</v>
      </c>
      <c r="W299" s="8">
        <f t="shared" si="252"/>
        <v>0</v>
      </c>
      <c r="X299" s="8">
        <f t="shared" si="253"/>
        <v>0</v>
      </c>
      <c r="Y299" s="33">
        <f t="shared" si="254"/>
        <v>0</v>
      </c>
      <c r="Z299" s="28"/>
      <c r="AA299" s="28"/>
      <c r="AB299" s="28">
        <v>0</v>
      </c>
      <c r="AC299" s="31"/>
      <c r="AD299" s="50">
        <f t="shared" si="255"/>
        <v>1</v>
      </c>
      <c r="AE299" s="31"/>
      <c r="AF299" s="51">
        <v>14</v>
      </c>
      <c r="AG299" s="51">
        <f t="shared" si="282"/>
        <v>8.4</v>
      </c>
      <c r="AH299" s="51">
        <f t="shared" si="248"/>
        <v>42</v>
      </c>
      <c r="AI299" s="52" t="s">
        <v>2497</v>
      </c>
      <c r="AJ299" s="52" t="s">
        <v>2498</v>
      </c>
      <c r="AK299" s="53">
        <f t="shared" si="283"/>
        <v>0</v>
      </c>
      <c r="AL299" s="54">
        <f t="shared" si="284"/>
        <v>0.11904761904761904</v>
      </c>
      <c r="AM299" s="54">
        <f t="shared" si="285"/>
        <v>2.3809523809523808E-2</v>
      </c>
      <c r="AN299" s="55">
        <f t="shared" si="286"/>
        <v>0</v>
      </c>
      <c r="AO299" s="55">
        <f t="shared" si="287"/>
        <v>0</v>
      </c>
      <c r="AP299" s="53">
        <v>7.1</v>
      </c>
      <c r="AQ299" s="53">
        <f t="shared" si="256"/>
        <v>4.26</v>
      </c>
      <c r="AR299" s="53">
        <f t="shared" si="257"/>
        <v>21.299999999999997</v>
      </c>
      <c r="AS299" s="56">
        <f t="shared" si="258"/>
        <v>4.6948356807511742E-2</v>
      </c>
      <c r="AT299" s="56">
        <f t="shared" si="288"/>
        <v>0.23474178403755869</v>
      </c>
      <c r="AU299" s="56">
        <f t="shared" si="259"/>
        <v>0.176056338028169</v>
      </c>
      <c r="AV299" s="56">
        <f t="shared" si="289"/>
        <v>5.8685446009389672E-2</v>
      </c>
      <c r="AW299" s="57" t="s">
        <v>2511</v>
      </c>
      <c r="AX299" s="57" t="s">
        <v>2512</v>
      </c>
      <c r="AY299" s="57" t="s">
        <v>2513</v>
      </c>
      <c r="AZ299" s="58">
        <f t="shared" si="290"/>
        <v>0</v>
      </c>
      <c r="BA299" s="59">
        <f t="shared" si="293"/>
        <v>0</v>
      </c>
      <c r="BB299" s="59">
        <f t="shared" si="294"/>
        <v>0</v>
      </c>
      <c r="BC299" s="59">
        <f t="shared" si="295"/>
        <v>0</v>
      </c>
      <c r="BD299" s="60">
        <f t="shared" si="291"/>
        <v>0</v>
      </c>
      <c r="BE299" s="59">
        <f t="shared" si="292"/>
        <v>0</v>
      </c>
      <c r="BQ299" s="61">
        <v>3000</v>
      </c>
      <c r="BR299" s="61">
        <v>1200</v>
      </c>
      <c r="BS299" s="28">
        <f t="shared" si="260"/>
        <v>2980</v>
      </c>
      <c r="BT299" s="28">
        <f t="shared" si="261"/>
        <v>1180</v>
      </c>
      <c r="BU299" s="28" t="s">
        <v>2541</v>
      </c>
      <c r="BV299" s="28">
        <f t="shared" si="262"/>
        <v>5</v>
      </c>
      <c r="BW299" s="28">
        <f t="shared" si="263"/>
        <v>5</v>
      </c>
      <c r="BX299" s="13">
        <f t="shared" si="264"/>
        <v>596</v>
      </c>
      <c r="BY299" s="13">
        <f t="shared" si="265"/>
        <v>596</v>
      </c>
      <c r="BZ299" s="13">
        <f t="shared" si="266"/>
        <v>236</v>
      </c>
      <c r="CA299" s="13">
        <f t="shared" si="267"/>
        <v>236</v>
      </c>
      <c r="CB299" s="13">
        <f t="shared" si="268"/>
        <v>140656</v>
      </c>
      <c r="CC299" s="62" t="str">
        <f t="shared" si="269"/>
        <v/>
      </c>
      <c r="CD299" s="13">
        <f t="shared" si="270"/>
        <v>596</v>
      </c>
      <c r="CE299" s="13">
        <f t="shared" si="271"/>
        <v>596</v>
      </c>
      <c r="CF299" s="13">
        <f t="shared" si="272"/>
        <v>236</v>
      </c>
      <c r="CG299" s="13">
        <f t="shared" si="273"/>
        <v>236</v>
      </c>
      <c r="CH299" s="28">
        <f t="shared" si="274"/>
        <v>140656</v>
      </c>
      <c r="CI299" s="62" t="str">
        <f t="shared" si="275"/>
        <v/>
      </c>
      <c r="CJ299" s="59">
        <f t="shared" si="276"/>
        <v>0</v>
      </c>
      <c r="CL299" s="63">
        <v>6000</v>
      </c>
      <c r="CM299" s="63">
        <f t="shared" si="277"/>
        <v>0</v>
      </c>
      <c r="CN299" s="63">
        <f t="shared" si="278"/>
        <v>5</v>
      </c>
      <c r="CO299" s="63">
        <f t="shared" si="279"/>
        <v>1200</v>
      </c>
      <c r="CP299" s="13">
        <f t="shared" si="280"/>
        <v>1200</v>
      </c>
      <c r="CQ299" s="70">
        <f t="shared" si="281"/>
        <v>8.3333333333333339E-4</v>
      </c>
      <c r="CR299" s="69">
        <f t="shared" si="249"/>
        <v>8.3333333333333339E-4</v>
      </c>
    </row>
    <row r="300" spans="1:96" hidden="1" x14ac:dyDescent="0.25">
      <c r="A300" s="17">
        <v>5</v>
      </c>
      <c r="B300" s="6" t="s">
        <v>856</v>
      </c>
      <c r="C300" s="17" t="s">
        <v>857</v>
      </c>
      <c r="D300" s="17" t="s">
        <v>2270</v>
      </c>
      <c r="E300" s="17" t="s">
        <v>52</v>
      </c>
      <c r="F300" s="7">
        <f t="shared" si="250"/>
        <v>1</v>
      </c>
      <c r="G300" s="17">
        <v>1</v>
      </c>
      <c r="H300" s="17">
        <f>G300*$H$299</f>
        <v>1</v>
      </c>
      <c r="I300" s="17">
        <v>1</v>
      </c>
      <c r="J300" s="6" t="s">
        <v>396</v>
      </c>
      <c r="K300" s="6" t="s">
        <v>34</v>
      </c>
      <c r="L300" s="17">
        <v>0</v>
      </c>
      <c r="M300" s="6" t="s">
        <v>35</v>
      </c>
      <c r="N300" s="17" t="s">
        <v>858</v>
      </c>
      <c r="O300" s="28" t="s">
        <v>41</v>
      </c>
      <c r="P300" s="28" t="s">
        <v>41</v>
      </c>
      <c r="Q300" s="28" t="s">
        <v>116</v>
      </c>
      <c r="R300" s="30">
        <v>3.625</v>
      </c>
      <c r="S300" s="30">
        <v>3</v>
      </c>
      <c r="T300" s="30"/>
      <c r="U300" s="30">
        <v>0.12</v>
      </c>
      <c r="V300" s="8">
        <f t="shared" si="251"/>
        <v>92.074999999999989</v>
      </c>
      <c r="W300" s="8">
        <f t="shared" si="252"/>
        <v>76.199999999999989</v>
      </c>
      <c r="X300" s="8">
        <f t="shared" si="253"/>
        <v>0</v>
      </c>
      <c r="Y300" s="33">
        <f t="shared" si="254"/>
        <v>3.0479999999999996</v>
      </c>
      <c r="Z300" s="28" t="s">
        <v>56</v>
      </c>
      <c r="AA300" s="28" t="s">
        <v>57</v>
      </c>
      <c r="AB300" s="28" t="s">
        <v>116</v>
      </c>
      <c r="AC300" s="31" t="s">
        <v>117</v>
      </c>
      <c r="AD300" s="50">
        <f t="shared" si="255"/>
        <v>1</v>
      </c>
      <c r="AE300" s="31"/>
      <c r="AF300" s="51">
        <v>14</v>
      </c>
      <c r="AG300" s="51">
        <f t="shared" si="282"/>
        <v>8.4</v>
      </c>
      <c r="AH300" s="51">
        <f t="shared" si="248"/>
        <v>42</v>
      </c>
      <c r="AI300" s="52" t="s">
        <v>2497</v>
      </c>
      <c r="AJ300" s="52" t="s">
        <v>2498</v>
      </c>
      <c r="AK300" s="53">
        <f t="shared" si="283"/>
        <v>1.4032229999999996E-2</v>
      </c>
      <c r="AL300" s="54">
        <f t="shared" si="284"/>
        <v>0.11904761904761904</v>
      </c>
      <c r="AM300" s="54">
        <f t="shared" si="285"/>
        <v>2.3809523809523808E-2</v>
      </c>
      <c r="AN300" s="55">
        <f t="shared" si="286"/>
        <v>1.670503571428571E-3</v>
      </c>
      <c r="AO300" s="55">
        <f t="shared" si="287"/>
        <v>3.3410071428571417E-4</v>
      </c>
      <c r="AP300" s="53">
        <v>7.1</v>
      </c>
      <c r="AQ300" s="53">
        <f t="shared" si="256"/>
        <v>4.26</v>
      </c>
      <c r="AR300" s="53">
        <f t="shared" si="257"/>
        <v>21.299999999999997</v>
      </c>
      <c r="AS300" s="56">
        <f t="shared" si="258"/>
        <v>4.6948356807511742E-2</v>
      </c>
      <c r="AT300" s="56">
        <f t="shared" si="288"/>
        <v>0.23474178403755869</v>
      </c>
      <c r="AU300" s="56">
        <f t="shared" si="259"/>
        <v>0.176056338028169</v>
      </c>
      <c r="AV300" s="56">
        <f t="shared" si="289"/>
        <v>5.8685446009389672E-2</v>
      </c>
      <c r="AW300" s="57" t="s">
        <v>2511</v>
      </c>
      <c r="AX300" s="57" t="s">
        <v>2512</v>
      </c>
      <c r="AY300" s="57" t="s">
        <v>2513</v>
      </c>
      <c r="AZ300" s="58">
        <f t="shared" si="290"/>
        <v>1.4032229999999996E-2</v>
      </c>
      <c r="BA300" s="59">
        <f t="shared" si="293"/>
        <v>4.1174383802816889E-4</v>
      </c>
      <c r="BB300" s="59">
        <f t="shared" si="294"/>
        <v>1.2352315140845066E-3</v>
      </c>
      <c r="BC300" s="59">
        <f t="shared" si="295"/>
        <v>3.2939507042253517E-4</v>
      </c>
      <c r="BD300" s="60">
        <f t="shared" si="291"/>
        <v>2.3148148148148147E-3</v>
      </c>
      <c r="BE300" s="59">
        <f t="shared" si="292"/>
        <v>2.3148148148148147E-3</v>
      </c>
      <c r="BQ300" s="61">
        <v>3000</v>
      </c>
      <c r="BR300" s="61">
        <v>1200</v>
      </c>
      <c r="BS300" s="28">
        <f t="shared" si="260"/>
        <v>2980</v>
      </c>
      <c r="BT300" s="28">
        <f t="shared" si="261"/>
        <v>1180</v>
      </c>
      <c r="BU300" s="28" t="s">
        <v>2541</v>
      </c>
      <c r="BV300" s="28">
        <f t="shared" si="262"/>
        <v>97.074999999999989</v>
      </c>
      <c r="BW300" s="28">
        <f t="shared" si="263"/>
        <v>81.199999999999989</v>
      </c>
      <c r="BX300" s="13">
        <f t="shared" si="264"/>
        <v>30.697913984032969</v>
      </c>
      <c r="BY300" s="13">
        <f t="shared" si="265"/>
        <v>30</v>
      </c>
      <c r="BZ300" s="13">
        <f t="shared" si="266"/>
        <v>14.5320197044335</v>
      </c>
      <c r="CA300" s="13">
        <f t="shared" si="267"/>
        <v>14</v>
      </c>
      <c r="CB300" s="13">
        <f t="shared" si="268"/>
        <v>420</v>
      </c>
      <c r="CC300" s="62">
        <f t="shared" si="269"/>
        <v>2.3809523809523812E-3</v>
      </c>
      <c r="CD300" s="13">
        <f t="shared" si="270"/>
        <v>36.699507389162569</v>
      </c>
      <c r="CE300" s="13">
        <f t="shared" si="271"/>
        <v>36</v>
      </c>
      <c r="CF300" s="13">
        <f t="shared" si="272"/>
        <v>12.155549832603658</v>
      </c>
      <c r="CG300" s="13">
        <f t="shared" si="273"/>
        <v>12</v>
      </c>
      <c r="CH300" s="28">
        <f t="shared" si="274"/>
        <v>432</v>
      </c>
      <c r="CI300" s="62">
        <f t="shared" si="275"/>
        <v>2.3148148148148147E-3</v>
      </c>
      <c r="CJ300" s="59">
        <f t="shared" si="276"/>
        <v>2.3148148148148147E-3</v>
      </c>
      <c r="CL300" s="63">
        <v>6000</v>
      </c>
      <c r="CM300" s="63">
        <f t="shared" si="277"/>
        <v>92.074999999999989</v>
      </c>
      <c r="CN300" s="63">
        <f t="shared" si="278"/>
        <v>97.074999999999989</v>
      </c>
      <c r="CO300" s="63">
        <f t="shared" si="279"/>
        <v>61.807880504764363</v>
      </c>
      <c r="CP300" s="13">
        <f t="shared" si="280"/>
        <v>61</v>
      </c>
      <c r="CQ300" s="70">
        <f t="shared" si="281"/>
        <v>1.6393442622950821E-2</v>
      </c>
      <c r="CR300" s="69">
        <f t="shared" si="249"/>
        <v>1.6393442622950821E-2</v>
      </c>
    </row>
    <row r="301" spans="1:96" hidden="1" x14ac:dyDescent="0.25">
      <c r="A301" s="17">
        <v>5</v>
      </c>
      <c r="B301" s="6" t="s">
        <v>856</v>
      </c>
      <c r="C301" s="17" t="s">
        <v>859</v>
      </c>
      <c r="D301" s="17" t="s">
        <v>861</v>
      </c>
      <c r="E301" s="17" t="s">
        <v>52</v>
      </c>
      <c r="F301" s="7">
        <f t="shared" si="250"/>
        <v>3</v>
      </c>
      <c r="G301" s="17">
        <v>2</v>
      </c>
      <c r="H301" s="17">
        <f>G301*$H$299</f>
        <v>2</v>
      </c>
      <c r="I301" s="17">
        <v>2</v>
      </c>
      <c r="J301" s="6" t="s">
        <v>860</v>
      </c>
      <c r="K301" s="6" t="s">
        <v>34</v>
      </c>
      <c r="L301" s="17" t="s">
        <v>223</v>
      </c>
      <c r="M301" s="6" t="s">
        <v>340</v>
      </c>
      <c r="N301" s="17" t="s">
        <v>861</v>
      </c>
      <c r="O301" s="28" t="s">
        <v>41</v>
      </c>
      <c r="P301" s="28" t="s">
        <v>41</v>
      </c>
      <c r="Q301" s="28" t="s">
        <v>861</v>
      </c>
      <c r="R301" s="30"/>
      <c r="S301" s="30"/>
      <c r="T301" s="30"/>
      <c r="U301" s="30"/>
      <c r="V301" s="8">
        <f t="shared" si="251"/>
        <v>0</v>
      </c>
      <c r="W301" s="8">
        <f t="shared" si="252"/>
        <v>0</v>
      </c>
      <c r="X301" s="8">
        <f t="shared" si="253"/>
        <v>0</v>
      </c>
      <c r="Y301" s="33">
        <f t="shared" si="254"/>
        <v>0</v>
      </c>
      <c r="Z301" s="28"/>
      <c r="AA301" s="28"/>
      <c r="AB301" s="61" t="s">
        <v>861</v>
      </c>
      <c r="AC301" s="31" t="s">
        <v>862</v>
      </c>
      <c r="AD301" s="50">
        <f t="shared" si="255"/>
        <v>2</v>
      </c>
      <c r="AE301" s="31"/>
      <c r="AF301" s="51">
        <v>14</v>
      </c>
      <c r="AG301" s="51">
        <f t="shared" si="282"/>
        <v>8.4</v>
      </c>
      <c r="AH301" s="51">
        <f t="shared" si="248"/>
        <v>42</v>
      </c>
      <c r="AI301" s="52" t="s">
        <v>2497</v>
      </c>
      <c r="AJ301" s="52" t="s">
        <v>2498</v>
      </c>
      <c r="AK301" s="53">
        <f t="shared" si="283"/>
        <v>0</v>
      </c>
      <c r="AL301" s="54">
        <f t="shared" si="284"/>
        <v>0.11904761904761904</v>
      </c>
      <c r="AM301" s="54">
        <f t="shared" si="285"/>
        <v>2.3809523809523808E-2</v>
      </c>
      <c r="AN301" s="55">
        <f t="shared" si="286"/>
        <v>0</v>
      </c>
      <c r="AO301" s="55">
        <f t="shared" si="287"/>
        <v>0</v>
      </c>
      <c r="AP301" s="53">
        <v>7.1</v>
      </c>
      <c r="AQ301" s="53">
        <f t="shared" si="256"/>
        <v>4.26</v>
      </c>
      <c r="AR301" s="53">
        <f t="shared" si="257"/>
        <v>21.299999999999997</v>
      </c>
      <c r="AS301" s="56">
        <f t="shared" si="258"/>
        <v>4.6948356807511742E-2</v>
      </c>
      <c r="AT301" s="56">
        <f t="shared" si="288"/>
        <v>0.23474178403755869</v>
      </c>
      <c r="AU301" s="56">
        <f t="shared" si="259"/>
        <v>0.176056338028169</v>
      </c>
      <c r="AV301" s="56">
        <f t="shared" si="289"/>
        <v>5.8685446009389672E-2</v>
      </c>
      <c r="AW301" s="57" t="s">
        <v>2511</v>
      </c>
      <c r="AX301" s="57" t="s">
        <v>2512</v>
      </c>
      <c r="AY301" s="57" t="s">
        <v>2513</v>
      </c>
      <c r="AZ301" s="58">
        <f t="shared" si="290"/>
        <v>0</v>
      </c>
      <c r="BA301" s="59">
        <f t="shared" si="293"/>
        <v>0</v>
      </c>
      <c r="BB301" s="59">
        <f t="shared" si="294"/>
        <v>0</v>
      </c>
      <c r="BC301" s="59">
        <f t="shared" si="295"/>
        <v>0</v>
      </c>
      <c r="BD301" s="60">
        <f t="shared" si="291"/>
        <v>7.1095438516664771E-6</v>
      </c>
      <c r="BE301" s="59">
        <f t="shared" si="292"/>
        <v>1.4219087703332954E-5</v>
      </c>
      <c r="BQ301" s="61">
        <v>3000</v>
      </c>
      <c r="BR301" s="61">
        <v>1200</v>
      </c>
      <c r="BS301" s="28">
        <f t="shared" si="260"/>
        <v>2980</v>
      </c>
      <c r="BT301" s="28">
        <f t="shared" si="261"/>
        <v>1180</v>
      </c>
      <c r="BU301" s="28" t="s">
        <v>2541</v>
      </c>
      <c r="BV301" s="28">
        <f t="shared" si="262"/>
        <v>5</v>
      </c>
      <c r="BW301" s="28">
        <f t="shared" si="263"/>
        <v>5</v>
      </c>
      <c r="BX301" s="13">
        <f t="shared" si="264"/>
        <v>596</v>
      </c>
      <c r="BY301" s="13">
        <f t="shared" si="265"/>
        <v>596</v>
      </c>
      <c r="BZ301" s="13">
        <f t="shared" si="266"/>
        <v>236</v>
      </c>
      <c r="CA301" s="13">
        <f t="shared" si="267"/>
        <v>236</v>
      </c>
      <c r="CB301" s="13">
        <f t="shared" si="268"/>
        <v>140656</v>
      </c>
      <c r="CC301" s="62">
        <f t="shared" si="269"/>
        <v>7.1095438516664771E-6</v>
      </c>
      <c r="CD301" s="13">
        <f t="shared" si="270"/>
        <v>596</v>
      </c>
      <c r="CE301" s="13">
        <f t="shared" si="271"/>
        <v>596</v>
      </c>
      <c r="CF301" s="13">
        <f t="shared" si="272"/>
        <v>236</v>
      </c>
      <c r="CG301" s="13">
        <f t="shared" si="273"/>
        <v>236</v>
      </c>
      <c r="CH301" s="28">
        <f t="shared" si="274"/>
        <v>140656</v>
      </c>
      <c r="CI301" s="62">
        <f t="shared" si="275"/>
        <v>7.1095438516664771E-6</v>
      </c>
      <c r="CJ301" s="59">
        <f t="shared" si="276"/>
        <v>7.1095438516664771E-6</v>
      </c>
      <c r="CL301" s="63">
        <v>6000</v>
      </c>
      <c r="CM301" s="63">
        <f t="shared" si="277"/>
        <v>0</v>
      </c>
      <c r="CN301" s="63">
        <f t="shared" si="278"/>
        <v>5</v>
      </c>
      <c r="CO301" s="63">
        <f t="shared" si="279"/>
        <v>1200</v>
      </c>
      <c r="CP301" s="13">
        <f t="shared" si="280"/>
        <v>1200</v>
      </c>
      <c r="CQ301" s="70">
        <f t="shared" si="281"/>
        <v>8.3333333333333339E-4</v>
      </c>
      <c r="CR301" s="69">
        <f t="shared" si="249"/>
        <v>1.6666666666666668E-3</v>
      </c>
    </row>
    <row r="302" spans="1:96" hidden="1" x14ac:dyDescent="0.25">
      <c r="A302" s="13">
        <v>4</v>
      </c>
      <c r="B302" s="14" t="s">
        <v>843</v>
      </c>
      <c r="C302" s="13" t="s">
        <v>94</v>
      </c>
      <c r="D302" s="13" t="s">
        <v>95</v>
      </c>
      <c r="E302" s="13" t="s">
        <v>52</v>
      </c>
      <c r="F302" s="15">
        <f t="shared" si="250"/>
        <v>13</v>
      </c>
      <c r="G302" s="13">
        <v>2</v>
      </c>
      <c r="H302" s="13">
        <f t="shared" ref="H302:H308" si="299">G302*$H$294</f>
        <v>2</v>
      </c>
      <c r="I302" s="13">
        <v>4</v>
      </c>
      <c r="J302" s="14" t="s">
        <v>76</v>
      </c>
      <c r="K302" s="14" t="s">
        <v>34</v>
      </c>
      <c r="L302" s="13" t="s">
        <v>77</v>
      </c>
      <c r="M302" s="14" t="s">
        <v>35</v>
      </c>
      <c r="N302" s="13" t="s">
        <v>95</v>
      </c>
      <c r="O302" s="28" t="s">
        <v>41</v>
      </c>
      <c r="P302" s="28" t="s">
        <v>41</v>
      </c>
      <c r="Q302" s="28" t="s">
        <v>79</v>
      </c>
      <c r="R302" s="30">
        <v>7.0078740157480315</v>
      </c>
      <c r="S302" s="30">
        <v>0.3125</v>
      </c>
      <c r="T302" s="30"/>
      <c r="U302" s="30">
        <v>0.3125</v>
      </c>
      <c r="V302" s="8">
        <f t="shared" si="251"/>
        <v>178</v>
      </c>
      <c r="W302" s="8">
        <f t="shared" si="252"/>
        <v>7.9375</v>
      </c>
      <c r="X302" s="8">
        <f t="shared" si="253"/>
        <v>0</v>
      </c>
      <c r="Y302" s="33">
        <f t="shared" si="254"/>
        <v>7.9375</v>
      </c>
      <c r="Z302" s="28" t="s">
        <v>80</v>
      </c>
      <c r="AA302" s="28" t="s">
        <v>81</v>
      </c>
      <c r="AB302" s="61" t="s">
        <v>79</v>
      </c>
      <c r="AC302" s="31" t="s">
        <v>82</v>
      </c>
      <c r="AD302" s="50">
        <f t="shared" si="255"/>
        <v>2</v>
      </c>
      <c r="AE302" s="31"/>
      <c r="AF302" s="51">
        <v>14</v>
      </c>
      <c r="AG302" s="51">
        <f t="shared" si="282"/>
        <v>8.4</v>
      </c>
      <c r="AH302" s="51">
        <f t="shared" si="248"/>
        <v>42</v>
      </c>
      <c r="AI302" s="52" t="s">
        <v>2497</v>
      </c>
      <c r="AJ302" s="52" t="s">
        <v>2498</v>
      </c>
      <c r="AK302" s="53">
        <f t="shared" si="283"/>
        <v>2.8257500000000001E-3</v>
      </c>
      <c r="AL302" s="54">
        <f t="shared" si="284"/>
        <v>0.11904761904761904</v>
      </c>
      <c r="AM302" s="54">
        <f t="shared" si="285"/>
        <v>2.3809523809523808E-2</v>
      </c>
      <c r="AN302" s="55">
        <f t="shared" si="286"/>
        <v>6.7279761904761909E-4</v>
      </c>
      <c r="AO302" s="55">
        <f t="shared" si="287"/>
        <v>1.345595238095238E-4</v>
      </c>
      <c r="AP302" s="53">
        <v>7.1</v>
      </c>
      <c r="AQ302" s="53">
        <f t="shared" si="256"/>
        <v>4.26</v>
      </c>
      <c r="AR302" s="53">
        <f t="shared" si="257"/>
        <v>21.299999999999997</v>
      </c>
      <c r="AS302" s="56">
        <f t="shared" si="258"/>
        <v>4.6948356807511742E-2</v>
      </c>
      <c r="AT302" s="56">
        <f t="shared" si="288"/>
        <v>0.23474178403755869</v>
      </c>
      <c r="AU302" s="56">
        <f t="shared" si="259"/>
        <v>0.176056338028169</v>
      </c>
      <c r="AV302" s="56">
        <f t="shared" si="289"/>
        <v>5.8685446009389672E-2</v>
      </c>
      <c r="AW302" s="57" t="s">
        <v>2511</v>
      </c>
      <c r="AX302" s="57" t="s">
        <v>2512</v>
      </c>
      <c r="AY302" s="57" t="s">
        <v>2513</v>
      </c>
      <c r="AZ302" s="58">
        <f t="shared" si="290"/>
        <v>2.8257500000000001E-3</v>
      </c>
      <c r="BA302" s="59">
        <f t="shared" si="293"/>
        <v>1.6583039906103287E-4</v>
      </c>
      <c r="BB302" s="59">
        <f t="shared" si="294"/>
        <v>4.974911971830986E-4</v>
      </c>
      <c r="BC302" s="59">
        <f t="shared" si="295"/>
        <v>1.326643192488263E-4</v>
      </c>
      <c r="BD302" s="60">
        <f t="shared" si="291"/>
        <v>6.8681318681318687E-4</v>
      </c>
      <c r="BE302" s="59">
        <f t="shared" si="292"/>
        <v>1.3736263736263737E-3</v>
      </c>
      <c r="BQ302" s="61">
        <v>3000</v>
      </c>
      <c r="BR302" s="61">
        <v>1200</v>
      </c>
      <c r="BS302" s="28">
        <f t="shared" si="260"/>
        <v>2980</v>
      </c>
      <c r="BT302" s="28">
        <f t="shared" si="261"/>
        <v>1180</v>
      </c>
      <c r="BU302" s="28" t="s">
        <v>2541</v>
      </c>
      <c r="BV302" s="28">
        <f t="shared" si="262"/>
        <v>183</v>
      </c>
      <c r="BW302" s="28">
        <f t="shared" si="263"/>
        <v>12.9375</v>
      </c>
      <c r="BX302" s="13">
        <f t="shared" si="264"/>
        <v>16.284153005464482</v>
      </c>
      <c r="BY302" s="13">
        <f t="shared" si="265"/>
        <v>16</v>
      </c>
      <c r="BZ302" s="13">
        <f t="shared" si="266"/>
        <v>91.207729468599027</v>
      </c>
      <c r="CA302" s="13">
        <f t="shared" si="267"/>
        <v>91</v>
      </c>
      <c r="CB302" s="13">
        <f t="shared" si="268"/>
        <v>1456</v>
      </c>
      <c r="CC302" s="62">
        <f t="shared" si="269"/>
        <v>6.8681318681318687E-4</v>
      </c>
      <c r="CD302" s="13">
        <f t="shared" si="270"/>
        <v>230.33816425120773</v>
      </c>
      <c r="CE302" s="13">
        <f t="shared" si="271"/>
        <v>230</v>
      </c>
      <c r="CF302" s="13">
        <f t="shared" si="272"/>
        <v>6.4480874316939891</v>
      </c>
      <c r="CG302" s="13">
        <f t="shared" si="273"/>
        <v>6</v>
      </c>
      <c r="CH302" s="28">
        <f t="shared" si="274"/>
        <v>1380</v>
      </c>
      <c r="CI302" s="62">
        <f t="shared" si="275"/>
        <v>7.246376811594203E-4</v>
      </c>
      <c r="CJ302" s="59">
        <f t="shared" si="276"/>
        <v>6.8681318681318687E-4</v>
      </c>
      <c r="CL302" s="63">
        <v>6000</v>
      </c>
      <c r="CM302" s="63">
        <f t="shared" si="277"/>
        <v>178</v>
      </c>
      <c r="CN302" s="63">
        <f t="shared" si="278"/>
        <v>183</v>
      </c>
      <c r="CO302" s="63">
        <f t="shared" si="279"/>
        <v>32.786885245901637</v>
      </c>
      <c r="CP302" s="13">
        <f t="shared" si="280"/>
        <v>32</v>
      </c>
      <c r="CQ302" s="70">
        <f t="shared" si="281"/>
        <v>3.125E-2</v>
      </c>
      <c r="CR302" s="69">
        <f t="shared" si="249"/>
        <v>6.25E-2</v>
      </c>
    </row>
    <row r="303" spans="1:96" hidden="1" x14ac:dyDescent="0.25">
      <c r="A303" s="13">
        <v>4</v>
      </c>
      <c r="B303" s="14" t="s">
        <v>843</v>
      </c>
      <c r="C303" s="13" t="s">
        <v>96</v>
      </c>
      <c r="D303" s="13" t="s">
        <v>2270</v>
      </c>
      <c r="E303" s="13" t="s">
        <v>52</v>
      </c>
      <c r="F303" s="15">
        <f t="shared" si="250"/>
        <v>2</v>
      </c>
      <c r="G303" s="13">
        <v>1</v>
      </c>
      <c r="H303" s="13">
        <f t="shared" si="299"/>
        <v>1</v>
      </c>
      <c r="I303" s="13">
        <v>5</v>
      </c>
      <c r="J303" s="14" t="s">
        <v>97</v>
      </c>
      <c r="K303" s="14" t="s">
        <v>34</v>
      </c>
      <c r="L303" s="13" t="s">
        <v>98</v>
      </c>
      <c r="M303" s="14" t="s">
        <v>35</v>
      </c>
      <c r="N303" s="13" t="s">
        <v>99</v>
      </c>
      <c r="O303" s="28" t="s">
        <v>41</v>
      </c>
      <c r="P303" s="28" t="s">
        <v>41</v>
      </c>
      <c r="Q303" s="28" t="s">
        <v>79</v>
      </c>
      <c r="R303" s="30">
        <v>24.960629921259844</v>
      </c>
      <c r="S303" s="30">
        <v>0.3125</v>
      </c>
      <c r="T303" s="30"/>
      <c r="U303" s="30">
        <v>0.3125</v>
      </c>
      <c r="V303" s="8">
        <f t="shared" si="251"/>
        <v>634</v>
      </c>
      <c r="W303" s="8">
        <f t="shared" si="252"/>
        <v>7.9375</v>
      </c>
      <c r="X303" s="8">
        <f t="shared" si="253"/>
        <v>0</v>
      </c>
      <c r="Y303" s="33">
        <f t="shared" si="254"/>
        <v>7.9375</v>
      </c>
      <c r="Z303" s="28" t="s">
        <v>80</v>
      </c>
      <c r="AA303" s="28" t="s">
        <v>81</v>
      </c>
      <c r="AB303" s="61" t="s">
        <v>79</v>
      </c>
      <c r="AC303" s="31" t="s">
        <v>82</v>
      </c>
      <c r="AD303" s="50">
        <f t="shared" si="255"/>
        <v>1</v>
      </c>
      <c r="AE303" s="31"/>
      <c r="AF303" s="51">
        <v>14</v>
      </c>
      <c r="AG303" s="51">
        <f t="shared" si="282"/>
        <v>8.4</v>
      </c>
      <c r="AH303" s="51">
        <f t="shared" si="248"/>
        <v>42</v>
      </c>
      <c r="AI303" s="52" t="s">
        <v>2497</v>
      </c>
      <c r="AJ303" s="52" t="s">
        <v>2498</v>
      </c>
      <c r="AK303" s="53">
        <f t="shared" si="283"/>
        <v>1.0064750000000001E-2</v>
      </c>
      <c r="AL303" s="54">
        <f t="shared" si="284"/>
        <v>0.11904761904761904</v>
      </c>
      <c r="AM303" s="54">
        <f t="shared" si="285"/>
        <v>2.3809523809523808E-2</v>
      </c>
      <c r="AN303" s="55">
        <f t="shared" si="286"/>
        <v>1.1981845238095239E-3</v>
      </c>
      <c r="AO303" s="55">
        <f t="shared" si="287"/>
        <v>2.3963690476190477E-4</v>
      </c>
      <c r="AP303" s="53">
        <v>7.1</v>
      </c>
      <c r="AQ303" s="53">
        <f t="shared" si="256"/>
        <v>4.26</v>
      </c>
      <c r="AR303" s="53">
        <f t="shared" si="257"/>
        <v>21.299999999999997</v>
      </c>
      <c r="AS303" s="56">
        <f t="shared" si="258"/>
        <v>4.6948356807511742E-2</v>
      </c>
      <c r="AT303" s="56">
        <f t="shared" si="288"/>
        <v>0.23474178403755869</v>
      </c>
      <c r="AU303" s="56">
        <f t="shared" si="259"/>
        <v>0.176056338028169</v>
      </c>
      <c r="AV303" s="56">
        <f t="shared" si="289"/>
        <v>5.8685446009389672E-2</v>
      </c>
      <c r="AW303" s="57" t="s">
        <v>2511</v>
      </c>
      <c r="AX303" s="57" t="s">
        <v>2512</v>
      </c>
      <c r="AY303" s="57" t="s">
        <v>2513</v>
      </c>
      <c r="AZ303" s="58">
        <f t="shared" si="290"/>
        <v>1.0064750000000001E-2</v>
      </c>
      <c r="BA303" s="59">
        <f t="shared" si="293"/>
        <v>2.9532717136150237E-4</v>
      </c>
      <c r="BB303" s="59">
        <f t="shared" si="294"/>
        <v>8.8598151408450705E-4</v>
      </c>
      <c r="BC303" s="59">
        <f t="shared" si="295"/>
        <v>2.3626173708920191E-4</v>
      </c>
      <c r="BD303" s="60">
        <f t="shared" si="291"/>
        <v>2.7472527472527475E-3</v>
      </c>
      <c r="BE303" s="59">
        <f t="shared" si="292"/>
        <v>2.7472527472527475E-3</v>
      </c>
      <c r="BQ303" s="61">
        <v>3000</v>
      </c>
      <c r="BR303" s="61">
        <v>1200</v>
      </c>
      <c r="BS303" s="28">
        <f t="shared" si="260"/>
        <v>2980</v>
      </c>
      <c r="BT303" s="28">
        <f t="shared" si="261"/>
        <v>1180</v>
      </c>
      <c r="BU303" s="28" t="s">
        <v>2541</v>
      </c>
      <c r="BV303" s="28">
        <f t="shared" si="262"/>
        <v>639</v>
      </c>
      <c r="BW303" s="28">
        <f t="shared" si="263"/>
        <v>12.9375</v>
      </c>
      <c r="BX303" s="13">
        <f t="shared" si="264"/>
        <v>4.6635367762128324</v>
      </c>
      <c r="BY303" s="13">
        <f t="shared" si="265"/>
        <v>4</v>
      </c>
      <c r="BZ303" s="13">
        <f t="shared" si="266"/>
        <v>91.207729468599027</v>
      </c>
      <c r="CA303" s="13">
        <f t="shared" si="267"/>
        <v>91</v>
      </c>
      <c r="CB303" s="13">
        <f t="shared" si="268"/>
        <v>364</v>
      </c>
      <c r="CC303" s="62">
        <f t="shared" si="269"/>
        <v>2.7472527472527475E-3</v>
      </c>
      <c r="CD303" s="13">
        <f t="shared" si="270"/>
        <v>230.33816425120773</v>
      </c>
      <c r="CE303" s="13">
        <f t="shared" si="271"/>
        <v>230</v>
      </c>
      <c r="CF303" s="13">
        <f t="shared" si="272"/>
        <v>1.8466353677621283</v>
      </c>
      <c r="CG303" s="13">
        <f t="shared" si="273"/>
        <v>1</v>
      </c>
      <c r="CH303" s="28">
        <f t="shared" si="274"/>
        <v>230</v>
      </c>
      <c r="CI303" s="62">
        <f t="shared" si="275"/>
        <v>4.3478260869565218E-3</v>
      </c>
      <c r="CJ303" s="59">
        <f t="shared" si="276"/>
        <v>2.7472527472527475E-3</v>
      </c>
      <c r="CL303" s="63">
        <v>6000</v>
      </c>
      <c r="CM303" s="63">
        <f t="shared" si="277"/>
        <v>634</v>
      </c>
      <c r="CN303" s="63">
        <f t="shared" si="278"/>
        <v>639</v>
      </c>
      <c r="CO303" s="63">
        <f t="shared" si="279"/>
        <v>9.3896713615023479</v>
      </c>
      <c r="CP303" s="13">
        <f t="shared" si="280"/>
        <v>9</v>
      </c>
      <c r="CQ303" s="70">
        <f t="shared" si="281"/>
        <v>0.1111111111111111</v>
      </c>
      <c r="CR303" s="69">
        <f t="shared" si="249"/>
        <v>0.1111111111111111</v>
      </c>
    </row>
    <row r="304" spans="1:96" hidden="1" x14ac:dyDescent="0.25">
      <c r="A304" s="13">
        <v>4</v>
      </c>
      <c r="B304" s="14" t="s">
        <v>843</v>
      </c>
      <c r="C304" s="13" t="s">
        <v>229</v>
      </c>
      <c r="D304" s="13" t="s">
        <v>231</v>
      </c>
      <c r="E304" s="13" t="s">
        <v>52</v>
      </c>
      <c r="F304" s="15">
        <f t="shared" si="250"/>
        <v>4</v>
      </c>
      <c r="G304" s="13">
        <v>1</v>
      </c>
      <c r="H304" s="13">
        <f t="shared" si="299"/>
        <v>1</v>
      </c>
      <c r="I304" s="13">
        <v>6</v>
      </c>
      <c r="J304" s="14" t="s">
        <v>230</v>
      </c>
      <c r="K304" s="14" t="s">
        <v>34</v>
      </c>
      <c r="L304" s="13" t="s">
        <v>89</v>
      </c>
      <c r="M304" s="14" t="s">
        <v>35</v>
      </c>
      <c r="N304" s="13" t="s">
        <v>231</v>
      </c>
      <c r="O304" s="28" t="s">
        <v>41</v>
      </c>
      <c r="P304" s="28" t="s">
        <v>41</v>
      </c>
      <c r="Q304" s="28" t="s">
        <v>79</v>
      </c>
      <c r="R304" s="30">
        <v>12.027559055118111</v>
      </c>
      <c r="S304" s="30">
        <v>0.3125</v>
      </c>
      <c r="T304" s="30"/>
      <c r="U304" s="30">
        <v>0.3125</v>
      </c>
      <c r="V304" s="8">
        <f t="shared" si="251"/>
        <v>305.5</v>
      </c>
      <c r="W304" s="8">
        <f t="shared" si="252"/>
        <v>7.9375</v>
      </c>
      <c r="X304" s="8">
        <f t="shared" si="253"/>
        <v>0</v>
      </c>
      <c r="Y304" s="33">
        <f t="shared" si="254"/>
        <v>7.9375</v>
      </c>
      <c r="Z304" s="28" t="s">
        <v>80</v>
      </c>
      <c r="AA304" s="28" t="s">
        <v>81</v>
      </c>
      <c r="AB304" s="61" t="s">
        <v>79</v>
      </c>
      <c r="AC304" s="31" t="s">
        <v>82</v>
      </c>
      <c r="AD304" s="50">
        <f t="shared" si="255"/>
        <v>1</v>
      </c>
      <c r="AE304" s="31"/>
      <c r="AF304" s="51">
        <v>14</v>
      </c>
      <c r="AG304" s="51">
        <f t="shared" si="282"/>
        <v>8.4</v>
      </c>
      <c r="AH304" s="51">
        <f t="shared" si="248"/>
        <v>42</v>
      </c>
      <c r="AI304" s="52" t="s">
        <v>2497</v>
      </c>
      <c r="AJ304" s="52" t="s">
        <v>2498</v>
      </c>
      <c r="AK304" s="53">
        <f t="shared" si="283"/>
        <v>4.8498125E-3</v>
      </c>
      <c r="AL304" s="54">
        <f t="shared" si="284"/>
        <v>0.11904761904761904</v>
      </c>
      <c r="AM304" s="54">
        <f t="shared" si="285"/>
        <v>2.3809523809523808E-2</v>
      </c>
      <c r="AN304" s="55">
        <f t="shared" si="286"/>
        <v>5.7735863095238087E-4</v>
      </c>
      <c r="AO304" s="55">
        <f t="shared" si="287"/>
        <v>1.1547172619047618E-4</v>
      </c>
      <c r="AP304" s="53">
        <v>7.1</v>
      </c>
      <c r="AQ304" s="53">
        <f t="shared" si="256"/>
        <v>4.26</v>
      </c>
      <c r="AR304" s="53">
        <f t="shared" si="257"/>
        <v>21.299999999999997</v>
      </c>
      <c r="AS304" s="56">
        <f t="shared" si="258"/>
        <v>4.6948356807511742E-2</v>
      </c>
      <c r="AT304" s="56">
        <f t="shared" si="288"/>
        <v>0.23474178403755869</v>
      </c>
      <c r="AU304" s="56">
        <f t="shared" si="259"/>
        <v>0.176056338028169</v>
      </c>
      <c r="AV304" s="56">
        <f t="shared" si="289"/>
        <v>5.8685446009389672E-2</v>
      </c>
      <c r="AW304" s="57" t="s">
        <v>2511</v>
      </c>
      <c r="AX304" s="57" t="s">
        <v>2512</v>
      </c>
      <c r="AY304" s="57" t="s">
        <v>2513</v>
      </c>
      <c r="AZ304" s="58">
        <f t="shared" si="290"/>
        <v>4.8498125E-3</v>
      </c>
      <c r="BA304" s="59">
        <f t="shared" si="293"/>
        <v>1.4230670481220657E-4</v>
      </c>
      <c r="BB304" s="59">
        <f t="shared" si="294"/>
        <v>4.269201144366197E-4</v>
      </c>
      <c r="BC304" s="59">
        <f t="shared" si="295"/>
        <v>1.1384536384976526E-4</v>
      </c>
      <c r="BD304" s="60">
        <f t="shared" si="291"/>
        <v>1.221001221001221E-3</v>
      </c>
      <c r="BE304" s="59">
        <f t="shared" si="292"/>
        <v>1.221001221001221E-3</v>
      </c>
      <c r="BQ304" s="61">
        <v>3000</v>
      </c>
      <c r="BR304" s="61">
        <v>1200</v>
      </c>
      <c r="BS304" s="28">
        <f t="shared" si="260"/>
        <v>2980</v>
      </c>
      <c r="BT304" s="28">
        <f t="shared" si="261"/>
        <v>1180</v>
      </c>
      <c r="BU304" s="28" t="s">
        <v>2541</v>
      </c>
      <c r="BV304" s="28">
        <f t="shared" si="262"/>
        <v>310.5</v>
      </c>
      <c r="BW304" s="28">
        <f t="shared" si="263"/>
        <v>12.9375</v>
      </c>
      <c r="BX304" s="13">
        <f t="shared" si="264"/>
        <v>9.5974235104669887</v>
      </c>
      <c r="BY304" s="13">
        <f t="shared" si="265"/>
        <v>9</v>
      </c>
      <c r="BZ304" s="13">
        <f t="shared" si="266"/>
        <v>91.207729468599027</v>
      </c>
      <c r="CA304" s="13">
        <f t="shared" si="267"/>
        <v>91</v>
      </c>
      <c r="CB304" s="13">
        <f t="shared" si="268"/>
        <v>819</v>
      </c>
      <c r="CC304" s="62">
        <f t="shared" si="269"/>
        <v>1.221001221001221E-3</v>
      </c>
      <c r="CD304" s="13">
        <f t="shared" si="270"/>
        <v>230.33816425120773</v>
      </c>
      <c r="CE304" s="13">
        <f t="shared" si="271"/>
        <v>230</v>
      </c>
      <c r="CF304" s="13">
        <f t="shared" si="272"/>
        <v>3.8003220611916264</v>
      </c>
      <c r="CG304" s="13">
        <f t="shared" si="273"/>
        <v>3</v>
      </c>
      <c r="CH304" s="28">
        <f t="shared" si="274"/>
        <v>690</v>
      </c>
      <c r="CI304" s="62">
        <f t="shared" si="275"/>
        <v>1.4492753623188406E-3</v>
      </c>
      <c r="CJ304" s="59">
        <f t="shared" si="276"/>
        <v>1.221001221001221E-3</v>
      </c>
      <c r="CL304" s="63">
        <v>6000</v>
      </c>
      <c r="CM304" s="63">
        <f t="shared" si="277"/>
        <v>305.5</v>
      </c>
      <c r="CN304" s="63">
        <f t="shared" si="278"/>
        <v>310.5</v>
      </c>
      <c r="CO304" s="63">
        <f t="shared" si="279"/>
        <v>19.323671497584542</v>
      </c>
      <c r="CP304" s="13">
        <f t="shared" si="280"/>
        <v>19</v>
      </c>
      <c r="CQ304" s="70">
        <f t="shared" si="281"/>
        <v>5.2631578947368418E-2</v>
      </c>
      <c r="CR304" s="69">
        <f t="shared" si="249"/>
        <v>5.2631578947368418E-2</v>
      </c>
    </row>
    <row r="305" spans="1:96" hidden="1" x14ac:dyDescent="0.25">
      <c r="A305" s="13">
        <v>4</v>
      </c>
      <c r="B305" s="14" t="s">
        <v>843</v>
      </c>
      <c r="C305" s="13" t="s">
        <v>586</v>
      </c>
      <c r="D305" s="13" t="s">
        <v>588</v>
      </c>
      <c r="E305" s="13" t="s">
        <v>52</v>
      </c>
      <c r="F305" s="15">
        <f t="shared" si="250"/>
        <v>4</v>
      </c>
      <c r="G305" s="13">
        <v>2</v>
      </c>
      <c r="H305" s="13">
        <f t="shared" si="299"/>
        <v>2</v>
      </c>
      <c r="I305" s="13">
        <v>7</v>
      </c>
      <c r="J305" s="14" t="s">
        <v>587</v>
      </c>
      <c r="K305" s="14" t="s">
        <v>34</v>
      </c>
      <c r="L305" s="13" t="s">
        <v>89</v>
      </c>
      <c r="M305" s="14" t="s">
        <v>35</v>
      </c>
      <c r="N305" s="13" t="s">
        <v>588</v>
      </c>
      <c r="O305" s="28" t="s">
        <v>41</v>
      </c>
      <c r="P305" s="28" t="s">
        <v>41</v>
      </c>
      <c r="Q305" s="28" t="s">
        <v>79</v>
      </c>
      <c r="R305" s="30">
        <v>3.9763779527559056</v>
      </c>
      <c r="S305" s="30">
        <v>0.3125</v>
      </c>
      <c r="T305" s="30"/>
      <c r="U305" s="30">
        <v>0.3125</v>
      </c>
      <c r="V305" s="8">
        <f t="shared" si="251"/>
        <v>101</v>
      </c>
      <c r="W305" s="8">
        <f t="shared" si="252"/>
        <v>7.9375</v>
      </c>
      <c r="X305" s="8">
        <f t="shared" si="253"/>
        <v>0</v>
      </c>
      <c r="Y305" s="33">
        <f t="shared" si="254"/>
        <v>7.9375</v>
      </c>
      <c r="Z305" s="28" t="s">
        <v>80</v>
      </c>
      <c r="AA305" s="28" t="s">
        <v>81</v>
      </c>
      <c r="AB305" s="61" t="s">
        <v>79</v>
      </c>
      <c r="AC305" s="31" t="s">
        <v>82</v>
      </c>
      <c r="AD305" s="50">
        <f t="shared" si="255"/>
        <v>2</v>
      </c>
      <c r="AE305" s="31"/>
      <c r="AF305" s="51">
        <v>14</v>
      </c>
      <c r="AG305" s="51">
        <f t="shared" si="282"/>
        <v>8.4</v>
      </c>
      <c r="AH305" s="51">
        <f t="shared" si="248"/>
        <v>42</v>
      </c>
      <c r="AI305" s="52" t="s">
        <v>2497</v>
      </c>
      <c r="AJ305" s="52" t="s">
        <v>2498</v>
      </c>
      <c r="AK305" s="53">
        <f t="shared" si="283"/>
        <v>1.603375E-3</v>
      </c>
      <c r="AL305" s="54">
        <f t="shared" si="284"/>
        <v>0.11904761904761904</v>
      </c>
      <c r="AM305" s="54">
        <f t="shared" si="285"/>
        <v>2.3809523809523808E-2</v>
      </c>
      <c r="AN305" s="55">
        <f t="shared" si="286"/>
        <v>3.8175595238095237E-4</v>
      </c>
      <c r="AO305" s="55">
        <f t="shared" si="287"/>
        <v>7.6351190476190472E-5</v>
      </c>
      <c r="AP305" s="53">
        <v>7.1</v>
      </c>
      <c r="AQ305" s="53">
        <f t="shared" si="256"/>
        <v>4.26</v>
      </c>
      <c r="AR305" s="53">
        <f t="shared" si="257"/>
        <v>21.299999999999997</v>
      </c>
      <c r="AS305" s="56">
        <f t="shared" si="258"/>
        <v>4.6948356807511742E-2</v>
      </c>
      <c r="AT305" s="56">
        <f t="shared" si="288"/>
        <v>0.23474178403755869</v>
      </c>
      <c r="AU305" s="56">
        <f t="shared" si="259"/>
        <v>0.176056338028169</v>
      </c>
      <c r="AV305" s="56">
        <f t="shared" si="289"/>
        <v>5.8685446009389672E-2</v>
      </c>
      <c r="AW305" s="57" t="s">
        <v>2511</v>
      </c>
      <c r="AX305" s="57" t="s">
        <v>2512</v>
      </c>
      <c r="AY305" s="57" t="s">
        <v>2513</v>
      </c>
      <c r="AZ305" s="58">
        <f t="shared" si="290"/>
        <v>1.603375E-3</v>
      </c>
      <c r="BA305" s="59">
        <f t="shared" si="293"/>
        <v>9.409477699530517E-5</v>
      </c>
      <c r="BB305" s="59">
        <f t="shared" si="294"/>
        <v>2.8228433098591548E-4</v>
      </c>
      <c r="BC305" s="59">
        <f t="shared" si="295"/>
        <v>7.5275821596244136E-5</v>
      </c>
      <c r="BD305" s="60">
        <f t="shared" si="291"/>
        <v>3.9246467817896392E-4</v>
      </c>
      <c r="BE305" s="59">
        <f t="shared" si="292"/>
        <v>7.8492935635792783E-4</v>
      </c>
      <c r="BQ305" s="61">
        <v>3000</v>
      </c>
      <c r="BR305" s="61">
        <v>1200</v>
      </c>
      <c r="BS305" s="28">
        <f t="shared" si="260"/>
        <v>2980</v>
      </c>
      <c r="BT305" s="28">
        <f t="shared" si="261"/>
        <v>1180</v>
      </c>
      <c r="BU305" s="28" t="s">
        <v>2541</v>
      </c>
      <c r="BV305" s="28">
        <f t="shared" si="262"/>
        <v>106</v>
      </c>
      <c r="BW305" s="28">
        <f t="shared" si="263"/>
        <v>12.9375</v>
      </c>
      <c r="BX305" s="13">
        <f t="shared" si="264"/>
        <v>28.113207547169811</v>
      </c>
      <c r="BY305" s="13">
        <f t="shared" si="265"/>
        <v>28</v>
      </c>
      <c r="BZ305" s="13">
        <f t="shared" si="266"/>
        <v>91.207729468599027</v>
      </c>
      <c r="CA305" s="13">
        <f t="shared" si="267"/>
        <v>91</v>
      </c>
      <c r="CB305" s="13">
        <f t="shared" si="268"/>
        <v>2548</v>
      </c>
      <c r="CC305" s="62">
        <f t="shared" si="269"/>
        <v>3.9246467817896392E-4</v>
      </c>
      <c r="CD305" s="13">
        <f t="shared" si="270"/>
        <v>230.33816425120773</v>
      </c>
      <c r="CE305" s="13">
        <f t="shared" si="271"/>
        <v>230</v>
      </c>
      <c r="CF305" s="13">
        <f t="shared" si="272"/>
        <v>11.132075471698114</v>
      </c>
      <c r="CG305" s="13">
        <f t="shared" si="273"/>
        <v>11</v>
      </c>
      <c r="CH305" s="28">
        <f t="shared" si="274"/>
        <v>2530</v>
      </c>
      <c r="CI305" s="62">
        <f t="shared" si="275"/>
        <v>3.9525691699604743E-4</v>
      </c>
      <c r="CJ305" s="59">
        <f t="shared" si="276"/>
        <v>3.9246467817896392E-4</v>
      </c>
      <c r="CL305" s="63">
        <v>6000</v>
      </c>
      <c r="CM305" s="63">
        <f t="shared" si="277"/>
        <v>101</v>
      </c>
      <c r="CN305" s="63">
        <f t="shared" si="278"/>
        <v>106</v>
      </c>
      <c r="CO305" s="63">
        <f t="shared" si="279"/>
        <v>56.60377358490566</v>
      </c>
      <c r="CP305" s="13">
        <f t="shared" si="280"/>
        <v>56</v>
      </c>
      <c r="CQ305" s="70">
        <f t="shared" si="281"/>
        <v>1.7857142857142856E-2</v>
      </c>
      <c r="CR305" s="69">
        <f t="shared" si="249"/>
        <v>3.5714285714285712E-2</v>
      </c>
    </row>
    <row r="306" spans="1:96" hidden="1" x14ac:dyDescent="0.25">
      <c r="A306" s="13">
        <v>4</v>
      </c>
      <c r="B306" s="14" t="s">
        <v>843</v>
      </c>
      <c r="C306" s="13" t="s">
        <v>738</v>
      </c>
      <c r="D306" s="13" t="s">
        <v>739</v>
      </c>
      <c r="E306" s="13" t="s">
        <v>52</v>
      </c>
      <c r="F306" s="15">
        <f t="shared" si="250"/>
        <v>4</v>
      </c>
      <c r="G306" s="13">
        <v>1</v>
      </c>
      <c r="H306" s="13">
        <f t="shared" si="299"/>
        <v>1</v>
      </c>
      <c r="I306" s="13">
        <v>8</v>
      </c>
      <c r="J306" s="14" t="s">
        <v>76</v>
      </c>
      <c r="K306" s="14" t="s">
        <v>34</v>
      </c>
      <c r="L306" s="13" t="s">
        <v>77</v>
      </c>
      <c r="M306" s="14" t="s">
        <v>35</v>
      </c>
      <c r="N306" s="13" t="s">
        <v>739</v>
      </c>
      <c r="O306" s="28" t="s">
        <v>41</v>
      </c>
      <c r="P306" s="28" t="s">
        <v>41</v>
      </c>
      <c r="Q306" s="28" t="s">
        <v>79</v>
      </c>
      <c r="R306" s="30">
        <v>5.0787401574803148</v>
      </c>
      <c r="S306" s="30">
        <v>0.3125</v>
      </c>
      <c r="T306" s="30"/>
      <c r="U306" s="30">
        <v>0.3125</v>
      </c>
      <c r="V306" s="8">
        <f t="shared" si="251"/>
        <v>129</v>
      </c>
      <c r="W306" s="8">
        <f t="shared" si="252"/>
        <v>7.9375</v>
      </c>
      <c r="X306" s="8">
        <f t="shared" si="253"/>
        <v>0</v>
      </c>
      <c r="Y306" s="33">
        <f t="shared" si="254"/>
        <v>7.9375</v>
      </c>
      <c r="Z306" s="28" t="s">
        <v>80</v>
      </c>
      <c r="AA306" s="28" t="s">
        <v>81</v>
      </c>
      <c r="AB306" s="61" t="s">
        <v>79</v>
      </c>
      <c r="AC306" s="31" t="s">
        <v>82</v>
      </c>
      <c r="AD306" s="50">
        <f t="shared" si="255"/>
        <v>1</v>
      </c>
      <c r="AE306" s="31"/>
      <c r="AF306" s="51">
        <v>14</v>
      </c>
      <c r="AG306" s="51">
        <f t="shared" si="282"/>
        <v>8.4</v>
      </c>
      <c r="AH306" s="51">
        <f t="shared" si="248"/>
        <v>42</v>
      </c>
      <c r="AI306" s="52" t="s">
        <v>2497</v>
      </c>
      <c r="AJ306" s="52" t="s">
        <v>2498</v>
      </c>
      <c r="AK306" s="53">
        <f t="shared" si="283"/>
        <v>2.0478750000000002E-3</v>
      </c>
      <c r="AL306" s="54">
        <f t="shared" si="284"/>
        <v>0.11904761904761904</v>
      </c>
      <c r="AM306" s="54">
        <f t="shared" si="285"/>
        <v>2.3809523809523808E-2</v>
      </c>
      <c r="AN306" s="55">
        <f t="shared" si="286"/>
        <v>2.4379464285714288E-4</v>
      </c>
      <c r="AO306" s="55">
        <f t="shared" si="287"/>
        <v>4.8758928571428574E-5</v>
      </c>
      <c r="AP306" s="53">
        <v>7.1</v>
      </c>
      <c r="AQ306" s="53">
        <f t="shared" si="256"/>
        <v>4.26</v>
      </c>
      <c r="AR306" s="53">
        <f t="shared" si="257"/>
        <v>21.299999999999997</v>
      </c>
      <c r="AS306" s="56">
        <f t="shared" si="258"/>
        <v>4.6948356807511742E-2</v>
      </c>
      <c r="AT306" s="56">
        <f t="shared" si="288"/>
        <v>0.23474178403755869</v>
      </c>
      <c r="AU306" s="56">
        <f t="shared" si="259"/>
        <v>0.176056338028169</v>
      </c>
      <c r="AV306" s="56">
        <f t="shared" si="289"/>
        <v>5.8685446009389672E-2</v>
      </c>
      <c r="AW306" s="57" t="s">
        <v>2511</v>
      </c>
      <c r="AX306" s="57" t="s">
        <v>2512</v>
      </c>
      <c r="AY306" s="57" t="s">
        <v>2513</v>
      </c>
      <c r="AZ306" s="58">
        <f t="shared" si="290"/>
        <v>2.0478750000000002E-3</v>
      </c>
      <c r="BA306" s="59">
        <f t="shared" si="293"/>
        <v>6.0090228873239441E-5</v>
      </c>
      <c r="BB306" s="59">
        <f t="shared" si="294"/>
        <v>1.8027068661971831E-4</v>
      </c>
      <c r="BC306" s="59">
        <f t="shared" si="295"/>
        <v>4.8072183098591556E-5</v>
      </c>
      <c r="BD306" s="60">
        <f t="shared" si="291"/>
        <v>4.995004995004995E-4</v>
      </c>
      <c r="BE306" s="59">
        <f t="shared" si="292"/>
        <v>4.995004995004995E-4</v>
      </c>
      <c r="BQ306" s="61">
        <v>3000</v>
      </c>
      <c r="BR306" s="61">
        <v>1200</v>
      </c>
      <c r="BS306" s="28">
        <f t="shared" si="260"/>
        <v>2980</v>
      </c>
      <c r="BT306" s="28">
        <f t="shared" si="261"/>
        <v>1180</v>
      </c>
      <c r="BU306" s="28" t="s">
        <v>2541</v>
      </c>
      <c r="BV306" s="28">
        <f t="shared" si="262"/>
        <v>134</v>
      </c>
      <c r="BW306" s="28">
        <f t="shared" si="263"/>
        <v>12.9375</v>
      </c>
      <c r="BX306" s="13">
        <f t="shared" si="264"/>
        <v>22.238805970149254</v>
      </c>
      <c r="BY306" s="13">
        <f t="shared" si="265"/>
        <v>22</v>
      </c>
      <c r="BZ306" s="13">
        <f t="shared" si="266"/>
        <v>91.207729468599027</v>
      </c>
      <c r="CA306" s="13">
        <f t="shared" si="267"/>
        <v>91</v>
      </c>
      <c r="CB306" s="13">
        <f t="shared" si="268"/>
        <v>2002</v>
      </c>
      <c r="CC306" s="62">
        <f t="shared" si="269"/>
        <v>4.995004995004995E-4</v>
      </c>
      <c r="CD306" s="13">
        <f t="shared" si="270"/>
        <v>230.33816425120773</v>
      </c>
      <c r="CE306" s="13">
        <f t="shared" si="271"/>
        <v>230</v>
      </c>
      <c r="CF306" s="13">
        <f t="shared" si="272"/>
        <v>8.8059701492537314</v>
      </c>
      <c r="CG306" s="13">
        <f t="shared" si="273"/>
        <v>8</v>
      </c>
      <c r="CH306" s="28">
        <f t="shared" si="274"/>
        <v>1840</v>
      </c>
      <c r="CI306" s="62">
        <f t="shared" si="275"/>
        <v>5.4347826086956522E-4</v>
      </c>
      <c r="CJ306" s="59">
        <f t="shared" si="276"/>
        <v>4.995004995004995E-4</v>
      </c>
      <c r="CL306" s="63">
        <v>6000</v>
      </c>
      <c r="CM306" s="63">
        <f t="shared" si="277"/>
        <v>129</v>
      </c>
      <c r="CN306" s="63">
        <f t="shared" si="278"/>
        <v>134</v>
      </c>
      <c r="CO306" s="63">
        <f t="shared" si="279"/>
        <v>44.776119402985074</v>
      </c>
      <c r="CP306" s="13">
        <f t="shared" si="280"/>
        <v>44</v>
      </c>
      <c r="CQ306" s="70">
        <f t="shared" si="281"/>
        <v>2.2727272727272728E-2</v>
      </c>
      <c r="CR306" s="69">
        <f t="shared" si="249"/>
        <v>2.2727272727272728E-2</v>
      </c>
    </row>
    <row r="307" spans="1:96" hidden="1" x14ac:dyDescent="0.25">
      <c r="A307" s="13">
        <v>4</v>
      </c>
      <c r="B307" s="14" t="s">
        <v>843</v>
      </c>
      <c r="C307" s="13" t="s">
        <v>234</v>
      </c>
      <c r="D307" s="13" t="s">
        <v>237</v>
      </c>
      <c r="E307" s="13" t="s">
        <v>52</v>
      </c>
      <c r="F307" s="15">
        <f t="shared" si="250"/>
        <v>5</v>
      </c>
      <c r="G307" s="13">
        <v>2</v>
      </c>
      <c r="H307" s="13">
        <f t="shared" si="299"/>
        <v>2</v>
      </c>
      <c r="I307" s="13">
        <v>9</v>
      </c>
      <c r="J307" s="14" t="s">
        <v>235</v>
      </c>
      <c r="K307" s="14" t="s">
        <v>34</v>
      </c>
      <c r="L307" s="13" t="s">
        <v>236</v>
      </c>
      <c r="M307" s="14" t="s">
        <v>35</v>
      </c>
      <c r="N307" s="13" t="s">
        <v>237</v>
      </c>
      <c r="O307" s="28" t="s">
        <v>41</v>
      </c>
      <c r="P307" s="28" t="s">
        <v>41</v>
      </c>
      <c r="Q307" s="28" t="s">
        <v>79</v>
      </c>
      <c r="R307" s="30">
        <v>22.047244094488189</v>
      </c>
      <c r="S307" s="30">
        <v>0.3125</v>
      </c>
      <c r="T307" s="30"/>
      <c r="U307" s="30">
        <v>0.3125</v>
      </c>
      <c r="V307" s="8">
        <f t="shared" si="251"/>
        <v>560</v>
      </c>
      <c r="W307" s="8">
        <f t="shared" si="252"/>
        <v>7.9375</v>
      </c>
      <c r="X307" s="8">
        <f t="shared" si="253"/>
        <v>0</v>
      </c>
      <c r="Y307" s="33">
        <f t="shared" si="254"/>
        <v>7.9375</v>
      </c>
      <c r="Z307" s="28" t="s">
        <v>80</v>
      </c>
      <c r="AA307" s="28" t="s">
        <v>81</v>
      </c>
      <c r="AB307" s="61" t="s">
        <v>79</v>
      </c>
      <c r="AC307" s="31" t="s">
        <v>82</v>
      </c>
      <c r="AD307" s="50">
        <f t="shared" si="255"/>
        <v>2</v>
      </c>
      <c r="AE307" s="31"/>
      <c r="AF307" s="51">
        <v>14</v>
      </c>
      <c r="AG307" s="51">
        <f t="shared" si="282"/>
        <v>8.4</v>
      </c>
      <c r="AH307" s="51">
        <f t="shared" si="248"/>
        <v>42</v>
      </c>
      <c r="AI307" s="52" t="s">
        <v>2497</v>
      </c>
      <c r="AJ307" s="52" t="s">
        <v>2498</v>
      </c>
      <c r="AK307" s="53">
        <f t="shared" si="283"/>
        <v>8.8900000000000003E-3</v>
      </c>
      <c r="AL307" s="54">
        <f t="shared" si="284"/>
        <v>0.11904761904761904</v>
      </c>
      <c r="AM307" s="54">
        <f t="shared" si="285"/>
        <v>2.3809523809523808E-2</v>
      </c>
      <c r="AN307" s="55">
        <f t="shared" si="286"/>
        <v>2.1166666666666664E-3</v>
      </c>
      <c r="AO307" s="55">
        <f t="shared" si="287"/>
        <v>4.2333333333333334E-4</v>
      </c>
      <c r="AP307" s="53">
        <v>7.1</v>
      </c>
      <c r="AQ307" s="53">
        <f t="shared" si="256"/>
        <v>4.26</v>
      </c>
      <c r="AR307" s="53">
        <f t="shared" si="257"/>
        <v>21.299999999999997</v>
      </c>
      <c r="AS307" s="56">
        <f t="shared" si="258"/>
        <v>4.6948356807511742E-2</v>
      </c>
      <c r="AT307" s="56">
        <f t="shared" si="288"/>
        <v>0.23474178403755869</v>
      </c>
      <c r="AU307" s="56">
        <f t="shared" si="259"/>
        <v>0.176056338028169</v>
      </c>
      <c r="AV307" s="56">
        <f t="shared" si="289"/>
        <v>5.8685446009389672E-2</v>
      </c>
      <c r="AW307" s="57" t="s">
        <v>2511</v>
      </c>
      <c r="AX307" s="57" t="s">
        <v>2512</v>
      </c>
      <c r="AY307" s="57" t="s">
        <v>2513</v>
      </c>
      <c r="AZ307" s="58">
        <f t="shared" si="290"/>
        <v>8.8900000000000003E-3</v>
      </c>
      <c r="BA307" s="59">
        <f t="shared" si="293"/>
        <v>5.2171361502347424E-4</v>
      </c>
      <c r="BB307" s="59">
        <f t="shared" si="294"/>
        <v>1.5651408450704225E-3</v>
      </c>
      <c r="BC307" s="59">
        <f t="shared" si="295"/>
        <v>4.1737089201877939E-4</v>
      </c>
      <c r="BD307" s="60">
        <f t="shared" si="291"/>
        <v>2.1739130434782609E-3</v>
      </c>
      <c r="BE307" s="59">
        <f t="shared" si="292"/>
        <v>4.3478260869565218E-3</v>
      </c>
      <c r="BQ307" s="61">
        <v>3000</v>
      </c>
      <c r="BR307" s="61">
        <v>1200</v>
      </c>
      <c r="BS307" s="28">
        <f t="shared" si="260"/>
        <v>2980</v>
      </c>
      <c r="BT307" s="28">
        <f t="shared" si="261"/>
        <v>1180</v>
      </c>
      <c r="BU307" s="28" t="s">
        <v>2541</v>
      </c>
      <c r="BV307" s="28">
        <f t="shared" si="262"/>
        <v>565</v>
      </c>
      <c r="BW307" s="28">
        <f t="shared" si="263"/>
        <v>12.9375</v>
      </c>
      <c r="BX307" s="13">
        <f t="shared" si="264"/>
        <v>5.2743362831858409</v>
      </c>
      <c r="BY307" s="13">
        <f t="shared" si="265"/>
        <v>5</v>
      </c>
      <c r="BZ307" s="13">
        <f t="shared" si="266"/>
        <v>91.207729468599027</v>
      </c>
      <c r="CA307" s="13">
        <f t="shared" si="267"/>
        <v>91</v>
      </c>
      <c r="CB307" s="13">
        <f t="shared" si="268"/>
        <v>455</v>
      </c>
      <c r="CC307" s="62">
        <f t="shared" si="269"/>
        <v>2.1978021978021978E-3</v>
      </c>
      <c r="CD307" s="13">
        <f t="shared" si="270"/>
        <v>230.33816425120773</v>
      </c>
      <c r="CE307" s="13">
        <f t="shared" si="271"/>
        <v>230</v>
      </c>
      <c r="CF307" s="13">
        <f t="shared" si="272"/>
        <v>2.0884955752212391</v>
      </c>
      <c r="CG307" s="13">
        <f t="shared" si="273"/>
        <v>2</v>
      </c>
      <c r="CH307" s="28">
        <f t="shared" si="274"/>
        <v>460</v>
      </c>
      <c r="CI307" s="62">
        <f t="shared" si="275"/>
        <v>2.1739130434782609E-3</v>
      </c>
      <c r="CJ307" s="59">
        <f t="shared" si="276"/>
        <v>2.1739130434782609E-3</v>
      </c>
      <c r="CL307" s="63">
        <v>6000</v>
      </c>
      <c r="CM307" s="63">
        <f t="shared" si="277"/>
        <v>560</v>
      </c>
      <c r="CN307" s="63">
        <f t="shared" si="278"/>
        <v>565</v>
      </c>
      <c r="CO307" s="63">
        <f t="shared" si="279"/>
        <v>10.619469026548673</v>
      </c>
      <c r="CP307" s="13">
        <f t="shared" si="280"/>
        <v>10</v>
      </c>
      <c r="CQ307" s="70">
        <f t="shared" si="281"/>
        <v>0.1</v>
      </c>
      <c r="CR307" s="69">
        <f t="shared" si="249"/>
        <v>0.2</v>
      </c>
    </row>
    <row r="308" spans="1:96" hidden="1" x14ac:dyDescent="0.25">
      <c r="A308" s="13">
        <v>4</v>
      </c>
      <c r="B308" s="14" t="s">
        <v>843</v>
      </c>
      <c r="C308" s="13" t="s">
        <v>863</v>
      </c>
      <c r="D308" s="13" t="s">
        <v>2270</v>
      </c>
      <c r="E308" s="13" t="s">
        <v>32</v>
      </c>
      <c r="F308" s="15">
        <f t="shared" si="250"/>
        <v>1</v>
      </c>
      <c r="G308" s="13">
        <v>1</v>
      </c>
      <c r="H308" s="13">
        <f t="shared" si="299"/>
        <v>1</v>
      </c>
      <c r="I308" s="13">
        <v>10</v>
      </c>
      <c r="J308" s="14" t="s">
        <v>864</v>
      </c>
      <c r="K308" s="14" t="s">
        <v>34</v>
      </c>
      <c r="L308" s="13">
        <v>0</v>
      </c>
      <c r="M308" s="14" t="s">
        <v>35</v>
      </c>
      <c r="N308" s="13" t="s">
        <v>865</v>
      </c>
      <c r="O308" s="28" t="s">
        <v>41</v>
      </c>
      <c r="P308" s="28" t="s">
        <v>41</v>
      </c>
      <c r="Q308" s="28"/>
      <c r="R308" s="30"/>
      <c r="S308" s="30"/>
      <c r="T308" s="30"/>
      <c r="U308" s="30"/>
      <c r="V308" s="8">
        <f t="shared" si="251"/>
        <v>0</v>
      </c>
      <c r="W308" s="8">
        <f t="shared" si="252"/>
        <v>0</v>
      </c>
      <c r="X308" s="8">
        <f t="shared" si="253"/>
        <v>0</v>
      </c>
      <c r="Y308" s="33">
        <f t="shared" si="254"/>
        <v>0</v>
      </c>
      <c r="Z308" s="28"/>
      <c r="AA308" s="28"/>
      <c r="AB308" s="28">
        <v>0</v>
      </c>
      <c r="AC308" s="31"/>
      <c r="AD308" s="50">
        <f t="shared" si="255"/>
        <v>1</v>
      </c>
      <c r="AE308" s="31"/>
      <c r="AF308" s="51">
        <v>14</v>
      </c>
      <c r="AG308" s="51">
        <f t="shared" si="282"/>
        <v>8.4</v>
      </c>
      <c r="AH308" s="51">
        <f t="shared" si="248"/>
        <v>42</v>
      </c>
      <c r="AI308" s="52" t="s">
        <v>2497</v>
      </c>
      <c r="AJ308" s="52" t="s">
        <v>2498</v>
      </c>
      <c r="AK308" s="53">
        <f t="shared" si="283"/>
        <v>0</v>
      </c>
      <c r="AL308" s="54">
        <f t="shared" si="284"/>
        <v>0.11904761904761904</v>
      </c>
      <c r="AM308" s="54">
        <f t="shared" si="285"/>
        <v>2.3809523809523808E-2</v>
      </c>
      <c r="AN308" s="55">
        <f t="shared" si="286"/>
        <v>0</v>
      </c>
      <c r="AO308" s="55">
        <f t="shared" si="287"/>
        <v>0</v>
      </c>
      <c r="AP308" s="53">
        <v>7.1</v>
      </c>
      <c r="AQ308" s="53">
        <f t="shared" si="256"/>
        <v>4.26</v>
      </c>
      <c r="AR308" s="53">
        <f t="shared" si="257"/>
        <v>21.299999999999997</v>
      </c>
      <c r="AS308" s="56">
        <f t="shared" si="258"/>
        <v>4.6948356807511742E-2</v>
      </c>
      <c r="AT308" s="56">
        <f t="shared" si="288"/>
        <v>0.23474178403755869</v>
      </c>
      <c r="AU308" s="56">
        <f t="shared" si="259"/>
        <v>0.176056338028169</v>
      </c>
      <c r="AV308" s="56">
        <f t="shared" si="289"/>
        <v>5.8685446009389672E-2</v>
      </c>
      <c r="AW308" s="57" t="s">
        <v>2511</v>
      </c>
      <c r="AX308" s="57" t="s">
        <v>2512</v>
      </c>
      <c r="AY308" s="57" t="s">
        <v>2513</v>
      </c>
      <c r="AZ308" s="58">
        <f t="shared" si="290"/>
        <v>0</v>
      </c>
      <c r="BA308" s="59">
        <f t="shared" si="293"/>
        <v>0</v>
      </c>
      <c r="BB308" s="59">
        <f t="shared" si="294"/>
        <v>0</v>
      </c>
      <c r="BC308" s="59">
        <f t="shared" si="295"/>
        <v>0</v>
      </c>
      <c r="BD308" s="60">
        <f t="shared" si="291"/>
        <v>0</v>
      </c>
      <c r="BE308" s="59">
        <f t="shared" si="292"/>
        <v>0</v>
      </c>
      <c r="BQ308" s="61">
        <v>3000</v>
      </c>
      <c r="BR308" s="61">
        <v>1200</v>
      </c>
      <c r="BS308" s="28">
        <f t="shared" si="260"/>
        <v>2980</v>
      </c>
      <c r="BT308" s="28">
        <f t="shared" si="261"/>
        <v>1180</v>
      </c>
      <c r="BU308" s="28" t="s">
        <v>2541</v>
      </c>
      <c r="BV308" s="28">
        <f t="shared" si="262"/>
        <v>5</v>
      </c>
      <c r="BW308" s="28">
        <f t="shared" si="263"/>
        <v>5</v>
      </c>
      <c r="BX308" s="13">
        <f t="shared" si="264"/>
        <v>596</v>
      </c>
      <c r="BY308" s="13">
        <f t="shared" si="265"/>
        <v>596</v>
      </c>
      <c r="BZ308" s="13">
        <f t="shared" si="266"/>
        <v>236</v>
      </c>
      <c r="CA308" s="13">
        <f t="shared" si="267"/>
        <v>236</v>
      </c>
      <c r="CB308" s="13">
        <f t="shared" si="268"/>
        <v>140656</v>
      </c>
      <c r="CC308" s="62" t="str">
        <f t="shared" si="269"/>
        <v/>
      </c>
      <c r="CD308" s="13">
        <f t="shared" si="270"/>
        <v>596</v>
      </c>
      <c r="CE308" s="13">
        <f t="shared" si="271"/>
        <v>596</v>
      </c>
      <c r="CF308" s="13">
        <f t="shared" si="272"/>
        <v>236</v>
      </c>
      <c r="CG308" s="13">
        <f t="shared" si="273"/>
        <v>236</v>
      </c>
      <c r="CH308" s="28">
        <f t="shared" si="274"/>
        <v>140656</v>
      </c>
      <c r="CI308" s="62" t="str">
        <f t="shared" si="275"/>
        <v/>
      </c>
      <c r="CJ308" s="59">
        <f t="shared" si="276"/>
        <v>0</v>
      </c>
      <c r="CL308" s="63">
        <v>6000</v>
      </c>
      <c r="CM308" s="63">
        <f t="shared" si="277"/>
        <v>0</v>
      </c>
      <c r="CN308" s="63">
        <f t="shared" si="278"/>
        <v>5</v>
      </c>
      <c r="CO308" s="63">
        <f t="shared" si="279"/>
        <v>1200</v>
      </c>
      <c r="CP308" s="13">
        <f t="shared" si="280"/>
        <v>1200</v>
      </c>
      <c r="CQ308" s="70">
        <f t="shared" si="281"/>
        <v>8.3333333333333339E-4</v>
      </c>
      <c r="CR308" s="69">
        <f t="shared" si="249"/>
        <v>8.3333333333333339E-4</v>
      </c>
    </row>
    <row r="309" spans="1:96" hidden="1" x14ac:dyDescent="0.25">
      <c r="A309" s="17">
        <v>5</v>
      </c>
      <c r="B309" s="6" t="s">
        <v>866</v>
      </c>
      <c r="C309" s="17" t="s">
        <v>867</v>
      </c>
      <c r="D309" s="17" t="s">
        <v>2270</v>
      </c>
      <c r="E309" s="17" t="s">
        <v>52</v>
      </c>
      <c r="F309" s="7">
        <f t="shared" si="250"/>
        <v>1</v>
      </c>
      <c r="G309" s="17">
        <v>1</v>
      </c>
      <c r="H309" s="17">
        <f>G309*$H$308</f>
        <v>1</v>
      </c>
      <c r="I309" s="17">
        <v>1</v>
      </c>
      <c r="J309" s="6" t="s">
        <v>868</v>
      </c>
      <c r="K309" s="6" t="s">
        <v>34</v>
      </c>
      <c r="L309" s="17">
        <v>0</v>
      </c>
      <c r="M309" s="6" t="s">
        <v>35</v>
      </c>
      <c r="N309" s="17" t="s">
        <v>869</v>
      </c>
      <c r="O309" s="28" t="s">
        <v>41</v>
      </c>
      <c r="P309" s="28" t="s">
        <v>41</v>
      </c>
      <c r="Q309" s="28" t="s">
        <v>124</v>
      </c>
      <c r="R309" s="30">
        <v>13.795</v>
      </c>
      <c r="S309" s="30">
        <v>9.5090000000000003</v>
      </c>
      <c r="T309" s="30"/>
      <c r="U309" s="30">
        <v>9.8000000000000004E-2</v>
      </c>
      <c r="V309" s="8">
        <f t="shared" si="251"/>
        <v>350.39299999999997</v>
      </c>
      <c r="W309" s="8">
        <f t="shared" si="252"/>
        <v>241.52859999999998</v>
      </c>
      <c r="X309" s="8">
        <f t="shared" si="253"/>
        <v>0</v>
      </c>
      <c r="Y309" s="33">
        <f t="shared" si="254"/>
        <v>2.4891999999999999</v>
      </c>
      <c r="Z309" s="28" t="s">
        <v>56</v>
      </c>
      <c r="AA309" s="28" t="s">
        <v>57</v>
      </c>
      <c r="AB309" s="61" t="s">
        <v>124</v>
      </c>
      <c r="AC309" s="31" t="s">
        <v>125</v>
      </c>
      <c r="AD309" s="50">
        <f t="shared" si="255"/>
        <v>1</v>
      </c>
      <c r="AE309" s="31"/>
      <c r="AF309" s="51">
        <v>14</v>
      </c>
      <c r="AG309" s="51">
        <f t="shared" si="282"/>
        <v>8.4</v>
      </c>
      <c r="AH309" s="51">
        <f t="shared" si="248"/>
        <v>42</v>
      </c>
      <c r="AI309" s="52" t="s">
        <v>2497</v>
      </c>
      <c r="AJ309" s="52" t="s">
        <v>2498</v>
      </c>
      <c r="AK309" s="53">
        <f t="shared" si="283"/>
        <v>0.16925986147959998</v>
      </c>
      <c r="AL309" s="54">
        <f t="shared" si="284"/>
        <v>0.11904761904761904</v>
      </c>
      <c r="AM309" s="54">
        <f t="shared" si="285"/>
        <v>2.3809523809523808E-2</v>
      </c>
      <c r="AN309" s="55">
        <f t="shared" si="286"/>
        <v>2.0149983509476187E-2</v>
      </c>
      <c r="AO309" s="55">
        <f t="shared" si="287"/>
        <v>4.0299967018952373E-3</v>
      </c>
      <c r="AP309" s="53">
        <v>7.1</v>
      </c>
      <c r="AQ309" s="53">
        <f t="shared" si="256"/>
        <v>4.26</v>
      </c>
      <c r="AR309" s="53">
        <f t="shared" si="257"/>
        <v>21.299999999999997</v>
      </c>
      <c r="AS309" s="56">
        <f t="shared" si="258"/>
        <v>4.6948356807511742E-2</v>
      </c>
      <c r="AT309" s="56">
        <f t="shared" si="288"/>
        <v>0.23474178403755869</v>
      </c>
      <c r="AU309" s="56">
        <f t="shared" si="259"/>
        <v>0.176056338028169</v>
      </c>
      <c r="AV309" s="56">
        <f t="shared" si="289"/>
        <v>5.8685446009389672E-2</v>
      </c>
      <c r="AW309" s="57" t="s">
        <v>2511</v>
      </c>
      <c r="AX309" s="57" t="s">
        <v>2512</v>
      </c>
      <c r="AY309" s="57" t="s">
        <v>2513</v>
      </c>
      <c r="AZ309" s="58">
        <f t="shared" si="290"/>
        <v>0.16925986147959998</v>
      </c>
      <c r="BA309" s="59">
        <f t="shared" si="293"/>
        <v>4.9665452312089194E-3</v>
      </c>
      <c r="BB309" s="59">
        <f t="shared" si="294"/>
        <v>1.4899635693626758E-2</v>
      </c>
      <c r="BC309" s="59">
        <f t="shared" si="295"/>
        <v>3.973236184967136E-3</v>
      </c>
      <c r="BD309" s="60">
        <f t="shared" si="291"/>
        <v>2.7777777777777776E-2</v>
      </c>
      <c r="BE309" s="59">
        <f t="shared" si="292"/>
        <v>2.7777777777777776E-2</v>
      </c>
      <c r="BQ309" s="61">
        <v>3000</v>
      </c>
      <c r="BR309" s="61">
        <v>1200</v>
      </c>
      <c r="BS309" s="28">
        <f t="shared" si="260"/>
        <v>2980</v>
      </c>
      <c r="BT309" s="28">
        <f t="shared" si="261"/>
        <v>1180</v>
      </c>
      <c r="BU309" s="28" t="s">
        <v>2541</v>
      </c>
      <c r="BV309" s="28">
        <f t="shared" si="262"/>
        <v>355.39299999999997</v>
      </c>
      <c r="BW309" s="28">
        <f t="shared" si="263"/>
        <v>246.52859999999998</v>
      </c>
      <c r="BX309" s="13">
        <f t="shared" si="264"/>
        <v>8.385083555387979</v>
      </c>
      <c r="BY309" s="13">
        <f t="shared" si="265"/>
        <v>8</v>
      </c>
      <c r="BZ309" s="13">
        <f t="shared" si="266"/>
        <v>4.7864629093744098</v>
      </c>
      <c r="CA309" s="13">
        <f t="shared" si="267"/>
        <v>4</v>
      </c>
      <c r="CB309" s="13">
        <f t="shared" si="268"/>
        <v>32</v>
      </c>
      <c r="CC309" s="62">
        <f t="shared" si="269"/>
        <v>3.125E-2</v>
      </c>
      <c r="CD309" s="13">
        <f t="shared" si="270"/>
        <v>12.08784700842012</v>
      </c>
      <c r="CE309" s="13">
        <f t="shared" si="271"/>
        <v>12</v>
      </c>
      <c r="CF309" s="13">
        <f t="shared" si="272"/>
        <v>3.3202679850194015</v>
      </c>
      <c r="CG309" s="13">
        <f t="shared" si="273"/>
        <v>3</v>
      </c>
      <c r="CH309" s="28">
        <f t="shared" si="274"/>
        <v>36</v>
      </c>
      <c r="CI309" s="62">
        <f t="shared" si="275"/>
        <v>2.7777777777777776E-2</v>
      </c>
      <c r="CJ309" s="59">
        <f t="shared" si="276"/>
        <v>2.7777777777777776E-2</v>
      </c>
      <c r="CL309" s="63">
        <v>6000</v>
      </c>
      <c r="CM309" s="63">
        <f t="shared" si="277"/>
        <v>350.39299999999997</v>
      </c>
      <c r="CN309" s="63">
        <f t="shared" si="278"/>
        <v>355.39299999999997</v>
      </c>
      <c r="CO309" s="63">
        <f t="shared" si="279"/>
        <v>16.88271856789526</v>
      </c>
      <c r="CP309" s="13">
        <f t="shared" si="280"/>
        <v>16</v>
      </c>
      <c r="CQ309" s="70">
        <f t="shared" si="281"/>
        <v>6.25E-2</v>
      </c>
      <c r="CR309" s="69">
        <f t="shared" si="249"/>
        <v>6.25E-2</v>
      </c>
    </row>
    <row r="310" spans="1:96" hidden="1" x14ac:dyDescent="0.25">
      <c r="A310" s="17">
        <v>5</v>
      </c>
      <c r="B310" s="6" t="s">
        <v>866</v>
      </c>
      <c r="C310" s="17" t="s">
        <v>870</v>
      </c>
      <c r="D310" s="17" t="s">
        <v>872</v>
      </c>
      <c r="E310" s="17" t="s">
        <v>52</v>
      </c>
      <c r="F310" s="7">
        <f t="shared" si="250"/>
        <v>1</v>
      </c>
      <c r="G310" s="17">
        <v>2</v>
      </c>
      <c r="H310" s="17">
        <f>G310*$H$308</f>
        <v>2</v>
      </c>
      <c r="I310" s="17">
        <v>2</v>
      </c>
      <c r="J310" s="6" t="s">
        <v>871</v>
      </c>
      <c r="K310" s="6" t="s">
        <v>34</v>
      </c>
      <c r="L310" s="17" t="s">
        <v>687</v>
      </c>
      <c r="M310" s="6" t="s">
        <v>340</v>
      </c>
      <c r="N310" s="17" t="s">
        <v>872</v>
      </c>
      <c r="O310" s="28" t="s">
        <v>41</v>
      </c>
      <c r="P310" s="28" t="s">
        <v>41</v>
      </c>
      <c r="Q310" s="28" t="s">
        <v>872</v>
      </c>
      <c r="R310" s="30"/>
      <c r="S310" s="30"/>
      <c r="T310" s="30"/>
      <c r="U310" s="30"/>
      <c r="V310" s="8">
        <f t="shared" si="251"/>
        <v>0</v>
      </c>
      <c r="W310" s="8">
        <f t="shared" si="252"/>
        <v>0</v>
      </c>
      <c r="X310" s="8">
        <f t="shared" si="253"/>
        <v>0</v>
      </c>
      <c r="Y310" s="33">
        <f t="shared" si="254"/>
        <v>0</v>
      </c>
      <c r="Z310" s="28"/>
      <c r="AA310" s="28"/>
      <c r="AB310" s="61" t="s">
        <v>872</v>
      </c>
      <c r="AC310" s="31" t="s">
        <v>873</v>
      </c>
      <c r="AD310" s="50">
        <f t="shared" si="255"/>
        <v>2</v>
      </c>
      <c r="AE310" s="31"/>
      <c r="AF310" s="51">
        <v>14</v>
      </c>
      <c r="AG310" s="51">
        <f t="shared" si="282"/>
        <v>8.4</v>
      </c>
      <c r="AH310" s="51">
        <f t="shared" si="248"/>
        <v>42</v>
      </c>
      <c r="AI310" s="52" t="s">
        <v>2497</v>
      </c>
      <c r="AJ310" s="52" t="s">
        <v>2498</v>
      </c>
      <c r="AK310" s="53">
        <f t="shared" si="283"/>
        <v>0</v>
      </c>
      <c r="AL310" s="54">
        <f t="shared" si="284"/>
        <v>0.11904761904761904</v>
      </c>
      <c r="AM310" s="54">
        <f t="shared" si="285"/>
        <v>2.3809523809523808E-2</v>
      </c>
      <c r="AN310" s="55">
        <f t="shared" si="286"/>
        <v>0</v>
      </c>
      <c r="AO310" s="55">
        <f t="shared" si="287"/>
        <v>0</v>
      </c>
      <c r="AP310" s="53">
        <v>7.1</v>
      </c>
      <c r="AQ310" s="53">
        <f t="shared" si="256"/>
        <v>4.26</v>
      </c>
      <c r="AR310" s="53">
        <f t="shared" si="257"/>
        <v>21.299999999999997</v>
      </c>
      <c r="AS310" s="56">
        <f t="shared" si="258"/>
        <v>4.6948356807511742E-2</v>
      </c>
      <c r="AT310" s="56">
        <f t="shared" si="288"/>
        <v>0.23474178403755869</v>
      </c>
      <c r="AU310" s="56">
        <f t="shared" si="259"/>
        <v>0.176056338028169</v>
      </c>
      <c r="AV310" s="56">
        <f t="shared" si="289"/>
        <v>5.8685446009389672E-2</v>
      </c>
      <c r="AW310" s="57" t="s">
        <v>2511</v>
      </c>
      <c r="AX310" s="57" t="s">
        <v>2512</v>
      </c>
      <c r="AY310" s="57" t="s">
        <v>2513</v>
      </c>
      <c r="AZ310" s="58">
        <f t="shared" si="290"/>
        <v>0</v>
      </c>
      <c r="BA310" s="59">
        <f t="shared" si="293"/>
        <v>0</v>
      </c>
      <c r="BB310" s="59">
        <f t="shared" si="294"/>
        <v>0</v>
      </c>
      <c r="BC310" s="59">
        <f t="shared" si="295"/>
        <v>0</v>
      </c>
      <c r="BD310" s="60">
        <f t="shared" si="291"/>
        <v>7.1095438516664771E-6</v>
      </c>
      <c r="BE310" s="59">
        <f t="shared" si="292"/>
        <v>1.4219087703332954E-5</v>
      </c>
      <c r="BQ310" s="61">
        <v>3000</v>
      </c>
      <c r="BR310" s="61">
        <v>1200</v>
      </c>
      <c r="BS310" s="28">
        <f t="shared" si="260"/>
        <v>2980</v>
      </c>
      <c r="BT310" s="28">
        <f t="shared" si="261"/>
        <v>1180</v>
      </c>
      <c r="BU310" s="28" t="s">
        <v>2541</v>
      </c>
      <c r="BV310" s="28">
        <f t="shared" si="262"/>
        <v>5</v>
      </c>
      <c r="BW310" s="28">
        <f t="shared" si="263"/>
        <v>5</v>
      </c>
      <c r="BX310" s="13">
        <f t="shared" si="264"/>
        <v>596</v>
      </c>
      <c r="BY310" s="13">
        <f t="shared" si="265"/>
        <v>596</v>
      </c>
      <c r="BZ310" s="13">
        <f t="shared" si="266"/>
        <v>236</v>
      </c>
      <c r="CA310" s="13">
        <f t="shared" si="267"/>
        <v>236</v>
      </c>
      <c r="CB310" s="13">
        <f t="shared" si="268"/>
        <v>140656</v>
      </c>
      <c r="CC310" s="62">
        <f t="shared" si="269"/>
        <v>7.1095438516664771E-6</v>
      </c>
      <c r="CD310" s="13">
        <f t="shared" si="270"/>
        <v>596</v>
      </c>
      <c r="CE310" s="13">
        <f t="shared" si="271"/>
        <v>596</v>
      </c>
      <c r="CF310" s="13">
        <f t="shared" si="272"/>
        <v>236</v>
      </c>
      <c r="CG310" s="13">
        <f t="shared" si="273"/>
        <v>236</v>
      </c>
      <c r="CH310" s="28">
        <f t="shared" si="274"/>
        <v>140656</v>
      </c>
      <c r="CI310" s="62">
        <f t="shared" si="275"/>
        <v>7.1095438516664771E-6</v>
      </c>
      <c r="CJ310" s="59">
        <f t="shared" si="276"/>
        <v>7.1095438516664771E-6</v>
      </c>
      <c r="CL310" s="63">
        <v>6000</v>
      </c>
      <c r="CM310" s="63">
        <f t="shared" si="277"/>
        <v>0</v>
      </c>
      <c r="CN310" s="63">
        <f t="shared" si="278"/>
        <v>5</v>
      </c>
      <c r="CO310" s="63">
        <f t="shared" si="279"/>
        <v>1200</v>
      </c>
      <c r="CP310" s="13">
        <f t="shared" si="280"/>
        <v>1200</v>
      </c>
      <c r="CQ310" s="70">
        <f t="shared" si="281"/>
        <v>8.3333333333333339E-4</v>
      </c>
      <c r="CR310" s="69">
        <f t="shared" si="249"/>
        <v>1.6666666666666668E-3</v>
      </c>
    </row>
    <row r="311" spans="1:96" hidden="1" x14ac:dyDescent="0.25">
      <c r="A311" s="13">
        <v>4</v>
      </c>
      <c r="B311" s="14" t="s">
        <v>843</v>
      </c>
      <c r="C311" s="13" t="s">
        <v>786</v>
      </c>
      <c r="D311" s="13" t="s">
        <v>2270</v>
      </c>
      <c r="E311" s="13" t="s">
        <v>32</v>
      </c>
      <c r="F311" s="15">
        <f t="shared" si="250"/>
        <v>3</v>
      </c>
      <c r="G311" s="13">
        <v>1</v>
      </c>
      <c r="H311" s="13">
        <f>G311*$H$294</f>
        <v>1</v>
      </c>
      <c r="I311" s="13">
        <v>11</v>
      </c>
      <c r="J311" s="14" t="s">
        <v>787</v>
      </c>
      <c r="K311" s="14" t="s">
        <v>34</v>
      </c>
      <c r="L311" s="13">
        <v>0</v>
      </c>
      <c r="M311" s="14" t="s">
        <v>35</v>
      </c>
      <c r="N311" s="13" t="s">
        <v>788</v>
      </c>
      <c r="O311" s="28" t="s">
        <v>41</v>
      </c>
      <c r="P311" s="28" t="s">
        <v>41</v>
      </c>
      <c r="Q311" s="28"/>
      <c r="R311" s="30"/>
      <c r="S311" s="30"/>
      <c r="T311" s="30"/>
      <c r="U311" s="30"/>
      <c r="V311" s="8">
        <f t="shared" si="251"/>
        <v>0</v>
      </c>
      <c r="W311" s="8">
        <f t="shared" si="252"/>
        <v>0</v>
      </c>
      <c r="X311" s="8">
        <f t="shared" si="253"/>
        <v>0</v>
      </c>
      <c r="Y311" s="33">
        <f t="shared" si="254"/>
        <v>0</v>
      </c>
      <c r="Z311" s="28"/>
      <c r="AA311" s="28"/>
      <c r="AB311" s="28">
        <v>0</v>
      </c>
      <c r="AC311" s="31"/>
      <c r="AD311" s="50">
        <f t="shared" si="255"/>
        <v>1</v>
      </c>
      <c r="AE311" s="31"/>
      <c r="AF311" s="51">
        <v>14</v>
      </c>
      <c r="AG311" s="51">
        <f t="shared" si="282"/>
        <v>8.4</v>
      </c>
      <c r="AH311" s="51">
        <f t="shared" si="248"/>
        <v>42</v>
      </c>
      <c r="AI311" s="52" t="s">
        <v>2497</v>
      </c>
      <c r="AJ311" s="52" t="s">
        <v>2498</v>
      </c>
      <c r="AK311" s="53">
        <f t="shared" si="283"/>
        <v>0</v>
      </c>
      <c r="AL311" s="54">
        <f t="shared" si="284"/>
        <v>0.11904761904761904</v>
      </c>
      <c r="AM311" s="54">
        <f t="shared" si="285"/>
        <v>2.3809523809523808E-2</v>
      </c>
      <c r="AN311" s="55">
        <f t="shared" si="286"/>
        <v>0</v>
      </c>
      <c r="AO311" s="55">
        <f t="shared" si="287"/>
        <v>0</v>
      </c>
      <c r="AP311" s="53">
        <v>7.1</v>
      </c>
      <c r="AQ311" s="53">
        <f t="shared" si="256"/>
        <v>4.26</v>
      </c>
      <c r="AR311" s="53">
        <f t="shared" si="257"/>
        <v>21.299999999999997</v>
      </c>
      <c r="AS311" s="56">
        <f t="shared" si="258"/>
        <v>4.6948356807511742E-2</v>
      </c>
      <c r="AT311" s="56">
        <f t="shared" si="288"/>
        <v>0.23474178403755869</v>
      </c>
      <c r="AU311" s="56">
        <f t="shared" si="259"/>
        <v>0.176056338028169</v>
      </c>
      <c r="AV311" s="56">
        <f t="shared" si="289"/>
        <v>5.8685446009389672E-2</v>
      </c>
      <c r="AW311" s="57" t="s">
        <v>2511</v>
      </c>
      <c r="AX311" s="57" t="s">
        <v>2512</v>
      </c>
      <c r="AY311" s="57" t="s">
        <v>2513</v>
      </c>
      <c r="AZ311" s="58">
        <f t="shared" si="290"/>
        <v>0</v>
      </c>
      <c r="BA311" s="59">
        <f t="shared" si="293"/>
        <v>0</v>
      </c>
      <c r="BB311" s="59">
        <f t="shared" si="294"/>
        <v>0</v>
      </c>
      <c r="BC311" s="59">
        <f t="shared" si="295"/>
        <v>0</v>
      </c>
      <c r="BD311" s="60">
        <f t="shared" si="291"/>
        <v>0</v>
      </c>
      <c r="BE311" s="59">
        <f t="shared" si="292"/>
        <v>0</v>
      </c>
      <c r="BQ311" s="61">
        <v>3000</v>
      </c>
      <c r="BR311" s="61">
        <v>1200</v>
      </c>
      <c r="BS311" s="28">
        <f t="shared" si="260"/>
        <v>2980</v>
      </c>
      <c r="BT311" s="28">
        <f t="shared" si="261"/>
        <v>1180</v>
      </c>
      <c r="BU311" s="28" t="s">
        <v>2541</v>
      </c>
      <c r="BV311" s="28">
        <f t="shared" si="262"/>
        <v>5</v>
      </c>
      <c r="BW311" s="28">
        <f t="shared" si="263"/>
        <v>5</v>
      </c>
      <c r="BX311" s="13">
        <f t="shared" si="264"/>
        <v>596</v>
      </c>
      <c r="BY311" s="13">
        <f t="shared" si="265"/>
        <v>596</v>
      </c>
      <c r="BZ311" s="13">
        <f t="shared" si="266"/>
        <v>236</v>
      </c>
      <c r="CA311" s="13">
        <f t="shared" si="267"/>
        <v>236</v>
      </c>
      <c r="CB311" s="13">
        <f t="shared" si="268"/>
        <v>140656</v>
      </c>
      <c r="CC311" s="62" t="str">
        <f t="shared" si="269"/>
        <v/>
      </c>
      <c r="CD311" s="13">
        <f t="shared" si="270"/>
        <v>596</v>
      </c>
      <c r="CE311" s="13">
        <f t="shared" si="271"/>
        <v>596</v>
      </c>
      <c r="CF311" s="13">
        <f t="shared" si="272"/>
        <v>236</v>
      </c>
      <c r="CG311" s="13">
        <f t="shared" si="273"/>
        <v>236</v>
      </c>
      <c r="CH311" s="28">
        <f t="shared" si="274"/>
        <v>140656</v>
      </c>
      <c r="CI311" s="62" t="str">
        <f t="shared" si="275"/>
        <v/>
      </c>
      <c r="CJ311" s="59">
        <f t="shared" si="276"/>
        <v>0</v>
      </c>
      <c r="CL311" s="63">
        <v>6000</v>
      </c>
      <c r="CM311" s="63">
        <f t="shared" si="277"/>
        <v>0</v>
      </c>
      <c r="CN311" s="63">
        <f t="shared" si="278"/>
        <v>5</v>
      </c>
      <c r="CO311" s="63">
        <f t="shared" si="279"/>
        <v>1200</v>
      </c>
      <c r="CP311" s="13">
        <f t="shared" si="280"/>
        <v>1200</v>
      </c>
      <c r="CQ311" s="70">
        <f t="shared" si="281"/>
        <v>8.3333333333333339E-4</v>
      </c>
      <c r="CR311" s="69">
        <f t="shared" si="249"/>
        <v>8.3333333333333339E-4</v>
      </c>
    </row>
    <row r="312" spans="1:96" hidden="1" x14ac:dyDescent="0.25">
      <c r="A312" s="17">
        <v>5</v>
      </c>
      <c r="B312" s="6" t="s">
        <v>789</v>
      </c>
      <c r="C312" s="17" t="s">
        <v>790</v>
      </c>
      <c r="D312" s="17" t="s">
        <v>2270</v>
      </c>
      <c r="E312" s="17" t="s">
        <v>52</v>
      </c>
      <c r="F312" s="7">
        <f t="shared" si="250"/>
        <v>3</v>
      </c>
      <c r="G312" s="17">
        <v>1</v>
      </c>
      <c r="H312" s="17">
        <f>G312*$H$311</f>
        <v>1</v>
      </c>
      <c r="I312" s="17">
        <v>1</v>
      </c>
      <c r="J312" s="6" t="s">
        <v>791</v>
      </c>
      <c r="K312" s="6" t="s">
        <v>34</v>
      </c>
      <c r="L312" s="17">
        <v>0</v>
      </c>
      <c r="M312" s="6" t="s">
        <v>35</v>
      </c>
      <c r="N312" s="17" t="s">
        <v>792</v>
      </c>
      <c r="O312" s="28" t="s">
        <v>41</v>
      </c>
      <c r="P312" s="28" t="s">
        <v>41</v>
      </c>
      <c r="Q312" s="28" t="s">
        <v>124</v>
      </c>
      <c r="R312" s="30">
        <v>5.0209999999999999</v>
      </c>
      <c r="S312" s="30">
        <v>4.0679999999999996</v>
      </c>
      <c r="T312" s="30"/>
      <c r="U312" s="30">
        <v>9.8000000000000004E-2</v>
      </c>
      <c r="V312" s="8">
        <f t="shared" si="251"/>
        <v>127.53339999999999</v>
      </c>
      <c r="W312" s="8">
        <f t="shared" si="252"/>
        <v>103.32719999999999</v>
      </c>
      <c r="X312" s="8">
        <f t="shared" si="253"/>
        <v>0</v>
      </c>
      <c r="Y312" s="33">
        <f t="shared" si="254"/>
        <v>2.4891999999999999</v>
      </c>
      <c r="Z312" s="28" t="s">
        <v>56</v>
      </c>
      <c r="AA312" s="28" t="s">
        <v>57</v>
      </c>
      <c r="AB312" s="61" t="s">
        <v>124</v>
      </c>
      <c r="AC312" s="31" t="s">
        <v>125</v>
      </c>
      <c r="AD312" s="50">
        <f t="shared" si="255"/>
        <v>1</v>
      </c>
      <c r="AE312" s="31"/>
      <c r="AF312" s="51">
        <v>14</v>
      </c>
      <c r="AG312" s="51">
        <f t="shared" si="282"/>
        <v>8.4</v>
      </c>
      <c r="AH312" s="51">
        <f t="shared" si="248"/>
        <v>42</v>
      </c>
      <c r="AI312" s="52" t="s">
        <v>2497</v>
      </c>
      <c r="AJ312" s="52" t="s">
        <v>2498</v>
      </c>
      <c r="AK312" s="53">
        <f t="shared" si="283"/>
        <v>2.6355338256959997E-2</v>
      </c>
      <c r="AL312" s="54">
        <f t="shared" si="284"/>
        <v>0.11904761904761904</v>
      </c>
      <c r="AM312" s="54">
        <f t="shared" si="285"/>
        <v>2.3809523809523808E-2</v>
      </c>
      <c r="AN312" s="55">
        <f t="shared" si="286"/>
        <v>3.1375402686857137E-3</v>
      </c>
      <c r="AO312" s="55">
        <f t="shared" si="287"/>
        <v>6.2750805373714281E-4</v>
      </c>
      <c r="AP312" s="53">
        <v>7.1</v>
      </c>
      <c r="AQ312" s="53">
        <f t="shared" si="256"/>
        <v>4.26</v>
      </c>
      <c r="AR312" s="53">
        <f t="shared" si="257"/>
        <v>21.299999999999997</v>
      </c>
      <c r="AS312" s="56">
        <f t="shared" si="258"/>
        <v>4.6948356807511742E-2</v>
      </c>
      <c r="AT312" s="56">
        <f t="shared" si="288"/>
        <v>0.23474178403755869</v>
      </c>
      <c r="AU312" s="56">
        <f t="shared" si="259"/>
        <v>0.176056338028169</v>
      </c>
      <c r="AV312" s="56">
        <f t="shared" si="289"/>
        <v>5.8685446009389672E-2</v>
      </c>
      <c r="AW312" s="57" t="s">
        <v>2511</v>
      </c>
      <c r="AX312" s="57" t="s">
        <v>2512</v>
      </c>
      <c r="AY312" s="57" t="s">
        <v>2513</v>
      </c>
      <c r="AZ312" s="58">
        <f t="shared" si="290"/>
        <v>2.6355338256959997E-2</v>
      </c>
      <c r="BA312" s="59">
        <f t="shared" si="293"/>
        <v>7.7333739016901399E-4</v>
      </c>
      <c r="BB312" s="59">
        <f t="shared" si="294"/>
        <v>2.3200121705070418E-3</v>
      </c>
      <c r="BC312" s="59">
        <f t="shared" si="295"/>
        <v>6.186699121352113E-4</v>
      </c>
      <c r="BD312" s="60">
        <f t="shared" si="291"/>
        <v>4.5454545454545452E-3</v>
      </c>
      <c r="BE312" s="59">
        <f t="shared" si="292"/>
        <v>4.5454545454545452E-3</v>
      </c>
      <c r="BQ312" s="61">
        <v>3000</v>
      </c>
      <c r="BR312" s="61">
        <v>1200</v>
      </c>
      <c r="BS312" s="28">
        <f t="shared" si="260"/>
        <v>2980</v>
      </c>
      <c r="BT312" s="28">
        <f t="shared" si="261"/>
        <v>1180</v>
      </c>
      <c r="BU312" s="28" t="s">
        <v>2541</v>
      </c>
      <c r="BV312" s="28">
        <f t="shared" si="262"/>
        <v>132.53339999999997</v>
      </c>
      <c r="BW312" s="28">
        <f t="shared" si="263"/>
        <v>108.32719999999999</v>
      </c>
      <c r="BX312" s="13">
        <f t="shared" si="264"/>
        <v>22.484898146429508</v>
      </c>
      <c r="BY312" s="13">
        <f t="shared" si="265"/>
        <v>22</v>
      </c>
      <c r="BZ312" s="13">
        <f t="shared" si="266"/>
        <v>10.892924399412152</v>
      </c>
      <c r="CA312" s="13">
        <f t="shared" si="267"/>
        <v>10</v>
      </c>
      <c r="CB312" s="13">
        <f t="shared" si="268"/>
        <v>220</v>
      </c>
      <c r="CC312" s="62">
        <f t="shared" si="269"/>
        <v>4.5454545454545452E-3</v>
      </c>
      <c r="CD312" s="13">
        <f t="shared" si="270"/>
        <v>27.509249754447637</v>
      </c>
      <c r="CE312" s="13">
        <f t="shared" si="271"/>
        <v>27</v>
      </c>
      <c r="CF312" s="13">
        <f t="shared" si="272"/>
        <v>8.9034160445593358</v>
      </c>
      <c r="CG312" s="13">
        <f t="shared" si="273"/>
        <v>8</v>
      </c>
      <c r="CH312" s="28">
        <f t="shared" si="274"/>
        <v>216</v>
      </c>
      <c r="CI312" s="62">
        <f t="shared" si="275"/>
        <v>4.6296296296296294E-3</v>
      </c>
      <c r="CJ312" s="59">
        <f t="shared" si="276"/>
        <v>4.5454545454545452E-3</v>
      </c>
      <c r="CL312" s="63">
        <v>6000</v>
      </c>
      <c r="CM312" s="63">
        <f t="shared" si="277"/>
        <v>127.53339999999999</v>
      </c>
      <c r="CN312" s="63">
        <f t="shared" si="278"/>
        <v>132.53339999999997</v>
      </c>
      <c r="CO312" s="63">
        <f t="shared" si="279"/>
        <v>45.271607006233907</v>
      </c>
      <c r="CP312" s="13">
        <f t="shared" si="280"/>
        <v>45</v>
      </c>
      <c r="CQ312" s="70">
        <f t="shared" si="281"/>
        <v>2.2222222222222223E-2</v>
      </c>
      <c r="CR312" s="69">
        <f t="shared" si="249"/>
        <v>2.2222222222222223E-2</v>
      </c>
    </row>
    <row r="313" spans="1:96" hidden="1" x14ac:dyDescent="0.25">
      <c r="A313" s="17">
        <v>5</v>
      </c>
      <c r="B313" s="6" t="s">
        <v>789</v>
      </c>
      <c r="C313" s="17" t="s">
        <v>793</v>
      </c>
      <c r="D313" s="17" t="s">
        <v>795</v>
      </c>
      <c r="E313" s="17" t="s">
        <v>52</v>
      </c>
      <c r="F313" s="7">
        <f t="shared" si="250"/>
        <v>4</v>
      </c>
      <c r="G313" s="17">
        <v>2</v>
      </c>
      <c r="H313" s="17">
        <f>G313*$H$311</f>
        <v>2</v>
      </c>
      <c r="I313" s="17">
        <v>2</v>
      </c>
      <c r="J313" s="6" t="s">
        <v>794</v>
      </c>
      <c r="K313" s="6" t="s">
        <v>34</v>
      </c>
      <c r="L313" s="17" t="s">
        <v>687</v>
      </c>
      <c r="M313" s="6" t="s">
        <v>340</v>
      </c>
      <c r="N313" s="17" t="s">
        <v>795</v>
      </c>
      <c r="O313" s="28" t="s">
        <v>41</v>
      </c>
      <c r="P313" s="28" t="s">
        <v>41</v>
      </c>
      <c r="Q313" s="28" t="s">
        <v>795</v>
      </c>
      <c r="R313" s="30"/>
      <c r="S313" s="30"/>
      <c r="T313" s="30"/>
      <c r="U313" s="30"/>
      <c r="V313" s="8">
        <f t="shared" si="251"/>
        <v>0</v>
      </c>
      <c r="W313" s="8">
        <f t="shared" si="252"/>
        <v>0</v>
      </c>
      <c r="X313" s="8">
        <f t="shared" si="253"/>
        <v>0</v>
      </c>
      <c r="Y313" s="33">
        <f t="shared" si="254"/>
        <v>0</v>
      </c>
      <c r="Z313" s="28"/>
      <c r="AA313" s="28"/>
      <c r="AB313" s="61" t="s">
        <v>795</v>
      </c>
      <c r="AC313" s="31" t="s">
        <v>796</v>
      </c>
      <c r="AD313" s="50">
        <f t="shared" si="255"/>
        <v>2</v>
      </c>
      <c r="AE313" s="31"/>
      <c r="AF313" s="51">
        <v>14</v>
      </c>
      <c r="AG313" s="51">
        <f t="shared" si="282"/>
        <v>8.4</v>
      </c>
      <c r="AH313" s="51">
        <f t="shared" si="248"/>
        <v>42</v>
      </c>
      <c r="AI313" s="52" t="s">
        <v>2497</v>
      </c>
      <c r="AJ313" s="52" t="s">
        <v>2498</v>
      </c>
      <c r="AK313" s="53">
        <f t="shared" si="283"/>
        <v>0</v>
      </c>
      <c r="AL313" s="54">
        <f t="shared" si="284"/>
        <v>0.11904761904761904</v>
      </c>
      <c r="AM313" s="54">
        <f t="shared" si="285"/>
        <v>2.3809523809523808E-2</v>
      </c>
      <c r="AN313" s="55">
        <f t="shared" si="286"/>
        <v>0</v>
      </c>
      <c r="AO313" s="55">
        <f t="shared" si="287"/>
        <v>0</v>
      </c>
      <c r="AP313" s="53">
        <v>7.1</v>
      </c>
      <c r="AQ313" s="53">
        <f t="shared" si="256"/>
        <v>4.26</v>
      </c>
      <c r="AR313" s="53">
        <f t="shared" si="257"/>
        <v>21.299999999999997</v>
      </c>
      <c r="AS313" s="56">
        <f t="shared" si="258"/>
        <v>4.6948356807511742E-2</v>
      </c>
      <c r="AT313" s="56">
        <f t="shared" si="288"/>
        <v>0.23474178403755869</v>
      </c>
      <c r="AU313" s="56">
        <f t="shared" si="259"/>
        <v>0.176056338028169</v>
      </c>
      <c r="AV313" s="56">
        <f t="shared" si="289"/>
        <v>5.8685446009389672E-2</v>
      </c>
      <c r="AW313" s="57" t="s">
        <v>2511</v>
      </c>
      <c r="AX313" s="57" t="s">
        <v>2512</v>
      </c>
      <c r="AY313" s="57" t="s">
        <v>2513</v>
      </c>
      <c r="AZ313" s="58">
        <f t="shared" si="290"/>
        <v>0</v>
      </c>
      <c r="BA313" s="59">
        <f t="shared" si="293"/>
        <v>0</v>
      </c>
      <c r="BB313" s="59">
        <f t="shared" si="294"/>
        <v>0</v>
      </c>
      <c r="BC313" s="59">
        <f t="shared" si="295"/>
        <v>0</v>
      </c>
      <c r="BD313" s="60">
        <f t="shared" si="291"/>
        <v>7.1095438516664771E-6</v>
      </c>
      <c r="BE313" s="59">
        <f t="shared" si="292"/>
        <v>1.4219087703332954E-5</v>
      </c>
      <c r="BQ313" s="61">
        <v>3000</v>
      </c>
      <c r="BR313" s="61">
        <v>1200</v>
      </c>
      <c r="BS313" s="28">
        <f t="shared" si="260"/>
        <v>2980</v>
      </c>
      <c r="BT313" s="28">
        <f t="shared" si="261"/>
        <v>1180</v>
      </c>
      <c r="BU313" s="28" t="s">
        <v>2541</v>
      </c>
      <c r="BV313" s="28">
        <f t="shared" si="262"/>
        <v>5</v>
      </c>
      <c r="BW313" s="28">
        <f t="shared" si="263"/>
        <v>5</v>
      </c>
      <c r="BX313" s="13">
        <f t="shared" si="264"/>
        <v>596</v>
      </c>
      <c r="BY313" s="13">
        <f t="shared" si="265"/>
        <v>596</v>
      </c>
      <c r="BZ313" s="13">
        <f t="shared" si="266"/>
        <v>236</v>
      </c>
      <c r="CA313" s="13">
        <f t="shared" si="267"/>
        <v>236</v>
      </c>
      <c r="CB313" s="13">
        <f t="shared" si="268"/>
        <v>140656</v>
      </c>
      <c r="CC313" s="62">
        <f t="shared" si="269"/>
        <v>7.1095438516664771E-6</v>
      </c>
      <c r="CD313" s="13">
        <f t="shared" si="270"/>
        <v>596</v>
      </c>
      <c r="CE313" s="13">
        <f t="shared" si="271"/>
        <v>596</v>
      </c>
      <c r="CF313" s="13">
        <f t="shared" si="272"/>
        <v>236</v>
      </c>
      <c r="CG313" s="13">
        <f t="shared" si="273"/>
        <v>236</v>
      </c>
      <c r="CH313" s="28">
        <f t="shared" si="274"/>
        <v>140656</v>
      </c>
      <c r="CI313" s="62">
        <f t="shared" si="275"/>
        <v>7.1095438516664771E-6</v>
      </c>
      <c r="CJ313" s="59">
        <f t="shared" si="276"/>
        <v>7.1095438516664771E-6</v>
      </c>
      <c r="CL313" s="63">
        <v>6000</v>
      </c>
      <c r="CM313" s="63">
        <f t="shared" si="277"/>
        <v>0</v>
      </c>
      <c r="CN313" s="63">
        <f t="shared" si="278"/>
        <v>5</v>
      </c>
      <c r="CO313" s="63">
        <f t="shared" si="279"/>
        <v>1200</v>
      </c>
      <c r="CP313" s="13">
        <f t="shared" si="280"/>
        <v>1200</v>
      </c>
      <c r="CQ313" s="70">
        <f t="shared" si="281"/>
        <v>8.3333333333333339E-4</v>
      </c>
      <c r="CR313" s="69">
        <f t="shared" si="249"/>
        <v>1.6666666666666668E-3</v>
      </c>
    </row>
    <row r="314" spans="1:96" hidden="1" x14ac:dyDescent="0.25">
      <c r="A314" s="13">
        <v>4</v>
      </c>
      <c r="B314" s="14" t="s">
        <v>843</v>
      </c>
      <c r="C314" s="13" t="s">
        <v>874</v>
      </c>
      <c r="D314" s="13" t="s">
        <v>2270</v>
      </c>
      <c r="E314" s="13" t="s">
        <v>52</v>
      </c>
      <c r="F314" s="15">
        <f t="shared" si="250"/>
        <v>1</v>
      </c>
      <c r="G314" s="13">
        <v>1</v>
      </c>
      <c r="H314" s="13">
        <f t="shared" ref="H314:H317" si="300">G314*$H$294</f>
        <v>1</v>
      </c>
      <c r="I314" s="13">
        <v>12</v>
      </c>
      <c r="J314" s="14" t="s">
        <v>76</v>
      </c>
      <c r="K314" s="14" t="s">
        <v>34</v>
      </c>
      <c r="L314" s="13" t="s">
        <v>98</v>
      </c>
      <c r="M314" s="14" t="s">
        <v>35</v>
      </c>
      <c r="N314" s="13" t="s">
        <v>875</v>
      </c>
      <c r="O314" s="28" t="s">
        <v>41</v>
      </c>
      <c r="P314" s="28" t="s">
        <v>41</v>
      </c>
      <c r="Q314" s="28" t="s">
        <v>79</v>
      </c>
      <c r="R314" s="30">
        <v>15.007874015748031</v>
      </c>
      <c r="S314" s="30">
        <v>0.3125</v>
      </c>
      <c r="T314" s="30"/>
      <c r="U314" s="30">
        <v>0.3125</v>
      </c>
      <c r="V314" s="8">
        <f t="shared" si="251"/>
        <v>381.2</v>
      </c>
      <c r="W314" s="8">
        <f t="shared" si="252"/>
        <v>7.9375</v>
      </c>
      <c r="X314" s="8">
        <f t="shared" si="253"/>
        <v>0</v>
      </c>
      <c r="Y314" s="33">
        <f t="shared" si="254"/>
        <v>7.9375</v>
      </c>
      <c r="Z314" s="28" t="s">
        <v>80</v>
      </c>
      <c r="AA314" s="28" t="s">
        <v>81</v>
      </c>
      <c r="AB314" s="61" t="s">
        <v>79</v>
      </c>
      <c r="AC314" s="31" t="s">
        <v>82</v>
      </c>
      <c r="AD314" s="50">
        <f t="shared" si="255"/>
        <v>1</v>
      </c>
      <c r="AE314" s="31"/>
      <c r="AF314" s="51">
        <v>14</v>
      </c>
      <c r="AG314" s="51">
        <f t="shared" si="282"/>
        <v>8.4</v>
      </c>
      <c r="AH314" s="51">
        <f t="shared" si="248"/>
        <v>42</v>
      </c>
      <c r="AI314" s="52" t="s">
        <v>2497</v>
      </c>
      <c r="AJ314" s="52" t="s">
        <v>2498</v>
      </c>
      <c r="AK314" s="53">
        <f t="shared" si="283"/>
        <v>6.0515500000000002E-3</v>
      </c>
      <c r="AL314" s="54">
        <f t="shared" si="284"/>
        <v>0.11904761904761904</v>
      </c>
      <c r="AM314" s="54">
        <f t="shared" si="285"/>
        <v>2.3809523809523808E-2</v>
      </c>
      <c r="AN314" s="55">
        <f t="shared" si="286"/>
        <v>7.2042261904761901E-4</v>
      </c>
      <c r="AO314" s="55">
        <f t="shared" si="287"/>
        <v>1.440845238095238E-4</v>
      </c>
      <c r="AP314" s="53">
        <v>7.1</v>
      </c>
      <c r="AQ314" s="53">
        <f t="shared" si="256"/>
        <v>4.26</v>
      </c>
      <c r="AR314" s="53">
        <f t="shared" si="257"/>
        <v>21.299999999999997</v>
      </c>
      <c r="AS314" s="56">
        <f t="shared" si="258"/>
        <v>4.6948356807511742E-2</v>
      </c>
      <c r="AT314" s="56">
        <f t="shared" si="288"/>
        <v>0.23474178403755869</v>
      </c>
      <c r="AU314" s="56">
        <f t="shared" si="259"/>
        <v>0.176056338028169</v>
      </c>
      <c r="AV314" s="56">
        <f t="shared" si="289"/>
        <v>5.8685446009389672E-2</v>
      </c>
      <c r="AW314" s="57" t="s">
        <v>2511</v>
      </c>
      <c r="AX314" s="57" t="s">
        <v>2512</v>
      </c>
      <c r="AY314" s="57" t="s">
        <v>2513</v>
      </c>
      <c r="AZ314" s="58">
        <f t="shared" si="290"/>
        <v>6.0515500000000002E-3</v>
      </c>
      <c r="BA314" s="59">
        <f t="shared" si="293"/>
        <v>1.7756895539906104E-4</v>
      </c>
      <c r="BB314" s="59">
        <f t="shared" si="294"/>
        <v>5.3270686619718308E-4</v>
      </c>
      <c r="BC314" s="59">
        <f t="shared" si="295"/>
        <v>1.4205516431924884E-4</v>
      </c>
      <c r="BD314" s="60">
        <f t="shared" si="291"/>
        <v>1.4492753623188406E-3</v>
      </c>
      <c r="BE314" s="59">
        <f t="shared" si="292"/>
        <v>1.4492753623188406E-3</v>
      </c>
      <c r="BQ314" s="61">
        <v>3000</v>
      </c>
      <c r="BR314" s="61">
        <v>1200</v>
      </c>
      <c r="BS314" s="28">
        <f t="shared" si="260"/>
        <v>2980</v>
      </c>
      <c r="BT314" s="28">
        <f t="shared" si="261"/>
        <v>1180</v>
      </c>
      <c r="BU314" s="28" t="s">
        <v>2541</v>
      </c>
      <c r="BV314" s="28">
        <f t="shared" si="262"/>
        <v>386.2</v>
      </c>
      <c r="BW314" s="28">
        <f t="shared" si="263"/>
        <v>12.9375</v>
      </c>
      <c r="BX314" s="13">
        <f t="shared" si="264"/>
        <v>7.716209218021751</v>
      </c>
      <c r="BY314" s="13">
        <f t="shared" si="265"/>
        <v>7</v>
      </c>
      <c r="BZ314" s="13">
        <f t="shared" si="266"/>
        <v>91.207729468599027</v>
      </c>
      <c r="CA314" s="13">
        <f t="shared" si="267"/>
        <v>91</v>
      </c>
      <c r="CB314" s="13">
        <f t="shared" si="268"/>
        <v>637</v>
      </c>
      <c r="CC314" s="62">
        <f t="shared" si="269"/>
        <v>1.5698587127158557E-3</v>
      </c>
      <c r="CD314" s="13">
        <f t="shared" si="270"/>
        <v>230.33816425120773</v>
      </c>
      <c r="CE314" s="13">
        <f t="shared" si="271"/>
        <v>230</v>
      </c>
      <c r="CF314" s="13">
        <f t="shared" si="272"/>
        <v>3.0554117037804249</v>
      </c>
      <c r="CG314" s="13">
        <f t="shared" si="273"/>
        <v>3</v>
      </c>
      <c r="CH314" s="28">
        <f t="shared" si="274"/>
        <v>690</v>
      </c>
      <c r="CI314" s="62">
        <f t="shared" si="275"/>
        <v>1.4492753623188406E-3</v>
      </c>
      <c r="CJ314" s="59">
        <f t="shared" si="276"/>
        <v>1.4492753623188406E-3</v>
      </c>
      <c r="CL314" s="63">
        <v>6000</v>
      </c>
      <c r="CM314" s="63">
        <f t="shared" si="277"/>
        <v>381.2</v>
      </c>
      <c r="CN314" s="63">
        <f t="shared" si="278"/>
        <v>386.2</v>
      </c>
      <c r="CO314" s="63">
        <f t="shared" si="279"/>
        <v>15.535991714137753</v>
      </c>
      <c r="CP314" s="13">
        <f t="shared" si="280"/>
        <v>15</v>
      </c>
      <c r="CQ314" s="70">
        <f t="shared" si="281"/>
        <v>6.6666666666666666E-2</v>
      </c>
      <c r="CR314" s="69">
        <f t="shared" si="249"/>
        <v>6.6666666666666666E-2</v>
      </c>
    </row>
    <row r="315" spans="1:96" hidden="1" x14ac:dyDescent="0.25">
      <c r="A315" s="13">
        <v>4</v>
      </c>
      <c r="B315" s="14" t="s">
        <v>843</v>
      </c>
      <c r="C315" s="13" t="s">
        <v>876</v>
      </c>
      <c r="D315" s="13" t="s">
        <v>2270</v>
      </c>
      <c r="E315" s="13" t="s">
        <v>52</v>
      </c>
      <c r="F315" s="15">
        <f t="shared" si="250"/>
        <v>1</v>
      </c>
      <c r="G315" s="13">
        <v>4</v>
      </c>
      <c r="H315" s="13">
        <f t="shared" si="300"/>
        <v>4</v>
      </c>
      <c r="I315" s="13">
        <v>13</v>
      </c>
      <c r="J315" s="14" t="s">
        <v>76</v>
      </c>
      <c r="K315" s="14" t="s">
        <v>34</v>
      </c>
      <c r="L315" s="13">
        <v>0</v>
      </c>
      <c r="M315" s="14" t="s">
        <v>35</v>
      </c>
      <c r="N315" s="13" t="s">
        <v>877</v>
      </c>
      <c r="O315" s="28" t="s">
        <v>41</v>
      </c>
      <c r="P315" s="28" t="s">
        <v>41</v>
      </c>
      <c r="Q315" s="28" t="s">
        <v>877</v>
      </c>
      <c r="R315" s="30"/>
      <c r="S315" s="30">
        <v>0.3125</v>
      </c>
      <c r="T315" s="30"/>
      <c r="U315" s="30">
        <v>0.3125</v>
      </c>
      <c r="V315" s="8">
        <f t="shared" si="251"/>
        <v>0</v>
      </c>
      <c r="W315" s="8">
        <f t="shared" si="252"/>
        <v>7.9375</v>
      </c>
      <c r="X315" s="8">
        <f t="shared" si="253"/>
        <v>0</v>
      </c>
      <c r="Y315" s="33">
        <f t="shared" si="254"/>
        <v>7.9375</v>
      </c>
      <c r="Z315" s="28"/>
      <c r="AA315" s="28"/>
      <c r="AB315" s="61" t="s">
        <v>877</v>
      </c>
      <c r="AC315" s="31" t="s">
        <v>76</v>
      </c>
      <c r="AD315" s="50">
        <f t="shared" si="255"/>
        <v>4</v>
      </c>
      <c r="AE315" s="47" t="s">
        <v>878</v>
      </c>
      <c r="AF315" s="51">
        <v>14</v>
      </c>
      <c r="AG315" s="51">
        <f t="shared" si="282"/>
        <v>8.4</v>
      </c>
      <c r="AH315" s="51">
        <f t="shared" si="248"/>
        <v>42</v>
      </c>
      <c r="AI315" s="52" t="s">
        <v>2497</v>
      </c>
      <c r="AJ315" s="52" t="s">
        <v>2498</v>
      </c>
      <c r="AK315" s="53">
        <f t="shared" si="283"/>
        <v>0</v>
      </c>
      <c r="AL315" s="54">
        <f t="shared" si="284"/>
        <v>0.11904761904761904</v>
      </c>
      <c r="AM315" s="54">
        <f t="shared" si="285"/>
        <v>2.3809523809523808E-2</v>
      </c>
      <c r="AN315" s="55">
        <f t="shared" si="286"/>
        <v>0</v>
      </c>
      <c r="AO315" s="55">
        <f t="shared" si="287"/>
        <v>0</v>
      </c>
      <c r="AP315" s="53">
        <v>7.1</v>
      </c>
      <c r="AQ315" s="53">
        <f t="shared" si="256"/>
        <v>4.26</v>
      </c>
      <c r="AR315" s="53">
        <f t="shared" si="257"/>
        <v>21.299999999999997</v>
      </c>
      <c r="AS315" s="56">
        <f t="shared" si="258"/>
        <v>4.6948356807511742E-2</v>
      </c>
      <c r="AT315" s="56">
        <f t="shared" si="288"/>
        <v>0.23474178403755869</v>
      </c>
      <c r="AU315" s="56">
        <f t="shared" si="259"/>
        <v>0.176056338028169</v>
      </c>
      <c r="AV315" s="56">
        <f t="shared" si="289"/>
        <v>5.8685446009389672E-2</v>
      </c>
      <c r="AW315" s="57" t="s">
        <v>2511</v>
      </c>
      <c r="AX315" s="57" t="s">
        <v>2512</v>
      </c>
      <c r="AY315" s="57" t="s">
        <v>2513</v>
      </c>
      <c r="AZ315" s="58">
        <f t="shared" si="290"/>
        <v>0</v>
      </c>
      <c r="BA315" s="59">
        <f t="shared" si="293"/>
        <v>0</v>
      </c>
      <c r="BB315" s="59">
        <f t="shared" si="294"/>
        <v>0</v>
      </c>
      <c r="BC315" s="59">
        <f t="shared" si="295"/>
        <v>0</v>
      </c>
      <c r="BD315" s="60">
        <f t="shared" si="291"/>
        <v>1.8422991893883568E-5</v>
      </c>
      <c r="BE315" s="59">
        <f t="shared" si="292"/>
        <v>7.3691967575534271E-5</v>
      </c>
      <c r="BQ315" s="61">
        <v>3000</v>
      </c>
      <c r="BR315" s="61">
        <v>1200</v>
      </c>
      <c r="BS315" s="28">
        <f t="shared" si="260"/>
        <v>2980</v>
      </c>
      <c r="BT315" s="28">
        <f t="shared" si="261"/>
        <v>1180</v>
      </c>
      <c r="BU315" s="28" t="s">
        <v>2541</v>
      </c>
      <c r="BV315" s="28">
        <f t="shared" si="262"/>
        <v>5</v>
      </c>
      <c r="BW315" s="28">
        <f t="shared" si="263"/>
        <v>12.9375</v>
      </c>
      <c r="BX315" s="13">
        <f t="shared" si="264"/>
        <v>596</v>
      </c>
      <c r="BY315" s="13">
        <f t="shared" si="265"/>
        <v>596</v>
      </c>
      <c r="BZ315" s="13">
        <f t="shared" si="266"/>
        <v>91.207729468599027</v>
      </c>
      <c r="CA315" s="13">
        <f t="shared" si="267"/>
        <v>91</v>
      </c>
      <c r="CB315" s="13">
        <f t="shared" si="268"/>
        <v>54236</v>
      </c>
      <c r="CC315" s="62">
        <f t="shared" si="269"/>
        <v>1.8437937901025148E-5</v>
      </c>
      <c r="CD315" s="13">
        <f t="shared" si="270"/>
        <v>230.33816425120773</v>
      </c>
      <c r="CE315" s="13">
        <f t="shared" si="271"/>
        <v>230</v>
      </c>
      <c r="CF315" s="13">
        <f t="shared" si="272"/>
        <v>236</v>
      </c>
      <c r="CG315" s="13">
        <f t="shared" si="273"/>
        <v>236</v>
      </c>
      <c r="CH315" s="28">
        <f t="shared" si="274"/>
        <v>54280</v>
      </c>
      <c r="CI315" s="62">
        <f t="shared" si="275"/>
        <v>1.8422991893883568E-5</v>
      </c>
      <c r="CJ315" s="59">
        <f t="shared" si="276"/>
        <v>1.8422991893883568E-5</v>
      </c>
      <c r="CL315" s="63">
        <v>6000</v>
      </c>
      <c r="CM315" s="63">
        <f t="shared" si="277"/>
        <v>0</v>
      </c>
      <c r="CN315" s="63">
        <f t="shared" si="278"/>
        <v>5</v>
      </c>
      <c r="CO315" s="63">
        <f t="shared" si="279"/>
        <v>1200</v>
      </c>
      <c r="CP315" s="13">
        <f t="shared" si="280"/>
        <v>1200</v>
      </c>
      <c r="CQ315" s="70">
        <f t="shared" si="281"/>
        <v>8.3333333333333339E-4</v>
      </c>
      <c r="CR315" s="69">
        <f t="shared" si="249"/>
        <v>3.3333333333333335E-3</v>
      </c>
    </row>
    <row r="316" spans="1:96" hidden="1" x14ac:dyDescent="0.25">
      <c r="A316" s="13">
        <v>4</v>
      </c>
      <c r="B316" s="14" t="s">
        <v>843</v>
      </c>
      <c r="C316" s="13" t="s">
        <v>186</v>
      </c>
      <c r="D316" s="13" t="s">
        <v>187</v>
      </c>
      <c r="E316" s="13" t="s">
        <v>52</v>
      </c>
      <c r="F316" s="15">
        <f t="shared" si="250"/>
        <v>2</v>
      </c>
      <c r="G316" s="13">
        <v>1</v>
      </c>
      <c r="H316" s="13">
        <f t="shared" si="300"/>
        <v>1</v>
      </c>
      <c r="I316" s="13">
        <v>14</v>
      </c>
      <c r="J316" s="14" t="s">
        <v>76</v>
      </c>
      <c r="K316" s="14" t="s">
        <v>34</v>
      </c>
      <c r="L316" s="13" t="s">
        <v>77</v>
      </c>
      <c r="M316" s="14" t="s">
        <v>35</v>
      </c>
      <c r="N316" s="13" t="s">
        <v>187</v>
      </c>
      <c r="O316" s="28" t="s">
        <v>41</v>
      </c>
      <c r="P316" s="28" t="s">
        <v>41</v>
      </c>
      <c r="Q316" s="28" t="s">
        <v>79</v>
      </c>
      <c r="R316" s="30">
        <v>15.118110236220474</v>
      </c>
      <c r="S316" s="30">
        <v>0.3125</v>
      </c>
      <c r="T316" s="30"/>
      <c r="U316" s="30">
        <v>0.3125</v>
      </c>
      <c r="V316" s="8">
        <f t="shared" si="251"/>
        <v>384</v>
      </c>
      <c r="W316" s="8">
        <f t="shared" si="252"/>
        <v>7.9375</v>
      </c>
      <c r="X316" s="8">
        <f t="shared" si="253"/>
        <v>0</v>
      </c>
      <c r="Y316" s="33">
        <f t="shared" si="254"/>
        <v>7.9375</v>
      </c>
      <c r="Z316" s="28" t="s">
        <v>80</v>
      </c>
      <c r="AA316" s="28" t="s">
        <v>81</v>
      </c>
      <c r="AB316" s="61" t="s">
        <v>79</v>
      </c>
      <c r="AC316" s="31" t="s">
        <v>82</v>
      </c>
      <c r="AD316" s="50">
        <f t="shared" si="255"/>
        <v>1</v>
      </c>
      <c r="AE316" s="31"/>
      <c r="AF316" s="51">
        <v>14</v>
      </c>
      <c r="AG316" s="51">
        <f t="shared" si="282"/>
        <v>8.4</v>
      </c>
      <c r="AH316" s="51">
        <f t="shared" si="248"/>
        <v>42</v>
      </c>
      <c r="AI316" s="52" t="s">
        <v>2497</v>
      </c>
      <c r="AJ316" s="52" t="s">
        <v>2498</v>
      </c>
      <c r="AK316" s="53">
        <f t="shared" si="283"/>
        <v>6.0959999999999999E-3</v>
      </c>
      <c r="AL316" s="54">
        <f t="shared" si="284"/>
        <v>0.11904761904761904</v>
      </c>
      <c r="AM316" s="54">
        <f t="shared" si="285"/>
        <v>2.3809523809523808E-2</v>
      </c>
      <c r="AN316" s="55">
        <f t="shared" si="286"/>
        <v>7.257142857142857E-4</v>
      </c>
      <c r="AO316" s="55">
        <f t="shared" si="287"/>
        <v>1.4514285714285714E-4</v>
      </c>
      <c r="AP316" s="53">
        <v>7.1</v>
      </c>
      <c r="AQ316" s="53">
        <f t="shared" si="256"/>
        <v>4.26</v>
      </c>
      <c r="AR316" s="53">
        <f t="shared" si="257"/>
        <v>21.299999999999997</v>
      </c>
      <c r="AS316" s="56">
        <f t="shared" si="258"/>
        <v>4.6948356807511742E-2</v>
      </c>
      <c r="AT316" s="56">
        <f t="shared" si="288"/>
        <v>0.23474178403755869</v>
      </c>
      <c r="AU316" s="56">
        <f t="shared" si="259"/>
        <v>0.176056338028169</v>
      </c>
      <c r="AV316" s="56">
        <f t="shared" si="289"/>
        <v>5.8685446009389672E-2</v>
      </c>
      <c r="AW316" s="57" t="s">
        <v>2511</v>
      </c>
      <c r="AX316" s="57" t="s">
        <v>2512</v>
      </c>
      <c r="AY316" s="57" t="s">
        <v>2513</v>
      </c>
      <c r="AZ316" s="58">
        <f t="shared" si="290"/>
        <v>6.0959999999999999E-3</v>
      </c>
      <c r="BA316" s="59">
        <f t="shared" si="293"/>
        <v>1.7887323943661972E-4</v>
      </c>
      <c r="BB316" s="59">
        <f t="shared" si="294"/>
        <v>5.3661971830985908E-4</v>
      </c>
      <c r="BC316" s="59">
        <f t="shared" si="295"/>
        <v>1.4309859154929577E-4</v>
      </c>
      <c r="BD316" s="60">
        <f t="shared" si="291"/>
        <v>1.4492753623188406E-3</v>
      </c>
      <c r="BE316" s="59">
        <f t="shared" si="292"/>
        <v>1.4492753623188406E-3</v>
      </c>
      <c r="BQ316" s="61">
        <v>3000</v>
      </c>
      <c r="BR316" s="61">
        <v>1200</v>
      </c>
      <c r="BS316" s="28">
        <f t="shared" si="260"/>
        <v>2980</v>
      </c>
      <c r="BT316" s="28">
        <f t="shared" si="261"/>
        <v>1180</v>
      </c>
      <c r="BU316" s="28" t="s">
        <v>2541</v>
      </c>
      <c r="BV316" s="28">
        <f t="shared" si="262"/>
        <v>389</v>
      </c>
      <c r="BW316" s="28">
        <f t="shared" si="263"/>
        <v>12.9375</v>
      </c>
      <c r="BX316" s="13">
        <f t="shared" si="264"/>
        <v>7.6606683804627247</v>
      </c>
      <c r="BY316" s="13">
        <f t="shared" si="265"/>
        <v>7</v>
      </c>
      <c r="BZ316" s="13">
        <f t="shared" si="266"/>
        <v>91.207729468599027</v>
      </c>
      <c r="CA316" s="13">
        <f t="shared" si="267"/>
        <v>91</v>
      </c>
      <c r="CB316" s="13">
        <f t="shared" si="268"/>
        <v>637</v>
      </c>
      <c r="CC316" s="62">
        <f t="shared" si="269"/>
        <v>1.5698587127158557E-3</v>
      </c>
      <c r="CD316" s="13">
        <f t="shared" si="270"/>
        <v>230.33816425120773</v>
      </c>
      <c r="CE316" s="13">
        <f t="shared" si="271"/>
        <v>230</v>
      </c>
      <c r="CF316" s="13">
        <f t="shared" si="272"/>
        <v>3.033419023136247</v>
      </c>
      <c r="CG316" s="13">
        <f t="shared" si="273"/>
        <v>3</v>
      </c>
      <c r="CH316" s="28">
        <f t="shared" si="274"/>
        <v>690</v>
      </c>
      <c r="CI316" s="62">
        <f t="shared" si="275"/>
        <v>1.4492753623188406E-3</v>
      </c>
      <c r="CJ316" s="59">
        <f t="shared" si="276"/>
        <v>1.4492753623188406E-3</v>
      </c>
      <c r="CL316" s="63">
        <v>6000</v>
      </c>
      <c r="CM316" s="63">
        <f t="shared" si="277"/>
        <v>384</v>
      </c>
      <c r="CN316" s="63">
        <f t="shared" si="278"/>
        <v>389</v>
      </c>
      <c r="CO316" s="63">
        <f t="shared" si="279"/>
        <v>15.424164524421593</v>
      </c>
      <c r="CP316" s="13">
        <f t="shared" si="280"/>
        <v>15</v>
      </c>
      <c r="CQ316" s="70">
        <f t="shared" si="281"/>
        <v>6.6666666666666666E-2</v>
      </c>
      <c r="CR316" s="69">
        <f t="shared" si="249"/>
        <v>6.6666666666666666E-2</v>
      </c>
    </row>
    <row r="317" spans="1:96" hidden="1" x14ac:dyDescent="0.25">
      <c r="A317" s="13">
        <v>4</v>
      </c>
      <c r="B317" s="14" t="s">
        <v>843</v>
      </c>
      <c r="C317" s="13" t="s">
        <v>827</v>
      </c>
      <c r="D317" s="13" t="s">
        <v>828</v>
      </c>
      <c r="E317" s="13" t="s">
        <v>52</v>
      </c>
      <c r="F317" s="15">
        <f t="shared" si="250"/>
        <v>6</v>
      </c>
      <c r="G317" s="13">
        <v>2</v>
      </c>
      <c r="H317" s="13">
        <f t="shared" si="300"/>
        <v>2</v>
      </c>
      <c r="I317" s="13">
        <v>15</v>
      </c>
      <c r="J317" s="14" t="s">
        <v>76</v>
      </c>
      <c r="K317" s="14" t="s">
        <v>34</v>
      </c>
      <c r="L317" s="13" t="s">
        <v>77</v>
      </c>
      <c r="M317" s="14" t="s">
        <v>35</v>
      </c>
      <c r="N317" s="13" t="s">
        <v>828</v>
      </c>
      <c r="O317" s="28" t="s">
        <v>41</v>
      </c>
      <c r="P317" s="28" t="s">
        <v>41</v>
      </c>
      <c r="Q317" s="28" t="s">
        <v>79</v>
      </c>
      <c r="R317" s="30">
        <v>9.015748031496063</v>
      </c>
      <c r="S317" s="30">
        <v>0.3125</v>
      </c>
      <c r="T317" s="30"/>
      <c r="U317" s="30">
        <v>0.3125</v>
      </c>
      <c r="V317" s="8">
        <f t="shared" si="251"/>
        <v>229</v>
      </c>
      <c r="W317" s="8">
        <f t="shared" si="252"/>
        <v>7.9375</v>
      </c>
      <c r="X317" s="8">
        <f t="shared" si="253"/>
        <v>0</v>
      </c>
      <c r="Y317" s="33">
        <f t="shared" si="254"/>
        <v>7.9375</v>
      </c>
      <c r="Z317" s="28" t="s">
        <v>80</v>
      </c>
      <c r="AA317" s="28" t="s">
        <v>81</v>
      </c>
      <c r="AB317" s="61" t="s">
        <v>79</v>
      </c>
      <c r="AC317" s="31" t="s">
        <v>82</v>
      </c>
      <c r="AD317" s="50">
        <f t="shared" si="255"/>
        <v>2</v>
      </c>
      <c r="AE317" s="31"/>
      <c r="AF317" s="51">
        <v>14</v>
      </c>
      <c r="AG317" s="51">
        <f t="shared" si="282"/>
        <v>8.4</v>
      </c>
      <c r="AH317" s="51">
        <f t="shared" si="248"/>
        <v>42</v>
      </c>
      <c r="AI317" s="52" t="s">
        <v>2497</v>
      </c>
      <c r="AJ317" s="52" t="s">
        <v>2498</v>
      </c>
      <c r="AK317" s="53">
        <f t="shared" si="283"/>
        <v>3.6353750000000002E-3</v>
      </c>
      <c r="AL317" s="54">
        <f t="shared" si="284"/>
        <v>0.11904761904761904</v>
      </c>
      <c r="AM317" s="54">
        <f t="shared" si="285"/>
        <v>2.3809523809523808E-2</v>
      </c>
      <c r="AN317" s="55">
        <f t="shared" si="286"/>
        <v>8.6556547619047615E-4</v>
      </c>
      <c r="AO317" s="55">
        <f t="shared" si="287"/>
        <v>1.7311309523809524E-4</v>
      </c>
      <c r="AP317" s="53">
        <v>7.1</v>
      </c>
      <c r="AQ317" s="53">
        <f t="shared" si="256"/>
        <v>4.26</v>
      </c>
      <c r="AR317" s="53">
        <f t="shared" si="257"/>
        <v>21.299999999999997</v>
      </c>
      <c r="AS317" s="56">
        <f t="shared" si="258"/>
        <v>4.6948356807511742E-2</v>
      </c>
      <c r="AT317" s="56">
        <f t="shared" si="288"/>
        <v>0.23474178403755869</v>
      </c>
      <c r="AU317" s="56">
        <f t="shared" si="259"/>
        <v>0.176056338028169</v>
      </c>
      <c r="AV317" s="56">
        <f t="shared" si="289"/>
        <v>5.8685446009389672E-2</v>
      </c>
      <c r="AW317" s="57" t="s">
        <v>2511</v>
      </c>
      <c r="AX317" s="57" t="s">
        <v>2512</v>
      </c>
      <c r="AY317" s="57" t="s">
        <v>2513</v>
      </c>
      <c r="AZ317" s="58">
        <f t="shared" si="290"/>
        <v>3.6353750000000002E-3</v>
      </c>
      <c r="BA317" s="59">
        <f t="shared" si="293"/>
        <v>2.1334360328638499E-4</v>
      </c>
      <c r="BB317" s="59">
        <f t="shared" si="294"/>
        <v>6.4003080985915487E-4</v>
      </c>
      <c r="BC317" s="59">
        <f t="shared" si="295"/>
        <v>1.7067488262910801E-4</v>
      </c>
      <c r="BD317" s="60">
        <f t="shared" si="291"/>
        <v>8.6956521739130438E-4</v>
      </c>
      <c r="BE317" s="59">
        <f t="shared" si="292"/>
        <v>1.7391304347826088E-3</v>
      </c>
      <c r="BQ317" s="61">
        <v>3000</v>
      </c>
      <c r="BR317" s="61">
        <v>1200</v>
      </c>
      <c r="BS317" s="28">
        <f t="shared" si="260"/>
        <v>2980</v>
      </c>
      <c r="BT317" s="28">
        <f t="shared" si="261"/>
        <v>1180</v>
      </c>
      <c r="BU317" s="28" t="s">
        <v>2541</v>
      </c>
      <c r="BV317" s="28">
        <f t="shared" si="262"/>
        <v>234</v>
      </c>
      <c r="BW317" s="28">
        <f t="shared" si="263"/>
        <v>12.9375</v>
      </c>
      <c r="BX317" s="13">
        <f t="shared" si="264"/>
        <v>12.735042735042734</v>
      </c>
      <c r="BY317" s="13">
        <f t="shared" si="265"/>
        <v>12</v>
      </c>
      <c r="BZ317" s="13">
        <f t="shared" si="266"/>
        <v>91.207729468599027</v>
      </c>
      <c r="CA317" s="13">
        <f t="shared" si="267"/>
        <v>91</v>
      </c>
      <c r="CB317" s="13">
        <f t="shared" si="268"/>
        <v>1092</v>
      </c>
      <c r="CC317" s="62">
        <f t="shared" si="269"/>
        <v>9.1575091575091575E-4</v>
      </c>
      <c r="CD317" s="13">
        <f t="shared" si="270"/>
        <v>230.33816425120773</v>
      </c>
      <c r="CE317" s="13">
        <f t="shared" si="271"/>
        <v>230</v>
      </c>
      <c r="CF317" s="13">
        <f t="shared" si="272"/>
        <v>5.0427350427350426</v>
      </c>
      <c r="CG317" s="13">
        <f t="shared" si="273"/>
        <v>5</v>
      </c>
      <c r="CH317" s="28">
        <f t="shared" si="274"/>
        <v>1150</v>
      </c>
      <c r="CI317" s="62">
        <f t="shared" si="275"/>
        <v>8.6956521739130438E-4</v>
      </c>
      <c r="CJ317" s="59">
        <f t="shared" si="276"/>
        <v>8.6956521739130438E-4</v>
      </c>
      <c r="CL317" s="63">
        <v>6000</v>
      </c>
      <c r="CM317" s="63">
        <f t="shared" si="277"/>
        <v>229</v>
      </c>
      <c r="CN317" s="63">
        <f t="shared" si="278"/>
        <v>234</v>
      </c>
      <c r="CO317" s="63">
        <f t="shared" si="279"/>
        <v>25.641025641025642</v>
      </c>
      <c r="CP317" s="13">
        <f t="shared" si="280"/>
        <v>25</v>
      </c>
      <c r="CQ317" s="70">
        <f t="shared" si="281"/>
        <v>0.04</v>
      </c>
      <c r="CR317" s="69">
        <f t="shared" si="249"/>
        <v>0.08</v>
      </c>
    </row>
    <row r="318" spans="1:96" hidden="1" x14ac:dyDescent="0.25">
      <c r="A318" s="10">
        <v>3</v>
      </c>
      <c r="B318" s="8" t="s">
        <v>720</v>
      </c>
      <c r="C318" s="10" t="s">
        <v>382</v>
      </c>
      <c r="D318" s="10" t="s">
        <v>709</v>
      </c>
      <c r="E318" s="10" t="s">
        <v>52</v>
      </c>
      <c r="F318" s="12">
        <f t="shared" si="250"/>
        <v>6</v>
      </c>
      <c r="G318" s="10">
        <v>4</v>
      </c>
      <c r="H318" s="10">
        <f t="shared" ref="H318:H320" si="301">G318*$H$234</f>
        <v>4</v>
      </c>
      <c r="I318" s="10">
        <v>10</v>
      </c>
      <c r="J318" s="8" t="s">
        <v>76</v>
      </c>
      <c r="K318" s="8" t="s">
        <v>34</v>
      </c>
      <c r="L318" s="10" t="s">
        <v>77</v>
      </c>
      <c r="M318" s="8" t="s">
        <v>35</v>
      </c>
      <c r="N318" s="10" t="s">
        <v>709</v>
      </c>
      <c r="O318" s="28" t="s">
        <v>41</v>
      </c>
      <c r="P318" s="28" t="s">
        <v>41</v>
      </c>
      <c r="Q318" s="28" t="s">
        <v>79</v>
      </c>
      <c r="R318" s="30">
        <v>21.023622047244096</v>
      </c>
      <c r="S318" s="30">
        <v>0.3125</v>
      </c>
      <c r="T318" s="30"/>
      <c r="U318" s="30">
        <v>0.3125</v>
      </c>
      <c r="V318" s="8">
        <f t="shared" si="251"/>
        <v>534</v>
      </c>
      <c r="W318" s="8">
        <f t="shared" si="252"/>
        <v>7.9375</v>
      </c>
      <c r="X318" s="8">
        <f t="shared" si="253"/>
        <v>0</v>
      </c>
      <c r="Y318" s="33">
        <f t="shared" si="254"/>
        <v>7.9375</v>
      </c>
      <c r="Z318" s="28" t="s">
        <v>80</v>
      </c>
      <c r="AA318" s="28" t="s">
        <v>81</v>
      </c>
      <c r="AB318" s="61" t="s">
        <v>79</v>
      </c>
      <c r="AC318" s="31" t="s">
        <v>82</v>
      </c>
      <c r="AD318" s="50">
        <f t="shared" si="255"/>
        <v>4</v>
      </c>
      <c r="AE318" s="31"/>
      <c r="AF318" s="51">
        <v>14</v>
      </c>
      <c r="AG318" s="51">
        <f t="shared" si="282"/>
        <v>8.4</v>
      </c>
      <c r="AH318" s="51">
        <f t="shared" si="248"/>
        <v>42</v>
      </c>
      <c r="AI318" s="52" t="s">
        <v>2497</v>
      </c>
      <c r="AJ318" s="52" t="s">
        <v>2498</v>
      </c>
      <c r="AK318" s="53">
        <f t="shared" si="283"/>
        <v>8.4772500000000004E-3</v>
      </c>
      <c r="AL318" s="54">
        <f t="shared" si="284"/>
        <v>0.11904761904761904</v>
      </c>
      <c r="AM318" s="54">
        <f t="shared" si="285"/>
        <v>2.3809523809523808E-2</v>
      </c>
      <c r="AN318" s="55">
        <f t="shared" si="286"/>
        <v>4.0367857142857141E-3</v>
      </c>
      <c r="AO318" s="55">
        <f t="shared" si="287"/>
        <v>8.0735714285714287E-4</v>
      </c>
      <c r="AP318" s="53">
        <v>7.1</v>
      </c>
      <c r="AQ318" s="53">
        <f t="shared" si="256"/>
        <v>4.26</v>
      </c>
      <c r="AR318" s="53">
        <f t="shared" si="257"/>
        <v>21.299999999999997</v>
      </c>
      <c r="AS318" s="56">
        <f t="shared" si="258"/>
        <v>4.6948356807511742E-2</v>
      </c>
      <c r="AT318" s="56">
        <f t="shared" si="288"/>
        <v>0.23474178403755869</v>
      </c>
      <c r="AU318" s="56">
        <f t="shared" si="259"/>
        <v>0.176056338028169</v>
      </c>
      <c r="AV318" s="56">
        <f t="shared" si="289"/>
        <v>5.8685446009389672E-2</v>
      </c>
      <c r="AW318" s="57" t="s">
        <v>2511</v>
      </c>
      <c r="AX318" s="57" t="s">
        <v>2512</v>
      </c>
      <c r="AY318" s="57" t="s">
        <v>2513</v>
      </c>
      <c r="AZ318" s="58">
        <f t="shared" si="290"/>
        <v>8.4772500000000004E-3</v>
      </c>
      <c r="BA318" s="59">
        <f t="shared" si="293"/>
        <v>9.9498239436619719E-4</v>
      </c>
      <c r="BB318" s="59">
        <f t="shared" si="294"/>
        <v>2.9849471830985914E-3</v>
      </c>
      <c r="BC318" s="59">
        <f t="shared" si="295"/>
        <v>7.9598591549295784E-4</v>
      </c>
      <c r="BD318" s="60">
        <f t="shared" si="291"/>
        <v>2.1739130434782609E-3</v>
      </c>
      <c r="BE318" s="59">
        <f t="shared" si="292"/>
        <v>8.6956521739130436E-3</v>
      </c>
      <c r="BQ318" s="61">
        <v>3000</v>
      </c>
      <c r="BR318" s="61">
        <v>1200</v>
      </c>
      <c r="BS318" s="28">
        <f t="shared" si="260"/>
        <v>2980</v>
      </c>
      <c r="BT318" s="28">
        <f t="shared" si="261"/>
        <v>1180</v>
      </c>
      <c r="BU318" s="28" t="s">
        <v>2541</v>
      </c>
      <c r="BV318" s="28">
        <f t="shared" si="262"/>
        <v>539</v>
      </c>
      <c r="BW318" s="28">
        <f t="shared" si="263"/>
        <v>12.9375</v>
      </c>
      <c r="BX318" s="13">
        <f t="shared" si="264"/>
        <v>5.5287569573283859</v>
      </c>
      <c r="BY318" s="13">
        <f t="shared" si="265"/>
        <v>5</v>
      </c>
      <c r="BZ318" s="13">
        <f t="shared" si="266"/>
        <v>91.207729468599027</v>
      </c>
      <c r="CA318" s="13">
        <f t="shared" si="267"/>
        <v>91</v>
      </c>
      <c r="CB318" s="13">
        <f t="shared" si="268"/>
        <v>455</v>
      </c>
      <c r="CC318" s="62">
        <f t="shared" si="269"/>
        <v>2.1978021978021978E-3</v>
      </c>
      <c r="CD318" s="13">
        <f t="shared" si="270"/>
        <v>230.33816425120773</v>
      </c>
      <c r="CE318" s="13">
        <f t="shared" si="271"/>
        <v>230</v>
      </c>
      <c r="CF318" s="13">
        <f t="shared" si="272"/>
        <v>2.1892393320964749</v>
      </c>
      <c r="CG318" s="13">
        <f t="shared" si="273"/>
        <v>2</v>
      </c>
      <c r="CH318" s="28">
        <f t="shared" si="274"/>
        <v>460</v>
      </c>
      <c r="CI318" s="62">
        <f t="shared" si="275"/>
        <v>2.1739130434782609E-3</v>
      </c>
      <c r="CJ318" s="59">
        <f t="shared" si="276"/>
        <v>2.1739130434782609E-3</v>
      </c>
      <c r="CL318" s="63">
        <v>6000</v>
      </c>
      <c r="CM318" s="63">
        <f t="shared" si="277"/>
        <v>534</v>
      </c>
      <c r="CN318" s="63">
        <f t="shared" si="278"/>
        <v>539</v>
      </c>
      <c r="CO318" s="63">
        <f t="shared" si="279"/>
        <v>11.131725417439704</v>
      </c>
      <c r="CP318" s="13">
        <f t="shared" si="280"/>
        <v>11</v>
      </c>
      <c r="CQ318" s="70">
        <f t="shared" si="281"/>
        <v>9.0909090909090912E-2</v>
      </c>
      <c r="CR318" s="69">
        <f t="shared" si="249"/>
        <v>0.36363636363636365</v>
      </c>
    </row>
    <row r="319" spans="1:96" hidden="1" x14ac:dyDescent="0.25">
      <c r="A319" s="10">
        <v>3</v>
      </c>
      <c r="B319" s="8" t="s">
        <v>720</v>
      </c>
      <c r="C319" s="10" t="s">
        <v>94</v>
      </c>
      <c r="D319" s="10" t="s">
        <v>95</v>
      </c>
      <c r="E319" s="10" t="s">
        <v>52</v>
      </c>
      <c r="F319" s="12">
        <f t="shared" si="250"/>
        <v>13</v>
      </c>
      <c r="G319" s="10">
        <v>1</v>
      </c>
      <c r="H319" s="10">
        <f t="shared" si="301"/>
        <v>1</v>
      </c>
      <c r="I319" s="10">
        <v>11</v>
      </c>
      <c r="J319" s="8" t="s">
        <v>76</v>
      </c>
      <c r="K319" s="8" t="s">
        <v>34</v>
      </c>
      <c r="L319" s="10" t="s">
        <v>77</v>
      </c>
      <c r="M319" s="8" t="s">
        <v>35</v>
      </c>
      <c r="N319" s="10" t="s">
        <v>95</v>
      </c>
      <c r="O319" s="28" t="s">
        <v>41</v>
      </c>
      <c r="P319" s="28" t="s">
        <v>41</v>
      </c>
      <c r="Q319" s="28" t="s">
        <v>79</v>
      </c>
      <c r="R319" s="30">
        <v>7.0078740157480315</v>
      </c>
      <c r="S319" s="30">
        <v>0.3125</v>
      </c>
      <c r="T319" s="30"/>
      <c r="U319" s="30">
        <v>0.3125</v>
      </c>
      <c r="V319" s="8">
        <f t="shared" si="251"/>
        <v>178</v>
      </c>
      <c r="W319" s="8">
        <f t="shared" si="252"/>
        <v>7.9375</v>
      </c>
      <c r="X319" s="8">
        <f t="shared" si="253"/>
        <v>0</v>
      </c>
      <c r="Y319" s="33">
        <f t="shared" si="254"/>
        <v>7.9375</v>
      </c>
      <c r="Z319" s="28" t="s">
        <v>80</v>
      </c>
      <c r="AA319" s="28" t="s">
        <v>81</v>
      </c>
      <c r="AB319" s="61" t="s">
        <v>79</v>
      </c>
      <c r="AC319" s="31" t="s">
        <v>82</v>
      </c>
      <c r="AD319" s="50">
        <f t="shared" si="255"/>
        <v>1</v>
      </c>
      <c r="AE319" s="47" t="s">
        <v>107</v>
      </c>
      <c r="AF319" s="51">
        <v>14</v>
      </c>
      <c r="AG319" s="51">
        <f t="shared" si="282"/>
        <v>8.4</v>
      </c>
      <c r="AH319" s="51">
        <f t="shared" si="248"/>
        <v>42</v>
      </c>
      <c r="AI319" s="52" t="s">
        <v>2497</v>
      </c>
      <c r="AJ319" s="52" t="s">
        <v>2498</v>
      </c>
      <c r="AK319" s="53">
        <f t="shared" si="283"/>
        <v>2.8257500000000001E-3</v>
      </c>
      <c r="AL319" s="54">
        <f t="shared" si="284"/>
        <v>0.11904761904761904</v>
      </c>
      <c r="AM319" s="54">
        <f t="shared" si="285"/>
        <v>2.3809523809523808E-2</v>
      </c>
      <c r="AN319" s="55">
        <f t="shared" si="286"/>
        <v>3.3639880952380955E-4</v>
      </c>
      <c r="AO319" s="55">
        <f t="shared" si="287"/>
        <v>6.7279761904761901E-5</v>
      </c>
      <c r="AP319" s="53">
        <v>7.1</v>
      </c>
      <c r="AQ319" s="53">
        <f t="shared" si="256"/>
        <v>4.26</v>
      </c>
      <c r="AR319" s="53">
        <f t="shared" si="257"/>
        <v>21.299999999999997</v>
      </c>
      <c r="AS319" s="56">
        <f t="shared" si="258"/>
        <v>4.6948356807511742E-2</v>
      </c>
      <c r="AT319" s="56">
        <f t="shared" si="288"/>
        <v>0.23474178403755869</v>
      </c>
      <c r="AU319" s="56">
        <f t="shared" si="259"/>
        <v>0.176056338028169</v>
      </c>
      <c r="AV319" s="56">
        <f t="shared" si="289"/>
        <v>5.8685446009389672E-2</v>
      </c>
      <c r="AW319" s="57" t="s">
        <v>2511</v>
      </c>
      <c r="AX319" s="57" t="s">
        <v>2512</v>
      </c>
      <c r="AY319" s="57" t="s">
        <v>2513</v>
      </c>
      <c r="AZ319" s="58">
        <f t="shared" si="290"/>
        <v>2.8257500000000001E-3</v>
      </c>
      <c r="BA319" s="59">
        <f t="shared" si="293"/>
        <v>8.2915199530516433E-5</v>
      </c>
      <c r="BB319" s="59">
        <f t="shared" si="294"/>
        <v>2.487455985915493E-4</v>
      </c>
      <c r="BC319" s="59">
        <f t="shared" si="295"/>
        <v>6.6332159624413149E-5</v>
      </c>
      <c r="BD319" s="60">
        <f t="shared" si="291"/>
        <v>6.8681318681318687E-4</v>
      </c>
      <c r="BE319" s="59">
        <f t="shared" si="292"/>
        <v>6.8681318681318687E-4</v>
      </c>
      <c r="BQ319" s="61">
        <v>3000</v>
      </c>
      <c r="BR319" s="61">
        <v>1200</v>
      </c>
      <c r="BS319" s="28">
        <f t="shared" si="260"/>
        <v>2980</v>
      </c>
      <c r="BT319" s="28">
        <f t="shared" si="261"/>
        <v>1180</v>
      </c>
      <c r="BU319" s="28" t="s">
        <v>2541</v>
      </c>
      <c r="BV319" s="28">
        <f t="shared" si="262"/>
        <v>183</v>
      </c>
      <c r="BW319" s="28">
        <f t="shared" si="263"/>
        <v>12.9375</v>
      </c>
      <c r="BX319" s="13">
        <f t="shared" si="264"/>
        <v>16.284153005464482</v>
      </c>
      <c r="BY319" s="13">
        <f t="shared" si="265"/>
        <v>16</v>
      </c>
      <c r="BZ319" s="13">
        <f t="shared" si="266"/>
        <v>91.207729468599027</v>
      </c>
      <c r="CA319" s="13">
        <f t="shared" si="267"/>
        <v>91</v>
      </c>
      <c r="CB319" s="13">
        <f t="shared" si="268"/>
        <v>1456</v>
      </c>
      <c r="CC319" s="62">
        <f t="shared" si="269"/>
        <v>6.8681318681318687E-4</v>
      </c>
      <c r="CD319" s="13">
        <f t="shared" si="270"/>
        <v>230.33816425120773</v>
      </c>
      <c r="CE319" s="13">
        <f t="shared" si="271"/>
        <v>230</v>
      </c>
      <c r="CF319" s="13">
        <f t="shared" si="272"/>
        <v>6.4480874316939891</v>
      </c>
      <c r="CG319" s="13">
        <f t="shared" si="273"/>
        <v>6</v>
      </c>
      <c r="CH319" s="28">
        <f t="shared" si="274"/>
        <v>1380</v>
      </c>
      <c r="CI319" s="62">
        <f t="shared" si="275"/>
        <v>7.246376811594203E-4</v>
      </c>
      <c r="CJ319" s="59">
        <f t="shared" si="276"/>
        <v>6.8681318681318687E-4</v>
      </c>
      <c r="CL319" s="63">
        <v>6000</v>
      </c>
      <c r="CM319" s="63">
        <f t="shared" si="277"/>
        <v>178</v>
      </c>
      <c r="CN319" s="63">
        <f t="shared" si="278"/>
        <v>183</v>
      </c>
      <c r="CO319" s="63">
        <f t="shared" si="279"/>
        <v>32.786885245901637</v>
      </c>
      <c r="CP319" s="13">
        <f t="shared" si="280"/>
        <v>32</v>
      </c>
      <c r="CQ319" s="70">
        <f t="shared" si="281"/>
        <v>3.125E-2</v>
      </c>
      <c r="CR319" s="69">
        <f t="shared" si="249"/>
        <v>3.125E-2</v>
      </c>
    </row>
    <row r="320" spans="1:96" hidden="1" x14ac:dyDescent="0.25">
      <c r="A320" s="10">
        <v>3</v>
      </c>
      <c r="B320" s="8" t="s">
        <v>720</v>
      </c>
      <c r="C320" s="10" t="s">
        <v>879</v>
      </c>
      <c r="D320" s="10" t="s">
        <v>2270</v>
      </c>
      <c r="E320" s="10" t="s">
        <v>32</v>
      </c>
      <c r="F320" s="12">
        <f t="shared" si="250"/>
        <v>1</v>
      </c>
      <c r="G320" s="10">
        <v>1</v>
      </c>
      <c r="H320" s="10">
        <f t="shared" si="301"/>
        <v>1</v>
      </c>
      <c r="I320" s="10">
        <v>12</v>
      </c>
      <c r="J320" s="8" t="s">
        <v>880</v>
      </c>
      <c r="K320" s="8" t="s">
        <v>34</v>
      </c>
      <c r="L320" s="10">
        <v>0</v>
      </c>
      <c r="M320" s="8" t="s">
        <v>35</v>
      </c>
      <c r="N320" s="10" t="s">
        <v>881</v>
      </c>
      <c r="O320" s="28" t="s">
        <v>41</v>
      </c>
      <c r="P320" s="28" t="s">
        <v>41</v>
      </c>
      <c r="Q320" s="28"/>
      <c r="R320" s="30"/>
      <c r="S320" s="30"/>
      <c r="T320" s="30"/>
      <c r="U320" s="30"/>
      <c r="V320" s="8">
        <f t="shared" si="251"/>
        <v>0</v>
      </c>
      <c r="W320" s="8">
        <f t="shared" si="252"/>
        <v>0</v>
      </c>
      <c r="X320" s="8">
        <f t="shared" si="253"/>
        <v>0</v>
      </c>
      <c r="Y320" s="33">
        <f t="shared" si="254"/>
        <v>0</v>
      </c>
      <c r="Z320" s="28"/>
      <c r="AA320" s="28"/>
      <c r="AB320" s="28">
        <v>0</v>
      </c>
      <c r="AC320" s="31"/>
      <c r="AD320" s="50">
        <f t="shared" si="255"/>
        <v>1</v>
      </c>
      <c r="AE320" s="31"/>
      <c r="AF320" s="51">
        <v>14</v>
      </c>
      <c r="AG320" s="51">
        <f t="shared" si="282"/>
        <v>8.4</v>
      </c>
      <c r="AH320" s="51">
        <f t="shared" si="248"/>
        <v>42</v>
      </c>
      <c r="AI320" s="52" t="s">
        <v>2497</v>
      </c>
      <c r="AJ320" s="52" t="s">
        <v>2498</v>
      </c>
      <c r="AK320" s="53">
        <f t="shared" si="283"/>
        <v>0</v>
      </c>
      <c r="AL320" s="54">
        <f t="shared" si="284"/>
        <v>0.11904761904761904</v>
      </c>
      <c r="AM320" s="54">
        <f t="shared" si="285"/>
        <v>2.3809523809523808E-2</v>
      </c>
      <c r="AN320" s="55">
        <f t="shared" si="286"/>
        <v>0</v>
      </c>
      <c r="AO320" s="55">
        <f t="shared" si="287"/>
        <v>0</v>
      </c>
      <c r="AP320" s="53">
        <v>7.1</v>
      </c>
      <c r="AQ320" s="53">
        <f t="shared" si="256"/>
        <v>4.26</v>
      </c>
      <c r="AR320" s="53">
        <f t="shared" si="257"/>
        <v>21.299999999999997</v>
      </c>
      <c r="AS320" s="56">
        <f t="shared" si="258"/>
        <v>4.6948356807511742E-2</v>
      </c>
      <c r="AT320" s="56">
        <f t="shared" si="288"/>
        <v>0.23474178403755869</v>
      </c>
      <c r="AU320" s="56">
        <f t="shared" si="259"/>
        <v>0.176056338028169</v>
      </c>
      <c r="AV320" s="56">
        <f t="shared" si="289"/>
        <v>5.8685446009389672E-2</v>
      </c>
      <c r="AW320" s="57" t="s">
        <v>2511</v>
      </c>
      <c r="AX320" s="57" t="s">
        <v>2512</v>
      </c>
      <c r="AY320" s="57" t="s">
        <v>2513</v>
      </c>
      <c r="AZ320" s="58">
        <f t="shared" si="290"/>
        <v>0</v>
      </c>
      <c r="BA320" s="59">
        <f t="shared" si="293"/>
        <v>0</v>
      </c>
      <c r="BB320" s="59">
        <f t="shared" si="294"/>
        <v>0</v>
      </c>
      <c r="BC320" s="59">
        <f t="shared" si="295"/>
        <v>0</v>
      </c>
      <c r="BD320" s="60">
        <f t="shared" si="291"/>
        <v>0</v>
      </c>
      <c r="BE320" s="59">
        <f t="shared" si="292"/>
        <v>0</v>
      </c>
      <c r="BQ320" s="61">
        <v>3000</v>
      </c>
      <c r="BR320" s="61">
        <v>1200</v>
      </c>
      <c r="BS320" s="28">
        <f t="shared" si="260"/>
        <v>2980</v>
      </c>
      <c r="BT320" s="28">
        <f t="shared" si="261"/>
        <v>1180</v>
      </c>
      <c r="BU320" s="28" t="s">
        <v>2541</v>
      </c>
      <c r="BV320" s="28">
        <f t="shared" si="262"/>
        <v>5</v>
      </c>
      <c r="BW320" s="28">
        <f t="shared" si="263"/>
        <v>5</v>
      </c>
      <c r="BX320" s="13">
        <f t="shared" si="264"/>
        <v>596</v>
      </c>
      <c r="BY320" s="13">
        <f t="shared" si="265"/>
        <v>596</v>
      </c>
      <c r="BZ320" s="13">
        <f t="shared" si="266"/>
        <v>236</v>
      </c>
      <c r="CA320" s="13">
        <f t="shared" si="267"/>
        <v>236</v>
      </c>
      <c r="CB320" s="13">
        <f t="shared" si="268"/>
        <v>140656</v>
      </c>
      <c r="CC320" s="62" t="str">
        <f t="shared" si="269"/>
        <v/>
      </c>
      <c r="CD320" s="13">
        <f t="shared" si="270"/>
        <v>596</v>
      </c>
      <c r="CE320" s="13">
        <f t="shared" si="271"/>
        <v>596</v>
      </c>
      <c r="CF320" s="13">
        <f t="shared" si="272"/>
        <v>236</v>
      </c>
      <c r="CG320" s="13">
        <f t="shared" si="273"/>
        <v>236</v>
      </c>
      <c r="CH320" s="28">
        <f t="shared" si="274"/>
        <v>140656</v>
      </c>
      <c r="CI320" s="62" t="str">
        <f t="shared" si="275"/>
        <v/>
      </c>
      <c r="CJ320" s="59">
        <f t="shared" si="276"/>
        <v>0</v>
      </c>
      <c r="CL320" s="63">
        <v>6000</v>
      </c>
      <c r="CM320" s="63">
        <f t="shared" si="277"/>
        <v>0</v>
      </c>
      <c r="CN320" s="63">
        <f t="shared" si="278"/>
        <v>5</v>
      </c>
      <c r="CO320" s="63">
        <f t="shared" si="279"/>
        <v>1200</v>
      </c>
      <c r="CP320" s="13">
        <f t="shared" si="280"/>
        <v>1200</v>
      </c>
      <c r="CQ320" s="70">
        <f t="shared" si="281"/>
        <v>8.3333333333333339E-4</v>
      </c>
      <c r="CR320" s="69">
        <f t="shared" si="249"/>
        <v>8.3333333333333339E-4</v>
      </c>
    </row>
    <row r="321" spans="1:96" hidden="1" x14ac:dyDescent="0.25">
      <c r="A321" s="13">
        <v>4</v>
      </c>
      <c r="B321" s="14" t="s">
        <v>882</v>
      </c>
      <c r="C321" s="13" t="s">
        <v>883</v>
      </c>
      <c r="D321" s="13" t="s">
        <v>2270</v>
      </c>
      <c r="E321" s="13" t="s">
        <v>52</v>
      </c>
      <c r="F321" s="15">
        <f t="shared" si="250"/>
        <v>1</v>
      </c>
      <c r="G321" s="13">
        <v>1</v>
      </c>
      <c r="H321" s="13">
        <f>G321*$H$320</f>
        <v>1</v>
      </c>
      <c r="I321" s="13">
        <v>1</v>
      </c>
      <c r="J321" s="14" t="s">
        <v>155</v>
      </c>
      <c r="K321" s="14" t="s">
        <v>34</v>
      </c>
      <c r="L321" s="13">
        <v>0</v>
      </c>
      <c r="M321" s="14" t="s">
        <v>35</v>
      </c>
      <c r="N321" s="13" t="s">
        <v>884</v>
      </c>
      <c r="O321" s="28" t="s">
        <v>41</v>
      </c>
      <c r="P321" s="28" t="s">
        <v>41</v>
      </c>
      <c r="Q321" s="28" t="s">
        <v>116</v>
      </c>
      <c r="R321" s="30">
        <v>69.724999999999994</v>
      </c>
      <c r="S321" s="30">
        <v>6.7220000000000004</v>
      </c>
      <c r="T321" s="30"/>
      <c r="U321" s="30">
        <v>0.12</v>
      </c>
      <c r="V321" s="8">
        <f t="shared" si="251"/>
        <v>1771.0149999999996</v>
      </c>
      <c r="W321" s="8">
        <f t="shared" si="252"/>
        <v>170.7388</v>
      </c>
      <c r="X321" s="8">
        <f t="shared" si="253"/>
        <v>0</v>
      </c>
      <c r="Y321" s="33">
        <f t="shared" si="254"/>
        <v>3.0479999999999996</v>
      </c>
      <c r="Z321" s="28" t="s">
        <v>56</v>
      </c>
      <c r="AA321" s="28" t="s">
        <v>57</v>
      </c>
      <c r="AB321" s="28" t="s">
        <v>116</v>
      </c>
      <c r="AC321" s="31" t="s">
        <v>117</v>
      </c>
      <c r="AD321" s="50">
        <f t="shared" si="255"/>
        <v>1</v>
      </c>
      <c r="AE321" s="31"/>
      <c r="AF321" s="51">
        <v>14</v>
      </c>
      <c r="AG321" s="51">
        <f t="shared" si="282"/>
        <v>8.4</v>
      </c>
      <c r="AH321" s="51">
        <f t="shared" si="248"/>
        <v>42</v>
      </c>
      <c r="AI321" s="52" t="s">
        <v>2497</v>
      </c>
      <c r="AJ321" s="52" t="s">
        <v>2498</v>
      </c>
      <c r="AK321" s="53">
        <f t="shared" si="283"/>
        <v>0.60476195176399983</v>
      </c>
      <c r="AL321" s="54">
        <f t="shared" si="284"/>
        <v>0.11904761904761904</v>
      </c>
      <c r="AM321" s="54">
        <f t="shared" si="285"/>
        <v>2.3809523809523808E-2</v>
      </c>
      <c r="AN321" s="55">
        <f t="shared" si="286"/>
        <v>7.199547044809522E-2</v>
      </c>
      <c r="AO321" s="55">
        <f t="shared" si="287"/>
        <v>1.4399094089619043E-2</v>
      </c>
      <c r="AP321" s="53">
        <v>7.1</v>
      </c>
      <c r="AQ321" s="53">
        <f t="shared" si="256"/>
        <v>4.26</v>
      </c>
      <c r="AR321" s="53">
        <f t="shared" si="257"/>
        <v>21.299999999999997</v>
      </c>
      <c r="AS321" s="56">
        <f t="shared" si="258"/>
        <v>4.6948356807511742E-2</v>
      </c>
      <c r="AT321" s="56">
        <f t="shared" si="288"/>
        <v>0.23474178403755869</v>
      </c>
      <c r="AU321" s="56">
        <f t="shared" si="259"/>
        <v>0.176056338028169</v>
      </c>
      <c r="AV321" s="56">
        <f t="shared" si="289"/>
        <v>5.8685446009389672E-2</v>
      </c>
      <c r="AW321" s="57" t="s">
        <v>2511</v>
      </c>
      <c r="AX321" s="57" t="s">
        <v>2512</v>
      </c>
      <c r="AY321" s="57" t="s">
        <v>2513</v>
      </c>
      <c r="AZ321" s="58">
        <f t="shared" si="290"/>
        <v>0.60476195176399983</v>
      </c>
      <c r="BA321" s="59">
        <f t="shared" si="293"/>
        <v>1.7745362434389667E-2</v>
      </c>
      <c r="BB321" s="59">
        <f t="shared" si="294"/>
        <v>5.3236087303168998E-2</v>
      </c>
      <c r="BC321" s="59">
        <f t="shared" si="295"/>
        <v>1.4196289947511735E-2</v>
      </c>
      <c r="BD321" s="60">
        <f t="shared" si="291"/>
        <v>0.16666666666666666</v>
      </c>
      <c r="BE321" s="59">
        <f t="shared" si="292"/>
        <v>0.16666666666666666</v>
      </c>
      <c r="BQ321" s="61">
        <v>3000</v>
      </c>
      <c r="BR321" s="61">
        <v>1200</v>
      </c>
      <c r="BS321" s="28">
        <f t="shared" si="260"/>
        <v>2980</v>
      </c>
      <c r="BT321" s="28">
        <f t="shared" si="261"/>
        <v>1180</v>
      </c>
      <c r="BU321" s="28" t="s">
        <v>2541</v>
      </c>
      <c r="BV321" s="28">
        <f t="shared" si="262"/>
        <v>1776.0149999999996</v>
      </c>
      <c r="BW321" s="28">
        <f t="shared" si="263"/>
        <v>175.7388</v>
      </c>
      <c r="BX321" s="13">
        <f t="shared" si="264"/>
        <v>1.6779137563590401</v>
      </c>
      <c r="BY321" s="13">
        <f t="shared" si="265"/>
        <v>1</v>
      </c>
      <c r="BZ321" s="13">
        <f t="shared" si="266"/>
        <v>6.7145103983866967</v>
      </c>
      <c r="CA321" s="13">
        <f t="shared" si="267"/>
        <v>6</v>
      </c>
      <c r="CB321" s="13">
        <f t="shared" si="268"/>
        <v>6</v>
      </c>
      <c r="CC321" s="62">
        <f t="shared" si="269"/>
        <v>0.16666666666666666</v>
      </c>
      <c r="CD321" s="13">
        <f t="shared" si="270"/>
        <v>16.956983887451148</v>
      </c>
      <c r="CE321" s="13">
        <f t="shared" si="271"/>
        <v>16</v>
      </c>
      <c r="CF321" s="13">
        <f t="shared" si="272"/>
        <v>0.66440880285357962</v>
      </c>
      <c r="CG321" s="13">
        <f t="shared" si="273"/>
        <v>0</v>
      </c>
      <c r="CH321" s="28">
        <f t="shared" si="274"/>
        <v>0</v>
      </c>
      <c r="CI321" s="62">
        <f t="shared" si="275"/>
        <v>1</v>
      </c>
      <c r="CJ321" s="59">
        <f t="shared" si="276"/>
        <v>0.16666666666666666</v>
      </c>
      <c r="CL321" s="63">
        <v>6000</v>
      </c>
      <c r="CM321" s="63">
        <f t="shared" si="277"/>
        <v>1771.0149999999996</v>
      </c>
      <c r="CN321" s="63">
        <f t="shared" si="278"/>
        <v>1776.0149999999996</v>
      </c>
      <c r="CO321" s="63">
        <f t="shared" si="279"/>
        <v>3.3783498450182017</v>
      </c>
      <c r="CP321" s="13">
        <f t="shared" si="280"/>
        <v>3</v>
      </c>
      <c r="CQ321" s="70">
        <f t="shared" si="281"/>
        <v>0.33333333333333331</v>
      </c>
      <c r="CR321" s="69">
        <f t="shared" si="249"/>
        <v>0.33333333333333331</v>
      </c>
    </row>
    <row r="322" spans="1:96" hidden="1" x14ac:dyDescent="0.25">
      <c r="A322" s="13">
        <v>4</v>
      </c>
      <c r="B322" s="14" t="s">
        <v>882</v>
      </c>
      <c r="C322" s="13" t="s">
        <v>885</v>
      </c>
      <c r="D322" s="13" t="s">
        <v>2270</v>
      </c>
      <c r="E322" s="13" t="s">
        <v>52</v>
      </c>
      <c r="F322" s="15">
        <f t="shared" si="250"/>
        <v>1</v>
      </c>
      <c r="G322" s="13">
        <v>1</v>
      </c>
      <c r="H322" s="13">
        <f>G322*$H$320</f>
        <v>1</v>
      </c>
      <c r="I322" s="13">
        <v>2</v>
      </c>
      <c r="J322" s="14" t="s">
        <v>155</v>
      </c>
      <c r="K322" s="14" t="s">
        <v>34</v>
      </c>
      <c r="L322" s="13">
        <v>0</v>
      </c>
      <c r="M322" s="14" t="s">
        <v>35</v>
      </c>
      <c r="N322" s="13" t="s">
        <v>886</v>
      </c>
      <c r="O322" s="28" t="s">
        <v>41</v>
      </c>
      <c r="P322" s="28" t="s">
        <v>41</v>
      </c>
      <c r="Q322" s="28" t="s">
        <v>116</v>
      </c>
      <c r="R322" s="30">
        <v>69.724999999999994</v>
      </c>
      <c r="S322" s="30">
        <v>5.8940000000000001</v>
      </c>
      <c r="T322" s="30"/>
      <c r="U322" s="30">
        <v>0.12</v>
      </c>
      <c r="V322" s="8">
        <f t="shared" si="251"/>
        <v>1771.0149999999996</v>
      </c>
      <c r="W322" s="8">
        <f t="shared" si="252"/>
        <v>149.70759999999999</v>
      </c>
      <c r="X322" s="8">
        <f t="shared" si="253"/>
        <v>0</v>
      </c>
      <c r="Y322" s="33">
        <f t="shared" si="254"/>
        <v>3.0479999999999996</v>
      </c>
      <c r="Z322" s="28" t="s">
        <v>56</v>
      </c>
      <c r="AA322" s="28" t="s">
        <v>57</v>
      </c>
      <c r="AB322" s="28" t="s">
        <v>116</v>
      </c>
      <c r="AC322" s="31" t="s">
        <v>117</v>
      </c>
      <c r="AD322" s="50">
        <f t="shared" si="255"/>
        <v>1</v>
      </c>
      <c r="AE322" s="31"/>
      <c r="AF322" s="51">
        <v>14</v>
      </c>
      <c r="AG322" s="51">
        <f t="shared" si="282"/>
        <v>8.4</v>
      </c>
      <c r="AH322" s="51">
        <f t="shared" ref="AH322:AH385" si="302">AG322/0.2</f>
        <v>42</v>
      </c>
      <c r="AI322" s="52" t="s">
        <v>2497</v>
      </c>
      <c r="AJ322" s="52" t="s">
        <v>2498</v>
      </c>
      <c r="AK322" s="53">
        <f t="shared" si="283"/>
        <v>0.53026881042799978</v>
      </c>
      <c r="AL322" s="54">
        <f t="shared" si="284"/>
        <v>0.11904761904761904</v>
      </c>
      <c r="AM322" s="54">
        <f t="shared" si="285"/>
        <v>2.3809523809523808E-2</v>
      </c>
      <c r="AN322" s="55">
        <f t="shared" si="286"/>
        <v>6.3127239336666641E-2</v>
      </c>
      <c r="AO322" s="55">
        <f t="shared" si="287"/>
        <v>1.2625447867333328E-2</v>
      </c>
      <c r="AP322" s="53">
        <v>7.1</v>
      </c>
      <c r="AQ322" s="53">
        <f t="shared" si="256"/>
        <v>4.26</v>
      </c>
      <c r="AR322" s="53">
        <f t="shared" si="257"/>
        <v>21.299999999999997</v>
      </c>
      <c r="AS322" s="56">
        <f t="shared" si="258"/>
        <v>4.6948356807511742E-2</v>
      </c>
      <c r="AT322" s="56">
        <f t="shared" si="288"/>
        <v>0.23474178403755869</v>
      </c>
      <c r="AU322" s="56">
        <f t="shared" si="259"/>
        <v>0.176056338028169</v>
      </c>
      <c r="AV322" s="56">
        <f t="shared" si="289"/>
        <v>5.8685446009389672E-2</v>
      </c>
      <c r="AW322" s="57" t="s">
        <v>2511</v>
      </c>
      <c r="AX322" s="57" t="s">
        <v>2512</v>
      </c>
      <c r="AY322" s="57" t="s">
        <v>2513</v>
      </c>
      <c r="AZ322" s="58">
        <f t="shared" si="290"/>
        <v>0.53026881042799978</v>
      </c>
      <c r="BA322" s="59">
        <f t="shared" si="293"/>
        <v>1.5559530822417834E-2</v>
      </c>
      <c r="BB322" s="59">
        <f t="shared" si="294"/>
        <v>4.6678592467253498E-2</v>
      </c>
      <c r="BC322" s="59">
        <f t="shared" si="295"/>
        <v>1.2447624657934269E-2</v>
      </c>
      <c r="BD322" s="60">
        <f t="shared" si="291"/>
        <v>0.14285714285714285</v>
      </c>
      <c r="BE322" s="59">
        <f t="shared" si="292"/>
        <v>0.14285714285714285</v>
      </c>
      <c r="BQ322" s="61">
        <v>3000</v>
      </c>
      <c r="BR322" s="61">
        <v>1200</v>
      </c>
      <c r="BS322" s="28">
        <f t="shared" si="260"/>
        <v>2980</v>
      </c>
      <c r="BT322" s="28">
        <f t="shared" si="261"/>
        <v>1180</v>
      </c>
      <c r="BU322" s="28" t="s">
        <v>2541</v>
      </c>
      <c r="BV322" s="28">
        <f t="shared" si="262"/>
        <v>1776.0149999999996</v>
      </c>
      <c r="BW322" s="28">
        <f t="shared" si="263"/>
        <v>154.70759999999999</v>
      </c>
      <c r="BX322" s="13">
        <f t="shared" si="264"/>
        <v>1.6779137563590401</v>
      </c>
      <c r="BY322" s="13">
        <f t="shared" si="265"/>
        <v>1</v>
      </c>
      <c r="BZ322" s="13">
        <f t="shared" si="266"/>
        <v>7.6272917426163946</v>
      </c>
      <c r="CA322" s="13">
        <f t="shared" si="267"/>
        <v>7</v>
      </c>
      <c r="CB322" s="13">
        <f t="shared" si="268"/>
        <v>7</v>
      </c>
      <c r="CC322" s="62">
        <f t="shared" si="269"/>
        <v>0.14285714285714285</v>
      </c>
      <c r="CD322" s="13">
        <f t="shared" si="270"/>
        <v>19.262143553387165</v>
      </c>
      <c r="CE322" s="13">
        <f t="shared" si="271"/>
        <v>19</v>
      </c>
      <c r="CF322" s="13">
        <f t="shared" si="272"/>
        <v>0.66440880285357962</v>
      </c>
      <c r="CG322" s="13">
        <f t="shared" si="273"/>
        <v>0</v>
      </c>
      <c r="CH322" s="28">
        <f t="shared" si="274"/>
        <v>0</v>
      </c>
      <c r="CI322" s="62">
        <f t="shared" si="275"/>
        <v>1</v>
      </c>
      <c r="CJ322" s="59">
        <f t="shared" si="276"/>
        <v>0.14285714285714285</v>
      </c>
      <c r="CL322" s="63">
        <v>6000</v>
      </c>
      <c r="CM322" s="63">
        <f t="shared" si="277"/>
        <v>1771.0149999999996</v>
      </c>
      <c r="CN322" s="63">
        <f t="shared" si="278"/>
        <v>1776.0149999999996</v>
      </c>
      <c r="CO322" s="63">
        <f t="shared" si="279"/>
        <v>3.3783498450182017</v>
      </c>
      <c r="CP322" s="13">
        <f t="shared" si="280"/>
        <v>3</v>
      </c>
      <c r="CQ322" s="70">
        <f t="shared" si="281"/>
        <v>0.33333333333333331</v>
      </c>
      <c r="CR322" s="69">
        <f t="shared" ref="CR322:CR385" si="303">CQ322*AD322</f>
        <v>0.33333333333333331</v>
      </c>
    </row>
    <row r="323" spans="1:96" hidden="1" x14ac:dyDescent="0.25">
      <c r="A323" s="10">
        <v>3</v>
      </c>
      <c r="B323" s="8" t="s">
        <v>720</v>
      </c>
      <c r="C323" s="10" t="s">
        <v>887</v>
      </c>
      <c r="D323" s="10" t="s">
        <v>2270</v>
      </c>
      <c r="E323" s="10" t="s">
        <v>52</v>
      </c>
      <c r="F323" s="12">
        <f t="shared" ref="F323:F386" si="304">COUNTIF($C$2:$C$1202,C323)</f>
        <v>1</v>
      </c>
      <c r="G323" s="10">
        <v>1</v>
      </c>
      <c r="H323" s="10">
        <f t="shared" ref="H323:H324" si="305">G323*$H$234</f>
        <v>1</v>
      </c>
      <c r="I323" s="10">
        <v>14</v>
      </c>
      <c r="J323" s="8" t="s">
        <v>380</v>
      </c>
      <c r="K323" s="8" t="s">
        <v>34</v>
      </c>
      <c r="L323" s="10">
        <v>0</v>
      </c>
      <c r="M323" s="8" t="s">
        <v>35</v>
      </c>
      <c r="N323" s="10" t="s">
        <v>888</v>
      </c>
      <c r="O323" s="28" t="s">
        <v>41</v>
      </c>
      <c r="P323" s="28" t="s">
        <v>41</v>
      </c>
      <c r="Q323" s="28" t="s">
        <v>124</v>
      </c>
      <c r="R323" s="30">
        <v>7</v>
      </c>
      <c r="S323" s="30">
        <v>1</v>
      </c>
      <c r="T323" s="30"/>
      <c r="U323" s="30">
        <v>9.8000000000000004E-2</v>
      </c>
      <c r="V323" s="8">
        <f t="shared" ref="V323:V386" si="306">R323*25.4</f>
        <v>177.79999999999998</v>
      </c>
      <c r="W323" s="8">
        <f t="shared" ref="W323:W386" si="307">S323*25.4</f>
        <v>25.4</v>
      </c>
      <c r="X323" s="8">
        <f t="shared" ref="X323:X386" si="308">T323*25.4</f>
        <v>0</v>
      </c>
      <c r="Y323" s="33">
        <f t="shared" ref="Y323:Y386" si="309">U323*25.4</f>
        <v>2.4891999999999999</v>
      </c>
      <c r="Z323" s="28" t="s">
        <v>56</v>
      </c>
      <c r="AA323" s="28" t="s">
        <v>57</v>
      </c>
      <c r="AB323" s="61" t="s">
        <v>124</v>
      </c>
      <c r="AC323" s="31" t="s">
        <v>125</v>
      </c>
      <c r="AD323" s="50">
        <f t="shared" ref="AD323:AD386" si="310">H323</f>
        <v>1</v>
      </c>
      <c r="AE323" s="31"/>
      <c r="AF323" s="51">
        <v>14</v>
      </c>
      <c r="AG323" s="51">
        <f t="shared" si="282"/>
        <v>8.4</v>
      </c>
      <c r="AH323" s="51">
        <f t="shared" si="302"/>
        <v>42</v>
      </c>
      <c r="AI323" s="52" t="s">
        <v>2497</v>
      </c>
      <c r="AJ323" s="52" t="s">
        <v>2498</v>
      </c>
      <c r="AK323" s="53">
        <f t="shared" si="283"/>
        <v>9.0322399999999987E-3</v>
      </c>
      <c r="AL323" s="54">
        <f t="shared" si="284"/>
        <v>0.11904761904761904</v>
      </c>
      <c r="AM323" s="54">
        <f t="shared" si="285"/>
        <v>2.3809523809523808E-2</v>
      </c>
      <c r="AN323" s="55">
        <f t="shared" si="286"/>
        <v>1.0752666666666664E-3</v>
      </c>
      <c r="AO323" s="55">
        <f t="shared" si="287"/>
        <v>2.1505333333333328E-4</v>
      </c>
      <c r="AP323" s="53">
        <v>7.1</v>
      </c>
      <c r="AQ323" s="53">
        <f t="shared" ref="AQ323:AQ386" si="311">AP323*0.6</f>
        <v>4.26</v>
      </c>
      <c r="AR323" s="53">
        <f t="shared" ref="AR323:AR386" si="312">AQ323*5</f>
        <v>21.299999999999997</v>
      </c>
      <c r="AS323" s="56">
        <f t="shared" ref="AS323:AS386" si="313">1/AR323</f>
        <v>4.6948356807511742E-2</v>
      </c>
      <c r="AT323" s="56">
        <f t="shared" si="288"/>
        <v>0.23474178403755869</v>
      </c>
      <c r="AU323" s="56">
        <f t="shared" ref="AU323:AU386" si="314">AT323*0.75</f>
        <v>0.176056338028169</v>
      </c>
      <c r="AV323" s="56">
        <f t="shared" si="289"/>
        <v>5.8685446009389672E-2</v>
      </c>
      <c r="AW323" s="57" t="s">
        <v>2511</v>
      </c>
      <c r="AX323" s="57" t="s">
        <v>2512</v>
      </c>
      <c r="AY323" s="57" t="s">
        <v>2513</v>
      </c>
      <c r="AZ323" s="58">
        <f t="shared" si="290"/>
        <v>9.0322399999999987E-3</v>
      </c>
      <c r="BA323" s="59">
        <f t="shared" si="293"/>
        <v>2.6503051643192487E-4</v>
      </c>
      <c r="BB323" s="59">
        <f t="shared" si="294"/>
        <v>7.950915492957745E-4</v>
      </c>
      <c r="BC323" s="59">
        <f t="shared" si="295"/>
        <v>2.1202441314553989E-4</v>
      </c>
      <c r="BD323" s="60">
        <f t="shared" si="291"/>
        <v>1.6447368421052631E-3</v>
      </c>
      <c r="BE323" s="59">
        <f t="shared" si="292"/>
        <v>1.6447368421052631E-3</v>
      </c>
      <c r="BQ323" s="61">
        <v>3000</v>
      </c>
      <c r="BR323" s="61">
        <v>1200</v>
      </c>
      <c r="BS323" s="28">
        <f t="shared" ref="BS323:BS386" si="315">BQ323-20</f>
        <v>2980</v>
      </c>
      <c r="BT323" s="28">
        <f t="shared" ref="BT323:BT386" si="316">BR323-20</f>
        <v>1180</v>
      </c>
      <c r="BU323" s="28" t="s">
        <v>2541</v>
      </c>
      <c r="BV323" s="28">
        <f t="shared" ref="BV323:BV386" si="317">V323+5</f>
        <v>182.79999999999998</v>
      </c>
      <c r="BW323" s="28">
        <f t="shared" ref="BW323:BW386" si="318">W323+5</f>
        <v>30.4</v>
      </c>
      <c r="BX323" s="13">
        <f t="shared" ref="BX323:BX386" si="319">BS323/BV323</f>
        <v>16.301969365426697</v>
      </c>
      <c r="BY323" s="13">
        <f t="shared" ref="BY323:BY386" si="320">ROUNDDOWN(BX323,0)</f>
        <v>16</v>
      </c>
      <c r="BZ323" s="13">
        <f t="shared" ref="BZ323:BZ386" si="321">BT323/BW323</f>
        <v>38.815789473684212</v>
      </c>
      <c r="CA323" s="13">
        <f t="shared" ref="CA323:CA386" si="322">ROUNDDOWN(BZ323,0)</f>
        <v>38</v>
      </c>
      <c r="CB323" s="13">
        <f t="shared" ref="CB323:CB386" si="323">BY323*CA323</f>
        <v>608</v>
      </c>
      <c r="CC323" s="62">
        <f t="shared" ref="CC323:CC386" si="324">IF(E323="CJ","",IFERROR((1/CB323),1))</f>
        <v>1.6447368421052631E-3</v>
      </c>
      <c r="CD323" s="13">
        <f t="shared" ref="CD323:CD386" si="325">BS323/BW323</f>
        <v>98.026315789473685</v>
      </c>
      <c r="CE323" s="13">
        <f t="shared" ref="CE323:CE386" si="326">ROUNDDOWN(CD323,0)</f>
        <v>98</v>
      </c>
      <c r="CF323" s="13">
        <f t="shared" ref="CF323:CF386" si="327">BT323/BV323</f>
        <v>6.4551422319474838</v>
      </c>
      <c r="CG323" s="13">
        <f t="shared" ref="CG323:CG386" si="328">ROUNDDOWN(CF323,0)</f>
        <v>6</v>
      </c>
      <c r="CH323" s="28">
        <f t="shared" ref="CH323:CH386" si="329">CE323*CG323</f>
        <v>588</v>
      </c>
      <c r="CI323" s="62">
        <f t="shared" ref="CI323:CI386" si="330">IF(E323="CJ","",IFERROR((1/CH323),1))</f>
        <v>1.7006802721088435E-3</v>
      </c>
      <c r="CJ323" s="59">
        <f t="shared" ref="CJ323:CJ386" si="331">MIN(CC323,CI323)</f>
        <v>1.6447368421052631E-3</v>
      </c>
      <c r="CL323" s="63">
        <v>6000</v>
      </c>
      <c r="CM323" s="63">
        <f t="shared" ref="CM323:CM386" si="332">V323</f>
        <v>177.79999999999998</v>
      </c>
      <c r="CN323" s="63">
        <f t="shared" ref="CN323:CN386" si="333">CM323+5</f>
        <v>182.79999999999998</v>
      </c>
      <c r="CO323" s="63">
        <f t="shared" ref="CO323:CO386" si="334">CL323/CN323</f>
        <v>32.822757111597376</v>
      </c>
      <c r="CP323" s="13">
        <f t="shared" ref="CP323:CP386" si="335">ROUNDDOWN(CO323,0)</f>
        <v>32</v>
      </c>
      <c r="CQ323" s="70">
        <f t="shared" ref="CQ323:CQ386" si="336">1/CP323</f>
        <v>3.125E-2</v>
      </c>
      <c r="CR323" s="69">
        <f t="shared" si="303"/>
        <v>3.125E-2</v>
      </c>
    </row>
    <row r="324" spans="1:96" hidden="1" x14ac:dyDescent="0.25">
      <c r="A324" s="10">
        <v>3</v>
      </c>
      <c r="B324" s="8" t="s">
        <v>720</v>
      </c>
      <c r="C324" s="10" t="s">
        <v>889</v>
      </c>
      <c r="D324" s="10" t="s">
        <v>2270</v>
      </c>
      <c r="E324" s="10" t="s">
        <v>32</v>
      </c>
      <c r="F324" s="12">
        <f t="shared" si="304"/>
        <v>1</v>
      </c>
      <c r="G324" s="10">
        <v>1</v>
      </c>
      <c r="H324" s="10">
        <f t="shared" si="305"/>
        <v>1</v>
      </c>
      <c r="I324" s="10">
        <v>15</v>
      </c>
      <c r="J324" s="8" t="s">
        <v>508</v>
      </c>
      <c r="K324" s="8" t="s">
        <v>34</v>
      </c>
      <c r="L324" s="10">
        <v>0</v>
      </c>
      <c r="M324" s="8" t="s">
        <v>35</v>
      </c>
      <c r="N324" s="10" t="s">
        <v>890</v>
      </c>
      <c r="O324" s="28" t="s">
        <v>41</v>
      </c>
      <c r="P324" s="28" t="s">
        <v>41</v>
      </c>
      <c r="Q324" s="28"/>
      <c r="R324" s="30"/>
      <c r="S324" s="30"/>
      <c r="T324" s="30"/>
      <c r="U324" s="30"/>
      <c r="V324" s="8">
        <f t="shared" si="306"/>
        <v>0</v>
      </c>
      <c r="W324" s="8">
        <f t="shared" si="307"/>
        <v>0</v>
      </c>
      <c r="X324" s="8">
        <f t="shared" si="308"/>
        <v>0</v>
      </c>
      <c r="Y324" s="33">
        <f t="shared" si="309"/>
        <v>0</v>
      </c>
      <c r="Z324" s="28"/>
      <c r="AA324" s="28"/>
      <c r="AB324" s="28">
        <v>0</v>
      </c>
      <c r="AC324" s="31"/>
      <c r="AD324" s="50">
        <f t="shared" si="310"/>
        <v>1</v>
      </c>
      <c r="AE324" s="31"/>
      <c r="AF324" s="51">
        <v>14</v>
      </c>
      <c r="AG324" s="51">
        <f t="shared" si="282"/>
        <v>8.4</v>
      </c>
      <c r="AH324" s="51">
        <f t="shared" si="302"/>
        <v>42</v>
      </c>
      <c r="AI324" s="52" t="s">
        <v>2497</v>
      </c>
      <c r="AJ324" s="52" t="s">
        <v>2498</v>
      </c>
      <c r="AK324" s="53">
        <f t="shared" si="283"/>
        <v>0</v>
      </c>
      <c r="AL324" s="54">
        <f t="shared" si="284"/>
        <v>0.11904761904761904</v>
      </c>
      <c r="AM324" s="54">
        <f t="shared" si="285"/>
        <v>2.3809523809523808E-2</v>
      </c>
      <c r="AN324" s="55">
        <f t="shared" si="286"/>
        <v>0</v>
      </c>
      <c r="AO324" s="55">
        <f t="shared" si="287"/>
        <v>0</v>
      </c>
      <c r="AP324" s="53">
        <v>7.1</v>
      </c>
      <c r="AQ324" s="53">
        <f t="shared" si="311"/>
        <v>4.26</v>
      </c>
      <c r="AR324" s="53">
        <f t="shared" si="312"/>
        <v>21.299999999999997</v>
      </c>
      <c r="AS324" s="56">
        <f t="shared" si="313"/>
        <v>4.6948356807511742E-2</v>
      </c>
      <c r="AT324" s="56">
        <f t="shared" si="288"/>
        <v>0.23474178403755869</v>
      </c>
      <c r="AU324" s="56">
        <f t="shared" si="314"/>
        <v>0.176056338028169</v>
      </c>
      <c r="AV324" s="56">
        <f t="shared" si="289"/>
        <v>5.8685446009389672E-2</v>
      </c>
      <c r="AW324" s="57" t="s">
        <v>2511</v>
      </c>
      <c r="AX324" s="57" t="s">
        <v>2512</v>
      </c>
      <c r="AY324" s="57" t="s">
        <v>2513</v>
      </c>
      <c r="AZ324" s="58">
        <f t="shared" si="290"/>
        <v>0</v>
      </c>
      <c r="BA324" s="59">
        <f t="shared" si="293"/>
        <v>0</v>
      </c>
      <c r="BB324" s="59">
        <f t="shared" si="294"/>
        <v>0</v>
      </c>
      <c r="BC324" s="59">
        <f t="shared" si="295"/>
        <v>0</v>
      </c>
      <c r="BD324" s="60">
        <f t="shared" si="291"/>
        <v>0</v>
      </c>
      <c r="BE324" s="59">
        <f t="shared" si="292"/>
        <v>0</v>
      </c>
      <c r="BQ324" s="61">
        <v>3000</v>
      </c>
      <c r="BR324" s="61">
        <v>1200</v>
      </c>
      <c r="BS324" s="28">
        <f t="shared" si="315"/>
        <v>2980</v>
      </c>
      <c r="BT324" s="28">
        <f t="shared" si="316"/>
        <v>1180</v>
      </c>
      <c r="BU324" s="28" t="s">
        <v>2541</v>
      </c>
      <c r="BV324" s="28">
        <f t="shared" si="317"/>
        <v>5</v>
      </c>
      <c r="BW324" s="28">
        <f t="shared" si="318"/>
        <v>5</v>
      </c>
      <c r="BX324" s="13">
        <f t="shared" si="319"/>
        <v>596</v>
      </c>
      <c r="BY324" s="13">
        <f t="shared" si="320"/>
        <v>596</v>
      </c>
      <c r="BZ324" s="13">
        <f t="shared" si="321"/>
        <v>236</v>
      </c>
      <c r="CA324" s="13">
        <f t="shared" si="322"/>
        <v>236</v>
      </c>
      <c r="CB324" s="13">
        <f t="shared" si="323"/>
        <v>140656</v>
      </c>
      <c r="CC324" s="62" t="str">
        <f t="shared" si="324"/>
        <v/>
      </c>
      <c r="CD324" s="13">
        <f t="shared" si="325"/>
        <v>596</v>
      </c>
      <c r="CE324" s="13">
        <f t="shared" si="326"/>
        <v>596</v>
      </c>
      <c r="CF324" s="13">
        <f t="shared" si="327"/>
        <v>236</v>
      </c>
      <c r="CG324" s="13">
        <f t="shared" si="328"/>
        <v>236</v>
      </c>
      <c r="CH324" s="28">
        <f t="shared" si="329"/>
        <v>140656</v>
      </c>
      <c r="CI324" s="62" t="str">
        <f t="shared" si="330"/>
        <v/>
      </c>
      <c r="CJ324" s="59">
        <f t="shared" si="331"/>
        <v>0</v>
      </c>
      <c r="CL324" s="63">
        <v>6000</v>
      </c>
      <c r="CM324" s="63">
        <f t="shared" si="332"/>
        <v>0</v>
      </c>
      <c r="CN324" s="63">
        <f t="shared" si="333"/>
        <v>5</v>
      </c>
      <c r="CO324" s="63">
        <f t="shared" si="334"/>
        <v>1200</v>
      </c>
      <c r="CP324" s="13">
        <f t="shared" si="335"/>
        <v>1200</v>
      </c>
      <c r="CQ324" s="70">
        <f t="shared" si="336"/>
        <v>8.3333333333333339E-4</v>
      </c>
      <c r="CR324" s="69">
        <f t="shared" si="303"/>
        <v>8.3333333333333339E-4</v>
      </c>
    </row>
    <row r="325" spans="1:96" hidden="1" x14ac:dyDescent="0.25">
      <c r="A325" s="13">
        <v>4</v>
      </c>
      <c r="B325" s="14" t="s">
        <v>891</v>
      </c>
      <c r="C325" s="13" t="s">
        <v>892</v>
      </c>
      <c r="D325" s="13" t="s">
        <v>2270</v>
      </c>
      <c r="E325" s="13" t="s">
        <v>52</v>
      </c>
      <c r="F325" s="15">
        <f t="shared" si="304"/>
        <v>1</v>
      </c>
      <c r="G325" s="13">
        <v>1</v>
      </c>
      <c r="H325" s="13">
        <f>G325*$H$324</f>
        <v>1</v>
      </c>
      <c r="I325" s="13">
        <v>1</v>
      </c>
      <c r="J325" s="14" t="s">
        <v>512</v>
      </c>
      <c r="K325" s="14" t="s">
        <v>34</v>
      </c>
      <c r="L325" s="13">
        <v>0</v>
      </c>
      <c r="M325" s="14" t="s">
        <v>35</v>
      </c>
      <c r="N325" s="13" t="s">
        <v>893</v>
      </c>
      <c r="O325" s="28" t="s">
        <v>41</v>
      </c>
      <c r="P325" s="28" t="s">
        <v>41</v>
      </c>
      <c r="Q325" s="28" t="s">
        <v>124</v>
      </c>
      <c r="R325" s="30">
        <v>5.28</v>
      </c>
      <c r="S325" s="30">
        <v>3.2320000000000002</v>
      </c>
      <c r="T325" s="30"/>
      <c r="U325" s="30">
        <v>9.8000000000000004E-2</v>
      </c>
      <c r="V325" s="8">
        <f t="shared" si="306"/>
        <v>134.11199999999999</v>
      </c>
      <c r="W325" s="8">
        <f t="shared" si="307"/>
        <v>82.092799999999997</v>
      </c>
      <c r="X325" s="8">
        <f t="shared" si="308"/>
        <v>0</v>
      </c>
      <c r="Y325" s="33">
        <f t="shared" si="309"/>
        <v>2.4891999999999999</v>
      </c>
      <c r="Z325" s="28" t="s">
        <v>56</v>
      </c>
      <c r="AA325" s="28" t="s">
        <v>57</v>
      </c>
      <c r="AB325" s="61" t="s">
        <v>124</v>
      </c>
      <c r="AC325" s="31" t="s">
        <v>125</v>
      </c>
      <c r="AD325" s="50">
        <f t="shared" si="310"/>
        <v>1</v>
      </c>
      <c r="AE325" s="31"/>
      <c r="AF325" s="51">
        <v>14</v>
      </c>
      <c r="AG325" s="51">
        <f t="shared" si="282"/>
        <v>8.4</v>
      </c>
      <c r="AH325" s="51">
        <f t="shared" si="302"/>
        <v>42</v>
      </c>
      <c r="AI325" s="52" t="s">
        <v>2497</v>
      </c>
      <c r="AJ325" s="52" t="s">
        <v>2498</v>
      </c>
      <c r="AK325" s="53">
        <f t="shared" si="283"/>
        <v>2.2019259187199998E-2</v>
      </c>
      <c r="AL325" s="54">
        <f t="shared" si="284"/>
        <v>0.11904761904761904</v>
      </c>
      <c r="AM325" s="54">
        <f t="shared" si="285"/>
        <v>2.3809523809523808E-2</v>
      </c>
      <c r="AN325" s="55">
        <f t="shared" si="286"/>
        <v>2.6213403794285712E-3</v>
      </c>
      <c r="AO325" s="55">
        <f t="shared" si="287"/>
        <v>5.2426807588571421E-4</v>
      </c>
      <c r="AP325" s="53">
        <v>7.1</v>
      </c>
      <c r="AQ325" s="53">
        <f t="shared" si="311"/>
        <v>4.26</v>
      </c>
      <c r="AR325" s="53">
        <f t="shared" si="312"/>
        <v>21.299999999999997</v>
      </c>
      <c r="AS325" s="56">
        <f t="shared" si="313"/>
        <v>4.6948356807511742E-2</v>
      </c>
      <c r="AT325" s="56">
        <f t="shared" si="288"/>
        <v>0.23474178403755869</v>
      </c>
      <c r="AU325" s="56">
        <f t="shared" si="314"/>
        <v>0.176056338028169</v>
      </c>
      <c r="AV325" s="56">
        <f t="shared" si="289"/>
        <v>5.8685446009389672E-2</v>
      </c>
      <c r="AW325" s="57" t="s">
        <v>2511</v>
      </c>
      <c r="AX325" s="57" t="s">
        <v>2512</v>
      </c>
      <c r="AY325" s="57" t="s">
        <v>2513</v>
      </c>
      <c r="AZ325" s="58">
        <f t="shared" si="290"/>
        <v>2.2019259187199998E-2</v>
      </c>
      <c r="BA325" s="59">
        <f t="shared" si="293"/>
        <v>6.4610502309859152E-4</v>
      </c>
      <c r="BB325" s="59">
        <f t="shared" si="294"/>
        <v>1.9383150692957743E-3</v>
      </c>
      <c r="BC325" s="59">
        <f t="shared" si="295"/>
        <v>5.1688401847887328E-4</v>
      </c>
      <c r="BD325" s="60">
        <f t="shared" si="291"/>
        <v>3.663003663003663E-3</v>
      </c>
      <c r="BE325" s="59">
        <f t="shared" si="292"/>
        <v>3.663003663003663E-3</v>
      </c>
      <c r="BQ325" s="61">
        <v>3000</v>
      </c>
      <c r="BR325" s="61">
        <v>1200</v>
      </c>
      <c r="BS325" s="28">
        <f t="shared" si="315"/>
        <v>2980</v>
      </c>
      <c r="BT325" s="28">
        <f t="shared" si="316"/>
        <v>1180</v>
      </c>
      <c r="BU325" s="28" t="s">
        <v>2541</v>
      </c>
      <c r="BV325" s="28">
        <f t="shared" si="317"/>
        <v>139.11199999999999</v>
      </c>
      <c r="BW325" s="28">
        <f t="shared" si="318"/>
        <v>87.092799999999997</v>
      </c>
      <c r="BX325" s="13">
        <f t="shared" si="319"/>
        <v>21.421588360457761</v>
      </c>
      <c r="BY325" s="13">
        <f t="shared" si="320"/>
        <v>21</v>
      </c>
      <c r="BZ325" s="13">
        <f t="shared" si="321"/>
        <v>13.548766373339703</v>
      </c>
      <c r="CA325" s="13">
        <f t="shared" si="322"/>
        <v>13</v>
      </c>
      <c r="CB325" s="13">
        <f t="shared" si="323"/>
        <v>273</v>
      </c>
      <c r="CC325" s="62">
        <f t="shared" si="324"/>
        <v>3.663003663003663E-3</v>
      </c>
      <c r="CD325" s="13">
        <f t="shared" si="325"/>
        <v>34.216376095383318</v>
      </c>
      <c r="CE325" s="13">
        <f t="shared" si="326"/>
        <v>34</v>
      </c>
      <c r="CF325" s="13">
        <f t="shared" si="327"/>
        <v>8.4823739145436772</v>
      </c>
      <c r="CG325" s="13">
        <f t="shared" si="328"/>
        <v>8</v>
      </c>
      <c r="CH325" s="28">
        <f t="shared" si="329"/>
        <v>272</v>
      </c>
      <c r="CI325" s="62">
        <f t="shared" si="330"/>
        <v>3.6764705882352941E-3</v>
      </c>
      <c r="CJ325" s="59">
        <f t="shared" si="331"/>
        <v>3.663003663003663E-3</v>
      </c>
      <c r="CL325" s="63">
        <v>6000</v>
      </c>
      <c r="CM325" s="63">
        <f t="shared" si="332"/>
        <v>134.11199999999999</v>
      </c>
      <c r="CN325" s="63">
        <f t="shared" si="333"/>
        <v>139.11199999999999</v>
      </c>
      <c r="CO325" s="63">
        <f t="shared" si="334"/>
        <v>43.130714819713617</v>
      </c>
      <c r="CP325" s="13">
        <f t="shared" si="335"/>
        <v>43</v>
      </c>
      <c r="CQ325" s="70">
        <f t="shared" si="336"/>
        <v>2.3255813953488372E-2</v>
      </c>
      <c r="CR325" s="69">
        <f t="shared" si="303"/>
        <v>2.3255813953488372E-2</v>
      </c>
    </row>
    <row r="326" spans="1:96" hidden="1" x14ac:dyDescent="0.25">
      <c r="A326" s="13">
        <v>4</v>
      </c>
      <c r="B326" s="14" t="s">
        <v>891</v>
      </c>
      <c r="C326" s="13" t="s">
        <v>894</v>
      </c>
      <c r="D326" s="13" t="s">
        <v>895</v>
      </c>
      <c r="E326" s="13" t="s">
        <v>52</v>
      </c>
      <c r="F326" s="15">
        <f t="shared" si="304"/>
        <v>1</v>
      </c>
      <c r="G326" s="13">
        <v>4</v>
      </c>
      <c r="H326" s="13">
        <f>G326*$H$324</f>
        <v>4</v>
      </c>
      <c r="I326" s="13">
        <v>2</v>
      </c>
      <c r="J326" s="14" t="s">
        <v>681</v>
      </c>
      <c r="K326" s="14" t="s">
        <v>34</v>
      </c>
      <c r="L326" s="13">
        <v>0</v>
      </c>
      <c r="M326" s="14" t="s">
        <v>35</v>
      </c>
      <c r="N326" s="13" t="s">
        <v>895</v>
      </c>
      <c r="O326" s="28" t="s">
        <v>41</v>
      </c>
      <c r="P326" s="28" t="s">
        <v>41</v>
      </c>
      <c r="Q326" s="28" t="s">
        <v>895</v>
      </c>
      <c r="R326" s="30"/>
      <c r="S326" s="30"/>
      <c r="T326" s="30"/>
      <c r="U326" s="30"/>
      <c r="V326" s="8">
        <f t="shared" si="306"/>
        <v>0</v>
      </c>
      <c r="W326" s="8">
        <f t="shared" si="307"/>
        <v>0</v>
      </c>
      <c r="X326" s="8">
        <f t="shared" si="308"/>
        <v>0</v>
      </c>
      <c r="Y326" s="33">
        <f t="shared" si="309"/>
        <v>0</v>
      </c>
      <c r="Z326" s="28"/>
      <c r="AA326" s="28"/>
      <c r="AB326" s="61" t="s">
        <v>895</v>
      </c>
      <c r="AC326" s="31" t="s">
        <v>896</v>
      </c>
      <c r="AD326" s="50">
        <f t="shared" si="310"/>
        <v>4</v>
      </c>
      <c r="AE326" s="31"/>
      <c r="AF326" s="51">
        <v>14</v>
      </c>
      <c r="AG326" s="51">
        <f t="shared" ref="AG326:AG389" si="337">AF326*0.6</f>
        <v>8.4</v>
      </c>
      <c r="AH326" s="51">
        <f t="shared" si="302"/>
        <v>42</v>
      </c>
      <c r="AI326" s="52" t="s">
        <v>2497</v>
      </c>
      <c r="AJ326" s="52" t="s">
        <v>2498</v>
      </c>
      <c r="AK326" s="53">
        <f t="shared" ref="AK326:AK389" si="338">(V326*W326)*2/1000000</f>
        <v>0</v>
      </c>
      <c r="AL326" s="54">
        <f t="shared" ref="AL326:AL389" si="339">1/(AF326*0.6)</f>
        <v>0.11904761904761904</v>
      </c>
      <c r="AM326" s="54">
        <f t="shared" ref="AM326:AM389" si="340">1/AG326*(20/100)</f>
        <v>2.3809523809523808E-2</v>
      </c>
      <c r="AN326" s="55">
        <f t="shared" ref="AN326:AN389" si="341">IF(AI326&lt;&gt;0,(AK326*AL326*AD326),0)</f>
        <v>0</v>
      </c>
      <c r="AO326" s="55">
        <f t="shared" ref="AO326:AO389" si="342">IF(AJ326&lt;&gt;0,(AK326*AM326*AD326),0)</f>
        <v>0</v>
      </c>
      <c r="AP326" s="53">
        <v>7.1</v>
      </c>
      <c r="AQ326" s="53">
        <f t="shared" si="311"/>
        <v>4.26</v>
      </c>
      <c r="AR326" s="53">
        <f t="shared" si="312"/>
        <v>21.299999999999997</v>
      </c>
      <c r="AS326" s="56">
        <f t="shared" si="313"/>
        <v>4.6948356807511742E-2</v>
      </c>
      <c r="AT326" s="56">
        <f t="shared" ref="AT326:AT389" si="343">1/AQ326</f>
        <v>0.23474178403755869</v>
      </c>
      <c r="AU326" s="56">
        <f t="shared" si="314"/>
        <v>0.176056338028169</v>
      </c>
      <c r="AV326" s="56">
        <f t="shared" ref="AV326:AV389" si="344">AT326*0.25</f>
        <v>5.8685446009389672E-2</v>
      </c>
      <c r="AW326" s="57" t="s">
        <v>2511</v>
      </c>
      <c r="AX326" s="57" t="s">
        <v>2512</v>
      </c>
      <c r="AY326" s="57" t="s">
        <v>2513</v>
      </c>
      <c r="AZ326" s="58">
        <f t="shared" ref="AZ326:AZ389" si="345">(V326*W326)*2/1000000</f>
        <v>0</v>
      </c>
      <c r="BA326" s="59">
        <f t="shared" si="293"/>
        <v>0</v>
      </c>
      <c r="BB326" s="59">
        <f t="shared" si="294"/>
        <v>0</v>
      </c>
      <c r="BC326" s="59">
        <f t="shared" si="295"/>
        <v>0</v>
      </c>
      <c r="BD326" s="60">
        <f t="shared" ref="BD326:BD389" si="346">CJ326</f>
        <v>7.1095438516664771E-6</v>
      </c>
      <c r="BE326" s="59">
        <f t="shared" ref="BE326:BE389" si="347">BD326*AD326</f>
        <v>2.8438175406665908E-5</v>
      </c>
      <c r="BQ326" s="61">
        <v>3000</v>
      </c>
      <c r="BR326" s="61">
        <v>1200</v>
      </c>
      <c r="BS326" s="28">
        <f t="shared" si="315"/>
        <v>2980</v>
      </c>
      <c r="BT326" s="28">
        <f t="shared" si="316"/>
        <v>1180</v>
      </c>
      <c r="BU326" s="28" t="s">
        <v>2541</v>
      </c>
      <c r="BV326" s="28">
        <f t="shared" si="317"/>
        <v>5</v>
      </c>
      <c r="BW326" s="28">
        <f t="shared" si="318"/>
        <v>5</v>
      </c>
      <c r="BX326" s="13">
        <f t="shared" si="319"/>
        <v>596</v>
      </c>
      <c r="BY326" s="13">
        <f t="shared" si="320"/>
        <v>596</v>
      </c>
      <c r="BZ326" s="13">
        <f t="shared" si="321"/>
        <v>236</v>
      </c>
      <c r="CA326" s="13">
        <f t="shared" si="322"/>
        <v>236</v>
      </c>
      <c r="CB326" s="13">
        <f t="shared" si="323"/>
        <v>140656</v>
      </c>
      <c r="CC326" s="62">
        <f t="shared" si="324"/>
        <v>7.1095438516664771E-6</v>
      </c>
      <c r="CD326" s="13">
        <f t="shared" si="325"/>
        <v>596</v>
      </c>
      <c r="CE326" s="13">
        <f t="shared" si="326"/>
        <v>596</v>
      </c>
      <c r="CF326" s="13">
        <f t="shared" si="327"/>
        <v>236</v>
      </c>
      <c r="CG326" s="13">
        <f t="shared" si="328"/>
        <v>236</v>
      </c>
      <c r="CH326" s="28">
        <f t="shared" si="329"/>
        <v>140656</v>
      </c>
      <c r="CI326" s="62">
        <f t="shared" si="330"/>
        <v>7.1095438516664771E-6</v>
      </c>
      <c r="CJ326" s="59">
        <f t="shared" si="331"/>
        <v>7.1095438516664771E-6</v>
      </c>
      <c r="CL326" s="63">
        <v>6000</v>
      </c>
      <c r="CM326" s="63">
        <f t="shared" si="332"/>
        <v>0</v>
      </c>
      <c r="CN326" s="63">
        <f t="shared" si="333"/>
        <v>5</v>
      </c>
      <c r="CO326" s="63">
        <f t="shared" si="334"/>
        <v>1200</v>
      </c>
      <c r="CP326" s="13">
        <f t="shared" si="335"/>
        <v>1200</v>
      </c>
      <c r="CQ326" s="70">
        <f t="shared" si="336"/>
        <v>8.3333333333333339E-4</v>
      </c>
      <c r="CR326" s="69">
        <f t="shared" si="303"/>
        <v>3.3333333333333335E-3</v>
      </c>
    </row>
    <row r="327" spans="1:96" hidden="1" x14ac:dyDescent="0.25">
      <c r="A327" s="10">
        <v>3</v>
      </c>
      <c r="B327" s="8" t="s">
        <v>720</v>
      </c>
      <c r="C327" s="10" t="s">
        <v>897</v>
      </c>
      <c r="D327" s="10" t="s">
        <v>2270</v>
      </c>
      <c r="E327" s="10" t="s">
        <v>32</v>
      </c>
      <c r="F327" s="12">
        <f t="shared" si="304"/>
        <v>1</v>
      </c>
      <c r="G327" s="10">
        <v>1</v>
      </c>
      <c r="H327" s="10">
        <f>G327*$H$234</f>
        <v>1</v>
      </c>
      <c r="I327" s="10">
        <v>16</v>
      </c>
      <c r="J327" s="8" t="s">
        <v>898</v>
      </c>
      <c r="K327" s="8" t="s">
        <v>34</v>
      </c>
      <c r="L327" s="10">
        <v>0</v>
      </c>
      <c r="M327" s="8" t="s">
        <v>35</v>
      </c>
      <c r="N327" s="10" t="s">
        <v>899</v>
      </c>
      <c r="O327" s="28" t="s">
        <v>41</v>
      </c>
      <c r="P327" s="28" t="s">
        <v>41</v>
      </c>
      <c r="Q327" s="28"/>
      <c r="R327" s="30"/>
      <c r="S327" s="30"/>
      <c r="T327" s="30"/>
      <c r="U327" s="30"/>
      <c r="V327" s="8">
        <f t="shared" si="306"/>
        <v>0</v>
      </c>
      <c r="W327" s="8">
        <f t="shared" si="307"/>
        <v>0</v>
      </c>
      <c r="X327" s="8">
        <f t="shared" si="308"/>
        <v>0</v>
      </c>
      <c r="Y327" s="33">
        <f t="shared" si="309"/>
        <v>0</v>
      </c>
      <c r="Z327" s="28"/>
      <c r="AA327" s="28"/>
      <c r="AB327" s="28">
        <v>0</v>
      </c>
      <c r="AC327" s="31"/>
      <c r="AD327" s="50">
        <f t="shared" si="310"/>
        <v>1</v>
      </c>
      <c r="AE327" s="31"/>
      <c r="AF327" s="51">
        <v>14</v>
      </c>
      <c r="AG327" s="51">
        <f t="shared" si="337"/>
        <v>8.4</v>
      </c>
      <c r="AH327" s="51">
        <f t="shared" si="302"/>
        <v>42</v>
      </c>
      <c r="AI327" s="52" t="s">
        <v>2497</v>
      </c>
      <c r="AJ327" s="52" t="s">
        <v>2498</v>
      </c>
      <c r="AK327" s="53">
        <f t="shared" si="338"/>
        <v>0</v>
      </c>
      <c r="AL327" s="54">
        <f t="shared" si="339"/>
        <v>0.11904761904761904</v>
      </c>
      <c r="AM327" s="54">
        <f t="shared" si="340"/>
        <v>2.3809523809523808E-2</v>
      </c>
      <c r="AN327" s="55">
        <f t="shared" si="341"/>
        <v>0</v>
      </c>
      <c r="AO327" s="55">
        <f t="shared" si="342"/>
        <v>0</v>
      </c>
      <c r="AP327" s="53">
        <v>7.1</v>
      </c>
      <c r="AQ327" s="53">
        <f t="shared" si="311"/>
        <v>4.26</v>
      </c>
      <c r="AR327" s="53">
        <f t="shared" si="312"/>
        <v>21.299999999999997</v>
      </c>
      <c r="AS327" s="56">
        <f t="shared" si="313"/>
        <v>4.6948356807511742E-2</v>
      </c>
      <c r="AT327" s="56">
        <f t="shared" si="343"/>
        <v>0.23474178403755869</v>
      </c>
      <c r="AU327" s="56">
        <f t="shared" si="314"/>
        <v>0.176056338028169</v>
      </c>
      <c r="AV327" s="56">
        <f t="shared" si="344"/>
        <v>5.8685446009389672E-2</v>
      </c>
      <c r="AW327" s="57" t="s">
        <v>2511</v>
      </c>
      <c r="AX327" s="57" t="s">
        <v>2512</v>
      </c>
      <c r="AY327" s="57" t="s">
        <v>2513</v>
      </c>
      <c r="AZ327" s="58">
        <f t="shared" si="345"/>
        <v>0</v>
      </c>
      <c r="BA327" s="59">
        <f t="shared" si="293"/>
        <v>0</v>
      </c>
      <c r="BB327" s="59">
        <f t="shared" si="294"/>
        <v>0</v>
      </c>
      <c r="BC327" s="59">
        <f t="shared" si="295"/>
        <v>0</v>
      </c>
      <c r="BD327" s="60">
        <f t="shared" si="346"/>
        <v>0</v>
      </c>
      <c r="BE327" s="59">
        <f t="shared" si="347"/>
        <v>0</v>
      </c>
      <c r="BQ327" s="61">
        <v>3000</v>
      </c>
      <c r="BR327" s="61">
        <v>1200</v>
      </c>
      <c r="BS327" s="28">
        <f t="shared" si="315"/>
        <v>2980</v>
      </c>
      <c r="BT327" s="28">
        <f t="shared" si="316"/>
        <v>1180</v>
      </c>
      <c r="BU327" s="28" t="s">
        <v>2541</v>
      </c>
      <c r="BV327" s="28">
        <f t="shared" si="317"/>
        <v>5</v>
      </c>
      <c r="BW327" s="28">
        <f t="shared" si="318"/>
        <v>5</v>
      </c>
      <c r="BX327" s="13">
        <f t="shared" si="319"/>
        <v>596</v>
      </c>
      <c r="BY327" s="13">
        <f t="shared" si="320"/>
        <v>596</v>
      </c>
      <c r="BZ327" s="13">
        <f t="shared" si="321"/>
        <v>236</v>
      </c>
      <c r="CA327" s="13">
        <f t="shared" si="322"/>
        <v>236</v>
      </c>
      <c r="CB327" s="13">
        <f t="shared" si="323"/>
        <v>140656</v>
      </c>
      <c r="CC327" s="62" t="str">
        <f t="shared" si="324"/>
        <v/>
      </c>
      <c r="CD327" s="13">
        <f t="shared" si="325"/>
        <v>596</v>
      </c>
      <c r="CE327" s="13">
        <f t="shared" si="326"/>
        <v>596</v>
      </c>
      <c r="CF327" s="13">
        <f t="shared" si="327"/>
        <v>236</v>
      </c>
      <c r="CG327" s="13">
        <f t="shared" si="328"/>
        <v>236</v>
      </c>
      <c r="CH327" s="28">
        <f t="shared" si="329"/>
        <v>140656</v>
      </c>
      <c r="CI327" s="62" t="str">
        <f t="shared" si="330"/>
        <v/>
      </c>
      <c r="CJ327" s="59">
        <f t="shared" si="331"/>
        <v>0</v>
      </c>
      <c r="CL327" s="63">
        <v>6000</v>
      </c>
      <c r="CM327" s="63">
        <f t="shared" si="332"/>
        <v>0</v>
      </c>
      <c r="CN327" s="63">
        <f t="shared" si="333"/>
        <v>5</v>
      </c>
      <c r="CO327" s="63">
        <f t="shared" si="334"/>
        <v>1200</v>
      </c>
      <c r="CP327" s="13">
        <f t="shared" si="335"/>
        <v>1200</v>
      </c>
      <c r="CQ327" s="70">
        <f t="shared" si="336"/>
        <v>8.3333333333333339E-4</v>
      </c>
      <c r="CR327" s="69">
        <f t="shared" si="303"/>
        <v>8.3333333333333339E-4</v>
      </c>
    </row>
    <row r="328" spans="1:96" hidden="1" x14ac:dyDescent="0.25">
      <c r="A328" s="13">
        <v>4</v>
      </c>
      <c r="B328" s="14" t="s">
        <v>900</v>
      </c>
      <c r="C328" s="13" t="s">
        <v>901</v>
      </c>
      <c r="D328" s="13" t="s">
        <v>2270</v>
      </c>
      <c r="E328" s="13" t="s">
        <v>52</v>
      </c>
      <c r="F328" s="15">
        <f t="shared" si="304"/>
        <v>1</v>
      </c>
      <c r="G328" s="13">
        <v>1</v>
      </c>
      <c r="H328" s="13">
        <f>G328*$H$327</f>
        <v>1</v>
      </c>
      <c r="I328" s="13">
        <v>1</v>
      </c>
      <c r="J328" s="14" t="s">
        <v>902</v>
      </c>
      <c r="K328" s="14" t="s">
        <v>34</v>
      </c>
      <c r="L328" s="13">
        <v>0</v>
      </c>
      <c r="M328" s="14" t="s">
        <v>35</v>
      </c>
      <c r="N328" s="13" t="s">
        <v>903</v>
      </c>
      <c r="O328" s="28" t="s">
        <v>41</v>
      </c>
      <c r="P328" s="28" t="s">
        <v>41</v>
      </c>
      <c r="Q328" s="28" t="s">
        <v>124</v>
      </c>
      <c r="R328" s="30">
        <v>14.755000000000001</v>
      </c>
      <c r="S328" s="30">
        <v>2</v>
      </c>
      <c r="T328" s="30"/>
      <c r="U328" s="30">
        <v>9.8000000000000004E-2</v>
      </c>
      <c r="V328" s="8">
        <f t="shared" si="306"/>
        <v>374.77699999999999</v>
      </c>
      <c r="W328" s="8">
        <f t="shared" si="307"/>
        <v>50.8</v>
      </c>
      <c r="X328" s="8">
        <f t="shared" si="308"/>
        <v>0</v>
      </c>
      <c r="Y328" s="33">
        <f t="shared" si="309"/>
        <v>2.4891999999999999</v>
      </c>
      <c r="Z328" s="28" t="s">
        <v>56</v>
      </c>
      <c r="AA328" s="28" t="s">
        <v>57</v>
      </c>
      <c r="AB328" s="61" t="s">
        <v>124</v>
      </c>
      <c r="AC328" s="31" t="s">
        <v>125</v>
      </c>
      <c r="AD328" s="50">
        <f t="shared" si="310"/>
        <v>1</v>
      </c>
      <c r="AE328" s="31"/>
      <c r="AF328" s="51">
        <v>14</v>
      </c>
      <c r="AG328" s="51">
        <f t="shared" si="337"/>
        <v>8.4</v>
      </c>
      <c r="AH328" s="51">
        <f t="shared" si="302"/>
        <v>42</v>
      </c>
      <c r="AI328" s="52" t="s">
        <v>2497</v>
      </c>
      <c r="AJ328" s="52" t="s">
        <v>2498</v>
      </c>
      <c r="AK328" s="53">
        <f t="shared" si="338"/>
        <v>3.8077343199999995E-2</v>
      </c>
      <c r="AL328" s="54">
        <f t="shared" si="339"/>
        <v>0.11904761904761904</v>
      </c>
      <c r="AM328" s="54">
        <f t="shared" si="340"/>
        <v>2.3809523809523808E-2</v>
      </c>
      <c r="AN328" s="55">
        <f t="shared" si="341"/>
        <v>4.533017047619047E-3</v>
      </c>
      <c r="AO328" s="55">
        <f t="shared" si="342"/>
        <v>9.0660340952380936E-4</v>
      </c>
      <c r="AP328" s="53">
        <v>7.1</v>
      </c>
      <c r="AQ328" s="53">
        <f t="shared" si="311"/>
        <v>4.26</v>
      </c>
      <c r="AR328" s="53">
        <f t="shared" si="312"/>
        <v>21.299999999999997</v>
      </c>
      <c r="AS328" s="56">
        <f t="shared" si="313"/>
        <v>4.6948356807511742E-2</v>
      </c>
      <c r="AT328" s="56">
        <f t="shared" si="343"/>
        <v>0.23474178403755869</v>
      </c>
      <c r="AU328" s="56">
        <f t="shared" si="314"/>
        <v>0.176056338028169</v>
      </c>
      <c r="AV328" s="56">
        <f t="shared" si="344"/>
        <v>5.8685446009389672E-2</v>
      </c>
      <c r="AW328" s="57" t="s">
        <v>2511</v>
      </c>
      <c r="AX328" s="57" t="s">
        <v>2512</v>
      </c>
      <c r="AY328" s="57" t="s">
        <v>2513</v>
      </c>
      <c r="AZ328" s="58">
        <f t="shared" si="345"/>
        <v>3.8077343199999995E-2</v>
      </c>
      <c r="BA328" s="59">
        <f t="shared" ref="BA328:BA391" si="348">IF(AW328&lt;&gt;0,((AV328*AD328*AK328)/2),0)</f>
        <v>1.1172929342723003E-3</v>
      </c>
      <c r="BB328" s="59">
        <f t="shared" ref="BB328:BB391" si="349">IF(AX328&lt;&gt;0,((AD328*AU328*AZ328)/2),0)</f>
        <v>3.3518788028169006E-3</v>
      </c>
      <c r="BC328" s="59">
        <f t="shared" ref="BC328:BC391" si="350">IF(AY328&lt;&gt;0,((AD328*AS328*AZ328)/2),0)</f>
        <v>8.938343474178403E-4</v>
      </c>
      <c r="BD328" s="60">
        <f t="shared" si="346"/>
        <v>6.2893081761006293E-3</v>
      </c>
      <c r="BE328" s="59">
        <f t="shared" si="347"/>
        <v>6.2893081761006293E-3</v>
      </c>
      <c r="BQ328" s="61">
        <v>3000</v>
      </c>
      <c r="BR328" s="61">
        <v>1200</v>
      </c>
      <c r="BS328" s="28">
        <f t="shared" si="315"/>
        <v>2980</v>
      </c>
      <c r="BT328" s="28">
        <f t="shared" si="316"/>
        <v>1180</v>
      </c>
      <c r="BU328" s="28" t="s">
        <v>2541</v>
      </c>
      <c r="BV328" s="28">
        <f t="shared" si="317"/>
        <v>379.77699999999999</v>
      </c>
      <c r="BW328" s="28">
        <f t="shared" si="318"/>
        <v>55.8</v>
      </c>
      <c r="BX328" s="13">
        <f t="shared" si="319"/>
        <v>7.8467100429989181</v>
      </c>
      <c r="BY328" s="13">
        <f t="shared" si="320"/>
        <v>7</v>
      </c>
      <c r="BZ328" s="13">
        <f t="shared" si="321"/>
        <v>21.146953405017921</v>
      </c>
      <c r="CA328" s="13">
        <f t="shared" si="322"/>
        <v>21</v>
      </c>
      <c r="CB328" s="13">
        <f t="shared" si="323"/>
        <v>147</v>
      </c>
      <c r="CC328" s="62">
        <f t="shared" si="324"/>
        <v>6.8027210884353739E-3</v>
      </c>
      <c r="CD328" s="13">
        <f t="shared" si="325"/>
        <v>53.405017921146957</v>
      </c>
      <c r="CE328" s="13">
        <f t="shared" si="326"/>
        <v>53</v>
      </c>
      <c r="CF328" s="13">
        <f t="shared" si="327"/>
        <v>3.1070865270935313</v>
      </c>
      <c r="CG328" s="13">
        <f t="shared" si="328"/>
        <v>3</v>
      </c>
      <c r="CH328" s="28">
        <f t="shared" si="329"/>
        <v>159</v>
      </c>
      <c r="CI328" s="62">
        <f t="shared" si="330"/>
        <v>6.2893081761006293E-3</v>
      </c>
      <c r="CJ328" s="59">
        <f t="shared" si="331"/>
        <v>6.2893081761006293E-3</v>
      </c>
      <c r="CL328" s="63">
        <v>6000</v>
      </c>
      <c r="CM328" s="63">
        <f t="shared" si="332"/>
        <v>374.77699999999999</v>
      </c>
      <c r="CN328" s="63">
        <f t="shared" si="333"/>
        <v>379.77699999999999</v>
      </c>
      <c r="CO328" s="63">
        <f t="shared" si="334"/>
        <v>15.798745053017957</v>
      </c>
      <c r="CP328" s="13">
        <f t="shared" si="335"/>
        <v>15</v>
      </c>
      <c r="CQ328" s="70">
        <f t="shared" si="336"/>
        <v>6.6666666666666666E-2</v>
      </c>
      <c r="CR328" s="69">
        <f t="shared" si="303"/>
        <v>6.6666666666666666E-2</v>
      </c>
    </row>
    <row r="329" spans="1:96" hidden="1" x14ac:dyDescent="0.25">
      <c r="A329" s="13">
        <v>4</v>
      </c>
      <c r="B329" s="14" t="s">
        <v>900</v>
      </c>
      <c r="C329" s="13" t="s">
        <v>904</v>
      </c>
      <c r="D329" s="13" t="s">
        <v>905</v>
      </c>
      <c r="E329" s="13" t="s">
        <v>52</v>
      </c>
      <c r="F329" s="15">
        <f t="shared" si="304"/>
        <v>5</v>
      </c>
      <c r="G329" s="13">
        <v>4</v>
      </c>
      <c r="H329" s="13">
        <f>G329*$H$327</f>
        <v>4</v>
      </c>
      <c r="I329" s="13">
        <v>2</v>
      </c>
      <c r="J329" s="14" t="s">
        <v>681</v>
      </c>
      <c r="K329" s="14" t="s">
        <v>34</v>
      </c>
      <c r="L329" s="13">
        <v>0</v>
      </c>
      <c r="M329" s="14" t="s">
        <v>35</v>
      </c>
      <c r="N329" s="13" t="s">
        <v>905</v>
      </c>
      <c r="O329" s="28" t="s">
        <v>41</v>
      </c>
      <c r="P329" s="28" t="s">
        <v>41</v>
      </c>
      <c r="Q329" s="28" t="s">
        <v>905</v>
      </c>
      <c r="R329" s="30"/>
      <c r="S329" s="30"/>
      <c r="T329" s="30"/>
      <c r="U329" s="30"/>
      <c r="V329" s="8">
        <f t="shared" si="306"/>
        <v>0</v>
      </c>
      <c r="W329" s="8">
        <f t="shared" si="307"/>
        <v>0</v>
      </c>
      <c r="X329" s="8">
        <f t="shared" si="308"/>
        <v>0</v>
      </c>
      <c r="Y329" s="33">
        <f t="shared" si="309"/>
        <v>0</v>
      </c>
      <c r="Z329" s="28"/>
      <c r="AA329" s="28"/>
      <c r="AB329" s="61" t="s">
        <v>905</v>
      </c>
      <c r="AC329" s="31" t="s">
        <v>906</v>
      </c>
      <c r="AD329" s="50">
        <f t="shared" si="310"/>
        <v>4</v>
      </c>
      <c r="AE329" s="31"/>
      <c r="AF329" s="51">
        <v>14</v>
      </c>
      <c r="AG329" s="51">
        <f t="shared" si="337"/>
        <v>8.4</v>
      </c>
      <c r="AH329" s="51">
        <f t="shared" si="302"/>
        <v>42</v>
      </c>
      <c r="AI329" s="52" t="s">
        <v>2497</v>
      </c>
      <c r="AJ329" s="52" t="s">
        <v>2498</v>
      </c>
      <c r="AK329" s="53">
        <f t="shared" si="338"/>
        <v>0</v>
      </c>
      <c r="AL329" s="54">
        <f t="shared" si="339"/>
        <v>0.11904761904761904</v>
      </c>
      <c r="AM329" s="54">
        <f t="shared" si="340"/>
        <v>2.3809523809523808E-2</v>
      </c>
      <c r="AN329" s="55">
        <f t="shared" si="341"/>
        <v>0</v>
      </c>
      <c r="AO329" s="55">
        <f t="shared" si="342"/>
        <v>0</v>
      </c>
      <c r="AP329" s="53">
        <v>7.1</v>
      </c>
      <c r="AQ329" s="53">
        <f t="shared" si="311"/>
        <v>4.26</v>
      </c>
      <c r="AR329" s="53">
        <f t="shared" si="312"/>
        <v>21.299999999999997</v>
      </c>
      <c r="AS329" s="56">
        <f t="shared" si="313"/>
        <v>4.6948356807511742E-2</v>
      </c>
      <c r="AT329" s="56">
        <f t="shared" si="343"/>
        <v>0.23474178403755869</v>
      </c>
      <c r="AU329" s="56">
        <f t="shared" si="314"/>
        <v>0.176056338028169</v>
      </c>
      <c r="AV329" s="56">
        <f t="shared" si="344"/>
        <v>5.8685446009389672E-2</v>
      </c>
      <c r="AW329" s="57" t="s">
        <v>2511</v>
      </c>
      <c r="AX329" s="57" t="s">
        <v>2512</v>
      </c>
      <c r="AY329" s="57" t="s">
        <v>2513</v>
      </c>
      <c r="AZ329" s="58">
        <f t="shared" si="345"/>
        <v>0</v>
      </c>
      <c r="BA329" s="59">
        <f t="shared" si="348"/>
        <v>0</v>
      </c>
      <c r="BB329" s="59">
        <f t="shared" si="349"/>
        <v>0</v>
      </c>
      <c r="BC329" s="59">
        <f t="shared" si="350"/>
        <v>0</v>
      </c>
      <c r="BD329" s="60">
        <f t="shared" si="346"/>
        <v>7.1095438516664771E-6</v>
      </c>
      <c r="BE329" s="59">
        <f t="shared" si="347"/>
        <v>2.8438175406665908E-5</v>
      </c>
      <c r="BQ329" s="61">
        <v>3000</v>
      </c>
      <c r="BR329" s="61">
        <v>1200</v>
      </c>
      <c r="BS329" s="28">
        <f t="shared" si="315"/>
        <v>2980</v>
      </c>
      <c r="BT329" s="28">
        <f t="shared" si="316"/>
        <v>1180</v>
      </c>
      <c r="BU329" s="28" t="s">
        <v>2541</v>
      </c>
      <c r="BV329" s="28">
        <f t="shared" si="317"/>
        <v>5</v>
      </c>
      <c r="BW329" s="28">
        <f t="shared" si="318"/>
        <v>5</v>
      </c>
      <c r="BX329" s="13">
        <f t="shared" si="319"/>
        <v>596</v>
      </c>
      <c r="BY329" s="13">
        <f t="shared" si="320"/>
        <v>596</v>
      </c>
      <c r="BZ329" s="13">
        <f t="shared" si="321"/>
        <v>236</v>
      </c>
      <c r="CA329" s="13">
        <f t="shared" si="322"/>
        <v>236</v>
      </c>
      <c r="CB329" s="13">
        <f t="shared" si="323"/>
        <v>140656</v>
      </c>
      <c r="CC329" s="62">
        <f t="shared" si="324"/>
        <v>7.1095438516664771E-6</v>
      </c>
      <c r="CD329" s="13">
        <f t="shared" si="325"/>
        <v>596</v>
      </c>
      <c r="CE329" s="13">
        <f t="shared" si="326"/>
        <v>596</v>
      </c>
      <c r="CF329" s="13">
        <f t="shared" si="327"/>
        <v>236</v>
      </c>
      <c r="CG329" s="13">
        <f t="shared" si="328"/>
        <v>236</v>
      </c>
      <c r="CH329" s="28">
        <f t="shared" si="329"/>
        <v>140656</v>
      </c>
      <c r="CI329" s="62">
        <f t="shared" si="330"/>
        <v>7.1095438516664771E-6</v>
      </c>
      <c r="CJ329" s="59">
        <f t="shared" si="331"/>
        <v>7.1095438516664771E-6</v>
      </c>
      <c r="CL329" s="63">
        <v>6000</v>
      </c>
      <c r="CM329" s="63">
        <f t="shared" si="332"/>
        <v>0</v>
      </c>
      <c r="CN329" s="63">
        <f t="shared" si="333"/>
        <v>5</v>
      </c>
      <c r="CO329" s="63">
        <f t="shared" si="334"/>
        <v>1200</v>
      </c>
      <c r="CP329" s="13">
        <f t="shared" si="335"/>
        <v>1200</v>
      </c>
      <c r="CQ329" s="70">
        <f t="shared" si="336"/>
        <v>8.3333333333333339E-4</v>
      </c>
      <c r="CR329" s="69">
        <f t="shared" si="303"/>
        <v>3.3333333333333335E-3</v>
      </c>
    </row>
    <row r="330" spans="1:96" hidden="1" x14ac:dyDescent="0.25">
      <c r="A330" s="10">
        <v>3</v>
      </c>
      <c r="B330" s="8" t="s">
        <v>720</v>
      </c>
      <c r="C330" s="10" t="s">
        <v>907</v>
      </c>
      <c r="D330" s="10" t="s">
        <v>2270</v>
      </c>
      <c r="E330" s="10" t="s">
        <v>32</v>
      </c>
      <c r="F330" s="12">
        <f t="shared" si="304"/>
        <v>1</v>
      </c>
      <c r="G330" s="10">
        <v>1</v>
      </c>
      <c r="H330" s="10">
        <f>G330*$H$234</f>
        <v>1</v>
      </c>
      <c r="I330" s="10">
        <v>17</v>
      </c>
      <c r="J330" s="8" t="s">
        <v>898</v>
      </c>
      <c r="K330" s="8" t="s">
        <v>34</v>
      </c>
      <c r="L330" s="10">
        <v>0</v>
      </c>
      <c r="M330" s="8" t="s">
        <v>35</v>
      </c>
      <c r="N330" s="10" t="s">
        <v>908</v>
      </c>
      <c r="O330" s="28" t="s">
        <v>41</v>
      </c>
      <c r="P330" s="28" t="s">
        <v>41</v>
      </c>
      <c r="Q330" s="28"/>
      <c r="R330" s="30"/>
      <c r="S330" s="30"/>
      <c r="T330" s="30"/>
      <c r="U330" s="30"/>
      <c r="V330" s="8">
        <f t="shared" si="306"/>
        <v>0</v>
      </c>
      <c r="W330" s="8">
        <f t="shared" si="307"/>
        <v>0</v>
      </c>
      <c r="X330" s="8">
        <f t="shared" si="308"/>
        <v>0</v>
      </c>
      <c r="Y330" s="33">
        <f t="shared" si="309"/>
        <v>0</v>
      </c>
      <c r="Z330" s="28"/>
      <c r="AA330" s="28"/>
      <c r="AB330" s="28">
        <v>0</v>
      </c>
      <c r="AC330" s="31"/>
      <c r="AD330" s="50">
        <f t="shared" si="310"/>
        <v>1</v>
      </c>
      <c r="AE330" s="47" t="s">
        <v>107</v>
      </c>
      <c r="AF330" s="51">
        <v>14</v>
      </c>
      <c r="AG330" s="51">
        <f t="shared" si="337"/>
        <v>8.4</v>
      </c>
      <c r="AH330" s="51">
        <f t="shared" si="302"/>
        <v>42</v>
      </c>
      <c r="AI330" s="52" t="s">
        <v>2497</v>
      </c>
      <c r="AJ330" s="52" t="s">
        <v>2498</v>
      </c>
      <c r="AK330" s="53">
        <f t="shared" si="338"/>
        <v>0</v>
      </c>
      <c r="AL330" s="54">
        <f t="shared" si="339"/>
        <v>0.11904761904761904</v>
      </c>
      <c r="AM330" s="54">
        <f t="shared" si="340"/>
        <v>2.3809523809523808E-2</v>
      </c>
      <c r="AN330" s="55">
        <f t="shared" si="341"/>
        <v>0</v>
      </c>
      <c r="AO330" s="55">
        <f t="shared" si="342"/>
        <v>0</v>
      </c>
      <c r="AP330" s="53">
        <v>7.1</v>
      </c>
      <c r="AQ330" s="53">
        <f t="shared" si="311"/>
        <v>4.26</v>
      </c>
      <c r="AR330" s="53">
        <f t="shared" si="312"/>
        <v>21.299999999999997</v>
      </c>
      <c r="AS330" s="56">
        <f t="shared" si="313"/>
        <v>4.6948356807511742E-2</v>
      </c>
      <c r="AT330" s="56">
        <f t="shared" si="343"/>
        <v>0.23474178403755869</v>
      </c>
      <c r="AU330" s="56">
        <f t="shared" si="314"/>
        <v>0.176056338028169</v>
      </c>
      <c r="AV330" s="56">
        <f t="shared" si="344"/>
        <v>5.8685446009389672E-2</v>
      </c>
      <c r="AW330" s="57" t="s">
        <v>2511</v>
      </c>
      <c r="AX330" s="57" t="s">
        <v>2512</v>
      </c>
      <c r="AY330" s="57" t="s">
        <v>2513</v>
      </c>
      <c r="AZ330" s="58">
        <f t="shared" si="345"/>
        <v>0</v>
      </c>
      <c r="BA330" s="59">
        <f t="shared" si="348"/>
        <v>0</v>
      </c>
      <c r="BB330" s="59">
        <f t="shared" si="349"/>
        <v>0</v>
      </c>
      <c r="BC330" s="59">
        <f t="shared" si="350"/>
        <v>0</v>
      </c>
      <c r="BD330" s="60">
        <f t="shared" si="346"/>
        <v>0</v>
      </c>
      <c r="BE330" s="59">
        <f t="shared" si="347"/>
        <v>0</v>
      </c>
      <c r="BQ330" s="61">
        <v>3000</v>
      </c>
      <c r="BR330" s="61">
        <v>1200</v>
      </c>
      <c r="BS330" s="28">
        <f t="shared" si="315"/>
        <v>2980</v>
      </c>
      <c r="BT330" s="28">
        <f t="shared" si="316"/>
        <v>1180</v>
      </c>
      <c r="BU330" s="28" t="s">
        <v>2541</v>
      </c>
      <c r="BV330" s="28">
        <f t="shared" si="317"/>
        <v>5</v>
      </c>
      <c r="BW330" s="28">
        <f t="shared" si="318"/>
        <v>5</v>
      </c>
      <c r="BX330" s="13">
        <f t="shared" si="319"/>
        <v>596</v>
      </c>
      <c r="BY330" s="13">
        <f t="shared" si="320"/>
        <v>596</v>
      </c>
      <c r="BZ330" s="13">
        <f t="shared" si="321"/>
        <v>236</v>
      </c>
      <c r="CA330" s="13">
        <f t="shared" si="322"/>
        <v>236</v>
      </c>
      <c r="CB330" s="13">
        <f t="shared" si="323"/>
        <v>140656</v>
      </c>
      <c r="CC330" s="62" t="str">
        <f t="shared" si="324"/>
        <v/>
      </c>
      <c r="CD330" s="13">
        <f t="shared" si="325"/>
        <v>596</v>
      </c>
      <c r="CE330" s="13">
        <f t="shared" si="326"/>
        <v>596</v>
      </c>
      <c r="CF330" s="13">
        <f t="shared" si="327"/>
        <v>236</v>
      </c>
      <c r="CG330" s="13">
        <f t="shared" si="328"/>
        <v>236</v>
      </c>
      <c r="CH330" s="28">
        <f t="shared" si="329"/>
        <v>140656</v>
      </c>
      <c r="CI330" s="62" t="str">
        <f t="shared" si="330"/>
        <v/>
      </c>
      <c r="CJ330" s="59">
        <f t="shared" si="331"/>
        <v>0</v>
      </c>
      <c r="CL330" s="63">
        <v>6000</v>
      </c>
      <c r="CM330" s="63">
        <f t="shared" si="332"/>
        <v>0</v>
      </c>
      <c r="CN330" s="63">
        <f t="shared" si="333"/>
        <v>5</v>
      </c>
      <c r="CO330" s="63">
        <f t="shared" si="334"/>
        <v>1200</v>
      </c>
      <c r="CP330" s="13">
        <f t="shared" si="335"/>
        <v>1200</v>
      </c>
      <c r="CQ330" s="70">
        <f t="shared" si="336"/>
        <v>8.3333333333333339E-4</v>
      </c>
      <c r="CR330" s="69">
        <f t="shared" si="303"/>
        <v>8.3333333333333339E-4</v>
      </c>
    </row>
    <row r="331" spans="1:96" hidden="1" x14ac:dyDescent="0.25">
      <c r="A331" s="13">
        <v>4</v>
      </c>
      <c r="B331" s="14" t="s">
        <v>909</v>
      </c>
      <c r="C331" s="13" t="s">
        <v>910</v>
      </c>
      <c r="D331" s="13" t="s">
        <v>2270</v>
      </c>
      <c r="E331" s="13" t="s">
        <v>52</v>
      </c>
      <c r="F331" s="15">
        <f t="shared" si="304"/>
        <v>1</v>
      </c>
      <c r="G331" s="13">
        <v>1</v>
      </c>
      <c r="H331" s="13">
        <f>G331*$H$330</f>
        <v>1</v>
      </c>
      <c r="I331" s="13">
        <v>3</v>
      </c>
      <c r="J331" s="14" t="s">
        <v>911</v>
      </c>
      <c r="K331" s="14" t="s">
        <v>34</v>
      </c>
      <c r="L331" s="13">
        <v>0</v>
      </c>
      <c r="M331" s="14" t="s">
        <v>35</v>
      </c>
      <c r="N331" s="13" t="s">
        <v>912</v>
      </c>
      <c r="O331" s="28" t="s">
        <v>41</v>
      </c>
      <c r="P331" s="28" t="s">
        <v>41</v>
      </c>
      <c r="Q331" s="28" t="s">
        <v>249</v>
      </c>
      <c r="R331" s="30">
        <v>18.975999999999999</v>
      </c>
      <c r="S331" s="30">
        <v>0.47199999999999998</v>
      </c>
      <c r="T331" s="30"/>
      <c r="U331" s="30">
        <v>0.19700000000000001</v>
      </c>
      <c r="V331" s="8">
        <f t="shared" si="306"/>
        <v>481.99039999999997</v>
      </c>
      <c r="W331" s="8">
        <f t="shared" si="307"/>
        <v>11.988799999999999</v>
      </c>
      <c r="X331" s="8">
        <f t="shared" si="308"/>
        <v>0</v>
      </c>
      <c r="Y331" s="33">
        <f t="shared" si="309"/>
        <v>5.0038</v>
      </c>
      <c r="Z331" s="28" t="s">
        <v>2477</v>
      </c>
      <c r="AA331" s="28" t="s">
        <v>2477</v>
      </c>
      <c r="AB331" s="61" t="s">
        <v>249</v>
      </c>
      <c r="AC331" s="31" t="s">
        <v>252</v>
      </c>
      <c r="AD331" s="50">
        <f t="shared" si="310"/>
        <v>1</v>
      </c>
      <c r="AE331" s="47" t="s">
        <v>107</v>
      </c>
      <c r="AF331" s="51">
        <v>14</v>
      </c>
      <c r="AG331" s="51">
        <f t="shared" si="337"/>
        <v>8.4</v>
      </c>
      <c r="AH331" s="51">
        <f t="shared" si="302"/>
        <v>42</v>
      </c>
      <c r="AI331" s="52" t="s">
        <v>2497</v>
      </c>
      <c r="AJ331" s="52" t="s">
        <v>2498</v>
      </c>
      <c r="AK331" s="53">
        <f t="shared" si="338"/>
        <v>1.1556973015039999E-2</v>
      </c>
      <c r="AL331" s="54">
        <f t="shared" si="339"/>
        <v>0.11904761904761904</v>
      </c>
      <c r="AM331" s="54">
        <f t="shared" si="340"/>
        <v>2.3809523809523808E-2</v>
      </c>
      <c r="AN331" s="55">
        <f t="shared" si="341"/>
        <v>1.3758301208380949E-3</v>
      </c>
      <c r="AO331" s="55">
        <f t="shared" si="342"/>
        <v>2.75166024167619E-4</v>
      </c>
      <c r="AP331" s="53">
        <v>7.1</v>
      </c>
      <c r="AQ331" s="53">
        <f t="shared" si="311"/>
        <v>4.26</v>
      </c>
      <c r="AR331" s="53">
        <f t="shared" si="312"/>
        <v>21.299999999999997</v>
      </c>
      <c r="AS331" s="56">
        <f t="shared" si="313"/>
        <v>4.6948356807511742E-2</v>
      </c>
      <c r="AT331" s="56">
        <f t="shared" si="343"/>
        <v>0.23474178403755869</v>
      </c>
      <c r="AU331" s="56">
        <f t="shared" si="314"/>
        <v>0.176056338028169</v>
      </c>
      <c r="AV331" s="56">
        <f t="shared" si="344"/>
        <v>5.8685446009389672E-2</v>
      </c>
      <c r="AW331" s="57" t="s">
        <v>2511</v>
      </c>
      <c r="AX331" s="57" t="s">
        <v>2512</v>
      </c>
      <c r="AY331" s="57" t="s">
        <v>2513</v>
      </c>
      <c r="AZ331" s="58">
        <f t="shared" si="345"/>
        <v>1.1556973015039999E-2</v>
      </c>
      <c r="BA331" s="59">
        <f t="shared" si="348"/>
        <v>3.3911305795305158E-4</v>
      </c>
      <c r="BB331" s="59">
        <f t="shared" si="349"/>
        <v>1.0173391738591546E-3</v>
      </c>
      <c r="BC331" s="59">
        <f t="shared" si="350"/>
        <v>2.712904463624413E-4</v>
      </c>
      <c r="BD331" s="60">
        <f t="shared" si="346"/>
        <v>2.4154589371980675E-3</v>
      </c>
      <c r="BE331" s="59">
        <f t="shared" si="347"/>
        <v>2.4154589371980675E-3</v>
      </c>
      <c r="BQ331" s="61">
        <v>3000</v>
      </c>
      <c r="BR331" s="61">
        <v>1200</v>
      </c>
      <c r="BS331" s="28">
        <f t="shared" si="315"/>
        <v>2980</v>
      </c>
      <c r="BT331" s="28">
        <f t="shared" si="316"/>
        <v>1180</v>
      </c>
      <c r="BU331" s="28" t="s">
        <v>2541</v>
      </c>
      <c r="BV331" s="28">
        <f t="shared" si="317"/>
        <v>486.99039999999997</v>
      </c>
      <c r="BW331" s="28">
        <f t="shared" si="318"/>
        <v>16.988799999999998</v>
      </c>
      <c r="BX331" s="13">
        <f t="shared" si="319"/>
        <v>6.1192171344650736</v>
      </c>
      <c r="BY331" s="13">
        <f t="shared" si="320"/>
        <v>6</v>
      </c>
      <c r="BZ331" s="13">
        <f t="shared" si="321"/>
        <v>69.457524957619142</v>
      </c>
      <c r="CA331" s="13">
        <f t="shared" si="322"/>
        <v>69</v>
      </c>
      <c r="CB331" s="13">
        <f t="shared" si="323"/>
        <v>414</v>
      </c>
      <c r="CC331" s="62">
        <f t="shared" si="324"/>
        <v>2.4154589371980675E-3</v>
      </c>
      <c r="CD331" s="13">
        <f t="shared" si="325"/>
        <v>175.40968167263139</v>
      </c>
      <c r="CE331" s="13">
        <f t="shared" si="326"/>
        <v>175</v>
      </c>
      <c r="CF331" s="13">
        <f t="shared" si="327"/>
        <v>2.4230457109626804</v>
      </c>
      <c r="CG331" s="13">
        <f t="shared" si="328"/>
        <v>2</v>
      </c>
      <c r="CH331" s="28">
        <f t="shared" si="329"/>
        <v>350</v>
      </c>
      <c r="CI331" s="62">
        <f t="shared" si="330"/>
        <v>2.8571428571428571E-3</v>
      </c>
      <c r="CJ331" s="59">
        <f t="shared" si="331"/>
        <v>2.4154589371980675E-3</v>
      </c>
      <c r="CL331" s="63">
        <v>6000</v>
      </c>
      <c r="CM331" s="63">
        <f t="shared" si="332"/>
        <v>481.99039999999997</v>
      </c>
      <c r="CN331" s="63">
        <f t="shared" si="333"/>
        <v>486.99039999999997</v>
      </c>
      <c r="CO331" s="63">
        <f t="shared" si="334"/>
        <v>12.320571411674646</v>
      </c>
      <c r="CP331" s="13">
        <f t="shared" si="335"/>
        <v>12</v>
      </c>
      <c r="CQ331" s="70">
        <f t="shared" si="336"/>
        <v>8.3333333333333329E-2</v>
      </c>
      <c r="CR331" s="69">
        <f t="shared" si="303"/>
        <v>8.3333333333333329E-2</v>
      </c>
    </row>
    <row r="332" spans="1:96" hidden="1" x14ac:dyDescent="0.25">
      <c r="A332" s="13">
        <v>4</v>
      </c>
      <c r="B332" s="14" t="s">
        <v>909</v>
      </c>
      <c r="C332" s="13" t="s">
        <v>913</v>
      </c>
      <c r="D332" s="13" t="s">
        <v>2270</v>
      </c>
      <c r="E332" s="13" t="s">
        <v>32</v>
      </c>
      <c r="F332" s="15">
        <f t="shared" si="304"/>
        <v>1</v>
      </c>
      <c r="G332" s="13">
        <v>1</v>
      </c>
      <c r="H332" s="13">
        <f>G332*$H$330</f>
        <v>1</v>
      </c>
      <c r="I332" s="13">
        <v>4</v>
      </c>
      <c r="J332" s="14" t="s">
        <v>898</v>
      </c>
      <c r="K332" s="14" t="s">
        <v>34</v>
      </c>
      <c r="L332" s="13">
        <v>0</v>
      </c>
      <c r="M332" s="14" t="s">
        <v>35</v>
      </c>
      <c r="N332" s="13" t="s">
        <v>914</v>
      </c>
      <c r="O332" s="28" t="s">
        <v>41</v>
      </c>
      <c r="P332" s="28" t="s">
        <v>41</v>
      </c>
      <c r="Q332" s="28"/>
      <c r="R332" s="30"/>
      <c r="S332" s="30"/>
      <c r="T332" s="30"/>
      <c r="U332" s="30"/>
      <c r="V332" s="8">
        <f t="shared" si="306"/>
        <v>0</v>
      </c>
      <c r="W332" s="8">
        <f t="shared" si="307"/>
        <v>0</v>
      </c>
      <c r="X332" s="8">
        <f t="shared" si="308"/>
        <v>0</v>
      </c>
      <c r="Y332" s="33">
        <f t="shared" si="309"/>
        <v>0</v>
      </c>
      <c r="Z332" s="28"/>
      <c r="AA332" s="28"/>
      <c r="AB332" s="28">
        <v>0</v>
      </c>
      <c r="AC332" s="31"/>
      <c r="AD332" s="50">
        <f t="shared" si="310"/>
        <v>1</v>
      </c>
      <c r="AE332" s="47" t="s">
        <v>107</v>
      </c>
      <c r="AF332" s="51">
        <v>14</v>
      </c>
      <c r="AG332" s="51">
        <f t="shared" si="337"/>
        <v>8.4</v>
      </c>
      <c r="AH332" s="51">
        <f t="shared" si="302"/>
        <v>42</v>
      </c>
      <c r="AI332" s="52" t="s">
        <v>2497</v>
      </c>
      <c r="AJ332" s="52" t="s">
        <v>2498</v>
      </c>
      <c r="AK332" s="53">
        <f t="shared" si="338"/>
        <v>0</v>
      </c>
      <c r="AL332" s="54">
        <f t="shared" si="339"/>
        <v>0.11904761904761904</v>
      </c>
      <c r="AM332" s="54">
        <f t="shared" si="340"/>
        <v>2.3809523809523808E-2</v>
      </c>
      <c r="AN332" s="55">
        <f t="shared" si="341"/>
        <v>0</v>
      </c>
      <c r="AO332" s="55">
        <f t="shared" si="342"/>
        <v>0</v>
      </c>
      <c r="AP332" s="53">
        <v>7.1</v>
      </c>
      <c r="AQ332" s="53">
        <f t="shared" si="311"/>
        <v>4.26</v>
      </c>
      <c r="AR332" s="53">
        <f t="shared" si="312"/>
        <v>21.299999999999997</v>
      </c>
      <c r="AS332" s="56">
        <f t="shared" si="313"/>
        <v>4.6948356807511742E-2</v>
      </c>
      <c r="AT332" s="56">
        <f t="shared" si="343"/>
        <v>0.23474178403755869</v>
      </c>
      <c r="AU332" s="56">
        <f t="shared" si="314"/>
        <v>0.176056338028169</v>
      </c>
      <c r="AV332" s="56">
        <f t="shared" si="344"/>
        <v>5.8685446009389672E-2</v>
      </c>
      <c r="AW332" s="57" t="s">
        <v>2511</v>
      </c>
      <c r="AX332" s="57" t="s">
        <v>2512</v>
      </c>
      <c r="AY332" s="57" t="s">
        <v>2513</v>
      </c>
      <c r="AZ332" s="58">
        <f t="shared" si="345"/>
        <v>0</v>
      </c>
      <c r="BA332" s="59">
        <f t="shared" si="348"/>
        <v>0</v>
      </c>
      <c r="BB332" s="59">
        <f t="shared" si="349"/>
        <v>0</v>
      </c>
      <c r="BC332" s="59">
        <f t="shared" si="350"/>
        <v>0</v>
      </c>
      <c r="BD332" s="60">
        <f t="shared" si="346"/>
        <v>0</v>
      </c>
      <c r="BE332" s="59">
        <f t="shared" si="347"/>
        <v>0</v>
      </c>
      <c r="BQ332" s="61">
        <v>3000</v>
      </c>
      <c r="BR332" s="61">
        <v>1200</v>
      </c>
      <c r="BS332" s="28">
        <f t="shared" si="315"/>
        <v>2980</v>
      </c>
      <c r="BT332" s="28">
        <f t="shared" si="316"/>
        <v>1180</v>
      </c>
      <c r="BU332" s="28" t="s">
        <v>2541</v>
      </c>
      <c r="BV332" s="28">
        <f t="shared" si="317"/>
        <v>5</v>
      </c>
      <c r="BW332" s="28">
        <f t="shared" si="318"/>
        <v>5</v>
      </c>
      <c r="BX332" s="13">
        <f t="shared" si="319"/>
        <v>596</v>
      </c>
      <c r="BY332" s="13">
        <f t="shared" si="320"/>
        <v>596</v>
      </c>
      <c r="BZ332" s="13">
        <f t="shared" si="321"/>
        <v>236</v>
      </c>
      <c r="CA332" s="13">
        <f t="shared" si="322"/>
        <v>236</v>
      </c>
      <c r="CB332" s="13">
        <f t="shared" si="323"/>
        <v>140656</v>
      </c>
      <c r="CC332" s="62" t="str">
        <f t="shared" si="324"/>
        <v/>
      </c>
      <c r="CD332" s="13">
        <f t="shared" si="325"/>
        <v>596</v>
      </c>
      <c r="CE332" s="13">
        <f t="shared" si="326"/>
        <v>596</v>
      </c>
      <c r="CF332" s="13">
        <f t="shared" si="327"/>
        <v>236</v>
      </c>
      <c r="CG332" s="13">
        <f t="shared" si="328"/>
        <v>236</v>
      </c>
      <c r="CH332" s="28">
        <f t="shared" si="329"/>
        <v>140656</v>
      </c>
      <c r="CI332" s="62" t="str">
        <f t="shared" si="330"/>
        <v/>
      </c>
      <c r="CJ332" s="59">
        <f t="shared" si="331"/>
        <v>0</v>
      </c>
      <c r="CL332" s="63">
        <v>6000</v>
      </c>
      <c r="CM332" s="63">
        <f t="shared" si="332"/>
        <v>0</v>
      </c>
      <c r="CN332" s="63">
        <f t="shared" si="333"/>
        <v>5</v>
      </c>
      <c r="CO332" s="63">
        <f t="shared" si="334"/>
        <v>1200</v>
      </c>
      <c r="CP332" s="13">
        <f t="shared" si="335"/>
        <v>1200</v>
      </c>
      <c r="CQ332" s="70">
        <f t="shared" si="336"/>
        <v>8.3333333333333339E-4</v>
      </c>
      <c r="CR332" s="69">
        <f t="shared" si="303"/>
        <v>8.3333333333333339E-4</v>
      </c>
    </row>
    <row r="333" spans="1:96" hidden="1" x14ac:dyDescent="0.25">
      <c r="A333" s="17">
        <v>5</v>
      </c>
      <c r="B333" s="6" t="s">
        <v>915</v>
      </c>
      <c r="C333" s="17" t="s">
        <v>916</v>
      </c>
      <c r="D333" s="17" t="s">
        <v>2270</v>
      </c>
      <c r="E333" s="17" t="s">
        <v>52</v>
      </c>
      <c r="F333" s="7">
        <f t="shared" si="304"/>
        <v>1</v>
      </c>
      <c r="G333" s="17">
        <v>1</v>
      </c>
      <c r="H333" s="17">
        <f>G333*$H$332</f>
        <v>1</v>
      </c>
      <c r="I333" s="17">
        <v>1</v>
      </c>
      <c r="J333" s="6" t="s">
        <v>152</v>
      </c>
      <c r="K333" s="6" t="s">
        <v>34</v>
      </c>
      <c r="L333" s="17">
        <v>0</v>
      </c>
      <c r="M333" s="6" t="s">
        <v>35</v>
      </c>
      <c r="N333" s="17" t="s">
        <v>917</v>
      </c>
      <c r="O333" s="28" t="s">
        <v>41</v>
      </c>
      <c r="P333" s="28" t="s">
        <v>41</v>
      </c>
      <c r="Q333" s="28" t="s">
        <v>124</v>
      </c>
      <c r="R333" s="30">
        <v>19</v>
      </c>
      <c r="S333" s="30">
        <v>3</v>
      </c>
      <c r="T333" s="30"/>
      <c r="U333" s="30">
        <v>9.8000000000000004E-2</v>
      </c>
      <c r="V333" s="8">
        <f t="shared" si="306"/>
        <v>482.59999999999997</v>
      </c>
      <c r="W333" s="8">
        <f t="shared" si="307"/>
        <v>76.199999999999989</v>
      </c>
      <c r="X333" s="8">
        <f t="shared" si="308"/>
        <v>0</v>
      </c>
      <c r="Y333" s="33">
        <f t="shared" si="309"/>
        <v>2.4891999999999999</v>
      </c>
      <c r="Z333" s="28" t="s">
        <v>56</v>
      </c>
      <c r="AA333" s="28" t="s">
        <v>57</v>
      </c>
      <c r="AB333" s="61" t="s">
        <v>124</v>
      </c>
      <c r="AC333" s="31" t="s">
        <v>125</v>
      </c>
      <c r="AD333" s="50">
        <f t="shared" si="310"/>
        <v>1</v>
      </c>
      <c r="AE333" s="31"/>
      <c r="AF333" s="51">
        <v>14</v>
      </c>
      <c r="AG333" s="51">
        <f t="shared" si="337"/>
        <v>8.4</v>
      </c>
      <c r="AH333" s="51">
        <f t="shared" si="302"/>
        <v>42</v>
      </c>
      <c r="AI333" s="52" t="s">
        <v>2497</v>
      </c>
      <c r="AJ333" s="52" t="s">
        <v>2498</v>
      </c>
      <c r="AK333" s="53">
        <f t="shared" si="338"/>
        <v>7.3548239999999987E-2</v>
      </c>
      <c r="AL333" s="54">
        <f t="shared" si="339"/>
        <v>0.11904761904761904</v>
      </c>
      <c r="AM333" s="54">
        <f t="shared" si="340"/>
        <v>2.3809523809523808E-2</v>
      </c>
      <c r="AN333" s="55">
        <f t="shared" si="341"/>
        <v>8.7557428571428553E-3</v>
      </c>
      <c r="AO333" s="55">
        <f t="shared" si="342"/>
        <v>1.751148571428571E-3</v>
      </c>
      <c r="AP333" s="53">
        <v>7.1</v>
      </c>
      <c r="AQ333" s="53">
        <f t="shared" si="311"/>
        <v>4.26</v>
      </c>
      <c r="AR333" s="53">
        <f t="shared" si="312"/>
        <v>21.299999999999997</v>
      </c>
      <c r="AS333" s="56">
        <f t="shared" si="313"/>
        <v>4.6948356807511742E-2</v>
      </c>
      <c r="AT333" s="56">
        <f t="shared" si="343"/>
        <v>0.23474178403755869</v>
      </c>
      <c r="AU333" s="56">
        <f t="shared" si="314"/>
        <v>0.176056338028169</v>
      </c>
      <c r="AV333" s="56">
        <f t="shared" si="344"/>
        <v>5.8685446009389672E-2</v>
      </c>
      <c r="AW333" s="57" t="s">
        <v>2511</v>
      </c>
      <c r="AX333" s="57" t="s">
        <v>2512</v>
      </c>
      <c r="AY333" s="57" t="s">
        <v>2513</v>
      </c>
      <c r="AZ333" s="58">
        <f t="shared" si="345"/>
        <v>7.3548239999999987E-2</v>
      </c>
      <c r="BA333" s="59">
        <f t="shared" si="348"/>
        <v>2.1581056338028167E-3</v>
      </c>
      <c r="BB333" s="59">
        <f t="shared" si="349"/>
        <v>6.4743169014084487E-3</v>
      </c>
      <c r="BC333" s="59">
        <f t="shared" si="350"/>
        <v>1.7264845070422534E-3</v>
      </c>
      <c r="BD333" s="60">
        <f t="shared" si="346"/>
        <v>1.1904761904761904E-2</v>
      </c>
      <c r="BE333" s="59">
        <f t="shared" si="347"/>
        <v>1.1904761904761904E-2</v>
      </c>
      <c r="BQ333" s="61">
        <v>3000</v>
      </c>
      <c r="BR333" s="61">
        <v>1200</v>
      </c>
      <c r="BS333" s="28">
        <f t="shared" si="315"/>
        <v>2980</v>
      </c>
      <c r="BT333" s="28">
        <f t="shared" si="316"/>
        <v>1180</v>
      </c>
      <c r="BU333" s="28" t="s">
        <v>2541</v>
      </c>
      <c r="BV333" s="28">
        <f t="shared" si="317"/>
        <v>487.59999999999997</v>
      </c>
      <c r="BW333" s="28">
        <f t="shared" si="318"/>
        <v>81.199999999999989</v>
      </c>
      <c r="BX333" s="13">
        <f t="shared" si="319"/>
        <v>6.1115668580803941</v>
      </c>
      <c r="BY333" s="13">
        <f t="shared" si="320"/>
        <v>6</v>
      </c>
      <c r="BZ333" s="13">
        <f t="shared" si="321"/>
        <v>14.5320197044335</v>
      </c>
      <c r="CA333" s="13">
        <f t="shared" si="322"/>
        <v>14</v>
      </c>
      <c r="CB333" s="13">
        <f t="shared" si="323"/>
        <v>84</v>
      </c>
      <c r="CC333" s="62">
        <f t="shared" si="324"/>
        <v>1.1904761904761904E-2</v>
      </c>
      <c r="CD333" s="13">
        <f t="shared" si="325"/>
        <v>36.699507389162569</v>
      </c>
      <c r="CE333" s="13">
        <f t="shared" si="326"/>
        <v>36</v>
      </c>
      <c r="CF333" s="13">
        <f t="shared" si="327"/>
        <v>2.4200164068908943</v>
      </c>
      <c r="CG333" s="13">
        <f t="shared" si="328"/>
        <v>2</v>
      </c>
      <c r="CH333" s="28">
        <f t="shared" si="329"/>
        <v>72</v>
      </c>
      <c r="CI333" s="62">
        <f t="shared" si="330"/>
        <v>1.3888888888888888E-2</v>
      </c>
      <c r="CJ333" s="59">
        <f t="shared" si="331"/>
        <v>1.1904761904761904E-2</v>
      </c>
      <c r="CL333" s="63">
        <v>6000</v>
      </c>
      <c r="CM333" s="63">
        <f t="shared" si="332"/>
        <v>482.59999999999997</v>
      </c>
      <c r="CN333" s="63">
        <f t="shared" si="333"/>
        <v>487.59999999999997</v>
      </c>
      <c r="CO333" s="63">
        <f t="shared" si="334"/>
        <v>12.305168170631665</v>
      </c>
      <c r="CP333" s="13">
        <f t="shared" si="335"/>
        <v>12</v>
      </c>
      <c r="CQ333" s="70">
        <f t="shared" si="336"/>
        <v>8.3333333333333329E-2</v>
      </c>
      <c r="CR333" s="69">
        <f t="shared" si="303"/>
        <v>8.3333333333333329E-2</v>
      </c>
    </row>
    <row r="334" spans="1:96" hidden="1" x14ac:dyDescent="0.25">
      <c r="A334" s="17">
        <v>5</v>
      </c>
      <c r="B334" s="6" t="s">
        <v>915</v>
      </c>
      <c r="C334" s="17" t="s">
        <v>572</v>
      </c>
      <c r="D334" s="17" t="s">
        <v>574</v>
      </c>
      <c r="E334" s="17" t="s">
        <v>52</v>
      </c>
      <c r="F334" s="7">
        <f t="shared" si="304"/>
        <v>2</v>
      </c>
      <c r="G334" s="17">
        <v>4</v>
      </c>
      <c r="H334" s="17">
        <f>G334*$H$332</f>
        <v>4</v>
      </c>
      <c r="I334" s="17">
        <v>2</v>
      </c>
      <c r="J334" s="6" t="s">
        <v>573</v>
      </c>
      <c r="K334" s="6" t="s">
        <v>34</v>
      </c>
      <c r="L334" s="17" t="s">
        <v>223</v>
      </c>
      <c r="M334" s="6" t="s">
        <v>340</v>
      </c>
      <c r="N334" s="17" t="s">
        <v>574</v>
      </c>
      <c r="O334" s="28" t="s">
        <v>41</v>
      </c>
      <c r="P334" s="28" t="s">
        <v>41</v>
      </c>
      <c r="Q334" s="28" t="s">
        <v>574</v>
      </c>
      <c r="R334" s="30"/>
      <c r="S334" s="30"/>
      <c r="T334" s="30"/>
      <c r="U334" s="30"/>
      <c r="V334" s="8">
        <f t="shared" si="306"/>
        <v>0</v>
      </c>
      <c r="W334" s="8">
        <f t="shared" si="307"/>
        <v>0</v>
      </c>
      <c r="X334" s="8">
        <f t="shared" si="308"/>
        <v>0</v>
      </c>
      <c r="Y334" s="33">
        <f t="shared" si="309"/>
        <v>0</v>
      </c>
      <c r="Z334" s="28"/>
      <c r="AA334" s="28"/>
      <c r="AB334" s="61" t="s">
        <v>574</v>
      </c>
      <c r="AC334" s="31" t="s">
        <v>575</v>
      </c>
      <c r="AD334" s="50">
        <f t="shared" si="310"/>
        <v>4</v>
      </c>
      <c r="AE334" s="31"/>
      <c r="AF334" s="51">
        <v>14</v>
      </c>
      <c r="AG334" s="51">
        <f t="shared" si="337"/>
        <v>8.4</v>
      </c>
      <c r="AH334" s="51">
        <f t="shared" si="302"/>
        <v>42</v>
      </c>
      <c r="AI334" s="52" t="s">
        <v>2497</v>
      </c>
      <c r="AJ334" s="52" t="s">
        <v>2498</v>
      </c>
      <c r="AK334" s="53">
        <f t="shared" si="338"/>
        <v>0</v>
      </c>
      <c r="AL334" s="54">
        <f t="shared" si="339"/>
        <v>0.11904761904761904</v>
      </c>
      <c r="AM334" s="54">
        <f t="shared" si="340"/>
        <v>2.3809523809523808E-2</v>
      </c>
      <c r="AN334" s="55">
        <f t="shared" si="341"/>
        <v>0</v>
      </c>
      <c r="AO334" s="55">
        <f t="shared" si="342"/>
        <v>0</v>
      </c>
      <c r="AP334" s="53">
        <v>7.1</v>
      </c>
      <c r="AQ334" s="53">
        <f t="shared" si="311"/>
        <v>4.26</v>
      </c>
      <c r="AR334" s="53">
        <f t="shared" si="312"/>
        <v>21.299999999999997</v>
      </c>
      <c r="AS334" s="56">
        <f t="shared" si="313"/>
        <v>4.6948356807511742E-2</v>
      </c>
      <c r="AT334" s="56">
        <f t="shared" si="343"/>
        <v>0.23474178403755869</v>
      </c>
      <c r="AU334" s="56">
        <f t="shared" si="314"/>
        <v>0.176056338028169</v>
      </c>
      <c r="AV334" s="56">
        <f t="shared" si="344"/>
        <v>5.8685446009389672E-2</v>
      </c>
      <c r="AW334" s="57" t="s">
        <v>2511</v>
      </c>
      <c r="AX334" s="57" t="s">
        <v>2512</v>
      </c>
      <c r="AY334" s="57" t="s">
        <v>2513</v>
      </c>
      <c r="AZ334" s="58">
        <f t="shared" si="345"/>
        <v>0</v>
      </c>
      <c r="BA334" s="59">
        <f t="shared" si="348"/>
        <v>0</v>
      </c>
      <c r="BB334" s="59">
        <f t="shared" si="349"/>
        <v>0</v>
      </c>
      <c r="BC334" s="59">
        <f t="shared" si="350"/>
        <v>0</v>
      </c>
      <c r="BD334" s="60">
        <f t="shared" si="346"/>
        <v>7.1095438516664771E-6</v>
      </c>
      <c r="BE334" s="59">
        <f t="shared" si="347"/>
        <v>2.8438175406665908E-5</v>
      </c>
      <c r="BQ334" s="61">
        <v>3000</v>
      </c>
      <c r="BR334" s="61">
        <v>1200</v>
      </c>
      <c r="BS334" s="28">
        <f t="shared" si="315"/>
        <v>2980</v>
      </c>
      <c r="BT334" s="28">
        <f t="shared" si="316"/>
        <v>1180</v>
      </c>
      <c r="BU334" s="28" t="s">
        <v>2541</v>
      </c>
      <c r="BV334" s="28">
        <f t="shared" si="317"/>
        <v>5</v>
      </c>
      <c r="BW334" s="28">
        <f t="shared" si="318"/>
        <v>5</v>
      </c>
      <c r="BX334" s="13">
        <f t="shared" si="319"/>
        <v>596</v>
      </c>
      <c r="BY334" s="13">
        <f t="shared" si="320"/>
        <v>596</v>
      </c>
      <c r="BZ334" s="13">
        <f t="shared" si="321"/>
        <v>236</v>
      </c>
      <c r="CA334" s="13">
        <f t="shared" si="322"/>
        <v>236</v>
      </c>
      <c r="CB334" s="13">
        <f t="shared" si="323"/>
        <v>140656</v>
      </c>
      <c r="CC334" s="62">
        <f t="shared" si="324"/>
        <v>7.1095438516664771E-6</v>
      </c>
      <c r="CD334" s="13">
        <f t="shared" si="325"/>
        <v>596</v>
      </c>
      <c r="CE334" s="13">
        <f t="shared" si="326"/>
        <v>596</v>
      </c>
      <c r="CF334" s="13">
        <f t="shared" si="327"/>
        <v>236</v>
      </c>
      <c r="CG334" s="13">
        <f t="shared" si="328"/>
        <v>236</v>
      </c>
      <c r="CH334" s="28">
        <f t="shared" si="329"/>
        <v>140656</v>
      </c>
      <c r="CI334" s="62">
        <f t="shared" si="330"/>
        <v>7.1095438516664771E-6</v>
      </c>
      <c r="CJ334" s="59">
        <f t="shared" si="331"/>
        <v>7.1095438516664771E-6</v>
      </c>
      <c r="CL334" s="63">
        <v>6000</v>
      </c>
      <c r="CM334" s="63">
        <f t="shared" si="332"/>
        <v>0</v>
      </c>
      <c r="CN334" s="63">
        <f t="shared" si="333"/>
        <v>5</v>
      </c>
      <c r="CO334" s="63">
        <f t="shared" si="334"/>
        <v>1200</v>
      </c>
      <c r="CP334" s="13">
        <f t="shared" si="335"/>
        <v>1200</v>
      </c>
      <c r="CQ334" s="70">
        <f t="shared" si="336"/>
        <v>8.3333333333333339E-4</v>
      </c>
      <c r="CR334" s="69">
        <f t="shared" si="303"/>
        <v>3.3333333333333335E-3</v>
      </c>
    </row>
    <row r="335" spans="1:96" hidden="1" x14ac:dyDescent="0.25">
      <c r="A335" s="10">
        <v>3</v>
      </c>
      <c r="B335" s="8" t="s">
        <v>720</v>
      </c>
      <c r="C335" s="10" t="s">
        <v>918</v>
      </c>
      <c r="D335" s="10" t="s">
        <v>920</v>
      </c>
      <c r="E335" s="10" t="s">
        <v>52</v>
      </c>
      <c r="F335" s="12">
        <f t="shared" si="304"/>
        <v>2</v>
      </c>
      <c r="G335" s="10">
        <v>1</v>
      </c>
      <c r="H335" s="10">
        <f t="shared" ref="H335:H338" si="351">G335*$H$234</f>
        <v>1</v>
      </c>
      <c r="I335" s="10">
        <v>18</v>
      </c>
      <c r="J335" s="8" t="s">
        <v>919</v>
      </c>
      <c r="K335" s="8" t="s">
        <v>34</v>
      </c>
      <c r="L335" s="10" t="s">
        <v>259</v>
      </c>
      <c r="M335" s="8" t="s">
        <v>35</v>
      </c>
      <c r="N335" s="10" t="s">
        <v>920</v>
      </c>
      <c r="O335" s="28" t="s">
        <v>41</v>
      </c>
      <c r="P335" s="28" t="s">
        <v>41</v>
      </c>
      <c r="Q335" s="28" t="s">
        <v>79</v>
      </c>
      <c r="R335" s="30">
        <v>15.964566929133859</v>
      </c>
      <c r="S335" s="30">
        <v>0.3125</v>
      </c>
      <c r="T335" s="30"/>
      <c r="U335" s="30">
        <v>0.3125</v>
      </c>
      <c r="V335" s="8">
        <f t="shared" si="306"/>
        <v>405.5</v>
      </c>
      <c r="W335" s="8">
        <f t="shared" si="307"/>
        <v>7.9375</v>
      </c>
      <c r="X335" s="8">
        <f t="shared" si="308"/>
        <v>0</v>
      </c>
      <c r="Y335" s="33">
        <f t="shared" si="309"/>
        <v>7.9375</v>
      </c>
      <c r="Z335" s="28" t="s">
        <v>80</v>
      </c>
      <c r="AA335" s="28" t="s">
        <v>81</v>
      </c>
      <c r="AB335" s="61" t="s">
        <v>79</v>
      </c>
      <c r="AC335" s="31" t="s">
        <v>82</v>
      </c>
      <c r="AD335" s="50">
        <f t="shared" si="310"/>
        <v>1</v>
      </c>
      <c r="AE335" s="31"/>
      <c r="AF335" s="51">
        <v>14</v>
      </c>
      <c r="AG335" s="51">
        <f t="shared" si="337"/>
        <v>8.4</v>
      </c>
      <c r="AH335" s="51">
        <f t="shared" si="302"/>
        <v>42</v>
      </c>
      <c r="AI335" s="52" t="s">
        <v>2497</v>
      </c>
      <c r="AJ335" s="52" t="s">
        <v>2498</v>
      </c>
      <c r="AK335" s="53">
        <f t="shared" si="338"/>
        <v>6.4373125000000003E-3</v>
      </c>
      <c r="AL335" s="54">
        <f t="shared" si="339"/>
        <v>0.11904761904761904</v>
      </c>
      <c r="AM335" s="54">
        <f t="shared" si="340"/>
        <v>2.3809523809523808E-2</v>
      </c>
      <c r="AN335" s="55">
        <f t="shared" si="341"/>
        <v>7.6634672619047624E-4</v>
      </c>
      <c r="AO335" s="55">
        <f t="shared" si="342"/>
        <v>1.5326934523809523E-4</v>
      </c>
      <c r="AP335" s="53">
        <v>7.1</v>
      </c>
      <c r="AQ335" s="53">
        <f t="shared" si="311"/>
        <v>4.26</v>
      </c>
      <c r="AR335" s="53">
        <f t="shared" si="312"/>
        <v>21.299999999999997</v>
      </c>
      <c r="AS335" s="56">
        <f t="shared" si="313"/>
        <v>4.6948356807511742E-2</v>
      </c>
      <c r="AT335" s="56">
        <f t="shared" si="343"/>
        <v>0.23474178403755869</v>
      </c>
      <c r="AU335" s="56">
        <f t="shared" si="314"/>
        <v>0.176056338028169</v>
      </c>
      <c r="AV335" s="56">
        <f t="shared" si="344"/>
        <v>5.8685446009389672E-2</v>
      </c>
      <c r="AW335" s="57" t="s">
        <v>2511</v>
      </c>
      <c r="AX335" s="57" t="s">
        <v>2512</v>
      </c>
      <c r="AY335" s="57" t="s">
        <v>2513</v>
      </c>
      <c r="AZ335" s="58">
        <f t="shared" si="345"/>
        <v>6.4373125000000003E-3</v>
      </c>
      <c r="BA335" s="59">
        <f t="shared" si="348"/>
        <v>1.8888827758215963E-4</v>
      </c>
      <c r="BB335" s="59">
        <f t="shared" si="349"/>
        <v>5.666648327464789E-4</v>
      </c>
      <c r="BC335" s="59">
        <f t="shared" si="350"/>
        <v>1.5111062206572771E-4</v>
      </c>
      <c r="BD335" s="60">
        <f t="shared" si="346"/>
        <v>1.5698587127158557E-3</v>
      </c>
      <c r="BE335" s="59">
        <f t="shared" si="347"/>
        <v>1.5698587127158557E-3</v>
      </c>
      <c r="BQ335" s="61">
        <v>3000</v>
      </c>
      <c r="BR335" s="61">
        <v>1200</v>
      </c>
      <c r="BS335" s="28">
        <f t="shared" si="315"/>
        <v>2980</v>
      </c>
      <c r="BT335" s="28">
        <f t="shared" si="316"/>
        <v>1180</v>
      </c>
      <c r="BU335" s="28" t="s">
        <v>2541</v>
      </c>
      <c r="BV335" s="28">
        <f t="shared" si="317"/>
        <v>410.5</v>
      </c>
      <c r="BW335" s="28">
        <f t="shared" si="318"/>
        <v>12.9375</v>
      </c>
      <c r="BX335" s="13">
        <f t="shared" si="319"/>
        <v>7.2594397076735691</v>
      </c>
      <c r="BY335" s="13">
        <f t="shared" si="320"/>
        <v>7</v>
      </c>
      <c r="BZ335" s="13">
        <f t="shared" si="321"/>
        <v>91.207729468599027</v>
      </c>
      <c r="CA335" s="13">
        <f t="shared" si="322"/>
        <v>91</v>
      </c>
      <c r="CB335" s="13">
        <f t="shared" si="323"/>
        <v>637</v>
      </c>
      <c r="CC335" s="62">
        <f t="shared" si="324"/>
        <v>1.5698587127158557E-3</v>
      </c>
      <c r="CD335" s="13">
        <f t="shared" si="325"/>
        <v>230.33816425120773</v>
      </c>
      <c r="CE335" s="13">
        <f t="shared" si="326"/>
        <v>230</v>
      </c>
      <c r="CF335" s="13">
        <f t="shared" si="327"/>
        <v>2.8745432399512789</v>
      </c>
      <c r="CG335" s="13">
        <f t="shared" si="328"/>
        <v>2</v>
      </c>
      <c r="CH335" s="28">
        <f t="shared" si="329"/>
        <v>460</v>
      </c>
      <c r="CI335" s="62">
        <f t="shared" si="330"/>
        <v>2.1739130434782609E-3</v>
      </c>
      <c r="CJ335" s="59">
        <f t="shared" si="331"/>
        <v>1.5698587127158557E-3</v>
      </c>
      <c r="CL335" s="63">
        <v>6000</v>
      </c>
      <c r="CM335" s="63">
        <f t="shared" si="332"/>
        <v>405.5</v>
      </c>
      <c r="CN335" s="63">
        <f t="shared" si="333"/>
        <v>410.5</v>
      </c>
      <c r="CO335" s="63">
        <f t="shared" si="334"/>
        <v>14.616321559074299</v>
      </c>
      <c r="CP335" s="13">
        <f t="shared" si="335"/>
        <v>14</v>
      </c>
      <c r="CQ335" s="70">
        <f t="shared" si="336"/>
        <v>7.1428571428571425E-2</v>
      </c>
      <c r="CR335" s="69">
        <f t="shared" si="303"/>
        <v>7.1428571428571425E-2</v>
      </c>
    </row>
    <row r="336" spans="1:96" hidden="1" x14ac:dyDescent="0.25">
      <c r="A336" s="10">
        <v>3</v>
      </c>
      <c r="B336" s="8" t="s">
        <v>720</v>
      </c>
      <c r="C336" s="10" t="s">
        <v>583</v>
      </c>
      <c r="D336" s="10" t="s">
        <v>585</v>
      </c>
      <c r="E336" s="10" t="s">
        <v>52</v>
      </c>
      <c r="F336" s="12">
        <f t="shared" si="304"/>
        <v>2</v>
      </c>
      <c r="G336" s="10">
        <v>1</v>
      </c>
      <c r="H336" s="10">
        <f t="shared" si="351"/>
        <v>1</v>
      </c>
      <c r="I336" s="10">
        <v>19</v>
      </c>
      <c r="J336" s="8" t="s">
        <v>584</v>
      </c>
      <c r="K336" s="8" t="s">
        <v>34</v>
      </c>
      <c r="L336" s="10" t="s">
        <v>77</v>
      </c>
      <c r="M336" s="8" t="s">
        <v>35</v>
      </c>
      <c r="N336" s="10" t="s">
        <v>585</v>
      </c>
      <c r="O336" s="28" t="s">
        <v>41</v>
      </c>
      <c r="P336" s="28" t="s">
        <v>41</v>
      </c>
      <c r="Q336" s="28" t="s">
        <v>79</v>
      </c>
      <c r="R336" s="30">
        <v>3.1496062992125986</v>
      </c>
      <c r="S336" s="30">
        <v>0.3125</v>
      </c>
      <c r="T336" s="30"/>
      <c r="U336" s="30">
        <v>0.3125</v>
      </c>
      <c r="V336" s="8">
        <f t="shared" si="306"/>
        <v>80</v>
      </c>
      <c r="W336" s="8">
        <f t="shared" si="307"/>
        <v>7.9375</v>
      </c>
      <c r="X336" s="8">
        <f t="shared" si="308"/>
        <v>0</v>
      </c>
      <c r="Y336" s="33">
        <f t="shared" si="309"/>
        <v>7.9375</v>
      </c>
      <c r="Z336" s="28" t="s">
        <v>80</v>
      </c>
      <c r="AA336" s="28" t="s">
        <v>81</v>
      </c>
      <c r="AB336" s="61" t="s">
        <v>79</v>
      </c>
      <c r="AC336" s="31" t="s">
        <v>82</v>
      </c>
      <c r="AD336" s="50">
        <f t="shared" si="310"/>
        <v>1</v>
      </c>
      <c r="AE336" s="31"/>
      <c r="AF336" s="51">
        <v>14</v>
      </c>
      <c r="AG336" s="51">
        <f t="shared" si="337"/>
        <v>8.4</v>
      </c>
      <c r="AH336" s="51">
        <f t="shared" si="302"/>
        <v>42</v>
      </c>
      <c r="AI336" s="52" t="s">
        <v>2497</v>
      </c>
      <c r="AJ336" s="52" t="s">
        <v>2498</v>
      </c>
      <c r="AK336" s="53">
        <f t="shared" si="338"/>
        <v>1.2700000000000001E-3</v>
      </c>
      <c r="AL336" s="54">
        <f t="shared" si="339"/>
        <v>0.11904761904761904</v>
      </c>
      <c r="AM336" s="54">
        <f t="shared" si="340"/>
        <v>2.3809523809523808E-2</v>
      </c>
      <c r="AN336" s="55">
        <f t="shared" si="341"/>
        <v>1.511904761904762E-4</v>
      </c>
      <c r="AO336" s="55">
        <f t="shared" si="342"/>
        <v>3.023809523809524E-5</v>
      </c>
      <c r="AP336" s="53">
        <v>7.1</v>
      </c>
      <c r="AQ336" s="53">
        <f t="shared" si="311"/>
        <v>4.26</v>
      </c>
      <c r="AR336" s="53">
        <f t="shared" si="312"/>
        <v>21.299999999999997</v>
      </c>
      <c r="AS336" s="56">
        <f t="shared" si="313"/>
        <v>4.6948356807511742E-2</v>
      </c>
      <c r="AT336" s="56">
        <f t="shared" si="343"/>
        <v>0.23474178403755869</v>
      </c>
      <c r="AU336" s="56">
        <f t="shared" si="314"/>
        <v>0.176056338028169</v>
      </c>
      <c r="AV336" s="56">
        <f t="shared" si="344"/>
        <v>5.8685446009389672E-2</v>
      </c>
      <c r="AW336" s="57" t="s">
        <v>2511</v>
      </c>
      <c r="AX336" s="57" t="s">
        <v>2512</v>
      </c>
      <c r="AY336" s="57" t="s">
        <v>2513</v>
      </c>
      <c r="AZ336" s="58">
        <f t="shared" si="345"/>
        <v>1.2700000000000001E-3</v>
      </c>
      <c r="BA336" s="59">
        <f t="shared" si="348"/>
        <v>3.7265258215962443E-5</v>
      </c>
      <c r="BB336" s="59">
        <f t="shared" si="349"/>
        <v>1.1179577464788732E-4</v>
      </c>
      <c r="BC336" s="59">
        <f t="shared" si="350"/>
        <v>2.9812206572769959E-5</v>
      </c>
      <c r="BD336" s="60">
        <f t="shared" si="346"/>
        <v>3.1397174254317112E-4</v>
      </c>
      <c r="BE336" s="59">
        <f t="shared" si="347"/>
        <v>3.1397174254317112E-4</v>
      </c>
      <c r="BQ336" s="61">
        <v>3000</v>
      </c>
      <c r="BR336" s="61">
        <v>1200</v>
      </c>
      <c r="BS336" s="28">
        <f t="shared" si="315"/>
        <v>2980</v>
      </c>
      <c r="BT336" s="28">
        <f t="shared" si="316"/>
        <v>1180</v>
      </c>
      <c r="BU336" s="28" t="s">
        <v>2541</v>
      </c>
      <c r="BV336" s="28">
        <f t="shared" si="317"/>
        <v>85</v>
      </c>
      <c r="BW336" s="28">
        <f t="shared" si="318"/>
        <v>12.9375</v>
      </c>
      <c r="BX336" s="13">
        <f t="shared" si="319"/>
        <v>35.058823529411768</v>
      </c>
      <c r="BY336" s="13">
        <f t="shared" si="320"/>
        <v>35</v>
      </c>
      <c r="BZ336" s="13">
        <f t="shared" si="321"/>
        <v>91.207729468599027</v>
      </c>
      <c r="CA336" s="13">
        <f t="shared" si="322"/>
        <v>91</v>
      </c>
      <c r="CB336" s="13">
        <f t="shared" si="323"/>
        <v>3185</v>
      </c>
      <c r="CC336" s="62">
        <f t="shared" si="324"/>
        <v>3.1397174254317112E-4</v>
      </c>
      <c r="CD336" s="13">
        <f t="shared" si="325"/>
        <v>230.33816425120773</v>
      </c>
      <c r="CE336" s="13">
        <f t="shared" si="326"/>
        <v>230</v>
      </c>
      <c r="CF336" s="13">
        <f t="shared" si="327"/>
        <v>13.882352941176471</v>
      </c>
      <c r="CG336" s="13">
        <f t="shared" si="328"/>
        <v>13</v>
      </c>
      <c r="CH336" s="28">
        <f t="shared" si="329"/>
        <v>2990</v>
      </c>
      <c r="CI336" s="62">
        <f t="shared" si="330"/>
        <v>3.3444816053511704E-4</v>
      </c>
      <c r="CJ336" s="59">
        <f t="shared" si="331"/>
        <v>3.1397174254317112E-4</v>
      </c>
      <c r="CL336" s="63">
        <v>6000</v>
      </c>
      <c r="CM336" s="63">
        <f t="shared" si="332"/>
        <v>80</v>
      </c>
      <c r="CN336" s="63">
        <f t="shared" si="333"/>
        <v>85</v>
      </c>
      <c r="CO336" s="63">
        <f t="shared" si="334"/>
        <v>70.588235294117652</v>
      </c>
      <c r="CP336" s="13">
        <f t="shared" si="335"/>
        <v>70</v>
      </c>
      <c r="CQ336" s="70">
        <f t="shared" si="336"/>
        <v>1.4285714285714285E-2</v>
      </c>
      <c r="CR336" s="69">
        <f t="shared" si="303"/>
        <v>1.4285714285714285E-2</v>
      </c>
    </row>
    <row r="337" spans="1:96" hidden="1" x14ac:dyDescent="0.25">
      <c r="A337" s="10">
        <v>3</v>
      </c>
      <c r="B337" s="8" t="s">
        <v>720</v>
      </c>
      <c r="C337" s="10" t="s">
        <v>921</v>
      </c>
      <c r="D337" s="10" t="s">
        <v>2270</v>
      </c>
      <c r="E337" s="10" t="s">
        <v>52</v>
      </c>
      <c r="F337" s="12">
        <f t="shared" si="304"/>
        <v>1</v>
      </c>
      <c r="G337" s="10">
        <v>2</v>
      </c>
      <c r="H337" s="10">
        <f t="shared" si="351"/>
        <v>2</v>
      </c>
      <c r="I337" s="10">
        <v>20</v>
      </c>
      <c r="J337" s="8" t="s">
        <v>119</v>
      </c>
      <c r="K337" s="8" t="s">
        <v>34</v>
      </c>
      <c r="L337" s="10" t="s">
        <v>110</v>
      </c>
      <c r="M337" s="8" t="s">
        <v>35</v>
      </c>
      <c r="N337" s="10" t="s">
        <v>922</v>
      </c>
      <c r="O337" s="28" t="s">
        <v>41</v>
      </c>
      <c r="P337" s="28" t="s">
        <v>41</v>
      </c>
      <c r="Q337" s="28" t="s">
        <v>116</v>
      </c>
      <c r="R337" s="30">
        <v>2.952</v>
      </c>
      <c r="S337" s="30">
        <v>1.0369999999999999</v>
      </c>
      <c r="T337" s="30"/>
      <c r="U337" s="30">
        <v>0.12</v>
      </c>
      <c r="V337" s="8">
        <f t="shared" si="306"/>
        <v>74.980799999999988</v>
      </c>
      <c r="W337" s="8">
        <f t="shared" si="307"/>
        <v>26.339799999999997</v>
      </c>
      <c r="X337" s="8">
        <f t="shared" si="308"/>
        <v>0</v>
      </c>
      <c r="Y337" s="33">
        <f t="shared" si="309"/>
        <v>3.0479999999999996</v>
      </c>
      <c r="Z337" s="28" t="s">
        <v>56</v>
      </c>
      <c r="AA337" s="28" t="s">
        <v>57</v>
      </c>
      <c r="AB337" s="28" t="s">
        <v>116</v>
      </c>
      <c r="AC337" s="31" t="s">
        <v>117</v>
      </c>
      <c r="AD337" s="50">
        <f t="shared" si="310"/>
        <v>2</v>
      </c>
      <c r="AE337" s="31"/>
      <c r="AF337" s="51">
        <v>14</v>
      </c>
      <c r="AG337" s="51">
        <f t="shared" si="337"/>
        <v>8.4</v>
      </c>
      <c r="AH337" s="51">
        <f t="shared" si="302"/>
        <v>42</v>
      </c>
      <c r="AI337" s="52" t="s">
        <v>2497</v>
      </c>
      <c r="AJ337" s="52" t="s">
        <v>2498</v>
      </c>
      <c r="AK337" s="53">
        <f t="shared" si="338"/>
        <v>3.9499585516799985E-3</v>
      </c>
      <c r="AL337" s="54">
        <f t="shared" si="339"/>
        <v>0.11904761904761904</v>
      </c>
      <c r="AM337" s="54">
        <f t="shared" si="340"/>
        <v>2.3809523809523808E-2</v>
      </c>
      <c r="AN337" s="55">
        <f t="shared" si="341"/>
        <v>9.40466321828571E-4</v>
      </c>
      <c r="AO337" s="55">
        <f t="shared" si="342"/>
        <v>1.8809326436571421E-4</v>
      </c>
      <c r="AP337" s="53">
        <v>7.1</v>
      </c>
      <c r="AQ337" s="53">
        <f t="shared" si="311"/>
        <v>4.26</v>
      </c>
      <c r="AR337" s="53">
        <f t="shared" si="312"/>
        <v>21.299999999999997</v>
      </c>
      <c r="AS337" s="56">
        <f t="shared" si="313"/>
        <v>4.6948356807511742E-2</v>
      </c>
      <c r="AT337" s="56">
        <f t="shared" si="343"/>
        <v>0.23474178403755869</v>
      </c>
      <c r="AU337" s="56">
        <f t="shared" si="314"/>
        <v>0.176056338028169</v>
      </c>
      <c r="AV337" s="56">
        <f t="shared" si="344"/>
        <v>5.8685446009389672E-2</v>
      </c>
      <c r="AW337" s="57" t="s">
        <v>2511</v>
      </c>
      <c r="AX337" s="57" t="s">
        <v>2512</v>
      </c>
      <c r="AY337" s="57" t="s">
        <v>2513</v>
      </c>
      <c r="AZ337" s="58">
        <f t="shared" si="345"/>
        <v>3.9499585516799985E-3</v>
      </c>
      <c r="BA337" s="59">
        <f t="shared" si="348"/>
        <v>2.3180507932394357E-4</v>
      </c>
      <c r="BB337" s="59">
        <f t="shared" si="349"/>
        <v>6.9541523797183073E-4</v>
      </c>
      <c r="BC337" s="59">
        <f t="shared" si="350"/>
        <v>1.8544406345915486E-4</v>
      </c>
      <c r="BD337" s="60">
        <f t="shared" si="346"/>
        <v>7.3046018991964939E-4</v>
      </c>
      <c r="BE337" s="59">
        <f t="shared" si="347"/>
        <v>1.4609203798392988E-3</v>
      </c>
      <c r="BQ337" s="61">
        <v>3000</v>
      </c>
      <c r="BR337" s="61">
        <v>1200</v>
      </c>
      <c r="BS337" s="28">
        <f t="shared" si="315"/>
        <v>2980</v>
      </c>
      <c r="BT337" s="28">
        <f t="shared" si="316"/>
        <v>1180</v>
      </c>
      <c r="BU337" s="28" t="s">
        <v>2541</v>
      </c>
      <c r="BV337" s="28">
        <f t="shared" si="317"/>
        <v>79.980799999999988</v>
      </c>
      <c r="BW337" s="28">
        <f t="shared" si="318"/>
        <v>31.339799999999997</v>
      </c>
      <c r="BX337" s="13">
        <f t="shared" si="319"/>
        <v>37.258942146115075</v>
      </c>
      <c r="BY337" s="13">
        <f t="shared" si="320"/>
        <v>37</v>
      </c>
      <c r="BZ337" s="13">
        <f t="shared" si="321"/>
        <v>37.651803776667371</v>
      </c>
      <c r="CA337" s="13">
        <f t="shared" si="322"/>
        <v>37</v>
      </c>
      <c r="CB337" s="13">
        <f t="shared" si="323"/>
        <v>1369</v>
      </c>
      <c r="CC337" s="62">
        <f t="shared" si="324"/>
        <v>7.3046018991964939E-4</v>
      </c>
      <c r="CD337" s="13">
        <f t="shared" si="325"/>
        <v>95.086758690227768</v>
      </c>
      <c r="CE337" s="13">
        <f t="shared" si="326"/>
        <v>95</v>
      </c>
      <c r="CF337" s="13">
        <f t="shared" si="327"/>
        <v>14.753540849803954</v>
      </c>
      <c r="CG337" s="13">
        <f t="shared" si="328"/>
        <v>14</v>
      </c>
      <c r="CH337" s="28">
        <f t="shared" si="329"/>
        <v>1330</v>
      </c>
      <c r="CI337" s="62">
        <f t="shared" si="330"/>
        <v>7.5187969924812035E-4</v>
      </c>
      <c r="CJ337" s="59">
        <f t="shared" si="331"/>
        <v>7.3046018991964939E-4</v>
      </c>
      <c r="CL337" s="63">
        <v>6000</v>
      </c>
      <c r="CM337" s="63">
        <f t="shared" si="332"/>
        <v>74.980799999999988</v>
      </c>
      <c r="CN337" s="63">
        <f t="shared" si="333"/>
        <v>79.980799999999988</v>
      </c>
      <c r="CO337" s="63">
        <f t="shared" si="334"/>
        <v>75.018004321037054</v>
      </c>
      <c r="CP337" s="13">
        <f t="shared" si="335"/>
        <v>75</v>
      </c>
      <c r="CQ337" s="70">
        <f t="shared" si="336"/>
        <v>1.3333333333333334E-2</v>
      </c>
      <c r="CR337" s="69">
        <f t="shared" si="303"/>
        <v>2.6666666666666668E-2</v>
      </c>
    </row>
    <row r="338" spans="1:96" hidden="1" x14ac:dyDescent="0.25">
      <c r="A338" s="10">
        <v>3</v>
      </c>
      <c r="B338" s="8" t="s">
        <v>720</v>
      </c>
      <c r="C338" s="10" t="s">
        <v>923</v>
      </c>
      <c r="D338" s="10" t="s">
        <v>2270</v>
      </c>
      <c r="E338" s="10" t="s">
        <v>32</v>
      </c>
      <c r="F338" s="12">
        <f t="shared" si="304"/>
        <v>1</v>
      </c>
      <c r="G338" s="10">
        <v>1</v>
      </c>
      <c r="H338" s="10">
        <f t="shared" si="351"/>
        <v>1</v>
      </c>
      <c r="I338" s="10">
        <v>21</v>
      </c>
      <c r="J338" s="8" t="s">
        <v>722</v>
      </c>
      <c r="K338" s="8" t="s">
        <v>34</v>
      </c>
      <c r="L338" s="10">
        <v>0</v>
      </c>
      <c r="M338" s="8" t="s">
        <v>35</v>
      </c>
      <c r="N338" s="10" t="s">
        <v>924</v>
      </c>
      <c r="O338" s="28" t="s">
        <v>41</v>
      </c>
      <c r="P338" s="28" t="s">
        <v>41</v>
      </c>
      <c r="Q338" s="28"/>
      <c r="R338" s="30"/>
      <c r="S338" s="30"/>
      <c r="T338" s="30"/>
      <c r="U338" s="30"/>
      <c r="V338" s="8">
        <f t="shared" si="306"/>
        <v>0</v>
      </c>
      <c r="W338" s="8">
        <f t="shared" si="307"/>
        <v>0</v>
      </c>
      <c r="X338" s="8">
        <f t="shared" si="308"/>
        <v>0</v>
      </c>
      <c r="Y338" s="33">
        <f t="shared" si="309"/>
        <v>0</v>
      </c>
      <c r="Z338" s="28"/>
      <c r="AA338" s="28"/>
      <c r="AB338" s="28">
        <v>0</v>
      </c>
      <c r="AC338" s="31"/>
      <c r="AD338" s="50">
        <f t="shared" si="310"/>
        <v>1</v>
      </c>
      <c r="AE338" s="31"/>
      <c r="AF338" s="51">
        <v>14</v>
      </c>
      <c r="AG338" s="51">
        <f t="shared" si="337"/>
        <v>8.4</v>
      </c>
      <c r="AH338" s="51">
        <f t="shared" si="302"/>
        <v>42</v>
      </c>
      <c r="AI338" s="52" t="s">
        <v>2497</v>
      </c>
      <c r="AJ338" s="52" t="s">
        <v>2498</v>
      </c>
      <c r="AK338" s="53">
        <f t="shared" si="338"/>
        <v>0</v>
      </c>
      <c r="AL338" s="54">
        <f t="shared" si="339"/>
        <v>0.11904761904761904</v>
      </c>
      <c r="AM338" s="54">
        <f t="shared" si="340"/>
        <v>2.3809523809523808E-2</v>
      </c>
      <c r="AN338" s="55">
        <f t="shared" si="341"/>
        <v>0</v>
      </c>
      <c r="AO338" s="55">
        <f t="shared" si="342"/>
        <v>0</v>
      </c>
      <c r="AP338" s="53">
        <v>7.1</v>
      </c>
      <c r="AQ338" s="53">
        <f t="shared" si="311"/>
        <v>4.26</v>
      </c>
      <c r="AR338" s="53">
        <f t="shared" si="312"/>
        <v>21.299999999999997</v>
      </c>
      <c r="AS338" s="56">
        <f t="shared" si="313"/>
        <v>4.6948356807511742E-2</v>
      </c>
      <c r="AT338" s="56">
        <f t="shared" si="343"/>
        <v>0.23474178403755869</v>
      </c>
      <c r="AU338" s="56">
        <f t="shared" si="314"/>
        <v>0.176056338028169</v>
      </c>
      <c r="AV338" s="56">
        <f t="shared" si="344"/>
        <v>5.8685446009389672E-2</v>
      </c>
      <c r="AW338" s="57" t="s">
        <v>2511</v>
      </c>
      <c r="AX338" s="57" t="s">
        <v>2512</v>
      </c>
      <c r="AY338" s="57" t="s">
        <v>2513</v>
      </c>
      <c r="AZ338" s="58">
        <f t="shared" si="345"/>
        <v>0</v>
      </c>
      <c r="BA338" s="59">
        <f t="shared" si="348"/>
        <v>0</v>
      </c>
      <c r="BB338" s="59">
        <f t="shared" si="349"/>
        <v>0</v>
      </c>
      <c r="BC338" s="59">
        <f t="shared" si="350"/>
        <v>0</v>
      </c>
      <c r="BD338" s="60">
        <f t="shared" si="346"/>
        <v>0</v>
      </c>
      <c r="BE338" s="59">
        <f t="shared" si="347"/>
        <v>0</v>
      </c>
      <c r="BQ338" s="61">
        <v>3000</v>
      </c>
      <c r="BR338" s="61">
        <v>1200</v>
      </c>
      <c r="BS338" s="28">
        <f t="shared" si="315"/>
        <v>2980</v>
      </c>
      <c r="BT338" s="28">
        <f t="shared" si="316"/>
        <v>1180</v>
      </c>
      <c r="BU338" s="28" t="s">
        <v>2541</v>
      </c>
      <c r="BV338" s="28">
        <f t="shared" si="317"/>
        <v>5</v>
      </c>
      <c r="BW338" s="28">
        <f t="shared" si="318"/>
        <v>5</v>
      </c>
      <c r="BX338" s="13">
        <f t="shared" si="319"/>
        <v>596</v>
      </c>
      <c r="BY338" s="13">
        <f t="shared" si="320"/>
        <v>596</v>
      </c>
      <c r="BZ338" s="13">
        <f t="shared" si="321"/>
        <v>236</v>
      </c>
      <c r="CA338" s="13">
        <f t="shared" si="322"/>
        <v>236</v>
      </c>
      <c r="CB338" s="13">
        <f t="shared" si="323"/>
        <v>140656</v>
      </c>
      <c r="CC338" s="62" t="str">
        <f t="shared" si="324"/>
        <v/>
      </c>
      <c r="CD338" s="13">
        <f t="shared" si="325"/>
        <v>596</v>
      </c>
      <c r="CE338" s="13">
        <f t="shared" si="326"/>
        <v>596</v>
      </c>
      <c r="CF338" s="13">
        <f t="shared" si="327"/>
        <v>236</v>
      </c>
      <c r="CG338" s="13">
        <f t="shared" si="328"/>
        <v>236</v>
      </c>
      <c r="CH338" s="28">
        <f t="shared" si="329"/>
        <v>140656</v>
      </c>
      <c r="CI338" s="62" t="str">
        <f t="shared" si="330"/>
        <v/>
      </c>
      <c r="CJ338" s="59">
        <f t="shared" si="331"/>
        <v>0</v>
      </c>
      <c r="CL338" s="63">
        <v>6000</v>
      </c>
      <c r="CM338" s="63">
        <f t="shared" si="332"/>
        <v>0</v>
      </c>
      <c r="CN338" s="63">
        <f t="shared" si="333"/>
        <v>5</v>
      </c>
      <c r="CO338" s="63">
        <f t="shared" si="334"/>
        <v>1200</v>
      </c>
      <c r="CP338" s="13">
        <f t="shared" si="335"/>
        <v>1200</v>
      </c>
      <c r="CQ338" s="70">
        <f t="shared" si="336"/>
        <v>8.3333333333333339E-4</v>
      </c>
      <c r="CR338" s="69">
        <f t="shared" si="303"/>
        <v>8.3333333333333339E-4</v>
      </c>
    </row>
    <row r="339" spans="1:96" hidden="1" x14ac:dyDescent="0.25">
      <c r="A339" s="13">
        <v>4</v>
      </c>
      <c r="B339" s="14" t="s">
        <v>925</v>
      </c>
      <c r="C339" s="13" t="s">
        <v>926</v>
      </c>
      <c r="D339" s="13" t="s">
        <v>2270</v>
      </c>
      <c r="E339" s="13" t="s">
        <v>52</v>
      </c>
      <c r="F339" s="15">
        <f t="shared" si="304"/>
        <v>1</v>
      </c>
      <c r="G339" s="13">
        <v>1</v>
      </c>
      <c r="H339" s="13">
        <f>G339*$H$338</f>
        <v>1</v>
      </c>
      <c r="I339" s="13">
        <v>1</v>
      </c>
      <c r="J339" s="14" t="s">
        <v>152</v>
      </c>
      <c r="K339" s="14" t="s">
        <v>34</v>
      </c>
      <c r="L339" s="13">
        <v>0</v>
      </c>
      <c r="M339" s="14" t="s">
        <v>35</v>
      </c>
      <c r="N339" s="13" t="s">
        <v>927</v>
      </c>
      <c r="O339" s="28" t="s">
        <v>41</v>
      </c>
      <c r="P339" s="28" t="s">
        <v>41</v>
      </c>
      <c r="Q339" s="28" t="s">
        <v>124</v>
      </c>
      <c r="R339" s="30">
        <v>10.147</v>
      </c>
      <c r="S339" s="30">
        <v>5.8230000000000004</v>
      </c>
      <c r="T339" s="30"/>
      <c r="U339" s="30">
        <v>9.8000000000000004E-2</v>
      </c>
      <c r="V339" s="8">
        <f t="shared" si="306"/>
        <v>257.73379999999997</v>
      </c>
      <c r="W339" s="8">
        <f t="shared" si="307"/>
        <v>147.9042</v>
      </c>
      <c r="X339" s="8">
        <f t="shared" si="308"/>
        <v>0</v>
      </c>
      <c r="Y339" s="33">
        <f t="shared" si="309"/>
        <v>2.4891999999999999</v>
      </c>
      <c r="Z339" s="28" t="s">
        <v>56</v>
      </c>
      <c r="AA339" s="28" t="s">
        <v>57</v>
      </c>
      <c r="AB339" s="61" t="s">
        <v>124</v>
      </c>
      <c r="AC339" s="31" t="s">
        <v>125</v>
      </c>
      <c r="AD339" s="50">
        <f t="shared" si="310"/>
        <v>1</v>
      </c>
      <c r="AE339" s="31"/>
      <c r="AF339" s="51">
        <v>14</v>
      </c>
      <c r="AG339" s="51">
        <f t="shared" si="337"/>
        <v>8.4</v>
      </c>
      <c r="AH339" s="51">
        <f t="shared" si="302"/>
        <v>42</v>
      </c>
      <c r="AI339" s="52" t="s">
        <v>2497</v>
      </c>
      <c r="AJ339" s="52" t="s">
        <v>2498</v>
      </c>
      <c r="AK339" s="53">
        <f t="shared" si="338"/>
        <v>7.6239823003920001E-2</v>
      </c>
      <c r="AL339" s="54">
        <f t="shared" si="339"/>
        <v>0.11904761904761904</v>
      </c>
      <c r="AM339" s="54">
        <f t="shared" si="340"/>
        <v>2.3809523809523808E-2</v>
      </c>
      <c r="AN339" s="55">
        <f t="shared" si="341"/>
        <v>9.0761694052285714E-3</v>
      </c>
      <c r="AO339" s="55">
        <f t="shared" si="342"/>
        <v>1.8152338810457141E-3</v>
      </c>
      <c r="AP339" s="53">
        <v>7.1</v>
      </c>
      <c r="AQ339" s="53">
        <f t="shared" si="311"/>
        <v>4.26</v>
      </c>
      <c r="AR339" s="53">
        <f t="shared" si="312"/>
        <v>21.299999999999997</v>
      </c>
      <c r="AS339" s="56">
        <f t="shared" si="313"/>
        <v>4.6948356807511742E-2</v>
      </c>
      <c r="AT339" s="56">
        <f t="shared" si="343"/>
        <v>0.23474178403755869</v>
      </c>
      <c r="AU339" s="56">
        <f t="shared" si="314"/>
        <v>0.176056338028169</v>
      </c>
      <c r="AV339" s="56">
        <f t="shared" si="344"/>
        <v>5.8685446009389672E-2</v>
      </c>
      <c r="AW339" s="57" t="s">
        <v>2511</v>
      </c>
      <c r="AX339" s="57" t="s">
        <v>2512</v>
      </c>
      <c r="AY339" s="57" t="s">
        <v>2513</v>
      </c>
      <c r="AZ339" s="58">
        <f t="shared" si="345"/>
        <v>7.6239823003920001E-2</v>
      </c>
      <c r="BA339" s="59">
        <f t="shared" si="348"/>
        <v>2.2370840083309859E-3</v>
      </c>
      <c r="BB339" s="59">
        <f t="shared" si="349"/>
        <v>6.7112520249929574E-3</v>
      </c>
      <c r="BC339" s="59">
        <f t="shared" si="350"/>
        <v>1.789667206664789E-3</v>
      </c>
      <c r="BD339" s="60">
        <f t="shared" si="346"/>
        <v>1.2987012987012988E-2</v>
      </c>
      <c r="BE339" s="59">
        <f t="shared" si="347"/>
        <v>1.2987012987012988E-2</v>
      </c>
      <c r="BQ339" s="61">
        <v>3000</v>
      </c>
      <c r="BR339" s="61">
        <v>1200</v>
      </c>
      <c r="BS339" s="28">
        <f t="shared" si="315"/>
        <v>2980</v>
      </c>
      <c r="BT339" s="28">
        <f t="shared" si="316"/>
        <v>1180</v>
      </c>
      <c r="BU339" s="28" t="s">
        <v>2541</v>
      </c>
      <c r="BV339" s="28">
        <f t="shared" si="317"/>
        <v>262.73379999999997</v>
      </c>
      <c r="BW339" s="28">
        <f t="shared" si="318"/>
        <v>152.9042</v>
      </c>
      <c r="BX339" s="13">
        <f t="shared" si="319"/>
        <v>11.34227876276292</v>
      </c>
      <c r="BY339" s="13">
        <f t="shared" si="320"/>
        <v>11</v>
      </c>
      <c r="BZ339" s="13">
        <f t="shared" si="321"/>
        <v>7.7172504090796723</v>
      </c>
      <c r="CA339" s="13">
        <f t="shared" si="322"/>
        <v>7</v>
      </c>
      <c r="CB339" s="13">
        <f t="shared" si="323"/>
        <v>77</v>
      </c>
      <c r="CC339" s="62">
        <f t="shared" si="324"/>
        <v>1.2987012987012988E-2</v>
      </c>
      <c r="CD339" s="13">
        <f t="shared" si="325"/>
        <v>19.489327304285951</v>
      </c>
      <c r="CE339" s="13">
        <f t="shared" si="326"/>
        <v>19</v>
      </c>
      <c r="CF339" s="13">
        <f t="shared" si="327"/>
        <v>4.4912378993490751</v>
      </c>
      <c r="CG339" s="13">
        <f t="shared" si="328"/>
        <v>4</v>
      </c>
      <c r="CH339" s="28">
        <f t="shared" si="329"/>
        <v>76</v>
      </c>
      <c r="CI339" s="62">
        <f t="shared" si="330"/>
        <v>1.3157894736842105E-2</v>
      </c>
      <c r="CJ339" s="59">
        <f t="shared" si="331"/>
        <v>1.2987012987012988E-2</v>
      </c>
      <c r="CL339" s="63">
        <v>6000</v>
      </c>
      <c r="CM339" s="63">
        <f t="shared" si="332"/>
        <v>257.73379999999997</v>
      </c>
      <c r="CN339" s="63">
        <f t="shared" si="333"/>
        <v>262.73379999999997</v>
      </c>
      <c r="CO339" s="63">
        <f t="shared" si="334"/>
        <v>22.836802878046147</v>
      </c>
      <c r="CP339" s="13">
        <f t="shared" si="335"/>
        <v>22</v>
      </c>
      <c r="CQ339" s="70">
        <f t="shared" si="336"/>
        <v>4.5454545454545456E-2</v>
      </c>
      <c r="CR339" s="69">
        <f t="shared" si="303"/>
        <v>4.5454545454545456E-2</v>
      </c>
    </row>
    <row r="340" spans="1:96" hidden="1" x14ac:dyDescent="0.25">
      <c r="A340" s="13">
        <v>4</v>
      </c>
      <c r="B340" s="14" t="s">
        <v>925</v>
      </c>
      <c r="C340" s="13" t="s">
        <v>448</v>
      </c>
      <c r="D340" s="13" t="s">
        <v>450</v>
      </c>
      <c r="E340" s="13" t="s">
        <v>52</v>
      </c>
      <c r="F340" s="15">
        <f t="shared" si="304"/>
        <v>23</v>
      </c>
      <c r="G340" s="13">
        <v>4</v>
      </c>
      <c r="H340" s="13">
        <f>G340*$H$338</f>
        <v>4</v>
      </c>
      <c r="I340" s="13">
        <v>2</v>
      </c>
      <c r="J340" s="14" t="s">
        <v>449</v>
      </c>
      <c r="K340" s="14" t="s">
        <v>34</v>
      </c>
      <c r="L340" s="13">
        <v>0</v>
      </c>
      <c r="M340" s="14" t="s">
        <v>35</v>
      </c>
      <c r="N340" s="13" t="s">
        <v>450</v>
      </c>
      <c r="O340" s="28" t="s">
        <v>41</v>
      </c>
      <c r="P340" s="28" t="s">
        <v>41</v>
      </c>
      <c r="Q340" s="28" t="s">
        <v>450</v>
      </c>
      <c r="R340" s="30"/>
      <c r="S340" s="30"/>
      <c r="T340" s="30"/>
      <c r="U340" s="30"/>
      <c r="V340" s="8">
        <f t="shared" si="306"/>
        <v>0</v>
      </c>
      <c r="W340" s="8">
        <f t="shared" si="307"/>
        <v>0</v>
      </c>
      <c r="X340" s="8">
        <f t="shared" si="308"/>
        <v>0</v>
      </c>
      <c r="Y340" s="33">
        <f t="shared" si="309"/>
        <v>0</v>
      </c>
      <c r="Z340" s="28"/>
      <c r="AA340" s="28"/>
      <c r="AB340" s="61" t="s">
        <v>450</v>
      </c>
      <c r="AC340" s="31" t="s">
        <v>451</v>
      </c>
      <c r="AD340" s="50">
        <f t="shared" si="310"/>
        <v>4</v>
      </c>
      <c r="AE340" s="31"/>
      <c r="AF340" s="51">
        <v>14</v>
      </c>
      <c r="AG340" s="51">
        <f t="shared" si="337"/>
        <v>8.4</v>
      </c>
      <c r="AH340" s="51">
        <f t="shared" si="302"/>
        <v>42</v>
      </c>
      <c r="AI340" s="52" t="s">
        <v>2497</v>
      </c>
      <c r="AJ340" s="52" t="s">
        <v>2498</v>
      </c>
      <c r="AK340" s="53">
        <f t="shared" si="338"/>
        <v>0</v>
      </c>
      <c r="AL340" s="54">
        <f t="shared" si="339"/>
        <v>0.11904761904761904</v>
      </c>
      <c r="AM340" s="54">
        <f t="shared" si="340"/>
        <v>2.3809523809523808E-2</v>
      </c>
      <c r="AN340" s="55">
        <f t="shared" si="341"/>
        <v>0</v>
      </c>
      <c r="AO340" s="55">
        <f t="shared" si="342"/>
        <v>0</v>
      </c>
      <c r="AP340" s="53">
        <v>7.1</v>
      </c>
      <c r="AQ340" s="53">
        <f t="shared" si="311"/>
        <v>4.26</v>
      </c>
      <c r="AR340" s="53">
        <f t="shared" si="312"/>
        <v>21.299999999999997</v>
      </c>
      <c r="AS340" s="56">
        <f t="shared" si="313"/>
        <v>4.6948356807511742E-2</v>
      </c>
      <c r="AT340" s="56">
        <f t="shared" si="343"/>
        <v>0.23474178403755869</v>
      </c>
      <c r="AU340" s="56">
        <f t="shared" si="314"/>
        <v>0.176056338028169</v>
      </c>
      <c r="AV340" s="56">
        <f t="shared" si="344"/>
        <v>5.8685446009389672E-2</v>
      </c>
      <c r="AW340" s="57" t="s">
        <v>2511</v>
      </c>
      <c r="AX340" s="57" t="s">
        <v>2512</v>
      </c>
      <c r="AY340" s="57" t="s">
        <v>2513</v>
      </c>
      <c r="AZ340" s="58">
        <f t="shared" si="345"/>
        <v>0</v>
      </c>
      <c r="BA340" s="59">
        <f t="shared" si="348"/>
        <v>0</v>
      </c>
      <c r="BB340" s="59">
        <f t="shared" si="349"/>
        <v>0</v>
      </c>
      <c r="BC340" s="59">
        <f t="shared" si="350"/>
        <v>0</v>
      </c>
      <c r="BD340" s="60">
        <f t="shared" si="346"/>
        <v>7.1095438516664771E-6</v>
      </c>
      <c r="BE340" s="59">
        <f t="shared" si="347"/>
        <v>2.8438175406665908E-5</v>
      </c>
      <c r="BQ340" s="61">
        <v>3000</v>
      </c>
      <c r="BR340" s="61">
        <v>1200</v>
      </c>
      <c r="BS340" s="28">
        <f t="shared" si="315"/>
        <v>2980</v>
      </c>
      <c r="BT340" s="28">
        <f t="shared" si="316"/>
        <v>1180</v>
      </c>
      <c r="BU340" s="28" t="s">
        <v>2541</v>
      </c>
      <c r="BV340" s="28">
        <f t="shared" si="317"/>
        <v>5</v>
      </c>
      <c r="BW340" s="28">
        <f t="shared" si="318"/>
        <v>5</v>
      </c>
      <c r="BX340" s="13">
        <f t="shared" si="319"/>
        <v>596</v>
      </c>
      <c r="BY340" s="13">
        <f t="shared" si="320"/>
        <v>596</v>
      </c>
      <c r="BZ340" s="13">
        <f t="shared" si="321"/>
        <v>236</v>
      </c>
      <c r="CA340" s="13">
        <f t="shared" si="322"/>
        <v>236</v>
      </c>
      <c r="CB340" s="13">
        <f t="shared" si="323"/>
        <v>140656</v>
      </c>
      <c r="CC340" s="62">
        <f t="shared" si="324"/>
        <v>7.1095438516664771E-6</v>
      </c>
      <c r="CD340" s="13">
        <f t="shared" si="325"/>
        <v>596</v>
      </c>
      <c r="CE340" s="13">
        <f t="shared" si="326"/>
        <v>596</v>
      </c>
      <c r="CF340" s="13">
        <f t="shared" si="327"/>
        <v>236</v>
      </c>
      <c r="CG340" s="13">
        <f t="shared" si="328"/>
        <v>236</v>
      </c>
      <c r="CH340" s="28">
        <f t="shared" si="329"/>
        <v>140656</v>
      </c>
      <c r="CI340" s="62">
        <f t="shared" si="330"/>
        <v>7.1095438516664771E-6</v>
      </c>
      <c r="CJ340" s="59">
        <f t="shared" si="331"/>
        <v>7.1095438516664771E-6</v>
      </c>
      <c r="CL340" s="63">
        <v>6000</v>
      </c>
      <c r="CM340" s="63">
        <f t="shared" si="332"/>
        <v>0</v>
      </c>
      <c r="CN340" s="63">
        <f t="shared" si="333"/>
        <v>5</v>
      </c>
      <c r="CO340" s="63">
        <f t="shared" si="334"/>
        <v>1200</v>
      </c>
      <c r="CP340" s="13">
        <f t="shared" si="335"/>
        <v>1200</v>
      </c>
      <c r="CQ340" s="70">
        <f t="shared" si="336"/>
        <v>8.3333333333333339E-4</v>
      </c>
      <c r="CR340" s="69">
        <f t="shared" si="303"/>
        <v>3.3333333333333335E-3</v>
      </c>
    </row>
    <row r="341" spans="1:96" hidden="1" x14ac:dyDescent="0.25">
      <c r="A341" s="10">
        <v>3</v>
      </c>
      <c r="B341" s="8" t="s">
        <v>720</v>
      </c>
      <c r="C341" s="10" t="s">
        <v>928</v>
      </c>
      <c r="D341" s="10" t="s">
        <v>2270</v>
      </c>
      <c r="E341" s="10" t="s">
        <v>32</v>
      </c>
      <c r="F341" s="12">
        <f t="shared" si="304"/>
        <v>1</v>
      </c>
      <c r="G341" s="10">
        <v>2</v>
      </c>
      <c r="H341" s="10">
        <f>G341*$H$234</f>
        <v>2</v>
      </c>
      <c r="I341" s="10">
        <v>22</v>
      </c>
      <c r="J341" s="8" t="s">
        <v>508</v>
      </c>
      <c r="K341" s="8" t="s">
        <v>34</v>
      </c>
      <c r="L341" s="10" t="s">
        <v>194</v>
      </c>
      <c r="M341" s="8" t="s">
        <v>35</v>
      </c>
      <c r="N341" s="10" t="s">
        <v>929</v>
      </c>
      <c r="O341" s="28" t="s">
        <v>41</v>
      </c>
      <c r="P341" s="28" t="s">
        <v>41</v>
      </c>
      <c r="Q341" s="28"/>
      <c r="R341" s="30"/>
      <c r="S341" s="30"/>
      <c r="T341" s="30"/>
      <c r="U341" s="30"/>
      <c r="V341" s="8">
        <f t="shared" si="306"/>
        <v>0</v>
      </c>
      <c r="W341" s="8">
        <f t="shared" si="307"/>
        <v>0</v>
      </c>
      <c r="X341" s="8">
        <f t="shared" si="308"/>
        <v>0</v>
      </c>
      <c r="Y341" s="33">
        <f t="shared" si="309"/>
        <v>0</v>
      </c>
      <c r="Z341" s="28"/>
      <c r="AA341" s="28"/>
      <c r="AB341" s="28">
        <v>0</v>
      </c>
      <c r="AC341" s="31"/>
      <c r="AD341" s="50">
        <f t="shared" si="310"/>
        <v>2</v>
      </c>
      <c r="AE341" s="31"/>
      <c r="AF341" s="51">
        <v>14</v>
      </c>
      <c r="AG341" s="51">
        <f t="shared" si="337"/>
        <v>8.4</v>
      </c>
      <c r="AH341" s="51">
        <f t="shared" si="302"/>
        <v>42</v>
      </c>
      <c r="AI341" s="52" t="s">
        <v>2497</v>
      </c>
      <c r="AJ341" s="52" t="s">
        <v>2498</v>
      </c>
      <c r="AK341" s="53">
        <f t="shared" si="338"/>
        <v>0</v>
      </c>
      <c r="AL341" s="54">
        <f t="shared" si="339"/>
        <v>0.11904761904761904</v>
      </c>
      <c r="AM341" s="54">
        <f t="shared" si="340"/>
        <v>2.3809523809523808E-2</v>
      </c>
      <c r="AN341" s="55">
        <f t="shared" si="341"/>
        <v>0</v>
      </c>
      <c r="AO341" s="55">
        <f t="shared" si="342"/>
        <v>0</v>
      </c>
      <c r="AP341" s="53">
        <v>7.1</v>
      </c>
      <c r="AQ341" s="53">
        <f t="shared" si="311"/>
        <v>4.26</v>
      </c>
      <c r="AR341" s="53">
        <f t="shared" si="312"/>
        <v>21.299999999999997</v>
      </c>
      <c r="AS341" s="56">
        <f t="shared" si="313"/>
        <v>4.6948356807511742E-2</v>
      </c>
      <c r="AT341" s="56">
        <f t="shared" si="343"/>
        <v>0.23474178403755869</v>
      </c>
      <c r="AU341" s="56">
        <f t="shared" si="314"/>
        <v>0.176056338028169</v>
      </c>
      <c r="AV341" s="56">
        <f t="shared" si="344"/>
        <v>5.8685446009389672E-2</v>
      </c>
      <c r="AW341" s="57" t="s">
        <v>2511</v>
      </c>
      <c r="AX341" s="57" t="s">
        <v>2512</v>
      </c>
      <c r="AY341" s="57" t="s">
        <v>2513</v>
      </c>
      <c r="AZ341" s="58">
        <f t="shared" si="345"/>
        <v>0</v>
      </c>
      <c r="BA341" s="59">
        <f t="shared" si="348"/>
        <v>0</v>
      </c>
      <c r="BB341" s="59">
        <f t="shared" si="349"/>
        <v>0</v>
      </c>
      <c r="BC341" s="59">
        <f t="shared" si="350"/>
        <v>0</v>
      </c>
      <c r="BD341" s="60">
        <f t="shared" si="346"/>
        <v>0</v>
      </c>
      <c r="BE341" s="59">
        <f t="shared" si="347"/>
        <v>0</v>
      </c>
      <c r="BQ341" s="61">
        <v>3000</v>
      </c>
      <c r="BR341" s="61">
        <v>1200</v>
      </c>
      <c r="BS341" s="28">
        <f t="shared" si="315"/>
        <v>2980</v>
      </c>
      <c r="BT341" s="28">
        <f t="shared" si="316"/>
        <v>1180</v>
      </c>
      <c r="BU341" s="28" t="s">
        <v>2541</v>
      </c>
      <c r="BV341" s="28">
        <f t="shared" si="317"/>
        <v>5</v>
      </c>
      <c r="BW341" s="28">
        <f t="shared" si="318"/>
        <v>5</v>
      </c>
      <c r="BX341" s="13">
        <f t="shared" si="319"/>
        <v>596</v>
      </c>
      <c r="BY341" s="13">
        <f t="shared" si="320"/>
        <v>596</v>
      </c>
      <c r="BZ341" s="13">
        <f t="shared" si="321"/>
        <v>236</v>
      </c>
      <c r="CA341" s="13">
        <f t="shared" si="322"/>
        <v>236</v>
      </c>
      <c r="CB341" s="13">
        <f t="shared" si="323"/>
        <v>140656</v>
      </c>
      <c r="CC341" s="62" t="str">
        <f t="shared" si="324"/>
        <v/>
      </c>
      <c r="CD341" s="13">
        <f t="shared" si="325"/>
        <v>596</v>
      </c>
      <c r="CE341" s="13">
        <f t="shared" si="326"/>
        <v>596</v>
      </c>
      <c r="CF341" s="13">
        <f t="shared" si="327"/>
        <v>236</v>
      </c>
      <c r="CG341" s="13">
        <f t="shared" si="328"/>
        <v>236</v>
      </c>
      <c r="CH341" s="28">
        <f t="shared" si="329"/>
        <v>140656</v>
      </c>
      <c r="CI341" s="62" t="str">
        <f t="shared" si="330"/>
        <v/>
      </c>
      <c r="CJ341" s="59">
        <f t="shared" si="331"/>
        <v>0</v>
      </c>
      <c r="CL341" s="63">
        <v>6000</v>
      </c>
      <c r="CM341" s="63">
        <f t="shared" si="332"/>
        <v>0</v>
      </c>
      <c r="CN341" s="63">
        <f t="shared" si="333"/>
        <v>5</v>
      </c>
      <c r="CO341" s="63">
        <f t="shared" si="334"/>
        <v>1200</v>
      </c>
      <c r="CP341" s="13">
        <f t="shared" si="335"/>
        <v>1200</v>
      </c>
      <c r="CQ341" s="70">
        <f t="shared" si="336"/>
        <v>8.3333333333333339E-4</v>
      </c>
      <c r="CR341" s="69">
        <f t="shared" si="303"/>
        <v>1.6666666666666668E-3</v>
      </c>
    </row>
    <row r="342" spans="1:96" hidden="1" x14ac:dyDescent="0.25">
      <c r="A342" s="13">
        <v>4</v>
      </c>
      <c r="B342" s="14" t="s">
        <v>930</v>
      </c>
      <c r="C342" s="13" t="s">
        <v>931</v>
      </c>
      <c r="D342" s="13" t="s">
        <v>2270</v>
      </c>
      <c r="E342" s="13" t="s">
        <v>52</v>
      </c>
      <c r="F342" s="15">
        <f t="shared" si="304"/>
        <v>1</v>
      </c>
      <c r="G342" s="13">
        <v>1</v>
      </c>
      <c r="H342" s="13">
        <f>G342*$H$341</f>
        <v>2</v>
      </c>
      <c r="I342" s="13">
        <v>1</v>
      </c>
      <c r="J342" s="14" t="s">
        <v>512</v>
      </c>
      <c r="K342" s="14" t="s">
        <v>34</v>
      </c>
      <c r="L342" s="13" t="s">
        <v>194</v>
      </c>
      <c r="M342" s="14" t="s">
        <v>35</v>
      </c>
      <c r="N342" s="13" t="s">
        <v>932</v>
      </c>
      <c r="O342" s="28" t="s">
        <v>41</v>
      </c>
      <c r="P342" s="28" t="s">
        <v>41</v>
      </c>
      <c r="Q342" s="28" t="s">
        <v>124</v>
      </c>
      <c r="R342" s="30">
        <v>8.9280000000000008</v>
      </c>
      <c r="S342" s="30">
        <v>4.5910000000000002</v>
      </c>
      <c r="T342" s="30"/>
      <c r="U342" s="30">
        <v>9.8000000000000004E-2</v>
      </c>
      <c r="V342" s="8">
        <f t="shared" si="306"/>
        <v>226.77120000000002</v>
      </c>
      <c r="W342" s="8">
        <f t="shared" si="307"/>
        <v>116.6114</v>
      </c>
      <c r="X342" s="8">
        <f t="shared" si="308"/>
        <v>0</v>
      </c>
      <c r="Y342" s="33">
        <f t="shared" si="309"/>
        <v>2.4891999999999999</v>
      </c>
      <c r="Z342" s="28" t="s">
        <v>56</v>
      </c>
      <c r="AA342" s="28" t="s">
        <v>57</v>
      </c>
      <c r="AB342" s="61" t="s">
        <v>124</v>
      </c>
      <c r="AC342" s="31" t="s">
        <v>125</v>
      </c>
      <c r="AD342" s="50">
        <f t="shared" si="310"/>
        <v>2</v>
      </c>
      <c r="AE342" s="31"/>
      <c r="AF342" s="51">
        <v>14</v>
      </c>
      <c r="AG342" s="51">
        <f t="shared" si="337"/>
        <v>8.4</v>
      </c>
      <c r="AH342" s="51">
        <f t="shared" si="302"/>
        <v>42</v>
      </c>
      <c r="AI342" s="52" t="s">
        <v>2497</v>
      </c>
      <c r="AJ342" s="52" t="s">
        <v>2498</v>
      </c>
      <c r="AK342" s="53">
        <f t="shared" si="338"/>
        <v>5.2888214223360007E-2</v>
      </c>
      <c r="AL342" s="54">
        <f t="shared" si="339"/>
        <v>0.11904761904761904</v>
      </c>
      <c r="AM342" s="54">
        <f t="shared" si="340"/>
        <v>2.3809523809523808E-2</v>
      </c>
      <c r="AN342" s="55">
        <f t="shared" si="341"/>
        <v>1.2592431957942858E-2</v>
      </c>
      <c r="AO342" s="55">
        <f t="shared" si="342"/>
        <v>2.5184863915885718E-3</v>
      </c>
      <c r="AP342" s="53">
        <v>7.1</v>
      </c>
      <c r="AQ342" s="53">
        <f t="shared" si="311"/>
        <v>4.26</v>
      </c>
      <c r="AR342" s="53">
        <f t="shared" si="312"/>
        <v>21.299999999999997</v>
      </c>
      <c r="AS342" s="56">
        <f t="shared" si="313"/>
        <v>4.6948356807511742E-2</v>
      </c>
      <c r="AT342" s="56">
        <f t="shared" si="343"/>
        <v>0.23474178403755869</v>
      </c>
      <c r="AU342" s="56">
        <f t="shared" si="314"/>
        <v>0.176056338028169</v>
      </c>
      <c r="AV342" s="56">
        <f t="shared" si="344"/>
        <v>5.8685446009389672E-2</v>
      </c>
      <c r="AW342" s="57" t="s">
        <v>2511</v>
      </c>
      <c r="AX342" s="57" t="s">
        <v>2512</v>
      </c>
      <c r="AY342" s="57" t="s">
        <v>2513</v>
      </c>
      <c r="AZ342" s="58">
        <f t="shared" si="345"/>
        <v>5.2888214223360007E-2</v>
      </c>
      <c r="BA342" s="59">
        <f t="shared" si="348"/>
        <v>3.1037684403380284E-3</v>
      </c>
      <c r="BB342" s="59">
        <f t="shared" si="349"/>
        <v>9.3113053210140857E-3</v>
      </c>
      <c r="BC342" s="59">
        <f t="shared" si="350"/>
        <v>2.483014752270423E-3</v>
      </c>
      <c r="BD342" s="60">
        <f t="shared" si="346"/>
        <v>8.3333333333333332E-3</v>
      </c>
      <c r="BE342" s="59">
        <f t="shared" si="347"/>
        <v>1.6666666666666666E-2</v>
      </c>
      <c r="BQ342" s="61">
        <v>3000</v>
      </c>
      <c r="BR342" s="61">
        <v>1200</v>
      </c>
      <c r="BS342" s="28">
        <f t="shared" si="315"/>
        <v>2980</v>
      </c>
      <c r="BT342" s="28">
        <f t="shared" si="316"/>
        <v>1180</v>
      </c>
      <c r="BU342" s="28" t="s">
        <v>2541</v>
      </c>
      <c r="BV342" s="28">
        <f t="shared" si="317"/>
        <v>231.77120000000002</v>
      </c>
      <c r="BW342" s="28">
        <f t="shared" si="318"/>
        <v>121.6114</v>
      </c>
      <c r="BX342" s="13">
        <f t="shared" si="319"/>
        <v>12.857507749021448</v>
      </c>
      <c r="BY342" s="13">
        <f t="shared" si="320"/>
        <v>12</v>
      </c>
      <c r="BZ342" s="13">
        <f t="shared" si="321"/>
        <v>9.7030377086358683</v>
      </c>
      <c r="CA342" s="13">
        <f t="shared" si="322"/>
        <v>9</v>
      </c>
      <c r="CB342" s="13">
        <f t="shared" si="323"/>
        <v>108</v>
      </c>
      <c r="CC342" s="62">
        <f t="shared" si="324"/>
        <v>9.2592592592592587E-3</v>
      </c>
      <c r="CD342" s="13">
        <f t="shared" si="325"/>
        <v>24.504281670961767</v>
      </c>
      <c r="CE342" s="13">
        <f t="shared" si="326"/>
        <v>24</v>
      </c>
      <c r="CF342" s="13">
        <f t="shared" si="327"/>
        <v>5.0912279006192307</v>
      </c>
      <c r="CG342" s="13">
        <f t="shared" si="328"/>
        <v>5</v>
      </c>
      <c r="CH342" s="28">
        <f t="shared" si="329"/>
        <v>120</v>
      </c>
      <c r="CI342" s="62">
        <f t="shared" si="330"/>
        <v>8.3333333333333332E-3</v>
      </c>
      <c r="CJ342" s="59">
        <f t="shared" si="331"/>
        <v>8.3333333333333332E-3</v>
      </c>
      <c r="CL342" s="63">
        <v>6000</v>
      </c>
      <c r="CM342" s="63">
        <f t="shared" si="332"/>
        <v>226.77120000000002</v>
      </c>
      <c r="CN342" s="63">
        <f t="shared" si="333"/>
        <v>231.77120000000002</v>
      </c>
      <c r="CO342" s="63">
        <f t="shared" si="334"/>
        <v>25.887599494674056</v>
      </c>
      <c r="CP342" s="13">
        <f t="shared" si="335"/>
        <v>25</v>
      </c>
      <c r="CQ342" s="70">
        <f t="shared" si="336"/>
        <v>0.04</v>
      </c>
      <c r="CR342" s="69">
        <f t="shared" si="303"/>
        <v>0.08</v>
      </c>
    </row>
    <row r="343" spans="1:96" hidden="1" x14ac:dyDescent="0.25">
      <c r="A343" s="13">
        <v>4</v>
      </c>
      <c r="B343" s="14" t="s">
        <v>930</v>
      </c>
      <c r="C343" s="13" t="s">
        <v>448</v>
      </c>
      <c r="D343" s="13" t="s">
        <v>450</v>
      </c>
      <c r="E343" s="13" t="s">
        <v>52</v>
      </c>
      <c r="F343" s="15">
        <f t="shared" si="304"/>
        <v>23</v>
      </c>
      <c r="G343" s="13">
        <v>4</v>
      </c>
      <c r="H343" s="13">
        <f>G343*$H$341</f>
        <v>8</v>
      </c>
      <c r="I343" s="13">
        <v>2</v>
      </c>
      <c r="J343" s="14" t="s">
        <v>449</v>
      </c>
      <c r="K343" s="14" t="s">
        <v>34</v>
      </c>
      <c r="L343" s="13">
        <v>0</v>
      </c>
      <c r="M343" s="14" t="s">
        <v>35</v>
      </c>
      <c r="N343" s="13" t="s">
        <v>450</v>
      </c>
      <c r="O343" s="28" t="s">
        <v>41</v>
      </c>
      <c r="P343" s="28" t="s">
        <v>41</v>
      </c>
      <c r="Q343" s="28" t="s">
        <v>450</v>
      </c>
      <c r="R343" s="30"/>
      <c r="S343" s="30"/>
      <c r="T343" s="30"/>
      <c r="U343" s="30"/>
      <c r="V343" s="8">
        <f t="shared" si="306"/>
        <v>0</v>
      </c>
      <c r="W343" s="8">
        <f t="shared" si="307"/>
        <v>0</v>
      </c>
      <c r="X343" s="8">
        <f t="shared" si="308"/>
        <v>0</v>
      </c>
      <c r="Y343" s="33">
        <f t="shared" si="309"/>
        <v>0</v>
      </c>
      <c r="Z343" s="28"/>
      <c r="AA343" s="28"/>
      <c r="AB343" s="61" t="s">
        <v>450</v>
      </c>
      <c r="AC343" s="31" t="s">
        <v>451</v>
      </c>
      <c r="AD343" s="50">
        <f t="shared" si="310"/>
        <v>8</v>
      </c>
      <c r="AE343" s="31"/>
      <c r="AF343" s="51">
        <v>14</v>
      </c>
      <c r="AG343" s="51">
        <f t="shared" si="337"/>
        <v>8.4</v>
      </c>
      <c r="AH343" s="51">
        <f t="shared" si="302"/>
        <v>42</v>
      </c>
      <c r="AI343" s="52" t="s">
        <v>2497</v>
      </c>
      <c r="AJ343" s="52" t="s">
        <v>2498</v>
      </c>
      <c r="AK343" s="53">
        <f t="shared" si="338"/>
        <v>0</v>
      </c>
      <c r="AL343" s="54">
        <f t="shared" si="339"/>
        <v>0.11904761904761904</v>
      </c>
      <c r="AM343" s="54">
        <f t="shared" si="340"/>
        <v>2.3809523809523808E-2</v>
      </c>
      <c r="AN343" s="55">
        <f t="shared" si="341"/>
        <v>0</v>
      </c>
      <c r="AO343" s="55">
        <f t="shared" si="342"/>
        <v>0</v>
      </c>
      <c r="AP343" s="53">
        <v>7.1</v>
      </c>
      <c r="AQ343" s="53">
        <f t="shared" si="311"/>
        <v>4.26</v>
      </c>
      <c r="AR343" s="53">
        <f t="shared" si="312"/>
        <v>21.299999999999997</v>
      </c>
      <c r="AS343" s="56">
        <f t="shared" si="313"/>
        <v>4.6948356807511742E-2</v>
      </c>
      <c r="AT343" s="56">
        <f t="shared" si="343"/>
        <v>0.23474178403755869</v>
      </c>
      <c r="AU343" s="56">
        <f t="shared" si="314"/>
        <v>0.176056338028169</v>
      </c>
      <c r="AV343" s="56">
        <f t="shared" si="344"/>
        <v>5.8685446009389672E-2</v>
      </c>
      <c r="AW343" s="57" t="s">
        <v>2511</v>
      </c>
      <c r="AX343" s="57" t="s">
        <v>2512</v>
      </c>
      <c r="AY343" s="57" t="s">
        <v>2513</v>
      </c>
      <c r="AZ343" s="58">
        <f t="shared" si="345"/>
        <v>0</v>
      </c>
      <c r="BA343" s="59">
        <f t="shared" si="348"/>
        <v>0</v>
      </c>
      <c r="BB343" s="59">
        <f t="shared" si="349"/>
        <v>0</v>
      </c>
      <c r="BC343" s="59">
        <f t="shared" si="350"/>
        <v>0</v>
      </c>
      <c r="BD343" s="60">
        <f t="shared" si="346"/>
        <v>7.1095438516664771E-6</v>
      </c>
      <c r="BE343" s="59">
        <f t="shared" si="347"/>
        <v>5.6876350813331817E-5</v>
      </c>
      <c r="BQ343" s="61">
        <v>3000</v>
      </c>
      <c r="BR343" s="61">
        <v>1200</v>
      </c>
      <c r="BS343" s="28">
        <f t="shared" si="315"/>
        <v>2980</v>
      </c>
      <c r="BT343" s="28">
        <f t="shared" si="316"/>
        <v>1180</v>
      </c>
      <c r="BU343" s="28" t="s">
        <v>2541</v>
      </c>
      <c r="BV343" s="28">
        <f t="shared" si="317"/>
        <v>5</v>
      </c>
      <c r="BW343" s="28">
        <f t="shared" si="318"/>
        <v>5</v>
      </c>
      <c r="BX343" s="13">
        <f t="shared" si="319"/>
        <v>596</v>
      </c>
      <c r="BY343" s="13">
        <f t="shared" si="320"/>
        <v>596</v>
      </c>
      <c r="BZ343" s="13">
        <f t="shared" si="321"/>
        <v>236</v>
      </c>
      <c r="CA343" s="13">
        <f t="shared" si="322"/>
        <v>236</v>
      </c>
      <c r="CB343" s="13">
        <f t="shared" si="323"/>
        <v>140656</v>
      </c>
      <c r="CC343" s="62">
        <f t="shared" si="324"/>
        <v>7.1095438516664771E-6</v>
      </c>
      <c r="CD343" s="13">
        <f t="shared" si="325"/>
        <v>596</v>
      </c>
      <c r="CE343" s="13">
        <f t="shared" si="326"/>
        <v>596</v>
      </c>
      <c r="CF343" s="13">
        <f t="shared" si="327"/>
        <v>236</v>
      </c>
      <c r="CG343" s="13">
        <f t="shared" si="328"/>
        <v>236</v>
      </c>
      <c r="CH343" s="28">
        <f t="shared" si="329"/>
        <v>140656</v>
      </c>
      <c r="CI343" s="62">
        <f t="shared" si="330"/>
        <v>7.1095438516664771E-6</v>
      </c>
      <c r="CJ343" s="59">
        <f t="shared" si="331"/>
        <v>7.1095438516664771E-6</v>
      </c>
      <c r="CL343" s="63">
        <v>6000</v>
      </c>
      <c r="CM343" s="63">
        <f t="shared" si="332"/>
        <v>0</v>
      </c>
      <c r="CN343" s="63">
        <f t="shared" si="333"/>
        <v>5</v>
      </c>
      <c r="CO343" s="63">
        <f t="shared" si="334"/>
        <v>1200</v>
      </c>
      <c r="CP343" s="13">
        <f t="shared" si="335"/>
        <v>1200</v>
      </c>
      <c r="CQ343" s="70">
        <f t="shared" si="336"/>
        <v>8.3333333333333339E-4</v>
      </c>
      <c r="CR343" s="69">
        <f t="shared" si="303"/>
        <v>6.6666666666666671E-3</v>
      </c>
    </row>
    <row r="344" spans="1:96" hidden="1" x14ac:dyDescent="0.25">
      <c r="A344" s="10">
        <v>3</v>
      </c>
      <c r="B344" s="8" t="s">
        <v>720</v>
      </c>
      <c r="C344" s="10" t="s">
        <v>933</v>
      </c>
      <c r="D344" s="10" t="s">
        <v>2270</v>
      </c>
      <c r="E344" s="10" t="s">
        <v>32</v>
      </c>
      <c r="F344" s="12">
        <f t="shared" si="304"/>
        <v>1</v>
      </c>
      <c r="G344" s="10">
        <v>1</v>
      </c>
      <c r="H344" s="10">
        <f>G344*$H$234</f>
        <v>1</v>
      </c>
      <c r="I344" s="10">
        <v>23</v>
      </c>
      <c r="J344" s="8" t="s">
        <v>934</v>
      </c>
      <c r="K344" s="8" t="s">
        <v>34</v>
      </c>
      <c r="L344" s="10">
        <v>0</v>
      </c>
      <c r="M344" s="8" t="s">
        <v>35</v>
      </c>
      <c r="N344" s="10" t="s">
        <v>935</v>
      </c>
      <c r="O344" s="28" t="s">
        <v>41</v>
      </c>
      <c r="P344" s="28" t="s">
        <v>41</v>
      </c>
      <c r="Q344" s="28"/>
      <c r="R344" s="30"/>
      <c r="S344" s="30"/>
      <c r="T344" s="30"/>
      <c r="U344" s="30"/>
      <c r="V344" s="8">
        <f t="shared" si="306"/>
        <v>0</v>
      </c>
      <c r="W344" s="8">
        <f t="shared" si="307"/>
        <v>0</v>
      </c>
      <c r="X344" s="8">
        <f t="shared" si="308"/>
        <v>0</v>
      </c>
      <c r="Y344" s="33">
        <f t="shared" si="309"/>
        <v>0</v>
      </c>
      <c r="Z344" s="28"/>
      <c r="AA344" s="28"/>
      <c r="AB344" s="28">
        <v>0</v>
      </c>
      <c r="AC344" s="31"/>
      <c r="AD344" s="50">
        <f t="shared" si="310"/>
        <v>1</v>
      </c>
      <c r="AE344" s="31"/>
      <c r="AF344" s="51">
        <v>14</v>
      </c>
      <c r="AG344" s="51">
        <f t="shared" si="337"/>
        <v>8.4</v>
      </c>
      <c r="AH344" s="51">
        <f t="shared" si="302"/>
        <v>42</v>
      </c>
      <c r="AI344" s="52" t="s">
        <v>2497</v>
      </c>
      <c r="AJ344" s="52" t="s">
        <v>2498</v>
      </c>
      <c r="AK344" s="53">
        <f t="shared" si="338"/>
        <v>0</v>
      </c>
      <c r="AL344" s="54">
        <f t="shared" si="339"/>
        <v>0.11904761904761904</v>
      </c>
      <c r="AM344" s="54">
        <f t="shared" si="340"/>
        <v>2.3809523809523808E-2</v>
      </c>
      <c r="AN344" s="55">
        <f t="shared" si="341"/>
        <v>0</v>
      </c>
      <c r="AO344" s="55">
        <f t="shared" si="342"/>
        <v>0</v>
      </c>
      <c r="AP344" s="53">
        <v>7.1</v>
      </c>
      <c r="AQ344" s="53">
        <f t="shared" si="311"/>
        <v>4.26</v>
      </c>
      <c r="AR344" s="53">
        <f t="shared" si="312"/>
        <v>21.299999999999997</v>
      </c>
      <c r="AS344" s="56">
        <f t="shared" si="313"/>
        <v>4.6948356807511742E-2</v>
      </c>
      <c r="AT344" s="56">
        <f t="shared" si="343"/>
        <v>0.23474178403755869</v>
      </c>
      <c r="AU344" s="56">
        <f t="shared" si="314"/>
        <v>0.176056338028169</v>
      </c>
      <c r="AV344" s="56">
        <f t="shared" si="344"/>
        <v>5.8685446009389672E-2</v>
      </c>
      <c r="AW344" s="57" t="s">
        <v>2511</v>
      </c>
      <c r="AX344" s="57" t="s">
        <v>2512</v>
      </c>
      <c r="AY344" s="57" t="s">
        <v>2513</v>
      </c>
      <c r="AZ344" s="58">
        <f t="shared" si="345"/>
        <v>0</v>
      </c>
      <c r="BA344" s="59">
        <f t="shared" si="348"/>
        <v>0</v>
      </c>
      <c r="BB344" s="59">
        <f t="shared" si="349"/>
        <v>0</v>
      </c>
      <c r="BC344" s="59">
        <f t="shared" si="350"/>
        <v>0</v>
      </c>
      <c r="BD344" s="60">
        <f t="shared" si="346"/>
        <v>0</v>
      </c>
      <c r="BE344" s="59">
        <f t="shared" si="347"/>
        <v>0</v>
      </c>
      <c r="BQ344" s="61">
        <v>3000</v>
      </c>
      <c r="BR344" s="61">
        <v>1200</v>
      </c>
      <c r="BS344" s="28">
        <f t="shared" si="315"/>
        <v>2980</v>
      </c>
      <c r="BT344" s="28">
        <f t="shared" si="316"/>
        <v>1180</v>
      </c>
      <c r="BU344" s="28" t="s">
        <v>2541</v>
      </c>
      <c r="BV344" s="28">
        <f t="shared" si="317"/>
        <v>5</v>
      </c>
      <c r="BW344" s="28">
        <f t="shared" si="318"/>
        <v>5</v>
      </c>
      <c r="BX344" s="13">
        <f t="shared" si="319"/>
        <v>596</v>
      </c>
      <c r="BY344" s="13">
        <f t="shared" si="320"/>
        <v>596</v>
      </c>
      <c r="BZ344" s="13">
        <f t="shared" si="321"/>
        <v>236</v>
      </c>
      <c r="CA344" s="13">
        <f t="shared" si="322"/>
        <v>236</v>
      </c>
      <c r="CB344" s="13">
        <f t="shared" si="323"/>
        <v>140656</v>
      </c>
      <c r="CC344" s="62" t="str">
        <f t="shared" si="324"/>
        <v/>
      </c>
      <c r="CD344" s="13">
        <f t="shared" si="325"/>
        <v>596</v>
      </c>
      <c r="CE344" s="13">
        <f t="shared" si="326"/>
        <v>596</v>
      </c>
      <c r="CF344" s="13">
        <f t="shared" si="327"/>
        <v>236</v>
      </c>
      <c r="CG344" s="13">
        <f t="shared" si="328"/>
        <v>236</v>
      </c>
      <c r="CH344" s="28">
        <f t="shared" si="329"/>
        <v>140656</v>
      </c>
      <c r="CI344" s="62" t="str">
        <f t="shared" si="330"/>
        <v/>
      </c>
      <c r="CJ344" s="59">
        <f t="shared" si="331"/>
        <v>0</v>
      </c>
      <c r="CL344" s="63">
        <v>6000</v>
      </c>
      <c r="CM344" s="63">
        <f t="shared" si="332"/>
        <v>0</v>
      </c>
      <c r="CN344" s="63">
        <f t="shared" si="333"/>
        <v>5</v>
      </c>
      <c r="CO344" s="63">
        <f t="shared" si="334"/>
        <v>1200</v>
      </c>
      <c r="CP344" s="13">
        <f t="shared" si="335"/>
        <v>1200</v>
      </c>
      <c r="CQ344" s="70">
        <f t="shared" si="336"/>
        <v>8.3333333333333339E-4</v>
      </c>
      <c r="CR344" s="69">
        <f t="shared" si="303"/>
        <v>8.3333333333333339E-4</v>
      </c>
    </row>
    <row r="345" spans="1:96" hidden="1" x14ac:dyDescent="0.25">
      <c r="A345" s="13">
        <v>4</v>
      </c>
      <c r="B345" s="14" t="s">
        <v>936</v>
      </c>
      <c r="C345" s="13" t="s">
        <v>937</v>
      </c>
      <c r="D345" s="13" t="s">
        <v>2270</v>
      </c>
      <c r="E345" s="13" t="s">
        <v>52</v>
      </c>
      <c r="F345" s="15">
        <f t="shared" si="304"/>
        <v>1</v>
      </c>
      <c r="G345" s="13">
        <v>1</v>
      </c>
      <c r="H345" s="13">
        <f>G345*$H$344</f>
        <v>1</v>
      </c>
      <c r="I345" s="13">
        <v>1</v>
      </c>
      <c r="J345" s="14" t="s">
        <v>938</v>
      </c>
      <c r="K345" s="14" t="s">
        <v>34</v>
      </c>
      <c r="L345" s="13">
        <v>0</v>
      </c>
      <c r="M345" s="14" t="s">
        <v>35</v>
      </c>
      <c r="N345" s="13" t="s">
        <v>939</v>
      </c>
      <c r="O345" s="28" t="s">
        <v>41</v>
      </c>
      <c r="P345" s="28" t="s">
        <v>41</v>
      </c>
      <c r="Q345" s="28" t="s">
        <v>742</v>
      </c>
      <c r="R345" s="30">
        <v>127.16</v>
      </c>
      <c r="S345" s="30">
        <v>2</v>
      </c>
      <c r="T345" s="30">
        <v>3</v>
      </c>
      <c r="U345" s="30">
        <v>0.188</v>
      </c>
      <c r="V345" s="8">
        <f t="shared" si="306"/>
        <v>3229.8639999999996</v>
      </c>
      <c r="W345" s="8">
        <f t="shared" si="307"/>
        <v>50.8</v>
      </c>
      <c r="X345" s="8">
        <f t="shared" si="308"/>
        <v>76.199999999999989</v>
      </c>
      <c r="Y345" s="33">
        <f t="shared" si="309"/>
        <v>4.7751999999999999</v>
      </c>
      <c r="Z345" s="28" t="s">
        <v>602</v>
      </c>
      <c r="AA345" s="28" t="s">
        <v>743</v>
      </c>
      <c r="AB345" s="61" t="s">
        <v>742</v>
      </c>
      <c r="AC345" s="31" t="s">
        <v>744</v>
      </c>
      <c r="AD345" s="50">
        <f t="shared" si="310"/>
        <v>1</v>
      </c>
      <c r="AE345" s="31"/>
      <c r="AF345" s="51">
        <v>14</v>
      </c>
      <c r="AG345" s="51">
        <f t="shared" si="337"/>
        <v>8.4</v>
      </c>
      <c r="AH345" s="51">
        <f t="shared" si="302"/>
        <v>42</v>
      </c>
      <c r="AI345" s="52" t="s">
        <v>2497</v>
      </c>
      <c r="AJ345" s="52" t="s">
        <v>2498</v>
      </c>
      <c r="AK345" s="53">
        <f t="shared" si="338"/>
        <v>0.32815418239999994</v>
      </c>
      <c r="AL345" s="54">
        <f t="shared" si="339"/>
        <v>0.11904761904761904</v>
      </c>
      <c r="AM345" s="54">
        <f t="shared" si="340"/>
        <v>2.3809523809523808E-2</v>
      </c>
      <c r="AN345" s="55">
        <f t="shared" si="341"/>
        <v>3.9065974095238085E-2</v>
      </c>
      <c r="AO345" s="55">
        <f t="shared" si="342"/>
        <v>7.8131948190476169E-3</v>
      </c>
      <c r="AP345" s="53">
        <v>7.1</v>
      </c>
      <c r="AQ345" s="53">
        <f t="shared" si="311"/>
        <v>4.26</v>
      </c>
      <c r="AR345" s="53">
        <f t="shared" si="312"/>
        <v>21.299999999999997</v>
      </c>
      <c r="AS345" s="56">
        <f t="shared" si="313"/>
        <v>4.6948356807511742E-2</v>
      </c>
      <c r="AT345" s="56">
        <f t="shared" si="343"/>
        <v>0.23474178403755869</v>
      </c>
      <c r="AU345" s="56">
        <f t="shared" si="314"/>
        <v>0.176056338028169</v>
      </c>
      <c r="AV345" s="56">
        <f t="shared" si="344"/>
        <v>5.8685446009389672E-2</v>
      </c>
      <c r="AW345" s="57" t="s">
        <v>2511</v>
      </c>
      <c r="AX345" s="57" t="s">
        <v>2512</v>
      </c>
      <c r="AY345" s="57" t="s">
        <v>2513</v>
      </c>
      <c r="AZ345" s="58">
        <f t="shared" si="345"/>
        <v>0.32815418239999994</v>
      </c>
      <c r="BA345" s="59">
        <f t="shared" si="348"/>
        <v>9.628937276995304E-3</v>
      </c>
      <c r="BB345" s="59">
        <f t="shared" si="349"/>
        <v>2.8886811830985907E-2</v>
      </c>
      <c r="BC345" s="59">
        <f t="shared" si="350"/>
        <v>7.7031498215962436E-3</v>
      </c>
      <c r="BD345" s="60">
        <f t="shared" si="346"/>
        <v>1</v>
      </c>
      <c r="BE345" s="59">
        <f t="shared" si="347"/>
        <v>1</v>
      </c>
      <c r="BQ345" s="61">
        <v>3000</v>
      </c>
      <c r="BR345" s="61">
        <v>1200</v>
      </c>
      <c r="BS345" s="28">
        <f t="shared" si="315"/>
        <v>2980</v>
      </c>
      <c r="BT345" s="28">
        <f t="shared" si="316"/>
        <v>1180</v>
      </c>
      <c r="BU345" s="28" t="s">
        <v>2541</v>
      </c>
      <c r="BV345" s="28">
        <f t="shared" si="317"/>
        <v>3234.8639999999996</v>
      </c>
      <c r="BW345" s="28">
        <f t="shared" si="318"/>
        <v>55.8</v>
      </c>
      <c r="BX345" s="13">
        <f t="shared" si="319"/>
        <v>0.92121338022247623</v>
      </c>
      <c r="BY345" s="13">
        <f t="shared" si="320"/>
        <v>0</v>
      </c>
      <c r="BZ345" s="13">
        <f t="shared" si="321"/>
        <v>21.146953405017921</v>
      </c>
      <c r="CA345" s="13">
        <f t="shared" si="322"/>
        <v>21</v>
      </c>
      <c r="CB345" s="13">
        <f t="shared" si="323"/>
        <v>0</v>
      </c>
      <c r="CC345" s="62">
        <f t="shared" si="324"/>
        <v>1</v>
      </c>
      <c r="CD345" s="13">
        <f t="shared" si="325"/>
        <v>53.405017921146957</v>
      </c>
      <c r="CE345" s="13">
        <f t="shared" si="326"/>
        <v>53</v>
      </c>
      <c r="CF345" s="13">
        <f t="shared" si="327"/>
        <v>0.36477576800755773</v>
      </c>
      <c r="CG345" s="13">
        <f t="shared" si="328"/>
        <v>0</v>
      </c>
      <c r="CH345" s="28">
        <f t="shared" si="329"/>
        <v>0</v>
      </c>
      <c r="CI345" s="62">
        <f t="shared" si="330"/>
        <v>1</v>
      </c>
      <c r="CJ345" s="59">
        <f t="shared" si="331"/>
        <v>1</v>
      </c>
      <c r="CL345" s="63">
        <v>6000</v>
      </c>
      <c r="CM345" s="63">
        <f t="shared" si="332"/>
        <v>3229.8639999999996</v>
      </c>
      <c r="CN345" s="63">
        <f t="shared" si="333"/>
        <v>3234.8639999999996</v>
      </c>
      <c r="CO345" s="63">
        <f t="shared" si="334"/>
        <v>1.8547920407163951</v>
      </c>
      <c r="CP345" s="13">
        <f t="shared" si="335"/>
        <v>1</v>
      </c>
      <c r="CQ345" s="70">
        <f t="shared" si="336"/>
        <v>1</v>
      </c>
      <c r="CR345" s="69">
        <f t="shared" si="303"/>
        <v>1</v>
      </c>
    </row>
    <row r="346" spans="1:96" hidden="1" x14ac:dyDescent="0.25">
      <c r="A346" s="13">
        <v>4</v>
      </c>
      <c r="B346" s="14" t="s">
        <v>936</v>
      </c>
      <c r="C346" s="13" t="s">
        <v>940</v>
      </c>
      <c r="D346" s="13" t="s">
        <v>2270</v>
      </c>
      <c r="E346" s="13" t="s">
        <v>52</v>
      </c>
      <c r="F346" s="15">
        <f t="shared" si="304"/>
        <v>2</v>
      </c>
      <c r="G346" s="13">
        <v>1</v>
      </c>
      <c r="H346" s="13">
        <f>G346*$H$344</f>
        <v>1</v>
      </c>
      <c r="I346" s="13">
        <v>2</v>
      </c>
      <c r="J346" s="14" t="s">
        <v>941</v>
      </c>
      <c r="K346" s="14" t="s">
        <v>34</v>
      </c>
      <c r="L346" s="13">
        <v>0</v>
      </c>
      <c r="M346" s="14" t="s">
        <v>35</v>
      </c>
      <c r="N346" s="13" t="s">
        <v>942</v>
      </c>
      <c r="O346" s="28" t="s">
        <v>41</v>
      </c>
      <c r="P346" s="28" t="s">
        <v>41</v>
      </c>
      <c r="Q346" s="28" t="s">
        <v>116</v>
      </c>
      <c r="R346" s="30">
        <v>2.75</v>
      </c>
      <c r="S346" s="30">
        <v>1.75</v>
      </c>
      <c r="T346" s="30"/>
      <c r="U346" s="30">
        <v>0.11799999999999999</v>
      </c>
      <c r="V346" s="8">
        <f t="shared" si="306"/>
        <v>69.849999999999994</v>
      </c>
      <c r="W346" s="8">
        <f t="shared" si="307"/>
        <v>44.449999999999996</v>
      </c>
      <c r="X346" s="8">
        <f t="shared" si="308"/>
        <v>0</v>
      </c>
      <c r="Y346" s="33">
        <f t="shared" si="309"/>
        <v>2.9971999999999999</v>
      </c>
      <c r="Z346" s="28" t="s">
        <v>56</v>
      </c>
      <c r="AA346" s="28" t="s">
        <v>57</v>
      </c>
      <c r="AB346" s="28" t="s">
        <v>116</v>
      </c>
      <c r="AC346" s="31" t="s">
        <v>117</v>
      </c>
      <c r="AD346" s="50">
        <f t="shared" si="310"/>
        <v>1</v>
      </c>
      <c r="AE346" s="31"/>
      <c r="AF346" s="51">
        <v>14</v>
      </c>
      <c r="AG346" s="51">
        <f t="shared" si="337"/>
        <v>8.4</v>
      </c>
      <c r="AH346" s="51">
        <f t="shared" si="302"/>
        <v>42</v>
      </c>
      <c r="AI346" s="52" t="s">
        <v>2497</v>
      </c>
      <c r="AJ346" s="52" t="s">
        <v>2498</v>
      </c>
      <c r="AK346" s="53">
        <f t="shared" si="338"/>
        <v>6.2096649999999988E-3</v>
      </c>
      <c r="AL346" s="54">
        <f t="shared" si="339"/>
        <v>0.11904761904761904</v>
      </c>
      <c r="AM346" s="54">
        <f t="shared" si="340"/>
        <v>2.3809523809523808E-2</v>
      </c>
      <c r="AN346" s="55">
        <f t="shared" si="341"/>
        <v>7.3924583333333314E-4</v>
      </c>
      <c r="AO346" s="55">
        <f t="shared" si="342"/>
        <v>1.4784916666666663E-4</v>
      </c>
      <c r="AP346" s="53">
        <v>7.1</v>
      </c>
      <c r="AQ346" s="53">
        <f t="shared" si="311"/>
        <v>4.26</v>
      </c>
      <c r="AR346" s="53">
        <f t="shared" si="312"/>
        <v>21.299999999999997</v>
      </c>
      <c r="AS346" s="56">
        <f t="shared" si="313"/>
        <v>4.6948356807511742E-2</v>
      </c>
      <c r="AT346" s="56">
        <f t="shared" si="343"/>
        <v>0.23474178403755869</v>
      </c>
      <c r="AU346" s="56">
        <f t="shared" si="314"/>
        <v>0.176056338028169</v>
      </c>
      <c r="AV346" s="56">
        <f t="shared" si="344"/>
        <v>5.8685446009389672E-2</v>
      </c>
      <c r="AW346" s="57" t="s">
        <v>2511</v>
      </c>
      <c r="AX346" s="57" t="s">
        <v>2512</v>
      </c>
      <c r="AY346" s="57" t="s">
        <v>2513</v>
      </c>
      <c r="AZ346" s="58">
        <f t="shared" si="345"/>
        <v>6.2096649999999988E-3</v>
      </c>
      <c r="BA346" s="59">
        <f t="shared" si="348"/>
        <v>1.8220848004694832E-4</v>
      </c>
      <c r="BB346" s="59">
        <f t="shared" si="349"/>
        <v>5.466254401408449E-4</v>
      </c>
      <c r="BC346" s="59">
        <f t="shared" si="350"/>
        <v>1.4576678403755867E-4</v>
      </c>
      <c r="BD346" s="60">
        <f t="shared" si="346"/>
        <v>1.1111111111111111E-3</v>
      </c>
      <c r="BE346" s="59">
        <f t="shared" si="347"/>
        <v>1.1111111111111111E-3</v>
      </c>
      <c r="BQ346" s="61">
        <v>3000</v>
      </c>
      <c r="BR346" s="61">
        <v>1200</v>
      </c>
      <c r="BS346" s="28">
        <f t="shared" si="315"/>
        <v>2980</v>
      </c>
      <c r="BT346" s="28">
        <f t="shared" si="316"/>
        <v>1180</v>
      </c>
      <c r="BU346" s="28" t="s">
        <v>2541</v>
      </c>
      <c r="BV346" s="28">
        <f t="shared" si="317"/>
        <v>74.849999999999994</v>
      </c>
      <c r="BW346" s="28">
        <f t="shared" si="318"/>
        <v>49.449999999999996</v>
      </c>
      <c r="BX346" s="13">
        <f t="shared" si="319"/>
        <v>39.812959251837007</v>
      </c>
      <c r="BY346" s="13">
        <f t="shared" si="320"/>
        <v>39</v>
      </c>
      <c r="BZ346" s="13">
        <f t="shared" si="321"/>
        <v>23.862487360970679</v>
      </c>
      <c r="CA346" s="13">
        <f t="shared" si="322"/>
        <v>23</v>
      </c>
      <c r="CB346" s="13">
        <f t="shared" si="323"/>
        <v>897</v>
      </c>
      <c r="CC346" s="62">
        <f t="shared" si="324"/>
        <v>1.1148272017837235E-3</v>
      </c>
      <c r="CD346" s="13">
        <f t="shared" si="325"/>
        <v>60.262891809909007</v>
      </c>
      <c r="CE346" s="13">
        <f t="shared" si="326"/>
        <v>60</v>
      </c>
      <c r="CF346" s="13">
        <f t="shared" si="327"/>
        <v>15.764863059452239</v>
      </c>
      <c r="CG346" s="13">
        <f t="shared" si="328"/>
        <v>15</v>
      </c>
      <c r="CH346" s="28">
        <f t="shared" si="329"/>
        <v>900</v>
      </c>
      <c r="CI346" s="62">
        <f t="shared" si="330"/>
        <v>1.1111111111111111E-3</v>
      </c>
      <c r="CJ346" s="59">
        <f t="shared" si="331"/>
        <v>1.1111111111111111E-3</v>
      </c>
      <c r="CL346" s="63">
        <v>6000</v>
      </c>
      <c r="CM346" s="63">
        <f t="shared" si="332"/>
        <v>69.849999999999994</v>
      </c>
      <c r="CN346" s="63">
        <f t="shared" si="333"/>
        <v>74.849999999999994</v>
      </c>
      <c r="CO346" s="63">
        <f t="shared" si="334"/>
        <v>80.160320641282567</v>
      </c>
      <c r="CP346" s="13">
        <f t="shared" si="335"/>
        <v>80</v>
      </c>
      <c r="CQ346" s="70">
        <f t="shared" si="336"/>
        <v>1.2500000000000001E-2</v>
      </c>
      <c r="CR346" s="69">
        <f t="shared" si="303"/>
        <v>1.2500000000000001E-2</v>
      </c>
    </row>
    <row r="347" spans="1:96" hidden="1" x14ac:dyDescent="0.25">
      <c r="A347" s="10">
        <v>3</v>
      </c>
      <c r="B347" s="8" t="s">
        <v>720</v>
      </c>
      <c r="C347" s="10" t="s">
        <v>943</v>
      </c>
      <c r="D347" s="10" t="s">
        <v>2270</v>
      </c>
      <c r="E347" s="10" t="s">
        <v>32</v>
      </c>
      <c r="F347" s="12">
        <f t="shared" si="304"/>
        <v>1</v>
      </c>
      <c r="G347" s="10">
        <v>1</v>
      </c>
      <c r="H347" s="10">
        <f>G347*$H$234</f>
        <v>1</v>
      </c>
      <c r="I347" s="10">
        <v>24</v>
      </c>
      <c r="J347" s="8" t="s">
        <v>934</v>
      </c>
      <c r="K347" s="8" t="s">
        <v>34</v>
      </c>
      <c r="L347" s="10">
        <v>0</v>
      </c>
      <c r="M347" s="8" t="s">
        <v>35</v>
      </c>
      <c r="N347" s="10" t="s">
        <v>944</v>
      </c>
      <c r="O347" s="28" t="s">
        <v>41</v>
      </c>
      <c r="P347" s="28" t="s">
        <v>41</v>
      </c>
      <c r="Q347" s="28"/>
      <c r="R347" s="30"/>
      <c r="S347" s="30"/>
      <c r="T347" s="30"/>
      <c r="U347" s="30"/>
      <c r="V347" s="8">
        <f t="shared" si="306"/>
        <v>0</v>
      </c>
      <c r="W347" s="8">
        <f t="shared" si="307"/>
        <v>0</v>
      </c>
      <c r="X347" s="8">
        <f t="shared" si="308"/>
        <v>0</v>
      </c>
      <c r="Y347" s="33">
        <f t="shared" si="309"/>
        <v>0</v>
      </c>
      <c r="Z347" s="28"/>
      <c r="AA347" s="28"/>
      <c r="AB347" s="28">
        <v>0</v>
      </c>
      <c r="AC347" s="31"/>
      <c r="AD347" s="50">
        <f t="shared" si="310"/>
        <v>1</v>
      </c>
      <c r="AE347" s="31"/>
      <c r="AF347" s="51">
        <v>14</v>
      </c>
      <c r="AG347" s="51">
        <f t="shared" si="337"/>
        <v>8.4</v>
      </c>
      <c r="AH347" s="51">
        <f t="shared" si="302"/>
        <v>42</v>
      </c>
      <c r="AI347" s="52" t="s">
        <v>2497</v>
      </c>
      <c r="AJ347" s="52" t="s">
        <v>2498</v>
      </c>
      <c r="AK347" s="53">
        <f t="shared" si="338"/>
        <v>0</v>
      </c>
      <c r="AL347" s="54">
        <f t="shared" si="339"/>
        <v>0.11904761904761904</v>
      </c>
      <c r="AM347" s="54">
        <f t="shared" si="340"/>
        <v>2.3809523809523808E-2</v>
      </c>
      <c r="AN347" s="55">
        <f t="shared" si="341"/>
        <v>0</v>
      </c>
      <c r="AO347" s="55">
        <f t="shared" si="342"/>
        <v>0</v>
      </c>
      <c r="AP347" s="53">
        <v>7.1</v>
      </c>
      <c r="AQ347" s="53">
        <f t="shared" si="311"/>
        <v>4.26</v>
      </c>
      <c r="AR347" s="53">
        <f t="shared" si="312"/>
        <v>21.299999999999997</v>
      </c>
      <c r="AS347" s="56">
        <f t="shared" si="313"/>
        <v>4.6948356807511742E-2</v>
      </c>
      <c r="AT347" s="56">
        <f t="shared" si="343"/>
        <v>0.23474178403755869</v>
      </c>
      <c r="AU347" s="56">
        <f t="shared" si="314"/>
        <v>0.176056338028169</v>
      </c>
      <c r="AV347" s="56">
        <f t="shared" si="344"/>
        <v>5.8685446009389672E-2</v>
      </c>
      <c r="AW347" s="57" t="s">
        <v>2511</v>
      </c>
      <c r="AX347" s="57" t="s">
        <v>2512</v>
      </c>
      <c r="AY347" s="57" t="s">
        <v>2513</v>
      </c>
      <c r="AZ347" s="58">
        <f t="shared" si="345"/>
        <v>0</v>
      </c>
      <c r="BA347" s="59">
        <f t="shared" si="348"/>
        <v>0</v>
      </c>
      <c r="BB347" s="59">
        <f t="shared" si="349"/>
        <v>0</v>
      </c>
      <c r="BC347" s="59">
        <f t="shared" si="350"/>
        <v>0</v>
      </c>
      <c r="BD347" s="60">
        <f t="shared" si="346"/>
        <v>0</v>
      </c>
      <c r="BE347" s="59">
        <f t="shared" si="347"/>
        <v>0</v>
      </c>
      <c r="BQ347" s="61">
        <v>3000</v>
      </c>
      <c r="BR347" s="61">
        <v>1200</v>
      </c>
      <c r="BS347" s="28">
        <f t="shared" si="315"/>
        <v>2980</v>
      </c>
      <c r="BT347" s="28">
        <f t="shared" si="316"/>
        <v>1180</v>
      </c>
      <c r="BU347" s="28" t="s">
        <v>2541</v>
      </c>
      <c r="BV347" s="28">
        <f t="shared" si="317"/>
        <v>5</v>
      </c>
      <c r="BW347" s="28">
        <f t="shared" si="318"/>
        <v>5</v>
      </c>
      <c r="BX347" s="13">
        <f t="shared" si="319"/>
        <v>596</v>
      </c>
      <c r="BY347" s="13">
        <f t="shared" si="320"/>
        <v>596</v>
      </c>
      <c r="BZ347" s="13">
        <f t="shared" si="321"/>
        <v>236</v>
      </c>
      <c r="CA347" s="13">
        <f t="shared" si="322"/>
        <v>236</v>
      </c>
      <c r="CB347" s="13">
        <f t="shared" si="323"/>
        <v>140656</v>
      </c>
      <c r="CC347" s="62" t="str">
        <f t="shared" si="324"/>
        <v/>
      </c>
      <c r="CD347" s="13">
        <f t="shared" si="325"/>
        <v>596</v>
      </c>
      <c r="CE347" s="13">
        <f t="shared" si="326"/>
        <v>596</v>
      </c>
      <c r="CF347" s="13">
        <f t="shared" si="327"/>
        <v>236</v>
      </c>
      <c r="CG347" s="13">
        <f t="shared" si="328"/>
        <v>236</v>
      </c>
      <c r="CH347" s="28">
        <f t="shared" si="329"/>
        <v>140656</v>
      </c>
      <c r="CI347" s="62" t="str">
        <f t="shared" si="330"/>
        <v/>
      </c>
      <c r="CJ347" s="59">
        <f t="shared" si="331"/>
        <v>0</v>
      </c>
      <c r="CL347" s="63">
        <v>6000</v>
      </c>
      <c r="CM347" s="63">
        <f t="shared" si="332"/>
        <v>0</v>
      </c>
      <c r="CN347" s="63">
        <f t="shared" si="333"/>
        <v>5</v>
      </c>
      <c r="CO347" s="63">
        <f t="shared" si="334"/>
        <v>1200</v>
      </c>
      <c r="CP347" s="13">
        <f t="shared" si="335"/>
        <v>1200</v>
      </c>
      <c r="CQ347" s="70">
        <f t="shared" si="336"/>
        <v>8.3333333333333339E-4</v>
      </c>
      <c r="CR347" s="69">
        <f t="shared" si="303"/>
        <v>8.3333333333333339E-4</v>
      </c>
    </row>
    <row r="348" spans="1:96" hidden="1" x14ac:dyDescent="0.25">
      <c r="A348" s="13">
        <v>4</v>
      </c>
      <c r="B348" s="14" t="s">
        <v>945</v>
      </c>
      <c r="C348" s="13" t="s">
        <v>946</v>
      </c>
      <c r="D348" s="13" t="s">
        <v>2270</v>
      </c>
      <c r="E348" s="13" t="s">
        <v>52</v>
      </c>
      <c r="F348" s="15">
        <f t="shared" si="304"/>
        <v>1</v>
      </c>
      <c r="G348" s="13">
        <v>1</v>
      </c>
      <c r="H348" s="13">
        <f>G348*$H$347</f>
        <v>1</v>
      </c>
      <c r="I348" s="13">
        <v>1</v>
      </c>
      <c r="J348" s="14" t="s">
        <v>938</v>
      </c>
      <c r="K348" s="14" t="s">
        <v>34</v>
      </c>
      <c r="L348" s="13">
        <v>0</v>
      </c>
      <c r="M348" s="14" t="s">
        <v>35</v>
      </c>
      <c r="N348" s="13" t="s">
        <v>947</v>
      </c>
      <c r="O348" s="28" t="s">
        <v>41</v>
      </c>
      <c r="P348" s="28" t="s">
        <v>41</v>
      </c>
      <c r="Q348" s="28" t="s">
        <v>742</v>
      </c>
      <c r="R348" s="30">
        <v>127.16</v>
      </c>
      <c r="S348" s="30">
        <v>2</v>
      </c>
      <c r="T348" s="30">
        <v>3</v>
      </c>
      <c r="U348" s="30">
        <v>0.188</v>
      </c>
      <c r="V348" s="8">
        <f t="shared" si="306"/>
        <v>3229.8639999999996</v>
      </c>
      <c r="W348" s="8">
        <f t="shared" si="307"/>
        <v>50.8</v>
      </c>
      <c r="X348" s="8">
        <f t="shared" si="308"/>
        <v>76.199999999999989</v>
      </c>
      <c r="Y348" s="33">
        <f t="shared" si="309"/>
        <v>4.7751999999999999</v>
      </c>
      <c r="Z348" s="28" t="s">
        <v>602</v>
      </c>
      <c r="AA348" s="28" t="s">
        <v>743</v>
      </c>
      <c r="AB348" s="61" t="s">
        <v>742</v>
      </c>
      <c r="AC348" s="31" t="s">
        <v>744</v>
      </c>
      <c r="AD348" s="50">
        <f t="shared" si="310"/>
        <v>1</v>
      </c>
      <c r="AE348" s="47" t="s">
        <v>107</v>
      </c>
      <c r="AF348" s="51">
        <v>14</v>
      </c>
      <c r="AG348" s="51">
        <f t="shared" si="337"/>
        <v>8.4</v>
      </c>
      <c r="AH348" s="51">
        <f t="shared" si="302"/>
        <v>42</v>
      </c>
      <c r="AI348" s="52" t="s">
        <v>2497</v>
      </c>
      <c r="AJ348" s="52" t="s">
        <v>2498</v>
      </c>
      <c r="AK348" s="53">
        <f t="shared" si="338"/>
        <v>0.32815418239999994</v>
      </c>
      <c r="AL348" s="54">
        <f t="shared" si="339"/>
        <v>0.11904761904761904</v>
      </c>
      <c r="AM348" s="54">
        <f t="shared" si="340"/>
        <v>2.3809523809523808E-2</v>
      </c>
      <c r="AN348" s="55">
        <f t="shared" si="341"/>
        <v>3.9065974095238085E-2</v>
      </c>
      <c r="AO348" s="55">
        <f t="shared" si="342"/>
        <v>7.8131948190476169E-3</v>
      </c>
      <c r="AP348" s="53">
        <v>7.1</v>
      </c>
      <c r="AQ348" s="53">
        <f t="shared" si="311"/>
        <v>4.26</v>
      </c>
      <c r="AR348" s="53">
        <f t="shared" si="312"/>
        <v>21.299999999999997</v>
      </c>
      <c r="AS348" s="56">
        <f t="shared" si="313"/>
        <v>4.6948356807511742E-2</v>
      </c>
      <c r="AT348" s="56">
        <f t="shared" si="343"/>
        <v>0.23474178403755869</v>
      </c>
      <c r="AU348" s="56">
        <f t="shared" si="314"/>
        <v>0.176056338028169</v>
      </c>
      <c r="AV348" s="56">
        <f t="shared" si="344"/>
        <v>5.8685446009389672E-2</v>
      </c>
      <c r="AW348" s="57" t="s">
        <v>2511</v>
      </c>
      <c r="AX348" s="57" t="s">
        <v>2512</v>
      </c>
      <c r="AY348" s="57" t="s">
        <v>2513</v>
      </c>
      <c r="AZ348" s="58">
        <f t="shared" si="345"/>
        <v>0.32815418239999994</v>
      </c>
      <c r="BA348" s="59">
        <f t="shared" si="348"/>
        <v>9.628937276995304E-3</v>
      </c>
      <c r="BB348" s="59">
        <f t="shared" si="349"/>
        <v>2.8886811830985907E-2</v>
      </c>
      <c r="BC348" s="59">
        <f t="shared" si="350"/>
        <v>7.7031498215962436E-3</v>
      </c>
      <c r="BD348" s="60">
        <f t="shared" si="346"/>
        <v>1</v>
      </c>
      <c r="BE348" s="59">
        <f t="shared" si="347"/>
        <v>1</v>
      </c>
      <c r="BQ348" s="61">
        <v>3000</v>
      </c>
      <c r="BR348" s="61">
        <v>1200</v>
      </c>
      <c r="BS348" s="28">
        <f t="shared" si="315"/>
        <v>2980</v>
      </c>
      <c r="BT348" s="28">
        <f t="shared" si="316"/>
        <v>1180</v>
      </c>
      <c r="BU348" s="28" t="s">
        <v>2541</v>
      </c>
      <c r="BV348" s="28">
        <f t="shared" si="317"/>
        <v>3234.8639999999996</v>
      </c>
      <c r="BW348" s="28">
        <f t="shared" si="318"/>
        <v>55.8</v>
      </c>
      <c r="BX348" s="13">
        <f t="shared" si="319"/>
        <v>0.92121338022247623</v>
      </c>
      <c r="BY348" s="13">
        <f t="shared" si="320"/>
        <v>0</v>
      </c>
      <c r="BZ348" s="13">
        <f t="shared" si="321"/>
        <v>21.146953405017921</v>
      </c>
      <c r="CA348" s="13">
        <f t="shared" si="322"/>
        <v>21</v>
      </c>
      <c r="CB348" s="13">
        <f t="shared" si="323"/>
        <v>0</v>
      </c>
      <c r="CC348" s="62">
        <f t="shared" si="324"/>
        <v>1</v>
      </c>
      <c r="CD348" s="13">
        <f t="shared" si="325"/>
        <v>53.405017921146957</v>
      </c>
      <c r="CE348" s="13">
        <f t="shared" si="326"/>
        <v>53</v>
      </c>
      <c r="CF348" s="13">
        <f t="shared" si="327"/>
        <v>0.36477576800755773</v>
      </c>
      <c r="CG348" s="13">
        <f t="shared" si="328"/>
        <v>0</v>
      </c>
      <c r="CH348" s="28">
        <f t="shared" si="329"/>
        <v>0</v>
      </c>
      <c r="CI348" s="62">
        <f t="shared" si="330"/>
        <v>1</v>
      </c>
      <c r="CJ348" s="59">
        <f t="shared" si="331"/>
        <v>1</v>
      </c>
      <c r="CL348" s="63">
        <v>6000</v>
      </c>
      <c r="CM348" s="63">
        <f t="shared" si="332"/>
        <v>3229.8639999999996</v>
      </c>
      <c r="CN348" s="63">
        <f t="shared" si="333"/>
        <v>3234.8639999999996</v>
      </c>
      <c r="CO348" s="63">
        <f t="shared" si="334"/>
        <v>1.8547920407163951</v>
      </c>
      <c r="CP348" s="13">
        <f t="shared" si="335"/>
        <v>1</v>
      </c>
      <c r="CQ348" s="70">
        <f t="shared" si="336"/>
        <v>1</v>
      </c>
      <c r="CR348" s="69">
        <f t="shared" si="303"/>
        <v>1</v>
      </c>
    </row>
    <row r="349" spans="1:96" hidden="1" x14ac:dyDescent="0.25">
      <c r="A349" s="13">
        <v>4</v>
      </c>
      <c r="B349" s="14" t="s">
        <v>945</v>
      </c>
      <c r="C349" s="13" t="s">
        <v>940</v>
      </c>
      <c r="D349" s="13" t="s">
        <v>2270</v>
      </c>
      <c r="E349" s="13" t="s">
        <v>52</v>
      </c>
      <c r="F349" s="15">
        <f t="shared" si="304"/>
        <v>2</v>
      </c>
      <c r="G349" s="13">
        <v>1</v>
      </c>
      <c r="H349" s="13">
        <f>G349*$H$347</f>
        <v>1</v>
      </c>
      <c r="I349" s="13">
        <v>2</v>
      </c>
      <c r="J349" s="14" t="s">
        <v>941</v>
      </c>
      <c r="K349" s="14" t="s">
        <v>34</v>
      </c>
      <c r="L349" s="13">
        <v>0</v>
      </c>
      <c r="M349" s="14" t="s">
        <v>35</v>
      </c>
      <c r="N349" s="13" t="s">
        <v>942</v>
      </c>
      <c r="O349" s="28" t="s">
        <v>41</v>
      </c>
      <c r="P349" s="28" t="s">
        <v>41</v>
      </c>
      <c r="Q349" s="28" t="s">
        <v>116</v>
      </c>
      <c r="R349" s="30">
        <v>2.75</v>
      </c>
      <c r="S349" s="30">
        <v>1.75</v>
      </c>
      <c r="T349" s="30"/>
      <c r="U349" s="30">
        <v>0.11799999999999999</v>
      </c>
      <c r="V349" s="8">
        <f t="shared" si="306"/>
        <v>69.849999999999994</v>
      </c>
      <c r="W349" s="8">
        <f t="shared" si="307"/>
        <v>44.449999999999996</v>
      </c>
      <c r="X349" s="8">
        <f t="shared" si="308"/>
        <v>0</v>
      </c>
      <c r="Y349" s="33">
        <f t="shared" si="309"/>
        <v>2.9971999999999999</v>
      </c>
      <c r="Z349" s="28" t="s">
        <v>56</v>
      </c>
      <c r="AA349" s="28" t="s">
        <v>57</v>
      </c>
      <c r="AB349" s="28" t="s">
        <v>116</v>
      </c>
      <c r="AC349" s="31" t="s">
        <v>117</v>
      </c>
      <c r="AD349" s="50">
        <f t="shared" si="310"/>
        <v>1</v>
      </c>
      <c r="AE349" s="31"/>
      <c r="AF349" s="51">
        <v>14</v>
      </c>
      <c r="AG349" s="51">
        <f t="shared" si="337"/>
        <v>8.4</v>
      </c>
      <c r="AH349" s="51">
        <f t="shared" si="302"/>
        <v>42</v>
      </c>
      <c r="AI349" s="52" t="s">
        <v>2497</v>
      </c>
      <c r="AJ349" s="52" t="s">
        <v>2498</v>
      </c>
      <c r="AK349" s="53">
        <f t="shared" si="338"/>
        <v>6.2096649999999988E-3</v>
      </c>
      <c r="AL349" s="54">
        <f t="shared" si="339"/>
        <v>0.11904761904761904</v>
      </c>
      <c r="AM349" s="54">
        <f t="shared" si="340"/>
        <v>2.3809523809523808E-2</v>
      </c>
      <c r="AN349" s="55">
        <f t="shared" si="341"/>
        <v>7.3924583333333314E-4</v>
      </c>
      <c r="AO349" s="55">
        <f t="shared" si="342"/>
        <v>1.4784916666666663E-4</v>
      </c>
      <c r="AP349" s="53">
        <v>7.1</v>
      </c>
      <c r="AQ349" s="53">
        <f t="shared" si="311"/>
        <v>4.26</v>
      </c>
      <c r="AR349" s="53">
        <f t="shared" si="312"/>
        <v>21.299999999999997</v>
      </c>
      <c r="AS349" s="56">
        <f t="shared" si="313"/>
        <v>4.6948356807511742E-2</v>
      </c>
      <c r="AT349" s="56">
        <f t="shared" si="343"/>
        <v>0.23474178403755869</v>
      </c>
      <c r="AU349" s="56">
        <f t="shared" si="314"/>
        <v>0.176056338028169</v>
      </c>
      <c r="AV349" s="56">
        <f t="shared" si="344"/>
        <v>5.8685446009389672E-2</v>
      </c>
      <c r="AW349" s="57" t="s">
        <v>2511</v>
      </c>
      <c r="AX349" s="57" t="s">
        <v>2512</v>
      </c>
      <c r="AY349" s="57" t="s">
        <v>2513</v>
      </c>
      <c r="AZ349" s="58">
        <f t="shared" si="345"/>
        <v>6.2096649999999988E-3</v>
      </c>
      <c r="BA349" s="59">
        <f t="shared" si="348"/>
        <v>1.8220848004694832E-4</v>
      </c>
      <c r="BB349" s="59">
        <f t="shared" si="349"/>
        <v>5.466254401408449E-4</v>
      </c>
      <c r="BC349" s="59">
        <f t="shared" si="350"/>
        <v>1.4576678403755867E-4</v>
      </c>
      <c r="BD349" s="60">
        <f t="shared" si="346"/>
        <v>1.1111111111111111E-3</v>
      </c>
      <c r="BE349" s="59">
        <f t="shared" si="347"/>
        <v>1.1111111111111111E-3</v>
      </c>
      <c r="BQ349" s="61">
        <v>3000</v>
      </c>
      <c r="BR349" s="61">
        <v>1200</v>
      </c>
      <c r="BS349" s="28">
        <f t="shared" si="315"/>
        <v>2980</v>
      </c>
      <c r="BT349" s="28">
        <f t="shared" si="316"/>
        <v>1180</v>
      </c>
      <c r="BU349" s="28" t="s">
        <v>2541</v>
      </c>
      <c r="BV349" s="28">
        <f t="shared" si="317"/>
        <v>74.849999999999994</v>
      </c>
      <c r="BW349" s="28">
        <f t="shared" si="318"/>
        <v>49.449999999999996</v>
      </c>
      <c r="BX349" s="13">
        <f t="shared" si="319"/>
        <v>39.812959251837007</v>
      </c>
      <c r="BY349" s="13">
        <f t="shared" si="320"/>
        <v>39</v>
      </c>
      <c r="BZ349" s="13">
        <f t="shared" si="321"/>
        <v>23.862487360970679</v>
      </c>
      <c r="CA349" s="13">
        <f t="shared" si="322"/>
        <v>23</v>
      </c>
      <c r="CB349" s="13">
        <f t="shared" si="323"/>
        <v>897</v>
      </c>
      <c r="CC349" s="62">
        <f t="shared" si="324"/>
        <v>1.1148272017837235E-3</v>
      </c>
      <c r="CD349" s="13">
        <f t="shared" si="325"/>
        <v>60.262891809909007</v>
      </c>
      <c r="CE349" s="13">
        <f t="shared" si="326"/>
        <v>60</v>
      </c>
      <c r="CF349" s="13">
        <f t="shared" si="327"/>
        <v>15.764863059452239</v>
      </c>
      <c r="CG349" s="13">
        <f t="shared" si="328"/>
        <v>15</v>
      </c>
      <c r="CH349" s="28">
        <f t="shared" si="329"/>
        <v>900</v>
      </c>
      <c r="CI349" s="62">
        <f t="shared" si="330"/>
        <v>1.1111111111111111E-3</v>
      </c>
      <c r="CJ349" s="59">
        <f t="shared" si="331"/>
        <v>1.1111111111111111E-3</v>
      </c>
      <c r="CL349" s="63">
        <v>6000</v>
      </c>
      <c r="CM349" s="63">
        <f t="shared" si="332"/>
        <v>69.849999999999994</v>
      </c>
      <c r="CN349" s="63">
        <f t="shared" si="333"/>
        <v>74.849999999999994</v>
      </c>
      <c r="CO349" s="63">
        <f t="shared" si="334"/>
        <v>80.160320641282567</v>
      </c>
      <c r="CP349" s="13">
        <f t="shared" si="335"/>
        <v>80</v>
      </c>
      <c r="CQ349" s="70">
        <f t="shared" si="336"/>
        <v>1.2500000000000001E-2</v>
      </c>
      <c r="CR349" s="69">
        <f t="shared" si="303"/>
        <v>1.2500000000000001E-2</v>
      </c>
    </row>
    <row r="350" spans="1:96" hidden="1" x14ac:dyDescent="0.25">
      <c r="A350" s="10">
        <v>3</v>
      </c>
      <c r="B350" s="8" t="s">
        <v>720</v>
      </c>
      <c r="C350" s="10" t="s">
        <v>948</v>
      </c>
      <c r="D350" s="10" t="s">
        <v>949</v>
      </c>
      <c r="E350" s="10" t="s">
        <v>52</v>
      </c>
      <c r="F350" s="12">
        <f t="shared" si="304"/>
        <v>1</v>
      </c>
      <c r="G350" s="10">
        <v>8</v>
      </c>
      <c r="H350" s="10">
        <f t="shared" ref="H350:H362" si="352">G350*$H$234</f>
        <v>8</v>
      </c>
      <c r="I350" s="10">
        <v>26</v>
      </c>
      <c r="J350" s="8" t="s">
        <v>76</v>
      </c>
      <c r="K350" s="8" t="s">
        <v>34</v>
      </c>
      <c r="L350" s="10" t="s">
        <v>89</v>
      </c>
      <c r="M350" s="8" t="s">
        <v>35</v>
      </c>
      <c r="N350" s="10" t="s">
        <v>949</v>
      </c>
      <c r="O350" s="28" t="s">
        <v>41</v>
      </c>
      <c r="P350" s="28" t="s">
        <v>41</v>
      </c>
      <c r="Q350" s="28" t="s">
        <v>79</v>
      </c>
      <c r="R350" s="30">
        <v>11.929133858267717</v>
      </c>
      <c r="S350" s="30">
        <v>0.3125</v>
      </c>
      <c r="T350" s="30"/>
      <c r="U350" s="30">
        <v>0.3125</v>
      </c>
      <c r="V350" s="8">
        <f t="shared" si="306"/>
        <v>303</v>
      </c>
      <c r="W350" s="8">
        <f t="shared" si="307"/>
        <v>7.9375</v>
      </c>
      <c r="X350" s="8">
        <f t="shared" si="308"/>
        <v>0</v>
      </c>
      <c r="Y350" s="33">
        <f t="shared" si="309"/>
        <v>7.9375</v>
      </c>
      <c r="Z350" s="28" t="s">
        <v>80</v>
      </c>
      <c r="AA350" s="28" t="s">
        <v>81</v>
      </c>
      <c r="AB350" s="61" t="s">
        <v>79</v>
      </c>
      <c r="AC350" s="31" t="s">
        <v>82</v>
      </c>
      <c r="AD350" s="50">
        <f t="shared" si="310"/>
        <v>8</v>
      </c>
      <c r="AE350" s="31"/>
      <c r="AF350" s="51">
        <v>14</v>
      </c>
      <c r="AG350" s="51">
        <f t="shared" si="337"/>
        <v>8.4</v>
      </c>
      <c r="AH350" s="51">
        <f t="shared" si="302"/>
        <v>42</v>
      </c>
      <c r="AI350" s="52" t="s">
        <v>2497</v>
      </c>
      <c r="AJ350" s="52" t="s">
        <v>2498</v>
      </c>
      <c r="AK350" s="53">
        <f t="shared" si="338"/>
        <v>4.8101250000000002E-3</v>
      </c>
      <c r="AL350" s="54">
        <f t="shared" si="339"/>
        <v>0.11904761904761904</v>
      </c>
      <c r="AM350" s="54">
        <f t="shared" si="340"/>
        <v>2.3809523809523808E-2</v>
      </c>
      <c r="AN350" s="55">
        <f t="shared" si="341"/>
        <v>4.5810714285714283E-3</v>
      </c>
      <c r="AO350" s="55">
        <f t="shared" si="342"/>
        <v>9.1621428571428572E-4</v>
      </c>
      <c r="AP350" s="53">
        <v>7.1</v>
      </c>
      <c r="AQ350" s="53">
        <f t="shared" si="311"/>
        <v>4.26</v>
      </c>
      <c r="AR350" s="53">
        <f t="shared" si="312"/>
        <v>21.299999999999997</v>
      </c>
      <c r="AS350" s="56">
        <f t="shared" si="313"/>
        <v>4.6948356807511742E-2</v>
      </c>
      <c r="AT350" s="56">
        <f t="shared" si="343"/>
        <v>0.23474178403755869</v>
      </c>
      <c r="AU350" s="56">
        <f t="shared" si="314"/>
        <v>0.176056338028169</v>
      </c>
      <c r="AV350" s="56">
        <f t="shared" si="344"/>
        <v>5.8685446009389672E-2</v>
      </c>
      <c r="AW350" s="57" t="s">
        <v>2511</v>
      </c>
      <c r="AX350" s="57" t="s">
        <v>2512</v>
      </c>
      <c r="AY350" s="57" t="s">
        <v>2513</v>
      </c>
      <c r="AZ350" s="58">
        <f t="shared" si="345"/>
        <v>4.8101250000000002E-3</v>
      </c>
      <c r="BA350" s="59">
        <f t="shared" si="348"/>
        <v>1.1291373239436619E-3</v>
      </c>
      <c r="BB350" s="59">
        <f t="shared" si="349"/>
        <v>3.3874119718309858E-3</v>
      </c>
      <c r="BC350" s="59">
        <f t="shared" si="350"/>
        <v>9.0330985915492974E-4</v>
      </c>
      <c r="BD350" s="60">
        <f t="shared" si="346"/>
        <v>1.221001221001221E-3</v>
      </c>
      <c r="BE350" s="59">
        <f t="shared" si="347"/>
        <v>9.768009768009768E-3</v>
      </c>
      <c r="BQ350" s="61">
        <v>3000</v>
      </c>
      <c r="BR350" s="61">
        <v>1200</v>
      </c>
      <c r="BS350" s="28">
        <f t="shared" si="315"/>
        <v>2980</v>
      </c>
      <c r="BT350" s="28">
        <f t="shared" si="316"/>
        <v>1180</v>
      </c>
      <c r="BU350" s="28" t="s">
        <v>2541</v>
      </c>
      <c r="BV350" s="28">
        <f t="shared" si="317"/>
        <v>308</v>
      </c>
      <c r="BW350" s="28">
        <f t="shared" si="318"/>
        <v>12.9375</v>
      </c>
      <c r="BX350" s="13">
        <f t="shared" si="319"/>
        <v>9.675324675324676</v>
      </c>
      <c r="BY350" s="13">
        <f t="shared" si="320"/>
        <v>9</v>
      </c>
      <c r="BZ350" s="13">
        <f t="shared" si="321"/>
        <v>91.207729468599027</v>
      </c>
      <c r="CA350" s="13">
        <f t="shared" si="322"/>
        <v>91</v>
      </c>
      <c r="CB350" s="13">
        <f t="shared" si="323"/>
        <v>819</v>
      </c>
      <c r="CC350" s="62">
        <f t="shared" si="324"/>
        <v>1.221001221001221E-3</v>
      </c>
      <c r="CD350" s="13">
        <f t="shared" si="325"/>
        <v>230.33816425120773</v>
      </c>
      <c r="CE350" s="13">
        <f t="shared" si="326"/>
        <v>230</v>
      </c>
      <c r="CF350" s="13">
        <f t="shared" si="327"/>
        <v>3.831168831168831</v>
      </c>
      <c r="CG350" s="13">
        <f t="shared" si="328"/>
        <v>3</v>
      </c>
      <c r="CH350" s="28">
        <f t="shared" si="329"/>
        <v>690</v>
      </c>
      <c r="CI350" s="62">
        <f t="shared" si="330"/>
        <v>1.4492753623188406E-3</v>
      </c>
      <c r="CJ350" s="59">
        <f t="shared" si="331"/>
        <v>1.221001221001221E-3</v>
      </c>
      <c r="CL350" s="63">
        <v>6000</v>
      </c>
      <c r="CM350" s="63">
        <f t="shared" si="332"/>
        <v>303</v>
      </c>
      <c r="CN350" s="63">
        <f t="shared" si="333"/>
        <v>308</v>
      </c>
      <c r="CO350" s="63">
        <f t="shared" si="334"/>
        <v>19.480519480519479</v>
      </c>
      <c r="CP350" s="13">
        <f t="shared" si="335"/>
        <v>19</v>
      </c>
      <c r="CQ350" s="70">
        <f t="shared" si="336"/>
        <v>5.2631578947368418E-2</v>
      </c>
      <c r="CR350" s="69">
        <f t="shared" si="303"/>
        <v>0.42105263157894735</v>
      </c>
    </row>
    <row r="351" spans="1:96" hidden="1" x14ac:dyDescent="0.25">
      <c r="A351" s="10">
        <v>3</v>
      </c>
      <c r="B351" s="8" t="s">
        <v>720</v>
      </c>
      <c r="C351" s="10" t="s">
        <v>827</v>
      </c>
      <c r="D351" s="10" t="s">
        <v>828</v>
      </c>
      <c r="E351" s="10" t="s">
        <v>52</v>
      </c>
      <c r="F351" s="12">
        <f t="shared" si="304"/>
        <v>6</v>
      </c>
      <c r="G351" s="10">
        <v>2</v>
      </c>
      <c r="H351" s="10">
        <f t="shared" si="352"/>
        <v>2</v>
      </c>
      <c r="I351" s="10">
        <v>27</v>
      </c>
      <c r="J351" s="8" t="s">
        <v>76</v>
      </c>
      <c r="K351" s="8" t="s">
        <v>34</v>
      </c>
      <c r="L351" s="10" t="s">
        <v>77</v>
      </c>
      <c r="M351" s="8" t="s">
        <v>35</v>
      </c>
      <c r="N351" s="10" t="s">
        <v>828</v>
      </c>
      <c r="O351" s="28" t="s">
        <v>41</v>
      </c>
      <c r="P351" s="28" t="s">
        <v>41</v>
      </c>
      <c r="Q351" s="28" t="s">
        <v>79</v>
      </c>
      <c r="R351" s="30">
        <v>9.015748031496063</v>
      </c>
      <c r="S351" s="30">
        <v>0.3125</v>
      </c>
      <c r="T351" s="30"/>
      <c r="U351" s="30">
        <v>0.3125</v>
      </c>
      <c r="V351" s="8">
        <f t="shared" si="306"/>
        <v>229</v>
      </c>
      <c r="W351" s="8">
        <f t="shared" si="307"/>
        <v>7.9375</v>
      </c>
      <c r="X351" s="8">
        <f t="shared" si="308"/>
        <v>0</v>
      </c>
      <c r="Y351" s="33">
        <f t="shared" si="309"/>
        <v>7.9375</v>
      </c>
      <c r="Z351" s="28" t="s">
        <v>80</v>
      </c>
      <c r="AA351" s="28" t="s">
        <v>81</v>
      </c>
      <c r="AB351" s="61" t="s">
        <v>79</v>
      </c>
      <c r="AC351" s="31" t="s">
        <v>82</v>
      </c>
      <c r="AD351" s="50">
        <f t="shared" si="310"/>
        <v>2</v>
      </c>
      <c r="AE351" s="31"/>
      <c r="AF351" s="51">
        <v>14</v>
      </c>
      <c r="AG351" s="51">
        <f t="shared" si="337"/>
        <v>8.4</v>
      </c>
      <c r="AH351" s="51">
        <f t="shared" si="302"/>
        <v>42</v>
      </c>
      <c r="AI351" s="52" t="s">
        <v>2497</v>
      </c>
      <c r="AJ351" s="52" t="s">
        <v>2498</v>
      </c>
      <c r="AK351" s="53">
        <f t="shared" si="338"/>
        <v>3.6353750000000002E-3</v>
      </c>
      <c r="AL351" s="54">
        <f t="shared" si="339"/>
        <v>0.11904761904761904</v>
      </c>
      <c r="AM351" s="54">
        <f t="shared" si="340"/>
        <v>2.3809523809523808E-2</v>
      </c>
      <c r="AN351" s="55">
        <f t="shared" si="341"/>
        <v>8.6556547619047615E-4</v>
      </c>
      <c r="AO351" s="55">
        <f t="shared" si="342"/>
        <v>1.7311309523809524E-4</v>
      </c>
      <c r="AP351" s="53">
        <v>7.1</v>
      </c>
      <c r="AQ351" s="53">
        <f t="shared" si="311"/>
        <v>4.26</v>
      </c>
      <c r="AR351" s="53">
        <f t="shared" si="312"/>
        <v>21.299999999999997</v>
      </c>
      <c r="AS351" s="56">
        <f t="shared" si="313"/>
        <v>4.6948356807511742E-2</v>
      </c>
      <c r="AT351" s="56">
        <f t="shared" si="343"/>
        <v>0.23474178403755869</v>
      </c>
      <c r="AU351" s="56">
        <f t="shared" si="314"/>
        <v>0.176056338028169</v>
      </c>
      <c r="AV351" s="56">
        <f t="shared" si="344"/>
        <v>5.8685446009389672E-2</v>
      </c>
      <c r="AW351" s="57" t="s">
        <v>2511</v>
      </c>
      <c r="AX351" s="57" t="s">
        <v>2512</v>
      </c>
      <c r="AY351" s="57" t="s">
        <v>2513</v>
      </c>
      <c r="AZ351" s="58">
        <f t="shared" si="345"/>
        <v>3.6353750000000002E-3</v>
      </c>
      <c r="BA351" s="59">
        <f t="shared" si="348"/>
        <v>2.1334360328638499E-4</v>
      </c>
      <c r="BB351" s="59">
        <f t="shared" si="349"/>
        <v>6.4003080985915487E-4</v>
      </c>
      <c r="BC351" s="59">
        <f t="shared" si="350"/>
        <v>1.7067488262910801E-4</v>
      </c>
      <c r="BD351" s="60">
        <f t="shared" si="346"/>
        <v>8.6956521739130438E-4</v>
      </c>
      <c r="BE351" s="59">
        <f t="shared" si="347"/>
        <v>1.7391304347826088E-3</v>
      </c>
      <c r="BQ351" s="61">
        <v>3000</v>
      </c>
      <c r="BR351" s="61">
        <v>1200</v>
      </c>
      <c r="BS351" s="28">
        <f t="shared" si="315"/>
        <v>2980</v>
      </c>
      <c r="BT351" s="28">
        <f t="shared" si="316"/>
        <v>1180</v>
      </c>
      <c r="BU351" s="28" t="s">
        <v>2541</v>
      </c>
      <c r="BV351" s="28">
        <f t="shared" si="317"/>
        <v>234</v>
      </c>
      <c r="BW351" s="28">
        <f t="shared" si="318"/>
        <v>12.9375</v>
      </c>
      <c r="BX351" s="13">
        <f t="shared" si="319"/>
        <v>12.735042735042734</v>
      </c>
      <c r="BY351" s="13">
        <f t="shared" si="320"/>
        <v>12</v>
      </c>
      <c r="BZ351" s="13">
        <f t="shared" si="321"/>
        <v>91.207729468599027</v>
      </c>
      <c r="CA351" s="13">
        <f t="shared" si="322"/>
        <v>91</v>
      </c>
      <c r="CB351" s="13">
        <f t="shared" si="323"/>
        <v>1092</v>
      </c>
      <c r="CC351" s="62">
        <f t="shared" si="324"/>
        <v>9.1575091575091575E-4</v>
      </c>
      <c r="CD351" s="13">
        <f t="shared" si="325"/>
        <v>230.33816425120773</v>
      </c>
      <c r="CE351" s="13">
        <f t="shared" si="326"/>
        <v>230</v>
      </c>
      <c r="CF351" s="13">
        <f t="shared" si="327"/>
        <v>5.0427350427350426</v>
      </c>
      <c r="CG351" s="13">
        <f t="shared" si="328"/>
        <v>5</v>
      </c>
      <c r="CH351" s="28">
        <f t="shared" si="329"/>
        <v>1150</v>
      </c>
      <c r="CI351" s="62">
        <f t="shared" si="330"/>
        <v>8.6956521739130438E-4</v>
      </c>
      <c r="CJ351" s="59">
        <f t="shared" si="331"/>
        <v>8.6956521739130438E-4</v>
      </c>
      <c r="CL351" s="63">
        <v>6000</v>
      </c>
      <c r="CM351" s="63">
        <f t="shared" si="332"/>
        <v>229</v>
      </c>
      <c r="CN351" s="63">
        <f t="shared" si="333"/>
        <v>234</v>
      </c>
      <c r="CO351" s="63">
        <f t="shared" si="334"/>
        <v>25.641025641025642</v>
      </c>
      <c r="CP351" s="13">
        <f t="shared" si="335"/>
        <v>25</v>
      </c>
      <c r="CQ351" s="70">
        <f t="shared" si="336"/>
        <v>0.04</v>
      </c>
      <c r="CR351" s="69">
        <f t="shared" si="303"/>
        <v>0.08</v>
      </c>
    </row>
    <row r="352" spans="1:96" hidden="1" x14ac:dyDescent="0.25">
      <c r="A352" s="10">
        <v>3</v>
      </c>
      <c r="B352" s="8" t="s">
        <v>720</v>
      </c>
      <c r="C352" s="10" t="s">
        <v>87</v>
      </c>
      <c r="D352" s="10" t="s">
        <v>90</v>
      </c>
      <c r="E352" s="10" t="s">
        <v>52</v>
      </c>
      <c r="F352" s="12">
        <f t="shared" si="304"/>
        <v>7</v>
      </c>
      <c r="G352" s="10">
        <v>1</v>
      </c>
      <c r="H352" s="10">
        <f t="shared" si="352"/>
        <v>1</v>
      </c>
      <c r="I352" s="10">
        <v>28</v>
      </c>
      <c r="J352" s="8" t="s">
        <v>88</v>
      </c>
      <c r="K352" s="8" t="s">
        <v>34</v>
      </c>
      <c r="L352" s="10" t="s">
        <v>89</v>
      </c>
      <c r="M352" s="8" t="s">
        <v>35</v>
      </c>
      <c r="N352" s="10" t="s">
        <v>90</v>
      </c>
      <c r="O352" s="28" t="s">
        <v>41</v>
      </c>
      <c r="P352" s="28" t="s">
        <v>41</v>
      </c>
      <c r="Q352" s="28" t="s">
        <v>79</v>
      </c>
      <c r="R352" s="30">
        <v>14.05511811023622</v>
      </c>
      <c r="S352" s="30">
        <v>0.3125</v>
      </c>
      <c r="T352" s="30"/>
      <c r="U352" s="30">
        <v>0.3125</v>
      </c>
      <c r="V352" s="8">
        <f t="shared" si="306"/>
        <v>357</v>
      </c>
      <c r="W352" s="8">
        <f t="shared" si="307"/>
        <v>7.9375</v>
      </c>
      <c r="X352" s="8">
        <f t="shared" si="308"/>
        <v>0</v>
      </c>
      <c r="Y352" s="33">
        <f t="shared" si="309"/>
        <v>7.9375</v>
      </c>
      <c r="Z352" s="28" t="s">
        <v>80</v>
      </c>
      <c r="AA352" s="28" t="s">
        <v>81</v>
      </c>
      <c r="AB352" s="61" t="s">
        <v>79</v>
      </c>
      <c r="AC352" s="31" t="s">
        <v>82</v>
      </c>
      <c r="AD352" s="50">
        <f t="shared" si="310"/>
        <v>1</v>
      </c>
      <c r="AE352" s="31"/>
      <c r="AF352" s="51">
        <v>14</v>
      </c>
      <c r="AG352" s="51">
        <f t="shared" si="337"/>
        <v>8.4</v>
      </c>
      <c r="AH352" s="51">
        <f t="shared" si="302"/>
        <v>42</v>
      </c>
      <c r="AI352" s="52" t="s">
        <v>2497</v>
      </c>
      <c r="AJ352" s="52" t="s">
        <v>2498</v>
      </c>
      <c r="AK352" s="53">
        <f t="shared" si="338"/>
        <v>5.6673749999999997E-3</v>
      </c>
      <c r="AL352" s="54">
        <f t="shared" si="339"/>
        <v>0.11904761904761904</v>
      </c>
      <c r="AM352" s="54">
        <f t="shared" si="340"/>
        <v>2.3809523809523808E-2</v>
      </c>
      <c r="AN352" s="55">
        <f t="shared" si="341"/>
        <v>6.7468749999999994E-4</v>
      </c>
      <c r="AO352" s="55">
        <f t="shared" si="342"/>
        <v>1.3493749999999999E-4</v>
      </c>
      <c r="AP352" s="53">
        <v>7.1</v>
      </c>
      <c r="AQ352" s="53">
        <f t="shared" si="311"/>
        <v>4.26</v>
      </c>
      <c r="AR352" s="53">
        <f t="shared" si="312"/>
        <v>21.299999999999997</v>
      </c>
      <c r="AS352" s="56">
        <f t="shared" si="313"/>
        <v>4.6948356807511742E-2</v>
      </c>
      <c r="AT352" s="56">
        <f t="shared" si="343"/>
        <v>0.23474178403755869</v>
      </c>
      <c r="AU352" s="56">
        <f t="shared" si="314"/>
        <v>0.176056338028169</v>
      </c>
      <c r="AV352" s="56">
        <f t="shared" si="344"/>
        <v>5.8685446009389672E-2</v>
      </c>
      <c r="AW352" s="57" t="s">
        <v>2511</v>
      </c>
      <c r="AX352" s="57" t="s">
        <v>2512</v>
      </c>
      <c r="AY352" s="57" t="s">
        <v>2513</v>
      </c>
      <c r="AZ352" s="58">
        <f t="shared" si="345"/>
        <v>5.6673749999999997E-3</v>
      </c>
      <c r="BA352" s="59">
        <f t="shared" si="348"/>
        <v>1.6629621478873239E-4</v>
      </c>
      <c r="BB352" s="59">
        <f t="shared" si="349"/>
        <v>4.9888864436619708E-4</v>
      </c>
      <c r="BC352" s="59">
        <f t="shared" si="350"/>
        <v>1.3303697183098592E-4</v>
      </c>
      <c r="BD352" s="60">
        <f t="shared" si="346"/>
        <v>1.3736263736263737E-3</v>
      </c>
      <c r="BE352" s="59">
        <f t="shared" si="347"/>
        <v>1.3736263736263737E-3</v>
      </c>
      <c r="BQ352" s="61">
        <v>3000</v>
      </c>
      <c r="BR352" s="61">
        <v>1200</v>
      </c>
      <c r="BS352" s="28">
        <f t="shared" si="315"/>
        <v>2980</v>
      </c>
      <c r="BT352" s="28">
        <f t="shared" si="316"/>
        <v>1180</v>
      </c>
      <c r="BU352" s="28" t="s">
        <v>2541</v>
      </c>
      <c r="BV352" s="28">
        <f t="shared" si="317"/>
        <v>362</v>
      </c>
      <c r="BW352" s="28">
        <f t="shared" si="318"/>
        <v>12.9375</v>
      </c>
      <c r="BX352" s="13">
        <f t="shared" si="319"/>
        <v>8.2320441988950268</v>
      </c>
      <c r="BY352" s="13">
        <f t="shared" si="320"/>
        <v>8</v>
      </c>
      <c r="BZ352" s="13">
        <f t="shared" si="321"/>
        <v>91.207729468599027</v>
      </c>
      <c r="CA352" s="13">
        <f t="shared" si="322"/>
        <v>91</v>
      </c>
      <c r="CB352" s="13">
        <f t="shared" si="323"/>
        <v>728</v>
      </c>
      <c r="CC352" s="62">
        <f t="shared" si="324"/>
        <v>1.3736263736263737E-3</v>
      </c>
      <c r="CD352" s="13">
        <f t="shared" si="325"/>
        <v>230.33816425120773</v>
      </c>
      <c r="CE352" s="13">
        <f t="shared" si="326"/>
        <v>230</v>
      </c>
      <c r="CF352" s="13">
        <f t="shared" si="327"/>
        <v>3.2596685082872927</v>
      </c>
      <c r="CG352" s="13">
        <f t="shared" si="328"/>
        <v>3</v>
      </c>
      <c r="CH352" s="28">
        <f t="shared" si="329"/>
        <v>690</v>
      </c>
      <c r="CI352" s="62">
        <f t="shared" si="330"/>
        <v>1.4492753623188406E-3</v>
      </c>
      <c r="CJ352" s="59">
        <f t="shared" si="331"/>
        <v>1.3736263736263737E-3</v>
      </c>
      <c r="CL352" s="63">
        <v>6000</v>
      </c>
      <c r="CM352" s="63">
        <f t="shared" si="332"/>
        <v>357</v>
      </c>
      <c r="CN352" s="63">
        <f t="shared" si="333"/>
        <v>362</v>
      </c>
      <c r="CO352" s="63">
        <f t="shared" si="334"/>
        <v>16.574585635359117</v>
      </c>
      <c r="CP352" s="13">
        <f t="shared" si="335"/>
        <v>16</v>
      </c>
      <c r="CQ352" s="70">
        <f t="shared" si="336"/>
        <v>6.25E-2</v>
      </c>
      <c r="CR352" s="69">
        <f t="shared" si="303"/>
        <v>6.25E-2</v>
      </c>
    </row>
    <row r="353" spans="1:96" hidden="1" x14ac:dyDescent="0.25">
      <c r="A353" s="10">
        <v>3</v>
      </c>
      <c r="B353" s="8" t="s">
        <v>720</v>
      </c>
      <c r="C353" s="10" t="s">
        <v>950</v>
      </c>
      <c r="D353" s="10" t="s">
        <v>2270</v>
      </c>
      <c r="E353" s="10" t="s">
        <v>52</v>
      </c>
      <c r="F353" s="12">
        <f t="shared" si="304"/>
        <v>1</v>
      </c>
      <c r="G353" s="10">
        <v>2</v>
      </c>
      <c r="H353" s="10">
        <f t="shared" si="352"/>
        <v>2</v>
      </c>
      <c r="I353" s="10">
        <v>29</v>
      </c>
      <c r="J353" s="8" t="s">
        <v>951</v>
      </c>
      <c r="K353" s="8" t="s">
        <v>34</v>
      </c>
      <c r="L353" s="10">
        <v>0</v>
      </c>
      <c r="M353" s="8" t="s">
        <v>35</v>
      </c>
      <c r="N353" s="10" t="s">
        <v>952</v>
      </c>
      <c r="O353" s="28" t="s">
        <v>41</v>
      </c>
      <c r="P353" s="28" t="s">
        <v>41</v>
      </c>
      <c r="Q353" s="28" t="s">
        <v>116</v>
      </c>
      <c r="R353" s="30">
        <v>2.598425196850394</v>
      </c>
      <c r="S353" s="30">
        <v>2.8346456692913389</v>
      </c>
      <c r="T353" s="30"/>
      <c r="U353" s="30">
        <v>0.11811023622047245</v>
      </c>
      <c r="V353" s="8">
        <f t="shared" si="306"/>
        <v>66</v>
      </c>
      <c r="W353" s="8">
        <f t="shared" si="307"/>
        <v>72</v>
      </c>
      <c r="X353" s="8">
        <f t="shared" si="308"/>
        <v>0</v>
      </c>
      <c r="Y353" s="33">
        <f t="shared" si="309"/>
        <v>3</v>
      </c>
      <c r="Z353" s="28" t="s">
        <v>56</v>
      </c>
      <c r="AA353" s="28" t="s">
        <v>57</v>
      </c>
      <c r="AB353" s="28" t="s">
        <v>116</v>
      </c>
      <c r="AC353" s="31" t="s">
        <v>117</v>
      </c>
      <c r="AD353" s="50">
        <f t="shared" si="310"/>
        <v>2</v>
      </c>
      <c r="AE353" s="31"/>
      <c r="AF353" s="51">
        <v>14</v>
      </c>
      <c r="AG353" s="51">
        <f t="shared" si="337"/>
        <v>8.4</v>
      </c>
      <c r="AH353" s="51">
        <f t="shared" si="302"/>
        <v>42</v>
      </c>
      <c r="AI353" s="52" t="s">
        <v>2497</v>
      </c>
      <c r="AJ353" s="52" t="s">
        <v>2498</v>
      </c>
      <c r="AK353" s="53">
        <f t="shared" si="338"/>
        <v>9.5040000000000003E-3</v>
      </c>
      <c r="AL353" s="54">
        <f t="shared" si="339"/>
        <v>0.11904761904761904</v>
      </c>
      <c r="AM353" s="54">
        <f t="shared" si="340"/>
        <v>2.3809523809523808E-2</v>
      </c>
      <c r="AN353" s="55">
        <f t="shared" si="341"/>
        <v>2.2628571428571428E-3</v>
      </c>
      <c r="AO353" s="55">
        <f t="shared" si="342"/>
        <v>4.5257142857142854E-4</v>
      </c>
      <c r="AP353" s="53">
        <v>7.1</v>
      </c>
      <c r="AQ353" s="53">
        <f t="shared" si="311"/>
        <v>4.26</v>
      </c>
      <c r="AR353" s="53">
        <f t="shared" si="312"/>
        <v>21.299999999999997</v>
      </c>
      <c r="AS353" s="56">
        <f t="shared" si="313"/>
        <v>4.6948356807511742E-2</v>
      </c>
      <c r="AT353" s="56">
        <f t="shared" si="343"/>
        <v>0.23474178403755869</v>
      </c>
      <c r="AU353" s="56">
        <f t="shared" si="314"/>
        <v>0.176056338028169</v>
      </c>
      <c r="AV353" s="56">
        <f t="shared" si="344"/>
        <v>5.8685446009389672E-2</v>
      </c>
      <c r="AW353" s="57" t="s">
        <v>2511</v>
      </c>
      <c r="AX353" s="57" t="s">
        <v>2512</v>
      </c>
      <c r="AY353" s="57" t="s">
        <v>2513</v>
      </c>
      <c r="AZ353" s="58">
        <f t="shared" si="345"/>
        <v>9.5040000000000003E-3</v>
      </c>
      <c r="BA353" s="59">
        <f t="shared" si="348"/>
        <v>5.5774647887323948E-4</v>
      </c>
      <c r="BB353" s="59">
        <f t="shared" si="349"/>
        <v>1.6732394366197182E-3</v>
      </c>
      <c r="BC353" s="59">
        <f t="shared" si="350"/>
        <v>4.4619718309859158E-4</v>
      </c>
      <c r="BD353" s="60">
        <f t="shared" si="346"/>
        <v>1.6260162601626016E-3</v>
      </c>
      <c r="BE353" s="59">
        <f t="shared" si="347"/>
        <v>3.2520325203252032E-3</v>
      </c>
      <c r="BQ353" s="61">
        <v>3000</v>
      </c>
      <c r="BR353" s="61">
        <v>1200</v>
      </c>
      <c r="BS353" s="28">
        <f t="shared" si="315"/>
        <v>2980</v>
      </c>
      <c r="BT353" s="28">
        <f t="shared" si="316"/>
        <v>1180</v>
      </c>
      <c r="BU353" s="28" t="s">
        <v>2541</v>
      </c>
      <c r="BV353" s="28">
        <f t="shared" si="317"/>
        <v>71</v>
      </c>
      <c r="BW353" s="28">
        <f t="shared" si="318"/>
        <v>77</v>
      </c>
      <c r="BX353" s="13">
        <f t="shared" si="319"/>
        <v>41.971830985915496</v>
      </c>
      <c r="BY353" s="13">
        <f t="shared" si="320"/>
        <v>41</v>
      </c>
      <c r="BZ353" s="13">
        <f t="shared" si="321"/>
        <v>15.324675324675324</v>
      </c>
      <c r="CA353" s="13">
        <f t="shared" si="322"/>
        <v>15</v>
      </c>
      <c r="CB353" s="13">
        <f t="shared" si="323"/>
        <v>615</v>
      </c>
      <c r="CC353" s="62">
        <f t="shared" si="324"/>
        <v>1.6260162601626016E-3</v>
      </c>
      <c r="CD353" s="13">
        <f t="shared" si="325"/>
        <v>38.701298701298704</v>
      </c>
      <c r="CE353" s="13">
        <f t="shared" si="326"/>
        <v>38</v>
      </c>
      <c r="CF353" s="13">
        <f t="shared" si="327"/>
        <v>16.619718309859156</v>
      </c>
      <c r="CG353" s="13">
        <f t="shared" si="328"/>
        <v>16</v>
      </c>
      <c r="CH353" s="28">
        <f t="shared" si="329"/>
        <v>608</v>
      </c>
      <c r="CI353" s="62">
        <f t="shared" si="330"/>
        <v>1.6447368421052631E-3</v>
      </c>
      <c r="CJ353" s="59">
        <f t="shared" si="331"/>
        <v>1.6260162601626016E-3</v>
      </c>
      <c r="CL353" s="63">
        <v>6000</v>
      </c>
      <c r="CM353" s="63">
        <f t="shared" si="332"/>
        <v>66</v>
      </c>
      <c r="CN353" s="63">
        <f t="shared" si="333"/>
        <v>71</v>
      </c>
      <c r="CO353" s="63">
        <f t="shared" si="334"/>
        <v>84.507042253521121</v>
      </c>
      <c r="CP353" s="13">
        <f t="shared" si="335"/>
        <v>84</v>
      </c>
      <c r="CQ353" s="70">
        <f t="shared" si="336"/>
        <v>1.1904761904761904E-2</v>
      </c>
      <c r="CR353" s="69">
        <f t="shared" si="303"/>
        <v>2.3809523809523808E-2</v>
      </c>
    </row>
    <row r="354" spans="1:96" hidden="1" x14ac:dyDescent="0.25">
      <c r="A354" s="10">
        <v>3</v>
      </c>
      <c r="B354" s="8" t="s">
        <v>720</v>
      </c>
      <c r="C354" s="10" t="s">
        <v>953</v>
      </c>
      <c r="D354" s="10" t="s">
        <v>2270</v>
      </c>
      <c r="E354" s="10" t="s">
        <v>52</v>
      </c>
      <c r="F354" s="12">
        <f t="shared" si="304"/>
        <v>1</v>
      </c>
      <c r="G354" s="10">
        <v>2</v>
      </c>
      <c r="H354" s="10">
        <f t="shared" si="352"/>
        <v>2</v>
      </c>
      <c r="I354" s="10">
        <v>30</v>
      </c>
      <c r="J354" s="8" t="s">
        <v>396</v>
      </c>
      <c r="K354" s="8" t="s">
        <v>34</v>
      </c>
      <c r="L354" s="10">
        <v>0</v>
      </c>
      <c r="M354" s="8" t="s">
        <v>35</v>
      </c>
      <c r="N354" s="10" t="s">
        <v>954</v>
      </c>
      <c r="O354" s="28" t="s">
        <v>41</v>
      </c>
      <c r="P354" s="28" t="s">
        <v>41</v>
      </c>
      <c r="Q354" s="28" t="s">
        <v>954</v>
      </c>
      <c r="R354" s="30">
        <v>3.8976377952755907</v>
      </c>
      <c r="S354" s="30">
        <v>2.9527559055118111</v>
      </c>
      <c r="T354" s="30"/>
      <c r="U354" s="30">
        <v>0.98425196850393704</v>
      </c>
      <c r="V354" s="8">
        <f t="shared" si="306"/>
        <v>99</v>
      </c>
      <c r="W354" s="8">
        <f t="shared" si="307"/>
        <v>75</v>
      </c>
      <c r="X354" s="8">
        <f t="shared" si="308"/>
        <v>0</v>
      </c>
      <c r="Y354" s="33">
        <f t="shared" si="309"/>
        <v>25</v>
      </c>
      <c r="Z354" s="28" t="s">
        <v>2477</v>
      </c>
      <c r="AA354" s="28" t="s">
        <v>2477</v>
      </c>
      <c r="AB354" s="61" t="s">
        <v>954</v>
      </c>
      <c r="AC354" s="31" t="s">
        <v>911</v>
      </c>
      <c r="AD354" s="50">
        <f t="shared" si="310"/>
        <v>2</v>
      </c>
      <c r="AE354" s="31"/>
      <c r="AF354" s="51">
        <v>14</v>
      </c>
      <c r="AG354" s="51">
        <f t="shared" si="337"/>
        <v>8.4</v>
      </c>
      <c r="AH354" s="51">
        <f t="shared" si="302"/>
        <v>42</v>
      </c>
      <c r="AI354" s="52" t="s">
        <v>2497</v>
      </c>
      <c r="AJ354" s="52" t="s">
        <v>2498</v>
      </c>
      <c r="AK354" s="53">
        <f t="shared" si="338"/>
        <v>1.485E-2</v>
      </c>
      <c r="AL354" s="54">
        <f t="shared" si="339"/>
        <v>0.11904761904761904</v>
      </c>
      <c r="AM354" s="54">
        <f t="shared" si="340"/>
        <v>2.3809523809523808E-2</v>
      </c>
      <c r="AN354" s="55">
        <f t="shared" si="341"/>
        <v>3.5357142857142857E-3</v>
      </c>
      <c r="AO354" s="55">
        <f t="shared" si="342"/>
        <v>7.0714285714285714E-4</v>
      </c>
      <c r="AP354" s="53">
        <v>7.1</v>
      </c>
      <c r="AQ354" s="53">
        <f t="shared" si="311"/>
        <v>4.26</v>
      </c>
      <c r="AR354" s="53">
        <f t="shared" si="312"/>
        <v>21.299999999999997</v>
      </c>
      <c r="AS354" s="56">
        <f t="shared" si="313"/>
        <v>4.6948356807511742E-2</v>
      </c>
      <c r="AT354" s="56">
        <f t="shared" si="343"/>
        <v>0.23474178403755869</v>
      </c>
      <c r="AU354" s="56">
        <f t="shared" si="314"/>
        <v>0.176056338028169</v>
      </c>
      <c r="AV354" s="56">
        <f t="shared" si="344"/>
        <v>5.8685446009389672E-2</v>
      </c>
      <c r="AW354" s="57" t="s">
        <v>2511</v>
      </c>
      <c r="AX354" s="57" t="s">
        <v>2512</v>
      </c>
      <c r="AY354" s="57" t="s">
        <v>2513</v>
      </c>
      <c r="AZ354" s="58">
        <f t="shared" si="345"/>
        <v>1.485E-2</v>
      </c>
      <c r="BA354" s="59">
        <f t="shared" si="348"/>
        <v>8.7147887323943667E-4</v>
      </c>
      <c r="BB354" s="59">
        <f t="shared" si="349"/>
        <v>2.6144366197183096E-3</v>
      </c>
      <c r="BC354" s="59">
        <f t="shared" si="350"/>
        <v>6.971830985915494E-4</v>
      </c>
      <c r="BD354" s="60">
        <f t="shared" si="346"/>
        <v>2.4570024570024569E-3</v>
      </c>
      <c r="BE354" s="59">
        <f t="shared" si="347"/>
        <v>4.9140049140049139E-3</v>
      </c>
      <c r="BQ354" s="61">
        <v>3000</v>
      </c>
      <c r="BR354" s="61">
        <v>1200</v>
      </c>
      <c r="BS354" s="28">
        <f t="shared" si="315"/>
        <v>2980</v>
      </c>
      <c r="BT354" s="28">
        <f t="shared" si="316"/>
        <v>1180</v>
      </c>
      <c r="BU354" s="28" t="s">
        <v>2541</v>
      </c>
      <c r="BV354" s="28">
        <f t="shared" si="317"/>
        <v>104</v>
      </c>
      <c r="BW354" s="28">
        <f t="shared" si="318"/>
        <v>80</v>
      </c>
      <c r="BX354" s="13">
        <f t="shared" si="319"/>
        <v>28.653846153846153</v>
      </c>
      <c r="BY354" s="13">
        <f t="shared" si="320"/>
        <v>28</v>
      </c>
      <c r="BZ354" s="13">
        <f t="shared" si="321"/>
        <v>14.75</v>
      </c>
      <c r="CA354" s="13">
        <f t="shared" si="322"/>
        <v>14</v>
      </c>
      <c r="CB354" s="13">
        <f t="shared" si="323"/>
        <v>392</v>
      </c>
      <c r="CC354" s="62">
        <f t="shared" si="324"/>
        <v>2.5510204081632651E-3</v>
      </c>
      <c r="CD354" s="13">
        <f t="shared" si="325"/>
        <v>37.25</v>
      </c>
      <c r="CE354" s="13">
        <f t="shared" si="326"/>
        <v>37</v>
      </c>
      <c r="CF354" s="13">
        <f t="shared" si="327"/>
        <v>11.346153846153847</v>
      </c>
      <c r="CG354" s="13">
        <f t="shared" si="328"/>
        <v>11</v>
      </c>
      <c r="CH354" s="28">
        <f t="shared" si="329"/>
        <v>407</v>
      </c>
      <c r="CI354" s="62">
        <f t="shared" si="330"/>
        <v>2.4570024570024569E-3</v>
      </c>
      <c r="CJ354" s="59">
        <f t="shared" si="331"/>
        <v>2.4570024570024569E-3</v>
      </c>
      <c r="CL354" s="63">
        <v>6000</v>
      </c>
      <c r="CM354" s="63">
        <f t="shared" si="332"/>
        <v>99</v>
      </c>
      <c r="CN354" s="63">
        <f t="shared" si="333"/>
        <v>104</v>
      </c>
      <c r="CO354" s="63">
        <f t="shared" si="334"/>
        <v>57.692307692307693</v>
      </c>
      <c r="CP354" s="13">
        <f t="shared" si="335"/>
        <v>57</v>
      </c>
      <c r="CQ354" s="70">
        <f t="shared" si="336"/>
        <v>1.7543859649122806E-2</v>
      </c>
      <c r="CR354" s="69">
        <f t="shared" si="303"/>
        <v>3.5087719298245612E-2</v>
      </c>
    </row>
    <row r="355" spans="1:96" hidden="1" x14ac:dyDescent="0.25">
      <c r="A355" s="10">
        <v>3</v>
      </c>
      <c r="B355" s="8" t="s">
        <v>720</v>
      </c>
      <c r="C355" s="10" t="s">
        <v>955</v>
      </c>
      <c r="D355" s="10" t="s">
        <v>2270</v>
      </c>
      <c r="E355" s="10" t="s">
        <v>52</v>
      </c>
      <c r="F355" s="12">
        <f t="shared" si="304"/>
        <v>1</v>
      </c>
      <c r="G355" s="10">
        <v>4</v>
      </c>
      <c r="H355" s="10">
        <f t="shared" si="352"/>
        <v>4</v>
      </c>
      <c r="I355" s="10">
        <v>32</v>
      </c>
      <c r="J355" s="8" t="s">
        <v>956</v>
      </c>
      <c r="K355" s="8" t="s">
        <v>34</v>
      </c>
      <c r="L355" s="10">
        <v>1</v>
      </c>
      <c r="M355" s="8" t="s">
        <v>35</v>
      </c>
      <c r="N355" s="10" t="s">
        <v>957</v>
      </c>
      <c r="O355" s="28" t="s">
        <v>41</v>
      </c>
      <c r="P355" s="28" t="s">
        <v>41</v>
      </c>
      <c r="Q355" s="28" t="s">
        <v>958</v>
      </c>
      <c r="R355" s="30">
        <v>4</v>
      </c>
      <c r="S355" s="30">
        <v>0.1875</v>
      </c>
      <c r="T355" s="30"/>
      <c r="U355" s="30">
        <v>0.1875</v>
      </c>
      <c r="V355" s="8">
        <f t="shared" si="306"/>
        <v>101.6</v>
      </c>
      <c r="W355" s="8">
        <f t="shared" si="307"/>
        <v>4.7624999999999993</v>
      </c>
      <c r="X355" s="8">
        <f t="shared" si="308"/>
        <v>0</v>
      </c>
      <c r="Y355" s="33">
        <f t="shared" si="309"/>
        <v>4.7624999999999993</v>
      </c>
      <c r="Z355" s="28" t="s">
        <v>80</v>
      </c>
      <c r="AA355" s="28" t="s">
        <v>81</v>
      </c>
      <c r="AB355" s="61" t="s">
        <v>958</v>
      </c>
      <c r="AC355" s="31" t="s">
        <v>959</v>
      </c>
      <c r="AD355" s="50">
        <f t="shared" si="310"/>
        <v>4</v>
      </c>
      <c r="AE355" s="31"/>
      <c r="AF355" s="51">
        <v>14</v>
      </c>
      <c r="AG355" s="51">
        <f t="shared" si="337"/>
        <v>8.4</v>
      </c>
      <c r="AH355" s="51">
        <f t="shared" si="302"/>
        <v>42</v>
      </c>
      <c r="AI355" s="52" t="s">
        <v>2497</v>
      </c>
      <c r="AJ355" s="52" t="s">
        <v>2498</v>
      </c>
      <c r="AK355" s="53">
        <f t="shared" si="338"/>
        <v>9.6773999999999981E-4</v>
      </c>
      <c r="AL355" s="54">
        <f t="shared" si="339"/>
        <v>0.11904761904761904</v>
      </c>
      <c r="AM355" s="54">
        <f t="shared" si="340"/>
        <v>2.3809523809523808E-2</v>
      </c>
      <c r="AN355" s="55">
        <f t="shared" si="341"/>
        <v>4.6082857142857133E-4</v>
      </c>
      <c r="AO355" s="55">
        <f t="shared" si="342"/>
        <v>9.2165714285714258E-5</v>
      </c>
      <c r="AP355" s="53">
        <v>7.1</v>
      </c>
      <c r="AQ355" s="53">
        <f t="shared" si="311"/>
        <v>4.26</v>
      </c>
      <c r="AR355" s="53">
        <f t="shared" si="312"/>
        <v>21.299999999999997</v>
      </c>
      <c r="AS355" s="56">
        <f t="shared" si="313"/>
        <v>4.6948356807511742E-2</v>
      </c>
      <c r="AT355" s="56">
        <f t="shared" si="343"/>
        <v>0.23474178403755869</v>
      </c>
      <c r="AU355" s="56">
        <f t="shared" si="314"/>
        <v>0.176056338028169</v>
      </c>
      <c r="AV355" s="56">
        <f t="shared" si="344"/>
        <v>5.8685446009389672E-2</v>
      </c>
      <c r="AW355" s="57" t="s">
        <v>2511</v>
      </c>
      <c r="AX355" s="57" t="s">
        <v>2512</v>
      </c>
      <c r="AY355" s="57" t="s">
        <v>2513</v>
      </c>
      <c r="AZ355" s="58">
        <f t="shared" si="345"/>
        <v>9.6773999999999981E-4</v>
      </c>
      <c r="BA355" s="59">
        <f t="shared" si="348"/>
        <v>1.135845070422535E-4</v>
      </c>
      <c r="BB355" s="59">
        <f t="shared" si="349"/>
        <v>3.4075352112676046E-4</v>
      </c>
      <c r="BC355" s="59">
        <f t="shared" si="350"/>
        <v>9.0867605633802802E-5</v>
      </c>
      <c r="BD355" s="60">
        <f t="shared" si="346"/>
        <v>2.9806259314456036E-4</v>
      </c>
      <c r="BE355" s="59">
        <f t="shared" si="347"/>
        <v>1.1922503725782414E-3</v>
      </c>
      <c r="BQ355" s="61">
        <v>3000</v>
      </c>
      <c r="BR355" s="61">
        <v>1200</v>
      </c>
      <c r="BS355" s="28">
        <f t="shared" si="315"/>
        <v>2980</v>
      </c>
      <c r="BT355" s="28">
        <f t="shared" si="316"/>
        <v>1180</v>
      </c>
      <c r="BU355" s="28" t="s">
        <v>2541</v>
      </c>
      <c r="BV355" s="28">
        <f t="shared" si="317"/>
        <v>106.6</v>
      </c>
      <c r="BW355" s="28">
        <f t="shared" si="318"/>
        <v>9.7624999999999993</v>
      </c>
      <c r="BX355" s="13">
        <f t="shared" si="319"/>
        <v>27.954971857410882</v>
      </c>
      <c r="BY355" s="13">
        <f t="shared" si="320"/>
        <v>27</v>
      </c>
      <c r="BZ355" s="13">
        <f t="shared" si="321"/>
        <v>120.87067861715749</v>
      </c>
      <c r="CA355" s="13">
        <f t="shared" si="322"/>
        <v>120</v>
      </c>
      <c r="CB355" s="13">
        <f t="shared" si="323"/>
        <v>3240</v>
      </c>
      <c r="CC355" s="62">
        <f t="shared" si="324"/>
        <v>3.0864197530864197E-4</v>
      </c>
      <c r="CD355" s="13">
        <f t="shared" si="325"/>
        <v>305.24967989756726</v>
      </c>
      <c r="CE355" s="13">
        <f t="shared" si="326"/>
        <v>305</v>
      </c>
      <c r="CF355" s="13">
        <f t="shared" si="327"/>
        <v>11.069418386491558</v>
      </c>
      <c r="CG355" s="13">
        <f t="shared" si="328"/>
        <v>11</v>
      </c>
      <c r="CH355" s="28">
        <f t="shared" si="329"/>
        <v>3355</v>
      </c>
      <c r="CI355" s="62">
        <f t="shared" si="330"/>
        <v>2.9806259314456036E-4</v>
      </c>
      <c r="CJ355" s="59">
        <f t="shared" si="331"/>
        <v>2.9806259314456036E-4</v>
      </c>
      <c r="CL355" s="63">
        <v>6000</v>
      </c>
      <c r="CM355" s="63">
        <f t="shared" si="332"/>
        <v>101.6</v>
      </c>
      <c r="CN355" s="63">
        <f t="shared" si="333"/>
        <v>106.6</v>
      </c>
      <c r="CO355" s="63">
        <f t="shared" si="334"/>
        <v>56.285178236397755</v>
      </c>
      <c r="CP355" s="13">
        <f t="shared" si="335"/>
        <v>56</v>
      </c>
      <c r="CQ355" s="70">
        <f t="shared" si="336"/>
        <v>1.7857142857142856E-2</v>
      </c>
      <c r="CR355" s="69">
        <f t="shared" si="303"/>
        <v>7.1428571428571425E-2</v>
      </c>
    </row>
    <row r="356" spans="1:96" hidden="1" x14ac:dyDescent="0.25">
      <c r="A356" s="10">
        <v>3</v>
      </c>
      <c r="B356" s="8" t="s">
        <v>720</v>
      </c>
      <c r="C356" s="10" t="s">
        <v>960</v>
      </c>
      <c r="D356" s="10" t="s">
        <v>2270</v>
      </c>
      <c r="E356" s="10" t="s">
        <v>52</v>
      </c>
      <c r="F356" s="12">
        <f t="shared" si="304"/>
        <v>1</v>
      </c>
      <c r="G356" s="10">
        <v>2</v>
      </c>
      <c r="H356" s="10">
        <f t="shared" si="352"/>
        <v>2</v>
      </c>
      <c r="I356" s="10">
        <v>33</v>
      </c>
      <c r="J356" s="8" t="s">
        <v>961</v>
      </c>
      <c r="K356" s="8" t="s">
        <v>34</v>
      </c>
      <c r="L356" s="10">
        <v>0</v>
      </c>
      <c r="M356" s="8" t="s">
        <v>35</v>
      </c>
      <c r="N356" s="10" t="s">
        <v>962</v>
      </c>
      <c r="O356" s="28" t="s">
        <v>41</v>
      </c>
      <c r="P356" s="28" t="s">
        <v>41</v>
      </c>
      <c r="Q356" s="28" t="s">
        <v>124</v>
      </c>
      <c r="R356" s="30">
        <v>1.925</v>
      </c>
      <c r="S356" s="30">
        <v>1</v>
      </c>
      <c r="T356" s="30"/>
      <c r="U356" s="30">
        <v>9.8000000000000004E-2</v>
      </c>
      <c r="V356" s="8">
        <f t="shared" si="306"/>
        <v>48.894999999999996</v>
      </c>
      <c r="W356" s="8">
        <f t="shared" si="307"/>
        <v>25.4</v>
      </c>
      <c r="X356" s="8">
        <f t="shared" si="308"/>
        <v>0</v>
      </c>
      <c r="Y356" s="33">
        <f t="shared" si="309"/>
        <v>2.4891999999999999</v>
      </c>
      <c r="Z356" s="28" t="s">
        <v>56</v>
      </c>
      <c r="AA356" s="28" t="s">
        <v>57</v>
      </c>
      <c r="AB356" s="61" t="s">
        <v>124</v>
      </c>
      <c r="AC356" s="31" t="s">
        <v>125</v>
      </c>
      <c r="AD356" s="50">
        <f t="shared" si="310"/>
        <v>2</v>
      </c>
      <c r="AE356" s="31"/>
      <c r="AF356" s="51">
        <v>14</v>
      </c>
      <c r="AG356" s="51">
        <f t="shared" si="337"/>
        <v>8.4</v>
      </c>
      <c r="AH356" s="51">
        <f t="shared" si="302"/>
        <v>42</v>
      </c>
      <c r="AI356" s="52" t="s">
        <v>2497</v>
      </c>
      <c r="AJ356" s="52" t="s">
        <v>2498</v>
      </c>
      <c r="AK356" s="53">
        <f t="shared" si="338"/>
        <v>2.4838659999999995E-3</v>
      </c>
      <c r="AL356" s="54">
        <f t="shared" si="339"/>
        <v>0.11904761904761904</v>
      </c>
      <c r="AM356" s="54">
        <f t="shared" si="340"/>
        <v>2.3809523809523808E-2</v>
      </c>
      <c r="AN356" s="55">
        <f t="shared" si="341"/>
        <v>5.9139666666666653E-4</v>
      </c>
      <c r="AO356" s="55">
        <f t="shared" si="342"/>
        <v>1.182793333333333E-4</v>
      </c>
      <c r="AP356" s="53">
        <v>7.1</v>
      </c>
      <c r="AQ356" s="53">
        <f t="shared" si="311"/>
        <v>4.26</v>
      </c>
      <c r="AR356" s="53">
        <f t="shared" si="312"/>
        <v>21.299999999999997</v>
      </c>
      <c r="AS356" s="56">
        <f t="shared" si="313"/>
        <v>4.6948356807511742E-2</v>
      </c>
      <c r="AT356" s="56">
        <f t="shared" si="343"/>
        <v>0.23474178403755869</v>
      </c>
      <c r="AU356" s="56">
        <f t="shared" si="314"/>
        <v>0.176056338028169</v>
      </c>
      <c r="AV356" s="56">
        <f t="shared" si="344"/>
        <v>5.8685446009389672E-2</v>
      </c>
      <c r="AW356" s="57" t="s">
        <v>2511</v>
      </c>
      <c r="AX356" s="57" t="s">
        <v>2512</v>
      </c>
      <c r="AY356" s="57" t="s">
        <v>2513</v>
      </c>
      <c r="AZ356" s="58">
        <f t="shared" si="345"/>
        <v>2.4838659999999995E-3</v>
      </c>
      <c r="BA356" s="59">
        <f t="shared" si="348"/>
        <v>1.4576678403755864E-4</v>
      </c>
      <c r="BB356" s="59">
        <f t="shared" si="349"/>
        <v>4.3730035211267593E-4</v>
      </c>
      <c r="BC356" s="59">
        <f t="shared" si="350"/>
        <v>1.1661342723004694E-4</v>
      </c>
      <c r="BD356" s="60">
        <f t="shared" si="346"/>
        <v>4.7846889952153111E-4</v>
      </c>
      <c r="BE356" s="59">
        <f t="shared" si="347"/>
        <v>9.5693779904306223E-4</v>
      </c>
      <c r="BQ356" s="61">
        <v>3000</v>
      </c>
      <c r="BR356" s="61">
        <v>1200</v>
      </c>
      <c r="BS356" s="28">
        <f t="shared" si="315"/>
        <v>2980</v>
      </c>
      <c r="BT356" s="28">
        <f t="shared" si="316"/>
        <v>1180</v>
      </c>
      <c r="BU356" s="28" t="s">
        <v>2541</v>
      </c>
      <c r="BV356" s="28">
        <f t="shared" si="317"/>
        <v>53.894999999999996</v>
      </c>
      <c r="BW356" s="28">
        <f t="shared" si="318"/>
        <v>30.4</v>
      </c>
      <c r="BX356" s="13">
        <f t="shared" si="319"/>
        <v>55.292698766119308</v>
      </c>
      <c r="BY356" s="13">
        <f t="shared" si="320"/>
        <v>55</v>
      </c>
      <c r="BZ356" s="13">
        <f t="shared" si="321"/>
        <v>38.815789473684212</v>
      </c>
      <c r="CA356" s="13">
        <f t="shared" si="322"/>
        <v>38</v>
      </c>
      <c r="CB356" s="13">
        <f t="shared" si="323"/>
        <v>2090</v>
      </c>
      <c r="CC356" s="62">
        <f t="shared" si="324"/>
        <v>4.7846889952153111E-4</v>
      </c>
      <c r="CD356" s="13">
        <f t="shared" si="325"/>
        <v>98.026315789473685</v>
      </c>
      <c r="CE356" s="13">
        <f t="shared" si="326"/>
        <v>98</v>
      </c>
      <c r="CF356" s="13">
        <f t="shared" si="327"/>
        <v>21.894424343631137</v>
      </c>
      <c r="CG356" s="13">
        <f t="shared" si="328"/>
        <v>21</v>
      </c>
      <c r="CH356" s="28">
        <f t="shared" si="329"/>
        <v>2058</v>
      </c>
      <c r="CI356" s="62">
        <f t="shared" si="330"/>
        <v>4.8590864917395527E-4</v>
      </c>
      <c r="CJ356" s="59">
        <f t="shared" si="331"/>
        <v>4.7846889952153111E-4</v>
      </c>
      <c r="CL356" s="63">
        <v>6000</v>
      </c>
      <c r="CM356" s="63">
        <f t="shared" si="332"/>
        <v>48.894999999999996</v>
      </c>
      <c r="CN356" s="63">
        <f t="shared" si="333"/>
        <v>53.894999999999996</v>
      </c>
      <c r="CO356" s="63">
        <f t="shared" si="334"/>
        <v>111.32758140829391</v>
      </c>
      <c r="CP356" s="13">
        <f t="shared" si="335"/>
        <v>111</v>
      </c>
      <c r="CQ356" s="70">
        <f t="shared" si="336"/>
        <v>9.0090090090090089E-3</v>
      </c>
      <c r="CR356" s="69">
        <f t="shared" si="303"/>
        <v>1.8018018018018018E-2</v>
      </c>
    </row>
    <row r="357" spans="1:96" hidden="1" x14ac:dyDescent="0.25">
      <c r="A357" s="10">
        <v>3</v>
      </c>
      <c r="B357" s="8" t="s">
        <v>720</v>
      </c>
      <c r="C357" s="10" t="s">
        <v>963</v>
      </c>
      <c r="D357" s="10" t="s">
        <v>2270</v>
      </c>
      <c r="E357" s="10" t="s">
        <v>52</v>
      </c>
      <c r="F357" s="12">
        <f t="shared" si="304"/>
        <v>1</v>
      </c>
      <c r="G357" s="10">
        <v>2</v>
      </c>
      <c r="H357" s="10">
        <f t="shared" si="352"/>
        <v>2</v>
      </c>
      <c r="I357" s="10">
        <v>34</v>
      </c>
      <c r="J357" s="8" t="s">
        <v>964</v>
      </c>
      <c r="K357" s="8" t="s">
        <v>34</v>
      </c>
      <c r="L357" s="10">
        <v>0</v>
      </c>
      <c r="M357" s="8" t="s">
        <v>35</v>
      </c>
      <c r="N357" s="10" t="s">
        <v>965</v>
      </c>
      <c r="O357" s="28" t="s">
        <v>41</v>
      </c>
      <c r="P357" s="28" t="s">
        <v>41</v>
      </c>
      <c r="Q357" s="28" t="s">
        <v>965</v>
      </c>
      <c r="R357" s="30">
        <v>50.6</v>
      </c>
      <c r="S357" s="30">
        <v>1.62</v>
      </c>
      <c r="T357" s="30"/>
      <c r="U357" s="30">
        <v>0.98399999999999999</v>
      </c>
      <c r="V357" s="8">
        <f t="shared" si="306"/>
        <v>1285.24</v>
      </c>
      <c r="W357" s="8">
        <f t="shared" si="307"/>
        <v>41.148000000000003</v>
      </c>
      <c r="X357" s="8">
        <f t="shared" si="308"/>
        <v>0</v>
      </c>
      <c r="Y357" s="33">
        <f t="shared" si="309"/>
        <v>24.993599999999997</v>
      </c>
      <c r="Z357" s="28" t="s">
        <v>250</v>
      </c>
      <c r="AA357" s="28" t="s">
        <v>251</v>
      </c>
      <c r="AB357" s="61" t="s">
        <v>965</v>
      </c>
      <c r="AC357" s="31" t="s">
        <v>966</v>
      </c>
      <c r="AD357" s="50">
        <f t="shared" si="310"/>
        <v>2</v>
      </c>
      <c r="AE357" s="31"/>
      <c r="AF357" s="51">
        <v>14</v>
      </c>
      <c r="AG357" s="51">
        <f t="shared" si="337"/>
        <v>8.4</v>
      </c>
      <c r="AH357" s="51">
        <f t="shared" si="302"/>
        <v>42</v>
      </c>
      <c r="AI357" s="52" t="s">
        <v>2497</v>
      </c>
      <c r="AJ357" s="52" t="s">
        <v>2498</v>
      </c>
      <c r="AK357" s="53">
        <f t="shared" si="338"/>
        <v>0.10577011104</v>
      </c>
      <c r="AL357" s="54">
        <f t="shared" si="339"/>
        <v>0.11904761904761904</v>
      </c>
      <c r="AM357" s="54">
        <f t="shared" si="340"/>
        <v>2.3809523809523808E-2</v>
      </c>
      <c r="AN357" s="55">
        <f t="shared" si="341"/>
        <v>2.5183359771428569E-2</v>
      </c>
      <c r="AO357" s="55">
        <f t="shared" si="342"/>
        <v>5.0366719542857142E-3</v>
      </c>
      <c r="AP357" s="53">
        <v>7.1</v>
      </c>
      <c r="AQ357" s="53">
        <f t="shared" si="311"/>
        <v>4.26</v>
      </c>
      <c r="AR357" s="53">
        <f t="shared" si="312"/>
        <v>21.299999999999997</v>
      </c>
      <c r="AS357" s="56">
        <f t="shared" si="313"/>
        <v>4.6948356807511742E-2</v>
      </c>
      <c r="AT357" s="56">
        <f t="shared" si="343"/>
        <v>0.23474178403755869</v>
      </c>
      <c r="AU357" s="56">
        <f t="shared" si="314"/>
        <v>0.176056338028169</v>
      </c>
      <c r="AV357" s="56">
        <f t="shared" si="344"/>
        <v>5.8685446009389672E-2</v>
      </c>
      <c r="AW357" s="57" t="s">
        <v>2511</v>
      </c>
      <c r="AX357" s="57" t="s">
        <v>2512</v>
      </c>
      <c r="AY357" s="57" t="s">
        <v>2513</v>
      </c>
      <c r="AZ357" s="58">
        <f t="shared" si="345"/>
        <v>0.10577011104</v>
      </c>
      <c r="BA357" s="59">
        <f t="shared" si="348"/>
        <v>6.2071661408450709E-3</v>
      </c>
      <c r="BB357" s="59">
        <f t="shared" si="349"/>
        <v>1.8621498422535212E-2</v>
      </c>
      <c r="BC357" s="59">
        <f t="shared" si="350"/>
        <v>4.9657329126760567E-3</v>
      </c>
      <c r="BD357" s="60">
        <f t="shared" si="346"/>
        <v>0.02</v>
      </c>
      <c r="BE357" s="59">
        <f t="shared" si="347"/>
        <v>0.04</v>
      </c>
      <c r="BQ357" s="61">
        <v>3000</v>
      </c>
      <c r="BR357" s="61">
        <v>1200</v>
      </c>
      <c r="BS357" s="28">
        <f t="shared" si="315"/>
        <v>2980</v>
      </c>
      <c r="BT357" s="28">
        <f t="shared" si="316"/>
        <v>1180</v>
      </c>
      <c r="BU357" s="28" t="s">
        <v>2541</v>
      </c>
      <c r="BV357" s="28">
        <f t="shared" si="317"/>
        <v>1290.24</v>
      </c>
      <c r="BW357" s="28">
        <f t="shared" si="318"/>
        <v>46.148000000000003</v>
      </c>
      <c r="BX357" s="13">
        <f t="shared" si="319"/>
        <v>2.3096478174603177</v>
      </c>
      <c r="BY357" s="13">
        <f t="shared" si="320"/>
        <v>2</v>
      </c>
      <c r="BZ357" s="13">
        <f t="shared" si="321"/>
        <v>25.569905521366039</v>
      </c>
      <c r="CA357" s="13">
        <f t="shared" si="322"/>
        <v>25</v>
      </c>
      <c r="CB357" s="13">
        <f t="shared" si="323"/>
        <v>50</v>
      </c>
      <c r="CC357" s="62">
        <f t="shared" si="324"/>
        <v>0.02</v>
      </c>
      <c r="CD357" s="13">
        <f t="shared" si="325"/>
        <v>64.574846147178633</v>
      </c>
      <c r="CE357" s="13">
        <f t="shared" si="326"/>
        <v>64</v>
      </c>
      <c r="CF357" s="13">
        <f t="shared" si="327"/>
        <v>0.91455853174603174</v>
      </c>
      <c r="CG357" s="13">
        <f t="shared" si="328"/>
        <v>0</v>
      </c>
      <c r="CH357" s="28">
        <f t="shared" si="329"/>
        <v>0</v>
      </c>
      <c r="CI357" s="62">
        <f t="shared" si="330"/>
        <v>1</v>
      </c>
      <c r="CJ357" s="59">
        <f t="shared" si="331"/>
        <v>0.02</v>
      </c>
      <c r="CL357" s="63">
        <v>6000</v>
      </c>
      <c r="CM357" s="63">
        <f t="shared" si="332"/>
        <v>1285.24</v>
      </c>
      <c r="CN357" s="63">
        <f t="shared" si="333"/>
        <v>1290.24</v>
      </c>
      <c r="CO357" s="63">
        <f t="shared" si="334"/>
        <v>4.6502976190476186</v>
      </c>
      <c r="CP357" s="13">
        <f t="shared" si="335"/>
        <v>4</v>
      </c>
      <c r="CQ357" s="70">
        <f t="shared" si="336"/>
        <v>0.25</v>
      </c>
      <c r="CR357" s="69">
        <f t="shared" si="303"/>
        <v>0.5</v>
      </c>
    </row>
    <row r="358" spans="1:96" hidden="1" x14ac:dyDescent="0.25">
      <c r="A358" s="10">
        <v>3</v>
      </c>
      <c r="B358" s="8" t="s">
        <v>720</v>
      </c>
      <c r="C358" s="10" t="s">
        <v>967</v>
      </c>
      <c r="D358" s="10" t="s">
        <v>2270</v>
      </c>
      <c r="E358" s="10" t="s">
        <v>52</v>
      </c>
      <c r="F358" s="12">
        <f t="shared" si="304"/>
        <v>1</v>
      </c>
      <c r="G358" s="10">
        <v>1</v>
      </c>
      <c r="H358" s="10">
        <f t="shared" si="352"/>
        <v>1</v>
      </c>
      <c r="I358" s="10">
        <v>35</v>
      </c>
      <c r="J358" s="8" t="s">
        <v>964</v>
      </c>
      <c r="K358" s="8" t="s">
        <v>34</v>
      </c>
      <c r="L358" s="10">
        <v>0</v>
      </c>
      <c r="M358" s="8" t="s">
        <v>35</v>
      </c>
      <c r="N358" s="10" t="s">
        <v>968</v>
      </c>
      <c r="O358" s="28" t="s">
        <v>41</v>
      </c>
      <c r="P358" s="28" t="s">
        <v>41</v>
      </c>
      <c r="Q358" s="28" t="s">
        <v>968</v>
      </c>
      <c r="R358" s="30">
        <v>70.459999999999994</v>
      </c>
      <c r="S358" s="30">
        <v>1.62</v>
      </c>
      <c r="T358" s="30"/>
      <c r="U358" s="30">
        <v>0.98399999999999999</v>
      </c>
      <c r="V358" s="8">
        <f t="shared" si="306"/>
        <v>1789.6839999999997</v>
      </c>
      <c r="W358" s="8">
        <f t="shared" si="307"/>
        <v>41.148000000000003</v>
      </c>
      <c r="X358" s="8">
        <f t="shared" si="308"/>
        <v>0</v>
      </c>
      <c r="Y358" s="33">
        <f t="shared" si="309"/>
        <v>24.993599999999997</v>
      </c>
      <c r="Z358" s="28" t="s">
        <v>250</v>
      </c>
      <c r="AA358" s="28" t="s">
        <v>251</v>
      </c>
      <c r="AB358" s="61" t="s">
        <v>968</v>
      </c>
      <c r="AC358" s="31" t="s">
        <v>966</v>
      </c>
      <c r="AD358" s="50">
        <f t="shared" si="310"/>
        <v>1</v>
      </c>
      <c r="AE358" s="31"/>
      <c r="AF358" s="51">
        <v>14</v>
      </c>
      <c r="AG358" s="51">
        <f t="shared" si="337"/>
        <v>8.4</v>
      </c>
      <c r="AH358" s="51">
        <f t="shared" si="302"/>
        <v>42</v>
      </c>
      <c r="AI358" s="52" t="s">
        <v>2497</v>
      </c>
      <c r="AJ358" s="52" t="s">
        <v>2498</v>
      </c>
      <c r="AK358" s="53">
        <f t="shared" si="338"/>
        <v>0.14728383446399998</v>
      </c>
      <c r="AL358" s="54">
        <f t="shared" si="339"/>
        <v>0.11904761904761904</v>
      </c>
      <c r="AM358" s="54">
        <f t="shared" si="340"/>
        <v>2.3809523809523808E-2</v>
      </c>
      <c r="AN358" s="55">
        <f t="shared" si="341"/>
        <v>1.7533789817142854E-2</v>
      </c>
      <c r="AO358" s="55">
        <f t="shared" si="342"/>
        <v>3.506757963428571E-3</v>
      </c>
      <c r="AP358" s="53">
        <v>7.1</v>
      </c>
      <c r="AQ358" s="53">
        <f t="shared" si="311"/>
        <v>4.26</v>
      </c>
      <c r="AR358" s="53">
        <f t="shared" si="312"/>
        <v>21.299999999999997</v>
      </c>
      <c r="AS358" s="56">
        <f t="shared" si="313"/>
        <v>4.6948356807511742E-2</v>
      </c>
      <c r="AT358" s="56">
        <f t="shared" si="343"/>
        <v>0.23474178403755869</v>
      </c>
      <c r="AU358" s="56">
        <f t="shared" si="314"/>
        <v>0.176056338028169</v>
      </c>
      <c r="AV358" s="56">
        <f t="shared" si="344"/>
        <v>5.8685446009389672E-2</v>
      </c>
      <c r="AW358" s="57" t="s">
        <v>2511</v>
      </c>
      <c r="AX358" s="57" t="s">
        <v>2512</v>
      </c>
      <c r="AY358" s="57" t="s">
        <v>2513</v>
      </c>
      <c r="AZ358" s="58">
        <f t="shared" si="345"/>
        <v>0.14728383446399998</v>
      </c>
      <c r="BA358" s="59">
        <f t="shared" si="348"/>
        <v>4.321708757746478E-3</v>
      </c>
      <c r="BB358" s="59">
        <f t="shared" si="349"/>
        <v>1.2965126273239433E-2</v>
      </c>
      <c r="BC358" s="59">
        <f t="shared" si="350"/>
        <v>3.4573670061971828E-3</v>
      </c>
      <c r="BD358" s="60">
        <f t="shared" si="346"/>
        <v>0.04</v>
      </c>
      <c r="BE358" s="59">
        <f t="shared" si="347"/>
        <v>0.04</v>
      </c>
      <c r="BQ358" s="61">
        <v>3000</v>
      </c>
      <c r="BR358" s="61">
        <v>1200</v>
      </c>
      <c r="BS358" s="28">
        <f t="shared" si="315"/>
        <v>2980</v>
      </c>
      <c r="BT358" s="28">
        <f t="shared" si="316"/>
        <v>1180</v>
      </c>
      <c r="BU358" s="28" t="s">
        <v>2541</v>
      </c>
      <c r="BV358" s="28">
        <f t="shared" si="317"/>
        <v>1794.6839999999997</v>
      </c>
      <c r="BW358" s="28">
        <f t="shared" si="318"/>
        <v>46.148000000000003</v>
      </c>
      <c r="BX358" s="13">
        <f t="shared" si="319"/>
        <v>1.660459445785442</v>
      </c>
      <c r="BY358" s="13">
        <f t="shared" si="320"/>
        <v>1</v>
      </c>
      <c r="BZ358" s="13">
        <f t="shared" si="321"/>
        <v>25.569905521366039</v>
      </c>
      <c r="CA358" s="13">
        <f t="shared" si="322"/>
        <v>25</v>
      </c>
      <c r="CB358" s="13">
        <f t="shared" si="323"/>
        <v>25</v>
      </c>
      <c r="CC358" s="62">
        <f t="shared" si="324"/>
        <v>0.04</v>
      </c>
      <c r="CD358" s="13">
        <f t="shared" si="325"/>
        <v>64.574846147178633</v>
      </c>
      <c r="CE358" s="13">
        <f t="shared" si="326"/>
        <v>64</v>
      </c>
      <c r="CF358" s="13">
        <f t="shared" si="327"/>
        <v>0.6574973644385308</v>
      </c>
      <c r="CG358" s="13">
        <f t="shared" si="328"/>
        <v>0</v>
      </c>
      <c r="CH358" s="28">
        <f t="shared" si="329"/>
        <v>0</v>
      </c>
      <c r="CI358" s="62">
        <f t="shared" si="330"/>
        <v>1</v>
      </c>
      <c r="CJ358" s="59">
        <f t="shared" si="331"/>
        <v>0.04</v>
      </c>
      <c r="CL358" s="63">
        <v>6000</v>
      </c>
      <c r="CM358" s="63">
        <f t="shared" si="332"/>
        <v>1789.6839999999997</v>
      </c>
      <c r="CN358" s="63">
        <f t="shared" si="333"/>
        <v>1794.6839999999997</v>
      </c>
      <c r="CO358" s="63">
        <f t="shared" si="334"/>
        <v>3.3432069378230378</v>
      </c>
      <c r="CP358" s="13">
        <f t="shared" si="335"/>
        <v>3</v>
      </c>
      <c r="CQ358" s="70">
        <f t="shared" si="336"/>
        <v>0.33333333333333331</v>
      </c>
      <c r="CR358" s="69">
        <f t="shared" si="303"/>
        <v>0.33333333333333331</v>
      </c>
    </row>
    <row r="359" spans="1:96" hidden="1" x14ac:dyDescent="0.25">
      <c r="A359" s="10">
        <v>3</v>
      </c>
      <c r="B359" s="8" t="s">
        <v>720</v>
      </c>
      <c r="C359" s="10" t="s">
        <v>969</v>
      </c>
      <c r="D359" s="10" t="s">
        <v>2270</v>
      </c>
      <c r="E359" s="10" t="s">
        <v>52</v>
      </c>
      <c r="F359" s="12">
        <f t="shared" si="304"/>
        <v>1</v>
      </c>
      <c r="G359" s="10">
        <v>1</v>
      </c>
      <c r="H359" s="10">
        <f t="shared" si="352"/>
        <v>1</v>
      </c>
      <c r="I359" s="10">
        <v>36</v>
      </c>
      <c r="J359" s="8" t="s">
        <v>964</v>
      </c>
      <c r="K359" s="8" t="s">
        <v>34</v>
      </c>
      <c r="L359" s="10">
        <v>0</v>
      </c>
      <c r="M359" s="8" t="s">
        <v>35</v>
      </c>
      <c r="N359" s="10" t="s">
        <v>970</v>
      </c>
      <c r="O359" s="28" t="s">
        <v>41</v>
      </c>
      <c r="P359" s="28" t="s">
        <v>41</v>
      </c>
      <c r="Q359" s="28" t="s">
        <v>970</v>
      </c>
      <c r="R359" s="30">
        <v>75</v>
      </c>
      <c r="S359" s="30">
        <v>1.62</v>
      </c>
      <c r="T359" s="30"/>
      <c r="U359" s="30">
        <v>0.98399999999999999</v>
      </c>
      <c r="V359" s="8">
        <f t="shared" si="306"/>
        <v>1905</v>
      </c>
      <c r="W359" s="8">
        <f t="shared" si="307"/>
        <v>41.148000000000003</v>
      </c>
      <c r="X359" s="8">
        <f t="shared" si="308"/>
        <v>0</v>
      </c>
      <c r="Y359" s="33">
        <f t="shared" si="309"/>
        <v>24.993599999999997</v>
      </c>
      <c r="Z359" s="28" t="s">
        <v>250</v>
      </c>
      <c r="AA359" s="28" t="s">
        <v>251</v>
      </c>
      <c r="AB359" s="61" t="s">
        <v>970</v>
      </c>
      <c r="AC359" s="31" t="s">
        <v>966</v>
      </c>
      <c r="AD359" s="50">
        <f t="shared" si="310"/>
        <v>1</v>
      </c>
      <c r="AE359" s="31"/>
      <c r="AF359" s="51">
        <v>14</v>
      </c>
      <c r="AG359" s="51">
        <f t="shared" si="337"/>
        <v>8.4</v>
      </c>
      <c r="AH359" s="51">
        <f t="shared" si="302"/>
        <v>42</v>
      </c>
      <c r="AI359" s="52" t="s">
        <v>2497</v>
      </c>
      <c r="AJ359" s="52" t="s">
        <v>2498</v>
      </c>
      <c r="AK359" s="53">
        <f t="shared" si="338"/>
        <v>0.15677388</v>
      </c>
      <c r="AL359" s="54">
        <f t="shared" si="339"/>
        <v>0.11904761904761904</v>
      </c>
      <c r="AM359" s="54">
        <f t="shared" si="340"/>
        <v>2.3809523809523808E-2</v>
      </c>
      <c r="AN359" s="55">
        <f t="shared" si="341"/>
        <v>1.8663557142857144E-2</v>
      </c>
      <c r="AO359" s="55">
        <f t="shared" si="342"/>
        <v>3.7327114285714284E-3</v>
      </c>
      <c r="AP359" s="53">
        <v>7.1</v>
      </c>
      <c r="AQ359" s="53">
        <f t="shared" si="311"/>
        <v>4.26</v>
      </c>
      <c r="AR359" s="53">
        <f t="shared" si="312"/>
        <v>21.299999999999997</v>
      </c>
      <c r="AS359" s="56">
        <f t="shared" si="313"/>
        <v>4.6948356807511742E-2</v>
      </c>
      <c r="AT359" s="56">
        <f t="shared" si="343"/>
        <v>0.23474178403755869</v>
      </c>
      <c r="AU359" s="56">
        <f t="shared" si="314"/>
        <v>0.176056338028169</v>
      </c>
      <c r="AV359" s="56">
        <f t="shared" si="344"/>
        <v>5.8685446009389672E-2</v>
      </c>
      <c r="AW359" s="57" t="s">
        <v>2511</v>
      </c>
      <c r="AX359" s="57" t="s">
        <v>2512</v>
      </c>
      <c r="AY359" s="57" t="s">
        <v>2513</v>
      </c>
      <c r="AZ359" s="58">
        <f t="shared" si="345"/>
        <v>0.15677388</v>
      </c>
      <c r="BA359" s="59">
        <f t="shared" si="348"/>
        <v>4.6001725352112681E-3</v>
      </c>
      <c r="BB359" s="59">
        <f t="shared" si="349"/>
        <v>1.3800517605633802E-2</v>
      </c>
      <c r="BC359" s="59">
        <f t="shared" si="350"/>
        <v>3.6801380281690143E-3</v>
      </c>
      <c r="BD359" s="60">
        <f t="shared" si="346"/>
        <v>0.04</v>
      </c>
      <c r="BE359" s="59">
        <f t="shared" si="347"/>
        <v>0.04</v>
      </c>
      <c r="BQ359" s="61">
        <v>3000</v>
      </c>
      <c r="BR359" s="61">
        <v>1200</v>
      </c>
      <c r="BS359" s="28">
        <f t="shared" si="315"/>
        <v>2980</v>
      </c>
      <c r="BT359" s="28">
        <f t="shared" si="316"/>
        <v>1180</v>
      </c>
      <c r="BU359" s="28" t="s">
        <v>2541</v>
      </c>
      <c r="BV359" s="28">
        <f t="shared" si="317"/>
        <v>1910</v>
      </c>
      <c r="BW359" s="28">
        <f t="shared" si="318"/>
        <v>46.148000000000003</v>
      </c>
      <c r="BX359" s="13">
        <f t="shared" si="319"/>
        <v>1.5602094240837696</v>
      </c>
      <c r="BY359" s="13">
        <f t="shared" si="320"/>
        <v>1</v>
      </c>
      <c r="BZ359" s="13">
        <f t="shared" si="321"/>
        <v>25.569905521366039</v>
      </c>
      <c r="CA359" s="13">
        <f t="shared" si="322"/>
        <v>25</v>
      </c>
      <c r="CB359" s="13">
        <f t="shared" si="323"/>
        <v>25</v>
      </c>
      <c r="CC359" s="62">
        <f t="shared" si="324"/>
        <v>0.04</v>
      </c>
      <c r="CD359" s="13">
        <f t="shared" si="325"/>
        <v>64.574846147178633</v>
      </c>
      <c r="CE359" s="13">
        <f t="shared" si="326"/>
        <v>64</v>
      </c>
      <c r="CF359" s="13">
        <f t="shared" si="327"/>
        <v>0.61780104712041883</v>
      </c>
      <c r="CG359" s="13">
        <f t="shared" si="328"/>
        <v>0</v>
      </c>
      <c r="CH359" s="28">
        <f t="shared" si="329"/>
        <v>0</v>
      </c>
      <c r="CI359" s="62">
        <f t="shared" si="330"/>
        <v>1</v>
      </c>
      <c r="CJ359" s="59">
        <f t="shared" si="331"/>
        <v>0.04</v>
      </c>
      <c r="CL359" s="63">
        <v>6000</v>
      </c>
      <c r="CM359" s="63">
        <f t="shared" si="332"/>
        <v>1905</v>
      </c>
      <c r="CN359" s="63">
        <f t="shared" si="333"/>
        <v>1910</v>
      </c>
      <c r="CO359" s="63">
        <f t="shared" si="334"/>
        <v>3.1413612565445028</v>
      </c>
      <c r="CP359" s="13">
        <f t="shared" si="335"/>
        <v>3</v>
      </c>
      <c r="CQ359" s="70">
        <f t="shared" si="336"/>
        <v>0.33333333333333331</v>
      </c>
      <c r="CR359" s="69">
        <f t="shared" si="303"/>
        <v>0.33333333333333331</v>
      </c>
    </row>
    <row r="360" spans="1:96" hidden="1" x14ac:dyDescent="0.25">
      <c r="A360" s="10">
        <v>3</v>
      </c>
      <c r="B360" s="8" t="s">
        <v>720</v>
      </c>
      <c r="C360" s="10" t="s">
        <v>971</v>
      </c>
      <c r="D360" s="10" t="s">
        <v>2270</v>
      </c>
      <c r="E360" s="10" t="s">
        <v>52</v>
      </c>
      <c r="F360" s="12">
        <f t="shared" si="304"/>
        <v>1</v>
      </c>
      <c r="G360" s="10">
        <v>1</v>
      </c>
      <c r="H360" s="10">
        <f t="shared" si="352"/>
        <v>1</v>
      </c>
      <c r="I360" s="10">
        <v>37</v>
      </c>
      <c r="J360" s="8" t="s">
        <v>964</v>
      </c>
      <c r="K360" s="8" t="s">
        <v>34</v>
      </c>
      <c r="L360" s="10">
        <v>0</v>
      </c>
      <c r="M360" s="8" t="s">
        <v>35</v>
      </c>
      <c r="N360" s="10" t="s">
        <v>972</v>
      </c>
      <c r="O360" s="28" t="s">
        <v>41</v>
      </c>
      <c r="P360" s="28" t="s">
        <v>41</v>
      </c>
      <c r="Q360" s="28" t="s">
        <v>972</v>
      </c>
      <c r="R360" s="30">
        <v>69.760000000000005</v>
      </c>
      <c r="S360" s="30">
        <v>1.62</v>
      </c>
      <c r="T360" s="30"/>
      <c r="U360" s="30">
        <v>0.98399999999999999</v>
      </c>
      <c r="V360" s="8">
        <f t="shared" si="306"/>
        <v>1771.904</v>
      </c>
      <c r="W360" s="8">
        <f t="shared" si="307"/>
        <v>41.148000000000003</v>
      </c>
      <c r="X360" s="8">
        <f t="shared" si="308"/>
        <v>0</v>
      </c>
      <c r="Y360" s="33">
        <f t="shared" si="309"/>
        <v>24.993599999999997</v>
      </c>
      <c r="Z360" s="28" t="s">
        <v>250</v>
      </c>
      <c r="AA360" s="28" t="s">
        <v>251</v>
      </c>
      <c r="AB360" s="61" t="s">
        <v>972</v>
      </c>
      <c r="AC360" s="31" t="s">
        <v>966</v>
      </c>
      <c r="AD360" s="50">
        <f t="shared" si="310"/>
        <v>1</v>
      </c>
      <c r="AE360" s="31"/>
      <c r="AF360" s="51">
        <v>14</v>
      </c>
      <c r="AG360" s="51">
        <f t="shared" si="337"/>
        <v>8.4</v>
      </c>
      <c r="AH360" s="51">
        <f t="shared" si="302"/>
        <v>42</v>
      </c>
      <c r="AI360" s="52" t="s">
        <v>2497</v>
      </c>
      <c r="AJ360" s="52" t="s">
        <v>2498</v>
      </c>
      <c r="AK360" s="53">
        <f t="shared" si="338"/>
        <v>0.145820611584</v>
      </c>
      <c r="AL360" s="54">
        <f t="shared" si="339"/>
        <v>0.11904761904761904</v>
      </c>
      <c r="AM360" s="54">
        <f t="shared" si="340"/>
        <v>2.3809523809523808E-2</v>
      </c>
      <c r="AN360" s="55">
        <f t="shared" si="341"/>
        <v>1.7359596617142856E-2</v>
      </c>
      <c r="AO360" s="55">
        <f t="shared" si="342"/>
        <v>3.4719193234285712E-3</v>
      </c>
      <c r="AP360" s="53">
        <v>7.1</v>
      </c>
      <c r="AQ360" s="53">
        <f t="shared" si="311"/>
        <v>4.26</v>
      </c>
      <c r="AR360" s="53">
        <f t="shared" si="312"/>
        <v>21.299999999999997</v>
      </c>
      <c r="AS360" s="56">
        <f t="shared" si="313"/>
        <v>4.6948356807511742E-2</v>
      </c>
      <c r="AT360" s="56">
        <f t="shared" si="343"/>
        <v>0.23474178403755869</v>
      </c>
      <c r="AU360" s="56">
        <f t="shared" si="314"/>
        <v>0.176056338028169</v>
      </c>
      <c r="AV360" s="56">
        <f t="shared" si="344"/>
        <v>5.8685446009389672E-2</v>
      </c>
      <c r="AW360" s="57" t="s">
        <v>2511</v>
      </c>
      <c r="AX360" s="57" t="s">
        <v>2512</v>
      </c>
      <c r="AY360" s="57" t="s">
        <v>2513</v>
      </c>
      <c r="AZ360" s="58">
        <f t="shared" si="345"/>
        <v>0.145820611584</v>
      </c>
      <c r="BA360" s="59">
        <f t="shared" si="348"/>
        <v>4.2787738140845069E-3</v>
      </c>
      <c r="BB360" s="59">
        <f t="shared" si="349"/>
        <v>1.283632144225352E-2</v>
      </c>
      <c r="BC360" s="59">
        <f t="shared" si="350"/>
        <v>3.4230190512676058E-3</v>
      </c>
      <c r="BD360" s="60">
        <f t="shared" si="346"/>
        <v>0.04</v>
      </c>
      <c r="BE360" s="59">
        <f t="shared" si="347"/>
        <v>0.04</v>
      </c>
      <c r="BQ360" s="61">
        <v>3000</v>
      </c>
      <c r="BR360" s="61">
        <v>1200</v>
      </c>
      <c r="BS360" s="28">
        <f t="shared" si="315"/>
        <v>2980</v>
      </c>
      <c r="BT360" s="28">
        <f t="shared" si="316"/>
        <v>1180</v>
      </c>
      <c r="BU360" s="28" t="s">
        <v>2541</v>
      </c>
      <c r="BV360" s="28">
        <f t="shared" si="317"/>
        <v>1776.904</v>
      </c>
      <c r="BW360" s="28">
        <f t="shared" si="318"/>
        <v>46.148000000000003</v>
      </c>
      <c r="BX360" s="13">
        <f t="shared" si="319"/>
        <v>1.6770742820096076</v>
      </c>
      <c r="BY360" s="13">
        <f t="shared" si="320"/>
        <v>1</v>
      </c>
      <c r="BZ360" s="13">
        <f t="shared" si="321"/>
        <v>25.569905521366039</v>
      </c>
      <c r="CA360" s="13">
        <f t="shared" si="322"/>
        <v>25</v>
      </c>
      <c r="CB360" s="13">
        <f t="shared" si="323"/>
        <v>25</v>
      </c>
      <c r="CC360" s="62">
        <f t="shared" si="324"/>
        <v>0.04</v>
      </c>
      <c r="CD360" s="13">
        <f t="shared" si="325"/>
        <v>64.574846147178633</v>
      </c>
      <c r="CE360" s="13">
        <f t="shared" si="326"/>
        <v>64</v>
      </c>
      <c r="CF360" s="13">
        <f t="shared" si="327"/>
        <v>0.66407639354742853</v>
      </c>
      <c r="CG360" s="13">
        <f t="shared" si="328"/>
        <v>0</v>
      </c>
      <c r="CH360" s="28">
        <f t="shared" si="329"/>
        <v>0</v>
      </c>
      <c r="CI360" s="62">
        <f t="shared" si="330"/>
        <v>1</v>
      </c>
      <c r="CJ360" s="59">
        <f t="shared" si="331"/>
        <v>0.04</v>
      </c>
      <c r="CL360" s="63">
        <v>6000</v>
      </c>
      <c r="CM360" s="63">
        <f t="shared" si="332"/>
        <v>1771.904</v>
      </c>
      <c r="CN360" s="63">
        <f t="shared" si="333"/>
        <v>1776.904</v>
      </c>
      <c r="CO360" s="63">
        <f t="shared" si="334"/>
        <v>3.3766596282072641</v>
      </c>
      <c r="CP360" s="13">
        <f t="shared" si="335"/>
        <v>3</v>
      </c>
      <c r="CQ360" s="70">
        <f t="shared" si="336"/>
        <v>0.33333333333333331</v>
      </c>
      <c r="CR360" s="69">
        <f t="shared" si="303"/>
        <v>0.33333333333333331</v>
      </c>
    </row>
    <row r="361" spans="1:96" hidden="1" x14ac:dyDescent="0.25">
      <c r="A361" s="10">
        <v>3</v>
      </c>
      <c r="B361" s="8" t="s">
        <v>720</v>
      </c>
      <c r="C361" s="10" t="s">
        <v>105</v>
      </c>
      <c r="D361" s="10" t="s">
        <v>106</v>
      </c>
      <c r="E361" s="10" t="s">
        <v>52</v>
      </c>
      <c r="F361" s="12">
        <f t="shared" si="304"/>
        <v>9</v>
      </c>
      <c r="G361" s="10">
        <v>1</v>
      </c>
      <c r="H361" s="10">
        <f t="shared" si="352"/>
        <v>1</v>
      </c>
      <c r="I361" s="10">
        <v>38</v>
      </c>
      <c r="J361" s="8" t="s">
        <v>76</v>
      </c>
      <c r="K361" s="8" t="s">
        <v>34</v>
      </c>
      <c r="L361" s="10" t="s">
        <v>77</v>
      </c>
      <c r="M361" s="8" t="s">
        <v>35</v>
      </c>
      <c r="N361" s="10" t="s">
        <v>106</v>
      </c>
      <c r="O361" s="28" t="s">
        <v>41</v>
      </c>
      <c r="P361" s="28" t="s">
        <v>41</v>
      </c>
      <c r="Q361" s="28" t="s">
        <v>79</v>
      </c>
      <c r="R361" s="30">
        <v>11.023622047244094</v>
      </c>
      <c r="S361" s="30">
        <v>0.3125</v>
      </c>
      <c r="T361" s="30"/>
      <c r="U361" s="30">
        <v>0.3125</v>
      </c>
      <c r="V361" s="8">
        <f t="shared" si="306"/>
        <v>280</v>
      </c>
      <c r="W361" s="8">
        <f t="shared" si="307"/>
        <v>7.9375</v>
      </c>
      <c r="X361" s="8">
        <f t="shared" si="308"/>
        <v>0</v>
      </c>
      <c r="Y361" s="33">
        <f t="shared" si="309"/>
        <v>7.9375</v>
      </c>
      <c r="Z361" s="28" t="s">
        <v>80</v>
      </c>
      <c r="AA361" s="28" t="s">
        <v>81</v>
      </c>
      <c r="AB361" s="61" t="s">
        <v>79</v>
      </c>
      <c r="AC361" s="31" t="s">
        <v>82</v>
      </c>
      <c r="AD361" s="50">
        <f t="shared" si="310"/>
        <v>1</v>
      </c>
      <c r="AE361" s="31"/>
      <c r="AF361" s="51">
        <v>14</v>
      </c>
      <c r="AG361" s="51">
        <f t="shared" si="337"/>
        <v>8.4</v>
      </c>
      <c r="AH361" s="51">
        <f t="shared" si="302"/>
        <v>42</v>
      </c>
      <c r="AI361" s="52" t="s">
        <v>2497</v>
      </c>
      <c r="AJ361" s="52" t="s">
        <v>2498</v>
      </c>
      <c r="AK361" s="53">
        <f t="shared" si="338"/>
        <v>4.4450000000000002E-3</v>
      </c>
      <c r="AL361" s="54">
        <f t="shared" si="339"/>
        <v>0.11904761904761904</v>
      </c>
      <c r="AM361" s="54">
        <f t="shared" si="340"/>
        <v>2.3809523809523808E-2</v>
      </c>
      <c r="AN361" s="55">
        <f t="shared" si="341"/>
        <v>5.2916666666666661E-4</v>
      </c>
      <c r="AO361" s="55">
        <f t="shared" si="342"/>
        <v>1.0583333333333334E-4</v>
      </c>
      <c r="AP361" s="53">
        <v>7.1</v>
      </c>
      <c r="AQ361" s="53">
        <f t="shared" si="311"/>
        <v>4.26</v>
      </c>
      <c r="AR361" s="53">
        <f t="shared" si="312"/>
        <v>21.299999999999997</v>
      </c>
      <c r="AS361" s="56">
        <f t="shared" si="313"/>
        <v>4.6948356807511742E-2</v>
      </c>
      <c r="AT361" s="56">
        <f t="shared" si="343"/>
        <v>0.23474178403755869</v>
      </c>
      <c r="AU361" s="56">
        <f t="shared" si="314"/>
        <v>0.176056338028169</v>
      </c>
      <c r="AV361" s="56">
        <f t="shared" si="344"/>
        <v>5.8685446009389672E-2</v>
      </c>
      <c r="AW361" s="57" t="s">
        <v>2511</v>
      </c>
      <c r="AX361" s="57" t="s">
        <v>2512</v>
      </c>
      <c r="AY361" s="57" t="s">
        <v>2513</v>
      </c>
      <c r="AZ361" s="58">
        <f t="shared" si="345"/>
        <v>4.4450000000000002E-3</v>
      </c>
      <c r="BA361" s="59">
        <f t="shared" si="348"/>
        <v>1.3042840375586856E-4</v>
      </c>
      <c r="BB361" s="59">
        <f t="shared" si="349"/>
        <v>3.9128521126760563E-4</v>
      </c>
      <c r="BC361" s="59">
        <f t="shared" si="350"/>
        <v>1.0434272300469485E-4</v>
      </c>
      <c r="BD361" s="60">
        <f t="shared" si="346"/>
        <v>1.0869565217391304E-3</v>
      </c>
      <c r="BE361" s="59">
        <f t="shared" si="347"/>
        <v>1.0869565217391304E-3</v>
      </c>
      <c r="BQ361" s="61">
        <v>3000</v>
      </c>
      <c r="BR361" s="61">
        <v>1200</v>
      </c>
      <c r="BS361" s="28">
        <f t="shared" si="315"/>
        <v>2980</v>
      </c>
      <c r="BT361" s="28">
        <f t="shared" si="316"/>
        <v>1180</v>
      </c>
      <c r="BU361" s="28" t="s">
        <v>2541</v>
      </c>
      <c r="BV361" s="28">
        <f t="shared" si="317"/>
        <v>285</v>
      </c>
      <c r="BW361" s="28">
        <f t="shared" si="318"/>
        <v>12.9375</v>
      </c>
      <c r="BX361" s="13">
        <f t="shared" si="319"/>
        <v>10.456140350877194</v>
      </c>
      <c r="BY361" s="13">
        <f t="shared" si="320"/>
        <v>10</v>
      </c>
      <c r="BZ361" s="13">
        <f t="shared" si="321"/>
        <v>91.207729468599027</v>
      </c>
      <c r="CA361" s="13">
        <f t="shared" si="322"/>
        <v>91</v>
      </c>
      <c r="CB361" s="13">
        <f t="shared" si="323"/>
        <v>910</v>
      </c>
      <c r="CC361" s="62">
        <f t="shared" si="324"/>
        <v>1.0989010989010989E-3</v>
      </c>
      <c r="CD361" s="13">
        <f t="shared" si="325"/>
        <v>230.33816425120773</v>
      </c>
      <c r="CE361" s="13">
        <f t="shared" si="326"/>
        <v>230</v>
      </c>
      <c r="CF361" s="13">
        <f t="shared" si="327"/>
        <v>4.1403508771929829</v>
      </c>
      <c r="CG361" s="13">
        <f t="shared" si="328"/>
        <v>4</v>
      </c>
      <c r="CH361" s="28">
        <f t="shared" si="329"/>
        <v>920</v>
      </c>
      <c r="CI361" s="62">
        <f t="shared" si="330"/>
        <v>1.0869565217391304E-3</v>
      </c>
      <c r="CJ361" s="59">
        <f t="shared" si="331"/>
        <v>1.0869565217391304E-3</v>
      </c>
      <c r="CL361" s="63">
        <v>6000</v>
      </c>
      <c r="CM361" s="63">
        <f t="shared" si="332"/>
        <v>280</v>
      </c>
      <c r="CN361" s="63">
        <f t="shared" si="333"/>
        <v>285</v>
      </c>
      <c r="CO361" s="63">
        <f t="shared" si="334"/>
        <v>21.05263157894737</v>
      </c>
      <c r="CP361" s="13">
        <f t="shared" si="335"/>
        <v>21</v>
      </c>
      <c r="CQ361" s="70">
        <f t="shared" si="336"/>
        <v>4.7619047619047616E-2</v>
      </c>
      <c r="CR361" s="69">
        <f t="shared" si="303"/>
        <v>4.7619047619047616E-2</v>
      </c>
    </row>
    <row r="362" spans="1:96" hidden="1" x14ac:dyDescent="0.25">
      <c r="A362" s="10">
        <v>3</v>
      </c>
      <c r="B362" s="8" t="s">
        <v>720</v>
      </c>
      <c r="C362" s="10" t="s">
        <v>973</v>
      </c>
      <c r="D362" s="10" t="s">
        <v>2270</v>
      </c>
      <c r="E362" s="10" t="s">
        <v>32</v>
      </c>
      <c r="F362" s="12">
        <f t="shared" si="304"/>
        <v>1</v>
      </c>
      <c r="G362" s="10">
        <v>1</v>
      </c>
      <c r="H362" s="10">
        <f t="shared" si="352"/>
        <v>1</v>
      </c>
      <c r="I362" s="10">
        <v>40</v>
      </c>
      <c r="J362" s="8" t="s">
        <v>974</v>
      </c>
      <c r="K362" s="8" t="s">
        <v>34</v>
      </c>
      <c r="L362" s="10">
        <v>0</v>
      </c>
      <c r="M362" s="8" t="s">
        <v>35</v>
      </c>
      <c r="N362" s="10" t="s">
        <v>975</v>
      </c>
      <c r="O362" s="28" t="s">
        <v>41</v>
      </c>
      <c r="P362" s="28" t="s">
        <v>41</v>
      </c>
      <c r="Q362" s="28"/>
      <c r="R362" s="30"/>
      <c r="S362" s="30"/>
      <c r="T362" s="30"/>
      <c r="U362" s="30"/>
      <c r="V362" s="8">
        <f t="shared" si="306"/>
        <v>0</v>
      </c>
      <c r="W362" s="8">
        <f t="shared" si="307"/>
        <v>0</v>
      </c>
      <c r="X362" s="8">
        <f t="shared" si="308"/>
        <v>0</v>
      </c>
      <c r="Y362" s="33">
        <f t="shared" si="309"/>
        <v>0</v>
      </c>
      <c r="Z362" s="28"/>
      <c r="AA362" s="28"/>
      <c r="AB362" s="28">
        <v>0</v>
      </c>
      <c r="AC362" s="31"/>
      <c r="AD362" s="50">
        <f t="shared" si="310"/>
        <v>1</v>
      </c>
      <c r="AE362" s="31"/>
      <c r="AF362" s="51">
        <v>14</v>
      </c>
      <c r="AG362" s="51">
        <f t="shared" si="337"/>
        <v>8.4</v>
      </c>
      <c r="AH362" s="51">
        <f t="shared" si="302"/>
        <v>42</v>
      </c>
      <c r="AI362" s="52" t="s">
        <v>2497</v>
      </c>
      <c r="AJ362" s="52" t="s">
        <v>2498</v>
      </c>
      <c r="AK362" s="53">
        <f t="shared" si="338"/>
        <v>0</v>
      </c>
      <c r="AL362" s="54">
        <f t="shared" si="339"/>
        <v>0.11904761904761904</v>
      </c>
      <c r="AM362" s="54">
        <f t="shared" si="340"/>
        <v>2.3809523809523808E-2</v>
      </c>
      <c r="AN362" s="55">
        <f t="shared" si="341"/>
        <v>0</v>
      </c>
      <c r="AO362" s="55">
        <f t="shared" si="342"/>
        <v>0</v>
      </c>
      <c r="AP362" s="53">
        <v>7.1</v>
      </c>
      <c r="AQ362" s="53">
        <f t="shared" si="311"/>
        <v>4.26</v>
      </c>
      <c r="AR362" s="53">
        <f t="shared" si="312"/>
        <v>21.299999999999997</v>
      </c>
      <c r="AS362" s="56">
        <f t="shared" si="313"/>
        <v>4.6948356807511742E-2</v>
      </c>
      <c r="AT362" s="56">
        <f t="shared" si="343"/>
        <v>0.23474178403755869</v>
      </c>
      <c r="AU362" s="56">
        <f t="shared" si="314"/>
        <v>0.176056338028169</v>
      </c>
      <c r="AV362" s="56">
        <f t="shared" si="344"/>
        <v>5.8685446009389672E-2</v>
      </c>
      <c r="AW362" s="57" t="s">
        <v>2511</v>
      </c>
      <c r="AX362" s="57" t="s">
        <v>2512</v>
      </c>
      <c r="AY362" s="57" t="s">
        <v>2513</v>
      </c>
      <c r="AZ362" s="58">
        <f t="shared" si="345"/>
        <v>0</v>
      </c>
      <c r="BA362" s="59">
        <f t="shared" si="348"/>
        <v>0</v>
      </c>
      <c r="BB362" s="59">
        <f t="shared" si="349"/>
        <v>0</v>
      </c>
      <c r="BC362" s="59">
        <f t="shared" si="350"/>
        <v>0</v>
      </c>
      <c r="BD362" s="60">
        <f t="shared" si="346"/>
        <v>0</v>
      </c>
      <c r="BE362" s="59">
        <f t="shared" si="347"/>
        <v>0</v>
      </c>
      <c r="BQ362" s="61">
        <v>3000</v>
      </c>
      <c r="BR362" s="61">
        <v>1200</v>
      </c>
      <c r="BS362" s="28">
        <f t="shared" si="315"/>
        <v>2980</v>
      </c>
      <c r="BT362" s="28">
        <f t="shared" si="316"/>
        <v>1180</v>
      </c>
      <c r="BU362" s="28" t="s">
        <v>2541</v>
      </c>
      <c r="BV362" s="28">
        <f t="shared" si="317"/>
        <v>5</v>
      </c>
      <c r="BW362" s="28">
        <f t="shared" si="318"/>
        <v>5</v>
      </c>
      <c r="BX362" s="13">
        <f t="shared" si="319"/>
        <v>596</v>
      </c>
      <c r="BY362" s="13">
        <f t="shared" si="320"/>
        <v>596</v>
      </c>
      <c r="BZ362" s="13">
        <f t="shared" si="321"/>
        <v>236</v>
      </c>
      <c r="CA362" s="13">
        <f t="shared" si="322"/>
        <v>236</v>
      </c>
      <c r="CB362" s="13">
        <f t="shared" si="323"/>
        <v>140656</v>
      </c>
      <c r="CC362" s="62" t="str">
        <f t="shared" si="324"/>
        <v/>
      </c>
      <c r="CD362" s="13">
        <f t="shared" si="325"/>
        <v>596</v>
      </c>
      <c r="CE362" s="13">
        <f t="shared" si="326"/>
        <v>596</v>
      </c>
      <c r="CF362" s="13">
        <f t="shared" si="327"/>
        <v>236</v>
      </c>
      <c r="CG362" s="13">
        <f t="shared" si="328"/>
        <v>236</v>
      </c>
      <c r="CH362" s="28">
        <f t="shared" si="329"/>
        <v>140656</v>
      </c>
      <c r="CI362" s="62" t="str">
        <f t="shared" si="330"/>
        <v/>
      </c>
      <c r="CJ362" s="59">
        <f t="shared" si="331"/>
        <v>0</v>
      </c>
      <c r="CL362" s="63">
        <v>6000</v>
      </c>
      <c r="CM362" s="63">
        <f t="shared" si="332"/>
        <v>0</v>
      </c>
      <c r="CN362" s="63">
        <f t="shared" si="333"/>
        <v>5</v>
      </c>
      <c r="CO362" s="63">
        <f t="shared" si="334"/>
        <v>1200</v>
      </c>
      <c r="CP362" s="13">
        <f t="shared" si="335"/>
        <v>1200</v>
      </c>
      <c r="CQ362" s="70">
        <f t="shared" si="336"/>
        <v>8.3333333333333339E-4</v>
      </c>
      <c r="CR362" s="69">
        <f t="shared" si="303"/>
        <v>8.3333333333333339E-4</v>
      </c>
    </row>
    <row r="363" spans="1:96" hidden="1" x14ac:dyDescent="0.25">
      <c r="A363" s="13">
        <v>4</v>
      </c>
      <c r="B363" s="14" t="s">
        <v>976</v>
      </c>
      <c r="C363" s="13" t="s">
        <v>977</v>
      </c>
      <c r="D363" s="13" t="s">
        <v>2270</v>
      </c>
      <c r="E363" s="13" t="s">
        <v>52</v>
      </c>
      <c r="F363" s="15">
        <f t="shared" si="304"/>
        <v>1</v>
      </c>
      <c r="G363" s="13">
        <v>1</v>
      </c>
      <c r="H363" s="13">
        <f>G363*$H$362</f>
        <v>1</v>
      </c>
      <c r="I363" s="13">
        <v>1</v>
      </c>
      <c r="J363" s="14" t="s">
        <v>978</v>
      </c>
      <c r="K363" s="14" t="s">
        <v>34</v>
      </c>
      <c r="L363" s="13">
        <v>0</v>
      </c>
      <c r="M363" s="14" t="s">
        <v>35</v>
      </c>
      <c r="N363" s="13" t="s">
        <v>979</v>
      </c>
      <c r="O363" s="28" t="s">
        <v>41</v>
      </c>
      <c r="P363" s="28" t="s">
        <v>41</v>
      </c>
      <c r="Q363" s="28" t="s">
        <v>124</v>
      </c>
      <c r="R363" s="30">
        <v>10.109</v>
      </c>
      <c r="S363" s="30">
        <v>5.84</v>
      </c>
      <c r="T363" s="30"/>
      <c r="U363" s="30">
        <v>9.8000000000000004E-2</v>
      </c>
      <c r="V363" s="8">
        <f t="shared" si="306"/>
        <v>256.76859999999999</v>
      </c>
      <c r="W363" s="8">
        <f t="shared" si="307"/>
        <v>148.33599999999998</v>
      </c>
      <c r="X363" s="8">
        <f t="shared" si="308"/>
        <v>0</v>
      </c>
      <c r="Y363" s="33">
        <f t="shared" si="309"/>
        <v>2.4891999999999999</v>
      </c>
      <c r="Z363" s="28" t="s">
        <v>56</v>
      </c>
      <c r="AA363" s="28" t="s">
        <v>57</v>
      </c>
      <c r="AB363" s="61" t="s">
        <v>124</v>
      </c>
      <c r="AC363" s="31" t="s">
        <v>125</v>
      </c>
      <c r="AD363" s="50">
        <f t="shared" si="310"/>
        <v>1</v>
      </c>
      <c r="AE363" s="31"/>
      <c r="AF363" s="51">
        <v>14</v>
      </c>
      <c r="AG363" s="51">
        <f t="shared" si="337"/>
        <v>8.4</v>
      </c>
      <c r="AH363" s="51">
        <f t="shared" si="302"/>
        <v>42</v>
      </c>
      <c r="AI363" s="52" t="s">
        <v>2497</v>
      </c>
      <c r="AJ363" s="52" t="s">
        <v>2498</v>
      </c>
      <c r="AK363" s="53">
        <f t="shared" si="338"/>
        <v>7.6176054099199988E-2</v>
      </c>
      <c r="AL363" s="54">
        <f t="shared" si="339"/>
        <v>0.11904761904761904</v>
      </c>
      <c r="AM363" s="54">
        <f t="shared" si="340"/>
        <v>2.3809523809523808E-2</v>
      </c>
      <c r="AN363" s="55">
        <f t="shared" si="341"/>
        <v>9.0685778689523783E-3</v>
      </c>
      <c r="AO363" s="55">
        <f t="shared" si="342"/>
        <v>1.8137155737904759E-3</v>
      </c>
      <c r="AP363" s="53">
        <v>7.1</v>
      </c>
      <c r="AQ363" s="53">
        <f t="shared" si="311"/>
        <v>4.26</v>
      </c>
      <c r="AR363" s="53">
        <f t="shared" si="312"/>
        <v>21.299999999999997</v>
      </c>
      <c r="AS363" s="56">
        <f t="shared" si="313"/>
        <v>4.6948356807511742E-2</v>
      </c>
      <c r="AT363" s="56">
        <f t="shared" si="343"/>
        <v>0.23474178403755869</v>
      </c>
      <c r="AU363" s="56">
        <f t="shared" si="314"/>
        <v>0.176056338028169</v>
      </c>
      <c r="AV363" s="56">
        <f t="shared" si="344"/>
        <v>5.8685446009389672E-2</v>
      </c>
      <c r="AW363" s="57" t="s">
        <v>2511</v>
      </c>
      <c r="AX363" s="57" t="s">
        <v>2512</v>
      </c>
      <c r="AY363" s="57" t="s">
        <v>2513</v>
      </c>
      <c r="AZ363" s="58">
        <f t="shared" si="345"/>
        <v>7.6176054099199988E-2</v>
      </c>
      <c r="BA363" s="59">
        <f t="shared" si="348"/>
        <v>2.2352128550234738E-3</v>
      </c>
      <c r="BB363" s="59">
        <f t="shared" si="349"/>
        <v>6.7056385650704209E-3</v>
      </c>
      <c r="BC363" s="59">
        <f t="shared" si="350"/>
        <v>1.7881702840187791E-3</v>
      </c>
      <c r="BD363" s="60">
        <f t="shared" si="346"/>
        <v>1.2987012987012988E-2</v>
      </c>
      <c r="BE363" s="59">
        <f t="shared" si="347"/>
        <v>1.2987012987012988E-2</v>
      </c>
      <c r="BQ363" s="61">
        <v>3000</v>
      </c>
      <c r="BR363" s="61">
        <v>1200</v>
      </c>
      <c r="BS363" s="28">
        <f t="shared" si="315"/>
        <v>2980</v>
      </c>
      <c r="BT363" s="28">
        <f t="shared" si="316"/>
        <v>1180</v>
      </c>
      <c r="BU363" s="28" t="s">
        <v>2541</v>
      </c>
      <c r="BV363" s="28">
        <f t="shared" si="317"/>
        <v>261.76859999999999</v>
      </c>
      <c r="BW363" s="28">
        <f t="shared" si="318"/>
        <v>153.33599999999998</v>
      </c>
      <c r="BX363" s="13">
        <f t="shared" si="319"/>
        <v>11.384100308440356</v>
      </c>
      <c r="BY363" s="13">
        <f t="shared" si="320"/>
        <v>11</v>
      </c>
      <c r="BZ363" s="13">
        <f t="shared" si="321"/>
        <v>7.6955183388114996</v>
      </c>
      <c r="CA363" s="13">
        <f t="shared" si="322"/>
        <v>7</v>
      </c>
      <c r="CB363" s="13">
        <f t="shared" si="323"/>
        <v>77</v>
      </c>
      <c r="CC363" s="62">
        <f t="shared" si="324"/>
        <v>1.2987012987012988E-2</v>
      </c>
      <c r="CD363" s="13">
        <f t="shared" si="325"/>
        <v>19.434444618354465</v>
      </c>
      <c r="CE363" s="13">
        <f t="shared" si="326"/>
        <v>19</v>
      </c>
      <c r="CF363" s="13">
        <f t="shared" si="327"/>
        <v>4.5077981087112819</v>
      </c>
      <c r="CG363" s="13">
        <f t="shared" si="328"/>
        <v>4</v>
      </c>
      <c r="CH363" s="28">
        <f t="shared" si="329"/>
        <v>76</v>
      </c>
      <c r="CI363" s="62">
        <f t="shared" si="330"/>
        <v>1.3157894736842105E-2</v>
      </c>
      <c r="CJ363" s="59">
        <f t="shared" si="331"/>
        <v>1.2987012987012988E-2</v>
      </c>
      <c r="CL363" s="63">
        <v>6000</v>
      </c>
      <c r="CM363" s="63">
        <f t="shared" si="332"/>
        <v>256.76859999999999</v>
      </c>
      <c r="CN363" s="63">
        <f t="shared" si="333"/>
        <v>261.76859999999999</v>
      </c>
      <c r="CO363" s="63">
        <f t="shared" si="334"/>
        <v>22.921007332430246</v>
      </c>
      <c r="CP363" s="13">
        <f t="shared" si="335"/>
        <v>22</v>
      </c>
      <c r="CQ363" s="70">
        <f t="shared" si="336"/>
        <v>4.5454545454545456E-2</v>
      </c>
      <c r="CR363" s="69">
        <f t="shared" si="303"/>
        <v>4.5454545454545456E-2</v>
      </c>
    </row>
    <row r="364" spans="1:96" hidden="1" x14ac:dyDescent="0.25">
      <c r="A364" s="13">
        <v>4</v>
      </c>
      <c r="B364" s="14" t="s">
        <v>976</v>
      </c>
      <c r="C364" s="13" t="s">
        <v>448</v>
      </c>
      <c r="D364" s="13" t="s">
        <v>450</v>
      </c>
      <c r="E364" s="13" t="s">
        <v>52</v>
      </c>
      <c r="F364" s="15">
        <f t="shared" si="304"/>
        <v>23</v>
      </c>
      <c r="G364" s="13">
        <v>4</v>
      </c>
      <c r="H364" s="13">
        <f>G364*$H$362</f>
        <v>4</v>
      </c>
      <c r="I364" s="13">
        <v>2</v>
      </c>
      <c r="J364" s="14" t="s">
        <v>449</v>
      </c>
      <c r="K364" s="14" t="s">
        <v>34</v>
      </c>
      <c r="L364" s="13">
        <v>0</v>
      </c>
      <c r="M364" s="14" t="s">
        <v>35</v>
      </c>
      <c r="N364" s="13" t="s">
        <v>450</v>
      </c>
      <c r="O364" s="28" t="s">
        <v>41</v>
      </c>
      <c r="P364" s="28" t="s">
        <v>41</v>
      </c>
      <c r="Q364" s="28" t="s">
        <v>450</v>
      </c>
      <c r="R364" s="30"/>
      <c r="S364" s="30"/>
      <c r="T364" s="30"/>
      <c r="U364" s="30"/>
      <c r="V364" s="8">
        <f t="shared" si="306"/>
        <v>0</v>
      </c>
      <c r="W364" s="8">
        <f t="shared" si="307"/>
        <v>0</v>
      </c>
      <c r="X364" s="8">
        <f t="shared" si="308"/>
        <v>0</v>
      </c>
      <c r="Y364" s="33">
        <f t="shared" si="309"/>
        <v>0</v>
      </c>
      <c r="Z364" s="28"/>
      <c r="AA364" s="28"/>
      <c r="AB364" s="61" t="s">
        <v>450</v>
      </c>
      <c r="AC364" s="31" t="s">
        <v>451</v>
      </c>
      <c r="AD364" s="50">
        <f t="shared" si="310"/>
        <v>4</v>
      </c>
      <c r="AE364" s="31"/>
      <c r="AF364" s="51">
        <v>14</v>
      </c>
      <c r="AG364" s="51">
        <f t="shared" si="337"/>
        <v>8.4</v>
      </c>
      <c r="AH364" s="51">
        <f t="shared" si="302"/>
        <v>42</v>
      </c>
      <c r="AI364" s="52" t="s">
        <v>2497</v>
      </c>
      <c r="AJ364" s="52" t="s">
        <v>2498</v>
      </c>
      <c r="AK364" s="53">
        <f t="shared" si="338"/>
        <v>0</v>
      </c>
      <c r="AL364" s="54">
        <f t="shared" si="339"/>
        <v>0.11904761904761904</v>
      </c>
      <c r="AM364" s="54">
        <f t="shared" si="340"/>
        <v>2.3809523809523808E-2</v>
      </c>
      <c r="AN364" s="55">
        <f t="shared" si="341"/>
        <v>0</v>
      </c>
      <c r="AO364" s="55">
        <f t="shared" si="342"/>
        <v>0</v>
      </c>
      <c r="AP364" s="53">
        <v>7.1</v>
      </c>
      <c r="AQ364" s="53">
        <f t="shared" si="311"/>
        <v>4.26</v>
      </c>
      <c r="AR364" s="53">
        <f t="shared" si="312"/>
        <v>21.299999999999997</v>
      </c>
      <c r="AS364" s="56">
        <f t="shared" si="313"/>
        <v>4.6948356807511742E-2</v>
      </c>
      <c r="AT364" s="56">
        <f t="shared" si="343"/>
        <v>0.23474178403755869</v>
      </c>
      <c r="AU364" s="56">
        <f t="shared" si="314"/>
        <v>0.176056338028169</v>
      </c>
      <c r="AV364" s="56">
        <f t="shared" si="344"/>
        <v>5.8685446009389672E-2</v>
      </c>
      <c r="AW364" s="57" t="s">
        <v>2511</v>
      </c>
      <c r="AX364" s="57" t="s">
        <v>2512</v>
      </c>
      <c r="AY364" s="57" t="s">
        <v>2513</v>
      </c>
      <c r="AZ364" s="58">
        <f t="shared" si="345"/>
        <v>0</v>
      </c>
      <c r="BA364" s="59">
        <f t="shared" si="348"/>
        <v>0</v>
      </c>
      <c r="BB364" s="59">
        <f t="shared" si="349"/>
        <v>0</v>
      </c>
      <c r="BC364" s="59">
        <f t="shared" si="350"/>
        <v>0</v>
      </c>
      <c r="BD364" s="60">
        <f t="shared" si="346"/>
        <v>7.1095438516664771E-6</v>
      </c>
      <c r="BE364" s="59">
        <f t="shared" si="347"/>
        <v>2.8438175406665908E-5</v>
      </c>
      <c r="BQ364" s="61">
        <v>3000</v>
      </c>
      <c r="BR364" s="61">
        <v>1200</v>
      </c>
      <c r="BS364" s="28">
        <f t="shared" si="315"/>
        <v>2980</v>
      </c>
      <c r="BT364" s="28">
        <f t="shared" si="316"/>
        <v>1180</v>
      </c>
      <c r="BU364" s="28" t="s">
        <v>2541</v>
      </c>
      <c r="BV364" s="28">
        <f t="shared" si="317"/>
        <v>5</v>
      </c>
      <c r="BW364" s="28">
        <f t="shared" si="318"/>
        <v>5</v>
      </c>
      <c r="BX364" s="13">
        <f t="shared" si="319"/>
        <v>596</v>
      </c>
      <c r="BY364" s="13">
        <f t="shared" si="320"/>
        <v>596</v>
      </c>
      <c r="BZ364" s="13">
        <f t="shared" si="321"/>
        <v>236</v>
      </c>
      <c r="CA364" s="13">
        <f t="shared" si="322"/>
        <v>236</v>
      </c>
      <c r="CB364" s="13">
        <f t="shared" si="323"/>
        <v>140656</v>
      </c>
      <c r="CC364" s="62">
        <f t="shared" si="324"/>
        <v>7.1095438516664771E-6</v>
      </c>
      <c r="CD364" s="13">
        <f t="shared" si="325"/>
        <v>596</v>
      </c>
      <c r="CE364" s="13">
        <f t="shared" si="326"/>
        <v>596</v>
      </c>
      <c r="CF364" s="13">
        <f t="shared" si="327"/>
        <v>236</v>
      </c>
      <c r="CG364" s="13">
        <f t="shared" si="328"/>
        <v>236</v>
      </c>
      <c r="CH364" s="28">
        <f t="shared" si="329"/>
        <v>140656</v>
      </c>
      <c r="CI364" s="62">
        <f t="shared" si="330"/>
        <v>7.1095438516664771E-6</v>
      </c>
      <c r="CJ364" s="59">
        <f t="shared" si="331"/>
        <v>7.1095438516664771E-6</v>
      </c>
      <c r="CL364" s="63">
        <v>6000</v>
      </c>
      <c r="CM364" s="63">
        <f t="shared" si="332"/>
        <v>0</v>
      </c>
      <c r="CN364" s="63">
        <f t="shared" si="333"/>
        <v>5</v>
      </c>
      <c r="CO364" s="63">
        <f t="shared" si="334"/>
        <v>1200</v>
      </c>
      <c r="CP364" s="13">
        <f t="shared" si="335"/>
        <v>1200</v>
      </c>
      <c r="CQ364" s="70">
        <f t="shared" si="336"/>
        <v>8.3333333333333339E-4</v>
      </c>
      <c r="CR364" s="69">
        <f t="shared" si="303"/>
        <v>3.3333333333333335E-3</v>
      </c>
    </row>
    <row r="365" spans="1:96" hidden="1" x14ac:dyDescent="0.25">
      <c r="A365" s="10">
        <v>3</v>
      </c>
      <c r="B365" s="8" t="s">
        <v>720</v>
      </c>
      <c r="C365" s="10" t="s">
        <v>980</v>
      </c>
      <c r="D365" s="10" t="s">
        <v>2270</v>
      </c>
      <c r="E365" s="10" t="s">
        <v>32</v>
      </c>
      <c r="F365" s="12">
        <f t="shared" si="304"/>
        <v>1</v>
      </c>
      <c r="G365" s="10">
        <v>2</v>
      </c>
      <c r="H365" s="10">
        <f>G365*$H$234</f>
        <v>2</v>
      </c>
      <c r="I365" s="10">
        <v>41</v>
      </c>
      <c r="J365" s="8" t="s">
        <v>981</v>
      </c>
      <c r="K365" s="8" t="s">
        <v>34</v>
      </c>
      <c r="L365" s="10" t="s">
        <v>110</v>
      </c>
      <c r="M365" s="8" t="s">
        <v>35</v>
      </c>
      <c r="N365" s="10" t="s">
        <v>982</v>
      </c>
      <c r="O365" s="28" t="s">
        <v>41</v>
      </c>
      <c r="P365" s="28" t="s">
        <v>41</v>
      </c>
      <c r="Q365" s="28"/>
      <c r="R365" s="30"/>
      <c r="S365" s="30"/>
      <c r="T365" s="30"/>
      <c r="U365" s="30"/>
      <c r="V365" s="8">
        <f t="shared" si="306"/>
        <v>0</v>
      </c>
      <c r="W365" s="8">
        <f t="shared" si="307"/>
        <v>0</v>
      </c>
      <c r="X365" s="8">
        <f t="shared" si="308"/>
        <v>0</v>
      </c>
      <c r="Y365" s="33">
        <f t="shared" si="309"/>
        <v>0</v>
      </c>
      <c r="Z365" s="28"/>
      <c r="AA365" s="28"/>
      <c r="AB365" s="28">
        <v>0</v>
      </c>
      <c r="AC365" s="31"/>
      <c r="AD365" s="50">
        <f t="shared" si="310"/>
        <v>2</v>
      </c>
      <c r="AE365" s="31"/>
      <c r="AF365" s="51">
        <v>14</v>
      </c>
      <c r="AG365" s="51">
        <f t="shared" si="337"/>
        <v>8.4</v>
      </c>
      <c r="AH365" s="51">
        <f t="shared" si="302"/>
        <v>42</v>
      </c>
      <c r="AI365" s="52" t="s">
        <v>2497</v>
      </c>
      <c r="AJ365" s="52" t="s">
        <v>2498</v>
      </c>
      <c r="AK365" s="53">
        <f t="shared" si="338"/>
        <v>0</v>
      </c>
      <c r="AL365" s="54">
        <f t="shared" si="339"/>
        <v>0.11904761904761904</v>
      </c>
      <c r="AM365" s="54">
        <f t="shared" si="340"/>
        <v>2.3809523809523808E-2</v>
      </c>
      <c r="AN365" s="55">
        <f t="shared" si="341"/>
        <v>0</v>
      </c>
      <c r="AO365" s="55">
        <f t="shared" si="342"/>
        <v>0</v>
      </c>
      <c r="AP365" s="53">
        <v>7.1</v>
      </c>
      <c r="AQ365" s="53">
        <f t="shared" si="311"/>
        <v>4.26</v>
      </c>
      <c r="AR365" s="53">
        <f t="shared" si="312"/>
        <v>21.299999999999997</v>
      </c>
      <c r="AS365" s="56">
        <f t="shared" si="313"/>
        <v>4.6948356807511742E-2</v>
      </c>
      <c r="AT365" s="56">
        <f t="shared" si="343"/>
        <v>0.23474178403755869</v>
      </c>
      <c r="AU365" s="56">
        <f t="shared" si="314"/>
        <v>0.176056338028169</v>
      </c>
      <c r="AV365" s="56">
        <f t="shared" si="344"/>
        <v>5.8685446009389672E-2</v>
      </c>
      <c r="AW365" s="57" t="s">
        <v>2511</v>
      </c>
      <c r="AX365" s="57" t="s">
        <v>2512</v>
      </c>
      <c r="AY365" s="57" t="s">
        <v>2513</v>
      </c>
      <c r="AZ365" s="58">
        <f t="shared" si="345"/>
        <v>0</v>
      </c>
      <c r="BA365" s="59">
        <f t="shared" si="348"/>
        <v>0</v>
      </c>
      <c r="BB365" s="59">
        <f t="shared" si="349"/>
        <v>0</v>
      </c>
      <c r="BC365" s="59">
        <f t="shared" si="350"/>
        <v>0</v>
      </c>
      <c r="BD365" s="60">
        <f t="shared" si="346"/>
        <v>0</v>
      </c>
      <c r="BE365" s="59">
        <f t="shared" si="347"/>
        <v>0</v>
      </c>
      <c r="BQ365" s="61">
        <v>3000</v>
      </c>
      <c r="BR365" s="61">
        <v>1200</v>
      </c>
      <c r="BS365" s="28">
        <f t="shared" si="315"/>
        <v>2980</v>
      </c>
      <c r="BT365" s="28">
        <f t="shared" si="316"/>
        <v>1180</v>
      </c>
      <c r="BU365" s="28" t="s">
        <v>2541</v>
      </c>
      <c r="BV365" s="28">
        <f t="shared" si="317"/>
        <v>5</v>
      </c>
      <c r="BW365" s="28">
        <f t="shared" si="318"/>
        <v>5</v>
      </c>
      <c r="BX365" s="13">
        <f t="shared" si="319"/>
        <v>596</v>
      </c>
      <c r="BY365" s="13">
        <f t="shared" si="320"/>
        <v>596</v>
      </c>
      <c r="BZ365" s="13">
        <f t="shared" si="321"/>
        <v>236</v>
      </c>
      <c r="CA365" s="13">
        <f t="shared" si="322"/>
        <v>236</v>
      </c>
      <c r="CB365" s="13">
        <f t="shared" si="323"/>
        <v>140656</v>
      </c>
      <c r="CC365" s="62" t="str">
        <f t="shared" si="324"/>
        <v/>
      </c>
      <c r="CD365" s="13">
        <f t="shared" si="325"/>
        <v>596</v>
      </c>
      <c r="CE365" s="13">
        <f t="shared" si="326"/>
        <v>596</v>
      </c>
      <c r="CF365" s="13">
        <f t="shared" si="327"/>
        <v>236</v>
      </c>
      <c r="CG365" s="13">
        <f t="shared" si="328"/>
        <v>236</v>
      </c>
      <c r="CH365" s="28">
        <f t="shared" si="329"/>
        <v>140656</v>
      </c>
      <c r="CI365" s="62" t="str">
        <f t="shared" si="330"/>
        <v/>
      </c>
      <c r="CJ365" s="59">
        <f t="shared" si="331"/>
        <v>0</v>
      </c>
      <c r="CL365" s="63">
        <v>6000</v>
      </c>
      <c r="CM365" s="63">
        <f t="shared" si="332"/>
        <v>0</v>
      </c>
      <c r="CN365" s="63">
        <f t="shared" si="333"/>
        <v>5</v>
      </c>
      <c r="CO365" s="63">
        <f t="shared" si="334"/>
        <v>1200</v>
      </c>
      <c r="CP365" s="13">
        <f t="shared" si="335"/>
        <v>1200</v>
      </c>
      <c r="CQ365" s="70">
        <f t="shared" si="336"/>
        <v>8.3333333333333339E-4</v>
      </c>
      <c r="CR365" s="69">
        <f t="shared" si="303"/>
        <v>1.6666666666666668E-3</v>
      </c>
    </row>
    <row r="366" spans="1:96" hidden="1" x14ac:dyDescent="0.25">
      <c r="A366" s="13">
        <v>4</v>
      </c>
      <c r="B366" s="14" t="s">
        <v>983</v>
      </c>
      <c r="C366" s="13" t="s">
        <v>984</v>
      </c>
      <c r="D366" s="13" t="s">
        <v>2270</v>
      </c>
      <c r="E366" s="13" t="s">
        <v>52</v>
      </c>
      <c r="F366" s="15">
        <f t="shared" si="304"/>
        <v>1</v>
      </c>
      <c r="G366" s="13">
        <v>1</v>
      </c>
      <c r="H366" s="13">
        <f>G366*$H$365</f>
        <v>2</v>
      </c>
      <c r="I366" s="13">
        <v>1</v>
      </c>
      <c r="J366" s="14" t="s">
        <v>985</v>
      </c>
      <c r="K366" s="14" t="s">
        <v>34</v>
      </c>
      <c r="L366" s="13" t="s">
        <v>110</v>
      </c>
      <c r="M366" s="14" t="s">
        <v>35</v>
      </c>
      <c r="N366" s="13" t="s">
        <v>986</v>
      </c>
      <c r="O366" s="28" t="s">
        <v>41</v>
      </c>
      <c r="P366" s="28" t="s">
        <v>41</v>
      </c>
      <c r="Q366" s="28" t="s">
        <v>124</v>
      </c>
      <c r="R366" s="30">
        <v>8.6470000000000002</v>
      </c>
      <c r="S366" s="30">
        <v>5</v>
      </c>
      <c r="T366" s="30"/>
      <c r="U366" s="30">
        <v>9.8000000000000004E-2</v>
      </c>
      <c r="V366" s="8">
        <f t="shared" si="306"/>
        <v>219.63380000000001</v>
      </c>
      <c r="W366" s="8">
        <f t="shared" si="307"/>
        <v>127</v>
      </c>
      <c r="X366" s="8">
        <f t="shared" si="308"/>
        <v>0</v>
      </c>
      <c r="Y366" s="33">
        <f t="shared" si="309"/>
        <v>2.4891999999999999</v>
      </c>
      <c r="Z366" s="28" t="s">
        <v>56</v>
      </c>
      <c r="AA366" s="28" t="s">
        <v>57</v>
      </c>
      <c r="AB366" s="61" t="s">
        <v>124</v>
      </c>
      <c r="AC366" s="31" t="s">
        <v>125</v>
      </c>
      <c r="AD366" s="50">
        <f t="shared" si="310"/>
        <v>2</v>
      </c>
      <c r="AE366" s="31"/>
      <c r="AF366" s="51">
        <v>14</v>
      </c>
      <c r="AG366" s="51">
        <f t="shared" si="337"/>
        <v>8.4</v>
      </c>
      <c r="AH366" s="51">
        <f t="shared" si="302"/>
        <v>42</v>
      </c>
      <c r="AI366" s="52" t="s">
        <v>2497</v>
      </c>
      <c r="AJ366" s="52" t="s">
        <v>2498</v>
      </c>
      <c r="AK366" s="53">
        <f t="shared" si="338"/>
        <v>5.57869852E-2</v>
      </c>
      <c r="AL366" s="54">
        <f t="shared" si="339"/>
        <v>0.11904761904761904</v>
      </c>
      <c r="AM366" s="54">
        <f t="shared" si="340"/>
        <v>2.3809523809523808E-2</v>
      </c>
      <c r="AN366" s="55">
        <f t="shared" si="341"/>
        <v>1.3282615523809523E-2</v>
      </c>
      <c r="AO366" s="55">
        <f t="shared" si="342"/>
        <v>2.6565231047619045E-3</v>
      </c>
      <c r="AP366" s="53">
        <v>7.1</v>
      </c>
      <c r="AQ366" s="53">
        <f t="shared" si="311"/>
        <v>4.26</v>
      </c>
      <c r="AR366" s="53">
        <f t="shared" si="312"/>
        <v>21.299999999999997</v>
      </c>
      <c r="AS366" s="56">
        <f t="shared" si="313"/>
        <v>4.6948356807511742E-2</v>
      </c>
      <c r="AT366" s="56">
        <f t="shared" si="343"/>
        <v>0.23474178403755869</v>
      </c>
      <c r="AU366" s="56">
        <f t="shared" si="314"/>
        <v>0.176056338028169</v>
      </c>
      <c r="AV366" s="56">
        <f t="shared" si="344"/>
        <v>5.8685446009389672E-2</v>
      </c>
      <c r="AW366" s="57" t="s">
        <v>2511</v>
      </c>
      <c r="AX366" s="57" t="s">
        <v>2512</v>
      </c>
      <c r="AY366" s="57" t="s">
        <v>2513</v>
      </c>
      <c r="AZ366" s="58">
        <f t="shared" si="345"/>
        <v>5.57869852E-2</v>
      </c>
      <c r="BA366" s="59">
        <f t="shared" si="348"/>
        <v>3.2738841079812207E-3</v>
      </c>
      <c r="BB366" s="59">
        <f t="shared" si="349"/>
        <v>9.821652323943662E-3</v>
      </c>
      <c r="BC366" s="59">
        <f t="shared" si="350"/>
        <v>2.6191072863849768E-3</v>
      </c>
      <c r="BD366" s="60">
        <f t="shared" si="346"/>
        <v>9.0909090909090905E-3</v>
      </c>
      <c r="BE366" s="59">
        <f t="shared" si="347"/>
        <v>1.8181818181818181E-2</v>
      </c>
      <c r="BQ366" s="61">
        <v>3000</v>
      </c>
      <c r="BR366" s="61">
        <v>1200</v>
      </c>
      <c r="BS366" s="28">
        <f t="shared" si="315"/>
        <v>2980</v>
      </c>
      <c r="BT366" s="28">
        <f t="shared" si="316"/>
        <v>1180</v>
      </c>
      <c r="BU366" s="28" t="s">
        <v>2541</v>
      </c>
      <c r="BV366" s="28">
        <f t="shared" si="317"/>
        <v>224.63380000000001</v>
      </c>
      <c r="BW366" s="28">
        <f t="shared" si="318"/>
        <v>132</v>
      </c>
      <c r="BX366" s="13">
        <f t="shared" si="319"/>
        <v>13.266035654474081</v>
      </c>
      <c r="BY366" s="13">
        <f t="shared" si="320"/>
        <v>13</v>
      </c>
      <c r="BZ366" s="13">
        <f t="shared" si="321"/>
        <v>8.9393939393939394</v>
      </c>
      <c r="CA366" s="13">
        <f t="shared" si="322"/>
        <v>8</v>
      </c>
      <c r="CB366" s="13">
        <f t="shared" si="323"/>
        <v>104</v>
      </c>
      <c r="CC366" s="62">
        <f t="shared" si="324"/>
        <v>9.6153846153846159E-3</v>
      </c>
      <c r="CD366" s="13">
        <f t="shared" si="325"/>
        <v>22.575757575757574</v>
      </c>
      <c r="CE366" s="13">
        <f t="shared" si="326"/>
        <v>22</v>
      </c>
      <c r="CF366" s="13">
        <f t="shared" si="327"/>
        <v>5.2529939839863813</v>
      </c>
      <c r="CG366" s="13">
        <f t="shared" si="328"/>
        <v>5</v>
      </c>
      <c r="CH366" s="28">
        <f t="shared" si="329"/>
        <v>110</v>
      </c>
      <c r="CI366" s="62">
        <f t="shared" si="330"/>
        <v>9.0909090909090905E-3</v>
      </c>
      <c r="CJ366" s="59">
        <f t="shared" si="331"/>
        <v>9.0909090909090905E-3</v>
      </c>
      <c r="CL366" s="63">
        <v>6000</v>
      </c>
      <c r="CM366" s="63">
        <f t="shared" si="332"/>
        <v>219.63380000000001</v>
      </c>
      <c r="CN366" s="63">
        <f t="shared" si="333"/>
        <v>224.63380000000001</v>
      </c>
      <c r="CO366" s="63">
        <f t="shared" si="334"/>
        <v>26.710138901625665</v>
      </c>
      <c r="CP366" s="13">
        <f t="shared" si="335"/>
        <v>26</v>
      </c>
      <c r="CQ366" s="70">
        <f t="shared" si="336"/>
        <v>3.8461538461538464E-2</v>
      </c>
      <c r="CR366" s="69">
        <f t="shared" si="303"/>
        <v>7.6923076923076927E-2</v>
      </c>
    </row>
    <row r="367" spans="1:96" hidden="1" x14ac:dyDescent="0.25">
      <c r="A367" s="13">
        <v>4</v>
      </c>
      <c r="B367" s="14" t="s">
        <v>983</v>
      </c>
      <c r="C367" s="13" t="s">
        <v>987</v>
      </c>
      <c r="D367" s="13" t="s">
        <v>2479</v>
      </c>
      <c r="E367" s="13" t="s">
        <v>52</v>
      </c>
      <c r="F367" s="15">
        <f t="shared" si="304"/>
        <v>1</v>
      </c>
      <c r="G367" s="13">
        <v>2</v>
      </c>
      <c r="H367" s="13">
        <f>G367*$H$365</f>
        <v>4</v>
      </c>
      <c r="I367" s="13">
        <v>2</v>
      </c>
      <c r="J367" s="14" t="s">
        <v>988</v>
      </c>
      <c r="K367" s="14" t="s">
        <v>34</v>
      </c>
      <c r="L367" s="13" t="s">
        <v>223</v>
      </c>
      <c r="M367" s="14" t="s">
        <v>340</v>
      </c>
      <c r="N367" s="13" t="s">
        <v>2479</v>
      </c>
      <c r="O367" s="28" t="s">
        <v>41</v>
      </c>
      <c r="P367" s="28" t="s">
        <v>41</v>
      </c>
      <c r="Q367" s="28" t="s">
        <v>2479</v>
      </c>
      <c r="R367" s="30"/>
      <c r="S367" s="30"/>
      <c r="T367" s="30"/>
      <c r="U367" s="30"/>
      <c r="V367" s="8">
        <f t="shared" si="306"/>
        <v>0</v>
      </c>
      <c r="W367" s="8">
        <f t="shared" si="307"/>
        <v>0</v>
      </c>
      <c r="X367" s="8">
        <f t="shared" si="308"/>
        <v>0</v>
      </c>
      <c r="Y367" s="33">
        <f t="shared" si="309"/>
        <v>0</v>
      </c>
      <c r="Z367" s="28"/>
      <c r="AA367" s="28"/>
      <c r="AB367" s="61" t="s">
        <v>2479</v>
      </c>
      <c r="AC367" s="31" t="s">
        <v>989</v>
      </c>
      <c r="AD367" s="50">
        <f t="shared" si="310"/>
        <v>4</v>
      </c>
      <c r="AE367" s="31"/>
      <c r="AF367" s="51">
        <v>14</v>
      </c>
      <c r="AG367" s="51">
        <f t="shared" si="337"/>
        <v>8.4</v>
      </c>
      <c r="AH367" s="51">
        <f t="shared" si="302"/>
        <v>42</v>
      </c>
      <c r="AI367" s="52" t="s">
        <v>2497</v>
      </c>
      <c r="AJ367" s="52" t="s">
        <v>2498</v>
      </c>
      <c r="AK367" s="53">
        <f t="shared" si="338"/>
        <v>0</v>
      </c>
      <c r="AL367" s="54">
        <f t="shared" si="339"/>
        <v>0.11904761904761904</v>
      </c>
      <c r="AM367" s="54">
        <f t="shared" si="340"/>
        <v>2.3809523809523808E-2</v>
      </c>
      <c r="AN367" s="55">
        <f t="shared" si="341"/>
        <v>0</v>
      </c>
      <c r="AO367" s="55">
        <f t="shared" si="342"/>
        <v>0</v>
      </c>
      <c r="AP367" s="53">
        <v>7.1</v>
      </c>
      <c r="AQ367" s="53">
        <f t="shared" si="311"/>
        <v>4.26</v>
      </c>
      <c r="AR367" s="53">
        <f t="shared" si="312"/>
        <v>21.299999999999997</v>
      </c>
      <c r="AS367" s="56">
        <f t="shared" si="313"/>
        <v>4.6948356807511742E-2</v>
      </c>
      <c r="AT367" s="56">
        <f t="shared" si="343"/>
        <v>0.23474178403755869</v>
      </c>
      <c r="AU367" s="56">
        <f t="shared" si="314"/>
        <v>0.176056338028169</v>
      </c>
      <c r="AV367" s="56">
        <f t="shared" si="344"/>
        <v>5.8685446009389672E-2</v>
      </c>
      <c r="AW367" s="57" t="s">
        <v>2511</v>
      </c>
      <c r="AX367" s="57" t="s">
        <v>2512</v>
      </c>
      <c r="AY367" s="57" t="s">
        <v>2513</v>
      </c>
      <c r="AZ367" s="58">
        <f t="shared" si="345"/>
        <v>0</v>
      </c>
      <c r="BA367" s="59">
        <f t="shared" si="348"/>
        <v>0</v>
      </c>
      <c r="BB367" s="59">
        <f t="shared" si="349"/>
        <v>0</v>
      </c>
      <c r="BC367" s="59">
        <f t="shared" si="350"/>
        <v>0</v>
      </c>
      <c r="BD367" s="60">
        <f t="shared" si="346"/>
        <v>7.1095438516664771E-6</v>
      </c>
      <c r="BE367" s="59">
        <f t="shared" si="347"/>
        <v>2.8438175406665908E-5</v>
      </c>
      <c r="BQ367" s="61">
        <v>3000</v>
      </c>
      <c r="BR367" s="61">
        <v>1200</v>
      </c>
      <c r="BS367" s="28">
        <f t="shared" si="315"/>
        <v>2980</v>
      </c>
      <c r="BT367" s="28">
        <f t="shared" si="316"/>
        <v>1180</v>
      </c>
      <c r="BU367" s="28" t="s">
        <v>2541</v>
      </c>
      <c r="BV367" s="28">
        <f t="shared" si="317"/>
        <v>5</v>
      </c>
      <c r="BW367" s="28">
        <f t="shared" si="318"/>
        <v>5</v>
      </c>
      <c r="BX367" s="13">
        <f t="shared" si="319"/>
        <v>596</v>
      </c>
      <c r="BY367" s="13">
        <f t="shared" si="320"/>
        <v>596</v>
      </c>
      <c r="BZ367" s="13">
        <f t="shared" si="321"/>
        <v>236</v>
      </c>
      <c r="CA367" s="13">
        <f t="shared" si="322"/>
        <v>236</v>
      </c>
      <c r="CB367" s="13">
        <f t="shared" si="323"/>
        <v>140656</v>
      </c>
      <c r="CC367" s="62">
        <f t="shared" si="324"/>
        <v>7.1095438516664771E-6</v>
      </c>
      <c r="CD367" s="13">
        <f t="shared" si="325"/>
        <v>596</v>
      </c>
      <c r="CE367" s="13">
        <f t="shared" si="326"/>
        <v>596</v>
      </c>
      <c r="CF367" s="13">
        <f t="shared" si="327"/>
        <v>236</v>
      </c>
      <c r="CG367" s="13">
        <f t="shared" si="328"/>
        <v>236</v>
      </c>
      <c r="CH367" s="28">
        <f t="shared" si="329"/>
        <v>140656</v>
      </c>
      <c r="CI367" s="62">
        <f t="shared" si="330"/>
        <v>7.1095438516664771E-6</v>
      </c>
      <c r="CJ367" s="59">
        <f t="shared" si="331"/>
        <v>7.1095438516664771E-6</v>
      </c>
      <c r="CL367" s="63">
        <v>6000</v>
      </c>
      <c r="CM367" s="63">
        <f t="shared" si="332"/>
        <v>0</v>
      </c>
      <c r="CN367" s="63">
        <f t="shared" si="333"/>
        <v>5</v>
      </c>
      <c r="CO367" s="63">
        <f t="shared" si="334"/>
        <v>1200</v>
      </c>
      <c r="CP367" s="13">
        <f t="shared" si="335"/>
        <v>1200</v>
      </c>
      <c r="CQ367" s="70">
        <f t="shared" si="336"/>
        <v>8.3333333333333339E-4</v>
      </c>
      <c r="CR367" s="69">
        <f t="shared" si="303"/>
        <v>3.3333333333333335E-3</v>
      </c>
    </row>
    <row r="368" spans="1:96" hidden="1" x14ac:dyDescent="0.25">
      <c r="A368" s="10">
        <v>3</v>
      </c>
      <c r="B368" s="8" t="s">
        <v>720</v>
      </c>
      <c r="C368" s="10" t="s">
        <v>990</v>
      </c>
      <c r="D368" s="10" t="s">
        <v>2270</v>
      </c>
      <c r="E368" s="10" t="s">
        <v>52</v>
      </c>
      <c r="F368" s="12">
        <f t="shared" si="304"/>
        <v>1</v>
      </c>
      <c r="G368" s="10">
        <v>1</v>
      </c>
      <c r="H368" s="10">
        <f t="shared" ref="H368:H369" si="353">G368*$H$234</f>
        <v>1</v>
      </c>
      <c r="I368" s="10">
        <v>42</v>
      </c>
      <c r="J368" s="8" t="s">
        <v>966</v>
      </c>
      <c r="K368" s="8" t="s">
        <v>34</v>
      </c>
      <c r="L368" s="10">
        <v>0</v>
      </c>
      <c r="M368" s="8" t="s">
        <v>35</v>
      </c>
      <c r="N368" s="10" t="s">
        <v>991</v>
      </c>
      <c r="O368" s="28" t="s">
        <v>41</v>
      </c>
      <c r="P368" s="28" t="s">
        <v>41</v>
      </c>
      <c r="Q368" s="28" t="s">
        <v>991</v>
      </c>
      <c r="R368" s="30">
        <v>70.14</v>
      </c>
      <c r="S368" s="30">
        <v>1.62</v>
      </c>
      <c r="T368" s="30"/>
      <c r="U368" s="30">
        <v>0.98399999999999999</v>
      </c>
      <c r="V368" s="8">
        <f t="shared" si="306"/>
        <v>1781.5559999999998</v>
      </c>
      <c r="W368" s="8">
        <f t="shared" si="307"/>
        <v>41.148000000000003</v>
      </c>
      <c r="X368" s="8">
        <f t="shared" si="308"/>
        <v>0</v>
      </c>
      <c r="Y368" s="33">
        <f t="shared" si="309"/>
        <v>24.993599999999997</v>
      </c>
      <c r="Z368" s="28"/>
      <c r="AA368" s="28"/>
      <c r="AB368" s="61" t="s">
        <v>991</v>
      </c>
      <c r="AC368" s="31" t="s">
        <v>966</v>
      </c>
      <c r="AD368" s="50">
        <f t="shared" si="310"/>
        <v>1</v>
      </c>
      <c r="AE368" s="31"/>
      <c r="AF368" s="51">
        <v>14</v>
      </c>
      <c r="AG368" s="51">
        <f t="shared" si="337"/>
        <v>8.4</v>
      </c>
      <c r="AH368" s="51">
        <f t="shared" si="302"/>
        <v>42</v>
      </c>
      <c r="AI368" s="52" t="s">
        <v>2497</v>
      </c>
      <c r="AJ368" s="52" t="s">
        <v>2498</v>
      </c>
      <c r="AK368" s="53">
        <f t="shared" si="338"/>
        <v>0.146614932576</v>
      </c>
      <c r="AL368" s="54">
        <f t="shared" si="339"/>
        <v>0.11904761904761904</v>
      </c>
      <c r="AM368" s="54">
        <f t="shared" si="340"/>
        <v>2.3809523809523808E-2</v>
      </c>
      <c r="AN368" s="55">
        <f t="shared" si="341"/>
        <v>1.7454158639999998E-2</v>
      </c>
      <c r="AO368" s="55">
        <f t="shared" si="342"/>
        <v>3.4908317279999999E-3</v>
      </c>
      <c r="AP368" s="53">
        <v>7.1</v>
      </c>
      <c r="AQ368" s="53">
        <f t="shared" si="311"/>
        <v>4.26</v>
      </c>
      <c r="AR368" s="53">
        <f t="shared" si="312"/>
        <v>21.299999999999997</v>
      </c>
      <c r="AS368" s="56">
        <f t="shared" si="313"/>
        <v>4.6948356807511742E-2</v>
      </c>
      <c r="AT368" s="56">
        <f t="shared" si="343"/>
        <v>0.23474178403755869</v>
      </c>
      <c r="AU368" s="56">
        <f t="shared" si="314"/>
        <v>0.176056338028169</v>
      </c>
      <c r="AV368" s="56">
        <f t="shared" si="344"/>
        <v>5.8685446009389672E-2</v>
      </c>
      <c r="AW368" s="57" t="s">
        <v>2511</v>
      </c>
      <c r="AX368" s="57" t="s">
        <v>2512</v>
      </c>
      <c r="AY368" s="57" t="s">
        <v>2513</v>
      </c>
      <c r="AZ368" s="58">
        <f t="shared" si="345"/>
        <v>0.146614932576</v>
      </c>
      <c r="BA368" s="59">
        <f t="shared" si="348"/>
        <v>4.3020813549295772E-3</v>
      </c>
      <c r="BB368" s="59">
        <f t="shared" si="349"/>
        <v>1.2906244064788732E-2</v>
      </c>
      <c r="BC368" s="59">
        <f t="shared" si="350"/>
        <v>3.4416650839436624E-3</v>
      </c>
      <c r="BD368" s="60">
        <f t="shared" si="346"/>
        <v>0.04</v>
      </c>
      <c r="BE368" s="59">
        <f t="shared" si="347"/>
        <v>0.04</v>
      </c>
      <c r="BQ368" s="61">
        <v>3000</v>
      </c>
      <c r="BR368" s="61">
        <v>1200</v>
      </c>
      <c r="BS368" s="28">
        <f t="shared" si="315"/>
        <v>2980</v>
      </c>
      <c r="BT368" s="28">
        <f t="shared" si="316"/>
        <v>1180</v>
      </c>
      <c r="BU368" s="28" t="s">
        <v>2541</v>
      </c>
      <c r="BV368" s="28">
        <f t="shared" si="317"/>
        <v>1786.5559999999998</v>
      </c>
      <c r="BW368" s="28">
        <f t="shared" si="318"/>
        <v>46.148000000000003</v>
      </c>
      <c r="BX368" s="13">
        <f t="shared" si="319"/>
        <v>1.6680137650317148</v>
      </c>
      <c r="BY368" s="13">
        <f t="shared" si="320"/>
        <v>1</v>
      </c>
      <c r="BZ368" s="13">
        <f t="shared" si="321"/>
        <v>25.569905521366039</v>
      </c>
      <c r="CA368" s="13">
        <f t="shared" si="322"/>
        <v>25</v>
      </c>
      <c r="CB368" s="13">
        <f t="shared" si="323"/>
        <v>25</v>
      </c>
      <c r="CC368" s="62">
        <f t="shared" si="324"/>
        <v>0.04</v>
      </c>
      <c r="CD368" s="13">
        <f t="shared" si="325"/>
        <v>64.574846147178633</v>
      </c>
      <c r="CE368" s="13">
        <f t="shared" si="326"/>
        <v>64</v>
      </c>
      <c r="CF368" s="13">
        <f t="shared" si="327"/>
        <v>0.6604886720595381</v>
      </c>
      <c r="CG368" s="13">
        <f t="shared" si="328"/>
        <v>0</v>
      </c>
      <c r="CH368" s="28">
        <f t="shared" si="329"/>
        <v>0</v>
      </c>
      <c r="CI368" s="62">
        <f t="shared" si="330"/>
        <v>1</v>
      </c>
      <c r="CJ368" s="59">
        <f t="shared" si="331"/>
        <v>0.04</v>
      </c>
      <c r="CL368" s="63">
        <v>6000</v>
      </c>
      <c r="CM368" s="63">
        <f t="shared" si="332"/>
        <v>1781.5559999999998</v>
      </c>
      <c r="CN368" s="63">
        <f t="shared" si="333"/>
        <v>1786.5559999999998</v>
      </c>
      <c r="CO368" s="63">
        <f t="shared" si="334"/>
        <v>3.3584169765739227</v>
      </c>
      <c r="CP368" s="13">
        <f t="shared" si="335"/>
        <v>3</v>
      </c>
      <c r="CQ368" s="70">
        <f t="shared" si="336"/>
        <v>0.33333333333333331</v>
      </c>
      <c r="CR368" s="69">
        <f t="shared" si="303"/>
        <v>0.33333333333333331</v>
      </c>
    </row>
    <row r="369" spans="1:96" hidden="1" x14ac:dyDescent="0.25">
      <c r="A369" s="10">
        <v>3</v>
      </c>
      <c r="B369" s="8" t="s">
        <v>720</v>
      </c>
      <c r="C369" s="10" t="s">
        <v>992</v>
      </c>
      <c r="D369" s="10" t="s">
        <v>2270</v>
      </c>
      <c r="E369" s="10" t="s">
        <v>32</v>
      </c>
      <c r="F369" s="12">
        <f t="shared" si="304"/>
        <v>1</v>
      </c>
      <c r="G369" s="10">
        <v>9</v>
      </c>
      <c r="H369" s="10">
        <f t="shared" si="353"/>
        <v>9</v>
      </c>
      <c r="I369" s="10">
        <v>43</v>
      </c>
      <c r="J369" s="8" t="s">
        <v>847</v>
      </c>
      <c r="K369" s="8" t="s">
        <v>34</v>
      </c>
      <c r="L369" s="10">
        <v>0</v>
      </c>
      <c r="M369" s="8" t="s">
        <v>35</v>
      </c>
      <c r="N369" s="10" t="s">
        <v>993</v>
      </c>
      <c r="O369" s="28" t="s">
        <v>41</v>
      </c>
      <c r="P369" s="28" t="s">
        <v>41</v>
      </c>
      <c r="Q369" s="28"/>
      <c r="R369" s="30"/>
      <c r="S369" s="30"/>
      <c r="T369" s="30"/>
      <c r="U369" s="30"/>
      <c r="V369" s="8">
        <f t="shared" si="306"/>
        <v>0</v>
      </c>
      <c r="W369" s="8">
        <f t="shared" si="307"/>
        <v>0</v>
      </c>
      <c r="X369" s="8">
        <f t="shared" si="308"/>
        <v>0</v>
      </c>
      <c r="Y369" s="33">
        <f t="shared" si="309"/>
        <v>0</v>
      </c>
      <c r="Z369" s="28"/>
      <c r="AA369" s="28"/>
      <c r="AB369" s="28">
        <v>0</v>
      </c>
      <c r="AC369" s="31"/>
      <c r="AD369" s="50">
        <f t="shared" si="310"/>
        <v>9</v>
      </c>
      <c r="AE369" s="31"/>
      <c r="AF369" s="51">
        <v>14</v>
      </c>
      <c r="AG369" s="51">
        <f t="shared" si="337"/>
        <v>8.4</v>
      </c>
      <c r="AH369" s="51">
        <f t="shared" si="302"/>
        <v>42</v>
      </c>
      <c r="AI369" s="52" t="s">
        <v>2497</v>
      </c>
      <c r="AJ369" s="52" t="s">
        <v>2498</v>
      </c>
      <c r="AK369" s="53">
        <f t="shared" si="338"/>
        <v>0</v>
      </c>
      <c r="AL369" s="54">
        <f t="shared" si="339"/>
        <v>0.11904761904761904</v>
      </c>
      <c r="AM369" s="54">
        <f t="shared" si="340"/>
        <v>2.3809523809523808E-2</v>
      </c>
      <c r="AN369" s="55">
        <f t="shared" si="341"/>
        <v>0</v>
      </c>
      <c r="AO369" s="55">
        <f t="shared" si="342"/>
        <v>0</v>
      </c>
      <c r="AP369" s="53">
        <v>7.1</v>
      </c>
      <c r="AQ369" s="53">
        <f t="shared" si="311"/>
        <v>4.26</v>
      </c>
      <c r="AR369" s="53">
        <f t="shared" si="312"/>
        <v>21.299999999999997</v>
      </c>
      <c r="AS369" s="56">
        <f t="shared" si="313"/>
        <v>4.6948356807511742E-2</v>
      </c>
      <c r="AT369" s="56">
        <f t="shared" si="343"/>
        <v>0.23474178403755869</v>
      </c>
      <c r="AU369" s="56">
        <f t="shared" si="314"/>
        <v>0.176056338028169</v>
      </c>
      <c r="AV369" s="56">
        <f t="shared" si="344"/>
        <v>5.8685446009389672E-2</v>
      </c>
      <c r="AW369" s="57" t="s">
        <v>2511</v>
      </c>
      <c r="AX369" s="57" t="s">
        <v>2512</v>
      </c>
      <c r="AY369" s="57" t="s">
        <v>2513</v>
      </c>
      <c r="AZ369" s="58">
        <f t="shared" si="345"/>
        <v>0</v>
      </c>
      <c r="BA369" s="59">
        <f t="shared" si="348"/>
        <v>0</v>
      </c>
      <c r="BB369" s="59">
        <f t="shared" si="349"/>
        <v>0</v>
      </c>
      <c r="BC369" s="59">
        <f t="shared" si="350"/>
        <v>0</v>
      </c>
      <c r="BD369" s="60">
        <f t="shared" si="346"/>
        <v>0</v>
      </c>
      <c r="BE369" s="59">
        <f t="shared" si="347"/>
        <v>0</v>
      </c>
      <c r="BQ369" s="61">
        <v>3000</v>
      </c>
      <c r="BR369" s="61">
        <v>1200</v>
      </c>
      <c r="BS369" s="28">
        <f t="shared" si="315"/>
        <v>2980</v>
      </c>
      <c r="BT369" s="28">
        <f t="shared" si="316"/>
        <v>1180</v>
      </c>
      <c r="BU369" s="28" t="s">
        <v>2541</v>
      </c>
      <c r="BV369" s="28">
        <f t="shared" si="317"/>
        <v>5</v>
      </c>
      <c r="BW369" s="28">
        <f t="shared" si="318"/>
        <v>5</v>
      </c>
      <c r="BX369" s="13">
        <f t="shared" si="319"/>
        <v>596</v>
      </c>
      <c r="BY369" s="13">
        <f t="shared" si="320"/>
        <v>596</v>
      </c>
      <c r="BZ369" s="13">
        <f t="shared" si="321"/>
        <v>236</v>
      </c>
      <c r="CA369" s="13">
        <f t="shared" si="322"/>
        <v>236</v>
      </c>
      <c r="CB369" s="13">
        <f t="shared" si="323"/>
        <v>140656</v>
      </c>
      <c r="CC369" s="62" t="str">
        <f t="shared" si="324"/>
        <v/>
      </c>
      <c r="CD369" s="13">
        <f t="shared" si="325"/>
        <v>596</v>
      </c>
      <c r="CE369" s="13">
        <f t="shared" si="326"/>
        <v>596</v>
      </c>
      <c r="CF369" s="13">
        <f t="shared" si="327"/>
        <v>236</v>
      </c>
      <c r="CG369" s="13">
        <f t="shared" si="328"/>
        <v>236</v>
      </c>
      <c r="CH369" s="28">
        <f t="shared" si="329"/>
        <v>140656</v>
      </c>
      <c r="CI369" s="62" t="str">
        <f t="shared" si="330"/>
        <v/>
      </c>
      <c r="CJ369" s="59">
        <f t="shared" si="331"/>
        <v>0</v>
      </c>
      <c r="CL369" s="63">
        <v>6000</v>
      </c>
      <c r="CM369" s="63">
        <f t="shared" si="332"/>
        <v>0</v>
      </c>
      <c r="CN369" s="63">
        <f t="shared" si="333"/>
        <v>5</v>
      </c>
      <c r="CO369" s="63">
        <f t="shared" si="334"/>
        <v>1200</v>
      </c>
      <c r="CP369" s="13">
        <f t="shared" si="335"/>
        <v>1200</v>
      </c>
      <c r="CQ369" s="70">
        <f t="shared" si="336"/>
        <v>8.3333333333333339E-4</v>
      </c>
      <c r="CR369" s="69">
        <f t="shared" si="303"/>
        <v>7.5000000000000006E-3</v>
      </c>
    </row>
    <row r="370" spans="1:96" hidden="1" x14ac:dyDescent="0.25">
      <c r="A370" s="13">
        <v>4</v>
      </c>
      <c r="B370" s="14" t="s">
        <v>994</v>
      </c>
      <c r="C370" s="13" t="s">
        <v>995</v>
      </c>
      <c r="D370" s="13" t="s">
        <v>2270</v>
      </c>
      <c r="E370" s="13" t="s">
        <v>52</v>
      </c>
      <c r="F370" s="15">
        <f t="shared" si="304"/>
        <v>1</v>
      </c>
      <c r="G370" s="13">
        <v>1</v>
      </c>
      <c r="H370" s="13">
        <f>G370*$H$369</f>
        <v>9</v>
      </c>
      <c r="I370" s="13">
        <v>1</v>
      </c>
      <c r="J370" s="14" t="s">
        <v>996</v>
      </c>
      <c r="K370" s="14" t="s">
        <v>34</v>
      </c>
      <c r="L370" s="13">
        <v>0</v>
      </c>
      <c r="M370" s="14" t="s">
        <v>35</v>
      </c>
      <c r="N370" s="13" t="s">
        <v>997</v>
      </c>
      <c r="O370" s="28" t="s">
        <v>41</v>
      </c>
      <c r="P370" s="28" t="s">
        <v>41</v>
      </c>
      <c r="Q370" s="28" t="s">
        <v>124</v>
      </c>
      <c r="R370" s="30">
        <v>2.3239999999999998</v>
      </c>
      <c r="S370" s="30">
        <v>1.5</v>
      </c>
      <c r="T370" s="30"/>
      <c r="U370" s="30">
        <v>9.8000000000000004E-2</v>
      </c>
      <c r="V370" s="8">
        <f t="shared" si="306"/>
        <v>59.029599999999995</v>
      </c>
      <c r="W370" s="8">
        <f t="shared" si="307"/>
        <v>38.099999999999994</v>
      </c>
      <c r="X370" s="8">
        <f t="shared" si="308"/>
        <v>0</v>
      </c>
      <c r="Y370" s="33">
        <f t="shared" si="309"/>
        <v>2.4891999999999999</v>
      </c>
      <c r="Z370" s="28" t="s">
        <v>56</v>
      </c>
      <c r="AA370" s="28" t="s">
        <v>57</v>
      </c>
      <c r="AB370" s="61" t="s">
        <v>124</v>
      </c>
      <c r="AC370" s="31" t="s">
        <v>125</v>
      </c>
      <c r="AD370" s="50">
        <f t="shared" si="310"/>
        <v>9</v>
      </c>
      <c r="AE370" s="31"/>
      <c r="AF370" s="51">
        <v>14</v>
      </c>
      <c r="AG370" s="51">
        <f t="shared" si="337"/>
        <v>8.4</v>
      </c>
      <c r="AH370" s="51">
        <f t="shared" si="302"/>
        <v>42</v>
      </c>
      <c r="AI370" s="52" t="s">
        <v>2497</v>
      </c>
      <c r="AJ370" s="52" t="s">
        <v>2498</v>
      </c>
      <c r="AK370" s="53">
        <f t="shared" si="338"/>
        <v>4.4980555199999987E-3</v>
      </c>
      <c r="AL370" s="54">
        <f t="shared" si="339"/>
        <v>0.11904761904761904</v>
      </c>
      <c r="AM370" s="54">
        <f t="shared" si="340"/>
        <v>2.3809523809523808E-2</v>
      </c>
      <c r="AN370" s="55">
        <f t="shared" si="341"/>
        <v>4.8193451999999984E-3</v>
      </c>
      <c r="AO370" s="55">
        <f t="shared" si="342"/>
        <v>9.6386903999999963E-4</v>
      </c>
      <c r="AP370" s="53">
        <v>7.1</v>
      </c>
      <c r="AQ370" s="53">
        <f t="shared" si="311"/>
        <v>4.26</v>
      </c>
      <c r="AR370" s="53">
        <f t="shared" si="312"/>
        <v>21.299999999999997</v>
      </c>
      <c r="AS370" s="56">
        <f t="shared" si="313"/>
        <v>4.6948356807511742E-2</v>
      </c>
      <c r="AT370" s="56">
        <f t="shared" si="343"/>
        <v>0.23474178403755869</v>
      </c>
      <c r="AU370" s="56">
        <f t="shared" si="314"/>
        <v>0.176056338028169</v>
      </c>
      <c r="AV370" s="56">
        <f t="shared" si="344"/>
        <v>5.8685446009389672E-2</v>
      </c>
      <c r="AW370" s="57" t="s">
        <v>2511</v>
      </c>
      <c r="AX370" s="57" t="s">
        <v>2512</v>
      </c>
      <c r="AY370" s="57" t="s">
        <v>2513</v>
      </c>
      <c r="AZ370" s="58">
        <f t="shared" si="345"/>
        <v>4.4980555199999987E-3</v>
      </c>
      <c r="BA370" s="59">
        <f t="shared" si="348"/>
        <v>1.1878667746478869E-3</v>
      </c>
      <c r="BB370" s="59">
        <f t="shared" si="349"/>
        <v>3.5636003239436606E-3</v>
      </c>
      <c r="BC370" s="59">
        <f t="shared" si="350"/>
        <v>9.5029341971830964E-4</v>
      </c>
      <c r="BD370" s="60">
        <f t="shared" si="346"/>
        <v>8.0515297906602254E-4</v>
      </c>
      <c r="BE370" s="59">
        <f t="shared" si="347"/>
        <v>7.246376811594203E-3</v>
      </c>
      <c r="BQ370" s="61">
        <v>3000</v>
      </c>
      <c r="BR370" s="61">
        <v>1200</v>
      </c>
      <c r="BS370" s="28">
        <f t="shared" si="315"/>
        <v>2980</v>
      </c>
      <c r="BT370" s="28">
        <f t="shared" si="316"/>
        <v>1180</v>
      </c>
      <c r="BU370" s="28" t="s">
        <v>2541</v>
      </c>
      <c r="BV370" s="28">
        <f t="shared" si="317"/>
        <v>64.029599999999988</v>
      </c>
      <c r="BW370" s="28">
        <f t="shared" si="318"/>
        <v>43.099999999999994</v>
      </c>
      <c r="BX370" s="13">
        <f t="shared" si="319"/>
        <v>46.5409747991554</v>
      </c>
      <c r="BY370" s="13">
        <f t="shared" si="320"/>
        <v>46</v>
      </c>
      <c r="BZ370" s="13">
        <f t="shared" si="321"/>
        <v>27.378190255220421</v>
      </c>
      <c r="CA370" s="13">
        <f t="shared" si="322"/>
        <v>27</v>
      </c>
      <c r="CB370" s="13">
        <f t="shared" si="323"/>
        <v>1242</v>
      </c>
      <c r="CC370" s="62">
        <f t="shared" si="324"/>
        <v>8.0515297906602254E-4</v>
      </c>
      <c r="CD370" s="13">
        <f t="shared" si="325"/>
        <v>69.141531322505813</v>
      </c>
      <c r="CE370" s="13">
        <f t="shared" si="326"/>
        <v>69</v>
      </c>
      <c r="CF370" s="13">
        <f t="shared" si="327"/>
        <v>18.428976598323278</v>
      </c>
      <c r="CG370" s="13">
        <f t="shared" si="328"/>
        <v>18</v>
      </c>
      <c r="CH370" s="28">
        <f t="shared" si="329"/>
        <v>1242</v>
      </c>
      <c r="CI370" s="62">
        <f t="shared" si="330"/>
        <v>8.0515297906602254E-4</v>
      </c>
      <c r="CJ370" s="59">
        <f t="shared" si="331"/>
        <v>8.0515297906602254E-4</v>
      </c>
      <c r="CL370" s="63">
        <v>6000</v>
      </c>
      <c r="CM370" s="63">
        <f t="shared" si="332"/>
        <v>59.029599999999995</v>
      </c>
      <c r="CN370" s="63">
        <f t="shared" si="333"/>
        <v>64.029599999999988</v>
      </c>
      <c r="CO370" s="63">
        <f t="shared" si="334"/>
        <v>93.706660669440396</v>
      </c>
      <c r="CP370" s="13">
        <f t="shared" si="335"/>
        <v>93</v>
      </c>
      <c r="CQ370" s="70">
        <f t="shared" si="336"/>
        <v>1.0752688172043012E-2</v>
      </c>
      <c r="CR370" s="69">
        <f t="shared" si="303"/>
        <v>9.6774193548387108E-2</v>
      </c>
    </row>
    <row r="371" spans="1:96" hidden="1" x14ac:dyDescent="0.25">
      <c r="A371" s="13">
        <v>4</v>
      </c>
      <c r="B371" s="14" t="s">
        <v>994</v>
      </c>
      <c r="C371" s="13" t="s">
        <v>998</v>
      </c>
      <c r="D371" s="13" t="s">
        <v>2480</v>
      </c>
      <c r="E371" s="13" t="s">
        <v>52</v>
      </c>
      <c r="F371" s="15">
        <f t="shared" si="304"/>
        <v>1</v>
      </c>
      <c r="G371" s="13">
        <v>1</v>
      </c>
      <c r="H371" s="13">
        <f>G371*$H$369</f>
        <v>9</v>
      </c>
      <c r="I371" s="13">
        <v>2</v>
      </c>
      <c r="J371" s="14" t="s">
        <v>999</v>
      </c>
      <c r="K371" s="14" t="s">
        <v>34</v>
      </c>
      <c r="L371" s="13" t="s">
        <v>223</v>
      </c>
      <c r="M371" s="14" t="s">
        <v>340</v>
      </c>
      <c r="N371" s="13" t="s">
        <v>2480</v>
      </c>
      <c r="O371" s="28" t="s">
        <v>41</v>
      </c>
      <c r="P371" s="28" t="s">
        <v>41</v>
      </c>
      <c r="Q371" s="28" t="s">
        <v>2480</v>
      </c>
      <c r="R371" s="30"/>
      <c r="S371" s="30"/>
      <c r="T371" s="30"/>
      <c r="U371" s="30"/>
      <c r="V371" s="8">
        <f t="shared" si="306"/>
        <v>0</v>
      </c>
      <c r="W371" s="8">
        <f t="shared" si="307"/>
        <v>0</v>
      </c>
      <c r="X371" s="8">
        <f t="shared" si="308"/>
        <v>0</v>
      </c>
      <c r="Y371" s="33">
        <f t="shared" si="309"/>
        <v>0</v>
      </c>
      <c r="Z371" s="28"/>
      <c r="AA371" s="28"/>
      <c r="AB371" s="61" t="s">
        <v>2480</v>
      </c>
      <c r="AC371" s="31" t="s">
        <v>1000</v>
      </c>
      <c r="AD371" s="50">
        <f t="shared" si="310"/>
        <v>9</v>
      </c>
      <c r="AE371" s="31"/>
      <c r="AF371" s="51">
        <v>14</v>
      </c>
      <c r="AG371" s="51">
        <f t="shared" si="337"/>
        <v>8.4</v>
      </c>
      <c r="AH371" s="51">
        <f t="shared" si="302"/>
        <v>42</v>
      </c>
      <c r="AI371" s="52" t="s">
        <v>2497</v>
      </c>
      <c r="AJ371" s="52" t="s">
        <v>2498</v>
      </c>
      <c r="AK371" s="53">
        <f t="shared" si="338"/>
        <v>0</v>
      </c>
      <c r="AL371" s="54">
        <f t="shared" si="339"/>
        <v>0.11904761904761904</v>
      </c>
      <c r="AM371" s="54">
        <f t="shared" si="340"/>
        <v>2.3809523809523808E-2</v>
      </c>
      <c r="AN371" s="55">
        <f t="shared" si="341"/>
        <v>0</v>
      </c>
      <c r="AO371" s="55">
        <f t="shared" si="342"/>
        <v>0</v>
      </c>
      <c r="AP371" s="53">
        <v>7.1</v>
      </c>
      <c r="AQ371" s="53">
        <f t="shared" si="311"/>
        <v>4.26</v>
      </c>
      <c r="AR371" s="53">
        <f t="shared" si="312"/>
        <v>21.299999999999997</v>
      </c>
      <c r="AS371" s="56">
        <f t="shared" si="313"/>
        <v>4.6948356807511742E-2</v>
      </c>
      <c r="AT371" s="56">
        <f t="shared" si="343"/>
        <v>0.23474178403755869</v>
      </c>
      <c r="AU371" s="56">
        <f t="shared" si="314"/>
        <v>0.176056338028169</v>
      </c>
      <c r="AV371" s="56">
        <f t="shared" si="344"/>
        <v>5.8685446009389672E-2</v>
      </c>
      <c r="AW371" s="57" t="s">
        <v>2511</v>
      </c>
      <c r="AX371" s="57" t="s">
        <v>2512</v>
      </c>
      <c r="AY371" s="57" t="s">
        <v>2513</v>
      </c>
      <c r="AZ371" s="58">
        <f t="shared" si="345"/>
        <v>0</v>
      </c>
      <c r="BA371" s="59">
        <f t="shared" si="348"/>
        <v>0</v>
      </c>
      <c r="BB371" s="59">
        <f t="shared" si="349"/>
        <v>0</v>
      </c>
      <c r="BC371" s="59">
        <f t="shared" si="350"/>
        <v>0</v>
      </c>
      <c r="BD371" s="60">
        <f t="shared" si="346"/>
        <v>7.1095438516664771E-6</v>
      </c>
      <c r="BE371" s="59">
        <f t="shared" si="347"/>
        <v>6.39858946649983E-5</v>
      </c>
      <c r="BQ371" s="61">
        <v>3000</v>
      </c>
      <c r="BR371" s="61">
        <v>1200</v>
      </c>
      <c r="BS371" s="28">
        <f t="shared" si="315"/>
        <v>2980</v>
      </c>
      <c r="BT371" s="28">
        <f t="shared" si="316"/>
        <v>1180</v>
      </c>
      <c r="BU371" s="28" t="s">
        <v>2541</v>
      </c>
      <c r="BV371" s="28">
        <f t="shared" si="317"/>
        <v>5</v>
      </c>
      <c r="BW371" s="28">
        <f t="shared" si="318"/>
        <v>5</v>
      </c>
      <c r="BX371" s="13">
        <f t="shared" si="319"/>
        <v>596</v>
      </c>
      <c r="BY371" s="13">
        <f t="shared" si="320"/>
        <v>596</v>
      </c>
      <c r="BZ371" s="13">
        <f t="shared" si="321"/>
        <v>236</v>
      </c>
      <c r="CA371" s="13">
        <f t="shared" si="322"/>
        <v>236</v>
      </c>
      <c r="CB371" s="13">
        <f t="shared" si="323"/>
        <v>140656</v>
      </c>
      <c r="CC371" s="62">
        <f t="shared" si="324"/>
        <v>7.1095438516664771E-6</v>
      </c>
      <c r="CD371" s="13">
        <f t="shared" si="325"/>
        <v>596</v>
      </c>
      <c r="CE371" s="13">
        <f t="shared" si="326"/>
        <v>596</v>
      </c>
      <c r="CF371" s="13">
        <f t="shared" si="327"/>
        <v>236</v>
      </c>
      <c r="CG371" s="13">
        <f t="shared" si="328"/>
        <v>236</v>
      </c>
      <c r="CH371" s="28">
        <f t="shared" si="329"/>
        <v>140656</v>
      </c>
      <c r="CI371" s="62">
        <f t="shared" si="330"/>
        <v>7.1095438516664771E-6</v>
      </c>
      <c r="CJ371" s="59">
        <f t="shared" si="331"/>
        <v>7.1095438516664771E-6</v>
      </c>
      <c r="CL371" s="63">
        <v>6000</v>
      </c>
      <c r="CM371" s="63">
        <f t="shared" si="332"/>
        <v>0</v>
      </c>
      <c r="CN371" s="63">
        <f t="shared" si="333"/>
        <v>5</v>
      </c>
      <c r="CO371" s="63">
        <f t="shared" si="334"/>
        <v>1200</v>
      </c>
      <c r="CP371" s="13">
        <f t="shared" si="335"/>
        <v>1200</v>
      </c>
      <c r="CQ371" s="70">
        <f t="shared" si="336"/>
        <v>8.3333333333333339E-4</v>
      </c>
      <c r="CR371" s="69">
        <f t="shared" si="303"/>
        <v>7.5000000000000006E-3</v>
      </c>
    </row>
    <row r="372" spans="1:96" hidden="1" x14ac:dyDescent="0.25">
      <c r="A372" s="10">
        <v>3</v>
      </c>
      <c r="B372" s="8" t="s">
        <v>720</v>
      </c>
      <c r="C372" s="10" t="s">
        <v>1001</v>
      </c>
      <c r="D372" s="10" t="s">
        <v>2270</v>
      </c>
      <c r="E372" s="10" t="s">
        <v>32</v>
      </c>
      <c r="F372" s="12">
        <f t="shared" si="304"/>
        <v>1</v>
      </c>
      <c r="G372" s="10">
        <v>4</v>
      </c>
      <c r="H372" s="10">
        <f>G372*$H$234</f>
        <v>4</v>
      </c>
      <c r="I372" s="10">
        <v>44</v>
      </c>
      <c r="J372" s="8" t="s">
        <v>1002</v>
      </c>
      <c r="K372" s="8" t="s">
        <v>34</v>
      </c>
      <c r="L372" s="10">
        <v>0</v>
      </c>
      <c r="M372" s="8" t="s">
        <v>35</v>
      </c>
      <c r="N372" s="10" t="s">
        <v>1003</v>
      </c>
      <c r="O372" s="28" t="s">
        <v>41</v>
      </c>
      <c r="P372" s="28" t="s">
        <v>41</v>
      </c>
      <c r="Q372" s="28"/>
      <c r="R372" s="30"/>
      <c r="S372" s="30"/>
      <c r="T372" s="30"/>
      <c r="U372" s="30"/>
      <c r="V372" s="8">
        <f t="shared" si="306"/>
        <v>0</v>
      </c>
      <c r="W372" s="8">
        <f t="shared" si="307"/>
        <v>0</v>
      </c>
      <c r="X372" s="8">
        <f t="shared" si="308"/>
        <v>0</v>
      </c>
      <c r="Y372" s="33">
        <f t="shared" si="309"/>
        <v>0</v>
      </c>
      <c r="Z372" s="28"/>
      <c r="AA372" s="28"/>
      <c r="AB372" s="28">
        <v>0</v>
      </c>
      <c r="AC372" s="31"/>
      <c r="AD372" s="50">
        <f t="shared" si="310"/>
        <v>4</v>
      </c>
      <c r="AE372" s="31"/>
      <c r="AF372" s="51">
        <v>14</v>
      </c>
      <c r="AG372" s="51">
        <f t="shared" si="337"/>
        <v>8.4</v>
      </c>
      <c r="AH372" s="51">
        <f t="shared" si="302"/>
        <v>42</v>
      </c>
      <c r="AI372" s="52" t="s">
        <v>2497</v>
      </c>
      <c r="AJ372" s="52" t="s">
        <v>2498</v>
      </c>
      <c r="AK372" s="53">
        <f t="shared" si="338"/>
        <v>0</v>
      </c>
      <c r="AL372" s="54">
        <f t="shared" si="339"/>
        <v>0.11904761904761904</v>
      </c>
      <c r="AM372" s="54">
        <f t="shared" si="340"/>
        <v>2.3809523809523808E-2</v>
      </c>
      <c r="AN372" s="55">
        <f t="shared" si="341"/>
        <v>0</v>
      </c>
      <c r="AO372" s="55">
        <f t="shared" si="342"/>
        <v>0</v>
      </c>
      <c r="AP372" s="53">
        <v>7.1</v>
      </c>
      <c r="AQ372" s="53">
        <f t="shared" si="311"/>
        <v>4.26</v>
      </c>
      <c r="AR372" s="53">
        <f t="shared" si="312"/>
        <v>21.299999999999997</v>
      </c>
      <c r="AS372" s="56">
        <f t="shared" si="313"/>
        <v>4.6948356807511742E-2</v>
      </c>
      <c r="AT372" s="56">
        <f t="shared" si="343"/>
        <v>0.23474178403755869</v>
      </c>
      <c r="AU372" s="56">
        <f t="shared" si="314"/>
        <v>0.176056338028169</v>
      </c>
      <c r="AV372" s="56">
        <f t="shared" si="344"/>
        <v>5.8685446009389672E-2</v>
      </c>
      <c r="AW372" s="57" t="s">
        <v>2511</v>
      </c>
      <c r="AX372" s="57" t="s">
        <v>2512</v>
      </c>
      <c r="AY372" s="57" t="s">
        <v>2513</v>
      </c>
      <c r="AZ372" s="58">
        <f t="shared" si="345"/>
        <v>0</v>
      </c>
      <c r="BA372" s="59">
        <f t="shared" si="348"/>
        <v>0</v>
      </c>
      <c r="BB372" s="59">
        <f t="shared" si="349"/>
        <v>0</v>
      </c>
      <c r="BC372" s="59">
        <f t="shared" si="350"/>
        <v>0</v>
      </c>
      <c r="BD372" s="60">
        <f t="shared" si="346"/>
        <v>0</v>
      </c>
      <c r="BE372" s="59">
        <f t="shared" si="347"/>
        <v>0</v>
      </c>
      <c r="BQ372" s="61">
        <v>3000</v>
      </c>
      <c r="BR372" s="61">
        <v>1200</v>
      </c>
      <c r="BS372" s="28">
        <f t="shared" si="315"/>
        <v>2980</v>
      </c>
      <c r="BT372" s="28">
        <f t="shared" si="316"/>
        <v>1180</v>
      </c>
      <c r="BU372" s="28" t="s">
        <v>2541</v>
      </c>
      <c r="BV372" s="28">
        <f t="shared" si="317"/>
        <v>5</v>
      </c>
      <c r="BW372" s="28">
        <f t="shared" si="318"/>
        <v>5</v>
      </c>
      <c r="BX372" s="13">
        <f t="shared" si="319"/>
        <v>596</v>
      </c>
      <c r="BY372" s="13">
        <f t="shared" si="320"/>
        <v>596</v>
      </c>
      <c r="BZ372" s="13">
        <f t="shared" si="321"/>
        <v>236</v>
      </c>
      <c r="CA372" s="13">
        <f t="shared" si="322"/>
        <v>236</v>
      </c>
      <c r="CB372" s="13">
        <f t="shared" si="323"/>
        <v>140656</v>
      </c>
      <c r="CC372" s="62" t="str">
        <f t="shared" si="324"/>
        <v/>
      </c>
      <c r="CD372" s="13">
        <f t="shared" si="325"/>
        <v>596</v>
      </c>
      <c r="CE372" s="13">
        <f t="shared" si="326"/>
        <v>596</v>
      </c>
      <c r="CF372" s="13">
        <f t="shared" si="327"/>
        <v>236</v>
      </c>
      <c r="CG372" s="13">
        <f t="shared" si="328"/>
        <v>236</v>
      </c>
      <c r="CH372" s="28">
        <f t="shared" si="329"/>
        <v>140656</v>
      </c>
      <c r="CI372" s="62" t="str">
        <f t="shared" si="330"/>
        <v/>
      </c>
      <c r="CJ372" s="59">
        <f t="shared" si="331"/>
        <v>0</v>
      </c>
      <c r="CL372" s="63">
        <v>6000</v>
      </c>
      <c r="CM372" s="63">
        <f t="shared" si="332"/>
        <v>0</v>
      </c>
      <c r="CN372" s="63">
        <f t="shared" si="333"/>
        <v>5</v>
      </c>
      <c r="CO372" s="63">
        <f t="shared" si="334"/>
        <v>1200</v>
      </c>
      <c r="CP372" s="13">
        <f t="shared" si="335"/>
        <v>1200</v>
      </c>
      <c r="CQ372" s="70">
        <f t="shared" si="336"/>
        <v>8.3333333333333339E-4</v>
      </c>
      <c r="CR372" s="69">
        <f t="shared" si="303"/>
        <v>3.3333333333333335E-3</v>
      </c>
    </row>
    <row r="373" spans="1:96" hidden="1" x14ac:dyDescent="0.25">
      <c r="A373" s="13">
        <v>4</v>
      </c>
      <c r="B373" s="14" t="s">
        <v>1004</v>
      </c>
      <c r="C373" s="13" t="s">
        <v>1005</v>
      </c>
      <c r="D373" s="13" t="s">
        <v>2270</v>
      </c>
      <c r="E373" s="13" t="s">
        <v>52</v>
      </c>
      <c r="F373" s="15">
        <f t="shared" si="304"/>
        <v>1</v>
      </c>
      <c r="G373" s="13">
        <v>1</v>
      </c>
      <c r="H373" s="13">
        <f>G373*$H$372</f>
        <v>4</v>
      </c>
      <c r="I373" s="13">
        <v>1</v>
      </c>
      <c r="J373" s="14" t="s">
        <v>1006</v>
      </c>
      <c r="K373" s="14" t="s">
        <v>34</v>
      </c>
      <c r="L373" s="13">
        <v>0</v>
      </c>
      <c r="M373" s="14" t="s">
        <v>35</v>
      </c>
      <c r="N373" s="13" t="s">
        <v>1007</v>
      </c>
      <c r="O373" s="28" t="s">
        <v>41</v>
      </c>
      <c r="P373" s="28" t="s">
        <v>41</v>
      </c>
      <c r="Q373" s="28" t="s">
        <v>124</v>
      </c>
      <c r="R373" s="30">
        <v>7.1470000000000002</v>
      </c>
      <c r="S373" s="30">
        <v>2</v>
      </c>
      <c r="T373" s="30"/>
      <c r="U373" s="30">
        <v>9.8000000000000004E-2</v>
      </c>
      <c r="V373" s="8">
        <f t="shared" si="306"/>
        <v>181.53379999999999</v>
      </c>
      <c r="W373" s="8">
        <f t="shared" si="307"/>
        <v>50.8</v>
      </c>
      <c r="X373" s="8">
        <f t="shared" si="308"/>
        <v>0</v>
      </c>
      <c r="Y373" s="33">
        <f t="shared" si="309"/>
        <v>2.4891999999999999</v>
      </c>
      <c r="Z373" s="28" t="s">
        <v>56</v>
      </c>
      <c r="AA373" s="28" t="s">
        <v>57</v>
      </c>
      <c r="AB373" s="61" t="s">
        <v>124</v>
      </c>
      <c r="AC373" s="31" t="s">
        <v>125</v>
      </c>
      <c r="AD373" s="50">
        <f t="shared" si="310"/>
        <v>4</v>
      </c>
      <c r="AE373" s="31"/>
      <c r="AF373" s="51">
        <v>14</v>
      </c>
      <c r="AG373" s="51">
        <f t="shared" si="337"/>
        <v>8.4</v>
      </c>
      <c r="AH373" s="51">
        <f t="shared" si="302"/>
        <v>42</v>
      </c>
      <c r="AI373" s="52" t="s">
        <v>2497</v>
      </c>
      <c r="AJ373" s="52" t="s">
        <v>2498</v>
      </c>
      <c r="AK373" s="53">
        <f t="shared" si="338"/>
        <v>1.8443834079999995E-2</v>
      </c>
      <c r="AL373" s="54">
        <f t="shared" si="339"/>
        <v>0.11904761904761904</v>
      </c>
      <c r="AM373" s="54">
        <f t="shared" si="340"/>
        <v>2.3809523809523808E-2</v>
      </c>
      <c r="AN373" s="55">
        <f t="shared" si="341"/>
        <v>8.7827781333333303E-3</v>
      </c>
      <c r="AO373" s="55">
        <f t="shared" si="342"/>
        <v>1.7565556266666662E-3</v>
      </c>
      <c r="AP373" s="53">
        <v>7.1</v>
      </c>
      <c r="AQ373" s="53">
        <f t="shared" si="311"/>
        <v>4.26</v>
      </c>
      <c r="AR373" s="53">
        <f t="shared" si="312"/>
        <v>21.299999999999997</v>
      </c>
      <c r="AS373" s="56">
        <f t="shared" si="313"/>
        <v>4.6948356807511742E-2</v>
      </c>
      <c r="AT373" s="56">
        <f t="shared" si="343"/>
        <v>0.23474178403755869</v>
      </c>
      <c r="AU373" s="56">
        <f t="shared" si="314"/>
        <v>0.176056338028169</v>
      </c>
      <c r="AV373" s="56">
        <f t="shared" si="344"/>
        <v>5.8685446009389672E-2</v>
      </c>
      <c r="AW373" s="57" t="s">
        <v>2511</v>
      </c>
      <c r="AX373" s="57" t="s">
        <v>2512</v>
      </c>
      <c r="AY373" s="57" t="s">
        <v>2513</v>
      </c>
      <c r="AZ373" s="58">
        <f t="shared" si="345"/>
        <v>1.8443834079999995E-2</v>
      </c>
      <c r="BA373" s="59">
        <f t="shared" si="348"/>
        <v>2.164769258215962E-3</v>
      </c>
      <c r="BB373" s="59">
        <f t="shared" si="349"/>
        <v>6.4943077746478853E-3</v>
      </c>
      <c r="BC373" s="59">
        <f t="shared" si="350"/>
        <v>1.7318154065727696E-3</v>
      </c>
      <c r="BD373" s="60">
        <f t="shared" si="346"/>
        <v>3.1446540880503146E-3</v>
      </c>
      <c r="BE373" s="59">
        <f t="shared" si="347"/>
        <v>1.2578616352201259E-2</v>
      </c>
      <c r="BQ373" s="61">
        <v>3000</v>
      </c>
      <c r="BR373" s="61">
        <v>1200</v>
      </c>
      <c r="BS373" s="28">
        <f t="shared" si="315"/>
        <v>2980</v>
      </c>
      <c r="BT373" s="28">
        <f t="shared" si="316"/>
        <v>1180</v>
      </c>
      <c r="BU373" s="28" t="s">
        <v>2541</v>
      </c>
      <c r="BV373" s="28">
        <f t="shared" si="317"/>
        <v>186.53379999999999</v>
      </c>
      <c r="BW373" s="28">
        <f t="shared" si="318"/>
        <v>55.8</v>
      </c>
      <c r="BX373" s="13">
        <f t="shared" si="319"/>
        <v>15.975656958685237</v>
      </c>
      <c r="BY373" s="13">
        <f t="shared" si="320"/>
        <v>15</v>
      </c>
      <c r="BZ373" s="13">
        <f t="shared" si="321"/>
        <v>21.146953405017921</v>
      </c>
      <c r="CA373" s="13">
        <f t="shared" si="322"/>
        <v>21</v>
      </c>
      <c r="CB373" s="13">
        <f t="shared" si="323"/>
        <v>315</v>
      </c>
      <c r="CC373" s="62">
        <f t="shared" si="324"/>
        <v>3.1746031746031746E-3</v>
      </c>
      <c r="CD373" s="13">
        <f t="shared" si="325"/>
        <v>53.405017921146957</v>
      </c>
      <c r="CE373" s="13">
        <f t="shared" si="326"/>
        <v>53</v>
      </c>
      <c r="CF373" s="13">
        <f t="shared" si="327"/>
        <v>6.325931278942476</v>
      </c>
      <c r="CG373" s="13">
        <f t="shared" si="328"/>
        <v>6</v>
      </c>
      <c r="CH373" s="28">
        <f t="shared" si="329"/>
        <v>318</v>
      </c>
      <c r="CI373" s="62">
        <f t="shared" si="330"/>
        <v>3.1446540880503146E-3</v>
      </c>
      <c r="CJ373" s="59">
        <f t="shared" si="331"/>
        <v>3.1446540880503146E-3</v>
      </c>
      <c r="CL373" s="63">
        <v>6000</v>
      </c>
      <c r="CM373" s="63">
        <f t="shared" si="332"/>
        <v>181.53379999999999</v>
      </c>
      <c r="CN373" s="63">
        <f t="shared" si="333"/>
        <v>186.53379999999999</v>
      </c>
      <c r="CO373" s="63">
        <f t="shared" si="334"/>
        <v>32.165752265809203</v>
      </c>
      <c r="CP373" s="13">
        <f t="shared" si="335"/>
        <v>32</v>
      </c>
      <c r="CQ373" s="70">
        <f t="shared" si="336"/>
        <v>3.125E-2</v>
      </c>
      <c r="CR373" s="69">
        <f t="shared" si="303"/>
        <v>0.125</v>
      </c>
    </row>
    <row r="374" spans="1:96" hidden="1" x14ac:dyDescent="0.25">
      <c r="A374" s="13">
        <v>4</v>
      </c>
      <c r="B374" s="14" t="s">
        <v>1004</v>
      </c>
      <c r="C374" s="13" t="s">
        <v>1008</v>
      </c>
      <c r="D374" s="13" t="s">
        <v>1139</v>
      </c>
      <c r="E374" s="13" t="s">
        <v>52</v>
      </c>
      <c r="F374" s="15">
        <f t="shared" si="304"/>
        <v>3</v>
      </c>
      <c r="G374" s="13">
        <v>1</v>
      </c>
      <c r="H374" s="13">
        <f>G374*$H$372</f>
        <v>4</v>
      </c>
      <c r="I374" s="13">
        <v>2</v>
      </c>
      <c r="J374" s="14" t="s">
        <v>1009</v>
      </c>
      <c r="K374" s="14" t="s">
        <v>34</v>
      </c>
      <c r="L374" s="13">
        <v>0</v>
      </c>
      <c r="M374" s="14" t="s">
        <v>35</v>
      </c>
      <c r="N374" s="13" t="s">
        <v>1139</v>
      </c>
      <c r="O374" s="28" t="s">
        <v>41</v>
      </c>
      <c r="P374" s="28" t="s">
        <v>41</v>
      </c>
      <c r="Q374" s="28" t="s">
        <v>1139</v>
      </c>
      <c r="R374" s="30"/>
      <c r="S374" s="30"/>
      <c r="T374" s="30"/>
      <c r="U374" s="30"/>
      <c r="V374" s="8">
        <f t="shared" si="306"/>
        <v>0</v>
      </c>
      <c r="W374" s="8">
        <f t="shared" si="307"/>
        <v>0</v>
      </c>
      <c r="X374" s="8">
        <f t="shared" si="308"/>
        <v>0</v>
      </c>
      <c r="Y374" s="33">
        <f t="shared" si="309"/>
        <v>0</v>
      </c>
      <c r="Z374" s="28"/>
      <c r="AA374" s="28"/>
      <c r="AB374" s="61" t="s">
        <v>1139</v>
      </c>
      <c r="AC374" s="31" t="s">
        <v>1010</v>
      </c>
      <c r="AD374" s="50">
        <f t="shared" si="310"/>
        <v>4</v>
      </c>
      <c r="AE374" s="31"/>
      <c r="AF374" s="51">
        <v>14</v>
      </c>
      <c r="AG374" s="51">
        <f t="shared" si="337"/>
        <v>8.4</v>
      </c>
      <c r="AH374" s="51">
        <f t="shared" si="302"/>
        <v>42</v>
      </c>
      <c r="AI374" s="52" t="s">
        <v>2497</v>
      </c>
      <c r="AJ374" s="52" t="s">
        <v>2498</v>
      </c>
      <c r="AK374" s="53">
        <f t="shared" si="338"/>
        <v>0</v>
      </c>
      <c r="AL374" s="54">
        <f t="shared" si="339"/>
        <v>0.11904761904761904</v>
      </c>
      <c r="AM374" s="54">
        <f t="shared" si="340"/>
        <v>2.3809523809523808E-2</v>
      </c>
      <c r="AN374" s="55">
        <f t="shared" si="341"/>
        <v>0</v>
      </c>
      <c r="AO374" s="55">
        <f t="shared" si="342"/>
        <v>0</v>
      </c>
      <c r="AP374" s="53">
        <v>7.1</v>
      </c>
      <c r="AQ374" s="53">
        <f t="shared" si="311"/>
        <v>4.26</v>
      </c>
      <c r="AR374" s="53">
        <f t="shared" si="312"/>
        <v>21.299999999999997</v>
      </c>
      <c r="AS374" s="56">
        <f t="shared" si="313"/>
        <v>4.6948356807511742E-2</v>
      </c>
      <c r="AT374" s="56">
        <f t="shared" si="343"/>
        <v>0.23474178403755869</v>
      </c>
      <c r="AU374" s="56">
        <f t="shared" si="314"/>
        <v>0.176056338028169</v>
      </c>
      <c r="AV374" s="56">
        <f t="shared" si="344"/>
        <v>5.8685446009389672E-2</v>
      </c>
      <c r="AW374" s="57" t="s">
        <v>2511</v>
      </c>
      <c r="AX374" s="57" t="s">
        <v>2512</v>
      </c>
      <c r="AY374" s="57" t="s">
        <v>2513</v>
      </c>
      <c r="AZ374" s="58">
        <f t="shared" si="345"/>
        <v>0</v>
      </c>
      <c r="BA374" s="59">
        <f t="shared" si="348"/>
        <v>0</v>
      </c>
      <c r="BB374" s="59">
        <f t="shared" si="349"/>
        <v>0</v>
      </c>
      <c r="BC374" s="59">
        <f t="shared" si="350"/>
        <v>0</v>
      </c>
      <c r="BD374" s="60">
        <f t="shared" si="346"/>
        <v>7.1095438516664771E-6</v>
      </c>
      <c r="BE374" s="59">
        <f t="shared" si="347"/>
        <v>2.8438175406665908E-5</v>
      </c>
      <c r="BQ374" s="61">
        <v>3000</v>
      </c>
      <c r="BR374" s="61">
        <v>1200</v>
      </c>
      <c r="BS374" s="28">
        <f t="shared" si="315"/>
        <v>2980</v>
      </c>
      <c r="BT374" s="28">
        <f t="shared" si="316"/>
        <v>1180</v>
      </c>
      <c r="BU374" s="28" t="s">
        <v>2541</v>
      </c>
      <c r="BV374" s="28">
        <f t="shared" si="317"/>
        <v>5</v>
      </c>
      <c r="BW374" s="28">
        <f t="shared" si="318"/>
        <v>5</v>
      </c>
      <c r="BX374" s="13">
        <f t="shared" si="319"/>
        <v>596</v>
      </c>
      <c r="BY374" s="13">
        <f t="shared" si="320"/>
        <v>596</v>
      </c>
      <c r="BZ374" s="13">
        <f t="shared" si="321"/>
        <v>236</v>
      </c>
      <c r="CA374" s="13">
        <f t="shared" si="322"/>
        <v>236</v>
      </c>
      <c r="CB374" s="13">
        <f t="shared" si="323"/>
        <v>140656</v>
      </c>
      <c r="CC374" s="62">
        <f t="shared" si="324"/>
        <v>7.1095438516664771E-6</v>
      </c>
      <c r="CD374" s="13">
        <f t="shared" si="325"/>
        <v>596</v>
      </c>
      <c r="CE374" s="13">
        <f t="shared" si="326"/>
        <v>596</v>
      </c>
      <c r="CF374" s="13">
        <f t="shared" si="327"/>
        <v>236</v>
      </c>
      <c r="CG374" s="13">
        <f t="shared" si="328"/>
        <v>236</v>
      </c>
      <c r="CH374" s="28">
        <f t="shared" si="329"/>
        <v>140656</v>
      </c>
      <c r="CI374" s="62">
        <f t="shared" si="330"/>
        <v>7.1095438516664771E-6</v>
      </c>
      <c r="CJ374" s="59">
        <f t="shared" si="331"/>
        <v>7.1095438516664771E-6</v>
      </c>
      <c r="CL374" s="63">
        <v>6000</v>
      </c>
      <c r="CM374" s="63">
        <f t="shared" si="332"/>
        <v>0</v>
      </c>
      <c r="CN374" s="63">
        <f t="shared" si="333"/>
        <v>5</v>
      </c>
      <c r="CO374" s="63">
        <f t="shared" si="334"/>
        <v>1200</v>
      </c>
      <c r="CP374" s="13">
        <f t="shared" si="335"/>
        <v>1200</v>
      </c>
      <c r="CQ374" s="70">
        <f t="shared" si="336"/>
        <v>8.3333333333333339E-4</v>
      </c>
      <c r="CR374" s="69">
        <f t="shared" si="303"/>
        <v>3.3333333333333335E-3</v>
      </c>
    </row>
    <row r="375" spans="1:96" hidden="1" x14ac:dyDescent="0.25">
      <c r="A375" s="10">
        <v>3</v>
      </c>
      <c r="B375" s="8" t="s">
        <v>720</v>
      </c>
      <c r="C375" s="10" t="s">
        <v>1011</v>
      </c>
      <c r="D375" s="10" t="s">
        <v>2270</v>
      </c>
      <c r="E375" s="10" t="s">
        <v>32</v>
      </c>
      <c r="F375" s="12">
        <f t="shared" si="304"/>
        <v>1</v>
      </c>
      <c r="G375" s="10">
        <v>2</v>
      </c>
      <c r="H375" s="10">
        <f>G375*$H$234</f>
        <v>2</v>
      </c>
      <c r="I375" s="10">
        <v>45</v>
      </c>
      <c r="J375" s="8" t="s">
        <v>1002</v>
      </c>
      <c r="K375" s="8" t="s">
        <v>34</v>
      </c>
      <c r="L375" s="10">
        <v>0</v>
      </c>
      <c r="M375" s="8" t="s">
        <v>35</v>
      </c>
      <c r="N375" s="10" t="s">
        <v>1012</v>
      </c>
      <c r="O375" s="28" t="s">
        <v>41</v>
      </c>
      <c r="P375" s="28" t="s">
        <v>41</v>
      </c>
      <c r="Q375" s="28"/>
      <c r="R375" s="30"/>
      <c r="S375" s="30"/>
      <c r="T375" s="30"/>
      <c r="U375" s="30"/>
      <c r="V375" s="8">
        <f t="shared" si="306"/>
        <v>0</v>
      </c>
      <c r="W375" s="8">
        <f t="shared" si="307"/>
        <v>0</v>
      </c>
      <c r="X375" s="8">
        <f t="shared" si="308"/>
        <v>0</v>
      </c>
      <c r="Y375" s="33">
        <f t="shared" si="309"/>
        <v>0</v>
      </c>
      <c r="Z375" s="28"/>
      <c r="AA375" s="28"/>
      <c r="AB375" s="28">
        <v>0</v>
      </c>
      <c r="AC375" s="31"/>
      <c r="AD375" s="50">
        <f t="shared" si="310"/>
        <v>2</v>
      </c>
      <c r="AE375" s="31"/>
      <c r="AF375" s="51">
        <v>14</v>
      </c>
      <c r="AG375" s="51">
        <f t="shared" si="337"/>
        <v>8.4</v>
      </c>
      <c r="AH375" s="51">
        <f t="shared" si="302"/>
        <v>42</v>
      </c>
      <c r="AI375" s="52" t="s">
        <v>2497</v>
      </c>
      <c r="AJ375" s="52" t="s">
        <v>2498</v>
      </c>
      <c r="AK375" s="53">
        <f t="shared" si="338"/>
        <v>0</v>
      </c>
      <c r="AL375" s="54">
        <f t="shared" si="339"/>
        <v>0.11904761904761904</v>
      </c>
      <c r="AM375" s="54">
        <f t="shared" si="340"/>
        <v>2.3809523809523808E-2</v>
      </c>
      <c r="AN375" s="55">
        <f t="shared" si="341"/>
        <v>0</v>
      </c>
      <c r="AO375" s="55">
        <f t="shared" si="342"/>
        <v>0</v>
      </c>
      <c r="AP375" s="53">
        <v>7.1</v>
      </c>
      <c r="AQ375" s="53">
        <f t="shared" si="311"/>
        <v>4.26</v>
      </c>
      <c r="AR375" s="53">
        <f t="shared" si="312"/>
        <v>21.299999999999997</v>
      </c>
      <c r="AS375" s="56">
        <f t="shared" si="313"/>
        <v>4.6948356807511742E-2</v>
      </c>
      <c r="AT375" s="56">
        <f t="shared" si="343"/>
        <v>0.23474178403755869</v>
      </c>
      <c r="AU375" s="56">
        <f t="shared" si="314"/>
        <v>0.176056338028169</v>
      </c>
      <c r="AV375" s="56">
        <f t="shared" si="344"/>
        <v>5.8685446009389672E-2</v>
      </c>
      <c r="AW375" s="57" t="s">
        <v>2511</v>
      </c>
      <c r="AX375" s="57" t="s">
        <v>2512</v>
      </c>
      <c r="AY375" s="57" t="s">
        <v>2513</v>
      </c>
      <c r="AZ375" s="58">
        <f t="shared" si="345"/>
        <v>0</v>
      </c>
      <c r="BA375" s="59">
        <f t="shared" si="348"/>
        <v>0</v>
      </c>
      <c r="BB375" s="59">
        <f t="shared" si="349"/>
        <v>0</v>
      </c>
      <c r="BC375" s="59">
        <f t="shared" si="350"/>
        <v>0</v>
      </c>
      <c r="BD375" s="60">
        <f t="shared" si="346"/>
        <v>0</v>
      </c>
      <c r="BE375" s="59">
        <f t="shared" si="347"/>
        <v>0</v>
      </c>
      <c r="BQ375" s="61">
        <v>3000</v>
      </c>
      <c r="BR375" s="61">
        <v>1200</v>
      </c>
      <c r="BS375" s="28">
        <f t="shared" si="315"/>
        <v>2980</v>
      </c>
      <c r="BT375" s="28">
        <f t="shared" si="316"/>
        <v>1180</v>
      </c>
      <c r="BU375" s="28" t="s">
        <v>2541</v>
      </c>
      <c r="BV375" s="28">
        <f t="shared" si="317"/>
        <v>5</v>
      </c>
      <c r="BW375" s="28">
        <f t="shared" si="318"/>
        <v>5</v>
      </c>
      <c r="BX375" s="13">
        <f t="shared" si="319"/>
        <v>596</v>
      </c>
      <c r="BY375" s="13">
        <f t="shared" si="320"/>
        <v>596</v>
      </c>
      <c r="BZ375" s="13">
        <f t="shared" si="321"/>
        <v>236</v>
      </c>
      <c r="CA375" s="13">
        <f t="shared" si="322"/>
        <v>236</v>
      </c>
      <c r="CB375" s="13">
        <f t="shared" si="323"/>
        <v>140656</v>
      </c>
      <c r="CC375" s="62" t="str">
        <f t="shared" si="324"/>
        <v/>
      </c>
      <c r="CD375" s="13">
        <f t="shared" si="325"/>
        <v>596</v>
      </c>
      <c r="CE375" s="13">
        <f t="shared" si="326"/>
        <v>596</v>
      </c>
      <c r="CF375" s="13">
        <f t="shared" si="327"/>
        <v>236</v>
      </c>
      <c r="CG375" s="13">
        <f t="shared" si="328"/>
        <v>236</v>
      </c>
      <c r="CH375" s="28">
        <f t="shared" si="329"/>
        <v>140656</v>
      </c>
      <c r="CI375" s="62" t="str">
        <f t="shared" si="330"/>
        <v/>
      </c>
      <c r="CJ375" s="59">
        <f t="shared" si="331"/>
        <v>0</v>
      </c>
      <c r="CL375" s="63">
        <v>6000</v>
      </c>
      <c r="CM375" s="63">
        <f t="shared" si="332"/>
        <v>0</v>
      </c>
      <c r="CN375" s="63">
        <f t="shared" si="333"/>
        <v>5</v>
      </c>
      <c r="CO375" s="63">
        <f t="shared" si="334"/>
        <v>1200</v>
      </c>
      <c r="CP375" s="13">
        <f t="shared" si="335"/>
        <v>1200</v>
      </c>
      <c r="CQ375" s="70">
        <f t="shared" si="336"/>
        <v>8.3333333333333339E-4</v>
      </c>
      <c r="CR375" s="69">
        <f t="shared" si="303"/>
        <v>1.6666666666666668E-3</v>
      </c>
    </row>
    <row r="376" spans="1:96" hidden="1" x14ac:dyDescent="0.25">
      <c r="A376" s="13">
        <v>4</v>
      </c>
      <c r="B376" s="14" t="s">
        <v>1013</v>
      </c>
      <c r="C376" s="13" t="s">
        <v>1014</v>
      </c>
      <c r="D376" s="13" t="s">
        <v>2270</v>
      </c>
      <c r="E376" s="13" t="s">
        <v>52</v>
      </c>
      <c r="F376" s="15">
        <f t="shared" si="304"/>
        <v>1</v>
      </c>
      <c r="G376" s="13">
        <v>1</v>
      </c>
      <c r="H376" s="13">
        <f>G376*$H$375</f>
        <v>2</v>
      </c>
      <c r="I376" s="13">
        <v>1</v>
      </c>
      <c r="J376" s="14" t="s">
        <v>1006</v>
      </c>
      <c r="K376" s="14" t="s">
        <v>34</v>
      </c>
      <c r="L376" s="13">
        <v>0</v>
      </c>
      <c r="M376" s="14" t="s">
        <v>35</v>
      </c>
      <c r="N376" s="13" t="s">
        <v>1015</v>
      </c>
      <c r="O376" s="28" t="s">
        <v>41</v>
      </c>
      <c r="P376" s="28" t="s">
        <v>41</v>
      </c>
      <c r="Q376" s="28" t="s">
        <v>124</v>
      </c>
      <c r="R376" s="30">
        <v>9.1170000000000009</v>
      </c>
      <c r="S376" s="30">
        <v>2</v>
      </c>
      <c r="T376" s="30"/>
      <c r="U376" s="30">
        <v>9.8000000000000004E-2</v>
      </c>
      <c r="V376" s="8">
        <f t="shared" si="306"/>
        <v>231.5718</v>
      </c>
      <c r="W376" s="8">
        <f t="shared" si="307"/>
        <v>50.8</v>
      </c>
      <c r="X376" s="8">
        <f t="shared" si="308"/>
        <v>0</v>
      </c>
      <c r="Y376" s="33">
        <f t="shared" si="309"/>
        <v>2.4891999999999999</v>
      </c>
      <c r="Z376" s="28" t="s">
        <v>56</v>
      </c>
      <c r="AA376" s="28" t="s">
        <v>57</v>
      </c>
      <c r="AB376" s="61" t="s">
        <v>124</v>
      </c>
      <c r="AC376" s="31" t="s">
        <v>125</v>
      </c>
      <c r="AD376" s="50">
        <f t="shared" si="310"/>
        <v>2</v>
      </c>
      <c r="AE376" s="31"/>
      <c r="AF376" s="51">
        <v>14</v>
      </c>
      <c r="AG376" s="51">
        <f t="shared" si="337"/>
        <v>8.4</v>
      </c>
      <c r="AH376" s="51">
        <f t="shared" si="302"/>
        <v>42</v>
      </c>
      <c r="AI376" s="52" t="s">
        <v>2497</v>
      </c>
      <c r="AJ376" s="52" t="s">
        <v>2498</v>
      </c>
      <c r="AK376" s="53">
        <f t="shared" si="338"/>
        <v>2.3527694879999998E-2</v>
      </c>
      <c r="AL376" s="54">
        <f t="shared" si="339"/>
        <v>0.11904761904761904</v>
      </c>
      <c r="AM376" s="54">
        <f t="shared" si="340"/>
        <v>2.3809523809523808E-2</v>
      </c>
      <c r="AN376" s="55">
        <f t="shared" si="341"/>
        <v>5.6018321142857139E-3</v>
      </c>
      <c r="AO376" s="55">
        <f t="shared" si="342"/>
        <v>1.1203664228571428E-3</v>
      </c>
      <c r="AP376" s="53">
        <v>7.1</v>
      </c>
      <c r="AQ376" s="53">
        <f t="shared" si="311"/>
        <v>4.26</v>
      </c>
      <c r="AR376" s="53">
        <f t="shared" si="312"/>
        <v>21.299999999999997</v>
      </c>
      <c r="AS376" s="56">
        <f t="shared" si="313"/>
        <v>4.6948356807511742E-2</v>
      </c>
      <c r="AT376" s="56">
        <f t="shared" si="343"/>
        <v>0.23474178403755869</v>
      </c>
      <c r="AU376" s="56">
        <f t="shared" si="314"/>
        <v>0.176056338028169</v>
      </c>
      <c r="AV376" s="56">
        <f t="shared" si="344"/>
        <v>5.8685446009389672E-2</v>
      </c>
      <c r="AW376" s="57" t="s">
        <v>2511</v>
      </c>
      <c r="AX376" s="57" t="s">
        <v>2512</v>
      </c>
      <c r="AY376" s="57" t="s">
        <v>2513</v>
      </c>
      <c r="AZ376" s="58">
        <f t="shared" si="345"/>
        <v>2.3527694879999998E-2</v>
      </c>
      <c r="BA376" s="59">
        <f t="shared" si="348"/>
        <v>1.3807332676056337E-3</v>
      </c>
      <c r="BB376" s="59">
        <f t="shared" si="349"/>
        <v>4.1421998028169007E-3</v>
      </c>
      <c r="BC376" s="59">
        <f t="shared" si="350"/>
        <v>1.1045866140845071E-3</v>
      </c>
      <c r="BD376" s="60">
        <f t="shared" si="346"/>
        <v>3.968253968253968E-3</v>
      </c>
      <c r="BE376" s="59">
        <f t="shared" si="347"/>
        <v>7.9365079365079361E-3</v>
      </c>
      <c r="BQ376" s="61">
        <v>3000</v>
      </c>
      <c r="BR376" s="61">
        <v>1200</v>
      </c>
      <c r="BS376" s="28">
        <f t="shared" si="315"/>
        <v>2980</v>
      </c>
      <c r="BT376" s="28">
        <f t="shared" si="316"/>
        <v>1180</v>
      </c>
      <c r="BU376" s="28" t="s">
        <v>2541</v>
      </c>
      <c r="BV376" s="28">
        <f t="shared" si="317"/>
        <v>236.5718</v>
      </c>
      <c r="BW376" s="28">
        <f t="shared" si="318"/>
        <v>55.8</v>
      </c>
      <c r="BX376" s="13">
        <f t="shared" si="319"/>
        <v>12.59659858021962</v>
      </c>
      <c r="BY376" s="13">
        <f t="shared" si="320"/>
        <v>12</v>
      </c>
      <c r="BZ376" s="13">
        <f t="shared" si="321"/>
        <v>21.146953405017921</v>
      </c>
      <c r="CA376" s="13">
        <f t="shared" si="322"/>
        <v>21</v>
      </c>
      <c r="CB376" s="13">
        <f t="shared" si="323"/>
        <v>252</v>
      </c>
      <c r="CC376" s="62">
        <f t="shared" si="324"/>
        <v>3.968253968253968E-3</v>
      </c>
      <c r="CD376" s="13">
        <f t="shared" si="325"/>
        <v>53.405017921146957</v>
      </c>
      <c r="CE376" s="13">
        <f t="shared" si="326"/>
        <v>53</v>
      </c>
      <c r="CF376" s="13">
        <f t="shared" si="327"/>
        <v>4.9879148740466954</v>
      </c>
      <c r="CG376" s="13">
        <f t="shared" si="328"/>
        <v>4</v>
      </c>
      <c r="CH376" s="28">
        <f t="shared" si="329"/>
        <v>212</v>
      </c>
      <c r="CI376" s="62">
        <f t="shared" si="330"/>
        <v>4.7169811320754715E-3</v>
      </c>
      <c r="CJ376" s="59">
        <f t="shared" si="331"/>
        <v>3.968253968253968E-3</v>
      </c>
      <c r="CL376" s="63">
        <v>6000</v>
      </c>
      <c r="CM376" s="63">
        <f t="shared" si="332"/>
        <v>231.5718</v>
      </c>
      <c r="CN376" s="63">
        <f t="shared" si="333"/>
        <v>236.5718</v>
      </c>
      <c r="CO376" s="63">
        <f t="shared" si="334"/>
        <v>25.362279020576416</v>
      </c>
      <c r="CP376" s="13">
        <f t="shared" si="335"/>
        <v>25</v>
      </c>
      <c r="CQ376" s="70">
        <f t="shared" si="336"/>
        <v>0.04</v>
      </c>
      <c r="CR376" s="69">
        <f t="shared" si="303"/>
        <v>0.08</v>
      </c>
    </row>
    <row r="377" spans="1:96" hidden="1" x14ac:dyDescent="0.25">
      <c r="A377" s="13">
        <v>4</v>
      </c>
      <c r="B377" s="14" t="s">
        <v>1013</v>
      </c>
      <c r="C377" s="13" t="s">
        <v>1008</v>
      </c>
      <c r="D377" s="13" t="s">
        <v>1139</v>
      </c>
      <c r="E377" s="13" t="s">
        <v>52</v>
      </c>
      <c r="F377" s="15">
        <f t="shared" si="304"/>
        <v>3</v>
      </c>
      <c r="G377" s="13">
        <v>1</v>
      </c>
      <c r="H377" s="13">
        <f>G377*$H$375</f>
        <v>2</v>
      </c>
      <c r="I377" s="13">
        <v>2</v>
      </c>
      <c r="J377" s="14" t="s">
        <v>1009</v>
      </c>
      <c r="K377" s="14" t="s">
        <v>34</v>
      </c>
      <c r="L377" s="13">
        <v>0</v>
      </c>
      <c r="M377" s="14" t="s">
        <v>35</v>
      </c>
      <c r="N377" s="13" t="s">
        <v>1139</v>
      </c>
      <c r="O377" s="28" t="s">
        <v>41</v>
      </c>
      <c r="P377" s="28" t="s">
        <v>41</v>
      </c>
      <c r="Q377" s="28" t="s">
        <v>1139</v>
      </c>
      <c r="R377" s="30"/>
      <c r="S377" s="30"/>
      <c r="T377" s="30"/>
      <c r="U377" s="30"/>
      <c r="V377" s="8">
        <f t="shared" si="306"/>
        <v>0</v>
      </c>
      <c r="W377" s="8">
        <f t="shared" si="307"/>
        <v>0</v>
      </c>
      <c r="X377" s="8">
        <f t="shared" si="308"/>
        <v>0</v>
      </c>
      <c r="Y377" s="33">
        <f t="shared" si="309"/>
        <v>0</v>
      </c>
      <c r="Z377" s="28"/>
      <c r="AA377" s="28"/>
      <c r="AB377" s="61" t="s">
        <v>1139</v>
      </c>
      <c r="AC377" s="31" t="s">
        <v>1010</v>
      </c>
      <c r="AD377" s="50">
        <f t="shared" si="310"/>
        <v>2</v>
      </c>
      <c r="AE377" s="31"/>
      <c r="AF377" s="51">
        <v>14</v>
      </c>
      <c r="AG377" s="51">
        <f t="shared" si="337"/>
        <v>8.4</v>
      </c>
      <c r="AH377" s="51">
        <f t="shared" si="302"/>
        <v>42</v>
      </c>
      <c r="AI377" s="52" t="s">
        <v>2497</v>
      </c>
      <c r="AJ377" s="52" t="s">
        <v>2498</v>
      </c>
      <c r="AK377" s="53">
        <f t="shared" si="338"/>
        <v>0</v>
      </c>
      <c r="AL377" s="54">
        <f t="shared" si="339"/>
        <v>0.11904761904761904</v>
      </c>
      <c r="AM377" s="54">
        <f t="shared" si="340"/>
        <v>2.3809523809523808E-2</v>
      </c>
      <c r="AN377" s="55">
        <f t="shared" si="341"/>
        <v>0</v>
      </c>
      <c r="AO377" s="55">
        <f t="shared" si="342"/>
        <v>0</v>
      </c>
      <c r="AP377" s="53">
        <v>7.1</v>
      </c>
      <c r="AQ377" s="53">
        <f t="shared" si="311"/>
        <v>4.26</v>
      </c>
      <c r="AR377" s="53">
        <f t="shared" si="312"/>
        <v>21.299999999999997</v>
      </c>
      <c r="AS377" s="56">
        <f t="shared" si="313"/>
        <v>4.6948356807511742E-2</v>
      </c>
      <c r="AT377" s="56">
        <f t="shared" si="343"/>
        <v>0.23474178403755869</v>
      </c>
      <c r="AU377" s="56">
        <f t="shared" si="314"/>
        <v>0.176056338028169</v>
      </c>
      <c r="AV377" s="56">
        <f t="shared" si="344"/>
        <v>5.8685446009389672E-2</v>
      </c>
      <c r="AW377" s="57" t="s">
        <v>2511</v>
      </c>
      <c r="AX377" s="57" t="s">
        <v>2512</v>
      </c>
      <c r="AY377" s="57" t="s">
        <v>2513</v>
      </c>
      <c r="AZ377" s="58">
        <f t="shared" si="345"/>
        <v>0</v>
      </c>
      <c r="BA377" s="59">
        <f t="shared" si="348"/>
        <v>0</v>
      </c>
      <c r="BB377" s="59">
        <f t="shared" si="349"/>
        <v>0</v>
      </c>
      <c r="BC377" s="59">
        <f t="shared" si="350"/>
        <v>0</v>
      </c>
      <c r="BD377" s="60">
        <f t="shared" si="346"/>
        <v>7.1095438516664771E-6</v>
      </c>
      <c r="BE377" s="59">
        <f t="shared" si="347"/>
        <v>1.4219087703332954E-5</v>
      </c>
      <c r="BQ377" s="61">
        <v>3000</v>
      </c>
      <c r="BR377" s="61">
        <v>1200</v>
      </c>
      <c r="BS377" s="28">
        <f t="shared" si="315"/>
        <v>2980</v>
      </c>
      <c r="BT377" s="28">
        <f t="shared" si="316"/>
        <v>1180</v>
      </c>
      <c r="BU377" s="28" t="s">
        <v>2541</v>
      </c>
      <c r="BV377" s="28">
        <f t="shared" si="317"/>
        <v>5</v>
      </c>
      <c r="BW377" s="28">
        <f t="shared" si="318"/>
        <v>5</v>
      </c>
      <c r="BX377" s="13">
        <f t="shared" si="319"/>
        <v>596</v>
      </c>
      <c r="BY377" s="13">
        <f t="shared" si="320"/>
        <v>596</v>
      </c>
      <c r="BZ377" s="13">
        <f t="shared" si="321"/>
        <v>236</v>
      </c>
      <c r="CA377" s="13">
        <f t="shared" si="322"/>
        <v>236</v>
      </c>
      <c r="CB377" s="13">
        <f t="shared" si="323"/>
        <v>140656</v>
      </c>
      <c r="CC377" s="62">
        <f t="shared" si="324"/>
        <v>7.1095438516664771E-6</v>
      </c>
      <c r="CD377" s="13">
        <f t="shared" si="325"/>
        <v>596</v>
      </c>
      <c r="CE377" s="13">
        <f t="shared" si="326"/>
        <v>596</v>
      </c>
      <c r="CF377" s="13">
        <f t="shared" si="327"/>
        <v>236</v>
      </c>
      <c r="CG377" s="13">
        <f t="shared" si="328"/>
        <v>236</v>
      </c>
      <c r="CH377" s="28">
        <f t="shared" si="329"/>
        <v>140656</v>
      </c>
      <c r="CI377" s="62">
        <f t="shared" si="330"/>
        <v>7.1095438516664771E-6</v>
      </c>
      <c r="CJ377" s="59">
        <f t="shared" si="331"/>
        <v>7.1095438516664771E-6</v>
      </c>
      <c r="CL377" s="63">
        <v>6000</v>
      </c>
      <c r="CM377" s="63">
        <f t="shared" si="332"/>
        <v>0</v>
      </c>
      <c r="CN377" s="63">
        <f t="shared" si="333"/>
        <v>5</v>
      </c>
      <c r="CO377" s="63">
        <f t="shared" si="334"/>
        <v>1200</v>
      </c>
      <c r="CP377" s="13">
        <f t="shared" si="335"/>
        <v>1200</v>
      </c>
      <c r="CQ377" s="70">
        <f t="shared" si="336"/>
        <v>8.3333333333333339E-4</v>
      </c>
      <c r="CR377" s="69">
        <f t="shared" si="303"/>
        <v>1.6666666666666668E-3</v>
      </c>
    </row>
    <row r="378" spans="1:96" hidden="1" x14ac:dyDescent="0.25">
      <c r="A378" s="36">
        <v>2</v>
      </c>
      <c r="B378" s="37" t="s">
        <v>37</v>
      </c>
      <c r="C378" s="36" t="s">
        <v>1016</v>
      </c>
      <c r="D378" s="36" t="s">
        <v>2270</v>
      </c>
      <c r="E378" s="36" t="s">
        <v>32</v>
      </c>
      <c r="F378" s="38">
        <f t="shared" si="304"/>
        <v>1</v>
      </c>
      <c r="G378" s="36">
        <v>1</v>
      </c>
      <c r="H378" s="36">
        <f>G378*$H$3</f>
        <v>1</v>
      </c>
      <c r="I378" s="36">
        <v>4</v>
      </c>
      <c r="J378" s="37" t="s">
        <v>1017</v>
      </c>
      <c r="K378" s="37" t="s">
        <v>34</v>
      </c>
      <c r="L378" s="36">
        <v>0</v>
      </c>
      <c r="M378" s="37" t="s">
        <v>35</v>
      </c>
      <c r="N378" s="36" t="s">
        <v>1018</v>
      </c>
      <c r="O378" s="28" t="s">
        <v>41</v>
      </c>
      <c r="P378" s="28" t="s">
        <v>41</v>
      </c>
      <c r="Q378" s="28"/>
      <c r="R378" s="30"/>
      <c r="S378" s="30"/>
      <c r="T378" s="30"/>
      <c r="U378" s="30"/>
      <c r="V378" s="8">
        <f t="shared" si="306"/>
        <v>0</v>
      </c>
      <c r="W378" s="8">
        <f t="shared" si="307"/>
        <v>0</v>
      </c>
      <c r="X378" s="8">
        <f t="shared" si="308"/>
        <v>0</v>
      </c>
      <c r="Y378" s="33">
        <f t="shared" si="309"/>
        <v>0</v>
      </c>
      <c r="Z378" s="28"/>
      <c r="AA378" s="28"/>
      <c r="AB378" s="28">
        <v>0</v>
      </c>
      <c r="AC378" s="31"/>
      <c r="AD378" s="50">
        <f t="shared" si="310"/>
        <v>1</v>
      </c>
      <c r="AE378" s="31"/>
      <c r="AF378" s="51">
        <v>14</v>
      </c>
      <c r="AG378" s="51">
        <f t="shared" si="337"/>
        <v>8.4</v>
      </c>
      <c r="AH378" s="51">
        <f t="shared" si="302"/>
        <v>42</v>
      </c>
      <c r="AI378" s="52" t="s">
        <v>2497</v>
      </c>
      <c r="AJ378" s="52" t="s">
        <v>2498</v>
      </c>
      <c r="AK378" s="53">
        <f t="shared" si="338"/>
        <v>0</v>
      </c>
      <c r="AL378" s="54">
        <f t="shared" si="339"/>
        <v>0.11904761904761904</v>
      </c>
      <c r="AM378" s="54">
        <f t="shared" si="340"/>
        <v>2.3809523809523808E-2</v>
      </c>
      <c r="AN378" s="55">
        <f t="shared" si="341"/>
        <v>0</v>
      </c>
      <c r="AO378" s="55">
        <f t="shared" si="342"/>
        <v>0</v>
      </c>
      <c r="AP378" s="53">
        <v>7.1</v>
      </c>
      <c r="AQ378" s="53">
        <f t="shared" si="311"/>
        <v>4.26</v>
      </c>
      <c r="AR378" s="53">
        <f t="shared" si="312"/>
        <v>21.299999999999997</v>
      </c>
      <c r="AS378" s="56">
        <f t="shared" si="313"/>
        <v>4.6948356807511742E-2</v>
      </c>
      <c r="AT378" s="56">
        <f t="shared" si="343"/>
        <v>0.23474178403755869</v>
      </c>
      <c r="AU378" s="56">
        <f t="shared" si="314"/>
        <v>0.176056338028169</v>
      </c>
      <c r="AV378" s="56">
        <f t="shared" si="344"/>
        <v>5.8685446009389672E-2</v>
      </c>
      <c r="AW378" s="57" t="s">
        <v>2511</v>
      </c>
      <c r="AX378" s="57" t="s">
        <v>2512</v>
      </c>
      <c r="AY378" s="57" t="s">
        <v>2513</v>
      </c>
      <c r="AZ378" s="58">
        <f t="shared" si="345"/>
        <v>0</v>
      </c>
      <c r="BA378" s="59">
        <f t="shared" si="348"/>
        <v>0</v>
      </c>
      <c r="BB378" s="59">
        <f t="shared" si="349"/>
        <v>0</v>
      </c>
      <c r="BC378" s="59">
        <f t="shared" si="350"/>
        <v>0</v>
      </c>
      <c r="BD378" s="60">
        <f t="shared" si="346"/>
        <v>0</v>
      </c>
      <c r="BE378" s="59">
        <f t="shared" si="347"/>
        <v>0</v>
      </c>
      <c r="BQ378" s="61">
        <v>3000</v>
      </c>
      <c r="BR378" s="61">
        <v>1200</v>
      </c>
      <c r="BS378" s="28">
        <f t="shared" si="315"/>
        <v>2980</v>
      </c>
      <c r="BT378" s="28">
        <f t="shared" si="316"/>
        <v>1180</v>
      </c>
      <c r="BU378" s="28" t="s">
        <v>2541</v>
      </c>
      <c r="BV378" s="28">
        <f t="shared" si="317"/>
        <v>5</v>
      </c>
      <c r="BW378" s="28">
        <f t="shared" si="318"/>
        <v>5</v>
      </c>
      <c r="BX378" s="13">
        <f t="shared" si="319"/>
        <v>596</v>
      </c>
      <c r="BY378" s="13">
        <f t="shared" si="320"/>
        <v>596</v>
      </c>
      <c r="BZ378" s="13">
        <f t="shared" si="321"/>
        <v>236</v>
      </c>
      <c r="CA378" s="13">
        <f t="shared" si="322"/>
        <v>236</v>
      </c>
      <c r="CB378" s="13">
        <f t="shared" si="323"/>
        <v>140656</v>
      </c>
      <c r="CC378" s="62" t="str">
        <f t="shared" si="324"/>
        <v/>
      </c>
      <c r="CD378" s="13">
        <f t="shared" si="325"/>
        <v>596</v>
      </c>
      <c r="CE378" s="13">
        <f t="shared" si="326"/>
        <v>596</v>
      </c>
      <c r="CF378" s="13">
        <f t="shared" si="327"/>
        <v>236</v>
      </c>
      <c r="CG378" s="13">
        <f t="shared" si="328"/>
        <v>236</v>
      </c>
      <c r="CH378" s="28">
        <f t="shared" si="329"/>
        <v>140656</v>
      </c>
      <c r="CI378" s="62" t="str">
        <f t="shared" si="330"/>
        <v/>
      </c>
      <c r="CJ378" s="59">
        <f t="shared" si="331"/>
        <v>0</v>
      </c>
      <c r="CL378" s="63">
        <v>6000</v>
      </c>
      <c r="CM378" s="63">
        <f t="shared" si="332"/>
        <v>0</v>
      </c>
      <c r="CN378" s="63">
        <f t="shared" si="333"/>
        <v>5</v>
      </c>
      <c r="CO378" s="63">
        <f t="shared" si="334"/>
        <v>1200</v>
      </c>
      <c r="CP378" s="13">
        <f t="shared" si="335"/>
        <v>1200</v>
      </c>
      <c r="CQ378" s="70">
        <f t="shared" si="336"/>
        <v>8.3333333333333339E-4</v>
      </c>
      <c r="CR378" s="69">
        <f t="shared" si="303"/>
        <v>8.3333333333333339E-4</v>
      </c>
    </row>
    <row r="379" spans="1:96" hidden="1" x14ac:dyDescent="0.25">
      <c r="A379" s="10">
        <v>3</v>
      </c>
      <c r="B379" s="8" t="s">
        <v>1019</v>
      </c>
      <c r="C379" s="10" t="s">
        <v>1020</v>
      </c>
      <c r="D379" s="10" t="s">
        <v>2270</v>
      </c>
      <c r="E379" s="10" t="s">
        <v>32</v>
      </c>
      <c r="F379" s="12">
        <f t="shared" si="304"/>
        <v>1</v>
      </c>
      <c r="G379" s="10">
        <v>1</v>
      </c>
      <c r="H379" s="10">
        <f>G379*$H$378</f>
        <v>1</v>
      </c>
      <c r="I379" s="10">
        <v>1</v>
      </c>
      <c r="J379" s="8" t="s">
        <v>1021</v>
      </c>
      <c r="K379" s="8" t="s">
        <v>34</v>
      </c>
      <c r="L379" s="10" t="s">
        <v>89</v>
      </c>
      <c r="M379" s="8" t="s">
        <v>35</v>
      </c>
      <c r="N379" s="10" t="s">
        <v>1022</v>
      </c>
      <c r="O379" s="28" t="s">
        <v>41</v>
      </c>
      <c r="P379" s="28" t="s">
        <v>41</v>
      </c>
      <c r="Q379" s="28"/>
      <c r="R379" s="30"/>
      <c r="S379" s="30"/>
      <c r="T379" s="30"/>
      <c r="U379" s="30"/>
      <c r="V379" s="8">
        <f t="shared" si="306"/>
        <v>0</v>
      </c>
      <c r="W379" s="8">
        <f t="shared" si="307"/>
        <v>0</v>
      </c>
      <c r="X379" s="8">
        <f t="shared" si="308"/>
        <v>0</v>
      </c>
      <c r="Y379" s="33">
        <f t="shared" si="309"/>
        <v>0</v>
      </c>
      <c r="Z379" s="28"/>
      <c r="AA379" s="28"/>
      <c r="AB379" s="28">
        <v>0</v>
      </c>
      <c r="AC379" s="31"/>
      <c r="AD379" s="50">
        <f t="shared" si="310"/>
        <v>1</v>
      </c>
      <c r="AE379" s="31"/>
      <c r="AF379" s="51">
        <v>14</v>
      </c>
      <c r="AG379" s="51">
        <f t="shared" si="337"/>
        <v>8.4</v>
      </c>
      <c r="AH379" s="51">
        <f t="shared" si="302"/>
        <v>42</v>
      </c>
      <c r="AI379" s="52" t="s">
        <v>2497</v>
      </c>
      <c r="AJ379" s="52" t="s">
        <v>2498</v>
      </c>
      <c r="AK379" s="53">
        <f t="shared" si="338"/>
        <v>0</v>
      </c>
      <c r="AL379" s="54">
        <f t="shared" si="339"/>
        <v>0.11904761904761904</v>
      </c>
      <c r="AM379" s="54">
        <f t="shared" si="340"/>
        <v>2.3809523809523808E-2</v>
      </c>
      <c r="AN379" s="55">
        <f t="shared" si="341"/>
        <v>0</v>
      </c>
      <c r="AO379" s="55">
        <f t="shared" si="342"/>
        <v>0</v>
      </c>
      <c r="AP379" s="53">
        <v>7.1</v>
      </c>
      <c r="AQ379" s="53">
        <f t="shared" si="311"/>
        <v>4.26</v>
      </c>
      <c r="AR379" s="53">
        <f t="shared" si="312"/>
        <v>21.299999999999997</v>
      </c>
      <c r="AS379" s="56">
        <f t="shared" si="313"/>
        <v>4.6948356807511742E-2</v>
      </c>
      <c r="AT379" s="56">
        <f t="shared" si="343"/>
        <v>0.23474178403755869</v>
      </c>
      <c r="AU379" s="56">
        <f t="shared" si="314"/>
        <v>0.176056338028169</v>
      </c>
      <c r="AV379" s="56">
        <f t="shared" si="344"/>
        <v>5.8685446009389672E-2</v>
      </c>
      <c r="AW379" s="57" t="s">
        <v>2511</v>
      </c>
      <c r="AX379" s="57" t="s">
        <v>2512</v>
      </c>
      <c r="AY379" s="57" t="s">
        <v>2513</v>
      </c>
      <c r="AZ379" s="58">
        <f t="shared" si="345"/>
        <v>0</v>
      </c>
      <c r="BA379" s="59">
        <f t="shared" si="348"/>
        <v>0</v>
      </c>
      <c r="BB379" s="59">
        <f t="shared" si="349"/>
        <v>0</v>
      </c>
      <c r="BC379" s="59">
        <f t="shared" si="350"/>
        <v>0</v>
      </c>
      <c r="BD379" s="60">
        <f t="shared" si="346"/>
        <v>0</v>
      </c>
      <c r="BE379" s="59">
        <f t="shared" si="347"/>
        <v>0</v>
      </c>
      <c r="BQ379" s="61">
        <v>3000</v>
      </c>
      <c r="BR379" s="61">
        <v>1200</v>
      </c>
      <c r="BS379" s="28">
        <f t="shared" si="315"/>
        <v>2980</v>
      </c>
      <c r="BT379" s="28">
        <f t="shared" si="316"/>
        <v>1180</v>
      </c>
      <c r="BU379" s="28" t="s">
        <v>2541</v>
      </c>
      <c r="BV379" s="28">
        <f t="shared" si="317"/>
        <v>5</v>
      </c>
      <c r="BW379" s="28">
        <f t="shared" si="318"/>
        <v>5</v>
      </c>
      <c r="BX379" s="13">
        <f t="shared" si="319"/>
        <v>596</v>
      </c>
      <c r="BY379" s="13">
        <f t="shared" si="320"/>
        <v>596</v>
      </c>
      <c r="BZ379" s="13">
        <f t="shared" si="321"/>
        <v>236</v>
      </c>
      <c r="CA379" s="13">
        <f t="shared" si="322"/>
        <v>236</v>
      </c>
      <c r="CB379" s="13">
        <f t="shared" si="323"/>
        <v>140656</v>
      </c>
      <c r="CC379" s="62" t="str">
        <f t="shared" si="324"/>
        <v/>
      </c>
      <c r="CD379" s="13">
        <f t="shared" si="325"/>
        <v>596</v>
      </c>
      <c r="CE379" s="13">
        <f t="shared" si="326"/>
        <v>596</v>
      </c>
      <c r="CF379" s="13">
        <f t="shared" si="327"/>
        <v>236</v>
      </c>
      <c r="CG379" s="13">
        <f t="shared" si="328"/>
        <v>236</v>
      </c>
      <c r="CH379" s="28">
        <f t="shared" si="329"/>
        <v>140656</v>
      </c>
      <c r="CI379" s="62" t="str">
        <f t="shared" si="330"/>
        <v/>
      </c>
      <c r="CJ379" s="59">
        <f t="shared" si="331"/>
        <v>0</v>
      </c>
      <c r="CL379" s="63">
        <v>6000</v>
      </c>
      <c r="CM379" s="63">
        <f t="shared" si="332"/>
        <v>0</v>
      </c>
      <c r="CN379" s="63">
        <f t="shared" si="333"/>
        <v>5</v>
      </c>
      <c r="CO379" s="63">
        <f t="shared" si="334"/>
        <v>1200</v>
      </c>
      <c r="CP379" s="13">
        <f t="shared" si="335"/>
        <v>1200</v>
      </c>
      <c r="CQ379" s="70">
        <f t="shared" si="336"/>
        <v>8.3333333333333339E-4</v>
      </c>
      <c r="CR379" s="69">
        <f t="shared" si="303"/>
        <v>8.3333333333333339E-4</v>
      </c>
    </row>
    <row r="380" spans="1:96" hidden="1" x14ac:dyDescent="0.25">
      <c r="A380" s="13">
        <v>4</v>
      </c>
      <c r="B380" s="14" t="s">
        <v>1023</v>
      </c>
      <c r="C380" s="13" t="s">
        <v>234</v>
      </c>
      <c r="D380" s="13" t="s">
        <v>237</v>
      </c>
      <c r="E380" s="13" t="s">
        <v>52</v>
      </c>
      <c r="F380" s="15">
        <f t="shared" si="304"/>
        <v>5</v>
      </c>
      <c r="G380" s="13">
        <v>2</v>
      </c>
      <c r="H380" s="13">
        <f>G380*$H$379</f>
        <v>2</v>
      </c>
      <c r="I380" s="13">
        <v>1</v>
      </c>
      <c r="J380" s="14" t="s">
        <v>235</v>
      </c>
      <c r="K380" s="14" t="s">
        <v>34</v>
      </c>
      <c r="L380" s="13" t="s">
        <v>236</v>
      </c>
      <c r="M380" s="14" t="s">
        <v>35</v>
      </c>
      <c r="N380" s="13" t="s">
        <v>237</v>
      </c>
      <c r="O380" s="28" t="s">
        <v>41</v>
      </c>
      <c r="P380" s="28" t="s">
        <v>41</v>
      </c>
      <c r="Q380" s="28" t="s">
        <v>79</v>
      </c>
      <c r="R380" s="30">
        <v>22.047244094488189</v>
      </c>
      <c r="S380" s="30">
        <v>0.3125</v>
      </c>
      <c r="T380" s="30"/>
      <c r="U380" s="30">
        <v>0.3125</v>
      </c>
      <c r="V380" s="8">
        <f t="shared" si="306"/>
        <v>560</v>
      </c>
      <c r="W380" s="8">
        <f t="shared" si="307"/>
        <v>7.9375</v>
      </c>
      <c r="X380" s="8">
        <f t="shared" si="308"/>
        <v>0</v>
      </c>
      <c r="Y380" s="33">
        <f t="shared" si="309"/>
        <v>7.9375</v>
      </c>
      <c r="Z380" s="28" t="s">
        <v>80</v>
      </c>
      <c r="AA380" s="28" t="s">
        <v>81</v>
      </c>
      <c r="AB380" s="61" t="s">
        <v>79</v>
      </c>
      <c r="AC380" s="31" t="s">
        <v>82</v>
      </c>
      <c r="AD380" s="50">
        <f t="shared" si="310"/>
        <v>2</v>
      </c>
      <c r="AE380" s="31"/>
      <c r="AF380" s="51">
        <v>14</v>
      </c>
      <c r="AG380" s="51">
        <f t="shared" si="337"/>
        <v>8.4</v>
      </c>
      <c r="AH380" s="51">
        <f t="shared" si="302"/>
        <v>42</v>
      </c>
      <c r="AI380" s="52" t="s">
        <v>2497</v>
      </c>
      <c r="AJ380" s="52" t="s">
        <v>2498</v>
      </c>
      <c r="AK380" s="53">
        <f t="shared" si="338"/>
        <v>8.8900000000000003E-3</v>
      </c>
      <c r="AL380" s="54">
        <f t="shared" si="339"/>
        <v>0.11904761904761904</v>
      </c>
      <c r="AM380" s="54">
        <f t="shared" si="340"/>
        <v>2.3809523809523808E-2</v>
      </c>
      <c r="AN380" s="55">
        <f t="shared" si="341"/>
        <v>2.1166666666666664E-3</v>
      </c>
      <c r="AO380" s="55">
        <f t="shared" si="342"/>
        <v>4.2333333333333334E-4</v>
      </c>
      <c r="AP380" s="53">
        <v>7.1</v>
      </c>
      <c r="AQ380" s="53">
        <f t="shared" si="311"/>
        <v>4.26</v>
      </c>
      <c r="AR380" s="53">
        <f t="shared" si="312"/>
        <v>21.299999999999997</v>
      </c>
      <c r="AS380" s="56">
        <f t="shared" si="313"/>
        <v>4.6948356807511742E-2</v>
      </c>
      <c r="AT380" s="56">
        <f t="shared" si="343"/>
        <v>0.23474178403755869</v>
      </c>
      <c r="AU380" s="56">
        <f t="shared" si="314"/>
        <v>0.176056338028169</v>
      </c>
      <c r="AV380" s="56">
        <f t="shared" si="344"/>
        <v>5.8685446009389672E-2</v>
      </c>
      <c r="AW380" s="57" t="s">
        <v>2511</v>
      </c>
      <c r="AX380" s="57" t="s">
        <v>2512</v>
      </c>
      <c r="AY380" s="57" t="s">
        <v>2513</v>
      </c>
      <c r="AZ380" s="58">
        <f t="shared" si="345"/>
        <v>8.8900000000000003E-3</v>
      </c>
      <c r="BA380" s="59">
        <f t="shared" si="348"/>
        <v>5.2171361502347424E-4</v>
      </c>
      <c r="BB380" s="59">
        <f t="shared" si="349"/>
        <v>1.5651408450704225E-3</v>
      </c>
      <c r="BC380" s="59">
        <f t="shared" si="350"/>
        <v>4.1737089201877939E-4</v>
      </c>
      <c r="BD380" s="60">
        <f t="shared" si="346"/>
        <v>2.1739130434782609E-3</v>
      </c>
      <c r="BE380" s="59">
        <f t="shared" si="347"/>
        <v>4.3478260869565218E-3</v>
      </c>
      <c r="BQ380" s="61">
        <v>3000</v>
      </c>
      <c r="BR380" s="61">
        <v>1200</v>
      </c>
      <c r="BS380" s="28">
        <f t="shared" si="315"/>
        <v>2980</v>
      </c>
      <c r="BT380" s="28">
        <f t="shared" si="316"/>
        <v>1180</v>
      </c>
      <c r="BU380" s="28" t="s">
        <v>2541</v>
      </c>
      <c r="BV380" s="28">
        <f t="shared" si="317"/>
        <v>565</v>
      </c>
      <c r="BW380" s="28">
        <f t="shared" si="318"/>
        <v>12.9375</v>
      </c>
      <c r="BX380" s="13">
        <f t="shared" si="319"/>
        <v>5.2743362831858409</v>
      </c>
      <c r="BY380" s="13">
        <f t="shared" si="320"/>
        <v>5</v>
      </c>
      <c r="BZ380" s="13">
        <f t="shared" si="321"/>
        <v>91.207729468599027</v>
      </c>
      <c r="CA380" s="13">
        <f t="shared" si="322"/>
        <v>91</v>
      </c>
      <c r="CB380" s="13">
        <f t="shared" si="323"/>
        <v>455</v>
      </c>
      <c r="CC380" s="62">
        <f t="shared" si="324"/>
        <v>2.1978021978021978E-3</v>
      </c>
      <c r="CD380" s="13">
        <f t="shared" si="325"/>
        <v>230.33816425120773</v>
      </c>
      <c r="CE380" s="13">
        <f t="shared" si="326"/>
        <v>230</v>
      </c>
      <c r="CF380" s="13">
        <f t="shared" si="327"/>
        <v>2.0884955752212391</v>
      </c>
      <c r="CG380" s="13">
        <f t="shared" si="328"/>
        <v>2</v>
      </c>
      <c r="CH380" s="28">
        <f t="shared" si="329"/>
        <v>460</v>
      </c>
      <c r="CI380" s="62">
        <f t="shared" si="330"/>
        <v>2.1739130434782609E-3</v>
      </c>
      <c r="CJ380" s="59">
        <f t="shared" si="331"/>
        <v>2.1739130434782609E-3</v>
      </c>
      <c r="CL380" s="63">
        <v>6000</v>
      </c>
      <c r="CM380" s="63">
        <f t="shared" si="332"/>
        <v>560</v>
      </c>
      <c r="CN380" s="63">
        <f t="shared" si="333"/>
        <v>565</v>
      </c>
      <c r="CO380" s="63">
        <f t="shared" si="334"/>
        <v>10.619469026548673</v>
      </c>
      <c r="CP380" s="13">
        <f t="shared" si="335"/>
        <v>10</v>
      </c>
      <c r="CQ380" s="70">
        <f t="shared" si="336"/>
        <v>0.1</v>
      </c>
      <c r="CR380" s="69">
        <f t="shared" si="303"/>
        <v>0.2</v>
      </c>
    </row>
    <row r="381" spans="1:96" hidden="1" x14ac:dyDescent="0.25">
      <c r="A381" s="13">
        <v>4</v>
      </c>
      <c r="B381" s="14" t="s">
        <v>1023</v>
      </c>
      <c r="C381" s="13" t="s">
        <v>105</v>
      </c>
      <c r="D381" s="13" t="s">
        <v>106</v>
      </c>
      <c r="E381" s="13" t="s">
        <v>52</v>
      </c>
      <c r="F381" s="15">
        <f t="shared" si="304"/>
        <v>9</v>
      </c>
      <c r="G381" s="13">
        <v>2</v>
      </c>
      <c r="H381" s="13">
        <f t="shared" ref="H381:H384" si="354">G381*$H$379</f>
        <v>2</v>
      </c>
      <c r="I381" s="13">
        <v>2</v>
      </c>
      <c r="J381" s="14" t="s">
        <v>76</v>
      </c>
      <c r="K381" s="14" t="s">
        <v>34</v>
      </c>
      <c r="L381" s="13" t="s">
        <v>77</v>
      </c>
      <c r="M381" s="14" t="s">
        <v>35</v>
      </c>
      <c r="N381" s="13" t="s">
        <v>106</v>
      </c>
      <c r="O381" s="28" t="s">
        <v>41</v>
      </c>
      <c r="P381" s="28" t="s">
        <v>41</v>
      </c>
      <c r="Q381" s="28" t="s">
        <v>79</v>
      </c>
      <c r="R381" s="30">
        <v>11.023622047244094</v>
      </c>
      <c r="S381" s="30">
        <v>0.3125</v>
      </c>
      <c r="T381" s="30"/>
      <c r="U381" s="30">
        <v>0.3125</v>
      </c>
      <c r="V381" s="8">
        <f t="shared" si="306"/>
        <v>280</v>
      </c>
      <c r="W381" s="8">
        <f t="shared" si="307"/>
        <v>7.9375</v>
      </c>
      <c r="X381" s="8">
        <f t="shared" si="308"/>
        <v>0</v>
      </c>
      <c r="Y381" s="33">
        <f t="shared" si="309"/>
        <v>7.9375</v>
      </c>
      <c r="Z381" s="28" t="s">
        <v>80</v>
      </c>
      <c r="AA381" s="28" t="s">
        <v>81</v>
      </c>
      <c r="AB381" s="61" t="s">
        <v>79</v>
      </c>
      <c r="AC381" s="31" t="s">
        <v>82</v>
      </c>
      <c r="AD381" s="50">
        <f t="shared" si="310"/>
        <v>2</v>
      </c>
      <c r="AE381" s="31"/>
      <c r="AF381" s="51">
        <v>14</v>
      </c>
      <c r="AG381" s="51">
        <f t="shared" si="337"/>
        <v>8.4</v>
      </c>
      <c r="AH381" s="51">
        <f t="shared" si="302"/>
        <v>42</v>
      </c>
      <c r="AI381" s="52" t="s">
        <v>2497</v>
      </c>
      <c r="AJ381" s="52" t="s">
        <v>2498</v>
      </c>
      <c r="AK381" s="53">
        <f t="shared" si="338"/>
        <v>4.4450000000000002E-3</v>
      </c>
      <c r="AL381" s="54">
        <f t="shared" si="339"/>
        <v>0.11904761904761904</v>
      </c>
      <c r="AM381" s="54">
        <f t="shared" si="340"/>
        <v>2.3809523809523808E-2</v>
      </c>
      <c r="AN381" s="55">
        <f t="shared" si="341"/>
        <v>1.0583333333333332E-3</v>
      </c>
      <c r="AO381" s="55">
        <f t="shared" si="342"/>
        <v>2.1166666666666667E-4</v>
      </c>
      <c r="AP381" s="53">
        <v>7.1</v>
      </c>
      <c r="AQ381" s="53">
        <f t="shared" si="311"/>
        <v>4.26</v>
      </c>
      <c r="AR381" s="53">
        <f t="shared" si="312"/>
        <v>21.299999999999997</v>
      </c>
      <c r="AS381" s="56">
        <f t="shared" si="313"/>
        <v>4.6948356807511742E-2</v>
      </c>
      <c r="AT381" s="56">
        <f t="shared" si="343"/>
        <v>0.23474178403755869</v>
      </c>
      <c r="AU381" s="56">
        <f t="shared" si="314"/>
        <v>0.176056338028169</v>
      </c>
      <c r="AV381" s="56">
        <f t="shared" si="344"/>
        <v>5.8685446009389672E-2</v>
      </c>
      <c r="AW381" s="57" t="s">
        <v>2511</v>
      </c>
      <c r="AX381" s="57" t="s">
        <v>2512</v>
      </c>
      <c r="AY381" s="57" t="s">
        <v>2513</v>
      </c>
      <c r="AZ381" s="58">
        <f t="shared" si="345"/>
        <v>4.4450000000000002E-3</v>
      </c>
      <c r="BA381" s="59">
        <f t="shared" si="348"/>
        <v>2.6085680751173712E-4</v>
      </c>
      <c r="BB381" s="59">
        <f t="shared" si="349"/>
        <v>7.8257042253521126E-4</v>
      </c>
      <c r="BC381" s="59">
        <f t="shared" si="350"/>
        <v>2.086854460093897E-4</v>
      </c>
      <c r="BD381" s="60">
        <f t="shared" si="346"/>
        <v>1.0869565217391304E-3</v>
      </c>
      <c r="BE381" s="59">
        <f t="shared" si="347"/>
        <v>2.1739130434782609E-3</v>
      </c>
      <c r="BQ381" s="61">
        <v>3000</v>
      </c>
      <c r="BR381" s="61">
        <v>1200</v>
      </c>
      <c r="BS381" s="28">
        <f t="shared" si="315"/>
        <v>2980</v>
      </c>
      <c r="BT381" s="28">
        <f t="shared" si="316"/>
        <v>1180</v>
      </c>
      <c r="BU381" s="28" t="s">
        <v>2541</v>
      </c>
      <c r="BV381" s="28">
        <f t="shared" si="317"/>
        <v>285</v>
      </c>
      <c r="BW381" s="28">
        <f t="shared" si="318"/>
        <v>12.9375</v>
      </c>
      <c r="BX381" s="13">
        <f t="shared" si="319"/>
        <v>10.456140350877194</v>
      </c>
      <c r="BY381" s="13">
        <f t="shared" si="320"/>
        <v>10</v>
      </c>
      <c r="BZ381" s="13">
        <f t="shared" si="321"/>
        <v>91.207729468599027</v>
      </c>
      <c r="CA381" s="13">
        <f t="shared" si="322"/>
        <v>91</v>
      </c>
      <c r="CB381" s="13">
        <f t="shared" si="323"/>
        <v>910</v>
      </c>
      <c r="CC381" s="62">
        <f t="shared" si="324"/>
        <v>1.0989010989010989E-3</v>
      </c>
      <c r="CD381" s="13">
        <f t="shared" si="325"/>
        <v>230.33816425120773</v>
      </c>
      <c r="CE381" s="13">
        <f t="shared" si="326"/>
        <v>230</v>
      </c>
      <c r="CF381" s="13">
        <f t="shared" si="327"/>
        <v>4.1403508771929829</v>
      </c>
      <c r="CG381" s="13">
        <f t="shared" si="328"/>
        <v>4</v>
      </c>
      <c r="CH381" s="28">
        <f t="shared" si="329"/>
        <v>920</v>
      </c>
      <c r="CI381" s="62">
        <f t="shared" si="330"/>
        <v>1.0869565217391304E-3</v>
      </c>
      <c r="CJ381" s="59">
        <f t="shared" si="331"/>
        <v>1.0869565217391304E-3</v>
      </c>
      <c r="CL381" s="63">
        <v>6000</v>
      </c>
      <c r="CM381" s="63">
        <f t="shared" si="332"/>
        <v>280</v>
      </c>
      <c r="CN381" s="63">
        <f t="shared" si="333"/>
        <v>285</v>
      </c>
      <c r="CO381" s="63">
        <f t="shared" si="334"/>
        <v>21.05263157894737</v>
      </c>
      <c r="CP381" s="13">
        <f t="shared" si="335"/>
        <v>21</v>
      </c>
      <c r="CQ381" s="70">
        <f t="shared" si="336"/>
        <v>4.7619047619047616E-2</v>
      </c>
      <c r="CR381" s="69">
        <f t="shared" si="303"/>
        <v>9.5238095238095233E-2</v>
      </c>
    </row>
    <row r="382" spans="1:96" hidden="1" x14ac:dyDescent="0.25">
      <c r="A382" s="13">
        <v>4</v>
      </c>
      <c r="B382" s="14" t="s">
        <v>1023</v>
      </c>
      <c r="C382" s="13" t="s">
        <v>257</v>
      </c>
      <c r="D382" s="13" t="s">
        <v>260</v>
      </c>
      <c r="E382" s="13" t="s">
        <v>52</v>
      </c>
      <c r="F382" s="15">
        <f t="shared" si="304"/>
        <v>3</v>
      </c>
      <c r="G382" s="13">
        <v>2</v>
      </c>
      <c r="H382" s="13">
        <f t="shared" si="354"/>
        <v>2</v>
      </c>
      <c r="I382" s="13">
        <v>3</v>
      </c>
      <c r="J382" s="14" t="s">
        <v>258</v>
      </c>
      <c r="K382" s="14" t="s">
        <v>34</v>
      </c>
      <c r="L382" s="13" t="s">
        <v>259</v>
      </c>
      <c r="M382" s="14" t="s">
        <v>35</v>
      </c>
      <c r="N382" s="13" t="s">
        <v>260</v>
      </c>
      <c r="O382" s="28" t="s">
        <v>41</v>
      </c>
      <c r="P382" s="28" t="s">
        <v>41</v>
      </c>
      <c r="Q382" s="28" t="s">
        <v>79</v>
      </c>
      <c r="R382" s="30">
        <v>23.976377952755907</v>
      </c>
      <c r="S382" s="30">
        <v>0.3125</v>
      </c>
      <c r="T382" s="30"/>
      <c r="U382" s="30">
        <v>0.3125</v>
      </c>
      <c r="V382" s="8">
        <f t="shared" si="306"/>
        <v>609</v>
      </c>
      <c r="W382" s="8">
        <f t="shared" si="307"/>
        <v>7.9375</v>
      </c>
      <c r="X382" s="8">
        <f t="shared" si="308"/>
        <v>0</v>
      </c>
      <c r="Y382" s="33">
        <f t="shared" si="309"/>
        <v>7.9375</v>
      </c>
      <c r="Z382" s="28" t="s">
        <v>80</v>
      </c>
      <c r="AA382" s="28" t="s">
        <v>81</v>
      </c>
      <c r="AB382" s="61" t="s">
        <v>79</v>
      </c>
      <c r="AC382" s="31" t="s">
        <v>82</v>
      </c>
      <c r="AD382" s="50">
        <f t="shared" si="310"/>
        <v>2</v>
      </c>
      <c r="AE382" s="47" t="s">
        <v>107</v>
      </c>
      <c r="AF382" s="51">
        <v>14</v>
      </c>
      <c r="AG382" s="51">
        <f t="shared" si="337"/>
        <v>8.4</v>
      </c>
      <c r="AH382" s="51">
        <f t="shared" si="302"/>
        <v>42</v>
      </c>
      <c r="AI382" s="52" t="s">
        <v>2497</v>
      </c>
      <c r="AJ382" s="52" t="s">
        <v>2498</v>
      </c>
      <c r="AK382" s="53">
        <f t="shared" si="338"/>
        <v>9.6678749999999994E-3</v>
      </c>
      <c r="AL382" s="54">
        <f t="shared" si="339"/>
        <v>0.11904761904761904</v>
      </c>
      <c r="AM382" s="54">
        <f t="shared" si="340"/>
        <v>2.3809523809523808E-2</v>
      </c>
      <c r="AN382" s="55">
        <f t="shared" si="341"/>
        <v>2.3018749999999997E-3</v>
      </c>
      <c r="AO382" s="55">
        <f t="shared" si="342"/>
        <v>4.6037499999999996E-4</v>
      </c>
      <c r="AP382" s="53">
        <v>7.1</v>
      </c>
      <c r="AQ382" s="53">
        <f t="shared" si="311"/>
        <v>4.26</v>
      </c>
      <c r="AR382" s="53">
        <f t="shared" si="312"/>
        <v>21.299999999999997</v>
      </c>
      <c r="AS382" s="56">
        <f t="shared" si="313"/>
        <v>4.6948356807511742E-2</v>
      </c>
      <c r="AT382" s="56">
        <f t="shared" si="343"/>
        <v>0.23474178403755869</v>
      </c>
      <c r="AU382" s="56">
        <f t="shared" si="314"/>
        <v>0.176056338028169</v>
      </c>
      <c r="AV382" s="56">
        <f t="shared" si="344"/>
        <v>5.8685446009389672E-2</v>
      </c>
      <c r="AW382" s="57" t="s">
        <v>2511</v>
      </c>
      <c r="AX382" s="57" t="s">
        <v>2512</v>
      </c>
      <c r="AY382" s="57" t="s">
        <v>2513</v>
      </c>
      <c r="AZ382" s="58">
        <f t="shared" si="345"/>
        <v>9.6678749999999994E-3</v>
      </c>
      <c r="BA382" s="59">
        <f t="shared" si="348"/>
        <v>5.6736355633802815E-4</v>
      </c>
      <c r="BB382" s="59">
        <f t="shared" si="349"/>
        <v>1.7020906690140842E-3</v>
      </c>
      <c r="BC382" s="59">
        <f t="shared" si="350"/>
        <v>4.5389084507042253E-4</v>
      </c>
      <c r="BD382" s="60">
        <f t="shared" si="346"/>
        <v>2.7472527472527475E-3</v>
      </c>
      <c r="BE382" s="59">
        <f t="shared" si="347"/>
        <v>5.4945054945054949E-3</v>
      </c>
      <c r="BQ382" s="61">
        <v>3000</v>
      </c>
      <c r="BR382" s="61">
        <v>1200</v>
      </c>
      <c r="BS382" s="28">
        <f t="shared" si="315"/>
        <v>2980</v>
      </c>
      <c r="BT382" s="28">
        <f t="shared" si="316"/>
        <v>1180</v>
      </c>
      <c r="BU382" s="28" t="s">
        <v>2541</v>
      </c>
      <c r="BV382" s="28">
        <f t="shared" si="317"/>
        <v>614</v>
      </c>
      <c r="BW382" s="28">
        <f t="shared" si="318"/>
        <v>12.9375</v>
      </c>
      <c r="BX382" s="13">
        <f t="shared" si="319"/>
        <v>4.8534201954397398</v>
      </c>
      <c r="BY382" s="13">
        <f t="shared" si="320"/>
        <v>4</v>
      </c>
      <c r="BZ382" s="13">
        <f t="shared" si="321"/>
        <v>91.207729468599027</v>
      </c>
      <c r="CA382" s="13">
        <f t="shared" si="322"/>
        <v>91</v>
      </c>
      <c r="CB382" s="13">
        <f t="shared" si="323"/>
        <v>364</v>
      </c>
      <c r="CC382" s="62">
        <f t="shared" si="324"/>
        <v>2.7472527472527475E-3</v>
      </c>
      <c r="CD382" s="13">
        <f t="shared" si="325"/>
        <v>230.33816425120773</v>
      </c>
      <c r="CE382" s="13">
        <f t="shared" si="326"/>
        <v>230</v>
      </c>
      <c r="CF382" s="13">
        <f t="shared" si="327"/>
        <v>1.9218241042345277</v>
      </c>
      <c r="CG382" s="13">
        <f t="shared" si="328"/>
        <v>1</v>
      </c>
      <c r="CH382" s="28">
        <f t="shared" si="329"/>
        <v>230</v>
      </c>
      <c r="CI382" s="62">
        <f t="shared" si="330"/>
        <v>4.3478260869565218E-3</v>
      </c>
      <c r="CJ382" s="59">
        <f t="shared" si="331"/>
        <v>2.7472527472527475E-3</v>
      </c>
      <c r="CL382" s="63">
        <v>6000</v>
      </c>
      <c r="CM382" s="63">
        <f t="shared" si="332"/>
        <v>609</v>
      </c>
      <c r="CN382" s="63">
        <f t="shared" si="333"/>
        <v>614</v>
      </c>
      <c r="CO382" s="63">
        <f t="shared" si="334"/>
        <v>9.7719869706840399</v>
      </c>
      <c r="CP382" s="13">
        <f t="shared" si="335"/>
        <v>9</v>
      </c>
      <c r="CQ382" s="70">
        <f t="shared" si="336"/>
        <v>0.1111111111111111</v>
      </c>
      <c r="CR382" s="69">
        <f t="shared" si="303"/>
        <v>0.22222222222222221</v>
      </c>
    </row>
    <row r="383" spans="1:96" hidden="1" x14ac:dyDescent="0.25">
      <c r="A383" s="13">
        <v>4</v>
      </c>
      <c r="B383" s="14" t="s">
        <v>1023</v>
      </c>
      <c r="C383" s="13" t="s">
        <v>1024</v>
      </c>
      <c r="D383" s="13" t="s">
        <v>1025</v>
      </c>
      <c r="E383" s="13" t="s">
        <v>52</v>
      </c>
      <c r="F383" s="15">
        <f t="shared" si="304"/>
        <v>1</v>
      </c>
      <c r="G383" s="13">
        <v>3</v>
      </c>
      <c r="H383" s="13">
        <f t="shared" si="354"/>
        <v>3</v>
      </c>
      <c r="I383" s="13">
        <v>4</v>
      </c>
      <c r="J383" s="14" t="s">
        <v>76</v>
      </c>
      <c r="K383" s="14" t="s">
        <v>34</v>
      </c>
      <c r="L383" s="13">
        <v>0</v>
      </c>
      <c r="M383" s="14" t="s">
        <v>35</v>
      </c>
      <c r="N383" s="13" t="s">
        <v>1025</v>
      </c>
      <c r="O383" s="28" t="s">
        <v>41</v>
      </c>
      <c r="P383" s="28" t="s">
        <v>41</v>
      </c>
      <c r="Q383" s="28" t="s">
        <v>1025</v>
      </c>
      <c r="R383" s="30"/>
      <c r="S383" s="30">
        <v>0.3125</v>
      </c>
      <c r="T383" s="30"/>
      <c r="U383" s="30">
        <v>0.3125</v>
      </c>
      <c r="V383" s="8">
        <f t="shared" si="306"/>
        <v>0</v>
      </c>
      <c r="W383" s="8">
        <f t="shared" si="307"/>
        <v>7.9375</v>
      </c>
      <c r="X383" s="8">
        <f t="shared" si="308"/>
        <v>0</v>
      </c>
      <c r="Y383" s="33">
        <f t="shared" si="309"/>
        <v>7.9375</v>
      </c>
      <c r="Z383" s="28" t="s">
        <v>2477</v>
      </c>
      <c r="AA383" s="28" t="s">
        <v>2477</v>
      </c>
      <c r="AB383" s="61" t="s">
        <v>1025</v>
      </c>
      <c r="AC383" s="31" t="s">
        <v>1026</v>
      </c>
      <c r="AD383" s="50">
        <f t="shared" si="310"/>
        <v>3</v>
      </c>
      <c r="AE383" s="47" t="s">
        <v>107</v>
      </c>
      <c r="AF383" s="51">
        <v>14</v>
      </c>
      <c r="AG383" s="51">
        <f t="shared" si="337"/>
        <v>8.4</v>
      </c>
      <c r="AH383" s="51">
        <f t="shared" si="302"/>
        <v>42</v>
      </c>
      <c r="AI383" s="52" t="s">
        <v>2497</v>
      </c>
      <c r="AJ383" s="52" t="s">
        <v>2498</v>
      </c>
      <c r="AK383" s="53">
        <f t="shared" si="338"/>
        <v>0</v>
      </c>
      <c r="AL383" s="54">
        <f t="shared" si="339"/>
        <v>0.11904761904761904</v>
      </c>
      <c r="AM383" s="54">
        <f t="shared" si="340"/>
        <v>2.3809523809523808E-2</v>
      </c>
      <c r="AN383" s="55">
        <f t="shared" si="341"/>
        <v>0</v>
      </c>
      <c r="AO383" s="55">
        <f t="shared" si="342"/>
        <v>0</v>
      </c>
      <c r="AP383" s="53">
        <v>7.1</v>
      </c>
      <c r="AQ383" s="53">
        <f t="shared" si="311"/>
        <v>4.26</v>
      </c>
      <c r="AR383" s="53">
        <f t="shared" si="312"/>
        <v>21.299999999999997</v>
      </c>
      <c r="AS383" s="56">
        <f t="shared" si="313"/>
        <v>4.6948356807511742E-2</v>
      </c>
      <c r="AT383" s="56">
        <f t="shared" si="343"/>
        <v>0.23474178403755869</v>
      </c>
      <c r="AU383" s="56">
        <f t="shared" si="314"/>
        <v>0.176056338028169</v>
      </c>
      <c r="AV383" s="56">
        <f t="shared" si="344"/>
        <v>5.8685446009389672E-2</v>
      </c>
      <c r="AW383" s="57" t="s">
        <v>2511</v>
      </c>
      <c r="AX383" s="57" t="s">
        <v>2512</v>
      </c>
      <c r="AY383" s="57" t="s">
        <v>2513</v>
      </c>
      <c r="AZ383" s="58">
        <f t="shared" si="345"/>
        <v>0</v>
      </c>
      <c r="BA383" s="59">
        <f t="shared" si="348"/>
        <v>0</v>
      </c>
      <c r="BB383" s="59">
        <f t="shared" si="349"/>
        <v>0</v>
      </c>
      <c r="BC383" s="59">
        <f t="shared" si="350"/>
        <v>0</v>
      </c>
      <c r="BD383" s="60">
        <f t="shared" si="346"/>
        <v>1.8422991893883568E-5</v>
      </c>
      <c r="BE383" s="59">
        <f t="shared" si="347"/>
        <v>5.5268975681650707E-5</v>
      </c>
      <c r="BQ383" s="61">
        <v>3000</v>
      </c>
      <c r="BR383" s="61">
        <v>1200</v>
      </c>
      <c r="BS383" s="28">
        <f t="shared" si="315"/>
        <v>2980</v>
      </c>
      <c r="BT383" s="28">
        <f t="shared" si="316"/>
        <v>1180</v>
      </c>
      <c r="BU383" s="28" t="s">
        <v>2541</v>
      </c>
      <c r="BV383" s="28">
        <f t="shared" si="317"/>
        <v>5</v>
      </c>
      <c r="BW383" s="28">
        <f t="shared" si="318"/>
        <v>12.9375</v>
      </c>
      <c r="BX383" s="13">
        <f t="shared" si="319"/>
        <v>596</v>
      </c>
      <c r="BY383" s="13">
        <f t="shared" si="320"/>
        <v>596</v>
      </c>
      <c r="BZ383" s="13">
        <f t="shared" si="321"/>
        <v>91.207729468599027</v>
      </c>
      <c r="CA383" s="13">
        <f t="shared" si="322"/>
        <v>91</v>
      </c>
      <c r="CB383" s="13">
        <f t="shared" si="323"/>
        <v>54236</v>
      </c>
      <c r="CC383" s="62">
        <f t="shared" si="324"/>
        <v>1.8437937901025148E-5</v>
      </c>
      <c r="CD383" s="13">
        <f t="shared" si="325"/>
        <v>230.33816425120773</v>
      </c>
      <c r="CE383" s="13">
        <f t="shared" si="326"/>
        <v>230</v>
      </c>
      <c r="CF383" s="13">
        <f t="shared" si="327"/>
        <v>236</v>
      </c>
      <c r="CG383" s="13">
        <f t="shared" si="328"/>
        <v>236</v>
      </c>
      <c r="CH383" s="28">
        <f t="shared" si="329"/>
        <v>54280</v>
      </c>
      <c r="CI383" s="62">
        <f t="shared" si="330"/>
        <v>1.8422991893883568E-5</v>
      </c>
      <c r="CJ383" s="59">
        <f t="shared" si="331"/>
        <v>1.8422991893883568E-5</v>
      </c>
      <c r="CL383" s="63">
        <v>6000</v>
      </c>
      <c r="CM383" s="63">
        <f t="shared" si="332"/>
        <v>0</v>
      </c>
      <c r="CN383" s="63">
        <f t="shared" si="333"/>
        <v>5</v>
      </c>
      <c r="CO383" s="63">
        <f t="shared" si="334"/>
        <v>1200</v>
      </c>
      <c r="CP383" s="13">
        <f t="shared" si="335"/>
        <v>1200</v>
      </c>
      <c r="CQ383" s="70">
        <f t="shared" si="336"/>
        <v>8.3333333333333339E-4</v>
      </c>
      <c r="CR383" s="69">
        <f t="shared" si="303"/>
        <v>2.5000000000000001E-3</v>
      </c>
    </row>
    <row r="384" spans="1:96" hidden="1" x14ac:dyDescent="0.25">
      <c r="A384" s="13">
        <v>4</v>
      </c>
      <c r="B384" s="14" t="s">
        <v>1023</v>
      </c>
      <c r="C384" s="13" t="s">
        <v>1027</v>
      </c>
      <c r="D384" s="13" t="s">
        <v>2270</v>
      </c>
      <c r="E384" s="13" t="s">
        <v>32</v>
      </c>
      <c r="F384" s="15">
        <f t="shared" si="304"/>
        <v>1</v>
      </c>
      <c r="G384" s="13">
        <v>1</v>
      </c>
      <c r="H384" s="13">
        <f t="shared" si="354"/>
        <v>1</v>
      </c>
      <c r="I384" s="13">
        <v>5</v>
      </c>
      <c r="J384" s="14" t="s">
        <v>508</v>
      </c>
      <c r="K384" s="14" t="s">
        <v>34</v>
      </c>
      <c r="L384" s="13">
        <v>0</v>
      </c>
      <c r="M384" s="14" t="s">
        <v>35</v>
      </c>
      <c r="N384" s="13" t="s">
        <v>1028</v>
      </c>
      <c r="O384" s="28" t="s">
        <v>41</v>
      </c>
      <c r="P384" s="28" t="s">
        <v>41</v>
      </c>
      <c r="Q384" s="28"/>
      <c r="R384" s="30"/>
      <c r="S384" s="30"/>
      <c r="T384" s="30"/>
      <c r="U384" s="30"/>
      <c r="V384" s="8">
        <f t="shared" si="306"/>
        <v>0</v>
      </c>
      <c r="W384" s="8">
        <f t="shared" si="307"/>
        <v>0</v>
      </c>
      <c r="X384" s="8">
        <f t="shared" si="308"/>
        <v>0</v>
      </c>
      <c r="Y384" s="33">
        <f t="shared" si="309"/>
        <v>0</v>
      </c>
      <c r="Z384" s="28"/>
      <c r="AA384" s="28"/>
      <c r="AB384" s="28">
        <v>0</v>
      </c>
      <c r="AC384" s="31"/>
      <c r="AD384" s="50">
        <f t="shared" si="310"/>
        <v>1</v>
      </c>
      <c r="AE384" s="31"/>
      <c r="AF384" s="51">
        <v>14</v>
      </c>
      <c r="AG384" s="51">
        <f t="shared" si="337"/>
        <v>8.4</v>
      </c>
      <c r="AH384" s="51">
        <f t="shared" si="302"/>
        <v>42</v>
      </c>
      <c r="AI384" s="52" t="s">
        <v>2497</v>
      </c>
      <c r="AJ384" s="52" t="s">
        <v>2498</v>
      </c>
      <c r="AK384" s="53">
        <f t="shared" si="338"/>
        <v>0</v>
      </c>
      <c r="AL384" s="54">
        <f t="shared" si="339"/>
        <v>0.11904761904761904</v>
      </c>
      <c r="AM384" s="54">
        <f t="shared" si="340"/>
        <v>2.3809523809523808E-2</v>
      </c>
      <c r="AN384" s="55">
        <f t="shared" si="341"/>
        <v>0</v>
      </c>
      <c r="AO384" s="55">
        <f t="shared" si="342"/>
        <v>0</v>
      </c>
      <c r="AP384" s="53">
        <v>7.1</v>
      </c>
      <c r="AQ384" s="53">
        <f t="shared" si="311"/>
        <v>4.26</v>
      </c>
      <c r="AR384" s="53">
        <f t="shared" si="312"/>
        <v>21.299999999999997</v>
      </c>
      <c r="AS384" s="56">
        <f t="shared" si="313"/>
        <v>4.6948356807511742E-2</v>
      </c>
      <c r="AT384" s="56">
        <f t="shared" si="343"/>
        <v>0.23474178403755869</v>
      </c>
      <c r="AU384" s="56">
        <f t="shared" si="314"/>
        <v>0.176056338028169</v>
      </c>
      <c r="AV384" s="56">
        <f t="shared" si="344"/>
        <v>5.8685446009389672E-2</v>
      </c>
      <c r="AW384" s="57" t="s">
        <v>2511</v>
      </c>
      <c r="AX384" s="57" t="s">
        <v>2512</v>
      </c>
      <c r="AY384" s="57" t="s">
        <v>2513</v>
      </c>
      <c r="AZ384" s="58">
        <f t="shared" si="345"/>
        <v>0</v>
      </c>
      <c r="BA384" s="59">
        <f t="shared" si="348"/>
        <v>0</v>
      </c>
      <c r="BB384" s="59">
        <f t="shared" si="349"/>
        <v>0</v>
      </c>
      <c r="BC384" s="59">
        <f t="shared" si="350"/>
        <v>0</v>
      </c>
      <c r="BD384" s="60">
        <f t="shared" si="346"/>
        <v>0</v>
      </c>
      <c r="BE384" s="59">
        <f t="shared" si="347"/>
        <v>0</v>
      </c>
      <c r="BQ384" s="61">
        <v>3000</v>
      </c>
      <c r="BR384" s="61">
        <v>1200</v>
      </c>
      <c r="BS384" s="28">
        <f t="shared" si="315"/>
        <v>2980</v>
      </c>
      <c r="BT384" s="28">
        <f t="shared" si="316"/>
        <v>1180</v>
      </c>
      <c r="BU384" s="28" t="s">
        <v>2541</v>
      </c>
      <c r="BV384" s="28">
        <f t="shared" si="317"/>
        <v>5</v>
      </c>
      <c r="BW384" s="28">
        <f t="shared" si="318"/>
        <v>5</v>
      </c>
      <c r="BX384" s="13">
        <f t="shared" si="319"/>
        <v>596</v>
      </c>
      <c r="BY384" s="13">
        <f t="shared" si="320"/>
        <v>596</v>
      </c>
      <c r="BZ384" s="13">
        <f t="shared" si="321"/>
        <v>236</v>
      </c>
      <c r="CA384" s="13">
        <f t="shared" si="322"/>
        <v>236</v>
      </c>
      <c r="CB384" s="13">
        <f t="shared" si="323"/>
        <v>140656</v>
      </c>
      <c r="CC384" s="62" t="str">
        <f t="shared" si="324"/>
        <v/>
      </c>
      <c r="CD384" s="13">
        <f t="shared" si="325"/>
        <v>596</v>
      </c>
      <c r="CE384" s="13">
        <f t="shared" si="326"/>
        <v>596</v>
      </c>
      <c r="CF384" s="13">
        <f t="shared" si="327"/>
        <v>236</v>
      </c>
      <c r="CG384" s="13">
        <f t="shared" si="328"/>
        <v>236</v>
      </c>
      <c r="CH384" s="28">
        <f t="shared" si="329"/>
        <v>140656</v>
      </c>
      <c r="CI384" s="62" t="str">
        <f t="shared" si="330"/>
        <v/>
      </c>
      <c r="CJ384" s="59">
        <f t="shared" si="331"/>
        <v>0</v>
      </c>
      <c r="CL384" s="63">
        <v>6000</v>
      </c>
      <c r="CM384" s="63">
        <f t="shared" si="332"/>
        <v>0</v>
      </c>
      <c r="CN384" s="63">
        <f t="shared" si="333"/>
        <v>5</v>
      </c>
      <c r="CO384" s="63">
        <f t="shared" si="334"/>
        <v>1200</v>
      </c>
      <c r="CP384" s="13">
        <f t="shared" si="335"/>
        <v>1200</v>
      </c>
      <c r="CQ384" s="70">
        <f t="shared" si="336"/>
        <v>8.3333333333333339E-4</v>
      </c>
      <c r="CR384" s="69">
        <f t="shared" si="303"/>
        <v>8.3333333333333339E-4</v>
      </c>
    </row>
    <row r="385" spans="1:96" hidden="1" x14ac:dyDescent="0.25">
      <c r="A385" s="17">
        <v>5</v>
      </c>
      <c r="B385" s="6" t="s">
        <v>1029</v>
      </c>
      <c r="C385" s="17" t="s">
        <v>1030</v>
      </c>
      <c r="D385" s="17" t="s">
        <v>2270</v>
      </c>
      <c r="E385" s="17" t="s">
        <v>52</v>
      </c>
      <c r="F385" s="7">
        <f t="shared" si="304"/>
        <v>1</v>
      </c>
      <c r="G385" s="17">
        <v>1</v>
      </c>
      <c r="H385" s="17">
        <f>G385*$H$384</f>
        <v>1</v>
      </c>
      <c r="I385" s="17">
        <v>1</v>
      </c>
      <c r="J385" s="6" t="s">
        <v>1031</v>
      </c>
      <c r="K385" s="6" t="s">
        <v>34</v>
      </c>
      <c r="L385" s="17">
        <v>0</v>
      </c>
      <c r="M385" s="6" t="s">
        <v>35</v>
      </c>
      <c r="N385" s="17" t="s">
        <v>1032</v>
      </c>
      <c r="O385" s="28" t="s">
        <v>41</v>
      </c>
      <c r="P385" s="28" t="s">
        <v>41</v>
      </c>
      <c r="Q385" s="28" t="s">
        <v>124</v>
      </c>
      <c r="R385" s="30">
        <v>6.5250000000000004</v>
      </c>
      <c r="S385" s="30">
        <v>4.13</v>
      </c>
      <c r="T385" s="30"/>
      <c r="U385" s="30">
        <v>9.8000000000000004E-2</v>
      </c>
      <c r="V385" s="8">
        <f t="shared" si="306"/>
        <v>165.73500000000001</v>
      </c>
      <c r="W385" s="8">
        <f t="shared" si="307"/>
        <v>104.90199999999999</v>
      </c>
      <c r="X385" s="8">
        <f t="shared" si="308"/>
        <v>0</v>
      </c>
      <c r="Y385" s="33">
        <f t="shared" si="309"/>
        <v>2.4891999999999999</v>
      </c>
      <c r="Z385" s="28" t="s">
        <v>56</v>
      </c>
      <c r="AA385" s="28" t="s">
        <v>57</v>
      </c>
      <c r="AB385" s="61" t="s">
        <v>124</v>
      </c>
      <c r="AC385" s="31" t="s">
        <v>125</v>
      </c>
      <c r="AD385" s="50">
        <f t="shared" si="310"/>
        <v>1</v>
      </c>
      <c r="AE385" s="31"/>
      <c r="AF385" s="51">
        <v>14</v>
      </c>
      <c r="AG385" s="51">
        <f t="shared" si="337"/>
        <v>8.4</v>
      </c>
      <c r="AH385" s="51">
        <f t="shared" si="302"/>
        <v>42</v>
      </c>
      <c r="AI385" s="52" t="s">
        <v>2497</v>
      </c>
      <c r="AJ385" s="52" t="s">
        <v>2498</v>
      </c>
      <c r="AK385" s="53">
        <f t="shared" si="338"/>
        <v>3.4771865939999994E-2</v>
      </c>
      <c r="AL385" s="54">
        <f t="shared" si="339"/>
        <v>0.11904761904761904</v>
      </c>
      <c r="AM385" s="54">
        <f t="shared" si="340"/>
        <v>2.3809523809523808E-2</v>
      </c>
      <c r="AN385" s="55">
        <f t="shared" si="341"/>
        <v>4.1395078499999989E-3</v>
      </c>
      <c r="AO385" s="55">
        <f t="shared" si="342"/>
        <v>8.2790156999999981E-4</v>
      </c>
      <c r="AP385" s="53">
        <v>7.1</v>
      </c>
      <c r="AQ385" s="53">
        <f t="shared" si="311"/>
        <v>4.26</v>
      </c>
      <c r="AR385" s="53">
        <f t="shared" si="312"/>
        <v>21.299999999999997</v>
      </c>
      <c r="AS385" s="56">
        <f t="shared" si="313"/>
        <v>4.6948356807511742E-2</v>
      </c>
      <c r="AT385" s="56">
        <f t="shared" si="343"/>
        <v>0.23474178403755869</v>
      </c>
      <c r="AU385" s="56">
        <f t="shared" si="314"/>
        <v>0.176056338028169</v>
      </c>
      <c r="AV385" s="56">
        <f t="shared" si="344"/>
        <v>5.8685446009389672E-2</v>
      </c>
      <c r="AW385" s="57" t="s">
        <v>2511</v>
      </c>
      <c r="AX385" s="57" t="s">
        <v>2512</v>
      </c>
      <c r="AY385" s="57" t="s">
        <v>2513</v>
      </c>
      <c r="AZ385" s="58">
        <f t="shared" si="345"/>
        <v>3.4771865939999994E-2</v>
      </c>
      <c r="BA385" s="59">
        <f t="shared" si="348"/>
        <v>1.0203012306338026E-3</v>
      </c>
      <c r="BB385" s="59">
        <f t="shared" si="349"/>
        <v>3.0609036919014075E-3</v>
      </c>
      <c r="BC385" s="59">
        <f t="shared" si="350"/>
        <v>8.1624098450704217E-4</v>
      </c>
      <c r="BD385" s="60">
        <f t="shared" si="346"/>
        <v>5.8823529411764705E-3</v>
      </c>
      <c r="BE385" s="59">
        <f t="shared" si="347"/>
        <v>5.8823529411764705E-3</v>
      </c>
      <c r="BQ385" s="61">
        <v>3000</v>
      </c>
      <c r="BR385" s="61">
        <v>1200</v>
      </c>
      <c r="BS385" s="28">
        <f t="shared" si="315"/>
        <v>2980</v>
      </c>
      <c r="BT385" s="28">
        <f t="shared" si="316"/>
        <v>1180</v>
      </c>
      <c r="BU385" s="28" t="s">
        <v>2541</v>
      </c>
      <c r="BV385" s="28">
        <f t="shared" si="317"/>
        <v>170.73500000000001</v>
      </c>
      <c r="BW385" s="28">
        <f t="shared" si="318"/>
        <v>109.90199999999999</v>
      </c>
      <c r="BX385" s="13">
        <f t="shared" si="319"/>
        <v>17.453949102410167</v>
      </c>
      <c r="BY385" s="13">
        <f t="shared" si="320"/>
        <v>17</v>
      </c>
      <c r="BZ385" s="13">
        <f t="shared" si="321"/>
        <v>10.736838274098744</v>
      </c>
      <c r="CA385" s="13">
        <f t="shared" si="322"/>
        <v>10</v>
      </c>
      <c r="CB385" s="13">
        <f t="shared" si="323"/>
        <v>170</v>
      </c>
      <c r="CC385" s="62">
        <f t="shared" si="324"/>
        <v>5.8823529411764705E-3</v>
      </c>
      <c r="CD385" s="13">
        <f t="shared" si="325"/>
        <v>27.11506614984259</v>
      </c>
      <c r="CE385" s="13">
        <f t="shared" si="326"/>
        <v>27</v>
      </c>
      <c r="CF385" s="13">
        <f t="shared" si="327"/>
        <v>6.9112952821624152</v>
      </c>
      <c r="CG385" s="13">
        <f t="shared" si="328"/>
        <v>6</v>
      </c>
      <c r="CH385" s="28">
        <f t="shared" si="329"/>
        <v>162</v>
      </c>
      <c r="CI385" s="62">
        <f t="shared" si="330"/>
        <v>6.1728395061728392E-3</v>
      </c>
      <c r="CJ385" s="59">
        <f t="shared" si="331"/>
        <v>5.8823529411764705E-3</v>
      </c>
      <c r="CL385" s="63">
        <v>6000</v>
      </c>
      <c r="CM385" s="63">
        <f t="shared" si="332"/>
        <v>165.73500000000001</v>
      </c>
      <c r="CN385" s="63">
        <f t="shared" si="333"/>
        <v>170.73500000000001</v>
      </c>
      <c r="CO385" s="63">
        <f t="shared" si="334"/>
        <v>35.142179400825839</v>
      </c>
      <c r="CP385" s="13">
        <f t="shared" si="335"/>
        <v>35</v>
      </c>
      <c r="CQ385" s="70">
        <f t="shared" si="336"/>
        <v>2.8571428571428571E-2</v>
      </c>
      <c r="CR385" s="69">
        <f t="shared" si="303"/>
        <v>2.8571428571428571E-2</v>
      </c>
    </row>
    <row r="386" spans="1:96" hidden="1" x14ac:dyDescent="0.25">
      <c r="A386" s="17">
        <v>5</v>
      </c>
      <c r="B386" s="6" t="s">
        <v>1029</v>
      </c>
      <c r="C386" s="17" t="s">
        <v>1033</v>
      </c>
      <c r="D386" s="17" t="s">
        <v>1035</v>
      </c>
      <c r="E386" s="17" t="s">
        <v>52</v>
      </c>
      <c r="F386" s="7">
        <f t="shared" si="304"/>
        <v>1</v>
      </c>
      <c r="G386" s="17">
        <v>4</v>
      </c>
      <c r="H386" s="17">
        <f t="shared" ref="H386:H387" si="355">G386*$H$384</f>
        <v>4</v>
      </c>
      <c r="I386" s="17">
        <v>2</v>
      </c>
      <c r="J386" s="6" t="s">
        <v>1034</v>
      </c>
      <c r="K386" s="6" t="s">
        <v>34</v>
      </c>
      <c r="L386" s="17">
        <v>0</v>
      </c>
      <c r="M386" s="6" t="s">
        <v>35</v>
      </c>
      <c r="N386" s="17" t="s">
        <v>1035</v>
      </c>
      <c r="O386" s="28" t="s">
        <v>41</v>
      </c>
      <c r="P386" s="28" t="s">
        <v>41</v>
      </c>
      <c r="Q386" s="28" t="s">
        <v>1035</v>
      </c>
      <c r="R386" s="30"/>
      <c r="S386" s="30"/>
      <c r="T386" s="30"/>
      <c r="U386" s="30"/>
      <c r="V386" s="8">
        <f t="shared" si="306"/>
        <v>0</v>
      </c>
      <c r="W386" s="8">
        <f t="shared" si="307"/>
        <v>0</v>
      </c>
      <c r="X386" s="8">
        <f t="shared" si="308"/>
        <v>0</v>
      </c>
      <c r="Y386" s="33">
        <f t="shared" si="309"/>
        <v>0</v>
      </c>
      <c r="Z386" s="28"/>
      <c r="AA386" s="28"/>
      <c r="AB386" s="61" t="s">
        <v>1035</v>
      </c>
      <c r="AC386" s="31" t="s">
        <v>1036</v>
      </c>
      <c r="AD386" s="50">
        <f t="shared" si="310"/>
        <v>4</v>
      </c>
      <c r="AE386" s="47" t="s">
        <v>107</v>
      </c>
      <c r="AF386" s="51">
        <v>14</v>
      </c>
      <c r="AG386" s="51">
        <f t="shared" si="337"/>
        <v>8.4</v>
      </c>
      <c r="AH386" s="51">
        <f t="shared" ref="AH386:AH449" si="356">AG386/0.2</f>
        <v>42</v>
      </c>
      <c r="AI386" s="52" t="s">
        <v>2497</v>
      </c>
      <c r="AJ386" s="52" t="s">
        <v>2498</v>
      </c>
      <c r="AK386" s="53">
        <f t="shared" si="338"/>
        <v>0</v>
      </c>
      <c r="AL386" s="54">
        <f t="shared" si="339"/>
        <v>0.11904761904761904</v>
      </c>
      <c r="AM386" s="54">
        <f t="shared" si="340"/>
        <v>2.3809523809523808E-2</v>
      </c>
      <c r="AN386" s="55">
        <f t="shared" si="341"/>
        <v>0</v>
      </c>
      <c r="AO386" s="55">
        <f t="shared" si="342"/>
        <v>0</v>
      </c>
      <c r="AP386" s="53">
        <v>7.1</v>
      </c>
      <c r="AQ386" s="53">
        <f t="shared" si="311"/>
        <v>4.26</v>
      </c>
      <c r="AR386" s="53">
        <f t="shared" si="312"/>
        <v>21.299999999999997</v>
      </c>
      <c r="AS386" s="56">
        <f t="shared" si="313"/>
        <v>4.6948356807511742E-2</v>
      </c>
      <c r="AT386" s="56">
        <f t="shared" si="343"/>
        <v>0.23474178403755869</v>
      </c>
      <c r="AU386" s="56">
        <f t="shared" si="314"/>
        <v>0.176056338028169</v>
      </c>
      <c r="AV386" s="56">
        <f t="shared" si="344"/>
        <v>5.8685446009389672E-2</v>
      </c>
      <c r="AW386" s="57" t="s">
        <v>2511</v>
      </c>
      <c r="AX386" s="57" t="s">
        <v>2512</v>
      </c>
      <c r="AY386" s="57" t="s">
        <v>2513</v>
      </c>
      <c r="AZ386" s="58">
        <f t="shared" si="345"/>
        <v>0</v>
      </c>
      <c r="BA386" s="59">
        <f t="shared" si="348"/>
        <v>0</v>
      </c>
      <c r="BB386" s="59">
        <f t="shared" si="349"/>
        <v>0</v>
      </c>
      <c r="BC386" s="59">
        <f t="shared" si="350"/>
        <v>0</v>
      </c>
      <c r="BD386" s="60">
        <f t="shared" si="346"/>
        <v>7.1095438516664771E-6</v>
      </c>
      <c r="BE386" s="59">
        <f t="shared" si="347"/>
        <v>2.8438175406665908E-5</v>
      </c>
      <c r="BQ386" s="61">
        <v>3000</v>
      </c>
      <c r="BR386" s="61">
        <v>1200</v>
      </c>
      <c r="BS386" s="28">
        <f t="shared" si="315"/>
        <v>2980</v>
      </c>
      <c r="BT386" s="28">
        <f t="shared" si="316"/>
        <v>1180</v>
      </c>
      <c r="BU386" s="28" t="s">
        <v>2541</v>
      </c>
      <c r="BV386" s="28">
        <f t="shared" si="317"/>
        <v>5</v>
      </c>
      <c r="BW386" s="28">
        <f t="shared" si="318"/>
        <v>5</v>
      </c>
      <c r="BX386" s="13">
        <f t="shared" si="319"/>
        <v>596</v>
      </c>
      <c r="BY386" s="13">
        <f t="shared" si="320"/>
        <v>596</v>
      </c>
      <c r="BZ386" s="13">
        <f t="shared" si="321"/>
        <v>236</v>
      </c>
      <c r="CA386" s="13">
        <f t="shared" si="322"/>
        <v>236</v>
      </c>
      <c r="CB386" s="13">
        <f t="shared" si="323"/>
        <v>140656</v>
      </c>
      <c r="CC386" s="62">
        <f t="shared" si="324"/>
        <v>7.1095438516664771E-6</v>
      </c>
      <c r="CD386" s="13">
        <f t="shared" si="325"/>
        <v>596</v>
      </c>
      <c r="CE386" s="13">
        <f t="shared" si="326"/>
        <v>596</v>
      </c>
      <c r="CF386" s="13">
        <f t="shared" si="327"/>
        <v>236</v>
      </c>
      <c r="CG386" s="13">
        <f t="shared" si="328"/>
        <v>236</v>
      </c>
      <c r="CH386" s="28">
        <f t="shared" si="329"/>
        <v>140656</v>
      </c>
      <c r="CI386" s="62">
        <f t="shared" si="330"/>
        <v>7.1095438516664771E-6</v>
      </c>
      <c r="CJ386" s="59">
        <f t="shared" si="331"/>
        <v>7.1095438516664771E-6</v>
      </c>
      <c r="CL386" s="63">
        <v>6000</v>
      </c>
      <c r="CM386" s="63">
        <f t="shared" si="332"/>
        <v>0</v>
      </c>
      <c r="CN386" s="63">
        <f t="shared" si="333"/>
        <v>5</v>
      </c>
      <c r="CO386" s="63">
        <f t="shared" si="334"/>
        <v>1200</v>
      </c>
      <c r="CP386" s="13">
        <f t="shared" si="335"/>
        <v>1200</v>
      </c>
      <c r="CQ386" s="70">
        <f t="shared" si="336"/>
        <v>8.3333333333333339E-4</v>
      </c>
      <c r="CR386" s="69">
        <f t="shared" ref="CR386:CR449" si="357">CQ386*AD386</f>
        <v>3.3333333333333335E-3</v>
      </c>
    </row>
    <row r="387" spans="1:96" hidden="1" x14ac:dyDescent="0.25">
      <c r="A387" s="17">
        <v>5</v>
      </c>
      <c r="B387" s="6" t="s">
        <v>1029</v>
      </c>
      <c r="C387" s="17" t="s">
        <v>1037</v>
      </c>
      <c r="D387" s="17" t="s">
        <v>2270</v>
      </c>
      <c r="E387" s="17" t="s">
        <v>52</v>
      </c>
      <c r="F387" s="7">
        <f t="shared" ref="F387:F450" si="358">COUNTIF($C$2:$C$1202,C387)</f>
        <v>2</v>
      </c>
      <c r="G387" s="17">
        <v>1</v>
      </c>
      <c r="H387" s="17">
        <f t="shared" si="355"/>
        <v>1</v>
      </c>
      <c r="I387" s="17">
        <v>3</v>
      </c>
      <c r="J387" s="6" t="s">
        <v>1038</v>
      </c>
      <c r="K387" s="6" t="s">
        <v>34</v>
      </c>
      <c r="L387" s="17">
        <v>0</v>
      </c>
      <c r="M387" s="6" t="s">
        <v>35</v>
      </c>
      <c r="N387" s="17" t="s">
        <v>1039</v>
      </c>
      <c r="O387" s="28" t="s">
        <v>41</v>
      </c>
      <c r="P387" s="28" t="s">
        <v>41</v>
      </c>
      <c r="Q387" s="28" t="s">
        <v>1039</v>
      </c>
      <c r="R387" s="30"/>
      <c r="S387" s="30"/>
      <c r="T387" s="30"/>
      <c r="U387" s="30"/>
      <c r="V387" s="8">
        <f t="shared" ref="V387:V450" si="359">R387*25.4</f>
        <v>0</v>
      </c>
      <c r="W387" s="8">
        <f t="shared" ref="W387:W450" si="360">S387*25.4</f>
        <v>0</v>
      </c>
      <c r="X387" s="8">
        <f t="shared" ref="X387:X450" si="361">T387*25.4</f>
        <v>0</v>
      </c>
      <c r="Y387" s="33">
        <f t="shared" ref="Y387:Y450" si="362">U387*25.4</f>
        <v>0</v>
      </c>
      <c r="Z387" s="28"/>
      <c r="AA387" s="28"/>
      <c r="AB387" s="61" t="s">
        <v>1039</v>
      </c>
      <c r="AC387" s="31" t="s">
        <v>2584</v>
      </c>
      <c r="AD387" s="50">
        <f t="shared" ref="AD387:AD450" si="363">H387</f>
        <v>1</v>
      </c>
      <c r="AE387" s="31"/>
      <c r="AF387" s="51">
        <v>14</v>
      </c>
      <c r="AG387" s="51">
        <f t="shared" si="337"/>
        <v>8.4</v>
      </c>
      <c r="AH387" s="51">
        <f t="shared" si="356"/>
        <v>42</v>
      </c>
      <c r="AI387" s="52" t="s">
        <v>2497</v>
      </c>
      <c r="AJ387" s="52" t="s">
        <v>2498</v>
      </c>
      <c r="AK387" s="53">
        <f t="shared" si="338"/>
        <v>0</v>
      </c>
      <c r="AL387" s="54">
        <f t="shared" si="339"/>
        <v>0.11904761904761904</v>
      </c>
      <c r="AM387" s="54">
        <f t="shared" si="340"/>
        <v>2.3809523809523808E-2</v>
      </c>
      <c r="AN387" s="55">
        <f t="shared" si="341"/>
        <v>0</v>
      </c>
      <c r="AO387" s="55">
        <f t="shared" si="342"/>
        <v>0</v>
      </c>
      <c r="AP387" s="53">
        <v>7.1</v>
      </c>
      <c r="AQ387" s="53">
        <f t="shared" ref="AQ387:AQ450" si="364">AP387*0.6</f>
        <v>4.26</v>
      </c>
      <c r="AR387" s="53">
        <f t="shared" ref="AR387:AR450" si="365">AQ387*5</f>
        <v>21.299999999999997</v>
      </c>
      <c r="AS387" s="56">
        <f t="shared" ref="AS387:AS450" si="366">1/AR387</f>
        <v>4.6948356807511742E-2</v>
      </c>
      <c r="AT387" s="56">
        <f t="shared" si="343"/>
        <v>0.23474178403755869</v>
      </c>
      <c r="AU387" s="56">
        <f t="shared" ref="AU387:AU450" si="367">AT387*0.75</f>
        <v>0.176056338028169</v>
      </c>
      <c r="AV387" s="56">
        <f t="shared" si="344"/>
        <v>5.8685446009389672E-2</v>
      </c>
      <c r="AW387" s="57" t="s">
        <v>2511</v>
      </c>
      <c r="AX387" s="57" t="s">
        <v>2512</v>
      </c>
      <c r="AY387" s="57" t="s">
        <v>2513</v>
      </c>
      <c r="AZ387" s="58">
        <f t="shared" si="345"/>
        <v>0</v>
      </c>
      <c r="BA387" s="59">
        <f t="shared" si="348"/>
        <v>0</v>
      </c>
      <c r="BB387" s="59">
        <f t="shared" si="349"/>
        <v>0</v>
      </c>
      <c r="BC387" s="59">
        <f t="shared" si="350"/>
        <v>0</v>
      </c>
      <c r="BD387" s="60">
        <f t="shared" si="346"/>
        <v>7.1095438516664771E-6</v>
      </c>
      <c r="BE387" s="59">
        <f t="shared" si="347"/>
        <v>7.1095438516664771E-6</v>
      </c>
      <c r="BQ387" s="61">
        <v>3000</v>
      </c>
      <c r="BR387" s="61">
        <v>1200</v>
      </c>
      <c r="BS387" s="28">
        <f t="shared" ref="BS387:BS450" si="368">BQ387-20</f>
        <v>2980</v>
      </c>
      <c r="BT387" s="28">
        <f t="shared" ref="BT387:BT450" si="369">BR387-20</f>
        <v>1180</v>
      </c>
      <c r="BU387" s="28" t="s">
        <v>2541</v>
      </c>
      <c r="BV387" s="28">
        <f t="shared" ref="BV387:BV450" si="370">V387+5</f>
        <v>5</v>
      </c>
      <c r="BW387" s="28">
        <f t="shared" ref="BW387:BW450" si="371">W387+5</f>
        <v>5</v>
      </c>
      <c r="BX387" s="13">
        <f t="shared" ref="BX387:BX450" si="372">BS387/BV387</f>
        <v>596</v>
      </c>
      <c r="BY387" s="13">
        <f t="shared" ref="BY387:BY450" si="373">ROUNDDOWN(BX387,0)</f>
        <v>596</v>
      </c>
      <c r="BZ387" s="13">
        <f t="shared" ref="BZ387:BZ450" si="374">BT387/BW387</f>
        <v>236</v>
      </c>
      <c r="CA387" s="13">
        <f t="shared" ref="CA387:CA450" si="375">ROUNDDOWN(BZ387,0)</f>
        <v>236</v>
      </c>
      <c r="CB387" s="13">
        <f t="shared" ref="CB387:CB450" si="376">BY387*CA387</f>
        <v>140656</v>
      </c>
      <c r="CC387" s="62">
        <f t="shared" ref="CC387:CC450" si="377">IF(E387="CJ","",IFERROR((1/CB387),1))</f>
        <v>7.1095438516664771E-6</v>
      </c>
      <c r="CD387" s="13">
        <f t="shared" ref="CD387:CD450" si="378">BS387/BW387</f>
        <v>596</v>
      </c>
      <c r="CE387" s="13">
        <f t="shared" ref="CE387:CE450" si="379">ROUNDDOWN(CD387,0)</f>
        <v>596</v>
      </c>
      <c r="CF387" s="13">
        <f t="shared" ref="CF387:CF450" si="380">BT387/BV387</f>
        <v>236</v>
      </c>
      <c r="CG387" s="13">
        <f t="shared" ref="CG387:CG450" si="381">ROUNDDOWN(CF387,0)</f>
        <v>236</v>
      </c>
      <c r="CH387" s="28">
        <f t="shared" ref="CH387:CH450" si="382">CE387*CG387</f>
        <v>140656</v>
      </c>
      <c r="CI387" s="62">
        <f t="shared" ref="CI387:CI450" si="383">IF(E387="CJ","",IFERROR((1/CH387),1))</f>
        <v>7.1095438516664771E-6</v>
      </c>
      <c r="CJ387" s="59">
        <f t="shared" ref="CJ387:CJ450" si="384">MIN(CC387,CI387)</f>
        <v>7.1095438516664771E-6</v>
      </c>
      <c r="CL387" s="63">
        <v>6000</v>
      </c>
      <c r="CM387" s="63">
        <f t="shared" ref="CM387:CM450" si="385">V387</f>
        <v>0</v>
      </c>
      <c r="CN387" s="63">
        <f t="shared" ref="CN387:CN450" si="386">CM387+5</f>
        <v>5</v>
      </c>
      <c r="CO387" s="63">
        <f t="shared" ref="CO387:CO450" si="387">CL387/CN387</f>
        <v>1200</v>
      </c>
      <c r="CP387" s="13">
        <f t="shared" ref="CP387:CP450" si="388">ROUNDDOWN(CO387,0)</f>
        <v>1200</v>
      </c>
      <c r="CQ387" s="70">
        <f t="shared" ref="CQ387:CQ450" si="389">1/CP387</f>
        <v>8.3333333333333339E-4</v>
      </c>
      <c r="CR387" s="69">
        <f t="shared" si="357"/>
        <v>8.3333333333333339E-4</v>
      </c>
    </row>
    <row r="388" spans="1:96" hidden="1" x14ac:dyDescent="0.25">
      <c r="A388" s="13">
        <v>4</v>
      </c>
      <c r="B388" s="14" t="s">
        <v>1023</v>
      </c>
      <c r="C388" s="13" t="s">
        <v>1041</v>
      </c>
      <c r="D388" s="13" t="s">
        <v>2270</v>
      </c>
      <c r="E388" s="13" t="s">
        <v>32</v>
      </c>
      <c r="F388" s="15">
        <f t="shared" si="358"/>
        <v>1</v>
      </c>
      <c r="G388" s="13">
        <v>1</v>
      </c>
      <c r="H388" s="13">
        <f>G388*$H$379</f>
        <v>1</v>
      </c>
      <c r="I388" s="13">
        <v>7</v>
      </c>
      <c r="J388" s="14" t="s">
        <v>1021</v>
      </c>
      <c r="K388" s="14" t="s">
        <v>34</v>
      </c>
      <c r="L388" s="13" t="s">
        <v>170</v>
      </c>
      <c r="M388" s="14" t="s">
        <v>35</v>
      </c>
      <c r="N388" s="13" t="s">
        <v>1042</v>
      </c>
      <c r="O388" s="28" t="s">
        <v>41</v>
      </c>
      <c r="P388" s="28" t="s">
        <v>41</v>
      </c>
      <c r="Q388" s="28"/>
      <c r="R388" s="30"/>
      <c r="S388" s="30"/>
      <c r="T388" s="30"/>
      <c r="U388" s="30"/>
      <c r="V388" s="8">
        <f t="shared" si="359"/>
        <v>0</v>
      </c>
      <c r="W388" s="8">
        <f t="shared" si="360"/>
        <v>0</v>
      </c>
      <c r="X388" s="8">
        <f t="shared" si="361"/>
        <v>0</v>
      </c>
      <c r="Y388" s="33">
        <f t="shared" si="362"/>
        <v>0</v>
      </c>
      <c r="Z388" s="28"/>
      <c r="AA388" s="28"/>
      <c r="AB388" s="28">
        <v>0</v>
      </c>
      <c r="AC388" s="31"/>
      <c r="AD388" s="50">
        <f t="shared" si="363"/>
        <v>1</v>
      </c>
      <c r="AE388" s="31"/>
      <c r="AF388" s="51">
        <v>14</v>
      </c>
      <c r="AG388" s="51">
        <f t="shared" si="337"/>
        <v>8.4</v>
      </c>
      <c r="AH388" s="51">
        <f t="shared" si="356"/>
        <v>42</v>
      </c>
      <c r="AI388" s="52" t="s">
        <v>2497</v>
      </c>
      <c r="AJ388" s="52" t="s">
        <v>2498</v>
      </c>
      <c r="AK388" s="53">
        <f t="shared" si="338"/>
        <v>0</v>
      </c>
      <c r="AL388" s="54">
        <f t="shared" si="339"/>
        <v>0.11904761904761904</v>
      </c>
      <c r="AM388" s="54">
        <f t="shared" si="340"/>
        <v>2.3809523809523808E-2</v>
      </c>
      <c r="AN388" s="55">
        <f t="shared" si="341"/>
        <v>0</v>
      </c>
      <c r="AO388" s="55">
        <f t="shared" si="342"/>
        <v>0</v>
      </c>
      <c r="AP388" s="53">
        <v>7.1</v>
      </c>
      <c r="AQ388" s="53">
        <f t="shared" si="364"/>
        <v>4.26</v>
      </c>
      <c r="AR388" s="53">
        <f t="shared" si="365"/>
        <v>21.299999999999997</v>
      </c>
      <c r="AS388" s="56">
        <f t="shared" si="366"/>
        <v>4.6948356807511742E-2</v>
      </c>
      <c r="AT388" s="56">
        <f t="shared" si="343"/>
        <v>0.23474178403755869</v>
      </c>
      <c r="AU388" s="56">
        <f t="shared" si="367"/>
        <v>0.176056338028169</v>
      </c>
      <c r="AV388" s="56">
        <f t="shared" si="344"/>
        <v>5.8685446009389672E-2</v>
      </c>
      <c r="AW388" s="57" t="s">
        <v>2511</v>
      </c>
      <c r="AX388" s="57" t="s">
        <v>2512</v>
      </c>
      <c r="AY388" s="57" t="s">
        <v>2513</v>
      </c>
      <c r="AZ388" s="58">
        <f t="shared" si="345"/>
        <v>0</v>
      </c>
      <c r="BA388" s="59">
        <f t="shared" si="348"/>
        <v>0</v>
      </c>
      <c r="BB388" s="59">
        <f t="shared" si="349"/>
        <v>0</v>
      </c>
      <c r="BC388" s="59">
        <f t="shared" si="350"/>
        <v>0</v>
      </c>
      <c r="BD388" s="60">
        <f t="shared" si="346"/>
        <v>0</v>
      </c>
      <c r="BE388" s="59">
        <f t="shared" si="347"/>
        <v>0</v>
      </c>
      <c r="BQ388" s="61">
        <v>3000</v>
      </c>
      <c r="BR388" s="61">
        <v>1200</v>
      </c>
      <c r="BS388" s="28">
        <f t="shared" si="368"/>
        <v>2980</v>
      </c>
      <c r="BT388" s="28">
        <f t="shared" si="369"/>
        <v>1180</v>
      </c>
      <c r="BU388" s="28" t="s">
        <v>2541</v>
      </c>
      <c r="BV388" s="28">
        <f t="shared" si="370"/>
        <v>5</v>
      </c>
      <c r="BW388" s="28">
        <f t="shared" si="371"/>
        <v>5</v>
      </c>
      <c r="BX388" s="13">
        <f t="shared" si="372"/>
        <v>596</v>
      </c>
      <c r="BY388" s="13">
        <f t="shared" si="373"/>
        <v>596</v>
      </c>
      <c r="BZ388" s="13">
        <f t="shared" si="374"/>
        <v>236</v>
      </c>
      <c r="CA388" s="13">
        <f t="shared" si="375"/>
        <v>236</v>
      </c>
      <c r="CB388" s="13">
        <f t="shared" si="376"/>
        <v>140656</v>
      </c>
      <c r="CC388" s="62" t="str">
        <f t="shared" si="377"/>
        <v/>
      </c>
      <c r="CD388" s="13">
        <f t="shared" si="378"/>
        <v>596</v>
      </c>
      <c r="CE388" s="13">
        <f t="shared" si="379"/>
        <v>596</v>
      </c>
      <c r="CF388" s="13">
        <f t="shared" si="380"/>
        <v>236</v>
      </c>
      <c r="CG388" s="13">
        <f t="shared" si="381"/>
        <v>236</v>
      </c>
      <c r="CH388" s="28">
        <f t="shared" si="382"/>
        <v>140656</v>
      </c>
      <c r="CI388" s="62" t="str">
        <f t="shared" si="383"/>
        <v/>
      </c>
      <c r="CJ388" s="59">
        <f t="shared" si="384"/>
        <v>0</v>
      </c>
      <c r="CL388" s="63">
        <v>6000</v>
      </c>
      <c r="CM388" s="63">
        <f t="shared" si="385"/>
        <v>0</v>
      </c>
      <c r="CN388" s="63">
        <f t="shared" si="386"/>
        <v>5</v>
      </c>
      <c r="CO388" s="63">
        <f t="shared" si="387"/>
        <v>1200</v>
      </c>
      <c r="CP388" s="13">
        <f t="shared" si="388"/>
        <v>1200</v>
      </c>
      <c r="CQ388" s="70">
        <f t="shared" si="389"/>
        <v>8.3333333333333339E-4</v>
      </c>
      <c r="CR388" s="69">
        <f t="shared" si="357"/>
        <v>8.3333333333333339E-4</v>
      </c>
    </row>
    <row r="389" spans="1:96" hidden="1" x14ac:dyDescent="0.25">
      <c r="A389" s="17">
        <v>5</v>
      </c>
      <c r="B389" s="6" t="s">
        <v>1043</v>
      </c>
      <c r="C389" s="17" t="s">
        <v>1044</v>
      </c>
      <c r="D389" s="17" t="s">
        <v>2270</v>
      </c>
      <c r="E389" s="17" t="s">
        <v>52</v>
      </c>
      <c r="F389" s="7">
        <f t="shared" si="358"/>
        <v>1</v>
      </c>
      <c r="G389" s="17">
        <v>1</v>
      </c>
      <c r="H389" s="17">
        <f>G389*$H$388</f>
        <v>1</v>
      </c>
      <c r="I389" s="17">
        <v>1</v>
      </c>
      <c r="J389" s="6" t="s">
        <v>1045</v>
      </c>
      <c r="K389" s="6" t="s">
        <v>34</v>
      </c>
      <c r="L389" s="17" t="s">
        <v>170</v>
      </c>
      <c r="M389" s="6" t="s">
        <v>35</v>
      </c>
      <c r="N389" s="17" t="s">
        <v>1046</v>
      </c>
      <c r="O389" s="28" t="s">
        <v>41</v>
      </c>
      <c r="P389" s="28" t="s">
        <v>41</v>
      </c>
      <c r="Q389" s="28" t="s">
        <v>55</v>
      </c>
      <c r="R389" s="30">
        <v>75.010000000000005</v>
      </c>
      <c r="S389" s="30">
        <v>55.914999999999999</v>
      </c>
      <c r="T389" s="30"/>
      <c r="U389" s="30">
        <v>0.12</v>
      </c>
      <c r="V389" s="8">
        <f t="shared" si="359"/>
        <v>1905.2540000000001</v>
      </c>
      <c r="W389" s="8">
        <f t="shared" si="360"/>
        <v>1420.241</v>
      </c>
      <c r="X389" s="8">
        <f t="shared" si="361"/>
        <v>0</v>
      </c>
      <c r="Y389" s="33">
        <f t="shared" si="362"/>
        <v>3.0479999999999996</v>
      </c>
      <c r="Z389" s="28" t="s">
        <v>56</v>
      </c>
      <c r="AA389" s="28" t="s">
        <v>57</v>
      </c>
      <c r="AB389" s="61" t="s">
        <v>55</v>
      </c>
      <c r="AC389" s="31" t="s">
        <v>58</v>
      </c>
      <c r="AD389" s="50">
        <f t="shared" si="363"/>
        <v>1</v>
      </c>
      <c r="AE389" s="31"/>
      <c r="AF389" s="51">
        <v>14</v>
      </c>
      <c r="AG389" s="51">
        <f t="shared" si="337"/>
        <v>8.4</v>
      </c>
      <c r="AH389" s="51">
        <f t="shared" si="356"/>
        <v>42</v>
      </c>
      <c r="AI389" s="52" t="s">
        <v>2497</v>
      </c>
      <c r="AJ389" s="52" t="s">
        <v>2498</v>
      </c>
      <c r="AK389" s="53">
        <f t="shared" si="338"/>
        <v>5.4118396924279999</v>
      </c>
      <c r="AL389" s="54">
        <f t="shared" si="339"/>
        <v>0.11904761904761904</v>
      </c>
      <c r="AM389" s="54">
        <f t="shared" si="340"/>
        <v>2.3809523809523808E-2</v>
      </c>
      <c r="AN389" s="55">
        <f t="shared" si="341"/>
        <v>0.6442666300509523</v>
      </c>
      <c r="AO389" s="55">
        <f t="shared" si="342"/>
        <v>0.12885332601019048</v>
      </c>
      <c r="AP389" s="53">
        <v>7.1</v>
      </c>
      <c r="AQ389" s="53">
        <f t="shared" si="364"/>
        <v>4.26</v>
      </c>
      <c r="AR389" s="53">
        <f t="shared" si="365"/>
        <v>21.299999999999997</v>
      </c>
      <c r="AS389" s="56">
        <f t="shared" si="366"/>
        <v>4.6948356807511742E-2</v>
      </c>
      <c r="AT389" s="56">
        <f t="shared" si="343"/>
        <v>0.23474178403755869</v>
      </c>
      <c r="AU389" s="56">
        <f t="shared" si="367"/>
        <v>0.176056338028169</v>
      </c>
      <c r="AV389" s="56">
        <f t="shared" si="344"/>
        <v>5.8685446009389672E-2</v>
      </c>
      <c r="AW389" s="57" t="s">
        <v>2511</v>
      </c>
      <c r="AX389" s="57" t="s">
        <v>2512</v>
      </c>
      <c r="AY389" s="57" t="s">
        <v>2513</v>
      </c>
      <c r="AZ389" s="58">
        <f t="shared" si="345"/>
        <v>5.4118396924279999</v>
      </c>
      <c r="BA389" s="59">
        <f t="shared" si="348"/>
        <v>0.15879811304072769</v>
      </c>
      <c r="BB389" s="59">
        <f t="shared" si="349"/>
        <v>0.47639433912218304</v>
      </c>
      <c r="BC389" s="59">
        <f t="shared" si="350"/>
        <v>0.12703849043258217</v>
      </c>
      <c r="BD389" s="60">
        <f t="shared" si="346"/>
        <v>1</v>
      </c>
      <c r="BE389" s="59">
        <f t="shared" si="347"/>
        <v>1</v>
      </c>
      <c r="BQ389" s="61">
        <v>3000</v>
      </c>
      <c r="BR389" s="11">
        <v>1500</v>
      </c>
      <c r="BS389" s="28">
        <f t="shared" si="368"/>
        <v>2980</v>
      </c>
      <c r="BT389" s="28">
        <f t="shared" si="369"/>
        <v>1480</v>
      </c>
      <c r="BU389" s="28" t="s">
        <v>2541</v>
      </c>
      <c r="BV389" s="28">
        <f t="shared" si="370"/>
        <v>1910.2540000000001</v>
      </c>
      <c r="BW389" s="28">
        <f t="shared" si="371"/>
        <v>1425.241</v>
      </c>
      <c r="BX389" s="13">
        <f t="shared" si="372"/>
        <v>1.5600019683246311</v>
      </c>
      <c r="BY389" s="13">
        <f t="shared" si="373"/>
        <v>1</v>
      </c>
      <c r="BZ389" s="13">
        <f t="shared" si="374"/>
        <v>1.0384208705755729</v>
      </c>
      <c r="CA389" s="13">
        <f t="shared" si="375"/>
        <v>1</v>
      </c>
      <c r="CB389" s="13">
        <f t="shared" si="376"/>
        <v>1</v>
      </c>
      <c r="CC389" s="62">
        <f t="shared" si="377"/>
        <v>1</v>
      </c>
      <c r="CD389" s="13">
        <f t="shared" si="378"/>
        <v>2.0908744556183834</v>
      </c>
      <c r="CE389" s="13">
        <f t="shared" si="379"/>
        <v>2</v>
      </c>
      <c r="CF389" s="13">
        <f t="shared" si="380"/>
        <v>0.77476607822834032</v>
      </c>
      <c r="CG389" s="13">
        <f t="shared" si="381"/>
        <v>0</v>
      </c>
      <c r="CH389" s="28">
        <f t="shared" si="382"/>
        <v>0</v>
      </c>
      <c r="CI389" s="62">
        <f t="shared" si="383"/>
        <v>1</v>
      </c>
      <c r="CJ389" s="59">
        <f t="shared" si="384"/>
        <v>1</v>
      </c>
      <c r="CL389" s="63">
        <v>6000</v>
      </c>
      <c r="CM389" s="63">
        <f t="shared" si="385"/>
        <v>1905.2540000000001</v>
      </c>
      <c r="CN389" s="63">
        <f t="shared" si="386"/>
        <v>1910.2540000000001</v>
      </c>
      <c r="CO389" s="63">
        <f t="shared" si="387"/>
        <v>3.1409435603851632</v>
      </c>
      <c r="CP389" s="13">
        <f t="shared" si="388"/>
        <v>3</v>
      </c>
      <c r="CQ389" s="70">
        <f t="shared" si="389"/>
        <v>0.33333333333333331</v>
      </c>
      <c r="CR389" s="69">
        <f t="shared" si="357"/>
        <v>0.33333333333333331</v>
      </c>
    </row>
    <row r="390" spans="1:96" hidden="1" x14ac:dyDescent="0.25">
      <c r="A390" s="17">
        <v>5</v>
      </c>
      <c r="B390" s="6" t="s">
        <v>1043</v>
      </c>
      <c r="C390" s="17" t="s">
        <v>279</v>
      </c>
      <c r="D390" s="17" t="s">
        <v>281</v>
      </c>
      <c r="E390" s="17" t="s">
        <v>52</v>
      </c>
      <c r="F390" s="7">
        <f t="shared" si="358"/>
        <v>12</v>
      </c>
      <c r="G390" s="17">
        <v>24</v>
      </c>
      <c r="H390" s="17">
        <f t="shared" ref="H390:H394" si="390">G390*$H$388</f>
        <v>24</v>
      </c>
      <c r="I390" s="17">
        <v>2</v>
      </c>
      <c r="J390" s="6" t="s">
        <v>280</v>
      </c>
      <c r="K390" s="6" t="s">
        <v>34</v>
      </c>
      <c r="L390" s="17">
        <v>0</v>
      </c>
      <c r="M390" s="6" t="s">
        <v>35</v>
      </c>
      <c r="N390" s="17" t="s">
        <v>281</v>
      </c>
      <c r="O390" s="28" t="s">
        <v>41</v>
      </c>
      <c r="P390" s="28" t="s">
        <v>41</v>
      </c>
      <c r="Q390" s="28" t="s">
        <v>281</v>
      </c>
      <c r="R390" s="30"/>
      <c r="S390" s="30"/>
      <c r="T390" s="30"/>
      <c r="U390" s="30"/>
      <c r="V390" s="8">
        <f t="shared" si="359"/>
        <v>0</v>
      </c>
      <c r="W390" s="8">
        <f t="shared" si="360"/>
        <v>0</v>
      </c>
      <c r="X390" s="8">
        <f t="shared" si="361"/>
        <v>0</v>
      </c>
      <c r="Y390" s="33">
        <f t="shared" si="362"/>
        <v>0</v>
      </c>
      <c r="Z390" s="28"/>
      <c r="AA390" s="28"/>
      <c r="AB390" s="61" t="s">
        <v>281</v>
      </c>
      <c r="AC390" s="31" t="s">
        <v>282</v>
      </c>
      <c r="AD390" s="50">
        <f t="shared" si="363"/>
        <v>24</v>
      </c>
      <c r="AE390" s="31"/>
      <c r="AF390" s="51">
        <v>14</v>
      </c>
      <c r="AG390" s="51">
        <f t="shared" ref="AG390:AG453" si="391">AF390*0.6</f>
        <v>8.4</v>
      </c>
      <c r="AH390" s="51">
        <f t="shared" si="356"/>
        <v>42</v>
      </c>
      <c r="AI390" s="52" t="s">
        <v>2497</v>
      </c>
      <c r="AJ390" s="52" t="s">
        <v>2498</v>
      </c>
      <c r="AK390" s="53">
        <f t="shared" ref="AK390:AK453" si="392">(V390*W390)*2/1000000</f>
        <v>0</v>
      </c>
      <c r="AL390" s="54">
        <f t="shared" ref="AL390:AL453" si="393">1/(AF390*0.6)</f>
        <v>0.11904761904761904</v>
      </c>
      <c r="AM390" s="54">
        <f t="shared" ref="AM390:AM453" si="394">1/AG390*(20/100)</f>
        <v>2.3809523809523808E-2</v>
      </c>
      <c r="AN390" s="55">
        <f t="shared" ref="AN390:AN453" si="395">IF(AI390&lt;&gt;0,(AK390*AL390*AD390),0)</f>
        <v>0</v>
      </c>
      <c r="AO390" s="55">
        <f t="shared" ref="AO390:AO453" si="396">IF(AJ390&lt;&gt;0,(AK390*AM390*AD390),0)</f>
        <v>0</v>
      </c>
      <c r="AP390" s="53">
        <v>7.1</v>
      </c>
      <c r="AQ390" s="53">
        <f t="shared" si="364"/>
        <v>4.26</v>
      </c>
      <c r="AR390" s="53">
        <f t="shared" si="365"/>
        <v>21.299999999999997</v>
      </c>
      <c r="AS390" s="56">
        <f t="shared" si="366"/>
        <v>4.6948356807511742E-2</v>
      </c>
      <c r="AT390" s="56">
        <f t="shared" ref="AT390:AT453" si="397">1/AQ390</f>
        <v>0.23474178403755869</v>
      </c>
      <c r="AU390" s="56">
        <f t="shared" si="367"/>
        <v>0.176056338028169</v>
      </c>
      <c r="AV390" s="56">
        <f t="shared" ref="AV390:AV453" si="398">AT390*0.25</f>
        <v>5.8685446009389672E-2</v>
      </c>
      <c r="AW390" s="57" t="s">
        <v>2511</v>
      </c>
      <c r="AX390" s="57" t="s">
        <v>2512</v>
      </c>
      <c r="AY390" s="57" t="s">
        <v>2513</v>
      </c>
      <c r="AZ390" s="58">
        <f t="shared" ref="AZ390:AZ453" si="399">(V390*W390)*2/1000000</f>
        <v>0</v>
      </c>
      <c r="BA390" s="59">
        <f t="shared" si="348"/>
        <v>0</v>
      </c>
      <c r="BB390" s="59">
        <f t="shared" si="349"/>
        <v>0</v>
      </c>
      <c r="BC390" s="59">
        <f t="shared" si="350"/>
        <v>0</v>
      </c>
      <c r="BD390" s="60">
        <f t="shared" ref="BD390:BD453" si="400">CJ390</f>
        <v>7.1095438516664771E-6</v>
      </c>
      <c r="BE390" s="59">
        <f t="shared" ref="BE390:BE453" si="401">BD390*AD390</f>
        <v>1.7062905243999546E-4</v>
      </c>
      <c r="BQ390" s="61">
        <v>3000</v>
      </c>
      <c r="BR390" s="61">
        <v>1200</v>
      </c>
      <c r="BS390" s="28">
        <f t="shared" si="368"/>
        <v>2980</v>
      </c>
      <c r="BT390" s="28">
        <f t="shared" si="369"/>
        <v>1180</v>
      </c>
      <c r="BU390" s="28" t="s">
        <v>2541</v>
      </c>
      <c r="BV390" s="28">
        <f t="shared" si="370"/>
        <v>5</v>
      </c>
      <c r="BW390" s="28">
        <f t="shared" si="371"/>
        <v>5</v>
      </c>
      <c r="BX390" s="13">
        <f t="shared" si="372"/>
        <v>596</v>
      </c>
      <c r="BY390" s="13">
        <f t="shared" si="373"/>
        <v>596</v>
      </c>
      <c r="BZ390" s="13">
        <f t="shared" si="374"/>
        <v>236</v>
      </c>
      <c r="CA390" s="13">
        <f t="shared" si="375"/>
        <v>236</v>
      </c>
      <c r="CB390" s="13">
        <f t="shared" si="376"/>
        <v>140656</v>
      </c>
      <c r="CC390" s="62">
        <f t="shared" si="377"/>
        <v>7.1095438516664771E-6</v>
      </c>
      <c r="CD390" s="13">
        <f t="shared" si="378"/>
        <v>596</v>
      </c>
      <c r="CE390" s="13">
        <f t="shared" si="379"/>
        <v>596</v>
      </c>
      <c r="CF390" s="13">
        <f t="shared" si="380"/>
        <v>236</v>
      </c>
      <c r="CG390" s="13">
        <f t="shared" si="381"/>
        <v>236</v>
      </c>
      <c r="CH390" s="28">
        <f t="shared" si="382"/>
        <v>140656</v>
      </c>
      <c r="CI390" s="62">
        <f t="shared" si="383"/>
        <v>7.1095438516664771E-6</v>
      </c>
      <c r="CJ390" s="59">
        <f t="shared" si="384"/>
        <v>7.1095438516664771E-6</v>
      </c>
      <c r="CL390" s="63">
        <v>6000</v>
      </c>
      <c r="CM390" s="63">
        <f t="shared" si="385"/>
        <v>0</v>
      </c>
      <c r="CN390" s="63">
        <f t="shared" si="386"/>
        <v>5</v>
      </c>
      <c r="CO390" s="63">
        <f t="shared" si="387"/>
        <v>1200</v>
      </c>
      <c r="CP390" s="13">
        <f t="shared" si="388"/>
        <v>1200</v>
      </c>
      <c r="CQ390" s="70">
        <f t="shared" si="389"/>
        <v>8.3333333333333339E-4</v>
      </c>
      <c r="CR390" s="69">
        <f t="shared" si="357"/>
        <v>0.02</v>
      </c>
    </row>
    <row r="391" spans="1:96" hidden="1" x14ac:dyDescent="0.25">
      <c r="A391" s="17">
        <v>5</v>
      </c>
      <c r="B391" s="6" t="s">
        <v>1043</v>
      </c>
      <c r="C391" s="17" t="s">
        <v>59</v>
      </c>
      <c r="D391" s="17" t="s">
        <v>61</v>
      </c>
      <c r="E391" s="17" t="s">
        <v>52</v>
      </c>
      <c r="F391" s="7">
        <f t="shared" si="358"/>
        <v>19</v>
      </c>
      <c r="G391" s="17">
        <v>21</v>
      </c>
      <c r="H391" s="17">
        <f t="shared" si="390"/>
        <v>21</v>
      </c>
      <c r="I391" s="17">
        <v>3</v>
      </c>
      <c r="J391" s="6" t="s">
        <v>60</v>
      </c>
      <c r="K391" s="6" t="s">
        <v>34</v>
      </c>
      <c r="L391" s="17">
        <v>0</v>
      </c>
      <c r="M391" s="6" t="s">
        <v>35</v>
      </c>
      <c r="N391" s="17" t="s">
        <v>61</v>
      </c>
      <c r="O391" s="28" t="s">
        <v>41</v>
      </c>
      <c r="P391" s="28" t="s">
        <v>41</v>
      </c>
      <c r="Q391" s="28" t="s">
        <v>61</v>
      </c>
      <c r="R391" s="30"/>
      <c r="S391" s="30"/>
      <c r="T391" s="30"/>
      <c r="U391" s="30"/>
      <c r="V391" s="8">
        <f t="shared" si="359"/>
        <v>0</v>
      </c>
      <c r="W391" s="8">
        <f t="shared" si="360"/>
        <v>0</v>
      </c>
      <c r="X391" s="8">
        <f t="shared" si="361"/>
        <v>0</v>
      </c>
      <c r="Y391" s="33">
        <f t="shared" si="362"/>
        <v>0</v>
      </c>
      <c r="Z391" s="28"/>
      <c r="AA391" s="28"/>
      <c r="AB391" s="61" t="s">
        <v>61</v>
      </c>
      <c r="AC391" s="31" t="s">
        <v>62</v>
      </c>
      <c r="AD391" s="50">
        <f t="shared" si="363"/>
        <v>21</v>
      </c>
      <c r="AE391" s="31"/>
      <c r="AF391" s="51">
        <v>14</v>
      </c>
      <c r="AG391" s="51">
        <f t="shared" si="391"/>
        <v>8.4</v>
      </c>
      <c r="AH391" s="51">
        <f t="shared" si="356"/>
        <v>42</v>
      </c>
      <c r="AI391" s="52" t="s">
        <v>2497</v>
      </c>
      <c r="AJ391" s="52" t="s">
        <v>2498</v>
      </c>
      <c r="AK391" s="53">
        <f t="shared" si="392"/>
        <v>0</v>
      </c>
      <c r="AL391" s="54">
        <f t="shared" si="393"/>
        <v>0.11904761904761904</v>
      </c>
      <c r="AM391" s="54">
        <f t="shared" si="394"/>
        <v>2.3809523809523808E-2</v>
      </c>
      <c r="AN391" s="55">
        <f t="shared" si="395"/>
        <v>0</v>
      </c>
      <c r="AO391" s="55">
        <f t="shared" si="396"/>
        <v>0</v>
      </c>
      <c r="AP391" s="53">
        <v>7.1</v>
      </c>
      <c r="AQ391" s="53">
        <f t="shared" si="364"/>
        <v>4.26</v>
      </c>
      <c r="AR391" s="53">
        <f t="shared" si="365"/>
        <v>21.299999999999997</v>
      </c>
      <c r="AS391" s="56">
        <f t="shared" si="366"/>
        <v>4.6948356807511742E-2</v>
      </c>
      <c r="AT391" s="56">
        <f t="shared" si="397"/>
        <v>0.23474178403755869</v>
      </c>
      <c r="AU391" s="56">
        <f t="shared" si="367"/>
        <v>0.176056338028169</v>
      </c>
      <c r="AV391" s="56">
        <f t="shared" si="398"/>
        <v>5.8685446009389672E-2</v>
      </c>
      <c r="AW391" s="57" t="s">
        <v>2511</v>
      </c>
      <c r="AX391" s="57" t="s">
        <v>2512</v>
      </c>
      <c r="AY391" s="57" t="s">
        <v>2513</v>
      </c>
      <c r="AZ391" s="58">
        <f t="shared" si="399"/>
        <v>0</v>
      </c>
      <c r="BA391" s="59">
        <f t="shared" si="348"/>
        <v>0</v>
      </c>
      <c r="BB391" s="59">
        <f t="shared" si="349"/>
        <v>0</v>
      </c>
      <c r="BC391" s="59">
        <f t="shared" si="350"/>
        <v>0</v>
      </c>
      <c r="BD391" s="60">
        <f t="shared" si="400"/>
        <v>7.1095438516664771E-6</v>
      </c>
      <c r="BE391" s="59">
        <f t="shared" si="401"/>
        <v>1.4930042088499601E-4</v>
      </c>
      <c r="BQ391" s="61">
        <v>3000</v>
      </c>
      <c r="BR391" s="61">
        <v>1200</v>
      </c>
      <c r="BS391" s="28">
        <f t="shared" si="368"/>
        <v>2980</v>
      </c>
      <c r="BT391" s="28">
        <f t="shared" si="369"/>
        <v>1180</v>
      </c>
      <c r="BU391" s="28" t="s">
        <v>2541</v>
      </c>
      <c r="BV391" s="28">
        <f t="shared" si="370"/>
        <v>5</v>
      </c>
      <c r="BW391" s="28">
        <f t="shared" si="371"/>
        <v>5</v>
      </c>
      <c r="BX391" s="13">
        <f t="shared" si="372"/>
        <v>596</v>
      </c>
      <c r="BY391" s="13">
        <f t="shared" si="373"/>
        <v>596</v>
      </c>
      <c r="BZ391" s="13">
        <f t="shared" si="374"/>
        <v>236</v>
      </c>
      <c r="CA391" s="13">
        <f t="shared" si="375"/>
        <v>236</v>
      </c>
      <c r="CB391" s="13">
        <f t="shared" si="376"/>
        <v>140656</v>
      </c>
      <c r="CC391" s="62">
        <f t="shared" si="377"/>
        <v>7.1095438516664771E-6</v>
      </c>
      <c r="CD391" s="13">
        <f t="shared" si="378"/>
        <v>596</v>
      </c>
      <c r="CE391" s="13">
        <f t="shared" si="379"/>
        <v>596</v>
      </c>
      <c r="CF391" s="13">
        <f t="shared" si="380"/>
        <v>236</v>
      </c>
      <c r="CG391" s="13">
        <f t="shared" si="381"/>
        <v>236</v>
      </c>
      <c r="CH391" s="28">
        <f t="shared" si="382"/>
        <v>140656</v>
      </c>
      <c r="CI391" s="62">
        <f t="shared" si="383"/>
        <v>7.1095438516664771E-6</v>
      </c>
      <c r="CJ391" s="59">
        <f t="shared" si="384"/>
        <v>7.1095438516664771E-6</v>
      </c>
      <c r="CL391" s="63">
        <v>6000</v>
      </c>
      <c r="CM391" s="63">
        <f t="shared" si="385"/>
        <v>0</v>
      </c>
      <c r="CN391" s="63">
        <f t="shared" si="386"/>
        <v>5</v>
      </c>
      <c r="CO391" s="63">
        <f t="shared" si="387"/>
        <v>1200</v>
      </c>
      <c r="CP391" s="13">
        <f t="shared" si="388"/>
        <v>1200</v>
      </c>
      <c r="CQ391" s="70">
        <f t="shared" si="389"/>
        <v>8.3333333333333339E-4</v>
      </c>
      <c r="CR391" s="69">
        <f t="shared" si="357"/>
        <v>1.7500000000000002E-2</v>
      </c>
    </row>
    <row r="392" spans="1:96" hidden="1" x14ac:dyDescent="0.25">
      <c r="A392" s="17">
        <v>5</v>
      </c>
      <c r="B392" s="6" t="s">
        <v>1043</v>
      </c>
      <c r="C392" s="17" t="s">
        <v>1047</v>
      </c>
      <c r="D392" s="17" t="s">
        <v>1049</v>
      </c>
      <c r="E392" s="17" t="s">
        <v>52</v>
      </c>
      <c r="F392" s="7">
        <f t="shared" si="358"/>
        <v>2</v>
      </c>
      <c r="G392" s="17">
        <v>4</v>
      </c>
      <c r="H392" s="17">
        <f t="shared" si="390"/>
        <v>4</v>
      </c>
      <c r="I392" s="17">
        <v>4</v>
      </c>
      <c r="J392" s="6" t="s">
        <v>1048</v>
      </c>
      <c r="K392" s="6" t="s">
        <v>34</v>
      </c>
      <c r="L392" s="17">
        <v>0</v>
      </c>
      <c r="M392" s="6" t="s">
        <v>35</v>
      </c>
      <c r="N392" s="17" t="s">
        <v>1049</v>
      </c>
      <c r="O392" s="28" t="s">
        <v>41</v>
      </c>
      <c r="P392" s="28" t="s">
        <v>41</v>
      </c>
      <c r="Q392" s="28" t="s">
        <v>1049</v>
      </c>
      <c r="R392" s="30"/>
      <c r="S392" s="30"/>
      <c r="T392" s="30"/>
      <c r="U392" s="30"/>
      <c r="V392" s="8">
        <f t="shared" si="359"/>
        <v>0</v>
      </c>
      <c r="W392" s="8">
        <f t="shared" si="360"/>
        <v>0</v>
      </c>
      <c r="X392" s="8">
        <f t="shared" si="361"/>
        <v>0</v>
      </c>
      <c r="Y392" s="33">
        <f t="shared" si="362"/>
        <v>0</v>
      </c>
      <c r="Z392" s="28"/>
      <c r="AA392" s="28"/>
      <c r="AB392" s="28" t="s">
        <v>1049</v>
      </c>
      <c r="AC392" s="31" t="s">
        <v>1050</v>
      </c>
      <c r="AD392" s="50">
        <f t="shared" si="363"/>
        <v>4</v>
      </c>
      <c r="AE392" s="31"/>
      <c r="AF392" s="51">
        <v>14</v>
      </c>
      <c r="AG392" s="51">
        <f t="shared" si="391"/>
        <v>8.4</v>
      </c>
      <c r="AH392" s="51">
        <f t="shared" si="356"/>
        <v>42</v>
      </c>
      <c r="AI392" s="52" t="s">
        <v>2497</v>
      </c>
      <c r="AJ392" s="52" t="s">
        <v>2498</v>
      </c>
      <c r="AK392" s="53">
        <f t="shared" si="392"/>
        <v>0</v>
      </c>
      <c r="AL392" s="54">
        <f t="shared" si="393"/>
        <v>0.11904761904761904</v>
      </c>
      <c r="AM392" s="54">
        <f t="shared" si="394"/>
        <v>2.3809523809523808E-2</v>
      </c>
      <c r="AN392" s="55">
        <f t="shared" si="395"/>
        <v>0</v>
      </c>
      <c r="AO392" s="55">
        <f t="shared" si="396"/>
        <v>0</v>
      </c>
      <c r="AP392" s="53">
        <v>7.1</v>
      </c>
      <c r="AQ392" s="53">
        <f t="shared" si="364"/>
        <v>4.26</v>
      </c>
      <c r="AR392" s="53">
        <f t="shared" si="365"/>
        <v>21.299999999999997</v>
      </c>
      <c r="AS392" s="56">
        <f t="shared" si="366"/>
        <v>4.6948356807511742E-2</v>
      </c>
      <c r="AT392" s="56">
        <f t="shared" si="397"/>
        <v>0.23474178403755869</v>
      </c>
      <c r="AU392" s="56">
        <f t="shared" si="367"/>
        <v>0.176056338028169</v>
      </c>
      <c r="AV392" s="56">
        <f t="shared" si="398"/>
        <v>5.8685446009389672E-2</v>
      </c>
      <c r="AW392" s="57" t="s">
        <v>2511</v>
      </c>
      <c r="AX392" s="57" t="s">
        <v>2512</v>
      </c>
      <c r="AY392" s="57" t="s">
        <v>2513</v>
      </c>
      <c r="AZ392" s="58">
        <f t="shared" si="399"/>
        <v>0</v>
      </c>
      <c r="BA392" s="59">
        <f t="shared" ref="BA392:BA455" si="402">IF(AW392&lt;&gt;0,((AV392*AD392*AK392)/2),0)</f>
        <v>0</v>
      </c>
      <c r="BB392" s="59">
        <f t="shared" ref="BB392:BB455" si="403">IF(AX392&lt;&gt;0,((AD392*AU392*AZ392)/2),0)</f>
        <v>0</v>
      </c>
      <c r="BC392" s="59">
        <f t="shared" ref="BC392:BC455" si="404">IF(AY392&lt;&gt;0,((AD392*AS392*AZ392)/2),0)</f>
        <v>0</v>
      </c>
      <c r="BD392" s="60">
        <f t="shared" si="400"/>
        <v>7.1095438516664771E-6</v>
      </c>
      <c r="BE392" s="59">
        <f t="shared" si="401"/>
        <v>2.8438175406665908E-5</v>
      </c>
      <c r="BQ392" s="61">
        <v>3000</v>
      </c>
      <c r="BR392" s="61">
        <v>1200</v>
      </c>
      <c r="BS392" s="28">
        <f t="shared" si="368"/>
        <v>2980</v>
      </c>
      <c r="BT392" s="28">
        <f t="shared" si="369"/>
        <v>1180</v>
      </c>
      <c r="BU392" s="28" t="s">
        <v>2541</v>
      </c>
      <c r="BV392" s="28">
        <f t="shared" si="370"/>
        <v>5</v>
      </c>
      <c r="BW392" s="28">
        <f t="shared" si="371"/>
        <v>5</v>
      </c>
      <c r="BX392" s="13">
        <f t="shared" si="372"/>
        <v>596</v>
      </c>
      <c r="BY392" s="13">
        <f t="shared" si="373"/>
        <v>596</v>
      </c>
      <c r="BZ392" s="13">
        <f t="shared" si="374"/>
        <v>236</v>
      </c>
      <c r="CA392" s="13">
        <f t="shared" si="375"/>
        <v>236</v>
      </c>
      <c r="CB392" s="13">
        <f t="shared" si="376"/>
        <v>140656</v>
      </c>
      <c r="CC392" s="62">
        <f t="shared" si="377"/>
        <v>7.1095438516664771E-6</v>
      </c>
      <c r="CD392" s="13">
        <f t="shared" si="378"/>
        <v>596</v>
      </c>
      <c r="CE392" s="13">
        <f t="shared" si="379"/>
        <v>596</v>
      </c>
      <c r="CF392" s="13">
        <f t="shared" si="380"/>
        <v>236</v>
      </c>
      <c r="CG392" s="13">
        <f t="shared" si="381"/>
        <v>236</v>
      </c>
      <c r="CH392" s="28">
        <f t="shared" si="382"/>
        <v>140656</v>
      </c>
      <c r="CI392" s="62">
        <f t="shared" si="383"/>
        <v>7.1095438516664771E-6</v>
      </c>
      <c r="CJ392" s="59">
        <f t="shared" si="384"/>
        <v>7.1095438516664771E-6</v>
      </c>
      <c r="CL392" s="63">
        <v>6000</v>
      </c>
      <c r="CM392" s="63">
        <f t="shared" si="385"/>
        <v>0</v>
      </c>
      <c r="CN392" s="63">
        <f t="shared" si="386"/>
        <v>5</v>
      </c>
      <c r="CO392" s="63">
        <f t="shared" si="387"/>
        <v>1200</v>
      </c>
      <c r="CP392" s="13">
        <f t="shared" si="388"/>
        <v>1200</v>
      </c>
      <c r="CQ392" s="70">
        <f t="shared" si="389"/>
        <v>8.3333333333333339E-4</v>
      </c>
      <c r="CR392" s="69">
        <f t="shared" si="357"/>
        <v>3.3333333333333335E-3</v>
      </c>
    </row>
    <row r="393" spans="1:96" hidden="1" x14ac:dyDescent="0.25">
      <c r="A393" s="17">
        <v>5</v>
      </c>
      <c r="B393" s="6" t="s">
        <v>1043</v>
      </c>
      <c r="C393" s="17" t="s">
        <v>1051</v>
      </c>
      <c r="D393" s="17" t="s">
        <v>1053</v>
      </c>
      <c r="E393" s="17" t="s">
        <v>52</v>
      </c>
      <c r="F393" s="7">
        <f t="shared" si="358"/>
        <v>1</v>
      </c>
      <c r="G393" s="17">
        <v>2</v>
      </c>
      <c r="H393" s="17">
        <f t="shared" si="390"/>
        <v>2</v>
      </c>
      <c r="I393" s="17">
        <v>5</v>
      </c>
      <c r="J393" s="6" t="s">
        <v>1052</v>
      </c>
      <c r="K393" s="6" t="s">
        <v>34</v>
      </c>
      <c r="L393" s="17">
        <v>0</v>
      </c>
      <c r="M393" s="6" t="s">
        <v>35</v>
      </c>
      <c r="N393" s="17" t="s">
        <v>1053</v>
      </c>
      <c r="O393" s="28" t="s">
        <v>41</v>
      </c>
      <c r="P393" s="28" t="s">
        <v>41</v>
      </c>
      <c r="Q393" s="28" t="s">
        <v>1053</v>
      </c>
      <c r="R393" s="30"/>
      <c r="S393" s="30"/>
      <c r="T393" s="30"/>
      <c r="U393" s="30"/>
      <c r="V393" s="8">
        <f t="shared" si="359"/>
        <v>0</v>
      </c>
      <c r="W393" s="8">
        <f t="shared" si="360"/>
        <v>0</v>
      </c>
      <c r="X393" s="8">
        <f t="shared" si="361"/>
        <v>0</v>
      </c>
      <c r="Y393" s="33">
        <f t="shared" si="362"/>
        <v>0</v>
      </c>
      <c r="Z393" s="28"/>
      <c r="AA393" s="28"/>
      <c r="AB393" s="61" t="s">
        <v>1053</v>
      </c>
      <c r="AC393" s="31" t="s">
        <v>1054</v>
      </c>
      <c r="AD393" s="50">
        <f t="shared" si="363"/>
        <v>2</v>
      </c>
      <c r="AE393" s="31"/>
      <c r="AF393" s="51">
        <v>14</v>
      </c>
      <c r="AG393" s="51">
        <f t="shared" si="391"/>
        <v>8.4</v>
      </c>
      <c r="AH393" s="51">
        <f t="shared" si="356"/>
        <v>42</v>
      </c>
      <c r="AI393" s="52" t="s">
        <v>2497</v>
      </c>
      <c r="AJ393" s="52" t="s">
        <v>2498</v>
      </c>
      <c r="AK393" s="53">
        <f t="shared" si="392"/>
        <v>0</v>
      </c>
      <c r="AL393" s="54">
        <f t="shared" si="393"/>
        <v>0.11904761904761904</v>
      </c>
      <c r="AM393" s="54">
        <f t="shared" si="394"/>
        <v>2.3809523809523808E-2</v>
      </c>
      <c r="AN393" s="55">
        <f t="shared" si="395"/>
        <v>0</v>
      </c>
      <c r="AO393" s="55">
        <f t="shared" si="396"/>
        <v>0</v>
      </c>
      <c r="AP393" s="53">
        <v>7.1</v>
      </c>
      <c r="AQ393" s="53">
        <f t="shared" si="364"/>
        <v>4.26</v>
      </c>
      <c r="AR393" s="53">
        <f t="shared" si="365"/>
        <v>21.299999999999997</v>
      </c>
      <c r="AS393" s="56">
        <f t="shared" si="366"/>
        <v>4.6948356807511742E-2</v>
      </c>
      <c r="AT393" s="56">
        <f t="shared" si="397"/>
        <v>0.23474178403755869</v>
      </c>
      <c r="AU393" s="56">
        <f t="shared" si="367"/>
        <v>0.176056338028169</v>
      </c>
      <c r="AV393" s="56">
        <f t="shared" si="398"/>
        <v>5.8685446009389672E-2</v>
      </c>
      <c r="AW393" s="57" t="s">
        <v>2511</v>
      </c>
      <c r="AX393" s="57" t="s">
        <v>2512</v>
      </c>
      <c r="AY393" s="57" t="s">
        <v>2513</v>
      </c>
      <c r="AZ393" s="58">
        <f t="shared" si="399"/>
        <v>0</v>
      </c>
      <c r="BA393" s="59">
        <f t="shared" si="402"/>
        <v>0</v>
      </c>
      <c r="BB393" s="59">
        <f t="shared" si="403"/>
        <v>0</v>
      </c>
      <c r="BC393" s="59">
        <f t="shared" si="404"/>
        <v>0</v>
      </c>
      <c r="BD393" s="60">
        <f t="shared" si="400"/>
        <v>7.1095438516664771E-6</v>
      </c>
      <c r="BE393" s="59">
        <f t="shared" si="401"/>
        <v>1.4219087703332954E-5</v>
      </c>
      <c r="BQ393" s="61">
        <v>3000</v>
      </c>
      <c r="BR393" s="61">
        <v>1200</v>
      </c>
      <c r="BS393" s="28">
        <f t="shared" si="368"/>
        <v>2980</v>
      </c>
      <c r="BT393" s="28">
        <f t="shared" si="369"/>
        <v>1180</v>
      </c>
      <c r="BU393" s="28" t="s">
        <v>2541</v>
      </c>
      <c r="BV393" s="28">
        <f t="shared" si="370"/>
        <v>5</v>
      </c>
      <c r="BW393" s="28">
        <f t="shared" si="371"/>
        <v>5</v>
      </c>
      <c r="BX393" s="13">
        <f t="shared" si="372"/>
        <v>596</v>
      </c>
      <c r="BY393" s="13">
        <f t="shared" si="373"/>
        <v>596</v>
      </c>
      <c r="BZ393" s="13">
        <f t="shared" si="374"/>
        <v>236</v>
      </c>
      <c r="CA393" s="13">
        <f t="shared" si="375"/>
        <v>236</v>
      </c>
      <c r="CB393" s="13">
        <f t="shared" si="376"/>
        <v>140656</v>
      </c>
      <c r="CC393" s="62">
        <f t="shared" si="377"/>
        <v>7.1095438516664771E-6</v>
      </c>
      <c r="CD393" s="13">
        <f t="shared" si="378"/>
        <v>596</v>
      </c>
      <c r="CE393" s="13">
        <f t="shared" si="379"/>
        <v>596</v>
      </c>
      <c r="CF393" s="13">
        <f t="shared" si="380"/>
        <v>236</v>
      </c>
      <c r="CG393" s="13">
        <f t="shared" si="381"/>
        <v>236</v>
      </c>
      <c r="CH393" s="28">
        <f t="shared" si="382"/>
        <v>140656</v>
      </c>
      <c r="CI393" s="62">
        <f t="shared" si="383"/>
        <v>7.1095438516664771E-6</v>
      </c>
      <c r="CJ393" s="59">
        <f t="shared" si="384"/>
        <v>7.1095438516664771E-6</v>
      </c>
      <c r="CL393" s="63">
        <v>6000</v>
      </c>
      <c r="CM393" s="63">
        <f t="shared" si="385"/>
        <v>0</v>
      </c>
      <c r="CN393" s="63">
        <f t="shared" si="386"/>
        <v>5</v>
      </c>
      <c r="CO393" s="63">
        <f t="shared" si="387"/>
        <v>1200</v>
      </c>
      <c r="CP393" s="13">
        <f t="shared" si="388"/>
        <v>1200</v>
      </c>
      <c r="CQ393" s="70">
        <f t="shared" si="389"/>
        <v>8.3333333333333339E-4</v>
      </c>
      <c r="CR393" s="69">
        <f t="shared" si="357"/>
        <v>1.6666666666666668E-3</v>
      </c>
    </row>
    <row r="394" spans="1:96" hidden="1" x14ac:dyDescent="0.25">
      <c r="A394" s="17">
        <v>5</v>
      </c>
      <c r="B394" s="6" t="s">
        <v>1043</v>
      </c>
      <c r="C394" s="17" t="s">
        <v>1037</v>
      </c>
      <c r="D394" s="17" t="s">
        <v>2270</v>
      </c>
      <c r="E394" s="17" t="s">
        <v>52</v>
      </c>
      <c r="F394" s="7">
        <f t="shared" si="358"/>
        <v>2</v>
      </c>
      <c r="G394" s="17">
        <v>2</v>
      </c>
      <c r="H394" s="17">
        <f t="shared" si="390"/>
        <v>2</v>
      </c>
      <c r="I394" s="17">
        <v>6</v>
      </c>
      <c r="J394" s="6" t="s">
        <v>1038</v>
      </c>
      <c r="K394" s="6" t="s">
        <v>34</v>
      </c>
      <c r="L394" s="17">
        <v>0</v>
      </c>
      <c r="M394" s="6" t="s">
        <v>35</v>
      </c>
      <c r="N394" s="17" t="s">
        <v>1039</v>
      </c>
      <c r="O394" s="28" t="s">
        <v>41</v>
      </c>
      <c r="P394" s="28" t="s">
        <v>41</v>
      </c>
      <c r="Q394" s="28" t="s">
        <v>1039</v>
      </c>
      <c r="R394" s="30"/>
      <c r="S394" s="30"/>
      <c r="T394" s="30"/>
      <c r="U394" s="30"/>
      <c r="V394" s="8">
        <f t="shared" si="359"/>
        <v>0</v>
      </c>
      <c r="W394" s="8">
        <f t="shared" si="360"/>
        <v>0</v>
      </c>
      <c r="X394" s="8">
        <f t="shared" si="361"/>
        <v>0</v>
      </c>
      <c r="Y394" s="33">
        <f t="shared" si="362"/>
        <v>0</v>
      </c>
      <c r="Z394" s="28"/>
      <c r="AA394" s="28"/>
      <c r="AB394" s="61" t="s">
        <v>1039</v>
      </c>
      <c r="AC394" s="31" t="s">
        <v>1040</v>
      </c>
      <c r="AD394" s="50">
        <f t="shared" si="363"/>
        <v>2</v>
      </c>
      <c r="AE394" s="31"/>
      <c r="AF394" s="51">
        <v>14</v>
      </c>
      <c r="AG394" s="51">
        <f t="shared" si="391"/>
        <v>8.4</v>
      </c>
      <c r="AH394" s="51">
        <f t="shared" si="356"/>
        <v>42</v>
      </c>
      <c r="AI394" s="52" t="s">
        <v>2497</v>
      </c>
      <c r="AJ394" s="52" t="s">
        <v>2498</v>
      </c>
      <c r="AK394" s="53">
        <f t="shared" si="392"/>
        <v>0</v>
      </c>
      <c r="AL394" s="54">
        <f t="shared" si="393"/>
        <v>0.11904761904761904</v>
      </c>
      <c r="AM394" s="54">
        <f t="shared" si="394"/>
        <v>2.3809523809523808E-2</v>
      </c>
      <c r="AN394" s="55">
        <f t="shared" si="395"/>
        <v>0</v>
      </c>
      <c r="AO394" s="55">
        <f t="shared" si="396"/>
        <v>0</v>
      </c>
      <c r="AP394" s="53">
        <v>7.1</v>
      </c>
      <c r="AQ394" s="53">
        <f t="shared" si="364"/>
        <v>4.26</v>
      </c>
      <c r="AR394" s="53">
        <f t="shared" si="365"/>
        <v>21.299999999999997</v>
      </c>
      <c r="AS394" s="56">
        <f t="shared" si="366"/>
        <v>4.6948356807511742E-2</v>
      </c>
      <c r="AT394" s="56">
        <f t="shared" si="397"/>
        <v>0.23474178403755869</v>
      </c>
      <c r="AU394" s="56">
        <f t="shared" si="367"/>
        <v>0.176056338028169</v>
      </c>
      <c r="AV394" s="56">
        <f t="shared" si="398"/>
        <v>5.8685446009389672E-2</v>
      </c>
      <c r="AW394" s="57" t="s">
        <v>2511</v>
      </c>
      <c r="AX394" s="57" t="s">
        <v>2512</v>
      </c>
      <c r="AY394" s="57" t="s">
        <v>2513</v>
      </c>
      <c r="AZ394" s="58">
        <f t="shared" si="399"/>
        <v>0</v>
      </c>
      <c r="BA394" s="59">
        <f t="shared" si="402"/>
        <v>0</v>
      </c>
      <c r="BB394" s="59">
        <f t="shared" si="403"/>
        <v>0</v>
      </c>
      <c r="BC394" s="59">
        <f t="shared" si="404"/>
        <v>0</v>
      </c>
      <c r="BD394" s="60">
        <f t="shared" si="400"/>
        <v>7.1095438516664771E-6</v>
      </c>
      <c r="BE394" s="59">
        <f t="shared" si="401"/>
        <v>1.4219087703332954E-5</v>
      </c>
      <c r="BQ394" s="61">
        <v>3000</v>
      </c>
      <c r="BR394" s="61">
        <v>1200</v>
      </c>
      <c r="BS394" s="28">
        <f t="shared" si="368"/>
        <v>2980</v>
      </c>
      <c r="BT394" s="28">
        <f t="shared" si="369"/>
        <v>1180</v>
      </c>
      <c r="BU394" s="28" t="s">
        <v>2541</v>
      </c>
      <c r="BV394" s="28">
        <f t="shared" si="370"/>
        <v>5</v>
      </c>
      <c r="BW394" s="28">
        <f t="shared" si="371"/>
        <v>5</v>
      </c>
      <c r="BX394" s="13">
        <f t="shared" si="372"/>
        <v>596</v>
      </c>
      <c r="BY394" s="13">
        <f t="shared" si="373"/>
        <v>596</v>
      </c>
      <c r="BZ394" s="13">
        <f t="shared" si="374"/>
        <v>236</v>
      </c>
      <c r="CA394" s="13">
        <f t="shared" si="375"/>
        <v>236</v>
      </c>
      <c r="CB394" s="13">
        <f t="shared" si="376"/>
        <v>140656</v>
      </c>
      <c r="CC394" s="62">
        <f t="shared" si="377"/>
        <v>7.1095438516664771E-6</v>
      </c>
      <c r="CD394" s="13">
        <f t="shared" si="378"/>
        <v>596</v>
      </c>
      <c r="CE394" s="13">
        <f t="shared" si="379"/>
        <v>596</v>
      </c>
      <c r="CF394" s="13">
        <f t="shared" si="380"/>
        <v>236</v>
      </c>
      <c r="CG394" s="13">
        <f t="shared" si="381"/>
        <v>236</v>
      </c>
      <c r="CH394" s="28">
        <f t="shared" si="382"/>
        <v>140656</v>
      </c>
      <c r="CI394" s="62">
        <f t="shared" si="383"/>
        <v>7.1095438516664771E-6</v>
      </c>
      <c r="CJ394" s="59">
        <f t="shared" si="384"/>
        <v>7.1095438516664771E-6</v>
      </c>
      <c r="CL394" s="63">
        <v>6000</v>
      </c>
      <c r="CM394" s="63">
        <f t="shared" si="385"/>
        <v>0</v>
      </c>
      <c r="CN394" s="63">
        <f t="shared" si="386"/>
        <v>5</v>
      </c>
      <c r="CO394" s="63">
        <f t="shared" si="387"/>
        <v>1200</v>
      </c>
      <c r="CP394" s="13">
        <f t="shared" si="388"/>
        <v>1200</v>
      </c>
      <c r="CQ394" s="70">
        <f t="shared" si="389"/>
        <v>8.3333333333333339E-4</v>
      </c>
      <c r="CR394" s="69">
        <f t="shared" si="357"/>
        <v>1.6666666666666668E-3</v>
      </c>
    </row>
    <row r="395" spans="1:96" hidden="1" x14ac:dyDescent="0.25">
      <c r="A395" s="13">
        <v>4</v>
      </c>
      <c r="B395" s="14" t="s">
        <v>1023</v>
      </c>
      <c r="C395" s="13" t="s">
        <v>1055</v>
      </c>
      <c r="D395" s="13" t="s">
        <v>2270</v>
      </c>
      <c r="E395" s="13" t="s">
        <v>52</v>
      </c>
      <c r="F395" s="15">
        <f t="shared" si="358"/>
        <v>1</v>
      </c>
      <c r="G395" s="13">
        <v>2</v>
      </c>
      <c r="H395" s="13">
        <f t="shared" ref="H395:H401" si="405">G395*$H$379</f>
        <v>2</v>
      </c>
      <c r="I395" s="13">
        <v>8</v>
      </c>
      <c r="J395" s="14" t="s">
        <v>122</v>
      </c>
      <c r="K395" s="14" t="s">
        <v>34</v>
      </c>
      <c r="L395" s="13" t="s">
        <v>110</v>
      </c>
      <c r="M395" s="14" t="s">
        <v>35</v>
      </c>
      <c r="N395" s="13" t="s">
        <v>1056</v>
      </c>
      <c r="O395" s="28" t="s">
        <v>41</v>
      </c>
      <c r="P395" s="28" t="s">
        <v>41</v>
      </c>
      <c r="Q395" s="28" t="s">
        <v>124</v>
      </c>
      <c r="R395" s="30">
        <v>71.253</v>
      </c>
      <c r="S395" s="30">
        <v>3.2250000000000001</v>
      </c>
      <c r="T395" s="30"/>
      <c r="U395" s="30">
        <v>9.8000000000000004E-2</v>
      </c>
      <c r="V395" s="8">
        <f t="shared" si="359"/>
        <v>1809.8262</v>
      </c>
      <c r="W395" s="8">
        <f t="shared" si="360"/>
        <v>81.914999999999992</v>
      </c>
      <c r="X395" s="8">
        <f t="shared" si="361"/>
        <v>0</v>
      </c>
      <c r="Y395" s="33">
        <f t="shared" si="362"/>
        <v>2.4891999999999999</v>
      </c>
      <c r="Z395" s="28" t="s">
        <v>56</v>
      </c>
      <c r="AA395" s="28" t="s">
        <v>57</v>
      </c>
      <c r="AB395" s="61" t="s">
        <v>124</v>
      </c>
      <c r="AC395" s="31" t="s">
        <v>125</v>
      </c>
      <c r="AD395" s="50">
        <f t="shared" si="363"/>
        <v>2</v>
      </c>
      <c r="AE395" s="31"/>
      <c r="AF395" s="51">
        <v>14</v>
      </c>
      <c r="AG395" s="51">
        <f t="shared" si="391"/>
        <v>8.4</v>
      </c>
      <c r="AH395" s="51">
        <f t="shared" si="356"/>
        <v>42</v>
      </c>
      <c r="AI395" s="52" t="s">
        <v>2497</v>
      </c>
      <c r="AJ395" s="52" t="s">
        <v>2498</v>
      </c>
      <c r="AK395" s="53">
        <f t="shared" si="392"/>
        <v>0.29650382634599998</v>
      </c>
      <c r="AL395" s="54">
        <f t="shared" si="393"/>
        <v>0.11904761904761904</v>
      </c>
      <c r="AM395" s="54">
        <f t="shared" si="394"/>
        <v>2.3809523809523808E-2</v>
      </c>
      <c r="AN395" s="55">
        <f t="shared" si="395"/>
        <v>7.0596149129999994E-2</v>
      </c>
      <c r="AO395" s="55">
        <f t="shared" si="396"/>
        <v>1.4119229825999998E-2</v>
      </c>
      <c r="AP395" s="53">
        <v>7.1</v>
      </c>
      <c r="AQ395" s="53">
        <f t="shared" si="364"/>
        <v>4.26</v>
      </c>
      <c r="AR395" s="53">
        <f t="shared" si="365"/>
        <v>21.299999999999997</v>
      </c>
      <c r="AS395" s="56">
        <f t="shared" si="366"/>
        <v>4.6948356807511742E-2</v>
      </c>
      <c r="AT395" s="56">
        <f t="shared" si="397"/>
        <v>0.23474178403755869</v>
      </c>
      <c r="AU395" s="56">
        <f t="shared" si="367"/>
        <v>0.176056338028169</v>
      </c>
      <c r="AV395" s="56">
        <f t="shared" si="398"/>
        <v>5.8685446009389672E-2</v>
      </c>
      <c r="AW395" s="57" t="s">
        <v>2511</v>
      </c>
      <c r="AX395" s="57" t="s">
        <v>2512</v>
      </c>
      <c r="AY395" s="57" t="s">
        <v>2513</v>
      </c>
      <c r="AZ395" s="58">
        <f t="shared" si="399"/>
        <v>0.29650382634599998</v>
      </c>
      <c r="BA395" s="59">
        <f t="shared" si="402"/>
        <v>1.7400459292605634E-2</v>
      </c>
      <c r="BB395" s="59">
        <f t="shared" si="403"/>
        <v>5.2201377877816896E-2</v>
      </c>
      <c r="BC395" s="59">
        <f t="shared" si="404"/>
        <v>1.3920367434084507E-2</v>
      </c>
      <c r="BD395" s="60">
        <f t="shared" si="400"/>
        <v>7.6923076923076927E-2</v>
      </c>
      <c r="BE395" s="59">
        <f t="shared" si="401"/>
        <v>0.15384615384615385</v>
      </c>
      <c r="BQ395" s="61">
        <v>3000</v>
      </c>
      <c r="BR395" s="61">
        <v>1200</v>
      </c>
      <c r="BS395" s="28">
        <f t="shared" si="368"/>
        <v>2980</v>
      </c>
      <c r="BT395" s="28">
        <f t="shared" si="369"/>
        <v>1180</v>
      </c>
      <c r="BU395" s="28" t="s">
        <v>2541</v>
      </c>
      <c r="BV395" s="28">
        <f t="shared" si="370"/>
        <v>1814.8262</v>
      </c>
      <c r="BW395" s="28">
        <f t="shared" si="371"/>
        <v>86.914999999999992</v>
      </c>
      <c r="BX395" s="13">
        <f t="shared" si="372"/>
        <v>1.6420305150983605</v>
      </c>
      <c r="BY395" s="13">
        <f t="shared" si="373"/>
        <v>1</v>
      </c>
      <c r="BZ395" s="13">
        <f t="shared" si="374"/>
        <v>13.576482770522926</v>
      </c>
      <c r="CA395" s="13">
        <f t="shared" si="375"/>
        <v>13</v>
      </c>
      <c r="CB395" s="13">
        <f t="shared" si="376"/>
        <v>13</v>
      </c>
      <c r="CC395" s="62">
        <f t="shared" si="377"/>
        <v>7.6923076923076927E-2</v>
      </c>
      <c r="CD395" s="13">
        <f t="shared" si="378"/>
        <v>34.28637174250705</v>
      </c>
      <c r="CE395" s="13">
        <f t="shared" si="379"/>
        <v>34</v>
      </c>
      <c r="CF395" s="13">
        <f t="shared" si="380"/>
        <v>0.65020000262284072</v>
      </c>
      <c r="CG395" s="13">
        <f t="shared" si="381"/>
        <v>0</v>
      </c>
      <c r="CH395" s="28">
        <f t="shared" si="382"/>
        <v>0</v>
      </c>
      <c r="CI395" s="62">
        <f t="shared" si="383"/>
        <v>1</v>
      </c>
      <c r="CJ395" s="59">
        <f t="shared" si="384"/>
        <v>7.6923076923076927E-2</v>
      </c>
      <c r="CL395" s="63">
        <v>6000</v>
      </c>
      <c r="CM395" s="63">
        <f t="shared" si="385"/>
        <v>1809.8262</v>
      </c>
      <c r="CN395" s="63">
        <f t="shared" si="386"/>
        <v>1814.8262</v>
      </c>
      <c r="CO395" s="63">
        <f t="shared" si="387"/>
        <v>3.3061017082517323</v>
      </c>
      <c r="CP395" s="13">
        <f t="shared" si="388"/>
        <v>3</v>
      </c>
      <c r="CQ395" s="70">
        <f t="shared" si="389"/>
        <v>0.33333333333333331</v>
      </c>
      <c r="CR395" s="69">
        <f t="shared" si="357"/>
        <v>0.66666666666666663</v>
      </c>
    </row>
    <row r="396" spans="1:96" hidden="1" x14ac:dyDescent="0.25">
      <c r="A396" s="13">
        <v>4</v>
      </c>
      <c r="B396" s="14" t="s">
        <v>1023</v>
      </c>
      <c r="C396" s="13" t="s">
        <v>1057</v>
      </c>
      <c r="D396" s="13" t="s">
        <v>1059</v>
      </c>
      <c r="E396" s="13" t="s">
        <v>52</v>
      </c>
      <c r="F396" s="15">
        <f t="shared" si="358"/>
        <v>3</v>
      </c>
      <c r="G396" s="13">
        <v>2</v>
      </c>
      <c r="H396" s="13">
        <f t="shared" si="405"/>
        <v>2</v>
      </c>
      <c r="I396" s="13">
        <v>9</v>
      </c>
      <c r="J396" s="14" t="s">
        <v>1058</v>
      </c>
      <c r="K396" s="14" t="s">
        <v>34</v>
      </c>
      <c r="L396" s="13" t="s">
        <v>110</v>
      </c>
      <c r="M396" s="14" t="s">
        <v>35</v>
      </c>
      <c r="N396" s="13" t="s">
        <v>1059</v>
      </c>
      <c r="O396" s="28" t="s">
        <v>41</v>
      </c>
      <c r="P396" s="28" t="s">
        <v>41</v>
      </c>
      <c r="Q396" s="28" t="s">
        <v>1059</v>
      </c>
      <c r="R396" s="30">
        <v>12</v>
      </c>
      <c r="S396" s="30">
        <v>5</v>
      </c>
      <c r="T396" s="30"/>
      <c r="U396" s="30">
        <v>1</v>
      </c>
      <c r="V396" s="8">
        <f t="shared" si="359"/>
        <v>304.79999999999995</v>
      </c>
      <c r="W396" s="8">
        <f t="shared" si="360"/>
        <v>127</v>
      </c>
      <c r="X396" s="8">
        <f t="shared" si="361"/>
        <v>0</v>
      </c>
      <c r="Y396" s="33">
        <f t="shared" si="362"/>
        <v>25.4</v>
      </c>
      <c r="Z396" s="28" t="s">
        <v>1060</v>
      </c>
      <c r="AA396" s="28" t="s">
        <v>1061</v>
      </c>
      <c r="AB396" s="61" t="s">
        <v>1059</v>
      </c>
      <c r="AC396" s="31" t="s">
        <v>1062</v>
      </c>
      <c r="AD396" s="50">
        <f t="shared" si="363"/>
        <v>2</v>
      </c>
      <c r="AE396" s="31"/>
      <c r="AF396" s="51">
        <v>14</v>
      </c>
      <c r="AG396" s="51">
        <f t="shared" si="391"/>
        <v>8.4</v>
      </c>
      <c r="AH396" s="51">
        <f t="shared" si="356"/>
        <v>42</v>
      </c>
      <c r="AI396" s="52" t="s">
        <v>2497</v>
      </c>
      <c r="AJ396" s="52" t="s">
        <v>2498</v>
      </c>
      <c r="AK396" s="53">
        <f t="shared" si="392"/>
        <v>7.741919999999998E-2</v>
      </c>
      <c r="AL396" s="54">
        <f t="shared" si="393"/>
        <v>0.11904761904761904</v>
      </c>
      <c r="AM396" s="54">
        <f t="shared" si="394"/>
        <v>2.3809523809523808E-2</v>
      </c>
      <c r="AN396" s="55">
        <f t="shared" si="395"/>
        <v>1.8433142857142853E-2</v>
      </c>
      <c r="AO396" s="55">
        <f t="shared" si="396"/>
        <v>3.6866285714285702E-3</v>
      </c>
      <c r="AP396" s="53">
        <v>7.1</v>
      </c>
      <c r="AQ396" s="53">
        <f t="shared" si="364"/>
        <v>4.26</v>
      </c>
      <c r="AR396" s="53">
        <f t="shared" si="365"/>
        <v>21.299999999999997</v>
      </c>
      <c r="AS396" s="56">
        <f t="shared" si="366"/>
        <v>4.6948356807511742E-2</v>
      </c>
      <c r="AT396" s="56">
        <f t="shared" si="397"/>
        <v>0.23474178403755869</v>
      </c>
      <c r="AU396" s="56">
        <f t="shared" si="367"/>
        <v>0.176056338028169</v>
      </c>
      <c r="AV396" s="56">
        <f t="shared" si="398"/>
        <v>5.8685446009389672E-2</v>
      </c>
      <c r="AW396" s="57" t="s">
        <v>2511</v>
      </c>
      <c r="AX396" s="57" t="s">
        <v>2512</v>
      </c>
      <c r="AY396" s="57" t="s">
        <v>2513</v>
      </c>
      <c r="AZ396" s="58">
        <f t="shared" si="399"/>
        <v>7.741919999999998E-2</v>
      </c>
      <c r="BA396" s="59">
        <f t="shared" si="402"/>
        <v>4.5433802816901396E-3</v>
      </c>
      <c r="BB396" s="59">
        <f t="shared" si="403"/>
        <v>1.3630140845070419E-2</v>
      </c>
      <c r="BC396" s="59">
        <f t="shared" si="404"/>
        <v>3.6347042253521119E-3</v>
      </c>
      <c r="BD396" s="60">
        <f t="shared" si="400"/>
        <v>1.3888888888888888E-2</v>
      </c>
      <c r="BE396" s="59">
        <f t="shared" si="401"/>
        <v>2.7777777777777776E-2</v>
      </c>
      <c r="BQ396" s="61">
        <v>3000</v>
      </c>
      <c r="BR396" s="61">
        <v>1200</v>
      </c>
      <c r="BS396" s="28">
        <f t="shared" si="368"/>
        <v>2980</v>
      </c>
      <c r="BT396" s="28">
        <f t="shared" si="369"/>
        <v>1180</v>
      </c>
      <c r="BU396" s="28" t="s">
        <v>2541</v>
      </c>
      <c r="BV396" s="28">
        <f t="shared" si="370"/>
        <v>309.79999999999995</v>
      </c>
      <c r="BW396" s="28">
        <f t="shared" si="371"/>
        <v>132</v>
      </c>
      <c r="BX396" s="13">
        <f t="shared" si="372"/>
        <v>9.6191091026468705</v>
      </c>
      <c r="BY396" s="13">
        <f t="shared" si="373"/>
        <v>9</v>
      </c>
      <c r="BZ396" s="13">
        <f t="shared" si="374"/>
        <v>8.9393939393939394</v>
      </c>
      <c r="CA396" s="13">
        <f t="shared" si="375"/>
        <v>8</v>
      </c>
      <c r="CB396" s="13">
        <f t="shared" si="376"/>
        <v>72</v>
      </c>
      <c r="CC396" s="62">
        <f t="shared" si="377"/>
        <v>1.3888888888888888E-2</v>
      </c>
      <c r="CD396" s="13">
        <f t="shared" si="378"/>
        <v>22.575757575757574</v>
      </c>
      <c r="CE396" s="13">
        <f t="shared" si="379"/>
        <v>22</v>
      </c>
      <c r="CF396" s="13">
        <f t="shared" si="380"/>
        <v>3.8089089735313113</v>
      </c>
      <c r="CG396" s="13">
        <f t="shared" si="381"/>
        <v>3</v>
      </c>
      <c r="CH396" s="28">
        <f t="shared" si="382"/>
        <v>66</v>
      </c>
      <c r="CI396" s="62">
        <f t="shared" si="383"/>
        <v>1.5151515151515152E-2</v>
      </c>
      <c r="CJ396" s="59">
        <f t="shared" si="384"/>
        <v>1.3888888888888888E-2</v>
      </c>
      <c r="CL396" s="63">
        <v>6000</v>
      </c>
      <c r="CM396" s="63">
        <f t="shared" si="385"/>
        <v>304.79999999999995</v>
      </c>
      <c r="CN396" s="63">
        <f t="shared" si="386"/>
        <v>309.79999999999995</v>
      </c>
      <c r="CO396" s="63">
        <f t="shared" si="387"/>
        <v>19.367333763718531</v>
      </c>
      <c r="CP396" s="13">
        <f t="shared" si="388"/>
        <v>19</v>
      </c>
      <c r="CQ396" s="70">
        <f t="shared" si="389"/>
        <v>5.2631578947368418E-2</v>
      </c>
      <c r="CR396" s="69">
        <f t="shared" si="357"/>
        <v>0.10526315789473684</v>
      </c>
    </row>
    <row r="397" spans="1:96" hidden="1" x14ac:dyDescent="0.25">
      <c r="A397" s="13">
        <v>4</v>
      </c>
      <c r="B397" s="14" t="s">
        <v>1023</v>
      </c>
      <c r="C397" s="13" t="s">
        <v>382</v>
      </c>
      <c r="D397" s="13" t="s">
        <v>709</v>
      </c>
      <c r="E397" s="13" t="s">
        <v>52</v>
      </c>
      <c r="F397" s="15">
        <f t="shared" si="358"/>
        <v>6</v>
      </c>
      <c r="G397" s="13">
        <v>2</v>
      </c>
      <c r="H397" s="13">
        <f t="shared" si="405"/>
        <v>2</v>
      </c>
      <c r="I397" s="13">
        <v>10</v>
      </c>
      <c r="J397" s="14" t="s">
        <v>76</v>
      </c>
      <c r="K397" s="14" t="s">
        <v>34</v>
      </c>
      <c r="L397" s="13" t="s">
        <v>77</v>
      </c>
      <c r="M397" s="14" t="s">
        <v>35</v>
      </c>
      <c r="N397" s="13" t="s">
        <v>709</v>
      </c>
      <c r="O397" s="28" t="s">
        <v>41</v>
      </c>
      <c r="P397" s="28" t="s">
        <v>41</v>
      </c>
      <c r="Q397" s="28" t="s">
        <v>79</v>
      </c>
      <c r="R397" s="30">
        <v>21.023622047244096</v>
      </c>
      <c r="S397" s="30">
        <v>0.3125</v>
      </c>
      <c r="T397" s="30"/>
      <c r="U397" s="30">
        <v>0.3125</v>
      </c>
      <c r="V397" s="8">
        <f t="shared" si="359"/>
        <v>534</v>
      </c>
      <c r="W397" s="8">
        <f t="shared" si="360"/>
        <v>7.9375</v>
      </c>
      <c r="X397" s="8">
        <f t="shared" si="361"/>
        <v>0</v>
      </c>
      <c r="Y397" s="33">
        <f t="shared" si="362"/>
        <v>7.9375</v>
      </c>
      <c r="Z397" s="28" t="s">
        <v>80</v>
      </c>
      <c r="AA397" s="28" t="s">
        <v>81</v>
      </c>
      <c r="AB397" s="61" t="s">
        <v>79</v>
      </c>
      <c r="AC397" s="31" t="s">
        <v>82</v>
      </c>
      <c r="AD397" s="50">
        <f t="shared" si="363"/>
        <v>2</v>
      </c>
      <c r="AE397" s="31" t="s">
        <v>1063</v>
      </c>
      <c r="AF397" s="51">
        <v>14</v>
      </c>
      <c r="AG397" s="51">
        <f t="shared" si="391"/>
        <v>8.4</v>
      </c>
      <c r="AH397" s="51">
        <f t="shared" si="356"/>
        <v>42</v>
      </c>
      <c r="AI397" s="52" t="s">
        <v>2497</v>
      </c>
      <c r="AJ397" s="52" t="s">
        <v>2498</v>
      </c>
      <c r="AK397" s="53">
        <f t="shared" si="392"/>
        <v>8.4772500000000004E-3</v>
      </c>
      <c r="AL397" s="54">
        <f t="shared" si="393"/>
        <v>0.11904761904761904</v>
      </c>
      <c r="AM397" s="54">
        <f t="shared" si="394"/>
        <v>2.3809523809523808E-2</v>
      </c>
      <c r="AN397" s="55">
        <f t="shared" si="395"/>
        <v>2.0183928571428571E-3</v>
      </c>
      <c r="AO397" s="55">
        <f t="shared" si="396"/>
        <v>4.0367857142857143E-4</v>
      </c>
      <c r="AP397" s="53">
        <v>7.1</v>
      </c>
      <c r="AQ397" s="53">
        <f t="shared" si="364"/>
        <v>4.26</v>
      </c>
      <c r="AR397" s="53">
        <f t="shared" si="365"/>
        <v>21.299999999999997</v>
      </c>
      <c r="AS397" s="56">
        <f t="shared" si="366"/>
        <v>4.6948356807511742E-2</v>
      </c>
      <c r="AT397" s="56">
        <f t="shared" si="397"/>
        <v>0.23474178403755869</v>
      </c>
      <c r="AU397" s="56">
        <f t="shared" si="367"/>
        <v>0.176056338028169</v>
      </c>
      <c r="AV397" s="56">
        <f t="shared" si="398"/>
        <v>5.8685446009389672E-2</v>
      </c>
      <c r="AW397" s="57" t="s">
        <v>2511</v>
      </c>
      <c r="AX397" s="57" t="s">
        <v>2512</v>
      </c>
      <c r="AY397" s="57" t="s">
        <v>2513</v>
      </c>
      <c r="AZ397" s="58">
        <f t="shared" si="399"/>
        <v>8.4772500000000004E-3</v>
      </c>
      <c r="BA397" s="59">
        <f t="shared" si="402"/>
        <v>4.974911971830986E-4</v>
      </c>
      <c r="BB397" s="59">
        <f t="shared" si="403"/>
        <v>1.4924735915492957E-3</v>
      </c>
      <c r="BC397" s="59">
        <f t="shared" si="404"/>
        <v>3.9799295774647892E-4</v>
      </c>
      <c r="BD397" s="60">
        <f t="shared" si="400"/>
        <v>2.1739130434782609E-3</v>
      </c>
      <c r="BE397" s="59">
        <f t="shared" si="401"/>
        <v>4.3478260869565218E-3</v>
      </c>
      <c r="BQ397" s="61">
        <v>3000</v>
      </c>
      <c r="BR397" s="61">
        <v>1200</v>
      </c>
      <c r="BS397" s="28">
        <f t="shared" si="368"/>
        <v>2980</v>
      </c>
      <c r="BT397" s="28">
        <f t="shared" si="369"/>
        <v>1180</v>
      </c>
      <c r="BU397" s="28" t="s">
        <v>2541</v>
      </c>
      <c r="BV397" s="28">
        <f t="shared" si="370"/>
        <v>539</v>
      </c>
      <c r="BW397" s="28">
        <f t="shared" si="371"/>
        <v>12.9375</v>
      </c>
      <c r="BX397" s="13">
        <f t="shared" si="372"/>
        <v>5.5287569573283859</v>
      </c>
      <c r="BY397" s="13">
        <f t="shared" si="373"/>
        <v>5</v>
      </c>
      <c r="BZ397" s="13">
        <f t="shared" si="374"/>
        <v>91.207729468599027</v>
      </c>
      <c r="CA397" s="13">
        <f t="shared" si="375"/>
        <v>91</v>
      </c>
      <c r="CB397" s="13">
        <f t="shared" si="376"/>
        <v>455</v>
      </c>
      <c r="CC397" s="62">
        <f t="shared" si="377"/>
        <v>2.1978021978021978E-3</v>
      </c>
      <c r="CD397" s="13">
        <f t="shared" si="378"/>
        <v>230.33816425120773</v>
      </c>
      <c r="CE397" s="13">
        <f t="shared" si="379"/>
        <v>230</v>
      </c>
      <c r="CF397" s="13">
        <f t="shared" si="380"/>
        <v>2.1892393320964749</v>
      </c>
      <c r="CG397" s="13">
        <f t="shared" si="381"/>
        <v>2</v>
      </c>
      <c r="CH397" s="28">
        <f t="shared" si="382"/>
        <v>460</v>
      </c>
      <c r="CI397" s="62">
        <f t="shared" si="383"/>
        <v>2.1739130434782609E-3</v>
      </c>
      <c r="CJ397" s="59">
        <f t="shared" si="384"/>
        <v>2.1739130434782609E-3</v>
      </c>
      <c r="CL397" s="63">
        <v>6000</v>
      </c>
      <c r="CM397" s="63">
        <f t="shared" si="385"/>
        <v>534</v>
      </c>
      <c r="CN397" s="63">
        <f t="shared" si="386"/>
        <v>539</v>
      </c>
      <c r="CO397" s="63">
        <f t="shared" si="387"/>
        <v>11.131725417439704</v>
      </c>
      <c r="CP397" s="13">
        <f t="shared" si="388"/>
        <v>11</v>
      </c>
      <c r="CQ397" s="70">
        <f t="shared" si="389"/>
        <v>9.0909090909090912E-2</v>
      </c>
      <c r="CR397" s="69">
        <f t="shared" si="357"/>
        <v>0.18181818181818182</v>
      </c>
    </row>
    <row r="398" spans="1:96" hidden="1" x14ac:dyDescent="0.25">
      <c r="A398" s="13">
        <v>4</v>
      </c>
      <c r="B398" s="14" t="s">
        <v>1023</v>
      </c>
      <c r="C398" s="13" t="s">
        <v>1064</v>
      </c>
      <c r="D398" s="13" t="s">
        <v>2270</v>
      </c>
      <c r="E398" s="13" t="s">
        <v>52</v>
      </c>
      <c r="F398" s="15">
        <f t="shared" si="358"/>
        <v>1</v>
      </c>
      <c r="G398" s="13">
        <v>2</v>
      </c>
      <c r="H398" s="13">
        <f t="shared" si="405"/>
        <v>2</v>
      </c>
      <c r="I398" s="13">
        <v>11</v>
      </c>
      <c r="J398" s="14" t="s">
        <v>122</v>
      </c>
      <c r="K398" s="14" t="s">
        <v>34</v>
      </c>
      <c r="L398" s="13">
        <v>0</v>
      </c>
      <c r="M398" s="14" t="s">
        <v>35</v>
      </c>
      <c r="N398" s="13" t="s">
        <v>1065</v>
      </c>
      <c r="O398" s="28" t="s">
        <v>41</v>
      </c>
      <c r="P398" s="28" t="s">
        <v>41</v>
      </c>
      <c r="Q398" s="28" t="s">
        <v>124</v>
      </c>
      <c r="R398" s="30">
        <v>59.878</v>
      </c>
      <c r="S398" s="30">
        <v>3.3450000000000002</v>
      </c>
      <c r="T398" s="30"/>
      <c r="U398" s="30">
        <v>9.8000000000000004E-2</v>
      </c>
      <c r="V398" s="8">
        <f t="shared" si="359"/>
        <v>1520.9012</v>
      </c>
      <c r="W398" s="8">
        <f t="shared" si="360"/>
        <v>84.962999999999994</v>
      </c>
      <c r="X398" s="8">
        <f t="shared" si="361"/>
        <v>0</v>
      </c>
      <c r="Y398" s="33">
        <f t="shared" si="362"/>
        <v>2.4891999999999999</v>
      </c>
      <c r="Z398" s="28" t="s">
        <v>56</v>
      </c>
      <c r="AA398" s="28" t="s">
        <v>57</v>
      </c>
      <c r="AB398" s="61" t="s">
        <v>124</v>
      </c>
      <c r="AC398" s="31" t="s">
        <v>125</v>
      </c>
      <c r="AD398" s="50">
        <f t="shared" si="363"/>
        <v>2</v>
      </c>
      <c r="AE398" s="31"/>
      <c r="AF398" s="51">
        <v>14</v>
      </c>
      <c r="AG398" s="51">
        <f t="shared" si="391"/>
        <v>8.4</v>
      </c>
      <c r="AH398" s="51">
        <f t="shared" si="356"/>
        <v>42</v>
      </c>
      <c r="AI398" s="52" t="s">
        <v>2497</v>
      </c>
      <c r="AJ398" s="52" t="s">
        <v>2498</v>
      </c>
      <c r="AK398" s="53">
        <f t="shared" si="392"/>
        <v>0.25844065731119997</v>
      </c>
      <c r="AL398" s="54">
        <f t="shared" si="393"/>
        <v>0.11904761904761904</v>
      </c>
      <c r="AM398" s="54">
        <f t="shared" si="394"/>
        <v>2.3809523809523808E-2</v>
      </c>
      <c r="AN398" s="55">
        <f t="shared" si="395"/>
        <v>6.1533489835999988E-2</v>
      </c>
      <c r="AO398" s="55">
        <f t="shared" si="396"/>
        <v>1.2306697967199997E-2</v>
      </c>
      <c r="AP398" s="53">
        <v>7.1</v>
      </c>
      <c r="AQ398" s="53">
        <f t="shared" si="364"/>
        <v>4.26</v>
      </c>
      <c r="AR398" s="53">
        <f t="shared" si="365"/>
        <v>21.299999999999997</v>
      </c>
      <c r="AS398" s="56">
        <f t="shared" si="366"/>
        <v>4.6948356807511742E-2</v>
      </c>
      <c r="AT398" s="56">
        <f t="shared" si="397"/>
        <v>0.23474178403755869</v>
      </c>
      <c r="AU398" s="56">
        <f t="shared" si="367"/>
        <v>0.176056338028169</v>
      </c>
      <c r="AV398" s="56">
        <f t="shared" si="398"/>
        <v>5.8685446009389672E-2</v>
      </c>
      <c r="AW398" s="57" t="s">
        <v>2511</v>
      </c>
      <c r="AX398" s="57" t="s">
        <v>2512</v>
      </c>
      <c r="AY398" s="57" t="s">
        <v>2513</v>
      </c>
      <c r="AZ398" s="58">
        <f t="shared" si="399"/>
        <v>0.25844065731119997</v>
      </c>
      <c r="BA398" s="59">
        <f t="shared" si="402"/>
        <v>1.5166705241267604E-2</v>
      </c>
      <c r="BB398" s="59">
        <f t="shared" si="403"/>
        <v>4.550011572380281E-2</v>
      </c>
      <c r="BC398" s="59">
        <f t="shared" si="404"/>
        <v>1.2133364193014085E-2</v>
      </c>
      <c r="BD398" s="60">
        <f t="shared" si="400"/>
        <v>7.6923076923076927E-2</v>
      </c>
      <c r="BE398" s="59">
        <f t="shared" si="401"/>
        <v>0.15384615384615385</v>
      </c>
      <c r="BQ398" s="61">
        <v>3000</v>
      </c>
      <c r="BR398" s="61">
        <v>1200</v>
      </c>
      <c r="BS398" s="28">
        <f t="shared" si="368"/>
        <v>2980</v>
      </c>
      <c r="BT398" s="28">
        <f t="shared" si="369"/>
        <v>1180</v>
      </c>
      <c r="BU398" s="28" t="s">
        <v>2541</v>
      </c>
      <c r="BV398" s="28">
        <f t="shared" si="370"/>
        <v>1525.9012</v>
      </c>
      <c r="BW398" s="28">
        <f t="shared" si="371"/>
        <v>89.962999999999994</v>
      </c>
      <c r="BX398" s="13">
        <f t="shared" si="372"/>
        <v>1.9529442666405925</v>
      </c>
      <c r="BY398" s="13">
        <f t="shared" si="373"/>
        <v>1</v>
      </c>
      <c r="BZ398" s="13">
        <f t="shared" si="374"/>
        <v>13.116503451418918</v>
      </c>
      <c r="CA398" s="13">
        <f t="shared" si="375"/>
        <v>13</v>
      </c>
      <c r="CB398" s="13">
        <f t="shared" si="376"/>
        <v>13</v>
      </c>
      <c r="CC398" s="62">
        <f t="shared" si="377"/>
        <v>7.6923076923076927E-2</v>
      </c>
      <c r="CD398" s="13">
        <f t="shared" si="378"/>
        <v>33.12472905527828</v>
      </c>
      <c r="CE398" s="13">
        <f t="shared" si="379"/>
        <v>33</v>
      </c>
      <c r="CF398" s="13">
        <f t="shared" si="380"/>
        <v>0.7733135015556708</v>
      </c>
      <c r="CG398" s="13">
        <f t="shared" si="381"/>
        <v>0</v>
      </c>
      <c r="CH398" s="28">
        <f t="shared" si="382"/>
        <v>0</v>
      </c>
      <c r="CI398" s="62">
        <f t="shared" si="383"/>
        <v>1</v>
      </c>
      <c r="CJ398" s="59">
        <f t="shared" si="384"/>
        <v>7.6923076923076927E-2</v>
      </c>
      <c r="CL398" s="63">
        <v>6000</v>
      </c>
      <c r="CM398" s="63">
        <f t="shared" si="385"/>
        <v>1520.9012</v>
      </c>
      <c r="CN398" s="63">
        <f t="shared" si="386"/>
        <v>1525.9012</v>
      </c>
      <c r="CO398" s="63">
        <f t="shared" si="387"/>
        <v>3.932102550283072</v>
      </c>
      <c r="CP398" s="13">
        <f t="shared" si="388"/>
        <v>3</v>
      </c>
      <c r="CQ398" s="70">
        <f t="shared" si="389"/>
        <v>0.33333333333333331</v>
      </c>
      <c r="CR398" s="69">
        <f t="shared" si="357"/>
        <v>0.66666666666666663</v>
      </c>
    </row>
    <row r="399" spans="1:96" hidden="1" x14ac:dyDescent="0.25">
      <c r="A399" s="13">
        <v>4</v>
      </c>
      <c r="B399" s="14" t="s">
        <v>1023</v>
      </c>
      <c r="C399" s="13" t="s">
        <v>1066</v>
      </c>
      <c r="D399" s="13" t="s">
        <v>2270</v>
      </c>
      <c r="E399" s="13" t="s">
        <v>52</v>
      </c>
      <c r="F399" s="15">
        <f t="shared" si="358"/>
        <v>1</v>
      </c>
      <c r="G399" s="13">
        <v>1</v>
      </c>
      <c r="H399" s="13">
        <f t="shared" si="405"/>
        <v>1</v>
      </c>
      <c r="I399" s="13">
        <v>12</v>
      </c>
      <c r="J399" s="14" t="s">
        <v>76</v>
      </c>
      <c r="K399" s="14" t="s">
        <v>34</v>
      </c>
      <c r="L399" s="13" t="s">
        <v>77</v>
      </c>
      <c r="M399" s="14" t="s">
        <v>35</v>
      </c>
      <c r="N399" s="13" t="s">
        <v>1067</v>
      </c>
      <c r="O399" s="28" t="s">
        <v>41</v>
      </c>
      <c r="P399" s="28" t="s">
        <v>41</v>
      </c>
      <c r="Q399" s="28" t="s">
        <v>79</v>
      </c>
      <c r="R399" s="30">
        <v>27.007874015748033</v>
      </c>
      <c r="S399" s="30">
        <v>0.3125</v>
      </c>
      <c r="T399" s="30"/>
      <c r="U399" s="30">
        <v>0.3125</v>
      </c>
      <c r="V399" s="8">
        <f t="shared" si="359"/>
        <v>686</v>
      </c>
      <c r="W399" s="8">
        <f t="shared" si="360"/>
        <v>7.9375</v>
      </c>
      <c r="X399" s="8">
        <f t="shared" si="361"/>
        <v>0</v>
      </c>
      <c r="Y399" s="33">
        <f t="shared" si="362"/>
        <v>7.9375</v>
      </c>
      <c r="Z399" s="28" t="s">
        <v>80</v>
      </c>
      <c r="AA399" s="28" t="s">
        <v>81</v>
      </c>
      <c r="AB399" s="61" t="s">
        <v>79</v>
      </c>
      <c r="AC399" s="31" t="s">
        <v>82</v>
      </c>
      <c r="AD399" s="50">
        <f t="shared" si="363"/>
        <v>1</v>
      </c>
      <c r="AE399" s="31"/>
      <c r="AF399" s="51">
        <v>14</v>
      </c>
      <c r="AG399" s="51">
        <f t="shared" si="391"/>
        <v>8.4</v>
      </c>
      <c r="AH399" s="51">
        <f t="shared" si="356"/>
        <v>42</v>
      </c>
      <c r="AI399" s="52" t="s">
        <v>2497</v>
      </c>
      <c r="AJ399" s="52" t="s">
        <v>2498</v>
      </c>
      <c r="AK399" s="53">
        <f t="shared" si="392"/>
        <v>1.0890250000000001E-2</v>
      </c>
      <c r="AL399" s="54">
        <f t="shared" si="393"/>
        <v>0.11904761904761904</v>
      </c>
      <c r="AM399" s="54">
        <f t="shared" si="394"/>
        <v>2.3809523809523808E-2</v>
      </c>
      <c r="AN399" s="55">
        <f t="shared" si="395"/>
        <v>1.2964583333333333E-3</v>
      </c>
      <c r="AO399" s="55">
        <f t="shared" si="396"/>
        <v>2.5929166666666668E-4</v>
      </c>
      <c r="AP399" s="53">
        <v>7.1</v>
      </c>
      <c r="AQ399" s="53">
        <f t="shared" si="364"/>
        <v>4.26</v>
      </c>
      <c r="AR399" s="53">
        <f t="shared" si="365"/>
        <v>21.299999999999997</v>
      </c>
      <c r="AS399" s="56">
        <f t="shared" si="366"/>
        <v>4.6948356807511742E-2</v>
      </c>
      <c r="AT399" s="56">
        <f t="shared" si="397"/>
        <v>0.23474178403755869</v>
      </c>
      <c r="AU399" s="56">
        <f t="shared" si="367"/>
        <v>0.176056338028169</v>
      </c>
      <c r="AV399" s="56">
        <f t="shared" si="398"/>
        <v>5.8685446009389672E-2</v>
      </c>
      <c r="AW399" s="57" t="s">
        <v>2511</v>
      </c>
      <c r="AX399" s="57" t="s">
        <v>2512</v>
      </c>
      <c r="AY399" s="57" t="s">
        <v>2513</v>
      </c>
      <c r="AZ399" s="58">
        <f t="shared" si="399"/>
        <v>1.0890250000000001E-2</v>
      </c>
      <c r="BA399" s="59">
        <f t="shared" si="402"/>
        <v>3.1954958920187796E-4</v>
      </c>
      <c r="BB399" s="59">
        <f t="shared" si="403"/>
        <v>9.5864876760563377E-4</v>
      </c>
      <c r="BC399" s="59">
        <f t="shared" si="404"/>
        <v>2.5563967136150241E-4</v>
      </c>
      <c r="BD399" s="60">
        <f t="shared" si="400"/>
        <v>2.7472527472527475E-3</v>
      </c>
      <c r="BE399" s="59">
        <f t="shared" si="401"/>
        <v>2.7472527472527475E-3</v>
      </c>
      <c r="BQ399" s="61">
        <v>3000</v>
      </c>
      <c r="BR399" s="61">
        <v>1200</v>
      </c>
      <c r="BS399" s="28">
        <f t="shared" si="368"/>
        <v>2980</v>
      </c>
      <c r="BT399" s="28">
        <f t="shared" si="369"/>
        <v>1180</v>
      </c>
      <c r="BU399" s="28" t="s">
        <v>2541</v>
      </c>
      <c r="BV399" s="28">
        <f t="shared" si="370"/>
        <v>691</v>
      </c>
      <c r="BW399" s="28">
        <f t="shared" si="371"/>
        <v>12.9375</v>
      </c>
      <c r="BX399" s="13">
        <f t="shared" si="372"/>
        <v>4.3125904486251807</v>
      </c>
      <c r="BY399" s="13">
        <f t="shared" si="373"/>
        <v>4</v>
      </c>
      <c r="BZ399" s="13">
        <f t="shared" si="374"/>
        <v>91.207729468599027</v>
      </c>
      <c r="CA399" s="13">
        <f t="shared" si="375"/>
        <v>91</v>
      </c>
      <c r="CB399" s="13">
        <f t="shared" si="376"/>
        <v>364</v>
      </c>
      <c r="CC399" s="62">
        <f t="shared" si="377"/>
        <v>2.7472527472527475E-3</v>
      </c>
      <c r="CD399" s="13">
        <f t="shared" si="378"/>
        <v>230.33816425120773</v>
      </c>
      <c r="CE399" s="13">
        <f t="shared" si="379"/>
        <v>230</v>
      </c>
      <c r="CF399" s="13">
        <f t="shared" si="380"/>
        <v>1.70767004341534</v>
      </c>
      <c r="CG399" s="13">
        <f t="shared" si="381"/>
        <v>1</v>
      </c>
      <c r="CH399" s="28">
        <f t="shared" si="382"/>
        <v>230</v>
      </c>
      <c r="CI399" s="62">
        <f t="shared" si="383"/>
        <v>4.3478260869565218E-3</v>
      </c>
      <c r="CJ399" s="59">
        <f t="shared" si="384"/>
        <v>2.7472527472527475E-3</v>
      </c>
      <c r="CL399" s="63">
        <v>6000</v>
      </c>
      <c r="CM399" s="63">
        <f t="shared" si="385"/>
        <v>686</v>
      </c>
      <c r="CN399" s="63">
        <f t="shared" si="386"/>
        <v>691</v>
      </c>
      <c r="CO399" s="63">
        <f t="shared" si="387"/>
        <v>8.6830680173661356</v>
      </c>
      <c r="CP399" s="13">
        <f t="shared" si="388"/>
        <v>8</v>
      </c>
      <c r="CQ399" s="70">
        <f t="shared" si="389"/>
        <v>0.125</v>
      </c>
      <c r="CR399" s="69">
        <f t="shared" si="357"/>
        <v>0.125</v>
      </c>
    </row>
    <row r="400" spans="1:96" hidden="1" x14ac:dyDescent="0.25">
      <c r="A400" s="13">
        <v>4</v>
      </c>
      <c r="B400" s="14" t="s">
        <v>1023</v>
      </c>
      <c r="C400" s="13" t="s">
        <v>94</v>
      </c>
      <c r="D400" s="13" t="s">
        <v>95</v>
      </c>
      <c r="E400" s="13" t="s">
        <v>52</v>
      </c>
      <c r="F400" s="15">
        <f t="shared" si="358"/>
        <v>13</v>
      </c>
      <c r="G400" s="13">
        <v>3</v>
      </c>
      <c r="H400" s="13">
        <f t="shared" si="405"/>
        <v>3</v>
      </c>
      <c r="I400" s="13">
        <v>13</v>
      </c>
      <c r="J400" s="14" t="s">
        <v>76</v>
      </c>
      <c r="K400" s="14" t="s">
        <v>34</v>
      </c>
      <c r="L400" s="13" t="s">
        <v>77</v>
      </c>
      <c r="M400" s="14" t="s">
        <v>35</v>
      </c>
      <c r="N400" s="13" t="s">
        <v>95</v>
      </c>
      <c r="O400" s="28" t="s">
        <v>41</v>
      </c>
      <c r="P400" s="28" t="s">
        <v>41</v>
      </c>
      <c r="Q400" s="28" t="s">
        <v>79</v>
      </c>
      <c r="R400" s="30">
        <v>7.0078740157480315</v>
      </c>
      <c r="S400" s="30">
        <v>0.3125</v>
      </c>
      <c r="T400" s="30"/>
      <c r="U400" s="30">
        <v>0.3125</v>
      </c>
      <c r="V400" s="8">
        <f t="shared" si="359"/>
        <v>178</v>
      </c>
      <c r="W400" s="8">
        <f t="shared" si="360"/>
        <v>7.9375</v>
      </c>
      <c r="X400" s="8">
        <f t="shared" si="361"/>
        <v>0</v>
      </c>
      <c r="Y400" s="33">
        <f t="shared" si="362"/>
        <v>7.9375</v>
      </c>
      <c r="Z400" s="28" t="s">
        <v>80</v>
      </c>
      <c r="AA400" s="28" t="s">
        <v>81</v>
      </c>
      <c r="AB400" s="61" t="s">
        <v>79</v>
      </c>
      <c r="AC400" s="31" t="s">
        <v>82</v>
      </c>
      <c r="AD400" s="50">
        <f t="shared" si="363"/>
        <v>3</v>
      </c>
      <c r="AE400" s="31"/>
      <c r="AF400" s="51">
        <v>14</v>
      </c>
      <c r="AG400" s="51">
        <f t="shared" si="391"/>
        <v>8.4</v>
      </c>
      <c r="AH400" s="51">
        <f t="shared" si="356"/>
        <v>42</v>
      </c>
      <c r="AI400" s="52" t="s">
        <v>2497</v>
      </c>
      <c r="AJ400" s="52" t="s">
        <v>2498</v>
      </c>
      <c r="AK400" s="53">
        <f t="shared" si="392"/>
        <v>2.8257500000000001E-3</v>
      </c>
      <c r="AL400" s="54">
        <f t="shared" si="393"/>
        <v>0.11904761904761904</v>
      </c>
      <c r="AM400" s="54">
        <f t="shared" si="394"/>
        <v>2.3809523809523808E-2</v>
      </c>
      <c r="AN400" s="55">
        <f t="shared" si="395"/>
        <v>1.0091964285714287E-3</v>
      </c>
      <c r="AO400" s="55">
        <f t="shared" si="396"/>
        <v>2.0183928571428572E-4</v>
      </c>
      <c r="AP400" s="53">
        <v>7.1</v>
      </c>
      <c r="AQ400" s="53">
        <f t="shared" si="364"/>
        <v>4.26</v>
      </c>
      <c r="AR400" s="53">
        <f t="shared" si="365"/>
        <v>21.299999999999997</v>
      </c>
      <c r="AS400" s="56">
        <f t="shared" si="366"/>
        <v>4.6948356807511742E-2</v>
      </c>
      <c r="AT400" s="56">
        <f t="shared" si="397"/>
        <v>0.23474178403755869</v>
      </c>
      <c r="AU400" s="56">
        <f t="shared" si="367"/>
        <v>0.176056338028169</v>
      </c>
      <c r="AV400" s="56">
        <f t="shared" si="398"/>
        <v>5.8685446009389672E-2</v>
      </c>
      <c r="AW400" s="57" t="s">
        <v>2511</v>
      </c>
      <c r="AX400" s="57" t="s">
        <v>2512</v>
      </c>
      <c r="AY400" s="57" t="s">
        <v>2513</v>
      </c>
      <c r="AZ400" s="58">
        <f t="shared" si="399"/>
        <v>2.8257500000000001E-3</v>
      </c>
      <c r="BA400" s="59">
        <f t="shared" si="402"/>
        <v>2.487455985915493E-4</v>
      </c>
      <c r="BB400" s="59">
        <f t="shared" si="403"/>
        <v>7.4623679577464784E-4</v>
      </c>
      <c r="BC400" s="59">
        <f t="shared" si="404"/>
        <v>1.9899647887323946E-4</v>
      </c>
      <c r="BD400" s="60">
        <f t="shared" si="400"/>
        <v>6.8681318681318687E-4</v>
      </c>
      <c r="BE400" s="59">
        <f t="shared" si="401"/>
        <v>2.0604395604395605E-3</v>
      </c>
      <c r="BQ400" s="61">
        <v>3000</v>
      </c>
      <c r="BR400" s="61">
        <v>1200</v>
      </c>
      <c r="BS400" s="28">
        <f t="shared" si="368"/>
        <v>2980</v>
      </c>
      <c r="BT400" s="28">
        <f t="shared" si="369"/>
        <v>1180</v>
      </c>
      <c r="BU400" s="28" t="s">
        <v>2541</v>
      </c>
      <c r="BV400" s="28">
        <f t="shared" si="370"/>
        <v>183</v>
      </c>
      <c r="BW400" s="28">
        <f t="shared" si="371"/>
        <v>12.9375</v>
      </c>
      <c r="BX400" s="13">
        <f t="shared" si="372"/>
        <v>16.284153005464482</v>
      </c>
      <c r="BY400" s="13">
        <f t="shared" si="373"/>
        <v>16</v>
      </c>
      <c r="BZ400" s="13">
        <f t="shared" si="374"/>
        <v>91.207729468599027</v>
      </c>
      <c r="CA400" s="13">
        <f t="shared" si="375"/>
        <v>91</v>
      </c>
      <c r="CB400" s="13">
        <f t="shared" si="376"/>
        <v>1456</v>
      </c>
      <c r="CC400" s="62">
        <f t="shared" si="377"/>
        <v>6.8681318681318687E-4</v>
      </c>
      <c r="CD400" s="13">
        <f t="shared" si="378"/>
        <v>230.33816425120773</v>
      </c>
      <c r="CE400" s="13">
        <f t="shared" si="379"/>
        <v>230</v>
      </c>
      <c r="CF400" s="13">
        <f t="shared" si="380"/>
        <v>6.4480874316939891</v>
      </c>
      <c r="CG400" s="13">
        <f t="shared" si="381"/>
        <v>6</v>
      </c>
      <c r="CH400" s="28">
        <f t="shared" si="382"/>
        <v>1380</v>
      </c>
      <c r="CI400" s="62">
        <f t="shared" si="383"/>
        <v>7.246376811594203E-4</v>
      </c>
      <c r="CJ400" s="59">
        <f t="shared" si="384"/>
        <v>6.8681318681318687E-4</v>
      </c>
      <c r="CL400" s="63">
        <v>6000</v>
      </c>
      <c r="CM400" s="63">
        <f t="shared" si="385"/>
        <v>178</v>
      </c>
      <c r="CN400" s="63">
        <f t="shared" si="386"/>
        <v>183</v>
      </c>
      <c r="CO400" s="63">
        <f t="shared" si="387"/>
        <v>32.786885245901637</v>
      </c>
      <c r="CP400" s="13">
        <f t="shared" si="388"/>
        <v>32</v>
      </c>
      <c r="CQ400" s="70">
        <f t="shared" si="389"/>
        <v>3.125E-2</v>
      </c>
      <c r="CR400" s="69">
        <f t="shared" si="357"/>
        <v>9.375E-2</v>
      </c>
    </row>
    <row r="401" spans="1:96" hidden="1" x14ac:dyDescent="0.25">
      <c r="A401" s="13">
        <v>4</v>
      </c>
      <c r="B401" s="14" t="s">
        <v>1023</v>
      </c>
      <c r="C401" s="13" t="s">
        <v>1068</v>
      </c>
      <c r="D401" s="13" t="s">
        <v>2270</v>
      </c>
      <c r="E401" s="13" t="s">
        <v>52</v>
      </c>
      <c r="F401" s="15">
        <f t="shared" si="358"/>
        <v>1</v>
      </c>
      <c r="G401" s="13">
        <v>1</v>
      </c>
      <c r="H401" s="13">
        <f t="shared" si="405"/>
        <v>1</v>
      </c>
      <c r="I401" s="13">
        <v>14</v>
      </c>
      <c r="J401" s="14" t="s">
        <v>1069</v>
      </c>
      <c r="K401" s="14" t="s">
        <v>34</v>
      </c>
      <c r="L401" s="13">
        <v>0</v>
      </c>
      <c r="M401" s="14" t="s">
        <v>35</v>
      </c>
      <c r="N401" s="13" t="s">
        <v>1070</v>
      </c>
      <c r="O401" s="28" t="s">
        <v>41</v>
      </c>
      <c r="P401" s="28" t="s">
        <v>41</v>
      </c>
      <c r="Q401" s="28" t="s">
        <v>124</v>
      </c>
      <c r="R401" s="30">
        <v>24</v>
      </c>
      <c r="S401" s="30">
        <v>4.0890000000000004</v>
      </c>
      <c r="T401" s="30"/>
      <c r="U401" s="30">
        <v>9.8000000000000004E-2</v>
      </c>
      <c r="V401" s="8">
        <f t="shared" si="359"/>
        <v>609.59999999999991</v>
      </c>
      <c r="W401" s="8">
        <f t="shared" si="360"/>
        <v>103.86060000000001</v>
      </c>
      <c r="X401" s="8">
        <f t="shared" si="361"/>
        <v>0</v>
      </c>
      <c r="Y401" s="33">
        <f t="shared" si="362"/>
        <v>2.4891999999999999</v>
      </c>
      <c r="Z401" s="28" t="s">
        <v>56</v>
      </c>
      <c r="AA401" s="28" t="s">
        <v>57</v>
      </c>
      <c r="AB401" s="61" t="s">
        <v>124</v>
      </c>
      <c r="AC401" s="31" t="s">
        <v>125</v>
      </c>
      <c r="AD401" s="50">
        <f t="shared" si="363"/>
        <v>1</v>
      </c>
      <c r="AE401" s="31"/>
      <c r="AF401" s="51">
        <v>14</v>
      </c>
      <c r="AG401" s="51">
        <f t="shared" si="391"/>
        <v>8.4</v>
      </c>
      <c r="AH401" s="51">
        <f t="shared" si="356"/>
        <v>42</v>
      </c>
      <c r="AI401" s="52" t="s">
        <v>2497</v>
      </c>
      <c r="AJ401" s="52" t="s">
        <v>2498</v>
      </c>
      <c r="AK401" s="53">
        <f t="shared" si="392"/>
        <v>0.12662684351999998</v>
      </c>
      <c r="AL401" s="54">
        <f t="shared" si="393"/>
        <v>0.11904761904761904</v>
      </c>
      <c r="AM401" s="54">
        <f t="shared" si="394"/>
        <v>2.3809523809523808E-2</v>
      </c>
      <c r="AN401" s="55">
        <f t="shared" si="395"/>
        <v>1.5074624228571426E-2</v>
      </c>
      <c r="AO401" s="55">
        <f t="shared" si="396"/>
        <v>3.0149248457142851E-3</v>
      </c>
      <c r="AP401" s="53">
        <v>7.1</v>
      </c>
      <c r="AQ401" s="53">
        <f t="shared" si="364"/>
        <v>4.26</v>
      </c>
      <c r="AR401" s="53">
        <f t="shared" si="365"/>
        <v>21.299999999999997</v>
      </c>
      <c r="AS401" s="56">
        <f t="shared" si="366"/>
        <v>4.6948356807511742E-2</v>
      </c>
      <c r="AT401" s="56">
        <f t="shared" si="397"/>
        <v>0.23474178403755869</v>
      </c>
      <c r="AU401" s="56">
        <f t="shared" si="367"/>
        <v>0.176056338028169</v>
      </c>
      <c r="AV401" s="56">
        <f t="shared" si="398"/>
        <v>5.8685446009389672E-2</v>
      </c>
      <c r="AW401" s="57" t="s">
        <v>2511</v>
      </c>
      <c r="AX401" s="57" t="s">
        <v>2512</v>
      </c>
      <c r="AY401" s="57" t="s">
        <v>2513</v>
      </c>
      <c r="AZ401" s="58">
        <f t="shared" si="399"/>
        <v>0.12662684351999998</v>
      </c>
      <c r="BA401" s="59">
        <f t="shared" si="402"/>
        <v>3.7155763943661963E-3</v>
      </c>
      <c r="BB401" s="59">
        <f t="shared" si="403"/>
        <v>1.1146729183098589E-2</v>
      </c>
      <c r="BC401" s="59">
        <f t="shared" si="404"/>
        <v>2.9724611154929577E-3</v>
      </c>
      <c r="BD401" s="60">
        <f t="shared" si="400"/>
        <v>2.5000000000000001E-2</v>
      </c>
      <c r="BE401" s="59">
        <f t="shared" si="401"/>
        <v>2.5000000000000001E-2</v>
      </c>
      <c r="BQ401" s="61">
        <v>3000</v>
      </c>
      <c r="BR401" s="61">
        <v>1200</v>
      </c>
      <c r="BS401" s="28">
        <f t="shared" si="368"/>
        <v>2980</v>
      </c>
      <c r="BT401" s="28">
        <f t="shared" si="369"/>
        <v>1180</v>
      </c>
      <c r="BU401" s="28" t="s">
        <v>2541</v>
      </c>
      <c r="BV401" s="28">
        <f t="shared" si="370"/>
        <v>614.59999999999991</v>
      </c>
      <c r="BW401" s="28">
        <f t="shared" si="371"/>
        <v>108.86060000000001</v>
      </c>
      <c r="BX401" s="13">
        <f t="shared" si="372"/>
        <v>4.84868206963879</v>
      </c>
      <c r="BY401" s="13">
        <f t="shared" si="373"/>
        <v>4</v>
      </c>
      <c r="BZ401" s="13">
        <f t="shared" si="374"/>
        <v>10.839550764923214</v>
      </c>
      <c r="CA401" s="13">
        <f t="shared" si="375"/>
        <v>10</v>
      </c>
      <c r="CB401" s="13">
        <f t="shared" si="376"/>
        <v>40</v>
      </c>
      <c r="CC401" s="62">
        <f t="shared" si="377"/>
        <v>2.5000000000000001E-2</v>
      </c>
      <c r="CD401" s="13">
        <f t="shared" si="378"/>
        <v>27.374458711416249</v>
      </c>
      <c r="CE401" s="13">
        <f t="shared" si="379"/>
        <v>27</v>
      </c>
      <c r="CF401" s="13">
        <f t="shared" si="380"/>
        <v>1.9199479336153598</v>
      </c>
      <c r="CG401" s="13">
        <f t="shared" si="381"/>
        <v>1</v>
      </c>
      <c r="CH401" s="28">
        <f t="shared" si="382"/>
        <v>27</v>
      </c>
      <c r="CI401" s="62">
        <f t="shared" si="383"/>
        <v>3.7037037037037035E-2</v>
      </c>
      <c r="CJ401" s="59">
        <f t="shared" si="384"/>
        <v>2.5000000000000001E-2</v>
      </c>
      <c r="CL401" s="63">
        <v>6000</v>
      </c>
      <c r="CM401" s="63">
        <f t="shared" si="385"/>
        <v>609.59999999999991</v>
      </c>
      <c r="CN401" s="63">
        <f t="shared" si="386"/>
        <v>614.59999999999991</v>
      </c>
      <c r="CO401" s="63">
        <f t="shared" si="387"/>
        <v>9.7624471200781002</v>
      </c>
      <c r="CP401" s="13">
        <f t="shared" si="388"/>
        <v>9</v>
      </c>
      <c r="CQ401" s="70">
        <f t="shared" si="389"/>
        <v>0.1111111111111111</v>
      </c>
      <c r="CR401" s="69">
        <f t="shared" si="357"/>
        <v>0.1111111111111111</v>
      </c>
    </row>
    <row r="402" spans="1:96" hidden="1" x14ac:dyDescent="0.25">
      <c r="A402" s="10">
        <v>3</v>
      </c>
      <c r="B402" s="8" t="s">
        <v>1019</v>
      </c>
      <c r="C402" s="10" t="s">
        <v>1071</v>
      </c>
      <c r="D402" s="10" t="s">
        <v>2270</v>
      </c>
      <c r="E402" s="10" t="s">
        <v>32</v>
      </c>
      <c r="F402" s="12">
        <f t="shared" si="358"/>
        <v>1</v>
      </c>
      <c r="G402" s="10">
        <v>1</v>
      </c>
      <c r="H402" s="10">
        <f>G402*$H$378</f>
        <v>1</v>
      </c>
      <c r="I402" s="10">
        <v>2</v>
      </c>
      <c r="J402" s="8" t="s">
        <v>1072</v>
      </c>
      <c r="K402" s="8" t="s">
        <v>34</v>
      </c>
      <c r="L402" s="10" t="s">
        <v>194</v>
      </c>
      <c r="M402" s="8" t="s">
        <v>35</v>
      </c>
      <c r="N402" s="10" t="s">
        <v>1073</v>
      </c>
      <c r="O402" s="28" t="s">
        <v>41</v>
      </c>
      <c r="P402" s="28" t="s">
        <v>41</v>
      </c>
      <c r="Q402" s="28"/>
      <c r="R402" s="30"/>
      <c r="S402" s="30"/>
      <c r="T402" s="30"/>
      <c r="U402" s="30"/>
      <c r="V402" s="8">
        <f t="shared" si="359"/>
        <v>0</v>
      </c>
      <c r="W402" s="8">
        <f t="shared" si="360"/>
        <v>0</v>
      </c>
      <c r="X402" s="8">
        <f t="shared" si="361"/>
        <v>0</v>
      </c>
      <c r="Y402" s="33">
        <f t="shared" si="362"/>
        <v>0</v>
      </c>
      <c r="Z402" s="28"/>
      <c r="AA402" s="28"/>
      <c r="AB402" s="28">
        <v>0</v>
      </c>
      <c r="AC402" s="31"/>
      <c r="AD402" s="50">
        <f t="shared" si="363"/>
        <v>1</v>
      </c>
      <c r="AE402" s="31"/>
      <c r="AF402" s="51">
        <v>14</v>
      </c>
      <c r="AG402" s="51">
        <f t="shared" si="391"/>
        <v>8.4</v>
      </c>
      <c r="AH402" s="51">
        <f t="shared" si="356"/>
        <v>42</v>
      </c>
      <c r="AI402" s="52" t="s">
        <v>2497</v>
      </c>
      <c r="AJ402" s="52" t="s">
        <v>2498</v>
      </c>
      <c r="AK402" s="53">
        <f t="shared" si="392"/>
        <v>0</v>
      </c>
      <c r="AL402" s="54">
        <f t="shared" si="393"/>
        <v>0.11904761904761904</v>
      </c>
      <c r="AM402" s="54">
        <f t="shared" si="394"/>
        <v>2.3809523809523808E-2</v>
      </c>
      <c r="AN402" s="55">
        <f t="shared" si="395"/>
        <v>0</v>
      </c>
      <c r="AO402" s="55">
        <f t="shared" si="396"/>
        <v>0</v>
      </c>
      <c r="AP402" s="53">
        <v>7.1</v>
      </c>
      <c r="AQ402" s="53">
        <f t="shared" si="364"/>
        <v>4.26</v>
      </c>
      <c r="AR402" s="53">
        <f t="shared" si="365"/>
        <v>21.299999999999997</v>
      </c>
      <c r="AS402" s="56">
        <f t="shared" si="366"/>
        <v>4.6948356807511742E-2</v>
      </c>
      <c r="AT402" s="56">
        <f t="shared" si="397"/>
        <v>0.23474178403755869</v>
      </c>
      <c r="AU402" s="56">
        <f t="shared" si="367"/>
        <v>0.176056338028169</v>
      </c>
      <c r="AV402" s="56">
        <f t="shared" si="398"/>
        <v>5.8685446009389672E-2</v>
      </c>
      <c r="AW402" s="57" t="s">
        <v>2511</v>
      </c>
      <c r="AX402" s="57" t="s">
        <v>2512</v>
      </c>
      <c r="AY402" s="57" t="s">
        <v>2513</v>
      </c>
      <c r="AZ402" s="58">
        <f t="shared" si="399"/>
        <v>0</v>
      </c>
      <c r="BA402" s="59">
        <f t="shared" si="402"/>
        <v>0</v>
      </c>
      <c r="BB402" s="59">
        <f t="shared" si="403"/>
        <v>0</v>
      </c>
      <c r="BC402" s="59">
        <f t="shared" si="404"/>
        <v>0</v>
      </c>
      <c r="BD402" s="60">
        <f t="shared" si="400"/>
        <v>0</v>
      </c>
      <c r="BE402" s="59">
        <f t="shared" si="401"/>
        <v>0</v>
      </c>
      <c r="BQ402" s="61">
        <v>3000</v>
      </c>
      <c r="BR402" s="61">
        <v>1200</v>
      </c>
      <c r="BS402" s="28">
        <f t="shared" si="368"/>
        <v>2980</v>
      </c>
      <c r="BT402" s="28">
        <f t="shared" si="369"/>
        <v>1180</v>
      </c>
      <c r="BU402" s="28" t="s">
        <v>2541</v>
      </c>
      <c r="BV402" s="28">
        <f t="shared" si="370"/>
        <v>5</v>
      </c>
      <c r="BW402" s="28">
        <f t="shared" si="371"/>
        <v>5</v>
      </c>
      <c r="BX402" s="13">
        <f t="shared" si="372"/>
        <v>596</v>
      </c>
      <c r="BY402" s="13">
        <f t="shared" si="373"/>
        <v>596</v>
      </c>
      <c r="BZ402" s="13">
        <f t="shared" si="374"/>
        <v>236</v>
      </c>
      <c r="CA402" s="13">
        <f t="shared" si="375"/>
        <v>236</v>
      </c>
      <c r="CB402" s="13">
        <f t="shared" si="376"/>
        <v>140656</v>
      </c>
      <c r="CC402" s="62" t="str">
        <f t="shared" si="377"/>
        <v/>
      </c>
      <c r="CD402" s="13">
        <f t="shared" si="378"/>
        <v>596</v>
      </c>
      <c r="CE402" s="13">
        <f t="shared" si="379"/>
        <v>596</v>
      </c>
      <c r="CF402" s="13">
        <f t="shared" si="380"/>
        <v>236</v>
      </c>
      <c r="CG402" s="13">
        <f t="shared" si="381"/>
        <v>236</v>
      </c>
      <c r="CH402" s="28">
        <f t="shared" si="382"/>
        <v>140656</v>
      </c>
      <c r="CI402" s="62" t="str">
        <f t="shared" si="383"/>
        <v/>
      </c>
      <c r="CJ402" s="59">
        <f t="shared" si="384"/>
        <v>0</v>
      </c>
      <c r="CL402" s="63">
        <v>6000</v>
      </c>
      <c r="CM402" s="63">
        <f t="shared" si="385"/>
        <v>0</v>
      </c>
      <c r="CN402" s="63">
        <f t="shared" si="386"/>
        <v>5</v>
      </c>
      <c r="CO402" s="63">
        <f t="shared" si="387"/>
        <v>1200</v>
      </c>
      <c r="CP402" s="13">
        <f t="shared" si="388"/>
        <v>1200</v>
      </c>
      <c r="CQ402" s="70">
        <f t="shared" si="389"/>
        <v>8.3333333333333339E-4</v>
      </c>
      <c r="CR402" s="69">
        <f t="shared" si="357"/>
        <v>8.3333333333333339E-4</v>
      </c>
    </row>
    <row r="403" spans="1:96" hidden="1" x14ac:dyDescent="0.25">
      <c r="A403" s="13">
        <v>4</v>
      </c>
      <c r="B403" s="14" t="s">
        <v>1074</v>
      </c>
      <c r="C403" s="13" t="s">
        <v>1075</v>
      </c>
      <c r="D403" s="13" t="s">
        <v>2270</v>
      </c>
      <c r="E403" s="13" t="s">
        <v>52</v>
      </c>
      <c r="F403" s="15">
        <f t="shared" si="358"/>
        <v>1</v>
      </c>
      <c r="G403" s="13">
        <v>1</v>
      </c>
      <c r="H403" s="13">
        <f>G403*$H$402</f>
        <v>1</v>
      </c>
      <c r="I403" s="13">
        <v>1</v>
      </c>
      <c r="J403" s="14" t="s">
        <v>1076</v>
      </c>
      <c r="K403" s="14" t="s">
        <v>34</v>
      </c>
      <c r="L403" s="13" t="s">
        <v>194</v>
      </c>
      <c r="M403" s="14" t="s">
        <v>35</v>
      </c>
      <c r="N403" s="13" t="s">
        <v>1077</v>
      </c>
      <c r="O403" s="28" t="s">
        <v>41</v>
      </c>
      <c r="P403" s="28" t="s">
        <v>41</v>
      </c>
      <c r="Q403" s="28" t="s">
        <v>116</v>
      </c>
      <c r="R403" s="30">
        <v>75.733999999999995</v>
      </c>
      <c r="S403" s="30">
        <v>38.115000000000002</v>
      </c>
      <c r="T403" s="30"/>
      <c r="U403" s="30">
        <v>0.12</v>
      </c>
      <c r="V403" s="8">
        <f t="shared" si="359"/>
        <v>1923.6435999999997</v>
      </c>
      <c r="W403" s="8">
        <f t="shared" si="360"/>
        <v>968.12099999999998</v>
      </c>
      <c r="X403" s="8">
        <f t="shared" si="361"/>
        <v>0</v>
      </c>
      <c r="Y403" s="33">
        <f t="shared" si="362"/>
        <v>3.0479999999999996</v>
      </c>
      <c r="Z403" s="28" t="s">
        <v>56</v>
      </c>
      <c r="AA403" s="28" t="s">
        <v>57</v>
      </c>
      <c r="AB403" s="28" t="s">
        <v>116</v>
      </c>
      <c r="AC403" s="31" t="s">
        <v>117</v>
      </c>
      <c r="AD403" s="50">
        <f t="shared" si="363"/>
        <v>1</v>
      </c>
      <c r="AE403" s="31"/>
      <c r="AF403" s="51">
        <v>14</v>
      </c>
      <c r="AG403" s="51">
        <f t="shared" si="391"/>
        <v>8.4</v>
      </c>
      <c r="AH403" s="51">
        <f t="shared" si="356"/>
        <v>42</v>
      </c>
      <c r="AI403" s="52" t="s">
        <v>2497</v>
      </c>
      <c r="AJ403" s="52" t="s">
        <v>2498</v>
      </c>
      <c r="AK403" s="53">
        <f t="shared" si="392"/>
        <v>3.7246395313511993</v>
      </c>
      <c r="AL403" s="54">
        <f t="shared" si="393"/>
        <v>0.11904761904761904</v>
      </c>
      <c r="AM403" s="54">
        <f t="shared" si="394"/>
        <v>2.3809523809523808E-2</v>
      </c>
      <c r="AN403" s="55">
        <f t="shared" si="395"/>
        <v>0.44340946801799991</v>
      </c>
      <c r="AO403" s="55">
        <f t="shared" si="396"/>
        <v>8.8681893603599973E-2</v>
      </c>
      <c r="AP403" s="53">
        <v>7.1</v>
      </c>
      <c r="AQ403" s="53">
        <f t="shared" si="364"/>
        <v>4.26</v>
      </c>
      <c r="AR403" s="53">
        <f t="shared" si="365"/>
        <v>21.299999999999997</v>
      </c>
      <c r="AS403" s="56">
        <f t="shared" si="366"/>
        <v>4.6948356807511742E-2</v>
      </c>
      <c r="AT403" s="56">
        <f t="shared" si="397"/>
        <v>0.23474178403755869</v>
      </c>
      <c r="AU403" s="56">
        <f t="shared" si="367"/>
        <v>0.176056338028169</v>
      </c>
      <c r="AV403" s="56">
        <f t="shared" si="398"/>
        <v>5.8685446009389672E-2</v>
      </c>
      <c r="AW403" s="57" t="s">
        <v>2511</v>
      </c>
      <c r="AX403" s="57" t="s">
        <v>2512</v>
      </c>
      <c r="AY403" s="57" t="s">
        <v>2513</v>
      </c>
      <c r="AZ403" s="58">
        <f t="shared" si="399"/>
        <v>3.7246395313511993</v>
      </c>
      <c r="BA403" s="59">
        <f t="shared" si="402"/>
        <v>0.10929106606077463</v>
      </c>
      <c r="BB403" s="59">
        <f t="shared" si="403"/>
        <v>0.32787319818232386</v>
      </c>
      <c r="BC403" s="59">
        <f t="shared" si="404"/>
        <v>8.7432852848619708E-2</v>
      </c>
      <c r="BD403" s="60">
        <f t="shared" si="400"/>
        <v>1</v>
      </c>
      <c r="BE403" s="59">
        <f t="shared" si="401"/>
        <v>1</v>
      </c>
      <c r="BQ403" s="61">
        <v>3000</v>
      </c>
      <c r="BR403" s="61">
        <v>1200</v>
      </c>
      <c r="BS403" s="28">
        <f t="shared" si="368"/>
        <v>2980</v>
      </c>
      <c r="BT403" s="28">
        <f t="shared" si="369"/>
        <v>1180</v>
      </c>
      <c r="BU403" s="28" t="s">
        <v>2541</v>
      </c>
      <c r="BV403" s="28">
        <f t="shared" si="370"/>
        <v>1928.6435999999997</v>
      </c>
      <c r="BW403" s="28">
        <f t="shared" si="371"/>
        <v>973.12099999999998</v>
      </c>
      <c r="BX403" s="13">
        <f t="shared" si="372"/>
        <v>1.5451273630856424</v>
      </c>
      <c r="BY403" s="13">
        <f t="shared" si="373"/>
        <v>1</v>
      </c>
      <c r="BZ403" s="13">
        <f t="shared" si="374"/>
        <v>1.2125932951811749</v>
      </c>
      <c r="CA403" s="13">
        <f t="shared" si="375"/>
        <v>1</v>
      </c>
      <c r="CB403" s="13">
        <f t="shared" si="376"/>
        <v>1</v>
      </c>
      <c r="CC403" s="62">
        <f t="shared" si="377"/>
        <v>1</v>
      </c>
      <c r="CD403" s="13">
        <f t="shared" si="378"/>
        <v>3.0623118810507637</v>
      </c>
      <c r="CE403" s="13">
        <f t="shared" si="379"/>
        <v>3</v>
      </c>
      <c r="CF403" s="13">
        <f t="shared" si="380"/>
        <v>0.61182895585270403</v>
      </c>
      <c r="CG403" s="13">
        <f t="shared" si="381"/>
        <v>0</v>
      </c>
      <c r="CH403" s="28">
        <f t="shared" si="382"/>
        <v>0</v>
      </c>
      <c r="CI403" s="62">
        <f t="shared" si="383"/>
        <v>1</v>
      </c>
      <c r="CJ403" s="59">
        <f t="shared" si="384"/>
        <v>1</v>
      </c>
      <c r="CL403" s="63">
        <v>6000</v>
      </c>
      <c r="CM403" s="63">
        <f t="shared" si="385"/>
        <v>1923.6435999999997</v>
      </c>
      <c r="CN403" s="63">
        <f t="shared" si="386"/>
        <v>1928.6435999999997</v>
      </c>
      <c r="CO403" s="63">
        <f t="shared" si="387"/>
        <v>3.1109946907764612</v>
      </c>
      <c r="CP403" s="13">
        <f t="shared" si="388"/>
        <v>3</v>
      </c>
      <c r="CQ403" s="70">
        <f t="shared" si="389"/>
        <v>0.33333333333333331</v>
      </c>
      <c r="CR403" s="69">
        <f t="shared" si="357"/>
        <v>0.33333333333333331</v>
      </c>
    </row>
    <row r="404" spans="1:96" hidden="1" x14ac:dyDescent="0.25">
      <c r="A404" s="13">
        <v>4</v>
      </c>
      <c r="B404" s="14" t="s">
        <v>1074</v>
      </c>
      <c r="C404" s="13" t="s">
        <v>1078</v>
      </c>
      <c r="D404" s="13" t="s">
        <v>2270</v>
      </c>
      <c r="E404" s="13" t="s">
        <v>52</v>
      </c>
      <c r="F404" s="15">
        <f t="shared" si="358"/>
        <v>1</v>
      </c>
      <c r="G404" s="13">
        <v>1</v>
      </c>
      <c r="H404" s="13">
        <f t="shared" ref="H404:H423" si="406">G404*$H$402</f>
        <v>1</v>
      </c>
      <c r="I404" s="13">
        <v>2</v>
      </c>
      <c r="J404" s="14" t="s">
        <v>122</v>
      </c>
      <c r="K404" s="14" t="s">
        <v>34</v>
      </c>
      <c r="L404" s="13">
        <v>0</v>
      </c>
      <c r="M404" s="14" t="s">
        <v>35</v>
      </c>
      <c r="N404" s="13" t="s">
        <v>1079</v>
      </c>
      <c r="O404" s="28" t="s">
        <v>41</v>
      </c>
      <c r="P404" s="28" t="s">
        <v>41</v>
      </c>
      <c r="Q404" s="28" t="s">
        <v>124</v>
      </c>
      <c r="R404" s="30">
        <v>24</v>
      </c>
      <c r="S404" s="30">
        <v>10.005000000000001</v>
      </c>
      <c r="T404" s="30"/>
      <c r="U404" s="30">
        <v>9.8000000000000004E-2</v>
      </c>
      <c r="V404" s="8">
        <f t="shared" si="359"/>
        <v>609.59999999999991</v>
      </c>
      <c r="W404" s="8">
        <f t="shared" si="360"/>
        <v>254.12700000000001</v>
      </c>
      <c r="X404" s="8">
        <f t="shared" si="361"/>
        <v>0</v>
      </c>
      <c r="Y404" s="33">
        <f t="shared" si="362"/>
        <v>2.4891999999999999</v>
      </c>
      <c r="Z404" s="28" t="s">
        <v>56</v>
      </c>
      <c r="AA404" s="28" t="s">
        <v>57</v>
      </c>
      <c r="AB404" s="61" t="s">
        <v>124</v>
      </c>
      <c r="AC404" s="31" t="s">
        <v>125</v>
      </c>
      <c r="AD404" s="50">
        <f t="shared" si="363"/>
        <v>1</v>
      </c>
      <c r="AE404" s="31"/>
      <c r="AF404" s="51">
        <v>14</v>
      </c>
      <c r="AG404" s="51">
        <f t="shared" si="391"/>
        <v>8.4</v>
      </c>
      <c r="AH404" s="51">
        <f t="shared" si="356"/>
        <v>42</v>
      </c>
      <c r="AI404" s="52" t="s">
        <v>2497</v>
      </c>
      <c r="AJ404" s="52" t="s">
        <v>2498</v>
      </c>
      <c r="AK404" s="53">
        <f t="shared" si="392"/>
        <v>0.30983163839999994</v>
      </c>
      <c r="AL404" s="54">
        <f t="shared" si="393"/>
        <v>0.11904761904761904</v>
      </c>
      <c r="AM404" s="54">
        <f t="shared" si="394"/>
        <v>2.3809523809523808E-2</v>
      </c>
      <c r="AN404" s="55">
        <f t="shared" si="395"/>
        <v>3.6884718857142847E-2</v>
      </c>
      <c r="AO404" s="55">
        <f t="shared" si="396"/>
        <v>7.3769437714285699E-3</v>
      </c>
      <c r="AP404" s="53">
        <v>7.1</v>
      </c>
      <c r="AQ404" s="53">
        <f t="shared" si="364"/>
        <v>4.26</v>
      </c>
      <c r="AR404" s="53">
        <f t="shared" si="365"/>
        <v>21.299999999999997</v>
      </c>
      <c r="AS404" s="56">
        <f t="shared" si="366"/>
        <v>4.6948356807511742E-2</v>
      </c>
      <c r="AT404" s="56">
        <f t="shared" si="397"/>
        <v>0.23474178403755869</v>
      </c>
      <c r="AU404" s="56">
        <f t="shared" si="367"/>
        <v>0.176056338028169</v>
      </c>
      <c r="AV404" s="56">
        <f t="shared" si="398"/>
        <v>5.8685446009389672E-2</v>
      </c>
      <c r="AW404" s="57" t="s">
        <v>2511</v>
      </c>
      <c r="AX404" s="57" t="s">
        <v>2512</v>
      </c>
      <c r="AY404" s="57" t="s">
        <v>2513</v>
      </c>
      <c r="AZ404" s="58">
        <f t="shared" si="399"/>
        <v>0.30983163839999994</v>
      </c>
      <c r="BA404" s="59">
        <f t="shared" si="402"/>
        <v>9.09130394366197E-3</v>
      </c>
      <c r="BB404" s="59">
        <f t="shared" si="403"/>
        <v>2.727391183098591E-2</v>
      </c>
      <c r="BC404" s="59">
        <f t="shared" si="404"/>
        <v>7.2730431549295768E-3</v>
      </c>
      <c r="BD404" s="60">
        <f t="shared" si="400"/>
        <v>6.25E-2</v>
      </c>
      <c r="BE404" s="59">
        <f t="shared" si="401"/>
        <v>6.25E-2</v>
      </c>
      <c r="BQ404" s="61">
        <v>3000</v>
      </c>
      <c r="BR404" s="61">
        <v>1200</v>
      </c>
      <c r="BS404" s="28">
        <f t="shared" si="368"/>
        <v>2980</v>
      </c>
      <c r="BT404" s="28">
        <f t="shared" si="369"/>
        <v>1180</v>
      </c>
      <c r="BU404" s="28" t="s">
        <v>2541</v>
      </c>
      <c r="BV404" s="28">
        <f t="shared" si="370"/>
        <v>614.59999999999991</v>
      </c>
      <c r="BW404" s="28">
        <f t="shared" si="371"/>
        <v>259.12700000000001</v>
      </c>
      <c r="BX404" s="13">
        <f t="shared" si="372"/>
        <v>4.84868206963879</v>
      </c>
      <c r="BY404" s="13">
        <f t="shared" si="373"/>
        <v>4</v>
      </c>
      <c r="BZ404" s="13">
        <f t="shared" si="374"/>
        <v>4.5537516352985214</v>
      </c>
      <c r="CA404" s="13">
        <f t="shared" si="375"/>
        <v>4</v>
      </c>
      <c r="CB404" s="13">
        <f t="shared" si="376"/>
        <v>16</v>
      </c>
      <c r="CC404" s="62">
        <f t="shared" si="377"/>
        <v>6.25E-2</v>
      </c>
      <c r="CD404" s="13">
        <f t="shared" si="378"/>
        <v>11.500152434906436</v>
      </c>
      <c r="CE404" s="13">
        <f t="shared" si="379"/>
        <v>11</v>
      </c>
      <c r="CF404" s="13">
        <f t="shared" si="380"/>
        <v>1.9199479336153598</v>
      </c>
      <c r="CG404" s="13">
        <f t="shared" si="381"/>
        <v>1</v>
      </c>
      <c r="CH404" s="28">
        <f t="shared" si="382"/>
        <v>11</v>
      </c>
      <c r="CI404" s="62">
        <f t="shared" si="383"/>
        <v>9.0909090909090912E-2</v>
      </c>
      <c r="CJ404" s="59">
        <f t="shared" si="384"/>
        <v>6.25E-2</v>
      </c>
      <c r="CL404" s="63">
        <v>6000</v>
      </c>
      <c r="CM404" s="63">
        <f t="shared" si="385"/>
        <v>609.59999999999991</v>
      </c>
      <c r="CN404" s="63">
        <f t="shared" si="386"/>
        <v>614.59999999999991</v>
      </c>
      <c r="CO404" s="63">
        <f t="shared" si="387"/>
        <v>9.7624471200781002</v>
      </c>
      <c r="CP404" s="13">
        <f t="shared" si="388"/>
        <v>9</v>
      </c>
      <c r="CQ404" s="70">
        <f t="shared" si="389"/>
        <v>0.1111111111111111</v>
      </c>
      <c r="CR404" s="69">
        <f t="shared" si="357"/>
        <v>0.1111111111111111</v>
      </c>
    </row>
    <row r="405" spans="1:96" hidden="1" x14ac:dyDescent="0.25">
      <c r="A405" s="13">
        <v>4</v>
      </c>
      <c r="B405" s="14" t="s">
        <v>1074</v>
      </c>
      <c r="C405" s="13" t="s">
        <v>1080</v>
      </c>
      <c r="D405" s="13" t="s">
        <v>2270</v>
      </c>
      <c r="E405" s="13" t="s">
        <v>52</v>
      </c>
      <c r="F405" s="15">
        <f t="shared" si="358"/>
        <v>2</v>
      </c>
      <c r="G405" s="13">
        <v>3</v>
      </c>
      <c r="H405" s="13">
        <f t="shared" si="406"/>
        <v>3</v>
      </c>
      <c r="I405" s="13">
        <v>3</v>
      </c>
      <c r="J405" s="14" t="s">
        <v>122</v>
      </c>
      <c r="K405" s="14" t="s">
        <v>34</v>
      </c>
      <c r="L405" s="13">
        <v>0</v>
      </c>
      <c r="M405" s="14" t="s">
        <v>35</v>
      </c>
      <c r="N405" s="13" t="s">
        <v>1081</v>
      </c>
      <c r="O405" s="28" t="s">
        <v>41</v>
      </c>
      <c r="P405" s="28" t="s">
        <v>41</v>
      </c>
      <c r="Q405" s="28" t="s">
        <v>124</v>
      </c>
      <c r="R405" s="30">
        <v>36.369999999999997</v>
      </c>
      <c r="S405" s="30">
        <v>4.2350000000000003</v>
      </c>
      <c r="T405" s="30"/>
      <c r="U405" s="30">
        <v>9.8000000000000004E-2</v>
      </c>
      <c r="V405" s="8">
        <f t="shared" si="359"/>
        <v>923.79799999999989</v>
      </c>
      <c r="W405" s="8">
        <f t="shared" si="360"/>
        <v>107.569</v>
      </c>
      <c r="X405" s="8">
        <f t="shared" si="361"/>
        <v>0</v>
      </c>
      <c r="Y405" s="33">
        <f t="shared" si="362"/>
        <v>2.4891999999999999</v>
      </c>
      <c r="Z405" s="28" t="s">
        <v>56</v>
      </c>
      <c r="AA405" s="28" t="s">
        <v>57</v>
      </c>
      <c r="AB405" s="61" t="s">
        <v>124</v>
      </c>
      <c r="AC405" s="31" t="s">
        <v>125</v>
      </c>
      <c r="AD405" s="50">
        <f t="shared" si="363"/>
        <v>3</v>
      </c>
      <c r="AE405" s="31"/>
      <c r="AF405" s="51">
        <v>14</v>
      </c>
      <c r="AG405" s="51">
        <f t="shared" si="391"/>
        <v>8.4</v>
      </c>
      <c r="AH405" s="51">
        <f t="shared" si="356"/>
        <v>42</v>
      </c>
      <c r="AI405" s="52" t="s">
        <v>2497</v>
      </c>
      <c r="AJ405" s="52" t="s">
        <v>2498</v>
      </c>
      <c r="AK405" s="53">
        <f t="shared" si="392"/>
        <v>0.19874405412399998</v>
      </c>
      <c r="AL405" s="54">
        <f t="shared" si="393"/>
        <v>0.11904761904761904</v>
      </c>
      <c r="AM405" s="54">
        <f t="shared" si="394"/>
        <v>2.3809523809523808E-2</v>
      </c>
      <c r="AN405" s="55">
        <f t="shared" si="395"/>
        <v>7.0980019329999991E-2</v>
      </c>
      <c r="AO405" s="55">
        <f t="shared" si="396"/>
        <v>1.4196003865999996E-2</v>
      </c>
      <c r="AP405" s="53">
        <v>7.1</v>
      </c>
      <c r="AQ405" s="53">
        <f t="shared" si="364"/>
        <v>4.26</v>
      </c>
      <c r="AR405" s="53">
        <f t="shared" si="365"/>
        <v>21.299999999999997</v>
      </c>
      <c r="AS405" s="56">
        <f t="shared" si="366"/>
        <v>4.6948356807511742E-2</v>
      </c>
      <c r="AT405" s="56">
        <f t="shared" si="397"/>
        <v>0.23474178403755869</v>
      </c>
      <c r="AU405" s="56">
        <f t="shared" si="367"/>
        <v>0.176056338028169</v>
      </c>
      <c r="AV405" s="56">
        <f t="shared" si="398"/>
        <v>5.8685446009389672E-2</v>
      </c>
      <c r="AW405" s="57" t="s">
        <v>2511</v>
      </c>
      <c r="AX405" s="57" t="s">
        <v>2512</v>
      </c>
      <c r="AY405" s="57" t="s">
        <v>2513</v>
      </c>
      <c r="AZ405" s="58">
        <f t="shared" si="399"/>
        <v>0.19874405412399998</v>
      </c>
      <c r="BA405" s="59">
        <f t="shared" si="402"/>
        <v>1.7495075186971829E-2</v>
      </c>
      <c r="BB405" s="59">
        <f t="shared" si="403"/>
        <v>5.2485225560915484E-2</v>
      </c>
      <c r="BC405" s="59">
        <f t="shared" si="404"/>
        <v>1.3996060149577464E-2</v>
      </c>
      <c r="BD405" s="60">
        <f t="shared" si="400"/>
        <v>3.3333333333333333E-2</v>
      </c>
      <c r="BE405" s="59">
        <f t="shared" si="401"/>
        <v>0.1</v>
      </c>
      <c r="BQ405" s="61">
        <v>3000</v>
      </c>
      <c r="BR405" s="61">
        <v>1200</v>
      </c>
      <c r="BS405" s="28">
        <f t="shared" si="368"/>
        <v>2980</v>
      </c>
      <c r="BT405" s="28">
        <f t="shared" si="369"/>
        <v>1180</v>
      </c>
      <c r="BU405" s="28" t="s">
        <v>2541</v>
      </c>
      <c r="BV405" s="28">
        <f t="shared" si="370"/>
        <v>928.79799999999989</v>
      </c>
      <c r="BW405" s="28">
        <f t="shared" si="371"/>
        <v>112.569</v>
      </c>
      <c r="BX405" s="13">
        <f t="shared" si="372"/>
        <v>3.208447907941232</v>
      </c>
      <c r="BY405" s="13">
        <f t="shared" si="373"/>
        <v>3</v>
      </c>
      <c r="BZ405" s="13">
        <f t="shared" si="374"/>
        <v>10.48245964697208</v>
      </c>
      <c r="CA405" s="13">
        <f t="shared" si="375"/>
        <v>10</v>
      </c>
      <c r="CB405" s="13">
        <f t="shared" si="376"/>
        <v>30</v>
      </c>
      <c r="CC405" s="62">
        <f t="shared" si="377"/>
        <v>3.3333333333333333E-2</v>
      </c>
      <c r="CD405" s="13">
        <f t="shared" si="378"/>
        <v>26.472652328793895</v>
      </c>
      <c r="CE405" s="13">
        <f t="shared" si="379"/>
        <v>26</v>
      </c>
      <c r="CF405" s="13">
        <f t="shared" si="380"/>
        <v>1.2704592387149845</v>
      </c>
      <c r="CG405" s="13">
        <f t="shared" si="381"/>
        <v>1</v>
      </c>
      <c r="CH405" s="28">
        <f t="shared" si="382"/>
        <v>26</v>
      </c>
      <c r="CI405" s="62">
        <f t="shared" si="383"/>
        <v>3.8461538461538464E-2</v>
      </c>
      <c r="CJ405" s="59">
        <f t="shared" si="384"/>
        <v>3.3333333333333333E-2</v>
      </c>
      <c r="CL405" s="63">
        <v>6000</v>
      </c>
      <c r="CM405" s="63">
        <f t="shared" si="385"/>
        <v>923.79799999999989</v>
      </c>
      <c r="CN405" s="63">
        <f t="shared" si="386"/>
        <v>928.79799999999989</v>
      </c>
      <c r="CO405" s="63">
        <f t="shared" si="387"/>
        <v>6.459962230754158</v>
      </c>
      <c r="CP405" s="13">
        <f t="shared" si="388"/>
        <v>6</v>
      </c>
      <c r="CQ405" s="70">
        <f t="shared" si="389"/>
        <v>0.16666666666666666</v>
      </c>
      <c r="CR405" s="69">
        <f t="shared" si="357"/>
        <v>0.5</v>
      </c>
    </row>
    <row r="406" spans="1:96" hidden="1" x14ac:dyDescent="0.25">
      <c r="A406" s="13">
        <v>4</v>
      </c>
      <c r="B406" s="14" t="s">
        <v>1074</v>
      </c>
      <c r="C406" s="13" t="s">
        <v>1082</v>
      </c>
      <c r="D406" s="13" t="s">
        <v>1084</v>
      </c>
      <c r="E406" s="13" t="s">
        <v>52</v>
      </c>
      <c r="F406" s="15">
        <f t="shared" si="358"/>
        <v>1</v>
      </c>
      <c r="G406" s="13">
        <v>1</v>
      </c>
      <c r="H406" s="13">
        <f t="shared" si="406"/>
        <v>1</v>
      </c>
      <c r="I406" s="13">
        <v>4</v>
      </c>
      <c r="J406" s="14" t="s">
        <v>1083</v>
      </c>
      <c r="K406" s="14" t="s">
        <v>34</v>
      </c>
      <c r="L406" s="13" t="s">
        <v>259</v>
      </c>
      <c r="M406" s="14" t="s">
        <v>35</v>
      </c>
      <c r="N406" s="13" t="s">
        <v>1084</v>
      </c>
      <c r="O406" s="28" t="s">
        <v>41</v>
      </c>
      <c r="P406" s="28" t="s">
        <v>41</v>
      </c>
      <c r="Q406" s="28" t="s">
        <v>1084</v>
      </c>
      <c r="R406" s="30">
        <v>7</v>
      </c>
      <c r="S406" s="30">
        <v>1</v>
      </c>
      <c r="T406" s="30"/>
      <c r="U406" s="30">
        <v>1</v>
      </c>
      <c r="V406" s="8">
        <f t="shared" si="359"/>
        <v>177.79999999999998</v>
      </c>
      <c r="W406" s="8">
        <f t="shared" si="360"/>
        <v>25.4</v>
      </c>
      <c r="X406" s="8">
        <f t="shared" si="361"/>
        <v>0</v>
      </c>
      <c r="Y406" s="33">
        <f t="shared" si="362"/>
        <v>25.4</v>
      </c>
      <c r="Z406" s="28" t="s">
        <v>646</v>
      </c>
      <c r="AA406" s="28" t="s">
        <v>173</v>
      </c>
      <c r="AB406" s="61" t="s">
        <v>1084</v>
      </c>
      <c r="AC406" s="31" t="s">
        <v>1085</v>
      </c>
      <c r="AD406" s="50">
        <f t="shared" si="363"/>
        <v>1</v>
      </c>
      <c r="AE406" s="47" t="s">
        <v>107</v>
      </c>
      <c r="AF406" s="51">
        <v>14</v>
      </c>
      <c r="AG406" s="51">
        <f t="shared" si="391"/>
        <v>8.4</v>
      </c>
      <c r="AH406" s="51">
        <f t="shared" si="356"/>
        <v>42</v>
      </c>
      <c r="AI406" s="52" t="s">
        <v>2497</v>
      </c>
      <c r="AJ406" s="52" t="s">
        <v>2498</v>
      </c>
      <c r="AK406" s="53">
        <f t="shared" si="392"/>
        <v>9.0322399999999987E-3</v>
      </c>
      <c r="AL406" s="54">
        <f t="shared" si="393"/>
        <v>0.11904761904761904</v>
      </c>
      <c r="AM406" s="54">
        <f t="shared" si="394"/>
        <v>2.3809523809523808E-2</v>
      </c>
      <c r="AN406" s="55">
        <f t="shared" si="395"/>
        <v>1.0752666666666664E-3</v>
      </c>
      <c r="AO406" s="55">
        <f t="shared" si="396"/>
        <v>2.1505333333333328E-4</v>
      </c>
      <c r="AP406" s="53">
        <v>7.1</v>
      </c>
      <c r="AQ406" s="53">
        <f t="shared" si="364"/>
        <v>4.26</v>
      </c>
      <c r="AR406" s="53">
        <f t="shared" si="365"/>
        <v>21.299999999999997</v>
      </c>
      <c r="AS406" s="56">
        <f t="shared" si="366"/>
        <v>4.6948356807511742E-2</v>
      </c>
      <c r="AT406" s="56">
        <f t="shared" si="397"/>
        <v>0.23474178403755869</v>
      </c>
      <c r="AU406" s="56">
        <f t="shared" si="367"/>
        <v>0.176056338028169</v>
      </c>
      <c r="AV406" s="56">
        <f t="shared" si="398"/>
        <v>5.8685446009389672E-2</v>
      </c>
      <c r="AW406" s="57" t="s">
        <v>2511</v>
      </c>
      <c r="AX406" s="57" t="s">
        <v>2512</v>
      </c>
      <c r="AY406" s="57" t="s">
        <v>2513</v>
      </c>
      <c r="AZ406" s="58">
        <f t="shared" si="399"/>
        <v>9.0322399999999987E-3</v>
      </c>
      <c r="BA406" s="59">
        <f t="shared" si="402"/>
        <v>2.6503051643192487E-4</v>
      </c>
      <c r="BB406" s="59">
        <f t="shared" si="403"/>
        <v>7.950915492957745E-4</v>
      </c>
      <c r="BC406" s="59">
        <f t="shared" si="404"/>
        <v>2.1202441314553989E-4</v>
      </c>
      <c r="BD406" s="60">
        <f t="shared" si="400"/>
        <v>1.6447368421052631E-3</v>
      </c>
      <c r="BE406" s="59">
        <f t="shared" si="401"/>
        <v>1.6447368421052631E-3</v>
      </c>
      <c r="BQ406" s="61">
        <v>3000</v>
      </c>
      <c r="BR406" s="61">
        <v>1200</v>
      </c>
      <c r="BS406" s="28">
        <f t="shared" si="368"/>
        <v>2980</v>
      </c>
      <c r="BT406" s="28">
        <f t="shared" si="369"/>
        <v>1180</v>
      </c>
      <c r="BU406" s="28" t="s">
        <v>2541</v>
      </c>
      <c r="BV406" s="28">
        <f t="shared" si="370"/>
        <v>182.79999999999998</v>
      </c>
      <c r="BW406" s="28">
        <f t="shared" si="371"/>
        <v>30.4</v>
      </c>
      <c r="BX406" s="13">
        <f t="shared" si="372"/>
        <v>16.301969365426697</v>
      </c>
      <c r="BY406" s="13">
        <f t="shared" si="373"/>
        <v>16</v>
      </c>
      <c r="BZ406" s="13">
        <f t="shared" si="374"/>
        <v>38.815789473684212</v>
      </c>
      <c r="CA406" s="13">
        <f t="shared" si="375"/>
        <v>38</v>
      </c>
      <c r="CB406" s="13">
        <f t="shared" si="376"/>
        <v>608</v>
      </c>
      <c r="CC406" s="62">
        <f t="shared" si="377"/>
        <v>1.6447368421052631E-3</v>
      </c>
      <c r="CD406" s="13">
        <f t="shared" si="378"/>
        <v>98.026315789473685</v>
      </c>
      <c r="CE406" s="13">
        <f t="shared" si="379"/>
        <v>98</v>
      </c>
      <c r="CF406" s="13">
        <f t="shared" si="380"/>
        <v>6.4551422319474838</v>
      </c>
      <c r="CG406" s="13">
        <f t="shared" si="381"/>
        <v>6</v>
      </c>
      <c r="CH406" s="28">
        <f t="shared" si="382"/>
        <v>588</v>
      </c>
      <c r="CI406" s="62">
        <f t="shared" si="383"/>
        <v>1.7006802721088435E-3</v>
      </c>
      <c r="CJ406" s="59">
        <f t="shared" si="384"/>
        <v>1.6447368421052631E-3</v>
      </c>
      <c r="CL406" s="63">
        <v>6000</v>
      </c>
      <c r="CM406" s="63">
        <f t="shared" si="385"/>
        <v>177.79999999999998</v>
      </c>
      <c r="CN406" s="63">
        <f t="shared" si="386"/>
        <v>182.79999999999998</v>
      </c>
      <c r="CO406" s="63">
        <f t="shared" si="387"/>
        <v>32.822757111597376</v>
      </c>
      <c r="CP406" s="13">
        <f t="shared" si="388"/>
        <v>32</v>
      </c>
      <c r="CQ406" s="70">
        <f t="shared" si="389"/>
        <v>3.125E-2</v>
      </c>
      <c r="CR406" s="69">
        <f t="shared" si="357"/>
        <v>3.125E-2</v>
      </c>
    </row>
    <row r="407" spans="1:96" hidden="1" x14ac:dyDescent="0.25">
      <c r="A407" s="13">
        <v>4</v>
      </c>
      <c r="B407" s="14" t="s">
        <v>1074</v>
      </c>
      <c r="C407" s="13" t="s">
        <v>1086</v>
      </c>
      <c r="D407" s="13" t="s">
        <v>1088</v>
      </c>
      <c r="E407" s="13" t="s">
        <v>52</v>
      </c>
      <c r="F407" s="15">
        <f t="shared" si="358"/>
        <v>2</v>
      </c>
      <c r="G407" s="13">
        <v>1</v>
      </c>
      <c r="H407" s="13">
        <f t="shared" si="406"/>
        <v>1</v>
      </c>
      <c r="I407" s="13">
        <v>5</v>
      </c>
      <c r="J407" s="14" t="s">
        <v>1087</v>
      </c>
      <c r="K407" s="14" t="s">
        <v>34</v>
      </c>
      <c r="L407" s="13" t="s">
        <v>259</v>
      </c>
      <c r="M407" s="14" t="s">
        <v>35</v>
      </c>
      <c r="N407" s="13" t="s">
        <v>1088</v>
      </c>
      <c r="O407" s="28" t="s">
        <v>41</v>
      </c>
      <c r="P407" s="28" t="s">
        <v>41</v>
      </c>
      <c r="Q407" s="28" t="s">
        <v>79</v>
      </c>
      <c r="R407" s="30">
        <v>6.9685039370078741</v>
      </c>
      <c r="S407" s="30">
        <v>0.3125</v>
      </c>
      <c r="T407" s="30"/>
      <c r="U407" s="30">
        <v>0.3125</v>
      </c>
      <c r="V407" s="8">
        <f t="shared" si="359"/>
        <v>177</v>
      </c>
      <c r="W407" s="8">
        <f t="shared" si="360"/>
        <v>7.9375</v>
      </c>
      <c r="X407" s="8">
        <f t="shared" si="361"/>
        <v>0</v>
      </c>
      <c r="Y407" s="33">
        <f t="shared" si="362"/>
        <v>7.9375</v>
      </c>
      <c r="Z407" s="28" t="s">
        <v>80</v>
      </c>
      <c r="AA407" s="28" t="s">
        <v>81</v>
      </c>
      <c r="AB407" s="61" t="s">
        <v>79</v>
      </c>
      <c r="AC407" s="31" t="s">
        <v>82</v>
      </c>
      <c r="AD407" s="50">
        <f t="shared" si="363"/>
        <v>1</v>
      </c>
      <c r="AE407" s="31"/>
      <c r="AF407" s="51">
        <v>14</v>
      </c>
      <c r="AG407" s="51">
        <f t="shared" si="391"/>
        <v>8.4</v>
      </c>
      <c r="AH407" s="51">
        <f t="shared" si="356"/>
        <v>42</v>
      </c>
      <c r="AI407" s="52" t="s">
        <v>2497</v>
      </c>
      <c r="AJ407" s="52" t="s">
        <v>2498</v>
      </c>
      <c r="AK407" s="53">
        <f t="shared" si="392"/>
        <v>2.8098749999999999E-3</v>
      </c>
      <c r="AL407" s="54">
        <f t="shared" si="393"/>
        <v>0.11904761904761904</v>
      </c>
      <c r="AM407" s="54">
        <f t="shared" si="394"/>
        <v>2.3809523809523808E-2</v>
      </c>
      <c r="AN407" s="55">
        <f t="shared" si="395"/>
        <v>3.3450892857142853E-4</v>
      </c>
      <c r="AO407" s="55">
        <f t="shared" si="396"/>
        <v>6.6901785714285709E-5</v>
      </c>
      <c r="AP407" s="53">
        <v>7.1</v>
      </c>
      <c r="AQ407" s="53">
        <f t="shared" si="364"/>
        <v>4.26</v>
      </c>
      <c r="AR407" s="53">
        <f t="shared" si="365"/>
        <v>21.299999999999997</v>
      </c>
      <c r="AS407" s="56">
        <f t="shared" si="366"/>
        <v>4.6948356807511742E-2</v>
      </c>
      <c r="AT407" s="56">
        <f t="shared" si="397"/>
        <v>0.23474178403755869</v>
      </c>
      <c r="AU407" s="56">
        <f t="shared" si="367"/>
        <v>0.176056338028169</v>
      </c>
      <c r="AV407" s="56">
        <f t="shared" si="398"/>
        <v>5.8685446009389672E-2</v>
      </c>
      <c r="AW407" s="57" t="s">
        <v>2511</v>
      </c>
      <c r="AX407" s="57" t="s">
        <v>2512</v>
      </c>
      <c r="AY407" s="57" t="s">
        <v>2513</v>
      </c>
      <c r="AZ407" s="58">
        <f t="shared" si="399"/>
        <v>2.8098749999999999E-3</v>
      </c>
      <c r="BA407" s="59">
        <f t="shared" si="402"/>
        <v>8.2449383802816903E-5</v>
      </c>
      <c r="BB407" s="59">
        <f t="shared" si="403"/>
        <v>2.4734815140845065E-4</v>
      </c>
      <c r="BC407" s="59">
        <f t="shared" si="404"/>
        <v>6.5959507042253531E-5</v>
      </c>
      <c r="BD407" s="60">
        <f t="shared" si="400"/>
        <v>6.8681318681318687E-4</v>
      </c>
      <c r="BE407" s="59">
        <f t="shared" si="401"/>
        <v>6.8681318681318687E-4</v>
      </c>
      <c r="BQ407" s="61">
        <v>3000</v>
      </c>
      <c r="BR407" s="61">
        <v>1200</v>
      </c>
      <c r="BS407" s="28">
        <f t="shared" si="368"/>
        <v>2980</v>
      </c>
      <c r="BT407" s="28">
        <f t="shared" si="369"/>
        <v>1180</v>
      </c>
      <c r="BU407" s="28" t="s">
        <v>2541</v>
      </c>
      <c r="BV407" s="28">
        <f t="shared" si="370"/>
        <v>182</v>
      </c>
      <c r="BW407" s="28">
        <f t="shared" si="371"/>
        <v>12.9375</v>
      </c>
      <c r="BX407" s="13">
        <f t="shared" si="372"/>
        <v>16.373626373626372</v>
      </c>
      <c r="BY407" s="13">
        <f t="shared" si="373"/>
        <v>16</v>
      </c>
      <c r="BZ407" s="13">
        <f t="shared" si="374"/>
        <v>91.207729468599027</v>
      </c>
      <c r="CA407" s="13">
        <f t="shared" si="375"/>
        <v>91</v>
      </c>
      <c r="CB407" s="13">
        <f t="shared" si="376"/>
        <v>1456</v>
      </c>
      <c r="CC407" s="62">
        <f t="shared" si="377"/>
        <v>6.8681318681318687E-4</v>
      </c>
      <c r="CD407" s="13">
        <f t="shared" si="378"/>
        <v>230.33816425120773</v>
      </c>
      <c r="CE407" s="13">
        <f t="shared" si="379"/>
        <v>230</v>
      </c>
      <c r="CF407" s="13">
        <f t="shared" si="380"/>
        <v>6.4835164835164836</v>
      </c>
      <c r="CG407" s="13">
        <f t="shared" si="381"/>
        <v>6</v>
      </c>
      <c r="CH407" s="28">
        <f t="shared" si="382"/>
        <v>1380</v>
      </c>
      <c r="CI407" s="62">
        <f t="shared" si="383"/>
        <v>7.246376811594203E-4</v>
      </c>
      <c r="CJ407" s="59">
        <f t="shared" si="384"/>
        <v>6.8681318681318687E-4</v>
      </c>
      <c r="CL407" s="63">
        <v>6000</v>
      </c>
      <c r="CM407" s="63">
        <f t="shared" si="385"/>
        <v>177</v>
      </c>
      <c r="CN407" s="63">
        <f t="shared" si="386"/>
        <v>182</v>
      </c>
      <c r="CO407" s="63">
        <f t="shared" si="387"/>
        <v>32.967032967032964</v>
      </c>
      <c r="CP407" s="13">
        <f t="shared" si="388"/>
        <v>32</v>
      </c>
      <c r="CQ407" s="70">
        <f t="shared" si="389"/>
        <v>3.125E-2</v>
      </c>
      <c r="CR407" s="69">
        <f t="shared" si="357"/>
        <v>3.125E-2</v>
      </c>
    </row>
    <row r="408" spans="1:96" hidden="1" x14ac:dyDescent="0.25">
      <c r="A408" s="13">
        <v>4</v>
      </c>
      <c r="B408" s="14" t="s">
        <v>1074</v>
      </c>
      <c r="C408" s="13" t="s">
        <v>586</v>
      </c>
      <c r="D408" s="13" t="s">
        <v>588</v>
      </c>
      <c r="E408" s="13" t="s">
        <v>52</v>
      </c>
      <c r="F408" s="15">
        <f t="shared" si="358"/>
        <v>4</v>
      </c>
      <c r="G408" s="13">
        <v>1</v>
      </c>
      <c r="H408" s="13">
        <f t="shared" si="406"/>
        <v>1</v>
      </c>
      <c r="I408" s="13">
        <v>6</v>
      </c>
      <c r="J408" s="14" t="s">
        <v>587</v>
      </c>
      <c r="K408" s="14" t="s">
        <v>34</v>
      </c>
      <c r="L408" s="13" t="s">
        <v>89</v>
      </c>
      <c r="M408" s="14" t="s">
        <v>35</v>
      </c>
      <c r="N408" s="13" t="s">
        <v>588</v>
      </c>
      <c r="O408" s="28" t="s">
        <v>41</v>
      </c>
      <c r="P408" s="28" t="s">
        <v>41</v>
      </c>
      <c r="Q408" s="28" t="s">
        <v>79</v>
      </c>
      <c r="R408" s="30">
        <v>3.9763779527559056</v>
      </c>
      <c r="S408" s="30">
        <v>0.3125</v>
      </c>
      <c r="T408" s="30"/>
      <c r="U408" s="30">
        <v>0.3125</v>
      </c>
      <c r="V408" s="8">
        <f t="shared" si="359"/>
        <v>101</v>
      </c>
      <c r="W408" s="8">
        <f t="shared" si="360"/>
        <v>7.9375</v>
      </c>
      <c r="X408" s="8">
        <f t="shared" si="361"/>
        <v>0</v>
      </c>
      <c r="Y408" s="33">
        <f t="shared" si="362"/>
        <v>7.9375</v>
      </c>
      <c r="Z408" s="28" t="s">
        <v>80</v>
      </c>
      <c r="AA408" s="28" t="s">
        <v>81</v>
      </c>
      <c r="AB408" s="61" t="s">
        <v>79</v>
      </c>
      <c r="AC408" s="31" t="s">
        <v>82</v>
      </c>
      <c r="AD408" s="50">
        <f t="shared" si="363"/>
        <v>1</v>
      </c>
      <c r="AE408" s="31"/>
      <c r="AF408" s="51">
        <v>14</v>
      </c>
      <c r="AG408" s="51">
        <f t="shared" si="391"/>
        <v>8.4</v>
      </c>
      <c r="AH408" s="51">
        <f t="shared" si="356"/>
        <v>42</v>
      </c>
      <c r="AI408" s="52" t="s">
        <v>2497</v>
      </c>
      <c r="AJ408" s="52" t="s">
        <v>2498</v>
      </c>
      <c r="AK408" s="53">
        <f t="shared" si="392"/>
        <v>1.603375E-3</v>
      </c>
      <c r="AL408" s="54">
        <f t="shared" si="393"/>
        <v>0.11904761904761904</v>
      </c>
      <c r="AM408" s="54">
        <f t="shared" si="394"/>
        <v>2.3809523809523808E-2</v>
      </c>
      <c r="AN408" s="55">
        <f t="shared" si="395"/>
        <v>1.9087797619047619E-4</v>
      </c>
      <c r="AO408" s="55">
        <f t="shared" si="396"/>
        <v>3.8175595238095236E-5</v>
      </c>
      <c r="AP408" s="53">
        <v>7.1</v>
      </c>
      <c r="AQ408" s="53">
        <f t="shared" si="364"/>
        <v>4.26</v>
      </c>
      <c r="AR408" s="53">
        <f t="shared" si="365"/>
        <v>21.299999999999997</v>
      </c>
      <c r="AS408" s="56">
        <f t="shared" si="366"/>
        <v>4.6948356807511742E-2</v>
      </c>
      <c r="AT408" s="56">
        <f t="shared" si="397"/>
        <v>0.23474178403755869</v>
      </c>
      <c r="AU408" s="56">
        <f t="shared" si="367"/>
        <v>0.176056338028169</v>
      </c>
      <c r="AV408" s="56">
        <f t="shared" si="398"/>
        <v>5.8685446009389672E-2</v>
      </c>
      <c r="AW408" s="57" t="s">
        <v>2511</v>
      </c>
      <c r="AX408" s="57" t="s">
        <v>2512</v>
      </c>
      <c r="AY408" s="57" t="s">
        <v>2513</v>
      </c>
      <c r="AZ408" s="58">
        <f t="shared" si="399"/>
        <v>1.603375E-3</v>
      </c>
      <c r="BA408" s="59">
        <f t="shared" si="402"/>
        <v>4.7047388497652585E-5</v>
      </c>
      <c r="BB408" s="59">
        <f t="shared" si="403"/>
        <v>1.4114216549295774E-4</v>
      </c>
      <c r="BC408" s="59">
        <f t="shared" si="404"/>
        <v>3.7637910798122068E-5</v>
      </c>
      <c r="BD408" s="60">
        <f t="shared" si="400"/>
        <v>3.9246467817896392E-4</v>
      </c>
      <c r="BE408" s="59">
        <f t="shared" si="401"/>
        <v>3.9246467817896392E-4</v>
      </c>
      <c r="BQ408" s="61">
        <v>3000</v>
      </c>
      <c r="BR408" s="61">
        <v>1200</v>
      </c>
      <c r="BS408" s="28">
        <f t="shared" si="368"/>
        <v>2980</v>
      </c>
      <c r="BT408" s="28">
        <f t="shared" si="369"/>
        <v>1180</v>
      </c>
      <c r="BU408" s="28" t="s">
        <v>2541</v>
      </c>
      <c r="BV408" s="28">
        <f t="shared" si="370"/>
        <v>106</v>
      </c>
      <c r="BW408" s="28">
        <f t="shared" si="371"/>
        <v>12.9375</v>
      </c>
      <c r="BX408" s="13">
        <f t="shared" si="372"/>
        <v>28.113207547169811</v>
      </c>
      <c r="BY408" s="13">
        <f t="shared" si="373"/>
        <v>28</v>
      </c>
      <c r="BZ408" s="13">
        <f t="shared" si="374"/>
        <v>91.207729468599027</v>
      </c>
      <c r="CA408" s="13">
        <f t="shared" si="375"/>
        <v>91</v>
      </c>
      <c r="CB408" s="13">
        <f t="shared" si="376"/>
        <v>2548</v>
      </c>
      <c r="CC408" s="62">
        <f t="shared" si="377"/>
        <v>3.9246467817896392E-4</v>
      </c>
      <c r="CD408" s="13">
        <f t="shared" si="378"/>
        <v>230.33816425120773</v>
      </c>
      <c r="CE408" s="13">
        <f t="shared" si="379"/>
        <v>230</v>
      </c>
      <c r="CF408" s="13">
        <f t="shared" si="380"/>
        <v>11.132075471698114</v>
      </c>
      <c r="CG408" s="13">
        <f t="shared" si="381"/>
        <v>11</v>
      </c>
      <c r="CH408" s="28">
        <f t="shared" si="382"/>
        <v>2530</v>
      </c>
      <c r="CI408" s="62">
        <f t="shared" si="383"/>
        <v>3.9525691699604743E-4</v>
      </c>
      <c r="CJ408" s="59">
        <f t="shared" si="384"/>
        <v>3.9246467817896392E-4</v>
      </c>
      <c r="CL408" s="63">
        <v>6000</v>
      </c>
      <c r="CM408" s="63">
        <f t="shared" si="385"/>
        <v>101</v>
      </c>
      <c r="CN408" s="63">
        <f t="shared" si="386"/>
        <v>106</v>
      </c>
      <c r="CO408" s="63">
        <f t="shared" si="387"/>
        <v>56.60377358490566</v>
      </c>
      <c r="CP408" s="13">
        <f t="shared" si="388"/>
        <v>56</v>
      </c>
      <c r="CQ408" s="70">
        <f t="shared" si="389"/>
        <v>1.7857142857142856E-2</v>
      </c>
      <c r="CR408" s="69">
        <f t="shared" si="357"/>
        <v>1.7857142857142856E-2</v>
      </c>
    </row>
    <row r="409" spans="1:96" hidden="1" x14ac:dyDescent="0.25">
      <c r="A409" s="13">
        <v>4</v>
      </c>
      <c r="B409" s="14" t="s">
        <v>1074</v>
      </c>
      <c r="C409" s="13" t="s">
        <v>105</v>
      </c>
      <c r="D409" s="13" t="s">
        <v>106</v>
      </c>
      <c r="E409" s="13" t="s">
        <v>52</v>
      </c>
      <c r="F409" s="15">
        <f t="shared" si="358"/>
        <v>9</v>
      </c>
      <c r="G409" s="13">
        <v>1</v>
      </c>
      <c r="H409" s="13">
        <f t="shared" si="406"/>
        <v>1</v>
      </c>
      <c r="I409" s="13">
        <v>7</v>
      </c>
      <c r="J409" s="14" t="s">
        <v>76</v>
      </c>
      <c r="K409" s="14" t="s">
        <v>34</v>
      </c>
      <c r="L409" s="13" t="s">
        <v>77</v>
      </c>
      <c r="M409" s="14" t="s">
        <v>35</v>
      </c>
      <c r="N409" s="13" t="s">
        <v>106</v>
      </c>
      <c r="O409" s="28" t="s">
        <v>41</v>
      </c>
      <c r="P409" s="28" t="s">
        <v>41</v>
      </c>
      <c r="Q409" s="28" t="s">
        <v>79</v>
      </c>
      <c r="R409" s="30">
        <v>11.023622047244094</v>
      </c>
      <c r="S409" s="30">
        <v>0.3125</v>
      </c>
      <c r="T409" s="30"/>
      <c r="U409" s="30">
        <v>0.3125</v>
      </c>
      <c r="V409" s="8">
        <f t="shared" si="359"/>
        <v>280</v>
      </c>
      <c r="W409" s="8">
        <f t="shared" si="360"/>
        <v>7.9375</v>
      </c>
      <c r="X409" s="8">
        <f t="shared" si="361"/>
        <v>0</v>
      </c>
      <c r="Y409" s="33">
        <f t="shared" si="362"/>
        <v>7.9375</v>
      </c>
      <c r="Z409" s="28" t="s">
        <v>80</v>
      </c>
      <c r="AA409" s="28" t="s">
        <v>81</v>
      </c>
      <c r="AB409" s="61" t="s">
        <v>79</v>
      </c>
      <c r="AC409" s="31" t="s">
        <v>82</v>
      </c>
      <c r="AD409" s="50">
        <f t="shared" si="363"/>
        <v>1</v>
      </c>
      <c r="AE409" s="47" t="s">
        <v>107</v>
      </c>
      <c r="AF409" s="51">
        <v>14</v>
      </c>
      <c r="AG409" s="51">
        <f t="shared" si="391"/>
        <v>8.4</v>
      </c>
      <c r="AH409" s="51">
        <f t="shared" si="356"/>
        <v>42</v>
      </c>
      <c r="AI409" s="52" t="s">
        <v>2497</v>
      </c>
      <c r="AJ409" s="52" t="s">
        <v>2498</v>
      </c>
      <c r="AK409" s="53">
        <f t="shared" si="392"/>
        <v>4.4450000000000002E-3</v>
      </c>
      <c r="AL409" s="54">
        <f t="shared" si="393"/>
        <v>0.11904761904761904</v>
      </c>
      <c r="AM409" s="54">
        <f t="shared" si="394"/>
        <v>2.3809523809523808E-2</v>
      </c>
      <c r="AN409" s="55">
        <f t="shared" si="395"/>
        <v>5.2916666666666661E-4</v>
      </c>
      <c r="AO409" s="55">
        <f t="shared" si="396"/>
        <v>1.0583333333333334E-4</v>
      </c>
      <c r="AP409" s="53">
        <v>7.1</v>
      </c>
      <c r="AQ409" s="53">
        <f t="shared" si="364"/>
        <v>4.26</v>
      </c>
      <c r="AR409" s="53">
        <f t="shared" si="365"/>
        <v>21.299999999999997</v>
      </c>
      <c r="AS409" s="56">
        <f t="shared" si="366"/>
        <v>4.6948356807511742E-2</v>
      </c>
      <c r="AT409" s="56">
        <f t="shared" si="397"/>
        <v>0.23474178403755869</v>
      </c>
      <c r="AU409" s="56">
        <f t="shared" si="367"/>
        <v>0.176056338028169</v>
      </c>
      <c r="AV409" s="56">
        <f t="shared" si="398"/>
        <v>5.8685446009389672E-2</v>
      </c>
      <c r="AW409" s="57" t="s">
        <v>2511</v>
      </c>
      <c r="AX409" s="57" t="s">
        <v>2512</v>
      </c>
      <c r="AY409" s="57" t="s">
        <v>2513</v>
      </c>
      <c r="AZ409" s="58">
        <f t="shared" si="399"/>
        <v>4.4450000000000002E-3</v>
      </c>
      <c r="BA409" s="59">
        <f t="shared" si="402"/>
        <v>1.3042840375586856E-4</v>
      </c>
      <c r="BB409" s="59">
        <f t="shared" si="403"/>
        <v>3.9128521126760563E-4</v>
      </c>
      <c r="BC409" s="59">
        <f t="shared" si="404"/>
        <v>1.0434272300469485E-4</v>
      </c>
      <c r="BD409" s="60">
        <f t="shared" si="400"/>
        <v>1.0869565217391304E-3</v>
      </c>
      <c r="BE409" s="59">
        <f t="shared" si="401"/>
        <v>1.0869565217391304E-3</v>
      </c>
      <c r="BQ409" s="61">
        <v>3000</v>
      </c>
      <c r="BR409" s="61">
        <v>1200</v>
      </c>
      <c r="BS409" s="28">
        <f t="shared" si="368"/>
        <v>2980</v>
      </c>
      <c r="BT409" s="28">
        <f t="shared" si="369"/>
        <v>1180</v>
      </c>
      <c r="BU409" s="28" t="s">
        <v>2541</v>
      </c>
      <c r="BV409" s="28">
        <f t="shared" si="370"/>
        <v>285</v>
      </c>
      <c r="BW409" s="28">
        <f t="shared" si="371"/>
        <v>12.9375</v>
      </c>
      <c r="BX409" s="13">
        <f t="shared" si="372"/>
        <v>10.456140350877194</v>
      </c>
      <c r="BY409" s="13">
        <f t="shared" si="373"/>
        <v>10</v>
      </c>
      <c r="BZ409" s="13">
        <f t="shared" si="374"/>
        <v>91.207729468599027</v>
      </c>
      <c r="CA409" s="13">
        <f t="shared" si="375"/>
        <v>91</v>
      </c>
      <c r="CB409" s="13">
        <f t="shared" si="376"/>
        <v>910</v>
      </c>
      <c r="CC409" s="62">
        <f t="shared" si="377"/>
        <v>1.0989010989010989E-3</v>
      </c>
      <c r="CD409" s="13">
        <f t="shared" si="378"/>
        <v>230.33816425120773</v>
      </c>
      <c r="CE409" s="13">
        <f t="shared" si="379"/>
        <v>230</v>
      </c>
      <c r="CF409" s="13">
        <f t="shared" si="380"/>
        <v>4.1403508771929829</v>
      </c>
      <c r="CG409" s="13">
        <f t="shared" si="381"/>
        <v>4</v>
      </c>
      <c r="CH409" s="28">
        <f t="shared" si="382"/>
        <v>920</v>
      </c>
      <c r="CI409" s="62">
        <f t="shared" si="383"/>
        <v>1.0869565217391304E-3</v>
      </c>
      <c r="CJ409" s="59">
        <f t="shared" si="384"/>
        <v>1.0869565217391304E-3</v>
      </c>
      <c r="CL409" s="63">
        <v>6000</v>
      </c>
      <c r="CM409" s="63">
        <f t="shared" si="385"/>
        <v>280</v>
      </c>
      <c r="CN409" s="63">
        <f t="shared" si="386"/>
        <v>285</v>
      </c>
      <c r="CO409" s="63">
        <f t="shared" si="387"/>
        <v>21.05263157894737</v>
      </c>
      <c r="CP409" s="13">
        <f t="shared" si="388"/>
        <v>21</v>
      </c>
      <c r="CQ409" s="70">
        <f t="shared" si="389"/>
        <v>4.7619047619047616E-2</v>
      </c>
      <c r="CR409" s="69">
        <f t="shared" si="357"/>
        <v>4.7619047619047616E-2</v>
      </c>
    </row>
    <row r="410" spans="1:96" hidden="1" x14ac:dyDescent="0.25">
      <c r="A410" s="13">
        <v>4</v>
      </c>
      <c r="B410" s="14" t="s">
        <v>1074</v>
      </c>
      <c r="C410" s="13" t="s">
        <v>1089</v>
      </c>
      <c r="D410" s="13" t="s">
        <v>2270</v>
      </c>
      <c r="E410" s="13" t="s">
        <v>52</v>
      </c>
      <c r="F410" s="15">
        <f t="shared" si="358"/>
        <v>1</v>
      </c>
      <c r="G410" s="13">
        <v>1</v>
      </c>
      <c r="H410" s="13">
        <f t="shared" si="406"/>
        <v>1</v>
      </c>
      <c r="I410" s="13">
        <v>8</v>
      </c>
      <c r="J410" s="14" t="s">
        <v>122</v>
      </c>
      <c r="K410" s="14" t="s">
        <v>34</v>
      </c>
      <c r="L410" s="13">
        <v>0</v>
      </c>
      <c r="M410" s="14" t="s">
        <v>35</v>
      </c>
      <c r="N410" s="13" t="s">
        <v>1090</v>
      </c>
      <c r="O410" s="28" t="s">
        <v>41</v>
      </c>
      <c r="P410" s="28" t="s">
        <v>41</v>
      </c>
      <c r="Q410" s="28" t="s">
        <v>124</v>
      </c>
      <c r="R410" s="30">
        <v>10.37</v>
      </c>
      <c r="S410" s="30">
        <v>3.5049999999999999</v>
      </c>
      <c r="T410" s="30"/>
      <c r="U410" s="30">
        <v>9.8000000000000004E-2</v>
      </c>
      <c r="V410" s="8">
        <f t="shared" si="359"/>
        <v>263.39799999999997</v>
      </c>
      <c r="W410" s="8">
        <f t="shared" si="360"/>
        <v>89.026999999999987</v>
      </c>
      <c r="X410" s="8">
        <f t="shared" si="361"/>
        <v>0</v>
      </c>
      <c r="Y410" s="33">
        <f t="shared" si="362"/>
        <v>2.4891999999999999</v>
      </c>
      <c r="Z410" s="28" t="s">
        <v>56</v>
      </c>
      <c r="AA410" s="28" t="s">
        <v>57</v>
      </c>
      <c r="AB410" s="61" t="s">
        <v>124</v>
      </c>
      <c r="AC410" s="31" t="s">
        <v>125</v>
      </c>
      <c r="AD410" s="50">
        <f t="shared" si="363"/>
        <v>1</v>
      </c>
      <c r="AE410" s="31"/>
      <c r="AF410" s="51">
        <v>14</v>
      </c>
      <c r="AG410" s="51">
        <f t="shared" si="391"/>
        <v>8.4</v>
      </c>
      <c r="AH410" s="51">
        <f t="shared" si="356"/>
        <v>42</v>
      </c>
      <c r="AI410" s="52" t="s">
        <v>2497</v>
      </c>
      <c r="AJ410" s="52" t="s">
        <v>2498</v>
      </c>
      <c r="AK410" s="53">
        <f t="shared" si="392"/>
        <v>4.6899067491999985E-2</v>
      </c>
      <c r="AL410" s="54">
        <f t="shared" si="393"/>
        <v>0.11904761904761904</v>
      </c>
      <c r="AM410" s="54">
        <f t="shared" si="394"/>
        <v>2.3809523809523808E-2</v>
      </c>
      <c r="AN410" s="55">
        <f t="shared" si="395"/>
        <v>5.5832223204761887E-3</v>
      </c>
      <c r="AO410" s="55">
        <f t="shared" si="396"/>
        <v>1.1166444640952377E-3</v>
      </c>
      <c r="AP410" s="53">
        <v>7.1</v>
      </c>
      <c r="AQ410" s="53">
        <f t="shared" si="364"/>
        <v>4.26</v>
      </c>
      <c r="AR410" s="53">
        <f t="shared" si="365"/>
        <v>21.299999999999997</v>
      </c>
      <c r="AS410" s="56">
        <f t="shared" si="366"/>
        <v>4.6948356807511742E-2</v>
      </c>
      <c r="AT410" s="56">
        <f t="shared" si="397"/>
        <v>0.23474178403755869</v>
      </c>
      <c r="AU410" s="56">
        <f t="shared" si="367"/>
        <v>0.176056338028169</v>
      </c>
      <c r="AV410" s="56">
        <f t="shared" si="398"/>
        <v>5.8685446009389672E-2</v>
      </c>
      <c r="AW410" s="57" t="s">
        <v>2511</v>
      </c>
      <c r="AX410" s="57" t="s">
        <v>2512</v>
      </c>
      <c r="AY410" s="57" t="s">
        <v>2513</v>
      </c>
      <c r="AZ410" s="58">
        <f t="shared" si="399"/>
        <v>4.6899067491999985E-2</v>
      </c>
      <c r="BA410" s="59">
        <f t="shared" si="402"/>
        <v>1.3761463465962436E-3</v>
      </c>
      <c r="BB410" s="59">
        <f t="shared" si="403"/>
        <v>4.1284390397887307E-3</v>
      </c>
      <c r="BC410" s="59">
        <f t="shared" si="404"/>
        <v>1.100917077276995E-3</v>
      </c>
      <c r="BD410" s="60">
        <f t="shared" si="400"/>
        <v>7.575757575757576E-3</v>
      </c>
      <c r="BE410" s="59">
        <f t="shared" si="401"/>
        <v>7.575757575757576E-3</v>
      </c>
      <c r="BQ410" s="61">
        <v>3000</v>
      </c>
      <c r="BR410" s="61">
        <v>1200</v>
      </c>
      <c r="BS410" s="28">
        <f t="shared" si="368"/>
        <v>2980</v>
      </c>
      <c r="BT410" s="28">
        <f t="shared" si="369"/>
        <v>1180</v>
      </c>
      <c r="BU410" s="28" t="s">
        <v>2541</v>
      </c>
      <c r="BV410" s="28">
        <f t="shared" si="370"/>
        <v>268.39799999999997</v>
      </c>
      <c r="BW410" s="28">
        <f t="shared" si="371"/>
        <v>94.026999999999987</v>
      </c>
      <c r="BX410" s="13">
        <f t="shared" si="372"/>
        <v>11.102914328720782</v>
      </c>
      <c r="BY410" s="13">
        <f t="shared" si="373"/>
        <v>11</v>
      </c>
      <c r="BZ410" s="13">
        <f t="shared" si="374"/>
        <v>12.549586820806791</v>
      </c>
      <c r="CA410" s="13">
        <f t="shared" si="375"/>
        <v>12</v>
      </c>
      <c r="CB410" s="13">
        <f t="shared" si="376"/>
        <v>132</v>
      </c>
      <c r="CC410" s="62">
        <f t="shared" si="377"/>
        <v>7.575757575757576E-3</v>
      </c>
      <c r="CD410" s="13">
        <f t="shared" si="378"/>
        <v>31.693024344071389</v>
      </c>
      <c r="CE410" s="13">
        <f t="shared" si="379"/>
        <v>31</v>
      </c>
      <c r="CF410" s="13">
        <f t="shared" si="380"/>
        <v>4.3964560093592358</v>
      </c>
      <c r="CG410" s="13">
        <f t="shared" si="381"/>
        <v>4</v>
      </c>
      <c r="CH410" s="28">
        <f t="shared" si="382"/>
        <v>124</v>
      </c>
      <c r="CI410" s="62">
        <f t="shared" si="383"/>
        <v>8.0645161290322578E-3</v>
      </c>
      <c r="CJ410" s="59">
        <f t="shared" si="384"/>
        <v>7.575757575757576E-3</v>
      </c>
      <c r="CL410" s="63">
        <v>6000</v>
      </c>
      <c r="CM410" s="63">
        <f t="shared" si="385"/>
        <v>263.39799999999997</v>
      </c>
      <c r="CN410" s="63">
        <f t="shared" si="386"/>
        <v>268.39799999999997</v>
      </c>
      <c r="CO410" s="63">
        <f t="shared" si="387"/>
        <v>22.354861064538486</v>
      </c>
      <c r="CP410" s="13">
        <f t="shared" si="388"/>
        <v>22</v>
      </c>
      <c r="CQ410" s="70">
        <f t="shared" si="389"/>
        <v>4.5454545454545456E-2</v>
      </c>
      <c r="CR410" s="69">
        <f t="shared" si="357"/>
        <v>4.5454545454545456E-2</v>
      </c>
    </row>
    <row r="411" spans="1:96" hidden="1" x14ac:dyDescent="0.25">
      <c r="A411" s="13">
        <v>4</v>
      </c>
      <c r="B411" s="14" t="s">
        <v>1074</v>
      </c>
      <c r="C411" s="13" t="s">
        <v>94</v>
      </c>
      <c r="D411" s="13" t="s">
        <v>95</v>
      </c>
      <c r="E411" s="13" t="s">
        <v>52</v>
      </c>
      <c r="F411" s="15">
        <f t="shared" si="358"/>
        <v>13</v>
      </c>
      <c r="G411" s="13">
        <v>2</v>
      </c>
      <c r="H411" s="13">
        <f t="shared" si="406"/>
        <v>2</v>
      </c>
      <c r="I411" s="13">
        <v>10</v>
      </c>
      <c r="J411" s="14" t="s">
        <v>76</v>
      </c>
      <c r="K411" s="14" t="s">
        <v>34</v>
      </c>
      <c r="L411" s="13" t="s">
        <v>77</v>
      </c>
      <c r="M411" s="14" t="s">
        <v>35</v>
      </c>
      <c r="N411" s="13" t="s">
        <v>95</v>
      </c>
      <c r="O411" s="28" t="s">
        <v>41</v>
      </c>
      <c r="P411" s="28" t="s">
        <v>41</v>
      </c>
      <c r="Q411" s="28" t="s">
        <v>79</v>
      </c>
      <c r="R411" s="30">
        <v>7.0078740157480315</v>
      </c>
      <c r="S411" s="30">
        <v>0.3125</v>
      </c>
      <c r="T411" s="30"/>
      <c r="U411" s="30">
        <v>0.3125</v>
      </c>
      <c r="V411" s="8">
        <f t="shared" si="359"/>
        <v>178</v>
      </c>
      <c r="W411" s="8">
        <f t="shared" si="360"/>
        <v>7.9375</v>
      </c>
      <c r="X411" s="8">
        <f t="shared" si="361"/>
        <v>0</v>
      </c>
      <c r="Y411" s="33">
        <f t="shared" si="362"/>
        <v>7.9375</v>
      </c>
      <c r="Z411" s="28" t="s">
        <v>80</v>
      </c>
      <c r="AA411" s="28" t="s">
        <v>81</v>
      </c>
      <c r="AB411" s="61" t="s">
        <v>79</v>
      </c>
      <c r="AC411" s="31" t="s">
        <v>82</v>
      </c>
      <c r="AD411" s="50">
        <f t="shared" si="363"/>
        <v>2</v>
      </c>
      <c r="AE411" s="31"/>
      <c r="AF411" s="51">
        <v>14</v>
      </c>
      <c r="AG411" s="51">
        <f t="shared" si="391"/>
        <v>8.4</v>
      </c>
      <c r="AH411" s="51">
        <f t="shared" si="356"/>
        <v>42</v>
      </c>
      <c r="AI411" s="52" t="s">
        <v>2497</v>
      </c>
      <c r="AJ411" s="52" t="s">
        <v>2498</v>
      </c>
      <c r="AK411" s="53">
        <f t="shared" si="392"/>
        <v>2.8257500000000001E-3</v>
      </c>
      <c r="AL411" s="54">
        <f t="shared" si="393"/>
        <v>0.11904761904761904</v>
      </c>
      <c r="AM411" s="54">
        <f t="shared" si="394"/>
        <v>2.3809523809523808E-2</v>
      </c>
      <c r="AN411" s="55">
        <f t="shared" si="395"/>
        <v>6.7279761904761909E-4</v>
      </c>
      <c r="AO411" s="55">
        <f t="shared" si="396"/>
        <v>1.345595238095238E-4</v>
      </c>
      <c r="AP411" s="53">
        <v>7.1</v>
      </c>
      <c r="AQ411" s="53">
        <f t="shared" si="364"/>
        <v>4.26</v>
      </c>
      <c r="AR411" s="53">
        <f t="shared" si="365"/>
        <v>21.299999999999997</v>
      </c>
      <c r="AS411" s="56">
        <f t="shared" si="366"/>
        <v>4.6948356807511742E-2</v>
      </c>
      <c r="AT411" s="56">
        <f t="shared" si="397"/>
        <v>0.23474178403755869</v>
      </c>
      <c r="AU411" s="56">
        <f t="shared" si="367"/>
        <v>0.176056338028169</v>
      </c>
      <c r="AV411" s="56">
        <f t="shared" si="398"/>
        <v>5.8685446009389672E-2</v>
      </c>
      <c r="AW411" s="57" t="s">
        <v>2511</v>
      </c>
      <c r="AX411" s="57" t="s">
        <v>2512</v>
      </c>
      <c r="AY411" s="57" t="s">
        <v>2513</v>
      </c>
      <c r="AZ411" s="58">
        <f t="shared" si="399"/>
        <v>2.8257500000000001E-3</v>
      </c>
      <c r="BA411" s="59">
        <f t="shared" si="402"/>
        <v>1.6583039906103287E-4</v>
      </c>
      <c r="BB411" s="59">
        <f t="shared" si="403"/>
        <v>4.974911971830986E-4</v>
      </c>
      <c r="BC411" s="59">
        <f t="shared" si="404"/>
        <v>1.326643192488263E-4</v>
      </c>
      <c r="BD411" s="60">
        <f t="shared" si="400"/>
        <v>6.8681318681318687E-4</v>
      </c>
      <c r="BE411" s="59">
        <f t="shared" si="401"/>
        <v>1.3736263736263737E-3</v>
      </c>
      <c r="BQ411" s="61">
        <v>3000</v>
      </c>
      <c r="BR411" s="61">
        <v>1200</v>
      </c>
      <c r="BS411" s="28">
        <f t="shared" si="368"/>
        <v>2980</v>
      </c>
      <c r="BT411" s="28">
        <f t="shared" si="369"/>
        <v>1180</v>
      </c>
      <c r="BU411" s="28" t="s">
        <v>2541</v>
      </c>
      <c r="BV411" s="28">
        <f t="shared" si="370"/>
        <v>183</v>
      </c>
      <c r="BW411" s="28">
        <f t="shared" si="371"/>
        <v>12.9375</v>
      </c>
      <c r="BX411" s="13">
        <f t="shared" si="372"/>
        <v>16.284153005464482</v>
      </c>
      <c r="BY411" s="13">
        <f t="shared" si="373"/>
        <v>16</v>
      </c>
      <c r="BZ411" s="13">
        <f t="shared" si="374"/>
        <v>91.207729468599027</v>
      </c>
      <c r="CA411" s="13">
        <f t="shared" si="375"/>
        <v>91</v>
      </c>
      <c r="CB411" s="13">
        <f t="shared" si="376"/>
        <v>1456</v>
      </c>
      <c r="CC411" s="62">
        <f t="shared" si="377"/>
        <v>6.8681318681318687E-4</v>
      </c>
      <c r="CD411" s="13">
        <f t="shared" si="378"/>
        <v>230.33816425120773</v>
      </c>
      <c r="CE411" s="13">
        <f t="shared" si="379"/>
        <v>230</v>
      </c>
      <c r="CF411" s="13">
        <f t="shared" si="380"/>
        <v>6.4480874316939891</v>
      </c>
      <c r="CG411" s="13">
        <f t="shared" si="381"/>
        <v>6</v>
      </c>
      <c r="CH411" s="28">
        <f t="shared" si="382"/>
        <v>1380</v>
      </c>
      <c r="CI411" s="62">
        <f t="shared" si="383"/>
        <v>7.246376811594203E-4</v>
      </c>
      <c r="CJ411" s="59">
        <f t="shared" si="384"/>
        <v>6.8681318681318687E-4</v>
      </c>
      <c r="CL411" s="63">
        <v>6000</v>
      </c>
      <c r="CM411" s="63">
        <f t="shared" si="385"/>
        <v>178</v>
      </c>
      <c r="CN411" s="63">
        <f t="shared" si="386"/>
        <v>183</v>
      </c>
      <c r="CO411" s="63">
        <f t="shared" si="387"/>
        <v>32.786885245901637</v>
      </c>
      <c r="CP411" s="13">
        <f t="shared" si="388"/>
        <v>32</v>
      </c>
      <c r="CQ411" s="70">
        <f t="shared" si="389"/>
        <v>3.125E-2</v>
      </c>
      <c r="CR411" s="69">
        <f t="shared" si="357"/>
        <v>6.25E-2</v>
      </c>
    </row>
    <row r="412" spans="1:96" hidden="1" x14ac:dyDescent="0.25">
      <c r="A412" s="13">
        <v>4</v>
      </c>
      <c r="B412" s="14" t="s">
        <v>1074</v>
      </c>
      <c r="C412" s="13" t="s">
        <v>87</v>
      </c>
      <c r="D412" s="13" t="s">
        <v>90</v>
      </c>
      <c r="E412" s="13" t="s">
        <v>52</v>
      </c>
      <c r="F412" s="15">
        <f t="shared" si="358"/>
        <v>7</v>
      </c>
      <c r="G412" s="13">
        <v>1</v>
      </c>
      <c r="H412" s="13">
        <f t="shared" si="406"/>
        <v>1</v>
      </c>
      <c r="I412" s="13">
        <v>11</v>
      </c>
      <c r="J412" s="14" t="s">
        <v>88</v>
      </c>
      <c r="K412" s="14" t="s">
        <v>34</v>
      </c>
      <c r="L412" s="13" t="s">
        <v>89</v>
      </c>
      <c r="M412" s="14" t="s">
        <v>35</v>
      </c>
      <c r="N412" s="13" t="s">
        <v>90</v>
      </c>
      <c r="O412" s="28" t="s">
        <v>41</v>
      </c>
      <c r="P412" s="28" t="s">
        <v>41</v>
      </c>
      <c r="Q412" s="28" t="s">
        <v>79</v>
      </c>
      <c r="R412" s="30">
        <v>14.05511811023622</v>
      </c>
      <c r="S412" s="30">
        <v>0.3125</v>
      </c>
      <c r="T412" s="30"/>
      <c r="U412" s="30">
        <v>0.3125</v>
      </c>
      <c r="V412" s="8">
        <f t="shared" si="359"/>
        <v>357</v>
      </c>
      <c r="W412" s="8">
        <f t="shared" si="360"/>
        <v>7.9375</v>
      </c>
      <c r="X412" s="8">
        <f t="shared" si="361"/>
        <v>0</v>
      </c>
      <c r="Y412" s="33">
        <f t="shared" si="362"/>
        <v>7.9375</v>
      </c>
      <c r="Z412" s="28" t="s">
        <v>80</v>
      </c>
      <c r="AA412" s="28" t="s">
        <v>81</v>
      </c>
      <c r="AB412" s="61" t="s">
        <v>79</v>
      </c>
      <c r="AC412" s="31" t="s">
        <v>82</v>
      </c>
      <c r="AD412" s="50">
        <f t="shared" si="363"/>
        <v>1</v>
      </c>
      <c r="AE412" s="31"/>
      <c r="AF412" s="51">
        <v>14</v>
      </c>
      <c r="AG412" s="51">
        <f t="shared" si="391"/>
        <v>8.4</v>
      </c>
      <c r="AH412" s="51">
        <f t="shared" si="356"/>
        <v>42</v>
      </c>
      <c r="AI412" s="52" t="s">
        <v>2497</v>
      </c>
      <c r="AJ412" s="52" t="s">
        <v>2498</v>
      </c>
      <c r="AK412" s="53">
        <f t="shared" si="392"/>
        <v>5.6673749999999997E-3</v>
      </c>
      <c r="AL412" s="54">
        <f t="shared" si="393"/>
        <v>0.11904761904761904</v>
      </c>
      <c r="AM412" s="54">
        <f t="shared" si="394"/>
        <v>2.3809523809523808E-2</v>
      </c>
      <c r="AN412" s="55">
        <f t="shared" si="395"/>
        <v>6.7468749999999994E-4</v>
      </c>
      <c r="AO412" s="55">
        <f t="shared" si="396"/>
        <v>1.3493749999999999E-4</v>
      </c>
      <c r="AP412" s="53">
        <v>7.1</v>
      </c>
      <c r="AQ412" s="53">
        <f t="shared" si="364"/>
        <v>4.26</v>
      </c>
      <c r="AR412" s="53">
        <f t="shared" si="365"/>
        <v>21.299999999999997</v>
      </c>
      <c r="AS412" s="56">
        <f t="shared" si="366"/>
        <v>4.6948356807511742E-2</v>
      </c>
      <c r="AT412" s="56">
        <f t="shared" si="397"/>
        <v>0.23474178403755869</v>
      </c>
      <c r="AU412" s="56">
        <f t="shared" si="367"/>
        <v>0.176056338028169</v>
      </c>
      <c r="AV412" s="56">
        <f t="shared" si="398"/>
        <v>5.8685446009389672E-2</v>
      </c>
      <c r="AW412" s="57" t="s">
        <v>2511</v>
      </c>
      <c r="AX412" s="57" t="s">
        <v>2512</v>
      </c>
      <c r="AY412" s="57" t="s">
        <v>2513</v>
      </c>
      <c r="AZ412" s="58">
        <f t="shared" si="399"/>
        <v>5.6673749999999997E-3</v>
      </c>
      <c r="BA412" s="59">
        <f t="shared" si="402"/>
        <v>1.6629621478873239E-4</v>
      </c>
      <c r="BB412" s="59">
        <f t="shared" si="403"/>
        <v>4.9888864436619708E-4</v>
      </c>
      <c r="BC412" s="59">
        <f t="shared" si="404"/>
        <v>1.3303697183098592E-4</v>
      </c>
      <c r="BD412" s="60">
        <f t="shared" si="400"/>
        <v>1.3736263736263737E-3</v>
      </c>
      <c r="BE412" s="59">
        <f t="shared" si="401"/>
        <v>1.3736263736263737E-3</v>
      </c>
      <c r="BQ412" s="61">
        <v>3000</v>
      </c>
      <c r="BR412" s="61">
        <v>1200</v>
      </c>
      <c r="BS412" s="28">
        <f t="shared" si="368"/>
        <v>2980</v>
      </c>
      <c r="BT412" s="28">
        <f t="shared" si="369"/>
        <v>1180</v>
      </c>
      <c r="BU412" s="28" t="s">
        <v>2541</v>
      </c>
      <c r="BV412" s="28">
        <f t="shared" si="370"/>
        <v>362</v>
      </c>
      <c r="BW412" s="28">
        <f t="shared" si="371"/>
        <v>12.9375</v>
      </c>
      <c r="BX412" s="13">
        <f t="shared" si="372"/>
        <v>8.2320441988950268</v>
      </c>
      <c r="BY412" s="13">
        <f t="shared" si="373"/>
        <v>8</v>
      </c>
      <c r="BZ412" s="13">
        <f t="shared" si="374"/>
        <v>91.207729468599027</v>
      </c>
      <c r="CA412" s="13">
        <f t="shared" si="375"/>
        <v>91</v>
      </c>
      <c r="CB412" s="13">
        <f t="shared" si="376"/>
        <v>728</v>
      </c>
      <c r="CC412" s="62">
        <f t="shared" si="377"/>
        <v>1.3736263736263737E-3</v>
      </c>
      <c r="CD412" s="13">
        <f t="shared" si="378"/>
        <v>230.33816425120773</v>
      </c>
      <c r="CE412" s="13">
        <f t="shared" si="379"/>
        <v>230</v>
      </c>
      <c r="CF412" s="13">
        <f t="shared" si="380"/>
        <v>3.2596685082872927</v>
      </c>
      <c r="CG412" s="13">
        <f t="shared" si="381"/>
        <v>3</v>
      </c>
      <c r="CH412" s="28">
        <f t="shared" si="382"/>
        <v>690</v>
      </c>
      <c r="CI412" s="62">
        <f t="shared" si="383"/>
        <v>1.4492753623188406E-3</v>
      </c>
      <c r="CJ412" s="59">
        <f t="shared" si="384"/>
        <v>1.3736263736263737E-3</v>
      </c>
      <c r="CL412" s="63">
        <v>6000</v>
      </c>
      <c r="CM412" s="63">
        <f t="shared" si="385"/>
        <v>357</v>
      </c>
      <c r="CN412" s="63">
        <f t="shared" si="386"/>
        <v>362</v>
      </c>
      <c r="CO412" s="63">
        <f t="shared" si="387"/>
        <v>16.574585635359117</v>
      </c>
      <c r="CP412" s="13">
        <f t="shared" si="388"/>
        <v>16</v>
      </c>
      <c r="CQ412" s="70">
        <f t="shared" si="389"/>
        <v>6.25E-2</v>
      </c>
      <c r="CR412" s="69">
        <f t="shared" si="357"/>
        <v>6.25E-2</v>
      </c>
    </row>
    <row r="413" spans="1:96" hidden="1" x14ac:dyDescent="0.25">
      <c r="A413" s="13">
        <v>4</v>
      </c>
      <c r="B413" s="14" t="s">
        <v>1074</v>
      </c>
      <c r="C413" s="13" t="s">
        <v>1091</v>
      </c>
      <c r="D413" s="13" t="s">
        <v>2270</v>
      </c>
      <c r="E413" s="13" t="s">
        <v>52</v>
      </c>
      <c r="F413" s="15">
        <f t="shared" si="358"/>
        <v>2</v>
      </c>
      <c r="G413" s="13">
        <v>1</v>
      </c>
      <c r="H413" s="13">
        <f t="shared" si="406"/>
        <v>1</v>
      </c>
      <c r="I413" s="13">
        <v>12</v>
      </c>
      <c r="J413" s="14" t="s">
        <v>122</v>
      </c>
      <c r="K413" s="14" t="s">
        <v>34</v>
      </c>
      <c r="L413" s="13">
        <v>0</v>
      </c>
      <c r="M413" s="14" t="s">
        <v>35</v>
      </c>
      <c r="N413" s="13" t="s">
        <v>1092</v>
      </c>
      <c r="O413" s="28" t="s">
        <v>41</v>
      </c>
      <c r="P413" s="28" t="s">
        <v>41</v>
      </c>
      <c r="Q413" s="28" t="s">
        <v>124</v>
      </c>
      <c r="R413" s="30">
        <v>13.17</v>
      </c>
      <c r="S413" s="30">
        <v>3.5049999999999999</v>
      </c>
      <c r="T413" s="30"/>
      <c r="U413" s="30">
        <v>9.8000000000000004E-2</v>
      </c>
      <c r="V413" s="8">
        <f t="shared" si="359"/>
        <v>334.51799999999997</v>
      </c>
      <c r="W413" s="8">
        <f t="shared" si="360"/>
        <v>89.026999999999987</v>
      </c>
      <c r="X413" s="8">
        <f t="shared" si="361"/>
        <v>0</v>
      </c>
      <c r="Y413" s="33">
        <f t="shared" si="362"/>
        <v>2.4891999999999999</v>
      </c>
      <c r="Z413" s="28" t="s">
        <v>56</v>
      </c>
      <c r="AA413" s="28" t="s">
        <v>57</v>
      </c>
      <c r="AB413" s="61" t="s">
        <v>124</v>
      </c>
      <c r="AC413" s="31" t="s">
        <v>125</v>
      </c>
      <c r="AD413" s="50">
        <f t="shared" si="363"/>
        <v>1</v>
      </c>
      <c r="AE413" s="31"/>
      <c r="AF413" s="51">
        <v>14</v>
      </c>
      <c r="AG413" s="51">
        <f t="shared" si="391"/>
        <v>8.4</v>
      </c>
      <c r="AH413" s="51">
        <f t="shared" si="356"/>
        <v>42</v>
      </c>
      <c r="AI413" s="52" t="s">
        <v>2497</v>
      </c>
      <c r="AJ413" s="52" t="s">
        <v>2498</v>
      </c>
      <c r="AK413" s="53">
        <f t="shared" si="392"/>
        <v>5.956226797199999E-2</v>
      </c>
      <c r="AL413" s="54">
        <f t="shared" si="393"/>
        <v>0.11904761904761904</v>
      </c>
      <c r="AM413" s="54">
        <f t="shared" si="394"/>
        <v>2.3809523809523808E-2</v>
      </c>
      <c r="AN413" s="55">
        <f t="shared" si="395"/>
        <v>7.0907461871428552E-3</v>
      </c>
      <c r="AO413" s="55">
        <f t="shared" si="396"/>
        <v>1.418149237428571E-3</v>
      </c>
      <c r="AP413" s="53">
        <v>7.1</v>
      </c>
      <c r="AQ413" s="53">
        <f t="shared" si="364"/>
        <v>4.26</v>
      </c>
      <c r="AR413" s="53">
        <f t="shared" si="365"/>
        <v>21.299999999999997</v>
      </c>
      <c r="AS413" s="56">
        <f t="shared" si="366"/>
        <v>4.6948356807511742E-2</v>
      </c>
      <c r="AT413" s="56">
        <f t="shared" si="397"/>
        <v>0.23474178403755869</v>
      </c>
      <c r="AU413" s="56">
        <f t="shared" si="367"/>
        <v>0.176056338028169</v>
      </c>
      <c r="AV413" s="56">
        <f t="shared" si="398"/>
        <v>5.8685446009389672E-2</v>
      </c>
      <c r="AW413" s="57" t="s">
        <v>2511</v>
      </c>
      <c r="AX413" s="57" t="s">
        <v>2512</v>
      </c>
      <c r="AY413" s="57" t="s">
        <v>2513</v>
      </c>
      <c r="AZ413" s="58">
        <f t="shared" si="399"/>
        <v>5.956226797199999E-2</v>
      </c>
      <c r="BA413" s="59">
        <f t="shared" si="402"/>
        <v>1.7477191306338026E-3</v>
      </c>
      <c r="BB413" s="59">
        <f t="shared" si="403"/>
        <v>5.2431573919014072E-3</v>
      </c>
      <c r="BC413" s="59">
        <f t="shared" si="404"/>
        <v>1.3981753045070422E-3</v>
      </c>
      <c r="BD413" s="60">
        <f t="shared" si="400"/>
        <v>1.0416666666666666E-2</v>
      </c>
      <c r="BE413" s="59">
        <f t="shared" si="401"/>
        <v>1.0416666666666666E-2</v>
      </c>
      <c r="BQ413" s="61">
        <v>3000</v>
      </c>
      <c r="BR413" s="61">
        <v>1200</v>
      </c>
      <c r="BS413" s="28">
        <f t="shared" si="368"/>
        <v>2980</v>
      </c>
      <c r="BT413" s="28">
        <f t="shared" si="369"/>
        <v>1180</v>
      </c>
      <c r="BU413" s="28" t="s">
        <v>2541</v>
      </c>
      <c r="BV413" s="28">
        <f t="shared" si="370"/>
        <v>339.51799999999997</v>
      </c>
      <c r="BW413" s="28">
        <f t="shared" si="371"/>
        <v>94.026999999999987</v>
      </c>
      <c r="BX413" s="13">
        <f t="shared" si="372"/>
        <v>8.7771487815079023</v>
      </c>
      <c r="BY413" s="13">
        <f t="shared" si="373"/>
        <v>8</v>
      </c>
      <c r="BZ413" s="13">
        <f t="shared" si="374"/>
        <v>12.549586820806791</v>
      </c>
      <c r="CA413" s="13">
        <f t="shared" si="375"/>
        <v>12</v>
      </c>
      <c r="CB413" s="13">
        <f t="shared" si="376"/>
        <v>96</v>
      </c>
      <c r="CC413" s="62">
        <f t="shared" si="377"/>
        <v>1.0416666666666666E-2</v>
      </c>
      <c r="CD413" s="13">
        <f t="shared" si="378"/>
        <v>31.693024344071389</v>
      </c>
      <c r="CE413" s="13">
        <f t="shared" si="379"/>
        <v>31</v>
      </c>
      <c r="CF413" s="13">
        <f t="shared" si="380"/>
        <v>3.4755152893219212</v>
      </c>
      <c r="CG413" s="13">
        <f t="shared" si="381"/>
        <v>3</v>
      </c>
      <c r="CH413" s="28">
        <f t="shared" si="382"/>
        <v>93</v>
      </c>
      <c r="CI413" s="62">
        <f t="shared" si="383"/>
        <v>1.0752688172043012E-2</v>
      </c>
      <c r="CJ413" s="59">
        <f t="shared" si="384"/>
        <v>1.0416666666666666E-2</v>
      </c>
      <c r="CL413" s="63">
        <v>6000</v>
      </c>
      <c r="CM413" s="63">
        <f t="shared" si="385"/>
        <v>334.51799999999997</v>
      </c>
      <c r="CN413" s="63">
        <f t="shared" si="386"/>
        <v>339.51799999999997</v>
      </c>
      <c r="CO413" s="63">
        <f t="shared" si="387"/>
        <v>17.672111640619939</v>
      </c>
      <c r="CP413" s="13">
        <f t="shared" si="388"/>
        <v>17</v>
      </c>
      <c r="CQ413" s="70">
        <f t="shared" si="389"/>
        <v>5.8823529411764705E-2</v>
      </c>
      <c r="CR413" s="69">
        <f t="shared" si="357"/>
        <v>5.8823529411764705E-2</v>
      </c>
    </row>
    <row r="414" spans="1:96" hidden="1" x14ac:dyDescent="0.25">
      <c r="A414" s="13">
        <v>4</v>
      </c>
      <c r="B414" s="14" t="s">
        <v>1074</v>
      </c>
      <c r="C414" s="13" t="s">
        <v>1057</v>
      </c>
      <c r="D414" s="13" t="s">
        <v>1059</v>
      </c>
      <c r="E414" s="13" t="s">
        <v>52</v>
      </c>
      <c r="F414" s="15">
        <f t="shared" si="358"/>
        <v>3</v>
      </c>
      <c r="G414" s="13">
        <v>1</v>
      </c>
      <c r="H414" s="13">
        <f t="shared" si="406"/>
        <v>1</v>
      </c>
      <c r="I414" s="13">
        <v>14</v>
      </c>
      <c r="J414" s="14" t="s">
        <v>1058</v>
      </c>
      <c r="K414" s="14" t="s">
        <v>34</v>
      </c>
      <c r="L414" s="13" t="s">
        <v>110</v>
      </c>
      <c r="M414" s="14" t="s">
        <v>35</v>
      </c>
      <c r="N414" s="13" t="s">
        <v>1059</v>
      </c>
      <c r="O414" s="28" t="s">
        <v>41</v>
      </c>
      <c r="P414" s="28" t="s">
        <v>41</v>
      </c>
      <c r="Q414" s="28" t="s">
        <v>1059</v>
      </c>
      <c r="R414" s="30">
        <v>12</v>
      </c>
      <c r="S414" s="30">
        <v>5</v>
      </c>
      <c r="T414" s="30"/>
      <c r="U414" s="30">
        <v>1</v>
      </c>
      <c r="V414" s="8">
        <f t="shared" si="359"/>
        <v>304.79999999999995</v>
      </c>
      <c r="W414" s="8">
        <f t="shared" si="360"/>
        <v>127</v>
      </c>
      <c r="X414" s="8">
        <f t="shared" si="361"/>
        <v>0</v>
      </c>
      <c r="Y414" s="33">
        <f t="shared" si="362"/>
        <v>25.4</v>
      </c>
      <c r="Z414" s="28" t="s">
        <v>1060</v>
      </c>
      <c r="AA414" s="28" t="s">
        <v>1061</v>
      </c>
      <c r="AB414" s="61" t="s">
        <v>1059</v>
      </c>
      <c r="AC414" s="31" t="s">
        <v>1062</v>
      </c>
      <c r="AD414" s="50">
        <f t="shared" si="363"/>
        <v>1</v>
      </c>
      <c r="AE414" s="47" t="s">
        <v>107</v>
      </c>
      <c r="AF414" s="51">
        <v>14</v>
      </c>
      <c r="AG414" s="51">
        <f t="shared" si="391"/>
        <v>8.4</v>
      </c>
      <c r="AH414" s="51">
        <f t="shared" si="356"/>
        <v>42</v>
      </c>
      <c r="AI414" s="52" t="s">
        <v>2497</v>
      </c>
      <c r="AJ414" s="52" t="s">
        <v>2498</v>
      </c>
      <c r="AK414" s="53">
        <f t="shared" si="392"/>
        <v>7.741919999999998E-2</v>
      </c>
      <c r="AL414" s="54">
        <f t="shared" si="393"/>
        <v>0.11904761904761904</v>
      </c>
      <c r="AM414" s="54">
        <f t="shared" si="394"/>
        <v>2.3809523809523808E-2</v>
      </c>
      <c r="AN414" s="55">
        <f t="shared" si="395"/>
        <v>9.2165714285714264E-3</v>
      </c>
      <c r="AO414" s="55">
        <f t="shared" si="396"/>
        <v>1.8433142857142851E-3</v>
      </c>
      <c r="AP414" s="53">
        <v>7.1</v>
      </c>
      <c r="AQ414" s="53">
        <f t="shared" si="364"/>
        <v>4.26</v>
      </c>
      <c r="AR414" s="53">
        <f t="shared" si="365"/>
        <v>21.299999999999997</v>
      </c>
      <c r="AS414" s="56">
        <f t="shared" si="366"/>
        <v>4.6948356807511742E-2</v>
      </c>
      <c r="AT414" s="56">
        <f t="shared" si="397"/>
        <v>0.23474178403755869</v>
      </c>
      <c r="AU414" s="56">
        <f t="shared" si="367"/>
        <v>0.176056338028169</v>
      </c>
      <c r="AV414" s="56">
        <f t="shared" si="398"/>
        <v>5.8685446009389672E-2</v>
      </c>
      <c r="AW414" s="57" t="s">
        <v>2511</v>
      </c>
      <c r="AX414" s="57" t="s">
        <v>2512</v>
      </c>
      <c r="AY414" s="57" t="s">
        <v>2513</v>
      </c>
      <c r="AZ414" s="58">
        <f t="shared" si="399"/>
        <v>7.741919999999998E-2</v>
      </c>
      <c r="BA414" s="59">
        <f t="shared" si="402"/>
        <v>2.2716901408450698E-3</v>
      </c>
      <c r="BB414" s="59">
        <f t="shared" si="403"/>
        <v>6.8150704225352094E-3</v>
      </c>
      <c r="BC414" s="59">
        <f t="shared" si="404"/>
        <v>1.8173521126760559E-3</v>
      </c>
      <c r="BD414" s="60">
        <f t="shared" si="400"/>
        <v>1.3888888888888888E-2</v>
      </c>
      <c r="BE414" s="59">
        <f t="shared" si="401"/>
        <v>1.3888888888888888E-2</v>
      </c>
      <c r="BQ414" s="61">
        <v>3000</v>
      </c>
      <c r="BR414" s="61">
        <v>1200</v>
      </c>
      <c r="BS414" s="28">
        <f t="shared" si="368"/>
        <v>2980</v>
      </c>
      <c r="BT414" s="28">
        <f t="shared" si="369"/>
        <v>1180</v>
      </c>
      <c r="BU414" s="28" t="s">
        <v>2541</v>
      </c>
      <c r="BV414" s="28">
        <f t="shared" si="370"/>
        <v>309.79999999999995</v>
      </c>
      <c r="BW414" s="28">
        <f t="shared" si="371"/>
        <v>132</v>
      </c>
      <c r="BX414" s="13">
        <f t="shared" si="372"/>
        <v>9.6191091026468705</v>
      </c>
      <c r="BY414" s="13">
        <f t="shared" si="373"/>
        <v>9</v>
      </c>
      <c r="BZ414" s="13">
        <f t="shared" si="374"/>
        <v>8.9393939393939394</v>
      </c>
      <c r="CA414" s="13">
        <f t="shared" si="375"/>
        <v>8</v>
      </c>
      <c r="CB414" s="13">
        <f t="shared" si="376"/>
        <v>72</v>
      </c>
      <c r="CC414" s="62">
        <f t="shared" si="377"/>
        <v>1.3888888888888888E-2</v>
      </c>
      <c r="CD414" s="13">
        <f t="shared" si="378"/>
        <v>22.575757575757574</v>
      </c>
      <c r="CE414" s="13">
        <f t="shared" si="379"/>
        <v>22</v>
      </c>
      <c r="CF414" s="13">
        <f t="shared" si="380"/>
        <v>3.8089089735313113</v>
      </c>
      <c r="CG414" s="13">
        <f t="shared" si="381"/>
        <v>3</v>
      </c>
      <c r="CH414" s="28">
        <f t="shared" si="382"/>
        <v>66</v>
      </c>
      <c r="CI414" s="62">
        <f t="shared" si="383"/>
        <v>1.5151515151515152E-2</v>
      </c>
      <c r="CJ414" s="59">
        <f t="shared" si="384"/>
        <v>1.3888888888888888E-2</v>
      </c>
      <c r="CL414" s="63">
        <v>6000</v>
      </c>
      <c r="CM414" s="63">
        <f t="shared" si="385"/>
        <v>304.79999999999995</v>
      </c>
      <c r="CN414" s="63">
        <f t="shared" si="386"/>
        <v>309.79999999999995</v>
      </c>
      <c r="CO414" s="63">
        <f t="shared" si="387"/>
        <v>19.367333763718531</v>
      </c>
      <c r="CP414" s="13">
        <f t="shared" si="388"/>
        <v>19</v>
      </c>
      <c r="CQ414" s="70">
        <f t="shared" si="389"/>
        <v>5.2631578947368418E-2</v>
      </c>
      <c r="CR414" s="69">
        <f t="shared" si="357"/>
        <v>5.2631578947368418E-2</v>
      </c>
    </row>
    <row r="415" spans="1:96" hidden="1" x14ac:dyDescent="0.25">
      <c r="A415" s="13">
        <v>4</v>
      </c>
      <c r="B415" s="14" t="s">
        <v>1074</v>
      </c>
      <c r="C415" s="13" t="s">
        <v>1093</v>
      </c>
      <c r="D415" s="13" t="s">
        <v>1095</v>
      </c>
      <c r="E415" s="13" t="s">
        <v>52</v>
      </c>
      <c r="F415" s="15">
        <f t="shared" si="358"/>
        <v>1</v>
      </c>
      <c r="G415" s="13">
        <v>1</v>
      </c>
      <c r="H415" s="13">
        <f t="shared" si="406"/>
        <v>1</v>
      </c>
      <c r="I415" s="13">
        <v>17</v>
      </c>
      <c r="J415" s="14" t="s">
        <v>1094</v>
      </c>
      <c r="K415" s="14" t="s">
        <v>34</v>
      </c>
      <c r="L415" s="13" t="s">
        <v>259</v>
      </c>
      <c r="M415" s="14" t="s">
        <v>35</v>
      </c>
      <c r="N415" s="13" t="s">
        <v>1095</v>
      </c>
      <c r="O415" s="28" t="s">
        <v>41</v>
      </c>
      <c r="P415" s="28" t="s">
        <v>41</v>
      </c>
      <c r="Q415" s="28" t="s">
        <v>79</v>
      </c>
      <c r="R415" s="30">
        <v>11.960629921259844</v>
      </c>
      <c r="S415" s="30">
        <v>0.3125</v>
      </c>
      <c r="T415" s="30"/>
      <c r="U415" s="30">
        <v>0.3125</v>
      </c>
      <c r="V415" s="8">
        <f t="shared" si="359"/>
        <v>303.8</v>
      </c>
      <c r="W415" s="8">
        <f t="shared" si="360"/>
        <v>7.9375</v>
      </c>
      <c r="X415" s="8">
        <f t="shared" si="361"/>
        <v>0</v>
      </c>
      <c r="Y415" s="33">
        <f t="shared" si="362"/>
        <v>7.9375</v>
      </c>
      <c r="Z415" s="28" t="s">
        <v>80</v>
      </c>
      <c r="AA415" s="28" t="s">
        <v>81</v>
      </c>
      <c r="AB415" s="61" t="s">
        <v>79</v>
      </c>
      <c r="AC415" s="31" t="s">
        <v>82</v>
      </c>
      <c r="AD415" s="50">
        <f t="shared" si="363"/>
        <v>1</v>
      </c>
      <c r="AE415" s="31"/>
      <c r="AF415" s="51">
        <v>14</v>
      </c>
      <c r="AG415" s="51">
        <f t="shared" si="391"/>
        <v>8.4</v>
      </c>
      <c r="AH415" s="51">
        <f t="shared" si="356"/>
        <v>42</v>
      </c>
      <c r="AI415" s="52" t="s">
        <v>2497</v>
      </c>
      <c r="AJ415" s="52" t="s">
        <v>2498</v>
      </c>
      <c r="AK415" s="53">
        <f t="shared" si="392"/>
        <v>4.8228250000000002E-3</v>
      </c>
      <c r="AL415" s="54">
        <f t="shared" si="393"/>
        <v>0.11904761904761904</v>
      </c>
      <c r="AM415" s="54">
        <f t="shared" si="394"/>
        <v>2.3809523809523808E-2</v>
      </c>
      <c r="AN415" s="55">
        <f t="shared" si="395"/>
        <v>5.741458333333333E-4</v>
      </c>
      <c r="AO415" s="55">
        <f t="shared" si="396"/>
        <v>1.1482916666666667E-4</v>
      </c>
      <c r="AP415" s="53">
        <v>7.1</v>
      </c>
      <c r="AQ415" s="53">
        <f t="shared" si="364"/>
        <v>4.26</v>
      </c>
      <c r="AR415" s="53">
        <f t="shared" si="365"/>
        <v>21.299999999999997</v>
      </c>
      <c r="AS415" s="56">
        <f t="shared" si="366"/>
        <v>4.6948356807511742E-2</v>
      </c>
      <c r="AT415" s="56">
        <f t="shared" si="397"/>
        <v>0.23474178403755869</v>
      </c>
      <c r="AU415" s="56">
        <f t="shared" si="367"/>
        <v>0.176056338028169</v>
      </c>
      <c r="AV415" s="56">
        <f t="shared" si="398"/>
        <v>5.8685446009389672E-2</v>
      </c>
      <c r="AW415" s="57" t="s">
        <v>2511</v>
      </c>
      <c r="AX415" s="57" t="s">
        <v>2512</v>
      </c>
      <c r="AY415" s="57" t="s">
        <v>2513</v>
      </c>
      <c r="AZ415" s="58">
        <f t="shared" si="399"/>
        <v>4.8228250000000002E-3</v>
      </c>
      <c r="BA415" s="59">
        <f t="shared" si="402"/>
        <v>1.4151481807511739E-4</v>
      </c>
      <c r="BB415" s="59">
        <f t="shared" si="403"/>
        <v>4.2454445422535211E-4</v>
      </c>
      <c r="BC415" s="59">
        <f t="shared" si="404"/>
        <v>1.1321185446009392E-4</v>
      </c>
      <c r="BD415" s="60">
        <f t="shared" si="400"/>
        <v>1.221001221001221E-3</v>
      </c>
      <c r="BE415" s="59">
        <f t="shared" si="401"/>
        <v>1.221001221001221E-3</v>
      </c>
      <c r="BQ415" s="61">
        <v>3000</v>
      </c>
      <c r="BR415" s="61">
        <v>1200</v>
      </c>
      <c r="BS415" s="28">
        <f t="shared" si="368"/>
        <v>2980</v>
      </c>
      <c r="BT415" s="28">
        <f t="shared" si="369"/>
        <v>1180</v>
      </c>
      <c r="BU415" s="28" t="s">
        <v>2541</v>
      </c>
      <c r="BV415" s="28">
        <f t="shared" si="370"/>
        <v>308.8</v>
      </c>
      <c r="BW415" s="28">
        <f t="shared" si="371"/>
        <v>12.9375</v>
      </c>
      <c r="BX415" s="13">
        <f t="shared" si="372"/>
        <v>9.6502590673575117</v>
      </c>
      <c r="BY415" s="13">
        <f t="shared" si="373"/>
        <v>9</v>
      </c>
      <c r="BZ415" s="13">
        <f t="shared" si="374"/>
        <v>91.207729468599027</v>
      </c>
      <c r="CA415" s="13">
        <f t="shared" si="375"/>
        <v>91</v>
      </c>
      <c r="CB415" s="13">
        <f t="shared" si="376"/>
        <v>819</v>
      </c>
      <c r="CC415" s="62">
        <f t="shared" si="377"/>
        <v>1.221001221001221E-3</v>
      </c>
      <c r="CD415" s="13">
        <f t="shared" si="378"/>
        <v>230.33816425120773</v>
      </c>
      <c r="CE415" s="13">
        <f t="shared" si="379"/>
        <v>230</v>
      </c>
      <c r="CF415" s="13">
        <f t="shared" si="380"/>
        <v>3.821243523316062</v>
      </c>
      <c r="CG415" s="13">
        <f t="shared" si="381"/>
        <v>3</v>
      </c>
      <c r="CH415" s="28">
        <f t="shared" si="382"/>
        <v>690</v>
      </c>
      <c r="CI415" s="62">
        <f t="shared" si="383"/>
        <v>1.4492753623188406E-3</v>
      </c>
      <c r="CJ415" s="59">
        <f t="shared" si="384"/>
        <v>1.221001221001221E-3</v>
      </c>
      <c r="CL415" s="63">
        <v>6000</v>
      </c>
      <c r="CM415" s="63">
        <f t="shared" si="385"/>
        <v>303.8</v>
      </c>
      <c r="CN415" s="63">
        <f t="shared" si="386"/>
        <v>308.8</v>
      </c>
      <c r="CO415" s="63">
        <f t="shared" si="387"/>
        <v>19.430051813471501</v>
      </c>
      <c r="CP415" s="13">
        <f t="shared" si="388"/>
        <v>19</v>
      </c>
      <c r="CQ415" s="70">
        <f t="shared" si="389"/>
        <v>5.2631578947368418E-2</v>
      </c>
      <c r="CR415" s="69">
        <f t="shared" si="357"/>
        <v>5.2631578947368418E-2</v>
      </c>
    </row>
    <row r="416" spans="1:96" hidden="1" x14ac:dyDescent="0.25">
      <c r="A416" s="13">
        <v>4</v>
      </c>
      <c r="B416" s="14" t="s">
        <v>1074</v>
      </c>
      <c r="C416" s="13" t="s">
        <v>698</v>
      </c>
      <c r="D416" s="13" t="s">
        <v>700</v>
      </c>
      <c r="E416" s="13" t="s">
        <v>52</v>
      </c>
      <c r="F416" s="15">
        <f t="shared" si="358"/>
        <v>4</v>
      </c>
      <c r="G416" s="13">
        <v>1</v>
      </c>
      <c r="H416" s="13">
        <f t="shared" si="406"/>
        <v>1</v>
      </c>
      <c r="I416" s="13">
        <v>18</v>
      </c>
      <c r="J416" s="14" t="s">
        <v>699</v>
      </c>
      <c r="K416" s="14" t="s">
        <v>34</v>
      </c>
      <c r="L416" s="13" t="s">
        <v>89</v>
      </c>
      <c r="M416" s="14" t="s">
        <v>35</v>
      </c>
      <c r="N416" s="13" t="s">
        <v>700</v>
      </c>
      <c r="O416" s="28" t="s">
        <v>41</v>
      </c>
      <c r="P416" s="28" t="s">
        <v>41</v>
      </c>
      <c r="Q416" s="28" t="s">
        <v>79</v>
      </c>
      <c r="R416" s="30">
        <v>6.0629921259842527</v>
      </c>
      <c r="S416" s="30">
        <v>0.3125</v>
      </c>
      <c r="T416" s="30"/>
      <c r="U416" s="30">
        <v>0.3125</v>
      </c>
      <c r="V416" s="8">
        <f t="shared" si="359"/>
        <v>154</v>
      </c>
      <c r="W416" s="8">
        <f t="shared" si="360"/>
        <v>7.9375</v>
      </c>
      <c r="X416" s="8">
        <f t="shared" si="361"/>
        <v>0</v>
      </c>
      <c r="Y416" s="33">
        <f t="shared" si="362"/>
        <v>7.9375</v>
      </c>
      <c r="Z416" s="28" t="s">
        <v>80</v>
      </c>
      <c r="AA416" s="28" t="s">
        <v>81</v>
      </c>
      <c r="AB416" s="61" t="s">
        <v>79</v>
      </c>
      <c r="AC416" s="31" t="s">
        <v>82</v>
      </c>
      <c r="AD416" s="50">
        <f t="shared" si="363"/>
        <v>1</v>
      </c>
      <c r="AE416" s="31"/>
      <c r="AF416" s="51">
        <v>14</v>
      </c>
      <c r="AG416" s="51">
        <f t="shared" si="391"/>
        <v>8.4</v>
      </c>
      <c r="AH416" s="51">
        <f t="shared" si="356"/>
        <v>42</v>
      </c>
      <c r="AI416" s="52" t="s">
        <v>2497</v>
      </c>
      <c r="AJ416" s="52" t="s">
        <v>2498</v>
      </c>
      <c r="AK416" s="53">
        <f t="shared" si="392"/>
        <v>2.4447499999999999E-3</v>
      </c>
      <c r="AL416" s="54">
        <f t="shared" si="393"/>
        <v>0.11904761904761904</v>
      </c>
      <c r="AM416" s="54">
        <f t="shared" si="394"/>
        <v>2.3809523809523808E-2</v>
      </c>
      <c r="AN416" s="55">
        <f t="shared" si="395"/>
        <v>2.9104166666666666E-4</v>
      </c>
      <c r="AO416" s="55">
        <f t="shared" si="396"/>
        <v>5.820833333333333E-5</v>
      </c>
      <c r="AP416" s="53">
        <v>7.1</v>
      </c>
      <c r="AQ416" s="53">
        <f t="shared" si="364"/>
        <v>4.26</v>
      </c>
      <c r="AR416" s="53">
        <f t="shared" si="365"/>
        <v>21.299999999999997</v>
      </c>
      <c r="AS416" s="56">
        <f t="shared" si="366"/>
        <v>4.6948356807511742E-2</v>
      </c>
      <c r="AT416" s="56">
        <f t="shared" si="397"/>
        <v>0.23474178403755869</v>
      </c>
      <c r="AU416" s="56">
        <f t="shared" si="367"/>
        <v>0.176056338028169</v>
      </c>
      <c r="AV416" s="56">
        <f t="shared" si="398"/>
        <v>5.8685446009389672E-2</v>
      </c>
      <c r="AW416" s="57" t="s">
        <v>2511</v>
      </c>
      <c r="AX416" s="57" t="s">
        <v>2512</v>
      </c>
      <c r="AY416" s="57" t="s">
        <v>2513</v>
      </c>
      <c r="AZ416" s="58">
        <f t="shared" si="399"/>
        <v>2.4447499999999999E-3</v>
      </c>
      <c r="BA416" s="59">
        <f t="shared" si="402"/>
        <v>7.1735622065727695E-5</v>
      </c>
      <c r="BB416" s="59">
        <f t="shared" si="403"/>
        <v>2.1520686619718308E-4</v>
      </c>
      <c r="BC416" s="59">
        <f t="shared" si="404"/>
        <v>5.7388497652582161E-5</v>
      </c>
      <c r="BD416" s="60">
        <f t="shared" si="400"/>
        <v>6.105006105006105E-4</v>
      </c>
      <c r="BE416" s="59">
        <f t="shared" si="401"/>
        <v>6.105006105006105E-4</v>
      </c>
      <c r="BQ416" s="61">
        <v>3000</v>
      </c>
      <c r="BR416" s="61">
        <v>1200</v>
      </c>
      <c r="BS416" s="28">
        <f t="shared" si="368"/>
        <v>2980</v>
      </c>
      <c r="BT416" s="28">
        <f t="shared" si="369"/>
        <v>1180</v>
      </c>
      <c r="BU416" s="28" t="s">
        <v>2541</v>
      </c>
      <c r="BV416" s="28">
        <f t="shared" si="370"/>
        <v>159</v>
      </c>
      <c r="BW416" s="28">
        <f t="shared" si="371"/>
        <v>12.9375</v>
      </c>
      <c r="BX416" s="13">
        <f t="shared" si="372"/>
        <v>18.742138364779873</v>
      </c>
      <c r="BY416" s="13">
        <f t="shared" si="373"/>
        <v>18</v>
      </c>
      <c r="BZ416" s="13">
        <f t="shared" si="374"/>
        <v>91.207729468599027</v>
      </c>
      <c r="CA416" s="13">
        <f t="shared" si="375"/>
        <v>91</v>
      </c>
      <c r="CB416" s="13">
        <f t="shared" si="376"/>
        <v>1638</v>
      </c>
      <c r="CC416" s="62">
        <f t="shared" si="377"/>
        <v>6.105006105006105E-4</v>
      </c>
      <c r="CD416" s="13">
        <f t="shared" si="378"/>
        <v>230.33816425120773</v>
      </c>
      <c r="CE416" s="13">
        <f t="shared" si="379"/>
        <v>230</v>
      </c>
      <c r="CF416" s="13">
        <f t="shared" si="380"/>
        <v>7.4213836477987423</v>
      </c>
      <c r="CG416" s="13">
        <f t="shared" si="381"/>
        <v>7</v>
      </c>
      <c r="CH416" s="28">
        <f t="shared" si="382"/>
        <v>1610</v>
      </c>
      <c r="CI416" s="62">
        <f t="shared" si="383"/>
        <v>6.2111801242236027E-4</v>
      </c>
      <c r="CJ416" s="59">
        <f t="shared" si="384"/>
        <v>6.105006105006105E-4</v>
      </c>
      <c r="CL416" s="63">
        <v>6000</v>
      </c>
      <c r="CM416" s="63">
        <f t="shared" si="385"/>
        <v>154</v>
      </c>
      <c r="CN416" s="63">
        <f t="shared" si="386"/>
        <v>159</v>
      </c>
      <c r="CO416" s="63">
        <f t="shared" si="387"/>
        <v>37.735849056603776</v>
      </c>
      <c r="CP416" s="13">
        <f t="shared" si="388"/>
        <v>37</v>
      </c>
      <c r="CQ416" s="70">
        <f t="shared" si="389"/>
        <v>2.7027027027027029E-2</v>
      </c>
      <c r="CR416" s="69">
        <f t="shared" si="357"/>
        <v>2.7027027027027029E-2</v>
      </c>
    </row>
    <row r="417" spans="1:96" hidden="1" x14ac:dyDescent="0.25">
      <c r="A417" s="13">
        <v>4</v>
      </c>
      <c r="B417" s="14" t="s">
        <v>1074</v>
      </c>
      <c r="C417" s="13" t="s">
        <v>188</v>
      </c>
      <c r="D417" s="13" t="s">
        <v>189</v>
      </c>
      <c r="E417" s="13" t="s">
        <v>52</v>
      </c>
      <c r="F417" s="15">
        <f t="shared" si="358"/>
        <v>5</v>
      </c>
      <c r="G417" s="13">
        <v>2</v>
      </c>
      <c r="H417" s="13">
        <f t="shared" si="406"/>
        <v>2</v>
      </c>
      <c r="I417" s="13">
        <v>19</v>
      </c>
      <c r="J417" s="14" t="s">
        <v>76</v>
      </c>
      <c r="K417" s="14" t="s">
        <v>34</v>
      </c>
      <c r="L417" s="13" t="s">
        <v>77</v>
      </c>
      <c r="M417" s="14" t="s">
        <v>35</v>
      </c>
      <c r="N417" s="13" t="s">
        <v>189</v>
      </c>
      <c r="O417" s="28" t="s">
        <v>41</v>
      </c>
      <c r="P417" s="28" t="s">
        <v>41</v>
      </c>
      <c r="Q417" s="28" t="s">
        <v>79</v>
      </c>
      <c r="R417" s="30">
        <v>15.039370078740159</v>
      </c>
      <c r="S417" s="30">
        <v>0.3125</v>
      </c>
      <c r="T417" s="30"/>
      <c r="U417" s="30">
        <v>0.3125</v>
      </c>
      <c r="V417" s="8">
        <f t="shared" si="359"/>
        <v>382</v>
      </c>
      <c r="W417" s="8">
        <f t="shared" si="360"/>
        <v>7.9375</v>
      </c>
      <c r="X417" s="8">
        <f t="shared" si="361"/>
        <v>0</v>
      </c>
      <c r="Y417" s="33">
        <f t="shared" si="362"/>
        <v>7.9375</v>
      </c>
      <c r="Z417" s="28" t="s">
        <v>80</v>
      </c>
      <c r="AA417" s="28" t="s">
        <v>81</v>
      </c>
      <c r="AB417" s="61" t="s">
        <v>79</v>
      </c>
      <c r="AC417" s="31" t="s">
        <v>82</v>
      </c>
      <c r="AD417" s="50">
        <f t="shared" si="363"/>
        <v>2</v>
      </c>
      <c r="AE417" s="31"/>
      <c r="AF417" s="51">
        <v>14</v>
      </c>
      <c r="AG417" s="51">
        <f t="shared" si="391"/>
        <v>8.4</v>
      </c>
      <c r="AH417" s="51">
        <f t="shared" si="356"/>
        <v>42</v>
      </c>
      <c r="AI417" s="52" t="s">
        <v>2497</v>
      </c>
      <c r="AJ417" s="52" t="s">
        <v>2498</v>
      </c>
      <c r="AK417" s="53">
        <f t="shared" si="392"/>
        <v>6.0642500000000002E-3</v>
      </c>
      <c r="AL417" s="54">
        <f t="shared" si="393"/>
        <v>0.11904761904761904</v>
      </c>
      <c r="AM417" s="54">
        <f t="shared" si="394"/>
        <v>2.3809523809523808E-2</v>
      </c>
      <c r="AN417" s="55">
        <f t="shared" si="395"/>
        <v>1.4438690476190476E-3</v>
      </c>
      <c r="AO417" s="55">
        <f t="shared" si="396"/>
        <v>2.8877380952380951E-4</v>
      </c>
      <c r="AP417" s="53">
        <v>7.1</v>
      </c>
      <c r="AQ417" s="53">
        <f t="shared" si="364"/>
        <v>4.26</v>
      </c>
      <c r="AR417" s="53">
        <f t="shared" si="365"/>
        <v>21.299999999999997</v>
      </c>
      <c r="AS417" s="56">
        <f t="shared" si="366"/>
        <v>4.6948356807511742E-2</v>
      </c>
      <c r="AT417" s="56">
        <f t="shared" si="397"/>
        <v>0.23474178403755869</v>
      </c>
      <c r="AU417" s="56">
        <f t="shared" si="367"/>
        <v>0.176056338028169</v>
      </c>
      <c r="AV417" s="56">
        <f t="shared" si="398"/>
        <v>5.8685446009389672E-2</v>
      </c>
      <c r="AW417" s="57" t="s">
        <v>2511</v>
      </c>
      <c r="AX417" s="57" t="s">
        <v>2512</v>
      </c>
      <c r="AY417" s="57" t="s">
        <v>2513</v>
      </c>
      <c r="AZ417" s="58">
        <f t="shared" si="399"/>
        <v>6.0642500000000002E-3</v>
      </c>
      <c r="BA417" s="59">
        <f t="shared" si="402"/>
        <v>3.5588321596244132E-4</v>
      </c>
      <c r="BB417" s="59">
        <f t="shared" si="403"/>
        <v>1.0676496478873238E-3</v>
      </c>
      <c r="BC417" s="59">
        <f t="shared" si="404"/>
        <v>2.8470657276995307E-4</v>
      </c>
      <c r="BD417" s="60">
        <f t="shared" si="400"/>
        <v>1.4492753623188406E-3</v>
      </c>
      <c r="BE417" s="59">
        <f t="shared" si="401"/>
        <v>2.8985507246376812E-3</v>
      </c>
      <c r="BQ417" s="61">
        <v>3000</v>
      </c>
      <c r="BR417" s="61">
        <v>1200</v>
      </c>
      <c r="BS417" s="28">
        <f t="shared" si="368"/>
        <v>2980</v>
      </c>
      <c r="BT417" s="28">
        <f t="shared" si="369"/>
        <v>1180</v>
      </c>
      <c r="BU417" s="28" t="s">
        <v>2541</v>
      </c>
      <c r="BV417" s="28">
        <f t="shared" si="370"/>
        <v>387</v>
      </c>
      <c r="BW417" s="28">
        <f t="shared" si="371"/>
        <v>12.9375</v>
      </c>
      <c r="BX417" s="13">
        <f t="shared" si="372"/>
        <v>7.7002583979328163</v>
      </c>
      <c r="BY417" s="13">
        <f t="shared" si="373"/>
        <v>7</v>
      </c>
      <c r="BZ417" s="13">
        <f t="shared" si="374"/>
        <v>91.207729468599027</v>
      </c>
      <c r="CA417" s="13">
        <f t="shared" si="375"/>
        <v>91</v>
      </c>
      <c r="CB417" s="13">
        <f t="shared" si="376"/>
        <v>637</v>
      </c>
      <c r="CC417" s="62">
        <f t="shared" si="377"/>
        <v>1.5698587127158557E-3</v>
      </c>
      <c r="CD417" s="13">
        <f t="shared" si="378"/>
        <v>230.33816425120773</v>
      </c>
      <c r="CE417" s="13">
        <f t="shared" si="379"/>
        <v>230</v>
      </c>
      <c r="CF417" s="13">
        <f t="shared" si="380"/>
        <v>3.0490956072351421</v>
      </c>
      <c r="CG417" s="13">
        <f t="shared" si="381"/>
        <v>3</v>
      </c>
      <c r="CH417" s="28">
        <f t="shared" si="382"/>
        <v>690</v>
      </c>
      <c r="CI417" s="62">
        <f t="shared" si="383"/>
        <v>1.4492753623188406E-3</v>
      </c>
      <c r="CJ417" s="59">
        <f t="shared" si="384"/>
        <v>1.4492753623188406E-3</v>
      </c>
      <c r="CL417" s="63">
        <v>6000</v>
      </c>
      <c r="CM417" s="63">
        <f t="shared" si="385"/>
        <v>382</v>
      </c>
      <c r="CN417" s="63">
        <f t="shared" si="386"/>
        <v>387</v>
      </c>
      <c r="CO417" s="63">
        <f t="shared" si="387"/>
        <v>15.503875968992247</v>
      </c>
      <c r="CP417" s="13">
        <f t="shared" si="388"/>
        <v>15</v>
      </c>
      <c r="CQ417" s="70">
        <f t="shared" si="389"/>
        <v>6.6666666666666666E-2</v>
      </c>
      <c r="CR417" s="69">
        <f t="shared" si="357"/>
        <v>0.13333333333333333</v>
      </c>
    </row>
    <row r="418" spans="1:96" hidden="1" x14ac:dyDescent="0.25">
      <c r="A418" s="13">
        <v>4</v>
      </c>
      <c r="B418" s="14" t="s">
        <v>1074</v>
      </c>
      <c r="C418" s="13" t="s">
        <v>1047</v>
      </c>
      <c r="D418" s="13" t="s">
        <v>1049</v>
      </c>
      <c r="E418" s="13" t="s">
        <v>52</v>
      </c>
      <c r="F418" s="15">
        <f t="shared" si="358"/>
        <v>2</v>
      </c>
      <c r="G418" s="13">
        <v>3</v>
      </c>
      <c r="H418" s="13">
        <f t="shared" si="406"/>
        <v>3</v>
      </c>
      <c r="I418" s="13">
        <v>20</v>
      </c>
      <c r="J418" s="14" t="s">
        <v>1048</v>
      </c>
      <c r="K418" s="14" t="s">
        <v>34</v>
      </c>
      <c r="L418" s="13">
        <v>0</v>
      </c>
      <c r="M418" s="14" t="s">
        <v>35</v>
      </c>
      <c r="N418" s="13" t="s">
        <v>1049</v>
      </c>
      <c r="O418" s="28" t="s">
        <v>41</v>
      </c>
      <c r="P418" s="28" t="s">
        <v>41</v>
      </c>
      <c r="Q418" s="28" t="s">
        <v>1049</v>
      </c>
      <c r="R418" s="30"/>
      <c r="S418" s="30"/>
      <c r="T418" s="30"/>
      <c r="U418" s="30"/>
      <c r="V418" s="8">
        <f t="shared" si="359"/>
        <v>0</v>
      </c>
      <c r="W418" s="8">
        <f t="shared" si="360"/>
        <v>0</v>
      </c>
      <c r="X418" s="8">
        <f t="shared" si="361"/>
        <v>0</v>
      </c>
      <c r="Y418" s="33">
        <f t="shared" si="362"/>
        <v>0</v>
      </c>
      <c r="Z418" s="28"/>
      <c r="AA418" s="28"/>
      <c r="AB418" s="28" t="s">
        <v>1049</v>
      </c>
      <c r="AC418" s="31" t="s">
        <v>1050</v>
      </c>
      <c r="AD418" s="50">
        <f t="shared" si="363"/>
        <v>3</v>
      </c>
      <c r="AE418" s="31"/>
      <c r="AF418" s="51">
        <v>14</v>
      </c>
      <c r="AG418" s="51">
        <f t="shared" si="391"/>
        <v>8.4</v>
      </c>
      <c r="AH418" s="51">
        <f t="shared" si="356"/>
        <v>42</v>
      </c>
      <c r="AI418" s="52" t="s">
        <v>2497</v>
      </c>
      <c r="AJ418" s="52" t="s">
        <v>2498</v>
      </c>
      <c r="AK418" s="53">
        <f t="shared" si="392"/>
        <v>0</v>
      </c>
      <c r="AL418" s="54">
        <f t="shared" si="393"/>
        <v>0.11904761904761904</v>
      </c>
      <c r="AM418" s="54">
        <f t="shared" si="394"/>
        <v>2.3809523809523808E-2</v>
      </c>
      <c r="AN418" s="55">
        <f t="shared" si="395"/>
        <v>0</v>
      </c>
      <c r="AO418" s="55">
        <f t="shared" si="396"/>
        <v>0</v>
      </c>
      <c r="AP418" s="53">
        <v>7.1</v>
      </c>
      <c r="AQ418" s="53">
        <f t="shared" si="364"/>
        <v>4.26</v>
      </c>
      <c r="AR418" s="53">
        <f t="shared" si="365"/>
        <v>21.299999999999997</v>
      </c>
      <c r="AS418" s="56">
        <f t="shared" si="366"/>
        <v>4.6948356807511742E-2</v>
      </c>
      <c r="AT418" s="56">
        <f t="shared" si="397"/>
        <v>0.23474178403755869</v>
      </c>
      <c r="AU418" s="56">
        <f t="shared" si="367"/>
        <v>0.176056338028169</v>
      </c>
      <c r="AV418" s="56">
        <f t="shared" si="398"/>
        <v>5.8685446009389672E-2</v>
      </c>
      <c r="AW418" s="57" t="s">
        <v>2511</v>
      </c>
      <c r="AX418" s="57" t="s">
        <v>2512</v>
      </c>
      <c r="AY418" s="57" t="s">
        <v>2513</v>
      </c>
      <c r="AZ418" s="58">
        <f t="shared" si="399"/>
        <v>0</v>
      </c>
      <c r="BA418" s="59">
        <f t="shared" si="402"/>
        <v>0</v>
      </c>
      <c r="BB418" s="59">
        <f t="shared" si="403"/>
        <v>0</v>
      </c>
      <c r="BC418" s="59">
        <f t="shared" si="404"/>
        <v>0</v>
      </c>
      <c r="BD418" s="60">
        <f t="shared" si="400"/>
        <v>7.1095438516664771E-6</v>
      </c>
      <c r="BE418" s="59">
        <f t="shared" si="401"/>
        <v>2.1328631554999432E-5</v>
      </c>
      <c r="BQ418" s="61">
        <v>3000</v>
      </c>
      <c r="BR418" s="61">
        <v>1200</v>
      </c>
      <c r="BS418" s="28">
        <f t="shared" si="368"/>
        <v>2980</v>
      </c>
      <c r="BT418" s="28">
        <f t="shared" si="369"/>
        <v>1180</v>
      </c>
      <c r="BU418" s="28" t="s">
        <v>2541</v>
      </c>
      <c r="BV418" s="28">
        <f t="shared" si="370"/>
        <v>5</v>
      </c>
      <c r="BW418" s="28">
        <f t="shared" si="371"/>
        <v>5</v>
      </c>
      <c r="BX418" s="13">
        <f t="shared" si="372"/>
        <v>596</v>
      </c>
      <c r="BY418" s="13">
        <f t="shared" si="373"/>
        <v>596</v>
      </c>
      <c r="BZ418" s="13">
        <f t="shared" si="374"/>
        <v>236</v>
      </c>
      <c r="CA418" s="13">
        <f t="shared" si="375"/>
        <v>236</v>
      </c>
      <c r="CB418" s="13">
        <f t="shared" si="376"/>
        <v>140656</v>
      </c>
      <c r="CC418" s="62">
        <f t="shared" si="377"/>
        <v>7.1095438516664771E-6</v>
      </c>
      <c r="CD418" s="13">
        <f t="shared" si="378"/>
        <v>596</v>
      </c>
      <c r="CE418" s="13">
        <f t="shared" si="379"/>
        <v>596</v>
      </c>
      <c r="CF418" s="13">
        <f t="shared" si="380"/>
        <v>236</v>
      </c>
      <c r="CG418" s="13">
        <f t="shared" si="381"/>
        <v>236</v>
      </c>
      <c r="CH418" s="28">
        <f t="shared" si="382"/>
        <v>140656</v>
      </c>
      <c r="CI418" s="62">
        <f t="shared" si="383"/>
        <v>7.1095438516664771E-6</v>
      </c>
      <c r="CJ418" s="59">
        <f t="shared" si="384"/>
        <v>7.1095438516664771E-6</v>
      </c>
      <c r="CL418" s="63">
        <v>6000</v>
      </c>
      <c r="CM418" s="63">
        <f t="shared" si="385"/>
        <v>0</v>
      </c>
      <c r="CN418" s="63">
        <f t="shared" si="386"/>
        <v>5</v>
      </c>
      <c r="CO418" s="63">
        <f t="shared" si="387"/>
        <v>1200</v>
      </c>
      <c r="CP418" s="13">
        <f t="shared" si="388"/>
        <v>1200</v>
      </c>
      <c r="CQ418" s="70">
        <f t="shared" si="389"/>
        <v>8.3333333333333339E-4</v>
      </c>
      <c r="CR418" s="69">
        <f t="shared" si="357"/>
        <v>2.5000000000000001E-3</v>
      </c>
    </row>
    <row r="419" spans="1:96" hidden="1" x14ac:dyDescent="0.25">
      <c r="A419" s="13">
        <v>4</v>
      </c>
      <c r="B419" s="14" t="s">
        <v>1074</v>
      </c>
      <c r="C419" s="13" t="s">
        <v>1096</v>
      </c>
      <c r="D419" s="13" t="s">
        <v>1098</v>
      </c>
      <c r="E419" s="13" t="s">
        <v>52</v>
      </c>
      <c r="F419" s="15">
        <f t="shared" si="358"/>
        <v>1</v>
      </c>
      <c r="G419" s="13">
        <v>3</v>
      </c>
      <c r="H419" s="13">
        <f t="shared" si="406"/>
        <v>3</v>
      </c>
      <c r="I419" s="13">
        <v>21</v>
      </c>
      <c r="J419" s="14" t="s">
        <v>1097</v>
      </c>
      <c r="K419" s="14" t="s">
        <v>34</v>
      </c>
      <c r="L419" s="13">
        <v>0</v>
      </c>
      <c r="M419" s="14" t="s">
        <v>35</v>
      </c>
      <c r="N419" s="13" t="s">
        <v>1098</v>
      </c>
      <c r="O419" s="28" t="s">
        <v>41</v>
      </c>
      <c r="P419" s="28" t="s">
        <v>41</v>
      </c>
      <c r="Q419" s="28" t="s">
        <v>1098</v>
      </c>
      <c r="R419" s="30"/>
      <c r="S419" s="30"/>
      <c r="T419" s="30"/>
      <c r="U419" s="30"/>
      <c r="V419" s="8">
        <f t="shared" si="359"/>
        <v>0</v>
      </c>
      <c r="W419" s="8">
        <f t="shared" si="360"/>
        <v>0</v>
      </c>
      <c r="X419" s="8">
        <f t="shared" si="361"/>
        <v>0</v>
      </c>
      <c r="Y419" s="33">
        <f t="shared" si="362"/>
        <v>0</v>
      </c>
      <c r="Z419" s="28" t="s">
        <v>56</v>
      </c>
      <c r="AA419" s="28" t="s">
        <v>57</v>
      </c>
      <c r="AB419" s="28" t="s">
        <v>1098</v>
      </c>
      <c r="AC419" s="31" t="s">
        <v>1099</v>
      </c>
      <c r="AD419" s="50">
        <f t="shared" si="363"/>
        <v>3</v>
      </c>
      <c r="AE419" s="31"/>
      <c r="AF419" s="51">
        <v>14</v>
      </c>
      <c r="AG419" s="51">
        <f t="shared" si="391"/>
        <v>8.4</v>
      </c>
      <c r="AH419" s="51">
        <f t="shared" si="356"/>
        <v>42</v>
      </c>
      <c r="AI419" s="52" t="s">
        <v>2497</v>
      </c>
      <c r="AJ419" s="52" t="s">
        <v>2498</v>
      </c>
      <c r="AK419" s="53">
        <f t="shared" si="392"/>
        <v>0</v>
      </c>
      <c r="AL419" s="54">
        <f t="shared" si="393"/>
        <v>0.11904761904761904</v>
      </c>
      <c r="AM419" s="54">
        <f t="shared" si="394"/>
        <v>2.3809523809523808E-2</v>
      </c>
      <c r="AN419" s="55">
        <f t="shared" si="395"/>
        <v>0</v>
      </c>
      <c r="AO419" s="55">
        <f t="shared" si="396"/>
        <v>0</v>
      </c>
      <c r="AP419" s="53">
        <v>7.1</v>
      </c>
      <c r="AQ419" s="53">
        <f t="shared" si="364"/>
        <v>4.26</v>
      </c>
      <c r="AR419" s="53">
        <f t="shared" si="365"/>
        <v>21.299999999999997</v>
      </c>
      <c r="AS419" s="56">
        <f t="shared" si="366"/>
        <v>4.6948356807511742E-2</v>
      </c>
      <c r="AT419" s="56">
        <f t="shared" si="397"/>
        <v>0.23474178403755869</v>
      </c>
      <c r="AU419" s="56">
        <f t="shared" si="367"/>
        <v>0.176056338028169</v>
      </c>
      <c r="AV419" s="56">
        <f t="shared" si="398"/>
        <v>5.8685446009389672E-2</v>
      </c>
      <c r="AW419" s="57" t="s">
        <v>2511</v>
      </c>
      <c r="AX419" s="57" t="s">
        <v>2512</v>
      </c>
      <c r="AY419" s="57" t="s">
        <v>2513</v>
      </c>
      <c r="AZ419" s="58">
        <f t="shared" si="399"/>
        <v>0</v>
      </c>
      <c r="BA419" s="59">
        <f t="shared" si="402"/>
        <v>0</v>
      </c>
      <c r="BB419" s="59">
        <f t="shared" si="403"/>
        <v>0</v>
      </c>
      <c r="BC419" s="59">
        <f t="shared" si="404"/>
        <v>0</v>
      </c>
      <c r="BD419" s="60">
        <f t="shared" si="400"/>
        <v>7.1095438516664771E-6</v>
      </c>
      <c r="BE419" s="59">
        <f t="shared" si="401"/>
        <v>2.1328631554999432E-5</v>
      </c>
      <c r="BQ419" s="61">
        <v>3000</v>
      </c>
      <c r="BR419" s="61">
        <v>1200</v>
      </c>
      <c r="BS419" s="28">
        <f t="shared" si="368"/>
        <v>2980</v>
      </c>
      <c r="BT419" s="28">
        <f t="shared" si="369"/>
        <v>1180</v>
      </c>
      <c r="BU419" s="28" t="s">
        <v>2541</v>
      </c>
      <c r="BV419" s="28">
        <f t="shared" si="370"/>
        <v>5</v>
      </c>
      <c r="BW419" s="28">
        <f t="shared" si="371"/>
        <v>5</v>
      </c>
      <c r="BX419" s="13">
        <f t="shared" si="372"/>
        <v>596</v>
      </c>
      <c r="BY419" s="13">
        <f t="shared" si="373"/>
        <v>596</v>
      </c>
      <c r="BZ419" s="13">
        <f t="shared" si="374"/>
        <v>236</v>
      </c>
      <c r="CA419" s="13">
        <f t="shared" si="375"/>
        <v>236</v>
      </c>
      <c r="CB419" s="13">
        <f t="shared" si="376"/>
        <v>140656</v>
      </c>
      <c r="CC419" s="62">
        <f t="shared" si="377"/>
        <v>7.1095438516664771E-6</v>
      </c>
      <c r="CD419" s="13">
        <f t="shared" si="378"/>
        <v>596</v>
      </c>
      <c r="CE419" s="13">
        <f t="shared" si="379"/>
        <v>596</v>
      </c>
      <c r="CF419" s="13">
        <f t="shared" si="380"/>
        <v>236</v>
      </c>
      <c r="CG419" s="13">
        <f t="shared" si="381"/>
        <v>236</v>
      </c>
      <c r="CH419" s="28">
        <f t="shared" si="382"/>
        <v>140656</v>
      </c>
      <c r="CI419" s="62">
        <f t="shared" si="383"/>
        <v>7.1095438516664771E-6</v>
      </c>
      <c r="CJ419" s="59">
        <f t="shared" si="384"/>
        <v>7.1095438516664771E-6</v>
      </c>
      <c r="CL419" s="63">
        <v>6000</v>
      </c>
      <c r="CM419" s="63">
        <f t="shared" si="385"/>
        <v>0</v>
      </c>
      <c r="CN419" s="63">
        <f t="shared" si="386"/>
        <v>5</v>
      </c>
      <c r="CO419" s="63">
        <f t="shared" si="387"/>
        <v>1200</v>
      </c>
      <c r="CP419" s="13">
        <f t="shared" si="388"/>
        <v>1200</v>
      </c>
      <c r="CQ419" s="70">
        <f t="shared" si="389"/>
        <v>8.3333333333333339E-4</v>
      </c>
      <c r="CR419" s="69">
        <f t="shared" si="357"/>
        <v>2.5000000000000001E-3</v>
      </c>
    </row>
    <row r="420" spans="1:96" hidden="1" x14ac:dyDescent="0.25">
      <c r="A420" s="13">
        <v>4</v>
      </c>
      <c r="B420" s="14" t="s">
        <v>1074</v>
      </c>
      <c r="C420" s="13" t="s">
        <v>1100</v>
      </c>
      <c r="D420" s="13" t="s">
        <v>2270</v>
      </c>
      <c r="E420" s="13" t="s">
        <v>52</v>
      </c>
      <c r="F420" s="15">
        <f t="shared" si="358"/>
        <v>2</v>
      </c>
      <c r="G420" s="13">
        <v>3</v>
      </c>
      <c r="H420" s="13">
        <f t="shared" si="406"/>
        <v>3</v>
      </c>
      <c r="I420" s="13">
        <v>22</v>
      </c>
      <c r="J420" s="14" t="s">
        <v>1101</v>
      </c>
      <c r="K420" s="14" t="s">
        <v>34</v>
      </c>
      <c r="L420" s="13">
        <v>0</v>
      </c>
      <c r="M420" s="14" t="s">
        <v>35</v>
      </c>
      <c r="N420" s="13" t="s">
        <v>1102</v>
      </c>
      <c r="O420" s="28" t="s">
        <v>41</v>
      </c>
      <c r="P420" s="28" t="s">
        <v>41</v>
      </c>
      <c r="Q420" s="28" t="s">
        <v>1102</v>
      </c>
      <c r="R420" s="30"/>
      <c r="S420" s="30"/>
      <c r="T420" s="30"/>
      <c r="U420" s="30"/>
      <c r="V420" s="8">
        <f t="shared" si="359"/>
        <v>0</v>
      </c>
      <c r="W420" s="8">
        <f t="shared" si="360"/>
        <v>0</v>
      </c>
      <c r="X420" s="8">
        <f t="shared" si="361"/>
        <v>0</v>
      </c>
      <c r="Y420" s="33">
        <f t="shared" si="362"/>
        <v>0</v>
      </c>
      <c r="Z420" s="28"/>
      <c r="AA420" s="28"/>
      <c r="AB420" s="61" t="s">
        <v>1102</v>
      </c>
      <c r="AC420" s="31" t="s">
        <v>1103</v>
      </c>
      <c r="AD420" s="50">
        <f t="shared" si="363"/>
        <v>3</v>
      </c>
      <c r="AE420" s="31"/>
      <c r="AF420" s="51">
        <v>14</v>
      </c>
      <c r="AG420" s="51">
        <f t="shared" si="391"/>
        <v>8.4</v>
      </c>
      <c r="AH420" s="51">
        <f t="shared" si="356"/>
        <v>42</v>
      </c>
      <c r="AI420" s="52" t="s">
        <v>2497</v>
      </c>
      <c r="AJ420" s="52" t="s">
        <v>2498</v>
      </c>
      <c r="AK420" s="53">
        <f t="shared" si="392"/>
        <v>0</v>
      </c>
      <c r="AL420" s="54">
        <f t="shared" si="393"/>
        <v>0.11904761904761904</v>
      </c>
      <c r="AM420" s="54">
        <f t="shared" si="394"/>
        <v>2.3809523809523808E-2</v>
      </c>
      <c r="AN420" s="55">
        <f t="shared" si="395"/>
        <v>0</v>
      </c>
      <c r="AO420" s="55">
        <f t="shared" si="396"/>
        <v>0</v>
      </c>
      <c r="AP420" s="53">
        <v>7.1</v>
      </c>
      <c r="AQ420" s="53">
        <f t="shared" si="364"/>
        <v>4.26</v>
      </c>
      <c r="AR420" s="53">
        <f t="shared" si="365"/>
        <v>21.299999999999997</v>
      </c>
      <c r="AS420" s="56">
        <f t="shared" si="366"/>
        <v>4.6948356807511742E-2</v>
      </c>
      <c r="AT420" s="56">
        <f t="shared" si="397"/>
        <v>0.23474178403755869</v>
      </c>
      <c r="AU420" s="56">
        <f t="shared" si="367"/>
        <v>0.176056338028169</v>
      </c>
      <c r="AV420" s="56">
        <f t="shared" si="398"/>
        <v>5.8685446009389672E-2</v>
      </c>
      <c r="AW420" s="57" t="s">
        <v>2511</v>
      </c>
      <c r="AX420" s="57" t="s">
        <v>2512</v>
      </c>
      <c r="AY420" s="57" t="s">
        <v>2513</v>
      </c>
      <c r="AZ420" s="58">
        <f t="shared" si="399"/>
        <v>0</v>
      </c>
      <c r="BA420" s="59">
        <f t="shared" si="402"/>
        <v>0</v>
      </c>
      <c r="BB420" s="59">
        <f t="shared" si="403"/>
        <v>0</v>
      </c>
      <c r="BC420" s="59">
        <f t="shared" si="404"/>
        <v>0</v>
      </c>
      <c r="BD420" s="60">
        <f t="shared" si="400"/>
        <v>7.1095438516664771E-6</v>
      </c>
      <c r="BE420" s="59">
        <f t="shared" si="401"/>
        <v>2.1328631554999432E-5</v>
      </c>
      <c r="BQ420" s="61">
        <v>3000</v>
      </c>
      <c r="BR420" s="61">
        <v>1200</v>
      </c>
      <c r="BS420" s="28">
        <f t="shared" si="368"/>
        <v>2980</v>
      </c>
      <c r="BT420" s="28">
        <f t="shared" si="369"/>
        <v>1180</v>
      </c>
      <c r="BU420" s="28" t="s">
        <v>2541</v>
      </c>
      <c r="BV420" s="28">
        <f t="shared" si="370"/>
        <v>5</v>
      </c>
      <c r="BW420" s="28">
        <f t="shared" si="371"/>
        <v>5</v>
      </c>
      <c r="BX420" s="13">
        <f t="shared" si="372"/>
        <v>596</v>
      </c>
      <c r="BY420" s="13">
        <f t="shared" si="373"/>
        <v>596</v>
      </c>
      <c r="BZ420" s="13">
        <f t="shared" si="374"/>
        <v>236</v>
      </c>
      <c r="CA420" s="13">
        <f t="shared" si="375"/>
        <v>236</v>
      </c>
      <c r="CB420" s="13">
        <f t="shared" si="376"/>
        <v>140656</v>
      </c>
      <c r="CC420" s="62">
        <f t="shared" si="377"/>
        <v>7.1095438516664771E-6</v>
      </c>
      <c r="CD420" s="13">
        <f t="shared" si="378"/>
        <v>596</v>
      </c>
      <c r="CE420" s="13">
        <f t="shared" si="379"/>
        <v>596</v>
      </c>
      <c r="CF420" s="13">
        <f t="shared" si="380"/>
        <v>236</v>
      </c>
      <c r="CG420" s="13">
        <f t="shared" si="381"/>
        <v>236</v>
      </c>
      <c r="CH420" s="28">
        <f t="shared" si="382"/>
        <v>140656</v>
      </c>
      <c r="CI420" s="62">
        <f t="shared" si="383"/>
        <v>7.1095438516664771E-6</v>
      </c>
      <c r="CJ420" s="59">
        <f t="shared" si="384"/>
        <v>7.1095438516664771E-6</v>
      </c>
      <c r="CL420" s="63">
        <v>6000</v>
      </c>
      <c r="CM420" s="63">
        <f t="shared" si="385"/>
        <v>0</v>
      </c>
      <c r="CN420" s="63">
        <f t="shared" si="386"/>
        <v>5</v>
      </c>
      <c r="CO420" s="63">
        <f t="shared" si="387"/>
        <v>1200</v>
      </c>
      <c r="CP420" s="13">
        <f t="shared" si="388"/>
        <v>1200</v>
      </c>
      <c r="CQ420" s="70">
        <f t="shared" si="389"/>
        <v>8.3333333333333339E-4</v>
      </c>
      <c r="CR420" s="69">
        <f t="shared" si="357"/>
        <v>2.5000000000000001E-3</v>
      </c>
    </row>
    <row r="421" spans="1:96" hidden="1" x14ac:dyDescent="0.25">
      <c r="A421" s="13">
        <v>4</v>
      </c>
      <c r="B421" s="14" t="s">
        <v>1074</v>
      </c>
      <c r="C421" s="13" t="s">
        <v>59</v>
      </c>
      <c r="D421" s="13" t="s">
        <v>61</v>
      </c>
      <c r="E421" s="13" t="s">
        <v>52</v>
      </c>
      <c r="F421" s="15">
        <f t="shared" si="358"/>
        <v>19</v>
      </c>
      <c r="G421" s="13">
        <v>17</v>
      </c>
      <c r="H421" s="13">
        <f t="shared" si="406"/>
        <v>17</v>
      </c>
      <c r="I421" s="13">
        <v>23</v>
      </c>
      <c r="J421" s="14" t="s">
        <v>60</v>
      </c>
      <c r="K421" s="14" t="s">
        <v>34</v>
      </c>
      <c r="L421" s="13">
        <v>0</v>
      </c>
      <c r="M421" s="14" t="s">
        <v>35</v>
      </c>
      <c r="N421" s="13" t="s">
        <v>61</v>
      </c>
      <c r="O421" s="28" t="s">
        <v>41</v>
      </c>
      <c r="P421" s="28" t="s">
        <v>41</v>
      </c>
      <c r="Q421" s="28" t="s">
        <v>61</v>
      </c>
      <c r="R421" s="30"/>
      <c r="S421" s="30"/>
      <c r="T421" s="30"/>
      <c r="U421" s="30"/>
      <c r="V421" s="8">
        <f t="shared" si="359"/>
        <v>0</v>
      </c>
      <c r="W421" s="8">
        <f t="shared" si="360"/>
        <v>0</v>
      </c>
      <c r="X421" s="8">
        <f t="shared" si="361"/>
        <v>0</v>
      </c>
      <c r="Y421" s="33">
        <f t="shared" si="362"/>
        <v>0</v>
      </c>
      <c r="Z421" s="28"/>
      <c r="AA421" s="28"/>
      <c r="AB421" s="61" t="s">
        <v>61</v>
      </c>
      <c r="AC421" s="31" t="s">
        <v>62</v>
      </c>
      <c r="AD421" s="50">
        <f t="shared" si="363"/>
        <v>17</v>
      </c>
      <c r="AE421" s="31"/>
      <c r="AF421" s="51">
        <v>14</v>
      </c>
      <c r="AG421" s="51">
        <f t="shared" si="391"/>
        <v>8.4</v>
      </c>
      <c r="AH421" s="51">
        <f t="shared" si="356"/>
        <v>42</v>
      </c>
      <c r="AI421" s="52" t="s">
        <v>2497</v>
      </c>
      <c r="AJ421" s="52" t="s">
        <v>2498</v>
      </c>
      <c r="AK421" s="53">
        <f t="shared" si="392"/>
        <v>0</v>
      </c>
      <c r="AL421" s="54">
        <f t="shared" si="393"/>
        <v>0.11904761904761904</v>
      </c>
      <c r="AM421" s="54">
        <f t="shared" si="394"/>
        <v>2.3809523809523808E-2</v>
      </c>
      <c r="AN421" s="55">
        <f t="shared" si="395"/>
        <v>0</v>
      </c>
      <c r="AO421" s="55">
        <f t="shared" si="396"/>
        <v>0</v>
      </c>
      <c r="AP421" s="53">
        <v>7.1</v>
      </c>
      <c r="AQ421" s="53">
        <f t="shared" si="364"/>
        <v>4.26</v>
      </c>
      <c r="AR421" s="53">
        <f t="shared" si="365"/>
        <v>21.299999999999997</v>
      </c>
      <c r="AS421" s="56">
        <f t="shared" si="366"/>
        <v>4.6948356807511742E-2</v>
      </c>
      <c r="AT421" s="56">
        <f t="shared" si="397"/>
        <v>0.23474178403755869</v>
      </c>
      <c r="AU421" s="56">
        <f t="shared" si="367"/>
        <v>0.176056338028169</v>
      </c>
      <c r="AV421" s="56">
        <f t="shared" si="398"/>
        <v>5.8685446009389672E-2</v>
      </c>
      <c r="AW421" s="57" t="s">
        <v>2511</v>
      </c>
      <c r="AX421" s="57" t="s">
        <v>2512</v>
      </c>
      <c r="AY421" s="57" t="s">
        <v>2513</v>
      </c>
      <c r="AZ421" s="58">
        <f t="shared" si="399"/>
        <v>0</v>
      </c>
      <c r="BA421" s="59">
        <f t="shared" si="402"/>
        <v>0</v>
      </c>
      <c r="BB421" s="59">
        <f t="shared" si="403"/>
        <v>0</v>
      </c>
      <c r="BC421" s="59">
        <f t="shared" si="404"/>
        <v>0</v>
      </c>
      <c r="BD421" s="60">
        <f t="shared" si="400"/>
        <v>7.1095438516664771E-6</v>
      </c>
      <c r="BE421" s="59">
        <f t="shared" si="401"/>
        <v>1.2086224547833011E-4</v>
      </c>
      <c r="BQ421" s="61">
        <v>3000</v>
      </c>
      <c r="BR421" s="61">
        <v>1200</v>
      </c>
      <c r="BS421" s="28">
        <f t="shared" si="368"/>
        <v>2980</v>
      </c>
      <c r="BT421" s="28">
        <f t="shared" si="369"/>
        <v>1180</v>
      </c>
      <c r="BU421" s="28" t="s">
        <v>2541</v>
      </c>
      <c r="BV421" s="28">
        <f t="shared" si="370"/>
        <v>5</v>
      </c>
      <c r="BW421" s="28">
        <f t="shared" si="371"/>
        <v>5</v>
      </c>
      <c r="BX421" s="13">
        <f t="shared" si="372"/>
        <v>596</v>
      </c>
      <c r="BY421" s="13">
        <f t="shared" si="373"/>
        <v>596</v>
      </c>
      <c r="BZ421" s="13">
        <f t="shared" si="374"/>
        <v>236</v>
      </c>
      <c r="CA421" s="13">
        <f t="shared" si="375"/>
        <v>236</v>
      </c>
      <c r="CB421" s="13">
        <f t="shared" si="376"/>
        <v>140656</v>
      </c>
      <c r="CC421" s="62">
        <f t="shared" si="377"/>
        <v>7.1095438516664771E-6</v>
      </c>
      <c r="CD421" s="13">
        <f t="shared" si="378"/>
        <v>596</v>
      </c>
      <c r="CE421" s="13">
        <f t="shared" si="379"/>
        <v>596</v>
      </c>
      <c r="CF421" s="13">
        <f t="shared" si="380"/>
        <v>236</v>
      </c>
      <c r="CG421" s="13">
        <f t="shared" si="381"/>
        <v>236</v>
      </c>
      <c r="CH421" s="28">
        <f t="shared" si="382"/>
        <v>140656</v>
      </c>
      <c r="CI421" s="62">
        <f t="shared" si="383"/>
        <v>7.1095438516664771E-6</v>
      </c>
      <c r="CJ421" s="59">
        <f t="shared" si="384"/>
        <v>7.1095438516664771E-6</v>
      </c>
      <c r="CL421" s="63">
        <v>6000</v>
      </c>
      <c r="CM421" s="63">
        <f t="shared" si="385"/>
        <v>0</v>
      </c>
      <c r="CN421" s="63">
        <f t="shared" si="386"/>
        <v>5</v>
      </c>
      <c r="CO421" s="63">
        <f t="shared" si="387"/>
        <v>1200</v>
      </c>
      <c r="CP421" s="13">
        <f t="shared" si="388"/>
        <v>1200</v>
      </c>
      <c r="CQ421" s="70">
        <f t="shared" si="389"/>
        <v>8.3333333333333339E-4</v>
      </c>
      <c r="CR421" s="69">
        <f t="shared" si="357"/>
        <v>1.4166666666666668E-2</v>
      </c>
    </row>
    <row r="422" spans="1:96" hidden="1" x14ac:dyDescent="0.25">
      <c r="A422" s="13">
        <v>4</v>
      </c>
      <c r="B422" s="14" t="s">
        <v>1074</v>
      </c>
      <c r="C422" s="13" t="s">
        <v>827</v>
      </c>
      <c r="D422" s="13" t="s">
        <v>828</v>
      </c>
      <c r="E422" s="13" t="s">
        <v>52</v>
      </c>
      <c r="F422" s="15">
        <f t="shared" si="358"/>
        <v>6</v>
      </c>
      <c r="G422" s="13">
        <v>1</v>
      </c>
      <c r="H422" s="13">
        <f t="shared" si="406"/>
        <v>1</v>
      </c>
      <c r="I422" s="13">
        <v>24</v>
      </c>
      <c r="J422" s="14" t="s">
        <v>76</v>
      </c>
      <c r="K422" s="14" t="s">
        <v>34</v>
      </c>
      <c r="L422" s="13" t="s">
        <v>77</v>
      </c>
      <c r="M422" s="14" t="s">
        <v>35</v>
      </c>
      <c r="N422" s="13" t="s">
        <v>828</v>
      </c>
      <c r="O422" s="28" t="s">
        <v>41</v>
      </c>
      <c r="P422" s="28" t="s">
        <v>41</v>
      </c>
      <c r="Q422" s="28" t="s">
        <v>79</v>
      </c>
      <c r="R422" s="30">
        <v>9.015748031496063</v>
      </c>
      <c r="S422" s="30">
        <v>0.3125</v>
      </c>
      <c r="T422" s="30"/>
      <c r="U422" s="30">
        <v>0.3125</v>
      </c>
      <c r="V422" s="8">
        <f t="shared" si="359"/>
        <v>229</v>
      </c>
      <c r="W422" s="8">
        <f t="shared" si="360"/>
        <v>7.9375</v>
      </c>
      <c r="X422" s="8">
        <f t="shared" si="361"/>
        <v>0</v>
      </c>
      <c r="Y422" s="33">
        <f t="shared" si="362"/>
        <v>7.9375</v>
      </c>
      <c r="Z422" s="28" t="s">
        <v>80</v>
      </c>
      <c r="AA422" s="28" t="s">
        <v>81</v>
      </c>
      <c r="AB422" s="61" t="s">
        <v>79</v>
      </c>
      <c r="AC422" s="31" t="s">
        <v>82</v>
      </c>
      <c r="AD422" s="50">
        <f t="shared" si="363"/>
        <v>1</v>
      </c>
      <c r="AE422" s="47" t="s">
        <v>107</v>
      </c>
      <c r="AF422" s="51">
        <v>14</v>
      </c>
      <c r="AG422" s="51">
        <f t="shared" si="391"/>
        <v>8.4</v>
      </c>
      <c r="AH422" s="51">
        <f t="shared" si="356"/>
        <v>42</v>
      </c>
      <c r="AI422" s="52" t="s">
        <v>2497</v>
      </c>
      <c r="AJ422" s="52" t="s">
        <v>2498</v>
      </c>
      <c r="AK422" s="53">
        <f t="shared" si="392"/>
        <v>3.6353750000000002E-3</v>
      </c>
      <c r="AL422" s="54">
        <f t="shared" si="393"/>
        <v>0.11904761904761904</v>
      </c>
      <c r="AM422" s="54">
        <f t="shared" si="394"/>
        <v>2.3809523809523808E-2</v>
      </c>
      <c r="AN422" s="55">
        <f t="shared" si="395"/>
        <v>4.3278273809523808E-4</v>
      </c>
      <c r="AO422" s="55">
        <f t="shared" si="396"/>
        <v>8.6556547619047618E-5</v>
      </c>
      <c r="AP422" s="53">
        <v>7.1</v>
      </c>
      <c r="AQ422" s="53">
        <f t="shared" si="364"/>
        <v>4.26</v>
      </c>
      <c r="AR422" s="53">
        <f t="shared" si="365"/>
        <v>21.299999999999997</v>
      </c>
      <c r="AS422" s="56">
        <f t="shared" si="366"/>
        <v>4.6948356807511742E-2</v>
      </c>
      <c r="AT422" s="56">
        <f t="shared" si="397"/>
        <v>0.23474178403755869</v>
      </c>
      <c r="AU422" s="56">
        <f t="shared" si="367"/>
        <v>0.176056338028169</v>
      </c>
      <c r="AV422" s="56">
        <f t="shared" si="398"/>
        <v>5.8685446009389672E-2</v>
      </c>
      <c r="AW422" s="57" t="s">
        <v>2511</v>
      </c>
      <c r="AX422" s="57" t="s">
        <v>2512</v>
      </c>
      <c r="AY422" s="57" t="s">
        <v>2513</v>
      </c>
      <c r="AZ422" s="58">
        <f t="shared" si="399"/>
        <v>3.6353750000000002E-3</v>
      </c>
      <c r="BA422" s="59">
        <f t="shared" si="402"/>
        <v>1.066718016431925E-4</v>
      </c>
      <c r="BB422" s="59">
        <f t="shared" si="403"/>
        <v>3.2001540492957744E-4</v>
      </c>
      <c r="BC422" s="59">
        <f t="shared" si="404"/>
        <v>8.5337441314554006E-5</v>
      </c>
      <c r="BD422" s="60">
        <f t="shared" si="400"/>
        <v>8.6956521739130438E-4</v>
      </c>
      <c r="BE422" s="59">
        <f t="shared" si="401"/>
        <v>8.6956521739130438E-4</v>
      </c>
      <c r="BQ422" s="61">
        <v>3000</v>
      </c>
      <c r="BR422" s="61">
        <v>1200</v>
      </c>
      <c r="BS422" s="28">
        <f t="shared" si="368"/>
        <v>2980</v>
      </c>
      <c r="BT422" s="28">
        <f t="shared" si="369"/>
        <v>1180</v>
      </c>
      <c r="BU422" s="28" t="s">
        <v>2541</v>
      </c>
      <c r="BV422" s="28">
        <f t="shared" si="370"/>
        <v>234</v>
      </c>
      <c r="BW422" s="28">
        <f t="shared" si="371"/>
        <v>12.9375</v>
      </c>
      <c r="BX422" s="13">
        <f t="shared" si="372"/>
        <v>12.735042735042734</v>
      </c>
      <c r="BY422" s="13">
        <f t="shared" si="373"/>
        <v>12</v>
      </c>
      <c r="BZ422" s="13">
        <f t="shared" si="374"/>
        <v>91.207729468599027</v>
      </c>
      <c r="CA422" s="13">
        <f t="shared" si="375"/>
        <v>91</v>
      </c>
      <c r="CB422" s="13">
        <f t="shared" si="376"/>
        <v>1092</v>
      </c>
      <c r="CC422" s="62">
        <f t="shared" si="377"/>
        <v>9.1575091575091575E-4</v>
      </c>
      <c r="CD422" s="13">
        <f t="shared" si="378"/>
        <v>230.33816425120773</v>
      </c>
      <c r="CE422" s="13">
        <f t="shared" si="379"/>
        <v>230</v>
      </c>
      <c r="CF422" s="13">
        <f t="shared" si="380"/>
        <v>5.0427350427350426</v>
      </c>
      <c r="CG422" s="13">
        <f t="shared" si="381"/>
        <v>5</v>
      </c>
      <c r="CH422" s="28">
        <f t="shared" si="382"/>
        <v>1150</v>
      </c>
      <c r="CI422" s="62">
        <f t="shared" si="383"/>
        <v>8.6956521739130438E-4</v>
      </c>
      <c r="CJ422" s="59">
        <f t="shared" si="384"/>
        <v>8.6956521739130438E-4</v>
      </c>
      <c r="CL422" s="63">
        <v>6000</v>
      </c>
      <c r="CM422" s="63">
        <f t="shared" si="385"/>
        <v>229</v>
      </c>
      <c r="CN422" s="63">
        <f t="shared" si="386"/>
        <v>234</v>
      </c>
      <c r="CO422" s="63">
        <f t="shared" si="387"/>
        <v>25.641025641025642</v>
      </c>
      <c r="CP422" s="13">
        <f t="shared" si="388"/>
        <v>25</v>
      </c>
      <c r="CQ422" s="70">
        <f t="shared" si="389"/>
        <v>0.04</v>
      </c>
      <c r="CR422" s="69">
        <f t="shared" si="357"/>
        <v>0.04</v>
      </c>
    </row>
    <row r="423" spans="1:96" hidden="1" x14ac:dyDescent="0.25">
      <c r="A423" s="13">
        <v>4</v>
      </c>
      <c r="B423" s="14" t="s">
        <v>1074</v>
      </c>
      <c r="C423" s="13" t="s">
        <v>817</v>
      </c>
      <c r="D423" s="13" t="s">
        <v>819</v>
      </c>
      <c r="E423" s="13" t="s">
        <v>52</v>
      </c>
      <c r="F423" s="15">
        <f t="shared" si="358"/>
        <v>5</v>
      </c>
      <c r="G423" s="13">
        <v>6</v>
      </c>
      <c r="H423" s="13">
        <f t="shared" si="406"/>
        <v>6</v>
      </c>
      <c r="I423" s="13">
        <v>25</v>
      </c>
      <c r="J423" s="14" t="s">
        <v>818</v>
      </c>
      <c r="K423" s="14" t="s">
        <v>34</v>
      </c>
      <c r="L423" s="13" t="s">
        <v>89</v>
      </c>
      <c r="M423" s="14" t="s">
        <v>35</v>
      </c>
      <c r="N423" s="13" t="s">
        <v>819</v>
      </c>
      <c r="O423" s="28" t="s">
        <v>41</v>
      </c>
      <c r="P423" s="28" t="s">
        <v>41</v>
      </c>
      <c r="Q423" s="28" t="s">
        <v>79</v>
      </c>
      <c r="R423" s="30">
        <v>16.023622047244096</v>
      </c>
      <c r="S423" s="30">
        <v>0.3125</v>
      </c>
      <c r="T423" s="30"/>
      <c r="U423" s="30">
        <v>0.3125</v>
      </c>
      <c r="V423" s="8">
        <f t="shared" si="359"/>
        <v>407</v>
      </c>
      <c r="W423" s="8">
        <f t="shared" si="360"/>
        <v>7.9375</v>
      </c>
      <c r="X423" s="8">
        <f t="shared" si="361"/>
        <v>0</v>
      </c>
      <c r="Y423" s="33">
        <f t="shared" si="362"/>
        <v>7.9375</v>
      </c>
      <c r="Z423" s="28" t="s">
        <v>80</v>
      </c>
      <c r="AA423" s="28" t="s">
        <v>81</v>
      </c>
      <c r="AB423" s="61" t="s">
        <v>79</v>
      </c>
      <c r="AC423" s="31" t="s">
        <v>82</v>
      </c>
      <c r="AD423" s="50">
        <f t="shared" si="363"/>
        <v>6</v>
      </c>
      <c r="AE423" s="31"/>
      <c r="AF423" s="51">
        <v>14</v>
      </c>
      <c r="AG423" s="51">
        <f t="shared" si="391"/>
        <v>8.4</v>
      </c>
      <c r="AH423" s="51">
        <f t="shared" si="356"/>
        <v>42</v>
      </c>
      <c r="AI423" s="52" t="s">
        <v>2497</v>
      </c>
      <c r="AJ423" s="52" t="s">
        <v>2498</v>
      </c>
      <c r="AK423" s="53">
        <f t="shared" si="392"/>
        <v>6.4611249999999999E-3</v>
      </c>
      <c r="AL423" s="54">
        <f t="shared" si="393"/>
        <v>0.11904761904761904</v>
      </c>
      <c r="AM423" s="54">
        <f t="shared" si="394"/>
        <v>2.3809523809523808E-2</v>
      </c>
      <c r="AN423" s="55">
        <f t="shared" si="395"/>
        <v>4.6150892857142849E-3</v>
      </c>
      <c r="AO423" s="55">
        <f t="shared" si="396"/>
        <v>9.2301785714285706E-4</v>
      </c>
      <c r="AP423" s="53">
        <v>7.1</v>
      </c>
      <c r="AQ423" s="53">
        <f t="shared" si="364"/>
        <v>4.26</v>
      </c>
      <c r="AR423" s="53">
        <f t="shared" si="365"/>
        <v>21.299999999999997</v>
      </c>
      <c r="AS423" s="56">
        <f t="shared" si="366"/>
        <v>4.6948356807511742E-2</v>
      </c>
      <c r="AT423" s="56">
        <f t="shared" si="397"/>
        <v>0.23474178403755869</v>
      </c>
      <c r="AU423" s="56">
        <f t="shared" si="367"/>
        <v>0.176056338028169</v>
      </c>
      <c r="AV423" s="56">
        <f t="shared" si="398"/>
        <v>5.8685446009389672E-2</v>
      </c>
      <c r="AW423" s="57" t="s">
        <v>2511</v>
      </c>
      <c r="AX423" s="57" t="s">
        <v>2512</v>
      </c>
      <c r="AY423" s="57" t="s">
        <v>2513</v>
      </c>
      <c r="AZ423" s="58">
        <f t="shared" si="399"/>
        <v>6.4611249999999999E-3</v>
      </c>
      <c r="BA423" s="59">
        <f t="shared" si="402"/>
        <v>1.1375220070422535E-3</v>
      </c>
      <c r="BB423" s="59">
        <f t="shared" si="403"/>
        <v>3.4125660211267602E-3</v>
      </c>
      <c r="BC423" s="59">
        <f t="shared" si="404"/>
        <v>9.1001760563380282E-4</v>
      </c>
      <c r="BD423" s="60">
        <f t="shared" si="400"/>
        <v>1.5698587127158557E-3</v>
      </c>
      <c r="BE423" s="59">
        <f t="shared" si="401"/>
        <v>9.4191522762951344E-3</v>
      </c>
      <c r="BQ423" s="61">
        <v>3000</v>
      </c>
      <c r="BR423" s="61">
        <v>1200</v>
      </c>
      <c r="BS423" s="28">
        <f t="shared" si="368"/>
        <v>2980</v>
      </c>
      <c r="BT423" s="28">
        <f t="shared" si="369"/>
        <v>1180</v>
      </c>
      <c r="BU423" s="28" t="s">
        <v>2541</v>
      </c>
      <c r="BV423" s="28">
        <f t="shared" si="370"/>
        <v>412</v>
      </c>
      <c r="BW423" s="28">
        <f t="shared" si="371"/>
        <v>12.9375</v>
      </c>
      <c r="BX423" s="13">
        <f t="shared" si="372"/>
        <v>7.233009708737864</v>
      </c>
      <c r="BY423" s="13">
        <f t="shared" si="373"/>
        <v>7</v>
      </c>
      <c r="BZ423" s="13">
        <f t="shared" si="374"/>
        <v>91.207729468599027</v>
      </c>
      <c r="CA423" s="13">
        <f t="shared" si="375"/>
        <v>91</v>
      </c>
      <c r="CB423" s="13">
        <f t="shared" si="376"/>
        <v>637</v>
      </c>
      <c r="CC423" s="62">
        <f t="shared" si="377"/>
        <v>1.5698587127158557E-3</v>
      </c>
      <c r="CD423" s="13">
        <f t="shared" si="378"/>
        <v>230.33816425120773</v>
      </c>
      <c r="CE423" s="13">
        <f t="shared" si="379"/>
        <v>230</v>
      </c>
      <c r="CF423" s="13">
        <f t="shared" si="380"/>
        <v>2.8640776699029127</v>
      </c>
      <c r="CG423" s="13">
        <f t="shared" si="381"/>
        <v>2</v>
      </c>
      <c r="CH423" s="28">
        <f t="shared" si="382"/>
        <v>460</v>
      </c>
      <c r="CI423" s="62">
        <f t="shared" si="383"/>
        <v>2.1739130434782609E-3</v>
      </c>
      <c r="CJ423" s="59">
        <f t="shared" si="384"/>
        <v>1.5698587127158557E-3</v>
      </c>
      <c r="CL423" s="63">
        <v>6000</v>
      </c>
      <c r="CM423" s="63">
        <f t="shared" si="385"/>
        <v>407</v>
      </c>
      <c r="CN423" s="63">
        <f t="shared" si="386"/>
        <v>412</v>
      </c>
      <c r="CO423" s="63">
        <f t="shared" si="387"/>
        <v>14.563106796116505</v>
      </c>
      <c r="CP423" s="13">
        <f t="shared" si="388"/>
        <v>14</v>
      </c>
      <c r="CQ423" s="70">
        <f t="shared" si="389"/>
        <v>7.1428571428571425E-2</v>
      </c>
      <c r="CR423" s="69">
        <f t="shared" si="357"/>
        <v>0.42857142857142855</v>
      </c>
    </row>
    <row r="424" spans="1:96" hidden="1" x14ac:dyDescent="0.25">
      <c r="A424" s="10">
        <v>3</v>
      </c>
      <c r="B424" s="8" t="s">
        <v>1019</v>
      </c>
      <c r="C424" s="10" t="s">
        <v>1104</v>
      </c>
      <c r="D424" s="10" t="s">
        <v>2270</v>
      </c>
      <c r="E424" s="10" t="s">
        <v>32</v>
      </c>
      <c r="F424" s="12">
        <f t="shared" si="358"/>
        <v>1</v>
      </c>
      <c r="G424" s="10">
        <v>1</v>
      </c>
      <c r="H424" s="10">
        <f>G424*$H$378</f>
        <v>1</v>
      </c>
      <c r="I424" s="10">
        <v>3</v>
      </c>
      <c r="J424" s="8" t="s">
        <v>1072</v>
      </c>
      <c r="K424" s="8" t="s">
        <v>34</v>
      </c>
      <c r="L424" s="10">
        <v>0</v>
      </c>
      <c r="M424" s="8" t="s">
        <v>35</v>
      </c>
      <c r="N424" s="10" t="s">
        <v>1105</v>
      </c>
      <c r="O424" s="28" t="s">
        <v>41</v>
      </c>
      <c r="P424" s="28" t="s">
        <v>41</v>
      </c>
      <c r="Q424" s="28"/>
      <c r="R424" s="30"/>
      <c r="S424" s="30"/>
      <c r="T424" s="30"/>
      <c r="U424" s="30"/>
      <c r="V424" s="8">
        <f t="shared" si="359"/>
        <v>0</v>
      </c>
      <c r="W424" s="8">
        <f t="shared" si="360"/>
        <v>0</v>
      </c>
      <c r="X424" s="8">
        <f t="shared" si="361"/>
        <v>0</v>
      </c>
      <c r="Y424" s="33">
        <f t="shared" si="362"/>
        <v>0</v>
      </c>
      <c r="Z424" s="28"/>
      <c r="AA424" s="28"/>
      <c r="AB424" s="28">
        <v>0</v>
      </c>
      <c r="AC424" s="31"/>
      <c r="AD424" s="50">
        <f t="shared" si="363"/>
        <v>1</v>
      </c>
      <c r="AE424" s="31"/>
      <c r="AF424" s="51">
        <v>14</v>
      </c>
      <c r="AG424" s="51">
        <f t="shared" si="391"/>
        <v>8.4</v>
      </c>
      <c r="AH424" s="51">
        <f t="shared" si="356"/>
        <v>42</v>
      </c>
      <c r="AI424" s="52" t="s">
        <v>2497</v>
      </c>
      <c r="AJ424" s="52" t="s">
        <v>2498</v>
      </c>
      <c r="AK424" s="53">
        <f t="shared" si="392"/>
        <v>0</v>
      </c>
      <c r="AL424" s="54">
        <f t="shared" si="393"/>
        <v>0.11904761904761904</v>
      </c>
      <c r="AM424" s="54">
        <f t="shared" si="394"/>
        <v>2.3809523809523808E-2</v>
      </c>
      <c r="AN424" s="55">
        <f t="shared" si="395"/>
        <v>0</v>
      </c>
      <c r="AO424" s="55">
        <f t="shared" si="396"/>
        <v>0</v>
      </c>
      <c r="AP424" s="53">
        <v>7.1</v>
      </c>
      <c r="AQ424" s="53">
        <f t="shared" si="364"/>
        <v>4.26</v>
      </c>
      <c r="AR424" s="53">
        <f t="shared" si="365"/>
        <v>21.299999999999997</v>
      </c>
      <c r="AS424" s="56">
        <f t="shared" si="366"/>
        <v>4.6948356807511742E-2</v>
      </c>
      <c r="AT424" s="56">
        <f t="shared" si="397"/>
        <v>0.23474178403755869</v>
      </c>
      <c r="AU424" s="56">
        <f t="shared" si="367"/>
        <v>0.176056338028169</v>
      </c>
      <c r="AV424" s="56">
        <f t="shared" si="398"/>
        <v>5.8685446009389672E-2</v>
      </c>
      <c r="AW424" s="57" t="s">
        <v>2511</v>
      </c>
      <c r="AX424" s="57" t="s">
        <v>2512</v>
      </c>
      <c r="AY424" s="57" t="s">
        <v>2513</v>
      </c>
      <c r="AZ424" s="58">
        <f t="shared" si="399"/>
        <v>0</v>
      </c>
      <c r="BA424" s="59">
        <f t="shared" si="402"/>
        <v>0</v>
      </c>
      <c r="BB424" s="59">
        <f t="shared" si="403"/>
        <v>0</v>
      </c>
      <c r="BC424" s="59">
        <f t="shared" si="404"/>
        <v>0</v>
      </c>
      <c r="BD424" s="60">
        <f t="shared" si="400"/>
        <v>0</v>
      </c>
      <c r="BE424" s="59">
        <f t="shared" si="401"/>
        <v>0</v>
      </c>
      <c r="BQ424" s="61">
        <v>3000</v>
      </c>
      <c r="BR424" s="61">
        <v>1200</v>
      </c>
      <c r="BS424" s="28">
        <f t="shared" si="368"/>
        <v>2980</v>
      </c>
      <c r="BT424" s="28">
        <f t="shared" si="369"/>
        <v>1180</v>
      </c>
      <c r="BU424" s="28" t="s">
        <v>2541</v>
      </c>
      <c r="BV424" s="28">
        <f t="shared" si="370"/>
        <v>5</v>
      </c>
      <c r="BW424" s="28">
        <f t="shared" si="371"/>
        <v>5</v>
      </c>
      <c r="BX424" s="13">
        <f t="shared" si="372"/>
        <v>596</v>
      </c>
      <c r="BY424" s="13">
        <f t="shared" si="373"/>
        <v>596</v>
      </c>
      <c r="BZ424" s="13">
        <f t="shared" si="374"/>
        <v>236</v>
      </c>
      <c r="CA424" s="13">
        <f t="shared" si="375"/>
        <v>236</v>
      </c>
      <c r="CB424" s="13">
        <f t="shared" si="376"/>
        <v>140656</v>
      </c>
      <c r="CC424" s="62" t="str">
        <f t="shared" si="377"/>
        <v/>
      </c>
      <c r="CD424" s="13">
        <f t="shared" si="378"/>
        <v>596</v>
      </c>
      <c r="CE424" s="13">
        <f t="shared" si="379"/>
        <v>596</v>
      </c>
      <c r="CF424" s="13">
        <f t="shared" si="380"/>
        <v>236</v>
      </c>
      <c r="CG424" s="13">
        <f t="shared" si="381"/>
        <v>236</v>
      </c>
      <c r="CH424" s="28">
        <f t="shared" si="382"/>
        <v>140656</v>
      </c>
      <c r="CI424" s="62" t="str">
        <f t="shared" si="383"/>
        <v/>
      </c>
      <c r="CJ424" s="59">
        <f t="shared" si="384"/>
        <v>0</v>
      </c>
      <c r="CL424" s="63">
        <v>6000</v>
      </c>
      <c r="CM424" s="63">
        <f t="shared" si="385"/>
        <v>0</v>
      </c>
      <c r="CN424" s="63">
        <f t="shared" si="386"/>
        <v>5</v>
      </c>
      <c r="CO424" s="63">
        <f t="shared" si="387"/>
        <v>1200</v>
      </c>
      <c r="CP424" s="13">
        <f t="shared" si="388"/>
        <v>1200</v>
      </c>
      <c r="CQ424" s="70">
        <f t="shared" si="389"/>
        <v>8.3333333333333339E-4</v>
      </c>
      <c r="CR424" s="69">
        <f t="shared" si="357"/>
        <v>8.3333333333333339E-4</v>
      </c>
    </row>
    <row r="425" spans="1:96" hidden="1" x14ac:dyDescent="0.25">
      <c r="A425" s="13">
        <v>4</v>
      </c>
      <c r="B425" s="14" t="s">
        <v>1106</v>
      </c>
      <c r="C425" s="13" t="s">
        <v>1107</v>
      </c>
      <c r="D425" s="13" t="s">
        <v>2270</v>
      </c>
      <c r="E425" s="13" t="s">
        <v>52</v>
      </c>
      <c r="F425" s="15">
        <f t="shared" si="358"/>
        <v>1</v>
      </c>
      <c r="G425" s="13">
        <v>1</v>
      </c>
      <c r="H425" s="13">
        <f>G425*$H$424</f>
        <v>1</v>
      </c>
      <c r="I425" s="13">
        <v>1</v>
      </c>
      <c r="J425" s="14" t="s">
        <v>1076</v>
      </c>
      <c r="K425" s="14" t="s">
        <v>34</v>
      </c>
      <c r="L425" s="13">
        <v>0</v>
      </c>
      <c r="M425" s="14" t="s">
        <v>35</v>
      </c>
      <c r="N425" s="13" t="s">
        <v>1108</v>
      </c>
      <c r="O425" s="28" t="s">
        <v>41</v>
      </c>
      <c r="P425" s="28" t="s">
        <v>41</v>
      </c>
      <c r="Q425" s="28" t="s">
        <v>116</v>
      </c>
      <c r="R425" s="30">
        <v>75.022999999999996</v>
      </c>
      <c r="S425" s="30">
        <v>38.115000000000002</v>
      </c>
      <c r="T425" s="30"/>
      <c r="U425" s="30">
        <v>0.12</v>
      </c>
      <c r="V425" s="8">
        <f t="shared" si="359"/>
        <v>1905.5841999999998</v>
      </c>
      <c r="W425" s="8">
        <f t="shared" si="360"/>
        <v>968.12099999999998</v>
      </c>
      <c r="X425" s="8">
        <f t="shared" si="361"/>
        <v>0</v>
      </c>
      <c r="Y425" s="33">
        <f t="shared" si="362"/>
        <v>3.0479999999999996</v>
      </c>
      <c r="Z425" s="28" t="s">
        <v>56</v>
      </c>
      <c r="AA425" s="28" t="s">
        <v>57</v>
      </c>
      <c r="AB425" s="28" t="s">
        <v>116</v>
      </c>
      <c r="AC425" s="31" t="s">
        <v>117</v>
      </c>
      <c r="AD425" s="50">
        <f t="shared" si="363"/>
        <v>1</v>
      </c>
      <c r="AE425" s="31"/>
      <c r="AF425" s="51">
        <v>14</v>
      </c>
      <c r="AG425" s="51">
        <f t="shared" si="391"/>
        <v>8.4</v>
      </c>
      <c r="AH425" s="51">
        <f t="shared" si="356"/>
        <v>42</v>
      </c>
      <c r="AI425" s="52" t="s">
        <v>2497</v>
      </c>
      <c r="AJ425" s="52" t="s">
        <v>2498</v>
      </c>
      <c r="AK425" s="53">
        <f t="shared" si="392"/>
        <v>3.6896721625763993</v>
      </c>
      <c r="AL425" s="54">
        <f t="shared" si="393"/>
        <v>0.11904761904761904</v>
      </c>
      <c r="AM425" s="54">
        <f t="shared" si="394"/>
        <v>2.3809523809523808E-2</v>
      </c>
      <c r="AN425" s="55">
        <f t="shared" si="395"/>
        <v>0.43924668602099987</v>
      </c>
      <c r="AO425" s="55">
        <f t="shared" si="396"/>
        <v>8.7849337204199976E-2</v>
      </c>
      <c r="AP425" s="53">
        <v>7.1</v>
      </c>
      <c r="AQ425" s="53">
        <f t="shared" si="364"/>
        <v>4.26</v>
      </c>
      <c r="AR425" s="53">
        <f t="shared" si="365"/>
        <v>21.299999999999997</v>
      </c>
      <c r="AS425" s="56">
        <f t="shared" si="366"/>
        <v>4.6948356807511742E-2</v>
      </c>
      <c r="AT425" s="56">
        <f t="shared" si="397"/>
        <v>0.23474178403755869</v>
      </c>
      <c r="AU425" s="56">
        <f t="shared" si="367"/>
        <v>0.176056338028169</v>
      </c>
      <c r="AV425" s="56">
        <f t="shared" si="398"/>
        <v>5.8685446009389672E-2</v>
      </c>
      <c r="AW425" s="57" t="s">
        <v>2511</v>
      </c>
      <c r="AX425" s="57" t="s">
        <v>2512</v>
      </c>
      <c r="AY425" s="57" t="s">
        <v>2513</v>
      </c>
      <c r="AZ425" s="58">
        <f t="shared" si="399"/>
        <v>3.6896721625763993</v>
      </c>
      <c r="BA425" s="59">
        <f t="shared" si="402"/>
        <v>0.10826502824461266</v>
      </c>
      <c r="BB425" s="59">
        <f t="shared" si="403"/>
        <v>0.32479508473383795</v>
      </c>
      <c r="BC425" s="59">
        <f t="shared" si="404"/>
        <v>8.6612022595690133E-2</v>
      </c>
      <c r="BD425" s="60">
        <f t="shared" si="400"/>
        <v>1</v>
      </c>
      <c r="BE425" s="59">
        <f t="shared" si="401"/>
        <v>1</v>
      </c>
      <c r="BQ425" s="61">
        <v>3000</v>
      </c>
      <c r="BR425" s="61">
        <v>1200</v>
      </c>
      <c r="BS425" s="28">
        <f t="shared" si="368"/>
        <v>2980</v>
      </c>
      <c r="BT425" s="28">
        <f t="shared" si="369"/>
        <v>1180</v>
      </c>
      <c r="BU425" s="28" t="s">
        <v>2541</v>
      </c>
      <c r="BV425" s="28">
        <f t="shared" si="370"/>
        <v>1910.5841999999998</v>
      </c>
      <c r="BW425" s="28">
        <f t="shared" si="371"/>
        <v>973.12099999999998</v>
      </c>
      <c r="BX425" s="13">
        <f t="shared" si="372"/>
        <v>1.5597323583017175</v>
      </c>
      <c r="BY425" s="13">
        <f t="shared" si="373"/>
        <v>1</v>
      </c>
      <c r="BZ425" s="13">
        <f t="shared" si="374"/>
        <v>1.2125932951811749</v>
      </c>
      <c r="CA425" s="13">
        <f t="shared" si="375"/>
        <v>1</v>
      </c>
      <c r="CB425" s="13">
        <f t="shared" si="376"/>
        <v>1</v>
      </c>
      <c r="CC425" s="62">
        <f t="shared" si="377"/>
        <v>1</v>
      </c>
      <c r="CD425" s="13">
        <f t="shared" si="378"/>
        <v>3.0623118810507637</v>
      </c>
      <c r="CE425" s="13">
        <f t="shared" si="379"/>
        <v>3</v>
      </c>
      <c r="CF425" s="13">
        <f t="shared" si="380"/>
        <v>0.61761214187786129</v>
      </c>
      <c r="CG425" s="13">
        <f t="shared" si="381"/>
        <v>0</v>
      </c>
      <c r="CH425" s="28">
        <f t="shared" si="382"/>
        <v>0</v>
      </c>
      <c r="CI425" s="62">
        <f t="shared" si="383"/>
        <v>1</v>
      </c>
      <c r="CJ425" s="59">
        <f t="shared" si="384"/>
        <v>1</v>
      </c>
      <c r="CL425" s="63">
        <v>6000</v>
      </c>
      <c r="CM425" s="63">
        <f t="shared" si="385"/>
        <v>1905.5841999999998</v>
      </c>
      <c r="CN425" s="63">
        <f t="shared" si="386"/>
        <v>1910.5841999999998</v>
      </c>
      <c r="CO425" s="63">
        <f t="shared" si="387"/>
        <v>3.140400721412854</v>
      </c>
      <c r="CP425" s="13">
        <f t="shared" si="388"/>
        <v>3</v>
      </c>
      <c r="CQ425" s="70">
        <f t="shared" si="389"/>
        <v>0.33333333333333331</v>
      </c>
      <c r="CR425" s="69">
        <f t="shared" si="357"/>
        <v>0.33333333333333331</v>
      </c>
    </row>
    <row r="426" spans="1:96" hidden="1" x14ac:dyDescent="0.25">
      <c r="A426" s="13">
        <v>4</v>
      </c>
      <c r="B426" s="14" t="s">
        <v>1106</v>
      </c>
      <c r="C426" s="13" t="s">
        <v>1057</v>
      </c>
      <c r="D426" s="13" t="s">
        <v>1059</v>
      </c>
      <c r="E426" s="13" t="s">
        <v>52</v>
      </c>
      <c r="F426" s="15">
        <f t="shared" si="358"/>
        <v>3</v>
      </c>
      <c r="G426" s="13">
        <v>1</v>
      </c>
      <c r="H426" s="13">
        <f t="shared" ref="H426:H428" si="407">G426*$H$424</f>
        <v>1</v>
      </c>
      <c r="I426" s="13">
        <v>2</v>
      </c>
      <c r="J426" s="14" t="s">
        <v>1058</v>
      </c>
      <c r="K426" s="14" t="s">
        <v>34</v>
      </c>
      <c r="L426" s="13" t="s">
        <v>110</v>
      </c>
      <c r="M426" s="14" t="s">
        <v>35</v>
      </c>
      <c r="N426" s="13" t="s">
        <v>1059</v>
      </c>
      <c r="O426" s="28" t="s">
        <v>41</v>
      </c>
      <c r="P426" s="28" t="s">
        <v>41</v>
      </c>
      <c r="Q426" s="28" t="s">
        <v>1059</v>
      </c>
      <c r="R426" s="30">
        <v>12</v>
      </c>
      <c r="S426" s="30">
        <v>5</v>
      </c>
      <c r="T426" s="30"/>
      <c r="U426" s="30">
        <v>1</v>
      </c>
      <c r="V426" s="8">
        <f t="shared" si="359"/>
        <v>304.79999999999995</v>
      </c>
      <c r="W426" s="8">
        <f t="shared" si="360"/>
        <v>127</v>
      </c>
      <c r="X426" s="8">
        <f t="shared" si="361"/>
        <v>0</v>
      </c>
      <c r="Y426" s="33">
        <f t="shared" si="362"/>
        <v>25.4</v>
      </c>
      <c r="Z426" s="28" t="s">
        <v>1060</v>
      </c>
      <c r="AA426" s="28" t="s">
        <v>1061</v>
      </c>
      <c r="AB426" s="61" t="s">
        <v>1059</v>
      </c>
      <c r="AC426" s="31" t="s">
        <v>1062</v>
      </c>
      <c r="AD426" s="50">
        <f t="shared" si="363"/>
        <v>1</v>
      </c>
      <c r="AE426" s="31"/>
      <c r="AF426" s="51">
        <v>14</v>
      </c>
      <c r="AG426" s="51">
        <f t="shared" si="391"/>
        <v>8.4</v>
      </c>
      <c r="AH426" s="51">
        <f t="shared" si="356"/>
        <v>42</v>
      </c>
      <c r="AI426" s="52" t="s">
        <v>2497</v>
      </c>
      <c r="AJ426" s="52" t="s">
        <v>2498</v>
      </c>
      <c r="AK426" s="53">
        <f t="shared" si="392"/>
        <v>7.741919999999998E-2</v>
      </c>
      <c r="AL426" s="54">
        <f t="shared" si="393"/>
        <v>0.11904761904761904</v>
      </c>
      <c r="AM426" s="54">
        <f t="shared" si="394"/>
        <v>2.3809523809523808E-2</v>
      </c>
      <c r="AN426" s="55">
        <f t="shared" si="395"/>
        <v>9.2165714285714264E-3</v>
      </c>
      <c r="AO426" s="55">
        <f t="shared" si="396"/>
        <v>1.8433142857142851E-3</v>
      </c>
      <c r="AP426" s="53">
        <v>7.1</v>
      </c>
      <c r="AQ426" s="53">
        <f t="shared" si="364"/>
        <v>4.26</v>
      </c>
      <c r="AR426" s="53">
        <f t="shared" si="365"/>
        <v>21.299999999999997</v>
      </c>
      <c r="AS426" s="56">
        <f t="shared" si="366"/>
        <v>4.6948356807511742E-2</v>
      </c>
      <c r="AT426" s="56">
        <f t="shared" si="397"/>
        <v>0.23474178403755869</v>
      </c>
      <c r="AU426" s="56">
        <f t="shared" si="367"/>
        <v>0.176056338028169</v>
      </c>
      <c r="AV426" s="56">
        <f t="shared" si="398"/>
        <v>5.8685446009389672E-2</v>
      </c>
      <c r="AW426" s="57" t="s">
        <v>2511</v>
      </c>
      <c r="AX426" s="57" t="s">
        <v>2512</v>
      </c>
      <c r="AY426" s="57" t="s">
        <v>2513</v>
      </c>
      <c r="AZ426" s="58">
        <f t="shared" si="399"/>
        <v>7.741919999999998E-2</v>
      </c>
      <c r="BA426" s="59">
        <f t="shared" si="402"/>
        <v>2.2716901408450698E-3</v>
      </c>
      <c r="BB426" s="59">
        <f t="shared" si="403"/>
        <v>6.8150704225352094E-3</v>
      </c>
      <c r="BC426" s="59">
        <f t="shared" si="404"/>
        <v>1.8173521126760559E-3</v>
      </c>
      <c r="BD426" s="60">
        <f t="shared" si="400"/>
        <v>1.3888888888888888E-2</v>
      </c>
      <c r="BE426" s="59">
        <f t="shared" si="401"/>
        <v>1.3888888888888888E-2</v>
      </c>
      <c r="BQ426" s="61">
        <v>3000</v>
      </c>
      <c r="BR426" s="61">
        <v>1200</v>
      </c>
      <c r="BS426" s="28">
        <f t="shared" si="368"/>
        <v>2980</v>
      </c>
      <c r="BT426" s="28">
        <f t="shared" si="369"/>
        <v>1180</v>
      </c>
      <c r="BU426" s="28" t="s">
        <v>2541</v>
      </c>
      <c r="BV426" s="28">
        <f t="shared" si="370"/>
        <v>309.79999999999995</v>
      </c>
      <c r="BW426" s="28">
        <f t="shared" si="371"/>
        <v>132</v>
      </c>
      <c r="BX426" s="13">
        <f t="shared" si="372"/>
        <v>9.6191091026468705</v>
      </c>
      <c r="BY426" s="13">
        <f t="shared" si="373"/>
        <v>9</v>
      </c>
      <c r="BZ426" s="13">
        <f t="shared" si="374"/>
        <v>8.9393939393939394</v>
      </c>
      <c r="CA426" s="13">
        <f t="shared" si="375"/>
        <v>8</v>
      </c>
      <c r="CB426" s="13">
        <f t="shared" si="376"/>
        <v>72</v>
      </c>
      <c r="CC426" s="62">
        <f t="shared" si="377"/>
        <v>1.3888888888888888E-2</v>
      </c>
      <c r="CD426" s="13">
        <f t="shared" si="378"/>
        <v>22.575757575757574</v>
      </c>
      <c r="CE426" s="13">
        <f t="shared" si="379"/>
        <v>22</v>
      </c>
      <c r="CF426" s="13">
        <f t="shared" si="380"/>
        <v>3.8089089735313113</v>
      </c>
      <c r="CG426" s="13">
        <f t="shared" si="381"/>
        <v>3</v>
      </c>
      <c r="CH426" s="28">
        <f t="shared" si="382"/>
        <v>66</v>
      </c>
      <c r="CI426" s="62">
        <f t="shared" si="383"/>
        <v>1.5151515151515152E-2</v>
      </c>
      <c r="CJ426" s="59">
        <f t="shared" si="384"/>
        <v>1.3888888888888888E-2</v>
      </c>
      <c r="CL426" s="63">
        <v>6000</v>
      </c>
      <c r="CM426" s="63">
        <f t="shared" si="385"/>
        <v>304.79999999999995</v>
      </c>
      <c r="CN426" s="63">
        <f t="shared" si="386"/>
        <v>309.79999999999995</v>
      </c>
      <c r="CO426" s="63">
        <f t="shared" si="387"/>
        <v>19.367333763718531</v>
      </c>
      <c r="CP426" s="13">
        <f t="shared" si="388"/>
        <v>19</v>
      </c>
      <c r="CQ426" s="70">
        <f t="shared" si="389"/>
        <v>5.2631578947368418E-2</v>
      </c>
      <c r="CR426" s="69">
        <f t="shared" si="357"/>
        <v>5.2631578947368418E-2</v>
      </c>
    </row>
    <row r="427" spans="1:96" hidden="1" x14ac:dyDescent="0.25">
      <c r="A427" s="13">
        <v>4</v>
      </c>
      <c r="B427" s="14" t="s">
        <v>1106</v>
      </c>
      <c r="C427" s="13" t="s">
        <v>1109</v>
      </c>
      <c r="D427" s="13" t="s">
        <v>2270</v>
      </c>
      <c r="E427" s="13" t="s">
        <v>52</v>
      </c>
      <c r="F427" s="15">
        <f t="shared" si="358"/>
        <v>1</v>
      </c>
      <c r="G427" s="13">
        <v>1</v>
      </c>
      <c r="H427" s="13">
        <f t="shared" si="407"/>
        <v>1</v>
      </c>
      <c r="I427" s="13">
        <v>3</v>
      </c>
      <c r="J427" s="14" t="s">
        <v>155</v>
      </c>
      <c r="K427" s="14" t="s">
        <v>34</v>
      </c>
      <c r="L427" s="13">
        <v>0</v>
      </c>
      <c r="M427" s="14" t="s">
        <v>35</v>
      </c>
      <c r="N427" s="13" t="s">
        <v>1110</v>
      </c>
      <c r="O427" s="28" t="s">
        <v>41</v>
      </c>
      <c r="P427" s="28" t="s">
        <v>41</v>
      </c>
      <c r="Q427" s="28" t="s">
        <v>124</v>
      </c>
      <c r="R427" s="30">
        <v>20.042999999999999</v>
      </c>
      <c r="S427" s="30">
        <v>3.1829999999999998</v>
      </c>
      <c r="T427" s="30"/>
      <c r="U427" s="30">
        <v>9.8000000000000004E-2</v>
      </c>
      <c r="V427" s="8">
        <f t="shared" si="359"/>
        <v>509.09219999999993</v>
      </c>
      <c r="W427" s="8">
        <f t="shared" si="360"/>
        <v>80.848199999999991</v>
      </c>
      <c r="X427" s="8">
        <f t="shared" si="361"/>
        <v>0</v>
      </c>
      <c r="Y427" s="33">
        <f t="shared" si="362"/>
        <v>2.4891999999999999</v>
      </c>
      <c r="Z427" s="28" t="s">
        <v>56</v>
      </c>
      <c r="AA427" s="28" t="s">
        <v>57</v>
      </c>
      <c r="AB427" s="61" t="s">
        <v>124</v>
      </c>
      <c r="AC427" s="31" t="s">
        <v>125</v>
      </c>
      <c r="AD427" s="50">
        <f t="shared" si="363"/>
        <v>1</v>
      </c>
      <c r="AE427" s="31"/>
      <c r="AF427" s="51">
        <v>14</v>
      </c>
      <c r="AG427" s="51">
        <f t="shared" si="391"/>
        <v>8.4</v>
      </c>
      <c r="AH427" s="51">
        <f t="shared" si="356"/>
        <v>42</v>
      </c>
      <c r="AI427" s="52" t="s">
        <v>2497</v>
      </c>
      <c r="AJ427" s="52" t="s">
        <v>2498</v>
      </c>
      <c r="AK427" s="53">
        <f t="shared" si="392"/>
        <v>8.231837600807998E-2</v>
      </c>
      <c r="AL427" s="54">
        <f t="shared" si="393"/>
        <v>0.11904761904761904</v>
      </c>
      <c r="AM427" s="54">
        <f t="shared" si="394"/>
        <v>2.3809523809523808E-2</v>
      </c>
      <c r="AN427" s="55">
        <f t="shared" si="395"/>
        <v>9.7998066676285682E-3</v>
      </c>
      <c r="AO427" s="55">
        <f t="shared" si="396"/>
        <v>1.9599613335257136E-3</v>
      </c>
      <c r="AP427" s="53">
        <v>7.1</v>
      </c>
      <c r="AQ427" s="53">
        <f t="shared" si="364"/>
        <v>4.26</v>
      </c>
      <c r="AR427" s="53">
        <f t="shared" si="365"/>
        <v>21.299999999999997</v>
      </c>
      <c r="AS427" s="56">
        <f t="shared" si="366"/>
        <v>4.6948356807511742E-2</v>
      </c>
      <c r="AT427" s="56">
        <f t="shared" si="397"/>
        <v>0.23474178403755869</v>
      </c>
      <c r="AU427" s="56">
        <f t="shared" si="367"/>
        <v>0.176056338028169</v>
      </c>
      <c r="AV427" s="56">
        <f t="shared" si="398"/>
        <v>5.8685446009389672E-2</v>
      </c>
      <c r="AW427" s="57" t="s">
        <v>2511</v>
      </c>
      <c r="AX427" s="57" t="s">
        <v>2512</v>
      </c>
      <c r="AY427" s="57" t="s">
        <v>2513</v>
      </c>
      <c r="AZ427" s="58">
        <f t="shared" si="399"/>
        <v>8.231837600807998E-2</v>
      </c>
      <c r="BA427" s="59">
        <f t="shared" si="402"/>
        <v>2.4154453054014077E-3</v>
      </c>
      <c r="BB427" s="59">
        <f t="shared" si="403"/>
        <v>7.2463359162042232E-3</v>
      </c>
      <c r="BC427" s="59">
        <f t="shared" si="404"/>
        <v>1.9323562443211266E-3</v>
      </c>
      <c r="BD427" s="60">
        <f t="shared" si="400"/>
        <v>1.4705882352941176E-2</v>
      </c>
      <c r="BE427" s="59">
        <f t="shared" si="401"/>
        <v>1.4705882352941176E-2</v>
      </c>
      <c r="BQ427" s="61">
        <v>3000</v>
      </c>
      <c r="BR427" s="61">
        <v>1200</v>
      </c>
      <c r="BS427" s="28">
        <f t="shared" si="368"/>
        <v>2980</v>
      </c>
      <c r="BT427" s="28">
        <f t="shared" si="369"/>
        <v>1180</v>
      </c>
      <c r="BU427" s="28" t="s">
        <v>2541</v>
      </c>
      <c r="BV427" s="28">
        <f t="shared" si="370"/>
        <v>514.09219999999993</v>
      </c>
      <c r="BW427" s="28">
        <f t="shared" si="371"/>
        <v>85.848199999999991</v>
      </c>
      <c r="BX427" s="13">
        <f t="shared" si="372"/>
        <v>5.7966255858384947</v>
      </c>
      <c r="BY427" s="13">
        <f t="shared" si="373"/>
        <v>5</v>
      </c>
      <c r="BZ427" s="13">
        <f t="shared" si="374"/>
        <v>13.745192094883761</v>
      </c>
      <c r="CA427" s="13">
        <f t="shared" si="375"/>
        <v>13</v>
      </c>
      <c r="CB427" s="13">
        <f t="shared" si="376"/>
        <v>65</v>
      </c>
      <c r="CC427" s="62">
        <f t="shared" si="377"/>
        <v>1.5384615384615385E-2</v>
      </c>
      <c r="CD427" s="13">
        <f t="shared" si="378"/>
        <v>34.71243427352001</v>
      </c>
      <c r="CE427" s="13">
        <f t="shared" si="379"/>
        <v>34</v>
      </c>
      <c r="CF427" s="13">
        <f t="shared" si="380"/>
        <v>2.2953081178823567</v>
      </c>
      <c r="CG427" s="13">
        <f t="shared" si="381"/>
        <v>2</v>
      </c>
      <c r="CH427" s="28">
        <f t="shared" si="382"/>
        <v>68</v>
      </c>
      <c r="CI427" s="62">
        <f t="shared" si="383"/>
        <v>1.4705882352941176E-2</v>
      </c>
      <c r="CJ427" s="59">
        <f t="shared" si="384"/>
        <v>1.4705882352941176E-2</v>
      </c>
      <c r="CL427" s="63">
        <v>6000</v>
      </c>
      <c r="CM427" s="63">
        <f t="shared" si="385"/>
        <v>509.09219999999993</v>
      </c>
      <c r="CN427" s="63">
        <f t="shared" si="386"/>
        <v>514.09219999999993</v>
      </c>
      <c r="CO427" s="63">
        <f t="shared" si="387"/>
        <v>11.671058226520458</v>
      </c>
      <c r="CP427" s="13">
        <f t="shared" si="388"/>
        <v>11</v>
      </c>
      <c r="CQ427" s="70">
        <f t="shared" si="389"/>
        <v>9.0909090909090912E-2</v>
      </c>
      <c r="CR427" s="69">
        <f t="shared" si="357"/>
        <v>9.0909090909090912E-2</v>
      </c>
    </row>
    <row r="428" spans="1:96" hidden="1" x14ac:dyDescent="0.25">
      <c r="A428" s="13">
        <v>4</v>
      </c>
      <c r="B428" s="14" t="s">
        <v>1106</v>
      </c>
      <c r="C428" s="13" t="s">
        <v>1111</v>
      </c>
      <c r="D428" s="13" t="s">
        <v>2270</v>
      </c>
      <c r="E428" s="13" t="s">
        <v>32</v>
      </c>
      <c r="F428" s="15">
        <f t="shared" si="358"/>
        <v>1</v>
      </c>
      <c r="G428" s="13">
        <v>1</v>
      </c>
      <c r="H428" s="13">
        <f t="shared" si="407"/>
        <v>1</v>
      </c>
      <c r="I428" s="13">
        <v>4</v>
      </c>
      <c r="J428" s="14" t="s">
        <v>1112</v>
      </c>
      <c r="K428" s="14" t="s">
        <v>34</v>
      </c>
      <c r="L428" s="13">
        <v>0</v>
      </c>
      <c r="M428" s="14" t="s">
        <v>35</v>
      </c>
      <c r="N428" s="13" t="s">
        <v>1113</v>
      </c>
      <c r="O428" s="28" t="s">
        <v>41</v>
      </c>
      <c r="P428" s="28" t="s">
        <v>41</v>
      </c>
      <c r="Q428" s="28"/>
      <c r="R428" s="30"/>
      <c r="S428" s="30"/>
      <c r="T428" s="30"/>
      <c r="U428" s="30"/>
      <c r="V428" s="8">
        <f t="shared" si="359"/>
        <v>0</v>
      </c>
      <c r="W428" s="8">
        <f t="shared" si="360"/>
        <v>0</v>
      </c>
      <c r="X428" s="8">
        <f t="shared" si="361"/>
        <v>0</v>
      </c>
      <c r="Y428" s="33">
        <f t="shared" si="362"/>
        <v>0</v>
      </c>
      <c r="Z428" s="28"/>
      <c r="AA428" s="28"/>
      <c r="AB428" s="28">
        <v>0</v>
      </c>
      <c r="AC428" s="31"/>
      <c r="AD428" s="50">
        <f t="shared" si="363"/>
        <v>1</v>
      </c>
      <c r="AE428" s="31"/>
      <c r="AF428" s="51">
        <v>14</v>
      </c>
      <c r="AG428" s="51">
        <f t="shared" si="391"/>
        <v>8.4</v>
      </c>
      <c r="AH428" s="51">
        <f t="shared" si="356"/>
        <v>42</v>
      </c>
      <c r="AI428" s="52" t="s">
        <v>2497</v>
      </c>
      <c r="AJ428" s="52" t="s">
        <v>2498</v>
      </c>
      <c r="AK428" s="53">
        <f t="shared" si="392"/>
        <v>0</v>
      </c>
      <c r="AL428" s="54">
        <f t="shared" si="393"/>
        <v>0.11904761904761904</v>
      </c>
      <c r="AM428" s="54">
        <f t="shared" si="394"/>
        <v>2.3809523809523808E-2</v>
      </c>
      <c r="AN428" s="55">
        <f t="shared" si="395"/>
        <v>0</v>
      </c>
      <c r="AO428" s="55">
        <f t="shared" si="396"/>
        <v>0</v>
      </c>
      <c r="AP428" s="53">
        <v>7.1</v>
      </c>
      <c r="AQ428" s="53">
        <f t="shared" si="364"/>
        <v>4.26</v>
      </c>
      <c r="AR428" s="53">
        <f t="shared" si="365"/>
        <v>21.299999999999997</v>
      </c>
      <c r="AS428" s="56">
        <f t="shared" si="366"/>
        <v>4.6948356807511742E-2</v>
      </c>
      <c r="AT428" s="56">
        <f t="shared" si="397"/>
        <v>0.23474178403755869</v>
      </c>
      <c r="AU428" s="56">
        <f t="shared" si="367"/>
        <v>0.176056338028169</v>
      </c>
      <c r="AV428" s="56">
        <f t="shared" si="398"/>
        <v>5.8685446009389672E-2</v>
      </c>
      <c r="AW428" s="57" t="s">
        <v>2511</v>
      </c>
      <c r="AX428" s="57" t="s">
        <v>2512</v>
      </c>
      <c r="AY428" s="57" t="s">
        <v>2513</v>
      </c>
      <c r="AZ428" s="58">
        <f t="shared" si="399"/>
        <v>0</v>
      </c>
      <c r="BA428" s="59">
        <f t="shared" si="402"/>
        <v>0</v>
      </c>
      <c r="BB428" s="59">
        <f t="shared" si="403"/>
        <v>0</v>
      </c>
      <c r="BC428" s="59">
        <f t="shared" si="404"/>
        <v>0</v>
      </c>
      <c r="BD428" s="60">
        <f t="shared" si="400"/>
        <v>0</v>
      </c>
      <c r="BE428" s="59">
        <f t="shared" si="401"/>
        <v>0</v>
      </c>
      <c r="BQ428" s="61">
        <v>3000</v>
      </c>
      <c r="BR428" s="61">
        <v>1200</v>
      </c>
      <c r="BS428" s="28">
        <f t="shared" si="368"/>
        <v>2980</v>
      </c>
      <c r="BT428" s="28">
        <f t="shared" si="369"/>
        <v>1180</v>
      </c>
      <c r="BU428" s="28" t="s">
        <v>2541</v>
      </c>
      <c r="BV428" s="28">
        <f t="shared" si="370"/>
        <v>5</v>
      </c>
      <c r="BW428" s="28">
        <f t="shared" si="371"/>
        <v>5</v>
      </c>
      <c r="BX428" s="13">
        <f t="shared" si="372"/>
        <v>596</v>
      </c>
      <c r="BY428" s="13">
        <f t="shared" si="373"/>
        <v>596</v>
      </c>
      <c r="BZ428" s="13">
        <f t="shared" si="374"/>
        <v>236</v>
      </c>
      <c r="CA428" s="13">
        <f t="shared" si="375"/>
        <v>236</v>
      </c>
      <c r="CB428" s="13">
        <f t="shared" si="376"/>
        <v>140656</v>
      </c>
      <c r="CC428" s="62" t="str">
        <f t="shared" si="377"/>
        <v/>
      </c>
      <c r="CD428" s="13">
        <f t="shared" si="378"/>
        <v>596</v>
      </c>
      <c r="CE428" s="13">
        <f t="shared" si="379"/>
        <v>596</v>
      </c>
      <c r="CF428" s="13">
        <f t="shared" si="380"/>
        <v>236</v>
      </c>
      <c r="CG428" s="13">
        <f t="shared" si="381"/>
        <v>236</v>
      </c>
      <c r="CH428" s="28">
        <f t="shared" si="382"/>
        <v>140656</v>
      </c>
      <c r="CI428" s="62" t="str">
        <f t="shared" si="383"/>
        <v/>
      </c>
      <c r="CJ428" s="59">
        <f t="shared" si="384"/>
        <v>0</v>
      </c>
      <c r="CL428" s="63">
        <v>6000</v>
      </c>
      <c r="CM428" s="63">
        <f t="shared" si="385"/>
        <v>0</v>
      </c>
      <c r="CN428" s="63">
        <f t="shared" si="386"/>
        <v>5</v>
      </c>
      <c r="CO428" s="63">
        <f t="shared" si="387"/>
        <v>1200</v>
      </c>
      <c r="CP428" s="13">
        <f t="shared" si="388"/>
        <v>1200</v>
      </c>
      <c r="CQ428" s="70">
        <f t="shared" si="389"/>
        <v>8.3333333333333339E-4</v>
      </c>
      <c r="CR428" s="69">
        <f t="shared" si="357"/>
        <v>8.3333333333333339E-4</v>
      </c>
    </row>
    <row r="429" spans="1:96" hidden="1" x14ac:dyDescent="0.25">
      <c r="A429" s="17">
        <v>5</v>
      </c>
      <c r="B429" s="6" t="s">
        <v>1114</v>
      </c>
      <c r="C429" s="17" t="s">
        <v>1115</v>
      </c>
      <c r="D429" s="17" t="s">
        <v>2270</v>
      </c>
      <c r="E429" s="17" t="s">
        <v>52</v>
      </c>
      <c r="F429" s="7">
        <f t="shared" si="358"/>
        <v>1</v>
      </c>
      <c r="G429" s="17">
        <v>1</v>
      </c>
      <c r="H429" s="17">
        <f>G429*$H$428</f>
        <v>1</v>
      </c>
      <c r="I429" s="17">
        <v>1</v>
      </c>
      <c r="J429" s="6" t="s">
        <v>549</v>
      </c>
      <c r="K429" s="6" t="s">
        <v>34</v>
      </c>
      <c r="L429" s="17">
        <v>0</v>
      </c>
      <c r="M429" s="6" t="s">
        <v>35</v>
      </c>
      <c r="N429" s="17" t="s">
        <v>1116</v>
      </c>
      <c r="O429" s="28" t="s">
        <v>41</v>
      </c>
      <c r="P429" s="28" t="s">
        <v>41</v>
      </c>
      <c r="Q429" s="28" t="s">
        <v>116</v>
      </c>
      <c r="R429" s="30">
        <v>11.5</v>
      </c>
      <c r="S429" s="30">
        <v>9.3450000000000006</v>
      </c>
      <c r="T429" s="30"/>
      <c r="U429" s="30">
        <v>0.11799999999999999</v>
      </c>
      <c r="V429" s="8">
        <f t="shared" si="359"/>
        <v>292.09999999999997</v>
      </c>
      <c r="W429" s="8">
        <f t="shared" si="360"/>
        <v>237.363</v>
      </c>
      <c r="X429" s="8">
        <f t="shared" si="361"/>
        <v>0</v>
      </c>
      <c r="Y429" s="33">
        <f t="shared" si="362"/>
        <v>2.9971999999999999</v>
      </c>
      <c r="Z429" s="28" t="s">
        <v>56</v>
      </c>
      <c r="AA429" s="28" t="s">
        <v>57</v>
      </c>
      <c r="AB429" s="28" t="s">
        <v>116</v>
      </c>
      <c r="AC429" s="31" t="s">
        <v>117</v>
      </c>
      <c r="AD429" s="50">
        <f t="shared" si="363"/>
        <v>1</v>
      </c>
      <c r="AE429" s="31"/>
      <c r="AF429" s="51">
        <v>14</v>
      </c>
      <c r="AG429" s="51">
        <f t="shared" si="391"/>
        <v>8.4</v>
      </c>
      <c r="AH429" s="51">
        <f t="shared" si="356"/>
        <v>42</v>
      </c>
      <c r="AI429" s="52" t="s">
        <v>2497</v>
      </c>
      <c r="AJ429" s="52" t="s">
        <v>2498</v>
      </c>
      <c r="AK429" s="53">
        <f t="shared" si="392"/>
        <v>0.13866746459999998</v>
      </c>
      <c r="AL429" s="54">
        <f t="shared" si="393"/>
        <v>0.11904761904761904</v>
      </c>
      <c r="AM429" s="54">
        <f t="shared" si="394"/>
        <v>2.3809523809523808E-2</v>
      </c>
      <c r="AN429" s="55">
        <f t="shared" si="395"/>
        <v>1.6508031499999996E-2</v>
      </c>
      <c r="AO429" s="55">
        <f t="shared" si="396"/>
        <v>3.3016062999999996E-3</v>
      </c>
      <c r="AP429" s="53">
        <v>7.1</v>
      </c>
      <c r="AQ429" s="53">
        <f t="shared" si="364"/>
        <v>4.26</v>
      </c>
      <c r="AR429" s="53">
        <f t="shared" si="365"/>
        <v>21.299999999999997</v>
      </c>
      <c r="AS429" s="56">
        <f t="shared" si="366"/>
        <v>4.6948356807511742E-2</v>
      </c>
      <c r="AT429" s="56">
        <f t="shared" si="397"/>
        <v>0.23474178403755869</v>
      </c>
      <c r="AU429" s="56">
        <f t="shared" si="367"/>
        <v>0.176056338028169</v>
      </c>
      <c r="AV429" s="56">
        <f t="shared" si="398"/>
        <v>5.8685446009389672E-2</v>
      </c>
      <c r="AW429" s="57" t="s">
        <v>2511</v>
      </c>
      <c r="AX429" s="57" t="s">
        <v>2512</v>
      </c>
      <c r="AY429" s="57" t="s">
        <v>2513</v>
      </c>
      <c r="AZ429" s="58">
        <f t="shared" si="399"/>
        <v>0.13866746459999998</v>
      </c>
      <c r="BA429" s="59">
        <f t="shared" si="402"/>
        <v>4.068881003521126E-3</v>
      </c>
      <c r="BB429" s="59">
        <f t="shared" si="403"/>
        <v>1.2206643010563378E-2</v>
      </c>
      <c r="BC429" s="59">
        <f t="shared" si="404"/>
        <v>3.2551048028169015E-3</v>
      </c>
      <c r="BD429" s="60">
        <f t="shared" si="400"/>
        <v>2.5000000000000001E-2</v>
      </c>
      <c r="BE429" s="59">
        <f t="shared" si="401"/>
        <v>2.5000000000000001E-2</v>
      </c>
      <c r="BQ429" s="61">
        <v>3000</v>
      </c>
      <c r="BR429" s="61">
        <v>1200</v>
      </c>
      <c r="BS429" s="28">
        <f t="shared" si="368"/>
        <v>2980</v>
      </c>
      <c r="BT429" s="28">
        <f t="shared" si="369"/>
        <v>1180</v>
      </c>
      <c r="BU429" s="28" t="s">
        <v>2541</v>
      </c>
      <c r="BV429" s="28">
        <f t="shared" si="370"/>
        <v>297.09999999999997</v>
      </c>
      <c r="BW429" s="28">
        <f t="shared" si="371"/>
        <v>242.363</v>
      </c>
      <c r="BX429" s="13">
        <f t="shared" si="372"/>
        <v>10.030292830696736</v>
      </c>
      <c r="BY429" s="13">
        <f t="shared" si="373"/>
        <v>10</v>
      </c>
      <c r="BZ429" s="13">
        <f t="shared" si="374"/>
        <v>4.8687299629068796</v>
      </c>
      <c r="CA429" s="13">
        <f t="shared" si="375"/>
        <v>4</v>
      </c>
      <c r="CB429" s="13">
        <f t="shared" si="376"/>
        <v>40</v>
      </c>
      <c r="CC429" s="62">
        <f t="shared" si="377"/>
        <v>2.5000000000000001E-2</v>
      </c>
      <c r="CD429" s="13">
        <f t="shared" si="378"/>
        <v>12.295606177510594</v>
      </c>
      <c r="CE429" s="13">
        <f t="shared" si="379"/>
        <v>12</v>
      </c>
      <c r="CF429" s="13">
        <f t="shared" si="380"/>
        <v>3.9717266913497142</v>
      </c>
      <c r="CG429" s="13">
        <f t="shared" si="381"/>
        <v>3</v>
      </c>
      <c r="CH429" s="28">
        <f t="shared" si="382"/>
        <v>36</v>
      </c>
      <c r="CI429" s="62">
        <f t="shared" si="383"/>
        <v>2.7777777777777776E-2</v>
      </c>
      <c r="CJ429" s="59">
        <f t="shared" si="384"/>
        <v>2.5000000000000001E-2</v>
      </c>
      <c r="CL429" s="63">
        <v>6000</v>
      </c>
      <c r="CM429" s="63">
        <f t="shared" si="385"/>
        <v>292.09999999999997</v>
      </c>
      <c r="CN429" s="63">
        <f t="shared" si="386"/>
        <v>297.09999999999997</v>
      </c>
      <c r="CO429" s="63">
        <f t="shared" si="387"/>
        <v>20.195220464490074</v>
      </c>
      <c r="CP429" s="13">
        <f t="shared" si="388"/>
        <v>20</v>
      </c>
      <c r="CQ429" s="70">
        <f t="shared" si="389"/>
        <v>0.05</v>
      </c>
      <c r="CR429" s="69">
        <f t="shared" si="357"/>
        <v>0.05</v>
      </c>
    </row>
    <row r="430" spans="1:96" hidden="1" x14ac:dyDescent="0.25">
      <c r="A430" s="17">
        <v>5</v>
      </c>
      <c r="B430" s="6" t="s">
        <v>1114</v>
      </c>
      <c r="C430" s="17" t="s">
        <v>1117</v>
      </c>
      <c r="D430" s="17" t="s">
        <v>1118</v>
      </c>
      <c r="E430" s="17" t="s">
        <v>52</v>
      </c>
      <c r="F430" s="7">
        <f t="shared" si="358"/>
        <v>1</v>
      </c>
      <c r="G430" s="17">
        <v>4</v>
      </c>
      <c r="H430" s="17">
        <f>G430*$H$428</f>
        <v>4</v>
      </c>
      <c r="I430" s="17">
        <v>2</v>
      </c>
      <c r="J430" s="6" t="s">
        <v>681</v>
      </c>
      <c r="K430" s="6" t="s">
        <v>34</v>
      </c>
      <c r="L430" s="17">
        <v>0</v>
      </c>
      <c r="M430" s="6" t="s">
        <v>35</v>
      </c>
      <c r="N430" s="17" t="s">
        <v>1118</v>
      </c>
      <c r="O430" s="28" t="s">
        <v>41</v>
      </c>
      <c r="P430" s="28" t="s">
        <v>41</v>
      </c>
      <c r="Q430" s="28" t="s">
        <v>1118</v>
      </c>
      <c r="R430" s="30"/>
      <c r="S430" s="30"/>
      <c r="T430" s="30"/>
      <c r="U430" s="30"/>
      <c r="V430" s="8">
        <f t="shared" si="359"/>
        <v>0</v>
      </c>
      <c r="W430" s="8">
        <f t="shared" si="360"/>
        <v>0</v>
      </c>
      <c r="X430" s="8">
        <f t="shared" si="361"/>
        <v>0</v>
      </c>
      <c r="Y430" s="33">
        <f t="shared" si="362"/>
        <v>0</v>
      </c>
      <c r="Z430" s="28"/>
      <c r="AA430" s="28"/>
      <c r="AB430" s="61" t="s">
        <v>1118</v>
      </c>
      <c r="AC430" s="31" t="s">
        <v>1119</v>
      </c>
      <c r="AD430" s="50">
        <f t="shared" si="363"/>
        <v>4</v>
      </c>
      <c r="AE430" s="31"/>
      <c r="AF430" s="51">
        <v>14</v>
      </c>
      <c r="AG430" s="51">
        <f t="shared" si="391"/>
        <v>8.4</v>
      </c>
      <c r="AH430" s="51">
        <f t="shared" si="356"/>
        <v>42</v>
      </c>
      <c r="AI430" s="52" t="s">
        <v>2497</v>
      </c>
      <c r="AJ430" s="52" t="s">
        <v>2498</v>
      </c>
      <c r="AK430" s="53">
        <f t="shared" si="392"/>
        <v>0</v>
      </c>
      <c r="AL430" s="54">
        <f t="shared" si="393"/>
        <v>0.11904761904761904</v>
      </c>
      <c r="AM430" s="54">
        <f t="shared" si="394"/>
        <v>2.3809523809523808E-2</v>
      </c>
      <c r="AN430" s="55">
        <f t="shared" si="395"/>
        <v>0</v>
      </c>
      <c r="AO430" s="55">
        <f t="shared" si="396"/>
        <v>0</v>
      </c>
      <c r="AP430" s="53">
        <v>7.1</v>
      </c>
      <c r="AQ430" s="53">
        <f t="shared" si="364"/>
        <v>4.26</v>
      </c>
      <c r="AR430" s="53">
        <f t="shared" si="365"/>
        <v>21.299999999999997</v>
      </c>
      <c r="AS430" s="56">
        <f t="shared" si="366"/>
        <v>4.6948356807511742E-2</v>
      </c>
      <c r="AT430" s="56">
        <f t="shared" si="397"/>
        <v>0.23474178403755869</v>
      </c>
      <c r="AU430" s="56">
        <f t="shared" si="367"/>
        <v>0.176056338028169</v>
      </c>
      <c r="AV430" s="56">
        <f t="shared" si="398"/>
        <v>5.8685446009389672E-2</v>
      </c>
      <c r="AW430" s="57" t="s">
        <v>2511</v>
      </c>
      <c r="AX430" s="57" t="s">
        <v>2512</v>
      </c>
      <c r="AY430" s="57" t="s">
        <v>2513</v>
      </c>
      <c r="AZ430" s="58">
        <f t="shared" si="399"/>
        <v>0</v>
      </c>
      <c r="BA430" s="59">
        <f t="shared" si="402"/>
        <v>0</v>
      </c>
      <c r="BB430" s="59">
        <f t="shared" si="403"/>
        <v>0</v>
      </c>
      <c r="BC430" s="59">
        <f t="shared" si="404"/>
        <v>0</v>
      </c>
      <c r="BD430" s="60">
        <f t="shared" si="400"/>
        <v>7.1095438516664771E-6</v>
      </c>
      <c r="BE430" s="59">
        <f t="shared" si="401"/>
        <v>2.8438175406665908E-5</v>
      </c>
      <c r="BQ430" s="61">
        <v>3000</v>
      </c>
      <c r="BR430" s="61">
        <v>1200</v>
      </c>
      <c r="BS430" s="28">
        <f t="shared" si="368"/>
        <v>2980</v>
      </c>
      <c r="BT430" s="28">
        <f t="shared" si="369"/>
        <v>1180</v>
      </c>
      <c r="BU430" s="28" t="s">
        <v>2541</v>
      </c>
      <c r="BV430" s="28">
        <f t="shared" si="370"/>
        <v>5</v>
      </c>
      <c r="BW430" s="28">
        <f t="shared" si="371"/>
        <v>5</v>
      </c>
      <c r="BX430" s="13">
        <f t="shared" si="372"/>
        <v>596</v>
      </c>
      <c r="BY430" s="13">
        <f t="shared" si="373"/>
        <v>596</v>
      </c>
      <c r="BZ430" s="13">
        <f t="shared" si="374"/>
        <v>236</v>
      </c>
      <c r="CA430" s="13">
        <f t="shared" si="375"/>
        <v>236</v>
      </c>
      <c r="CB430" s="13">
        <f t="shared" si="376"/>
        <v>140656</v>
      </c>
      <c r="CC430" s="62">
        <f t="shared" si="377"/>
        <v>7.1095438516664771E-6</v>
      </c>
      <c r="CD430" s="13">
        <f t="shared" si="378"/>
        <v>596</v>
      </c>
      <c r="CE430" s="13">
        <f t="shared" si="379"/>
        <v>596</v>
      </c>
      <c r="CF430" s="13">
        <f t="shared" si="380"/>
        <v>236</v>
      </c>
      <c r="CG430" s="13">
        <f t="shared" si="381"/>
        <v>236</v>
      </c>
      <c r="CH430" s="28">
        <f t="shared" si="382"/>
        <v>140656</v>
      </c>
      <c r="CI430" s="62">
        <f t="shared" si="383"/>
        <v>7.1095438516664771E-6</v>
      </c>
      <c r="CJ430" s="59">
        <f t="shared" si="384"/>
        <v>7.1095438516664771E-6</v>
      </c>
      <c r="CL430" s="63">
        <v>6000</v>
      </c>
      <c r="CM430" s="63">
        <f t="shared" si="385"/>
        <v>0</v>
      </c>
      <c r="CN430" s="63">
        <f t="shared" si="386"/>
        <v>5</v>
      </c>
      <c r="CO430" s="63">
        <f t="shared" si="387"/>
        <v>1200</v>
      </c>
      <c r="CP430" s="13">
        <f t="shared" si="388"/>
        <v>1200</v>
      </c>
      <c r="CQ430" s="70">
        <f t="shared" si="389"/>
        <v>8.3333333333333339E-4</v>
      </c>
      <c r="CR430" s="69">
        <f t="shared" si="357"/>
        <v>3.3333333333333335E-3</v>
      </c>
    </row>
    <row r="431" spans="1:96" hidden="1" x14ac:dyDescent="0.25">
      <c r="A431" s="13">
        <v>4</v>
      </c>
      <c r="B431" s="14" t="s">
        <v>1106</v>
      </c>
      <c r="C431" s="13" t="s">
        <v>1120</v>
      </c>
      <c r="D431" s="13" t="s">
        <v>1122</v>
      </c>
      <c r="E431" s="13" t="s">
        <v>52</v>
      </c>
      <c r="F431" s="15">
        <f t="shared" si="358"/>
        <v>1</v>
      </c>
      <c r="G431" s="13">
        <v>1</v>
      </c>
      <c r="H431" s="13">
        <f t="shared" ref="H431:H443" si="408">G431*$H$424</f>
        <v>1</v>
      </c>
      <c r="I431" s="13">
        <v>5</v>
      </c>
      <c r="J431" s="14" t="s">
        <v>1121</v>
      </c>
      <c r="K431" s="14" t="s">
        <v>34</v>
      </c>
      <c r="L431" s="13" t="s">
        <v>385</v>
      </c>
      <c r="M431" s="14" t="s">
        <v>35</v>
      </c>
      <c r="N431" s="13" t="s">
        <v>1122</v>
      </c>
      <c r="O431" s="28" t="s">
        <v>41</v>
      </c>
      <c r="P431" s="28" t="s">
        <v>41</v>
      </c>
      <c r="Q431" s="28" t="s">
        <v>85</v>
      </c>
      <c r="R431" s="30">
        <v>15.551181102362206</v>
      </c>
      <c r="S431" s="30">
        <v>0.375</v>
      </c>
      <c r="T431" s="30"/>
      <c r="U431" s="30">
        <v>0.375</v>
      </c>
      <c r="V431" s="8">
        <f t="shared" si="359"/>
        <v>395</v>
      </c>
      <c r="W431" s="8">
        <f t="shared" si="360"/>
        <v>9.5249999999999986</v>
      </c>
      <c r="X431" s="8">
        <f t="shared" si="361"/>
        <v>0</v>
      </c>
      <c r="Y431" s="33">
        <f t="shared" si="362"/>
        <v>9.5249999999999986</v>
      </c>
      <c r="Z431" s="28" t="s">
        <v>80</v>
      </c>
      <c r="AA431" s="28" t="s">
        <v>81</v>
      </c>
      <c r="AB431" s="61" t="s">
        <v>85</v>
      </c>
      <c r="AC431" s="31" t="s">
        <v>86</v>
      </c>
      <c r="AD431" s="50">
        <f t="shared" si="363"/>
        <v>1</v>
      </c>
      <c r="AE431" s="31"/>
      <c r="AF431" s="51">
        <v>14</v>
      </c>
      <c r="AG431" s="51">
        <f t="shared" si="391"/>
        <v>8.4</v>
      </c>
      <c r="AH431" s="51">
        <f t="shared" si="356"/>
        <v>42</v>
      </c>
      <c r="AI431" s="52" t="s">
        <v>2497</v>
      </c>
      <c r="AJ431" s="52" t="s">
        <v>2498</v>
      </c>
      <c r="AK431" s="53">
        <f t="shared" si="392"/>
        <v>7.5247499999999993E-3</v>
      </c>
      <c r="AL431" s="54">
        <f t="shared" si="393"/>
        <v>0.11904761904761904</v>
      </c>
      <c r="AM431" s="54">
        <f t="shared" si="394"/>
        <v>2.3809523809523808E-2</v>
      </c>
      <c r="AN431" s="55">
        <f t="shared" si="395"/>
        <v>8.9580357142857127E-4</v>
      </c>
      <c r="AO431" s="55">
        <f t="shared" si="396"/>
        <v>1.7916071428571425E-4</v>
      </c>
      <c r="AP431" s="53">
        <v>7.1</v>
      </c>
      <c r="AQ431" s="53">
        <f t="shared" si="364"/>
        <v>4.26</v>
      </c>
      <c r="AR431" s="53">
        <f t="shared" si="365"/>
        <v>21.299999999999997</v>
      </c>
      <c r="AS431" s="56">
        <f t="shared" si="366"/>
        <v>4.6948356807511742E-2</v>
      </c>
      <c r="AT431" s="56">
        <f t="shared" si="397"/>
        <v>0.23474178403755869</v>
      </c>
      <c r="AU431" s="56">
        <f t="shared" si="367"/>
        <v>0.176056338028169</v>
      </c>
      <c r="AV431" s="56">
        <f t="shared" si="398"/>
        <v>5.8685446009389672E-2</v>
      </c>
      <c r="AW431" s="57" t="s">
        <v>2511</v>
      </c>
      <c r="AX431" s="57" t="s">
        <v>2512</v>
      </c>
      <c r="AY431" s="57" t="s">
        <v>2513</v>
      </c>
      <c r="AZ431" s="58">
        <f t="shared" si="399"/>
        <v>7.5247499999999993E-3</v>
      </c>
      <c r="BA431" s="59">
        <f t="shared" si="402"/>
        <v>2.2079665492957744E-4</v>
      </c>
      <c r="BB431" s="59">
        <f t="shared" si="403"/>
        <v>6.6238996478873229E-4</v>
      </c>
      <c r="BC431" s="59">
        <f t="shared" si="404"/>
        <v>1.7663732394366198E-4</v>
      </c>
      <c r="BD431" s="60">
        <f t="shared" si="400"/>
        <v>1.7636684303350969E-3</v>
      </c>
      <c r="BE431" s="59">
        <f t="shared" si="401"/>
        <v>1.7636684303350969E-3</v>
      </c>
      <c r="BQ431" s="61">
        <v>3000</v>
      </c>
      <c r="BR431" s="61">
        <v>1200</v>
      </c>
      <c r="BS431" s="28">
        <f t="shared" si="368"/>
        <v>2980</v>
      </c>
      <c r="BT431" s="28">
        <f t="shared" si="369"/>
        <v>1180</v>
      </c>
      <c r="BU431" s="28" t="s">
        <v>2541</v>
      </c>
      <c r="BV431" s="28">
        <f t="shared" si="370"/>
        <v>400</v>
      </c>
      <c r="BW431" s="28">
        <f t="shared" si="371"/>
        <v>14.524999999999999</v>
      </c>
      <c r="BX431" s="13">
        <f t="shared" si="372"/>
        <v>7.45</v>
      </c>
      <c r="BY431" s="13">
        <f t="shared" si="373"/>
        <v>7</v>
      </c>
      <c r="BZ431" s="13">
        <f t="shared" si="374"/>
        <v>81.239242685025829</v>
      </c>
      <c r="CA431" s="13">
        <f t="shared" si="375"/>
        <v>81</v>
      </c>
      <c r="CB431" s="13">
        <f t="shared" si="376"/>
        <v>567</v>
      </c>
      <c r="CC431" s="62">
        <f t="shared" si="377"/>
        <v>1.7636684303350969E-3</v>
      </c>
      <c r="CD431" s="13">
        <f t="shared" si="378"/>
        <v>205.16351118760758</v>
      </c>
      <c r="CE431" s="13">
        <f t="shared" si="379"/>
        <v>205</v>
      </c>
      <c r="CF431" s="13">
        <f t="shared" si="380"/>
        <v>2.95</v>
      </c>
      <c r="CG431" s="13">
        <f t="shared" si="381"/>
        <v>2</v>
      </c>
      <c r="CH431" s="28">
        <f t="shared" si="382"/>
        <v>410</v>
      </c>
      <c r="CI431" s="62">
        <f t="shared" si="383"/>
        <v>2.4390243902439024E-3</v>
      </c>
      <c r="CJ431" s="59">
        <f t="shared" si="384"/>
        <v>1.7636684303350969E-3</v>
      </c>
      <c r="CL431" s="63">
        <v>6000</v>
      </c>
      <c r="CM431" s="63">
        <f t="shared" si="385"/>
        <v>395</v>
      </c>
      <c r="CN431" s="63">
        <f t="shared" si="386"/>
        <v>400</v>
      </c>
      <c r="CO431" s="63">
        <f t="shared" si="387"/>
        <v>15</v>
      </c>
      <c r="CP431" s="13">
        <f t="shared" si="388"/>
        <v>15</v>
      </c>
      <c r="CQ431" s="70">
        <f t="shared" si="389"/>
        <v>6.6666666666666666E-2</v>
      </c>
      <c r="CR431" s="69">
        <f t="shared" si="357"/>
        <v>6.6666666666666666E-2</v>
      </c>
    </row>
    <row r="432" spans="1:96" hidden="1" x14ac:dyDescent="0.25">
      <c r="A432" s="13">
        <v>4</v>
      </c>
      <c r="B432" s="14" t="s">
        <v>1106</v>
      </c>
      <c r="C432" s="13" t="s">
        <v>105</v>
      </c>
      <c r="D432" s="13" t="s">
        <v>106</v>
      </c>
      <c r="E432" s="13" t="s">
        <v>52</v>
      </c>
      <c r="F432" s="15">
        <f t="shared" si="358"/>
        <v>9</v>
      </c>
      <c r="G432" s="13">
        <v>4</v>
      </c>
      <c r="H432" s="13">
        <f t="shared" si="408"/>
        <v>4</v>
      </c>
      <c r="I432" s="13">
        <v>6</v>
      </c>
      <c r="J432" s="14" t="s">
        <v>76</v>
      </c>
      <c r="K432" s="14" t="s">
        <v>34</v>
      </c>
      <c r="L432" s="13" t="s">
        <v>77</v>
      </c>
      <c r="M432" s="14" t="s">
        <v>35</v>
      </c>
      <c r="N432" s="13" t="s">
        <v>106</v>
      </c>
      <c r="O432" s="28" t="s">
        <v>41</v>
      </c>
      <c r="P432" s="28" t="s">
        <v>41</v>
      </c>
      <c r="Q432" s="28" t="s">
        <v>79</v>
      </c>
      <c r="R432" s="30">
        <v>11.023622047244094</v>
      </c>
      <c r="S432" s="30">
        <v>0.3125</v>
      </c>
      <c r="T432" s="30"/>
      <c r="U432" s="30">
        <v>0.3125</v>
      </c>
      <c r="V432" s="8">
        <f t="shared" si="359"/>
        <v>280</v>
      </c>
      <c r="W432" s="8">
        <f t="shared" si="360"/>
        <v>7.9375</v>
      </c>
      <c r="X432" s="8">
        <f t="shared" si="361"/>
        <v>0</v>
      </c>
      <c r="Y432" s="33">
        <f t="shared" si="362"/>
        <v>7.9375</v>
      </c>
      <c r="Z432" s="28" t="s">
        <v>80</v>
      </c>
      <c r="AA432" s="28" t="s">
        <v>81</v>
      </c>
      <c r="AB432" s="61" t="s">
        <v>79</v>
      </c>
      <c r="AC432" s="31" t="s">
        <v>82</v>
      </c>
      <c r="AD432" s="50">
        <f t="shared" si="363"/>
        <v>4</v>
      </c>
      <c r="AE432" s="31"/>
      <c r="AF432" s="51">
        <v>14</v>
      </c>
      <c r="AG432" s="51">
        <f t="shared" si="391"/>
        <v>8.4</v>
      </c>
      <c r="AH432" s="51">
        <f t="shared" si="356"/>
        <v>42</v>
      </c>
      <c r="AI432" s="52" t="s">
        <v>2497</v>
      </c>
      <c r="AJ432" s="52" t="s">
        <v>2498</v>
      </c>
      <c r="AK432" s="53">
        <f t="shared" si="392"/>
        <v>4.4450000000000002E-3</v>
      </c>
      <c r="AL432" s="54">
        <f t="shared" si="393"/>
        <v>0.11904761904761904</v>
      </c>
      <c r="AM432" s="54">
        <f t="shared" si="394"/>
        <v>2.3809523809523808E-2</v>
      </c>
      <c r="AN432" s="55">
        <f t="shared" si="395"/>
        <v>2.1166666666666664E-3</v>
      </c>
      <c r="AO432" s="55">
        <f t="shared" si="396"/>
        <v>4.2333333333333334E-4</v>
      </c>
      <c r="AP432" s="53">
        <v>7.1</v>
      </c>
      <c r="AQ432" s="53">
        <f t="shared" si="364"/>
        <v>4.26</v>
      </c>
      <c r="AR432" s="53">
        <f t="shared" si="365"/>
        <v>21.299999999999997</v>
      </c>
      <c r="AS432" s="56">
        <f t="shared" si="366"/>
        <v>4.6948356807511742E-2</v>
      </c>
      <c r="AT432" s="56">
        <f t="shared" si="397"/>
        <v>0.23474178403755869</v>
      </c>
      <c r="AU432" s="56">
        <f t="shared" si="367"/>
        <v>0.176056338028169</v>
      </c>
      <c r="AV432" s="56">
        <f t="shared" si="398"/>
        <v>5.8685446009389672E-2</v>
      </c>
      <c r="AW432" s="57" t="s">
        <v>2511</v>
      </c>
      <c r="AX432" s="57" t="s">
        <v>2512</v>
      </c>
      <c r="AY432" s="57" t="s">
        <v>2513</v>
      </c>
      <c r="AZ432" s="58">
        <f t="shared" si="399"/>
        <v>4.4450000000000002E-3</v>
      </c>
      <c r="BA432" s="59">
        <f t="shared" si="402"/>
        <v>5.2171361502347424E-4</v>
      </c>
      <c r="BB432" s="59">
        <f t="shared" si="403"/>
        <v>1.5651408450704225E-3</v>
      </c>
      <c r="BC432" s="59">
        <f t="shared" si="404"/>
        <v>4.1737089201877939E-4</v>
      </c>
      <c r="BD432" s="60">
        <f t="shared" si="400"/>
        <v>1.0869565217391304E-3</v>
      </c>
      <c r="BE432" s="59">
        <f t="shared" si="401"/>
        <v>4.3478260869565218E-3</v>
      </c>
      <c r="BQ432" s="61">
        <v>3000</v>
      </c>
      <c r="BR432" s="61">
        <v>1200</v>
      </c>
      <c r="BS432" s="28">
        <f t="shared" si="368"/>
        <v>2980</v>
      </c>
      <c r="BT432" s="28">
        <f t="shared" si="369"/>
        <v>1180</v>
      </c>
      <c r="BU432" s="28" t="s">
        <v>2541</v>
      </c>
      <c r="BV432" s="28">
        <f t="shared" si="370"/>
        <v>285</v>
      </c>
      <c r="BW432" s="28">
        <f t="shared" si="371"/>
        <v>12.9375</v>
      </c>
      <c r="BX432" s="13">
        <f t="shared" si="372"/>
        <v>10.456140350877194</v>
      </c>
      <c r="BY432" s="13">
        <f t="shared" si="373"/>
        <v>10</v>
      </c>
      <c r="BZ432" s="13">
        <f t="shared" si="374"/>
        <v>91.207729468599027</v>
      </c>
      <c r="CA432" s="13">
        <f t="shared" si="375"/>
        <v>91</v>
      </c>
      <c r="CB432" s="13">
        <f t="shared" si="376"/>
        <v>910</v>
      </c>
      <c r="CC432" s="62">
        <f t="shared" si="377"/>
        <v>1.0989010989010989E-3</v>
      </c>
      <c r="CD432" s="13">
        <f t="shared" si="378"/>
        <v>230.33816425120773</v>
      </c>
      <c r="CE432" s="13">
        <f t="shared" si="379"/>
        <v>230</v>
      </c>
      <c r="CF432" s="13">
        <f t="shared" si="380"/>
        <v>4.1403508771929829</v>
      </c>
      <c r="CG432" s="13">
        <f t="shared" si="381"/>
        <v>4</v>
      </c>
      <c r="CH432" s="28">
        <f t="shared" si="382"/>
        <v>920</v>
      </c>
      <c r="CI432" s="62">
        <f t="shared" si="383"/>
        <v>1.0869565217391304E-3</v>
      </c>
      <c r="CJ432" s="59">
        <f t="shared" si="384"/>
        <v>1.0869565217391304E-3</v>
      </c>
      <c r="CL432" s="63">
        <v>6000</v>
      </c>
      <c r="CM432" s="63">
        <f t="shared" si="385"/>
        <v>280</v>
      </c>
      <c r="CN432" s="63">
        <f t="shared" si="386"/>
        <v>285</v>
      </c>
      <c r="CO432" s="63">
        <f t="shared" si="387"/>
        <v>21.05263157894737</v>
      </c>
      <c r="CP432" s="13">
        <f t="shared" si="388"/>
        <v>21</v>
      </c>
      <c r="CQ432" s="70">
        <f t="shared" si="389"/>
        <v>4.7619047619047616E-2</v>
      </c>
      <c r="CR432" s="69">
        <f t="shared" si="357"/>
        <v>0.19047619047619047</v>
      </c>
    </row>
    <row r="433" spans="1:96" hidden="1" x14ac:dyDescent="0.25">
      <c r="A433" s="13">
        <v>4</v>
      </c>
      <c r="B433" s="14" t="s">
        <v>1106</v>
      </c>
      <c r="C433" s="13" t="s">
        <v>1123</v>
      </c>
      <c r="D433" s="13" t="s">
        <v>1124</v>
      </c>
      <c r="E433" s="13" t="s">
        <v>52</v>
      </c>
      <c r="F433" s="15">
        <f t="shared" si="358"/>
        <v>2</v>
      </c>
      <c r="G433" s="13">
        <v>1</v>
      </c>
      <c r="H433" s="13">
        <f t="shared" si="408"/>
        <v>1</v>
      </c>
      <c r="I433" s="13">
        <v>7</v>
      </c>
      <c r="J433" s="14" t="s">
        <v>76</v>
      </c>
      <c r="K433" s="14" t="s">
        <v>34</v>
      </c>
      <c r="L433" s="13" t="s">
        <v>77</v>
      </c>
      <c r="M433" s="14" t="s">
        <v>35</v>
      </c>
      <c r="N433" s="13" t="s">
        <v>1124</v>
      </c>
      <c r="O433" s="28" t="s">
        <v>41</v>
      </c>
      <c r="P433" s="28" t="s">
        <v>41</v>
      </c>
      <c r="Q433" s="28" t="s">
        <v>79</v>
      </c>
      <c r="R433" s="30">
        <v>12.086614173228346</v>
      </c>
      <c r="S433" s="30">
        <v>0.3125</v>
      </c>
      <c r="T433" s="30"/>
      <c r="U433" s="30">
        <v>0.3125</v>
      </c>
      <c r="V433" s="8">
        <f t="shared" si="359"/>
        <v>307</v>
      </c>
      <c r="W433" s="8">
        <f t="shared" si="360"/>
        <v>7.9375</v>
      </c>
      <c r="X433" s="8">
        <f t="shared" si="361"/>
        <v>0</v>
      </c>
      <c r="Y433" s="33">
        <f t="shared" si="362"/>
        <v>7.9375</v>
      </c>
      <c r="Z433" s="28" t="s">
        <v>80</v>
      </c>
      <c r="AA433" s="28" t="s">
        <v>81</v>
      </c>
      <c r="AB433" s="61" t="s">
        <v>79</v>
      </c>
      <c r="AC433" s="31" t="s">
        <v>82</v>
      </c>
      <c r="AD433" s="50">
        <f t="shared" si="363"/>
        <v>1</v>
      </c>
      <c r="AE433" s="31"/>
      <c r="AF433" s="51">
        <v>14</v>
      </c>
      <c r="AG433" s="51">
        <f t="shared" si="391"/>
        <v>8.4</v>
      </c>
      <c r="AH433" s="51">
        <f t="shared" si="356"/>
        <v>42</v>
      </c>
      <c r="AI433" s="52" t="s">
        <v>2497</v>
      </c>
      <c r="AJ433" s="52" t="s">
        <v>2498</v>
      </c>
      <c r="AK433" s="53">
        <f t="shared" si="392"/>
        <v>4.8736250000000004E-3</v>
      </c>
      <c r="AL433" s="54">
        <f t="shared" si="393"/>
        <v>0.11904761904761904</v>
      </c>
      <c r="AM433" s="54">
        <f t="shared" si="394"/>
        <v>2.3809523809523808E-2</v>
      </c>
      <c r="AN433" s="55">
        <f t="shared" si="395"/>
        <v>5.8019345238095237E-4</v>
      </c>
      <c r="AO433" s="55">
        <f t="shared" si="396"/>
        <v>1.1603869047619048E-4</v>
      </c>
      <c r="AP433" s="53">
        <v>7.1</v>
      </c>
      <c r="AQ433" s="53">
        <f t="shared" si="364"/>
        <v>4.26</v>
      </c>
      <c r="AR433" s="53">
        <f t="shared" si="365"/>
        <v>21.299999999999997</v>
      </c>
      <c r="AS433" s="56">
        <f t="shared" si="366"/>
        <v>4.6948356807511742E-2</v>
      </c>
      <c r="AT433" s="56">
        <f t="shared" si="397"/>
        <v>0.23474178403755869</v>
      </c>
      <c r="AU433" s="56">
        <f t="shared" si="367"/>
        <v>0.176056338028169</v>
      </c>
      <c r="AV433" s="56">
        <f t="shared" si="398"/>
        <v>5.8685446009389672E-2</v>
      </c>
      <c r="AW433" s="57" t="s">
        <v>2511</v>
      </c>
      <c r="AX433" s="57" t="s">
        <v>2512</v>
      </c>
      <c r="AY433" s="57" t="s">
        <v>2513</v>
      </c>
      <c r="AZ433" s="58">
        <f t="shared" si="399"/>
        <v>4.8736250000000004E-3</v>
      </c>
      <c r="BA433" s="59">
        <f t="shared" si="402"/>
        <v>1.4300542840375589E-4</v>
      </c>
      <c r="BB433" s="59">
        <f t="shared" si="403"/>
        <v>4.2901628521126758E-4</v>
      </c>
      <c r="BC433" s="59">
        <f t="shared" si="404"/>
        <v>1.1440434272300472E-4</v>
      </c>
      <c r="BD433" s="60">
        <f t="shared" si="400"/>
        <v>1.221001221001221E-3</v>
      </c>
      <c r="BE433" s="59">
        <f t="shared" si="401"/>
        <v>1.221001221001221E-3</v>
      </c>
      <c r="BQ433" s="61">
        <v>3000</v>
      </c>
      <c r="BR433" s="61">
        <v>1200</v>
      </c>
      <c r="BS433" s="28">
        <f t="shared" si="368"/>
        <v>2980</v>
      </c>
      <c r="BT433" s="28">
        <f t="shared" si="369"/>
        <v>1180</v>
      </c>
      <c r="BU433" s="28" t="s">
        <v>2541</v>
      </c>
      <c r="BV433" s="28">
        <f t="shared" si="370"/>
        <v>312</v>
      </c>
      <c r="BW433" s="28">
        <f t="shared" si="371"/>
        <v>12.9375</v>
      </c>
      <c r="BX433" s="13">
        <f t="shared" si="372"/>
        <v>9.5512820512820511</v>
      </c>
      <c r="BY433" s="13">
        <f t="shared" si="373"/>
        <v>9</v>
      </c>
      <c r="BZ433" s="13">
        <f t="shared" si="374"/>
        <v>91.207729468599027</v>
      </c>
      <c r="CA433" s="13">
        <f t="shared" si="375"/>
        <v>91</v>
      </c>
      <c r="CB433" s="13">
        <f t="shared" si="376"/>
        <v>819</v>
      </c>
      <c r="CC433" s="62">
        <f t="shared" si="377"/>
        <v>1.221001221001221E-3</v>
      </c>
      <c r="CD433" s="13">
        <f t="shared" si="378"/>
        <v>230.33816425120773</v>
      </c>
      <c r="CE433" s="13">
        <f t="shared" si="379"/>
        <v>230</v>
      </c>
      <c r="CF433" s="13">
        <f t="shared" si="380"/>
        <v>3.7820512820512819</v>
      </c>
      <c r="CG433" s="13">
        <f t="shared" si="381"/>
        <v>3</v>
      </c>
      <c r="CH433" s="28">
        <f t="shared" si="382"/>
        <v>690</v>
      </c>
      <c r="CI433" s="62">
        <f t="shared" si="383"/>
        <v>1.4492753623188406E-3</v>
      </c>
      <c r="CJ433" s="59">
        <f t="shared" si="384"/>
        <v>1.221001221001221E-3</v>
      </c>
      <c r="CL433" s="63">
        <v>6000</v>
      </c>
      <c r="CM433" s="63">
        <f t="shared" si="385"/>
        <v>307</v>
      </c>
      <c r="CN433" s="63">
        <f t="shared" si="386"/>
        <v>312</v>
      </c>
      <c r="CO433" s="63">
        <f t="shared" si="387"/>
        <v>19.23076923076923</v>
      </c>
      <c r="CP433" s="13">
        <f t="shared" si="388"/>
        <v>19</v>
      </c>
      <c r="CQ433" s="70">
        <f t="shared" si="389"/>
        <v>5.2631578947368418E-2</v>
      </c>
      <c r="CR433" s="69">
        <f t="shared" si="357"/>
        <v>5.2631578947368418E-2</v>
      </c>
    </row>
    <row r="434" spans="1:96" hidden="1" x14ac:dyDescent="0.25">
      <c r="A434" s="13">
        <v>4</v>
      </c>
      <c r="B434" s="14" t="s">
        <v>1106</v>
      </c>
      <c r="C434" s="13" t="s">
        <v>707</v>
      </c>
      <c r="D434" s="13" t="s">
        <v>708</v>
      </c>
      <c r="E434" s="13" t="s">
        <v>52</v>
      </c>
      <c r="F434" s="15">
        <f t="shared" si="358"/>
        <v>4</v>
      </c>
      <c r="G434" s="13">
        <v>1</v>
      </c>
      <c r="H434" s="13">
        <f t="shared" si="408"/>
        <v>1</v>
      </c>
      <c r="I434" s="13">
        <v>8</v>
      </c>
      <c r="J434" s="14" t="s">
        <v>76</v>
      </c>
      <c r="K434" s="14" t="s">
        <v>34</v>
      </c>
      <c r="L434" s="13" t="s">
        <v>77</v>
      </c>
      <c r="M434" s="14" t="s">
        <v>35</v>
      </c>
      <c r="N434" s="13" t="s">
        <v>708</v>
      </c>
      <c r="O434" s="28" t="s">
        <v>41</v>
      </c>
      <c r="P434" s="28" t="s">
        <v>41</v>
      </c>
      <c r="Q434" s="28" t="s">
        <v>79</v>
      </c>
      <c r="R434" s="30">
        <v>12.992125984251969</v>
      </c>
      <c r="S434" s="30">
        <v>0.3125</v>
      </c>
      <c r="T434" s="30"/>
      <c r="U434" s="30">
        <v>0.3125</v>
      </c>
      <c r="V434" s="8">
        <f t="shared" si="359"/>
        <v>330</v>
      </c>
      <c r="W434" s="8">
        <f t="shared" si="360"/>
        <v>7.9375</v>
      </c>
      <c r="X434" s="8">
        <f t="shared" si="361"/>
        <v>0</v>
      </c>
      <c r="Y434" s="33">
        <f t="shared" si="362"/>
        <v>7.9375</v>
      </c>
      <c r="Z434" s="28" t="s">
        <v>80</v>
      </c>
      <c r="AA434" s="28" t="s">
        <v>81</v>
      </c>
      <c r="AB434" s="61" t="s">
        <v>79</v>
      </c>
      <c r="AC434" s="31" t="s">
        <v>82</v>
      </c>
      <c r="AD434" s="50">
        <f t="shared" si="363"/>
        <v>1</v>
      </c>
      <c r="AE434" s="31"/>
      <c r="AF434" s="51">
        <v>14</v>
      </c>
      <c r="AG434" s="51">
        <f t="shared" si="391"/>
        <v>8.4</v>
      </c>
      <c r="AH434" s="51">
        <f t="shared" si="356"/>
        <v>42</v>
      </c>
      <c r="AI434" s="52" t="s">
        <v>2497</v>
      </c>
      <c r="AJ434" s="52" t="s">
        <v>2498</v>
      </c>
      <c r="AK434" s="53">
        <f t="shared" si="392"/>
        <v>5.2387500000000004E-3</v>
      </c>
      <c r="AL434" s="54">
        <f t="shared" si="393"/>
        <v>0.11904761904761904</v>
      </c>
      <c r="AM434" s="54">
        <f t="shared" si="394"/>
        <v>2.3809523809523808E-2</v>
      </c>
      <c r="AN434" s="55">
        <f t="shared" si="395"/>
        <v>6.2366071428571429E-4</v>
      </c>
      <c r="AO434" s="55">
        <f t="shared" si="396"/>
        <v>1.2473214285714285E-4</v>
      </c>
      <c r="AP434" s="53">
        <v>7.1</v>
      </c>
      <c r="AQ434" s="53">
        <f t="shared" si="364"/>
        <v>4.26</v>
      </c>
      <c r="AR434" s="53">
        <f t="shared" si="365"/>
        <v>21.299999999999997</v>
      </c>
      <c r="AS434" s="56">
        <f t="shared" si="366"/>
        <v>4.6948356807511742E-2</v>
      </c>
      <c r="AT434" s="56">
        <f t="shared" si="397"/>
        <v>0.23474178403755869</v>
      </c>
      <c r="AU434" s="56">
        <f t="shared" si="367"/>
        <v>0.176056338028169</v>
      </c>
      <c r="AV434" s="56">
        <f t="shared" si="398"/>
        <v>5.8685446009389672E-2</v>
      </c>
      <c r="AW434" s="57" t="s">
        <v>2511</v>
      </c>
      <c r="AX434" s="57" t="s">
        <v>2512</v>
      </c>
      <c r="AY434" s="57" t="s">
        <v>2513</v>
      </c>
      <c r="AZ434" s="58">
        <f t="shared" si="399"/>
        <v>5.2387500000000004E-3</v>
      </c>
      <c r="BA434" s="59">
        <f t="shared" si="402"/>
        <v>1.5371919014084507E-4</v>
      </c>
      <c r="BB434" s="59">
        <f t="shared" si="403"/>
        <v>4.6115757042253523E-4</v>
      </c>
      <c r="BC434" s="59">
        <f t="shared" si="404"/>
        <v>1.2297535211267609E-4</v>
      </c>
      <c r="BD434" s="60">
        <f t="shared" si="400"/>
        <v>1.3736263736263737E-3</v>
      </c>
      <c r="BE434" s="59">
        <f t="shared" si="401"/>
        <v>1.3736263736263737E-3</v>
      </c>
      <c r="BQ434" s="61">
        <v>3000</v>
      </c>
      <c r="BR434" s="61">
        <v>1200</v>
      </c>
      <c r="BS434" s="28">
        <f t="shared" si="368"/>
        <v>2980</v>
      </c>
      <c r="BT434" s="28">
        <f t="shared" si="369"/>
        <v>1180</v>
      </c>
      <c r="BU434" s="28" t="s">
        <v>2541</v>
      </c>
      <c r="BV434" s="28">
        <f t="shared" si="370"/>
        <v>335</v>
      </c>
      <c r="BW434" s="28">
        <f t="shared" si="371"/>
        <v>12.9375</v>
      </c>
      <c r="BX434" s="13">
        <f t="shared" si="372"/>
        <v>8.8955223880597014</v>
      </c>
      <c r="BY434" s="13">
        <f t="shared" si="373"/>
        <v>8</v>
      </c>
      <c r="BZ434" s="13">
        <f t="shared" si="374"/>
        <v>91.207729468599027</v>
      </c>
      <c r="CA434" s="13">
        <f t="shared" si="375"/>
        <v>91</v>
      </c>
      <c r="CB434" s="13">
        <f t="shared" si="376"/>
        <v>728</v>
      </c>
      <c r="CC434" s="62">
        <f t="shared" si="377"/>
        <v>1.3736263736263737E-3</v>
      </c>
      <c r="CD434" s="13">
        <f t="shared" si="378"/>
        <v>230.33816425120773</v>
      </c>
      <c r="CE434" s="13">
        <f t="shared" si="379"/>
        <v>230</v>
      </c>
      <c r="CF434" s="13">
        <f t="shared" si="380"/>
        <v>3.5223880597014925</v>
      </c>
      <c r="CG434" s="13">
        <f t="shared" si="381"/>
        <v>3</v>
      </c>
      <c r="CH434" s="28">
        <f t="shared" si="382"/>
        <v>690</v>
      </c>
      <c r="CI434" s="62">
        <f t="shared" si="383"/>
        <v>1.4492753623188406E-3</v>
      </c>
      <c r="CJ434" s="59">
        <f t="shared" si="384"/>
        <v>1.3736263736263737E-3</v>
      </c>
      <c r="CL434" s="63">
        <v>6000</v>
      </c>
      <c r="CM434" s="63">
        <f t="shared" si="385"/>
        <v>330</v>
      </c>
      <c r="CN434" s="63">
        <f t="shared" si="386"/>
        <v>335</v>
      </c>
      <c r="CO434" s="63">
        <f t="shared" si="387"/>
        <v>17.910447761194028</v>
      </c>
      <c r="CP434" s="13">
        <f t="shared" si="388"/>
        <v>17</v>
      </c>
      <c r="CQ434" s="70">
        <f t="shared" si="389"/>
        <v>5.8823529411764705E-2</v>
      </c>
      <c r="CR434" s="69">
        <f t="shared" si="357"/>
        <v>5.8823529411764705E-2</v>
      </c>
    </row>
    <row r="435" spans="1:96" hidden="1" x14ac:dyDescent="0.25">
      <c r="A435" s="13">
        <v>4</v>
      </c>
      <c r="B435" s="14" t="s">
        <v>1106</v>
      </c>
      <c r="C435" s="13" t="s">
        <v>777</v>
      </c>
      <c r="D435" s="13" t="s">
        <v>779</v>
      </c>
      <c r="E435" s="13" t="s">
        <v>52</v>
      </c>
      <c r="F435" s="15">
        <f t="shared" si="358"/>
        <v>2</v>
      </c>
      <c r="G435" s="13">
        <v>1</v>
      </c>
      <c r="H435" s="13">
        <f t="shared" si="408"/>
        <v>1</v>
      </c>
      <c r="I435" s="13">
        <v>9</v>
      </c>
      <c r="J435" s="14" t="s">
        <v>778</v>
      </c>
      <c r="K435" s="14" t="s">
        <v>34</v>
      </c>
      <c r="L435" s="13" t="s">
        <v>77</v>
      </c>
      <c r="M435" s="14" t="s">
        <v>35</v>
      </c>
      <c r="N435" s="13" t="s">
        <v>779</v>
      </c>
      <c r="O435" s="28" t="s">
        <v>41</v>
      </c>
      <c r="P435" s="28" t="s">
        <v>41</v>
      </c>
      <c r="Q435" s="28" t="s">
        <v>79</v>
      </c>
      <c r="R435" s="30">
        <v>9.1023622047244093</v>
      </c>
      <c r="S435" s="30">
        <v>0.3125</v>
      </c>
      <c r="T435" s="30"/>
      <c r="U435" s="30">
        <v>0.3125</v>
      </c>
      <c r="V435" s="8">
        <f t="shared" si="359"/>
        <v>231.2</v>
      </c>
      <c r="W435" s="8">
        <f t="shared" si="360"/>
        <v>7.9375</v>
      </c>
      <c r="X435" s="8">
        <f t="shared" si="361"/>
        <v>0</v>
      </c>
      <c r="Y435" s="33">
        <f t="shared" si="362"/>
        <v>7.9375</v>
      </c>
      <c r="Z435" s="28" t="s">
        <v>80</v>
      </c>
      <c r="AA435" s="28" t="s">
        <v>81</v>
      </c>
      <c r="AB435" s="61" t="s">
        <v>79</v>
      </c>
      <c r="AC435" s="31" t="s">
        <v>82</v>
      </c>
      <c r="AD435" s="50">
        <f t="shared" si="363"/>
        <v>1</v>
      </c>
      <c r="AE435" s="31"/>
      <c r="AF435" s="51">
        <v>14</v>
      </c>
      <c r="AG435" s="51">
        <f t="shared" si="391"/>
        <v>8.4</v>
      </c>
      <c r="AH435" s="51">
        <f t="shared" si="356"/>
        <v>42</v>
      </c>
      <c r="AI435" s="52" t="s">
        <v>2497</v>
      </c>
      <c r="AJ435" s="52" t="s">
        <v>2498</v>
      </c>
      <c r="AK435" s="53">
        <f t="shared" si="392"/>
        <v>3.6702999999999996E-3</v>
      </c>
      <c r="AL435" s="54">
        <f t="shared" si="393"/>
        <v>0.11904761904761904</v>
      </c>
      <c r="AM435" s="54">
        <f t="shared" si="394"/>
        <v>2.3809523809523808E-2</v>
      </c>
      <c r="AN435" s="55">
        <f t="shared" si="395"/>
        <v>4.3694047619047613E-4</v>
      </c>
      <c r="AO435" s="55">
        <f t="shared" si="396"/>
        <v>8.7388095238095226E-5</v>
      </c>
      <c r="AP435" s="53">
        <v>7.1</v>
      </c>
      <c r="AQ435" s="53">
        <f t="shared" si="364"/>
        <v>4.26</v>
      </c>
      <c r="AR435" s="53">
        <f t="shared" si="365"/>
        <v>21.299999999999997</v>
      </c>
      <c r="AS435" s="56">
        <f t="shared" si="366"/>
        <v>4.6948356807511742E-2</v>
      </c>
      <c r="AT435" s="56">
        <f t="shared" si="397"/>
        <v>0.23474178403755869</v>
      </c>
      <c r="AU435" s="56">
        <f t="shared" si="367"/>
        <v>0.176056338028169</v>
      </c>
      <c r="AV435" s="56">
        <f t="shared" si="398"/>
        <v>5.8685446009389672E-2</v>
      </c>
      <c r="AW435" s="57" t="s">
        <v>2511</v>
      </c>
      <c r="AX435" s="57" t="s">
        <v>2512</v>
      </c>
      <c r="AY435" s="57" t="s">
        <v>2513</v>
      </c>
      <c r="AZ435" s="58">
        <f t="shared" si="399"/>
        <v>3.6702999999999996E-3</v>
      </c>
      <c r="BA435" s="59">
        <f t="shared" si="402"/>
        <v>1.0769659624413144E-4</v>
      </c>
      <c r="BB435" s="59">
        <f t="shared" si="403"/>
        <v>3.2308978873239432E-4</v>
      </c>
      <c r="BC435" s="59">
        <f t="shared" si="404"/>
        <v>8.615727699530516E-5</v>
      </c>
      <c r="BD435" s="60">
        <f t="shared" si="400"/>
        <v>9.1575091575091575E-4</v>
      </c>
      <c r="BE435" s="59">
        <f t="shared" si="401"/>
        <v>9.1575091575091575E-4</v>
      </c>
      <c r="BQ435" s="61">
        <v>3000</v>
      </c>
      <c r="BR435" s="61">
        <v>1200</v>
      </c>
      <c r="BS435" s="28">
        <f t="shared" si="368"/>
        <v>2980</v>
      </c>
      <c r="BT435" s="28">
        <f t="shared" si="369"/>
        <v>1180</v>
      </c>
      <c r="BU435" s="28" t="s">
        <v>2541</v>
      </c>
      <c r="BV435" s="28">
        <f t="shared" si="370"/>
        <v>236.2</v>
      </c>
      <c r="BW435" s="28">
        <f t="shared" si="371"/>
        <v>12.9375</v>
      </c>
      <c r="BX435" s="13">
        <f t="shared" si="372"/>
        <v>12.616426756985605</v>
      </c>
      <c r="BY435" s="13">
        <f t="shared" si="373"/>
        <v>12</v>
      </c>
      <c r="BZ435" s="13">
        <f t="shared" si="374"/>
        <v>91.207729468599027</v>
      </c>
      <c r="CA435" s="13">
        <f t="shared" si="375"/>
        <v>91</v>
      </c>
      <c r="CB435" s="13">
        <f t="shared" si="376"/>
        <v>1092</v>
      </c>
      <c r="CC435" s="62">
        <f t="shared" si="377"/>
        <v>9.1575091575091575E-4</v>
      </c>
      <c r="CD435" s="13">
        <f t="shared" si="378"/>
        <v>230.33816425120773</v>
      </c>
      <c r="CE435" s="13">
        <f t="shared" si="379"/>
        <v>230</v>
      </c>
      <c r="CF435" s="13">
        <f t="shared" si="380"/>
        <v>4.995766299745978</v>
      </c>
      <c r="CG435" s="13">
        <f t="shared" si="381"/>
        <v>4</v>
      </c>
      <c r="CH435" s="28">
        <f t="shared" si="382"/>
        <v>920</v>
      </c>
      <c r="CI435" s="62">
        <f t="shared" si="383"/>
        <v>1.0869565217391304E-3</v>
      </c>
      <c r="CJ435" s="59">
        <f t="shared" si="384"/>
        <v>9.1575091575091575E-4</v>
      </c>
      <c r="CL435" s="63">
        <v>6000</v>
      </c>
      <c r="CM435" s="63">
        <f t="shared" si="385"/>
        <v>231.2</v>
      </c>
      <c r="CN435" s="63">
        <f t="shared" si="386"/>
        <v>236.2</v>
      </c>
      <c r="CO435" s="63">
        <f t="shared" si="387"/>
        <v>25.402201524132092</v>
      </c>
      <c r="CP435" s="13">
        <f t="shared" si="388"/>
        <v>25</v>
      </c>
      <c r="CQ435" s="70">
        <f t="shared" si="389"/>
        <v>0.04</v>
      </c>
      <c r="CR435" s="69">
        <f t="shared" si="357"/>
        <v>0.04</v>
      </c>
    </row>
    <row r="436" spans="1:96" hidden="1" x14ac:dyDescent="0.25">
      <c r="A436" s="13">
        <v>4</v>
      </c>
      <c r="B436" s="14" t="s">
        <v>1106</v>
      </c>
      <c r="C436" s="13" t="s">
        <v>712</v>
      </c>
      <c r="D436" s="13" t="s">
        <v>714</v>
      </c>
      <c r="E436" s="13" t="s">
        <v>52</v>
      </c>
      <c r="F436" s="15">
        <f t="shared" si="358"/>
        <v>3</v>
      </c>
      <c r="G436" s="13">
        <v>1</v>
      </c>
      <c r="H436" s="13">
        <f t="shared" si="408"/>
        <v>1</v>
      </c>
      <c r="I436" s="13">
        <v>10</v>
      </c>
      <c r="J436" s="14" t="s">
        <v>713</v>
      </c>
      <c r="K436" s="14" t="s">
        <v>34</v>
      </c>
      <c r="L436" s="13" t="s">
        <v>89</v>
      </c>
      <c r="M436" s="14" t="s">
        <v>35</v>
      </c>
      <c r="N436" s="13" t="s">
        <v>714</v>
      </c>
      <c r="O436" s="28" t="s">
        <v>41</v>
      </c>
      <c r="P436" s="28" t="s">
        <v>41</v>
      </c>
      <c r="Q436" s="28" t="s">
        <v>79</v>
      </c>
      <c r="R436" s="30">
        <v>17.984251968503937</v>
      </c>
      <c r="S436" s="30">
        <v>0.3125</v>
      </c>
      <c r="T436" s="30"/>
      <c r="U436" s="30">
        <v>0.3125</v>
      </c>
      <c r="V436" s="8">
        <f t="shared" si="359"/>
        <v>456.79999999999995</v>
      </c>
      <c r="W436" s="8">
        <f t="shared" si="360"/>
        <v>7.9375</v>
      </c>
      <c r="X436" s="8">
        <f t="shared" si="361"/>
        <v>0</v>
      </c>
      <c r="Y436" s="33">
        <f t="shared" si="362"/>
        <v>7.9375</v>
      </c>
      <c r="Z436" s="28" t="s">
        <v>80</v>
      </c>
      <c r="AA436" s="28" t="s">
        <v>81</v>
      </c>
      <c r="AB436" s="61" t="s">
        <v>79</v>
      </c>
      <c r="AC436" s="31" t="s">
        <v>82</v>
      </c>
      <c r="AD436" s="50">
        <f t="shared" si="363"/>
        <v>1</v>
      </c>
      <c r="AE436" s="31"/>
      <c r="AF436" s="51">
        <v>14</v>
      </c>
      <c r="AG436" s="51">
        <f t="shared" si="391"/>
        <v>8.4</v>
      </c>
      <c r="AH436" s="51">
        <f t="shared" si="356"/>
        <v>42</v>
      </c>
      <c r="AI436" s="52" t="s">
        <v>2497</v>
      </c>
      <c r="AJ436" s="52" t="s">
        <v>2498</v>
      </c>
      <c r="AK436" s="53">
        <f t="shared" si="392"/>
        <v>7.2516999999999989E-3</v>
      </c>
      <c r="AL436" s="54">
        <f t="shared" si="393"/>
        <v>0.11904761904761904</v>
      </c>
      <c r="AM436" s="54">
        <f t="shared" si="394"/>
        <v>2.3809523809523808E-2</v>
      </c>
      <c r="AN436" s="55">
        <f t="shared" si="395"/>
        <v>8.632976190476189E-4</v>
      </c>
      <c r="AO436" s="55">
        <f t="shared" si="396"/>
        <v>1.7265952380952378E-4</v>
      </c>
      <c r="AP436" s="53">
        <v>7.1</v>
      </c>
      <c r="AQ436" s="53">
        <f t="shared" si="364"/>
        <v>4.26</v>
      </c>
      <c r="AR436" s="53">
        <f t="shared" si="365"/>
        <v>21.299999999999997</v>
      </c>
      <c r="AS436" s="56">
        <f t="shared" si="366"/>
        <v>4.6948356807511742E-2</v>
      </c>
      <c r="AT436" s="56">
        <f t="shared" si="397"/>
        <v>0.23474178403755869</v>
      </c>
      <c r="AU436" s="56">
        <f t="shared" si="367"/>
        <v>0.176056338028169</v>
      </c>
      <c r="AV436" s="56">
        <f t="shared" si="398"/>
        <v>5.8685446009389672E-2</v>
      </c>
      <c r="AW436" s="57" t="s">
        <v>2511</v>
      </c>
      <c r="AX436" s="57" t="s">
        <v>2512</v>
      </c>
      <c r="AY436" s="57" t="s">
        <v>2513</v>
      </c>
      <c r="AZ436" s="58">
        <f t="shared" si="399"/>
        <v>7.2516999999999989E-3</v>
      </c>
      <c r="BA436" s="59">
        <f t="shared" si="402"/>
        <v>2.127846244131455E-4</v>
      </c>
      <c r="BB436" s="59">
        <f t="shared" si="403"/>
        <v>6.3835387323943652E-4</v>
      </c>
      <c r="BC436" s="59">
        <f t="shared" si="404"/>
        <v>1.7022769953051642E-4</v>
      </c>
      <c r="BD436" s="60">
        <f t="shared" si="400"/>
        <v>1.8315018315018315E-3</v>
      </c>
      <c r="BE436" s="59">
        <f t="shared" si="401"/>
        <v>1.8315018315018315E-3</v>
      </c>
      <c r="BQ436" s="61">
        <v>3000</v>
      </c>
      <c r="BR436" s="61">
        <v>1200</v>
      </c>
      <c r="BS436" s="28">
        <f t="shared" si="368"/>
        <v>2980</v>
      </c>
      <c r="BT436" s="28">
        <f t="shared" si="369"/>
        <v>1180</v>
      </c>
      <c r="BU436" s="28" t="s">
        <v>2541</v>
      </c>
      <c r="BV436" s="28">
        <f t="shared" si="370"/>
        <v>461.79999999999995</v>
      </c>
      <c r="BW436" s="28">
        <f t="shared" si="371"/>
        <v>12.9375</v>
      </c>
      <c r="BX436" s="13">
        <f t="shared" si="372"/>
        <v>6.4530099610220883</v>
      </c>
      <c r="BY436" s="13">
        <f t="shared" si="373"/>
        <v>6</v>
      </c>
      <c r="BZ436" s="13">
        <f t="shared" si="374"/>
        <v>91.207729468599027</v>
      </c>
      <c r="CA436" s="13">
        <f t="shared" si="375"/>
        <v>91</v>
      </c>
      <c r="CB436" s="13">
        <f t="shared" si="376"/>
        <v>546</v>
      </c>
      <c r="CC436" s="62">
        <f t="shared" si="377"/>
        <v>1.8315018315018315E-3</v>
      </c>
      <c r="CD436" s="13">
        <f t="shared" si="378"/>
        <v>230.33816425120773</v>
      </c>
      <c r="CE436" s="13">
        <f t="shared" si="379"/>
        <v>230</v>
      </c>
      <c r="CF436" s="13">
        <f t="shared" si="380"/>
        <v>2.5552187093980079</v>
      </c>
      <c r="CG436" s="13">
        <f t="shared" si="381"/>
        <v>2</v>
      </c>
      <c r="CH436" s="28">
        <f t="shared" si="382"/>
        <v>460</v>
      </c>
      <c r="CI436" s="62">
        <f t="shared" si="383"/>
        <v>2.1739130434782609E-3</v>
      </c>
      <c r="CJ436" s="59">
        <f t="shared" si="384"/>
        <v>1.8315018315018315E-3</v>
      </c>
      <c r="CL436" s="63">
        <v>6000</v>
      </c>
      <c r="CM436" s="63">
        <f t="shared" si="385"/>
        <v>456.79999999999995</v>
      </c>
      <c r="CN436" s="63">
        <f t="shared" si="386"/>
        <v>461.79999999999995</v>
      </c>
      <c r="CO436" s="63">
        <f t="shared" si="387"/>
        <v>12.992637505413601</v>
      </c>
      <c r="CP436" s="13">
        <f t="shared" si="388"/>
        <v>12</v>
      </c>
      <c r="CQ436" s="70">
        <f t="shared" si="389"/>
        <v>8.3333333333333329E-2</v>
      </c>
      <c r="CR436" s="69">
        <f t="shared" si="357"/>
        <v>8.3333333333333329E-2</v>
      </c>
    </row>
    <row r="437" spans="1:96" hidden="1" x14ac:dyDescent="0.25">
      <c r="A437" s="13">
        <v>4</v>
      </c>
      <c r="B437" s="14" t="s">
        <v>1106</v>
      </c>
      <c r="C437" s="13" t="s">
        <v>703</v>
      </c>
      <c r="D437" s="13" t="s">
        <v>705</v>
      </c>
      <c r="E437" s="13" t="s">
        <v>52</v>
      </c>
      <c r="F437" s="15">
        <f t="shared" si="358"/>
        <v>7</v>
      </c>
      <c r="G437" s="13">
        <v>1</v>
      </c>
      <c r="H437" s="13">
        <f t="shared" si="408"/>
        <v>1</v>
      </c>
      <c r="I437" s="13">
        <v>11</v>
      </c>
      <c r="J437" s="14" t="s">
        <v>704</v>
      </c>
      <c r="K437" s="14" t="s">
        <v>34</v>
      </c>
      <c r="L437" s="13" t="s">
        <v>89</v>
      </c>
      <c r="M437" s="14" t="s">
        <v>35</v>
      </c>
      <c r="N437" s="13" t="s">
        <v>705</v>
      </c>
      <c r="O437" s="28" t="s">
        <v>41</v>
      </c>
      <c r="P437" s="28" t="s">
        <v>41</v>
      </c>
      <c r="Q437" s="28" t="s">
        <v>79</v>
      </c>
      <c r="R437" s="30">
        <v>7.9921259842519685</v>
      </c>
      <c r="S437" s="30">
        <v>0.3125</v>
      </c>
      <c r="T437" s="30"/>
      <c r="U437" s="30">
        <v>0.3125</v>
      </c>
      <c r="V437" s="8">
        <f t="shared" si="359"/>
        <v>203</v>
      </c>
      <c r="W437" s="8">
        <f t="shared" si="360"/>
        <v>7.9375</v>
      </c>
      <c r="X437" s="8">
        <f t="shared" si="361"/>
        <v>0</v>
      </c>
      <c r="Y437" s="33">
        <f t="shared" si="362"/>
        <v>7.9375</v>
      </c>
      <c r="Z437" s="28" t="s">
        <v>80</v>
      </c>
      <c r="AA437" s="28" t="s">
        <v>81</v>
      </c>
      <c r="AB437" s="61" t="s">
        <v>79</v>
      </c>
      <c r="AC437" s="31" t="s">
        <v>82</v>
      </c>
      <c r="AD437" s="50">
        <f t="shared" si="363"/>
        <v>1</v>
      </c>
      <c r="AE437" s="31"/>
      <c r="AF437" s="51">
        <v>14</v>
      </c>
      <c r="AG437" s="51">
        <f t="shared" si="391"/>
        <v>8.4</v>
      </c>
      <c r="AH437" s="51">
        <f t="shared" si="356"/>
        <v>42</v>
      </c>
      <c r="AI437" s="52" t="s">
        <v>2497</v>
      </c>
      <c r="AJ437" s="52" t="s">
        <v>2498</v>
      </c>
      <c r="AK437" s="53">
        <f t="shared" si="392"/>
        <v>3.2226249999999998E-3</v>
      </c>
      <c r="AL437" s="54">
        <f t="shared" si="393"/>
        <v>0.11904761904761904</v>
      </c>
      <c r="AM437" s="54">
        <f t="shared" si="394"/>
        <v>2.3809523809523808E-2</v>
      </c>
      <c r="AN437" s="55">
        <f t="shared" si="395"/>
        <v>3.8364583333333328E-4</v>
      </c>
      <c r="AO437" s="55">
        <f t="shared" si="396"/>
        <v>7.6729166666666664E-5</v>
      </c>
      <c r="AP437" s="53">
        <v>7.1</v>
      </c>
      <c r="AQ437" s="53">
        <f t="shared" si="364"/>
        <v>4.26</v>
      </c>
      <c r="AR437" s="53">
        <f t="shared" si="365"/>
        <v>21.299999999999997</v>
      </c>
      <c r="AS437" s="56">
        <f t="shared" si="366"/>
        <v>4.6948356807511742E-2</v>
      </c>
      <c r="AT437" s="56">
        <f t="shared" si="397"/>
        <v>0.23474178403755869</v>
      </c>
      <c r="AU437" s="56">
        <f t="shared" si="367"/>
        <v>0.176056338028169</v>
      </c>
      <c r="AV437" s="56">
        <f t="shared" si="398"/>
        <v>5.8685446009389672E-2</v>
      </c>
      <c r="AW437" s="57" t="s">
        <v>2511</v>
      </c>
      <c r="AX437" s="57" t="s">
        <v>2512</v>
      </c>
      <c r="AY437" s="57" t="s">
        <v>2513</v>
      </c>
      <c r="AZ437" s="58">
        <f t="shared" si="399"/>
        <v>3.2226249999999998E-3</v>
      </c>
      <c r="BA437" s="59">
        <f t="shared" si="402"/>
        <v>9.4560592723004686E-5</v>
      </c>
      <c r="BB437" s="59">
        <f t="shared" si="403"/>
        <v>2.8368177816901407E-4</v>
      </c>
      <c r="BC437" s="59">
        <f t="shared" si="404"/>
        <v>7.5648474178403754E-5</v>
      </c>
      <c r="BD437" s="60">
        <f t="shared" si="400"/>
        <v>7.8492935635792783E-4</v>
      </c>
      <c r="BE437" s="59">
        <f t="shared" si="401"/>
        <v>7.8492935635792783E-4</v>
      </c>
      <c r="BQ437" s="61">
        <v>3000</v>
      </c>
      <c r="BR437" s="61">
        <v>1200</v>
      </c>
      <c r="BS437" s="28">
        <f t="shared" si="368"/>
        <v>2980</v>
      </c>
      <c r="BT437" s="28">
        <f t="shared" si="369"/>
        <v>1180</v>
      </c>
      <c r="BU437" s="28" t="s">
        <v>2541</v>
      </c>
      <c r="BV437" s="28">
        <f t="shared" si="370"/>
        <v>208</v>
      </c>
      <c r="BW437" s="28">
        <f t="shared" si="371"/>
        <v>12.9375</v>
      </c>
      <c r="BX437" s="13">
        <f t="shared" si="372"/>
        <v>14.326923076923077</v>
      </c>
      <c r="BY437" s="13">
        <f t="shared" si="373"/>
        <v>14</v>
      </c>
      <c r="BZ437" s="13">
        <f t="shared" si="374"/>
        <v>91.207729468599027</v>
      </c>
      <c r="CA437" s="13">
        <f t="shared" si="375"/>
        <v>91</v>
      </c>
      <c r="CB437" s="13">
        <f t="shared" si="376"/>
        <v>1274</v>
      </c>
      <c r="CC437" s="62">
        <f t="shared" si="377"/>
        <v>7.8492935635792783E-4</v>
      </c>
      <c r="CD437" s="13">
        <f t="shared" si="378"/>
        <v>230.33816425120773</v>
      </c>
      <c r="CE437" s="13">
        <f t="shared" si="379"/>
        <v>230</v>
      </c>
      <c r="CF437" s="13">
        <f t="shared" si="380"/>
        <v>5.6730769230769234</v>
      </c>
      <c r="CG437" s="13">
        <f t="shared" si="381"/>
        <v>5</v>
      </c>
      <c r="CH437" s="28">
        <f t="shared" si="382"/>
        <v>1150</v>
      </c>
      <c r="CI437" s="62">
        <f t="shared" si="383"/>
        <v>8.6956521739130438E-4</v>
      </c>
      <c r="CJ437" s="59">
        <f t="shared" si="384"/>
        <v>7.8492935635792783E-4</v>
      </c>
      <c r="CL437" s="63">
        <v>6000</v>
      </c>
      <c r="CM437" s="63">
        <f t="shared" si="385"/>
        <v>203</v>
      </c>
      <c r="CN437" s="63">
        <f t="shared" si="386"/>
        <v>208</v>
      </c>
      <c r="CO437" s="63">
        <f t="shared" si="387"/>
        <v>28.846153846153847</v>
      </c>
      <c r="CP437" s="13">
        <f t="shared" si="388"/>
        <v>28</v>
      </c>
      <c r="CQ437" s="70">
        <f t="shared" si="389"/>
        <v>3.5714285714285712E-2</v>
      </c>
      <c r="CR437" s="69">
        <f t="shared" si="357"/>
        <v>3.5714285714285712E-2</v>
      </c>
    </row>
    <row r="438" spans="1:96" hidden="1" x14ac:dyDescent="0.25">
      <c r="A438" s="13">
        <v>4</v>
      </c>
      <c r="B438" s="14" t="s">
        <v>1106</v>
      </c>
      <c r="C438" s="13" t="s">
        <v>257</v>
      </c>
      <c r="D438" s="13" t="s">
        <v>260</v>
      </c>
      <c r="E438" s="13" t="s">
        <v>52</v>
      </c>
      <c r="F438" s="15">
        <f t="shared" si="358"/>
        <v>3</v>
      </c>
      <c r="G438" s="13">
        <v>1</v>
      </c>
      <c r="H438" s="13">
        <f t="shared" si="408"/>
        <v>1</v>
      </c>
      <c r="I438" s="13">
        <v>12</v>
      </c>
      <c r="J438" s="14" t="s">
        <v>258</v>
      </c>
      <c r="K438" s="14" t="s">
        <v>34</v>
      </c>
      <c r="L438" s="13" t="s">
        <v>259</v>
      </c>
      <c r="M438" s="14" t="s">
        <v>35</v>
      </c>
      <c r="N438" s="13" t="s">
        <v>260</v>
      </c>
      <c r="O438" s="28" t="s">
        <v>41</v>
      </c>
      <c r="P438" s="28" t="s">
        <v>41</v>
      </c>
      <c r="Q438" s="28" t="s">
        <v>79</v>
      </c>
      <c r="R438" s="30">
        <v>23.976377952755907</v>
      </c>
      <c r="S438" s="30">
        <v>0.3125</v>
      </c>
      <c r="T438" s="30"/>
      <c r="U438" s="30">
        <v>0.3125</v>
      </c>
      <c r="V438" s="8">
        <f t="shared" si="359"/>
        <v>609</v>
      </c>
      <c r="W438" s="8">
        <f t="shared" si="360"/>
        <v>7.9375</v>
      </c>
      <c r="X438" s="8">
        <f t="shared" si="361"/>
        <v>0</v>
      </c>
      <c r="Y438" s="33">
        <f t="shared" si="362"/>
        <v>7.9375</v>
      </c>
      <c r="Z438" s="28" t="s">
        <v>80</v>
      </c>
      <c r="AA438" s="28" t="s">
        <v>81</v>
      </c>
      <c r="AB438" s="61" t="s">
        <v>79</v>
      </c>
      <c r="AC438" s="31" t="s">
        <v>82</v>
      </c>
      <c r="AD438" s="50">
        <f t="shared" si="363"/>
        <v>1</v>
      </c>
      <c r="AE438" s="31"/>
      <c r="AF438" s="51">
        <v>14</v>
      </c>
      <c r="AG438" s="51">
        <f t="shared" si="391"/>
        <v>8.4</v>
      </c>
      <c r="AH438" s="51">
        <f t="shared" si="356"/>
        <v>42</v>
      </c>
      <c r="AI438" s="52" t="s">
        <v>2497</v>
      </c>
      <c r="AJ438" s="52" t="s">
        <v>2498</v>
      </c>
      <c r="AK438" s="53">
        <f t="shared" si="392"/>
        <v>9.6678749999999994E-3</v>
      </c>
      <c r="AL438" s="54">
        <f t="shared" si="393"/>
        <v>0.11904761904761904</v>
      </c>
      <c r="AM438" s="54">
        <f t="shared" si="394"/>
        <v>2.3809523809523808E-2</v>
      </c>
      <c r="AN438" s="55">
        <f t="shared" si="395"/>
        <v>1.1509374999999998E-3</v>
      </c>
      <c r="AO438" s="55">
        <f t="shared" si="396"/>
        <v>2.3018749999999998E-4</v>
      </c>
      <c r="AP438" s="53">
        <v>7.1</v>
      </c>
      <c r="AQ438" s="53">
        <f t="shared" si="364"/>
        <v>4.26</v>
      </c>
      <c r="AR438" s="53">
        <f t="shared" si="365"/>
        <v>21.299999999999997</v>
      </c>
      <c r="AS438" s="56">
        <f t="shared" si="366"/>
        <v>4.6948356807511742E-2</v>
      </c>
      <c r="AT438" s="56">
        <f t="shared" si="397"/>
        <v>0.23474178403755869</v>
      </c>
      <c r="AU438" s="56">
        <f t="shared" si="367"/>
        <v>0.176056338028169</v>
      </c>
      <c r="AV438" s="56">
        <f t="shared" si="398"/>
        <v>5.8685446009389672E-2</v>
      </c>
      <c r="AW438" s="57" t="s">
        <v>2511</v>
      </c>
      <c r="AX438" s="57" t="s">
        <v>2512</v>
      </c>
      <c r="AY438" s="57" t="s">
        <v>2513</v>
      </c>
      <c r="AZ438" s="58">
        <f t="shared" si="399"/>
        <v>9.6678749999999994E-3</v>
      </c>
      <c r="BA438" s="59">
        <f t="shared" si="402"/>
        <v>2.8368177816901407E-4</v>
      </c>
      <c r="BB438" s="59">
        <f t="shared" si="403"/>
        <v>8.5104533450704211E-4</v>
      </c>
      <c r="BC438" s="59">
        <f t="shared" si="404"/>
        <v>2.2694542253521126E-4</v>
      </c>
      <c r="BD438" s="60">
        <f t="shared" si="400"/>
        <v>2.7472527472527475E-3</v>
      </c>
      <c r="BE438" s="59">
        <f t="shared" si="401"/>
        <v>2.7472527472527475E-3</v>
      </c>
      <c r="BQ438" s="61">
        <v>3000</v>
      </c>
      <c r="BR438" s="61">
        <v>1200</v>
      </c>
      <c r="BS438" s="28">
        <f t="shared" si="368"/>
        <v>2980</v>
      </c>
      <c r="BT438" s="28">
        <f t="shared" si="369"/>
        <v>1180</v>
      </c>
      <c r="BU438" s="28" t="s">
        <v>2541</v>
      </c>
      <c r="BV438" s="28">
        <f t="shared" si="370"/>
        <v>614</v>
      </c>
      <c r="BW438" s="28">
        <f t="shared" si="371"/>
        <v>12.9375</v>
      </c>
      <c r="BX438" s="13">
        <f t="shared" si="372"/>
        <v>4.8534201954397398</v>
      </c>
      <c r="BY438" s="13">
        <f t="shared" si="373"/>
        <v>4</v>
      </c>
      <c r="BZ438" s="13">
        <f t="shared" si="374"/>
        <v>91.207729468599027</v>
      </c>
      <c r="CA438" s="13">
        <f t="shared" si="375"/>
        <v>91</v>
      </c>
      <c r="CB438" s="13">
        <f t="shared" si="376"/>
        <v>364</v>
      </c>
      <c r="CC438" s="62">
        <f t="shared" si="377"/>
        <v>2.7472527472527475E-3</v>
      </c>
      <c r="CD438" s="13">
        <f t="shared" si="378"/>
        <v>230.33816425120773</v>
      </c>
      <c r="CE438" s="13">
        <f t="shared" si="379"/>
        <v>230</v>
      </c>
      <c r="CF438" s="13">
        <f t="shared" si="380"/>
        <v>1.9218241042345277</v>
      </c>
      <c r="CG438" s="13">
        <f t="shared" si="381"/>
        <v>1</v>
      </c>
      <c r="CH438" s="28">
        <f t="shared" si="382"/>
        <v>230</v>
      </c>
      <c r="CI438" s="62">
        <f t="shared" si="383"/>
        <v>4.3478260869565218E-3</v>
      </c>
      <c r="CJ438" s="59">
        <f t="shared" si="384"/>
        <v>2.7472527472527475E-3</v>
      </c>
      <c r="CL438" s="63">
        <v>6000</v>
      </c>
      <c r="CM438" s="63">
        <f t="shared" si="385"/>
        <v>609</v>
      </c>
      <c r="CN438" s="63">
        <f t="shared" si="386"/>
        <v>614</v>
      </c>
      <c r="CO438" s="63">
        <f t="shared" si="387"/>
        <v>9.7719869706840399</v>
      </c>
      <c r="CP438" s="13">
        <f t="shared" si="388"/>
        <v>9</v>
      </c>
      <c r="CQ438" s="70">
        <f t="shared" si="389"/>
        <v>0.1111111111111111</v>
      </c>
      <c r="CR438" s="69">
        <f t="shared" si="357"/>
        <v>0.1111111111111111</v>
      </c>
    </row>
    <row r="439" spans="1:96" hidden="1" x14ac:dyDescent="0.25">
      <c r="A439" s="13">
        <v>4</v>
      </c>
      <c r="B439" s="14" t="s">
        <v>1106</v>
      </c>
      <c r="C439" s="13" t="s">
        <v>698</v>
      </c>
      <c r="D439" s="13" t="s">
        <v>700</v>
      </c>
      <c r="E439" s="13" t="s">
        <v>52</v>
      </c>
      <c r="F439" s="15">
        <f t="shared" si="358"/>
        <v>4</v>
      </c>
      <c r="G439" s="13">
        <v>1</v>
      </c>
      <c r="H439" s="13">
        <f t="shared" si="408"/>
        <v>1</v>
      </c>
      <c r="I439" s="13">
        <v>13</v>
      </c>
      <c r="J439" s="14" t="s">
        <v>699</v>
      </c>
      <c r="K439" s="14" t="s">
        <v>34</v>
      </c>
      <c r="L439" s="13" t="s">
        <v>89</v>
      </c>
      <c r="M439" s="14" t="s">
        <v>35</v>
      </c>
      <c r="N439" s="13" t="s">
        <v>700</v>
      </c>
      <c r="O439" s="28" t="s">
        <v>41</v>
      </c>
      <c r="P439" s="28" t="s">
        <v>41</v>
      </c>
      <c r="Q439" s="28" t="s">
        <v>79</v>
      </c>
      <c r="R439" s="30">
        <v>6.0629921259842527</v>
      </c>
      <c r="S439" s="30">
        <v>0.3125</v>
      </c>
      <c r="T439" s="30"/>
      <c r="U439" s="30">
        <v>0.3125</v>
      </c>
      <c r="V439" s="8">
        <f t="shared" si="359"/>
        <v>154</v>
      </c>
      <c r="W439" s="8">
        <f t="shared" si="360"/>
        <v>7.9375</v>
      </c>
      <c r="X439" s="8">
        <f t="shared" si="361"/>
        <v>0</v>
      </c>
      <c r="Y439" s="33">
        <f t="shared" si="362"/>
        <v>7.9375</v>
      </c>
      <c r="Z439" s="28" t="s">
        <v>80</v>
      </c>
      <c r="AA439" s="28" t="s">
        <v>81</v>
      </c>
      <c r="AB439" s="61" t="s">
        <v>79</v>
      </c>
      <c r="AC439" s="31" t="s">
        <v>82</v>
      </c>
      <c r="AD439" s="50">
        <f t="shared" si="363"/>
        <v>1</v>
      </c>
      <c r="AE439" s="31"/>
      <c r="AF439" s="51">
        <v>14</v>
      </c>
      <c r="AG439" s="51">
        <f t="shared" si="391"/>
        <v>8.4</v>
      </c>
      <c r="AH439" s="51">
        <f t="shared" si="356"/>
        <v>42</v>
      </c>
      <c r="AI439" s="52" t="s">
        <v>2497</v>
      </c>
      <c r="AJ439" s="52" t="s">
        <v>2498</v>
      </c>
      <c r="AK439" s="53">
        <f t="shared" si="392"/>
        <v>2.4447499999999999E-3</v>
      </c>
      <c r="AL439" s="54">
        <f t="shared" si="393"/>
        <v>0.11904761904761904</v>
      </c>
      <c r="AM439" s="54">
        <f t="shared" si="394"/>
        <v>2.3809523809523808E-2</v>
      </c>
      <c r="AN439" s="55">
        <f t="shared" si="395"/>
        <v>2.9104166666666666E-4</v>
      </c>
      <c r="AO439" s="55">
        <f t="shared" si="396"/>
        <v>5.820833333333333E-5</v>
      </c>
      <c r="AP439" s="53">
        <v>7.1</v>
      </c>
      <c r="AQ439" s="53">
        <f t="shared" si="364"/>
        <v>4.26</v>
      </c>
      <c r="AR439" s="53">
        <f t="shared" si="365"/>
        <v>21.299999999999997</v>
      </c>
      <c r="AS439" s="56">
        <f t="shared" si="366"/>
        <v>4.6948356807511742E-2</v>
      </c>
      <c r="AT439" s="56">
        <f t="shared" si="397"/>
        <v>0.23474178403755869</v>
      </c>
      <c r="AU439" s="56">
        <f t="shared" si="367"/>
        <v>0.176056338028169</v>
      </c>
      <c r="AV439" s="56">
        <f t="shared" si="398"/>
        <v>5.8685446009389672E-2</v>
      </c>
      <c r="AW439" s="57" t="s">
        <v>2511</v>
      </c>
      <c r="AX439" s="57" t="s">
        <v>2512</v>
      </c>
      <c r="AY439" s="57" t="s">
        <v>2513</v>
      </c>
      <c r="AZ439" s="58">
        <f t="shared" si="399"/>
        <v>2.4447499999999999E-3</v>
      </c>
      <c r="BA439" s="59">
        <f t="shared" si="402"/>
        <v>7.1735622065727695E-5</v>
      </c>
      <c r="BB439" s="59">
        <f t="shared" si="403"/>
        <v>2.1520686619718308E-4</v>
      </c>
      <c r="BC439" s="59">
        <f t="shared" si="404"/>
        <v>5.7388497652582161E-5</v>
      </c>
      <c r="BD439" s="60">
        <f t="shared" si="400"/>
        <v>6.105006105006105E-4</v>
      </c>
      <c r="BE439" s="59">
        <f t="shared" si="401"/>
        <v>6.105006105006105E-4</v>
      </c>
      <c r="BQ439" s="61">
        <v>3000</v>
      </c>
      <c r="BR439" s="61">
        <v>1200</v>
      </c>
      <c r="BS439" s="28">
        <f t="shared" si="368"/>
        <v>2980</v>
      </c>
      <c r="BT439" s="28">
        <f t="shared" si="369"/>
        <v>1180</v>
      </c>
      <c r="BU439" s="28" t="s">
        <v>2541</v>
      </c>
      <c r="BV439" s="28">
        <f t="shared" si="370"/>
        <v>159</v>
      </c>
      <c r="BW439" s="28">
        <f t="shared" si="371"/>
        <v>12.9375</v>
      </c>
      <c r="BX439" s="13">
        <f t="shared" si="372"/>
        <v>18.742138364779873</v>
      </c>
      <c r="BY439" s="13">
        <f t="shared" si="373"/>
        <v>18</v>
      </c>
      <c r="BZ439" s="13">
        <f t="shared" si="374"/>
        <v>91.207729468599027</v>
      </c>
      <c r="CA439" s="13">
        <f t="shared" si="375"/>
        <v>91</v>
      </c>
      <c r="CB439" s="13">
        <f t="shared" si="376"/>
        <v>1638</v>
      </c>
      <c r="CC439" s="62">
        <f t="shared" si="377"/>
        <v>6.105006105006105E-4</v>
      </c>
      <c r="CD439" s="13">
        <f t="shared" si="378"/>
        <v>230.33816425120773</v>
      </c>
      <c r="CE439" s="13">
        <f t="shared" si="379"/>
        <v>230</v>
      </c>
      <c r="CF439" s="13">
        <f t="shared" si="380"/>
        <v>7.4213836477987423</v>
      </c>
      <c r="CG439" s="13">
        <f t="shared" si="381"/>
        <v>7</v>
      </c>
      <c r="CH439" s="28">
        <f t="shared" si="382"/>
        <v>1610</v>
      </c>
      <c r="CI439" s="62">
        <f t="shared" si="383"/>
        <v>6.2111801242236027E-4</v>
      </c>
      <c r="CJ439" s="59">
        <f t="shared" si="384"/>
        <v>6.105006105006105E-4</v>
      </c>
      <c r="CL439" s="63">
        <v>6000</v>
      </c>
      <c r="CM439" s="63">
        <f t="shared" si="385"/>
        <v>154</v>
      </c>
      <c r="CN439" s="63">
        <f t="shared" si="386"/>
        <v>159</v>
      </c>
      <c r="CO439" s="63">
        <f t="shared" si="387"/>
        <v>37.735849056603776</v>
      </c>
      <c r="CP439" s="13">
        <f t="shared" si="388"/>
        <v>37</v>
      </c>
      <c r="CQ439" s="70">
        <f t="shared" si="389"/>
        <v>2.7027027027027029E-2</v>
      </c>
      <c r="CR439" s="69">
        <f t="shared" si="357"/>
        <v>2.7027027027027029E-2</v>
      </c>
    </row>
    <row r="440" spans="1:96" hidden="1" x14ac:dyDescent="0.25">
      <c r="A440" s="13">
        <v>4</v>
      </c>
      <c r="B440" s="14" t="s">
        <v>1106</v>
      </c>
      <c r="C440" s="13" t="s">
        <v>1125</v>
      </c>
      <c r="D440" s="13" t="s">
        <v>1127</v>
      </c>
      <c r="E440" s="13" t="s">
        <v>52</v>
      </c>
      <c r="F440" s="15">
        <f t="shared" si="358"/>
        <v>1</v>
      </c>
      <c r="G440" s="13">
        <v>1</v>
      </c>
      <c r="H440" s="13">
        <f t="shared" si="408"/>
        <v>1</v>
      </c>
      <c r="I440" s="13">
        <v>14</v>
      </c>
      <c r="J440" s="14" t="s">
        <v>1126</v>
      </c>
      <c r="K440" s="14" t="s">
        <v>34</v>
      </c>
      <c r="L440" s="13" t="s">
        <v>259</v>
      </c>
      <c r="M440" s="14" t="s">
        <v>35</v>
      </c>
      <c r="N440" s="13" t="s">
        <v>1127</v>
      </c>
      <c r="O440" s="28" t="s">
        <v>41</v>
      </c>
      <c r="P440" s="28" t="s">
        <v>41</v>
      </c>
      <c r="Q440" s="28" t="s">
        <v>79</v>
      </c>
      <c r="R440" s="30">
        <v>17.984251968503937</v>
      </c>
      <c r="S440" s="30">
        <v>0.3125</v>
      </c>
      <c r="T440" s="30"/>
      <c r="U440" s="30">
        <v>0.3125</v>
      </c>
      <c r="V440" s="8">
        <f t="shared" si="359"/>
        <v>456.79999999999995</v>
      </c>
      <c r="W440" s="8">
        <f t="shared" si="360"/>
        <v>7.9375</v>
      </c>
      <c r="X440" s="8">
        <f t="shared" si="361"/>
        <v>0</v>
      </c>
      <c r="Y440" s="33">
        <f t="shared" si="362"/>
        <v>7.9375</v>
      </c>
      <c r="Z440" s="28" t="s">
        <v>80</v>
      </c>
      <c r="AA440" s="28" t="s">
        <v>81</v>
      </c>
      <c r="AB440" s="61" t="s">
        <v>79</v>
      </c>
      <c r="AC440" s="31" t="s">
        <v>82</v>
      </c>
      <c r="AD440" s="50">
        <f t="shared" si="363"/>
        <v>1</v>
      </c>
      <c r="AE440" s="31"/>
      <c r="AF440" s="51">
        <v>14</v>
      </c>
      <c r="AG440" s="51">
        <f t="shared" si="391"/>
        <v>8.4</v>
      </c>
      <c r="AH440" s="51">
        <f t="shared" si="356"/>
        <v>42</v>
      </c>
      <c r="AI440" s="52" t="s">
        <v>2497</v>
      </c>
      <c r="AJ440" s="52" t="s">
        <v>2498</v>
      </c>
      <c r="AK440" s="53">
        <f t="shared" si="392"/>
        <v>7.2516999999999989E-3</v>
      </c>
      <c r="AL440" s="54">
        <f t="shared" si="393"/>
        <v>0.11904761904761904</v>
      </c>
      <c r="AM440" s="54">
        <f t="shared" si="394"/>
        <v>2.3809523809523808E-2</v>
      </c>
      <c r="AN440" s="55">
        <f t="shared" si="395"/>
        <v>8.632976190476189E-4</v>
      </c>
      <c r="AO440" s="55">
        <f t="shared" si="396"/>
        <v>1.7265952380952378E-4</v>
      </c>
      <c r="AP440" s="53">
        <v>7.1</v>
      </c>
      <c r="AQ440" s="53">
        <f t="shared" si="364"/>
        <v>4.26</v>
      </c>
      <c r="AR440" s="53">
        <f t="shared" si="365"/>
        <v>21.299999999999997</v>
      </c>
      <c r="AS440" s="56">
        <f t="shared" si="366"/>
        <v>4.6948356807511742E-2</v>
      </c>
      <c r="AT440" s="56">
        <f t="shared" si="397"/>
        <v>0.23474178403755869</v>
      </c>
      <c r="AU440" s="56">
        <f t="shared" si="367"/>
        <v>0.176056338028169</v>
      </c>
      <c r="AV440" s="56">
        <f t="shared" si="398"/>
        <v>5.8685446009389672E-2</v>
      </c>
      <c r="AW440" s="57" t="s">
        <v>2511</v>
      </c>
      <c r="AX440" s="57" t="s">
        <v>2512</v>
      </c>
      <c r="AY440" s="57" t="s">
        <v>2513</v>
      </c>
      <c r="AZ440" s="58">
        <f t="shared" si="399"/>
        <v>7.2516999999999989E-3</v>
      </c>
      <c r="BA440" s="59">
        <f t="shared" si="402"/>
        <v>2.127846244131455E-4</v>
      </c>
      <c r="BB440" s="59">
        <f t="shared" si="403"/>
        <v>6.3835387323943652E-4</v>
      </c>
      <c r="BC440" s="59">
        <f t="shared" si="404"/>
        <v>1.7022769953051642E-4</v>
      </c>
      <c r="BD440" s="60">
        <f t="shared" si="400"/>
        <v>1.8315018315018315E-3</v>
      </c>
      <c r="BE440" s="59">
        <f t="shared" si="401"/>
        <v>1.8315018315018315E-3</v>
      </c>
      <c r="BQ440" s="61">
        <v>3000</v>
      </c>
      <c r="BR440" s="61">
        <v>1200</v>
      </c>
      <c r="BS440" s="28">
        <f t="shared" si="368"/>
        <v>2980</v>
      </c>
      <c r="BT440" s="28">
        <f t="shared" si="369"/>
        <v>1180</v>
      </c>
      <c r="BU440" s="28" t="s">
        <v>2541</v>
      </c>
      <c r="BV440" s="28">
        <f t="shared" si="370"/>
        <v>461.79999999999995</v>
      </c>
      <c r="BW440" s="28">
        <f t="shared" si="371"/>
        <v>12.9375</v>
      </c>
      <c r="BX440" s="13">
        <f t="shared" si="372"/>
        <v>6.4530099610220883</v>
      </c>
      <c r="BY440" s="13">
        <f t="shared" si="373"/>
        <v>6</v>
      </c>
      <c r="BZ440" s="13">
        <f t="shared" si="374"/>
        <v>91.207729468599027</v>
      </c>
      <c r="CA440" s="13">
        <f t="shared" si="375"/>
        <v>91</v>
      </c>
      <c r="CB440" s="13">
        <f t="shared" si="376"/>
        <v>546</v>
      </c>
      <c r="CC440" s="62">
        <f t="shared" si="377"/>
        <v>1.8315018315018315E-3</v>
      </c>
      <c r="CD440" s="13">
        <f t="shared" si="378"/>
        <v>230.33816425120773</v>
      </c>
      <c r="CE440" s="13">
        <f t="shared" si="379"/>
        <v>230</v>
      </c>
      <c r="CF440" s="13">
        <f t="shared" si="380"/>
        <v>2.5552187093980079</v>
      </c>
      <c r="CG440" s="13">
        <f t="shared" si="381"/>
        <v>2</v>
      </c>
      <c r="CH440" s="28">
        <f t="shared" si="382"/>
        <v>460</v>
      </c>
      <c r="CI440" s="62">
        <f t="shared" si="383"/>
        <v>2.1739130434782609E-3</v>
      </c>
      <c r="CJ440" s="59">
        <f t="shared" si="384"/>
        <v>1.8315018315018315E-3</v>
      </c>
      <c r="CL440" s="63">
        <v>6000</v>
      </c>
      <c r="CM440" s="63">
        <f t="shared" si="385"/>
        <v>456.79999999999995</v>
      </c>
      <c r="CN440" s="63">
        <f t="shared" si="386"/>
        <v>461.79999999999995</v>
      </c>
      <c r="CO440" s="63">
        <f t="shared" si="387"/>
        <v>12.992637505413601</v>
      </c>
      <c r="CP440" s="13">
        <f t="shared" si="388"/>
        <v>12</v>
      </c>
      <c r="CQ440" s="70">
        <f t="shared" si="389"/>
        <v>8.3333333333333329E-2</v>
      </c>
      <c r="CR440" s="69">
        <f t="shared" si="357"/>
        <v>8.3333333333333329E-2</v>
      </c>
    </row>
    <row r="441" spans="1:96" hidden="1" x14ac:dyDescent="0.25">
      <c r="A441" s="13">
        <v>4</v>
      </c>
      <c r="B441" s="14" t="s">
        <v>1106</v>
      </c>
      <c r="C441" s="13" t="s">
        <v>918</v>
      </c>
      <c r="D441" s="13" t="s">
        <v>920</v>
      </c>
      <c r="E441" s="13" t="s">
        <v>52</v>
      </c>
      <c r="F441" s="15">
        <f t="shared" si="358"/>
        <v>2</v>
      </c>
      <c r="G441" s="13">
        <v>4</v>
      </c>
      <c r="H441" s="13">
        <f t="shared" si="408"/>
        <v>4</v>
      </c>
      <c r="I441" s="13">
        <v>15</v>
      </c>
      <c r="J441" s="14" t="s">
        <v>919</v>
      </c>
      <c r="K441" s="14" t="s">
        <v>34</v>
      </c>
      <c r="L441" s="13" t="s">
        <v>259</v>
      </c>
      <c r="M441" s="14" t="s">
        <v>35</v>
      </c>
      <c r="N441" s="13" t="s">
        <v>920</v>
      </c>
      <c r="O441" s="28" t="s">
        <v>41</v>
      </c>
      <c r="P441" s="28" t="s">
        <v>41</v>
      </c>
      <c r="Q441" s="28" t="s">
        <v>79</v>
      </c>
      <c r="R441" s="30">
        <v>15.964566929133859</v>
      </c>
      <c r="S441" s="30">
        <v>0.3125</v>
      </c>
      <c r="T441" s="30"/>
      <c r="U441" s="30">
        <v>0.3125</v>
      </c>
      <c r="V441" s="8">
        <f t="shared" si="359"/>
        <v>405.5</v>
      </c>
      <c r="W441" s="8">
        <f t="shared" si="360"/>
        <v>7.9375</v>
      </c>
      <c r="X441" s="8">
        <f t="shared" si="361"/>
        <v>0</v>
      </c>
      <c r="Y441" s="33">
        <f t="shared" si="362"/>
        <v>7.9375</v>
      </c>
      <c r="Z441" s="28" t="s">
        <v>80</v>
      </c>
      <c r="AA441" s="28" t="s">
        <v>81</v>
      </c>
      <c r="AB441" s="61" t="s">
        <v>79</v>
      </c>
      <c r="AC441" s="31" t="s">
        <v>82</v>
      </c>
      <c r="AD441" s="50">
        <f t="shared" si="363"/>
        <v>4</v>
      </c>
      <c r="AE441" s="31"/>
      <c r="AF441" s="51">
        <v>14</v>
      </c>
      <c r="AG441" s="51">
        <f t="shared" si="391"/>
        <v>8.4</v>
      </c>
      <c r="AH441" s="51">
        <f t="shared" si="356"/>
        <v>42</v>
      </c>
      <c r="AI441" s="52" t="s">
        <v>2497</v>
      </c>
      <c r="AJ441" s="52" t="s">
        <v>2498</v>
      </c>
      <c r="AK441" s="53">
        <f t="shared" si="392"/>
        <v>6.4373125000000003E-3</v>
      </c>
      <c r="AL441" s="54">
        <f t="shared" si="393"/>
        <v>0.11904761904761904</v>
      </c>
      <c r="AM441" s="54">
        <f t="shared" si="394"/>
        <v>2.3809523809523808E-2</v>
      </c>
      <c r="AN441" s="55">
        <f t="shared" si="395"/>
        <v>3.065386904761905E-3</v>
      </c>
      <c r="AO441" s="55">
        <f t="shared" si="396"/>
        <v>6.1307738095238093E-4</v>
      </c>
      <c r="AP441" s="53">
        <v>7.1</v>
      </c>
      <c r="AQ441" s="53">
        <f t="shared" si="364"/>
        <v>4.26</v>
      </c>
      <c r="AR441" s="53">
        <f t="shared" si="365"/>
        <v>21.299999999999997</v>
      </c>
      <c r="AS441" s="56">
        <f t="shared" si="366"/>
        <v>4.6948356807511742E-2</v>
      </c>
      <c r="AT441" s="56">
        <f t="shared" si="397"/>
        <v>0.23474178403755869</v>
      </c>
      <c r="AU441" s="56">
        <f t="shared" si="367"/>
        <v>0.176056338028169</v>
      </c>
      <c r="AV441" s="56">
        <f t="shared" si="398"/>
        <v>5.8685446009389672E-2</v>
      </c>
      <c r="AW441" s="57" t="s">
        <v>2511</v>
      </c>
      <c r="AX441" s="57" t="s">
        <v>2512</v>
      </c>
      <c r="AY441" s="57" t="s">
        <v>2513</v>
      </c>
      <c r="AZ441" s="58">
        <f t="shared" si="399"/>
        <v>6.4373125000000003E-3</v>
      </c>
      <c r="BA441" s="59">
        <f t="shared" si="402"/>
        <v>7.5555311032863854E-4</v>
      </c>
      <c r="BB441" s="59">
        <f t="shared" si="403"/>
        <v>2.2666593309859156E-3</v>
      </c>
      <c r="BC441" s="59">
        <f t="shared" si="404"/>
        <v>6.0444248826291085E-4</v>
      </c>
      <c r="BD441" s="60">
        <f t="shared" si="400"/>
        <v>1.5698587127158557E-3</v>
      </c>
      <c r="BE441" s="59">
        <f t="shared" si="401"/>
        <v>6.2794348508634227E-3</v>
      </c>
      <c r="BQ441" s="61">
        <v>3000</v>
      </c>
      <c r="BR441" s="61">
        <v>1200</v>
      </c>
      <c r="BS441" s="28">
        <f t="shared" si="368"/>
        <v>2980</v>
      </c>
      <c r="BT441" s="28">
        <f t="shared" si="369"/>
        <v>1180</v>
      </c>
      <c r="BU441" s="28" t="s">
        <v>2541</v>
      </c>
      <c r="BV441" s="28">
        <f t="shared" si="370"/>
        <v>410.5</v>
      </c>
      <c r="BW441" s="28">
        <f t="shared" si="371"/>
        <v>12.9375</v>
      </c>
      <c r="BX441" s="13">
        <f t="shared" si="372"/>
        <v>7.2594397076735691</v>
      </c>
      <c r="BY441" s="13">
        <f t="shared" si="373"/>
        <v>7</v>
      </c>
      <c r="BZ441" s="13">
        <f t="shared" si="374"/>
        <v>91.207729468599027</v>
      </c>
      <c r="CA441" s="13">
        <f t="shared" si="375"/>
        <v>91</v>
      </c>
      <c r="CB441" s="13">
        <f t="shared" si="376"/>
        <v>637</v>
      </c>
      <c r="CC441" s="62">
        <f t="shared" si="377"/>
        <v>1.5698587127158557E-3</v>
      </c>
      <c r="CD441" s="13">
        <f t="shared" si="378"/>
        <v>230.33816425120773</v>
      </c>
      <c r="CE441" s="13">
        <f t="shared" si="379"/>
        <v>230</v>
      </c>
      <c r="CF441" s="13">
        <f t="shared" si="380"/>
        <v>2.8745432399512789</v>
      </c>
      <c r="CG441" s="13">
        <f t="shared" si="381"/>
        <v>2</v>
      </c>
      <c r="CH441" s="28">
        <f t="shared" si="382"/>
        <v>460</v>
      </c>
      <c r="CI441" s="62">
        <f t="shared" si="383"/>
        <v>2.1739130434782609E-3</v>
      </c>
      <c r="CJ441" s="59">
        <f t="shared" si="384"/>
        <v>1.5698587127158557E-3</v>
      </c>
      <c r="CL441" s="63">
        <v>6000</v>
      </c>
      <c r="CM441" s="63">
        <f t="shared" si="385"/>
        <v>405.5</v>
      </c>
      <c r="CN441" s="63">
        <f t="shared" si="386"/>
        <v>410.5</v>
      </c>
      <c r="CO441" s="63">
        <f t="shared" si="387"/>
        <v>14.616321559074299</v>
      </c>
      <c r="CP441" s="13">
        <f t="shared" si="388"/>
        <v>14</v>
      </c>
      <c r="CQ441" s="70">
        <f t="shared" si="389"/>
        <v>7.1428571428571425E-2</v>
      </c>
      <c r="CR441" s="69">
        <f t="shared" si="357"/>
        <v>0.2857142857142857</v>
      </c>
    </row>
    <row r="442" spans="1:96" hidden="1" x14ac:dyDescent="0.25">
      <c r="A442" s="13">
        <v>4</v>
      </c>
      <c r="B442" s="14" t="s">
        <v>1106</v>
      </c>
      <c r="C442" s="13" t="s">
        <v>1128</v>
      </c>
      <c r="D442" s="13" t="s">
        <v>1130</v>
      </c>
      <c r="E442" s="13" t="s">
        <v>52</v>
      </c>
      <c r="F442" s="15">
        <f t="shared" si="358"/>
        <v>2</v>
      </c>
      <c r="G442" s="13">
        <v>1</v>
      </c>
      <c r="H442" s="13">
        <f t="shared" si="408"/>
        <v>1</v>
      </c>
      <c r="I442" s="13">
        <v>16</v>
      </c>
      <c r="J442" s="14" t="s">
        <v>1129</v>
      </c>
      <c r="K442" s="14" t="s">
        <v>34</v>
      </c>
      <c r="L442" s="13" t="s">
        <v>259</v>
      </c>
      <c r="M442" s="14" t="s">
        <v>35</v>
      </c>
      <c r="N442" s="13" t="s">
        <v>1130</v>
      </c>
      <c r="O442" s="28" t="s">
        <v>41</v>
      </c>
      <c r="P442" s="28" t="s">
        <v>41</v>
      </c>
      <c r="Q442" s="28" t="s">
        <v>79</v>
      </c>
      <c r="R442" s="30">
        <v>13.976377952755906</v>
      </c>
      <c r="S442" s="30">
        <v>0.3125</v>
      </c>
      <c r="T442" s="30"/>
      <c r="U442" s="30">
        <v>0.3125</v>
      </c>
      <c r="V442" s="8">
        <f t="shared" si="359"/>
        <v>355</v>
      </c>
      <c r="W442" s="8">
        <f t="shared" si="360"/>
        <v>7.9375</v>
      </c>
      <c r="X442" s="8">
        <f t="shared" si="361"/>
        <v>0</v>
      </c>
      <c r="Y442" s="33">
        <f t="shared" si="362"/>
        <v>7.9375</v>
      </c>
      <c r="Z442" s="28" t="s">
        <v>80</v>
      </c>
      <c r="AA442" s="28" t="s">
        <v>81</v>
      </c>
      <c r="AB442" s="61" t="s">
        <v>79</v>
      </c>
      <c r="AC442" s="31" t="s">
        <v>82</v>
      </c>
      <c r="AD442" s="50">
        <f t="shared" si="363"/>
        <v>1</v>
      </c>
      <c r="AE442" s="31"/>
      <c r="AF442" s="51">
        <v>14</v>
      </c>
      <c r="AG442" s="51">
        <f t="shared" si="391"/>
        <v>8.4</v>
      </c>
      <c r="AH442" s="51">
        <f t="shared" si="356"/>
        <v>42</v>
      </c>
      <c r="AI442" s="52" t="s">
        <v>2497</v>
      </c>
      <c r="AJ442" s="52" t="s">
        <v>2498</v>
      </c>
      <c r="AK442" s="53">
        <f t="shared" si="392"/>
        <v>5.635625E-3</v>
      </c>
      <c r="AL442" s="54">
        <f t="shared" si="393"/>
        <v>0.11904761904761904</v>
      </c>
      <c r="AM442" s="54">
        <f t="shared" si="394"/>
        <v>2.3809523809523808E-2</v>
      </c>
      <c r="AN442" s="55">
        <f t="shared" si="395"/>
        <v>6.7090773809523802E-4</v>
      </c>
      <c r="AO442" s="55">
        <f t="shared" si="396"/>
        <v>1.3418154761904761E-4</v>
      </c>
      <c r="AP442" s="53">
        <v>7.1</v>
      </c>
      <c r="AQ442" s="53">
        <f t="shared" si="364"/>
        <v>4.26</v>
      </c>
      <c r="AR442" s="53">
        <f t="shared" si="365"/>
        <v>21.299999999999997</v>
      </c>
      <c r="AS442" s="56">
        <f t="shared" si="366"/>
        <v>4.6948356807511742E-2</v>
      </c>
      <c r="AT442" s="56">
        <f t="shared" si="397"/>
        <v>0.23474178403755869</v>
      </c>
      <c r="AU442" s="56">
        <f t="shared" si="367"/>
        <v>0.176056338028169</v>
      </c>
      <c r="AV442" s="56">
        <f t="shared" si="398"/>
        <v>5.8685446009389672E-2</v>
      </c>
      <c r="AW442" s="57" t="s">
        <v>2511</v>
      </c>
      <c r="AX442" s="57" t="s">
        <v>2512</v>
      </c>
      <c r="AY442" s="57" t="s">
        <v>2513</v>
      </c>
      <c r="AZ442" s="58">
        <f t="shared" si="399"/>
        <v>5.635625E-3</v>
      </c>
      <c r="BA442" s="59">
        <f t="shared" si="402"/>
        <v>1.6536458333333334E-4</v>
      </c>
      <c r="BB442" s="59">
        <f t="shared" si="403"/>
        <v>4.9609375000000001E-4</v>
      </c>
      <c r="BC442" s="59">
        <f t="shared" si="404"/>
        <v>1.3229166666666668E-4</v>
      </c>
      <c r="BD442" s="60">
        <f t="shared" si="400"/>
        <v>1.3736263736263737E-3</v>
      </c>
      <c r="BE442" s="59">
        <f t="shared" si="401"/>
        <v>1.3736263736263737E-3</v>
      </c>
      <c r="BQ442" s="61">
        <v>3000</v>
      </c>
      <c r="BR442" s="61">
        <v>1200</v>
      </c>
      <c r="BS442" s="28">
        <f t="shared" si="368"/>
        <v>2980</v>
      </c>
      <c r="BT442" s="28">
        <f t="shared" si="369"/>
        <v>1180</v>
      </c>
      <c r="BU442" s="28" t="s">
        <v>2541</v>
      </c>
      <c r="BV442" s="28">
        <f t="shared" si="370"/>
        <v>360</v>
      </c>
      <c r="BW442" s="28">
        <f t="shared" si="371"/>
        <v>12.9375</v>
      </c>
      <c r="BX442" s="13">
        <f t="shared" si="372"/>
        <v>8.2777777777777786</v>
      </c>
      <c r="BY442" s="13">
        <f t="shared" si="373"/>
        <v>8</v>
      </c>
      <c r="BZ442" s="13">
        <f t="shared" si="374"/>
        <v>91.207729468599027</v>
      </c>
      <c r="CA442" s="13">
        <f t="shared" si="375"/>
        <v>91</v>
      </c>
      <c r="CB442" s="13">
        <f t="shared" si="376"/>
        <v>728</v>
      </c>
      <c r="CC442" s="62">
        <f t="shared" si="377"/>
        <v>1.3736263736263737E-3</v>
      </c>
      <c r="CD442" s="13">
        <f t="shared" si="378"/>
        <v>230.33816425120773</v>
      </c>
      <c r="CE442" s="13">
        <f t="shared" si="379"/>
        <v>230</v>
      </c>
      <c r="CF442" s="13">
        <f t="shared" si="380"/>
        <v>3.2777777777777777</v>
      </c>
      <c r="CG442" s="13">
        <f t="shared" si="381"/>
        <v>3</v>
      </c>
      <c r="CH442" s="28">
        <f t="shared" si="382"/>
        <v>690</v>
      </c>
      <c r="CI442" s="62">
        <f t="shared" si="383"/>
        <v>1.4492753623188406E-3</v>
      </c>
      <c r="CJ442" s="59">
        <f t="shared" si="384"/>
        <v>1.3736263736263737E-3</v>
      </c>
      <c r="CL442" s="63">
        <v>6000</v>
      </c>
      <c r="CM442" s="63">
        <f t="shared" si="385"/>
        <v>355</v>
      </c>
      <c r="CN442" s="63">
        <f t="shared" si="386"/>
        <v>360</v>
      </c>
      <c r="CO442" s="63">
        <f t="shared" si="387"/>
        <v>16.666666666666668</v>
      </c>
      <c r="CP442" s="13">
        <f t="shared" si="388"/>
        <v>16</v>
      </c>
      <c r="CQ442" s="70">
        <f t="shared" si="389"/>
        <v>6.25E-2</v>
      </c>
      <c r="CR442" s="69">
        <f t="shared" si="357"/>
        <v>6.25E-2</v>
      </c>
    </row>
    <row r="443" spans="1:96" hidden="1" x14ac:dyDescent="0.25">
      <c r="A443" s="13">
        <v>4</v>
      </c>
      <c r="B443" s="14" t="s">
        <v>1106</v>
      </c>
      <c r="C443" s="13" t="s">
        <v>1131</v>
      </c>
      <c r="D443" s="13" t="s">
        <v>1133</v>
      </c>
      <c r="E443" s="13" t="s">
        <v>32</v>
      </c>
      <c r="F443" s="15">
        <f t="shared" si="358"/>
        <v>1</v>
      </c>
      <c r="G443" s="13">
        <v>1</v>
      </c>
      <c r="H443" s="13">
        <f t="shared" si="408"/>
        <v>1</v>
      </c>
      <c r="I443" s="13">
        <v>17</v>
      </c>
      <c r="J443" s="14" t="s">
        <v>1132</v>
      </c>
      <c r="K443" s="14" t="s">
        <v>34</v>
      </c>
      <c r="L443" s="13">
        <v>0</v>
      </c>
      <c r="M443" s="14" t="s">
        <v>35</v>
      </c>
      <c r="N443" s="13" t="s">
        <v>1133</v>
      </c>
      <c r="O443" s="28" t="s">
        <v>41</v>
      </c>
      <c r="P443" s="28" t="s">
        <v>41</v>
      </c>
      <c r="Q443" s="28"/>
      <c r="R443" s="30"/>
      <c r="S443" s="30"/>
      <c r="T443" s="30"/>
      <c r="U443" s="30"/>
      <c r="V443" s="8">
        <f t="shared" si="359"/>
        <v>0</v>
      </c>
      <c r="W443" s="8">
        <f t="shared" si="360"/>
        <v>0</v>
      </c>
      <c r="X443" s="8">
        <f t="shared" si="361"/>
        <v>0</v>
      </c>
      <c r="Y443" s="33">
        <f t="shared" si="362"/>
        <v>0</v>
      </c>
      <c r="Z443" s="28"/>
      <c r="AA443" s="28"/>
      <c r="AB443" s="28">
        <v>0</v>
      </c>
      <c r="AC443" s="31"/>
      <c r="AD443" s="50">
        <f t="shared" si="363"/>
        <v>1</v>
      </c>
      <c r="AE443" s="31"/>
      <c r="AF443" s="51">
        <v>14</v>
      </c>
      <c r="AG443" s="51">
        <f t="shared" si="391"/>
        <v>8.4</v>
      </c>
      <c r="AH443" s="51">
        <f t="shared" si="356"/>
        <v>42</v>
      </c>
      <c r="AI443" s="52" t="s">
        <v>2497</v>
      </c>
      <c r="AJ443" s="52" t="s">
        <v>2498</v>
      </c>
      <c r="AK443" s="53">
        <f t="shared" si="392"/>
        <v>0</v>
      </c>
      <c r="AL443" s="54">
        <f t="shared" si="393"/>
        <v>0.11904761904761904</v>
      </c>
      <c r="AM443" s="54">
        <f t="shared" si="394"/>
        <v>2.3809523809523808E-2</v>
      </c>
      <c r="AN443" s="55">
        <f t="shared" si="395"/>
        <v>0</v>
      </c>
      <c r="AO443" s="55">
        <f t="shared" si="396"/>
        <v>0</v>
      </c>
      <c r="AP443" s="53">
        <v>7.1</v>
      </c>
      <c r="AQ443" s="53">
        <f t="shared" si="364"/>
        <v>4.26</v>
      </c>
      <c r="AR443" s="53">
        <f t="shared" si="365"/>
        <v>21.299999999999997</v>
      </c>
      <c r="AS443" s="56">
        <f t="shared" si="366"/>
        <v>4.6948356807511742E-2</v>
      </c>
      <c r="AT443" s="56">
        <f t="shared" si="397"/>
        <v>0.23474178403755869</v>
      </c>
      <c r="AU443" s="56">
        <f t="shared" si="367"/>
        <v>0.176056338028169</v>
      </c>
      <c r="AV443" s="56">
        <f t="shared" si="398"/>
        <v>5.8685446009389672E-2</v>
      </c>
      <c r="AW443" s="57" t="s">
        <v>2511</v>
      </c>
      <c r="AX443" s="57" t="s">
        <v>2512</v>
      </c>
      <c r="AY443" s="57" t="s">
        <v>2513</v>
      </c>
      <c r="AZ443" s="58">
        <f t="shared" si="399"/>
        <v>0</v>
      </c>
      <c r="BA443" s="59">
        <f t="shared" si="402"/>
        <v>0</v>
      </c>
      <c r="BB443" s="59">
        <f t="shared" si="403"/>
        <v>0</v>
      </c>
      <c r="BC443" s="59">
        <f t="shared" si="404"/>
        <v>0</v>
      </c>
      <c r="BD443" s="60">
        <f t="shared" si="400"/>
        <v>0</v>
      </c>
      <c r="BE443" s="59">
        <f t="shared" si="401"/>
        <v>0</v>
      </c>
      <c r="BQ443" s="61">
        <v>3000</v>
      </c>
      <c r="BR443" s="61">
        <v>1200</v>
      </c>
      <c r="BS443" s="28">
        <f t="shared" si="368"/>
        <v>2980</v>
      </c>
      <c r="BT443" s="28">
        <f t="shared" si="369"/>
        <v>1180</v>
      </c>
      <c r="BU443" s="28" t="s">
        <v>2541</v>
      </c>
      <c r="BV443" s="28">
        <f t="shared" si="370"/>
        <v>5</v>
      </c>
      <c r="BW443" s="28">
        <f t="shared" si="371"/>
        <v>5</v>
      </c>
      <c r="BX443" s="13">
        <f t="shared" si="372"/>
        <v>596</v>
      </c>
      <c r="BY443" s="13">
        <f t="shared" si="373"/>
        <v>596</v>
      </c>
      <c r="BZ443" s="13">
        <f t="shared" si="374"/>
        <v>236</v>
      </c>
      <c r="CA443" s="13">
        <f t="shared" si="375"/>
        <v>236</v>
      </c>
      <c r="CB443" s="13">
        <f t="shared" si="376"/>
        <v>140656</v>
      </c>
      <c r="CC443" s="62" t="str">
        <f t="shared" si="377"/>
        <v/>
      </c>
      <c r="CD443" s="13">
        <f t="shared" si="378"/>
        <v>596</v>
      </c>
      <c r="CE443" s="13">
        <f t="shared" si="379"/>
        <v>596</v>
      </c>
      <c r="CF443" s="13">
        <f t="shared" si="380"/>
        <v>236</v>
      </c>
      <c r="CG443" s="13">
        <f t="shared" si="381"/>
        <v>236</v>
      </c>
      <c r="CH443" s="28">
        <f t="shared" si="382"/>
        <v>140656</v>
      </c>
      <c r="CI443" s="62" t="str">
        <f t="shared" si="383"/>
        <v/>
      </c>
      <c r="CJ443" s="59">
        <f t="shared" si="384"/>
        <v>0</v>
      </c>
      <c r="CL443" s="63">
        <v>6000</v>
      </c>
      <c r="CM443" s="63">
        <f t="shared" si="385"/>
        <v>0</v>
      </c>
      <c r="CN443" s="63">
        <f t="shared" si="386"/>
        <v>5</v>
      </c>
      <c r="CO443" s="63">
        <f t="shared" si="387"/>
        <v>1200</v>
      </c>
      <c r="CP443" s="13">
        <f t="shared" si="388"/>
        <v>1200</v>
      </c>
      <c r="CQ443" s="70">
        <f t="shared" si="389"/>
        <v>8.3333333333333339E-4</v>
      </c>
      <c r="CR443" s="69">
        <f t="shared" si="357"/>
        <v>8.3333333333333339E-4</v>
      </c>
    </row>
    <row r="444" spans="1:96" hidden="1" x14ac:dyDescent="0.25">
      <c r="A444" s="17">
        <v>5</v>
      </c>
      <c r="B444" s="6" t="s">
        <v>1134</v>
      </c>
      <c r="C444" s="17" t="s">
        <v>1135</v>
      </c>
      <c r="D444" s="17" t="s">
        <v>2481</v>
      </c>
      <c r="E444" s="17" t="s">
        <v>52</v>
      </c>
      <c r="F444" s="7">
        <f t="shared" si="358"/>
        <v>1</v>
      </c>
      <c r="G444" s="17">
        <v>1</v>
      </c>
      <c r="H444" s="17">
        <f>G444*$H$443</f>
        <v>1</v>
      </c>
      <c r="I444" s="17">
        <v>1</v>
      </c>
      <c r="J444" s="6" t="s">
        <v>1136</v>
      </c>
      <c r="K444" s="6" t="s">
        <v>34</v>
      </c>
      <c r="L444" s="17">
        <v>0</v>
      </c>
      <c r="M444" s="6" t="s">
        <v>35</v>
      </c>
      <c r="N444" s="17" t="s">
        <v>1137</v>
      </c>
      <c r="O444" s="28" t="s">
        <v>41</v>
      </c>
      <c r="P444" s="28" t="s">
        <v>41</v>
      </c>
      <c r="Q444" s="28" t="s">
        <v>124</v>
      </c>
      <c r="R444" s="30">
        <v>5.2110000000000003</v>
      </c>
      <c r="S444" s="30">
        <v>3.63</v>
      </c>
      <c r="T444" s="30"/>
      <c r="U444" s="30">
        <v>9.8000000000000004E-2</v>
      </c>
      <c r="V444" s="8">
        <f t="shared" si="359"/>
        <v>132.35939999999999</v>
      </c>
      <c r="W444" s="8">
        <f t="shared" si="360"/>
        <v>92.201999999999998</v>
      </c>
      <c r="X444" s="8">
        <f t="shared" si="361"/>
        <v>0</v>
      </c>
      <c r="Y444" s="33">
        <f t="shared" si="362"/>
        <v>2.4891999999999999</v>
      </c>
      <c r="Z444" s="28" t="s">
        <v>56</v>
      </c>
      <c r="AA444" s="28" t="s">
        <v>57</v>
      </c>
      <c r="AB444" s="61" t="s">
        <v>124</v>
      </c>
      <c r="AC444" s="31" t="s">
        <v>125</v>
      </c>
      <c r="AD444" s="50">
        <f t="shared" si="363"/>
        <v>1</v>
      </c>
      <c r="AE444" s="31" t="s">
        <v>1138</v>
      </c>
      <c r="AF444" s="51">
        <v>14</v>
      </c>
      <c r="AG444" s="51">
        <f t="shared" si="391"/>
        <v>8.4</v>
      </c>
      <c r="AH444" s="51">
        <f t="shared" si="356"/>
        <v>42</v>
      </c>
      <c r="AI444" s="52" t="s">
        <v>2497</v>
      </c>
      <c r="AJ444" s="52" t="s">
        <v>2498</v>
      </c>
      <c r="AK444" s="53">
        <f t="shared" si="392"/>
        <v>2.4407602797599997E-2</v>
      </c>
      <c r="AL444" s="54">
        <f t="shared" si="393"/>
        <v>0.11904761904761904</v>
      </c>
      <c r="AM444" s="54">
        <f t="shared" si="394"/>
        <v>2.3809523809523808E-2</v>
      </c>
      <c r="AN444" s="55">
        <f t="shared" si="395"/>
        <v>2.9056669997142852E-3</v>
      </c>
      <c r="AO444" s="55">
        <f t="shared" si="396"/>
        <v>5.81133399942857E-4</v>
      </c>
      <c r="AP444" s="53">
        <v>7.1</v>
      </c>
      <c r="AQ444" s="53">
        <f t="shared" si="364"/>
        <v>4.26</v>
      </c>
      <c r="AR444" s="53">
        <f t="shared" si="365"/>
        <v>21.299999999999997</v>
      </c>
      <c r="AS444" s="56">
        <f t="shared" si="366"/>
        <v>4.6948356807511742E-2</v>
      </c>
      <c r="AT444" s="56">
        <f t="shared" si="397"/>
        <v>0.23474178403755869</v>
      </c>
      <c r="AU444" s="56">
        <f t="shared" si="367"/>
        <v>0.176056338028169</v>
      </c>
      <c r="AV444" s="56">
        <f t="shared" si="398"/>
        <v>5.8685446009389672E-2</v>
      </c>
      <c r="AW444" s="57" t="s">
        <v>2511</v>
      </c>
      <c r="AX444" s="57" t="s">
        <v>2512</v>
      </c>
      <c r="AY444" s="57" t="s">
        <v>2513</v>
      </c>
      <c r="AZ444" s="58">
        <f t="shared" si="399"/>
        <v>2.4407602797599997E-2</v>
      </c>
      <c r="BA444" s="59">
        <f t="shared" si="402"/>
        <v>7.1618552809859148E-4</v>
      </c>
      <c r="BB444" s="59">
        <f t="shared" si="403"/>
        <v>2.1485565842957743E-3</v>
      </c>
      <c r="BC444" s="59">
        <f t="shared" si="404"/>
        <v>5.7294842247887327E-4</v>
      </c>
      <c r="BD444" s="60">
        <f t="shared" si="400"/>
        <v>3.968253968253968E-3</v>
      </c>
      <c r="BE444" s="59">
        <f t="shared" si="401"/>
        <v>3.968253968253968E-3</v>
      </c>
      <c r="BQ444" s="61">
        <v>3000</v>
      </c>
      <c r="BR444" s="61">
        <v>1200</v>
      </c>
      <c r="BS444" s="28">
        <f t="shared" si="368"/>
        <v>2980</v>
      </c>
      <c r="BT444" s="28">
        <f t="shared" si="369"/>
        <v>1180</v>
      </c>
      <c r="BU444" s="28" t="s">
        <v>2541</v>
      </c>
      <c r="BV444" s="28">
        <f t="shared" si="370"/>
        <v>137.35939999999999</v>
      </c>
      <c r="BW444" s="28">
        <f t="shared" si="371"/>
        <v>97.201999999999998</v>
      </c>
      <c r="BX444" s="13">
        <f t="shared" si="372"/>
        <v>21.694911305669653</v>
      </c>
      <c r="BY444" s="13">
        <f t="shared" si="373"/>
        <v>21</v>
      </c>
      <c r="BZ444" s="13">
        <f t="shared" si="374"/>
        <v>12.139667908067736</v>
      </c>
      <c r="CA444" s="13">
        <f t="shared" si="375"/>
        <v>12</v>
      </c>
      <c r="CB444" s="13">
        <f t="shared" si="376"/>
        <v>252</v>
      </c>
      <c r="CC444" s="62">
        <f t="shared" si="377"/>
        <v>3.968253968253968E-3</v>
      </c>
      <c r="CD444" s="13">
        <f t="shared" si="378"/>
        <v>30.657805394950721</v>
      </c>
      <c r="CE444" s="13">
        <f t="shared" si="379"/>
        <v>30</v>
      </c>
      <c r="CF444" s="13">
        <f t="shared" si="380"/>
        <v>8.5906024633188558</v>
      </c>
      <c r="CG444" s="13">
        <f t="shared" si="381"/>
        <v>8</v>
      </c>
      <c r="CH444" s="28">
        <f t="shared" si="382"/>
        <v>240</v>
      </c>
      <c r="CI444" s="62">
        <f t="shared" si="383"/>
        <v>4.1666666666666666E-3</v>
      </c>
      <c r="CJ444" s="59">
        <f t="shared" si="384"/>
        <v>3.968253968253968E-3</v>
      </c>
      <c r="CL444" s="63">
        <v>6000</v>
      </c>
      <c r="CM444" s="63">
        <f t="shared" si="385"/>
        <v>132.35939999999999</v>
      </c>
      <c r="CN444" s="63">
        <f t="shared" si="386"/>
        <v>137.35939999999999</v>
      </c>
      <c r="CO444" s="63">
        <f t="shared" si="387"/>
        <v>43.681029474502658</v>
      </c>
      <c r="CP444" s="13">
        <f t="shared" si="388"/>
        <v>43</v>
      </c>
      <c r="CQ444" s="70">
        <f t="shared" si="389"/>
        <v>2.3255813953488372E-2</v>
      </c>
      <c r="CR444" s="69">
        <f t="shared" si="357"/>
        <v>2.3255813953488372E-2</v>
      </c>
    </row>
    <row r="445" spans="1:96" hidden="1" x14ac:dyDescent="0.25">
      <c r="A445" s="17">
        <v>5</v>
      </c>
      <c r="B445" s="6" t="s">
        <v>1134</v>
      </c>
      <c r="C445" s="17" t="s">
        <v>1008</v>
      </c>
      <c r="D445" s="17" t="s">
        <v>1139</v>
      </c>
      <c r="E445" s="17" t="s">
        <v>52</v>
      </c>
      <c r="F445" s="7">
        <f t="shared" si="358"/>
        <v>3</v>
      </c>
      <c r="G445" s="17">
        <v>4</v>
      </c>
      <c r="H445" s="17">
        <f>G445*$H$443</f>
        <v>4</v>
      </c>
      <c r="I445" s="17">
        <v>2</v>
      </c>
      <c r="J445" s="6" t="s">
        <v>1009</v>
      </c>
      <c r="K445" s="6" t="s">
        <v>34</v>
      </c>
      <c r="L445" s="17">
        <v>0</v>
      </c>
      <c r="M445" s="6" t="s">
        <v>35</v>
      </c>
      <c r="N445" s="17" t="s">
        <v>1139</v>
      </c>
      <c r="O445" s="28" t="s">
        <v>41</v>
      </c>
      <c r="P445" s="28" t="s">
        <v>41</v>
      </c>
      <c r="Q445" s="28" t="s">
        <v>1139</v>
      </c>
      <c r="R445" s="30"/>
      <c r="S445" s="30"/>
      <c r="T445" s="30"/>
      <c r="U445" s="30"/>
      <c r="V445" s="8">
        <f t="shared" si="359"/>
        <v>0</v>
      </c>
      <c r="W445" s="8">
        <f t="shared" si="360"/>
        <v>0</v>
      </c>
      <c r="X445" s="8">
        <f t="shared" si="361"/>
        <v>0</v>
      </c>
      <c r="Y445" s="33">
        <f t="shared" si="362"/>
        <v>0</v>
      </c>
      <c r="Z445" s="28"/>
      <c r="AA445" s="28"/>
      <c r="AB445" s="61" t="s">
        <v>1139</v>
      </c>
      <c r="AC445" s="31" t="s">
        <v>1010</v>
      </c>
      <c r="AD445" s="50">
        <f t="shared" si="363"/>
        <v>4</v>
      </c>
      <c r="AE445" s="46" t="s">
        <v>1140</v>
      </c>
      <c r="AF445" s="51">
        <v>14</v>
      </c>
      <c r="AG445" s="51">
        <f t="shared" si="391"/>
        <v>8.4</v>
      </c>
      <c r="AH445" s="51">
        <f t="shared" si="356"/>
        <v>42</v>
      </c>
      <c r="AI445" s="52" t="s">
        <v>2497</v>
      </c>
      <c r="AJ445" s="52" t="s">
        <v>2498</v>
      </c>
      <c r="AK445" s="53">
        <f t="shared" si="392"/>
        <v>0</v>
      </c>
      <c r="AL445" s="54">
        <f t="shared" si="393"/>
        <v>0.11904761904761904</v>
      </c>
      <c r="AM445" s="54">
        <f t="shared" si="394"/>
        <v>2.3809523809523808E-2</v>
      </c>
      <c r="AN445" s="55">
        <f t="shared" si="395"/>
        <v>0</v>
      </c>
      <c r="AO445" s="55">
        <f t="shared" si="396"/>
        <v>0</v>
      </c>
      <c r="AP445" s="53">
        <v>7.1</v>
      </c>
      <c r="AQ445" s="53">
        <f t="shared" si="364"/>
        <v>4.26</v>
      </c>
      <c r="AR445" s="53">
        <f t="shared" si="365"/>
        <v>21.299999999999997</v>
      </c>
      <c r="AS445" s="56">
        <f t="shared" si="366"/>
        <v>4.6948356807511742E-2</v>
      </c>
      <c r="AT445" s="56">
        <f t="shared" si="397"/>
        <v>0.23474178403755869</v>
      </c>
      <c r="AU445" s="56">
        <f t="shared" si="367"/>
        <v>0.176056338028169</v>
      </c>
      <c r="AV445" s="56">
        <f t="shared" si="398"/>
        <v>5.8685446009389672E-2</v>
      </c>
      <c r="AW445" s="57" t="s">
        <v>2511</v>
      </c>
      <c r="AX445" s="57" t="s">
        <v>2512</v>
      </c>
      <c r="AY445" s="57" t="s">
        <v>2513</v>
      </c>
      <c r="AZ445" s="58">
        <f t="shared" si="399"/>
        <v>0</v>
      </c>
      <c r="BA445" s="59">
        <f t="shared" si="402"/>
        <v>0</v>
      </c>
      <c r="BB445" s="59">
        <f t="shared" si="403"/>
        <v>0</v>
      </c>
      <c r="BC445" s="59">
        <f t="shared" si="404"/>
        <v>0</v>
      </c>
      <c r="BD445" s="60">
        <f t="shared" si="400"/>
        <v>7.1095438516664771E-6</v>
      </c>
      <c r="BE445" s="59">
        <f t="shared" si="401"/>
        <v>2.8438175406665908E-5</v>
      </c>
      <c r="BQ445" s="61">
        <v>3000</v>
      </c>
      <c r="BR445" s="61">
        <v>1200</v>
      </c>
      <c r="BS445" s="28">
        <f t="shared" si="368"/>
        <v>2980</v>
      </c>
      <c r="BT445" s="28">
        <f t="shared" si="369"/>
        <v>1180</v>
      </c>
      <c r="BU445" s="28" t="s">
        <v>2541</v>
      </c>
      <c r="BV445" s="28">
        <f t="shared" si="370"/>
        <v>5</v>
      </c>
      <c r="BW445" s="28">
        <f t="shared" si="371"/>
        <v>5</v>
      </c>
      <c r="BX445" s="13">
        <f t="shared" si="372"/>
        <v>596</v>
      </c>
      <c r="BY445" s="13">
        <f t="shared" si="373"/>
        <v>596</v>
      </c>
      <c r="BZ445" s="13">
        <f t="shared" si="374"/>
        <v>236</v>
      </c>
      <c r="CA445" s="13">
        <f t="shared" si="375"/>
        <v>236</v>
      </c>
      <c r="CB445" s="13">
        <f t="shared" si="376"/>
        <v>140656</v>
      </c>
      <c r="CC445" s="62">
        <f t="shared" si="377"/>
        <v>7.1095438516664771E-6</v>
      </c>
      <c r="CD445" s="13">
        <f t="shared" si="378"/>
        <v>596</v>
      </c>
      <c r="CE445" s="13">
        <f t="shared" si="379"/>
        <v>596</v>
      </c>
      <c r="CF445" s="13">
        <f t="shared" si="380"/>
        <v>236</v>
      </c>
      <c r="CG445" s="13">
        <f t="shared" si="381"/>
        <v>236</v>
      </c>
      <c r="CH445" s="28">
        <f t="shared" si="382"/>
        <v>140656</v>
      </c>
      <c r="CI445" s="62">
        <f t="shared" si="383"/>
        <v>7.1095438516664771E-6</v>
      </c>
      <c r="CJ445" s="59">
        <f t="shared" si="384"/>
        <v>7.1095438516664771E-6</v>
      </c>
      <c r="CL445" s="63">
        <v>6000</v>
      </c>
      <c r="CM445" s="63">
        <f t="shared" si="385"/>
        <v>0</v>
      </c>
      <c r="CN445" s="63">
        <f t="shared" si="386"/>
        <v>5</v>
      </c>
      <c r="CO445" s="63">
        <f t="shared" si="387"/>
        <v>1200</v>
      </c>
      <c r="CP445" s="13">
        <f t="shared" si="388"/>
        <v>1200</v>
      </c>
      <c r="CQ445" s="70">
        <f t="shared" si="389"/>
        <v>8.3333333333333339E-4</v>
      </c>
      <c r="CR445" s="69">
        <f t="shared" si="357"/>
        <v>3.3333333333333335E-3</v>
      </c>
    </row>
    <row r="446" spans="1:96" hidden="1" x14ac:dyDescent="0.25">
      <c r="A446" s="13">
        <v>4</v>
      </c>
      <c r="B446" s="14" t="s">
        <v>1106</v>
      </c>
      <c r="C446" s="13" t="s">
        <v>1086</v>
      </c>
      <c r="D446" s="13" t="s">
        <v>1088</v>
      </c>
      <c r="E446" s="13" t="s">
        <v>52</v>
      </c>
      <c r="F446" s="15">
        <f t="shared" si="358"/>
        <v>2</v>
      </c>
      <c r="G446" s="13">
        <v>1</v>
      </c>
      <c r="H446" s="13">
        <f t="shared" ref="H446:H452" si="409">G446*$H$424</f>
        <v>1</v>
      </c>
      <c r="I446" s="13">
        <v>18</v>
      </c>
      <c r="J446" s="14" t="s">
        <v>1087</v>
      </c>
      <c r="K446" s="14" t="s">
        <v>34</v>
      </c>
      <c r="L446" s="13" t="s">
        <v>259</v>
      </c>
      <c r="M446" s="14" t="s">
        <v>35</v>
      </c>
      <c r="N446" s="13" t="s">
        <v>1088</v>
      </c>
      <c r="O446" s="28" t="s">
        <v>41</v>
      </c>
      <c r="P446" s="28" t="s">
        <v>41</v>
      </c>
      <c r="Q446" s="28" t="s">
        <v>79</v>
      </c>
      <c r="R446" s="30">
        <v>6.9685039370078741</v>
      </c>
      <c r="S446" s="30">
        <v>0.3125</v>
      </c>
      <c r="T446" s="30"/>
      <c r="U446" s="30">
        <v>0.3125</v>
      </c>
      <c r="V446" s="8">
        <f t="shared" si="359"/>
        <v>177</v>
      </c>
      <c r="W446" s="8">
        <f t="shared" si="360"/>
        <v>7.9375</v>
      </c>
      <c r="X446" s="8">
        <f t="shared" si="361"/>
        <v>0</v>
      </c>
      <c r="Y446" s="33">
        <f t="shared" si="362"/>
        <v>7.9375</v>
      </c>
      <c r="Z446" s="28" t="s">
        <v>80</v>
      </c>
      <c r="AA446" s="28" t="s">
        <v>81</v>
      </c>
      <c r="AB446" s="61" t="s">
        <v>79</v>
      </c>
      <c r="AC446" s="31" t="s">
        <v>82</v>
      </c>
      <c r="AD446" s="50">
        <f t="shared" si="363"/>
        <v>1</v>
      </c>
      <c r="AE446" s="31"/>
      <c r="AF446" s="51">
        <v>14</v>
      </c>
      <c r="AG446" s="51">
        <f t="shared" si="391"/>
        <v>8.4</v>
      </c>
      <c r="AH446" s="51">
        <f t="shared" si="356"/>
        <v>42</v>
      </c>
      <c r="AI446" s="52" t="s">
        <v>2497</v>
      </c>
      <c r="AJ446" s="52" t="s">
        <v>2498</v>
      </c>
      <c r="AK446" s="53">
        <f t="shared" si="392"/>
        <v>2.8098749999999999E-3</v>
      </c>
      <c r="AL446" s="54">
        <f t="shared" si="393"/>
        <v>0.11904761904761904</v>
      </c>
      <c r="AM446" s="54">
        <f t="shared" si="394"/>
        <v>2.3809523809523808E-2</v>
      </c>
      <c r="AN446" s="55">
        <f t="shared" si="395"/>
        <v>3.3450892857142853E-4</v>
      </c>
      <c r="AO446" s="55">
        <f t="shared" si="396"/>
        <v>6.6901785714285709E-5</v>
      </c>
      <c r="AP446" s="53">
        <v>7.1</v>
      </c>
      <c r="AQ446" s="53">
        <f t="shared" si="364"/>
        <v>4.26</v>
      </c>
      <c r="AR446" s="53">
        <f t="shared" si="365"/>
        <v>21.299999999999997</v>
      </c>
      <c r="AS446" s="56">
        <f t="shared" si="366"/>
        <v>4.6948356807511742E-2</v>
      </c>
      <c r="AT446" s="56">
        <f t="shared" si="397"/>
        <v>0.23474178403755869</v>
      </c>
      <c r="AU446" s="56">
        <f t="shared" si="367"/>
        <v>0.176056338028169</v>
      </c>
      <c r="AV446" s="56">
        <f t="shared" si="398"/>
        <v>5.8685446009389672E-2</v>
      </c>
      <c r="AW446" s="57" t="s">
        <v>2511</v>
      </c>
      <c r="AX446" s="57" t="s">
        <v>2512</v>
      </c>
      <c r="AY446" s="57" t="s">
        <v>2513</v>
      </c>
      <c r="AZ446" s="58">
        <f t="shared" si="399"/>
        <v>2.8098749999999999E-3</v>
      </c>
      <c r="BA446" s="59">
        <f t="shared" si="402"/>
        <v>8.2449383802816903E-5</v>
      </c>
      <c r="BB446" s="59">
        <f t="shared" si="403"/>
        <v>2.4734815140845065E-4</v>
      </c>
      <c r="BC446" s="59">
        <f t="shared" si="404"/>
        <v>6.5959507042253531E-5</v>
      </c>
      <c r="BD446" s="60">
        <f t="shared" si="400"/>
        <v>6.8681318681318687E-4</v>
      </c>
      <c r="BE446" s="59">
        <f t="shared" si="401"/>
        <v>6.8681318681318687E-4</v>
      </c>
      <c r="BQ446" s="61">
        <v>3000</v>
      </c>
      <c r="BR446" s="61">
        <v>1200</v>
      </c>
      <c r="BS446" s="28">
        <f t="shared" si="368"/>
        <v>2980</v>
      </c>
      <c r="BT446" s="28">
        <f t="shared" si="369"/>
        <v>1180</v>
      </c>
      <c r="BU446" s="28" t="s">
        <v>2541</v>
      </c>
      <c r="BV446" s="28">
        <f t="shared" si="370"/>
        <v>182</v>
      </c>
      <c r="BW446" s="28">
        <f t="shared" si="371"/>
        <v>12.9375</v>
      </c>
      <c r="BX446" s="13">
        <f t="shared" si="372"/>
        <v>16.373626373626372</v>
      </c>
      <c r="BY446" s="13">
        <f t="shared" si="373"/>
        <v>16</v>
      </c>
      <c r="BZ446" s="13">
        <f t="shared" si="374"/>
        <v>91.207729468599027</v>
      </c>
      <c r="CA446" s="13">
        <f t="shared" si="375"/>
        <v>91</v>
      </c>
      <c r="CB446" s="13">
        <f t="shared" si="376"/>
        <v>1456</v>
      </c>
      <c r="CC446" s="62">
        <f t="shared" si="377"/>
        <v>6.8681318681318687E-4</v>
      </c>
      <c r="CD446" s="13">
        <f t="shared" si="378"/>
        <v>230.33816425120773</v>
      </c>
      <c r="CE446" s="13">
        <f t="shared" si="379"/>
        <v>230</v>
      </c>
      <c r="CF446" s="13">
        <f t="shared" si="380"/>
        <v>6.4835164835164836</v>
      </c>
      <c r="CG446" s="13">
        <f t="shared" si="381"/>
        <v>6</v>
      </c>
      <c r="CH446" s="28">
        <f t="shared" si="382"/>
        <v>1380</v>
      </c>
      <c r="CI446" s="62">
        <f t="shared" si="383"/>
        <v>7.246376811594203E-4</v>
      </c>
      <c r="CJ446" s="59">
        <f t="shared" si="384"/>
        <v>6.8681318681318687E-4</v>
      </c>
      <c r="CL446" s="63">
        <v>6000</v>
      </c>
      <c r="CM446" s="63">
        <f t="shared" si="385"/>
        <v>177</v>
      </c>
      <c r="CN446" s="63">
        <f t="shared" si="386"/>
        <v>182</v>
      </c>
      <c r="CO446" s="63">
        <f t="shared" si="387"/>
        <v>32.967032967032964</v>
      </c>
      <c r="CP446" s="13">
        <f t="shared" si="388"/>
        <v>32</v>
      </c>
      <c r="CQ446" s="70">
        <f t="shared" si="389"/>
        <v>3.125E-2</v>
      </c>
      <c r="CR446" s="69">
        <f t="shared" si="357"/>
        <v>3.125E-2</v>
      </c>
    </row>
    <row r="447" spans="1:96" hidden="1" x14ac:dyDescent="0.25">
      <c r="A447" s="13">
        <v>4</v>
      </c>
      <c r="B447" s="14" t="s">
        <v>1106</v>
      </c>
      <c r="C447" s="13" t="s">
        <v>94</v>
      </c>
      <c r="D447" s="13" t="s">
        <v>95</v>
      </c>
      <c r="E447" s="13" t="s">
        <v>52</v>
      </c>
      <c r="F447" s="15">
        <f t="shared" si="358"/>
        <v>13</v>
      </c>
      <c r="G447" s="13">
        <v>1</v>
      </c>
      <c r="H447" s="13">
        <f t="shared" si="409"/>
        <v>1</v>
      </c>
      <c r="I447" s="13">
        <v>19</v>
      </c>
      <c r="J447" s="14" t="s">
        <v>76</v>
      </c>
      <c r="K447" s="14" t="s">
        <v>34</v>
      </c>
      <c r="L447" s="13" t="s">
        <v>77</v>
      </c>
      <c r="M447" s="14" t="s">
        <v>35</v>
      </c>
      <c r="N447" s="13" t="s">
        <v>95</v>
      </c>
      <c r="O447" s="28" t="s">
        <v>41</v>
      </c>
      <c r="P447" s="28" t="s">
        <v>41</v>
      </c>
      <c r="Q447" s="28" t="s">
        <v>79</v>
      </c>
      <c r="R447" s="30">
        <v>7.0078740157480315</v>
      </c>
      <c r="S447" s="30">
        <v>0.3125</v>
      </c>
      <c r="T447" s="30"/>
      <c r="U447" s="30">
        <v>0.3125</v>
      </c>
      <c r="V447" s="8">
        <f t="shared" si="359"/>
        <v>178</v>
      </c>
      <c r="W447" s="8">
        <f t="shared" si="360"/>
        <v>7.9375</v>
      </c>
      <c r="X447" s="8">
        <f t="shared" si="361"/>
        <v>0</v>
      </c>
      <c r="Y447" s="33">
        <f t="shared" si="362"/>
        <v>7.9375</v>
      </c>
      <c r="Z447" s="28" t="s">
        <v>80</v>
      </c>
      <c r="AA447" s="28" t="s">
        <v>81</v>
      </c>
      <c r="AB447" s="61" t="s">
        <v>79</v>
      </c>
      <c r="AC447" s="31" t="s">
        <v>82</v>
      </c>
      <c r="AD447" s="50">
        <f t="shared" si="363"/>
        <v>1</v>
      </c>
      <c r="AE447" s="31"/>
      <c r="AF447" s="51">
        <v>14</v>
      </c>
      <c r="AG447" s="51">
        <f t="shared" si="391"/>
        <v>8.4</v>
      </c>
      <c r="AH447" s="51">
        <f t="shared" si="356"/>
        <v>42</v>
      </c>
      <c r="AI447" s="52" t="s">
        <v>2497</v>
      </c>
      <c r="AJ447" s="52" t="s">
        <v>2498</v>
      </c>
      <c r="AK447" s="53">
        <f t="shared" si="392"/>
        <v>2.8257500000000001E-3</v>
      </c>
      <c r="AL447" s="54">
        <f t="shared" si="393"/>
        <v>0.11904761904761904</v>
      </c>
      <c r="AM447" s="54">
        <f t="shared" si="394"/>
        <v>2.3809523809523808E-2</v>
      </c>
      <c r="AN447" s="55">
        <f t="shared" si="395"/>
        <v>3.3639880952380955E-4</v>
      </c>
      <c r="AO447" s="55">
        <f t="shared" si="396"/>
        <v>6.7279761904761901E-5</v>
      </c>
      <c r="AP447" s="53">
        <v>7.1</v>
      </c>
      <c r="AQ447" s="53">
        <f t="shared" si="364"/>
        <v>4.26</v>
      </c>
      <c r="AR447" s="53">
        <f t="shared" si="365"/>
        <v>21.299999999999997</v>
      </c>
      <c r="AS447" s="56">
        <f t="shared" si="366"/>
        <v>4.6948356807511742E-2</v>
      </c>
      <c r="AT447" s="56">
        <f t="shared" si="397"/>
        <v>0.23474178403755869</v>
      </c>
      <c r="AU447" s="56">
        <f t="shared" si="367"/>
        <v>0.176056338028169</v>
      </c>
      <c r="AV447" s="56">
        <f t="shared" si="398"/>
        <v>5.8685446009389672E-2</v>
      </c>
      <c r="AW447" s="57" t="s">
        <v>2511</v>
      </c>
      <c r="AX447" s="57" t="s">
        <v>2512</v>
      </c>
      <c r="AY447" s="57" t="s">
        <v>2513</v>
      </c>
      <c r="AZ447" s="58">
        <f t="shared" si="399"/>
        <v>2.8257500000000001E-3</v>
      </c>
      <c r="BA447" s="59">
        <f t="shared" si="402"/>
        <v>8.2915199530516433E-5</v>
      </c>
      <c r="BB447" s="59">
        <f t="shared" si="403"/>
        <v>2.487455985915493E-4</v>
      </c>
      <c r="BC447" s="59">
        <f t="shared" si="404"/>
        <v>6.6332159624413149E-5</v>
      </c>
      <c r="BD447" s="60">
        <f t="shared" si="400"/>
        <v>6.8681318681318687E-4</v>
      </c>
      <c r="BE447" s="59">
        <f t="shared" si="401"/>
        <v>6.8681318681318687E-4</v>
      </c>
      <c r="BQ447" s="61">
        <v>3000</v>
      </c>
      <c r="BR447" s="61">
        <v>1200</v>
      </c>
      <c r="BS447" s="28">
        <f t="shared" si="368"/>
        <v>2980</v>
      </c>
      <c r="BT447" s="28">
        <f t="shared" si="369"/>
        <v>1180</v>
      </c>
      <c r="BU447" s="28" t="s">
        <v>2541</v>
      </c>
      <c r="BV447" s="28">
        <f t="shared" si="370"/>
        <v>183</v>
      </c>
      <c r="BW447" s="28">
        <f t="shared" si="371"/>
        <v>12.9375</v>
      </c>
      <c r="BX447" s="13">
        <f t="shared" si="372"/>
        <v>16.284153005464482</v>
      </c>
      <c r="BY447" s="13">
        <f t="shared" si="373"/>
        <v>16</v>
      </c>
      <c r="BZ447" s="13">
        <f t="shared" si="374"/>
        <v>91.207729468599027</v>
      </c>
      <c r="CA447" s="13">
        <f t="shared" si="375"/>
        <v>91</v>
      </c>
      <c r="CB447" s="13">
        <f t="shared" si="376"/>
        <v>1456</v>
      </c>
      <c r="CC447" s="62">
        <f t="shared" si="377"/>
        <v>6.8681318681318687E-4</v>
      </c>
      <c r="CD447" s="13">
        <f t="shared" si="378"/>
        <v>230.33816425120773</v>
      </c>
      <c r="CE447" s="13">
        <f t="shared" si="379"/>
        <v>230</v>
      </c>
      <c r="CF447" s="13">
        <f t="shared" si="380"/>
        <v>6.4480874316939891</v>
      </c>
      <c r="CG447" s="13">
        <f t="shared" si="381"/>
        <v>6</v>
      </c>
      <c r="CH447" s="28">
        <f t="shared" si="382"/>
        <v>1380</v>
      </c>
      <c r="CI447" s="62">
        <f t="shared" si="383"/>
        <v>7.246376811594203E-4</v>
      </c>
      <c r="CJ447" s="59">
        <f t="shared" si="384"/>
        <v>6.8681318681318687E-4</v>
      </c>
      <c r="CL447" s="63">
        <v>6000</v>
      </c>
      <c r="CM447" s="63">
        <f t="shared" si="385"/>
        <v>178</v>
      </c>
      <c r="CN447" s="63">
        <f t="shared" si="386"/>
        <v>183</v>
      </c>
      <c r="CO447" s="63">
        <f t="shared" si="387"/>
        <v>32.786885245901637</v>
      </c>
      <c r="CP447" s="13">
        <f t="shared" si="388"/>
        <v>32</v>
      </c>
      <c r="CQ447" s="70">
        <f t="shared" si="389"/>
        <v>3.125E-2</v>
      </c>
      <c r="CR447" s="69">
        <f t="shared" si="357"/>
        <v>3.125E-2</v>
      </c>
    </row>
    <row r="448" spans="1:96" hidden="1" x14ac:dyDescent="0.25">
      <c r="A448" s="13">
        <v>4</v>
      </c>
      <c r="B448" s="14" t="s">
        <v>1106</v>
      </c>
      <c r="C448" s="13" t="s">
        <v>1141</v>
      </c>
      <c r="D448" s="13" t="s">
        <v>2270</v>
      </c>
      <c r="E448" s="13" t="s">
        <v>52</v>
      </c>
      <c r="F448" s="15">
        <f t="shared" si="358"/>
        <v>1</v>
      </c>
      <c r="G448" s="13">
        <v>1</v>
      </c>
      <c r="H448" s="13">
        <f t="shared" si="409"/>
        <v>1</v>
      </c>
      <c r="I448" s="13">
        <v>20</v>
      </c>
      <c r="J448" s="14" t="s">
        <v>1142</v>
      </c>
      <c r="K448" s="14" t="s">
        <v>34</v>
      </c>
      <c r="L448" s="13" t="s">
        <v>110</v>
      </c>
      <c r="M448" s="14" t="s">
        <v>35</v>
      </c>
      <c r="N448" s="13" t="s">
        <v>1143</v>
      </c>
      <c r="O448" s="28" t="s">
        <v>41</v>
      </c>
      <c r="P448" s="28" t="s">
        <v>41</v>
      </c>
      <c r="Q448" s="28" t="s">
        <v>1144</v>
      </c>
      <c r="R448" s="30">
        <v>3.2716535433070866</v>
      </c>
      <c r="S448" s="30">
        <v>0.75</v>
      </c>
      <c r="T448" s="30">
        <v>0.75</v>
      </c>
      <c r="U448" s="30">
        <v>9.5000000000000001E-2</v>
      </c>
      <c r="V448" s="8">
        <f t="shared" si="359"/>
        <v>83.1</v>
      </c>
      <c r="W448" s="8">
        <f t="shared" si="360"/>
        <v>19.049999999999997</v>
      </c>
      <c r="X448" s="8">
        <f t="shared" si="361"/>
        <v>19.049999999999997</v>
      </c>
      <c r="Y448" s="33">
        <f t="shared" si="362"/>
        <v>2.4129999999999998</v>
      </c>
      <c r="Z448" s="28" t="s">
        <v>1145</v>
      </c>
      <c r="AA448" s="28" t="s">
        <v>1146</v>
      </c>
      <c r="AB448" s="61" t="s">
        <v>1144</v>
      </c>
      <c r="AC448" s="31" t="s">
        <v>1147</v>
      </c>
      <c r="AD448" s="50">
        <f t="shared" si="363"/>
        <v>1</v>
      </c>
      <c r="AE448" s="31"/>
      <c r="AF448" s="51">
        <v>14</v>
      </c>
      <c r="AG448" s="51">
        <f t="shared" si="391"/>
        <v>8.4</v>
      </c>
      <c r="AH448" s="51">
        <f t="shared" si="356"/>
        <v>42</v>
      </c>
      <c r="AI448" s="52" t="s">
        <v>2497</v>
      </c>
      <c r="AJ448" s="52" t="s">
        <v>2498</v>
      </c>
      <c r="AK448" s="53">
        <f t="shared" si="392"/>
        <v>3.1661099999999993E-3</v>
      </c>
      <c r="AL448" s="54">
        <f t="shared" si="393"/>
        <v>0.11904761904761904</v>
      </c>
      <c r="AM448" s="54">
        <f t="shared" si="394"/>
        <v>2.3809523809523808E-2</v>
      </c>
      <c r="AN448" s="55">
        <f t="shared" si="395"/>
        <v>3.7691785714285707E-4</v>
      </c>
      <c r="AO448" s="55">
        <f t="shared" si="396"/>
        <v>7.5383571428571405E-5</v>
      </c>
      <c r="AP448" s="53">
        <v>7.1</v>
      </c>
      <c r="AQ448" s="53">
        <f t="shared" si="364"/>
        <v>4.26</v>
      </c>
      <c r="AR448" s="53">
        <f t="shared" si="365"/>
        <v>21.299999999999997</v>
      </c>
      <c r="AS448" s="56">
        <f t="shared" si="366"/>
        <v>4.6948356807511742E-2</v>
      </c>
      <c r="AT448" s="56">
        <f t="shared" si="397"/>
        <v>0.23474178403755869</v>
      </c>
      <c r="AU448" s="56">
        <f t="shared" si="367"/>
        <v>0.176056338028169</v>
      </c>
      <c r="AV448" s="56">
        <f t="shared" si="398"/>
        <v>5.8685446009389672E-2</v>
      </c>
      <c r="AW448" s="57" t="s">
        <v>2511</v>
      </c>
      <c r="AX448" s="57" t="s">
        <v>2512</v>
      </c>
      <c r="AY448" s="57" t="s">
        <v>2513</v>
      </c>
      <c r="AZ448" s="58">
        <f t="shared" si="399"/>
        <v>3.1661099999999993E-3</v>
      </c>
      <c r="BA448" s="59">
        <f t="shared" si="402"/>
        <v>9.2902288732394343E-5</v>
      </c>
      <c r="BB448" s="59">
        <f t="shared" si="403"/>
        <v>2.7870686619718303E-4</v>
      </c>
      <c r="BC448" s="59">
        <f t="shared" si="404"/>
        <v>7.4321830985915491E-5</v>
      </c>
      <c r="BD448" s="60">
        <f t="shared" si="400"/>
        <v>6.1842918985776133E-4</v>
      </c>
      <c r="BE448" s="59">
        <f t="shared" si="401"/>
        <v>6.1842918985776133E-4</v>
      </c>
      <c r="BQ448" s="61">
        <v>3000</v>
      </c>
      <c r="BR448" s="61">
        <v>1200</v>
      </c>
      <c r="BS448" s="28">
        <f t="shared" si="368"/>
        <v>2980</v>
      </c>
      <c r="BT448" s="28">
        <f t="shared" si="369"/>
        <v>1180</v>
      </c>
      <c r="BU448" s="28" t="s">
        <v>2541</v>
      </c>
      <c r="BV448" s="28">
        <f t="shared" si="370"/>
        <v>88.1</v>
      </c>
      <c r="BW448" s="28">
        <f t="shared" si="371"/>
        <v>24.049999999999997</v>
      </c>
      <c r="BX448" s="13">
        <f t="shared" si="372"/>
        <v>33.82519863791147</v>
      </c>
      <c r="BY448" s="13">
        <f t="shared" si="373"/>
        <v>33</v>
      </c>
      <c r="BZ448" s="13">
        <f t="shared" si="374"/>
        <v>49.064449064449072</v>
      </c>
      <c r="CA448" s="13">
        <f t="shared" si="375"/>
        <v>49</v>
      </c>
      <c r="CB448" s="13">
        <f t="shared" si="376"/>
        <v>1617</v>
      </c>
      <c r="CC448" s="62">
        <f t="shared" si="377"/>
        <v>6.1842918985776133E-4</v>
      </c>
      <c r="CD448" s="13">
        <f t="shared" si="378"/>
        <v>123.90852390852392</v>
      </c>
      <c r="CE448" s="13">
        <f t="shared" si="379"/>
        <v>123</v>
      </c>
      <c r="CF448" s="13">
        <f t="shared" si="380"/>
        <v>13.393870601589104</v>
      </c>
      <c r="CG448" s="13">
        <f t="shared" si="381"/>
        <v>13</v>
      </c>
      <c r="CH448" s="28">
        <f t="shared" si="382"/>
        <v>1599</v>
      </c>
      <c r="CI448" s="62">
        <f t="shared" si="383"/>
        <v>6.2539086929330832E-4</v>
      </c>
      <c r="CJ448" s="59">
        <f t="shared" si="384"/>
        <v>6.1842918985776133E-4</v>
      </c>
      <c r="CL448" s="63">
        <v>6000</v>
      </c>
      <c r="CM448" s="63">
        <f t="shared" si="385"/>
        <v>83.1</v>
      </c>
      <c r="CN448" s="63">
        <f t="shared" si="386"/>
        <v>88.1</v>
      </c>
      <c r="CO448" s="63">
        <f t="shared" si="387"/>
        <v>68.104426787741204</v>
      </c>
      <c r="CP448" s="13">
        <f t="shared" si="388"/>
        <v>68</v>
      </c>
      <c r="CQ448" s="70">
        <f t="shared" si="389"/>
        <v>1.4705882352941176E-2</v>
      </c>
      <c r="CR448" s="69">
        <f t="shared" si="357"/>
        <v>1.4705882352941176E-2</v>
      </c>
    </row>
    <row r="449" spans="1:96" hidden="1" x14ac:dyDescent="0.25">
      <c r="A449" s="13">
        <v>4</v>
      </c>
      <c r="B449" s="14" t="s">
        <v>1106</v>
      </c>
      <c r="C449" s="13" t="s">
        <v>1148</v>
      </c>
      <c r="D449" s="13" t="s">
        <v>1150</v>
      </c>
      <c r="E449" s="13" t="s">
        <v>52</v>
      </c>
      <c r="F449" s="15">
        <f t="shared" si="358"/>
        <v>1</v>
      </c>
      <c r="G449" s="13">
        <v>1</v>
      </c>
      <c r="H449" s="13">
        <f t="shared" si="409"/>
        <v>1</v>
      </c>
      <c r="I449" s="13">
        <v>21</v>
      </c>
      <c r="J449" s="14" t="s">
        <v>1149</v>
      </c>
      <c r="K449" s="14" t="s">
        <v>34</v>
      </c>
      <c r="L449" s="13" t="s">
        <v>170</v>
      </c>
      <c r="M449" s="14" t="s">
        <v>35</v>
      </c>
      <c r="N449" s="13" t="s">
        <v>1150</v>
      </c>
      <c r="O449" s="28" t="s">
        <v>41</v>
      </c>
      <c r="P449" s="28" t="s">
        <v>41</v>
      </c>
      <c r="Q449" s="28" t="s">
        <v>1150</v>
      </c>
      <c r="R449" s="30">
        <v>0.5</v>
      </c>
      <c r="S449" s="30">
        <v>1.3149606299212599</v>
      </c>
      <c r="T449" s="30">
        <v>1.3149606299212599</v>
      </c>
      <c r="U449" s="30">
        <v>0.13385826771653545</v>
      </c>
      <c r="V449" s="8">
        <f t="shared" si="359"/>
        <v>12.7</v>
      </c>
      <c r="W449" s="8">
        <f t="shared" si="360"/>
        <v>33.4</v>
      </c>
      <c r="X449" s="8">
        <f t="shared" si="361"/>
        <v>33.4</v>
      </c>
      <c r="Y449" s="33">
        <f t="shared" si="362"/>
        <v>3.4</v>
      </c>
      <c r="Z449" s="28" t="s">
        <v>172</v>
      </c>
      <c r="AA449" s="28" t="s">
        <v>173</v>
      </c>
      <c r="AB449" s="61" t="s">
        <v>1150</v>
      </c>
      <c r="AC449" s="31" t="s">
        <v>1151</v>
      </c>
      <c r="AD449" s="50">
        <f t="shared" si="363"/>
        <v>1</v>
      </c>
      <c r="AE449" s="31"/>
      <c r="AF449" s="51">
        <v>14</v>
      </c>
      <c r="AG449" s="51">
        <f t="shared" si="391"/>
        <v>8.4</v>
      </c>
      <c r="AH449" s="51">
        <f t="shared" si="356"/>
        <v>42</v>
      </c>
      <c r="AI449" s="52" t="s">
        <v>2497</v>
      </c>
      <c r="AJ449" s="52" t="s">
        <v>2498</v>
      </c>
      <c r="AK449" s="53">
        <f t="shared" si="392"/>
        <v>8.4835999999999993E-4</v>
      </c>
      <c r="AL449" s="54">
        <f t="shared" si="393"/>
        <v>0.11904761904761904</v>
      </c>
      <c r="AM449" s="54">
        <f t="shared" si="394"/>
        <v>2.3809523809523808E-2</v>
      </c>
      <c r="AN449" s="55">
        <f t="shared" si="395"/>
        <v>1.0099523809523808E-4</v>
      </c>
      <c r="AO449" s="55">
        <f t="shared" si="396"/>
        <v>2.0199047619047615E-5</v>
      </c>
      <c r="AP449" s="53">
        <v>7.1</v>
      </c>
      <c r="AQ449" s="53">
        <f t="shared" si="364"/>
        <v>4.26</v>
      </c>
      <c r="AR449" s="53">
        <f t="shared" si="365"/>
        <v>21.299999999999997</v>
      </c>
      <c r="AS449" s="56">
        <f t="shared" si="366"/>
        <v>4.6948356807511742E-2</v>
      </c>
      <c r="AT449" s="56">
        <f t="shared" si="397"/>
        <v>0.23474178403755869</v>
      </c>
      <c r="AU449" s="56">
        <f t="shared" si="367"/>
        <v>0.176056338028169</v>
      </c>
      <c r="AV449" s="56">
        <f t="shared" si="398"/>
        <v>5.8685446009389672E-2</v>
      </c>
      <c r="AW449" s="57" t="s">
        <v>2511</v>
      </c>
      <c r="AX449" s="57" t="s">
        <v>2512</v>
      </c>
      <c r="AY449" s="57" t="s">
        <v>2513</v>
      </c>
      <c r="AZ449" s="58">
        <f t="shared" si="399"/>
        <v>8.4835999999999993E-4</v>
      </c>
      <c r="BA449" s="59">
        <f t="shared" si="402"/>
        <v>2.4893192488262909E-5</v>
      </c>
      <c r="BB449" s="59">
        <f t="shared" si="403"/>
        <v>7.4679577464788723E-5</v>
      </c>
      <c r="BC449" s="59">
        <f t="shared" si="404"/>
        <v>1.991455399061033E-5</v>
      </c>
      <c r="BD449" s="60">
        <f t="shared" si="400"/>
        <v>1.9677292404565131E-4</v>
      </c>
      <c r="BE449" s="59">
        <f t="shared" si="401"/>
        <v>1.9677292404565131E-4</v>
      </c>
      <c r="BQ449" s="61">
        <v>3000</v>
      </c>
      <c r="BR449" s="61">
        <v>1200</v>
      </c>
      <c r="BS449" s="28">
        <f t="shared" si="368"/>
        <v>2980</v>
      </c>
      <c r="BT449" s="28">
        <f t="shared" si="369"/>
        <v>1180</v>
      </c>
      <c r="BU449" s="28" t="s">
        <v>2541</v>
      </c>
      <c r="BV449" s="28">
        <f t="shared" si="370"/>
        <v>17.7</v>
      </c>
      <c r="BW449" s="28">
        <f t="shared" si="371"/>
        <v>38.4</v>
      </c>
      <c r="BX449" s="13">
        <f t="shared" si="372"/>
        <v>168.36158192090397</v>
      </c>
      <c r="BY449" s="13">
        <f t="shared" si="373"/>
        <v>168</v>
      </c>
      <c r="BZ449" s="13">
        <f t="shared" si="374"/>
        <v>30.729166666666668</v>
      </c>
      <c r="CA449" s="13">
        <f t="shared" si="375"/>
        <v>30</v>
      </c>
      <c r="CB449" s="13">
        <f t="shared" si="376"/>
        <v>5040</v>
      </c>
      <c r="CC449" s="62">
        <f t="shared" si="377"/>
        <v>1.9841269841269841E-4</v>
      </c>
      <c r="CD449" s="13">
        <f t="shared" si="378"/>
        <v>77.604166666666671</v>
      </c>
      <c r="CE449" s="13">
        <f t="shared" si="379"/>
        <v>77</v>
      </c>
      <c r="CF449" s="13">
        <f t="shared" si="380"/>
        <v>66.666666666666671</v>
      </c>
      <c r="CG449" s="13">
        <f t="shared" si="381"/>
        <v>66</v>
      </c>
      <c r="CH449" s="28">
        <f t="shared" si="382"/>
        <v>5082</v>
      </c>
      <c r="CI449" s="62">
        <f t="shared" si="383"/>
        <v>1.9677292404565131E-4</v>
      </c>
      <c r="CJ449" s="59">
        <f t="shared" si="384"/>
        <v>1.9677292404565131E-4</v>
      </c>
      <c r="CL449" s="63">
        <v>6000</v>
      </c>
      <c r="CM449" s="63">
        <f t="shared" si="385"/>
        <v>12.7</v>
      </c>
      <c r="CN449" s="63">
        <f t="shared" si="386"/>
        <v>17.7</v>
      </c>
      <c r="CO449" s="63">
        <f t="shared" si="387"/>
        <v>338.98305084745766</v>
      </c>
      <c r="CP449" s="13">
        <f t="shared" si="388"/>
        <v>338</v>
      </c>
      <c r="CQ449" s="70">
        <f t="shared" si="389"/>
        <v>2.9585798816568047E-3</v>
      </c>
      <c r="CR449" s="69">
        <f t="shared" si="357"/>
        <v>2.9585798816568047E-3</v>
      </c>
    </row>
    <row r="450" spans="1:96" hidden="1" x14ac:dyDescent="0.25">
      <c r="A450" s="13">
        <v>4</v>
      </c>
      <c r="B450" s="14" t="s">
        <v>1106</v>
      </c>
      <c r="C450" s="13" t="s">
        <v>1091</v>
      </c>
      <c r="D450" s="13" t="s">
        <v>2270</v>
      </c>
      <c r="E450" s="13" t="s">
        <v>52</v>
      </c>
      <c r="F450" s="15">
        <f t="shared" si="358"/>
        <v>2</v>
      </c>
      <c r="G450" s="13">
        <v>1</v>
      </c>
      <c r="H450" s="13">
        <f t="shared" si="409"/>
        <v>1</v>
      </c>
      <c r="I450" s="13">
        <v>22</v>
      </c>
      <c r="J450" s="14" t="s">
        <v>122</v>
      </c>
      <c r="K450" s="14" t="s">
        <v>34</v>
      </c>
      <c r="L450" s="13">
        <v>0</v>
      </c>
      <c r="M450" s="14" t="s">
        <v>35</v>
      </c>
      <c r="N450" s="13" t="s">
        <v>1152</v>
      </c>
      <c r="O450" s="28" t="s">
        <v>41</v>
      </c>
      <c r="P450" s="28" t="s">
        <v>41</v>
      </c>
      <c r="Q450" s="28" t="s">
        <v>124</v>
      </c>
      <c r="R450" s="30">
        <v>13.17</v>
      </c>
      <c r="S450" s="30">
        <v>3.5049999999999999</v>
      </c>
      <c r="T450" s="30"/>
      <c r="U450" s="30">
        <v>9.8000000000000004E-2</v>
      </c>
      <c r="V450" s="8">
        <f t="shared" si="359"/>
        <v>334.51799999999997</v>
      </c>
      <c r="W450" s="8">
        <f t="shared" si="360"/>
        <v>89.026999999999987</v>
      </c>
      <c r="X450" s="8">
        <f t="shared" si="361"/>
        <v>0</v>
      </c>
      <c r="Y450" s="33">
        <f t="shared" si="362"/>
        <v>2.4891999999999999</v>
      </c>
      <c r="Z450" s="28" t="s">
        <v>56</v>
      </c>
      <c r="AA450" s="28" t="s">
        <v>57</v>
      </c>
      <c r="AB450" s="61" t="s">
        <v>124</v>
      </c>
      <c r="AC450" s="31" t="s">
        <v>125</v>
      </c>
      <c r="AD450" s="50">
        <f t="shared" si="363"/>
        <v>1</v>
      </c>
      <c r="AE450" s="31"/>
      <c r="AF450" s="51">
        <v>14</v>
      </c>
      <c r="AG450" s="51">
        <f t="shared" si="391"/>
        <v>8.4</v>
      </c>
      <c r="AH450" s="51">
        <f t="shared" ref="AH450:AH513" si="410">AG450/0.2</f>
        <v>42</v>
      </c>
      <c r="AI450" s="52" t="s">
        <v>2497</v>
      </c>
      <c r="AJ450" s="52" t="s">
        <v>2498</v>
      </c>
      <c r="AK450" s="53">
        <f t="shared" si="392"/>
        <v>5.956226797199999E-2</v>
      </c>
      <c r="AL450" s="54">
        <f t="shared" si="393"/>
        <v>0.11904761904761904</v>
      </c>
      <c r="AM450" s="54">
        <f t="shared" si="394"/>
        <v>2.3809523809523808E-2</v>
      </c>
      <c r="AN450" s="55">
        <f t="shared" si="395"/>
        <v>7.0907461871428552E-3</v>
      </c>
      <c r="AO450" s="55">
        <f t="shared" si="396"/>
        <v>1.418149237428571E-3</v>
      </c>
      <c r="AP450" s="53">
        <v>7.1</v>
      </c>
      <c r="AQ450" s="53">
        <f t="shared" si="364"/>
        <v>4.26</v>
      </c>
      <c r="AR450" s="53">
        <f t="shared" si="365"/>
        <v>21.299999999999997</v>
      </c>
      <c r="AS450" s="56">
        <f t="shared" si="366"/>
        <v>4.6948356807511742E-2</v>
      </c>
      <c r="AT450" s="56">
        <f t="shared" si="397"/>
        <v>0.23474178403755869</v>
      </c>
      <c r="AU450" s="56">
        <f t="shared" si="367"/>
        <v>0.176056338028169</v>
      </c>
      <c r="AV450" s="56">
        <f t="shared" si="398"/>
        <v>5.8685446009389672E-2</v>
      </c>
      <c r="AW450" s="57" t="s">
        <v>2511</v>
      </c>
      <c r="AX450" s="57" t="s">
        <v>2512</v>
      </c>
      <c r="AY450" s="57" t="s">
        <v>2513</v>
      </c>
      <c r="AZ450" s="58">
        <f t="shared" si="399"/>
        <v>5.956226797199999E-2</v>
      </c>
      <c r="BA450" s="59">
        <f t="shared" si="402"/>
        <v>1.7477191306338026E-3</v>
      </c>
      <c r="BB450" s="59">
        <f t="shared" si="403"/>
        <v>5.2431573919014072E-3</v>
      </c>
      <c r="BC450" s="59">
        <f t="shared" si="404"/>
        <v>1.3981753045070422E-3</v>
      </c>
      <c r="BD450" s="60">
        <f t="shared" si="400"/>
        <v>1.0416666666666666E-2</v>
      </c>
      <c r="BE450" s="59">
        <f t="shared" si="401"/>
        <v>1.0416666666666666E-2</v>
      </c>
      <c r="BQ450" s="61">
        <v>3000</v>
      </c>
      <c r="BR450" s="61">
        <v>1200</v>
      </c>
      <c r="BS450" s="28">
        <f t="shared" si="368"/>
        <v>2980</v>
      </c>
      <c r="BT450" s="28">
        <f t="shared" si="369"/>
        <v>1180</v>
      </c>
      <c r="BU450" s="28" t="s">
        <v>2541</v>
      </c>
      <c r="BV450" s="28">
        <f t="shared" si="370"/>
        <v>339.51799999999997</v>
      </c>
      <c r="BW450" s="28">
        <f t="shared" si="371"/>
        <v>94.026999999999987</v>
      </c>
      <c r="BX450" s="13">
        <f t="shared" si="372"/>
        <v>8.7771487815079023</v>
      </c>
      <c r="BY450" s="13">
        <f t="shared" si="373"/>
        <v>8</v>
      </c>
      <c r="BZ450" s="13">
        <f t="shared" si="374"/>
        <v>12.549586820806791</v>
      </c>
      <c r="CA450" s="13">
        <f t="shared" si="375"/>
        <v>12</v>
      </c>
      <c r="CB450" s="13">
        <f t="shared" si="376"/>
        <v>96</v>
      </c>
      <c r="CC450" s="62">
        <f t="shared" si="377"/>
        <v>1.0416666666666666E-2</v>
      </c>
      <c r="CD450" s="13">
        <f t="shared" si="378"/>
        <v>31.693024344071389</v>
      </c>
      <c r="CE450" s="13">
        <f t="shared" si="379"/>
        <v>31</v>
      </c>
      <c r="CF450" s="13">
        <f t="shared" si="380"/>
        <v>3.4755152893219212</v>
      </c>
      <c r="CG450" s="13">
        <f t="shared" si="381"/>
        <v>3</v>
      </c>
      <c r="CH450" s="28">
        <f t="shared" si="382"/>
        <v>93</v>
      </c>
      <c r="CI450" s="62">
        <f t="shared" si="383"/>
        <v>1.0752688172043012E-2</v>
      </c>
      <c r="CJ450" s="59">
        <f t="shared" si="384"/>
        <v>1.0416666666666666E-2</v>
      </c>
      <c r="CL450" s="63">
        <v>6000</v>
      </c>
      <c r="CM450" s="63">
        <f t="shared" si="385"/>
        <v>334.51799999999997</v>
      </c>
      <c r="CN450" s="63">
        <f t="shared" si="386"/>
        <v>339.51799999999997</v>
      </c>
      <c r="CO450" s="63">
        <f t="shared" si="387"/>
        <v>17.672111640619939</v>
      </c>
      <c r="CP450" s="13">
        <f t="shared" si="388"/>
        <v>17</v>
      </c>
      <c r="CQ450" s="70">
        <f t="shared" si="389"/>
        <v>5.8823529411764705E-2</v>
      </c>
      <c r="CR450" s="69">
        <f t="shared" ref="CR450:CR482" si="411">CQ450*AD450</f>
        <v>5.8823529411764705E-2</v>
      </c>
    </row>
    <row r="451" spans="1:96" hidden="1" x14ac:dyDescent="0.25">
      <c r="A451" s="13">
        <v>4</v>
      </c>
      <c r="B451" s="14" t="s">
        <v>1106</v>
      </c>
      <c r="C451" s="13" t="s">
        <v>1080</v>
      </c>
      <c r="D451" s="13" t="s">
        <v>2270</v>
      </c>
      <c r="E451" s="13" t="s">
        <v>52</v>
      </c>
      <c r="F451" s="15">
        <f t="shared" ref="F451:F514" si="412">COUNTIF($C$2:$C$1202,C451)</f>
        <v>2</v>
      </c>
      <c r="G451" s="13">
        <v>2</v>
      </c>
      <c r="H451" s="13">
        <f t="shared" si="409"/>
        <v>2</v>
      </c>
      <c r="I451" s="13">
        <v>23</v>
      </c>
      <c r="J451" s="14" t="s">
        <v>122</v>
      </c>
      <c r="K451" s="14" t="s">
        <v>34</v>
      </c>
      <c r="L451" s="13">
        <v>0</v>
      </c>
      <c r="M451" s="14" t="s">
        <v>35</v>
      </c>
      <c r="N451" s="13" t="s">
        <v>1153</v>
      </c>
      <c r="O451" s="28" t="s">
        <v>41</v>
      </c>
      <c r="P451" s="28" t="s">
        <v>41</v>
      </c>
      <c r="Q451" s="28" t="s">
        <v>124</v>
      </c>
      <c r="R451" s="30">
        <v>36.369999999999997</v>
      </c>
      <c r="S451" s="30">
        <v>4.2350000000000003</v>
      </c>
      <c r="T451" s="30"/>
      <c r="U451" s="30">
        <v>9.8000000000000004E-2</v>
      </c>
      <c r="V451" s="8">
        <f t="shared" ref="V451:V514" si="413">R451*25.4</f>
        <v>923.79799999999989</v>
      </c>
      <c r="W451" s="8">
        <f t="shared" ref="W451:W514" si="414">S451*25.4</f>
        <v>107.569</v>
      </c>
      <c r="X451" s="8">
        <f t="shared" ref="X451:X514" si="415">T451*25.4</f>
        <v>0</v>
      </c>
      <c r="Y451" s="33">
        <f t="shared" ref="Y451:Y514" si="416">U451*25.4</f>
        <v>2.4891999999999999</v>
      </c>
      <c r="Z451" s="28" t="s">
        <v>56</v>
      </c>
      <c r="AA451" s="28" t="s">
        <v>57</v>
      </c>
      <c r="AB451" s="61" t="s">
        <v>124</v>
      </c>
      <c r="AC451" s="31" t="s">
        <v>125</v>
      </c>
      <c r="AD451" s="50">
        <f t="shared" ref="AD451:AD514" si="417">H451</f>
        <v>2</v>
      </c>
      <c r="AE451" s="31"/>
      <c r="AF451" s="51">
        <v>14</v>
      </c>
      <c r="AG451" s="51">
        <f t="shared" si="391"/>
        <v>8.4</v>
      </c>
      <c r="AH451" s="51">
        <f t="shared" si="410"/>
        <v>42</v>
      </c>
      <c r="AI451" s="52" t="s">
        <v>2497</v>
      </c>
      <c r="AJ451" s="52" t="s">
        <v>2498</v>
      </c>
      <c r="AK451" s="53">
        <f t="shared" si="392"/>
        <v>0.19874405412399998</v>
      </c>
      <c r="AL451" s="54">
        <f t="shared" si="393"/>
        <v>0.11904761904761904</v>
      </c>
      <c r="AM451" s="54">
        <f t="shared" si="394"/>
        <v>2.3809523809523808E-2</v>
      </c>
      <c r="AN451" s="55">
        <f t="shared" si="395"/>
        <v>4.7320012886666658E-2</v>
      </c>
      <c r="AO451" s="55">
        <f t="shared" si="396"/>
        <v>9.4640025773333313E-3</v>
      </c>
      <c r="AP451" s="53">
        <v>7.1</v>
      </c>
      <c r="AQ451" s="53">
        <f t="shared" ref="AQ451:AQ514" si="418">AP451*0.6</f>
        <v>4.26</v>
      </c>
      <c r="AR451" s="53">
        <f t="shared" ref="AR451:AR514" si="419">AQ451*5</f>
        <v>21.299999999999997</v>
      </c>
      <c r="AS451" s="56">
        <f t="shared" ref="AS451:AS514" si="420">1/AR451</f>
        <v>4.6948356807511742E-2</v>
      </c>
      <c r="AT451" s="56">
        <f t="shared" si="397"/>
        <v>0.23474178403755869</v>
      </c>
      <c r="AU451" s="56">
        <f t="shared" ref="AU451:AU514" si="421">AT451*0.75</f>
        <v>0.176056338028169</v>
      </c>
      <c r="AV451" s="56">
        <f t="shared" si="398"/>
        <v>5.8685446009389672E-2</v>
      </c>
      <c r="AW451" s="57" t="s">
        <v>2511</v>
      </c>
      <c r="AX451" s="57" t="s">
        <v>2512</v>
      </c>
      <c r="AY451" s="57" t="s">
        <v>2513</v>
      </c>
      <c r="AZ451" s="58">
        <f t="shared" si="399"/>
        <v>0.19874405412399998</v>
      </c>
      <c r="BA451" s="59">
        <f t="shared" si="402"/>
        <v>1.166338345798122E-2</v>
      </c>
      <c r="BB451" s="59">
        <f t="shared" si="403"/>
        <v>3.4990150373943658E-2</v>
      </c>
      <c r="BC451" s="59">
        <f t="shared" si="404"/>
        <v>9.3307067663849757E-3</v>
      </c>
      <c r="BD451" s="60">
        <f t="shared" si="400"/>
        <v>3.3333333333333333E-2</v>
      </c>
      <c r="BE451" s="59">
        <f t="shared" si="401"/>
        <v>6.6666666666666666E-2</v>
      </c>
      <c r="BQ451" s="61">
        <v>3000</v>
      </c>
      <c r="BR451" s="61">
        <v>1200</v>
      </c>
      <c r="BS451" s="28">
        <f t="shared" ref="BS451:BS514" si="422">BQ451-20</f>
        <v>2980</v>
      </c>
      <c r="BT451" s="28">
        <f t="shared" ref="BT451:BT514" si="423">BR451-20</f>
        <v>1180</v>
      </c>
      <c r="BU451" s="28" t="s">
        <v>2541</v>
      </c>
      <c r="BV451" s="28">
        <f t="shared" ref="BV451:BV514" si="424">V451+5</f>
        <v>928.79799999999989</v>
      </c>
      <c r="BW451" s="28">
        <f t="shared" ref="BW451:BW514" si="425">W451+5</f>
        <v>112.569</v>
      </c>
      <c r="BX451" s="13">
        <f t="shared" ref="BX451:BX514" si="426">BS451/BV451</f>
        <v>3.208447907941232</v>
      </c>
      <c r="BY451" s="13">
        <f t="shared" ref="BY451:BY514" si="427">ROUNDDOWN(BX451,0)</f>
        <v>3</v>
      </c>
      <c r="BZ451" s="13">
        <f t="shared" ref="BZ451:BZ514" si="428">BT451/BW451</f>
        <v>10.48245964697208</v>
      </c>
      <c r="CA451" s="13">
        <f t="shared" ref="CA451:CA514" si="429">ROUNDDOWN(BZ451,0)</f>
        <v>10</v>
      </c>
      <c r="CB451" s="13">
        <f t="shared" ref="CB451:CB514" si="430">BY451*CA451</f>
        <v>30</v>
      </c>
      <c r="CC451" s="62">
        <f t="shared" ref="CC451:CC514" si="431">IF(E451="CJ","",IFERROR((1/CB451),1))</f>
        <v>3.3333333333333333E-2</v>
      </c>
      <c r="CD451" s="13">
        <f t="shared" ref="CD451:CD514" si="432">BS451/BW451</f>
        <v>26.472652328793895</v>
      </c>
      <c r="CE451" s="13">
        <f t="shared" ref="CE451:CE514" si="433">ROUNDDOWN(CD451,0)</f>
        <v>26</v>
      </c>
      <c r="CF451" s="13">
        <f t="shared" ref="CF451:CF514" si="434">BT451/BV451</f>
        <v>1.2704592387149845</v>
      </c>
      <c r="CG451" s="13">
        <f t="shared" ref="CG451:CG514" si="435">ROUNDDOWN(CF451,0)</f>
        <v>1</v>
      </c>
      <c r="CH451" s="28">
        <f t="shared" ref="CH451:CH514" si="436">CE451*CG451</f>
        <v>26</v>
      </c>
      <c r="CI451" s="62">
        <f t="shared" ref="CI451:CI514" si="437">IF(E451="CJ","",IFERROR((1/CH451),1))</f>
        <v>3.8461538461538464E-2</v>
      </c>
      <c r="CJ451" s="59">
        <f t="shared" ref="CJ451:CJ514" si="438">MIN(CC451,CI451)</f>
        <v>3.3333333333333333E-2</v>
      </c>
      <c r="CL451" s="63">
        <v>6000</v>
      </c>
      <c r="CM451" s="63">
        <f t="shared" ref="CM451:CM514" si="439">V451</f>
        <v>923.79799999999989</v>
      </c>
      <c r="CN451" s="63">
        <f t="shared" ref="CN451:CN514" si="440">CM451+5</f>
        <v>928.79799999999989</v>
      </c>
      <c r="CO451" s="63">
        <f t="shared" ref="CO451:CO514" si="441">CL451/CN451</f>
        <v>6.459962230754158</v>
      </c>
      <c r="CP451" s="13">
        <f t="shared" ref="CP451:CP514" si="442">ROUNDDOWN(CO451,0)</f>
        <v>6</v>
      </c>
      <c r="CQ451" s="70">
        <f t="shared" ref="CQ451:CQ514" si="443">1/CP451</f>
        <v>0.16666666666666666</v>
      </c>
      <c r="CR451" s="69">
        <f t="shared" si="411"/>
        <v>0.33333333333333331</v>
      </c>
    </row>
    <row r="452" spans="1:96" hidden="1" x14ac:dyDescent="0.25">
      <c r="A452" s="13">
        <v>4</v>
      </c>
      <c r="B452" s="14" t="s">
        <v>1106</v>
      </c>
      <c r="C452" s="13" t="s">
        <v>1154</v>
      </c>
      <c r="D452" s="13" t="s">
        <v>2270</v>
      </c>
      <c r="E452" s="13" t="s">
        <v>52</v>
      </c>
      <c r="F452" s="15">
        <f t="shared" si="412"/>
        <v>1</v>
      </c>
      <c r="G452" s="13">
        <v>1</v>
      </c>
      <c r="H452" s="13">
        <f t="shared" si="409"/>
        <v>1</v>
      </c>
      <c r="I452" s="13">
        <v>24</v>
      </c>
      <c r="J452" s="14" t="s">
        <v>174</v>
      </c>
      <c r="K452" s="14" t="s">
        <v>34</v>
      </c>
      <c r="L452" s="13">
        <v>0</v>
      </c>
      <c r="M452" s="14" t="s">
        <v>35</v>
      </c>
      <c r="N452" s="13" t="s">
        <v>1155</v>
      </c>
      <c r="O452" s="28" t="s">
        <v>41</v>
      </c>
      <c r="P452" s="28" t="s">
        <v>41</v>
      </c>
      <c r="Q452" s="28" t="s">
        <v>1156</v>
      </c>
      <c r="R452" s="30">
        <v>1.5</v>
      </c>
      <c r="S452" s="30">
        <v>4</v>
      </c>
      <c r="T452" s="30">
        <v>4</v>
      </c>
      <c r="U452" s="30">
        <v>0.11799999999999999</v>
      </c>
      <c r="V452" s="8">
        <f t="shared" si="413"/>
        <v>38.099999999999994</v>
      </c>
      <c r="W452" s="8">
        <f t="shared" si="414"/>
        <v>101.6</v>
      </c>
      <c r="X452" s="8">
        <f t="shared" si="415"/>
        <v>101.6</v>
      </c>
      <c r="Y452" s="33">
        <f t="shared" si="416"/>
        <v>2.9971999999999999</v>
      </c>
      <c r="Z452" s="28" t="s">
        <v>56</v>
      </c>
      <c r="AA452" s="28" t="s">
        <v>57</v>
      </c>
      <c r="AB452" s="61" t="s">
        <v>1156</v>
      </c>
      <c r="AC452" s="31" t="s">
        <v>1157</v>
      </c>
      <c r="AD452" s="50">
        <f t="shared" si="417"/>
        <v>1</v>
      </c>
      <c r="AE452" s="31"/>
      <c r="AF452" s="51">
        <v>14</v>
      </c>
      <c r="AG452" s="51">
        <f t="shared" si="391"/>
        <v>8.4</v>
      </c>
      <c r="AH452" s="51">
        <f t="shared" si="410"/>
        <v>42</v>
      </c>
      <c r="AI452" s="52" t="s">
        <v>2497</v>
      </c>
      <c r="AJ452" s="52" t="s">
        <v>2498</v>
      </c>
      <c r="AK452" s="53">
        <f t="shared" si="392"/>
        <v>7.7419199999999985E-3</v>
      </c>
      <c r="AL452" s="54">
        <f t="shared" si="393"/>
        <v>0.11904761904761904</v>
      </c>
      <c r="AM452" s="54">
        <f t="shared" si="394"/>
        <v>2.3809523809523808E-2</v>
      </c>
      <c r="AN452" s="55">
        <f t="shared" si="395"/>
        <v>9.2165714285714266E-4</v>
      </c>
      <c r="AO452" s="55">
        <f t="shared" si="396"/>
        <v>1.8433142857142852E-4</v>
      </c>
      <c r="AP452" s="53">
        <v>7.1</v>
      </c>
      <c r="AQ452" s="53">
        <f t="shared" si="418"/>
        <v>4.26</v>
      </c>
      <c r="AR452" s="53">
        <f t="shared" si="419"/>
        <v>21.299999999999997</v>
      </c>
      <c r="AS452" s="56">
        <f t="shared" si="420"/>
        <v>4.6948356807511742E-2</v>
      </c>
      <c r="AT452" s="56">
        <f t="shared" si="397"/>
        <v>0.23474178403755869</v>
      </c>
      <c r="AU452" s="56">
        <f t="shared" si="421"/>
        <v>0.176056338028169</v>
      </c>
      <c r="AV452" s="56">
        <f t="shared" si="398"/>
        <v>5.8685446009389672E-2</v>
      </c>
      <c r="AW452" s="57" t="s">
        <v>2511</v>
      </c>
      <c r="AX452" s="57" t="s">
        <v>2512</v>
      </c>
      <c r="AY452" s="57" t="s">
        <v>2513</v>
      </c>
      <c r="AZ452" s="58">
        <f t="shared" si="399"/>
        <v>7.7419199999999985E-3</v>
      </c>
      <c r="BA452" s="59">
        <f t="shared" si="402"/>
        <v>2.2716901408450699E-4</v>
      </c>
      <c r="BB452" s="59">
        <f t="shared" si="403"/>
        <v>6.8150704225352092E-4</v>
      </c>
      <c r="BC452" s="59">
        <f t="shared" si="404"/>
        <v>1.817352112676056E-4</v>
      </c>
      <c r="BD452" s="60">
        <f t="shared" si="400"/>
        <v>1.3175230566534915E-3</v>
      </c>
      <c r="BE452" s="59">
        <f t="shared" si="401"/>
        <v>1.3175230566534915E-3</v>
      </c>
      <c r="BQ452" s="61">
        <v>3000</v>
      </c>
      <c r="BR452" s="61">
        <v>1200</v>
      </c>
      <c r="BS452" s="28">
        <f t="shared" si="422"/>
        <v>2980</v>
      </c>
      <c r="BT452" s="28">
        <f t="shared" si="423"/>
        <v>1180</v>
      </c>
      <c r="BU452" s="28" t="s">
        <v>2541</v>
      </c>
      <c r="BV452" s="28">
        <f t="shared" si="424"/>
        <v>43.099999999999994</v>
      </c>
      <c r="BW452" s="28">
        <f t="shared" si="425"/>
        <v>106.6</v>
      </c>
      <c r="BX452" s="13">
        <f t="shared" si="426"/>
        <v>69.141531322505813</v>
      </c>
      <c r="BY452" s="13">
        <f t="shared" si="427"/>
        <v>69</v>
      </c>
      <c r="BZ452" s="13">
        <f t="shared" si="428"/>
        <v>11.069418386491558</v>
      </c>
      <c r="CA452" s="13">
        <f t="shared" si="429"/>
        <v>11</v>
      </c>
      <c r="CB452" s="13">
        <f t="shared" si="430"/>
        <v>759</v>
      </c>
      <c r="CC452" s="62">
        <f t="shared" si="431"/>
        <v>1.3175230566534915E-3</v>
      </c>
      <c r="CD452" s="13">
        <f t="shared" si="432"/>
        <v>27.954971857410882</v>
      </c>
      <c r="CE452" s="13">
        <f t="shared" si="433"/>
        <v>27</v>
      </c>
      <c r="CF452" s="13">
        <f t="shared" si="434"/>
        <v>27.378190255220421</v>
      </c>
      <c r="CG452" s="13">
        <f t="shared" si="435"/>
        <v>27</v>
      </c>
      <c r="CH452" s="28">
        <f t="shared" si="436"/>
        <v>729</v>
      </c>
      <c r="CI452" s="62">
        <f t="shared" si="437"/>
        <v>1.3717421124828531E-3</v>
      </c>
      <c r="CJ452" s="59">
        <f t="shared" si="438"/>
        <v>1.3175230566534915E-3</v>
      </c>
      <c r="CL452" s="63">
        <v>6000</v>
      </c>
      <c r="CM452" s="63">
        <f t="shared" si="439"/>
        <v>38.099999999999994</v>
      </c>
      <c r="CN452" s="63">
        <f t="shared" si="440"/>
        <v>43.099999999999994</v>
      </c>
      <c r="CO452" s="63">
        <f t="shared" si="441"/>
        <v>139.21113689095128</v>
      </c>
      <c r="CP452" s="13">
        <f t="shared" si="442"/>
        <v>139</v>
      </c>
      <c r="CQ452" s="70">
        <f t="shared" si="443"/>
        <v>7.1942446043165471E-3</v>
      </c>
      <c r="CR452" s="69">
        <f t="shared" si="411"/>
        <v>7.1942446043165471E-3</v>
      </c>
    </row>
    <row r="453" spans="1:96" hidden="1" x14ac:dyDescent="0.25">
      <c r="A453" s="10">
        <v>3</v>
      </c>
      <c r="B453" s="8" t="s">
        <v>1019</v>
      </c>
      <c r="C453" s="10" t="s">
        <v>1158</v>
      </c>
      <c r="D453" s="10" t="s">
        <v>2270</v>
      </c>
      <c r="E453" s="10" t="s">
        <v>52</v>
      </c>
      <c r="F453" s="12">
        <f t="shared" si="412"/>
        <v>1</v>
      </c>
      <c r="G453" s="10">
        <v>3</v>
      </c>
      <c r="H453" s="10">
        <f t="shared" ref="H453:H454" si="444">G453*$H$378</f>
        <v>3</v>
      </c>
      <c r="I453" s="10">
        <v>4</v>
      </c>
      <c r="J453" s="8" t="s">
        <v>247</v>
      </c>
      <c r="K453" s="8" t="s">
        <v>34</v>
      </c>
      <c r="L453" s="10" t="s">
        <v>110</v>
      </c>
      <c r="M453" s="8" t="s">
        <v>35</v>
      </c>
      <c r="N453" s="10" t="s">
        <v>1159</v>
      </c>
      <c r="O453" s="28" t="s">
        <v>41</v>
      </c>
      <c r="P453" s="28" t="s">
        <v>41</v>
      </c>
      <c r="Q453" s="28" t="s">
        <v>249</v>
      </c>
      <c r="R453" s="30">
        <v>24.385000000000002</v>
      </c>
      <c r="S453" s="30">
        <v>13.699</v>
      </c>
      <c r="T453" s="30"/>
      <c r="U453" s="30">
        <v>0.19700000000000001</v>
      </c>
      <c r="V453" s="8">
        <f t="shared" si="413"/>
        <v>619.37900000000002</v>
      </c>
      <c r="W453" s="8">
        <f t="shared" si="414"/>
        <v>347.95459999999997</v>
      </c>
      <c r="X453" s="8">
        <f t="shared" si="415"/>
        <v>0</v>
      </c>
      <c r="Y453" s="33">
        <f t="shared" si="416"/>
        <v>5.0038</v>
      </c>
      <c r="Z453" s="28" t="s">
        <v>250</v>
      </c>
      <c r="AA453" s="28" t="s">
        <v>251</v>
      </c>
      <c r="AB453" s="61" t="s">
        <v>249</v>
      </c>
      <c r="AC453" s="31" t="s">
        <v>252</v>
      </c>
      <c r="AD453" s="50">
        <f t="shared" si="417"/>
        <v>3</v>
      </c>
      <c r="AE453" s="31"/>
      <c r="AF453" s="51">
        <v>14</v>
      </c>
      <c r="AG453" s="51">
        <f t="shared" si="391"/>
        <v>8.4</v>
      </c>
      <c r="AH453" s="51">
        <f t="shared" si="410"/>
        <v>42</v>
      </c>
      <c r="AI453" s="52" t="s">
        <v>2497</v>
      </c>
      <c r="AJ453" s="52" t="s">
        <v>2498</v>
      </c>
      <c r="AK453" s="53">
        <f t="shared" si="392"/>
        <v>0.43103154438679997</v>
      </c>
      <c r="AL453" s="54">
        <f t="shared" si="393"/>
        <v>0.11904761904761904</v>
      </c>
      <c r="AM453" s="54">
        <f t="shared" si="394"/>
        <v>2.3809523809523808E-2</v>
      </c>
      <c r="AN453" s="55">
        <f t="shared" si="395"/>
        <v>0.15393983728099997</v>
      </c>
      <c r="AO453" s="55">
        <f t="shared" si="396"/>
        <v>3.0787967456199994E-2</v>
      </c>
      <c r="AP453" s="53">
        <v>7.1</v>
      </c>
      <c r="AQ453" s="53">
        <f t="shared" si="418"/>
        <v>4.26</v>
      </c>
      <c r="AR453" s="53">
        <f t="shared" si="419"/>
        <v>21.299999999999997</v>
      </c>
      <c r="AS453" s="56">
        <f t="shared" si="420"/>
        <v>4.6948356807511742E-2</v>
      </c>
      <c r="AT453" s="56">
        <f t="shared" si="397"/>
        <v>0.23474178403755869</v>
      </c>
      <c r="AU453" s="56">
        <f t="shared" si="421"/>
        <v>0.176056338028169</v>
      </c>
      <c r="AV453" s="56">
        <f t="shared" si="398"/>
        <v>5.8685446009389672E-2</v>
      </c>
      <c r="AW453" s="57" t="s">
        <v>2511</v>
      </c>
      <c r="AX453" s="57" t="s">
        <v>2512</v>
      </c>
      <c r="AY453" s="57" t="s">
        <v>2513</v>
      </c>
      <c r="AZ453" s="58">
        <f t="shared" si="399"/>
        <v>0.43103154438679997</v>
      </c>
      <c r="BA453" s="59">
        <f t="shared" si="402"/>
        <v>3.7942917639683091E-2</v>
      </c>
      <c r="BB453" s="59">
        <f t="shared" si="403"/>
        <v>0.11382875291904929</v>
      </c>
      <c r="BC453" s="59">
        <f t="shared" si="404"/>
        <v>3.0354334111746477E-2</v>
      </c>
      <c r="BD453" s="60">
        <f t="shared" si="400"/>
        <v>8.3333333333333329E-2</v>
      </c>
      <c r="BE453" s="59">
        <f t="shared" si="401"/>
        <v>0.25</v>
      </c>
      <c r="BQ453" s="61">
        <v>3000</v>
      </c>
      <c r="BR453" s="61">
        <v>1200</v>
      </c>
      <c r="BS453" s="28">
        <f t="shared" si="422"/>
        <v>2980</v>
      </c>
      <c r="BT453" s="28">
        <f t="shared" si="423"/>
        <v>1180</v>
      </c>
      <c r="BU453" s="28" t="s">
        <v>2541</v>
      </c>
      <c r="BV453" s="28">
        <f t="shared" si="424"/>
        <v>624.37900000000002</v>
      </c>
      <c r="BW453" s="28">
        <f t="shared" si="425"/>
        <v>352.95459999999997</v>
      </c>
      <c r="BX453" s="13">
        <f t="shared" si="426"/>
        <v>4.7727421966465879</v>
      </c>
      <c r="BY453" s="13">
        <f t="shared" si="427"/>
        <v>4</v>
      </c>
      <c r="BZ453" s="13">
        <f t="shared" si="428"/>
        <v>3.3432061800582855</v>
      </c>
      <c r="CA453" s="13">
        <f t="shared" si="429"/>
        <v>3</v>
      </c>
      <c r="CB453" s="13">
        <f t="shared" si="430"/>
        <v>12</v>
      </c>
      <c r="CC453" s="62">
        <f t="shared" si="431"/>
        <v>8.3333333333333329E-2</v>
      </c>
      <c r="CD453" s="13">
        <f t="shared" si="432"/>
        <v>8.4430122174353315</v>
      </c>
      <c r="CE453" s="13">
        <f t="shared" si="433"/>
        <v>8</v>
      </c>
      <c r="CF453" s="13">
        <f t="shared" si="434"/>
        <v>1.8898777825647564</v>
      </c>
      <c r="CG453" s="13">
        <f t="shared" si="435"/>
        <v>1</v>
      </c>
      <c r="CH453" s="28">
        <f t="shared" si="436"/>
        <v>8</v>
      </c>
      <c r="CI453" s="62">
        <f t="shared" si="437"/>
        <v>0.125</v>
      </c>
      <c r="CJ453" s="59">
        <f t="shared" si="438"/>
        <v>8.3333333333333329E-2</v>
      </c>
      <c r="CL453" s="63">
        <v>6000</v>
      </c>
      <c r="CM453" s="63">
        <f t="shared" si="439"/>
        <v>619.37900000000002</v>
      </c>
      <c r="CN453" s="63">
        <f t="shared" si="440"/>
        <v>624.37900000000002</v>
      </c>
      <c r="CO453" s="63">
        <f t="shared" si="441"/>
        <v>9.6095480469394392</v>
      </c>
      <c r="CP453" s="13">
        <f t="shared" si="442"/>
        <v>9</v>
      </c>
      <c r="CQ453" s="70">
        <f t="shared" si="443"/>
        <v>0.1111111111111111</v>
      </c>
      <c r="CR453" s="69">
        <f t="shared" si="411"/>
        <v>0.33333333333333331</v>
      </c>
    </row>
    <row r="454" spans="1:96" hidden="1" x14ac:dyDescent="0.25">
      <c r="A454" s="10">
        <v>3</v>
      </c>
      <c r="B454" s="8" t="s">
        <v>1019</v>
      </c>
      <c r="C454" s="10" t="s">
        <v>1160</v>
      </c>
      <c r="D454" s="10" t="s">
        <v>2270</v>
      </c>
      <c r="E454" s="10" t="s">
        <v>32</v>
      </c>
      <c r="F454" s="12">
        <f t="shared" si="412"/>
        <v>1</v>
      </c>
      <c r="G454" s="10">
        <v>1</v>
      </c>
      <c r="H454" s="10">
        <f t="shared" si="444"/>
        <v>1</v>
      </c>
      <c r="I454" s="10">
        <v>5</v>
      </c>
      <c r="J454" s="8" t="s">
        <v>1161</v>
      </c>
      <c r="K454" s="8" t="s">
        <v>34</v>
      </c>
      <c r="L454" s="10" t="s">
        <v>194</v>
      </c>
      <c r="M454" s="8" t="s">
        <v>35</v>
      </c>
      <c r="N454" s="10" t="s">
        <v>1162</v>
      </c>
      <c r="O454" s="28" t="s">
        <v>41</v>
      </c>
      <c r="P454" s="28" t="s">
        <v>41</v>
      </c>
      <c r="Q454" s="28"/>
      <c r="R454" s="30"/>
      <c r="S454" s="30"/>
      <c r="T454" s="30"/>
      <c r="U454" s="30"/>
      <c r="V454" s="8">
        <f t="shared" si="413"/>
        <v>0</v>
      </c>
      <c r="W454" s="8">
        <f t="shared" si="414"/>
        <v>0</v>
      </c>
      <c r="X454" s="8">
        <f t="shared" si="415"/>
        <v>0</v>
      </c>
      <c r="Y454" s="33">
        <f t="shared" si="416"/>
        <v>0</v>
      </c>
      <c r="Z454" s="28"/>
      <c r="AA454" s="28"/>
      <c r="AB454" s="28">
        <v>0</v>
      </c>
      <c r="AC454" s="31"/>
      <c r="AD454" s="50">
        <f t="shared" si="417"/>
        <v>1</v>
      </c>
      <c r="AE454" s="31"/>
      <c r="AF454" s="51">
        <v>14</v>
      </c>
      <c r="AG454" s="51">
        <f t="shared" ref="AG454:AG517" si="445">AF454*0.6</f>
        <v>8.4</v>
      </c>
      <c r="AH454" s="51">
        <f t="shared" si="410"/>
        <v>42</v>
      </c>
      <c r="AI454" s="52" t="s">
        <v>2497</v>
      </c>
      <c r="AJ454" s="52" t="s">
        <v>2498</v>
      </c>
      <c r="AK454" s="53">
        <f t="shared" ref="AK454:AK517" si="446">(V454*W454)*2/1000000</f>
        <v>0</v>
      </c>
      <c r="AL454" s="54">
        <f t="shared" ref="AL454:AL517" si="447">1/(AF454*0.6)</f>
        <v>0.11904761904761904</v>
      </c>
      <c r="AM454" s="54">
        <f t="shared" ref="AM454:AM517" si="448">1/AG454*(20/100)</f>
        <v>2.3809523809523808E-2</v>
      </c>
      <c r="AN454" s="55">
        <f t="shared" ref="AN454:AN517" si="449">IF(AI454&lt;&gt;0,(AK454*AL454*AD454),0)</f>
        <v>0</v>
      </c>
      <c r="AO454" s="55">
        <f t="shared" ref="AO454:AO517" si="450">IF(AJ454&lt;&gt;0,(AK454*AM454*AD454),0)</f>
        <v>0</v>
      </c>
      <c r="AP454" s="53">
        <v>7.1</v>
      </c>
      <c r="AQ454" s="53">
        <f t="shared" si="418"/>
        <v>4.26</v>
      </c>
      <c r="AR454" s="53">
        <f t="shared" si="419"/>
        <v>21.299999999999997</v>
      </c>
      <c r="AS454" s="56">
        <f t="shared" si="420"/>
        <v>4.6948356807511742E-2</v>
      </c>
      <c r="AT454" s="56">
        <f t="shared" ref="AT454:AT517" si="451">1/AQ454</f>
        <v>0.23474178403755869</v>
      </c>
      <c r="AU454" s="56">
        <f t="shared" si="421"/>
        <v>0.176056338028169</v>
      </c>
      <c r="AV454" s="56">
        <f t="shared" ref="AV454:AV517" si="452">AT454*0.25</f>
        <v>5.8685446009389672E-2</v>
      </c>
      <c r="AW454" s="57" t="s">
        <v>2511</v>
      </c>
      <c r="AX454" s="57" t="s">
        <v>2512</v>
      </c>
      <c r="AY454" s="57" t="s">
        <v>2513</v>
      </c>
      <c r="AZ454" s="58">
        <f t="shared" ref="AZ454:AZ517" si="453">(V454*W454)*2/1000000</f>
        <v>0</v>
      </c>
      <c r="BA454" s="59">
        <f t="shared" si="402"/>
        <v>0</v>
      </c>
      <c r="BB454" s="59">
        <f t="shared" si="403"/>
        <v>0</v>
      </c>
      <c r="BC454" s="59">
        <f t="shared" si="404"/>
        <v>0</v>
      </c>
      <c r="BD454" s="60">
        <f t="shared" ref="BD454:BD517" si="454">CJ454</f>
        <v>0</v>
      </c>
      <c r="BE454" s="59">
        <f t="shared" ref="BE454:BE517" si="455">BD454*AD454</f>
        <v>0</v>
      </c>
      <c r="BQ454" s="61">
        <v>3000</v>
      </c>
      <c r="BR454" s="61">
        <v>1200</v>
      </c>
      <c r="BS454" s="28">
        <f t="shared" si="422"/>
        <v>2980</v>
      </c>
      <c r="BT454" s="28">
        <f t="shared" si="423"/>
        <v>1180</v>
      </c>
      <c r="BU454" s="28" t="s">
        <v>2541</v>
      </c>
      <c r="BV454" s="28">
        <f t="shared" si="424"/>
        <v>5</v>
      </c>
      <c r="BW454" s="28">
        <f t="shared" si="425"/>
        <v>5</v>
      </c>
      <c r="BX454" s="13">
        <f t="shared" si="426"/>
        <v>596</v>
      </c>
      <c r="BY454" s="13">
        <f t="shared" si="427"/>
        <v>596</v>
      </c>
      <c r="BZ454" s="13">
        <f t="shared" si="428"/>
        <v>236</v>
      </c>
      <c r="CA454" s="13">
        <f t="shared" si="429"/>
        <v>236</v>
      </c>
      <c r="CB454" s="13">
        <f t="shared" si="430"/>
        <v>140656</v>
      </c>
      <c r="CC454" s="62" t="str">
        <f t="shared" si="431"/>
        <v/>
      </c>
      <c r="CD454" s="13">
        <f t="shared" si="432"/>
        <v>596</v>
      </c>
      <c r="CE454" s="13">
        <f t="shared" si="433"/>
        <v>596</v>
      </c>
      <c r="CF454" s="13">
        <f t="shared" si="434"/>
        <v>236</v>
      </c>
      <c r="CG454" s="13">
        <f t="shared" si="435"/>
        <v>236</v>
      </c>
      <c r="CH454" s="28">
        <f t="shared" si="436"/>
        <v>140656</v>
      </c>
      <c r="CI454" s="62" t="str">
        <f t="shared" si="437"/>
        <v/>
      </c>
      <c r="CJ454" s="59">
        <f t="shared" si="438"/>
        <v>0</v>
      </c>
      <c r="CL454" s="63">
        <v>6000</v>
      </c>
      <c r="CM454" s="63">
        <f t="shared" si="439"/>
        <v>0</v>
      </c>
      <c r="CN454" s="63">
        <f t="shared" si="440"/>
        <v>5</v>
      </c>
      <c r="CO454" s="63">
        <f t="shared" si="441"/>
        <v>1200</v>
      </c>
      <c r="CP454" s="13">
        <f t="shared" si="442"/>
        <v>1200</v>
      </c>
      <c r="CQ454" s="70">
        <f t="shared" si="443"/>
        <v>8.3333333333333339E-4</v>
      </c>
      <c r="CR454" s="69">
        <f t="shared" si="411"/>
        <v>8.3333333333333339E-4</v>
      </c>
    </row>
    <row r="455" spans="1:96" hidden="1" x14ac:dyDescent="0.25">
      <c r="A455" s="13">
        <v>4</v>
      </c>
      <c r="B455" s="14" t="s">
        <v>1163</v>
      </c>
      <c r="C455" s="13" t="s">
        <v>1164</v>
      </c>
      <c r="D455" s="13" t="s">
        <v>2270</v>
      </c>
      <c r="E455" s="13" t="s">
        <v>52</v>
      </c>
      <c r="F455" s="15">
        <f t="shared" si="412"/>
        <v>1</v>
      </c>
      <c r="G455" s="13">
        <v>1</v>
      </c>
      <c r="H455" s="13">
        <f>G455*$H$454</f>
        <v>1</v>
      </c>
      <c r="I455" s="13">
        <v>1</v>
      </c>
      <c r="J455" s="14" t="s">
        <v>247</v>
      </c>
      <c r="K455" s="14" t="s">
        <v>34</v>
      </c>
      <c r="L455" s="13" t="s">
        <v>194</v>
      </c>
      <c r="M455" s="14" t="s">
        <v>35</v>
      </c>
      <c r="N455" s="13" t="s">
        <v>1165</v>
      </c>
      <c r="O455" s="28" t="s">
        <v>41</v>
      </c>
      <c r="P455" s="28" t="s">
        <v>41</v>
      </c>
      <c r="Q455" s="28" t="s">
        <v>249</v>
      </c>
      <c r="R455" s="30">
        <v>30.440999999999999</v>
      </c>
      <c r="S455" s="30">
        <v>12.513</v>
      </c>
      <c r="T455" s="30"/>
      <c r="U455" s="30">
        <v>0.19700000000000001</v>
      </c>
      <c r="V455" s="8">
        <f t="shared" si="413"/>
        <v>773.20139999999992</v>
      </c>
      <c r="W455" s="8">
        <f t="shared" si="414"/>
        <v>317.83019999999999</v>
      </c>
      <c r="X455" s="8">
        <f t="shared" si="415"/>
        <v>0</v>
      </c>
      <c r="Y455" s="33">
        <f t="shared" si="416"/>
        <v>5.0038</v>
      </c>
      <c r="Z455" s="28" t="s">
        <v>250</v>
      </c>
      <c r="AA455" s="28" t="s">
        <v>251</v>
      </c>
      <c r="AB455" s="61" t="s">
        <v>249</v>
      </c>
      <c r="AC455" s="31" t="s">
        <v>252</v>
      </c>
      <c r="AD455" s="50">
        <f t="shared" si="417"/>
        <v>1</v>
      </c>
      <c r="AE455" s="47" t="s">
        <v>107</v>
      </c>
      <c r="AF455" s="51">
        <v>14</v>
      </c>
      <c r="AG455" s="51">
        <f t="shared" si="445"/>
        <v>8.4</v>
      </c>
      <c r="AH455" s="51">
        <f t="shared" si="410"/>
        <v>42</v>
      </c>
      <c r="AI455" s="52" t="s">
        <v>2497</v>
      </c>
      <c r="AJ455" s="52" t="s">
        <v>2498</v>
      </c>
      <c r="AK455" s="53">
        <f t="shared" si="446"/>
        <v>0.49149351120455992</v>
      </c>
      <c r="AL455" s="54">
        <f t="shared" si="447"/>
        <v>0.11904761904761904</v>
      </c>
      <c r="AM455" s="54">
        <f t="shared" si="448"/>
        <v>2.3809523809523808E-2</v>
      </c>
      <c r="AN455" s="55">
        <f t="shared" si="449"/>
        <v>5.851113228625713E-2</v>
      </c>
      <c r="AO455" s="55">
        <f t="shared" si="450"/>
        <v>1.1702226457251426E-2</v>
      </c>
      <c r="AP455" s="53">
        <v>7.1</v>
      </c>
      <c r="AQ455" s="53">
        <f t="shared" si="418"/>
        <v>4.26</v>
      </c>
      <c r="AR455" s="53">
        <f t="shared" si="419"/>
        <v>21.299999999999997</v>
      </c>
      <c r="AS455" s="56">
        <f t="shared" si="420"/>
        <v>4.6948356807511742E-2</v>
      </c>
      <c r="AT455" s="56">
        <f t="shared" si="451"/>
        <v>0.23474178403755869</v>
      </c>
      <c r="AU455" s="56">
        <f t="shared" si="421"/>
        <v>0.176056338028169</v>
      </c>
      <c r="AV455" s="56">
        <f t="shared" si="452"/>
        <v>5.8685446009389672E-2</v>
      </c>
      <c r="AW455" s="57" t="s">
        <v>2511</v>
      </c>
      <c r="AX455" s="57" t="s">
        <v>2512</v>
      </c>
      <c r="AY455" s="57" t="s">
        <v>2513</v>
      </c>
      <c r="AZ455" s="58">
        <f t="shared" si="453"/>
        <v>0.49149351120455992</v>
      </c>
      <c r="BA455" s="59">
        <f t="shared" si="402"/>
        <v>1.4421757957880279E-2</v>
      </c>
      <c r="BB455" s="59">
        <f t="shared" si="403"/>
        <v>4.3265273873640833E-2</v>
      </c>
      <c r="BC455" s="59">
        <f t="shared" si="404"/>
        <v>1.1537406366304225E-2</v>
      </c>
      <c r="BD455" s="60">
        <f t="shared" si="454"/>
        <v>0.1111111111111111</v>
      </c>
      <c r="BE455" s="59">
        <f t="shared" si="455"/>
        <v>0.1111111111111111</v>
      </c>
      <c r="BQ455" s="61">
        <v>3000</v>
      </c>
      <c r="BR455" s="61">
        <v>1200</v>
      </c>
      <c r="BS455" s="28">
        <f t="shared" si="422"/>
        <v>2980</v>
      </c>
      <c r="BT455" s="28">
        <f t="shared" si="423"/>
        <v>1180</v>
      </c>
      <c r="BU455" s="28" t="s">
        <v>2541</v>
      </c>
      <c r="BV455" s="28">
        <f t="shared" si="424"/>
        <v>778.20139999999992</v>
      </c>
      <c r="BW455" s="28">
        <f t="shared" si="425"/>
        <v>322.83019999999999</v>
      </c>
      <c r="BX455" s="13">
        <f t="shared" si="426"/>
        <v>3.829342892469739</v>
      </c>
      <c r="BY455" s="13">
        <f t="shared" si="427"/>
        <v>3</v>
      </c>
      <c r="BZ455" s="13">
        <f t="shared" si="428"/>
        <v>3.6551722856164015</v>
      </c>
      <c r="CA455" s="13">
        <f t="shared" si="429"/>
        <v>3</v>
      </c>
      <c r="CB455" s="13">
        <f t="shared" si="430"/>
        <v>9</v>
      </c>
      <c r="CC455" s="62">
        <f t="shared" si="431"/>
        <v>0.1111111111111111</v>
      </c>
      <c r="CD455" s="13">
        <f t="shared" si="432"/>
        <v>9.2308588229973534</v>
      </c>
      <c r="CE455" s="13">
        <f t="shared" si="433"/>
        <v>9</v>
      </c>
      <c r="CF455" s="13">
        <f t="shared" si="434"/>
        <v>1.5163169842665409</v>
      </c>
      <c r="CG455" s="13">
        <f t="shared" si="435"/>
        <v>1</v>
      </c>
      <c r="CH455" s="28">
        <f t="shared" si="436"/>
        <v>9</v>
      </c>
      <c r="CI455" s="62">
        <f t="shared" si="437"/>
        <v>0.1111111111111111</v>
      </c>
      <c r="CJ455" s="59">
        <f t="shared" si="438"/>
        <v>0.1111111111111111</v>
      </c>
      <c r="CL455" s="63">
        <v>6000</v>
      </c>
      <c r="CM455" s="63">
        <f t="shared" si="439"/>
        <v>773.20139999999992</v>
      </c>
      <c r="CN455" s="63">
        <f t="shared" si="440"/>
        <v>778.20139999999992</v>
      </c>
      <c r="CO455" s="63">
        <f t="shared" si="441"/>
        <v>7.7100863606773267</v>
      </c>
      <c r="CP455" s="13">
        <f t="shared" si="442"/>
        <v>7</v>
      </c>
      <c r="CQ455" s="70">
        <f t="shared" si="443"/>
        <v>0.14285714285714285</v>
      </c>
      <c r="CR455" s="69">
        <f t="shared" si="411"/>
        <v>0.14285714285714285</v>
      </c>
    </row>
    <row r="456" spans="1:96" hidden="1" x14ac:dyDescent="0.25">
      <c r="A456" s="13">
        <v>4</v>
      </c>
      <c r="B456" s="14" t="s">
        <v>1163</v>
      </c>
      <c r="C456" s="13" t="s">
        <v>904</v>
      </c>
      <c r="D456" s="13" t="s">
        <v>905</v>
      </c>
      <c r="E456" s="13" t="s">
        <v>52</v>
      </c>
      <c r="F456" s="15">
        <f t="shared" si="412"/>
        <v>5</v>
      </c>
      <c r="G456" s="13">
        <v>1</v>
      </c>
      <c r="H456" s="13">
        <f>G456*$H$454</f>
        <v>1</v>
      </c>
      <c r="I456" s="13">
        <v>3</v>
      </c>
      <c r="J456" s="14" t="s">
        <v>681</v>
      </c>
      <c r="K456" s="14" t="s">
        <v>34</v>
      </c>
      <c r="L456" s="13">
        <v>0</v>
      </c>
      <c r="M456" s="14" t="s">
        <v>35</v>
      </c>
      <c r="N456" s="13" t="s">
        <v>905</v>
      </c>
      <c r="O456" s="28" t="s">
        <v>41</v>
      </c>
      <c r="P456" s="28" t="s">
        <v>41</v>
      </c>
      <c r="Q456" s="28" t="s">
        <v>905</v>
      </c>
      <c r="R456" s="30"/>
      <c r="S456" s="30"/>
      <c r="T456" s="30"/>
      <c r="U456" s="30"/>
      <c r="V456" s="8">
        <f t="shared" si="413"/>
        <v>0</v>
      </c>
      <c r="W456" s="8">
        <f t="shared" si="414"/>
        <v>0</v>
      </c>
      <c r="X456" s="8">
        <f t="shared" si="415"/>
        <v>0</v>
      </c>
      <c r="Y456" s="33">
        <f t="shared" si="416"/>
        <v>0</v>
      </c>
      <c r="Z456" s="28"/>
      <c r="AA456" s="28"/>
      <c r="AB456" s="61" t="s">
        <v>905</v>
      </c>
      <c r="AC456" s="31" t="s">
        <v>906</v>
      </c>
      <c r="AD456" s="50">
        <f t="shared" si="417"/>
        <v>1</v>
      </c>
      <c r="AE456" s="31"/>
      <c r="AF456" s="51">
        <v>14</v>
      </c>
      <c r="AG456" s="51">
        <f t="shared" si="445"/>
        <v>8.4</v>
      </c>
      <c r="AH456" s="51">
        <f t="shared" si="410"/>
        <v>42</v>
      </c>
      <c r="AI456" s="52" t="s">
        <v>2497</v>
      </c>
      <c r="AJ456" s="52" t="s">
        <v>2498</v>
      </c>
      <c r="AK456" s="53">
        <f t="shared" si="446"/>
        <v>0</v>
      </c>
      <c r="AL456" s="54">
        <f t="shared" si="447"/>
        <v>0.11904761904761904</v>
      </c>
      <c r="AM456" s="54">
        <f t="shared" si="448"/>
        <v>2.3809523809523808E-2</v>
      </c>
      <c r="AN456" s="55">
        <f t="shared" si="449"/>
        <v>0</v>
      </c>
      <c r="AO456" s="55">
        <f t="shared" si="450"/>
        <v>0</v>
      </c>
      <c r="AP456" s="53">
        <v>7.1</v>
      </c>
      <c r="AQ456" s="53">
        <f t="shared" si="418"/>
        <v>4.26</v>
      </c>
      <c r="AR456" s="53">
        <f t="shared" si="419"/>
        <v>21.299999999999997</v>
      </c>
      <c r="AS456" s="56">
        <f t="shared" si="420"/>
        <v>4.6948356807511742E-2</v>
      </c>
      <c r="AT456" s="56">
        <f t="shared" si="451"/>
        <v>0.23474178403755869</v>
      </c>
      <c r="AU456" s="56">
        <f t="shared" si="421"/>
        <v>0.176056338028169</v>
      </c>
      <c r="AV456" s="56">
        <f t="shared" si="452"/>
        <v>5.8685446009389672E-2</v>
      </c>
      <c r="AW456" s="57" t="s">
        <v>2511</v>
      </c>
      <c r="AX456" s="57" t="s">
        <v>2512</v>
      </c>
      <c r="AY456" s="57" t="s">
        <v>2513</v>
      </c>
      <c r="AZ456" s="58">
        <f t="shared" si="453"/>
        <v>0</v>
      </c>
      <c r="BA456" s="59">
        <f t="shared" ref="BA456:BA519" si="456">IF(AW456&lt;&gt;0,((AV456*AD456*AK456)/2),0)</f>
        <v>0</v>
      </c>
      <c r="BB456" s="59">
        <f t="shared" ref="BB456:BB519" si="457">IF(AX456&lt;&gt;0,((AD456*AU456*AZ456)/2),0)</f>
        <v>0</v>
      </c>
      <c r="BC456" s="59">
        <f t="shared" ref="BC456:BC519" si="458">IF(AY456&lt;&gt;0,((AD456*AS456*AZ456)/2),0)</f>
        <v>0</v>
      </c>
      <c r="BD456" s="60">
        <f t="shared" si="454"/>
        <v>7.1095438516664771E-6</v>
      </c>
      <c r="BE456" s="59">
        <f t="shared" si="455"/>
        <v>7.1095438516664771E-6</v>
      </c>
      <c r="BQ456" s="61">
        <v>3000</v>
      </c>
      <c r="BR456" s="61">
        <v>1200</v>
      </c>
      <c r="BS456" s="28">
        <f t="shared" si="422"/>
        <v>2980</v>
      </c>
      <c r="BT456" s="28">
        <f t="shared" si="423"/>
        <v>1180</v>
      </c>
      <c r="BU456" s="28" t="s">
        <v>2541</v>
      </c>
      <c r="BV456" s="28">
        <f t="shared" si="424"/>
        <v>5</v>
      </c>
      <c r="BW456" s="28">
        <f t="shared" si="425"/>
        <v>5</v>
      </c>
      <c r="BX456" s="13">
        <f t="shared" si="426"/>
        <v>596</v>
      </c>
      <c r="BY456" s="13">
        <f t="shared" si="427"/>
        <v>596</v>
      </c>
      <c r="BZ456" s="13">
        <f t="shared" si="428"/>
        <v>236</v>
      </c>
      <c r="CA456" s="13">
        <f t="shared" si="429"/>
        <v>236</v>
      </c>
      <c r="CB456" s="13">
        <f t="shared" si="430"/>
        <v>140656</v>
      </c>
      <c r="CC456" s="62">
        <f t="shared" si="431"/>
        <v>7.1095438516664771E-6</v>
      </c>
      <c r="CD456" s="13">
        <f t="shared" si="432"/>
        <v>596</v>
      </c>
      <c r="CE456" s="13">
        <f t="shared" si="433"/>
        <v>596</v>
      </c>
      <c r="CF456" s="13">
        <f t="shared" si="434"/>
        <v>236</v>
      </c>
      <c r="CG456" s="13">
        <f t="shared" si="435"/>
        <v>236</v>
      </c>
      <c r="CH456" s="28">
        <f t="shared" si="436"/>
        <v>140656</v>
      </c>
      <c r="CI456" s="62">
        <f t="shared" si="437"/>
        <v>7.1095438516664771E-6</v>
      </c>
      <c r="CJ456" s="59">
        <f t="shared" si="438"/>
        <v>7.1095438516664771E-6</v>
      </c>
      <c r="CL456" s="63">
        <v>6000</v>
      </c>
      <c r="CM456" s="63">
        <f t="shared" si="439"/>
        <v>0</v>
      </c>
      <c r="CN456" s="63">
        <f t="shared" si="440"/>
        <v>5</v>
      </c>
      <c r="CO456" s="63">
        <f t="shared" si="441"/>
        <v>1200</v>
      </c>
      <c r="CP456" s="13">
        <f t="shared" si="442"/>
        <v>1200</v>
      </c>
      <c r="CQ456" s="70">
        <f t="shared" si="443"/>
        <v>8.3333333333333339E-4</v>
      </c>
      <c r="CR456" s="69">
        <f t="shared" si="411"/>
        <v>8.3333333333333339E-4</v>
      </c>
    </row>
    <row r="457" spans="1:96" hidden="1" x14ac:dyDescent="0.25">
      <c r="A457" s="10">
        <v>3</v>
      </c>
      <c r="B457" s="8" t="s">
        <v>1019</v>
      </c>
      <c r="C457" s="10" t="s">
        <v>1166</v>
      </c>
      <c r="D457" s="10" t="s">
        <v>2270</v>
      </c>
      <c r="E457" s="10" t="s">
        <v>32</v>
      </c>
      <c r="F457" s="12">
        <f t="shared" si="412"/>
        <v>1</v>
      </c>
      <c r="G457" s="10">
        <v>1</v>
      </c>
      <c r="H457" s="10">
        <f>G457*$H$378</f>
        <v>1</v>
      </c>
      <c r="I457" s="10">
        <v>6</v>
      </c>
      <c r="J457" s="8" t="s">
        <v>1161</v>
      </c>
      <c r="K457" s="8" t="s">
        <v>34</v>
      </c>
      <c r="L457" s="10" t="s">
        <v>194</v>
      </c>
      <c r="M457" s="8" t="s">
        <v>35</v>
      </c>
      <c r="N457" s="10" t="s">
        <v>1167</v>
      </c>
      <c r="O457" s="28" t="s">
        <v>41</v>
      </c>
      <c r="P457" s="28" t="s">
        <v>41</v>
      </c>
      <c r="Q457" s="28"/>
      <c r="R457" s="30"/>
      <c r="S457" s="30"/>
      <c r="T457" s="30"/>
      <c r="U457" s="30"/>
      <c r="V457" s="8">
        <f t="shared" si="413"/>
        <v>0</v>
      </c>
      <c r="W457" s="8">
        <f t="shared" si="414"/>
        <v>0</v>
      </c>
      <c r="X457" s="8">
        <f t="shared" si="415"/>
        <v>0</v>
      </c>
      <c r="Y457" s="33">
        <f t="shared" si="416"/>
        <v>0</v>
      </c>
      <c r="Z457" s="28"/>
      <c r="AA457" s="28"/>
      <c r="AB457" s="28">
        <v>0</v>
      </c>
      <c r="AC457" s="31"/>
      <c r="AD457" s="50">
        <f t="shared" si="417"/>
        <v>1</v>
      </c>
      <c r="AE457" s="31"/>
      <c r="AF457" s="51">
        <v>14</v>
      </c>
      <c r="AG457" s="51">
        <f t="shared" si="445"/>
        <v>8.4</v>
      </c>
      <c r="AH457" s="51">
        <f t="shared" si="410"/>
        <v>42</v>
      </c>
      <c r="AI457" s="52" t="s">
        <v>2497</v>
      </c>
      <c r="AJ457" s="52" t="s">
        <v>2498</v>
      </c>
      <c r="AK457" s="53">
        <f t="shared" si="446"/>
        <v>0</v>
      </c>
      <c r="AL457" s="54">
        <f t="shared" si="447"/>
        <v>0.11904761904761904</v>
      </c>
      <c r="AM457" s="54">
        <f t="shared" si="448"/>
        <v>2.3809523809523808E-2</v>
      </c>
      <c r="AN457" s="55">
        <f t="shared" si="449"/>
        <v>0</v>
      </c>
      <c r="AO457" s="55">
        <f t="shared" si="450"/>
        <v>0</v>
      </c>
      <c r="AP457" s="53">
        <v>7.1</v>
      </c>
      <c r="AQ457" s="53">
        <f t="shared" si="418"/>
        <v>4.26</v>
      </c>
      <c r="AR457" s="53">
        <f t="shared" si="419"/>
        <v>21.299999999999997</v>
      </c>
      <c r="AS457" s="56">
        <f t="shared" si="420"/>
        <v>4.6948356807511742E-2</v>
      </c>
      <c r="AT457" s="56">
        <f t="shared" si="451"/>
        <v>0.23474178403755869</v>
      </c>
      <c r="AU457" s="56">
        <f t="shared" si="421"/>
        <v>0.176056338028169</v>
      </c>
      <c r="AV457" s="56">
        <f t="shared" si="452"/>
        <v>5.8685446009389672E-2</v>
      </c>
      <c r="AW457" s="57" t="s">
        <v>2511</v>
      </c>
      <c r="AX457" s="57" t="s">
        <v>2512</v>
      </c>
      <c r="AY457" s="57" t="s">
        <v>2513</v>
      </c>
      <c r="AZ457" s="58">
        <f t="shared" si="453"/>
        <v>0</v>
      </c>
      <c r="BA457" s="59">
        <f t="shared" si="456"/>
        <v>0</v>
      </c>
      <c r="BB457" s="59">
        <f t="shared" si="457"/>
        <v>0</v>
      </c>
      <c r="BC457" s="59">
        <f t="shared" si="458"/>
        <v>0</v>
      </c>
      <c r="BD457" s="60">
        <f t="shared" si="454"/>
        <v>0</v>
      </c>
      <c r="BE457" s="59">
        <f t="shared" si="455"/>
        <v>0</v>
      </c>
      <c r="BQ457" s="61">
        <v>3000</v>
      </c>
      <c r="BR457" s="61">
        <v>1200</v>
      </c>
      <c r="BS457" s="28">
        <f t="shared" si="422"/>
        <v>2980</v>
      </c>
      <c r="BT457" s="28">
        <f t="shared" si="423"/>
        <v>1180</v>
      </c>
      <c r="BU457" s="28" t="s">
        <v>2541</v>
      </c>
      <c r="BV457" s="28">
        <f t="shared" si="424"/>
        <v>5</v>
      </c>
      <c r="BW457" s="28">
        <f t="shared" si="425"/>
        <v>5</v>
      </c>
      <c r="BX457" s="13">
        <f t="shared" si="426"/>
        <v>596</v>
      </c>
      <c r="BY457" s="13">
        <f t="shared" si="427"/>
        <v>596</v>
      </c>
      <c r="BZ457" s="13">
        <f t="shared" si="428"/>
        <v>236</v>
      </c>
      <c r="CA457" s="13">
        <f t="shared" si="429"/>
        <v>236</v>
      </c>
      <c r="CB457" s="13">
        <f t="shared" si="430"/>
        <v>140656</v>
      </c>
      <c r="CC457" s="62" t="str">
        <f t="shared" si="431"/>
        <v/>
      </c>
      <c r="CD457" s="13">
        <f t="shared" si="432"/>
        <v>596</v>
      </c>
      <c r="CE457" s="13">
        <f t="shared" si="433"/>
        <v>596</v>
      </c>
      <c r="CF457" s="13">
        <f t="shared" si="434"/>
        <v>236</v>
      </c>
      <c r="CG457" s="13">
        <f t="shared" si="435"/>
        <v>236</v>
      </c>
      <c r="CH457" s="28">
        <f t="shared" si="436"/>
        <v>140656</v>
      </c>
      <c r="CI457" s="62" t="str">
        <f t="shared" si="437"/>
        <v/>
      </c>
      <c r="CJ457" s="59">
        <f t="shared" si="438"/>
        <v>0</v>
      </c>
      <c r="CL457" s="63">
        <v>6000</v>
      </c>
      <c r="CM457" s="63">
        <f t="shared" si="439"/>
        <v>0</v>
      </c>
      <c r="CN457" s="63">
        <f t="shared" si="440"/>
        <v>5</v>
      </c>
      <c r="CO457" s="63">
        <f t="shared" si="441"/>
        <v>1200</v>
      </c>
      <c r="CP457" s="13">
        <f t="shared" si="442"/>
        <v>1200</v>
      </c>
      <c r="CQ457" s="70">
        <f t="shared" si="443"/>
        <v>8.3333333333333339E-4</v>
      </c>
      <c r="CR457" s="69">
        <f t="shared" si="411"/>
        <v>8.3333333333333339E-4</v>
      </c>
    </row>
    <row r="458" spans="1:96" hidden="1" x14ac:dyDescent="0.25">
      <c r="A458" s="13">
        <v>4</v>
      </c>
      <c r="B458" s="14" t="s">
        <v>1168</v>
      </c>
      <c r="C458" s="13" t="s">
        <v>1169</v>
      </c>
      <c r="D458" s="13" t="s">
        <v>2270</v>
      </c>
      <c r="E458" s="13" t="s">
        <v>52</v>
      </c>
      <c r="F458" s="15">
        <f t="shared" si="412"/>
        <v>1</v>
      </c>
      <c r="G458" s="13">
        <v>1</v>
      </c>
      <c r="H458" s="13">
        <f>G458*$H$457</f>
        <v>1</v>
      </c>
      <c r="I458" s="13">
        <v>1</v>
      </c>
      <c r="J458" s="14" t="s">
        <v>247</v>
      </c>
      <c r="K458" s="14" t="s">
        <v>34</v>
      </c>
      <c r="L458" s="13" t="s">
        <v>194</v>
      </c>
      <c r="M458" s="14" t="s">
        <v>35</v>
      </c>
      <c r="N458" s="13" t="s">
        <v>1170</v>
      </c>
      <c r="O458" s="28" t="s">
        <v>41</v>
      </c>
      <c r="P458" s="28" t="s">
        <v>41</v>
      </c>
      <c r="Q458" s="28" t="s">
        <v>249</v>
      </c>
      <c r="R458" s="30">
        <v>30.920999999999999</v>
      </c>
      <c r="S458" s="30">
        <v>12.505000000000001</v>
      </c>
      <c r="T458" s="30"/>
      <c r="U458" s="30">
        <v>0.19700000000000001</v>
      </c>
      <c r="V458" s="8">
        <f t="shared" si="413"/>
        <v>785.39339999999993</v>
      </c>
      <c r="W458" s="8">
        <f t="shared" si="414"/>
        <v>317.62700000000001</v>
      </c>
      <c r="X458" s="8">
        <f t="shared" si="415"/>
        <v>0</v>
      </c>
      <c r="Y458" s="33">
        <f t="shared" si="416"/>
        <v>5.0038</v>
      </c>
      <c r="Z458" s="28" t="s">
        <v>250</v>
      </c>
      <c r="AA458" s="28" t="s">
        <v>251</v>
      </c>
      <c r="AB458" s="61" t="s">
        <v>249</v>
      </c>
      <c r="AC458" s="31" t="s">
        <v>252</v>
      </c>
      <c r="AD458" s="50">
        <f t="shared" si="417"/>
        <v>1</v>
      </c>
      <c r="AE458" s="31"/>
      <c r="AF458" s="51">
        <v>14</v>
      </c>
      <c r="AG458" s="51">
        <f t="shared" si="445"/>
        <v>8.4</v>
      </c>
      <c r="AH458" s="51">
        <f t="shared" si="410"/>
        <v>42</v>
      </c>
      <c r="AI458" s="52" t="s">
        <v>2497</v>
      </c>
      <c r="AJ458" s="52" t="s">
        <v>2498</v>
      </c>
      <c r="AK458" s="53">
        <f t="shared" si="446"/>
        <v>0.49892429892359996</v>
      </c>
      <c r="AL458" s="54">
        <f t="shared" si="447"/>
        <v>0.11904761904761904</v>
      </c>
      <c r="AM458" s="54">
        <f t="shared" si="448"/>
        <v>2.3809523809523808E-2</v>
      </c>
      <c r="AN458" s="55">
        <f t="shared" si="449"/>
        <v>5.9395749871857133E-2</v>
      </c>
      <c r="AO458" s="55">
        <f t="shared" si="450"/>
        <v>1.1879149974371428E-2</v>
      </c>
      <c r="AP458" s="53">
        <v>7.1</v>
      </c>
      <c r="AQ458" s="53">
        <f t="shared" si="418"/>
        <v>4.26</v>
      </c>
      <c r="AR458" s="53">
        <f t="shared" si="419"/>
        <v>21.299999999999997</v>
      </c>
      <c r="AS458" s="56">
        <f t="shared" si="420"/>
        <v>4.6948356807511742E-2</v>
      </c>
      <c r="AT458" s="56">
        <f t="shared" si="451"/>
        <v>0.23474178403755869</v>
      </c>
      <c r="AU458" s="56">
        <f t="shared" si="421"/>
        <v>0.176056338028169</v>
      </c>
      <c r="AV458" s="56">
        <f t="shared" si="452"/>
        <v>5.8685446009389672E-2</v>
      </c>
      <c r="AW458" s="57" t="s">
        <v>2511</v>
      </c>
      <c r="AX458" s="57" t="s">
        <v>2512</v>
      </c>
      <c r="AY458" s="57" t="s">
        <v>2513</v>
      </c>
      <c r="AZ458" s="58">
        <f t="shared" si="453"/>
        <v>0.49892429892359996</v>
      </c>
      <c r="BA458" s="59">
        <f t="shared" si="456"/>
        <v>1.463979750362676E-2</v>
      </c>
      <c r="BB458" s="59">
        <f t="shared" si="457"/>
        <v>4.3919392510880277E-2</v>
      </c>
      <c r="BC458" s="59">
        <f t="shared" si="458"/>
        <v>1.1711838002901409E-2</v>
      </c>
      <c r="BD458" s="60">
        <f t="shared" si="454"/>
        <v>0.1111111111111111</v>
      </c>
      <c r="BE458" s="59">
        <f t="shared" si="455"/>
        <v>0.1111111111111111</v>
      </c>
      <c r="BQ458" s="61">
        <v>3000</v>
      </c>
      <c r="BR458" s="61">
        <v>1200</v>
      </c>
      <c r="BS458" s="28">
        <f t="shared" si="422"/>
        <v>2980</v>
      </c>
      <c r="BT458" s="28">
        <f t="shared" si="423"/>
        <v>1180</v>
      </c>
      <c r="BU458" s="28" t="s">
        <v>2541</v>
      </c>
      <c r="BV458" s="28">
        <f t="shared" si="424"/>
        <v>790.39339999999993</v>
      </c>
      <c r="BW458" s="28">
        <f t="shared" si="425"/>
        <v>322.62700000000001</v>
      </c>
      <c r="BX458" s="13">
        <f t="shared" si="426"/>
        <v>3.7702743975341901</v>
      </c>
      <c r="BY458" s="13">
        <f t="shared" si="427"/>
        <v>3</v>
      </c>
      <c r="BZ458" s="13">
        <f t="shared" si="428"/>
        <v>3.6574744209257131</v>
      </c>
      <c r="CA458" s="13">
        <f t="shared" si="429"/>
        <v>3</v>
      </c>
      <c r="CB458" s="13">
        <f t="shared" si="430"/>
        <v>9</v>
      </c>
      <c r="CC458" s="62">
        <f t="shared" si="431"/>
        <v>0.1111111111111111</v>
      </c>
      <c r="CD458" s="13">
        <f t="shared" si="432"/>
        <v>9.2366726901344283</v>
      </c>
      <c r="CE458" s="13">
        <f t="shared" si="433"/>
        <v>9</v>
      </c>
      <c r="CF458" s="13">
        <f t="shared" si="434"/>
        <v>1.4929274460034714</v>
      </c>
      <c r="CG458" s="13">
        <f t="shared" si="435"/>
        <v>1</v>
      </c>
      <c r="CH458" s="28">
        <f t="shared" si="436"/>
        <v>9</v>
      </c>
      <c r="CI458" s="62">
        <f t="shared" si="437"/>
        <v>0.1111111111111111</v>
      </c>
      <c r="CJ458" s="59">
        <f t="shared" si="438"/>
        <v>0.1111111111111111</v>
      </c>
      <c r="CL458" s="63">
        <v>6000</v>
      </c>
      <c r="CM458" s="63">
        <f t="shared" si="439"/>
        <v>785.39339999999993</v>
      </c>
      <c r="CN458" s="63">
        <f t="shared" si="440"/>
        <v>790.39339999999993</v>
      </c>
      <c r="CO458" s="63">
        <f t="shared" si="441"/>
        <v>7.5911565051023961</v>
      </c>
      <c r="CP458" s="13">
        <f t="shared" si="442"/>
        <v>7</v>
      </c>
      <c r="CQ458" s="70">
        <f t="shared" si="443"/>
        <v>0.14285714285714285</v>
      </c>
      <c r="CR458" s="69">
        <f t="shared" si="411"/>
        <v>0.14285714285714285</v>
      </c>
    </row>
    <row r="459" spans="1:96" hidden="1" x14ac:dyDescent="0.25">
      <c r="A459" s="13">
        <v>4</v>
      </c>
      <c r="B459" s="14" t="s">
        <v>1168</v>
      </c>
      <c r="C459" s="13" t="s">
        <v>904</v>
      </c>
      <c r="D459" s="13" t="s">
        <v>905</v>
      </c>
      <c r="E459" s="13" t="s">
        <v>52</v>
      </c>
      <c r="F459" s="15">
        <f t="shared" si="412"/>
        <v>5</v>
      </c>
      <c r="G459" s="13">
        <v>1</v>
      </c>
      <c r="H459" s="13">
        <f>G459*$H$457</f>
        <v>1</v>
      </c>
      <c r="I459" s="13">
        <v>3</v>
      </c>
      <c r="J459" s="14" t="s">
        <v>681</v>
      </c>
      <c r="K459" s="14" t="s">
        <v>34</v>
      </c>
      <c r="L459" s="13">
        <v>0</v>
      </c>
      <c r="M459" s="14" t="s">
        <v>35</v>
      </c>
      <c r="N459" s="13" t="s">
        <v>905</v>
      </c>
      <c r="O459" s="28" t="s">
        <v>41</v>
      </c>
      <c r="P459" s="28" t="s">
        <v>41</v>
      </c>
      <c r="Q459" s="28" t="s">
        <v>905</v>
      </c>
      <c r="R459" s="30"/>
      <c r="S459" s="30"/>
      <c r="T459" s="30"/>
      <c r="U459" s="30"/>
      <c r="V459" s="8">
        <f t="shared" si="413"/>
        <v>0</v>
      </c>
      <c r="W459" s="8">
        <f t="shared" si="414"/>
        <v>0</v>
      </c>
      <c r="X459" s="8">
        <f t="shared" si="415"/>
        <v>0</v>
      </c>
      <c r="Y459" s="33">
        <f t="shared" si="416"/>
        <v>0</v>
      </c>
      <c r="Z459" s="28"/>
      <c r="AA459" s="28"/>
      <c r="AB459" s="61" t="s">
        <v>905</v>
      </c>
      <c r="AC459" s="31" t="s">
        <v>906</v>
      </c>
      <c r="AD459" s="50">
        <f t="shared" si="417"/>
        <v>1</v>
      </c>
      <c r="AE459" s="31"/>
      <c r="AF459" s="51">
        <v>14</v>
      </c>
      <c r="AG459" s="51">
        <f t="shared" si="445"/>
        <v>8.4</v>
      </c>
      <c r="AH459" s="51">
        <f t="shared" si="410"/>
        <v>42</v>
      </c>
      <c r="AI459" s="52" t="s">
        <v>2497</v>
      </c>
      <c r="AJ459" s="52" t="s">
        <v>2498</v>
      </c>
      <c r="AK459" s="53">
        <f t="shared" si="446"/>
        <v>0</v>
      </c>
      <c r="AL459" s="54">
        <f t="shared" si="447"/>
        <v>0.11904761904761904</v>
      </c>
      <c r="AM459" s="54">
        <f t="shared" si="448"/>
        <v>2.3809523809523808E-2</v>
      </c>
      <c r="AN459" s="55">
        <f t="shared" si="449"/>
        <v>0</v>
      </c>
      <c r="AO459" s="55">
        <f t="shared" si="450"/>
        <v>0</v>
      </c>
      <c r="AP459" s="53">
        <v>7.1</v>
      </c>
      <c r="AQ459" s="53">
        <f t="shared" si="418"/>
        <v>4.26</v>
      </c>
      <c r="AR459" s="53">
        <f t="shared" si="419"/>
        <v>21.299999999999997</v>
      </c>
      <c r="AS459" s="56">
        <f t="shared" si="420"/>
        <v>4.6948356807511742E-2</v>
      </c>
      <c r="AT459" s="56">
        <f t="shared" si="451"/>
        <v>0.23474178403755869</v>
      </c>
      <c r="AU459" s="56">
        <f t="shared" si="421"/>
        <v>0.176056338028169</v>
      </c>
      <c r="AV459" s="56">
        <f t="shared" si="452"/>
        <v>5.8685446009389672E-2</v>
      </c>
      <c r="AW459" s="57" t="s">
        <v>2511</v>
      </c>
      <c r="AX459" s="57" t="s">
        <v>2512</v>
      </c>
      <c r="AY459" s="57" t="s">
        <v>2513</v>
      </c>
      <c r="AZ459" s="58">
        <f t="shared" si="453"/>
        <v>0</v>
      </c>
      <c r="BA459" s="59">
        <f t="shared" si="456"/>
        <v>0</v>
      </c>
      <c r="BB459" s="59">
        <f t="shared" si="457"/>
        <v>0</v>
      </c>
      <c r="BC459" s="59">
        <f t="shared" si="458"/>
        <v>0</v>
      </c>
      <c r="BD459" s="60">
        <f t="shared" si="454"/>
        <v>7.1095438516664771E-6</v>
      </c>
      <c r="BE459" s="59">
        <f t="shared" si="455"/>
        <v>7.1095438516664771E-6</v>
      </c>
      <c r="BQ459" s="61">
        <v>3000</v>
      </c>
      <c r="BR459" s="61">
        <v>1200</v>
      </c>
      <c r="BS459" s="28">
        <f t="shared" si="422"/>
        <v>2980</v>
      </c>
      <c r="BT459" s="28">
        <f t="shared" si="423"/>
        <v>1180</v>
      </c>
      <c r="BU459" s="28" t="s">
        <v>2541</v>
      </c>
      <c r="BV459" s="28">
        <f t="shared" si="424"/>
        <v>5</v>
      </c>
      <c r="BW459" s="28">
        <f t="shared" si="425"/>
        <v>5</v>
      </c>
      <c r="BX459" s="13">
        <f t="shared" si="426"/>
        <v>596</v>
      </c>
      <c r="BY459" s="13">
        <f t="shared" si="427"/>
        <v>596</v>
      </c>
      <c r="BZ459" s="13">
        <f t="shared" si="428"/>
        <v>236</v>
      </c>
      <c r="CA459" s="13">
        <f t="shared" si="429"/>
        <v>236</v>
      </c>
      <c r="CB459" s="13">
        <f t="shared" si="430"/>
        <v>140656</v>
      </c>
      <c r="CC459" s="62">
        <f t="shared" si="431"/>
        <v>7.1095438516664771E-6</v>
      </c>
      <c r="CD459" s="13">
        <f t="shared" si="432"/>
        <v>596</v>
      </c>
      <c r="CE459" s="13">
        <f t="shared" si="433"/>
        <v>596</v>
      </c>
      <c r="CF459" s="13">
        <f t="shared" si="434"/>
        <v>236</v>
      </c>
      <c r="CG459" s="13">
        <f t="shared" si="435"/>
        <v>236</v>
      </c>
      <c r="CH459" s="28">
        <f t="shared" si="436"/>
        <v>140656</v>
      </c>
      <c r="CI459" s="62">
        <f t="shared" si="437"/>
        <v>7.1095438516664771E-6</v>
      </c>
      <c r="CJ459" s="59">
        <f t="shared" si="438"/>
        <v>7.1095438516664771E-6</v>
      </c>
      <c r="CL459" s="63">
        <v>6000</v>
      </c>
      <c r="CM459" s="63">
        <f t="shared" si="439"/>
        <v>0</v>
      </c>
      <c r="CN459" s="63">
        <f t="shared" si="440"/>
        <v>5</v>
      </c>
      <c r="CO459" s="63">
        <f t="shared" si="441"/>
        <v>1200</v>
      </c>
      <c r="CP459" s="13">
        <f t="shared" si="442"/>
        <v>1200</v>
      </c>
      <c r="CQ459" s="70">
        <f t="shared" si="443"/>
        <v>8.3333333333333339E-4</v>
      </c>
      <c r="CR459" s="69">
        <f t="shared" si="411"/>
        <v>8.3333333333333339E-4</v>
      </c>
    </row>
    <row r="460" spans="1:96" hidden="1" x14ac:dyDescent="0.25">
      <c r="A460" s="10">
        <v>3</v>
      </c>
      <c r="B460" s="8" t="s">
        <v>1019</v>
      </c>
      <c r="C460" s="10" t="s">
        <v>1171</v>
      </c>
      <c r="D460" s="10" t="s">
        <v>2270</v>
      </c>
      <c r="E460" s="10" t="s">
        <v>32</v>
      </c>
      <c r="F460" s="12">
        <f t="shared" si="412"/>
        <v>1</v>
      </c>
      <c r="G460" s="10">
        <v>2</v>
      </c>
      <c r="H460" s="10">
        <f>G460*$H$378</f>
        <v>2</v>
      </c>
      <c r="I460" s="10">
        <v>7</v>
      </c>
      <c r="J460" s="8" t="s">
        <v>1172</v>
      </c>
      <c r="K460" s="8" t="s">
        <v>34</v>
      </c>
      <c r="L460" s="10">
        <v>0</v>
      </c>
      <c r="M460" s="8" t="s">
        <v>35</v>
      </c>
      <c r="N460" s="10" t="s">
        <v>1173</v>
      </c>
      <c r="O460" s="28" t="s">
        <v>41</v>
      </c>
      <c r="P460" s="28" t="s">
        <v>41</v>
      </c>
      <c r="Q460" s="28"/>
      <c r="R460" s="30"/>
      <c r="S460" s="30"/>
      <c r="T460" s="30"/>
      <c r="U460" s="30"/>
      <c r="V460" s="8">
        <f t="shared" si="413"/>
        <v>0</v>
      </c>
      <c r="W460" s="8">
        <f t="shared" si="414"/>
        <v>0</v>
      </c>
      <c r="X460" s="8">
        <f t="shared" si="415"/>
        <v>0</v>
      </c>
      <c r="Y460" s="33">
        <f t="shared" si="416"/>
        <v>0</v>
      </c>
      <c r="Z460" s="28"/>
      <c r="AA460" s="28"/>
      <c r="AB460" s="28">
        <v>0</v>
      </c>
      <c r="AC460" s="31"/>
      <c r="AD460" s="50">
        <f t="shared" si="417"/>
        <v>2</v>
      </c>
      <c r="AE460" s="31"/>
      <c r="AF460" s="51">
        <v>14</v>
      </c>
      <c r="AG460" s="51">
        <f t="shared" si="445"/>
        <v>8.4</v>
      </c>
      <c r="AH460" s="51">
        <f t="shared" si="410"/>
        <v>42</v>
      </c>
      <c r="AI460" s="52" t="s">
        <v>2497</v>
      </c>
      <c r="AJ460" s="52" t="s">
        <v>2498</v>
      </c>
      <c r="AK460" s="53">
        <f t="shared" si="446"/>
        <v>0</v>
      </c>
      <c r="AL460" s="54">
        <f t="shared" si="447"/>
        <v>0.11904761904761904</v>
      </c>
      <c r="AM460" s="54">
        <f t="shared" si="448"/>
        <v>2.3809523809523808E-2</v>
      </c>
      <c r="AN460" s="55">
        <f t="shared" si="449"/>
        <v>0</v>
      </c>
      <c r="AO460" s="55">
        <f t="shared" si="450"/>
        <v>0</v>
      </c>
      <c r="AP460" s="53">
        <v>7.1</v>
      </c>
      <c r="AQ460" s="53">
        <f t="shared" si="418"/>
        <v>4.26</v>
      </c>
      <c r="AR460" s="53">
        <f t="shared" si="419"/>
        <v>21.299999999999997</v>
      </c>
      <c r="AS460" s="56">
        <f t="shared" si="420"/>
        <v>4.6948356807511742E-2</v>
      </c>
      <c r="AT460" s="56">
        <f t="shared" si="451"/>
        <v>0.23474178403755869</v>
      </c>
      <c r="AU460" s="56">
        <f t="shared" si="421"/>
        <v>0.176056338028169</v>
      </c>
      <c r="AV460" s="56">
        <f t="shared" si="452"/>
        <v>5.8685446009389672E-2</v>
      </c>
      <c r="AW460" s="57" t="s">
        <v>2511</v>
      </c>
      <c r="AX460" s="57" t="s">
        <v>2512</v>
      </c>
      <c r="AY460" s="57" t="s">
        <v>2513</v>
      </c>
      <c r="AZ460" s="58">
        <f t="shared" si="453"/>
        <v>0</v>
      </c>
      <c r="BA460" s="59">
        <f t="shared" si="456"/>
        <v>0</v>
      </c>
      <c r="BB460" s="59">
        <f t="shared" si="457"/>
        <v>0</v>
      </c>
      <c r="BC460" s="59">
        <f t="shared" si="458"/>
        <v>0</v>
      </c>
      <c r="BD460" s="60">
        <f t="shared" si="454"/>
        <v>0</v>
      </c>
      <c r="BE460" s="59">
        <f t="shared" si="455"/>
        <v>0</v>
      </c>
      <c r="BQ460" s="61">
        <v>3000</v>
      </c>
      <c r="BR460" s="61">
        <v>1200</v>
      </c>
      <c r="BS460" s="28">
        <f t="shared" si="422"/>
        <v>2980</v>
      </c>
      <c r="BT460" s="28">
        <f t="shared" si="423"/>
        <v>1180</v>
      </c>
      <c r="BU460" s="28" t="s">
        <v>2541</v>
      </c>
      <c r="BV460" s="28">
        <f t="shared" si="424"/>
        <v>5</v>
      </c>
      <c r="BW460" s="28">
        <f t="shared" si="425"/>
        <v>5</v>
      </c>
      <c r="BX460" s="13">
        <f t="shared" si="426"/>
        <v>596</v>
      </c>
      <c r="BY460" s="13">
        <f t="shared" si="427"/>
        <v>596</v>
      </c>
      <c r="BZ460" s="13">
        <f t="shared" si="428"/>
        <v>236</v>
      </c>
      <c r="CA460" s="13">
        <f t="shared" si="429"/>
        <v>236</v>
      </c>
      <c r="CB460" s="13">
        <f t="shared" si="430"/>
        <v>140656</v>
      </c>
      <c r="CC460" s="62" t="str">
        <f t="shared" si="431"/>
        <v/>
      </c>
      <c r="CD460" s="13">
        <f t="shared" si="432"/>
        <v>596</v>
      </c>
      <c r="CE460" s="13">
        <f t="shared" si="433"/>
        <v>596</v>
      </c>
      <c r="CF460" s="13">
        <f t="shared" si="434"/>
        <v>236</v>
      </c>
      <c r="CG460" s="13">
        <f t="shared" si="435"/>
        <v>236</v>
      </c>
      <c r="CH460" s="28">
        <f t="shared" si="436"/>
        <v>140656</v>
      </c>
      <c r="CI460" s="62" t="str">
        <f t="shared" si="437"/>
        <v/>
      </c>
      <c r="CJ460" s="59">
        <f t="shared" si="438"/>
        <v>0</v>
      </c>
      <c r="CL460" s="63">
        <v>6000</v>
      </c>
      <c r="CM460" s="63">
        <f t="shared" si="439"/>
        <v>0</v>
      </c>
      <c r="CN460" s="63">
        <f t="shared" si="440"/>
        <v>5</v>
      </c>
      <c r="CO460" s="63">
        <f t="shared" si="441"/>
        <v>1200</v>
      </c>
      <c r="CP460" s="13">
        <f t="shared" si="442"/>
        <v>1200</v>
      </c>
      <c r="CQ460" s="70">
        <f t="shared" si="443"/>
        <v>8.3333333333333339E-4</v>
      </c>
      <c r="CR460" s="69">
        <f t="shared" si="411"/>
        <v>1.6666666666666668E-3</v>
      </c>
    </row>
    <row r="461" spans="1:96" hidden="1" x14ac:dyDescent="0.25">
      <c r="A461" s="13">
        <v>4</v>
      </c>
      <c r="B461" s="14" t="s">
        <v>1174</v>
      </c>
      <c r="C461" s="13" t="s">
        <v>1175</v>
      </c>
      <c r="D461" s="13" t="s">
        <v>2270</v>
      </c>
      <c r="E461" s="13" t="s">
        <v>52</v>
      </c>
      <c r="F461" s="15">
        <f t="shared" si="412"/>
        <v>1</v>
      </c>
      <c r="G461" s="13">
        <v>1</v>
      </c>
      <c r="H461" s="13">
        <f>G461*$H$460</f>
        <v>2</v>
      </c>
      <c r="I461" s="13">
        <v>1</v>
      </c>
      <c r="J461" s="14" t="s">
        <v>1176</v>
      </c>
      <c r="K461" s="14" t="s">
        <v>34</v>
      </c>
      <c r="L461" s="13">
        <v>0</v>
      </c>
      <c r="M461" s="14" t="s">
        <v>35</v>
      </c>
      <c r="N461" s="13" t="s">
        <v>1177</v>
      </c>
      <c r="O461" s="28" t="s">
        <v>41</v>
      </c>
      <c r="P461" s="28" t="s">
        <v>41</v>
      </c>
      <c r="Q461" s="28" t="s">
        <v>1178</v>
      </c>
      <c r="R461" s="30">
        <v>57.935000000000002</v>
      </c>
      <c r="S461" s="30">
        <v>8.7149999999999999</v>
      </c>
      <c r="T461" s="30"/>
      <c r="U461" s="30">
        <v>0.18</v>
      </c>
      <c r="V461" s="8">
        <f t="shared" si="413"/>
        <v>1471.549</v>
      </c>
      <c r="W461" s="8">
        <f t="shared" si="414"/>
        <v>221.36099999999999</v>
      </c>
      <c r="X461" s="8">
        <f t="shared" si="415"/>
        <v>0</v>
      </c>
      <c r="Y461" s="33">
        <f t="shared" si="416"/>
        <v>4.5719999999999992</v>
      </c>
      <c r="Z461" s="28" t="s">
        <v>56</v>
      </c>
      <c r="AA461" s="28" t="s">
        <v>57</v>
      </c>
      <c r="AB461" s="61" t="s">
        <v>1178</v>
      </c>
      <c r="AC461" s="31" t="s">
        <v>1179</v>
      </c>
      <c r="AD461" s="50">
        <f t="shared" si="417"/>
        <v>2</v>
      </c>
      <c r="AE461" s="31"/>
      <c r="AF461" s="51">
        <v>14</v>
      </c>
      <c r="AG461" s="51">
        <f t="shared" si="445"/>
        <v>8.4</v>
      </c>
      <c r="AH461" s="51">
        <f t="shared" si="410"/>
        <v>42</v>
      </c>
      <c r="AI461" s="52" t="s">
        <v>2497</v>
      </c>
      <c r="AJ461" s="52" t="s">
        <v>2498</v>
      </c>
      <c r="AK461" s="53">
        <f t="shared" si="446"/>
        <v>0.65148711637800005</v>
      </c>
      <c r="AL461" s="54">
        <f t="shared" si="447"/>
        <v>0.11904761904761904</v>
      </c>
      <c r="AM461" s="54">
        <f t="shared" si="448"/>
        <v>2.3809523809523808E-2</v>
      </c>
      <c r="AN461" s="55">
        <f t="shared" si="449"/>
        <v>0.15511598008999999</v>
      </c>
      <c r="AO461" s="55">
        <f t="shared" si="450"/>
        <v>3.1023196018E-2</v>
      </c>
      <c r="AP461" s="53">
        <v>7.1</v>
      </c>
      <c r="AQ461" s="53">
        <f t="shared" si="418"/>
        <v>4.26</v>
      </c>
      <c r="AR461" s="53">
        <f t="shared" si="419"/>
        <v>21.299999999999997</v>
      </c>
      <c r="AS461" s="56">
        <f t="shared" si="420"/>
        <v>4.6948356807511742E-2</v>
      </c>
      <c r="AT461" s="56">
        <f t="shared" si="451"/>
        <v>0.23474178403755869</v>
      </c>
      <c r="AU461" s="56">
        <f t="shared" si="421"/>
        <v>0.176056338028169</v>
      </c>
      <c r="AV461" s="56">
        <f t="shared" si="452"/>
        <v>5.8685446009389672E-2</v>
      </c>
      <c r="AW461" s="57" t="s">
        <v>2511</v>
      </c>
      <c r="AX461" s="57" t="s">
        <v>2512</v>
      </c>
      <c r="AY461" s="57" t="s">
        <v>2513</v>
      </c>
      <c r="AZ461" s="58">
        <f t="shared" si="453"/>
        <v>0.65148711637800005</v>
      </c>
      <c r="BA461" s="59">
        <f t="shared" si="456"/>
        <v>3.8232811994014085E-2</v>
      </c>
      <c r="BB461" s="59">
        <f t="shared" si="457"/>
        <v>0.11469843598204225</v>
      </c>
      <c r="BC461" s="59">
        <f t="shared" si="458"/>
        <v>3.0586249595211272E-2</v>
      </c>
      <c r="BD461" s="60">
        <f t="shared" si="454"/>
        <v>0.1</v>
      </c>
      <c r="BE461" s="59">
        <f t="shared" si="455"/>
        <v>0.2</v>
      </c>
      <c r="BQ461" s="61">
        <v>3000</v>
      </c>
      <c r="BR461" s="61">
        <v>1200</v>
      </c>
      <c r="BS461" s="28">
        <f t="shared" si="422"/>
        <v>2980</v>
      </c>
      <c r="BT461" s="28">
        <f t="shared" si="423"/>
        <v>1180</v>
      </c>
      <c r="BU461" s="28" t="s">
        <v>2541</v>
      </c>
      <c r="BV461" s="28">
        <f t="shared" si="424"/>
        <v>1476.549</v>
      </c>
      <c r="BW461" s="28">
        <f t="shared" si="425"/>
        <v>226.36099999999999</v>
      </c>
      <c r="BX461" s="13">
        <f t="shared" si="426"/>
        <v>2.0182195104937257</v>
      </c>
      <c r="BY461" s="13">
        <f t="shared" si="427"/>
        <v>2</v>
      </c>
      <c r="BZ461" s="13">
        <f t="shared" si="428"/>
        <v>5.2129121182535867</v>
      </c>
      <c r="CA461" s="13">
        <f t="shared" si="429"/>
        <v>5</v>
      </c>
      <c r="CB461" s="13">
        <f t="shared" si="430"/>
        <v>10</v>
      </c>
      <c r="CC461" s="62">
        <f t="shared" si="431"/>
        <v>0.1</v>
      </c>
      <c r="CD461" s="13">
        <f t="shared" si="432"/>
        <v>13.164811959657362</v>
      </c>
      <c r="CE461" s="13">
        <f t="shared" si="433"/>
        <v>13</v>
      </c>
      <c r="CF461" s="13">
        <f t="shared" si="434"/>
        <v>0.79916074576597185</v>
      </c>
      <c r="CG461" s="13">
        <f t="shared" si="435"/>
        <v>0</v>
      </c>
      <c r="CH461" s="28">
        <f t="shared" si="436"/>
        <v>0</v>
      </c>
      <c r="CI461" s="62">
        <f t="shared" si="437"/>
        <v>1</v>
      </c>
      <c r="CJ461" s="59">
        <f t="shared" si="438"/>
        <v>0.1</v>
      </c>
      <c r="CL461" s="63">
        <v>6000</v>
      </c>
      <c r="CM461" s="63">
        <f t="shared" si="439"/>
        <v>1471.549</v>
      </c>
      <c r="CN461" s="63">
        <f t="shared" si="440"/>
        <v>1476.549</v>
      </c>
      <c r="CO461" s="63">
        <f t="shared" si="441"/>
        <v>4.0635292157591794</v>
      </c>
      <c r="CP461" s="13">
        <f t="shared" si="442"/>
        <v>4</v>
      </c>
      <c r="CQ461" s="70">
        <f t="shared" si="443"/>
        <v>0.25</v>
      </c>
      <c r="CR461" s="69">
        <f t="shared" si="411"/>
        <v>0.5</v>
      </c>
    </row>
    <row r="462" spans="1:96" hidden="1" x14ac:dyDescent="0.25">
      <c r="A462" s="13">
        <v>4</v>
      </c>
      <c r="B462" s="14" t="s">
        <v>1174</v>
      </c>
      <c r="C462" s="13" t="s">
        <v>448</v>
      </c>
      <c r="D462" s="13" t="s">
        <v>450</v>
      </c>
      <c r="E462" s="13" t="s">
        <v>52</v>
      </c>
      <c r="F462" s="15">
        <f t="shared" si="412"/>
        <v>23</v>
      </c>
      <c r="G462" s="13">
        <v>12</v>
      </c>
      <c r="H462" s="13">
        <f>G462*$H$460</f>
        <v>24</v>
      </c>
      <c r="I462" s="13">
        <v>2</v>
      </c>
      <c r="J462" s="14" t="s">
        <v>449</v>
      </c>
      <c r="K462" s="14" t="s">
        <v>34</v>
      </c>
      <c r="L462" s="13">
        <v>0</v>
      </c>
      <c r="M462" s="14" t="s">
        <v>35</v>
      </c>
      <c r="N462" s="13" t="s">
        <v>450</v>
      </c>
      <c r="O462" s="28" t="s">
        <v>41</v>
      </c>
      <c r="P462" s="28" t="s">
        <v>41</v>
      </c>
      <c r="Q462" s="28" t="s">
        <v>450</v>
      </c>
      <c r="R462" s="30"/>
      <c r="S462" s="30"/>
      <c r="T462" s="30"/>
      <c r="U462" s="30"/>
      <c r="V462" s="8">
        <f t="shared" si="413"/>
        <v>0</v>
      </c>
      <c r="W462" s="8">
        <f t="shared" si="414"/>
        <v>0</v>
      </c>
      <c r="X462" s="8">
        <f t="shared" si="415"/>
        <v>0</v>
      </c>
      <c r="Y462" s="33">
        <f t="shared" si="416"/>
        <v>0</v>
      </c>
      <c r="Z462" s="28"/>
      <c r="AA462" s="28"/>
      <c r="AB462" s="61" t="s">
        <v>450</v>
      </c>
      <c r="AC462" s="31" t="s">
        <v>451</v>
      </c>
      <c r="AD462" s="50">
        <f t="shared" si="417"/>
        <v>24</v>
      </c>
      <c r="AE462" s="31"/>
      <c r="AF462" s="51">
        <v>14</v>
      </c>
      <c r="AG462" s="51">
        <f t="shared" si="445"/>
        <v>8.4</v>
      </c>
      <c r="AH462" s="51">
        <f t="shared" si="410"/>
        <v>42</v>
      </c>
      <c r="AI462" s="52" t="s">
        <v>2497</v>
      </c>
      <c r="AJ462" s="52" t="s">
        <v>2498</v>
      </c>
      <c r="AK462" s="53">
        <f t="shared" si="446"/>
        <v>0</v>
      </c>
      <c r="AL462" s="54">
        <f t="shared" si="447"/>
        <v>0.11904761904761904</v>
      </c>
      <c r="AM462" s="54">
        <f t="shared" si="448"/>
        <v>2.3809523809523808E-2</v>
      </c>
      <c r="AN462" s="55">
        <f t="shared" si="449"/>
        <v>0</v>
      </c>
      <c r="AO462" s="55">
        <f t="shared" si="450"/>
        <v>0</v>
      </c>
      <c r="AP462" s="53">
        <v>7.1</v>
      </c>
      <c r="AQ462" s="53">
        <f t="shared" si="418"/>
        <v>4.26</v>
      </c>
      <c r="AR462" s="53">
        <f t="shared" si="419"/>
        <v>21.299999999999997</v>
      </c>
      <c r="AS462" s="56">
        <f t="shared" si="420"/>
        <v>4.6948356807511742E-2</v>
      </c>
      <c r="AT462" s="56">
        <f t="shared" si="451"/>
        <v>0.23474178403755869</v>
      </c>
      <c r="AU462" s="56">
        <f t="shared" si="421"/>
        <v>0.176056338028169</v>
      </c>
      <c r="AV462" s="56">
        <f t="shared" si="452"/>
        <v>5.8685446009389672E-2</v>
      </c>
      <c r="AW462" s="57" t="s">
        <v>2511</v>
      </c>
      <c r="AX462" s="57" t="s">
        <v>2512</v>
      </c>
      <c r="AY462" s="57" t="s">
        <v>2513</v>
      </c>
      <c r="AZ462" s="58">
        <f t="shared" si="453"/>
        <v>0</v>
      </c>
      <c r="BA462" s="59">
        <f t="shared" si="456"/>
        <v>0</v>
      </c>
      <c r="BB462" s="59">
        <f t="shared" si="457"/>
        <v>0</v>
      </c>
      <c r="BC462" s="59">
        <f t="shared" si="458"/>
        <v>0</v>
      </c>
      <c r="BD462" s="60">
        <f t="shared" si="454"/>
        <v>7.1095438516664771E-6</v>
      </c>
      <c r="BE462" s="59">
        <f t="shared" si="455"/>
        <v>1.7062905243999546E-4</v>
      </c>
      <c r="BQ462" s="61">
        <v>3000</v>
      </c>
      <c r="BR462" s="61">
        <v>1200</v>
      </c>
      <c r="BS462" s="28">
        <f t="shared" si="422"/>
        <v>2980</v>
      </c>
      <c r="BT462" s="28">
        <f t="shared" si="423"/>
        <v>1180</v>
      </c>
      <c r="BU462" s="28" t="s">
        <v>2541</v>
      </c>
      <c r="BV462" s="28">
        <f t="shared" si="424"/>
        <v>5</v>
      </c>
      <c r="BW462" s="28">
        <f t="shared" si="425"/>
        <v>5</v>
      </c>
      <c r="BX462" s="13">
        <f t="shared" si="426"/>
        <v>596</v>
      </c>
      <c r="BY462" s="13">
        <f t="shared" si="427"/>
        <v>596</v>
      </c>
      <c r="BZ462" s="13">
        <f t="shared" si="428"/>
        <v>236</v>
      </c>
      <c r="CA462" s="13">
        <f t="shared" si="429"/>
        <v>236</v>
      </c>
      <c r="CB462" s="13">
        <f t="shared" si="430"/>
        <v>140656</v>
      </c>
      <c r="CC462" s="62">
        <f t="shared" si="431"/>
        <v>7.1095438516664771E-6</v>
      </c>
      <c r="CD462" s="13">
        <f t="shared" si="432"/>
        <v>596</v>
      </c>
      <c r="CE462" s="13">
        <f t="shared" si="433"/>
        <v>596</v>
      </c>
      <c r="CF462" s="13">
        <f t="shared" si="434"/>
        <v>236</v>
      </c>
      <c r="CG462" s="13">
        <f t="shared" si="435"/>
        <v>236</v>
      </c>
      <c r="CH462" s="28">
        <f t="shared" si="436"/>
        <v>140656</v>
      </c>
      <c r="CI462" s="62">
        <f t="shared" si="437"/>
        <v>7.1095438516664771E-6</v>
      </c>
      <c r="CJ462" s="59">
        <f t="shared" si="438"/>
        <v>7.1095438516664771E-6</v>
      </c>
      <c r="CL462" s="63">
        <v>6000</v>
      </c>
      <c r="CM462" s="63">
        <f t="shared" si="439"/>
        <v>0</v>
      </c>
      <c r="CN462" s="63">
        <f t="shared" si="440"/>
        <v>5</v>
      </c>
      <c r="CO462" s="63">
        <f t="shared" si="441"/>
        <v>1200</v>
      </c>
      <c r="CP462" s="13">
        <f t="shared" si="442"/>
        <v>1200</v>
      </c>
      <c r="CQ462" s="70">
        <f t="shared" si="443"/>
        <v>8.3333333333333339E-4</v>
      </c>
      <c r="CR462" s="69">
        <f t="shared" si="411"/>
        <v>0.02</v>
      </c>
    </row>
    <row r="463" spans="1:96" hidden="1" x14ac:dyDescent="0.25">
      <c r="A463" s="10">
        <v>3</v>
      </c>
      <c r="B463" s="8" t="s">
        <v>1019</v>
      </c>
      <c r="C463" s="10" t="s">
        <v>1180</v>
      </c>
      <c r="D463" s="10" t="s">
        <v>2270</v>
      </c>
      <c r="E463" s="10" t="s">
        <v>52</v>
      </c>
      <c r="F463" s="12">
        <f t="shared" si="412"/>
        <v>1</v>
      </c>
      <c r="G463" s="10">
        <v>1</v>
      </c>
      <c r="H463" s="10">
        <f t="shared" ref="H463:H465" si="459">G463*$H$378</f>
        <v>1</v>
      </c>
      <c r="I463" s="10">
        <v>8</v>
      </c>
      <c r="J463" s="8" t="s">
        <v>1181</v>
      </c>
      <c r="K463" s="8" t="s">
        <v>34</v>
      </c>
      <c r="L463" s="10" t="s">
        <v>110</v>
      </c>
      <c r="M463" s="8" t="s">
        <v>35</v>
      </c>
      <c r="N463" s="10" t="s">
        <v>1182</v>
      </c>
      <c r="O463" s="28" t="s">
        <v>41</v>
      </c>
      <c r="P463" s="28" t="s">
        <v>41</v>
      </c>
      <c r="Q463" s="28" t="s">
        <v>116</v>
      </c>
      <c r="R463" s="30">
        <v>61.893999999999998</v>
      </c>
      <c r="S463" s="30">
        <v>5.351</v>
      </c>
      <c r="T463" s="30"/>
      <c r="U463" s="30">
        <v>0.11799999999999999</v>
      </c>
      <c r="V463" s="8">
        <f t="shared" si="413"/>
        <v>1572.1075999999998</v>
      </c>
      <c r="W463" s="8">
        <f t="shared" si="414"/>
        <v>135.91540000000001</v>
      </c>
      <c r="X463" s="8">
        <f t="shared" si="415"/>
        <v>0</v>
      </c>
      <c r="Y463" s="33">
        <f t="shared" si="416"/>
        <v>2.9971999999999999</v>
      </c>
      <c r="Z463" s="28" t="s">
        <v>56</v>
      </c>
      <c r="AA463" s="28" t="s">
        <v>57</v>
      </c>
      <c r="AB463" s="28" t="s">
        <v>116</v>
      </c>
      <c r="AC463" s="31" t="s">
        <v>117</v>
      </c>
      <c r="AD463" s="50">
        <f t="shared" si="417"/>
        <v>1</v>
      </c>
      <c r="AE463" s="47" t="s">
        <v>1183</v>
      </c>
      <c r="AF463" s="51">
        <v>14</v>
      </c>
      <c r="AG463" s="51">
        <f t="shared" si="445"/>
        <v>8.4</v>
      </c>
      <c r="AH463" s="51">
        <f t="shared" si="410"/>
        <v>42</v>
      </c>
      <c r="AI463" s="52" t="s">
        <v>2497</v>
      </c>
      <c r="AJ463" s="52" t="s">
        <v>2498</v>
      </c>
      <c r="AK463" s="53">
        <f t="shared" si="446"/>
        <v>0.42734726659407996</v>
      </c>
      <c r="AL463" s="54">
        <f t="shared" si="447"/>
        <v>0.11904761904761904</v>
      </c>
      <c r="AM463" s="54">
        <f t="shared" si="448"/>
        <v>2.3809523809523808E-2</v>
      </c>
      <c r="AN463" s="55">
        <f t="shared" si="449"/>
        <v>5.0874674594533327E-2</v>
      </c>
      <c r="AO463" s="55">
        <f t="shared" si="450"/>
        <v>1.0174934918906664E-2</v>
      </c>
      <c r="AP463" s="53">
        <v>7.1</v>
      </c>
      <c r="AQ463" s="53">
        <f t="shared" si="418"/>
        <v>4.26</v>
      </c>
      <c r="AR463" s="53">
        <f t="shared" si="419"/>
        <v>21.299999999999997</v>
      </c>
      <c r="AS463" s="56">
        <f t="shared" si="420"/>
        <v>4.6948356807511742E-2</v>
      </c>
      <c r="AT463" s="56">
        <f t="shared" si="451"/>
        <v>0.23474178403755869</v>
      </c>
      <c r="AU463" s="56">
        <f t="shared" si="421"/>
        <v>0.176056338028169</v>
      </c>
      <c r="AV463" s="56">
        <f t="shared" si="452"/>
        <v>5.8685446009389672E-2</v>
      </c>
      <c r="AW463" s="57" t="s">
        <v>2511</v>
      </c>
      <c r="AX463" s="57" t="s">
        <v>2512</v>
      </c>
      <c r="AY463" s="57" t="s">
        <v>2513</v>
      </c>
      <c r="AZ463" s="58">
        <f t="shared" si="453"/>
        <v>0.42734726659407996</v>
      </c>
      <c r="BA463" s="59">
        <f t="shared" si="456"/>
        <v>1.2539532470483566E-2</v>
      </c>
      <c r="BB463" s="59">
        <f t="shared" si="457"/>
        <v>3.7618597411450697E-2</v>
      </c>
      <c r="BC463" s="59">
        <f t="shared" si="458"/>
        <v>1.0031625976386854E-2</v>
      </c>
      <c r="BD463" s="60">
        <f t="shared" si="454"/>
        <v>0.125</v>
      </c>
      <c r="BE463" s="59">
        <f t="shared" si="455"/>
        <v>0.125</v>
      </c>
      <c r="BQ463" s="61">
        <v>3000</v>
      </c>
      <c r="BR463" s="61">
        <v>1200</v>
      </c>
      <c r="BS463" s="28">
        <f t="shared" si="422"/>
        <v>2980</v>
      </c>
      <c r="BT463" s="28">
        <f t="shared" si="423"/>
        <v>1180</v>
      </c>
      <c r="BU463" s="28" t="s">
        <v>2541</v>
      </c>
      <c r="BV463" s="28">
        <f t="shared" si="424"/>
        <v>1577.1075999999998</v>
      </c>
      <c r="BW463" s="28">
        <f t="shared" si="425"/>
        <v>140.91540000000001</v>
      </c>
      <c r="BX463" s="13">
        <f t="shared" si="426"/>
        <v>1.8895349943149093</v>
      </c>
      <c r="BY463" s="13">
        <f t="shared" si="427"/>
        <v>1</v>
      </c>
      <c r="BZ463" s="13">
        <f t="shared" si="428"/>
        <v>8.3738186174115814</v>
      </c>
      <c r="CA463" s="13">
        <f t="shared" si="429"/>
        <v>8</v>
      </c>
      <c r="CB463" s="13">
        <f t="shared" si="430"/>
        <v>8</v>
      </c>
      <c r="CC463" s="62">
        <f t="shared" si="431"/>
        <v>0.125</v>
      </c>
      <c r="CD463" s="13">
        <f t="shared" si="432"/>
        <v>21.147440237191958</v>
      </c>
      <c r="CE463" s="13">
        <f t="shared" si="433"/>
        <v>21</v>
      </c>
      <c r="CF463" s="13">
        <f t="shared" si="434"/>
        <v>0.74820513197704464</v>
      </c>
      <c r="CG463" s="13">
        <f t="shared" si="435"/>
        <v>0</v>
      </c>
      <c r="CH463" s="28">
        <f t="shared" si="436"/>
        <v>0</v>
      </c>
      <c r="CI463" s="62">
        <f t="shared" si="437"/>
        <v>1</v>
      </c>
      <c r="CJ463" s="59">
        <f t="shared" si="438"/>
        <v>0.125</v>
      </c>
      <c r="CL463" s="63">
        <v>6000</v>
      </c>
      <c r="CM463" s="63">
        <f t="shared" si="439"/>
        <v>1572.1075999999998</v>
      </c>
      <c r="CN463" s="63">
        <f t="shared" si="440"/>
        <v>1577.1075999999998</v>
      </c>
      <c r="CO463" s="63">
        <f t="shared" si="441"/>
        <v>3.804432874459549</v>
      </c>
      <c r="CP463" s="13">
        <f t="shared" si="442"/>
        <v>3</v>
      </c>
      <c r="CQ463" s="70">
        <f t="shared" si="443"/>
        <v>0.33333333333333331</v>
      </c>
      <c r="CR463" s="69">
        <f t="shared" si="411"/>
        <v>0.33333333333333331</v>
      </c>
    </row>
    <row r="464" spans="1:96" hidden="1" x14ac:dyDescent="0.25">
      <c r="A464" s="10">
        <v>3</v>
      </c>
      <c r="B464" s="8" t="s">
        <v>1019</v>
      </c>
      <c r="C464" s="10" t="s">
        <v>1184</v>
      </c>
      <c r="D464" s="10" t="s">
        <v>2270</v>
      </c>
      <c r="E464" s="10" t="s">
        <v>52</v>
      </c>
      <c r="F464" s="12">
        <f t="shared" si="412"/>
        <v>1</v>
      </c>
      <c r="G464" s="10">
        <v>1</v>
      </c>
      <c r="H464" s="10">
        <f t="shared" si="459"/>
        <v>1</v>
      </c>
      <c r="I464" s="10">
        <v>9</v>
      </c>
      <c r="J464" s="8" t="s">
        <v>1185</v>
      </c>
      <c r="K464" s="8" t="s">
        <v>34</v>
      </c>
      <c r="L464" s="10">
        <v>0</v>
      </c>
      <c r="M464" s="8" t="s">
        <v>35</v>
      </c>
      <c r="N464" s="10" t="s">
        <v>1186</v>
      </c>
      <c r="O464" s="28" t="s">
        <v>41</v>
      </c>
      <c r="P464" s="28" t="s">
        <v>41</v>
      </c>
      <c r="Q464" s="28" t="s">
        <v>116</v>
      </c>
      <c r="R464" s="30">
        <v>61.893999999999998</v>
      </c>
      <c r="S464" s="30">
        <v>5.351</v>
      </c>
      <c r="T464" s="30"/>
      <c r="U464" s="30">
        <v>0.11799999999999999</v>
      </c>
      <c r="V464" s="8">
        <f t="shared" si="413"/>
        <v>1572.1075999999998</v>
      </c>
      <c r="W464" s="8">
        <f t="shared" si="414"/>
        <v>135.91540000000001</v>
      </c>
      <c r="X464" s="8">
        <f t="shared" si="415"/>
        <v>0</v>
      </c>
      <c r="Y464" s="33">
        <f t="shared" si="416"/>
        <v>2.9971999999999999</v>
      </c>
      <c r="Z464" s="28" t="s">
        <v>56</v>
      </c>
      <c r="AA464" s="28" t="s">
        <v>57</v>
      </c>
      <c r="AB464" s="28" t="s">
        <v>116</v>
      </c>
      <c r="AC464" s="31" t="s">
        <v>117</v>
      </c>
      <c r="AD464" s="50">
        <f t="shared" si="417"/>
        <v>1</v>
      </c>
      <c r="AE464" s="31"/>
      <c r="AF464" s="51">
        <v>14</v>
      </c>
      <c r="AG464" s="51">
        <f t="shared" si="445"/>
        <v>8.4</v>
      </c>
      <c r="AH464" s="51">
        <f t="shared" si="410"/>
        <v>42</v>
      </c>
      <c r="AI464" s="52" t="s">
        <v>2497</v>
      </c>
      <c r="AJ464" s="52" t="s">
        <v>2498</v>
      </c>
      <c r="AK464" s="53">
        <f t="shared" si="446"/>
        <v>0.42734726659407996</v>
      </c>
      <c r="AL464" s="54">
        <f t="shared" si="447"/>
        <v>0.11904761904761904</v>
      </c>
      <c r="AM464" s="54">
        <f t="shared" si="448"/>
        <v>2.3809523809523808E-2</v>
      </c>
      <c r="AN464" s="55">
        <f t="shared" si="449"/>
        <v>5.0874674594533327E-2</v>
      </c>
      <c r="AO464" s="55">
        <f t="shared" si="450"/>
        <v>1.0174934918906664E-2</v>
      </c>
      <c r="AP464" s="53">
        <v>7.1</v>
      </c>
      <c r="AQ464" s="53">
        <f t="shared" si="418"/>
        <v>4.26</v>
      </c>
      <c r="AR464" s="53">
        <f t="shared" si="419"/>
        <v>21.299999999999997</v>
      </c>
      <c r="AS464" s="56">
        <f t="shared" si="420"/>
        <v>4.6948356807511742E-2</v>
      </c>
      <c r="AT464" s="56">
        <f t="shared" si="451"/>
        <v>0.23474178403755869</v>
      </c>
      <c r="AU464" s="56">
        <f t="shared" si="421"/>
        <v>0.176056338028169</v>
      </c>
      <c r="AV464" s="56">
        <f t="shared" si="452"/>
        <v>5.8685446009389672E-2</v>
      </c>
      <c r="AW464" s="57" t="s">
        <v>2511</v>
      </c>
      <c r="AX464" s="57" t="s">
        <v>2512</v>
      </c>
      <c r="AY464" s="57" t="s">
        <v>2513</v>
      </c>
      <c r="AZ464" s="58">
        <f t="shared" si="453"/>
        <v>0.42734726659407996</v>
      </c>
      <c r="BA464" s="59">
        <f t="shared" si="456"/>
        <v>1.2539532470483566E-2</v>
      </c>
      <c r="BB464" s="59">
        <f t="shared" si="457"/>
        <v>3.7618597411450697E-2</v>
      </c>
      <c r="BC464" s="59">
        <f t="shared" si="458"/>
        <v>1.0031625976386854E-2</v>
      </c>
      <c r="BD464" s="60">
        <f t="shared" si="454"/>
        <v>0.125</v>
      </c>
      <c r="BE464" s="59">
        <f t="shared" si="455"/>
        <v>0.125</v>
      </c>
      <c r="BQ464" s="61">
        <v>3000</v>
      </c>
      <c r="BR464" s="61">
        <v>1200</v>
      </c>
      <c r="BS464" s="28">
        <f t="shared" si="422"/>
        <v>2980</v>
      </c>
      <c r="BT464" s="28">
        <f t="shared" si="423"/>
        <v>1180</v>
      </c>
      <c r="BU464" s="28" t="s">
        <v>2541</v>
      </c>
      <c r="BV464" s="28">
        <f t="shared" si="424"/>
        <v>1577.1075999999998</v>
      </c>
      <c r="BW464" s="28">
        <f t="shared" si="425"/>
        <v>140.91540000000001</v>
      </c>
      <c r="BX464" s="13">
        <f t="shared" si="426"/>
        <v>1.8895349943149093</v>
      </c>
      <c r="BY464" s="13">
        <f t="shared" si="427"/>
        <v>1</v>
      </c>
      <c r="BZ464" s="13">
        <f t="shared" si="428"/>
        <v>8.3738186174115814</v>
      </c>
      <c r="CA464" s="13">
        <f t="shared" si="429"/>
        <v>8</v>
      </c>
      <c r="CB464" s="13">
        <f t="shared" si="430"/>
        <v>8</v>
      </c>
      <c r="CC464" s="62">
        <f t="shared" si="431"/>
        <v>0.125</v>
      </c>
      <c r="CD464" s="13">
        <f t="shared" si="432"/>
        <v>21.147440237191958</v>
      </c>
      <c r="CE464" s="13">
        <f t="shared" si="433"/>
        <v>21</v>
      </c>
      <c r="CF464" s="13">
        <f t="shared" si="434"/>
        <v>0.74820513197704464</v>
      </c>
      <c r="CG464" s="13">
        <f t="shared" si="435"/>
        <v>0</v>
      </c>
      <c r="CH464" s="28">
        <f t="shared" si="436"/>
        <v>0</v>
      </c>
      <c r="CI464" s="62">
        <f t="shared" si="437"/>
        <v>1</v>
      </c>
      <c r="CJ464" s="59">
        <f t="shared" si="438"/>
        <v>0.125</v>
      </c>
      <c r="CL464" s="63">
        <v>6000</v>
      </c>
      <c r="CM464" s="63">
        <f t="shared" si="439"/>
        <v>1572.1075999999998</v>
      </c>
      <c r="CN464" s="63">
        <f t="shared" si="440"/>
        <v>1577.1075999999998</v>
      </c>
      <c r="CO464" s="63">
        <f t="shared" si="441"/>
        <v>3.804432874459549</v>
      </c>
      <c r="CP464" s="13">
        <f t="shared" si="442"/>
        <v>3</v>
      </c>
      <c r="CQ464" s="70">
        <f t="shared" si="443"/>
        <v>0.33333333333333331</v>
      </c>
      <c r="CR464" s="69">
        <f t="shared" si="411"/>
        <v>0.33333333333333331</v>
      </c>
    </row>
    <row r="465" spans="1:96" hidden="1" x14ac:dyDescent="0.25">
      <c r="A465" s="10">
        <v>3</v>
      </c>
      <c r="B465" s="8" t="s">
        <v>1019</v>
      </c>
      <c r="C465" s="10" t="s">
        <v>1187</v>
      </c>
      <c r="D465" s="10" t="s">
        <v>2270</v>
      </c>
      <c r="E465" s="10" t="s">
        <v>52</v>
      </c>
      <c r="F465" s="12">
        <f t="shared" si="412"/>
        <v>1</v>
      </c>
      <c r="G465" s="10">
        <v>2</v>
      </c>
      <c r="H465" s="10">
        <f t="shared" si="459"/>
        <v>2</v>
      </c>
      <c r="I465" s="10">
        <v>10</v>
      </c>
      <c r="J465" s="8" t="s">
        <v>1083</v>
      </c>
      <c r="K465" s="8" t="s">
        <v>34</v>
      </c>
      <c r="L465" s="10">
        <v>0</v>
      </c>
      <c r="M465" s="8" t="s">
        <v>35</v>
      </c>
      <c r="N465" s="10" t="s">
        <v>1188</v>
      </c>
      <c r="O465" s="28" t="s">
        <v>41</v>
      </c>
      <c r="P465" s="28" t="s">
        <v>41</v>
      </c>
      <c r="Q465" s="28" t="s">
        <v>1188</v>
      </c>
      <c r="R465" s="30">
        <v>6.5</v>
      </c>
      <c r="S465" s="30">
        <v>2</v>
      </c>
      <c r="T465" s="30"/>
      <c r="U465" s="30">
        <v>1.06</v>
      </c>
      <c r="V465" s="8">
        <f t="shared" si="413"/>
        <v>165.1</v>
      </c>
      <c r="W465" s="8">
        <f t="shared" si="414"/>
        <v>50.8</v>
      </c>
      <c r="X465" s="8">
        <f t="shared" si="415"/>
        <v>0</v>
      </c>
      <c r="Y465" s="33">
        <f t="shared" si="416"/>
        <v>26.923999999999999</v>
      </c>
      <c r="Z465" s="28" t="s">
        <v>731</v>
      </c>
      <c r="AA465" s="28" t="s">
        <v>251</v>
      </c>
      <c r="AB465" s="61" t="s">
        <v>1188</v>
      </c>
      <c r="AC465" s="31" t="s">
        <v>1083</v>
      </c>
      <c r="AD465" s="50">
        <f t="shared" si="417"/>
        <v>2</v>
      </c>
      <c r="AE465" s="31"/>
      <c r="AF465" s="51">
        <v>14</v>
      </c>
      <c r="AG465" s="51">
        <f t="shared" si="445"/>
        <v>8.4</v>
      </c>
      <c r="AH465" s="51">
        <f t="shared" si="410"/>
        <v>42</v>
      </c>
      <c r="AI465" s="52" t="s">
        <v>2497</v>
      </c>
      <c r="AJ465" s="52" t="s">
        <v>2498</v>
      </c>
      <c r="AK465" s="53">
        <f t="shared" si="446"/>
        <v>1.677416E-2</v>
      </c>
      <c r="AL465" s="54">
        <f t="shared" si="447"/>
        <v>0.11904761904761904</v>
      </c>
      <c r="AM465" s="54">
        <f t="shared" si="448"/>
        <v>2.3809523809523808E-2</v>
      </c>
      <c r="AN465" s="55">
        <f t="shared" si="449"/>
        <v>3.9938476190476187E-3</v>
      </c>
      <c r="AO465" s="55">
        <f t="shared" si="450"/>
        <v>7.9876952380952371E-4</v>
      </c>
      <c r="AP465" s="53">
        <v>7.1</v>
      </c>
      <c r="AQ465" s="53">
        <f t="shared" si="418"/>
        <v>4.26</v>
      </c>
      <c r="AR465" s="53">
        <f t="shared" si="419"/>
        <v>21.299999999999997</v>
      </c>
      <c r="AS465" s="56">
        <f t="shared" si="420"/>
        <v>4.6948356807511742E-2</v>
      </c>
      <c r="AT465" s="56">
        <f t="shared" si="451"/>
        <v>0.23474178403755869</v>
      </c>
      <c r="AU465" s="56">
        <f t="shared" si="421"/>
        <v>0.176056338028169</v>
      </c>
      <c r="AV465" s="56">
        <f t="shared" si="452"/>
        <v>5.8685446009389672E-2</v>
      </c>
      <c r="AW465" s="57" t="s">
        <v>2511</v>
      </c>
      <c r="AX465" s="57" t="s">
        <v>2512</v>
      </c>
      <c r="AY465" s="57" t="s">
        <v>2513</v>
      </c>
      <c r="AZ465" s="58">
        <f t="shared" si="453"/>
        <v>1.677416E-2</v>
      </c>
      <c r="BA465" s="59">
        <f t="shared" si="456"/>
        <v>9.8439906103286383E-4</v>
      </c>
      <c r="BB465" s="59">
        <f t="shared" si="457"/>
        <v>2.9531971830985913E-3</v>
      </c>
      <c r="BC465" s="59">
        <f t="shared" si="458"/>
        <v>7.8751924882629115E-4</v>
      </c>
      <c r="BD465" s="60">
        <f t="shared" si="454"/>
        <v>2.8011204481792717E-3</v>
      </c>
      <c r="BE465" s="59">
        <f t="shared" si="455"/>
        <v>5.6022408963585435E-3</v>
      </c>
      <c r="BQ465" s="61">
        <v>3000</v>
      </c>
      <c r="BR465" s="61">
        <v>1200</v>
      </c>
      <c r="BS465" s="28">
        <f t="shared" si="422"/>
        <v>2980</v>
      </c>
      <c r="BT465" s="28">
        <f t="shared" si="423"/>
        <v>1180</v>
      </c>
      <c r="BU465" s="28" t="s">
        <v>2541</v>
      </c>
      <c r="BV465" s="28">
        <f t="shared" si="424"/>
        <v>170.1</v>
      </c>
      <c r="BW465" s="28">
        <f t="shared" si="425"/>
        <v>55.8</v>
      </c>
      <c r="BX465" s="13">
        <f t="shared" si="426"/>
        <v>17.519106407995299</v>
      </c>
      <c r="BY465" s="13">
        <f t="shared" si="427"/>
        <v>17</v>
      </c>
      <c r="BZ465" s="13">
        <f t="shared" si="428"/>
        <v>21.146953405017921</v>
      </c>
      <c r="CA465" s="13">
        <f t="shared" si="429"/>
        <v>21</v>
      </c>
      <c r="CB465" s="13">
        <f t="shared" si="430"/>
        <v>357</v>
      </c>
      <c r="CC465" s="62">
        <f t="shared" si="431"/>
        <v>2.8011204481792717E-3</v>
      </c>
      <c r="CD465" s="13">
        <f t="shared" si="432"/>
        <v>53.405017921146957</v>
      </c>
      <c r="CE465" s="13">
        <f t="shared" si="433"/>
        <v>53</v>
      </c>
      <c r="CF465" s="13">
        <f t="shared" si="434"/>
        <v>6.9370958259847155</v>
      </c>
      <c r="CG465" s="13">
        <f t="shared" si="435"/>
        <v>6</v>
      </c>
      <c r="CH465" s="28">
        <f t="shared" si="436"/>
        <v>318</v>
      </c>
      <c r="CI465" s="62">
        <f t="shared" si="437"/>
        <v>3.1446540880503146E-3</v>
      </c>
      <c r="CJ465" s="59">
        <f t="shared" si="438"/>
        <v>2.8011204481792717E-3</v>
      </c>
      <c r="CL465" s="63">
        <v>6000</v>
      </c>
      <c r="CM465" s="63">
        <f t="shared" si="439"/>
        <v>165.1</v>
      </c>
      <c r="CN465" s="63">
        <f t="shared" si="440"/>
        <v>170.1</v>
      </c>
      <c r="CO465" s="63">
        <f t="shared" si="441"/>
        <v>35.273368606701943</v>
      </c>
      <c r="CP465" s="13">
        <f t="shared" si="442"/>
        <v>35</v>
      </c>
      <c r="CQ465" s="70">
        <f t="shared" si="443"/>
        <v>2.8571428571428571E-2</v>
      </c>
      <c r="CR465" s="69">
        <f t="shared" si="411"/>
        <v>5.7142857142857141E-2</v>
      </c>
    </row>
    <row r="466" spans="1:96" hidden="1" x14ac:dyDescent="0.25">
      <c r="A466" s="36">
        <v>2</v>
      </c>
      <c r="B466" s="37" t="s">
        <v>37</v>
      </c>
      <c r="C466" s="36" t="s">
        <v>1189</v>
      </c>
      <c r="D466" s="36" t="s">
        <v>2270</v>
      </c>
      <c r="E466" s="36" t="s">
        <v>1190</v>
      </c>
      <c r="F466" s="38">
        <f t="shared" si="412"/>
        <v>1</v>
      </c>
      <c r="G466" s="36">
        <v>2</v>
      </c>
      <c r="H466" s="36">
        <f>G466*$H$3</f>
        <v>2</v>
      </c>
      <c r="I466" s="36">
        <v>5</v>
      </c>
      <c r="J466" s="37" t="s">
        <v>1191</v>
      </c>
      <c r="K466" s="37" t="s">
        <v>34</v>
      </c>
      <c r="L466" s="36">
        <v>0</v>
      </c>
      <c r="M466" s="37" t="s">
        <v>35</v>
      </c>
      <c r="N466" s="36" t="s">
        <v>1192</v>
      </c>
      <c r="O466" s="28" t="s">
        <v>41</v>
      </c>
      <c r="P466" s="28" t="s">
        <v>41</v>
      </c>
      <c r="Q466" s="28"/>
      <c r="R466" s="30"/>
      <c r="S466" s="30"/>
      <c r="T466" s="30"/>
      <c r="U466" s="30"/>
      <c r="V466" s="8">
        <f t="shared" si="413"/>
        <v>0</v>
      </c>
      <c r="W466" s="8">
        <f t="shared" si="414"/>
        <v>0</v>
      </c>
      <c r="X466" s="8">
        <f t="shared" si="415"/>
        <v>0</v>
      </c>
      <c r="Y466" s="33">
        <f t="shared" si="416"/>
        <v>0</v>
      </c>
      <c r="Z466" s="28"/>
      <c r="AA466" s="28"/>
      <c r="AB466" s="28">
        <v>0</v>
      </c>
      <c r="AC466" s="31"/>
      <c r="AD466" s="50">
        <f t="shared" si="417"/>
        <v>2</v>
      </c>
      <c r="AE466" s="47" t="s">
        <v>107</v>
      </c>
      <c r="AF466" s="51">
        <v>14</v>
      </c>
      <c r="AG466" s="51">
        <f t="shared" si="445"/>
        <v>8.4</v>
      </c>
      <c r="AH466" s="51">
        <f t="shared" si="410"/>
        <v>42</v>
      </c>
      <c r="AI466" s="52" t="s">
        <v>2497</v>
      </c>
      <c r="AJ466" s="52" t="s">
        <v>2498</v>
      </c>
      <c r="AK466" s="53">
        <f t="shared" si="446"/>
        <v>0</v>
      </c>
      <c r="AL466" s="54">
        <f t="shared" si="447"/>
        <v>0.11904761904761904</v>
      </c>
      <c r="AM466" s="54">
        <f t="shared" si="448"/>
        <v>2.3809523809523808E-2</v>
      </c>
      <c r="AN466" s="55">
        <f t="shared" si="449"/>
        <v>0</v>
      </c>
      <c r="AO466" s="55">
        <f t="shared" si="450"/>
        <v>0</v>
      </c>
      <c r="AP466" s="53">
        <v>7.1</v>
      </c>
      <c r="AQ466" s="53">
        <f t="shared" si="418"/>
        <v>4.26</v>
      </c>
      <c r="AR466" s="53">
        <f t="shared" si="419"/>
        <v>21.299999999999997</v>
      </c>
      <c r="AS466" s="56">
        <f t="shared" si="420"/>
        <v>4.6948356807511742E-2</v>
      </c>
      <c r="AT466" s="56">
        <f t="shared" si="451"/>
        <v>0.23474178403755869</v>
      </c>
      <c r="AU466" s="56">
        <f t="shared" si="421"/>
        <v>0.176056338028169</v>
      </c>
      <c r="AV466" s="56">
        <f t="shared" si="452"/>
        <v>5.8685446009389672E-2</v>
      </c>
      <c r="AW466" s="57" t="s">
        <v>2511</v>
      </c>
      <c r="AX466" s="57" t="s">
        <v>2512</v>
      </c>
      <c r="AY466" s="57" t="s">
        <v>2513</v>
      </c>
      <c r="AZ466" s="58">
        <f t="shared" si="453"/>
        <v>0</v>
      </c>
      <c r="BA466" s="59">
        <f t="shared" si="456"/>
        <v>0</v>
      </c>
      <c r="BB466" s="59">
        <f t="shared" si="457"/>
        <v>0</v>
      </c>
      <c r="BC466" s="59">
        <f t="shared" si="458"/>
        <v>0</v>
      </c>
      <c r="BD466" s="60">
        <f t="shared" si="454"/>
        <v>7.1095438516664771E-6</v>
      </c>
      <c r="BE466" s="59">
        <f t="shared" si="455"/>
        <v>1.4219087703332954E-5</v>
      </c>
      <c r="BQ466" s="61">
        <v>3000</v>
      </c>
      <c r="BR466" s="61">
        <v>1200</v>
      </c>
      <c r="BS466" s="28">
        <f t="shared" si="422"/>
        <v>2980</v>
      </c>
      <c r="BT466" s="28">
        <f t="shared" si="423"/>
        <v>1180</v>
      </c>
      <c r="BU466" s="28" t="s">
        <v>2541</v>
      </c>
      <c r="BV466" s="28">
        <f t="shared" si="424"/>
        <v>5</v>
      </c>
      <c r="BW466" s="28">
        <f t="shared" si="425"/>
        <v>5</v>
      </c>
      <c r="BX466" s="13">
        <f t="shared" si="426"/>
        <v>596</v>
      </c>
      <c r="BY466" s="13">
        <f t="shared" si="427"/>
        <v>596</v>
      </c>
      <c r="BZ466" s="13">
        <f t="shared" si="428"/>
        <v>236</v>
      </c>
      <c r="CA466" s="13">
        <f t="shared" si="429"/>
        <v>236</v>
      </c>
      <c r="CB466" s="13">
        <f t="shared" si="430"/>
        <v>140656</v>
      </c>
      <c r="CC466" s="62">
        <f t="shared" si="431"/>
        <v>7.1095438516664771E-6</v>
      </c>
      <c r="CD466" s="13">
        <f t="shared" si="432"/>
        <v>596</v>
      </c>
      <c r="CE466" s="13">
        <f t="shared" si="433"/>
        <v>596</v>
      </c>
      <c r="CF466" s="13">
        <f t="shared" si="434"/>
        <v>236</v>
      </c>
      <c r="CG466" s="13">
        <f t="shared" si="435"/>
        <v>236</v>
      </c>
      <c r="CH466" s="28">
        <f t="shared" si="436"/>
        <v>140656</v>
      </c>
      <c r="CI466" s="62">
        <f t="shared" si="437"/>
        <v>7.1095438516664771E-6</v>
      </c>
      <c r="CJ466" s="59">
        <f t="shared" si="438"/>
        <v>7.1095438516664771E-6</v>
      </c>
      <c r="CL466" s="63">
        <v>6000</v>
      </c>
      <c r="CM466" s="63">
        <f t="shared" si="439"/>
        <v>0</v>
      </c>
      <c r="CN466" s="63">
        <f t="shared" si="440"/>
        <v>5</v>
      </c>
      <c r="CO466" s="63">
        <f t="shared" si="441"/>
        <v>1200</v>
      </c>
      <c r="CP466" s="13">
        <f t="shared" si="442"/>
        <v>1200</v>
      </c>
      <c r="CQ466" s="70">
        <f t="shared" si="443"/>
        <v>8.3333333333333339E-4</v>
      </c>
      <c r="CR466" s="69">
        <f t="shared" si="411"/>
        <v>1.6666666666666668E-3</v>
      </c>
    </row>
    <row r="467" spans="1:96" hidden="1" x14ac:dyDescent="0.25">
      <c r="A467" s="10">
        <v>3</v>
      </c>
      <c r="B467" s="8" t="s">
        <v>1193</v>
      </c>
      <c r="C467" s="10" t="s">
        <v>1194</v>
      </c>
      <c r="D467" s="10" t="s">
        <v>2270</v>
      </c>
      <c r="E467" s="10" t="s">
        <v>52</v>
      </c>
      <c r="F467" s="12">
        <f t="shared" si="412"/>
        <v>1</v>
      </c>
      <c r="G467" s="10">
        <v>1</v>
      </c>
      <c r="H467" s="10">
        <f>G467*$H$466</f>
        <v>2</v>
      </c>
      <c r="I467" s="10">
        <v>1</v>
      </c>
      <c r="J467" s="8" t="s">
        <v>1195</v>
      </c>
      <c r="K467" s="8" t="s">
        <v>34</v>
      </c>
      <c r="L467" s="10">
        <v>0</v>
      </c>
      <c r="M467" s="8" t="s">
        <v>35</v>
      </c>
      <c r="N467" s="10" t="s">
        <v>1196</v>
      </c>
      <c r="O467" s="28" t="s">
        <v>41</v>
      </c>
      <c r="P467" s="28" t="s">
        <v>41</v>
      </c>
      <c r="Q467" s="28" t="s">
        <v>1197</v>
      </c>
      <c r="R467" s="30">
        <v>54.921259842519689</v>
      </c>
      <c r="S467" s="30">
        <v>0.94488188976377963</v>
      </c>
      <c r="T467" s="30"/>
      <c r="U467" s="30">
        <v>0.23622047244094491</v>
      </c>
      <c r="V467" s="8">
        <f t="shared" si="413"/>
        <v>1395</v>
      </c>
      <c r="W467" s="8">
        <f t="shared" si="414"/>
        <v>24</v>
      </c>
      <c r="X467" s="8">
        <f t="shared" si="415"/>
        <v>0</v>
      </c>
      <c r="Y467" s="33">
        <f t="shared" si="416"/>
        <v>6</v>
      </c>
      <c r="Z467" s="28" t="s">
        <v>1198</v>
      </c>
      <c r="AA467" s="28" t="s">
        <v>251</v>
      </c>
      <c r="AB467" s="61" t="s">
        <v>1197</v>
      </c>
      <c r="AC467" s="31" t="s">
        <v>1199</v>
      </c>
      <c r="AD467" s="50">
        <f t="shared" si="417"/>
        <v>2</v>
      </c>
      <c r="AE467" s="47" t="s">
        <v>1183</v>
      </c>
      <c r="AF467" s="51">
        <v>14</v>
      </c>
      <c r="AG467" s="51">
        <f t="shared" si="445"/>
        <v>8.4</v>
      </c>
      <c r="AH467" s="51">
        <f t="shared" si="410"/>
        <v>42</v>
      </c>
      <c r="AI467" s="52" t="s">
        <v>2497</v>
      </c>
      <c r="AJ467" s="52" t="s">
        <v>2498</v>
      </c>
      <c r="AK467" s="53">
        <f t="shared" si="446"/>
        <v>6.6960000000000006E-2</v>
      </c>
      <c r="AL467" s="54">
        <f t="shared" si="447"/>
        <v>0.11904761904761904</v>
      </c>
      <c r="AM467" s="54">
        <f t="shared" si="448"/>
        <v>2.3809523809523808E-2</v>
      </c>
      <c r="AN467" s="55">
        <f t="shared" si="449"/>
        <v>1.5942857142857144E-2</v>
      </c>
      <c r="AO467" s="55">
        <f t="shared" si="450"/>
        <v>3.1885714285714286E-3</v>
      </c>
      <c r="AP467" s="53">
        <v>7.1</v>
      </c>
      <c r="AQ467" s="53">
        <f t="shared" si="418"/>
        <v>4.26</v>
      </c>
      <c r="AR467" s="53">
        <f t="shared" si="419"/>
        <v>21.299999999999997</v>
      </c>
      <c r="AS467" s="56">
        <f t="shared" si="420"/>
        <v>4.6948356807511742E-2</v>
      </c>
      <c r="AT467" s="56">
        <f t="shared" si="451"/>
        <v>0.23474178403755869</v>
      </c>
      <c r="AU467" s="56">
        <f t="shared" si="421"/>
        <v>0.176056338028169</v>
      </c>
      <c r="AV467" s="56">
        <f t="shared" si="452"/>
        <v>5.8685446009389672E-2</v>
      </c>
      <c r="AW467" s="57" t="s">
        <v>2511</v>
      </c>
      <c r="AX467" s="57" t="s">
        <v>2512</v>
      </c>
      <c r="AY467" s="57" t="s">
        <v>2513</v>
      </c>
      <c r="AZ467" s="58">
        <f t="shared" si="453"/>
        <v>6.6960000000000006E-2</v>
      </c>
      <c r="BA467" s="59">
        <f t="shared" si="456"/>
        <v>3.9295774647887327E-3</v>
      </c>
      <c r="BB467" s="59">
        <f t="shared" si="457"/>
        <v>1.1788732394366197E-2</v>
      </c>
      <c r="BC467" s="59">
        <f t="shared" si="458"/>
        <v>3.1436619718309866E-3</v>
      </c>
      <c r="BD467" s="60">
        <f t="shared" si="454"/>
        <v>1.2500000000000001E-2</v>
      </c>
      <c r="BE467" s="59">
        <f t="shared" si="455"/>
        <v>2.5000000000000001E-2</v>
      </c>
      <c r="BQ467" s="61">
        <v>3000</v>
      </c>
      <c r="BR467" s="61">
        <v>1200</v>
      </c>
      <c r="BS467" s="28">
        <f t="shared" si="422"/>
        <v>2980</v>
      </c>
      <c r="BT467" s="28">
        <f t="shared" si="423"/>
        <v>1180</v>
      </c>
      <c r="BU467" s="28" t="s">
        <v>2541</v>
      </c>
      <c r="BV467" s="28">
        <f t="shared" si="424"/>
        <v>1400</v>
      </c>
      <c r="BW467" s="28">
        <f t="shared" si="425"/>
        <v>29</v>
      </c>
      <c r="BX467" s="13">
        <f t="shared" si="426"/>
        <v>2.1285714285714286</v>
      </c>
      <c r="BY467" s="13">
        <f t="shared" si="427"/>
        <v>2</v>
      </c>
      <c r="BZ467" s="13">
        <f t="shared" si="428"/>
        <v>40.689655172413794</v>
      </c>
      <c r="CA467" s="13">
        <f t="shared" si="429"/>
        <v>40</v>
      </c>
      <c r="CB467" s="13">
        <f t="shared" si="430"/>
        <v>80</v>
      </c>
      <c r="CC467" s="62">
        <f t="shared" si="431"/>
        <v>1.2500000000000001E-2</v>
      </c>
      <c r="CD467" s="13">
        <f t="shared" si="432"/>
        <v>102.75862068965517</v>
      </c>
      <c r="CE467" s="13">
        <f t="shared" si="433"/>
        <v>102</v>
      </c>
      <c r="CF467" s="13">
        <f t="shared" si="434"/>
        <v>0.84285714285714286</v>
      </c>
      <c r="CG467" s="13">
        <f t="shared" si="435"/>
        <v>0</v>
      </c>
      <c r="CH467" s="28">
        <f t="shared" si="436"/>
        <v>0</v>
      </c>
      <c r="CI467" s="62">
        <f t="shared" si="437"/>
        <v>1</v>
      </c>
      <c r="CJ467" s="59">
        <f t="shared" si="438"/>
        <v>1.2500000000000001E-2</v>
      </c>
      <c r="CL467" s="63">
        <v>6000</v>
      </c>
      <c r="CM467" s="63">
        <f t="shared" si="439"/>
        <v>1395</v>
      </c>
      <c r="CN467" s="63">
        <f t="shared" si="440"/>
        <v>1400</v>
      </c>
      <c r="CO467" s="63">
        <f t="shared" si="441"/>
        <v>4.2857142857142856</v>
      </c>
      <c r="CP467" s="13">
        <f t="shared" si="442"/>
        <v>4</v>
      </c>
      <c r="CQ467" s="70">
        <f t="shared" si="443"/>
        <v>0.25</v>
      </c>
      <c r="CR467" s="69">
        <f t="shared" si="411"/>
        <v>0.5</v>
      </c>
    </row>
    <row r="468" spans="1:96" hidden="1" x14ac:dyDescent="0.25">
      <c r="A468" s="10">
        <v>3</v>
      </c>
      <c r="B468" s="8" t="s">
        <v>1193</v>
      </c>
      <c r="C468" s="10" t="s">
        <v>1200</v>
      </c>
      <c r="D468" s="10" t="s">
        <v>2270</v>
      </c>
      <c r="E468" s="10" t="s">
        <v>52</v>
      </c>
      <c r="F468" s="12">
        <f t="shared" si="412"/>
        <v>2</v>
      </c>
      <c r="G468" s="10">
        <v>1</v>
      </c>
      <c r="H468" s="10">
        <f t="shared" ref="H468:H469" si="460">G468*$H$466</f>
        <v>2</v>
      </c>
      <c r="I468" s="10">
        <v>2</v>
      </c>
      <c r="J468" s="8" t="s">
        <v>1201</v>
      </c>
      <c r="K468" s="8" t="s">
        <v>34</v>
      </c>
      <c r="L468" s="10">
        <v>0</v>
      </c>
      <c r="M468" s="8" t="s">
        <v>35</v>
      </c>
      <c r="N468" s="10" t="s">
        <v>1202</v>
      </c>
      <c r="O468" s="28" t="s">
        <v>41</v>
      </c>
      <c r="P468" s="28" t="s">
        <v>41</v>
      </c>
      <c r="Q468" s="28" t="s">
        <v>116</v>
      </c>
      <c r="R468" s="30">
        <v>54.905000000000001</v>
      </c>
      <c r="S468" s="30">
        <v>1.95</v>
      </c>
      <c r="T468" s="30"/>
      <c r="U468" s="30">
        <v>0.11799999999999999</v>
      </c>
      <c r="V468" s="8">
        <f t="shared" si="413"/>
        <v>1394.587</v>
      </c>
      <c r="W468" s="8">
        <f t="shared" si="414"/>
        <v>49.529999999999994</v>
      </c>
      <c r="X468" s="8">
        <f t="shared" si="415"/>
        <v>0</v>
      </c>
      <c r="Y468" s="33">
        <f t="shared" si="416"/>
        <v>2.9971999999999999</v>
      </c>
      <c r="Z468" s="28" t="s">
        <v>56</v>
      </c>
      <c r="AA468" s="28" t="s">
        <v>57</v>
      </c>
      <c r="AB468" s="28" t="s">
        <v>116</v>
      </c>
      <c r="AC468" s="31" t="s">
        <v>117</v>
      </c>
      <c r="AD468" s="50">
        <f t="shared" si="417"/>
        <v>2</v>
      </c>
      <c r="AE468" s="31"/>
      <c r="AF468" s="51">
        <v>14</v>
      </c>
      <c r="AG468" s="51">
        <f t="shared" si="445"/>
        <v>8.4</v>
      </c>
      <c r="AH468" s="51">
        <f t="shared" si="410"/>
        <v>42</v>
      </c>
      <c r="AI468" s="52" t="s">
        <v>2497</v>
      </c>
      <c r="AJ468" s="52" t="s">
        <v>2498</v>
      </c>
      <c r="AK468" s="53">
        <f t="shared" si="446"/>
        <v>0.13814778821999998</v>
      </c>
      <c r="AL468" s="54">
        <f t="shared" si="447"/>
        <v>0.11904761904761904</v>
      </c>
      <c r="AM468" s="54">
        <f t="shared" si="448"/>
        <v>2.3809523809523808E-2</v>
      </c>
      <c r="AN468" s="55">
        <f t="shared" si="449"/>
        <v>3.289233052857142E-2</v>
      </c>
      <c r="AO468" s="55">
        <f t="shared" si="450"/>
        <v>6.5784661057142844E-3</v>
      </c>
      <c r="AP468" s="53">
        <v>7.1</v>
      </c>
      <c r="AQ468" s="53">
        <f t="shared" si="418"/>
        <v>4.26</v>
      </c>
      <c r="AR468" s="53">
        <f t="shared" si="419"/>
        <v>21.299999999999997</v>
      </c>
      <c r="AS468" s="56">
        <f t="shared" si="420"/>
        <v>4.6948356807511742E-2</v>
      </c>
      <c r="AT468" s="56">
        <f t="shared" si="451"/>
        <v>0.23474178403755869</v>
      </c>
      <c r="AU468" s="56">
        <f t="shared" si="421"/>
        <v>0.176056338028169</v>
      </c>
      <c r="AV468" s="56">
        <f t="shared" si="452"/>
        <v>5.8685446009389672E-2</v>
      </c>
      <c r="AW468" s="57" t="s">
        <v>2511</v>
      </c>
      <c r="AX468" s="57" t="s">
        <v>2512</v>
      </c>
      <c r="AY468" s="57" t="s">
        <v>2513</v>
      </c>
      <c r="AZ468" s="58">
        <f t="shared" si="453"/>
        <v>0.13814778821999998</v>
      </c>
      <c r="BA468" s="59">
        <f t="shared" si="456"/>
        <v>8.1072645669014072E-3</v>
      </c>
      <c r="BB468" s="59">
        <f t="shared" si="457"/>
        <v>2.4321793700704222E-2</v>
      </c>
      <c r="BC468" s="59">
        <f t="shared" si="458"/>
        <v>6.4858116535211263E-3</v>
      </c>
      <c r="BD468" s="60">
        <f t="shared" si="454"/>
        <v>2.3809523809523808E-2</v>
      </c>
      <c r="BE468" s="59">
        <f t="shared" si="455"/>
        <v>4.7619047619047616E-2</v>
      </c>
      <c r="BQ468" s="61">
        <v>3000</v>
      </c>
      <c r="BR468" s="61">
        <v>1200</v>
      </c>
      <c r="BS468" s="28">
        <f t="shared" si="422"/>
        <v>2980</v>
      </c>
      <c r="BT468" s="28">
        <f t="shared" si="423"/>
        <v>1180</v>
      </c>
      <c r="BU468" s="28" t="s">
        <v>2541</v>
      </c>
      <c r="BV468" s="28">
        <f t="shared" si="424"/>
        <v>1399.587</v>
      </c>
      <c r="BW468" s="28">
        <f t="shared" si="425"/>
        <v>54.529999999999994</v>
      </c>
      <c r="BX468" s="13">
        <f t="shared" si="426"/>
        <v>2.1291995424364472</v>
      </c>
      <c r="BY468" s="13">
        <f t="shared" si="427"/>
        <v>2</v>
      </c>
      <c r="BZ468" s="13">
        <f t="shared" si="428"/>
        <v>21.639464514945903</v>
      </c>
      <c r="CA468" s="13">
        <f t="shared" si="429"/>
        <v>21</v>
      </c>
      <c r="CB468" s="13">
        <f t="shared" si="430"/>
        <v>42</v>
      </c>
      <c r="CC468" s="62">
        <f t="shared" si="431"/>
        <v>2.3809523809523808E-2</v>
      </c>
      <c r="CD468" s="13">
        <f t="shared" si="432"/>
        <v>54.648817164863381</v>
      </c>
      <c r="CE468" s="13">
        <f t="shared" si="433"/>
        <v>54</v>
      </c>
      <c r="CF468" s="13">
        <f t="shared" si="434"/>
        <v>0.84310585908557312</v>
      </c>
      <c r="CG468" s="13">
        <f t="shared" si="435"/>
        <v>0</v>
      </c>
      <c r="CH468" s="28">
        <f t="shared" si="436"/>
        <v>0</v>
      </c>
      <c r="CI468" s="62">
        <f t="shared" si="437"/>
        <v>1</v>
      </c>
      <c r="CJ468" s="59">
        <f t="shared" si="438"/>
        <v>2.3809523809523808E-2</v>
      </c>
      <c r="CL468" s="63">
        <v>6000</v>
      </c>
      <c r="CM468" s="63">
        <f t="shared" si="439"/>
        <v>1394.587</v>
      </c>
      <c r="CN468" s="63">
        <f t="shared" si="440"/>
        <v>1399.587</v>
      </c>
      <c r="CO468" s="63">
        <f t="shared" si="441"/>
        <v>4.2869789445029145</v>
      </c>
      <c r="CP468" s="13">
        <f t="shared" si="442"/>
        <v>4</v>
      </c>
      <c r="CQ468" s="70">
        <f t="shared" si="443"/>
        <v>0.25</v>
      </c>
      <c r="CR468" s="69">
        <f t="shared" si="411"/>
        <v>0.5</v>
      </c>
    </row>
    <row r="469" spans="1:96" hidden="1" x14ac:dyDescent="0.25">
      <c r="A469" s="10">
        <v>3</v>
      </c>
      <c r="B469" s="8" t="s">
        <v>1193</v>
      </c>
      <c r="C469" s="10" t="s">
        <v>1203</v>
      </c>
      <c r="D469" s="10" t="s">
        <v>2270</v>
      </c>
      <c r="E469" s="10" t="s">
        <v>32</v>
      </c>
      <c r="F469" s="12">
        <f t="shared" si="412"/>
        <v>1</v>
      </c>
      <c r="G469" s="10">
        <v>1</v>
      </c>
      <c r="H469" s="10">
        <f t="shared" si="460"/>
        <v>2</v>
      </c>
      <c r="I469" s="10">
        <v>3</v>
      </c>
      <c r="J469" s="8" t="s">
        <v>422</v>
      </c>
      <c r="K469" s="8" t="s">
        <v>34</v>
      </c>
      <c r="L469" s="10" t="s">
        <v>110</v>
      </c>
      <c r="M469" s="8" t="s">
        <v>35</v>
      </c>
      <c r="N469" s="10" t="s">
        <v>1204</v>
      </c>
      <c r="O469" s="28" t="s">
        <v>41</v>
      </c>
      <c r="P469" s="28" t="s">
        <v>41</v>
      </c>
      <c r="Q469" s="28"/>
      <c r="R469" s="30"/>
      <c r="S469" s="30"/>
      <c r="T469" s="30"/>
      <c r="U469" s="30"/>
      <c r="V469" s="8">
        <f t="shared" si="413"/>
        <v>0</v>
      </c>
      <c r="W469" s="8">
        <f t="shared" si="414"/>
        <v>0</v>
      </c>
      <c r="X469" s="8">
        <f t="shared" si="415"/>
        <v>0</v>
      </c>
      <c r="Y469" s="33">
        <f t="shared" si="416"/>
        <v>0</v>
      </c>
      <c r="Z469" s="28"/>
      <c r="AA469" s="28"/>
      <c r="AB469" s="28">
        <v>0</v>
      </c>
      <c r="AC469" s="31"/>
      <c r="AD469" s="50">
        <f t="shared" si="417"/>
        <v>2</v>
      </c>
      <c r="AE469" s="47" t="s">
        <v>107</v>
      </c>
      <c r="AF469" s="51">
        <v>14</v>
      </c>
      <c r="AG469" s="51">
        <f t="shared" si="445"/>
        <v>8.4</v>
      </c>
      <c r="AH469" s="51">
        <f t="shared" si="410"/>
        <v>42</v>
      </c>
      <c r="AI469" s="52" t="s">
        <v>2497</v>
      </c>
      <c r="AJ469" s="52" t="s">
        <v>2498</v>
      </c>
      <c r="AK469" s="53">
        <f t="shared" si="446"/>
        <v>0</v>
      </c>
      <c r="AL469" s="54">
        <f t="shared" si="447"/>
        <v>0.11904761904761904</v>
      </c>
      <c r="AM469" s="54">
        <f t="shared" si="448"/>
        <v>2.3809523809523808E-2</v>
      </c>
      <c r="AN469" s="55">
        <f t="shared" si="449"/>
        <v>0</v>
      </c>
      <c r="AO469" s="55">
        <f t="shared" si="450"/>
        <v>0</v>
      </c>
      <c r="AP469" s="53">
        <v>7.1</v>
      </c>
      <c r="AQ469" s="53">
        <f t="shared" si="418"/>
        <v>4.26</v>
      </c>
      <c r="AR469" s="53">
        <f t="shared" si="419"/>
        <v>21.299999999999997</v>
      </c>
      <c r="AS469" s="56">
        <f t="shared" si="420"/>
        <v>4.6948356807511742E-2</v>
      </c>
      <c r="AT469" s="56">
        <f t="shared" si="451"/>
        <v>0.23474178403755869</v>
      </c>
      <c r="AU469" s="56">
        <f t="shared" si="421"/>
        <v>0.176056338028169</v>
      </c>
      <c r="AV469" s="56">
        <f t="shared" si="452"/>
        <v>5.8685446009389672E-2</v>
      </c>
      <c r="AW469" s="57" t="s">
        <v>2511</v>
      </c>
      <c r="AX469" s="57" t="s">
        <v>2512</v>
      </c>
      <c r="AY469" s="57" t="s">
        <v>2513</v>
      </c>
      <c r="AZ469" s="58">
        <f t="shared" si="453"/>
        <v>0</v>
      </c>
      <c r="BA469" s="59">
        <f t="shared" si="456"/>
        <v>0</v>
      </c>
      <c r="BB469" s="59">
        <f t="shared" si="457"/>
        <v>0</v>
      </c>
      <c r="BC469" s="59">
        <f t="shared" si="458"/>
        <v>0</v>
      </c>
      <c r="BD469" s="60">
        <f t="shared" si="454"/>
        <v>0</v>
      </c>
      <c r="BE469" s="59">
        <f t="shared" si="455"/>
        <v>0</v>
      </c>
      <c r="BQ469" s="61">
        <v>3000</v>
      </c>
      <c r="BR469" s="61">
        <v>1200</v>
      </c>
      <c r="BS469" s="28">
        <f t="shared" si="422"/>
        <v>2980</v>
      </c>
      <c r="BT469" s="28">
        <f t="shared" si="423"/>
        <v>1180</v>
      </c>
      <c r="BU469" s="28" t="s">
        <v>2541</v>
      </c>
      <c r="BV469" s="28">
        <f t="shared" si="424"/>
        <v>5</v>
      </c>
      <c r="BW469" s="28">
        <f t="shared" si="425"/>
        <v>5</v>
      </c>
      <c r="BX469" s="13">
        <f t="shared" si="426"/>
        <v>596</v>
      </c>
      <c r="BY469" s="13">
        <f t="shared" si="427"/>
        <v>596</v>
      </c>
      <c r="BZ469" s="13">
        <f t="shared" si="428"/>
        <v>236</v>
      </c>
      <c r="CA469" s="13">
        <f t="shared" si="429"/>
        <v>236</v>
      </c>
      <c r="CB469" s="13">
        <f t="shared" si="430"/>
        <v>140656</v>
      </c>
      <c r="CC469" s="62" t="str">
        <f t="shared" si="431"/>
        <v/>
      </c>
      <c r="CD469" s="13">
        <f t="shared" si="432"/>
        <v>596</v>
      </c>
      <c r="CE469" s="13">
        <f t="shared" si="433"/>
        <v>596</v>
      </c>
      <c r="CF469" s="13">
        <f t="shared" si="434"/>
        <v>236</v>
      </c>
      <c r="CG469" s="13">
        <f t="shared" si="435"/>
        <v>236</v>
      </c>
      <c r="CH469" s="28">
        <f t="shared" si="436"/>
        <v>140656</v>
      </c>
      <c r="CI469" s="62" t="str">
        <f t="shared" si="437"/>
        <v/>
      </c>
      <c r="CJ469" s="59">
        <f t="shared" si="438"/>
        <v>0</v>
      </c>
      <c r="CL469" s="63">
        <v>6000</v>
      </c>
      <c r="CM469" s="63">
        <f t="shared" si="439"/>
        <v>0</v>
      </c>
      <c r="CN469" s="63">
        <f t="shared" si="440"/>
        <v>5</v>
      </c>
      <c r="CO469" s="63">
        <f t="shared" si="441"/>
        <v>1200</v>
      </c>
      <c r="CP469" s="13">
        <f t="shared" si="442"/>
        <v>1200</v>
      </c>
      <c r="CQ469" s="70">
        <f t="shared" si="443"/>
        <v>8.3333333333333339E-4</v>
      </c>
      <c r="CR469" s="69">
        <f t="shared" si="411"/>
        <v>1.6666666666666668E-3</v>
      </c>
    </row>
    <row r="470" spans="1:96" hidden="1" x14ac:dyDescent="0.25">
      <c r="A470" s="13">
        <v>4</v>
      </c>
      <c r="B470" s="14" t="s">
        <v>1205</v>
      </c>
      <c r="C470" s="13" t="s">
        <v>1206</v>
      </c>
      <c r="D470" s="13" t="s">
        <v>2270</v>
      </c>
      <c r="E470" s="13" t="s">
        <v>52</v>
      </c>
      <c r="F470" s="15">
        <f t="shared" si="412"/>
        <v>1</v>
      </c>
      <c r="G470" s="13">
        <v>1</v>
      </c>
      <c r="H470" s="13">
        <f>G470*$H$469</f>
        <v>2</v>
      </c>
      <c r="I470" s="13">
        <v>1</v>
      </c>
      <c r="J470" s="14" t="s">
        <v>422</v>
      </c>
      <c r="K470" s="14" t="s">
        <v>34</v>
      </c>
      <c r="L470" s="13" t="s">
        <v>110</v>
      </c>
      <c r="M470" s="14" t="s">
        <v>35</v>
      </c>
      <c r="N470" s="13" t="s">
        <v>1207</v>
      </c>
      <c r="O470" s="28" t="s">
        <v>41</v>
      </c>
      <c r="P470" s="28" t="s">
        <v>41</v>
      </c>
      <c r="Q470" s="28" t="s">
        <v>116</v>
      </c>
      <c r="R470" s="30">
        <v>53.73</v>
      </c>
      <c r="S470" s="30">
        <v>3.2930000000000001</v>
      </c>
      <c r="T470" s="30"/>
      <c r="U470" s="30">
        <v>0.11799999999999999</v>
      </c>
      <c r="V470" s="8">
        <f t="shared" si="413"/>
        <v>1364.7419999999997</v>
      </c>
      <c r="W470" s="8">
        <f t="shared" si="414"/>
        <v>83.642200000000003</v>
      </c>
      <c r="X470" s="8">
        <f t="shared" si="415"/>
        <v>0</v>
      </c>
      <c r="Y470" s="33">
        <f t="shared" si="416"/>
        <v>2.9971999999999999</v>
      </c>
      <c r="Z470" s="28" t="s">
        <v>56</v>
      </c>
      <c r="AA470" s="28" t="s">
        <v>57</v>
      </c>
      <c r="AB470" s="28" t="s">
        <v>116</v>
      </c>
      <c r="AC470" s="31" t="s">
        <v>117</v>
      </c>
      <c r="AD470" s="50">
        <f t="shared" si="417"/>
        <v>2</v>
      </c>
      <c r="AE470" s="31"/>
      <c r="AF470" s="51">
        <v>14</v>
      </c>
      <c r="AG470" s="51">
        <f t="shared" si="445"/>
        <v>8.4</v>
      </c>
      <c r="AH470" s="51">
        <f t="shared" si="410"/>
        <v>42</v>
      </c>
      <c r="AI470" s="52" t="s">
        <v>2497</v>
      </c>
      <c r="AJ470" s="52" t="s">
        <v>2498</v>
      </c>
      <c r="AK470" s="53">
        <f t="shared" si="446"/>
        <v>0.22830004662479997</v>
      </c>
      <c r="AL470" s="54">
        <f t="shared" si="447"/>
        <v>0.11904761904761904</v>
      </c>
      <c r="AM470" s="54">
        <f t="shared" si="448"/>
        <v>2.3809523809523808E-2</v>
      </c>
      <c r="AN470" s="55">
        <f t="shared" si="449"/>
        <v>5.4357153958285706E-2</v>
      </c>
      <c r="AO470" s="55">
        <f t="shared" si="450"/>
        <v>1.0871430791657141E-2</v>
      </c>
      <c r="AP470" s="53">
        <v>7.1</v>
      </c>
      <c r="AQ470" s="53">
        <f t="shared" si="418"/>
        <v>4.26</v>
      </c>
      <c r="AR470" s="53">
        <f t="shared" si="419"/>
        <v>21.299999999999997</v>
      </c>
      <c r="AS470" s="56">
        <f t="shared" si="420"/>
        <v>4.6948356807511742E-2</v>
      </c>
      <c r="AT470" s="56">
        <f t="shared" si="451"/>
        <v>0.23474178403755869</v>
      </c>
      <c r="AU470" s="56">
        <f t="shared" si="421"/>
        <v>0.176056338028169</v>
      </c>
      <c r="AV470" s="56">
        <f t="shared" si="452"/>
        <v>5.8685446009389672E-2</v>
      </c>
      <c r="AW470" s="57" t="s">
        <v>2511</v>
      </c>
      <c r="AX470" s="57" t="s">
        <v>2512</v>
      </c>
      <c r="AY470" s="57" t="s">
        <v>2513</v>
      </c>
      <c r="AZ470" s="58">
        <f t="shared" si="453"/>
        <v>0.22830004662479997</v>
      </c>
      <c r="BA470" s="59">
        <f t="shared" si="456"/>
        <v>1.3397890060140843E-2</v>
      </c>
      <c r="BB470" s="59">
        <f t="shared" si="457"/>
        <v>4.0193670180422525E-2</v>
      </c>
      <c r="BC470" s="59">
        <f t="shared" si="458"/>
        <v>1.0718312048112676E-2</v>
      </c>
      <c r="BD470" s="60">
        <f t="shared" si="454"/>
        <v>3.8461538461538464E-2</v>
      </c>
      <c r="BE470" s="59">
        <f t="shared" si="455"/>
        <v>7.6923076923076927E-2</v>
      </c>
      <c r="BQ470" s="61">
        <v>3000</v>
      </c>
      <c r="BR470" s="61">
        <v>1200</v>
      </c>
      <c r="BS470" s="28">
        <f t="shared" si="422"/>
        <v>2980</v>
      </c>
      <c r="BT470" s="28">
        <f t="shared" si="423"/>
        <v>1180</v>
      </c>
      <c r="BU470" s="28" t="s">
        <v>2541</v>
      </c>
      <c r="BV470" s="28">
        <f t="shared" si="424"/>
        <v>1369.7419999999997</v>
      </c>
      <c r="BW470" s="28">
        <f t="shared" si="425"/>
        <v>88.642200000000003</v>
      </c>
      <c r="BX470" s="13">
        <f t="shared" si="426"/>
        <v>2.1755921918142254</v>
      </c>
      <c r="BY470" s="13">
        <f t="shared" si="427"/>
        <v>2</v>
      </c>
      <c r="BZ470" s="13">
        <f t="shared" si="428"/>
        <v>13.311943972509708</v>
      </c>
      <c r="CA470" s="13">
        <f t="shared" si="429"/>
        <v>13</v>
      </c>
      <c r="CB470" s="13">
        <f t="shared" si="430"/>
        <v>26</v>
      </c>
      <c r="CC470" s="62">
        <f t="shared" si="431"/>
        <v>3.8461538461538464E-2</v>
      </c>
      <c r="CD470" s="13">
        <f t="shared" si="432"/>
        <v>33.618299184812649</v>
      </c>
      <c r="CE470" s="13">
        <f t="shared" si="433"/>
        <v>33</v>
      </c>
      <c r="CF470" s="13">
        <f t="shared" si="434"/>
        <v>0.86147610279892139</v>
      </c>
      <c r="CG470" s="13">
        <f t="shared" si="435"/>
        <v>0</v>
      </c>
      <c r="CH470" s="28">
        <f t="shared" si="436"/>
        <v>0</v>
      </c>
      <c r="CI470" s="62">
        <f t="shared" si="437"/>
        <v>1</v>
      </c>
      <c r="CJ470" s="59">
        <f t="shared" si="438"/>
        <v>3.8461538461538464E-2</v>
      </c>
      <c r="CL470" s="63">
        <v>6000</v>
      </c>
      <c r="CM470" s="63">
        <f t="shared" si="439"/>
        <v>1364.7419999999997</v>
      </c>
      <c r="CN470" s="63">
        <f t="shared" si="440"/>
        <v>1369.7419999999997</v>
      </c>
      <c r="CO470" s="63">
        <f t="shared" si="441"/>
        <v>4.3803869633843462</v>
      </c>
      <c r="CP470" s="13">
        <f t="shared" si="442"/>
        <v>4</v>
      </c>
      <c r="CQ470" s="70">
        <f t="shared" si="443"/>
        <v>0.25</v>
      </c>
      <c r="CR470" s="69">
        <f t="shared" si="411"/>
        <v>0.5</v>
      </c>
    </row>
    <row r="471" spans="1:96" hidden="1" x14ac:dyDescent="0.25">
      <c r="A471" s="13">
        <v>4</v>
      </c>
      <c r="B471" s="14" t="s">
        <v>1205</v>
      </c>
      <c r="C471" s="13" t="s">
        <v>1208</v>
      </c>
      <c r="D471" s="13" t="s">
        <v>2270</v>
      </c>
      <c r="E471" s="13" t="s">
        <v>52</v>
      </c>
      <c r="F471" s="15">
        <f t="shared" si="412"/>
        <v>3</v>
      </c>
      <c r="G471" s="13">
        <v>6</v>
      </c>
      <c r="H471" s="13">
        <f t="shared" ref="H471:H472" si="461">G471*$H$469</f>
        <v>12</v>
      </c>
      <c r="I471" s="13">
        <v>2</v>
      </c>
      <c r="J471" s="14" t="s">
        <v>1209</v>
      </c>
      <c r="K471" s="14" t="s">
        <v>34</v>
      </c>
      <c r="L471" s="13" t="s">
        <v>110</v>
      </c>
      <c r="M471" s="14" t="s">
        <v>35</v>
      </c>
      <c r="N471" s="13" t="s">
        <v>1210</v>
      </c>
      <c r="O471" s="28" t="s">
        <v>41</v>
      </c>
      <c r="P471" s="28" t="s">
        <v>41</v>
      </c>
      <c r="Q471" s="28" t="s">
        <v>1178</v>
      </c>
      <c r="R471" s="30">
        <v>1.25</v>
      </c>
      <c r="S471" s="30">
        <v>0.68200000000000005</v>
      </c>
      <c r="T471" s="30"/>
      <c r="U471" s="30">
        <v>0.17699999999999999</v>
      </c>
      <c r="V471" s="8">
        <f t="shared" si="413"/>
        <v>31.75</v>
      </c>
      <c r="W471" s="8">
        <f t="shared" si="414"/>
        <v>17.322800000000001</v>
      </c>
      <c r="X471" s="8">
        <f t="shared" si="415"/>
        <v>0</v>
      </c>
      <c r="Y471" s="33">
        <f t="shared" si="416"/>
        <v>4.4957999999999991</v>
      </c>
      <c r="Z471" s="28" t="s">
        <v>56</v>
      </c>
      <c r="AA471" s="28" t="s">
        <v>57</v>
      </c>
      <c r="AB471" s="61" t="s">
        <v>1178</v>
      </c>
      <c r="AC471" s="31" t="s">
        <v>1179</v>
      </c>
      <c r="AD471" s="50">
        <f t="shared" si="417"/>
        <v>12</v>
      </c>
      <c r="AE471" s="31"/>
      <c r="AF471" s="51">
        <v>14</v>
      </c>
      <c r="AG471" s="51">
        <f t="shared" si="445"/>
        <v>8.4</v>
      </c>
      <c r="AH471" s="51">
        <f t="shared" si="410"/>
        <v>42</v>
      </c>
      <c r="AI471" s="52" t="s">
        <v>2497</v>
      </c>
      <c r="AJ471" s="52" t="s">
        <v>2498</v>
      </c>
      <c r="AK471" s="53">
        <f t="shared" si="446"/>
        <v>1.0999978000000002E-3</v>
      </c>
      <c r="AL471" s="54">
        <f t="shared" si="447"/>
        <v>0.11904761904761904</v>
      </c>
      <c r="AM471" s="54">
        <f t="shared" si="448"/>
        <v>2.3809523809523808E-2</v>
      </c>
      <c r="AN471" s="55">
        <f t="shared" si="449"/>
        <v>1.5714254285714288E-3</v>
      </c>
      <c r="AO471" s="55">
        <f t="shared" si="450"/>
        <v>3.1428508571428574E-4</v>
      </c>
      <c r="AP471" s="53">
        <v>7.1</v>
      </c>
      <c r="AQ471" s="53">
        <f t="shared" si="418"/>
        <v>4.26</v>
      </c>
      <c r="AR471" s="53">
        <f t="shared" si="419"/>
        <v>21.299999999999997</v>
      </c>
      <c r="AS471" s="56">
        <f t="shared" si="420"/>
        <v>4.6948356807511742E-2</v>
      </c>
      <c r="AT471" s="56">
        <f t="shared" si="451"/>
        <v>0.23474178403755869</v>
      </c>
      <c r="AU471" s="56">
        <f t="shared" si="421"/>
        <v>0.176056338028169</v>
      </c>
      <c r="AV471" s="56">
        <f t="shared" si="452"/>
        <v>5.8685446009389672E-2</v>
      </c>
      <c r="AW471" s="57" t="s">
        <v>2511</v>
      </c>
      <c r="AX471" s="57" t="s">
        <v>2512</v>
      </c>
      <c r="AY471" s="57" t="s">
        <v>2513</v>
      </c>
      <c r="AZ471" s="58">
        <f t="shared" si="453"/>
        <v>1.0999978000000002E-3</v>
      </c>
      <c r="BA471" s="59">
        <f t="shared" si="456"/>
        <v>3.8732316901408454E-4</v>
      </c>
      <c r="BB471" s="59">
        <f t="shared" si="457"/>
        <v>1.1619695070422536E-3</v>
      </c>
      <c r="BC471" s="59">
        <f t="shared" si="458"/>
        <v>3.0985853521126765E-4</v>
      </c>
      <c r="BD471" s="60">
        <f t="shared" si="454"/>
        <v>2.3496240601503758E-4</v>
      </c>
      <c r="BE471" s="59">
        <f t="shared" si="455"/>
        <v>2.819548872180451E-3</v>
      </c>
      <c r="BQ471" s="61">
        <v>3000</v>
      </c>
      <c r="BR471" s="61">
        <v>1200</v>
      </c>
      <c r="BS471" s="28">
        <f t="shared" si="422"/>
        <v>2980</v>
      </c>
      <c r="BT471" s="28">
        <f t="shared" si="423"/>
        <v>1180</v>
      </c>
      <c r="BU471" s="28" t="s">
        <v>2541</v>
      </c>
      <c r="BV471" s="28">
        <f t="shared" si="424"/>
        <v>36.75</v>
      </c>
      <c r="BW471" s="28">
        <f t="shared" si="425"/>
        <v>22.322800000000001</v>
      </c>
      <c r="BX471" s="13">
        <f t="shared" si="426"/>
        <v>81.088435374149654</v>
      </c>
      <c r="BY471" s="13">
        <f t="shared" si="427"/>
        <v>81</v>
      </c>
      <c r="BZ471" s="13">
        <f t="shared" si="428"/>
        <v>52.860752235382655</v>
      </c>
      <c r="CA471" s="13">
        <f t="shared" si="429"/>
        <v>52</v>
      </c>
      <c r="CB471" s="13">
        <f t="shared" si="430"/>
        <v>4212</v>
      </c>
      <c r="CC471" s="62">
        <f t="shared" si="431"/>
        <v>2.3741690408357076E-4</v>
      </c>
      <c r="CD471" s="13">
        <f t="shared" si="432"/>
        <v>133.49579801816975</v>
      </c>
      <c r="CE471" s="13">
        <f t="shared" si="433"/>
        <v>133</v>
      </c>
      <c r="CF471" s="13">
        <f t="shared" si="434"/>
        <v>32.108843537414963</v>
      </c>
      <c r="CG471" s="13">
        <f t="shared" si="435"/>
        <v>32</v>
      </c>
      <c r="CH471" s="28">
        <f t="shared" si="436"/>
        <v>4256</v>
      </c>
      <c r="CI471" s="62">
        <f t="shared" si="437"/>
        <v>2.3496240601503758E-4</v>
      </c>
      <c r="CJ471" s="59">
        <f t="shared" si="438"/>
        <v>2.3496240601503758E-4</v>
      </c>
      <c r="CL471" s="63">
        <v>6000</v>
      </c>
      <c r="CM471" s="63">
        <f t="shared" si="439"/>
        <v>31.75</v>
      </c>
      <c r="CN471" s="63">
        <f t="shared" si="440"/>
        <v>36.75</v>
      </c>
      <c r="CO471" s="63">
        <f t="shared" si="441"/>
        <v>163.26530612244898</v>
      </c>
      <c r="CP471" s="13">
        <f t="shared" si="442"/>
        <v>163</v>
      </c>
      <c r="CQ471" s="70">
        <f t="shared" si="443"/>
        <v>6.1349693251533744E-3</v>
      </c>
      <c r="CR471" s="69">
        <f t="shared" si="411"/>
        <v>7.3619631901840496E-2</v>
      </c>
    </row>
    <row r="472" spans="1:96" hidden="1" x14ac:dyDescent="0.25">
      <c r="A472" s="13">
        <v>4</v>
      </c>
      <c r="B472" s="14" t="s">
        <v>1205</v>
      </c>
      <c r="C472" s="13" t="s">
        <v>1211</v>
      </c>
      <c r="D472" s="13" t="s">
        <v>2270</v>
      </c>
      <c r="E472" s="13" t="s">
        <v>52</v>
      </c>
      <c r="F472" s="15">
        <f t="shared" si="412"/>
        <v>3</v>
      </c>
      <c r="G472" s="13">
        <v>3</v>
      </c>
      <c r="H472" s="13">
        <f t="shared" si="461"/>
        <v>6</v>
      </c>
      <c r="I472" s="13">
        <v>3</v>
      </c>
      <c r="J472" s="14" t="s">
        <v>1212</v>
      </c>
      <c r="K472" s="14" t="s">
        <v>34</v>
      </c>
      <c r="L472" s="13">
        <v>0</v>
      </c>
      <c r="M472" s="14" t="s">
        <v>35</v>
      </c>
      <c r="N472" s="13" t="s">
        <v>1213</v>
      </c>
      <c r="O472" s="28" t="s">
        <v>41</v>
      </c>
      <c r="P472" s="28" t="s">
        <v>41</v>
      </c>
      <c r="Q472" s="28" t="s">
        <v>103</v>
      </c>
      <c r="R472" s="30">
        <v>1.9685039370078741</v>
      </c>
      <c r="S472" s="30">
        <v>0.47244094488188981</v>
      </c>
      <c r="T472" s="30"/>
      <c r="U472" s="30">
        <v>0.23622047244094491</v>
      </c>
      <c r="V472" s="8">
        <f t="shared" si="413"/>
        <v>50</v>
      </c>
      <c r="W472" s="8">
        <f t="shared" si="414"/>
        <v>12</v>
      </c>
      <c r="X472" s="8">
        <f t="shared" si="415"/>
        <v>0</v>
      </c>
      <c r="Y472" s="33">
        <f t="shared" si="416"/>
        <v>6</v>
      </c>
      <c r="Z472" s="28" t="s">
        <v>56</v>
      </c>
      <c r="AA472" s="28" t="s">
        <v>57</v>
      </c>
      <c r="AB472" s="28" t="s">
        <v>103</v>
      </c>
      <c r="AC472" s="31" t="s">
        <v>104</v>
      </c>
      <c r="AD472" s="50">
        <f t="shared" si="417"/>
        <v>6</v>
      </c>
      <c r="AE472" s="31"/>
      <c r="AF472" s="51">
        <v>14</v>
      </c>
      <c r="AG472" s="51">
        <f t="shared" si="445"/>
        <v>8.4</v>
      </c>
      <c r="AH472" s="51">
        <f t="shared" si="410"/>
        <v>42</v>
      </c>
      <c r="AI472" s="52" t="s">
        <v>2497</v>
      </c>
      <c r="AJ472" s="52" t="s">
        <v>2498</v>
      </c>
      <c r="AK472" s="53">
        <f t="shared" si="446"/>
        <v>1.1999999999999999E-3</v>
      </c>
      <c r="AL472" s="54">
        <f t="shared" si="447"/>
        <v>0.11904761904761904</v>
      </c>
      <c r="AM472" s="54">
        <f t="shared" si="448"/>
        <v>2.3809523809523808E-2</v>
      </c>
      <c r="AN472" s="55">
        <f t="shared" si="449"/>
        <v>8.571428571428571E-4</v>
      </c>
      <c r="AO472" s="55">
        <f t="shared" si="450"/>
        <v>1.714285714285714E-4</v>
      </c>
      <c r="AP472" s="53">
        <v>7.1</v>
      </c>
      <c r="AQ472" s="53">
        <f t="shared" si="418"/>
        <v>4.26</v>
      </c>
      <c r="AR472" s="53">
        <f t="shared" si="419"/>
        <v>21.299999999999997</v>
      </c>
      <c r="AS472" s="56">
        <f t="shared" si="420"/>
        <v>4.6948356807511742E-2</v>
      </c>
      <c r="AT472" s="56">
        <f t="shared" si="451"/>
        <v>0.23474178403755869</v>
      </c>
      <c r="AU472" s="56">
        <f t="shared" si="421"/>
        <v>0.176056338028169</v>
      </c>
      <c r="AV472" s="56">
        <f t="shared" si="452"/>
        <v>5.8685446009389672E-2</v>
      </c>
      <c r="AW472" s="57" t="s">
        <v>2511</v>
      </c>
      <c r="AX472" s="57" t="s">
        <v>2512</v>
      </c>
      <c r="AY472" s="57" t="s">
        <v>2513</v>
      </c>
      <c r="AZ472" s="58">
        <f t="shared" si="453"/>
        <v>1.1999999999999999E-3</v>
      </c>
      <c r="BA472" s="59">
        <f t="shared" si="456"/>
        <v>2.1126760563380277E-4</v>
      </c>
      <c r="BB472" s="59">
        <f t="shared" si="457"/>
        <v>6.3380281690140832E-4</v>
      </c>
      <c r="BC472" s="59">
        <f t="shared" si="458"/>
        <v>1.6901408450704225E-4</v>
      </c>
      <c r="BD472" s="60">
        <f t="shared" si="454"/>
        <v>2.6838432635534085E-4</v>
      </c>
      <c r="BE472" s="59">
        <f t="shared" si="455"/>
        <v>1.6103059581320451E-3</v>
      </c>
      <c r="BQ472" s="61">
        <v>3000</v>
      </c>
      <c r="BR472" s="61">
        <v>1200</v>
      </c>
      <c r="BS472" s="28">
        <f t="shared" si="422"/>
        <v>2980</v>
      </c>
      <c r="BT472" s="28">
        <f t="shared" si="423"/>
        <v>1180</v>
      </c>
      <c r="BU472" s="28" t="s">
        <v>2541</v>
      </c>
      <c r="BV472" s="28">
        <f t="shared" si="424"/>
        <v>55</v>
      </c>
      <c r="BW472" s="28">
        <f t="shared" si="425"/>
        <v>17</v>
      </c>
      <c r="BX472" s="13">
        <f t="shared" si="426"/>
        <v>54.18181818181818</v>
      </c>
      <c r="BY472" s="13">
        <f t="shared" si="427"/>
        <v>54</v>
      </c>
      <c r="BZ472" s="13">
        <f t="shared" si="428"/>
        <v>69.411764705882348</v>
      </c>
      <c r="CA472" s="13">
        <f t="shared" si="429"/>
        <v>69</v>
      </c>
      <c r="CB472" s="13">
        <f t="shared" si="430"/>
        <v>3726</v>
      </c>
      <c r="CC472" s="62">
        <f t="shared" si="431"/>
        <v>2.6838432635534085E-4</v>
      </c>
      <c r="CD472" s="13">
        <f t="shared" si="432"/>
        <v>175.29411764705881</v>
      </c>
      <c r="CE472" s="13">
        <f t="shared" si="433"/>
        <v>175</v>
      </c>
      <c r="CF472" s="13">
        <f t="shared" si="434"/>
        <v>21.454545454545453</v>
      </c>
      <c r="CG472" s="13">
        <f t="shared" si="435"/>
        <v>21</v>
      </c>
      <c r="CH472" s="28">
        <f t="shared" si="436"/>
        <v>3675</v>
      </c>
      <c r="CI472" s="62">
        <f t="shared" si="437"/>
        <v>2.7210884353741496E-4</v>
      </c>
      <c r="CJ472" s="59">
        <f t="shared" si="438"/>
        <v>2.6838432635534085E-4</v>
      </c>
      <c r="CL472" s="63">
        <v>6000</v>
      </c>
      <c r="CM472" s="63">
        <f t="shared" si="439"/>
        <v>50</v>
      </c>
      <c r="CN472" s="63">
        <f t="shared" si="440"/>
        <v>55</v>
      </c>
      <c r="CO472" s="63">
        <f t="shared" si="441"/>
        <v>109.09090909090909</v>
      </c>
      <c r="CP472" s="13">
        <f t="shared" si="442"/>
        <v>109</v>
      </c>
      <c r="CQ472" s="70">
        <f t="shared" si="443"/>
        <v>9.1743119266055051E-3</v>
      </c>
      <c r="CR472" s="69">
        <f t="shared" si="411"/>
        <v>5.5045871559633031E-2</v>
      </c>
    </row>
    <row r="473" spans="1:96" hidden="1" x14ac:dyDescent="0.25">
      <c r="A473" s="10">
        <v>3</v>
      </c>
      <c r="B473" s="8" t="s">
        <v>1193</v>
      </c>
      <c r="C473" s="10" t="s">
        <v>1214</v>
      </c>
      <c r="D473" s="10" t="s">
        <v>2270</v>
      </c>
      <c r="E473" s="10" t="s">
        <v>32</v>
      </c>
      <c r="F473" s="12">
        <f t="shared" si="412"/>
        <v>1</v>
      </c>
      <c r="G473" s="10">
        <v>1</v>
      </c>
      <c r="H473" s="10">
        <f>G473*$H$466</f>
        <v>2</v>
      </c>
      <c r="I473" s="10">
        <v>4</v>
      </c>
      <c r="J473" s="8" t="s">
        <v>422</v>
      </c>
      <c r="K473" s="8" t="s">
        <v>34</v>
      </c>
      <c r="L473" s="10" t="s">
        <v>110</v>
      </c>
      <c r="M473" s="8" t="s">
        <v>35</v>
      </c>
      <c r="N473" s="10" t="s">
        <v>1215</v>
      </c>
      <c r="O473" s="28" t="s">
        <v>41</v>
      </c>
      <c r="P473" s="28" t="s">
        <v>41</v>
      </c>
      <c r="Q473" s="28"/>
      <c r="R473" s="30"/>
      <c r="S473" s="30"/>
      <c r="T473" s="30"/>
      <c r="U473" s="30"/>
      <c r="V473" s="8">
        <f t="shared" si="413"/>
        <v>0</v>
      </c>
      <c r="W473" s="8">
        <f t="shared" si="414"/>
        <v>0</v>
      </c>
      <c r="X473" s="8">
        <f t="shared" si="415"/>
        <v>0</v>
      </c>
      <c r="Y473" s="33">
        <f t="shared" si="416"/>
        <v>0</v>
      </c>
      <c r="Z473" s="28"/>
      <c r="AA473" s="28"/>
      <c r="AB473" s="28">
        <v>0</v>
      </c>
      <c r="AC473" s="31"/>
      <c r="AD473" s="50">
        <f t="shared" si="417"/>
        <v>2</v>
      </c>
      <c r="AE473" s="31"/>
      <c r="AF473" s="51">
        <v>14</v>
      </c>
      <c r="AG473" s="51">
        <f t="shared" si="445"/>
        <v>8.4</v>
      </c>
      <c r="AH473" s="51">
        <f t="shared" si="410"/>
        <v>42</v>
      </c>
      <c r="AI473" s="52" t="s">
        <v>2497</v>
      </c>
      <c r="AJ473" s="52" t="s">
        <v>2498</v>
      </c>
      <c r="AK473" s="53">
        <f t="shared" si="446"/>
        <v>0</v>
      </c>
      <c r="AL473" s="54">
        <f t="shared" si="447"/>
        <v>0.11904761904761904</v>
      </c>
      <c r="AM473" s="54">
        <f t="shared" si="448"/>
        <v>2.3809523809523808E-2</v>
      </c>
      <c r="AN473" s="55">
        <f t="shared" si="449"/>
        <v>0</v>
      </c>
      <c r="AO473" s="55">
        <f t="shared" si="450"/>
        <v>0</v>
      </c>
      <c r="AP473" s="53">
        <v>7.1</v>
      </c>
      <c r="AQ473" s="53">
        <f t="shared" si="418"/>
        <v>4.26</v>
      </c>
      <c r="AR473" s="53">
        <f t="shared" si="419"/>
        <v>21.299999999999997</v>
      </c>
      <c r="AS473" s="56">
        <f t="shared" si="420"/>
        <v>4.6948356807511742E-2</v>
      </c>
      <c r="AT473" s="56">
        <f t="shared" si="451"/>
        <v>0.23474178403755869</v>
      </c>
      <c r="AU473" s="56">
        <f t="shared" si="421"/>
        <v>0.176056338028169</v>
      </c>
      <c r="AV473" s="56">
        <f t="shared" si="452"/>
        <v>5.8685446009389672E-2</v>
      </c>
      <c r="AW473" s="57" t="s">
        <v>2511</v>
      </c>
      <c r="AX473" s="57" t="s">
        <v>2512</v>
      </c>
      <c r="AY473" s="57" t="s">
        <v>2513</v>
      </c>
      <c r="AZ473" s="58">
        <f t="shared" si="453"/>
        <v>0</v>
      </c>
      <c r="BA473" s="59">
        <f t="shared" si="456"/>
        <v>0</v>
      </c>
      <c r="BB473" s="59">
        <f t="shared" si="457"/>
        <v>0</v>
      </c>
      <c r="BC473" s="59">
        <f t="shared" si="458"/>
        <v>0</v>
      </c>
      <c r="BD473" s="60">
        <f t="shared" si="454"/>
        <v>0</v>
      </c>
      <c r="BE473" s="59">
        <f t="shared" si="455"/>
        <v>0</v>
      </c>
      <c r="BQ473" s="61">
        <v>3000</v>
      </c>
      <c r="BR473" s="61">
        <v>1200</v>
      </c>
      <c r="BS473" s="28">
        <f t="shared" si="422"/>
        <v>2980</v>
      </c>
      <c r="BT473" s="28">
        <f t="shared" si="423"/>
        <v>1180</v>
      </c>
      <c r="BU473" s="28" t="s">
        <v>2541</v>
      </c>
      <c r="BV473" s="28">
        <f t="shared" si="424"/>
        <v>5</v>
      </c>
      <c r="BW473" s="28">
        <f t="shared" si="425"/>
        <v>5</v>
      </c>
      <c r="BX473" s="13">
        <f t="shared" si="426"/>
        <v>596</v>
      </c>
      <c r="BY473" s="13">
        <f t="shared" si="427"/>
        <v>596</v>
      </c>
      <c r="BZ473" s="13">
        <f t="shared" si="428"/>
        <v>236</v>
      </c>
      <c r="CA473" s="13">
        <f t="shared" si="429"/>
        <v>236</v>
      </c>
      <c r="CB473" s="13">
        <f t="shared" si="430"/>
        <v>140656</v>
      </c>
      <c r="CC473" s="62" t="str">
        <f t="shared" si="431"/>
        <v/>
      </c>
      <c r="CD473" s="13">
        <f t="shared" si="432"/>
        <v>596</v>
      </c>
      <c r="CE473" s="13">
        <f t="shared" si="433"/>
        <v>596</v>
      </c>
      <c r="CF473" s="13">
        <f t="shared" si="434"/>
        <v>236</v>
      </c>
      <c r="CG473" s="13">
        <f t="shared" si="435"/>
        <v>236</v>
      </c>
      <c r="CH473" s="28">
        <f t="shared" si="436"/>
        <v>140656</v>
      </c>
      <c r="CI473" s="62" t="str">
        <f t="shared" si="437"/>
        <v/>
      </c>
      <c r="CJ473" s="59">
        <f t="shared" si="438"/>
        <v>0</v>
      </c>
      <c r="CL473" s="63">
        <v>6000</v>
      </c>
      <c r="CM473" s="63">
        <f t="shared" si="439"/>
        <v>0</v>
      </c>
      <c r="CN473" s="63">
        <f t="shared" si="440"/>
        <v>5</v>
      </c>
      <c r="CO473" s="63">
        <f t="shared" si="441"/>
        <v>1200</v>
      </c>
      <c r="CP473" s="13">
        <f t="shared" si="442"/>
        <v>1200</v>
      </c>
      <c r="CQ473" s="70">
        <f t="shared" si="443"/>
        <v>8.3333333333333339E-4</v>
      </c>
      <c r="CR473" s="69">
        <f t="shared" si="411"/>
        <v>1.6666666666666668E-3</v>
      </c>
    </row>
    <row r="474" spans="1:96" hidden="1" x14ac:dyDescent="0.25">
      <c r="A474" s="13">
        <v>4</v>
      </c>
      <c r="B474" s="14" t="s">
        <v>1216</v>
      </c>
      <c r="C474" s="13" t="s">
        <v>1217</v>
      </c>
      <c r="D474" s="13" t="s">
        <v>2270</v>
      </c>
      <c r="E474" s="13" t="s">
        <v>52</v>
      </c>
      <c r="F474" s="15">
        <f t="shared" si="412"/>
        <v>1</v>
      </c>
      <c r="G474" s="13">
        <v>1</v>
      </c>
      <c r="H474" s="13">
        <f>G474*$H$473</f>
        <v>2</v>
      </c>
      <c r="I474" s="13">
        <v>1</v>
      </c>
      <c r="J474" s="14" t="s">
        <v>422</v>
      </c>
      <c r="K474" s="14" t="s">
        <v>34</v>
      </c>
      <c r="L474" s="13" t="s">
        <v>110</v>
      </c>
      <c r="M474" s="14" t="s">
        <v>35</v>
      </c>
      <c r="N474" s="13" t="s">
        <v>1218</v>
      </c>
      <c r="O474" s="28" t="s">
        <v>41</v>
      </c>
      <c r="P474" s="28" t="s">
        <v>41</v>
      </c>
      <c r="Q474" s="28" t="s">
        <v>116</v>
      </c>
      <c r="R474" s="30">
        <v>53.728000000000002</v>
      </c>
      <c r="S474" s="30">
        <v>3.2930000000000001</v>
      </c>
      <c r="T474" s="30"/>
      <c r="U474" s="30">
        <v>0.11799999999999999</v>
      </c>
      <c r="V474" s="8">
        <f t="shared" si="413"/>
        <v>1364.6912</v>
      </c>
      <c r="W474" s="8">
        <f t="shared" si="414"/>
        <v>83.642200000000003</v>
      </c>
      <c r="X474" s="8">
        <f t="shared" si="415"/>
        <v>0</v>
      </c>
      <c r="Y474" s="33">
        <f t="shared" si="416"/>
        <v>2.9971999999999999</v>
      </c>
      <c r="Z474" s="28" t="s">
        <v>56</v>
      </c>
      <c r="AA474" s="28" t="s">
        <v>57</v>
      </c>
      <c r="AB474" s="28" t="s">
        <v>116</v>
      </c>
      <c r="AC474" s="31" t="s">
        <v>117</v>
      </c>
      <c r="AD474" s="50">
        <f t="shared" si="417"/>
        <v>2</v>
      </c>
      <c r="AE474" s="31"/>
      <c r="AF474" s="51">
        <v>14</v>
      </c>
      <c r="AG474" s="51">
        <f t="shared" si="445"/>
        <v>8.4</v>
      </c>
      <c r="AH474" s="51">
        <f t="shared" si="410"/>
        <v>42</v>
      </c>
      <c r="AI474" s="52" t="s">
        <v>2497</v>
      </c>
      <c r="AJ474" s="52" t="s">
        <v>2498</v>
      </c>
      <c r="AK474" s="53">
        <f t="shared" si="446"/>
        <v>0.22829154857728001</v>
      </c>
      <c r="AL474" s="54">
        <f t="shared" si="447"/>
        <v>0.11904761904761904</v>
      </c>
      <c r="AM474" s="54">
        <f t="shared" si="448"/>
        <v>2.3809523809523808E-2</v>
      </c>
      <c r="AN474" s="55">
        <f t="shared" si="449"/>
        <v>5.4355130613638093E-2</v>
      </c>
      <c r="AO474" s="55">
        <f t="shared" si="450"/>
        <v>1.0871026122727619E-2</v>
      </c>
      <c r="AP474" s="53">
        <v>7.1</v>
      </c>
      <c r="AQ474" s="53">
        <f t="shared" si="418"/>
        <v>4.26</v>
      </c>
      <c r="AR474" s="53">
        <f t="shared" si="419"/>
        <v>21.299999999999997</v>
      </c>
      <c r="AS474" s="56">
        <f t="shared" si="420"/>
        <v>4.6948356807511742E-2</v>
      </c>
      <c r="AT474" s="56">
        <f t="shared" si="451"/>
        <v>0.23474178403755869</v>
      </c>
      <c r="AU474" s="56">
        <f t="shared" si="421"/>
        <v>0.176056338028169</v>
      </c>
      <c r="AV474" s="56">
        <f t="shared" si="452"/>
        <v>5.8685446009389672E-2</v>
      </c>
      <c r="AW474" s="57" t="s">
        <v>2511</v>
      </c>
      <c r="AX474" s="57" t="s">
        <v>2512</v>
      </c>
      <c r="AY474" s="57" t="s">
        <v>2513</v>
      </c>
      <c r="AZ474" s="58">
        <f t="shared" si="453"/>
        <v>0.22829154857728001</v>
      </c>
      <c r="BA474" s="59">
        <f t="shared" si="456"/>
        <v>1.3397391348431925E-2</v>
      </c>
      <c r="BB474" s="59">
        <f t="shared" si="457"/>
        <v>4.0192174045295771E-2</v>
      </c>
      <c r="BC474" s="59">
        <f t="shared" si="458"/>
        <v>1.0717913078745542E-2</v>
      </c>
      <c r="BD474" s="60">
        <f t="shared" si="454"/>
        <v>3.8461538461538464E-2</v>
      </c>
      <c r="BE474" s="59">
        <f t="shared" si="455"/>
        <v>7.6923076923076927E-2</v>
      </c>
      <c r="BQ474" s="61">
        <v>3000</v>
      </c>
      <c r="BR474" s="61">
        <v>1200</v>
      </c>
      <c r="BS474" s="28">
        <f t="shared" si="422"/>
        <v>2980</v>
      </c>
      <c r="BT474" s="28">
        <f t="shared" si="423"/>
        <v>1180</v>
      </c>
      <c r="BU474" s="28" t="s">
        <v>2541</v>
      </c>
      <c r="BV474" s="28">
        <f t="shared" si="424"/>
        <v>1369.6912</v>
      </c>
      <c r="BW474" s="28">
        <f t="shared" si="425"/>
        <v>88.642200000000003</v>
      </c>
      <c r="BX474" s="13">
        <f t="shared" si="426"/>
        <v>2.1756728815955011</v>
      </c>
      <c r="BY474" s="13">
        <f t="shared" si="427"/>
        <v>2</v>
      </c>
      <c r="BZ474" s="13">
        <f t="shared" si="428"/>
        <v>13.311943972509708</v>
      </c>
      <c r="CA474" s="13">
        <f t="shared" si="429"/>
        <v>13</v>
      </c>
      <c r="CB474" s="13">
        <f t="shared" si="430"/>
        <v>26</v>
      </c>
      <c r="CC474" s="62">
        <f t="shared" si="431"/>
        <v>3.8461538461538464E-2</v>
      </c>
      <c r="CD474" s="13">
        <f t="shared" si="432"/>
        <v>33.618299184812649</v>
      </c>
      <c r="CE474" s="13">
        <f t="shared" si="433"/>
        <v>33</v>
      </c>
      <c r="CF474" s="13">
        <f t="shared" si="434"/>
        <v>0.86150805378613804</v>
      </c>
      <c r="CG474" s="13">
        <f t="shared" si="435"/>
        <v>0</v>
      </c>
      <c r="CH474" s="28">
        <f t="shared" si="436"/>
        <v>0</v>
      </c>
      <c r="CI474" s="62">
        <f t="shared" si="437"/>
        <v>1</v>
      </c>
      <c r="CJ474" s="59">
        <f t="shared" si="438"/>
        <v>3.8461538461538464E-2</v>
      </c>
      <c r="CL474" s="63">
        <v>6000</v>
      </c>
      <c r="CM474" s="63">
        <f t="shared" si="439"/>
        <v>1364.6912</v>
      </c>
      <c r="CN474" s="63">
        <f t="shared" si="440"/>
        <v>1369.6912</v>
      </c>
      <c r="CO474" s="63">
        <f t="shared" si="441"/>
        <v>4.3805494260312106</v>
      </c>
      <c r="CP474" s="13">
        <f t="shared" si="442"/>
        <v>4</v>
      </c>
      <c r="CQ474" s="70">
        <f t="shared" si="443"/>
        <v>0.25</v>
      </c>
      <c r="CR474" s="69">
        <f t="shared" si="411"/>
        <v>0.5</v>
      </c>
    </row>
    <row r="475" spans="1:96" hidden="1" x14ac:dyDescent="0.25">
      <c r="A475" s="13">
        <v>4</v>
      </c>
      <c r="B475" s="14" t="s">
        <v>1216</v>
      </c>
      <c r="C475" s="13" t="s">
        <v>1208</v>
      </c>
      <c r="D475" s="13" t="s">
        <v>2270</v>
      </c>
      <c r="E475" s="13" t="s">
        <v>52</v>
      </c>
      <c r="F475" s="15">
        <f t="shared" si="412"/>
        <v>3</v>
      </c>
      <c r="G475" s="13">
        <v>6</v>
      </c>
      <c r="H475" s="13">
        <f t="shared" ref="H475:H476" si="462">G475*$H$473</f>
        <v>12</v>
      </c>
      <c r="I475" s="13">
        <v>2</v>
      </c>
      <c r="J475" s="14" t="s">
        <v>1209</v>
      </c>
      <c r="K475" s="14" t="s">
        <v>34</v>
      </c>
      <c r="L475" s="13" t="s">
        <v>110</v>
      </c>
      <c r="M475" s="14" t="s">
        <v>35</v>
      </c>
      <c r="N475" s="13" t="s">
        <v>1210</v>
      </c>
      <c r="O475" s="28" t="s">
        <v>41</v>
      </c>
      <c r="P475" s="28" t="s">
        <v>41</v>
      </c>
      <c r="Q475" s="28" t="s">
        <v>1178</v>
      </c>
      <c r="R475" s="30">
        <v>1.25</v>
      </c>
      <c r="S475" s="30">
        <v>0.68200000000000005</v>
      </c>
      <c r="T475" s="30"/>
      <c r="U475" s="30">
        <v>0.17699999999999999</v>
      </c>
      <c r="V475" s="8">
        <f t="shared" si="413"/>
        <v>31.75</v>
      </c>
      <c r="W475" s="8">
        <f t="shared" si="414"/>
        <v>17.322800000000001</v>
      </c>
      <c r="X475" s="8">
        <f t="shared" si="415"/>
        <v>0</v>
      </c>
      <c r="Y475" s="33">
        <f t="shared" si="416"/>
        <v>4.4957999999999991</v>
      </c>
      <c r="Z475" s="28" t="s">
        <v>56</v>
      </c>
      <c r="AA475" s="28" t="s">
        <v>57</v>
      </c>
      <c r="AB475" s="61" t="s">
        <v>1178</v>
      </c>
      <c r="AC475" s="31" t="s">
        <v>1179</v>
      </c>
      <c r="AD475" s="50">
        <f t="shared" si="417"/>
        <v>12</v>
      </c>
      <c r="AE475" s="31"/>
      <c r="AF475" s="51">
        <v>14</v>
      </c>
      <c r="AG475" s="51">
        <f t="shared" si="445"/>
        <v>8.4</v>
      </c>
      <c r="AH475" s="51">
        <f t="shared" si="410"/>
        <v>42</v>
      </c>
      <c r="AI475" s="52" t="s">
        <v>2497</v>
      </c>
      <c r="AJ475" s="52" t="s">
        <v>2498</v>
      </c>
      <c r="AK475" s="53">
        <f t="shared" si="446"/>
        <v>1.0999978000000002E-3</v>
      </c>
      <c r="AL475" s="54">
        <f t="shared" si="447"/>
        <v>0.11904761904761904</v>
      </c>
      <c r="AM475" s="54">
        <f t="shared" si="448"/>
        <v>2.3809523809523808E-2</v>
      </c>
      <c r="AN475" s="55">
        <f t="shared" si="449"/>
        <v>1.5714254285714288E-3</v>
      </c>
      <c r="AO475" s="55">
        <f t="shared" si="450"/>
        <v>3.1428508571428574E-4</v>
      </c>
      <c r="AP475" s="53">
        <v>7.1</v>
      </c>
      <c r="AQ475" s="53">
        <f t="shared" si="418"/>
        <v>4.26</v>
      </c>
      <c r="AR475" s="53">
        <f t="shared" si="419"/>
        <v>21.299999999999997</v>
      </c>
      <c r="AS475" s="56">
        <f t="shared" si="420"/>
        <v>4.6948356807511742E-2</v>
      </c>
      <c r="AT475" s="56">
        <f t="shared" si="451"/>
        <v>0.23474178403755869</v>
      </c>
      <c r="AU475" s="56">
        <f t="shared" si="421"/>
        <v>0.176056338028169</v>
      </c>
      <c r="AV475" s="56">
        <f t="shared" si="452"/>
        <v>5.8685446009389672E-2</v>
      </c>
      <c r="AW475" s="57" t="s">
        <v>2511</v>
      </c>
      <c r="AX475" s="57" t="s">
        <v>2512</v>
      </c>
      <c r="AY475" s="57" t="s">
        <v>2513</v>
      </c>
      <c r="AZ475" s="58">
        <f t="shared" si="453"/>
        <v>1.0999978000000002E-3</v>
      </c>
      <c r="BA475" s="59">
        <f t="shared" si="456"/>
        <v>3.8732316901408454E-4</v>
      </c>
      <c r="BB475" s="59">
        <f t="shared" si="457"/>
        <v>1.1619695070422536E-3</v>
      </c>
      <c r="BC475" s="59">
        <f t="shared" si="458"/>
        <v>3.0985853521126765E-4</v>
      </c>
      <c r="BD475" s="60">
        <f t="shared" si="454"/>
        <v>2.3496240601503758E-4</v>
      </c>
      <c r="BE475" s="59">
        <f t="shared" si="455"/>
        <v>2.819548872180451E-3</v>
      </c>
      <c r="BQ475" s="61">
        <v>3000</v>
      </c>
      <c r="BR475" s="61">
        <v>1200</v>
      </c>
      <c r="BS475" s="28">
        <f t="shared" si="422"/>
        <v>2980</v>
      </c>
      <c r="BT475" s="28">
        <f t="shared" si="423"/>
        <v>1180</v>
      </c>
      <c r="BU475" s="28" t="s">
        <v>2541</v>
      </c>
      <c r="BV475" s="28">
        <f t="shared" si="424"/>
        <v>36.75</v>
      </c>
      <c r="BW475" s="28">
        <f t="shared" si="425"/>
        <v>22.322800000000001</v>
      </c>
      <c r="BX475" s="13">
        <f t="shared" si="426"/>
        <v>81.088435374149654</v>
      </c>
      <c r="BY475" s="13">
        <f t="shared" si="427"/>
        <v>81</v>
      </c>
      <c r="BZ475" s="13">
        <f t="shared" si="428"/>
        <v>52.860752235382655</v>
      </c>
      <c r="CA475" s="13">
        <f t="shared" si="429"/>
        <v>52</v>
      </c>
      <c r="CB475" s="13">
        <f t="shared" si="430"/>
        <v>4212</v>
      </c>
      <c r="CC475" s="62">
        <f t="shared" si="431"/>
        <v>2.3741690408357076E-4</v>
      </c>
      <c r="CD475" s="13">
        <f t="shared" si="432"/>
        <v>133.49579801816975</v>
      </c>
      <c r="CE475" s="13">
        <f t="shared" si="433"/>
        <v>133</v>
      </c>
      <c r="CF475" s="13">
        <f t="shared" si="434"/>
        <v>32.108843537414963</v>
      </c>
      <c r="CG475" s="13">
        <f t="shared" si="435"/>
        <v>32</v>
      </c>
      <c r="CH475" s="28">
        <f t="shared" si="436"/>
        <v>4256</v>
      </c>
      <c r="CI475" s="62">
        <f t="shared" si="437"/>
        <v>2.3496240601503758E-4</v>
      </c>
      <c r="CJ475" s="59">
        <f t="shared" si="438"/>
        <v>2.3496240601503758E-4</v>
      </c>
      <c r="CL475" s="63">
        <v>6000</v>
      </c>
      <c r="CM475" s="63">
        <f t="shared" si="439"/>
        <v>31.75</v>
      </c>
      <c r="CN475" s="63">
        <f t="shared" si="440"/>
        <v>36.75</v>
      </c>
      <c r="CO475" s="63">
        <f t="shared" si="441"/>
        <v>163.26530612244898</v>
      </c>
      <c r="CP475" s="13">
        <f t="shared" si="442"/>
        <v>163</v>
      </c>
      <c r="CQ475" s="70">
        <f t="shared" si="443"/>
        <v>6.1349693251533744E-3</v>
      </c>
      <c r="CR475" s="69">
        <f t="shared" si="411"/>
        <v>7.3619631901840496E-2</v>
      </c>
    </row>
    <row r="476" spans="1:96" hidden="1" x14ac:dyDescent="0.25">
      <c r="A476" s="13">
        <v>4</v>
      </c>
      <c r="B476" s="14" t="s">
        <v>1216</v>
      </c>
      <c r="C476" s="13" t="s">
        <v>1211</v>
      </c>
      <c r="D476" s="13" t="s">
        <v>2270</v>
      </c>
      <c r="E476" s="13" t="s">
        <v>52</v>
      </c>
      <c r="F476" s="15">
        <f t="shared" si="412"/>
        <v>3</v>
      </c>
      <c r="G476" s="13">
        <v>3</v>
      </c>
      <c r="H476" s="13">
        <f t="shared" si="462"/>
        <v>6</v>
      </c>
      <c r="I476" s="13">
        <v>3</v>
      </c>
      <c r="J476" s="14" t="s">
        <v>1212</v>
      </c>
      <c r="K476" s="14" t="s">
        <v>34</v>
      </c>
      <c r="L476" s="13">
        <v>0</v>
      </c>
      <c r="M476" s="14" t="s">
        <v>35</v>
      </c>
      <c r="N476" s="13" t="s">
        <v>1213</v>
      </c>
      <c r="O476" s="28" t="s">
        <v>41</v>
      </c>
      <c r="P476" s="28" t="s">
        <v>41</v>
      </c>
      <c r="Q476" s="28" t="s">
        <v>103</v>
      </c>
      <c r="R476" s="30">
        <v>1.9685039370078741</v>
      </c>
      <c r="S476" s="30">
        <v>0.47244094488188981</v>
      </c>
      <c r="T476" s="30"/>
      <c r="U476" s="30">
        <v>0.23622047244094491</v>
      </c>
      <c r="V476" s="8">
        <f t="shared" si="413"/>
        <v>50</v>
      </c>
      <c r="W476" s="8">
        <f t="shared" si="414"/>
        <v>12</v>
      </c>
      <c r="X476" s="8">
        <f t="shared" si="415"/>
        <v>0</v>
      </c>
      <c r="Y476" s="33">
        <f t="shared" si="416"/>
        <v>6</v>
      </c>
      <c r="Z476" s="28" t="s">
        <v>56</v>
      </c>
      <c r="AA476" s="28" t="s">
        <v>57</v>
      </c>
      <c r="AB476" s="28" t="s">
        <v>103</v>
      </c>
      <c r="AC476" s="31" t="s">
        <v>104</v>
      </c>
      <c r="AD476" s="50">
        <f t="shared" si="417"/>
        <v>6</v>
      </c>
      <c r="AE476" s="31"/>
      <c r="AF476" s="51">
        <v>14</v>
      </c>
      <c r="AG476" s="51">
        <f t="shared" si="445"/>
        <v>8.4</v>
      </c>
      <c r="AH476" s="51">
        <f t="shared" si="410"/>
        <v>42</v>
      </c>
      <c r="AI476" s="52" t="s">
        <v>2497</v>
      </c>
      <c r="AJ476" s="52" t="s">
        <v>2498</v>
      </c>
      <c r="AK476" s="53">
        <f t="shared" si="446"/>
        <v>1.1999999999999999E-3</v>
      </c>
      <c r="AL476" s="54">
        <f t="shared" si="447"/>
        <v>0.11904761904761904</v>
      </c>
      <c r="AM476" s="54">
        <f t="shared" si="448"/>
        <v>2.3809523809523808E-2</v>
      </c>
      <c r="AN476" s="55">
        <f t="shared" si="449"/>
        <v>8.571428571428571E-4</v>
      </c>
      <c r="AO476" s="55">
        <f t="shared" si="450"/>
        <v>1.714285714285714E-4</v>
      </c>
      <c r="AP476" s="53">
        <v>7.1</v>
      </c>
      <c r="AQ476" s="53">
        <f t="shared" si="418"/>
        <v>4.26</v>
      </c>
      <c r="AR476" s="53">
        <f t="shared" si="419"/>
        <v>21.299999999999997</v>
      </c>
      <c r="AS476" s="56">
        <f t="shared" si="420"/>
        <v>4.6948356807511742E-2</v>
      </c>
      <c r="AT476" s="56">
        <f t="shared" si="451"/>
        <v>0.23474178403755869</v>
      </c>
      <c r="AU476" s="56">
        <f t="shared" si="421"/>
        <v>0.176056338028169</v>
      </c>
      <c r="AV476" s="56">
        <f t="shared" si="452"/>
        <v>5.8685446009389672E-2</v>
      </c>
      <c r="AW476" s="57" t="s">
        <v>2511</v>
      </c>
      <c r="AX476" s="57" t="s">
        <v>2512</v>
      </c>
      <c r="AY476" s="57" t="s">
        <v>2513</v>
      </c>
      <c r="AZ476" s="58">
        <f t="shared" si="453"/>
        <v>1.1999999999999999E-3</v>
      </c>
      <c r="BA476" s="59">
        <f t="shared" si="456"/>
        <v>2.1126760563380277E-4</v>
      </c>
      <c r="BB476" s="59">
        <f t="shared" si="457"/>
        <v>6.3380281690140832E-4</v>
      </c>
      <c r="BC476" s="59">
        <f t="shared" si="458"/>
        <v>1.6901408450704225E-4</v>
      </c>
      <c r="BD476" s="60">
        <f t="shared" si="454"/>
        <v>2.6838432635534085E-4</v>
      </c>
      <c r="BE476" s="59">
        <f t="shared" si="455"/>
        <v>1.6103059581320451E-3</v>
      </c>
      <c r="BQ476" s="61">
        <v>3000</v>
      </c>
      <c r="BR476" s="61">
        <v>1200</v>
      </c>
      <c r="BS476" s="28">
        <f t="shared" si="422"/>
        <v>2980</v>
      </c>
      <c r="BT476" s="28">
        <f t="shared" si="423"/>
        <v>1180</v>
      </c>
      <c r="BU476" s="28" t="s">
        <v>2541</v>
      </c>
      <c r="BV476" s="28">
        <f t="shared" si="424"/>
        <v>55</v>
      </c>
      <c r="BW476" s="28">
        <f t="shared" si="425"/>
        <v>17</v>
      </c>
      <c r="BX476" s="13">
        <f t="shared" si="426"/>
        <v>54.18181818181818</v>
      </c>
      <c r="BY476" s="13">
        <f t="shared" si="427"/>
        <v>54</v>
      </c>
      <c r="BZ476" s="13">
        <f t="shared" si="428"/>
        <v>69.411764705882348</v>
      </c>
      <c r="CA476" s="13">
        <f t="shared" si="429"/>
        <v>69</v>
      </c>
      <c r="CB476" s="13">
        <f t="shared" si="430"/>
        <v>3726</v>
      </c>
      <c r="CC476" s="62">
        <f t="shared" si="431"/>
        <v>2.6838432635534085E-4</v>
      </c>
      <c r="CD476" s="13">
        <f t="shared" si="432"/>
        <v>175.29411764705881</v>
      </c>
      <c r="CE476" s="13">
        <f t="shared" si="433"/>
        <v>175</v>
      </c>
      <c r="CF476" s="13">
        <f t="shared" si="434"/>
        <v>21.454545454545453</v>
      </c>
      <c r="CG476" s="13">
        <f t="shared" si="435"/>
        <v>21</v>
      </c>
      <c r="CH476" s="28">
        <f t="shared" si="436"/>
        <v>3675</v>
      </c>
      <c r="CI476" s="62">
        <f t="shared" si="437"/>
        <v>2.7210884353741496E-4</v>
      </c>
      <c r="CJ476" s="59">
        <f t="shared" si="438"/>
        <v>2.6838432635534085E-4</v>
      </c>
      <c r="CL476" s="63">
        <v>6000</v>
      </c>
      <c r="CM476" s="63">
        <f t="shared" si="439"/>
        <v>50</v>
      </c>
      <c r="CN476" s="63">
        <f t="shared" si="440"/>
        <v>55</v>
      </c>
      <c r="CO476" s="63">
        <f t="shared" si="441"/>
        <v>109.09090909090909</v>
      </c>
      <c r="CP476" s="13">
        <f t="shared" si="442"/>
        <v>109</v>
      </c>
      <c r="CQ476" s="70">
        <f t="shared" si="443"/>
        <v>9.1743119266055051E-3</v>
      </c>
      <c r="CR476" s="69">
        <f t="shared" si="411"/>
        <v>5.5045871559633031E-2</v>
      </c>
    </row>
    <row r="477" spans="1:96" hidden="1" x14ac:dyDescent="0.25">
      <c r="A477" s="36">
        <v>2</v>
      </c>
      <c r="B477" s="37" t="s">
        <v>37</v>
      </c>
      <c r="C477" s="36" t="s">
        <v>1219</v>
      </c>
      <c r="D477" s="36" t="s">
        <v>2270</v>
      </c>
      <c r="E477" s="36" t="s">
        <v>32</v>
      </c>
      <c r="F477" s="38">
        <f t="shared" si="412"/>
        <v>1</v>
      </c>
      <c r="G477" s="36">
        <v>2</v>
      </c>
      <c r="H477" s="36">
        <f>G477*$H$3</f>
        <v>2</v>
      </c>
      <c r="I477" s="36">
        <v>6</v>
      </c>
      <c r="J477" s="37" t="s">
        <v>1191</v>
      </c>
      <c r="K477" s="37" t="s">
        <v>34</v>
      </c>
      <c r="L477" s="36">
        <v>0</v>
      </c>
      <c r="M477" s="37" t="s">
        <v>35</v>
      </c>
      <c r="N477" s="36" t="s">
        <v>1220</v>
      </c>
      <c r="O477" s="28" t="s">
        <v>41</v>
      </c>
      <c r="P477" s="28" t="s">
        <v>41</v>
      </c>
      <c r="Q477" s="28"/>
      <c r="R477" s="30"/>
      <c r="S477" s="30"/>
      <c r="T477" s="30"/>
      <c r="U477" s="30"/>
      <c r="V477" s="8">
        <f t="shared" si="413"/>
        <v>0</v>
      </c>
      <c r="W477" s="8">
        <f t="shared" si="414"/>
        <v>0</v>
      </c>
      <c r="X477" s="8">
        <f t="shared" si="415"/>
        <v>0</v>
      </c>
      <c r="Y477" s="33">
        <f t="shared" si="416"/>
        <v>0</v>
      </c>
      <c r="Z477" s="28"/>
      <c r="AA477" s="28"/>
      <c r="AB477" s="28">
        <v>0</v>
      </c>
      <c r="AC477" s="31"/>
      <c r="AD477" s="50">
        <f t="shared" si="417"/>
        <v>2</v>
      </c>
      <c r="AE477" s="31"/>
      <c r="AF477" s="51">
        <v>14</v>
      </c>
      <c r="AG477" s="51">
        <f t="shared" si="445"/>
        <v>8.4</v>
      </c>
      <c r="AH477" s="51">
        <f t="shared" si="410"/>
        <v>42</v>
      </c>
      <c r="AI477" s="52" t="s">
        <v>2497</v>
      </c>
      <c r="AJ477" s="52" t="s">
        <v>2498</v>
      </c>
      <c r="AK477" s="53">
        <f t="shared" si="446"/>
        <v>0</v>
      </c>
      <c r="AL477" s="54">
        <f t="shared" si="447"/>
        <v>0.11904761904761904</v>
      </c>
      <c r="AM477" s="54">
        <f t="shared" si="448"/>
        <v>2.3809523809523808E-2</v>
      </c>
      <c r="AN477" s="55">
        <f t="shared" si="449"/>
        <v>0</v>
      </c>
      <c r="AO477" s="55">
        <f t="shared" si="450"/>
        <v>0</v>
      </c>
      <c r="AP477" s="53">
        <v>7.1</v>
      </c>
      <c r="AQ477" s="53">
        <f t="shared" si="418"/>
        <v>4.26</v>
      </c>
      <c r="AR477" s="53">
        <f t="shared" si="419"/>
        <v>21.299999999999997</v>
      </c>
      <c r="AS477" s="56">
        <f t="shared" si="420"/>
        <v>4.6948356807511742E-2</v>
      </c>
      <c r="AT477" s="56">
        <f t="shared" si="451"/>
        <v>0.23474178403755869</v>
      </c>
      <c r="AU477" s="56">
        <f t="shared" si="421"/>
        <v>0.176056338028169</v>
      </c>
      <c r="AV477" s="56">
        <f t="shared" si="452"/>
        <v>5.8685446009389672E-2</v>
      </c>
      <c r="AW477" s="57" t="s">
        <v>2511</v>
      </c>
      <c r="AX477" s="57" t="s">
        <v>2512</v>
      </c>
      <c r="AY477" s="57" t="s">
        <v>2513</v>
      </c>
      <c r="AZ477" s="58">
        <f t="shared" si="453"/>
        <v>0</v>
      </c>
      <c r="BA477" s="59">
        <f t="shared" si="456"/>
        <v>0</v>
      </c>
      <c r="BB477" s="59">
        <f t="shared" si="457"/>
        <v>0</v>
      </c>
      <c r="BC477" s="59">
        <f t="shared" si="458"/>
        <v>0</v>
      </c>
      <c r="BD477" s="60">
        <f t="shared" si="454"/>
        <v>0</v>
      </c>
      <c r="BE477" s="59">
        <f t="shared" si="455"/>
        <v>0</v>
      </c>
      <c r="BQ477" s="61">
        <v>3000</v>
      </c>
      <c r="BR477" s="61">
        <v>1200</v>
      </c>
      <c r="BS477" s="28">
        <f t="shared" si="422"/>
        <v>2980</v>
      </c>
      <c r="BT477" s="28">
        <f t="shared" si="423"/>
        <v>1180</v>
      </c>
      <c r="BU477" s="28" t="s">
        <v>2541</v>
      </c>
      <c r="BV477" s="28">
        <f t="shared" si="424"/>
        <v>5</v>
      </c>
      <c r="BW477" s="28">
        <f t="shared" si="425"/>
        <v>5</v>
      </c>
      <c r="BX477" s="13">
        <f t="shared" si="426"/>
        <v>596</v>
      </c>
      <c r="BY477" s="13">
        <f t="shared" si="427"/>
        <v>596</v>
      </c>
      <c r="BZ477" s="13">
        <f t="shared" si="428"/>
        <v>236</v>
      </c>
      <c r="CA477" s="13">
        <f t="shared" si="429"/>
        <v>236</v>
      </c>
      <c r="CB477" s="13">
        <f t="shared" si="430"/>
        <v>140656</v>
      </c>
      <c r="CC477" s="62" t="str">
        <f t="shared" si="431"/>
        <v/>
      </c>
      <c r="CD477" s="13">
        <f t="shared" si="432"/>
        <v>596</v>
      </c>
      <c r="CE477" s="13">
        <f t="shared" si="433"/>
        <v>596</v>
      </c>
      <c r="CF477" s="13">
        <f t="shared" si="434"/>
        <v>236</v>
      </c>
      <c r="CG477" s="13">
        <f t="shared" si="435"/>
        <v>236</v>
      </c>
      <c r="CH477" s="28">
        <f t="shared" si="436"/>
        <v>140656</v>
      </c>
      <c r="CI477" s="62" t="str">
        <f t="shared" si="437"/>
        <v/>
      </c>
      <c r="CJ477" s="59">
        <f t="shared" si="438"/>
        <v>0</v>
      </c>
      <c r="CL477" s="63">
        <v>6000</v>
      </c>
      <c r="CM477" s="63">
        <f t="shared" si="439"/>
        <v>0</v>
      </c>
      <c r="CN477" s="63">
        <f t="shared" si="440"/>
        <v>5</v>
      </c>
      <c r="CO477" s="63">
        <f t="shared" si="441"/>
        <v>1200</v>
      </c>
      <c r="CP477" s="13">
        <f t="shared" si="442"/>
        <v>1200</v>
      </c>
      <c r="CQ477" s="70">
        <f t="shared" si="443"/>
        <v>8.3333333333333339E-4</v>
      </c>
      <c r="CR477" s="69">
        <f t="shared" si="411"/>
        <v>1.6666666666666668E-3</v>
      </c>
    </row>
    <row r="478" spans="1:96" hidden="1" x14ac:dyDescent="0.25">
      <c r="A478" s="10">
        <v>3</v>
      </c>
      <c r="B478" s="8" t="s">
        <v>1221</v>
      </c>
      <c r="C478" s="10" t="s">
        <v>1200</v>
      </c>
      <c r="D478" s="10" t="s">
        <v>2270</v>
      </c>
      <c r="E478" s="10" t="s">
        <v>52</v>
      </c>
      <c r="F478" s="12">
        <f t="shared" si="412"/>
        <v>2</v>
      </c>
      <c r="G478" s="10">
        <v>2</v>
      </c>
      <c r="H478" s="10">
        <f>G478*$H$477</f>
        <v>4</v>
      </c>
      <c r="I478" s="10">
        <v>1</v>
      </c>
      <c r="J478" s="8" t="s">
        <v>1201</v>
      </c>
      <c r="K478" s="8" t="s">
        <v>34</v>
      </c>
      <c r="L478" s="10">
        <v>0</v>
      </c>
      <c r="M478" s="8" t="s">
        <v>35</v>
      </c>
      <c r="N478" s="10" t="s">
        <v>1202</v>
      </c>
      <c r="O478" s="28" t="s">
        <v>41</v>
      </c>
      <c r="P478" s="28" t="s">
        <v>41</v>
      </c>
      <c r="Q478" s="28" t="s">
        <v>116</v>
      </c>
      <c r="R478" s="30">
        <v>54.905000000000001</v>
      </c>
      <c r="S478" s="30">
        <v>1.95</v>
      </c>
      <c r="T478" s="30"/>
      <c r="U478" s="30">
        <v>0.11799999999999999</v>
      </c>
      <c r="V478" s="8">
        <f t="shared" si="413"/>
        <v>1394.587</v>
      </c>
      <c r="W478" s="8">
        <f t="shared" si="414"/>
        <v>49.529999999999994</v>
      </c>
      <c r="X478" s="8">
        <f t="shared" si="415"/>
        <v>0</v>
      </c>
      <c r="Y478" s="33">
        <f t="shared" si="416"/>
        <v>2.9971999999999999</v>
      </c>
      <c r="Z478" s="28" t="s">
        <v>56</v>
      </c>
      <c r="AA478" s="28" t="s">
        <v>57</v>
      </c>
      <c r="AB478" s="28" t="s">
        <v>116</v>
      </c>
      <c r="AC478" s="31" t="s">
        <v>117</v>
      </c>
      <c r="AD478" s="50">
        <f t="shared" si="417"/>
        <v>4</v>
      </c>
      <c r="AE478" s="31"/>
      <c r="AF478" s="51">
        <v>14</v>
      </c>
      <c r="AG478" s="51">
        <f t="shared" si="445"/>
        <v>8.4</v>
      </c>
      <c r="AH478" s="51">
        <f t="shared" si="410"/>
        <v>42</v>
      </c>
      <c r="AI478" s="52" t="s">
        <v>2497</v>
      </c>
      <c r="AJ478" s="52" t="s">
        <v>2498</v>
      </c>
      <c r="AK478" s="53">
        <f t="shared" si="446"/>
        <v>0.13814778821999998</v>
      </c>
      <c r="AL478" s="54">
        <f t="shared" si="447"/>
        <v>0.11904761904761904</v>
      </c>
      <c r="AM478" s="54">
        <f t="shared" si="448"/>
        <v>2.3809523809523808E-2</v>
      </c>
      <c r="AN478" s="55">
        <f t="shared" si="449"/>
        <v>6.578466105714284E-2</v>
      </c>
      <c r="AO478" s="55">
        <f t="shared" si="450"/>
        <v>1.3156932211428569E-2</v>
      </c>
      <c r="AP478" s="53">
        <v>7.1</v>
      </c>
      <c r="AQ478" s="53">
        <f t="shared" si="418"/>
        <v>4.26</v>
      </c>
      <c r="AR478" s="53">
        <f t="shared" si="419"/>
        <v>21.299999999999997</v>
      </c>
      <c r="AS478" s="56">
        <f t="shared" si="420"/>
        <v>4.6948356807511742E-2</v>
      </c>
      <c r="AT478" s="56">
        <f t="shared" si="451"/>
        <v>0.23474178403755869</v>
      </c>
      <c r="AU478" s="56">
        <f t="shared" si="421"/>
        <v>0.176056338028169</v>
      </c>
      <c r="AV478" s="56">
        <f t="shared" si="452"/>
        <v>5.8685446009389672E-2</v>
      </c>
      <c r="AW478" s="57" t="s">
        <v>2511</v>
      </c>
      <c r="AX478" s="57" t="s">
        <v>2512</v>
      </c>
      <c r="AY478" s="57" t="s">
        <v>2513</v>
      </c>
      <c r="AZ478" s="58">
        <f t="shared" si="453"/>
        <v>0.13814778821999998</v>
      </c>
      <c r="BA478" s="59">
        <f t="shared" si="456"/>
        <v>1.6214529133802814E-2</v>
      </c>
      <c r="BB478" s="59">
        <f t="shared" si="457"/>
        <v>4.8643587401408443E-2</v>
      </c>
      <c r="BC478" s="59">
        <f t="shared" si="458"/>
        <v>1.2971623307042253E-2</v>
      </c>
      <c r="BD478" s="60">
        <f t="shared" si="454"/>
        <v>2.3809523809523808E-2</v>
      </c>
      <c r="BE478" s="59">
        <f t="shared" si="455"/>
        <v>9.5238095238095233E-2</v>
      </c>
      <c r="BQ478" s="61">
        <v>3000</v>
      </c>
      <c r="BR478" s="61">
        <v>1200</v>
      </c>
      <c r="BS478" s="28">
        <f t="shared" si="422"/>
        <v>2980</v>
      </c>
      <c r="BT478" s="28">
        <f t="shared" si="423"/>
        <v>1180</v>
      </c>
      <c r="BU478" s="28" t="s">
        <v>2541</v>
      </c>
      <c r="BV478" s="28">
        <f t="shared" si="424"/>
        <v>1399.587</v>
      </c>
      <c r="BW478" s="28">
        <f t="shared" si="425"/>
        <v>54.529999999999994</v>
      </c>
      <c r="BX478" s="13">
        <f t="shared" si="426"/>
        <v>2.1291995424364472</v>
      </c>
      <c r="BY478" s="13">
        <f t="shared" si="427"/>
        <v>2</v>
      </c>
      <c r="BZ478" s="13">
        <f t="shared" si="428"/>
        <v>21.639464514945903</v>
      </c>
      <c r="CA478" s="13">
        <f t="shared" si="429"/>
        <v>21</v>
      </c>
      <c r="CB478" s="13">
        <f t="shared" si="430"/>
        <v>42</v>
      </c>
      <c r="CC478" s="62">
        <f t="shared" si="431"/>
        <v>2.3809523809523808E-2</v>
      </c>
      <c r="CD478" s="13">
        <f t="shared" si="432"/>
        <v>54.648817164863381</v>
      </c>
      <c r="CE478" s="13">
        <f t="shared" si="433"/>
        <v>54</v>
      </c>
      <c r="CF478" s="13">
        <f t="shared" si="434"/>
        <v>0.84310585908557312</v>
      </c>
      <c r="CG478" s="13">
        <f t="shared" si="435"/>
        <v>0</v>
      </c>
      <c r="CH478" s="28">
        <f t="shared" si="436"/>
        <v>0</v>
      </c>
      <c r="CI478" s="62">
        <f t="shared" si="437"/>
        <v>1</v>
      </c>
      <c r="CJ478" s="59">
        <f t="shared" si="438"/>
        <v>2.3809523809523808E-2</v>
      </c>
      <c r="CL478" s="63">
        <v>6000</v>
      </c>
      <c r="CM478" s="63">
        <f t="shared" si="439"/>
        <v>1394.587</v>
      </c>
      <c r="CN478" s="63">
        <f t="shared" si="440"/>
        <v>1399.587</v>
      </c>
      <c r="CO478" s="63">
        <f t="shared" si="441"/>
        <v>4.2869789445029145</v>
      </c>
      <c r="CP478" s="13">
        <f t="shared" si="442"/>
        <v>4</v>
      </c>
      <c r="CQ478" s="70">
        <f t="shared" si="443"/>
        <v>0.25</v>
      </c>
      <c r="CR478" s="69">
        <f t="shared" si="411"/>
        <v>1</v>
      </c>
    </row>
    <row r="479" spans="1:96" hidden="1" x14ac:dyDescent="0.25">
      <c r="A479" s="10">
        <v>3</v>
      </c>
      <c r="B479" s="8" t="s">
        <v>1221</v>
      </c>
      <c r="C479" s="10" t="s">
        <v>1222</v>
      </c>
      <c r="D479" s="10" t="s">
        <v>2270</v>
      </c>
      <c r="E479" s="10" t="s">
        <v>32</v>
      </c>
      <c r="F479" s="12">
        <f t="shared" si="412"/>
        <v>1</v>
      </c>
      <c r="G479" s="10">
        <v>2</v>
      </c>
      <c r="H479" s="10">
        <f>G479*$H$477</f>
        <v>4</v>
      </c>
      <c r="I479" s="10">
        <v>2</v>
      </c>
      <c r="J479" s="8" t="s">
        <v>422</v>
      </c>
      <c r="K479" s="8" t="s">
        <v>34</v>
      </c>
      <c r="L479" s="10" t="s">
        <v>110</v>
      </c>
      <c r="M479" s="8" t="s">
        <v>35</v>
      </c>
      <c r="N479" s="10" t="s">
        <v>1223</v>
      </c>
      <c r="O479" s="28" t="s">
        <v>41</v>
      </c>
      <c r="P479" s="28" t="s">
        <v>41</v>
      </c>
      <c r="Q479" s="28"/>
      <c r="R479" s="30"/>
      <c r="S479" s="30"/>
      <c r="T479" s="30"/>
      <c r="U479" s="30"/>
      <c r="V479" s="8">
        <f t="shared" si="413"/>
        <v>0</v>
      </c>
      <c r="W479" s="8">
        <f t="shared" si="414"/>
        <v>0</v>
      </c>
      <c r="X479" s="8">
        <f t="shared" si="415"/>
        <v>0</v>
      </c>
      <c r="Y479" s="33">
        <f t="shared" si="416"/>
        <v>0</v>
      </c>
      <c r="Z479" s="28"/>
      <c r="AA479" s="28"/>
      <c r="AB479" s="28">
        <v>0</v>
      </c>
      <c r="AC479" s="31"/>
      <c r="AD479" s="50">
        <f t="shared" si="417"/>
        <v>4</v>
      </c>
      <c r="AE479" s="31"/>
      <c r="AF479" s="51">
        <v>14</v>
      </c>
      <c r="AG479" s="51">
        <f t="shared" si="445"/>
        <v>8.4</v>
      </c>
      <c r="AH479" s="51">
        <f t="shared" si="410"/>
        <v>42</v>
      </c>
      <c r="AI479" s="52" t="s">
        <v>2497</v>
      </c>
      <c r="AJ479" s="52" t="s">
        <v>2498</v>
      </c>
      <c r="AK479" s="53">
        <f t="shared" si="446"/>
        <v>0</v>
      </c>
      <c r="AL479" s="54">
        <f t="shared" si="447"/>
        <v>0.11904761904761904</v>
      </c>
      <c r="AM479" s="54">
        <f t="shared" si="448"/>
        <v>2.3809523809523808E-2</v>
      </c>
      <c r="AN479" s="55">
        <f t="shared" si="449"/>
        <v>0</v>
      </c>
      <c r="AO479" s="55">
        <f t="shared" si="450"/>
        <v>0</v>
      </c>
      <c r="AP479" s="53">
        <v>7.1</v>
      </c>
      <c r="AQ479" s="53">
        <f t="shared" si="418"/>
        <v>4.26</v>
      </c>
      <c r="AR479" s="53">
        <f t="shared" si="419"/>
        <v>21.299999999999997</v>
      </c>
      <c r="AS479" s="56">
        <f t="shared" si="420"/>
        <v>4.6948356807511742E-2</v>
      </c>
      <c r="AT479" s="56">
        <f t="shared" si="451"/>
        <v>0.23474178403755869</v>
      </c>
      <c r="AU479" s="56">
        <f t="shared" si="421"/>
        <v>0.176056338028169</v>
      </c>
      <c r="AV479" s="56">
        <f t="shared" si="452"/>
        <v>5.8685446009389672E-2</v>
      </c>
      <c r="AW479" s="57" t="s">
        <v>2511</v>
      </c>
      <c r="AX479" s="57" t="s">
        <v>2512</v>
      </c>
      <c r="AY479" s="57" t="s">
        <v>2513</v>
      </c>
      <c r="AZ479" s="58">
        <f t="shared" si="453"/>
        <v>0</v>
      </c>
      <c r="BA479" s="59">
        <f t="shared" si="456"/>
        <v>0</v>
      </c>
      <c r="BB479" s="59">
        <f t="shared" si="457"/>
        <v>0</v>
      </c>
      <c r="BC479" s="59">
        <f t="shared" si="458"/>
        <v>0</v>
      </c>
      <c r="BD479" s="60">
        <f t="shared" si="454"/>
        <v>0</v>
      </c>
      <c r="BE479" s="59">
        <f t="shared" si="455"/>
        <v>0</v>
      </c>
      <c r="BQ479" s="61">
        <v>3000</v>
      </c>
      <c r="BR479" s="61">
        <v>1200</v>
      </c>
      <c r="BS479" s="28">
        <f t="shared" si="422"/>
        <v>2980</v>
      </c>
      <c r="BT479" s="28">
        <f t="shared" si="423"/>
        <v>1180</v>
      </c>
      <c r="BU479" s="28" t="s">
        <v>2541</v>
      </c>
      <c r="BV479" s="28">
        <f t="shared" si="424"/>
        <v>5</v>
      </c>
      <c r="BW479" s="28">
        <f t="shared" si="425"/>
        <v>5</v>
      </c>
      <c r="BX479" s="13">
        <f t="shared" si="426"/>
        <v>596</v>
      </c>
      <c r="BY479" s="13">
        <f t="shared" si="427"/>
        <v>596</v>
      </c>
      <c r="BZ479" s="13">
        <f t="shared" si="428"/>
        <v>236</v>
      </c>
      <c r="CA479" s="13">
        <f t="shared" si="429"/>
        <v>236</v>
      </c>
      <c r="CB479" s="13">
        <f t="shared" si="430"/>
        <v>140656</v>
      </c>
      <c r="CC479" s="62" t="str">
        <f t="shared" si="431"/>
        <v/>
      </c>
      <c r="CD479" s="13">
        <f t="shared" si="432"/>
        <v>596</v>
      </c>
      <c r="CE479" s="13">
        <f t="shared" si="433"/>
        <v>596</v>
      </c>
      <c r="CF479" s="13">
        <f t="shared" si="434"/>
        <v>236</v>
      </c>
      <c r="CG479" s="13">
        <f t="shared" si="435"/>
        <v>236</v>
      </c>
      <c r="CH479" s="28">
        <f t="shared" si="436"/>
        <v>140656</v>
      </c>
      <c r="CI479" s="62" t="str">
        <f t="shared" si="437"/>
        <v/>
      </c>
      <c r="CJ479" s="59">
        <f t="shared" si="438"/>
        <v>0</v>
      </c>
      <c r="CL479" s="63">
        <v>6000</v>
      </c>
      <c r="CM479" s="63">
        <f t="shared" si="439"/>
        <v>0</v>
      </c>
      <c r="CN479" s="63">
        <f t="shared" si="440"/>
        <v>5</v>
      </c>
      <c r="CO479" s="63">
        <f t="shared" si="441"/>
        <v>1200</v>
      </c>
      <c r="CP479" s="13">
        <f t="shared" si="442"/>
        <v>1200</v>
      </c>
      <c r="CQ479" s="70">
        <f t="shared" si="443"/>
        <v>8.3333333333333339E-4</v>
      </c>
      <c r="CR479" s="69">
        <f t="shared" si="411"/>
        <v>3.3333333333333335E-3</v>
      </c>
    </row>
    <row r="480" spans="1:96" hidden="1" x14ac:dyDescent="0.25">
      <c r="A480" s="13">
        <v>4</v>
      </c>
      <c r="B480" s="14" t="s">
        <v>1224</v>
      </c>
      <c r="C480" s="13" t="s">
        <v>1225</v>
      </c>
      <c r="D480" s="13" t="s">
        <v>2270</v>
      </c>
      <c r="E480" s="13" t="s">
        <v>52</v>
      </c>
      <c r="F480" s="15">
        <f t="shared" si="412"/>
        <v>1</v>
      </c>
      <c r="G480" s="13">
        <v>1</v>
      </c>
      <c r="H480" s="13">
        <f>G480*$H$479</f>
        <v>4</v>
      </c>
      <c r="I480" s="13">
        <v>1</v>
      </c>
      <c r="J480" s="14" t="s">
        <v>422</v>
      </c>
      <c r="K480" s="14" t="s">
        <v>34</v>
      </c>
      <c r="L480" s="13" t="s">
        <v>110</v>
      </c>
      <c r="M480" s="14" t="s">
        <v>35</v>
      </c>
      <c r="N480" s="13" t="s">
        <v>1226</v>
      </c>
      <c r="O480" s="28" t="s">
        <v>41</v>
      </c>
      <c r="P480" s="28" t="s">
        <v>41</v>
      </c>
      <c r="Q480" s="28" t="s">
        <v>116</v>
      </c>
      <c r="R480" s="30">
        <v>67.790000000000006</v>
      </c>
      <c r="S480" s="30">
        <v>3.2930000000000001</v>
      </c>
      <c r="T480" s="30"/>
      <c r="U480" s="30">
        <v>0.11799999999999999</v>
      </c>
      <c r="V480" s="8">
        <f t="shared" si="413"/>
        <v>1721.866</v>
      </c>
      <c r="W480" s="8">
        <f t="shared" si="414"/>
        <v>83.642200000000003</v>
      </c>
      <c r="X480" s="8">
        <f t="shared" si="415"/>
        <v>0</v>
      </c>
      <c r="Y480" s="33">
        <f t="shared" si="416"/>
        <v>2.9971999999999999</v>
      </c>
      <c r="Z480" s="28" t="s">
        <v>56</v>
      </c>
      <c r="AA480" s="28" t="s">
        <v>57</v>
      </c>
      <c r="AB480" s="28" t="s">
        <v>116</v>
      </c>
      <c r="AC480" s="31" t="s">
        <v>117</v>
      </c>
      <c r="AD480" s="50">
        <f t="shared" si="417"/>
        <v>4</v>
      </c>
      <c r="AE480" s="31"/>
      <c r="AF480" s="51">
        <v>14</v>
      </c>
      <c r="AG480" s="51">
        <f t="shared" si="445"/>
        <v>8.4</v>
      </c>
      <c r="AH480" s="51">
        <f t="shared" si="410"/>
        <v>42</v>
      </c>
      <c r="AI480" s="52" t="s">
        <v>2497</v>
      </c>
      <c r="AJ480" s="52" t="s">
        <v>2498</v>
      </c>
      <c r="AK480" s="53">
        <f t="shared" si="446"/>
        <v>0.2880413206904</v>
      </c>
      <c r="AL480" s="54">
        <f t="shared" si="447"/>
        <v>0.11904761904761904</v>
      </c>
      <c r="AM480" s="54">
        <f t="shared" si="448"/>
        <v>2.3809523809523808E-2</v>
      </c>
      <c r="AN480" s="55">
        <f t="shared" si="449"/>
        <v>0.13716253366209524</v>
      </c>
      <c r="AO480" s="55">
        <f t="shared" si="450"/>
        <v>2.7432506732419048E-2</v>
      </c>
      <c r="AP480" s="53">
        <v>7.1</v>
      </c>
      <c r="AQ480" s="53">
        <f t="shared" si="418"/>
        <v>4.26</v>
      </c>
      <c r="AR480" s="53">
        <f t="shared" si="419"/>
        <v>21.299999999999997</v>
      </c>
      <c r="AS480" s="56">
        <f t="shared" si="420"/>
        <v>4.6948356807511742E-2</v>
      </c>
      <c r="AT480" s="56">
        <f t="shared" si="451"/>
        <v>0.23474178403755869</v>
      </c>
      <c r="AU480" s="56">
        <f t="shared" si="421"/>
        <v>0.176056338028169</v>
      </c>
      <c r="AV480" s="56">
        <f t="shared" si="452"/>
        <v>5.8685446009389672E-2</v>
      </c>
      <c r="AW480" s="57" t="s">
        <v>2511</v>
      </c>
      <c r="AX480" s="57" t="s">
        <v>2512</v>
      </c>
      <c r="AY480" s="57" t="s">
        <v>2513</v>
      </c>
      <c r="AZ480" s="58">
        <f t="shared" si="453"/>
        <v>0.2880413206904</v>
      </c>
      <c r="BA480" s="59">
        <f t="shared" si="456"/>
        <v>3.3807666747699534E-2</v>
      </c>
      <c r="BB480" s="59">
        <f t="shared" si="457"/>
        <v>0.10142300024309858</v>
      </c>
      <c r="BC480" s="59">
        <f t="shared" si="458"/>
        <v>2.7046133398159627E-2</v>
      </c>
      <c r="BD480" s="60">
        <f t="shared" si="454"/>
        <v>7.6923076923076927E-2</v>
      </c>
      <c r="BE480" s="59">
        <f t="shared" si="455"/>
        <v>0.30769230769230771</v>
      </c>
      <c r="BQ480" s="61">
        <v>3000</v>
      </c>
      <c r="BR480" s="61">
        <v>1200</v>
      </c>
      <c r="BS480" s="28">
        <f t="shared" si="422"/>
        <v>2980</v>
      </c>
      <c r="BT480" s="28">
        <f t="shared" si="423"/>
        <v>1180</v>
      </c>
      <c r="BU480" s="28" t="s">
        <v>2541</v>
      </c>
      <c r="BV480" s="28">
        <f t="shared" si="424"/>
        <v>1726.866</v>
      </c>
      <c r="BW480" s="28">
        <f t="shared" si="425"/>
        <v>88.642200000000003</v>
      </c>
      <c r="BX480" s="13">
        <f t="shared" si="426"/>
        <v>1.7256695076514332</v>
      </c>
      <c r="BY480" s="13">
        <f t="shared" si="427"/>
        <v>1</v>
      </c>
      <c r="BZ480" s="13">
        <f t="shared" si="428"/>
        <v>13.311943972509708</v>
      </c>
      <c r="CA480" s="13">
        <f t="shared" si="429"/>
        <v>13</v>
      </c>
      <c r="CB480" s="13">
        <f t="shared" si="430"/>
        <v>13</v>
      </c>
      <c r="CC480" s="62">
        <f t="shared" si="431"/>
        <v>7.6923076923076927E-2</v>
      </c>
      <c r="CD480" s="13">
        <f t="shared" si="432"/>
        <v>33.618299184812649</v>
      </c>
      <c r="CE480" s="13">
        <f t="shared" si="433"/>
        <v>33</v>
      </c>
      <c r="CF480" s="13">
        <f t="shared" si="434"/>
        <v>0.68331879833177556</v>
      </c>
      <c r="CG480" s="13">
        <f t="shared" si="435"/>
        <v>0</v>
      </c>
      <c r="CH480" s="28">
        <f t="shared" si="436"/>
        <v>0</v>
      </c>
      <c r="CI480" s="62">
        <f t="shared" si="437"/>
        <v>1</v>
      </c>
      <c r="CJ480" s="59">
        <f t="shared" si="438"/>
        <v>7.6923076923076927E-2</v>
      </c>
      <c r="CL480" s="63">
        <v>6000</v>
      </c>
      <c r="CM480" s="63">
        <f t="shared" si="439"/>
        <v>1721.866</v>
      </c>
      <c r="CN480" s="63">
        <f t="shared" si="440"/>
        <v>1726.866</v>
      </c>
      <c r="CO480" s="63">
        <f t="shared" si="441"/>
        <v>3.4745023643988588</v>
      </c>
      <c r="CP480" s="13">
        <f t="shared" si="442"/>
        <v>3</v>
      </c>
      <c r="CQ480" s="70">
        <f t="shared" si="443"/>
        <v>0.33333333333333331</v>
      </c>
      <c r="CR480" s="69">
        <f t="shared" si="411"/>
        <v>1.3333333333333333</v>
      </c>
    </row>
    <row r="481" spans="1:96" hidden="1" x14ac:dyDescent="0.25">
      <c r="A481" s="13">
        <v>4</v>
      </c>
      <c r="B481" s="14" t="s">
        <v>1224</v>
      </c>
      <c r="C481" s="13" t="s">
        <v>1208</v>
      </c>
      <c r="D481" s="13" t="s">
        <v>2270</v>
      </c>
      <c r="E481" s="13" t="s">
        <v>52</v>
      </c>
      <c r="F481" s="15">
        <f t="shared" si="412"/>
        <v>3</v>
      </c>
      <c r="G481" s="13">
        <v>6</v>
      </c>
      <c r="H481" s="13">
        <f t="shared" ref="H481:H483" si="463">G481*$H$479</f>
        <v>24</v>
      </c>
      <c r="I481" s="13">
        <v>2</v>
      </c>
      <c r="J481" s="14" t="s">
        <v>1209</v>
      </c>
      <c r="K481" s="14" t="s">
        <v>34</v>
      </c>
      <c r="L481" s="13" t="s">
        <v>110</v>
      </c>
      <c r="M481" s="14" t="s">
        <v>35</v>
      </c>
      <c r="N481" s="13" t="s">
        <v>1210</v>
      </c>
      <c r="O481" s="28" t="s">
        <v>41</v>
      </c>
      <c r="P481" s="28" t="s">
        <v>41</v>
      </c>
      <c r="Q481" s="28" t="s">
        <v>1178</v>
      </c>
      <c r="R481" s="30">
        <v>1.25</v>
      </c>
      <c r="S481" s="30">
        <v>0.68200000000000005</v>
      </c>
      <c r="T481" s="30"/>
      <c r="U481" s="30">
        <v>0.17699999999999999</v>
      </c>
      <c r="V481" s="8">
        <f t="shared" si="413"/>
        <v>31.75</v>
      </c>
      <c r="W481" s="8">
        <f t="shared" si="414"/>
        <v>17.322800000000001</v>
      </c>
      <c r="X481" s="8">
        <f t="shared" si="415"/>
        <v>0</v>
      </c>
      <c r="Y481" s="33">
        <f t="shared" si="416"/>
        <v>4.4957999999999991</v>
      </c>
      <c r="Z481" s="28" t="s">
        <v>56</v>
      </c>
      <c r="AA481" s="28" t="s">
        <v>57</v>
      </c>
      <c r="AB481" s="61" t="s">
        <v>1178</v>
      </c>
      <c r="AC481" s="31" t="s">
        <v>1179</v>
      </c>
      <c r="AD481" s="50">
        <f t="shared" si="417"/>
        <v>24</v>
      </c>
      <c r="AE481" s="31"/>
      <c r="AF481" s="51">
        <v>14</v>
      </c>
      <c r="AG481" s="51">
        <f t="shared" si="445"/>
        <v>8.4</v>
      </c>
      <c r="AH481" s="51">
        <f t="shared" si="410"/>
        <v>42</v>
      </c>
      <c r="AI481" s="52" t="s">
        <v>2497</v>
      </c>
      <c r="AJ481" s="52" t="s">
        <v>2498</v>
      </c>
      <c r="AK481" s="53">
        <f t="shared" si="446"/>
        <v>1.0999978000000002E-3</v>
      </c>
      <c r="AL481" s="54">
        <f t="shared" si="447"/>
        <v>0.11904761904761904</v>
      </c>
      <c r="AM481" s="54">
        <f t="shared" si="448"/>
        <v>2.3809523809523808E-2</v>
      </c>
      <c r="AN481" s="55">
        <f t="shared" si="449"/>
        <v>3.1428508571428575E-3</v>
      </c>
      <c r="AO481" s="55">
        <f t="shared" si="450"/>
        <v>6.2857017142857149E-4</v>
      </c>
      <c r="AP481" s="53">
        <v>7.1</v>
      </c>
      <c r="AQ481" s="53">
        <f t="shared" si="418"/>
        <v>4.26</v>
      </c>
      <c r="AR481" s="53">
        <f t="shared" si="419"/>
        <v>21.299999999999997</v>
      </c>
      <c r="AS481" s="56">
        <f t="shared" si="420"/>
        <v>4.6948356807511742E-2</v>
      </c>
      <c r="AT481" s="56">
        <f t="shared" si="451"/>
        <v>0.23474178403755869</v>
      </c>
      <c r="AU481" s="56">
        <f t="shared" si="421"/>
        <v>0.176056338028169</v>
      </c>
      <c r="AV481" s="56">
        <f t="shared" si="452"/>
        <v>5.8685446009389672E-2</v>
      </c>
      <c r="AW481" s="57" t="s">
        <v>2511</v>
      </c>
      <c r="AX481" s="57" t="s">
        <v>2512</v>
      </c>
      <c r="AY481" s="57" t="s">
        <v>2513</v>
      </c>
      <c r="AZ481" s="58">
        <f t="shared" si="453"/>
        <v>1.0999978000000002E-3</v>
      </c>
      <c r="BA481" s="59">
        <f t="shared" si="456"/>
        <v>7.7464633802816908E-4</v>
      </c>
      <c r="BB481" s="59">
        <f t="shared" si="457"/>
        <v>2.3239390140845071E-3</v>
      </c>
      <c r="BC481" s="59">
        <f t="shared" si="458"/>
        <v>6.1971707042253531E-4</v>
      </c>
      <c r="BD481" s="60">
        <f t="shared" si="454"/>
        <v>2.3496240601503758E-4</v>
      </c>
      <c r="BE481" s="59">
        <f t="shared" si="455"/>
        <v>5.6390977443609019E-3</v>
      </c>
      <c r="BQ481" s="61">
        <v>3000</v>
      </c>
      <c r="BR481" s="61">
        <v>1200</v>
      </c>
      <c r="BS481" s="28">
        <f t="shared" si="422"/>
        <v>2980</v>
      </c>
      <c r="BT481" s="28">
        <f t="shared" si="423"/>
        <v>1180</v>
      </c>
      <c r="BU481" s="28" t="s">
        <v>2541</v>
      </c>
      <c r="BV481" s="28">
        <f t="shared" si="424"/>
        <v>36.75</v>
      </c>
      <c r="BW481" s="28">
        <f t="shared" si="425"/>
        <v>22.322800000000001</v>
      </c>
      <c r="BX481" s="13">
        <f t="shared" si="426"/>
        <v>81.088435374149654</v>
      </c>
      <c r="BY481" s="13">
        <f t="shared" si="427"/>
        <v>81</v>
      </c>
      <c r="BZ481" s="13">
        <f t="shared" si="428"/>
        <v>52.860752235382655</v>
      </c>
      <c r="CA481" s="13">
        <f t="shared" si="429"/>
        <v>52</v>
      </c>
      <c r="CB481" s="13">
        <f t="shared" si="430"/>
        <v>4212</v>
      </c>
      <c r="CC481" s="62">
        <f t="shared" si="431"/>
        <v>2.3741690408357076E-4</v>
      </c>
      <c r="CD481" s="13">
        <f t="shared" si="432"/>
        <v>133.49579801816975</v>
      </c>
      <c r="CE481" s="13">
        <f t="shared" si="433"/>
        <v>133</v>
      </c>
      <c r="CF481" s="13">
        <f t="shared" si="434"/>
        <v>32.108843537414963</v>
      </c>
      <c r="CG481" s="13">
        <f t="shared" si="435"/>
        <v>32</v>
      </c>
      <c r="CH481" s="28">
        <f t="shared" si="436"/>
        <v>4256</v>
      </c>
      <c r="CI481" s="62">
        <f t="shared" si="437"/>
        <v>2.3496240601503758E-4</v>
      </c>
      <c r="CJ481" s="59">
        <f t="shared" si="438"/>
        <v>2.3496240601503758E-4</v>
      </c>
      <c r="CL481" s="63">
        <v>6000</v>
      </c>
      <c r="CM481" s="63">
        <f t="shared" si="439"/>
        <v>31.75</v>
      </c>
      <c r="CN481" s="63">
        <f t="shared" si="440"/>
        <v>36.75</v>
      </c>
      <c r="CO481" s="63">
        <f t="shared" si="441"/>
        <v>163.26530612244898</v>
      </c>
      <c r="CP481" s="13">
        <f t="shared" si="442"/>
        <v>163</v>
      </c>
      <c r="CQ481" s="70">
        <f t="shared" si="443"/>
        <v>6.1349693251533744E-3</v>
      </c>
      <c r="CR481" s="69">
        <f t="shared" si="411"/>
        <v>0.14723926380368099</v>
      </c>
    </row>
    <row r="482" spans="1:96" hidden="1" x14ac:dyDescent="0.25">
      <c r="A482" s="13">
        <v>4</v>
      </c>
      <c r="B482" s="14" t="s">
        <v>1224</v>
      </c>
      <c r="C482" s="13" t="s">
        <v>1211</v>
      </c>
      <c r="D482" s="13" t="s">
        <v>2270</v>
      </c>
      <c r="E482" s="13" t="s">
        <v>52</v>
      </c>
      <c r="F482" s="15">
        <f t="shared" si="412"/>
        <v>3</v>
      </c>
      <c r="G482" s="13">
        <v>2</v>
      </c>
      <c r="H482" s="13">
        <f t="shared" si="463"/>
        <v>8</v>
      </c>
      <c r="I482" s="13">
        <v>3</v>
      </c>
      <c r="J482" s="14" t="s">
        <v>1212</v>
      </c>
      <c r="K482" s="14" t="s">
        <v>34</v>
      </c>
      <c r="L482" s="13">
        <v>0</v>
      </c>
      <c r="M482" s="14" t="s">
        <v>35</v>
      </c>
      <c r="N482" s="13" t="s">
        <v>1213</v>
      </c>
      <c r="O482" s="28" t="s">
        <v>41</v>
      </c>
      <c r="P482" s="28" t="s">
        <v>41</v>
      </c>
      <c r="Q482" s="28" t="s">
        <v>103</v>
      </c>
      <c r="R482" s="30">
        <v>1.9685039370078741</v>
      </c>
      <c r="S482" s="30">
        <v>0.47244094488188981</v>
      </c>
      <c r="T482" s="30"/>
      <c r="U482" s="30">
        <v>0.23622047244094491</v>
      </c>
      <c r="V482" s="8">
        <f t="shared" si="413"/>
        <v>50</v>
      </c>
      <c r="W482" s="8">
        <f t="shared" si="414"/>
        <v>12</v>
      </c>
      <c r="X482" s="8">
        <f t="shared" si="415"/>
        <v>0</v>
      </c>
      <c r="Y482" s="33">
        <f t="shared" si="416"/>
        <v>6</v>
      </c>
      <c r="Z482" s="28" t="s">
        <v>56</v>
      </c>
      <c r="AA482" s="28" t="s">
        <v>57</v>
      </c>
      <c r="AB482" s="28" t="s">
        <v>103</v>
      </c>
      <c r="AC482" s="31" t="s">
        <v>104</v>
      </c>
      <c r="AD482" s="50">
        <f t="shared" si="417"/>
        <v>8</v>
      </c>
      <c r="AE482" s="47" t="s">
        <v>107</v>
      </c>
      <c r="AF482" s="51">
        <v>14</v>
      </c>
      <c r="AG482" s="51">
        <f t="shared" si="445"/>
        <v>8.4</v>
      </c>
      <c r="AH482" s="51">
        <f t="shared" si="410"/>
        <v>42</v>
      </c>
      <c r="AI482" s="52" t="s">
        <v>2497</v>
      </c>
      <c r="AJ482" s="52" t="s">
        <v>2498</v>
      </c>
      <c r="AK482" s="53">
        <f t="shared" si="446"/>
        <v>1.1999999999999999E-3</v>
      </c>
      <c r="AL482" s="54">
        <f t="shared" si="447"/>
        <v>0.11904761904761904</v>
      </c>
      <c r="AM482" s="54">
        <f t="shared" si="448"/>
        <v>2.3809523809523808E-2</v>
      </c>
      <c r="AN482" s="55">
        <f t="shared" si="449"/>
        <v>1.1428571428571427E-3</v>
      </c>
      <c r="AO482" s="55">
        <f t="shared" si="450"/>
        <v>2.2857142857142854E-4</v>
      </c>
      <c r="AP482" s="53">
        <v>7.1</v>
      </c>
      <c r="AQ482" s="53">
        <f t="shared" si="418"/>
        <v>4.26</v>
      </c>
      <c r="AR482" s="53">
        <f t="shared" si="419"/>
        <v>21.299999999999997</v>
      </c>
      <c r="AS482" s="56">
        <f t="shared" si="420"/>
        <v>4.6948356807511742E-2</v>
      </c>
      <c r="AT482" s="56">
        <f t="shared" si="451"/>
        <v>0.23474178403755869</v>
      </c>
      <c r="AU482" s="56">
        <f t="shared" si="421"/>
        <v>0.176056338028169</v>
      </c>
      <c r="AV482" s="56">
        <f t="shared" si="452"/>
        <v>5.8685446009389672E-2</v>
      </c>
      <c r="AW482" s="57" t="s">
        <v>2511</v>
      </c>
      <c r="AX482" s="57" t="s">
        <v>2512</v>
      </c>
      <c r="AY482" s="57" t="s">
        <v>2513</v>
      </c>
      <c r="AZ482" s="58">
        <f t="shared" si="453"/>
        <v>1.1999999999999999E-3</v>
      </c>
      <c r="BA482" s="59">
        <f t="shared" si="456"/>
        <v>2.8169014084507038E-4</v>
      </c>
      <c r="BB482" s="59">
        <f t="shared" si="457"/>
        <v>8.450704225352111E-4</v>
      </c>
      <c r="BC482" s="59">
        <f t="shared" si="458"/>
        <v>2.2535211267605634E-4</v>
      </c>
      <c r="BD482" s="60">
        <f t="shared" si="454"/>
        <v>2.6838432635534085E-4</v>
      </c>
      <c r="BE482" s="59">
        <f t="shared" si="455"/>
        <v>2.1470746108427268E-3</v>
      </c>
      <c r="BQ482" s="61">
        <v>3000</v>
      </c>
      <c r="BR482" s="61">
        <v>1200</v>
      </c>
      <c r="BS482" s="28">
        <f t="shared" si="422"/>
        <v>2980</v>
      </c>
      <c r="BT482" s="28">
        <f t="shared" si="423"/>
        <v>1180</v>
      </c>
      <c r="BU482" s="28" t="s">
        <v>2541</v>
      </c>
      <c r="BV482" s="28">
        <f t="shared" si="424"/>
        <v>55</v>
      </c>
      <c r="BW482" s="28">
        <f t="shared" si="425"/>
        <v>17</v>
      </c>
      <c r="BX482" s="13">
        <f t="shared" si="426"/>
        <v>54.18181818181818</v>
      </c>
      <c r="BY482" s="13">
        <f t="shared" si="427"/>
        <v>54</v>
      </c>
      <c r="BZ482" s="13">
        <f t="shared" si="428"/>
        <v>69.411764705882348</v>
      </c>
      <c r="CA482" s="13">
        <f t="shared" si="429"/>
        <v>69</v>
      </c>
      <c r="CB482" s="13">
        <f t="shared" si="430"/>
        <v>3726</v>
      </c>
      <c r="CC482" s="62">
        <f t="shared" si="431"/>
        <v>2.6838432635534085E-4</v>
      </c>
      <c r="CD482" s="13">
        <f t="shared" si="432"/>
        <v>175.29411764705881</v>
      </c>
      <c r="CE482" s="13">
        <f t="shared" si="433"/>
        <v>175</v>
      </c>
      <c r="CF482" s="13">
        <f t="shared" si="434"/>
        <v>21.454545454545453</v>
      </c>
      <c r="CG482" s="13">
        <f t="shared" si="435"/>
        <v>21</v>
      </c>
      <c r="CH482" s="28">
        <f t="shared" si="436"/>
        <v>3675</v>
      </c>
      <c r="CI482" s="62">
        <f t="shared" si="437"/>
        <v>2.7210884353741496E-4</v>
      </c>
      <c r="CJ482" s="59">
        <f t="shared" si="438"/>
        <v>2.6838432635534085E-4</v>
      </c>
      <c r="CL482" s="63">
        <v>6000</v>
      </c>
      <c r="CM482" s="63">
        <f t="shared" si="439"/>
        <v>50</v>
      </c>
      <c r="CN482" s="63">
        <f t="shared" si="440"/>
        <v>55</v>
      </c>
      <c r="CO482" s="63">
        <f t="shared" si="441"/>
        <v>109.09090909090909</v>
      </c>
      <c r="CP482" s="13">
        <f t="shared" si="442"/>
        <v>109</v>
      </c>
      <c r="CQ482" s="70">
        <f t="shared" si="443"/>
        <v>9.1743119266055051E-3</v>
      </c>
      <c r="CR482" s="69">
        <f t="shared" si="411"/>
        <v>7.3394495412844041E-2</v>
      </c>
    </row>
    <row r="483" spans="1:96" hidden="1" x14ac:dyDescent="0.25">
      <c r="A483" s="13">
        <v>4</v>
      </c>
      <c r="B483" s="14" t="s">
        <v>1224</v>
      </c>
      <c r="C483" s="13" t="s">
        <v>1227</v>
      </c>
      <c r="D483" s="13" t="s">
        <v>2270</v>
      </c>
      <c r="E483" s="13" t="s">
        <v>52</v>
      </c>
      <c r="F483" s="15">
        <f t="shared" si="412"/>
        <v>1</v>
      </c>
      <c r="G483" s="13">
        <v>1</v>
      </c>
      <c r="H483" s="13">
        <f t="shared" si="463"/>
        <v>4</v>
      </c>
      <c r="I483" s="13">
        <v>4</v>
      </c>
      <c r="J483" s="14" t="s">
        <v>1228</v>
      </c>
      <c r="K483" s="14" t="s">
        <v>34</v>
      </c>
      <c r="L483" s="13">
        <v>0</v>
      </c>
      <c r="M483" s="14" t="s">
        <v>35</v>
      </c>
      <c r="N483" s="13" t="s">
        <v>1229</v>
      </c>
      <c r="O483" s="28" t="s">
        <v>41</v>
      </c>
      <c r="P483" s="28" t="s">
        <v>41</v>
      </c>
      <c r="Q483" s="28" t="s">
        <v>103</v>
      </c>
      <c r="R483" s="30">
        <v>3.6220472440944884</v>
      </c>
      <c r="S483" s="30">
        <v>0.47244094488188981</v>
      </c>
      <c r="T483" s="30"/>
      <c r="U483" s="30">
        <v>0.23622047244094491</v>
      </c>
      <c r="V483" s="8">
        <f t="shared" si="413"/>
        <v>92</v>
      </c>
      <c r="W483" s="8">
        <f t="shared" si="414"/>
        <v>12</v>
      </c>
      <c r="X483" s="8">
        <f t="shared" si="415"/>
        <v>0</v>
      </c>
      <c r="Y483" s="33">
        <f t="shared" si="416"/>
        <v>6</v>
      </c>
      <c r="Z483" s="28" t="s">
        <v>56</v>
      </c>
      <c r="AA483" s="28" t="s">
        <v>57</v>
      </c>
      <c r="AB483" s="28" t="s">
        <v>103</v>
      </c>
      <c r="AC483" s="31" t="s">
        <v>104</v>
      </c>
      <c r="AD483" s="50">
        <f t="shared" si="417"/>
        <v>4</v>
      </c>
      <c r="AE483" s="31"/>
      <c r="AF483" s="51">
        <v>14</v>
      </c>
      <c r="AG483" s="51">
        <f t="shared" si="445"/>
        <v>8.4</v>
      </c>
      <c r="AH483" s="51">
        <f t="shared" si="410"/>
        <v>42</v>
      </c>
      <c r="AI483" s="52" t="s">
        <v>2497</v>
      </c>
      <c r="AJ483" s="52" t="s">
        <v>2498</v>
      </c>
      <c r="AK483" s="53">
        <f t="shared" si="446"/>
        <v>2.2079999999999999E-3</v>
      </c>
      <c r="AL483" s="54">
        <f t="shared" si="447"/>
        <v>0.11904761904761904</v>
      </c>
      <c r="AM483" s="54">
        <f t="shared" si="448"/>
        <v>2.3809523809523808E-2</v>
      </c>
      <c r="AN483" s="55">
        <f t="shared" si="449"/>
        <v>1.0514285714285712E-3</v>
      </c>
      <c r="AO483" s="55">
        <f t="shared" si="450"/>
        <v>2.1028571428571426E-4</v>
      </c>
      <c r="AP483" s="53">
        <v>7.1</v>
      </c>
      <c r="AQ483" s="53">
        <f t="shared" si="418"/>
        <v>4.26</v>
      </c>
      <c r="AR483" s="53">
        <f t="shared" si="419"/>
        <v>21.299999999999997</v>
      </c>
      <c r="AS483" s="56">
        <f t="shared" si="420"/>
        <v>4.6948356807511742E-2</v>
      </c>
      <c r="AT483" s="56">
        <f t="shared" si="451"/>
        <v>0.23474178403755869</v>
      </c>
      <c r="AU483" s="56">
        <f t="shared" si="421"/>
        <v>0.176056338028169</v>
      </c>
      <c r="AV483" s="56">
        <f t="shared" si="452"/>
        <v>5.8685446009389672E-2</v>
      </c>
      <c r="AW483" s="57" t="s">
        <v>2511</v>
      </c>
      <c r="AX483" s="57" t="s">
        <v>2512</v>
      </c>
      <c r="AY483" s="57" t="s">
        <v>2513</v>
      </c>
      <c r="AZ483" s="58">
        <f t="shared" si="453"/>
        <v>2.2079999999999999E-3</v>
      </c>
      <c r="BA483" s="59">
        <f t="shared" si="456"/>
        <v>2.591549295774648E-4</v>
      </c>
      <c r="BB483" s="59">
        <f t="shared" si="457"/>
        <v>7.7746478873239424E-4</v>
      </c>
      <c r="BC483" s="59">
        <f t="shared" si="458"/>
        <v>2.0732394366197184E-4</v>
      </c>
      <c r="BD483" s="60">
        <f t="shared" si="454"/>
        <v>4.7619047619047619E-4</v>
      </c>
      <c r="BE483" s="59">
        <f t="shared" si="455"/>
        <v>1.9047619047619048E-3</v>
      </c>
      <c r="BQ483" s="61">
        <v>3000</v>
      </c>
      <c r="BR483" s="61">
        <v>1200</v>
      </c>
      <c r="BS483" s="28">
        <f t="shared" si="422"/>
        <v>2980</v>
      </c>
      <c r="BT483" s="28">
        <f t="shared" si="423"/>
        <v>1180</v>
      </c>
      <c r="BU483" s="28" t="s">
        <v>2541</v>
      </c>
      <c r="BV483" s="28">
        <f t="shared" si="424"/>
        <v>97</v>
      </c>
      <c r="BW483" s="28">
        <f t="shared" si="425"/>
        <v>17</v>
      </c>
      <c r="BX483" s="13">
        <f t="shared" si="426"/>
        <v>30.721649484536083</v>
      </c>
      <c r="BY483" s="13">
        <f t="shared" si="427"/>
        <v>30</v>
      </c>
      <c r="BZ483" s="13">
        <f t="shared" si="428"/>
        <v>69.411764705882348</v>
      </c>
      <c r="CA483" s="13">
        <f t="shared" si="429"/>
        <v>69</v>
      </c>
      <c r="CB483" s="13">
        <f t="shared" si="430"/>
        <v>2070</v>
      </c>
      <c r="CC483" s="62">
        <f t="shared" si="431"/>
        <v>4.8309178743961351E-4</v>
      </c>
      <c r="CD483" s="13">
        <f t="shared" si="432"/>
        <v>175.29411764705881</v>
      </c>
      <c r="CE483" s="13">
        <f t="shared" si="433"/>
        <v>175</v>
      </c>
      <c r="CF483" s="13">
        <f t="shared" si="434"/>
        <v>12.164948453608247</v>
      </c>
      <c r="CG483" s="13">
        <f t="shared" si="435"/>
        <v>12</v>
      </c>
      <c r="CH483" s="28">
        <f t="shared" si="436"/>
        <v>2100</v>
      </c>
      <c r="CI483" s="62">
        <f t="shared" si="437"/>
        <v>4.7619047619047619E-4</v>
      </c>
      <c r="CJ483" s="59">
        <f t="shared" si="438"/>
        <v>4.7619047619047619E-4</v>
      </c>
      <c r="CL483" s="63">
        <v>6000</v>
      </c>
      <c r="CM483" s="63">
        <f t="shared" si="439"/>
        <v>92</v>
      </c>
      <c r="CN483" s="63">
        <f t="shared" si="440"/>
        <v>97</v>
      </c>
      <c r="CO483" s="63">
        <f t="shared" si="441"/>
        <v>61.855670103092784</v>
      </c>
      <c r="CP483" s="13">
        <f t="shared" si="442"/>
        <v>61</v>
      </c>
      <c r="CQ483" s="70">
        <f t="shared" si="443"/>
        <v>1.6393442622950821E-2</v>
      </c>
      <c r="CR483" s="69">
        <f t="shared" ref="CR483" si="464">CQ483*AD483</f>
        <v>6.5573770491803282E-2</v>
      </c>
    </row>
    <row r="484" spans="1:96" hidden="1" x14ac:dyDescent="0.25">
      <c r="A484" s="36">
        <v>2</v>
      </c>
      <c r="B484" s="37" t="s">
        <v>37</v>
      </c>
      <c r="C484" s="36" t="s">
        <v>1230</v>
      </c>
      <c r="D484" s="36" t="s">
        <v>2270</v>
      </c>
      <c r="E484" s="36" t="s">
        <v>32</v>
      </c>
      <c r="F484" s="38">
        <f t="shared" si="412"/>
        <v>1</v>
      </c>
      <c r="G484" s="36">
        <v>1</v>
      </c>
      <c r="H484" s="36">
        <f>G484*$H$3</f>
        <v>1</v>
      </c>
      <c r="I484" s="36">
        <v>16</v>
      </c>
      <c r="J484" s="37" t="s">
        <v>658</v>
      </c>
      <c r="K484" s="37" t="s">
        <v>34</v>
      </c>
      <c r="L484" s="36">
        <v>0</v>
      </c>
      <c r="M484" s="37" t="s">
        <v>35</v>
      </c>
      <c r="N484" s="36" t="s">
        <v>1231</v>
      </c>
      <c r="O484" s="28" t="s">
        <v>41</v>
      </c>
      <c r="P484" s="28" t="s">
        <v>41</v>
      </c>
      <c r="Q484" s="28"/>
      <c r="R484" s="30"/>
      <c r="S484" s="30"/>
      <c r="T484" s="30"/>
      <c r="U484" s="30"/>
      <c r="V484" s="8">
        <f t="shared" si="413"/>
        <v>0</v>
      </c>
      <c r="W484" s="8">
        <f t="shared" si="414"/>
        <v>0</v>
      </c>
      <c r="X484" s="8">
        <f t="shared" si="415"/>
        <v>0</v>
      </c>
      <c r="Y484" s="33">
        <f t="shared" si="416"/>
        <v>0</v>
      </c>
      <c r="Z484" s="28"/>
      <c r="AA484" s="28"/>
      <c r="AB484" s="28">
        <v>0</v>
      </c>
      <c r="AC484" s="31"/>
      <c r="AD484" s="50">
        <f t="shared" si="417"/>
        <v>1</v>
      </c>
      <c r="AE484" s="31"/>
      <c r="AF484" s="51">
        <v>14</v>
      </c>
      <c r="AG484" s="51">
        <f t="shared" si="445"/>
        <v>8.4</v>
      </c>
      <c r="AH484" s="51">
        <f t="shared" si="410"/>
        <v>42</v>
      </c>
      <c r="AI484" s="52" t="s">
        <v>2497</v>
      </c>
      <c r="AJ484" s="52" t="s">
        <v>2498</v>
      </c>
      <c r="AK484" s="53">
        <f t="shared" si="446"/>
        <v>0</v>
      </c>
      <c r="AL484" s="54">
        <f t="shared" si="447"/>
        <v>0.11904761904761904</v>
      </c>
      <c r="AM484" s="54">
        <f t="shared" si="448"/>
        <v>2.3809523809523808E-2</v>
      </c>
      <c r="AN484" s="55">
        <f t="shared" si="449"/>
        <v>0</v>
      </c>
      <c r="AO484" s="55">
        <f t="shared" si="450"/>
        <v>0</v>
      </c>
      <c r="AP484" s="53">
        <v>7.1</v>
      </c>
      <c r="AQ484" s="53">
        <f t="shared" si="418"/>
        <v>4.26</v>
      </c>
      <c r="AR484" s="53">
        <f t="shared" si="419"/>
        <v>21.299999999999997</v>
      </c>
      <c r="AS484" s="56">
        <f t="shared" si="420"/>
        <v>4.6948356807511742E-2</v>
      </c>
      <c r="AT484" s="56">
        <f t="shared" si="451"/>
        <v>0.23474178403755869</v>
      </c>
      <c r="AU484" s="56">
        <f t="shared" si="421"/>
        <v>0.176056338028169</v>
      </c>
      <c r="AV484" s="56">
        <f t="shared" si="452"/>
        <v>5.8685446009389672E-2</v>
      </c>
      <c r="AW484" s="57" t="s">
        <v>2511</v>
      </c>
      <c r="AX484" s="57" t="s">
        <v>2512</v>
      </c>
      <c r="AY484" s="57" t="s">
        <v>2513</v>
      </c>
      <c r="AZ484" s="58">
        <f t="shared" si="453"/>
        <v>0</v>
      </c>
      <c r="BA484" s="59">
        <f t="shared" si="456"/>
        <v>0</v>
      </c>
      <c r="BB484" s="59">
        <f t="shared" si="457"/>
        <v>0</v>
      </c>
      <c r="BC484" s="59">
        <f t="shared" si="458"/>
        <v>0</v>
      </c>
      <c r="BD484" s="60">
        <f t="shared" si="454"/>
        <v>0</v>
      </c>
      <c r="BE484" s="59">
        <f t="shared" si="455"/>
        <v>0</v>
      </c>
      <c r="BQ484" s="61">
        <v>3000</v>
      </c>
      <c r="BR484" s="61">
        <v>1200</v>
      </c>
      <c r="BS484" s="28">
        <f t="shared" si="422"/>
        <v>2980</v>
      </c>
      <c r="BT484" s="28">
        <f t="shared" si="423"/>
        <v>1180</v>
      </c>
      <c r="BU484" s="28" t="s">
        <v>2541</v>
      </c>
      <c r="BV484" s="28">
        <f t="shared" si="424"/>
        <v>5</v>
      </c>
      <c r="BW484" s="28">
        <f t="shared" si="425"/>
        <v>5</v>
      </c>
      <c r="BX484" s="13">
        <f t="shared" si="426"/>
        <v>596</v>
      </c>
      <c r="BY484" s="13">
        <f t="shared" si="427"/>
        <v>596</v>
      </c>
      <c r="BZ484" s="13">
        <f t="shared" si="428"/>
        <v>236</v>
      </c>
      <c r="CA484" s="13">
        <f t="shared" si="429"/>
        <v>236</v>
      </c>
      <c r="CB484" s="13">
        <f t="shared" si="430"/>
        <v>140656</v>
      </c>
      <c r="CC484" s="62" t="str">
        <f t="shared" si="431"/>
        <v/>
      </c>
      <c r="CD484" s="13">
        <f t="shared" si="432"/>
        <v>596</v>
      </c>
      <c r="CE484" s="13">
        <f t="shared" si="433"/>
        <v>596</v>
      </c>
      <c r="CF484" s="13">
        <f t="shared" si="434"/>
        <v>236</v>
      </c>
      <c r="CG484" s="13">
        <f t="shared" si="435"/>
        <v>236</v>
      </c>
      <c r="CH484" s="28">
        <f t="shared" si="436"/>
        <v>140656</v>
      </c>
      <c r="CI484" s="62" t="str">
        <f t="shared" si="437"/>
        <v/>
      </c>
      <c r="CJ484" s="59">
        <f t="shared" si="438"/>
        <v>0</v>
      </c>
      <c r="CL484" s="63">
        <v>6000</v>
      </c>
      <c r="CM484" s="63">
        <f t="shared" si="439"/>
        <v>0</v>
      </c>
      <c r="CN484" s="63">
        <f t="shared" si="440"/>
        <v>5</v>
      </c>
      <c r="CO484" s="63">
        <f t="shared" si="441"/>
        <v>1200</v>
      </c>
      <c r="CP484" s="13">
        <f t="shared" si="442"/>
        <v>1200</v>
      </c>
      <c r="CQ484" s="70">
        <f t="shared" si="443"/>
        <v>8.3333333333333339E-4</v>
      </c>
      <c r="CR484" s="69">
        <f t="shared" ref="CR484:CR547" si="465">CQ484*AD484</f>
        <v>8.3333333333333339E-4</v>
      </c>
    </row>
    <row r="485" spans="1:96" hidden="1" x14ac:dyDescent="0.25">
      <c r="A485" s="10">
        <v>3</v>
      </c>
      <c r="B485" s="8" t="s">
        <v>1232</v>
      </c>
      <c r="C485" s="10" t="s">
        <v>1233</v>
      </c>
      <c r="D485" s="10" t="s">
        <v>2270</v>
      </c>
      <c r="E485" s="10" t="s">
        <v>32</v>
      </c>
      <c r="F485" s="12">
        <f t="shared" si="412"/>
        <v>1</v>
      </c>
      <c r="G485" s="10">
        <v>1</v>
      </c>
      <c r="H485" s="10">
        <f>G485*$H$484</f>
        <v>1</v>
      </c>
      <c r="I485" s="10">
        <v>6</v>
      </c>
      <c r="J485" s="8" t="s">
        <v>1234</v>
      </c>
      <c r="K485" s="8" t="s">
        <v>34</v>
      </c>
      <c r="L485" s="10" t="s">
        <v>110</v>
      </c>
      <c r="M485" s="8" t="s">
        <v>35</v>
      </c>
      <c r="N485" s="10" t="s">
        <v>1235</v>
      </c>
      <c r="O485" s="28" t="s">
        <v>41</v>
      </c>
      <c r="P485" s="28" t="s">
        <v>41</v>
      </c>
      <c r="Q485" s="28"/>
      <c r="R485" s="30"/>
      <c r="S485" s="30"/>
      <c r="T485" s="30"/>
      <c r="U485" s="30"/>
      <c r="V485" s="8">
        <f t="shared" si="413"/>
        <v>0</v>
      </c>
      <c r="W485" s="8">
        <f t="shared" si="414"/>
        <v>0</v>
      </c>
      <c r="X485" s="8">
        <f t="shared" si="415"/>
        <v>0</v>
      </c>
      <c r="Y485" s="33">
        <f t="shared" si="416"/>
        <v>0</v>
      </c>
      <c r="Z485" s="28"/>
      <c r="AA485" s="28"/>
      <c r="AB485" s="28">
        <v>0</v>
      </c>
      <c r="AC485" s="31"/>
      <c r="AD485" s="50">
        <f t="shared" si="417"/>
        <v>1</v>
      </c>
      <c r="AE485" s="31"/>
      <c r="AF485" s="51">
        <v>14</v>
      </c>
      <c r="AG485" s="51">
        <f t="shared" si="445"/>
        <v>8.4</v>
      </c>
      <c r="AH485" s="51">
        <f t="shared" si="410"/>
        <v>42</v>
      </c>
      <c r="AI485" s="52" t="s">
        <v>2497</v>
      </c>
      <c r="AJ485" s="52" t="s">
        <v>2498</v>
      </c>
      <c r="AK485" s="53">
        <f t="shared" si="446"/>
        <v>0</v>
      </c>
      <c r="AL485" s="54">
        <f t="shared" si="447"/>
        <v>0.11904761904761904</v>
      </c>
      <c r="AM485" s="54">
        <f t="shared" si="448"/>
        <v>2.3809523809523808E-2</v>
      </c>
      <c r="AN485" s="55">
        <f t="shared" si="449"/>
        <v>0</v>
      </c>
      <c r="AO485" s="55">
        <f t="shared" si="450"/>
        <v>0</v>
      </c>
      <c r="AP485" s="53">
        <v>7.1</v>
      </c>
      <c r="AQ485" s="53">
        <f t="shared" si="418"/>
        <v>4.26</v>
      </c>
      <c r="AR485" s="53">
        <f t="shared" si="419"/>
        <v>21.299999999999997</v>
      </c>
      <c r="AS485" s="56">
        <f t="shared" si="420"/>
        <v>4.6948356807511742E-2</v>
      </c>
      <c r="AT485" s="56">
        <f t="shared" si="451"/>
        <v>0.23474178403755869</v>
      </c>
      <c r="AU485" s="56">
        <f t="shared" si="421"/>
        <v>0.176056338028169</v>
      </c>
      <c r="AV485" s="56">
        <f t="shared" si="452"/>
        <v>5.8685446009389672E-2</v>
      </c>
      <c r="AW485" s="57" t="s">
        <v>2511</v>
      </c>
      <c r="AX485" s="57" t="s">
        <v>2512</v>
      </c>
      <c r="AY485" s="57" t="s">
        <v>2513</v>
      </c>
      <c r="AZ485" s="58">
        <f t="shared" si="453"/>
        <v>0</v>
      </c>
      <c r="BA485" s="59">
        <f t="shared" si="456"/>
        <v>0</v>
      </c>
      <c r="BB485" s="59">
        <f t="shared" si="457"/>
        <v>0</v>
      </c>
      <c r="BC485" s="59">
        <f t="shared" si="458"/>
        <v>0</v>
      </c>
      <c r="BD485" s="60">
        <f t="shared" si="454"/>
        <v>0</v>
      </c>
      <c r="BE485" s="59">
        <f t="shared" si="455"/>
        <v>0</v>
      </c>
      <c r="BQ485" s="61">
        <v>3000</v>
      </c>
      <c r="BR485" s="61">
        <v>1200</v>
      </c>
      <c r="BS485" s="28">
        <f t="shared" si="422"/>
        <v>2980</v>
      </c>
      <c r="BT485" s="28">
        <f t="shared" si="423"/>
        <v>1180</v>
      </c>
      <c r="BU485" s="28" t="s">
        <v>2541</v>
      </c>
      <c r="BV485" s="28">
        <f t="shared" si="424"/>
        <v>5</v>
      </c>
      <c r="BW485" s="28">
        <f t="shared" si="425"/>
        <v>5</v>
      </c>
      <c r="BX485" s="13">
        <f t="shared" si="426"/>
        <v>596</v>
      </c>
      <c r="BY485" s="13">
        <f t="shared" si="427"/>
        <v>596</v>
      </c>
      <c r="BZ485" s="13">
        <f t="shared" si="428"/>
        <v>236</v>
      </c>
      <c r="CA485" s="13">
        <f t="shared" si="429"/>
        <v>236</v>
      </c>
      <c r="CB485" s="13">
        <f t="shared" si="430"/>
        <v>140656</v>
      </c>
      <c r="CC485" s="62" t="str">
        <f t="shared" si="431"/>
        <v/>
      </c>
      <c r="CD485" s="13">
        <f t="shared" si="432"/>
        <v>596</v>
      </c>
      <c r="CE485" s="13">
        <f t="shared" si="433"/>
        <v>596</v>
      </c>
      <c r="CF485" s="13">
        <f t="shared" si="434"/>
        <v>236</v>
      </c>
      <c r="CG485" s="13">
        <f t="shared" si="435"/>
        <v>236</v>
      </c>
      <c r="CH485" s="28">
        <f t="shared" si="436"/>
        <v>140656</v>
      </c>
      <c r="CI485" s="62" t="str">
        <f t="shared" si="437"/>
        <v/>
      </c>
      <c r="CJ485" s="59">
        <f t="shared" si="438"/>
        <v>0</v>
      </c>
      <c r="CL485" s="63">
        <v>6000</v>
      </c>
      <c r="CM485" s="63">
        <f t="shared" si="439"/>
        <v>0</v>
      </c>
      <c r="CN485" s="63">
        <f t="shared" si="440"/>
        <v>5</v>
      </c>
      <c r="CO485" s="63">
        <f t="shared" si="441"/>
        <v>1200</v>
      </c>
      <c r="CP485" s="13">
        <f t="shared" si="442"/>
        <v>1200</v>
      </c>
      <c r="CQ485" s="70">
        <f t="shared" si="443"/>
        <v>8.3333333333333339E-4</v>
      </c>
      <c r="CR485" s="69">
        <f t="shared" si="465"/>
        <v>8.3333333333333339E-4</v>
      </c>
    </row>
    <row r="486" spans="1:96" hidden="1" x14ac:dyDescent="0.25">
      <c r="A486" s="13">
        <v>4</v>
      </c>
      <c r="B486" s="14" t="s">
        <v>1236</v>
      </c>
      <c r="C486" s="13" t="s">
        <v>1237</v>
      </c>
      <c r="D486" s="13" t="s">
        <v>2270</v>
      </c>
      <c r="E486" s="13" t="s">
        <v>52</v>
      </c>
      <c r="F486" s="15">
        <f t="shared" si="412"/>
        <v>1</v>
      </c>
      <c r="G486" s="13">
        <v>1</v>
      </c>
      <c r="H486" s="13">
        <f>G486*$H$485</f>
        <v>1</v>
      </c>
      <c r="I486" s="13">
        <v>1</v>
      </c>
      <c r="J486" s="14" t="s">
        <v>1234</v>
      </c>
      <c r="K486" s="14" t="s">
        <v>34</v>
      </c>
      <c r="L486" s="13" t="s">
        <v>110</v>
      </c>
      <c r="M486" s="14" t="s">
        <v>35</v>
      </c>
      <c r="N486" s="13" t="s">
        <v>1238</v>
      </c>
      <c r="O486" s="28" t="s">
        <v>41</v>
      </c>
      <c r="P486" s="28" t="s">
        <v>41</v>
      </c>
      <c r="Q486" s="28" t="s">
        <v>116</v>
      </c>
      <c r="R486" s="30">
        <v>17.155000000000001</v>
      </c>
      <c r="S486" s="30">
        <v>6.9870000000000001</v>
      </c>
      <c r="T486" s="30"/>
      <c r="U486" s="30">
        <v>0.11799999999999999</v>
      </c>
      <c r="V486" s="8">
        <f t="shared" si="413"/>
        <v>435.73700000000002</v>
      </c>
      <c r="W486" s="8">
        <f t="shared" si="414"/>
        <v>177.46979999999999</v>
      </c>
      <c r="X486" s="8">
        <f t="shared" si="415"/>
        <v>0</v>
      </c>
      <c r="Y486" s="33">
        <f t="shared" si="416"/>
        <v>2.9971999999999999</v>
      </c>
      <c r="Z486" s="28" t="s">
        <v>56</v>
      </c>
      <c r="AA486" s="28" t="s">
        <v>57</v>
      </c>
      <c r="AB486" s="28" t="s">
        <v>116</v>
      </c>
      <c r="AC486" s="31" t="s">
        <v>117</v>
      </c>
      <c r="AD486" s="50">
        <f t="shared" si="417"/>
        <v>1</v>
      </c>
      <c r="AE486" s="31"/>
      <c r="AF486" s="51">
        <v>14</v>
      </c>
      <c r="AG486" s="51">
        <f t="shared" si="445"/>
        <v>8.4</v>
      </c>
      <c r="AH486" s="51">
        <f t="shared" si="410"/>
        <v>42</v>
      </c>
      <c r="AI486" s="52" t="s">
        <v>2497</v>
      </c>
      <c r="AJ486" s="52" t="s">
        <v>2498</v>
      </c>
      <c r="AK486" s="53">
        <f t="shared" si="446"/>
        <v>0.15466031648519998</v>
      </c>
      <c r="AL486" s="54">
        <f t="shared" si="447"/>
        <v>0.11904761904761904</v>
      </c>
      <c r="AM486" s="54">
        <f t="shared" si="448"/>
        <v>2.3809523809523808E-2</v>
      </c>
      <c r="AN486" s="55">
        <f t="shared" si="449"/>
        <v>1.8411942438714284E-2</v>
      </c>
      <c r="AO486" s="55">
        <f t="shared" si="450"/>
        <v>3.6823884877428565E-3</v>
      </c>
      <c r="AP486" s="53">
        <v>7.1</v>
      </c>
      <c r="AQ486" s="53">
        <f t="shared" si="418"/>
        <v>4.26</v>
      </c>
      <c r="AR486" s="53">
        <f t="shared" si="419"/>
        <v>21.299999999999997</v>
      </c>
      <c r="AS486" s="56">
        <f t="shared" si="420"/>
        <v>4.6948356807511742E-2</v>
      </c>
      <c r="AT486" s="56">
        <f t="shared" si="451"/>
        <v>0.23474178403755869</v>
      </c>
      <c r="AU486" s="56">
        <f t="shared" si="421"/>
        <v>0.176056338028169</v>
      </c>
      <c r="AV486" s="56">
        <f t="shared" si="452"/>
        <v>5.8685446009389672E-2</v>
      </c>
      <c r="AW486" s="57" t="s">
        <v>2511</v>
      </c>
      <c r="AX486" s="57" t="s">
        <v>2512</v>
      </c>
      <c r="AY486" s="57" t="s">
        <v>2513</v>
      </c>
      <c r="AZ486" s="58">
        <f t="shared" si="453"/>
        <v>0.15466031648519998</v>
      </c>
      <c r="BA486" s="59">
        <f t="shared" si="456"/>
        <v>4.5381548264436617E-3</v>
      </c>
      <c r="BB486" s="59">
        <f t="shared" si="457"/>
        <v>1.3614464479330983E-2</v>
      </c>
      <c r="BC486" s="59">
        <f t="shared" si="458"/>
        <v>3.6305238611549296E-3</v>
      </c>
      <c r="BD486" s="60">
        <f t="shared" si="454"/>
        <v>2.7777777777777776E-2</v>
      </c>
      <c r="BE486" s="59">
        <f t="shared" si="455"/>
        <v>2.7777777777777776E-2</v>
      </c>
      <c r="BQ486" s="61">
        <v>3000</v>
      </c>
      <c r="BR486" s="61">
        <v>1200</v>
      </c>
      <c r="BS486" s="28">
        <f t="shared" si="422"/>
        <v>2980</v>
      </c>
      <c r="BT486" s="28">
        <f t="shared" si="423"/>
        <v>1180</v>
      </c>
      <c r="BU486" s="28" t="s">
        <v>2541</v>
      </c>
      <c r="BV486" s="28">
        <f t="shared" si="424"/>
        <v>440.73700000000002</v>
      </c>
      <c r="BW486" s="28">
        <f t="shared" si="425"/>
        <v>182.46979999999999</v>
      </c>
      <c r="BX486" s="13">
        <f t="shared" si="426"/>
        <v>6.7614019245037289</v>
      </c>
      <c r="BY486" s="13">
        <f t="shared" si="427"/>
        <v>6</v>
      </c>
      <c r="BZ486" s="13">
        <f t="shared" si="428"/>
        <v>6.4668235510753016</v>
      </c>
      <c r="CA486" s="13">
        <f t="shared" si="429"/>
        <v>6</v>
      </c>
      <c r="CB486" s="13">
        <f t="shared" si="430"/>
        <v>36</v>
      </c>
      <c r="CC486" s="62">
        <f t="shared" si="431"/>
        <v>2.7777777777777776E-2</v>
      </c>
      <c r="CD486" s="13">
        <f t="shared" si="432"/>
        <v>16.331469645935933</v>
      </c>
      <c r="CE486" s="13">
        <f t="shared" si="433"/>
        <v>16</v>
      </c>
      <c r="CF486" s="13">
        <f t="shared" si="434"/>
        <v>2.6773336479578522</v>
      </c>
      <c r="CG486" s="13">
        <f t="shared" si="435"/>
        <v>2</v>
      </c>
      <c r="CH486" s="28">
        <f t="shared" si="436"/>
        <v>32</v>
      </c>
      <c r="CI486" s="62">
        <f t="shared" si="437"/>
        <v>3.125E-2</v>
      </c>
      <c r="CJ486" s="59">
        <f t="shared" si="438"/>
        <v>2.7777777777777776E-2</v>
      </c>
      <c r="CL486" s="63">
        <v>6000</v>
      </c>
      <c r="CM486" s="63">
        <f t="shared" si="439"/>
        <v>435.73700000000002</v>
      </c>
      <c r="CN486" s="63">
        <f t="shared" si="440"/>
        <v>440.73700000000002</v>
      </c>
      <c r="CO486" s="63">
        <f t="shared" si="441"/>
        <v>13.613560921819587</v>
      </c>
      <c r="CP486" s="13">
        <f t="shared" si="442"/>
        <v>13</v>
      </c>
      <c r="CQ486" s="70">
        <f t="shared" si="443"/>
        <v>7.6923076923076927E-2</v>
      </c>
      <c r="CR486" s="69">
        <f t="shared" si="465"/>
        <v>7.6923076923076927E-2</v>
      </c>
    </row>
    <row r="487" spans="1:96" hidden="1" x14ac:dyDescent="0.25">
      <c r="A487" s="13">
        <v>4</v>
      </c>
      <c r="B487" s="14" t="s">
        <v>1236</v>
      </c>
      <c r="C487" s="13" t="s">
        <v>1239</v>
      </c>
      <c r="D487" s="13" t="s">
        <v>1241</v>
      </c>
      <c r="E487" s="13" t="s">
        <v>52</v>
      </c>
      <c r="F487" s="15">
        <f t="shared" si="412"/>
        <v>1</v>
      </c>
      <c r="G487" s="13">
        <v>2</v>
      </c>
      <c r="H487" s="13">
        <f>G487*$H$485</f>
        <v>2</v>
      </c>
      <c r="I487" s="13">
        <v>2</v>
      </c>
      <c r="J487" s="14" t="s">
        <v>1240</v>
      </c>
      <c r="K487" s="14" t="s">
        <v>34</v>
      </c>
      <c r="L487" s="13" t="s">
        <v>642</v>
      </c>
      <c r="M487" s="14" t="s">
        <v>35</v>
      </c>
      <c r="N487" s="13" t="s">
        <v>1241</v>
      </c>
      <c r="O487" s="28" t="s">
        <v>41</v>
      </c>
      <c r="P487" s="28" t="s">
        <v>41</v>
      </c>
      <c r="Q487" s="28"/>
      <c r="R487" s="30"/>
      <c r="S487" s="30"/>
      <c r="T487" s="30"/>
      <c r="U487" s="30"/>
      <c r="V487" s="8">
        <f t="shared" si="413"/>
        <v>0</v>
      </c>
      <c r="W487" s="8">
        <f t="shared" si="414"/>
        <v>0</v>
      </c>
      <c r="X487" s="8">
        <f t="shared" si="415"/>
        <v>0</v>
      </c>
      <c r="Y487" s="33">
        <f t="shared" si="416"/>
        <v>0</v>
      </c>
      <c r="Z487" s="28"/>
      <c r="AA487" s="28"/>
      <c r="AB487" s="28">
        <v>0</v>
      </c>
      <c r="AC487" s="31"/>
      <c r="AD487" s="50">
        <f t="shared" si="417"/>
        <v>2</v>
      </c>
      <c r="AE487" s="31"/>
      <c r="AF487" s="51">
        <v>14</v>
      </c>
      <c r="AG487" s="51">
        <f t="shared" si="445"/>
        <v>8.4</v>
      </c>
      <c r="AH487" s="51">
        <f t="shared" si="410"/>
        <v>42</v>
      </c>
      <c r="AI487" s="52" t="s">
        <v>2497</v>
      </c>
      <c r="AJ487" s="52" t="s">
        <v>2498</v>
      </c>
      <c r="AK487" s="53">
        <f t="shared" si="446"/>
        <v>0</v>
      </c>
      <c r="AL487" s="54">
        <f t="shared" si="447"/>
        <v>0.11904761904761904</v>
      </c>
      <c r="AM487" s="54">
        <f t="shared" si="448"/>
        <v>2.3809523809523808E-2</v>
      </c>
      <c r="AN487" s="55">
        <f t="shared" si="449"/>
        <v>0</v>
      </c>
      <c r="AO487" s="55">
        <f t="shared" si="450"/>
        <v>0</v>
      </c>
      <c r="AP487" s="53">
        <v>7.1</v>
      </c>
      <c r="AQ487" s="53">
        <f t="shared" si="418"/>
        <v>4.26</v>
      </c>
      <c r="AR487" s="53">
        <f t="shared" si="419"/>
        <v>21.299999999999997</v>
      </c>
      <c r="AS487" s="56">
        <f t="shared" si="420"/>
        <v>4.6948356807511742E-2</v>
      </c>
      <c r="AT487" s="56">
        <f t="shared" si="451"/>
        <v>0.23474178403755869</v>
      </c>
      <c r="AU487" s="56">
        <f t="shared" si="421"/>
        <v>0.176056338028169</v>
      </c>
      <c r="AV487" s="56">
        <f t="shared" si="452"/>
        <v>5.8685446009389672E-2</v>
      </c>
      <c r="AW487" s="57" t="s">
        <v>2511</v>
      </c>
      <c r="AX487" s="57" t="s">
        <v>2512</v>
      </c>
      <c r="AY487" s="57" t="s">
        <v>2513</v>
      </c>
      <c r="AZ487" s="58">
        <f t="shared" si="453"/>
        <v>0</v>
      </c>
      <c r="BA487" s="59">
        <f t="shared" si="456"/>
        <v>0</v>
      </c>
      <c r="BB487" s="59">
        <f t="shared" si="457"/>
        <v>0</v>
      </c>
      <c r="BC487" s="59">
        <f t="shared" si="458"/>
        <v>0</v>
      </c>
      <c r="BD487" s="60">
        <f t="shared" si="454"/>
        <v>7.1095438516664771E-6</v>
      </c>
      <c r="BE487" s="59">
        <f t="shared" si="455"/>
        <v>1.4219087703332954E-5</v>
      </c>
      <c r="BQ487" s="61">
        <v>3000</v>
      </c>
      <c r="BR487" s="61">
        <v>1200</v>
      </c>
      <c r="BS487" s="28">
        <f t="shared" si="422"/>
        <v>2980</v>
      </c>
      <c r="BT487" s="28">
        <f t="shared" si="423"/>
        <v>1180</v>
      </c>
      <c r="BU487" s="28" t="s">
        <v>2541</v>
      </c>
      <c r="BV487" s="28">
        <f t="shared" si="424"/>
        <v>5</v>
      </c>
      <c r="BW487" s="28">
        <f t="shared" si="425"/>
        <v>5</v>
      </c>
      <c r="BX487" s="13">
        <f t="shared" si="426"/>
        <v>596</v>
      </c>
      <c r="BY487" s="13">
        <f t="shared" si="427"/>
        <v>596</v>
      </c>
      <c r="BZ487" s="13">
        <f t="shared" si="428"/>
        <v>236</v>
      </c>
      <c r="CA487" s="13">
        <f t="shared" si="429"/>
        <v>236</v>
      </c>
      <c r="CB487" s="13">
        <f t="shared" si="430"/>
        <v>140656</v>
      </c>
      <c r="CC487" s="62">
        <f t="shared" si="431"/>
        <v>7.1095438516664771E-6</v>
      </c>
      <c r="CD487" s="13">
        <f t="shared" si="432"/>
        <v>596</v>
      </c>
      <c r="CE487" s="13">
        <f t="shared" si="433"/>
        <v>596</v>
      </c>
      <c r="CF487" s="13">
        <f t="shared" si="434"/>
        <v>236</v>
      </c>
      <c r="CG487" s="13">
        <f t="shared" si="435"/>
        <v>236</v>
      </c>
      <c r="CH487" s="28">
        <f t="shared" si="436"/>
        <v>140656</v>
      </c>
      <c r="CI487" s="62">
        <f t="shared" si="437"/>
        <v>7.1095438516664771E-6</v>
      </c>
      <c r="CJ487" s="59">
        <f t="shared" si="438"/>
        <v>7.1095438516664771E-6</v>
      </c>
      <c r="CL487" s="63">
        <v>6000</v>
      </c>
      <c r="CM487" s="63">
        <f t="shared" si="439"/>
        <v>0</v>
      </c>
      <c r="CN487" s="63">
        <f t="shared" si="440"/>
        <v>5</v>
      </c>
      <c r="CO487" s="63">
        <f t="shared" si="441"/>
        <v>1200</v>
      </c>
      <c r="CP487" s="13">
        <f t="shared" si="442"/>
        <v>1200</v>
      </c>
      <c r="CQ487" s="70">
        <f t="shared" si="443"/>
        <v>8.3333333333333339E-4</v>
      </c>
      <c r="CR487" s="69">
        <f t="shared" si="465"/>
        <v>1.6666666666666668E-3</v>
      </c>
    </row>
    <row r="488" spans="1:96" hidden="1" x14ac:dyDescent="0.25">
      <c r="A488" s="17">
        <v>5</v>
      </c>
      <c r="B488" s="6" t="s">
        <v>1242</v>
      </c>
      <c r="C488" s="17" t="s">
        <v>1243</v>
      </c>
      <c r="D488" s="17" t="s">
        <v>1245</v>
      </c>
      <c r="E488" s="17" t="s">
        <v>52</v>
      </c>
      <c r="F488" s="7">
        <f t="shared" si="412"/>
        <v>2</v>
      </c>
      <c r="G488" s="17">
        <v>1</v>
      </c>
      <c r="H488" s="17">
        <f>G488*$H$487</f>
        <v>2</v>
      </c>
      <c r="I488" s="17">
        <v>1</v>
      </c>
      <c r="J488" s="6" t="s">
        <v>1244</v>
      </c>
      <c r="K488" s="6" t="s">
        <v>34</v>
      </c>
      <c r="L488" s="17">
        <v>0</v>
      </c>
      <c r="M488" s="6" t="s">
        <v>35</v>
      </c>
      <c r="N488" s="17" t="s">
        <v>1245</v>
      </c>
      <c r="O488" s="28" t="s">
        <v>41</v>
      </c>
      <c r="P488" s="28" t="s">
        <v>41</v>
      </c>
      <c r="Q488" s="28" t="s">
        <v>1245</v>
      </c>
      <c r="R488" s="30"/>
      <c r="S488" s="30"/>
      <c r="T488" s="30"/>
      <c r="U488" s="30"/>
      <c r="V488" s="8">
        <f t="shared" si="413"/>
        <v>0</v>
      </c>
      <c r="W488" s="8">
        <f t="shared" si="414"/>
        <v>0</v>
      </c>
      <c r="X488" s="8">
        <f t="shared" si="415"/>
        <v>0</v>
      </c>
      <c r="Y488" s="33">
        <f t="shared" si="416"/>
        <v>0</v>
      </c>
      <c r="Z488" s="28"/>
      <c r="AA488" s="28"/>
      <c r="AB488" s="61" t="s">
        <v>1245</v>
      </c>
      <c r="AC488" s="31" t="s">
        <v>1246</v>
      </c>
      <c r="AD488" s="50">
        <f t="shared" si="417"/>
        <v>2</v>
      </c>
      <c r="AE488" s="31"/>
      <c r="AF488" s="51">
        <v>14</v>
      </c>
      <c r="AG488" s="51">
        <f t="shared" si="445"/>
        <v>8.4</v>
      </c>
      <c r="AH488" s="51">
        <f t="shared" si="410"/>
        <v>42</v>
      </c>
      <c r="AI488" s="52" t="s">
        <v>2497</v>
      </c>
      <c r="AJ488" s="52" t="s">
        <v>2498</v>
      </c>
      <c r="AK488" s="53">
        <f t="shared" si="446"/>
        <v>0</v>
      </c>
      <c r="AL488" s="54">
        <f t="shared" si="447"/>
        <v>0.11904761904761904</v>
      </c>
      <c r="AM488" s="54">
        <f t="shared" si="448"/>
        <v>2.3809523809523808E-2</v>
      </c>
      <c r="AN488" s="55">
        <f t="shared" si="449"/>
        <v>0</v>
      </c>
      <c r="AO488" s="55">
        <f t="shared" si="450"/>
        <v>0</v>
      </c>
      <c r="AP488" s="53">
        <v>7.1</v>
      </c>
      <c r="AQ488" s="53">
        <f t="shared" si="418"/>
        <v>4.26</v>
      </c>
      <c r="AR488" s="53">
        <f t="shared" si="419"/>
        <v>21.299999999999997</v>
      </c>
      <c r="AS488" s="56">
        <f t="shared" si="420"/>
        <v>4.6948356807511742E-2</v>
      </c>
      <c r="AT488" s="56">
        <f t="shared" si="451"/>
        <v>0.23474178403755869</v>
      </c>
      <c r="AU488" s="56">
        <f t="shared" si="421"/>
        <v>0.176056338028169</v>
      </c>
      <c r="AV488" s="56">
        <f t="shared" si="452"/>
        <v>5.8685446009389672E-2</v>
      </c>
      <c r="AW488" s="57" t="s">
        <v>2511</v>
      </c>
      <c r="AX488" s="57" t="s">
        <v>2512</v>
      </c>
      <c r="AY488" s="57" t="s">
        <v>2513</v>
      </c>
      <c r="AZ488" s="58">
        <f t="shared" si="453"/>
        <v>0</v>
      </c>
      <c r="BA488" s="59">
        <f t="shared" si="456"/>
        <v>0</v>
      </c>
      <c r="BB488" s="59">
        <f t="shared" si="457"/>
        <v>0</v>
      </c>
      <c r="BC488" s="59">
        <f t="shared" si="458"/>
        <v>0</v>
      </c>
      <c r="BD488" s="60">
        <f t="shared" si="454"/>
        <v>7.1095438516664771E-6</v>
      </c>
      <c r="BE488" s="59">
        <f t="shared" si="455"/>
        <v>1.4219087703332954E-5</v>
      </c>
      <c r="BQ488" s="61">
        <v>3000</v>
      </c>
      <c r="BR488" s="61">
        <v>1200</v>
      </c>
      <c r="BS488" s="28">
        <f t="shared" si="422"/>
        <v>2980</v>
      </c>
      <c r="BT488" s="28">
        <f t="shared" si="423"/>
        <v>1180</v>
      </c>
      <c r="BU488" s="28" t="s">
        <v>2541</v>
      </c>
      <c r="BV488" s="28">
        <f t="shared" si="424"/>
        <v>5</v>
      </c>
      <c r="BW488" s="28">
        <f t="shared" si="425"/>
        <v>5</v>
      </c>
      <c r="BX488" s="13">
        <f t="shared" si="426"/>
        <v>596</v>
      </c>
      <c r="BY488" s="13">
        <f t="shared" si="427"/>
        <v>596</v>
      </c>
      <c r="BZ488" s="13">
        <f t="shared" si="428"/>
        <v>236</v>
      </c>
      <c r="CA488" s="13">
        <f t="shared" si="429"/>
        <v>236</v>
      </c>
      <c r="CB488" s="13">
        <f t="shared" si="430"/>
        <v>140656</v>
      </c>
      <c r="CC488" s="62">
        <f t="shared" si="431"/>
        <v>7.1095438516664771E-6</v>
      </c>
      <c r="CD488" s="13">
        <f t="shared" si="432"/>
        <v>596</v>
      </c>
      <c r="CE488" s="13">
        <f t="shared" si="433"/>
        <v>596</v>
      </c>
      <c r="CF488" s="13">
        <f t="shared" si="434"/>
        <v>236</v>
      </c>
      <c r="CG488" s="13">
        <f t="shared" si="435"/>
        <v>236</v>
      </c>
      <c r="CH488" s="28">
        <f t="shared" si="436"/>
        <v>140656</v>
      </c>
      <c r="CI488" s="62">
        <f t="shared" si="437"/>
        <v>7.1095438516664771E-6</v>
      </c>
      <c r="CJ488" s="59">
        <f t="shared" si="438"/>
        <v>7.1095438516664771E-6</v>
      </c>
      <c r="CL488" s="63">
        <v>6000</v>
      </c>
      <c r="CM488" s="63">
        <f t="shared" si="439"/>
        <v>0</v>
      </c>
      <c r="CN488" s="63">
        <f t="shared" si="440"/>
        <v>5</v>
      </c>
      <c r="CO488" s="63">
        <f t="shared" si="441"/>
        <v>1200</v>
      </c>
      <c r="CP488" s="13">
        <f t="shared" si="442"/>
        <v>1200</v>
      </c>
      <c r="CQ488" s="70">
        <f t="shared" si="443"/>
        <v>8.3333333333333339E-4</v>
      </c>
      <c r="CR488" s="69">
        <f t="shared" si="465"/>
        <v>1.6666666666666668E-3</v>
      </c>
    </row>
    <row r="489" spans="1:96" hidden="1" x14ac:dyDescent="0.25">
      <c r="A489" s="17">
        <v>5</v>
      </c>
      <c r="B489" s="6" t="s">
        <v>1242</v>
      </c>
      <c r="C489" s="17" t="s">
        <v>1247</v>
      </c>
      <c r="D489" s="17" t="s">
        <v>2270</v>
      </c>
      <c r="E489" s="17" t="s">
        <v>52</v>
      </c>
      <c r="F489" s="7">
        <f t="shared" si="412"/>
        <v>1</v>
      </c>
      <c r="G489" s="17">
        <v>1</v>
      </c>
      <c r="H489" s="17">
        <f>G489*$H$487</f>
        <v>2</v>
      </c>
      <c r="I489" s="17">
        <v>23</v>
      </c>
      <c r="J489" s="6" t="s">
        <v>1248</v>
      </c>
      <c r="K489" s="6" t="s">
        <v>34</v>
      </c>
      <c r="L489" s="17" t="s">
        <v>642</v>
      </c>
      <c r="M489" s="6" t="s">
        <v>35</v>
      </c>
      <c r="N489" s="17" t="s">
        <v>1249</v>
      </c>
      <c r="O489" s="28" t="s">
        <v>41</v>
      </c>
      <c r="P489" s="28" t="s">
        <v>41</v>
      </c>
      <c r="Q489" s="28"/>
      <c r="R489" s="30"/>
      <c r="S489" s="30"/>
      <c r="T489" s="30"/>
      <c r="U489" s="30"/>
      <c r="V489" s="8">
        <f t="shared" si="413"/>
        <v>0</v>
      </c>
      <c r="W489" s="8">
        <f t="shared" si="414"/>
        <v>0</v>
      </c>
      <c r="X489" s="8">
        <f t="shared" si="415"/>
        <v>0</v>
      </c>
      <c r="Y489" s="33">
        <f t="shared" si="416"/>
        <v>0</v>
      </c>
      <c r="Z489" s="28"/>
      <c r="AA489" s="28"/>
      <c r="AB489" s="28">
        <v>0</v>
      </c>
      <c r="AC489" s="31"/>
      <c r="AD489" s="50">
        <f t="shared" si="417"/>
        <v>2</v>
      </c>
      <c r="AE489" s="31"/>
      <c r="AF489" s="51">
        <v>14</v>
      </c>
      <c r="AG489" s="51">
        <f t="shared" si="445"/>
        <v>8.4</v>
      </c>
      <c r="AH489" s="51">
        <f t="shared" si="410"/>
        <v>42</v>
      </c>
      <c r="AI489" s="52" t="s">
        <v>2497</v>
      </c>
      <c r="AJ489" s="52" t="s">
        <v>2498</v>
      </c>
      <c r="AK489" s="53">
        <f t="shared" si="446"/>
        <v>0</v>
      </c>
      <c r="AL489" s="54">
        <f t="shared" si="447"/>
        <v>0.11904761904761904</v>
      </c>
      <c r="AM489" s="54">
        <f t="shared" si="448"/>
        <v>2.3809523809523808E-2</v>
      </c>
      <c r="AN489" s="55">
        <f t="shared" si="449"/>
        <v>0</v>
      </c>
      <c r="AO489" s="55">
        <f t="shared" si="450"/>
        <v>0</v>
      </c>
      <c r="AP489" s="53">
        <v>7.1</v>
      </c>
      <c r="AQ489" s="53">
        <f t="shared" si="418"/>
        <v>4.26</v>
      </c>
      <c r="AR489" s="53">
        <f t="shared" si="419"/>
        <v>21.299999999999997</v>
      </c>
      <c r="AS489" s="56">
        <f t="shared" si="420"/>
        <v>4.6948356807511742E-2</v>
      </c>
      <c r="AT489" s="56">
        <f t="shared" si="451"/>
        <v>0.23474178403755869</v>
      </c>
      <c r="AU489" s="56">
        <f t="shared" si="421"/>
        <v>0.176056338028169</v>
      </c>
      <c r="AV489" s="56">
        <f t="shared" si="452"/>
        <v>5.8685446009389672E-2</v>
      </c>
      <c r="AW489" s="57" t="s">
        <v>2511</v>
      </c>
      <c r="AX489" s="57" t="s">
        <v>2512</v>
      </c>
      <c r="AY489" s="57" t="s">
        <v>2513</v>
      </c>
      <c r="AZ489" s="58">
        <f t="shared" si="453"/>
        <v>0</v>
      </c>
      <c r="BA489" s="59">
        <f t="shared" si="456"/>
        <v>0</v>
      </c>
      <c r="BB489" s="59">
        <f t="shared" si="457"/>
        <v>0</v>
      </c>
      <c r="BC489" s="59">
        <f t="shared" si="458"/>
        <v>0</v>
      </c>
      <c r="BD489" s="60">
        <f t="shared" si="454"/>
        <v>7.1095438516664771E-6</v>
      </c>
      <c r="BE489" s="59">
        <f t="shared" si="455"/>
        <v>1.4219087703332954E-5</v>
      </c>
      <c r="BQ489" s="61">
        <v>3000</v>
      </c>
      <c r="BR489" s="61">
        <v>1200</v>
      </c>
      <c r="BS489" s="28">
        <f t="shared" si="422"/>
        <v>2980</v>
      </c>
      <c r="BT489" s="28">
        <f t="shared" si="423"/>
        <v>1180</v>
      </c>
      <c r="BU489" s="28" t="s">
        <v>2541</v>
      </c>
      <c r="BV489" s="28">
        <f t="shared" si="424"/>
        <v>5</v>
      </c>
      <c r="BW489" s="28">
        <f t="shared" si="425"/>
        <v>5</v>
      </c>
      <c r="BX489" s="13">
        <f t="shared" si="426"/>
        <v>596</v>
      </c>
      <c r="BY489" s="13">
        <f t="shared" si="427"/>
        <v>596</v>
      </c>
      <c r="BZ489" s="13">
        <f t="shared" si="428"/>
        <v>236</v>
      </c>
      <c r="CA489" s="13">
        <f t="shared" si="429"/>
        <v>236</v>
      </c>
      <c r="CB489" s="13">
        <f t="shared" si="430"/>
        <v>140656</v>
      </c>
      <c r="CC489" s="62">
        <f t="shared" si="431"/>
        <v>7.1095438516664771E-6</v>
      </c>
      <c r="CD489" s="13">
        <f t="shared" si="432"/>
        <v>596</v>
      </c>
      <c r="CE489" s="13">
        <f t="shared" si="433"/>
        <v>596</v>
      </c>
      <c r="CF489" s="13">
        <f t="shared" si="434"/>
        <v>236</v>
      </c>
      <c r="CG489" s="13">
        <f t="shared" si="435"/>
        <v>236</v>
      </c>
      <c r="CH489" s="28">
        <f t="shared" si="436"/>
        <v>140656</v>
      </c>
      <c r="CI489" s="62">
        <f t="shared" si="437"/>
        <v>7.1095438516664771E-6</v>
      </c>
      <c r="CJ489" s="59">
        <f t="shared" si="438"/>
        <v>7.1095438516664771E-6</v>
      </c>
      <c r="CL489" s="63">
        <v>6000</v>
      </c>
      <c r="CM489" s="63">
        <f t="shared" si="439"/>
        <v>0</v>
      </c>
      <c r="CN489" s="63">
        <f t="shared" si="440"/>
        <v>5</v>
      </c>
      <c r="CO489" s="63">
        <f t="shared" si="441"/>
        <v>1200</v>
      </c>
      <c r="CP489" s="13">
        <f t="shared" si="442"/>
        <v>1200</v>
      </c>
      <c r="CQ489" s="70">
        <f t="shared" si="443"/>
        <v>8.3333333333333339E-4</v>
      </c>
      <c r="CR489" s="69">
        <f t="shared" si="465"/>
        <v>1.6666666666666668E-3</v>
      </c>
    </row>
    <row r="490" spans="1:96" hidden="1" x14ac:dyDescent="0.25">
      <c r="A490" s="42">
        <v>6</v>
      </c>
      <c r="B490" s="43" t="s">
        <v>1250</v>
      </c>
      <c r="C490" s="42" t="s">
        <v>649</v>
      </c>
      <c r="D490" s="42" t="s">
        <v>2270</v>
      </c>
      <c r="E490" s="42" t="s">
        <v>52</v>
      </c>
      <c r="F490" s="44">
        <f t="shared" si="412"/>
        <v>3</v>
      </c>
      <c r="G490" s="42">
        <v>1</v>
      </c>
      <c r="H490" s="42">
        <f>G490*$H$489</f>
        <v>2</v>
      </c>
      <c r="I490" s="42" t="s">
        <v>485</v>
      </c>
      <c r="J490" s="43" t="s">
        <v>650</v>
      </c>
      <c r="K490" s="43" t="s">
        <v>651</v>
      </c>
      <c r="L490" s="42" t="s">
        <v>194</v>
      </c>
      <c r="M490" s="43" t="s">
        <v>35</v>
      </c>
      <c r="N490" s="42" t="s">
        <v>1249</v>
      </c>
      <c r="O490" s="28" t="s">
        <v>41</v>
      </c>
      <c r="P490" s="28" t="s">
        <v>41</v>
      </c>
      <c r="Q490" s="28" t="s">
        <v>644</v>
      </c>
      <c r="R490" s="30">
        <v>6.3110236220472453</v>
      </c>
      <c r="S490" s="30" t="s">
        <v>1251</v>
      </c>
      <c r="T490" s="30"/>
      <c r="U490" s="30" t="s">
        <v>1251</v>
      </c>
      <c r="V490" s="8">
        <f t="shared" si="413"/>
        <v>160.30000000000001</v>
      </c>
      <c r="W490" s="8">
        <v>0</v>
      </c>
      <c r="X490" s="8">
        <f t="shared" si="415"/>
        <v>0</v>
      </c>
      <c r="Y490" s="33">
        <v>0</v>
      </c>
      <c r="Z490" s="28" t="s">
        <v>646</v>
      </c>
      <c r="AA490" s="28" t="s">
        <v>173</v>
      </c>
      <c r="AB490" s="61" t="s">
        <v>644</v>
      </c>
      <c r="AC490" s="31" t="s">
        <v>647</v>
      </c>
      <c r="AD490" s="50">
        <f t="shared" si="417"/>
        <v>2</v>
      </c>
      <c r="AE490" s="31"/>
      <c r="AF490" s="51">
        <v>14</v>
      </c>
      <c r="AG490" s="51">
        <f t="shared" si="445"/>
        <v>8.4</v>
      </c>
      <c r="AH490" s="51">
        <f t="shared" si="410"/>
        <v>42</v>
      </c>
      <c r="AI490" s="52" t="s">
        <v>2497</v>
      </c>
      <c r="AJ490" s="52" t="s">
        <v>2498</v>
      </c>
      <c r="AK490" s="53">
        <f t="shared" si="446"/>
        <v>0</v>
      </c>
      <c r="AL490" s="54">
        <f t="shared" si="447"/>
        <v>0.11904761904761904</v>
      </c>
      <c r="AM490" s="54">
        <f t="shared" si="448"/>
        <v>2.3809523809523808E-2</v>
      </c>
      <c r="AN490" s="55">
        <f t="shared" si="449"/>
        <v>0</v>
      </c>
      <c r="AO490" s="55">
        <f t="shared" si="450"/>
        <v>0</v>
      </c>
      <c r="AP490" s="53">
        <v>7.1</v>
      </c>
      <c r="AQ490" s="53">
        <f t="shared" si="418"/>
        <v>4.26</v>
      </c>
      <c r="AR490" s="53">
        <f t="shared" si="419"/>
        <v>21.299999999999997</v>
      </c>
      <c r="AS490" s="56">
        <f t="shared" si="420"/>
        <v>4.6948356807511742E-2</v>
      </c>
      <c r="AT490" s="56">
        <f t="shared" si="451"/>
        <v>0.23474178403755869</v>
      </c>
      <c r="AU490" s="56">
        <f t="shared" si="421"/>
        <v>0.176056338028169</v>
      </c>
      <c r="AV490" s="56">
        <f t="shared" si="452"/>
        <v>5.8685446009389672E-2</v>
      </c>
      <c r="AW490" s="57" t="s">
        <v>2511</v>
      </c>
      <c r="AX490" s="57" t="s">
        <v>2512</v>
      </c>
      <c r="AY490" s="57" t="s">
        <v>2513</v>
      </c>
      <c r="AZ490" s="58">
        <f t="shared" si="453"/>
        <v>0</v>
      </c>
      <c r="BA490" s="59">
        <f t="shared" si="456"/>
        <v>0</v>
      </c>
      <c r="BB490" s="59">
        <f t="shared" si="457"/>
        <v>0</v>
      </c>
      <c r="BC490" s="59">
        <f t="shared" si="458"/>
        <v>0</v>
      </c>
      <c r="BD490" s="60">
        <f t="shared" si="454"/>
        <v>2.3540489642184556E-4</v>
      </c>
      <c r="BE490" s="59">
        <f t="shared" si="455"/>
        <v>4.7080979284369113E-4</v>
      </c>
      <c r="BQ490" s="61">
        <v>3000</v>
      </c>
      <c r="BR490" s="61">
        <v>1200</v>
      </c>
      <c r="BS490" s="28">
        <f t="shared" si="422"/>
        <v>2980</v>
      </c>
      <c r="BT490" s="28">
        <f t="shared" si="423"/>
        <v>1180</v>
      </c>
      <c r="BU490" s="28" t="s">
        <v>2541</v>
      </c>
      <c r="BV490" s="28">
        <f t="shared" si="424"/>
        <v>165.3</v>
      </c>
      <c r="BW490" s="28">
        <f t="shared" si="425"/>
        <v>5</v>
      </c>
      <c r="BX490" s="13">
        <f t="shared" si="426"/>
        <v>18.027828191167572</v>
      </c>
      <c r="BY490" s="13">
        <f t="shared" si="427"/>
        <v>18</v>
      </c>
      <c r="BZ490" s="13">
        <f t="shared" si="428"/>
        <v>236</v>
      </c>
      <c r="CA490" s="13">
        <f t="shared" si="429"/>
        <v>236</v>
      </c>
      <c r="CB490" s="13">
        <f t="shared" si="430"/>
        <v>4248</v>
      </c>
      <c r="CC490" s="62">
        <f t="shared" si="431"/>
        <v>2.3540489642184556E-4</v>
      </c>
      <c r="CD490" s="13">
        <f t="shared" si="432"/>
        <v>596</v>
      </c>
      <c r="CE490" s="13">
        <f t="shared" si="433"/>
        <v>596</v>
      </c>
      <c r="CF490" s="13">
        <f t="shared" si="434"/>
        <v>7.1385359951603142</v>
      </c>
      <c r="CG490" s="13">
        <f t="shared" si="435"/>
        <v>7</v>
      </c>
      <c r="CH490" s="28">
        <f t="shared" si="436"/>
        <v>4172</v>
      </c>
      <c r="CI490" s="62">
        <f t="shared" si="437"/>
        <v>2.3969319271332693E-4</v>
      </c>
      <c r="CJ490" s="59">
        <f t="shared" si="438"/>
        <v>2.3540489642184556E-4</v>
      </c>
      <c r="CL490" s="63">
        <v>6000</v>
      </c>
      <c r="CM490" s="63">
        <f t="shared" si="439"/>
        <v>160.30000000000001</v>
      </c>
      <c r="CN490" s="63">
        <f t="shared" si="440"/>
        <v>165.3</v>
      </c>
      <c r="CO490" s="63">
        <f t="shared" si="441"/>
        <v>36.297640653357526</v>
      </c>
      <c r="CP490" s="13">
        <f t="shared" si="442"/>
        <v>36</v>
      </c>
      <c r="CQ490" s="70">
        <f t="shared" si="443"/>
        <v>2.7777777777777776E-2</v>
      </c>
      <c r="CR490" s="69">
        <f t="shared" si="465"/>
        <v>5.5555555555555552E-2</v>
      </c>
    </row>
    <row r="491" spans="1:96" hidden="1" x14ac:dyDescent="0.25">
      <c r="A491" s="10">
        <v>3</v>
      </c>
      <c r="B491" s="8" t="s">
        <v>1232</v>
      </c>
      <c r="C491" s="10" t="s">
        <v>1252</v>
      </c>
      <c r="D491" s="10" t="s">
        <v>2270</v>
      </c>
      <c r="E491" s="10" t="s">
        <v>32</v>
      </c>
      <c r="F491" s="12">
        <f t="shared" si="412"/>
        <v>1</v>
      </c>
      <c r="G491" s="10">
        <v>6</v>
      </c>
      <c r="H491" s="10">
        <f>G491*$H$484</f>
        <v>6</v>
      </c>
      <c r="I491" s="10">
        <v>7</v>
      </c>
      <c r="J491" s="8" t="s">
        <v>508</v>
      </c>
      <c r="K491" s="8" t="s">
        <v>34</v>
      </c>
      <c r="L491" s="10">
        <v>0</v>
      </c>
      <c r="M491" s="8" t="s">
        <v>35</v>
      </c>
      <c r="N491" s="10" t="s">
        <v>1253</v>
      </c>
      <c r="O491" s="28" t="s">
        <v>41</v>
      </c>
      <c r="P491" s="28" t="s">
        <v>41</v>
      </c>
      <c r="Q491" s="28"/>
      <c r="R491" s="30"/>
      <c r="S491" s="30"/>
      <c r="T491" s="30"/>
      <c r="U491" s="30"/>
      <c r="V491" s="8">
        <f t="shared" si="413"/>
        <v>0</v>
      </c>
      <c r="W491" s="8">
        <f t="shared" si="414"/>
        <v>0</v>
      </c>
      <c r="X491" s="8">
        <f t="shared" si="415"/>
        <v>0</v>
      </c>
      <c r="Y491" s="33">
        <f t="shared" si="416"/>
        <v>0</v>
      </c>
      <c r="Z491" s="28"/>
      <c r="AA491" s="28"/>
      <c r="AB491" s="28">
        <v>0</v>
      </c>
      <c r="AC491" s="31"/>
      <c r="AD491" s="50">
        <f t="shared" si="417"/>
        <v>6</v>
      </c>
      <c r="AE491" s="31"/>
      <c r="AF491" s="51">
        <v>14</v>
      </c>
      <c r="AG491" s="51">
        <f t="shared" si="445"/>
        <v>8.4</v>
      </c>
      <c r="AH491" s="51">
        <f t="shared" si="410"/>
        <v>42</v>
      </c>
      <c r="AI491" s="52" t="s">
        <v>2497</v>
      </c>
      <c r="AJ491" s="52" t="s">
        <v>2498</v>
      </c>
      <c r="AK491" s="53">
        <f t="shared" si="446"/>
        <v>0</v>
      </c>
      <c r="AL491" s="54">
        <f t="shared" si="447"/>
        <v>0.11904761904761904</v>
      </c>
      <c r="AM491" s="54">
        <f t="shared" si="448"/>
        <v>2.3809523809523808E-2</v>
      </c>
      <c r="AN491" s="55">
        <f t="shared" si="449"/>
        <v>0</v>
      </c>
      <c r="AO491" s="55">
        <f t="shared" si="450"/>
        <v>0</v>
      </c>
      <c r="AP491" s="53">
        <v>7.1</v>
      </c>
      <c r="AQ491" s="53">
        <f t="shared" si="418"/>
        <v>4.26</v>
      </c>
      <c r="AR491" s="53">
        <f t="shared" si="419"/>
        <v>21.299999999999997</v>
      </c>
      <c r="AS491" s="56">
        <f t="shared" si="420"/>
        <v>4.6948356807511742E-2</v>
      </c>
      <c r="AT491" s="56">
        <f t="shared" si="451"/>
        <v>0.23474178403755869</v>
      </c>
      <c r="AU491" s="56">
        <f t="shared" si="421"/>
        <v>0.176056338028169</v>
      </c>
      <c r="AV491" s="56">
        <f t="shared" si="452"/>
        <v>5.8685446009389672E-2</v>
      </c>
      <c r="AW491" s="57" t="s">
        <v>2511</v>
      </c>
      <c r="AX491" s="57" t="s">
        <v>2512</v>
      </c>
      <c r="AY491" s="57" t="s">
        <v>2513</v>
      </c>
      <c r="AZ491" s="58">
        <f t="shared" si="453"/>
        <v>0</v>
      </c>
      <c r="BA491" s="59">
        <f t="shared" si="456"/>
        <v>0</v>
      </c>
      <c r="BB491" s="59">
        <f t="shared" si="457"/>
        <v>0</v>
      </c>
      <c r="BC491" s="59">
        <f t="shared" si="458"/>
        <v>0</v>
      </c>
      <c r="BD491" s="60">
        <f t="shared" si="454"/>
        <v>0</v>
      </c>
      <c r="BE491" s="59">
        <f t="shared" si="455"/>
        <v>0</v>
      </c>
      <c r="BQ491" s="61">
        <v>3000</v>
      </c>
      <c r="BR491" s="61">
        <v>1200</v>
      </c>
      <c r="BS491" s="28">
        <f t="shared" si="422"/>
        <v>2980</v>
      </c>
      <c r="BT491" s="28">
        <f t="shared" si="423"/>
        <v>1180</v>
      </c>
      <c r="BU491" s="28" t="s">
        <v>2541</v>
      </c>
      <c r="BV491" s="28">
        <f t="shared" si="424"/>
        <v>5</v>
      </c>
      <c r="BW491" s="28">
        <f t="shared" si="425"/>
        <v>5</v>
      </c>
      <c r="BX491" s="13">
        <f t="shared" si="426"/>
        <v>596</v>
      </c>
      <c r="BY491" s="13">
        <f t="shared" si="427"/>
        <v>596</v>
      </c>
      <c r="BZ491" s="13">
        <f t="shared" si="428"/>
        <v>236</v>
      </c>
      <c r="CA491" s="13">
        <f t="shared" si="429"/>
        <v>236</v>
      </c>
      <c r="CB491" s="13">
        <f t="shared" si="430"/>
        <v>140656</v>
      </c>
      <c r="CC491" s="62" t="str">
        <f t="shared" si="431"/>
        <v/>
      </c>
      <c r="CD491" s="13">
        <f t="shared" si="432"/>
        <v>596</v>
      </c>
      <c r="CE491" s="13">
        <f t="shared" si="433"/>
        <v>596</v>
      </c>
      <c r="CF491" s="13">
        <f t="shared" si="434"/>
        <v>236</v>
      </c>
      <c r="CG491" s="13">
        <f t="shared" si="435"/>
        <v>236</v>
      </c>
      <c r="CH491" s="28">
        <f t="shared" si="436"/>
        <v>140656</v>
      </c>
      <c r="CI491" s="62" t="str">
        <f t="shared" si="437"/>
        <v/>
      </c>
      <c r="CJ491" s="59">
        <f t="shared" si="438"/>
        <v>0</v>
      </c>
      <c r="CL491" s="63">
        <v>6000</v>
      </c>
      <c r="CM491" s="63">
        <f t="shared" si="439"/>
        <v>0</v>
      </c>
      <c r="CN491" s="63">
        <f t="shared" si="440"/>
        <v>5</v>
      </c>
      <c r="CO491" s="63">
        <f t="shared" si="441"/>
        <v>1200</v>
      </c>
      <c r="CP491" s="13">
        <f t="shared" si="442"/>
        <v>1200</v>
      </c>
      <c r="CQ491" s="70">
        <f t="shared" si="443"/>
        <v>8.3333333333333339E-4</v>
      </c>
      <c r="CR491" s="69">
        <f t="shared" si="465"/>
        <v>5.0000000000000001E-3</v>
      </c>
    </row>
    <row r="492" spans="1:96" hidden="1" x14ac:dyDescent="0.25">
      <c r="A492" s="13">
        <v>4</v>
      </c>
      <c r="B492" s="14" t="s">
        <v>1254</v>
      </c>
      <c r="C492" s="13" t="s">
        <v>1255</v>
      </c>
      <c r="D492" s="13" t="s">
        <v>2270</v>
      </c>
      <c r="E492" s="13" t="s">
        <v>52</v>
      </c>
      <c r="F492" s="15">
        <f t="shared" si="412"/>
        <v>1</v>
      </c>
      <c r="G492" s="13">
        <v>1</v>
      </c>
      <c r="H492" s="13">
        <f>G492*$H$491</f>
        <v>6</v>
      </c>
      <c r="I492" s="13">
        <v>1</v>
      </c>
      <c r="J492" s="14" t="s">
        <v>512</v>
      </c>
      <c r="K492" s="14" t="s">
        <v>34</v>
      </c>
      <c r="L492" s="13">
        <v>0</v>
      </c>
      <c r="M492" s="14" t="s">
        <v>35</v>
      </c>
      <c r="N492" s="13" t="s">
        <v>1256</v>
      </c>
      <c r="O492" s="28" t="s">
        <v>41</v>
      </c>
      <c r="P492" s="28" t="s">
        <v>41</v>
      </c>
      <c r="Q492" s="28" t="s">
        <v>116</v>
      </c>
      <c r="R492" s="30">
        <v>5.069</v>
      </c>
      <c r="S492" s="30">
        <v>3.75</v>
      </c>
      <c r="T492" s="30"/>
      <c r="U492" s="30">
        <v>0.11799999999999999</v>
      </c>
      <c r="V492" s="8">
        <f t="shared" si="413"/>
        <v>128.7526</v>
      </c>
      <c r="W492" s="8">
        <f t="shared" si="414"/>
        <v>95.25</v>
      </c>
      <c r="X492" s="8">
        <f t="shared" si="415"/>
        <v>0</v>
      </c>
      <c r="Y492" s="33">
        <f t="shared" si="416"/>
        <v>2.9971999999999999</v>
      </c>
      <c r="Z492" s="28" t="s">
        <v>56</v>
      </c>
      <c r="AA492" s="28" t="s">
        <v>57</v>
      </c>
      <c r="AB492" s="28" t="s">
        <v>116</v>
      </c>
      <c r="AC492" s="31" t="s">
        <v>117</v>
      </c>
      <c r="AD492" s="50">
        <f t="shared" si="417"/>
        <v>6</v>
      </c>
      <c r="AE492" s="47" t="s">
        <v>107</v>
      </c>
      <c r="AF492" s="51">
        <v>14</v>
      </c>
      <c r="AG492" s="51">
        <f t="shared" si="445"/>
        <v>8.4</v>
      </c>
      <c r="AH492" s="51">
        <f t="shared" si="410"/>
        <v>42</v>
      </c>
      <c r="AI492" s="52" t="s">
        <v>2497</v>
      </c>
      <c r="AJ492" s="52" t="s">
        <v>2498</v>
      </c>
      <c r="AK492" s="53">
        <f t="shared" si="446"/>
        <v>2.45273703E-2</v>
      </c>
      <c r="AL492" s="54">
        <f t="shared" si="447"/>
        <v>0.11904761904761904</v>
      </c>
      <c r="AM492" s="54">
        <f t="shared" si="448"/>
        <v>2.3809523809523808E-2</v>
      </c>
      <c r="AN492" s="55">
        <f t="shared" si="449"/>
        <v>1.7519550214285712E-2</v>
      </c>
      <c r="AO492" s="55">
        <f t="shared" si="450"/>
        <v>3.503910042857143E-3</v>
      </c>
      <c r="AP492" s="53">
        <v>7.1</v>
      </c>
      <c r="AQ492" s="53">
        <f t="shared" si="418"/>
        <v>4.26</v>
      </c>
      <c r="AR492" s="53">
        <f t="shared" si="419"/>
        <v>21.299999999999997</v>
      </c>
      <c r="AS492" s="56">
        <f t="shared" si="420"/>
        <v>4.6948356807511742E-2</v>
      </c>
      <c r="AT492" s="56">
        <f t="shared" si="451"/>
        <v>0.23474178403755869</v>
      </c>
      <c r="AU492" s="56">
        <f t="shared" si="421"/>
        <v>0.176056338028169</v>
      </c>
      <c r="AV492" s="56">
        <f t="shared" si="452"/>
        <v>5.8685446009389672E-2</v>
      </c>
      <c r="AW492" s="57" t="s">
        <v>2511</v>
      </c>
      <c r="AX492" s="57" t="s">
        <v>2512</v>
      </c>
      <c r="AY492" s="57" t="s">
        <v>2513</v>
      </c>
      <c r="AZ492" s="58">
        <f t="shared" si="453"/>
        <v>2.45273703E-2</v>
      </c>
      <c r="BA492" s="59">
        <f t="shared" si="456"/>
        <v>4.318198996478873E-3</v>
      </c>
      <c r="BB492" s="59">
        <f t="shared" si="457"/>
        <v>1.2954596989436618E-2</v>
      </c>
      <c r="BC492" s="59">
        <f t="shared" si="458"/>
        <v>3.4545591971830987E-3</v>
      </c>
      <c r="BD492" s="60">
        <f t="shared" si="454"/>
        <v>4.1322314049586778E-3</v>
      </c>
      <c r="BE492" s="59">
        <f t="shared" si="455"/>
        <v>2.4793388429752067E-2</v>
      </c>
      <c r="BQ492" s="61">
        <v>3000</v>
      </c>
      <c r="BR492" s="61">
        <v>1200</v>
      </c>
      <c r="BS492" s="28">
        <f t="shared" si="422"/>
        <v>2980</v>
      </c>
      <c r="BT492" s="28">
        <f t="shared" si="423"/>
        <v>1180</v>
      </c>
      <c r="BU492" s="28" t="s">
        <v>2541</v>
      </c>
      <c r="BV492" s="28">
        <f t="shared" si="424"/>
        <v>133.7526</v>
      </c>
      <c r="BW492" s="28">
        <f t="shared" si="425"/>
        <v>100.25</v>
      </c>
      <c r="BX492" s="13">
        <f t="shared" si="426"/>
        <v>22.279940726385881</v>
      </c>
      <c r="BY492" s="13">
        <f t="shared" si="427"/>
        <v>22</v>
      </c>
      <c r="BZ492" s="13">
        <f t="shared" si="428"/>
        <v>11.770573566084789</v>
      </c>
      <c r="CA492" s="13">
        <f t="shared" si="429"/>
        <v>11</v>
      </c>
      <c r="CB492" s="13">
        <f t="shared" si="430"/>
        <v>242</v>
      </c>
      <c r="CC492" s="62">
        <f t="shared" si="431"/>
        <v>4.1322314049586778E-3</v>
      </c>
      <c r="CD492" s="13">
        <f t="shared" si="432"/>
        <v>29.725685785536161</v>
      </c>
      <c r="CE492" s="13">
        <f t="shared" si="433"/>
        <v>29</v>
      </c>
      <c r="CF492" s="13">
        <f t="shared" si="434"/>
        <v>8.8222584084346778</v>
      </c>
      <c r="CG492" s="13">
        <f t="shared" si="435"/>
        <v>8</v>
      </c>
      <c r="CH492" s="28">
        <f t="shared" si="436"/>
        <v>232</v>
      </c>
      <c r="CI492" s="62">
        <f t="shared" si="437"/>
        <v>4.3103448275862068E-3</v>
      </c>
      <c r="CJ492" s="59">
        <f t="shared" si="438"/>
        <v>4.1322314049586778E-3</v>
      </c>
      <c r="CL492" s="63">
        <v>6000</v>
      </c>
      <c r="CM492" s="63">
        <f t="shared" si="439"/>
        <v>128.7526</v>
      </c>
      <c r="CN492" s="63">
        <f t="shared" si="440"/>
        <v>133.7526</v>
      </c>
      <c r="CO492" s="63">
        <f t="shared" si="441"/>
        <v>44.858941059837342</v>
      </c>
      <c r="CP492" s="13">
        <f t="shared" si="442"/>
        <v>44</v>
      </c>
      <c r="CQ492" s="70">
        <f t="shared" si="443"/>
        <v>2.2727272727272728E-2</v>
      </c>
      <c r="CR492" s="69">
        <f t="shared" si="465"/>
        <v>0.13636363636363635</v>
      </c>
    </row>
    <row r="493" spans="1:96" hidden="1" x14ac:dyDescent="0.25">
      <c r="A493" s="13">
        <v>4</v>
      </c>
      <c r="B493" s="14" t="s">
        <v>1254</v>
      </c>
      <c r="C493" s="13" t="s">
        <v>1257</v>
      </c>
      <c r="D493" s="13" t="s">
        <v>1258</v>
      </c>
      <c r="E493" s="13" t="s">
        <v>52</v>
      </c>
      <c r="F493" s="15">
        <f t="shared" si="412"/>
        <v>1</v>
      </c>
      <c r="G493" s="13">
        <v>2</v>
      </c>
      <c r="H493" s="13">
        <f>G493*$H$491</f>
        <v>12</v>
      </c>
      <c r="I493" s="13">
        <v>2</v>
      </c>
      <c r="J493" s="14" t="s">
        <v>681</v>
      </c>
      <c r="K493" s="14" t="s">
        <v>34</v>
      </c>
      <c r="L493" s="13">
        <v>0</v>
      </c>
      <c r="M493" s="14" t="s">
        <v>35</v>
      </c>
      <c r="N493" s="13" t="s">
        <v>1258</v>
      </c>
      <c r="O493" s="28" t="s">
        <v>41</v>
      </c>
      <c r="P493" s="28" t="s">
        <v>41</v>
      </c>
      <c r="Q493" s="28" t="s">
        <v>1258</v>
      </c>
      <c r="R493" s="30"/>
      <c r="S493" s="30"/>
      <c r="T493" s="30"/>
      <c r="U493" s="30"/>
      <c r="V493" s="8">
        <f t="shared" si="413"/>
        <v>0</v>
      </c>
      <c r="W493" s="8">
        <f t="shared" si="414"/>
        <v>0</v>
      </c>
      <c r="X493" s="8">
        <f t="shared" si="415"/>
        <v>0</v>
      </c>
      <c r="Y493" s="33">
        <f t="shared" si="416"/>
        <v>0</v>
      </c>
      <c r="Z493" s="28"/>
      <c r="AA493" s="28"/>
      <c r="AB493" s="61" t="s">
        <v>1258</v>
      </c>
      <c r="AC493" s="31" t="s">
        <v>1259</v>
      </c>
      <c r="AD493" s="50">
        <f t="shared" si="417"/>
        <v>12</v>
      </c>
      <c r="AE493" s="31"/>
      <c r="AF493" s="51">
        <v>14</v>
      </c>
      <c r="AG493" s="51">
        <f t="shared" si="445"/>
        <v>8.4</v>
      </c>
      <c r="AH493" s="51">
        <f t="shared" si="410"/>
        <v>42</v>
      </c>
      <c r="AI493" s="52" t="s">
        <v>2497</v>
      </c>
      <c r="AJ493" s="52" t="s">
        <v>2498</v>
      </c>
      <c r="AK493" s="53">
        <f t="shared" si="446"/>
        <v>0</v>
      </c>
      <c r="AL493" s="54">
        <f t="shared" si="447"/>
        <v>0.11904761904761904</v>
      </c>
      <c r="AM493" s="54">
        <f t="shared" si="448"/>
        <v>2.3809523809523808E-2</v>
      </c>
      <c r="AN493" s="55">
        <f t="shared" si="449"/>
        <v>0</v>
      </c>
      <c r="AO493" s="55">
        <f t="shared" si="450"/>
        <v>0</v>
      </c>
      <c r="AP493" s="53">
        <v>7.1</v>
      </c>
      <c r="AQ493" s="53">
        <f t="shared" si="418"/>
        <v>4.26</v>
      </c>
      <c r="AR493" s="53">
        <f t="shared" si="419"/>
        <v>21.299999999999997</v>
      </c>
      <c r="AS493" s="56">
        <f t="shared" si="420"/>
        <v>4.6948356807511742E-2</v>
      </c>
      <c r="AT493" s="56">
        <f t="shared" si="451"/>
        <v>0.23474178403755869</v>
      </c>
      <c r="AU493" s="56">
        <f t="shared" si="421"/>
        <v>0.176056338028169</v>
      </c>
      <c r="AV493" s="56">
        <f t="shared" si="452"/>
        <v>5.8685446009389672E-2</v>
      </c>
      <c r="AW493" s="57" t="s">
        <v>2511</v>
      </c>
      <c r="AX493" s="57" t="s">
        <v>2512</v>
      </c>
      <c r="AY493" s="57" t="s">
        <v>2513</v>
      </c>
      <c r="AZ493" s="58">
        <f t="shared" si="453"/>
        <v>0</v>
      </c>
      <c r="BA493" s="59">
        <f t="shared" si="456"/>
        <v>0</v>
      </c>
      <c r="BB493" s="59">
        <f t="shared" si="457"/>
        <v>0</v>
      </c>
      <c r="BC493" s="59">
        <f t="shared" si="458"/>
        <v>0</v>
      </c>
      <c r="BD493" s="60">
        <f t="shared" si="454"/>
        <v>7.1095438516664771E-6</v>
      </c>
      <c r="BE493" s="59">
        <f t="shared" si="455"/>
        <v>8.5314526219997728E-5</v>
      </c>
      <c r="BQ493" s="61">
        <v>3000</v>
      </c>
      <c r="BR493" s="61">
        <v>1200</v>
      </c>
      <c r="BS493" s="28">
        <f t="shared" si="422"/>
        <v>2980</v>
      </c>
      <c r="BT493" s="28">
        <f t="shared" si="423"/>
        <v>1180</v>
      </c>
      <c r="BU493" s="28" t="s">
        <v>2541</v>
      </c>
      <c r="BV493" s="28">
        <f t="shared" si="424"/>
        <v>5</v>
      </c>
      <c r="BW493" s="28">
        <f t="shared" si="425"/>
        <v>5</v>
      </c>
      <c r="BX493" s="13">
        <f t="shared" si="426"/>
        <v>596</v>
      </c>
      <c r="BY493" s="13">
        <f t="shared" si="427"/>
        <v>596</v>
      </c>
      <c r="BZ493" s="13">
        <f t="shared" si="428"/>
        <v>236</v>
      </c>
      <c r="CA493" s="13">
        <f t="shared" si="429"/>
        <v>236</v>
      </c>
      <c r="CB493" s="13">
        <f t="shared" si="430"/>
        <v>140656</v>
      </c>
      <c r="CC493" s="62">
        <f t="shared" si="431"/>
        <v>7.1095438516664771E-6</v>
      </c>
      <c r="CD493" s="13">
        <f t="shared" si="432"/>
        <v>596</v>
      </c>
      <c r="CE493" s="13">
        <f t="shared" si="433"/>
        <v>596</v>
      </c>
      <c r="CF493" s="13">
        <f t="shared" si="434"/>
        <v>236</v>
      </c>
      <c r="CG493" s="13">
        <f t="shared" si="435"/>
        <v>236</v>
      </c>
      <c r="CH493" s="28">
        <f t="shared" si="436"/>
        <v>140656</v>
      </c>
      <c r="CI493" s="62">
        <f t="shared" si="437"/>
        <v>7.1095438516664771E-6</v>
      </c>
      <c r="CJ493" s="59">
        <f t="shared" si="438"/>
        <v>7.1095438516664771E-6</v>
      </c>
      <c r="CL493" s="63">
        <v>6000</v>
      </c>
      <c r="CM493" s="63">
        <f t="shared" si="439"/>
        <v>0</v>
      </c>
      <c r="CN493" s="63">
        <f t="shared" si="440"/>
        <v>5</v>
      </c>
      <c r="CO493" s="63">
        <f t="shared" si="441"/>
        <v>1200</v>
      </c>
      <c r="CP493" s="13">
        <f t="shared" si="442"/>
        <v>1200</v>
      </c>
      <c r="CQ493" s="70">
        <f t="shared" si="443"/>
        <v>8.3333333333333339E-4</v>
      </c>
      <c r="CR493" s="69">
        <f t="shared" si="465"/>
        <v>0.01</v>
      </c>
    </row>
    <row r="494" spans="1:96" hidden="1" x14ac:dyDescent="0.25">
      <c r="A494" s="10">
        <v>3</v>
      </c>
      <c r="B494" s="8" t="s">
        <v>1232</v>
      </c>
      <c r="C494" s="10" t="s">
        <v>1260</v>
      </c>
      <c r="D494" s="10" t="s">
        <v>2270</v>
      </c>
      <c r="E494" s="10" t="s">
        <v>52</v>
      </c>
      <c r="F494" s="12">
        <f t="shared" si="412"/>
        <v>1</v>
      </c>
      <c r="G494" s="10">
        <v>4</v>
      </c>
      <c r="H494" s="10">
        <f t="shared" ref="H494:H499" si="466">G494*$H$484</f>
        <v>4</v>
      </c>
      <c r="I494" s="10">
        <v>8</v>
      </c>
      <c r="J494" s="8" t="s">
        <v>1261</v>
      </c>
      <c r="K494" s="8" t="s">
        <v>34</v>
      </c>
      <c r="L494" s="10" t="s">
        <v>89</v>
      </c>
      <c r="M494" s="8" t="s">
        <v>35</v>
      </c>
      <c r="N494" s="10" t="s">
        <v>1262</v>
      </c>
      <c r="O494" s="28" t="s">
        <v>41</v>
      </c>
      <c r="P494" s="28" t="s">
        <v>41</v>
      </c>
      <c r="Q494" s="28" t="s">
        <v>79</v>
      </c>
      <c r="R494" s="30">
        <v>7.0078740157480315</v>
      </c>
      <c r="S494" s="30">
        <v>0.3125</v>
      </c>
      <c r="T494" s="30"/>
      <c r="U494" s="30">
        <v>0.3125</v>
      </c>
      <c r="V494" s="8">
        <f t="shared" si="413"/>
        <v>178</v>
      </c>
      <c r="W494" s="8">
        <f t="shared" si="414"/>
        <v>7.9375</v>
      </c>
      <c r="X494" s="8">
        <f t="shared" si="415"/>
        <v>0</v>
      </c>
      <c r="Y494" s="33">
        <f t="shared" si="416"/>
        <v>7.9375</v>
      </c>
      <c r="Z494" s="28" t="s">
        <v>80</v>
      </c>
      <c r="AA494" s="28" t="s">
        <v>81</v>
      </c>
      <c r="AB494" s="61" t="s">
        <v>79</v>
      </c>
      <c r="AC494" s="31" t="s">
        <v>82</v>
      </c>
      <c r="AD494" s="50">
        <f t="shared" si="417"/>
        <v>4</v>
      </c>
      <c r="AE494" s="31"/>
      <c r="AF494" s="51">
        <v>14</v>
      </c>
      <c r="AG494" s="51">
        <f t="shared" si="445"/>
        <v>8.4</v>
      </c>
      <c r="AH494" s="51">
        <f t="shared" si="410"/>
        <v>42</v>
      </c>
      <c r="AI494" s="52" t="s">
        <v>2497</v>
      </c>
      <c r="AJ494" s="52" t="s">
        <v>2498</v>
      </c>
      <c r="AK494" s="53">
        <f t="shared" si="446"/>
        <v>2.8257500000000001E-3</v>
      </c>
      <c r="AL494" s="54">
        <f t="shared" si="447"/>
        <v>0.11904761904761904</v>
      </c>
      <c r="AM494" s="54">
        <f t="shared" si="448"/>
        <v>2.3809523809523808E-2</v>
      </c>
      <c r="AN494" s="55">
        <f t="shared" si="449"/>
        <v>1.3455952380952382E-3</v>
      </c>
      <c r="AO494" s="55">
        <f t="shared" si="450"/>
        <v>2.691190476190476E-4</v>
      </c>
      <c r="AP494" s="53">
        <v>7.1</v>
      </c>
      <c r="AQ494" s="53">
        <f t="shared" si="418"/>
        <v>4.26</v>
      </c>
      <c r="AR494" s="53">
        <f t="shared" si="419"/>
        <v>21.299999999999997</v>
      </c>
      <c r="AS494" s="56">
        <f t="shared" si="420"/>
        <v>4.6948356807511742E-2</v>
      </c>
      <c r="AT494" s="56">
        <f t="shared" si="451"/>
        <v>0.23474178403755869</v>
      </c>
      <c r="AU494" s="56">
        <f t="shared" si="421"/>
        <v>0.176056338028169</v>
      </c>
      <c r="AV494" s="56">
        <f t="shared" si="452"/>
        <v>5.8685446009389672E-2</v>
      </c>
      <c r="AW494" s="57" t="s">
        <v>2511</v>
      </c>
      <c r="AX494" s="57" t="s">
        <v>2512</v>
      </c>
      <c r="AY494" s="57" t="s">
        <v>2513</v>
      </c>
      <c r="AZ494" s="58">
        <f t="shared" si="453"/>
        <v>2.8257500000000001E-3</v>
      </c>
      <c r="BA494" s="59">
        <f t="shared" si="456"/>
        <v>3.3166079812206573E-4</v>
      </c>
      <c r="BB494" s="59">
        <f t="shared" si="457"/>
        <v>9.9498239436619719E-4</v>
      </c>
      <c r="BC494" s="59">
        <f t="shared" si="458"/>
        <v>2.653286384976526E-4</v>
      </c>
      <c r="BD494" s="60">
        <f t="shared" si="454"/>
        <v>6.8681318681318687E-4</v>
      </c>
      <c r="BE494" s="59">
        <f t="shared" si="455"/>
        <v>2.7472527472527475E-3</v>
      </c>
      <c r="BQ494" s="61">
        <v>3000</v>
      </c>
      <c r="BR494" s="61">
        <v>1200</v>
      </c>
      <c r="BS494" s="28">
        <f t="shared" si="422"/>
        <v>2980</v>
      </c>
      <c r="BT494" s="28">
        <f t="shared" si="423"/>
        <v>1180</v>
      </c>
      <c r="BU494" s="28" t="s">
        <v>2541</v>
      </c>
      <c r="BV494" s="28">
        <f t="shared" si="424"/>
        <v>183</v>
      </c>
      <c r="BW494" s="28">
        <f t="shared" si="425"/>
        <v>12.9375</v>
      </c>
      <c r="BX494" s="13">
        <f t="shared" si="426"/>
        <v>16.284153005464482</v>
      </c>
      <c r="BY494" s="13">
        <f t="shared" si="427"/>
        <v>16</v>
      </c>
      <c r="BZ494" s="13">
        <f t="shared" si="428"/>
        <v>91.207729468599027</v>
      </c>
      <c r="CA494" s="13">
        <f t="shared" si="429"/>
        <v>91</v>
      </c>
      <c r="CB494" s="13">
        <f t="shared" si="430"/>
        <v>1456</v>
      </c>
      <c r="CC494" s="62">
        <f t="shared" si="431"/>
        <v>6.8681318681318687E-4</v>
      </c>
      <c r="CD494" s="13">
        <f t="shared" si="432"/>
        <v>230.33816425120773</v>
      </c>
      <c r="CE494" s="13">
        <f t="shared" si="433"/>
        <v>230</v>
      </c>
      <c r="CF494" s="13">
        <f t="shared" si="434"/>
        <v>6.4480874316939891</v>
      </c>
      <c r="CG494" s="13">
        <f t="shared" si="435"/>
        <v>6</v>
      </c>
      <c r="CH494" s="28">
        <f t="shared" si="436"/>
        <v>1380</v>
      </c>
      <c r="CI494" s="62">
        <f t="shared" si="437"/>
        <v>7.246376811594203E-4</v>
      </c>
      <c r="CJ494" s="59">
        <f t="shared" si="438"/>
        <v>6.8681318681318687E-4</v>
      </c>
      <c r="CL494" s="63">
        <v>6000</v>
      </c>
      <c r="CM494" s="63">
        <f t="shared" si="439"/>
        <v>178</v>
      </c>
      <c r="CN494" s="63">
        <f t="shared" si="440"/>
        <v>183</v>
      </c>
      <c r="CO494" s="63">
        <f t="shared" si="441"/>
        <v>32.786885245901637</v>
      </c>
      <c r="CP494" s="13">
        <f t="shared" si="442"/>
        <v>32</v>
      </c>
      <c r="CQ494" s="70">
        <f t="shared" si="443"/>
        <v>3.125E-2</v>
      </c>
      <c r="CR494" s="69">
        <f t="shared" si="465"/>
        <v>0.125</v>
      </c>
    </row>
    <row r="495" spans="1:96" hidden="1" x14ac:dyDescent="0.25">
      <c r="A495" s="10">
        <v>3</v>
      </c>
      <c r="B495" s="8" t="s">
        <v>1232</v>
      </c>
      <c r="C495" s="10" t="s">
        <v>1263</v>
      </c>
      <c r="D495" s="10" t="s">
        <v>1264</v>
      </c>
      <c r="E495" s="10" t="s">
        <v>52</v>
      </c>
      <c r="F495" s="12">
        <f t="shared" si="412"/>
        <v>2</v>
      </c>
      <c r="G495" s="10">
        <v>3</v>
      </c>
      <c r="H495" s="10">
        <f t="shared" si="466"/>
        <v>3</v>
      </c>
      <c r="I495" s="10">
        <v>9</v>
      </c>
      <c r="J495" s="8" t="s">
        <v>76</v>
      </c>
      <c r="K495" s="8" t="s">
        <v>34</v>
      </c>
      <c r="L495" s="10" t="s">
        <v>77</v>
      </c>
      <c r="M495" s="8" t="s">
        <v>35</v>
      </c>
      <c r="N495" s="10" t="s">
        <v>1264</v>
      </c>
      <c r="O495" s="28" t="s">
        <v>41</v>
      </c>
      <c r="P495" s="28" t="s">
        <v>41</v>
      </c>
      <c r="Q495" s="28" t="s">
        <v>79</v>
      </c>
      <c r="R495" s="30">
        <v>13.031496062992126</v>
      </c>
      <c r="S495" s="30">
        <v>0.3125</v>
      </c>
      <c r="T495" s="30"/>
      <c r="U495" s="30">
        <v>0.3125</v>
      </c>
      <c r="V495" s="8">
        <f t="shared" si="413"/>
        <v>331</v>
      </c>
      <c r="W495" s="8">
        <f t="shared" si="414"/>
        <v>7.9375</v>
      </c>
      <c r="X495" s="8">
        <f t="shared" si="415"/>
        <v>0</v>
      </c>
      <c r="Y495" s="33">
        <f t="shared" si="416"/>
        <v>7.9375</v>
      </c>
      <c r="Z495" s="28" t="s">
        <v>80</v>
      </c>
      <c r="AA495" s="28" t="s">
        <v>81</v>
      </c>
      <c r="AB495" s="61" t="s">
        <v>79</v>
      </c>
      <c r="AC495" s="31" t="s">
        <v>82</v>
      </c>
      <c r="AD495" s="50">
        <f t="shared" si="417"/>
        <v>3</v>
      </c>
      <c r="AE495" s="31"/>
      <c r="AF495" s="51">
        <v>14</v>
      </c>
      <c r="AG495" s="51">
        <f t="shared" si="445"/>
        <v>8.4</v>
      </c>
      <c r="AH495" s="51">
        <f t="shared" si="410"/>
        <v>42</v>
      </c>
      <c r="AI495" s="52" t="s">
        <v>2497</v>
      </c>
      <c r="AJ495" s="52" t="s">
        <v>2498</v>
      </c>
      <c r="AK495" s="53">
        <f t="shared" si="446"/>
        <v>5.2546249999999997E-3</v>
      </c>
      <c r="AL495" s="54">
        <f t="shared" si="447"/>
        <v>0.11904761904761904</v>
      </c>
      <c r="AM495" s="54">
        <f t="shared" si="448"/>
        <v>2.3809523809523808E-2</v>
      </c>
      <c r="AN495" s="55">
        <f t="shared" si="449"/>
        <v>1.8766517857142853E-3</v>
      </c>
      <c r="AO495" s="55">
        <f t="shared" si="450"/>
        <v>3.7533035714285712E-4</v>
      </c>
      <c r="AP495" s="53">
        <v>7.1</v>
      </c>
      <c r="AQ495" s="53">
        <f t="shared" si="418"/>
        <v>4.26</v>
      </c>
      <c r="AR495" s="53">
        <f t="shared" si="419"/>
        <v>21.299999999999997</v>
      </c>
      <c r="AS495" s="56">
        <f t="shared" si="420"/>
        <v>4.6948356807511742E-2</v>
      </c>
      <c r="AT495" s="56">
        <f t="shared" si="451"/>
        <v>0.23474178403755869</v>
      </c>
      <c r="AU495" s="56">
        <f t="shared" si="421"/>
        <v>0.176056338028169</v>
      </c>
      <c r="AV495" s="56">
        <f t="shared" si="452"/>
        <v>5.8685446009389672E-2</v>
      </c>
      <c r="AW495" s="57" t="s">
        <v>2511</v>
      </c>
      <c r="AX495" s="57" t="s">
        <v>2512</v>
      </c>
      <c r="AY495" s="57" t="s">
        <v>2513</v>
      </c>
      <c r="AZ495" s="58">
        <f t="shared" si="453"/>
        <v>5.2546249999999997E-3</v>
      </c>
      <c r="BA495" s="59">
        <f t="shared" si="456"/>
        <v>4.6255501760563377E-4</v>
      </c>
      <c r="BB495" s="59">
        <f t="shared" si="457"/>
        <v>1.3876650528169012E-3</v>
      </c>
      <c r="BC495" s="59">
        <f t="shared" si="458"/>
        <v>3.7004401408450704E-4</v>
      </c>
      <c r="BD495" s="60">
        <f t="shared" si="454"/>
        <v>1.3736263736263737E-3</v>
      </c>
      <c r="BE495" s="59">
        <f t="shared" si="455"/>
        <v>4.120879120879121E-3</v>
      </c>
      <c r="BQ495" s="61">
        <v>3000</v>
      </c>
      <c r="BR495" s="61">
        <v>1200</v>
      </c>
      <c r="BS495" s="28">
        <f t="shared" si="422"/>
        <v>2980</v>
      </c>
      <c r="BT495" s="28">
        <f t="shared" si="423"/>
        <v>1180</v>
      </c>
      <c r="BU495" s="28" t="s">
        <v>2541</v>
      </c>
      <c r="BV495" s="28">
        <f t="shared" si="424"/>
        <v>336</v>
      </c>
      <c r="BW495" s="28">
        <f t="shared" si="425"/>
        <v>12.9375</v>
      </c>
      <c r="BX495" s="13">
        <f t="shared" si="426"/>
        <v>8.8690476190476186</v>
      </c>
      <c r="BY495" s="13">
        <f t="shared" si="427"/>
        <v>8</v>
      </c>
      <c r="BZ495" s="13">
        <f t="shared" si="428"/>
        <v>91.207729468599027</v>
      </c>
      <c r="CA495" s="13">
        <f t="shared" si="429"/>
        <v>91</v>
      </c>
      <c r="CB495" s="13">
        <f t="shared" si="430"/>
        <v>728</v>
      </c>
      <c r="CC495" s="62">
        <f t="shared" si="431"/>
        <v>1.3736263736263737E-3</v>
      </c>
      <c r="CD495" s="13">
        <f t="shared" si="432"/>
        <v>230.33816425120773</v>
      </c>
      <c r="CE495" s="13">
        <f t="shared" si="433"/>
        <v>230</v>
      </c>
      <c r="CF495" s="13">
        <f t="shared" si="434"/>
        <v>3.5119047619047619</v>
      </c>
      <c r="CG495" s="13">
        <f t="shared" si="435"/>
        <v>3</v>
      </c>
      <c r="CH495" s="28">
        <f t="shared" si="436"/>
        <v>690</v>
      </c>
      <c r="CI495" s="62">
        <f t="shared" si="437"/>
        <v>1.4492753623188406E-3</v>
      </c>
      <c r="CJ495" s="59">
        <f t="shared" si="438"/>
        <v>1.3736263736263737E-3</v>
      </c>
      <c r="CL495" s="63">
        <v>6000</v>
      </c>
      <c r="CM495" s="63">
        <f t="shared" si="439"/>
        <v>331</v>
      </c>
      <c r="CN495" s="63">
        <f t="shared" si="440"/>
        <v>336</v>
      </c>
      <c r="CO495" s="63">
        <f t="shared" si="441"/>
        <v>17.857142857142858</v>
      </c>
      <c r="CP495" s="13">
        <f t="shared" si="442"/>
        <v>17</v>
      </c>
      <c r="CQ495" s="70">
        <f t="shared" si="443"/>
        <v>5.8823529411764705E-2</v>
      </c>
      <c r="CR495" s="69">
        <f t="shared" si="465"/>
        <v>0.1764705882352941</v>
      </c>
    </row>
    <row r="496" spans="1:96" hidden="1" x14ac:dyDescent="0.25">
      <c r="A496" s="10">
        <v>3</v>
      </c>
      <c r="B496" s="8" t="s">
        <v>1232</v>
      </c>
      <c r="C496" s="10" t="s">
        <v>1265</v>
      </c>
      <c r="D496" s="10" t="s">
        <v>1266</v>
      </c>
      <c r="E496" s="10" t="s">
        <v>52</v>
      </c>
      <c r="F496" s="12">
        <f t="shared" si="412"/>
        <v>1</v>
      </c>
      <c r="G496" s="10">
        <v>1</v>
      </c>
      <c r="H496" s="10">
        <f t="shared" si="466"/>
        <v>1</v>
      </c>
      <c r="I496" s="10">
        <v>10</v>
      </c>
      <c r="J496" s="8" t="s">
        <v>76</v>
      </c>
      <c r="K496" s="8" t="s">
        <v>34</v>
      </c>
      <c r="L496" s="10" t="s">
        <v>77</v>
      </c>
      <c r="M496" s="8" t="s">
        <v>35</v>
      </c>
      <c r="N496" s="10" t="s">
        <v>1266</v>
      </c>
      <c r="O496" s="28" t="s">
        <v>41</v>
      </c>
      <c r="P496" s="28" t="s">
        <v>41</v>
      </c>
      <c r="Q496" s="28" t="s">
        <v>85</v>
      </c>
      <c r="R496" s="30">
        <v>34.661417322834644</v>
      </c>
      <c r="S496" s="30">
        <v>0.375</v>
      </c>
      <c r="T496" s="30"/>
      <c r="U496" s="30">
        <v>0.375</v>
      </c>
      <c r="V496" s="8">
        <f t="shared" si="413"/>
        <v>880.4</v>
      </c>
      <c r="W496" s="8">
        <f t="shared" si="414"/>
        <v>9.5249999999999986</v>
      </c>
      <c r="X496" s="8">
        <f t="shared" si="415"/>
        <v>0</v>
      </c>
      <c r="Y496" s="33">
        <f t="shared" si="416"/>
        <v>9.5249999999999986</v>
      </c>
      <c r="Z496" s="28" t="s">
        <v>80</v>
      </c>
      <c r="AA496" s="28" t="s">
        <v>81</v>
      </c>
      <c r="AB496" s="61" t="s">
        <v>85</v>
      </c>
      <c r="AC496" s="31" t="s">
        <v>86</v>
      </c>
      <c r="AD496" s="50">
        <f t="shared" si="417"/>
        <v>1</v>
      </c>
      <c r="AE496" s="31"/>
      <c r="AF496" s="51">
        <v>14</v>
      </c>
      <c r="AG496" s="51">
        <f t="shared" si="445"/>
        <v>8.4</v>
      </c>
      <c r="AH496" s="51">
        <f t="shared" si="410"/>
        <v>42</v>
      </c>
      <c r="AI496" s="52" t="s">
        <v>2497</v>
      </c>
      <c r="AJ496" s="52" t="s">
        <v>2498</v>
      </c>
      <c r="AK496" s="53">
        <f t="shared" si="446"/>
        <v>1.6771619999999994E-2</v>
      </c>
      <c r="AL496" s="54">
        <f t="shared" si="447"/>
        <v>0.11904761904761904</v>
      </c>
      <c r="AM496" s="54">
        <f t="shared" si="448"/>
        <v>2.3809523809523808E-2</v>
      </c>
      <c r="AN496" s="55">
        <f t="shared" si="449"/>
        <v>1.9966214285714276E-3</v>
      </c>
      <c r="AO496" s="55">
        <f t="shared" si="450"/>
        <v>3.9932428571428556E-4</v>
      </c>
      <c r="AP496" s="53">
        <v>7.1</v>
      </c>
      <c r="AQ496" s="53">
        <f t="shared" si="418"/>
        <v>4.26</v>
      </c>
      <c r="AR496" s="53">
        <f t="shared" si="419"/>
        <v>21.299999999999997</v>
      </c>
      <c r="AS496" s="56">
        <f t="shared" si="420"/>
        <v>4.6948356807511742E-2</v>
      </c>
      <c r="AT496" s="56">
        <f t="shared" si="451"/>
        <v>0.23474178403755869</v>
      </c>
      <c r="AU496" s="56">
        <f t="shared" si="421"/>
        <v>0.176056338028169</v>
      </c>
      <c r="AV496" s="56">
        <f t="shared" si="452"/>
        <v>5.8685446009389672E-2</v>
      </c>
      <c r="AW496" s="57" t="s">
        <v>2511</v>
      </c>
      <c r="AX496" s="57" t="s">
        <v>2512</v>
      </c>
      <c r="AY496" s="57" t="s">
        <v>2513</v>
      </c>
      <c r="AZ496" s="58">
        <f t="shared" si="453"/>
        <v>1.6771619999999994E-2</v>
      </c>
      <c r="BA496" s="59">
        <f t="shared" si="456"/>
        <v>4.9212499999999983E-4</v>
      </c>
      <c r="BB496" s="59">
        <f t="shared" si="457"/>
        <v>1.4763749999999994E-3</v>
      </c>
      <c r="BC496" s="59">
        <f t="shared" si="458"/>
        <v>3.9369999999999992E-4</v>
      </c>
      <c r="BD496" s="60">
        <f t="shared" si="454"/>
        <v>4.11522633744856E-3</v>
      </c>
      <c r="BE496" s="59">
        <f t="shared" si="455"/>
        <v>4.11522633744856E-3</v>
      </c>
      <c r="BQ496" s="61">
        <v>3000</v>
      </c>
      <c r="BR496" s="61">
        <v>1200</v>
      </c>
      <c r="BS496" s="28">
        <f t="shared" si="422"/>
        <v>2980</v>
      </c>
      <c r="BT496" s="28">
        <f t="shared" si="423"/>
        <v>1180</v>
      </c>
      <c r="BU496" s="28" t="s">
        <v>2541</v>
      </c>
      <c r="BV496" s="28">
        <f t="shared" si="424"/>
        <v>885.4</v>
      </c>
      <c r="BW496" s="28">
        <f t="shared" si="425"/>
        <v>14.524999999999999</v>
      </c>
      <c r="BX496" s="13">
        <f t="shared" si="426"/>
        <v>3.3657104133724869</v>
      </c>
      <c r="BY496" s="13">
        <f t="shared" si="427"/>
        <v>3</v>
      </c>
      <c r="BZ496" s="13">
        <f t="shared" si="428"/>
        <v>81.239242685025829</v>
      </c>
      <c r="CA496" s="13">
        <f t="shared" si="429"/>
        <v>81</v>
      </c>
      <c r="CB496" s="13">
        <f t="shared" si="430"/>
        <v>243</v>
      </c>
      <c r="CC496" s="62">
        <f t="shared" si="431"/>
        <v>4.11522633744856E-3</v>
      </c>
      <c r="CD496" s="13">
        <f t="shared" si="432"/>
        <v>205.16351118760758</v>
      </c>
      <c r="CE496" s="13">
        <f t="shared" si="433"/>
        <v>205</v>
      </c>
      <c r="CF496" s="13">
        <f t="shared" si="434"/>
        <v>1.3327309690535352</v>
      </c>
      <c r="CG496" s="13">
        <f t="shared" si="435"/>
        <v>1</v>
      </c>
      <c r="CH496" s="28">
        <f t="shared" si="436"/>
        <v>205</v>
      </c>
      <c r="CI496" s="62">
        <f t="shared" si="437"/>
        <v>4.8780487804878049E-3</v>
      </c>
      <c r="CJ496" s="59">
        <f t="shared" si="438"/>
        <v>4.11522633744856E-3</v>
      </c>
      <c r="CL496" s="63">
        <v>6000</v>
      </c>
      <c r="CM496" s="63">
        <f t="shared" si="439"/>
        <v>880.4</v>
      </c>
      <c r="CN496" s="63">
        <f t="shared" si="440"/>
        <v>885.4</v>
      </c>
      <c r="CO496" s="63">
        <f t="shared" si="441"/>
        <v>6.7765981477298398</v>
      </c>
      <c r="CP496" s="13">
        <f t="shared" si="442"/>
        <v>6</v>
      </c>
      <c r="CQ496" s="70">
        <f t="shared" si="443"/>
        <v>0.16666666666666666</v>
      </c>
      <c r="CR496" s="69">
        <f t="shared" si="465"/>
        <v>0.16666666666666666</v>
      </c>
    </row>
    <row r="497" spans="1:96" hidden="1" x14ac:dyDescent="0.25">
      <c r="A497" s="10">
        <v>3</v>
      </c>
      <c r="B497" s="8" t="s">
        <v>1232</v>
      </c>
      <c r="C497" s="10" t="s">
        <v>1267</v>
      </c>
      <c r="D497" s="10" t="s">
        <v>1268</v>
      </c>
      <c r="E497" s="10" t="s">
        <v>52</v>
      </c>
      <c r="F497" s="12">
        <f t="shared" si="412"/>
        <v>1</v>
      </c>
      <c r="G497" s="10">
        <v>1</v>
      </c>
      <c r="H497" s="10">
        <f t="shared" si="466"/>
        <v>1</v>
      </c>
      <c r="I497" s="10">
        <v>11</v>
      </c>
      <c r="J497" s="8" t="s">
        <v>76</v>
      </c>
      <c r="K497" s="8" t="s">
        <v>34</v>
      </c>
      <c r="L497" s="10" t="s">
        <v>98</v>
      </c>
      <c r="M497" s="8" t="s">
        <v>35</v>
      </c>
      <c r="N497" s="10" t="s">
        <v>1268</v>
      </c>
      <c r="O497" s="28" t="s">
        <v>41</v>
      </c>
      <c r="P497" s="28" t="s">
        <v>41</v>
      </c>
      <c r="Q497" s="28" t="s">
        <v>79</v>
      </c>
      <c r="R497" s="30">
        <v>15.921259842519685</v>
      </c>
      <c r="S497" s="30">
        <v>0.3125</v>
      </c>
      <c r="T497" s="30"/>
      <c r="U497" s="30">
        <v>0.3125</v>
      </c>
      <c r="V497" s="8">
        <f t="shared" si="413"/>
        <v>404.4</v>
      </c>
      <c r="W497" s="8">
        <f t="shared" si="414"/>
        <v>7.9375</v>
      </c>
      <c r="X497" s="8">
        <f t="shared" si="415"/>
        <v>0</v>
      </c>
      <c r="Y497" s="33">
        <f t="shared" si="416"/>
        <v>7.9375</v>
      </c>
      <c r="Z497" s="28" t="s">
        <v>80</v>
      </c>
      <c r="AA497" s="28" t="s">
        <v>81</v>
      </c>
      <c r="AB497" s="61" t="s">
        <v>79</v>
      </c>
      <c r="AC497" s="31" t="s">
        <v>82</v>
      </c>
      <c r="AD497" s="50">
        <f t="shared" si="417"/>
        <v>1</v>
      </c>
      <c r="AE497" s="31"/>
      <c r="AF497" s="51">
        <v>14</v>
      </c>
      <c r="AG497" s="51">
        <f t="shared" si="445"/>
        <v>8.4</v>
      </c>
      <c r="AH497" s="51">
        <f t="shared" si="410"/>
        <v>42</v>
      </c>
      <c r="AI497" s="52" t="s">
        <v>2497</v>
      </c>
      <c r="AJ497" s="52" t="s">
        <v>2498</v>
      </c>
      <c r="AK497" s="53">
        <f t="shared" si="446"/>
        <v>6.4198499999999995E-3</v>
      </c>
      <c r="AL497" s="54">
        <f t="shared" si="447"/>
        <v>0.11904761904761904</v>
      </c>
      <c r="AM497" s="54">
        <f t="shared" si="448"/>
        <v>2.3809523809523808E-2</v>
      </c>
      <c r="AN497" s="55">
        <f t="shared" si="449"/>
        <v>7.6426785714285702E-4</v>
      </c>
      <c r="AO497" s="55">
        <f t="shared" si="450"/>
        <v>1.5285357142857142E-4</v>
      </c>
      <c r="AP497" s="53">
        <v>7.1</v>
      </c>
      <c r="AQ497" s="53">
        <f t="shared" si="418"/>
        <v>4.26</v>
      </c>
      <c r="AR497" s="53">
        <f t="shared" si="419"/>
        <v>21.299999999999997</v>
      </c>
      <c r="AS497" s="56">
        <f t="shared" si="420"/>
        <v>4.6948356807511742E-2</v>
      </c>
      <c r="AT497" s="56">
        <f t="shared" si="451"/>
        <v>0.23474178403755869</v>
      </c>
      <c r="AU497" s="56">
        <f t="shared" si="421"/>
        <v>0.176056338028169</v>
      </c>
      <c r="AV497" s="56">
        <f t="shared" si="452"/>
        <v>5.8685446009389672E-2</v>
      </c>
      <c r="AW497" s="57" t="s">
        <v>2511</v>
      </c>
      <c r="AX497" s="57" t="s">
        <v>2512</v>
      </c>
      <c r="AY497" s="57" t="s">
        <v>2513</v>
      </c>
      <c r="AZ497" s="58">
        <f t="shared" si="453"/>
        <v>6.4198499999999995E-3</v>
      </c>
      <c r="BA497" s="59">
        <f t="shared" si="456"/>
        <v>1.8837588028169014E-4</v>
      </c>
      <c r="BB497" s="59">
        <f t="shared" si="457"/>
        <v>5.6512764084507038E-4</v>
      </c>
      <c r="BC497" s="59">
        <f t="shared" si="458"/>
        <v>1.5070070422535211E-4</v>
      </c>
      <c r="BD497" s="60">
        <f t="shared" si="454"/>
        <v>1.5698587127158557E-3</v>
      </c>
      <c r="BE497" s="59">
        <f t="shared" si="455"/>
        <v>1.5698587127158557E-3</v>
      </c>
      <c r="BQ497" s="61">
        <v>3000</v>
      </c>
      <c r="BR497" s="61">
        <v>1200</v>
      </c>
      <c r="BS497" s="28">
        <f t="shared" si="422"/>
        <v>2980</v>
      </c>
      <c r="BT497" s="28">
        <f t="shared" si="423"/>
        <v>1180</v>
      </c>
      <c r="BU497" s="28" t="s">
        <v>2541</v>
      </c>
      <c r="BV497" s="28">
        <f t="shared" si="424"/>
        <v>409.4</v>
      </c>
      <c r="BW497" s="28">
        <f t="shared" si="425"/>
        <v>12.9375</v>
      </c>
      <c r="BX497" s="13">
        <f t="shared" si="426"/>
        <v>7.2789447972642893</v>
      </c>
      <c r="BY497" s="13">
        <f t="shared" si="427"/>
        <v>7</v>
      </c>
      <c r="BZ497" s="13">
        <f t="shared" si="428"/>
        <v>91.207729468599027</v>
      </c>
      <c r="CA497" s="13">
        <f t="shared" si="429"/>
        <v>91</v>
      </c>
      <c r="CB497" s="13">
        <f t="shared" si="430"/>
        <v>637</v>
      </c>
      <c r="CC497" s="62">
        <f t="shared" si="431"/>
        <v>1.5698587127158557E-3</v>
      </c>
      <c r="CD497" s="13">
        <f t="shared" si="432"/>
        <v>230.33816425120773</v>
      </c>
      <c r="CE497" s="13">
        <f t="shared" si="433"/>
        <v>230</v>
      </c>
      <c r="CF497" s="13">
        <f t="shared" si="434"/>
        <v>2.882266731802638</v>
      </c>
      <c r="CG497" s="13">
        <f t="shared" si="435"/>
        <v>2</v>
      </c>
      <c r="CH497" s="28">
        <f t="shared" si="436"/>
        <v>460</v>
      </c>
      <c r="CI497" s="62">
        <f t="shared" si="437"/>
        <v>2.1739130434782609E-3</v>
      </c>
      <c r="CJ497" s="59">
        <f t="shared" si="438"/>
        <v>1.5698587127158557E-3</v>
      </c>
      <c r="CL497" s="63">
        <v>6000</v>
      </c>
      <c r="CM497" s="63">
        <f t="shared" si="439"/>
        <v>404.4</v>
      </c>
      <c r="CN497" s="63">
        <f t="shared" si="440"/>
        <v>409.4</v>
      </c>
      <c r="CO497" s="63">
        <f t="shared" si="441"/>
        <v>14.655593551538837</v>
      </c>
      <c r="CP497" s="13">
        <f t="shared" si="442"/>
        <v>14</v>
      </c>
      <c r="CQ497" s="70">
        <f t="shared" si="443"/>
        <v>7.1428571428571425E-2</v>
      </c>
      <c r="CR497" s="69">
        <f t="shared" si="465"/>
        <v>7.1428571428571425E-2</v>
      </c>
    </row>
    <row r="498" spans="1:96" hidden="1" x14ac:dyDescent="0.25">
      <c r="A498" s="10">
        <v>3</v>
      </c>
      <c r="B498" s="8" t="s">
        <v>1232</v>
      </c>
      <c r="C498" s="10" t="s">
        <v>1269</v>
      </c>
      <c r="D498" s="10" t="s">
        <v>2270</v>
      </c>
      <c r="E498" s="10" t="s">
        <v>52</v>
      </c>
      <c r="F498" s="12">
        <f t="shared" si="412"/>
        <v>1</v>
      </c>
      <c r="G498" s="10">
        <v>1</v>
      </c>
      <c r="H498" s="10">
        <f t="shared" si="466"/>
        <v>1</v>
      </c>
      <c r="I498" s="10">
        <v>12</v>
      </c>
      <c r="J498" s="8" t="s">
        <v>1270</v>
      </c>
      <c r="K498" s="8" t="s">
        <v>34</v>
      </c>
      <c r="L498" s="10">
        <v>0</v>
      </c>
      <c r="M498" s="8" t="s">
        <v>35</v>
      </c>
      <c r="N498" s="10" t="s">
        <v>1271</v>
      </c>
      <c r="O498" s="28" t="s">
        <v>41</v>
      </c>
      <c r="P498" s="28" t="s">
        <v>41</v>
      </c>
      <c r="Q498" s="28" t="s">
        <v>103</v>
      </c>
      <c r="R498" s="30">
        <v>22.007874015748033</v>
      </c>
      <c r="S498" s="30">
        <v>0.70866141732283472</v>
      </c>
      <c r="T498" s="30"/>
      <c r="U498" s="30">
        <v>0.23622047244094491</v>
      </c>
      <c r="V498" s="8">
        <f t="shared" si="413"/>
        <v>559</v>
      </c>
      <c r="W498" s="8">
        <f t="shared" si="414"/>
        <v>18</v>
      </c>
      <c r="X498" s="8">
        <f t="shared" si="415"/>
        <v>0</v>
      </c>
      <c r="Y498" s="33">
        <f t="shared" si="416"/>
        <v>6</v>
      </c>
      <c r="Z498" s="28" t="s">
        <v>56</v>
      </c>
      <c r="AA498" s="28" t="s">
        <v>57</v>
      </c>
      <c r="AB498" s="28" t="s">
        <v>103</v>
      </c>
      <c r="AC498" s="31" t="s">
        <v>104</v>
      </c>
      <c r="AD498" s="50">
        <f t="shared" si="417"/>
        <v>1</v>
      </c>
      <c r="AE498" s="31"/>
      <c r="AF498" s="51">
        <v>14</v>
      </c>
      <c r="AG498" s="51">
        <f t="shared" si="445"/>
        <v>8.4</v>
      </c>
      <c r="AH498" s="51">
        <f t="shared" si="410"/>
        <v>42</v>
      </c>
      <c r="AI498" s="52" t="s">
        <v>2497</v>
      </c>
      <c r="AJ498" s="52" t="s">
        <v>2498</v>
      </c>
      <c r="AK498" s="53">
        <f t="shared" si="446"/>
        <v>2.0124E-2</v>
      </c>
      <c r="AL498" s="54">
        <f t="shared" si="447"/>
        <v>0.11904761904761904</v>
      </c>
      <c r="AM498" s="54">
        <f t="shared" si="448"/>
        <v>2.3809523809523808E-2</v>
      </c>
      <c r="AN498" s="55">
        <f t="shared" si="449"/>
        <v>2.3957142857142857E-3</v>
      </c>
      <c r="AO498" s="55">
        <f t="shared" si="450"/>
        <v>4.7914285714285713E-4</v>
      </c>
      <c r="AP498" s="53">
        <v>7.1</v>
      </c>
      <c r="AQ498" s="53">
        <f t="shared" si="418"/>
        <v>4.26</v>
      </c>
      <c r="AR498" s="53">
        <f t="shared" si="419"/>
        <v>21.299999999999997</v>
      </c>
      <c r="AS498" s="56">
        <f t="shared" si="420"/>
        <v>4.6948356807511742E-2</v>
      </c>
      <c r="AT498" s="56">
        <f t="shared" si="451"/>
        <v>0.23474178403755869</v>
      </c>
      <c r="AU498" s="56">
        <f t="shared" si="421"/>
        <v>0.176056338028169</v>
      </c>
      <c r="AV498" s="56">
        <f t="shared" si="452"/>
        <v>5.8685446009389672E-2</v>
      </c>
      <c r="AW498" s="57" t="s">
        <v>2511</v>
      </c>
      <c r="AX498" s="57" t="s">
        <v>2512</v>
      </c>
      <c r="AY498" s="57" t="s">
        <v>2513</v>
      </c>
      <c r="AZ498" s="58">
        <f t="shared" si="453"/>
        <v>2.0124E-2</v>
      </c>
      <c r="BA498" s="59">
        <f t="shared" si="456"/>
        <v>5.9049295774647888E-4</v>
      </c>
      <c r="BB498" s="59">
        <f t="shared" si="457"/>
        <v>1.7714788732394364E-3</v>
      </c>
      <c r="BC498" s="59">
        <f t="shared" si="458"/>
        <v>4.7239436619718315E-4</v>
      </c>
      <c r="BD498" s="60">
        <f t="shared" si="454"/>
        <v>3.875968992248062E-3</v>
      </c>
      <c r="BE498" s="59">
        <f t="shared" si="455"/>
        <v>3.875968992248062E-3</v>
      </c>
      <c r="BQ498" s="61">
        <v>3000</v>
      </c>
      <c r="BR498" s="61">
        <v>1200</v>
      </c>
      <c r="BS498" s="28">
        <f t="shared" si="422"/>
        <v>2980</v>
      </c>
      <c r="BT498" s="28">
        <f t="shared" si="423"/>
        <v>1180</v>
      </c>
      <c r="BU498" s="28" t="s">
        <v>2541</v>
      </c>
      <c r="BV498" s="28">
        <f t="shared" si="424"/>
        <v>564</v>
      </c>
      <c r="BW498" s="28">
        <f t="shared" si="425"/>
        <v>23</v>
      </c>
      <c r="BX498" s="13">
        <f t="shared" si="426"/>
        <v>5.2836879432624118</v>
      </c>
      <c r="BY498" s="13">
        <f t="shared" si="427"/>
        <v>5</v>
      </c>
      <c r="BZ498" s="13">
        <f t="shared" si="428"/>
        <v>51.304347826086953</v>
      </c>
      <c r="CA498" s="13">
        <f t="shared" si="429"/>
        <v>51</v>
      </c>
      <c r="CB498" s="13">
        <f t="shared" si="430"/>
        <v>255</v>
      </c>
      <c r="CC498" s="62">
        <f t="shared" si="431"/>
        <v>3.9215686274509803E-3</v>
      </c>
      <c r="CD498" s="13">
        <f t="shared" si="432"/>
        <v>129.56521739130434</v>
      </c>
      <c r="CE498" s="13">
        <f t="shared" si="433"/>
        <v>129</v>
      </c>
      <c r="CF498" s="13">
        <f t="shared" si="434"/>
        <v>2.0921985815602837</v>
      </c>
      <c r="CG498" s="13">
        <f t="shared" si="435"/>
        <v>2</v>
      </c>
      <c r="CH498" s="28">
        <f t="shared" si="436"/>
        <v>258</v>
      </c>
      <c r="CI498" s="62">
        <f t="shared" si="437"/>
        <v>3.875968992248062E-3</v>
      </c>
      <c r="CJ498" s="59">
        <f t="shared" si="438"/>
        <v>3.875968992248062E-3</v>
      </c>
      <c r="CL498" s="63">
        <v>6000</v>
      </c>
      <c r="CM498" s="63">
        <f t="shared" si="439"/>
        <v>559</v>
      </c>
      <c r="CN498" s="63">
        <f t="shared" si="440"/>
        <v>564</v>
      </c>
      <c r="CO498" s="63">
        <f t="shared" si="441"/>
        <v>10.638297872340425</v>
      </c>
      <c r="CP498" s="13">
        <f t="shared" si="442"/>
        <v>10</v>
      </c>
      <c r="CQ498" s="70">
        <f t="shared" si="443"/>
        <v>0.1</v>
      </c>
      <c r="CR498" s="69">
        <f t="shared" si="465"/>
        <v>0.1</v>
      </c>
    </row>
    <row r="499" spans="1:96" hidden="1" x14ac:dyDescent="0.25">
      <c r="A499" s="10">
        <v>3</v>
      </c>
      <c r="B499" s="8" t="s">
        <v>1232</v>
      </c>
      <c r="C499" s="10" t="s">
        <v>1272</v>
      </c>
      <c r="D499" s="10" t="s">
        <v>2270</v>
      </c>
      <c r="E499" s="10" t="s">
        <v>32</v>
      </c>
      <c r="F499" s="12">
        <f t="shared" si="412"/>
        <v>1</v>
      </c>
      <c r="G499" s="10">
        <v>1</v>
      </c>
      <c r="H499" s="10">
        <f t="shared" si="466"/>
        <v>1</v>
      </c>
      <c r="I499" s="10">
        <v>13</v>
      </c>
      <c r="J499" s="8" t="s">
        <v>722</v>
      </c>
      <c r="K499" s="8" t="s">
        <v>34</v>
      </c>
      <c r="L499" s="10" t="s">
        <v>110</v>
      </c>
      <c r="M499" s="8" t="s">
        <v>35</v>
      </c>
      <c r="N499" s="10" t="s">
        <v>1273</v>
      </c>
      <c r="O499" s="28" t="s">
        <v>41</v>
      </c>
      <c r="P499" s="28" t="s">
        <v>41</v>
      </c>
      <c r="Q499" s="28"/>
      <c r="R499" s="30"/>
      <c r="S499" s="30"/>
      <c r="T499" s="30"/>
      <c r="U499" s="30"/>
      <c r="V499" s="8">
        <f t="shared" si="413"/>
        <v>0</v>
      </c>
      <c r="W499" s="8">
        <f t="shared" si="414"/>
        <v>0</v>
      </c>
      <c r="X499" s="8">
        <f t="shared" si="415"/>
        <v>0</v>
      </c>
      <c r="Y499" s="33">
        <f t="shared" si="416"/>
        <v>0</v>
      </c>
      <c r="Z499" s="28"/>
      <c r="AA499" s="28"/>
      <c r="AB499" s="28">
        <v>0</v>
      </c>
      <c r="AC499" s="31"/>
      <c r="AD499" s="50">
        <f t="shared" si="417"/>
        <v>1</v>
      </c>
      <c r="AE499" s="31"/>
      <c r="AF499" s="51">
        <v>14</v>
      </c>
      <c r="AG499" s="51">
        <f t="shared" si="445"/>
        <v>8.4</v>
      </c>
      <c r="AH499" s="51">
        <f t="shared" si="410"/>
        <v>42</v>
      </c>
      <c r="AI499" s="52" t="s">
        <v>2497</v>
      </c>
      <c r="AJ499" s="52" t="s">
        <v>2498</v>
      </c>
      <c r="AK499" s="53">
        <f t="shared" si="446"/>
        <v>0</v>
      </c>
      <c r="AL499" s="54">
        <f t="shared" si="447"/>
        <v>0.11904761904761904</v>
      </c>
      <c r="AM499" s="54">
        <f t="shared" si="448"/>
        <v>2.3809523809523808E-2</v>
      </c>
      <c r="AN499" s="55">
        <f t="shared" si="449"/>
        <v>0</v>
      </c>
      <c r="AO499" s="55">
        <f t="shared" si="450"/>
        <v>0</v>
      </c>
      <c r="AP499" s="53">
        <v>7.1</v>
      </c>
      <c r="AQ499" s="53">
        <f t="shared" si="418"/>
        <v>4.26</v>
      </c>
      <c r="AR499" s="53">
        <f t="shared" si="419"/>
        <v>21.299999999999997</v>
      </c>
      <c r="AS499" s="56">
        <f t="shared" si="420"/>
        <v>4.6948356807511742E-2</v>
      </c>
      <c r="AT499" s="56">
        <f t="shared" si="451"/>
        <v>0.23474178403755869</v>
      </c>
      <c r="AU499" s="56">
        <f t="shared" si="421"/>
        <v>0.176056338028169</v>
      </c>
      <c r="AV499" s="56">
        <f t="shared" si="452"/>
        <v>5.8685446009389672E-2</v>
      </c>
      <c r="AW499" s="57" t="s">
        <v>2511</v>
      </c>
      <c r="AX499" s="57" t="s">
        <v>2512</v>
      </c>
      <c r="AY499" s="57" t="s">
        <v>2513</v>
      </c>
      <c r="AZ499" s="58">
        <f t="shared" si="453"/>
        <v>0</v>
      </c>
      <c r="BA499" s="59">
        <f t="shared" si="456"/>
        <v>0</v>
      </c>
      <c r="BB499" s="59">
        <f t="shared" si="457"/>
        <v>0</v>
      </c>
      <c r="BC499" s="59">
        <f t="shared" si="458"/>
        <v>0</v>
      </c>
      <c r="BD499" s="60">
        <f t="shared" si="454"/>
        <v>0</v>
      </c>
      <c r="BE499" s="59">
        <f t="shared" si="455"/>
        <v>0</v>
      </c>
      <c r="BQ499" s="61">
        <v>3000</v>
      </c>
      <c r="BR499" s="61">
        <v>1200</v>
      </c>
      <c r="BS499" s="28">
        <f t="shared" si="422"/>
        <v>2980</v>
      </c>
      <c r="BT499" s="28">
        <f t="shared" si="423"/>
        <v>1180</v>
      </c>
      <c r="BU499" s="28" t="s">
        <v>2541</v>
      </c>
      <c r="BV499" s="28">
        <f t="shared" si="424"/>
        <v>5</v>
      </c>
      <c r="BW499" s="28">
        <f t="shared" si="425"/>
        <v>5</v>
      </c>
      <c r="BX499" s="13">
        <f t="shared" si="426"/>
        <v>596</v>
      </c>
      <c r="BY499" s="13">
        <f t="shared" si="427"/>
        <v>596</v>
      </c>
      <c r="BZ499" s="13">
        <f t="shared" si="428"/>
        <v>236</v>
      </c>
      <c r="CA499" s="13">
        <f t="shared" si="429"/>
        <v>236</v>
      </c>
      <c r="CB499" s="13">
        <f t="shared" si="430"/>
        <v>140656</v>
      </c>
      <c r="CC499" s="62" t="str">
        <f t="shared" si="431"/>
        <v/>
      </c>
      <c r="CD499" s="13">
        <f t="shared" si="432"/>
        <v>596</v>
      </c>
      <c r="CE499" s="13">
        <f t="shared" si="433"/>
        <v>596</v>
      </c>
      <c r="CF499" s="13">
        <f t="shared" si="434"/>
        <v>236</v>
      </c>
      <c r="CG499" s="13">
        <f t="shared" si="435"/>
        <v>236</v>
      </c>
      <c r="CH499" s="28">
        <f t="shared" si="436"/>
        <v>140656</v>
      </c>
      <c r="CI499" s="62" t="str">
        <f t="shared" si="437"/>
        <v/>
      </c>
      <c r="CJ499" s="59">
        <f t="shared" si="438"/>
        <v>0</v>
      </c>
      <c r="CL499" s="63">
        <v>6000</v>
      </c>
      <c r="CM499" s="63">
        <f t="shared" si="439"/>
        <v>0</v>
      </c>
      <c r="CN499" s="63">
        <f t="shared" si="440"/>
        <v>5</v>
      </c>
      <c r="CO499" s="63">
        <f t="shared" si="441"/>
        <v>1200</v>
      </c>
      <c r="CP499" s="13">
        <f t="shared" si="442"/>
        <v>1200</v>
      </c>
      <c r="CQ499" s="70">
        <f t="shared" si="443"/>
        <v>8.3333333333333339E-4</v>
      </c>
      <c r="CR499" s="69">
        <f t="shared" si="465"/>
        <v>8.3333333333333339E-4</v>
      </c>
    </row>
    <row r="500" spans="1:96" hidden="1" x14ac:dyDescent="0.25">
      <c r="A500" s="13">
        <v>4</v>
      </c>
      <c r="B500" s="14" t="s">
        <v>1274</v>
      </c>
      <c r="C500" s="13" t="s">
        <v>1275</v>
      </c>
      <c r="D500" s="13" t="s">
        <v>2270</v>
      </c>
      <c r="E500" s="13" t="s">
        <v>52</v>
      </c>
      <c r="F500" s="15">
        <f t="shared" si="412"/>
        <v>1</v>
      </c>
      <c r="G500" s="13">
        <v>1</v>
      </c>
      <c r="H500" s="13">
        <f>G500*$H$499</f>
        <v>1</v>
      </c>
      <c r="I500" s="13">
        <v>10</v>
      </c>
      <c r="J500" s="14" t="s">
        <v>722</v>
      </c>
      <c r="K500" s="14" t="s">
        <v>34</v>
      </c>
      <c r="L500" s="13" t="s">
        <v>110</v>
      </c>
      <c r="M500" s="14" t="s">
        <v>35</v>
      </c>
      <c r="N500" s="13" t="s">
        <v>1276</v>
      </c>
      <c r="O500" s="28" t="s">
        <v>41</v>
      </c>
      <c r="P500" s="28" t="s">
        <v>41</v>
      </c>
      <c r="Q500" s="28"/>
      <c r="R500" s="30"/>
      <c r="S500" s="30"/>
      <c r="T500" s="30"/>
      <c r="U500" s="30"/>
      <c r="V500" s="8">
        <f t="shared" si="413"/>
        <v>0</v>
      </c>
      <c r="W500" s="8">
        <f t="shared" si="414"/>
        <v>0</v>
      </c>
      <c r="X500" s="8">
        <f t="shared" si="415"/>
        <v>0</v>
      </c>
      <c r="Y500" s="33">
        <f t="shared" si="416"/>
        <v>0</v>
      </c>
      <c r="Z500" s="28"/>
      <c r="AA500" s="28"/>
      <c r="AB500" s="28">
        <v>0</v>
      </c>
      <c r="AC500" s="31"/>
      <c r="AD500" s="50">
        <f t="shared" si="417"/>
        <v>1</v>
      </c>
      <c r="AE500" s="31"/>
      <c r="AF500" s="51">
        <v>14</v>
      </c>
      <c r="AG500" s="51">
        <f t="shared" si="445"/>
        <v>8.4</v>
      </c>
      <c r="AH500" s="51">
        <f t="shared" si="410"/>
        <v>42</v>
      </c>
      <c r="AI500" s="52" t="s">
        <v>2497</v>
      </c>
      <c r="AJ500" s="52" t="s">
        <v>2498</v>
      </c>
      <c r="AK500" s="53">
        <f t="shared" si="446"/>
        <v>0</v>
      </c>
      <c r="AL500" s="54">
        <f t="shared" si="447"/>
        <v>0.11904761904761904</v>
      </c>
      <c r="AM500" s="54">
        <f t="shared" si="448"/>
        <v>2.3809523809523808E-2</v>
      </c>
      <c r="AN500" s="55">
        <f t="shared" si="449"/>
        <v>0</v>
      </c>
      <c r="AO500" s="55">
        <f t="shared" si="450"/>
        <v>0</v>
      </c>
      <c r="AP500" s="53">
        <v>7.1</v>
      </c>
      <c r="AQ500" s="53">
        <f t="shared" si="418"/>
        <v>4.26</v>
      </c>
      <c r="AR500" s="53">
        <f t="shared" si="419"/>
        <v>21.299999999999997</v>
      </c>
      <c r="AS500" s="56">
        <f t="shared" si="420"/>
        <v>4.6948356807511742E-2</v>
      </c>
      <c r="AT500" s="56">
        <f t="shared" si="451"/>
        <v>0.23474178403755869</v>
      </c>
      <c r="AU500" s="56">
        <f t="shared" si="421"/>
        <v>0.176056338028169</v>
      </c>
      <c r="AV500" s="56">
        <f t="shared" si="452"/>
        <v>5.8685446009389672E-2</v>
      </c>
      <c r="AW500" s="57" t="s">
        <v>2511</v>
      </c>
      <c r="AX500" s="57" t="s">
        <v>2512</v>
      </c>
      <c r="AY500" s="57" t="s">
        <v>2513</v>
      </c>
      <c r="AZ500" s="58">
        <f t="shared" si="453"/>
        <v>0</v>
      </c>
      <c r="BA500" s="59">
        <f t="shared" si="456"/>
        <v>0</v>
      </c>
      <c r="BB500" s="59">
        <f t="shared" si="457"/>
        <v>0</v>
      </c>
      <c r="BC500" s="59">
        <f t="shared" si="458"/>
        <v>0</v>
      </c>
      <c r="BD500" s="60">
        <f t="shared" si="454"/>
        <v>7.1095438516664771E-6</v>
      </c>
      <c r="BE500" s="59">
        <f t="shared" si="455"/>
        <v>7.1095438516664771E-6</v>
      </c>
      <c r="BQ500" s="61">
        <v>3000</v>
      </c>
      <c r="BR500" s="61">
        <v>1200</v>
      </c>
      <c r="BS500" s="28">
        <f t="shared" si="422"/>
        <v>2980</v>
      </c>
      <c r="BT500" s="28">
        <f t="shared" si="423"/>
        <v>1180</v>
      </c>
      <c r="BU500" s="28" t="s">
        <v>2541</v>
      </c>
      <c r="BV500" s="28">
        <f t="shared" si="424"/>
        <v>5</v>
      </c>
      <c r="BW500" s="28">
        <f t="shared" si="425"/>
        <v>5</v>
      </c>
      <c r="BX500" s="13">
        <f t="shared" si="426"/>
        <v>596</v>
      </c>
      <c r="BY500" s="13">
        <f t="shared" si="427"/>
        <v>596</v>
      </c>
      <c r="BZ500" s="13">
        <f t="shared" si="428"/>
        <v>236</v>
      </c>
      <c r="CA500" s="13">
        <f t="shared" si="429"/>
        <v>236</v>
      </c>
      <c r="CB500" s="13">
        <f t="shared" si="430"/>
        <v>140656</v>
      </c>
      <c r="CC500" s="62">
        <f t="shared" si="431"/>
        <v>7.1095438516664771E-6</v>
      </c>
      <c r="CD500" s="13">
        <f t="shared" si="432"/>
        <v>596</v>
      </c>
      <c r="CE500" s="13">
        <f t="shared" si="433"/>
        <v>596</v>
      </c>
      <c r="CF500" s="13">
        <f t="shared" si="434"/>
        <v>236</v>
      </c>
      <c r="CG500" s="13">
        <f t="shared" si="435"/>
        <v>236</v>
      </c>
      <c r="CH500" s="28">
        <f t="shared" si="436"/>
        <v>140656</v>
      </c>
      <c r="CI500" s="62">
        <f t="shared" si="437"/>
        <v>7.1095438516664771E-6</v>
      </c>
      <c r="CJ500" s="59">
        <f t="shared" si="438"/>
        <v>7.1095438516664771E-6</v>
      </c>
      <c r="CL500" s="63">
        <v>6000</v>
      </c>
      <c r="CM500" s="63">
        <f t="shared" si="439"/>
        <v>0</v>
      </c>
      <c r="CN500" s="63">
        <f t="shared" si="440"/>
        <v>5</v>
      </c>
      <c r="CO500" s="63">
        <f t="shared" si="441"/>
        <v>1200</v>
      </c>
      <c r="CP500" s="13">
        <f t="shared" si="442"/>
        <v>1200</v>
      </c>
      <c r="CQ500" s="70">
        <f t="shared" si="443"/>
        <v>8.3333333333333339E-4</v>
      </c>
      <c r="CR500" s="69">
        <f t="shared" si="465"/>
        <v>8.3333333333333339E-4</v>
      </c>
    </row>
    <row r="501" spans="1:96" hidden="1" x14ac:dyDescent="0.25">
      <c r="A501" s="17">
        <v>5</v>
      </c>
      <c r="B501" s="6" t="s">
        <v>1277</v>
      </c>
      <c r="C501" s="17" t="s">
        <v>1278</v>
      </c>
      <c r="D501" s="17" t="s">
        <v>2270</v>
      </c>
      <c r="E501" s="17" t="s">
        <v>52</v>
      </c>
      <c r="F501" s="7">
        <f t="shared" si="412"/>
        <v>1</v>
      </c>
      <c r="G501" s="17">
        <v>1</v>
      </c>
      <c r="H501" s="17">
        <f>G501*$H$500</f>
        <v>1</v>
      </c>
      <c r="I501" s="17">
        <v>1</v>
      </c>
      <c r="J501" s="6" t="s">
        <v>503</v>
      </c>
      <c r="K501" s="6" t="s">
        <v>34</v>
      </c>
      <c r="L501" s="17" t="s">
        <v>110</v>
      </c>
      <c r="M501" s="6" t="s">
        <v>35</v>
      </c>
      <c r="N501" s="17" t="s">
        <v>1276</v>
      </c>
      <c r="O501" s="28" t="s">
        <v>41</v>
      </c>
      <c r="P501" s="28" t="s">
        <v>41</v>
      </c>
      <c r="Q501" s="28" t="s">
        <v>116</v>
      </c>
      <c r="R501" s="30">
        <v>18</v>
      </c>
      <c r="S501" s="30">
        <v>11.574999999999999</v>
      </c>
      <c r="T501" s="30"/>
      <c r="U501" s="30">
        <v>0.11799999999999999</v>
      </c>
      <c r="V501" s="8">
        <f t="shared" si="413"/>
        <v>457.2</v>
      </c>
      <c r="W501" s="8">
        <f t="shared" si="414"/>
        <v>294.00499999999994</v>
      </c>
      <c r="X501" s="8">
        <f t="shared" si="415"/>
        <v>0</v>
      </c>
      <c r="Y501" s="33">
        <f t="shared" si="416"/>
        <v>2.9971999999999999</v>
      </c>
      <c r="Z501" s="28" t="s">
        <v>56</v>
      </c>
      <c r="AA501" s="28" t="s">
        <v>57</v>
      </c>
      <c r="AB501" s="28" t="s">
        <v>116</v>
      </c>
      <c r="AC501" s="31" t="s">
        <v>117</v>
      </c>
      <c r="AD501" s="50">
        <f t="shared" si="417"/>
        <v>1</v>
      </c>
      <c r="AE501" s="31"/>
      <c r="AF501" s="51">
        <v>14</v>
      </c>
      <c r="AG501" s="51">
        <f t="shared" si="445"/>
        <v>8.4</v>
      </c>
      <c r="AH501" s="51">
        <f t="shared" si="410"/>
        <v>42</v>
      </c>
      <c r="AI501" s="52" t="s">
        <v>2497</v>
      </c>
      <c r="AJ501" s="52" t="s">
        <v>2498</v>
      </c>
      <c r="AK501" s="53">
        <f t="shared" si="446"/>
        <v>0.26883817199999999</v>
      </c>
      <c r="AL501" s="54">
        <f t="shared" si="447"/>
        <v>0.11904761904761904</v>
      </c>
      <c r="AM501" s="54">
        <f t="shared" si="448"/>
        <v>2.3809523809523808E-2</v>
      </c>
      <c r="AN501" s="55">
        <f t="shared" si="449"/>
        <v>3.2004544285714281E-2</v>
      </c>
      <c r="AO501" s="55">
        <f t="shared" si="450"/>
        <v>6.4009088571428561E-3</v>
      </c>
      <c r="AP501" s="53">
        <v>7.1</v>
      </c>
      <c r="AQ501" s="53">
        <f t="shared" si="418"/>
        <v>4.26</v>
      </c>
      <c r="AR501" s="53">
        <f t="shared" si="419"/>
        <v>21.299999999999997</v>
      </c>
      <c r="AS501" s="56">
        <f t="shared" si="420"/>
        <v>4.6948356807511742E-2</v>
      </c>
      <c r="AT501" s="56">
        <f t="shared" si="451"/>
        <v>0.23474178403755869</v>
      </c>
      <c r="AU501" s="56">
        <f t="shared" si="421"/>
        <v>0.176056338028169</v>
      </c>
      <c r="AV501" s="56">
        <f t="shared" si="452"/>
        <v>5.8685446009389672E-2</v>
      </c>
      <c r="AW501" s="57" t="s">
        <v>2511</v>
      </c>
      <c r="AX501" s="57" t="s">
        <v>2512</v>
      </c>
      <c r="AY501" s="57" t="s">
        <v>2513</v>
      </c>
      <c r="AZ501" s="58">
        <f t="shared" si="453"/>
        <v>0.26883817199999999</v>
      </c>
      <c r="BA501" s="59">
        <f t="shared" si="456"/>
        <v>7.8884440140845075E-3</v>
      </c>
      <c r="BB501" s="59">
        <f t="shared" si="457"/>
        <v>2.3665332042253517E-2</v>
      </c>
      <c r="BC501" s="59">
        <f t="shared" si="458"/>
        <v>6.3107552112676062E-3</v>
      </c>
      <c r="BD501" s="60">
        <f t="shared" si="454"/>
        <v>5.5555555555555552E-2</v>
      </c>
      <c r="BE501" s="59">
        <f t="shared" si="455"/>
        <v>5.5555555555555552E-2</v>
      </c>
      <c r="BQ501" s="61">
        <v>3000</v>
      </c>
      <c r="BR501" s="61">
        <v>1200</v>
      </c>
      <c r="BS501" s="28">
        <f t="shared" si="422"/>
        <v>2980</v>
      </c>
      <c r="BT501" s="28">
        <f t="shared" si="423"/>
        <v>1180</v>
      </c>
      <c r="BU501" s="28" t="s">
        <v>2541</v>
      </c>
      <c r="BV501" s="28">
        <f t="shared" si="424"/>
        <v>462.2</v>
      </c>
      <c r="BW501" s="28">
        <f t="shared" si="425"/>
        <v>299.00499999999994</v>
      </c>
      <c r="BX501" s="13">
        <f t="shared" si="426"/>
        <v>6.4474253569883171</v>
      </c>
      <c r="BY501" s="13">
        <f t="shared" si="427"/>
        <v>6</v>
      </c>
      <c r="BZ501" s="13">
        <f t="shared" si="428"/>
        <v>3.9464223006304251</v>
      </c>
      <c r="CA501" s="13">
        <f t="shared" si="429"/>
        <v>3</v>
      </c>
      <c r="CB501" s="13">
        <f t="shared" si="430"/>
        <v>18</v>
      </c>
      <c r="CC501" s="62">
        <f t="shared" si="431"/>
        <v>5.5555555555555552E-2</v>
      </c>
      <c r="CD501" s="13">
        <f t="shared" si="432"/>
        <v>9.9663885219310728</v>
      </c>
      <c r="CE501" s="13">
        <f t="shared" si="433"/>
        <v>9</v>
      </c>
      <c r="CF501" s="13">
        <f t="shared" si="434"/>
        <v>2.5530073561228908</v>
      </c>
      <c r="CG501" s="13">
        <f t="shared" si="435"/>
        <v>2</v>
      </c>
      <c r="CH501" s="28">
        <f t="shared" si="436"/>
        <v>18</v>
      </c>
      <c r="CI501" s="62">
        <f t="shared" si="437"/>
        <v>5.5555555555555552E-2</v>
      </c>
      <c r="CJ501" s="59">
        <f t="shared" si="438"/>
        <v>5.5555555555555552E-2</v>
      </c>
      <c r="CL501" s="63">
        <v>6000</v>
      </c>
      <c r="CM501" s="63">
        <f t="shared" si="439"/>
        <v>457.2</v>
      </c>
      <c r="CN501" s="63">
        <f t="shared" si="440"/>
        <v>462.2</v>
      </c>
      <c r="CO501" s="63">
        <f t="shared" si="441"/>
        <v>12.981393336218087</v>
      </c>
      <c r="CP501" s="13">
        <f t="shared" si="442"/>
        <v>12</v>
      </c>
      <c r="CQ501" s="70">
        <f t="shared" si="443"/>
        <v>8.3333333333333329E-2</v>
      </c>
      <c r="CR501" s="69">
        <f t="shared" si="465"/>
        <v>8.3333333333333329E-2</v>
      </c>
    </row>
    <row r="502" spans="1:96" hidden="1" x14ac:dyDescent="0.25">
      <c r="A502" s="17">
        <v>5</v>
      </c>
      <c r="B502" s="6" t="s">
        <v>1277</v>
      </c>
      <c r="C502" s="17" t="s">
        <v>1279</v>
      </c>
      <c r="D502" s="17" t="s">
        <v>2270</v>
      </c>
      <c r="E502" s="17" t="s">
        <v>52</v>
      </c>
      <c r="F502" s="7">
        <f t="shared" si="412"/>
        <v>1</v>
      </c>
      <c r="G502" s="17">
        <v>1</v>
      </c>
      <c r="H502" s="17">
        <f t="shared" ref="H502:H505" si="467">G502*$H$500</f>
        <v>1</v>
      </c>
      <c r="I502" s="17">
        <v>2</v>
      </c>
      <c r="J502" s="6" t="s">
        <v>1280</v>
      </c>
      <c r="K502" s="6" t="s">
        <v>34</v>
      </c>
      <c r="L502" s="17">
        <v>0</v>
      </c>
      <c r="M502" s="6" t="s">
        <v>35</v>
      </c>
      <c r="N502" s="17" t="s">
        <v>1281</v>
      </c>
      <c r="O502" s="28" t="s">
        <v>41</v>
      </c>
      <c r="P502" s="28" t="s">
        <v>41</v>
      </c>
      <c r="Q502" s="28" t="s">
        <v>1281</v>
      </c>
      <c r="R502" s="30"/>
      <c r="S502" s="30"/>
      <c r="T502" s="30"/>
      <c r="U502" s="30"/>
      <c r="V502" s="8">
        <f t="shared" si="413"/>
        <v>0</v>
      </c>
      <c r="W502" s="8">
        <f t="shared" si="414"/>
        <v>0</v>
      </c>
      <c r="X502" s="8">
        <f t="shared" si="415"/>
        <v>0</v>
      </c>
      <c r="Y502" s="33">
        <f t="shared" si="416"/>
        <v>0</v>
      </c>
      <c r="Z502" s="28"/>
      <c r="AA502" s="28"/>
      <c r="AB502" s="61" t="s">
        <v>1281</v>
      </c>
      <c r="AC502" s="31" t="s">
        <v>1282</v>
      </c>
      <c r="AD502" s="50">
        <f t="shared" si="417"/>
        <v>1</v>
      </c>
      <c r="AE502" s="31"/>
      <c r="AF502" s="51">
        <v>14</v>
      </c>
      <c r="AG502" s="51">
        <f t="shared" si="445"/>
        <v>8.4</v>
      </c>
      <c r="AH502" s="51">
        <f t="shared" si="410"/>
        <v>42</v>
      </c>
      <c r="AI502" s="52" t="s">
        <v>2497</v>
      </c>
      <c r="AJ502" s="52" t="s">
        <v>2498</v>
      </c>
      <c r="AK502" s="53">
        <f t="shared" si="446"/>
        <v>0</v>
      </c>
      <c r="AL502" s="54">
        <f t="shared" si="447"/>
        <v>0.11904761904761904</v>
      </c>
      <c r="AM502" s="54">
        <f t="shared" si="448"/>
        <v>2.3809523809523808E-2</v>
      </c>
      <c r="AN502" s="55">
        <f t="shared" si="449"/>
        <v>0</v>
      </c>
      <c r="AO502" s="55">
        <f t="shared" si="450"/>
        <v>0</v>
      </c>
      <c r="AP502" s="53">
        <v>7.1</v>
      </c>
      <c r="AQ502" s="53">
        <f t="shared" si="418"/>
        <v>4.26</v>
      </c>
      <c r="AR502" s="53">
        <f t="shared" si="419"/>
        <v>21.299999999999997</v>
      </c>
      <c r="AS502" s="56">
        <f t="shared" si="420"/>
        <v>4.6948356807511742E-2</v>
      </c>
      <c r="AT502" s="56">
        <f t="shared" si="451"/>
        <v>0.23474178403755869</v>
      </c>
      <c r="AU502" s="56">
        <f t="shared" si="421"/>
        <v>0.176056338028169</v>
      </c>
      <c r="AV502" s="56">
        <f t="shared" si="452"/>
        <v>5.8685446009389672E-2</v>
      </c>
      <c r="AW502" s="57" t="s">
        <v>2511</v>
      </c>
      <c r="AX502" s="57" t="s">
        <v>2512</v>
      </c>
      <c r="AY502" s="57" t="s">
        <v>2513</v>
      </c>
      <c r="AZ502" s="58">
        <f t="shared" si="453"/>
        <v>0</v>
      </c>
      <c r="BA502" s="59">
        <f t="shared" si="456"/>
        <v>0</v>
      </c>
      <c r="BB502" s="59">
        <f t="shared" si="457"/>
        <v>0</v>
      </c>
      <c r="BC502" s="59">
        <f t="shared" si="458"/>
        <v>0</v>
      </c>
      <c r="BD502" s="60">
        <f t="shared" si="454"/>
        <v>7.1095438516664771E-6</v>
      </c>
      <c r="BE502" s="59">
        <f t="shared" si="455"/>
        <v>7.1095438516664771E-6</v>
      </c>
      <c r="BQ502" s="61">
        <v>3000</v>
      </c>
      <c r="BR502" s="61">
        <v>1200</v>
      </c>
      <c r="BS502" s="28">
        <f t="shared" si="422"/>
        <v>2980</v>
      </c>
      <c r="BT502" s="28">
        <f t="shared" si="423"/>
        <v>1180</v>
      </c>
      <c r="BU502" s="28" t="s">
        <v>2541</v>
      </c>
      <c r="BV502" s="28">
        <f t="shared" si="424"/>
        <v>5</v>
      </c>
      <c r="BW502" s="28">
        <f t="shared" si="425"/>
        <v>5</v>
      </c>
      <c r="BX502" s="13">
        <f t="shared" si="426"/>
        <v>596</v>
      </c>
      <c r="BY502" s="13">
        <f t="shared" si="427"/>
        <v>596</v>
      </c>
      <c r="BZ502" s="13">
        <f t="shared" si="428"/>
        <v>236</v>
      </c>
      <c r="CA502" s="13">
        <f t="shared" si="429"/>
        <v>236</v>
      </c>
      <c r="CB502" s="13">
        <f t="shared" si="430"/>
        <v>140656</v>
      </c>
      <c r="CC502" s="62">
        <f t="shared" si="431"/>
        <v>7.1095438516664771E-6</v>
      </c>
      <c r="CD502" s="13">
        <f t="shared" si="432"/>
        <v>596</v>
      </c>
      <c r="CE502" s="13">
        <f t="shared" si="433"/>
        <v>596</v>
      </c>
      <c r="CF502" s="13">
        <f t="shared" si="434"/>
        <v>236</v>
      </c>
      <c r="CG502" s="13">
        <f t="shared" si="435"/>
        <v>236</v>
      </c>
      <c r="CH502" s="28">
        <f t="shared" si="436"/>
        <v>140656</v>
      </c>
      <c r="CI502" s="62">
        <f t="shared" si="437"/>
        <v>7.1095438516664771E-6</v>
      </c>
      <c r="CJ502" s="59">
        <f t="shared" si="438"/>
        <v>7.1095438516664771E-6</v>
      </c>
      <c r="CL502" s="63">
        <v>6000</v>
      </c>
      <c r="CM502" s="63">
        <f t="shared" si="439"/>
        <v>0</v>
      </c>
      <c r="CN502" s="63">
        <f t="shared" si="440"/>
        <v>5</v>
      </c>
      <c r="CO502" s="63">
        <f t="shared" si="441"/>
        <v>1200</v>
      </c>
      <c r="CP502" s="13">
        <f t="shared" si="442"/>
        <v>1200</v>
      </c>
      <c r="CQ502" s="70">
        <f t="shared" si="443"/>
        <v>8.3333333333333339E-4</v>
      </c>
      <c r="CR502" s="69">
        <f t="shared" si="465"/>
        <v>8.3333333333333339E-4</v>
      </c>
    </row>
    <row r="503" spans="1:96" hidden="1" x14ac:dyDescent="0.25">
      <c r="A503" s="17">
        <v>5</v>
      </c>
      <c r="B503" s="6" t="s">
        <v>1277</v>
      </c>
      <c r="C503" s="17" t="s">
        <v>1283</v>
      </c>
      <c r="D503" s="17" t="s">
        <v>1285</v>
      </c>
      <c r="E503" s="17" t="s">
        <v>52</v>
      </c>
      <c r="F503" s="7">
        <f t="shared" si="412"/>
        <v>2</v>
      </c>
      <c r="G503" s="17">
        <v>1</v>
      </c>
      <c r="H503" s="17">
        <f t="shared" si="467"/>
        <v>1</v>
      </c>
      <c r="I503" s="17">
        <v>3</v>
      </c>
      <c r="J503" s="6" t="s">
        <v>1284</v>
      </c>
      <c r="K503" s="6" t="s">
        <v>34</v>
      </c>
      <c r="L503" s="17">
        <v>0</v>
      </c>
      <c r="M503" s="6" t="s">
        <v>35</v>
      </c>
      <c r="N503" s="17" t="s">
        <v>1285</v>
      </c>
      <c r="O503" s="28" t="s">
        <v>41</v>
      </c>
      <c r="P503" s="28" t="s">
        <v>41</v>
      </c>
      <c r="Q503" s="28" t="s">
        <v>1285</v>
      </c>
      <c r="R503" s="30"/>
      <c r="S503" s="30"/>
      <c r="T503" s="30"/>
      <c r="U503" s="30"/>
      <c r="V503" s="8">
        <f t="shared" si="413"/>
        <v>0</v>
      </c>
      <c r="W503" s="8">
        <f t="shared" si="414"/>
        <v>0</v>
      </c>
      <c r="X503" s="8">
        <f t="shared" si="415"/>
        <v>0</v>
      </c>
      <c r="Y503" s="33">
        <f t="shared" si="416"/>
        <v>0</v>
      </c>
      <c r="Z503" s="28"/>
      <c r="AA503" s="28"/>
      <c r="AB503" s="61" t="s">
        <v>1285</v>
      </c>
      <c r="AC503" s="31" t="s">
        <v>1286</v>
      </c>
      <c r="AD503" s="50">
        <f t="shared" si="417"/>
        <v>1</v>
      </c>
      <c r="AE503" s="31"/>
      <c r="AF503" s="51">
        <v>14</v>
      </c>
      <c r="AG503" s="51">
        <f t="shared" si="445"/>
        <v>8.4</v>
      </c>
      <c r="AH503" s="51">
        <f t="shared" si="410"/>
        <v>42</v>
      </c>
      <c r="AI503" s="52" t="s">
        <v>2497</v>
      </c>
      <c r="AJ503" s="52" t="s">
        <v>2498</v>
      </c>
      <c r="AK503" s="53">
        <f t="shared" si="446"/>
        <v>0</v>
      </c>
      <c r="AL503" s="54">
        <f t="shared" si="447"/>
        <v>0.11904761904761904</v>
      </c>
      <c r="AM503" s="54">
        <f t="shared" si="448"/>
        <v>2.3809523809523808E-2</v>
      </c>
      <c r="AN503" s="55">
        <f t="shared" si="449"/>
        <v>0</v>
      </c>
      <c r="AO503" s="55">
        <f t="shared" si="450"/>
        <v>0</v>
      </c>
      <c r="AP503" s="53">
        <v>7.1</v>
      </c>
      <c r="AQ503" s="53">
        <f t="shared" si="418"/>
        <v>4.26</v>
      </c>
      <c r="AR503" s="53">
        <f t="shared" si="419"/>
        <v>21.299999999999997</v>
      </c>
      <c r="AS503" s="56">
        <f t="shared" si="420"/>
        <v>4.6948356807511742E-2</v>
      </c>
      <c r="AT503" s="56">
        <f t="shared" si="451"/>
        <v>0.23474178403755869</v>
      </c>
      <c r="AU503" s="56">
        <f t="shared" si="421"/>
        <v>0.176056338028169</v>
      </c>
      <c r="AV503" s="56">
        <f t="shared" si="452"/>
        <v>5.8685446009389672E-2</v>
      </c>
      <c r="AW503" s="57" t="s">
        <v>2511</v>
      </c>
      <c r="AX503" s="57" t="s">
        <v>2512</v>
      </c>
      <c r="AY503" s="57" t="s">
        <v>2513</v>
      </c>
      <c r="AZ503" s="58">
        <f t="shared" si="453"/>
        <v>0</v>
      </c>
      <c r="BA503" s="59">
        <f t="shared" si="456"/>
        <v>0</v>
      </c>
      <c r="BB503" s="59">
        <f t="shared" si="457"/>
        <v>0</v>
      </c>
      <c r="BC503" s="59">
        <f t="shared" si="458"/>
        <v>0</v>
      </c>
      <c r="BD503" s="60">
        <f t="shared" si="454"/>
        <v>7.1095438516664771E-6</v>
      </c>
      <c r="BE503" s="59">
        <f t="shared" si="455"/>
        <v>7.1095438516664771E-6</v>
      </c>
      <c r="BQ503" s="61">
        <v>3000</v>
      </c>
      <c r="BR503" s="61">
        <v>1200</v>
      </c>
      <c r="BS503" s="28">
        <f t="shared" si="422"/>
        <v>2980</v>
      </c>
      <c r="BT503" s="28">
        <f t="shared" si="423"/>
        <v>1180</v>
      </c>
      <c r="BU503" s="28" t="s">
        <v>2541</v>
      </c>
      <c r="BV503" s="28">
        <f t="shared" si="424"/>
        <v>5</v>
      </c>
      <c r="BW503" s="28">
        <f t="shared" si="425"/>
        <v>5</v>
      </c>
      <c r="BX503" s="13">
        <f t="shared" si="426"/>
        <v>596</v>
      </c>
      <c r="BY503" s="13">
        <f t="shared" si="427"/>
        <v>596</v>
      </c>
      <c r="BZ503" s="13">
        <f t="shared" si="428"/>
        <v>236</v>
      </c>
      <c r="CA503" s="13">
        <f t="shared" si="429"/>
        <v>236</v>
      </c>
      <c r="CB503" s="13">
        <f t="shared" si="430"/>
        <v>140656</v>
      </c>
      <c r="CC503" s="62">
        <f t="shared" si="431"/>
        <v>7.1095438516664771E-6</v>
      </c>
      <c r="CD503" s="13">
        <f t="shared" si="432"/>
        <v>596</v>
      </c>
      <c r="CE503" s="13">
        <f t="shared" si="433"/>
        <v>596</v>
      </c>
      <c r="CF503" s="13">
        <f t="shared" si="434"/>
        <v>236</v>
      </c>
      <c r="CG503" s="13">
        <f t="shared" si="435"/>
        <v>236</v>
      </c>
      <c r="CH503" s="28">
        <f t="shared" si="436"/>
        <v>140656</v>
      </c>
      <c r="CI503" s="62">
        <f t="shared" si="437"/>
        <v>7.1095438516664771E-6</v>
      </c>
      <c r="CJ503" s="59">
        <f t="shared" si="438"/>
        <v>7.1095438516664771E-6</v>
      </c>
      <c r="CL503" s="63">
        <v>6000</v>
      </c>
      <c r="CM503" s="63">
        <f t="shared" si="439"/>
        <v>0</v>
      </c>
      <c r="CN503" s="63">
        <f t="shared" si="440"/>
        <v>5</v>
      </c>
      <c r="CO503" s="63">
        <f t="shared" si="441"/>
        <v>1200</v>
      </c>
      <c r="CP503" s="13">
        <f t="shared" si="442"/>
        <v>1200</v>
      </c>
      <c r="CQ503" s="70">
        <f t="shared" si="443"/>
        <v>8.3333333333333339E-4</v>
      </c>
      <c r="CR503" s="69">
        <f t="shared" si="465"/>
        <v>8.3333333333333339E-4</v>
      </c>
    </row>
    <row r="504" spans="1:96" hidden="1" x14ac:dyDescent="0.25">
      <c r="A504" s="17">
        <v>5</v>
      </c>
      <c r="B504" s="6" t="s">
        <v>1277</v>
      </c>
      <c r="C504" s="17" t="s">
        <v>1287</v>
      </c>
      <c r="D504" s="17" t="s">
        <v>1289</v>
      </c>
      <c r="E504" s="17" t="s">
        <v>52</v>
      </c>
      <c r="F504" s="7">
        <f t="shared" si="412"/>
        <v>2</v>
      </c>
      <c r="G504" s="17">
        <v>3</v>
      </c>
      <c r="H504" s="17">
        <f t="shared" si="467"/>
        <v>3</v>
      </c>
      <c r="I504" s="17">
        <v>4</v>
      </c>
      <c r="J504" s="6" t="s">
        <v>1288</v>
      </c>
      <c r="K504" s="6" t="s">
        <v>34</v>
      </c>
      <c r="L504" s="17">
        <v>0</v>
      </c>
      <c r="M504" s="6" t="s">
        <v>35</v>
      </c>
      <c r="N504" s="17" t="s">
        <v>1289</v>
      </c>
      <c r="O504" s="28" t="s">
        <v>41</v>
      </c>
      <c r="P504" s="28" t="s">
        <v>41</v>
      </c>
      <c r="Q504" s="28" t="s">
        <v>1289</v>
      </c>
      <c r="R504" s="30"/>
      <c r="S504" s="30"/>
      <c r="T504" s="30"/>
      <c r="U504" s="30"/>
      <c r="V504" s="8">
        <f t="shared" si="413"/>
        <v>0</v>
      </c>
      <c r="W504" s="8">
        <f t="shared" si="414"/>
        <v>0</v>
      </c>
      <c r="X504" s="8">
        <f t="shared" si="415"/>
        <v>0</v>
      </c>
      <c r="Y504" s="33">
        <f t="shared" si="416"/>
        <v>0</v>
      </c>
      <c r="Z504" s="28"/>
      <c r="AA504" s="28"/>
      <c r="AB504" s="61" t="s">
        <v>1289</v>
      </c>
      <c r="AC504" s="31" t="s">
        <v>1290</v>
      </c>
      <c r="AD504" s="50">
        <f t="shared" si="417"/>
        <v>3</v>
      </c>
      <c r="AE504" s="31"/>
      <c r="AF504" s="51">
        <v>14</v>
      </c>
      <c r="AG504" s="51">
        <f t="shared" si="445"/>
        <v>8.4</v>
      </c>
      <c r="AH504" s="51">
        <f t="shared" si="410"/>
        <v>42</v>
      </c>
      <c r="AI504" s="52" t="s">
        <v>2497</v>
      </c>
      <c r="AJ504" s="52" t="s">
        <v>2498</v>
      </c>
      <c r="AK504" s="53">
        <f t="shared" si="446"/>
        <v>0</v>
      </c>
      <c r="AL504" s="54">
        <f t="shared" si="447"/>
        <v>0.11904761904761904</v>
      </c>
      <c r="AM504" s="54">
        <f t="shared" si="448"/>
        <v>2.3809523809523808E-2</v>
      </c>
      <c r="AN504" s="55">
        <f t="shared" si="449"/>
        <v>0</v>
      </c>
      <c r="AO504" s="55">
        <f t="shared" si="450"/>
        <v>0</v>
      </c>
      <c r="AP504" s="53">
        <v>7.1</v>
      </c>
      <c r="AQ504" s="53">
        <f t="shared" si="418"/>
        <v>4.26</v>
      </c>
      <c r="AR504" s="53">
        <f t="shared" si="419"/>
        <v>21.299999999999997</v>
      </c>
      <c r="AS504" s="56">
        <f t="shared" si="420"/>
        <v>4.6948356807511742E-2</v>
      </c>
      <c r="AT504" s="56">
        <f t="shared" si="451"/>
        <v>0.23474178403755869</v>
      </c>
      <c r="AU504" s="56">
        <f t="shared" si="421"/>
        <v>0.176056338028169</v>
      </c>
      <c r="AV504" s="56">
        <f t="shared" si="452"/>
        <v>5.8685446009389672E-2</v>
      </c>
      <c r="AW504" s="57" t="s">
        <v>2511</v>
      </c>
      <c r="AX504" s="57" t="s">
        <v>2512</v>
      </c>
      <c r="AY504" s="57" t="s">
        <v>2513</v>
      </c>
      <c r="AZ504" s="58">
        <f t="shared" si="453"/>
        <v>0</v>
      </c>
      <c r="BA504" s="59">
        <f t="shared" si="456"/>
        <v>0</v>
      </c>
      <c r="BB504" s="59">
        <f t="shared" si="457"/>
        <v>0</v>
      </c>
      <c r="BC504" s="59">
        <f t="shared" si="458"/>
        <v>0</v>
      </c>
      <c r="BD504" s="60">
        <f t="shared" si="454"/>
        <v>7.1095438516664771E-6</v>
      </c>
      <c r="BE504" s="59">
        <f t="shared" si="455"/>
        <v>2.1328631554999432E-5</v>
      </c>
      <c r="BQ504" s="61">
        <v>3000</v>
      </c>
      <c r="BR504" s="61">
        <v>1200</v>
      </c>
      <c r="BS504" s="28">
        <f t="shared" si="422"/>
        <v>2980</v>
      </c>
      <c r="BT504" s="28">
        <f t="shared" si="423"/>
        <v>1180</v>
      </c>
      <c r="BU504" s="28" t="s">
        <v>2541</v>
      </c>
      <c r="BV504" s="28">
        <f t="shared" si="424"/>
        <v>5</v>
      </c>
      <c r="BW504" s="28">
        <f t="shared" si="425"/>
        <v>5</v>
      </c>
      <c r="BX504" s="13">
        <f t="shared" si="426"/>
        <v>596</v>
      </c>
      <c r="BY504" s="13">
        <f t="shared" si="427"/>
        <v>596</v>
      </c>
      <c r="BZ504" s="13">
        <f t="shared" si="428"/>
        <v>236</v>
      </c>
      <c r="CA504" s="13">
        <f t="shared" si="429"/>
        <v>236</v>
      </c>
      <c r="CB504" s="13">
        <f t="shared" si="430"/>
        <v>140656</v>
      </c>
      <c r="CC504" s="62">
        <f t="shared" si="431"/>
        <v>7.1095438516664771E-6</v>
      </c>
      <c r="CD504" s="13">
        <f t="shared" si="432"/>
        <v>596</v>
      </c>
      <c r="CE504" s="13">
        <f t="shared" si="433"/>
        <v>596</v>
      </c>
      <c r="CF504" s="13">
        <f t="shared" si="434"/>
        <v>236</v>
      </c>
      <c r="CG504" s="13">
        <f t="shared" si="435"/>
        <v>236</v>
      </c>
      <c r="CH504" s="28">
        <f t="shared" si="436"/>
        <v>140656</v>
      </c>
      <c r="CI504" s="62">
        <f t="shared" si="437"/>
        <v>7.1095438516664771E-6</v>
      </c>
      <c r="CJ504" s="59">
        <f t="shared" si="438"/>
        <v>7.1095438516664771E-6</v>
      </c>
      <c r="CL504" s="63">
        <v>6000</v>
      </c>
      <c r="CM504" s="63">
        <f t="shared" si="439"/>
        <v>0</v>
      </c>
      <c r="CN504" s="63">
        <f t="shared" si="440"/>
        <v>5</v>
      </c>
      <c r="CO504" s="63">
        <f t="shared" si="441"/>
        <v>1200</v>
      </c>
      <c r="CP504" s="13">
        <f t="shared" si="442"/>
        <v>1200</v>
      </c>
      <c r="CQ504" s="70">
        <f t="shared" si="443"/>
        <v>8.3333333333333339E-4</v>
      </c>
      <c r="CR504" s="69">
        <f t="shared" si="465"/>
        <v>2.5000000000000001E-3</v>
      </c>
    </row>
    <row r="505" spans="1:96" hidden="1" x14ac:dyDescent="0.25">
      <c r="A505" s="17">
        <v>5</v>
      </c>
      <c r="B505" s="6" t="s">
        <v>1277</v>
      </c>
      <c r="C505" s="17" t="s">
        <v>904</v>
      </c>
      <c r="D505" s="17" t="s">
        <v>905</v>
      </c>
      <c r="E505" s="17" t="s">
        <v>52</v>
      </c>
      <c r="F505" s="7">
        <f t="shared" si="412"/>
        <v>5</v>
      </c>
      <c r="G505" s="17">
        <v>3</v>
      </c>
      <c r="H505" s="17">
        <f t="shared" si="467"/>
        <v>3</v>
      </c>
      <c r="I505" s="17">
        <v>6</v>
      </c>
      <c r="J505" s="6" t="s">
        <v>681</v>
      </c>
      <c r="K505" s="6" t="s">
        <v>34</v>
      </c>
      <c r="L505" s="17">
        <v>0</v>
      </c>
      <c r="M505" s="6" t="s">
        <v>35</v>
      </c>
      <c r="N505" s="17" t="s">
        <v>905</v>
      </c>
      <c r="O505" s="28" t="s">
        <v>41</v>
      </c>
      <c r="P505" s="28" t="s">
        <v>41</v>
      </c>
      <c r="Q505" s="28" t="s">
        <v>905</v>
      </c>
      <c r="R505" s="30"/>
      <c r="S505" s="30"/>
      <c r="T505" s="30"/>
      <c r="U505" s="30"/>
      <c r="V505" s="8">
        <f t="shared" si="413"/>
        <v>0</v>
      </c>
      <c r="W505" s="8">
        <f t="shared" si="414"/>
        <v>0</v>
      </c>
      <c r="X505" s="8">
        <f t="shared" si="415"/>
        <v>0</v>
      </c>
      <c r="Y505" s="33">
        <f t="shared" si="416"/>
        <v>0</v>
      </c>
      <c r="Z505" s="28"/>
      <c r="AA505" s="28"/>
      <c r="AB505" s="61" t="s">
        <v>905</v>
      </c>
      <c r="AC505" s="31" t="s">
        <v>906</v>
      </c>
      <c r="AD505" s="50">
        <f t="shared" si="417"/>
        <v>3</v>
      </c>
      <c r="AE505" s="31"/>
      <c r="AF505" s="51">
        <v>14</v>
      </c>
      <c r="AG505" s="51">
        <f t="shared" si="445"/>
        <v>8.4</v>
      </c>
      <c r="AH505" s="51">
        <f t="shared" si="410"/>
        <v>42</v>
      </c>
      <c r="AI505" s="52" t="s">
        <v>2497</v>
      </c>
      <c r="AJ505" s="52" t="s">
        <v>2498</v>
      </c>
      <c r="AK505" s="53">
        <f t="shared" si="446"/>
        <v>0</v>
      </c>
      <c r="AL505" s="54">
        <f t="shared" si="447"/>
        <v>0.11904761904761904</v>
      </c>
      <c r="AM505" s="54">
        <f t="shared" si="448"/>
        <v>2.3809523809523808E-2</v>
      </c>
      <c r="AN505" s="55">
        <f t="shared" si="449"/>
        <v>0</v>
      </c>
      <c r="AO505" s="55">
        <f t="shared" si="450"/>
        <v>0</v>
      </c>
      <c r="AP505" s="53">
        <v>7.1</v>
      </c>
      <c r="AQ505" s="53">
        <f t="shared" si="418"/>
        <v>4.26</v>
      </c>
      <c r="AR505" s="53">
        <f t="shared" si="419"/>
        <v>21.299999999999997</v>
      </c>
      <c r="AS505" s="56">
        <f t="shared" si="420"/>
        <v>4.6948356807511742E-2</v>
      </c>
      <c r="AT505" s="56">
        <f t="shared" si="451"/>
        <v>0.23474178403755869</v>
      </c>
      <c r="AU505" s="56">
        <f t="shared" si="421"/>
        <v>0.176056338028169</v>
      </c>
      <c r="AV505" s="56">
        <f t="shared" si="452"/>
        <v>5.8685446009389672E-2</v>
      </c>
      <c r="AW505" s="57" t="s">
        <v>2511</v>
      </c>
      <c r="AX505" s="57" t="s">
        <v>2512</v>
      </c>
      <c r="AY505" s="57" t="s">
        <v>2513</v>
      </c>
      <c r="AZ505" s="58">
        <f t="shared" si="453"/>
        <v>0</v>
      </c>
      <c r="BA505" s="59">
        <f t="shared" si="456"/>
        <v>0</v>
      </c>
      <c r="BB505" s="59">
        <f t="shared" si="457"/>
        <v>0</v>
      </c>
      <c r="BC505" s="59">
        <f t="shared" si="458"/>
        <v>0</v>
      </c>
      <c r="BD505" s="60">
        <f t="shared" si="454"/>
        <v>7.1095438516664771E-6</v>
      </c>
      <c r="BE505" s="59">
        <f t="shared" si="455"/>
        <v>2.1328631554999432E-5</v>
      </c>
      <c r="BQ505" s="61">
        <v>3000</v>
      </c>
      <c r="BR505" s="61">
        <v>1200</v>
      </c>
      <c r="BS505" s="28">
        <f t="shared" si="422"/>
        <v>2980</v>
      </c>
      <c r="BT505" s="28">
        <f t="shared" si="423"/>
        <v>1180</v>
      </c>
      <c r="BU505" s="28" t="s">
        <v>2541</v>
      </c>
      <c r="BV505" s="28">
        <f t="shared" si="424"/>
        <v>5</v>
      </c>
      <c r="BW505" s="28">
        <f t="shared" si="425"/>
        <v>5</v>
      </c>
      <c r="BX505" s="13">
        <f t="shared" si="426"/>
        <v>596</v>
      </c>
      <c r="BY505" s="13">
        <f t="shared" si="427"/>
        <v>596</v>
      </c>
      <c r="BZ505" s="13">
        <f t="shared" si="428"/>
        <v>236</v>
      </c>
      <c r="CA505" s="13">
        <f t="shared" si="429"/>
        <v>236</v>
      </c>
      <c r="CB505" s="13">
        <f t="shared" si="430"/>
        <v>140656</v>
      </c>
      <c r="CC505" s="62">
        <f t="shared" si="431"/>
        <v>7.1095438516664771E-6</v>
      </c>
      <c r="CD505" s="13">
        <f t="shared" si="432"/>
        <v>596</v>
      </c>
      <c r="CE505" s="13">
        <f t="shared" si="433"/>
        <v>596</v>
      </c>
      <c r="CF505" s="13">
        <f t="shared" si="434"/>
        <v>236</v>
      </c>
      <c r="CG505" s="13">
        <f t="shared" si="435"/>
        <v>236</v>
      </c>
      <c r="CH505" s="28">
        <f t="shared" si="436"/>
        <v>140656</v>
      </c>
      <c r="CI505" s="62">
        <f t="shared" si="437"/>
        <v>7.1095438516664771E-6</v>
      </c>
      <c r="CJ505" s="59">
        <f t="shared" si="438"/>
        <v>7.1095438516664771E-6</v>
      </c>
      <c r="CL505" s="63">
        <v>6000</v>
      </c>
      <c r="CM505" s="63">
        <f t="shared" si="439"/>
        <v>0</v>
      </c>
      <c r="CN505" s="63">
        <f t="shared" si="440"/>
        <v>5</v>
      </c>
      <c r="CO505" s="63">
        <f t="shared" si="441"/>
        <v>1200</v>
      </c>
      <c r="CP505" s="13">
        <f t="shared" si="442"/>
        <v>1200</v>
      </c>
      <c r="CQ505" s="70">
        <f t="shared" si="443"/>
        <v>8.3333333333333339E-4</v>
      </c>
      <c r="CR505" s="69">
        <f t="shared" si="465"/>
        <v>2.5000000000000001E-3</v>
      </c>
    </row>
    <row r="506" spans="1:96" hidden="1" x14ac:dyDescent="0.25">
      <c r="A506" s="13">
        <v>4</v>
      </c>
      <c r="B506" s="14" t="s">
        <v>1274</v>
      </c>
      <c r="C506" s="13" t="s">
        <v>94</v>
      </c>
      <c r="D506" s="13" t="s">
        <v>95</v>
      </c>
      <c r="E506" s="13" t="s">
        <v>52</v>
      </c>
      <c r="F506" s="15">
        <f t="shared" si="412"/>
        <v>13</v>
      </c>
      <c r="G506" s="13">
        <v>2</v>
      </c>
      <c r="H506" s="13">
        <f>G506*$H$499</f>
        <v>2</v>
      </c>
      <c r="I506" s="13">
        <v>5</v>
      </c>
      <c r="J506" s="14" t="s">
        <v>76</v>
      </c>
      <c r="K506" s="14" t="s">
        <v>34</v>
      </c>
      <c r="L506" s="13" t="s">
        <v>77</v>
      </c>
      <c r="M506" s="14" t="s">
        <v>35</v>
      </c>
      <c r="N506" s="13" t="s">
        <v>95</v>
      </c>
      <c r="O506" s="28" t="s">
        <v>41</v>
      </c>
      <c r="P506" s="28" t="s">
        <v>41</v>
      </c>
      <c r="Q506" s="28" t="s">
        <v>79</v>
      </c>
      <c r="R506" s="30">
        <v>7.0078740157480315</v>
      </c>
      <c r="S506" s="30">
        <v>0.3125</v>
      </c>
      <c r="T506" s="30"/>
      <c r="U506" s="30">
        <v>0.3125</v>
      </c>
      <c r="V506" s="8">
        <f t="shared" si="413"/>
        <v>178</v>
      </c>
      <c r="W506" s="8">
        <f t="shared" si="414"/>
        <v>7.9375</v>
      </c>
      <c r="X506" s="8">
        <f t="shared" si="415"/>
        <v>0</v>
      </c>
      <c r="Y506" s="33">
        <f t="shared" si="416"/>
        <v>7.9375</v>
      </c>
      <c r="Z506" s="28" t="s">
        <v>80</v>
      </c>
      <c r="AA506" s="28" t="s">
        <v>81</v>
      </c>
      <c r="AB506" s="61" t="s">
        <v>79</v>
      </c>
      <c r="AC506" s="31" t="s">
        <v>82</v>
      </c>
      <c r="AD506" s="50">
        <f t="shared" si="417"/>
        <v>2</v>
      </c>
      <c r="AE506" s="31"/>
      <c r="AF506" s="51">
        <v>14</v>
      </c>
      <c r="AG506" s="51">
        <f t="shared" si="445"/>
        <v>8.4</v>
      </c>
      <c r="AH506" s="51">
        <f t="shared" si="410"/>
        <v>42</v>
      </c>
      <c r="AI506" s="52" t="s">
        <v>2497</v>
      </c>
      <c r="AJ506" s="52" t="s">
        <v>2498</v>
      </c>
      <c r="AK506" s="53">
        <f t="shared" si="446"/>
        <v>2.8257500000000001E-3</v>
      </c>
      <c r="AL506" s="54">
        <f t="shared" si="447"/>
        <v>0.11904761904761904</v>
      </c>
      <c r="AM506" s="54">
        <f t="shared" si="448"/>
        <v>2.3809523809523808E-2</v>
      </c>
      <c r="AN506" s="55">
        <f t="shared" si="449"/>
        <v>6.7279761904761909E-4</v>
      </c>
      <c r="AO506" s="55">
        <f t="shared" si="450"/>
        <v>1.345595238095238E-4</v>
      </c>
      <c r="AP506" s="53">
        <v>7.1</v>
      </c>
      <c r="AQ506" s="53">
        <f t="shared" si="418"/>
        <v>4.26</v>
      </c>
      <c r="AR506" s="53">
        <f t="shared" si="419"/>
        <v>21.299999999999997</v>
      </c>
      <c r="AS506" s="56">
        <f t="shared" si="420"/>
        <v>4.6948356807511742E-2</v>
      </c>
      <c r="AT506" s="56">
        <f t="shared" si="451"/>
        <v>0.23474178403755869</v>
      </c>
      <c r="AU506" s="56">
        <f t="shared" si="421"/>
        <v>0.176056338028169</v>
      </c>
      <c r="AV506" s="56">
        <f t="shared" si="452"/>
        <v>5.8685446009389672E-2</v>
      </c>
      <c r="AW506" s="57" t="s">
        <v>2511</v>
      </c>
      <c r="AX506" s="57" t="s">
        <v>2512</v>
      </c>
      <c r="AY506" s="57" t="s">
        <v>2513</v>
      </c>
      <c r="AZ506" s="58">
        <f t="shared" si="453"/>
        <v>2.8257500000000001E-3</v>
      </c>
      <c r="BA506" s="59">
        <f t="shared" si="456"/>
        <v>1.6583039906103287E-4</v>
      </c>
      <c r="BB506" s="59">
        <f t="shared" si="457"/>
        <v>4.974911971830986E-4</v>
      </c>
      <c r="BC506" s="59">
        <f t="shared" si="458"/>
        <v>1.326643192488263E-4</v>
      </c>
      <c r="BD506" s="60">
        <f t="shared" si="454"/>
        <v>6.8681318681318687E-4</v>
      </c>
      <c r="BE506" s="59">
        <f t="shared" si="455"/>
        <v>1.3736263736263737E-3</v>
      </c>
      <c r="BQ506" s="61">
        <v>3000</v>
      </c>
      <c r="BR506" s="61">
        <v>1200</v>
      </c>
      <c r="BS506" s="28">
        <f t="shared" si="422"/>
        <v>2980</v>
      </c>
      <c r="BT506" s="28">
        <f t="shared" si="423"/>
        <v>1180</v>
      </c>
      <c r="BU506" s="28" t="s">
        <v>2541</v>
      </c>
      <c r="BV506" s="28">
        <f t="shared" si="424"/>
        <v>183</v>
      </c>
      <c r="BW506" s="28">
        <f t="shared" si="425"/>
        <v>12.9375</v>
      </c>
      <c r="BX506" s="13">
        <f t="shared" si="426"/>
        <v>16.284153005464482</v>
      </c>
      <c r="BY506" s="13">
        <f t="shared" si="427"/>
        <v>16</v>
      </c>
      <c r="BZ506" s="13">
        <f t="shared" si="428"/>
        <v>91.207729468599027</v>
      </c>
      <c r="CA506" s="13">
        <f t="shared" si="429"/>
        <v>91</v>
      </c>
      <c r="CB506" s="13">
        <f t="shared" si="430"/>
        <v>1456</v>
      </c>
      <c r="CC506" s="62">
        <f t="shared" si="431"/>
        <v>6.8681318681318687E-4</v>
      </c>
      <c r="CD506" s="13">
        <f t="shared" si="432"/>
        <v>230.33816425120773</v>
      </c>
      <c r="CE506" s="13">
        <f t="shared" si="433"/>
        <v>230</v>
      </c>
      <c r="CF506" s="13">
        <f t="shared" si="434"/>
        <v>6.4480874316939891</v>
      </c>
      <c r="CG506" s="13">
        <f t="shared" si="435"/>
        <v>6</v>
      </c>
      <c r="CH506" s="28">
        <f t="shared" si="436"/>
        <v>1380</v>
      </c>
      <c r="CI506" s="62">
        <f t="shared" si="437"/>
        <v>7.246376811594203E-4</v>
      </c>
      <c r="CJ506" s="59">
        <f t="shared" si="438"/>
        <v>6.8681318681318687E-4</v>
      </c>
      <c r="CL506" s="63">
        <v>6000</v>
      </c>
      <c r="CM506" s="63">
        <f t="shared" si="439"/>
        <v>178</v>
      </c>
      <c r="CN506" s="63">
        <f t="shared" si="440"/>
        <v>183</v>
      </c>
      <c r="CO506" s="63">
        <f t="shared" si="441"/>
        <v>32.786885245901637</v>
      </c>
      <c r="CP506" s="13">
        <f t="shared" si="442"/>
        <v>32</v>
      </c>
      <c r="CQ506" s="70">
        <f t="shared" si="443"/>
        <v>3.125E-2</v>
      </c>
      <c r="CR506" s="69">
        <f t="shared" si="465"/>
        <v>6.25E-2</v>
      </c>
    </row>
    <row r="507" spans="1:96" hidden="1" x14ac:dyDescent="0.25">
      <c r="A507" s="10">
        <v>3</v>
      </c>
      <c r="B507" s="8" t="s">
        <v>1232</v>
      </c>
      <c r="C507" s="10" t="s">
        <v>1291</v>
      </c>
      <c r="D507" s="10" t="s">
        <v>2270</v>
      </c>
      <c r="E507" s="10" t="s">
        <v>32</v>
      </c>
      <c r="F507" s="12">
        <f t="shared" si="412"/>
        <v>1</v>
      </c>
      <c r="G507" s="10">
        <v>1</v>
      </c>
      <c r="H507" s="10">
        <f>G507*$H$484</f>
        <v>1</v>
      </c>
      <c r="I507" s="10">
        <v>20</v>
      </c>
      <c r="J507" s="8" t="s">
        <v>658</v>
      </c>
      <c r="K507" s="8" t="s">
        <v>34</v>
      </c>
      <c r="L507" s="10">
        <v>0</v>
      </c>
      <c r="M507" s="8" t="s">
        <v>35</v>
      </c>
      <c r="N507" s="10" t="s">
        <v>1292</v>
      </c>
      <c r="O507" s="28" t="s">
        <v>41</v>
      </c>
      <c r="P507" s="28" t="s">
        <v>41</v>
      </c>
      <c r="Q507" s="28"/>
      <c r="R507" s="30"/>
      <c r="S507" s="30"/>
      <c r="T507" s="30"/>
      <c r="U507" s="30"/>
      <c r="V507" s="8">
        <f t="shared" si="413"/>
        <v>0</v>
      </c>
      <c r="W507" s="8">
        <f t="shared" si="414"/>
        <v>0</v>
      </c>
      <c r="X507" s="8">
        <f t="shared" si="415"/>
        <v>0</v>
      </c>
      <c r="Y507" s="33">
        <f t="shared" si="416"/>
        <v>0</v>
      </c>
      <c r="Z507" s="28"/>
      <c r="AA507" s="28"/>
      <c r="AB507" s="28">
        <v>0</v>
      </c>
      <c r="AC507" s="31"/>
      <c r="AD507" s="50">
        <f t="shared" si="417"/>
        <v>1</v>
      </c>
      <c r="AE507" s="31"/>
      <c r="AF507" s="51">
        <v>14</v>
      </c>
      <c r="AG507" s="51">
        <f t="shared" si="445"/>
        <v>8.4</v>
      </c>
      <c r="AH507" s="51">
        <f t="shared" si="410"/>
        <v>42</v>
      </c>
      <c r="AI507" s="52" t="s">
        <v>2497</v>
      </c>
      <c r="AJ507" s="52" t="s">
        <v>2498</v>
      </c>
      <c r="AK507" s="53">
        <f t="shared" si="446"/>
        <v>0</v>
      </c>
      <c r="AL507" s="54">
        <f t="shared" si="447"/>
        <v>0.11904761904761904</v>
      </c>
      <c r="AM507" s="54">
        <f t="shared" si="448"/>
        <v>2.3809523809523808E-2</v>
      </c>
      <c r="AN507" s="55">
        <f t="shared" si="449"/>
        <v>0</v>
      </c>
      <c r="AO507" s="55">
        <f t="shared" si="450"/>
        <v>0</v>
      </c>
      <c r="AP507" s="53">
        <v>7.1</v>
      </c>
      <c r="AQ507" s="53">
        <f t="shared" si="418"/>
        <v>4.26</v>
      </c>
      <c r="AR507" s="53">
        <f t="shared" si="419"/>
        <v>21.299999999999997</v>
      </c>
      <c r="AS507" s="56">
        <f t="shared" si="420"/>
        <v>4.6948356807511742E-2</v>
      </c>
      <c r="AT507" s="56">
        <f t="shared" si="451"/>
        <v>0.23474178403755869</v>
      </c>
      <c r="AU507" s="56">
        <f t="shared" si="421"/>
        <v>0.176056338028169</v>
      </c>
      <c r="AV507" s="56">
        <f t="shared" si="452"/>
        <v>5.8685446009389672E-2</v>
      </c>
      <c r="AW507" s="57" t="s">
        <v>2511</v>
      </c>
      <c r="AX507" s="57" t="s">
        <v>2512</v>
      </c>
      <c r="AY507" s="57" t="s">
        <v>2513</v>
      </c>
      <c r="AZ507" s="58">
        <f t="shared" si="453"/>
        <v>0</v>
      </c>
      <c r="BA507" s="59">
        <f t="shared" si="456"/>
        <v>0</v>
      </c>
      <c r="BB507" s="59">
        <f t="shared" si="457"/>
        <v>0</v>
      </c>
      <c r="BC507" s="59">
        <f t="shared" si="458"/>
        <v>0</v>
      </c>
      <c r="BD507" s="60">
        <f t="shared" si="454"/>
        <v>0</v>
      </c>
      <c r="BE507" s="59">
        <f t="shared" si="455"/>
        <v>0</v>
      </c>
      <c r="BQ507" s="61">
        <v>3000</v>
      </c>
      <c r="BR507" s="61">
        <v>1200</v>
      </c>
      <c r="BS507" s="28">
        <f t="shared" si="422"/>
        <v>2980</v>
      </c>
      <c r="BT507" s="28">
        <f t="shared" si="423"/>
        <v>1180</v>
      </c>
      <c r="BU507" s="28" t="s">
        <v>2541</v>
      </c>
      <c r="BV507" s="28">
        <f t="shared" si="424"/>
        <v>5</v>
      </c>
      <c r="BW507" s="28">
        <f t="shared" si="425"/>
        <v>5</v>
      </c>
      <c r="BX507" s="13">
        <f t="shared" si="426"/>
        <v>596</v>
      </c>
      <c r="BY507" s="13">
        <f t="shared" si="427"/>
        <v>596</v>
      </c>
      <c r="BZ507" s="13">
        <f t="shared" si="428"/>
        <v>236</v>
      </c>
      <c r="CA507" s="13">
        <f t="shared" si="429"/>
        <v>236</v>
      </c>
      <c r="CB507" s="13">
        <f t="shared" si="430"/>
        <v>140656</v>
      </c>
      <c r="CC507" s="62" t="str">
        <f t="shared" si="431"/>
        <v/>
      </c>
      <c r="CD507" s="13">
        <f t="shared" si="432"/>
        <v>596</v>
      </c>
      <c r="CE507" s="13">
        <f t="shared" si="433"/>
        <v>596</v>
      </c>
      <c r="CF507" s="13">
        <f t="shared" si="434"/>
        <v>236</v>
      </c>
      <c r="CG507" s="13">
        <f t="shared" si="435"/>
        <v>236</v>
      </c>
      <c r="CH507" s="28">
        <f t="shared" si="436"/>
        <v>140656</v>
      </c>
      <c r="CI507" s="62" t="str">
        <f t="shared" si="437"/>
        <v/>
      </c>
      <c r="CJ507" s="59">
        <f t="shared" si="438"/>
        <v>0</v>
      </c>
      <c r="CL507" s="63">
        <v>6000</v>
      </c>
      <c r="CM507" s="63">
        <f t="shared" si="439"/>
        <v>0</v>
      </c>
      <c r="CN507" s="63">
        <f t="shared" si="440"/>
        <v>5</v>
      </c>
      <c r="CO507" s="63">
        <f t="shared" si="441"/>
        <v>1200</v>
      </c>
      <c r="CP507" s="13">
        <f t="shared" si="442"/>
        <v>1200</v>
      </c>
      <c r="CQ507" s="70">
        <f t="shared" si="443"/>
        <v>8.3333333333333339E-4</v>
      </c>
      <c r="CR507" s="69">
        <f t="shared" si="465"/>
        <v>8.3333333333333339E-4</v>
      </c>
    </row>
    <row r="508" spans="1:96" hidden="1" x14ac:dyDescent="0.25">
      <c r="A508" s="13">
        <v>4</v>
      </c>
      <c r="B508" s="14" t="s">
        <v>1293</v>
      </c>
      <c r="C508" s="13" t="s">
        <v>1294</v>
      </c>
      <c r="D508" s="13" t="s">
        <v>2270</v>
      </c>
      <c r="E508" s="13" t="s">
        <v>52</v>
      </c>
      <c r="F508" s="15">
        <f t="shared" si="412"/>
        <v>1</v>
      </c>
      <c r="G508" s="13">
        <v>1</v>
      </c>
      <c r="H508" s="13">
        <f>G508*$H$507</f>
        <v>1</v>
      </c>
      <c r="I508" s="13">
        <v>1</v>
      </c>
      <c r="J508" s="14" t="s">
        <v>662</v>
      </c>
      <c r="K508" s="14" t="s">
        <v>34</v>
      </c>
      <c r="L508" s="13">
        <v>0</v>
      </c>
      <c r="M508" s="14" t="s">
        <v>35</v>
      </c>
      <c r="N508" s="13" t="s">
        <v>1295</v>
      </c>
      <c r="O508" s="28" t="s">
        <v>41</v>
      </c>
      <c r="P508" s="28" t="s">
        <v>41</v>
      </c>
      <c r="Q508" s="28" t="s">
        <v>116</v>
      </c>
      <c r="R508" s="30">
        <v>58.694000000000003</v>
      </c>
      <c r="S508" s="30">
        <v>20.535</v>
      </c>
      <c r="T508" s="30"/>
      <c r="U508" s="30">
        <v>0.11799999999999999</v>
      </c>
      <c r="V508" s="8">
        <f t="shared" si="413"/>
        <v>1490.8276000000001</v>
      </c>
      <c r="W508" s="8">
        <f t="shared" si="414"/>
        <v>521.58899999999994</v>
      </c>
      <c r="X508" s="8">
        <f t="shared" si="415"/>
        <v>0</v>
      </c>
      <c r="Y508" s="33">
        <f t="shared" si="416"/>
        <v>2.9971999999999999</v>
      </c>
      <c r="Z508" s="28" t="s">
        <v>56</v>
      </c>
      <c r="AA508" s="28" t="s">
        <v>57</v>
      </c>
      <c r="AB508" s="28" t="s">
        <v>116</v>
      </c>
      <c r="AC508" s="31" t="s">
        <v>117</v>
      </c>
      <c r="AD508" s="50">
        <f t="shared" si="417"/>
        <v>1</v>
      </c>
      <c r="AE508" s="31"/>
      <c r="AF508" s="51">
        <v>14</v>
      </c>
      <c r="AG508" s="51">
        <f t="shared" si="445"/>
        <v>8.4</v>
      </c>
      <c r="AH508" s="51">
        <f t="shared" si="410"/>
        <v>42</v>
      </c>
      <c r="AI508" s="52" t="s">
        <v>2497</v>
      </c>
      <c r="AJ508" s="52" t="s">
        <v>2498</v>
      </c>
      <c r="AK508" s="53">
        <f t="shared" si="446"/>
        <v>1.5551985541127999</v>
      </c>
      <c r="AL508" s="54">
        <f t="shared" si="447"/>
        <v>0.11904761904761904</v>
      </c>
      <c r="AM508" s="54">
        <f t="shared" si="448"/>
        <v>2.3809523809523808E-2</v>
      </c>
      <c r="AN508" s="55">
        <f t="shared" si="449"/>
        <v>0.18514268501342857</v>
      </c>
      <c r="AO508" s="55">
        <f t="shared" si="450"/>
        <v>3.7028537002685713E-2</v>
      </c>
      <c r="AP508" s="53">
        <v>7.1</v>
      </c>
      <c r="AQ508" s="53">
        <f t="shared" si="418"/>
        <v>4.26</v>
      </c>
      <c r="AR508" s="53">
        <f t="shared" si="419"/>
        <v>21.299999999999997</v>
      </c>
      <c r="AS508" s="56">
        <f t="shared" si="420"/>
        <v>4.6948356807511742E-2</v>
      </c>
      <c r="AT508" s="56">
        <f t="shared" si="451"/>
        <v>0.23474178403755869</v>
      </c>
      <c r="AU508" s="56">
        <f t="shared" si="421"/>
        <v>0.176056338028169</v>
      </c>
      <c r="AV508" s="56">
        <f t="shared" si="452"/>
        <v>5.8685446009389672E-2</v>
      </c>
      <c r="AW508" s="57" t="s">
        <v>2511</v>
      </c>
      <c r="AX508" s="57" t="s">
        <v>2512</v>
      </c>
      <c r="AY508" s="57" t="s">
        <v>2513</v>
      </c>
      <c r="AZ508" s="58">
        <f t="shared" si="453"/>
        <v>1.5551985541127999</v>
      </c>
      <c r="BA508" s="59">
        <f t="shared" si="456"/>
        <v>4.5633760390633799E-2</v>
      </c>
      <c r="BB508" s="59">
        <f t="shared" si="457"/>
        <v>0.1369012811719014</v>
      </c>
      <c r="BC508" s="59">
        <f t="shared" si="458"/>
        <v>3.6507008312507042E-2</v>
      </c>
      <c r="BD508" s="60">
        <f t="shared" si="454"/>
        <v>0.5</v>
      </c>
      <c r="BE508" s="59">
        <f t="shared" si="455"/>
        <v>0.5</v>
      </c>
      <c r="BQ508" s="61">
        <v>3000</v>
      </c>
      <c r="BR508" s="61">
        <v>1200</v>
      </c>
      <c r="BS508" s="28">
        <f t="shared" si="422"/>
        <v>2980</v>
      </c>
      <c r="BT508" s="28">
        <f t="shared" si="423"/>
        <v>1180</v>
      </c>
      <c r="BU508" s="28" t="s">
        <v>2541</v>
      </c>
      <c r="BV508" s="28">
        <f t="shared" si="424"/>
        <v>1495.8276000000001</v>
      </c>
      <c r="BW508" s="28">
        <f t="shared" si="425"/>
        <v>526.58899999999994</v>
      </c>
      <c r="BX508" s="13">
        <f t="shared" si="426"/>
        <v>1.9922081929762494</v>
      </c>
      <c r="BY508" s="13">
        <f t="shared" si="427"/>
        <v>1</v>
      </c>
      <c r="BZ508" s="13">
        <f t="shared" si="428"/>
        <v>2.2408367816266579</v>
      </c>
      <c r="CA508" s="13">
        <f t="shared" si="429"/>
        <v>2</v>
      </c>
      <c r="CB508" s="13">
        <f t="shared" si="430"/>
        <v>2</v>
      </c>
      <c r="CC508" s="62">
        <f t="shared" si="431"/>
        <v>0.5</v>
      </c>
      <c r="CD508" s="13">
        <f t="shared" si="432"/>
        <v>5.6590623807181695</v>
      </c>
      <c r="CE508" s="13">
        <f t="shared" si="433"/>
        <v>5</v>
      </c>
      <c r="CF508" s="13">
        <f t="shared" si="434"/>
        <v>0.78886096231945446</v>
      </c>
      <c r="CG508" s="13">
        <f t="shared" si="435"/>
        <v>0</v>
      </c>
      <c r="CH508" s="28">
        <f t="shared" si="436"/>
        <v>0</v>
      </c>
      <c r="CI508" s="62">
        <f t="shared" si="437"/>
        <v>1</v>
      </c>
      <c r="CJ508" s="59">
        <f t="shared" si="438"/>
        <v>0.5</v>
      </c>
      <c r="CL508" s="63">
        <v>6000</v>
      </c>
      <c r="CM508" s="63">
        <f t="shared" si="439"/>
        <v>1490.8276000000001</v>
      </c>
      <c r="CN508" s="63">
        <f t="shared" si="440"/>
        <v>1495.8276000000001</v>
      </c>
      <c r="CO508" s="63">
        <f t="shared" si="441"/>
        <v>4.0111574355226498</v>
      </c>
      <c r="CP508" s="13">
        <f t="shared" si="442"/>
        <v>4</v>
      </c>
      <c r="CQ508" s="70">
        <f t="shared" si="443"/>
        <v>0.25</v>
      </c>
      <c r="CR508" s="69">
        <f t="shared" si="465"/>
        <v>0.25</v>
      </c>
    </row>
    <row r="509" spans="1:96" hidden="1" x14ac:dyDescent="0.25">
      <c r="A509" s="13">
        <v>4</v>
      </c>
      <c r="B509" s="14" t="s">
        <v>1293</v>
      </c>
      <c r="C509" s="13" t="s">
        <v>59</v>
      </c>
      <c r="D509" s="13" t="s">
        <v>61</v>
      </c>
      <c r="E509" s="13" t="s">
        <v>52</v>
      </c>
      <c r="F509" s="15">
        <f t="shared" si="412"/>
        <v>19</v>
      </c>
      <c r="G509" s="13">
        <v>3</v>
      </c>
      <c r="H509" s="13">
        <f t="shared" ref="H509:H512" si="468">G509*$H$507</f>
        <v>3</v>
      </c>
      <c r="I509" s="13">
        <v>2</v>
      </c>
      <c r="J509" s="14" t="s">
        <v>60</v>
      </c>
      <c r="K509" s="14" t="s">
        <v>34</v>
      </c>
      <c r="L509" s="13">
        <v>0</v>
      </c>
      <c r="M509" s="14" t="s">
        <v>35</v>
      </c>
      <c r="N509" s="13" t="s">
        <v>61</v>
      </c>
      <c r="O509" s="28" t="s">
        <v>41</v>
      </c>
      <c r="P509" s="28" t="s">
        <v>41</v>
      </c>
      <c r="Q509" s="28" t="s">
        <v>61</v>
      </c>
      <c r="R509" s="30"/>
      <c r="S509" s="30"/>
      <c r="T509" s="30"/>
      <c r="U509" s="30"/>
      <c r="V509" s="8">
        <f t="shared" si="413"/>
        <v>0</v>
      </c>
      <c r="W509" s="8">
        <f t="shared" si="414"/>
        <v>0</v>
      </c>
      <c r="X509" s="8">
        <f t="shared" si="415"/>
        <v>0</v>
      </c>
      <c r="Y509" s="33">
        <f t="shared" si="416"/>
        <v>0</v>
      </c>
      <c r="Z509" s="28"/>
      <c r="AA509" s="28"/>
      <c r="AB509" s="61" t="s">
        <v>61</v>
      </c>
      <c r="AC509" s="31" t="s">
        <v>62</v>
      </c>
      <c r="AD509" s="50">
        <f t="shared" si="417"/>
        <v>3</v>
      </c>
      <c r="AE509" s="31"/>
      <c r="AF509" s="51">
        <v>14</v>
      </c>
      <c r="AG509" s="51">
        <f t="shared" si="445"/>
        <v>8.4</v>
      </c>
      <c r="AH509" s="51">
        <f t="shared" si="410"/>
        <v>42</v>
      </c>
      <c r="AI509" s="52" t="s">
        <v>2497</v>
      </c>
      <c r="AJ509" s="52" t="s">
        <v>2498</v>
      </c>
      <c r="AK509" s="53">
        <f t="shared" si="446"/>
        <v>0</v>
      </c>
      <c r="AL509" s="54">
        <f t="shared" si="447"/>
        <v>0.11904761904761904</v>
      </c>
      <c r="AM509" s="54">
        <f t="shared" si="448"/>
        <v>2.3809523809523808E-2</v>
      </c>
      <c r="AN509" s="55">
        <f t="shared" si="449"/>
        <v>0</v>
      </c>
      <c r="AO509" s="55">
        <f t="shared" si="450"/>
        <v>0</v>
      </c>
      <c r="AP509" s="53">
        <v>7.1</v>
      </c>
      <c r="AQ509" s="53">
        <f t="shared" si="418"/>
        <v>4.26</v>
      </c>
      <c r="AR509" s="53">
        <f t="shared" si="419"/>
        <v>21.299999999999997</v>
      </c>
      <c r="AS509" s="56">
        <f t="shared" si="420"/>
        <v>4.6948356807511742E-2</v>
      </c>
      <c r="AT509" s="56">
        <f t="shared" si="451"/>
        <v>0.23474178403755869</v>
      </c>
      <c r="AU509" s="56">
        <f t="shared" si="421"/>
        <v>0.176056338028169</v>
      </c>
      <c r="AV509" s="56">
        <f t="shared" si="452"/>
        <v>5.8685446009389672E-2</v>
      </c>
      <c r="AW509" s="57" t="s">
        <v>2511</v>
      </c>
      <c r="AX509" s="57" t="s">
        <v>2512</v>
      </c>
      <c r="AY509" s="57" t="s">
        <v>2513</v>
      </c>
      <c r="AZ509" s="58">
        <f t="shared" si="453"/>
        <v>0</v>
      </c>
      <c r="BA509" s="59">
        <f t="shared" si="456"/>
        <v>0</v>
      </c>
      <c r="BB509" s="59">
        <f t="shared" si="457"/>
        <v>0</v>
      </c>
      <c r="BC509" s="59">
        <f t="shared" si="458"/>
        <v>0</v>
      </c>
      <c r="BD509" s="60">
        <f t="shared" si="454"/>
        <v>7.1095438516664771E-6</v>
      </c>
      <c r="BE509" s="59">
        <f t="shared" si="455"/>
        <v>2.1328631554999432E-5</v>
      </c>
      <c r="BQ509" s="61">
        <v>3000</v>
      </c>
      <c r="BR509" s="61">
        <v>1200</v>
      </c>
      <c r="BS509" s="28">
        <f t="shared" si="422"/>
        <v>2980</v>
      </c>
      <c r="BT509" s="28">
        <f t="shared" si="423"/>
        <v>1180</v>
      </c>
      <c r="BU509" s="28" t="s">
        <v>2541</v>
      </c>
      <c r="BV509" s="28">
        <f t="shared" si="424"/>
        <v>5</v>
      </c>
      <c r="BW509" s="28">
        <f t="shared" si="425"/>
        <v>5</v>
      </c>
      <c r="BX509" s="13">
        <f t="shared" si="426"/>
        <v>596</v>
      </c>
      <c r="BY509" s="13">
        <f t="shared" si="427"/>
        <v>596</v>
      </c>
      <c r="BZ509" s="13">
        <f t="shared" si="428"/>
        <v>236</v>
      </c>
      <c r="CA509" s="13">
        <f t="shared" si="429"/>
        <v>236</v>
      </c>
      <c r="CB509" s="13">
        <f t="shared" si="430"/>
        <v>140656</v>
      </c>
      <c r="CC509" s="62">
        <f t="shared" si="431"/>
        <v>7.1095438516664771E-6</v>
      </c>
      <c r="CD509" s="13">
        <f t="shared" si="432"/>
        <v>596</v>
      </c>
      <c r="CE509" s="13">
        <f t="shared" si="433"/>
        <v>596</v>
      </c>
      <c r="CF509" s="13">
        <f t="shared" si="434"/>
        <v>236</v>
      </c>
      <c r="CG509" s="13">
        <f t="shared" si="435"/>
        <v>236</v>
      </c>
      <c r="CH509" s="28">
        <f t="shared" si="436"/>
        <v>140656</v>
      </c>
      <c r="CI509" s="62">
        <f t="shared" si="437"/>
        <v>7.1095438516664771E-6</v>
      </c>
      <c r="CJ509" s="59">
        <f t="shared" si="438"/>
        <v>7.1095438516664771E-6</v>
      </c>
      <c r="CL509" s="63">
        <v>6000</v>
      </c>
      <c r="CM509" s="63">
        <f t="shared" si="439"/>
        <v>0</v>
      </c>
      <c r="CN509" s="63">
        <f t="shared" si="440"/>
        <v>5</v>
      </c>
      <c r="CO509" s="63">
        <f t="shared" si="441"/>
        <v>1200</v>
      </c>
      <c r="CP509" s="13">
        <f t="shared" si="442"/>
        <v>1200</v>
      </c>
      <c r="CQ509" s="70">
        <f t="shared" si="443"/>
        <v>8.3333333333333339E-4</v>
      </c>
      <c r="CR509" s="69">
        <f t="shared" si="465"/>
        <v>2.5000000000000001E-3</v>
      </c>
    </row>
    <row r="510" spans="1:96" hidden="1" x14ac:dyDescent="0.25">
      <c r="A510" s="13">
        <v>4</v>
      </c>
      <c r="B510" s="14" t="s">
        <v>1293</v>
      </c>
      <c r="C510" s="13" t="s">
        <v>67</v>
      </c>
      <c r="D510" s="13" t="s">
        <v>69</v>
      </c>
      <c r="E510" s="13" t="s">
        <v>52</v>
      </c>
      <c r="F510" s="15">
        <f t="shared" si="412"/>
        <v>4</v>
      </c>
      <c r="G510" s="13">
        <v>6</v>
      </c>
      <c r="H510" s="13">
        <f t="shared" si="468"/>
        <v>6</v>
      </c>
      <c r="I510" s="13">
        <v>3</v>
      </c>
      <c r="J510" s="14" t="s">
        <v>68</v>
      </c>
      <c r="K510" s="14" t="s">
        <v>34</v>
      </c>
      <c r="L510" s="13">
        <v>0</v>
      </c>
      <c r="M510" s="14" t="s">
        <v>35</v>
      </c>
      <c r="N510" s="13" t="s">
        <v>69</v>
      </c>
      <c r="O510" s="28" t="s">
        <v>41</v>
      </c>
      <c r="P510" s="28" t="s">
        <v>41</v>
      </c>
      <c r="Q510" s="28" t="s">
        <v>69</v>
      </c>
      <c r="R510" s="30"/>
      <c r="S510" s="30"/>
      <c r="T510" s="30"/>
      <c r="U510" s="30"/>
      <c r="V510" s="8">
        <f t="shared" si="413"/>
        <v>0</v>
      </c>
      <c r="W510" s="8">
        <f t="shared" si="414"/>
        <v>0</v>
      </c>
      <c r="X510" s="8">
        <f t="shared" si="415"/>
        <v>0</v>
      </c>
      <c r="Y510" s="33">
        <f t="shared" si="416"/>
        <v>0</v>
      </c>
      <c r="Z510" s="28"/>
      <c r="AA510" s="28"/>
      <c r="AB510" s="61" t="s">
        <v>69</v>
      </c>
      <c r="AC510" s="31" t="s">
        <v>70</v>
      </c>
      <c r="AD510" s="50">
        <f t="shared" si="417"/>
        <v>6</v>
      </c>
      <c r="AE510" s="31"/>
      <c r="AF510" s="51">
        <v>14</v>
      </c>
      <c r="AG510" s="51">
        <f t="shared" si="445"/>
        <v>8.4</v>
      </c>
      <c r="AH510" s="51">
        <f t="shared" si="410"/>
        <v>42</v>
      </c>
      <c r="AI510" s="52" t="s">
        <v>2497</v>
      </c>
      <c r="AJ510" s="52" t="s">
        <v>2498</v>
      </c>
      <c r="AK510" s="53">
        <f t="shared" si="446"/>
        <v>0</v>
      </c>
      <c r="AL510" s="54">
        <f t="shared" si="447"/>
        <v>0.11904761904761904</v>
      </c>
      <c r="AM510" s="54">
        <f t="shared" si="448"/>
        <v>2.3809523809523808E-2</v>
      </c>
      <c r="AN510" s="55">
        <f t="shared" si="449"/>
        <v>0</v>
      </c>
      <c r="AO510" s="55">
        <f t="shared" si="450"/>
        <v>0</v>
      </c>
      <c r="AP510" s="53">
        <v>7.1</v>
      </c>
      <c r="AQ510" s="53">
        <f t="shared" si="418"/>
        <v>4.26</v>
      </c>
      <c r="AR510" s="53">
        <f t="shared" si="419"/>
        <v>21.299999999999997</v>
      </c>
      <c r="AS510" s="56">
        <f t="shared" si="420"/>
        <v>4.6948356807511742E-2</v>
      </c>
      <c r="AT510" s="56">
        <f t="shared" si="451"/>
        <v>0.23474178403755869</v>
      </c>
      <c r="AU510" s="56">
        <f t="shared" si="421"/>
        <v>0.176056338028169</v>
      </c>
      <c r="AV510" s="56">
        <f t="shared" si="452"/>
        <v>5.8685446009389672E-2</v>
      </c>
      <c r="AW510" s="57" t="s">
        <v>2511</v>
      </c>
      <c r="AX510" s="57" t="s">
        <v>2512</v>
      </c>
      <c r="AY510" s="57" t="s">
        <v>2513</v>
      </c>
      <c r="AZ510" s="58">
        <f t="shared" si="453"/>
        <v>0</v>
      </c>
      <c r="BA510" s="59">
        <f t="shared" si="456"/>
        <v>0</v>
      </c>
      <c r="BB510" s="59">
        <f t="shared" si="457"/>
        <v>0</v>
      </c>
      <c r="BC510" s="59">
        <f t="shared" si="458"/>
        <v>0</v>
      </c>
      <c r="BD510" s="60">
        <f t="shared" si="454"/>
        <v>7.1095438516664771E-6</v>
      </c>
      <c r="BE510" s="59">
        <f t="shared" si="455"/>
        <v>4.2657263109998864E-5</v>
      </c>
      <c r="BQ510" s="61">
        <v>3000</v>
      </c>
      <c r="BR510" s="61">
        <v>1200</v>
      </c>
      <c r="BS510" s="28">
        <f t="shared" si="422"/>
        <v>2980</v>
      </c>
      <c r="BT510" s="28">
        <f t="shared" si="423"/>
        <v>1180</v>
      </c>
      <c r="BU510" s="28" t="s">
        <v>2541</v>
      </c>
      <c r="BV510" s="28">
        <f t="shared" si="424"/>
        <v>5</v>
      </c>
      <c r="BW510" s="28">
        <f t="shared" si="425"/>
        <v>5</v>
      </c>
      <c r="BX510" s="13">
        <f t="shared" si="426"/>
        <v>596</v>
      </c>
      <c r="BY510" s="13">
        <f t="shared" si="427"/>
        <v>596</v>
      </c>
      <c r="BZ510" s="13">
        <f t="shared" si="428"/>
        <v>236</v>
      </c>
      <c r="CA510" s="13">
        <f t="shared" si="429"/>
        <v>236</v>
      </c>
      <c r="CB510" s="13">
        <f t="shared" si="430"/>
        <v>140656</v>
      </c>
      <c r="CC510" s="62">
        <f t="shared" si="431"/>
        <v>7.1095438516664771E-6</v>
      </c>
      <c r="CD510" s="13">
        <f t="shared" si="432"/>
        <v>596</v>
      </c>
      <c r="CE510" s="13">
        <f t="shared" si="433"/>
        <v>596</v>
      </c>
      <c r="CF510" s="13">
        <f t="shared" si="434"/>
        <v>236</v>
      </c>
      <c r="CG510" s="13">
        <f t="shared" si="435"/>
        <v>236</v>
      </c>
      <c r="CH510" s="28">
        <f t="shared" si="436"/>
        <v>140656</v>
      </c>
      <c r="CI510" s="62">
        <f t="shared" si="437"/>
        <v>7.1095438516664771E-6</v>
      </c>
      <c r="CJ510" s="59">
        <f t="shared" si="438"/>
        <v>7.1095438516664771E-6</v>
      </c>
      <c r="CL510" s="63">
        <v>6000</v>
      </c>
      <c r="CM510" s="63">
        <f t="shared" si="439"/>
        <v>0</v>
      </c>
      <c r="CN510" s="63">
        <f t="shared" si="440"/>
        <v>5</v>
      </c>
      <c r="CO510" s="63">
        <f t="shared" si="441"/>
        <v>1200</v>
      </c>
      <c r="CP510" s="13">
        <f t="shared" si="442"/>
        <v>1200</v>
      </c>
      <c r="CQ510" s="70">
        <f t="shared" si="443"/>
        <v>8.3333333333333339E-4</v>
      </c>
      <c r="CR510" s="69">
        <f t="shared" si="465"/>
        <v>5.0000000000000001E-3</v>
      </c>
    </row>
    <row r="511" spans="1:96" hidden="1" x14ac:dyDescent="0.25">
      <c r="A511" s="13">
        <v>4</v>
      </c>
      <c r="B511" s="14" t="s">
        <v>1293</v>
      </c>
      <c r="C511" s="13" t="s">
        <v>1296</v>
      </c>
      <c r="D511" s="13" t="s">
        <v>1298</v>
      </c>
      <c r="E511" s="13" t="s">
        <v>52</v>
      </c>
      <c r="F511" s="15">
        <f t="shared" si="412"/>
        <v>1</v>
      </c>
      <c r="G511" s="13">
        <v>4</v>
      </c>
      <c r="H511" s="13">
        <f t="shared" si="468"/>
        <v>4</v>
      </c>
      <c r="I511" s="13">
        <v>4</v>
      </c>
      <c r="J511" s="14" t="s">
        <v>1297</v>
      </c>
      <c r="K511" s="14" t="s">
        <v>34</v>
      </c>
      <c r="L511" s="13">
        <v>0</v>
      </c>
      <c r="M511" s="14" t="s">
        <v>35</v>
      </c>
      <c r="N511" s="13" t="s">
        <v>1298</v>
      </c>
      <c r="O511" s="28" t="s">
        <v>41</v>
      </c>
      <c r="P511" s="28" t="s">
        <v>41</v>
      </c>
      <c r="Q511" s="28" t="s">
        <v>1298</v>
      </c>
      <c r="R511" s="30"/>
      <c r="S511" s="30"/>
      <c r="T511" s="30"/>
      <c r="U511" s="30"/>
      <c r="V511" s="8">
        <f t="shared" si="413"/>
        <v>0</v>
      </c>
      <c r="W511" s="8">
        <f t="shared" si="414"/>
        <v>0</v>
      </c>
      <c r="X511" s="8">
        <f t="shared" si="415"/>
        <v>0</v>
      </c>
      <c r="Y511" s="33">
        <f t="shared" si="416"/>
        <v>0</v>
      </c>
      <c r="Z511" s="28"/>
      <c r="AA511" s="28"/>
      <c r="AB511" s="61" t="s">
        <v>1298</v>
      </c>
      <c r="AC511" s="31" t="s">
        <v>1299</v>
      </c>
      <c r="AD511" s="50">
        <f t="shared" si="417"/>
        <v>4</v>
      </c>
      <c r="AE511" s="31"/>
      <c r="AF511" s="51">
        <v>14</v>
      </c>
      <c r="AG511" s="51">
        <f t="shared" si="445"/>
        <v>8.4</v>
      </c>
      <c r="AH511" s="51">
        <f t="shared" si="410"/>
        <v>42</v>
      </c>
      <c r="AI511" s="52" t="s">
        <v>2497</v>
      </c>
      <c r="AJ511" s="52" t="s">
        <v>2498</v>
      </c>
      <c r="AK511" s="53">
        <f t="shared" si="446"/>
        <v>0</v>
      </c>
      <c r="AL511" s="54">
        <f t="shared" si="447"/>
        <v>0.11904761904761904</v>
      </c>
      <c r="AM511" s="54">
        <f t="shared" si="448"/>
        <v>2.3809523809523808E-2</v>
      </c>
      <c r="AN511" s="55">
        <f t="shared" si="449"/>
        <v>0</v>
      </c>
      <c r="AO511" s="55">
        <f t="shared" si="450"/>
        <v>0</v>
      </c>
      <c r="AP511" s="53">
        <v>7.1</v>
      </c>
      <c r="AQ511" s="53">
        <f t="shared" si="418"/>
        <v>4.26</v>
      </c>
      <c r="AR511" s="53">
        <f t="shared" si="419"/>
        <v>21.299999999999997</v>
      </c>
      <c r="AS511" s="56">
        <f t="shared" si="420"/>
        <v>4.6948356807511742E-2</v>
      </c>
      <c r="AT511" s="56">
        <f t="shared" si="451"/>
        <v>0.23474178403755869</v>
      </c>
      <c r="AU511" s="56">
        <f t="shared" si="421"/>
        <v>0.176056338028169</v>
      </c>
      <c r="AV511" s="56">
        <f t="shared" si="452"/>
        <v>5.8685446009389672E-2</v>
      </c>
      <c r="AW511" s="57" t="s">
        <v>2511</v>
      </c>
      <c r="AX511" s="57" t="s">
        <v>2512</v>
      </c>
      <c r="AY511" s="57" t="s">
        <v>2513</v>
      </c>
      <c r="AZ511" s="58">
        <f t="shared" si="453"/>
        <v>0</v>
      </c>
      <c r="BA511" s="59">
        <f t="shared" si="456"/>
        <v>0</v>
      </c>
      <c r="BB511" s="59">
        <f t="shared" si="457"/>
        <v>0</v>
      </c>
      <c r="BC511" s="59">
        <f t="shared" si="458"/>
        <v>0</v>
      </c>
      <c r="BD511" s="60">
        <f t="shared" si="454"/>
        <v>7.1095438516664771E-6</v>
      </c>
      <c r="BE511" s="59">
        <f t="shared" si="455"/>
        <v>2.8438175406665908E-5</v>
      </c>
      <c r="BQ511" s="61">
        <v>3000</v>
      </c>
      <c r="BR511" s="61">
        <v>1200</v>
      </c>
      <c r="BS511" s="28">
        <f t="shared" si="422"/>
        <v>2980</v>
      </c>
      <c r="BT511" s="28">
        <f t="shared" si="423"/>
        <v>1180</v>
      </c>
      <c r="BU511" s="28" t="s">
        <v>2541</v>
      </c>
      <c r="BV511" s="28">
        <f t="shared" si="424"/>
        <v>5</v>
      </c>
      <c r="BW511" s="28">
        <f t="shared" si="425"/>
        <v>5</v>
      </c>
      <c r="BX511" s="13">
        <f t="shared" si="426"/>
        <v>596</v>
      </c>
      <c r="BY511" s="13">
        <f t="shared" si="427"/>
        <v>596</v>
      </c>
      <c r="BZ511" s="13">
        <f t="shared" si="428"/>
        <v>236</v>
      </c>
      <c r="CA511" s="13">
        <f t="shared" si="429"/>
        <v>236</v>
      </c>
      <c r="CB511" s="13">
        <f t="shared" si="430"/>
        <v>140656</v>
      </c>
      <c r="CC511" s="62">
        <f t="shared" si="431"/>
        <v>7.1095438516664771E-6</v>
      </c>
      <c r="CD511" s="13">
        <f t="shared" si="432"/>
        <v>596</v>
      </c>
      <c r="CE511" s="13">
        <f t="shared" si="433"/>
        <v>596</v>
      </c>
      <c r="CF511" s="13">
        <f t="shared" si="434"/>
        <v>236</v>
      </c>
      <c r="CG511" s="13">
        <f t="shared" si="435"/>
        <v>236</v>
      </c>
      <c r="CH511" s="28">
        <f t="shared" si="436"/>
        <v>140656</v>
      </c>
      <c r="CI511" s="62">
        <f t="shared" si="437"/>
        <v>7.1095438516664771E-6</v>
      </c>
      <c r="CJ511" s="59">
        <f t="shared" si="438"/>
        <v>7.1095438516664771E-6</v>
      </c>
      <c r="CL511" s="63">
        <v>6000</v>
      </c>
      <c r="CM511" s="63">
        <f t="shared" si="439"/>
        <v>0</v>
      </c>
      <c r="CN511" s="63">
        <f t="shared" si="440"/>
        <v>5</v>
      </c>
      <c r="CO511" s="63">
        <f t="shared" si="441"/>
        <v>1200</v>
      </c>
      <c r="CP511" s="13">
        <f t="shared" si="442"/>
        <v>1200</v>
      </c>
      <c r="CQ511" s="70">
        <f t="shared" si="443"/>
        <v>8.3333333333333339E-4</v>
      </c>
      <c r="CR511" s="69">
        <f t="shared" si="465"/>
        <v>3.3333333333333335E-3</v>
      </c>
    </row>
    <row r="512" spans="1:96" hidden="1" x14ac:dyDescent="0.25">
      <c r="A512" s="13">
        <v>4</v>
      </c>
      <c r="B512" s="14" t="s">
        <v>1293</v>
      </c>
      <c r="C512" s="13" t="s">
        <v>1300</v>
      </c>
      <c r="D512" s="13" t="s">
        <v>2270</v>
      </c>
      <c r="E512" s="13" t="s">
        <v>52</v>
      </c>
      <c r="F512" s="15">
        <f t="shared" si="412"/>
        <v>1</v>
      </c>
      <c r="G512" s="13">
        <v>2</v>
      </c>
      <c r="H512" s="13">
        <f t="shared" si="468"/>
        <v>2</v>
      </c>
      <c r="I512" s="13">
        <v>5</v>
      </c>
      <c r="J512" s="14" t="s">
        <v>1301</v>
      </c>
      <c r="K512" s="14" t="s">
        <v>34</v>
      </c>
      <c r="L512" s="13">
        <v>0</v>
      </c>
      <c r="M512" s="14" t="s">
        <v>35</v>
      </c>
      <c r="N512" s="13" t="s">
        <v>1302</v>
      </c>
      <c r="O512" s="28" t="s">
        <v>41</v>
      </c>
      <c r="P512" s="28" t="s">
        <v>41</v>
      </c>
      <c r="Q512" s="28" t="s">
        <v>1302</v>
      </c>
      <c r="R512" s="30"/>
      <c r="S512" s="30"/>
      <c r="T512" s="30"/>
      <c r="U512" s="30"/>
      <c r="V512" s="8">
        <f t="shared" si="413"/>
        <v>0</v>
      </c>
      <c r="W512" s="8">
        <f t="shared" si="414"/>
        <v>0</v>
      </c>
      <c r="X512" s="8">
        <f t="shared" si="415"/>
        <v>0</v>
      </c>
      <c r="Y512" s="33">
        <f t="shared" si="416"/>
        <v>0</v>
      </c>
      <c r="Z512" s="28"/>
      <c r="AA512" s="28"/>
      <c r="AB512" s="61" t="s">
        <v>1302</v>
      </c>
      <c r="AC512" s="31" t="s">
        <v>1303</v>
      </c>
      <c r="AD512" s="50">
        <f t="shared" si="417"/>
        <v>2</v>
      </c>
      <c r="AE512" s="31"/>
      <c r="AF512" s="51">
        <v>14</v>
      </c>
      <c r="AG512" s="51">
        <f t="shared" si="445"/>
        <v>8.4</v>
      </c>
      <c r="AH512" s="51">
        <f t="shared" si="410"/>
        <v>42</v>
      </c>
      <c r="AI512" s="52" t="s">
        <v>2497</v>
      </c>
      <c r="AJ512" s="52" t="s">
        <v>2498</v>
      </c>
      <c r="AK512" s="53">
        <f t="shared" si="446"/>
        <v>0</v>
      </c>
      <c r="AL512" s="54">
        <f t="shared" si="447"/>
        <v>0.11904761904761904</v>
      </c>
      <c r="AM512" s="54">
        <f t="shared" si="448"/>
        <v>2.3809523809523808E-2</v>
      </c>
      <c r="AN512" s="55">
        <f t="shared" si="449"/>
        <v>0</v>
      </c>
      <c r="AO512" s="55">
        <f t="shared" si="450"/>
        <v>0</v>
      </c>
      <c r="AP512" s="53">
        <v>7.1</v>
      </c>
      <c r="AQ512" s="53">
        <f t="shared" si="418"/>
        <v>4.26</v>
      </c>
      <c r="AR512" s="53">
        <f t="shared" si="419"/>
        <v>21.299999999999997</v>
      </c>
      <c r="AS512" s="56">
        <f t="shared" si="420"/>
        <v>4.6948356807511742E-2</v>
      </c>
      <c r="AT512" s="56">
        <f t="shared" si="451"/>
        <v>0.23474178403755869</v>
      </c>
      <c r="AU512" s="56">
        <f t="shared" si="421"/>
        <v>0.176056338028169</v>
      </c>
      <c r="AV512" s="56">
        <f t="shared" si="452"/>
        <v>5.8685446009389672E-2</v>
      </c>
      <c r="AW512" s="57" t="s">
        <v>2511</v>
      </c>
      <c r="AX512" s="57" t="s">
        <v>2512</v>
      </c>
      <c r="AY512" s="57" t="s">
        <v>2513</v>
      </c>
      <c r="AZ512" s="58">
        <f t="shared" si="453"/>
        <v>0</v>
      </c>
      <c r="BA512" s="59">
        <f t="shared" si="456"/>
        <v>0</v>
      </c>
      <c r="BB512" s="59">
        <f t="shared" si="457"/>
        <v>0</v>
      </c>
      <c r="BC512" s="59">
        <f t="shared" si="458"/>
        <v>0</v>
      </c>
      <c r="BD512" s="60">
        <f t="shared" si="454"/>
        <v>7.1095438516664771E-6</v>
      </c>
      <c r="BE512" s="59">
        <f t="shared" si="455"/>
        <v>1.4219087703332954E-5</v>
      </c>
      <c r="BQ512" s="61">
        <v>3000</v>
      </c>
      <c r="BR512" s="61">
        <v>1200</v>
      </c>
      <c r="BS512" s="28">
        <f t="shared" si="422"/>
        <v>2980</v>
      </c>
      <c r="BT512" s="28">
        <f t="shared" si="423"/>
        <v>1180</v>
      </c>
      <c r="BU512" s="28" t="s">
        <v>2541</v>
      </c>
      <c r="BV512" s="28">
        <f t="shared" si="424"/>
        <v>5</v>
      </c>
      <c r="BW512" s="28">
        <f t="shared" si="425"/>
        <v>5</v>
      </c>
      <c r="BX512" s="13">
        <f t="shared" si="426"/>
        <v>596</v>
      </c>
      <c r="BY512" s="13">
        <f t="shared" si="427"/>
        <v>596</v>
      </c>
      <c r="BZ512" s="13">
        <f t="shared" si="428"/>
        <v>236</v>
      </c>
      <c r="CA512" s="13">
        <f t="shared" si="429"/>
        <v>236</v>
      </c>
      <c r="CB512" s="13">
        <f t="shared" si="430"/>
        <v>140656</v>
      </c>
      <c r="CC512" s="62">
        <f t="shared" si="431"/>
        <v>7.1095438516664771E-6</v>
      </c>
      <c r="CD512" s="13">
        <f t="shared" si="432"/>
        <v>596</v>
      </c>
      <c r="CE512" s="13">
        <f t="shared" si="433"/>
        <v>596</v>
      </c>
      <c r="CF512" s="13">
        <f t="shared" si="434"/>
        <v>236</v>
      </c>
      <c r="CG512" s="13">
        <f t="shared" si="435"/>
        <v>236</v>
      </c>
      <c r="CH512" s="28">
        <f t="shared" si="436"/>
        <v>140656</v>
      </c>
      <c r="CI512" s="62">
        <f t="shared" si="437"/>
        <v>7.1095438516664771E-6</v>
      </c>
      <c r="CJ512" s="59">
        <f t="shared" si="438"/>
        <v>7.1095438516664771E-6</v>
      </c>
      <c r="CL512" s="63">
        <v>6000</v>
      </c>
      <c r="CM512" s="63">
        <f t="shared" si="439"/>
        <v>0</v>
      </c>
      <c r="CN512" s="63">
        <f t="shared" si="440"/>
        <v>5</v>
      </c>
      <c r="CO512" s="63">
        <f t="shared" si="441"/>
        <v>1200</v>
      </c>
      <c r="CP512" s="13">
        <f t="shared" si="442"/>
        <v>1200</v>
      </c>
      <c r="CQ512" s="70">
        <f t="shared" si="443"/>
        <v>8.3333333333333339E-4</v>
      </c>
      <c r="CR512" s="69">
        <f t="shared" si="465"/>
        <v>1.6666666666666668E-3</v>
      </c>
    </row>
    <row r="513" spans="1:96" hidden="1" x14ac:dyDescent="0.25">
      <c r="A513" s="36">
        <v>2</v>
      </c>
      <c r="B513" s="37" t="s">
        <v>37</v>
      </c>
      <c r="C513" s="36" t="s">
        <v>1304</v>
      </c>
      <c r="D513" s="36" t="s">
        <v>2270</v>
      </c>
      <c r="E513" s="36" t="s">
        <v>32</v>
      </c>
      <c r="F513" s="38">
        <f t="shared" si="412"/>
        <v>1</v>
      </c>
      <c r="G513" s="36">
        <v>1</v>
      </c>
      <c r="H513" s="36">
        <f>G513*$H$3</f>
        <v>1</v>
      </c>
      <c r="I513" s="36">
        <v>17</v>
      </c>
      <c r="J513" s="37" t="s">
        <v>658</v>
      </c>
      <c r="K513" s="37" t="s">
        <v>34</v>
      </c>
      <c r="L513" s="36">
        <v>0</v>
      </c>
      <c r="M513" s="37" t="s">
        <v>35</v>
      </c>
      <c r="N513" s="36" t="s">
        <v>1305</v>
      </c>
      <c r="O513" s="28" t="s">
        <v>41</v>
      </c>
      <c r="P513" s="28" t="s">
        <v>41</v>
      </c>
      <c r="Q513" s="28"/>
      <c r="R513" s="30"/>
      <c r="S513" s="30"/>
      <c r="T513" s="30"/>
      <c r="U513" s="30"/>
      <c r="V513" s="8">
        <f t="shared" si="413"/>
        <v>0</v>
      </c>
      <c r="W513" s="8">
        <f t="shared" si="414"/>
        <v>0</v>
      </c>
      <c r="X513" s="8">
        <f t="shared" si="415"/>
        <v>0</v>
      </c>
      <c r="Y513" s="33">
        <f t="shared" si="416"/>
        <v>0</v>
      </c>
      <c r="Z513" s="28"/>
      <c r="AA513" s="28"/>
      <c r="AB513" s="28">
        <v>0</v>
      </c>
      <c r="AC513" s="31"/>
      <c r="AD513" s="50">
        <f t="shared" si="417"/>
        <v>1</v>
      </c>
      <c r="AE513" s="31"/>
      <c r="AF513" s="51">
        <v>14</v>
      </c>
      <c r="AG513" s="51">
        <f t="shared" si="445"/>
        <v>8.4</v>
      </c>
      <c r="AH513" s="51">
        <f t="shared" si="410"/>
        <v>42</v>
      </c>
      <c r="AI513" s="52" t="s">
        <v>2497</v>
      </c>
      <c r="AJ513" s="52" t="s">
        <v>2498</v>
      </c>
      <c r="AK513" s="53">
        <f t="shared" si="446"/>
        <v>0</v>
      </c>
      <c r="AL513" s="54">
        <f t="shared" si="447"/>
        <v>0.11904761904761904</v>
      </c>
      <c r="AM513" s="54">
        <f t="shared" si="448"/>
        <v>2.3809523809523808E-2</v>
      </c>
      <c r="AN513" s="55">
        <f t="shared" si="449"/>
        <v>0</v>
      </c>
      <c r="AO513" s="55">
        <f t="shared" si="450"/>
        <v>0</v>
      </c>
      <c r="AP513" s="53">
        <v>7.1</v>
      </c>
      <c r="AQ513" s="53">
        <f t="shared" si="418"/>
        <v>4.26</v>
      </c>
      <c r="AR513" s="53">
        <f t="shared" si="419"/>
        <v>21.299999999999997</v>
      </c>
      <c r="AS513" s="56">
        <f t="shared" si="420"/>
        <v>4.6948356807511742E-2</v>
      </c>
      <c r="AT513" s="56">
        <f t="shared" si="451"/>
        <v>0.23474178403755869</v>
      </c>
      <c r="AU513" s="56">
        <f t="shared" si="421"/>
        <v>0.176056338028169</v>
      </c>
      <c r="AV513" s="56">
        <f t="shared" si="452"/>
        <v>5.8685446009389672E-2</v>
      </c>
      <c r="AW513" s="57" t="s">
        <v>2511</v>
      </c>
      <c r="AX513" s="57" t="s">
        <v>2512</v>
      </c>
      <c r="AY513" s="57" t="s">
        <v>2513</v>
      </c>
      <c r="AZ513" s="58">
        <f t="shared" si="453"/>
        <v>0</v>
      </c>
      <c r="BA513" s="59">
        <f t="shared" si="456"/>
        <v>0</v>
      </c>
      <c r="BB513" s="59">
        <f t="shared" si="457"/>
        <v>0</v>
      </c>
      <c r="BC513" s="59">
        <f t="shared" si="458"/>
        <v>0</v>
      </c>
      <c r="BD513" s="60">
        <f t="shared" si="454"/>
        <v>0</v>
      </c>
      <c r="BE513" s="59">
        <f t="shared" si="455"/>
        <v>0</v>
      </c>
      <c r="BQ513" s="61">
        <v>3000</v>
      </c>
      <c r="BR513" s="61">
        <v>1200</v>
      </c>
      <c r="BS513" s="28">
        <f t="shared" si="422"/>
        <v>2980</v>
      </c>
      <c r="BT513" s="28">
        <f t="shared" si="423"/>
        <v>1180</v>
      </c>
      <c r="BU513" s="28" t="s">
        <v>2541</v>
      </c>
      <c r="BV513" s="28">
        <f t="shared" si="424"/>
        <v>5</v>
      </c>
      <c r="BW513" s="28">
        <f t="shared" si="425"/>
        <v>5</v>
      </c>
      <c r="BX513" s="13">
        <f t="shared" si="426"/>
        <v>596</v>
      </c>
      <c r="BY513" s="13">
        <f t="shared" si="427"/>
        <v>596</v>
      </c>
      <c r="BZ513" s="13">
        <f t="shared" si="428"/>
        <v>236</v>
      </c>
      <c r="CA513" s="13">
        <f t="shared" si="429"/>
        <v>236</v>
      </c>
      <c r="CB513" s="13">
        <f t="shared" si="430"/>
        <v>140656</v>
      </c>
      <c r="CC513" s="62" t="str">
        <f t="shared" si="431"/>
        <v/>
      </c>
      <c r="CD513" s="13">
        <f t="shared" si="432"/>
        <v>596</v>
      </c>
      <c r="CE513" s="13">
        <f t="shared" si="433"/>
        <v>596</v>
      </c>
      <c r="CF513" s="13">
        <f t="shared" si="434"/>
        <v>236</v>
      </c>
      <c r="CG513" s="13">
        <f t="shared" si="435"/>
        <v>236</v>
      </c>
      <c r="CH513" s="28">
        <f t="shared" si="436"/>
        <v>140656</v>
      </c>
      <c r="CI513" s="62" t="str">
        <f t="shared" si="437"/>
        <v/>
      </c>
      <c r="CJ513" s="59">
        <f t="shared" si="438"/>
        <v>0</v>
      </c>
      <c r="CL513" s="63">
        <v>6000</v>
      </c>
      <c r="CM513" s="63">
        <f t="shared" si="439"/>
        <v>0</v>
      </c>
      <c r="CN513" s="63">
        <f t="shared" si="440"/>
        <v>5</v>
      </c>
      <c r="CO513" s="63">
        <f t="shared" si="441"/>
        <v>1200</v>
      </c>
      <c r="CP513" s="13">
        <f t="shared" si="442"/>
        <v>1200</v>
      </c>
      <c r="CQ513" s="70">
        <f t="shared" si="443"/>
        <v>8.3333333333333339E-4</v>
      </c>
      <c r="CR513" s="69">
        <f t="shared" si="465"/>
        <v>8.3333333333333339E-4</v>
      </c>
    </row>
    <row r="514" spans="1:96" hidden="1" x14ac:dyDescent="0.25">
      <c r="A514" s="10">
        <v>3</v>
      </c>
      <c r="B514" s="8" t="s">
        <v>1306</v>
      </c>
      <c r="C514" s="10" t="s">
        <v>1307</v>
      </c>
      <c r="D514" s="10" t="s">
        <v>2270</v>
      </c>
      <c r="E514" s="10" t="s">
        <v>52</v>
      </c>
      <c r="F514" s="12">
        <f t="shared" si="412"/>
        <v>1</v>
      </c>
      <c r="G514" s="10">
        <v>4</v>
      </c>
      <c r="H514" s="10">
        <f>G514*$H$513</f>
        <v>4</v>
      </c>
      <c r="I514" s="10">
        <v>5</v>
      </c>
      <c r="J514" s="8" t="s">
        <v>1308</v>
      </c>
      <c r="K514" s="8" t="s">
        <v>34</v>
      </c>
      <c r="L514" s="10">
        <v>0</v>
      </c>
      <c r="M514" s="8" t="s">
        <v>35</v>
      </c>
      <c r="N514" s="10" t="s">
        <v>1309</v>
      </c>
      <c r="O514" s="28" t="s">
        <v>41</v>
      </c>
      <c r="P514" s="28" t="s">
        <v>41</v>
      </c>
      <c r="Q514" s="28" t="s">
        <v>1309</v>
      </c>
      <c r="R514" s="30">
        <v>1.75</v>
      </c>
      <c r="S514" s="30">
        <v>0.98</v>
      </c>
      <c r="T514" s="30"/>
      <c r="U514" s="30">
        <v>0.98</v>
      </c>
      <c r="V514" s="8">
        <f t="shared" si="413"/>
        <v>44.449999999999996</v>
      </c>
      <c r="W514" s="8">
        <f t="shared" si="414"/>
        <v>24.891999999999999</v>
      </c>
      <c r="X514" s="8">
        <f t="shared" si="415"/>
        <v>0</v>
      </c>
      <c r="Y514" s="33">
        <f t="shared" si="416"/>
        <v>24.891999999999999</v>
      </c>
      <c r="Z514" s="28"/>
      <c r="AA514" s="28"/>
      <c r="AB514" s="61" t="s">
        <v>1309</v>
      </c>
      <c r="AC514" s="31" t="s">
        <v>1310</v>
      </c>
      <c r="AD514" s="50">
        <f t="shared" si="417"/>
        <v>4</v>
      </c>
      <c r="AE514" s="31"/>
      <c r="AF514" s="51">
        <v>14</v>
      </c>
      <c r="AG514" s="51">
        <f t="shared" si="445"/>
        <v>8.4</v>
      </c>
      <c r="AH514" s="51">
        <f t="shared" ref="AH514:AH577" si="469">AG514/0.2</f>
        <v>42</v>
      </c>
      <c r="AI514" s="52" t="s">
        <v>2497</v>
      </c>
      <c r="AJ514" s="52" t="s">
        <v>2498</v>
      </c>
      <c r="AK514" s="53">
        <f t="shared" si="446"/>
        <v>2.2128987999999999E-3</v>
      </c>
      <c r="AL514" s="54">
        <f t="shared" si="447"/>
        <v>0.11904761904761904</v>
      </c>
      <c r="AM514" s="54">
        <f t="shared" si="448"/>
        <v>2.3809523809523808E-2</v>
      </c>
      <c r="AN514" s="55">
        <f t="shared" si="449"/>
        <v>1.0537613333333332E-3</v>
      </c>
      <c r="AO514" s="55">
        <f t="shared" si="450"/>
        <v>2.1075226666666664E-4</v>
      </c>
      <c r="AP514" s="53">
        <v>7.1</v>
      </c>
      <c r="AQ514" s="53">
        <f t="shared" si="418"/>
        <v>4.26</v>
      </c>
      <c r="AR514" s="53">
        <f t="shared" si="419"/>
        <v>21.299999999999997</v>
      </c>
      <c r="AS514" s="56">
        <f t="shared" si="420"/>
        <v>4.6948356807511742E-2</v>
      </c>
      <c r="AT514" s="56">
        <f t="shared" si="451"/>
        <v>0.23474178403755869</v>
      </c>
      <c r="AU514" s="56">
        <f t="shared" si="421"/>
        <v>0.176056338028169</v>
      </c>
      <c r="AV514" s="56">
        <f t="shared" si="452"/>
        <v>5.8685446009389672E-2</v>
      </c>
      <c r="AW514" s="57" t="s">
        <v>2511</v>
      </c>
      <c r="AX514" s="57" t="s">
        <v>2512</v>
      </c>
      <c r="AY514" s="57" t="s">
        <v>2513</v>
      </c>
      <c r="AZ514" s="58">
        <f t="shared" si="453"/>
        <v>2.2128987999999999E-3</v>
      </c>
      <c r="BA514" s="59">
        <f t="shared" si="456"/>
        <v>2.5972990610328636E-4</v>
      </c>
      <c r="BB514" s="59">
        <f t="shared" si="457"/>
        <v>7.7918971830985909E-4</v>
      </c>
      <c r="BC514" s="59">
        <f t="shared" si="458"/>
        <v>2.0778392488262913E-4</v>
      </c>
      <c r="BD514" s="60">
        <f t="shared" si="454"/>
        <v>4.2735042735042735E-4</v>
      </c>
      <c r="BE514" s="59">
        <f t="shared" si="455"/>
        <v>1.7094017094017094E-3</v>
      </c>
      <c r="BQ514" s="61">
        <v>3000</v>
      </c>
      <c r="BR514" s="61">
        <v>1200</v>
      </c>
      <c r="BS514" s="28">
        <f t="shared" si="422"/>
        <v>2980</v>
      </c>
      <c r="BT514" s="28">
        <f t="shared" si="423"/>
        <v>1180</v>
      </c>
      <c r="BU514" s="28" t="s">
        <v>2541</v>
      </c>
      <c r="BV514" s="28">
        <f t="shared" si="424"/>
        <v>49.449999999999996</v>
      </c>
      <c r="BW514" s="28">
        <f t="shared" si="425"/>
        <v>29.891999999999999</v>
      </c>
      <c r="BX514" s="13">
        <f t="shared" si="426"/>
        <v>60.262891809909007</v>
      </c>
      <c r="BY514" s="13">
        <f t="shared" si="427"/>
        <v>60</v>
      </c>
      <c r="BZ514" s="13">
        <f t="shared" si="428"/>
        <v>39.475444935099695</v>
      </c>
      <c r="CA514" s="13">
        <f t="shared" si="429"/>
        <v>39</v>
      </c>
      <c r="CB514" s="13">
        <f t="shared" si="430"/>
        <v>2340</v>
      </c>
      <c r="CC514" s="62">
        <f t="shared" si="431"/>
        <v>4.2735042735042735E-4</v>
      </c>
      <c r="CD514" s="13">
        <f t="shared" si="432"/>
        <v>99.692225344573799</v>
      </c>
      <c r="CE514" s="13">
        <f t="shared" si="433"/>
        <v>99</v>
      </c>
      <c r="CF514" s="13">
        <f t="shared" si="434"/>
        <v>23.862487360970679</v>
      </c>
      <c r="CG514" s="13">
        <f t="shared" si="435"/>
        <v>23</v>
      </c>
      <c r="CH514" s="28">
        <f t="shared" si="436"/>
        <v>2277</v>
      </c>
      <c r="CI514" s="62">
        <f t="shared" si="437"/>
        <v>4.391743522178305E-4</v>
      </c>
      <c r="CJ514" s="59">
        <f t="shared" si="438"/>
        <v>4.2735042735042735E-4</v>
      </c>
      <c r="CL514" s="63">
        <v>6000</v>
      </c>
      <c r="CM514" s="63">
        <f t="shared" si="439"/>
        <v>44.449999999999996</v>
      </c>
      <c r="CN514" s="63">
        <f t="shared" si="440"/>
        <v>49.449999999999996</v>
      </c>
      <c r="CO514" s="63">
        <f t="shared" si="441"/>
        <v>121.33468149646109</v>
      </c>
      <c r="CP514" s="13">
        <f t="shared" si="442"/>
        <v>121</v>
      </c>
      <c r="CQ514" s="70">
        <f t="shared" si="443"/>
        <v>8.2644628099173556E-3</v>
      </c>
      <c r="CR514" s="69">
        <f t="shared" si="465"/>
        <v>3.3057851239669422E-2</v>
      </c>
    </row>
    <row r="515" spans="1:96" hidden="1" x14ac:dyDescent="0.25">
      <c r="A515" s="10">
        <v>3</v>
      </c>
      <c r="B515" s="8" t="s">
        <v>1306</v>
      </c>
      <c r="C515" s="10" t="s">
        <v>530</v>
      </c>
      <c r="D515" s="10" t="s">
        <v>532</v>
      </c>
      <c r="E515" s="10" t="s">
        <v>32</v>
      </c>
      <c r="F515" s="12">
        <f t="shared" ref="F515:F578" si="470">COUNTIF($C$2:$C$1202,C515)</f>
        <v>21</v>
      </c>
      <c r="G515" s="10">
        <v>1</v>
      </c>
      <c r="H515" s="10">
        <f>G515*$H$513</f>
        <v>1</v>
      </c>
      <c r="I515" s="10">
        <v>6</v>
      </c>
      <c r="J515" s="8" t="s">
        <v>531</v>
      </c>
      <c r="K515" s="8" t="s">
        <v>34</v>
      </c>
      <c r="L515" s="10" t="s">
        <v>110</v>
      </c>
      <c r="M515" s="8" t="s">
        <v>35</v>
      </c>
      <c r="N515" s="10" t="s">
        <v>532</v>
      </c>
      <c r="O515" s="28" t="s">
        <v>41</v>
      </c>
      <c r="P515" s="28" t="s">
        <v>41</v>
      </c>
      <c r="Q515" s="28"/>
      <c r="R515" s="30"/>
      <c r="S515" s="30"/>
      <c r="T515" s="30"/>
      <c r="U515" s="30"/>
      <c r="V515" s="8">
        <f t="shared" ref="V515:V578" si="471">R515*25.4</f>
        <v>0</v>
      </c>
      <c r="W515" s="8">
        <f t="shared" ref="W515:W578" si="472">S515*25.4</f>
        <v>0</v>
      </c>
      <c r="X515" s="8">
        <f t="shared" ref="X515:X578" si="473">T515*25.4</f>
        <v>0</v>
      </c>
      <c r="Y515" s="33">
        <f t="shared" ref="Y515:Y578" si="474">U515*25.4</f>
        <v>0</v>
      </c>
      <c r="Z515" s="28" t="s">
        <v>2477</v>
      </c>
      <c r="AA515" s="28" t="s">
        <v>2477</v>
      </c>
      <c r="AB515" s="28">
        <v>0</v>
      </c>
      <c r="AC515" s="31" t="s">
        <v>2477</v>
      </c>
      <c r="AD515" s="50">
        <f t="shared" ref="AD515:AD578" si="475">H515</f>
        <v>1</v>
      </c>
      <c r="AE515" s="31"/>
      <c r="AF515" s="51">
        <v>14</v>
      </c>
      <c r="AG515" s="51">
        <f t="shared" si="445"/>
        <v>8.4</v>
      </c>
      <c r="AH515" s="51">
        <f t="shared" si="469"/>
        <v>42</v>
      </c>
      <c r="AI515" s="52" t="s">
        <v>2497</v>
      </c>
      <c r="AJ515" s="52" t="s">
        <v>2498</v>
      </c>
      <c r="AK515" s="53">
        <f t="shared" si="446"/>
        <v>0</v>
      </c>
      <c r="AL515" s="54">
        <f t="shared" si="447"/>
        <v>0.11904761904761904</v>
      </c>
      <c r="AM515" s="54">
        <f t="shared" si="448"/>
        <v>2.3809523809523808E-2</v>
      </c>
      <c r="AN515" s="55">
        <f t="shared" si="449"/>
        <v>0</v>
      </c>
      <c r="AO515" s="55">
        <f t="shared" si="450"/>
        <v>0</v>
      </c>
      <c r="AP515" s="53">
        <v>7.1</v>
      </c>
      <c r="AQ515" s="53">
        <f t="shared" ref="AQ515:AQ578" si="476">AP515*0.6</f>
        <v>4.26</v>
      </c>
      <c r="AR515" s="53">
        <f t="shared" ref="AR515:AR578" si="477">AQ515*5</f>
        <v>21.299999999999997</v>
      </c>
      <c r="AS515" s="56">
        <f t="shared" ref="AS515:AS578" si="478">1/AR515</f>
        <v>4.6948356807511742E-2</v>
      </c>
      <c r="AT515" s="56">
        <f t="shared" si="451"/>
        <v>0.23474178403755869</v>
      </c>
      <c r="AU515" s="56">
        <f t="shared" ref="AU515:AU578" si="479">AT515*0.75</f>
        <v>0.176056338028169</v>
      </c>
      <c r="AV515" s="56">
        <f t="shared" si="452"/>
        <v>5.8685446009389672E-2</v>
      </c>
      <c r="AW515" s="57" t="s">
        <v>2511</v>
      </c>
      <c r="AX515" s="57" t="s">
        <v>2512</v>
      </c>
      <c r="AY515" s="57" t="s">
        <v>2513</v>
      </c>
      <c r="AZ515" s="58">
        <f t="shared" si="453"/>
        <v>0</v>
      </c>
      <c r="BA515" s="59">
        <f t="shared" si="456"/>
        <v>0</v>
      </c>
      <c r="BB515" s="59">
        <f t="shared" si="457"/>
        <v>0</v>
      </c>
      <c r="BC515" s="59">
        <f t="shared" si="458"/>
        <v>0</v>
      </c>
      <c r="BD515" s="60">
        <f t="shared" si="454"/>
        <v>0</v>
      </c>
      <c r="BE515" s="59">
        <f t="shared" si="455"/>
        <v>0</v>
      </c>
      <c r="BQ515" s="61">
        <v>3000</v>
      </c>
      <c r="BR515" s="61">
        <v>1200</v>
      </c>
      <c r="BS515" s="28">
        <f t="shared" ref="BS515:BS578" si="480">BQ515-20</f>
        <v>2980</v>
      </c>
      <c r="BT515" s="28">
        <f t="shared" ref="BT515:BT578" si="481">BR515-20</f>
        <v>1180</v>
      </c>
      <c r="BU515" s="28" t="s">
        <v>2541</v>
      </c>
      <c r="BV515" s="28">
        <f t="shared" ref="BV515:BV578" si="482">V515+5</f>
        <v>5</v>
      </c>
      <c r="BW515" s="28">
        <f t="shared" ref="BW515:BW578" si="483">W515+5</f>
        <v>5</v>
      </c>
      <c r="BX515" s="13">
        <f t="shared" ref="BX515:BX578" si="484">BS515/BV515</f>
        <v>596</v>
      </c>
      <c r="BY515" s="13">
        <f t="shared" ref="BY515:BY578" si="485">ROUNDDOWN(BX515,0)</f>
        <v>596</v>
      </c>
      <c r="BZ515" s="13">
        <f t="shared" ref="BZ515:BZ578" si="486">BT515/BW515</f>
        <v>236</v>
      </c>
      <c r="CA515" s="13">
        <f t="shared" ref="CA515:CA578" si="487">ROUNDDOWN(BZ515,0)</f>
        <v>236</v>
      </c>
      <c r="CB515" s="13">
        <f t="shared" ref="CB515:CB578" si="488">BY515*CA515</f>
        <v>140656</v>
      </c>
      <c r="CC515" s="62" t="str">
        <f t="shared" ref="CC515:CC578" si="489">IF(E515="CJ","",IFERROR((1/CB515),1))</f>
        <v/>
      </c>
      <c r="CD515" s="13">
        <f t="shared" ref="CD515:CD578" si="490">BS515/BW515</f>
        <v>596</v>
      </c>
      <c r="CE515" s="13">
        <f t="shared" ref="CE515:CE578" si="491">ROUNDDOWN(CD515,0)</f>
        <v>596</v>
      </c>
      <c r="CF515" s="13">
        <f t="shared" ref="CF515:CF578" si="492">BT515/BV515</f>
        <v>236</v>
      </c>
      <c r="CG515" s="13">
        <f t="shared" ref="CG515:CG578" si="493">ROUNDDOWN(CF515,0)</f>
        <v>236</v>
      </c>
      <c r="CH515" s="28">
        <f t="shared" ref="CH515:CH578" si="494">CE515*CG515</f>
        <v>140656</v>
      </c>
      <c r="CI515" s="62" t="str">
        <f t="shared" ref="CI515:CI578" si="495">IF(E515="CJ","",IFERROR((1/CH515),1))</f>
        <v/>
      </c>
      <c r="CJ515" s="59">
        <f t="shared" ref="CJ515:CJ578" si="496">MIN(CC515,CI515)</f>
        <v>0</v>
      </c>
      <c r="CL515" s="63">
        <v>6000</v>
      </c>
      <c r="CM515" s="63">
        <f t="shared" ref="CM515:CM578" si="497">V515</f>
        <v>0</v>
      </c>
      <c r="CN515" s="63">
        <f t="shared" ref="CN515:CN578" si="498">CM515+5</f>
        <v>5</v>
      </c>
      <c r="CO515" s="63">
        <f t="shared" ref="CO515:CO578" si="499">CL515/CN515</f>
        <v>1200</v>
      </c>
      <c r="CP515" s="13">
        <f t="shared" ref="CP515:CP578" si="500">ROUNDDOWN(CO515,0)</f>
        <v>1200</v>
      </c>
      <c r="CQ515" s="70">
        <f t="shared" ref="CQ515:CQ578" si="501">1/CP515</f>
        <v>8.3333333333333339E-4</v>
      </c>
      <c r="CR515" s="69">
        <f t="shared" si="465"/>
        <v>8.3333333333333339E-4</v>
      </c>
    </row>
    <row r="516" spans="1:96" hidden="1" x14ac:dyDescent="0.25">
      <c r="A516" s="13">
        <v>4</v>
      </c>
      <c r="B516" s="14" t="s">
        <v>769</v>
      </c>
      <c r="C516" s="13" t="s">
        <v>534</v>
      </c>
      <c r="D516" s="13" t="s">
        <v>2270</v>
      </c>
      <c r="E516" s="13" t="s">
        <v>52</v>
      </c>
      <c r="F516" s="15">
        <f t="shared" si="470"/>
        <v>21</v>
      </c>
      <c r="G516" s="13">
        <v>1</v>
      </c>
      <c r="H516" s="13">
        <f>G516*$H$515</f>
        <v>1</v>
      </c>
      <c r="I516" s="13">
        <v>1</v>
      </c>
      <c r="J516" s="14" t="s">
        <v>101</v>
      </c>
      <c r="K516" s="14" t="s">
        <v>34</v>
      </c>
      <c r="L516" s="13" t="s">
        <v>110</v>
      </c>
      <c r="M516" s="14" t="s">
        <v>35</v>
      </c>
      <c r="N516" s="13" t="s">
        <v>535</v>
      </c>
      <c r="O516" s="28" t="s">
        <v>41</v>
      </c>
      <c r="P516" s="28" t="s">
        <v>41</v>
      </c>
      <c r="Q516" s="28" t="s">
        <v>535</v>
      </c>
      <c r="R516" s="30">
        <v>0.98</v>
      </c>
      <c r="S516" s="30">
        <v>0.98</v>
      </c>
      <c r="T516" s="30"/>
      <c r="U516" s="30">
        <v>0.11811023622047245</v>
      </c>
      <c r="V516" s="8">
        <f t="shared" si="471"/>
        <v>24.891999999999999</v>
      </c>
      <c r="W516" s="8">
        <f t="shared" si="472"/>
        <v>24.891999999999999</v>
      </c>
      <c r="X516" s="8">
        <f t="shared" si="473"/>
        <v>0</v>
      </c>
      <c r="Y516" s="33">
        <f t="shared" si="474"/>
        <v>3</v>
      </c>
      <c r="Z516" s="28" t="s">
        <v>536</v>
      </c>
      <c r="AA516" s="28" t="s">
        <v>537</v>
      </c>
      <c r="AB516" s="61" t="s">
        <v>535</v>
      </c>
      <c r="AC516" s="31" t="s">
        <v>538</v>
      </c>
      <c r="AD516" s="50">
        <f t="shared" si="475"/>
        <v>1</v>
      </c>
      <c r="AE516" s="31"/>
      <c r="AF516" s="51">
        <v>14</v>
      </c>
      <c r="AG516" s="51">
        <f t="shared" si="445"/>
        <v>8.4</v>
      </c>
      <c r="AH516" s="51">
        <f t="shared" si="469"/>
        <v>42</v>
      </c>
      <c r="AI516" s="52" t="s">
        <v>2497</v>
      </c>
      <c r="AJ516" s="52" t="s">
        <v>2498</v>
      </c>
      <c r="AK516" s="53">
        <f t="shared" si="446"/>
        <v>1.239223328E-3</v>
      </c>
      <c r="AL516" s="54">
        <f t="shared" si="447"/>
        <v>0.11904761904761904</v>
      </c>
      <c r="AM516" s="54">
        <f t="shared" si="448"/>
        <v>2.3809523809523808E-2</v>
      </c>
      <c r="AN516" s="55">
        <f t="shared" si="449"/>
        <v>1.4752658666666667E-4</v>
      </c>
      <c r="AO516" s="55">
        <f t="shared" si="450"/>
        <v>2.9505317333333333E-5</v>
      </c>
      <c r="AP516" s="53">
        <v>7.1</v>
      </c>
      <c r="AQ516" s="53">
        <f t="shared" si="476"/>
        <v>4.26</v>
      </c>
      <c r="AR516" s="53">
        <f t="shared" si="477"/>
        <v>21.299999999999997</v>
      </c>
      <c r="AS516" s="56">
        <f t="shared" si="478"/>
        <v>4.6948356807511742E-2</v>
      </c>
      <c r="AT516" s="56">
        <f t="shared" si="451"/>
        <v>0.23474178403755869</v>
      </c>
      <c r="AU516" s="56">
        <f t="shared" si="479"/>
        <v>0.176056338028169</v>
      </c>
      <c r="AV516" s="56">
        <f t="shared" si="452"/>
        <v>5.8685446009389672E-2</v>
      </c>
      <c r="AW516" s="57" t="s">
        <v>2511</v>
      </c>
      <c r="AX516" s="57" t="s">
        <v>2512</v>
      </c>
      <c r="AY516" s="57" t="s">
        <v>2513</v>
      </c>
      <c r="AZ516" s="58">
        <f t="shared" si="453"/>
        <v>1.239223328E-3</v>
      </c>
      <c r="BA516" s="59">
        <f t="shared" si="456"/>
        <v>3.6362186854460095E-5</v>
      </c>
      <c r="BB516" s="59">
        <f t="shared" si="457"/>
        <v>1.0908656056338028E-4</v>
      </c>
      <c r="BC516" s="59">
        <f t="shared" si="458"/>
        <v>2.9089749483568078E-5</v>
      </c>
      <c r="BD516" s="60">
        <f t="shared" si="454"/>
        <v>2.5900025900025902E-4</v>
      </c>
      <c r="BE516" s="59">
        <f t="shared" si="455"/>
        <v>2.5900025900025902E-4</v>
      </c>
      <c r="BQ516" s="61">
        <v>3000</v>
      </c>
      <c r="BR516" s="61">
        <v>1200</v>
      </c>
      <c r="BS516" s="28">
        <f t="shared" si="480"/>
        <v>2980</v>
      </c>
      <c r="BT516" s="28">
        <f t="shared" si="481"/>
        <v>1180</v>
      </c>
      <c r="BU516" s="28" t="s">
        <v>2541</v>
      </c>
      <c r="BV516" s="28">
        <f t="shared" si="482"/>
        <v>29.891999999999999</v>
      </c>
      <c r="BW516" s="28">
        <f t="shared" si="483"/>
        <v>29.891999999999999</v>
      </c>
      <c r="BX516" s="13">
        <f t="shared" si="484"/>
        <v>99.692225344573799</v>
      </c>
      <c r="BY516" s="13">
        <f t="shared" si="485"/>
        <v>99</v>
      </c>
      <c r="BZ516" s="13">
        <f t="shared" si="486"/>
        <v>39.475444935099695</v>
      </c>
      <c r="CA516" s="13">
        <f t="shared" si="487"/>
        <v>39</v>
      </c>
      <c r="CB516" s="13">
        <f t="shared" si="488"/>
        <v>3861</v>
      </c>
      <c r="CC516" s="62">
        <f t="shared" si="489"/>
        <v>2.5900025900025902E-4</v>
      </c>
      <c r="CD516" s="13">
        <f t="shared" si="490"/>
        <v>99.692225344573799</v>
      </c>
      <c r="CE516" s="13">
        <f t="shared" si="491"/>
        <v>99</v>
      </c>
      <c r="CF516" s="13">
        <f t="shared" si="492"/>
        <v>39.475444935099695</v>
      </c>
      <c r="CG516" s="13">
        <f t="shared" si="493"/>
        <v>39</v>
      </c>
      <c r="CH516" s="28">
        <f t="shared" si="494"/>
        <v>3861</v>
      </c>
      <c r="CI516" s="62">
        <f t="shared" si="495"/>
        <v>2.5900025900025902E-4</v>
      </c>
      <c r="CJ516" s="59">
        <f t="shared" si="496"/>
        <v>2.5900025900025902E-4</v>
      </c>
      <c r="CL516" s="63">
        <v>6000</v>
      </c>
      <c r="CM516" s="63">
        <f t="shared" si="497"/>
        <v>24.891999999999999</v>
      </c>
      <c r="CN516" s="63">
        <f t="shared" si="498"/>
        <v>29.891999999999999</v>
      </c>
      <c r="CO516" s="63">
        <f t="shared" si="499"/>
        <v>200.72260136491369</v>
      </c>
      <c r="CP516" s="13">
        <f t="shared" si="500"/>
        <v>200</v>
      </c>
      <c r="CQ516" s="70">
        <f t="shared" si="501"/>
        <v>5.0000000000000001E-3</v>
      </c>
      <c r="CR516" s="69">
        <f t="shared" si="465"/>
        <v>5.0000000000000001E-3</v>
      </c>
    </row>
    <row r="517" spans="1:96" hidden="1" x14ac:dyDescent="0.25">
      <c r="A517" s="13">
        <v>4</v>
      </c>
      <c r="B517" s="14" t="s">
        <v>769</v>
      </c>
      <c r="C517" s="13" t="s">
        <v>539</v>
      </c>
      <c r="D517" s="13" t="s">
        <v>2270</v>
      </c>
      <c r="E517" s="13" t="s">
        <v>52</v>
      </c>
      <c r="F517" s="15">
        <f t="shared" si="470"/>
        <v>21</v>
      </c>
      <c r="G517" s="13">
        <v>1</v>
      </c>
      <c r="H517" s="13">
        <f>G517*$H$515</f>
        <v>1</v>
      </c>
      <c r="I517" s="13">
        <v>2</v>
      </c>
      <c r="J517" s="14" t="s">
        <v>101</v>
      </c>
      <c r="K517" s="14" t="s">
        <v>34</v>
      </c>
      <c r="L517" s="13" t="s">
        <v>110</v>
      </c>
      <c r="M517" s="14" t="s">
        <v>35</v>
      </c>
      <c r="N517" s="13" t="s">
        <v>540</v>
      </c>
      <c r="O517" s="28" t="s">
        <v>41</v>
      </c>
      <c r="P517" s="28" t="s">
        <v>41</v>
      </c>
      <c r="Q517" s="28" t="s">
        <v>540</v>
      </c>
      <c r="R517" s="30">
        <v>0.98</v>
      </c>
      <c r="S517" s="30">
        <v>0.98</v>
      </c>
      <c r="T517" s="30"/>
      <c r="U517" s="30">
        <v>0.47244094488188981</v>
      </c>
      <c r="V517" s="8">
        <f t="shared" si="471"/>
        <v>24.891999999999999</v>
      </c>
      <c r="W517" s="8">
        <f t="shared" si="472"/>
        <v>24.891999999999999</v>
      </c>
      <c r="X517" s="8">
        <f t="shared" si="473"/>
        <v>0</v>
      </c>
      <c r="Y517" s="33">
        <f t="shared" si="474"/>
        <v>12</v>
      </c>
      <c r="Z517" s="28" t="s">
        <v>2477</v>
      </c>
      <c r="AA517" s="28" t="s">
        <v>2477</v>
      </c>
      <c r="AB517" s="61" t="s">
        <v>540</v>
      </c>
      <c r="AC517" s="31" t="s">
        <v>541</v>
      </c>
      <c r="AD517" s="50">
        <f t="shared" si="475"/>
        <v>1</v>
      </c>
      <c r="AE517" s="47" t="s">
        <v>107</v>
      </c>
      <c r="AF517" s="51">
        <v>14</v>
      </c>
      <c r="AG517" s="51">
        <f t="shared" si="445"/>
        <v>8.4</v>
      </c>
      <c r="AH517" s="51">
        <f t="shared" si="469"/>
        <v>42</v>
      </c>
      <c r="AI517" s="52" t="s">
        <v>2497</v>
      </c>
      <c r="AJ517" s="52" t="s">
        <v>2498</v>
      </c>
      <c r="AK517" s="53">
        <f t="shared" si="446"/>
        <v>1.239223328E-3</v>
      </c>
      <c r="AL517" s="54">
        <f t="shared" si="447"/>
        <v>0.11904761904761904</v>
      </c>
      <c r="AM517" s="54">
        <f t="shared" si="448"/>
        <v>2.3809523809523808E-2</v>
      </c>
      <c r="AN517" s="55">
        <f t="shared" si="449"/>
        <v>1.4752658666666667E-4</v>
      </c>
      <c r="AO517" s="55">
        <f t="shared" si="450"/>
        <v>2.9505317333333333E-5</v>
      </c>
      <c r="AP517" s="53">
        <v>7.1</v>
      </c>
      <c r="AQ517" s="53">
        <f t="shared" si="476"/>
        <v>4.26</v>
      </c>
      <c r="AR517" s="53">
        <f t="shared" si="477"/>
        <v>21.299999999999997</v>
      </c>
      <c r="AS517" s="56">
        <f t="shared" si="478"/>
        <v>4.6948356807511742E-2</v>
      </c>
      <c r="AT517" s="56">
        <f t="shared" si="451"/>
        <v>0.23474178403755869</v>
      </c>
      <c r="AU517" s="56">
        <f t="shared" si="479"/>
        <v>0.176056338028169</v>
      </c>
      <c r="AV517" s="56">
        <f t="shared" si="452"/>
        <v>5.8685446009389672E-2</v>
      </c>
      <c r="AW517" s="57" t="s">
        <v>2511</v>
      </c>
      <c r="AX517" s="57" t="s">
        <v>2512</v>
      </c>
      <c r="AY517" s="57" t="s">
        <v>2513</v>
      </c>
      <c r="AZ517" s="58">
        <f t="shared" si="453"/>
        <v>1.239223328E-3</v>
      </c>
      <c r="BA517" s="59">
        <f t="shared" si="456"/>
        <v>3.6362186854460095E-5</v>
      </c>
      <c r="BB517" s="59">
        <f t="shared" si="457"/>
        <v>1.0908656056338028E-4</v>
      </c>
      <c r="BC517" s="59">
        <f t="shared" si="458"/>
        <v>2.9089749483568078E-5</v>
      </c>
      <c r="BD517" s="60">
        <f t="shared" si="454"/>
        <v>2.5900025900025902E-4</v>
      </c>
      <c r="BE517" s="59">
        <f t="shared" si="455"/>
        <v>2.5900025900025902E-4</v>
      </c>
      <c r="BQ517" s="61">
        <v>3000</v>
      </c>
      <c r="BR517" s="61">
        <v>1200</v>
      </c>
      <c r="BS517" s="28">
        <f t="shared" si="480"/>
        <v>2980</v>
      </c>
      <c r="BT517" s="28">
        <f t="shared" si="481"/>
        <v>1180</v>
      </c>
      <c r="BU517" s="28" t="s">
        <v>2541</v>
      </c>
      <c r="BV517" s="28">
        <f t="shared" si="482"/>
        <v>29.891999999999999</v>
      </c>
      <c r="BW517" s="28">
        <f t="shared" si="483"/>
        <v>29.891999999999999</v>
      </c>
      <c r="BX517" s="13">
        <f t="shared" si="484"/>
        <v>99.692225344573799</v>
      </c>
      <c r="BY517" s="13">
        <f t="shared" si="485"/>
        <v>99</v>
      </c>
      <c r="BZ517" s="13">
        <f t="shared" si="486"/>
        <v>39.475444935099695</v>
      </c>
      <c r="CA517" s="13">
        <f t="shared" si="487"/>
        <v>39</v>
      </c>
      <c r="CB517" s="13">
        <f t="shared" si="488"/>
        <v>3861</v>
      </c>
      <c r="CC517" s="62">
        <f t="shared" si="489"/>
        <v>2.5900025900025902E-4</v>
      </c>
      <c r="CD517" s="13">
        <f t="shared" si="490"/>
        <v>99.692225344573799</v>
      </c>
      <c r="CE517" s="13">
        <f t="shared" si="491"/>
        <v>99</v>
      </c>
      <c r="CF517" s="13">
        <f t="shared" si="492"/>
        <v>39.475444935099695</v>
      </c>
      <c r="CG517" s="13">
        <f t="shared" si="493"/>
        <v>39</v>
      </c>
      <c r="CH517" s="28">
        <f t="shared" si="494"/>
        <v>3861</v>
      </c>
      <c r="CI517" s="62">
        <f t="shared" si="495"/>
        <v>2.5900025900025902E-4</v>
      </c>
      <c r="CJ517" s="59">
        <f t="shared" si="496"/>
        <v>2.5900025900025902E-4</v>
      </c>
      <c r="CL517" s="63">
        <v>6000</v>
      </c>
      <c r="CM517" s="63">
        <f t="shared" si="497"/>
        <v>24.891999999999999</v>
      </c>
      <c r="CN517" s="63">
        <f t="shared" si="498"/>
        <v>29.891999999999999</v>
      </c>
      <c r="CO517" s="63">
        <f t="shared" si="499"/>
        <v>200.72260136491369</v>
      </c>
      <c r="CP517" s="13">
        <f t="shared" si="500"/>
        <v>200</v>
      </c>
      <c r="CQ517" s="70">
        <f t="shared" si="501"/>
        <v>5.0000000000000001E-3</v>
      </c>
      <c r="CR517" s="69">
        <f t="shared" si="465"/>
        <v>5.0000000000000001E-3</v>
      </c>
    </row>
    <row r="518" spans="1:96" hidden="1" x14ac:dyDescent="0.25">
      <c r="A518" s="10">
        <v>3</v>
      </c>
      <c r="B518" s="8" t="s">
        <v>1306</v>
      </c>
      <c r="C518" s="10" t="s">
        <v>105</v>
      </c>
      <c r="D518" s="10" t="s">
        <v>106</v>
      </c>
      <c r="E518" s="10" t="s">
        <v>52</v>
      </c>
      <c r="F518" s="12">
        <f t="shared" si="470"/>
        <v>9</v>
      </c>
      <c r="G518" s="10">
        <v>1</v>
      </c>
      <c r="H518" s="10">
        <f t="shared" ref="H518:H521" si="502">G518*$H$513</f>
        <v>1</v>
      </c>
      <c r="I518" s="10">
        <v>7</v>
      </c>
      <c r="J518" s="8" t="s">
        <v>76</v>
      </c>
      <c r="K518" s="8" t="s">
        <v>34</v>
      </c>
      <c r="L518" s="10" t="s">
        <v>77</v>
      </c>
      <c r="M518" s="8" t="s">
        <v>35</v>
      </c>
      <c r="N518" s="10" t="s">
        <v>106</v>
      </c>
      <c r="O518" s="28" t="s">
        <v>41</v>
      </c>
      <c r="P518" s="28" t="s">
        <v>41</v>
      </c>
      <c r="Q518" s="28" t="s">
        <v>79</v>
      </c>
      <c r="R518" s="30">
        <v>11.023622047244094</v>
      </c>
      <c r="S518" s="30">
        <v>0.3125</v>
      </c>
      <c r="T518" s="30"/>
      <c r="U518" s="30">
        <v>0.3125</v>
      </c>
      <c r="V518" s="8">
        <f t="shared" si="471"/>
        <v>280</v>
      </c>
      <c r="W518" s="8">
        <f t="shared" si="472"/>
        <v>7.9375</v>
      </c>
      <c r="X518" s="8">
        <f t="shared" si="473"/>
        <v>0</v>
      </c>
      <c r="Y518" s="33">
        <f t="shared" si="474"/>
        <v>7.9375</v>
      </c>
      <c r="Z518" s="28" t="s">
        <v>80</v>
      </c>
      <c r="AA518" s="28" t="s">
        <v>81</v>
      </c>
      <c r="AB518" s="61" t="s">
        <v>79</v>
      </c>
      <c r="AC518" s="31" t="s">
        <v>82</v>
      </c>
      <c r="AD518" s="50">
        <f t="shared" si="475"/>
        <v>1</v>
      </c>
      <c r="AE518" s="31"/>
      <c r="AF518" s="51">
        <v>14</v>
      </c>
      <c r="AG518" s="51">
        <f t="shared" ref="AG518:AG581" si="503">AF518*0.6</f>
        <v>8.4</v>
      </c>
      <c r="AH518" s="51">
        <f t="shared" si="469"/>
        <v>42</v>
      </c>
      <c r="AI518" s="52" t="s">
        <v>2497</v>
      </c>
      <c r="AJ518" s="52" t="s">
        <v>2498</v>
      </c>
      <c r="AK518" s="53">
        <f t="shared" ref="AK518:AK581" si="504">(V518*W518)*2/1000000</f>
        <v>4.4450000000000002E-3</v>
      </c>
      <c r="AL518" s="54">
        <f t="shared" ref="AL518:AL581" si="505">1/(AF518*0.6)</f>
        <v>0.11904761904761904</v>
      </c>
      <c r="AM518" s="54">
        <f t="shared" ref="AM518:AM581" si="506">1/AG518*(20/100)</f>
        <v>2.3809523809523808E-2</v>
      </c>
      <c r="AN518" s="55">
        <f t="shared" ref="AN518:AN581" si="507">IF(AI518&lt;&gt;0,(AK518*AL518*AD518),0)</f>
        <v>5.2916666666666661E-4</v>
      </c>
      <c r="AO518" s="55">
        <f t="shared" ref="AO518:AO581" si="508">IF(AJ518&lt;&gt;0,(AK518*AM518*AD518),0)</f>
        <v>1.0583333333333334E-4</v>
      </c>
      <c r="AP518" s="53">
        <v>7.1</v>
      </c>
      <c r="AQ518" s="53">
        <f t="shared" si="476"/>
        <v>4.26</v>
      </c>
      <c r="AR518" s="53">
        <f t="shared" si="477"/>
        <v>21.299999999999997</v>
      </c>
      <c r="AS518" s="56">
        <f t="shared" si="478"/>
        <v>4.6948356807511742E-2</v>
      </c>
      <c r="AT518" s="56">
        <f t="shared" ref="AT518:AT581" si="509">1/AQ518</f>
        <v>0.23474178403755869</v>
      </c>
      <c r="AU518" s="56">
        <f t="shared" si="479"/>
        <v>0.176056338028169</v>
      </c>
      <c r="AV518" s="56">
        <f t="shared" ref="AV518:AV581" si="510">AT518*0.25</f>
        <v>5.8685446009389672E-2</v>
      </c>
      <c r="AW518" s="57" t="s">
        <v>2511</v>
      </c>
      <c r="AX518" s="57" t="s">
        <v>2512</v>
      </c>
      <c r="AY518" s="57" t="s">
        <v>2513</v>
      </c>
      <c r="AZ518" s="58">
        <f t="shared" ref="AZ518:AZ581" si="511">(V518*W518)*2/1000000</f>
        <v>4.4450000000000002E-3</v>
      </c>
      <c r="BA518" s="59">
        <f t="shared" si="456"/>
        <v>1.3042840375586856E-4</v>
      </c>
      <c r="BB518" s="59">
        <f t="shared" si="457"/>
        <v>3.9128521126760563E-4</v>
      </c>
      <c r="BC518" s="59">
        <f t="shared" si="458"/>
        <v>1.0434272300469485E-4</v>
      </c>
      <c r="BD518" s="60">
        <f t="shared" ref="BD518:BD581" si="512">CJ518</f>
        <v>1.0869565217391304E-3</v>
      </c>
      <c r="BE518" s="59">
        <f t="shared" ref="BE518:BE581" si="513">BD518*AD518</f>
        <v>1.0869565217391304E-3</v>
      </c>
      <c r="BQ518" s="61">
        <v>3000</v>
      </c>
      <c r="BR518" s="61">
        <v>1200</v>
      </c>
      <c r="BS518" s="28">
        <f t="shared" si="480"/>
        <v>2980</v>
      </c>
      <c r="BT518" s="28">
        <f t="shared" si="481"/>
        <v>1180</v>
      </c>
      <c r="BU518" s="28" t="s">
        <v>2541</v>
      </c>
      <c r="BV518" s="28">
        <f t="shared" si="482"/>
        <v>285</v>
      </c>
      <c r="BW518" s="28">
        <f t="shared" si="483"/>
        <v>12.9375</v>
      </c>
      <c r="BX518" s="13">
        <f t="shared" si="484"/>
        <v>10.456140350877194</v>
      </c>
      <c r="BY518" s="13">
        <f t="shared" si="485"/>
        <v>10</v>
      </c>
      <c r="BZ518" s="13">
        <f t="shared" si="486"/>
        <v>91.207729468599027</v>
      </c>
      <c r="CA518" s="13">
        <f t="shared" si="487"/>
        <v>91</v>
      </c>
      <c r="CB518" s="13">
        <f t="shared" si="488"/>
        <v>910</v>
      </c>
      <c r="CC518" s="62">
        <f t="shared" si="489"/>
        <v>1.0989010989010989E-3</v>
      </c>
      <c r="CD518" s="13">
        <f t="shared" si="490"/>
        <v>230.33816425120773</v>
      </c>
      <c r="CE518" s="13">
        <f t="shared" si="491"/>
        <v>230</v>
      </c>
      <c r="CF518" s="13">
        <f t="shared" si="492"/>
        <v>4.1403508771929829</v>
      </c>
      <c r="CG518" s="13">
        <f t="shared" si="493"/>
        <v>4</v>
      </c>
      <c r="CH518" s="28">
        <f t="shared" si="494"/>
        <v>920</v>
      </c>
      <c r="CI518" s="62">
        <f t="shared" si="495"/>
        <v>1.0869565217391304E-3</v>
      </c>
      <c r="CJ518" s="59">
        <f t="shared" si="496"/>
        <v>1.0869565217391304E-3</v>
      </c>
      <c r="CL518" s="63">
        <v>6000</v>
      </c>
      <c r="CM518" s="63">
        <f t="shared" si="497"/>
        <v>280</v>
      </c>
      <c r="CN518" s="63">
        <f t="shared" si="498"/>
        <v>285</v>
      </c>
      <c r="CO518" s="63">
        <f t="shared" si="499"/>
        <v>21.05263157894737</v>
      </c>
      <c r="CP518" s="13">
        <f t="shared" si="500"/>
        <v>21</v>
      </c>
      <c r="CQ518" s="70">
        <f t="shared" si="501"/>
        <v>4.7619047619047616E-2</v>
      </c>
      <c r="CR518" s="69">
        <f t="shared" si="465"/>
        <v>4.7619047619047616E-2</v>
      </c>
    </row>
    <row r="519" spans="1:96" hidden="1" x14ac:dyDescent="0.25">
      <c r="A519" s="10">
        <v>3</v>
      </c>
      <c r="B519" s="8" t="s">
        <v>1306</v>
      </c>
      <c r="C519" s="10" t="s">
        <v>710</v>
      </c>
      <c r="D519" s="10" t="s">
        <v>711</v>
      </c>
      <c r="E519" s="10" t="s">
        <v>52</v>
      </c>
      <c r="F519" s="12">
        <f t="shared" si="470"/>
        <v>4</v>
      </c>
      <c r="G519" s="10">
        <v>1</v>
      </c>
      <c r="H519" s="10">
        <f t="shared" si="502"/>
        <v>1</v>
      </c>
      <c r="I519" s="10">
        <v>8</v>
      </c>
      <c r="J519" s="8" t="s">
        <v>76</v>
      </c>
      <c r="K519" s="8" t="s">
        <v>34</v>
      </c>
      <c r="L519" s="10" t="s">
        <v>77</v>
      </c>
      <c r="M519" s="8" t="s">
        <v>35</v>
      </c>
      <c r="N519" s="10" t="s">
        <v>711</v>
      </c>
      <c r="O519" s="28" t="s">
        <v>41</v>
      </c>
      <c r="P519" s="28" t="s">
        <v>41</v>
      </c>
      <c r="Q519" s="28" t="s">
        <v>79</v>
      </c>
      <c r="R519" s="30">
        <v>25.098425196850396</v>
      </c>
      <c r="S519" s="30">
        <v>0.3125</v>
      </c>
      <c r="T519" s="30"/>
      <c r="U519" s="30">
        <v>0.3125</v>
      </c>
      <c r="V519" s="8">
        <f t="shared" si="471"/>
        <v>637.5</v>
      </c>
      <c r="W519" s="8">
        <f t="shared" si="472"/>
        <v>7.9375</v>
      </c>
      <c r="X519" s="8">
        <f t="shared" si="473"/>
        <v>0</v>
      </c>
      <c r="Y519" s="33">
        <f t="shared" si="474"/>
        <v>7.9375</v>
      </c>
      <c r="Z519" s="28" t="s">
        <v>80</v>
      </c>
      <c r="AA519" s="28" t="s">
        <v>81</v>
      </c>
      <c r="AB519" s="61" t="s">
        <v>79</v>
      </c>
      <c r="AC519" s="31" t="s">
        <v>82</v>
      </c>
      <c r="AD519" s="50">
        <f t="shared" si="475"/>
        <v>1</v>
      </c>
      <c r="AE519" s="31"/>
      <c r="AF519" s="51">
        <v>14</v>
      </c>
      <c r="AG519" s="51">
        <f t="shared" si="503"/>
        <v>8.4</v>
      </c>
      <c r="AH519" s="51">
        <f t="shared" si="469"/>
        <v>42</v>
      </c>
      <c r="AI519" s="52" t="s">
        <v>2497</v>
      </c>
      <c r="AJ519" s="52" t="s">
        <v>2498</v>
      </c>
      <c r="AK519" s="53">
        <f t="shared" si="504"/>
        <v>1.0120312500000001E-2</v>
      </c>
      <c r="AL519" s="54">
        <f t="shared" si="505"/>
        <v>0.11904761904761904</v>
      </c>
      <c r="AM519" s="54">
        <f t="shared" si="506"/>
        <v>2.3809523809523808E-2</v>
      </c>
      <c r="AN519" s="55">
        <f t="shared" si="507"/>
        <v>1.2047991071428572E-3</v>
      </c>
      <c r="AO519" s="55">
        <f t="shared" si="508"/>
        <v>2.4095982142857144E-4</v>
      </c>
      <c r="AP519" s="53">
        <v>7.1</v>
      </c>
      <c r="AQ519" s="53">
        <f t="shared" si="476"/>
        <v>4.26</v>
      </c>
      <c r="AR519" s="53">
        <f t="shared" si="477"/>
        <v>21.299999999999997</v>
      </c>
      <c r="AS519" s="56">
        <f t="shared" si="478"/>
        <v>4.6948356807511742E-2</v>
      </c>
      <c r="AT519" s="56">
        <f t="shared" si="509"/>
        <v>0.23474178403755869</v>
      </c>
      <c r="AU519" s="56">
        <f t="shared" si="479"/>
        <v>0.176056338028169</v>
      </c>
      <c r="AV519" s="56">
        <f t="shared" si="510"/>
        <v>5.8685446009389672E-2</v>
      </c>
      <c r="AW519" s="57" t="s">
        <v>2511</v>
      </c>
      <c r="AX519" s="57" t="s">
        <v>2512</v>
      </c>
      <c r="AY519" s="57" t="s">
        <v>2513</v>
      </c>
      <c r="AZ519" s="58">
        <f t="shared" si="511"/>
        <v>1.0120312500000001E-2</v>
      </c>
      <c r="BA519" s="59">
        <f t="shared" si="456"/>
        <v>2.9695752640845072E-4</v>
      </c>
      <c r="BB519" s="59">
        <f t="shared" si="457"/>
        <v>8.9087257922535216E-4</v>
      </c>
      <c r="BC519" s="59">
        <f t="shared" si="458"/>
        <v>2.3756602112676061E-4</v>
      </c>
      <c r="BD519" s="60">
        <f t="shared" si="512"/>
        <v>2.7472527472527475E-3</v>
      </c>
      <c r="BE519" s="59">
        <f t="shared" si="513"/>
        <v>2.7472527472527475E-3</v>
      </c>
      <c r="BQ519" s="61">
        <v>3000</v>
      </c>
      <c r="BR519" s="61">
        <v>1200</v>
      </c>
      <c r="BS519" s="28">
        <f t="shared" si="480"/>
        <v>2980</v>
      </c>
      <c r="BT519" s="28">
        <f t="shared" si="481"/>
        <v>1180</v>
      </c>
      <c r="BU519" s="28" t="s">
        <v>2541</v>
      </c>
      <c r="BV519" s="28">
        <f t="shared" si="482"/>
        <v>642.5</v>
      </c>
      <c r="BW519" s="28">
        <f t="shared" si="483"/>
        <v>12.9375</v>
      </c>
      <c r="BX519" s="13">
        <f t="shared" si="484"/>
        <v>4.6381322957198448</v>
      </c>
      <c r="BY519" s="13">
        <f t="shared" si="485"/>
        <v>4</v>
      </c>
      <c r="BZ519" s="13">
        <f t="shared" si="486"/>
        <v>91.207729468599027</v>
      </c>
      <c r="CA519" s="13">
        <f t="shared" si="487"/>
        <v>91</v>
      </c>
      <c r="CB519" s="13">
        <f t="shared" si="488"/>
        <v>364</v>
      </c>
      <c r="CC519" s="62">
        <f t="shared" si="489"/>
        <v>2.7472527472527475E-3</v>
      </c>
      <c r="CD519" s="13">
        <f t="shared" si="490"/>
        <v>230.33816425120773</v>
      </c>
      <c r="CE519" s="13">
        <f t="shared" si="491"/>
        <v>230</v>
      </c>
      <c r="CF519" s="13">
        <f t="shared" si="492"/>
        <v>1.8365758754863812</v>
      </c>
      <c r="CG519" s="13">
        <f t="shared" si="493"/>
        <v>1</v>
      </c>
      <c r="CH519" s="28">
        <f t="shared" si="494"/>
        <v>230</v>
      </c>
      <c r="CI519" s="62">
        <f t="shared" si="495"/>
        <v>4.3478260869565218E-3</v>
      </c>
      <c r="CJ519" s="59">
        <f t="shared" si="496"/>
        <v>2.7472527472527475E-3</v>
      </c>
      <c r="CL519" s="63">
        <v>6000</v>
      </c>
      <c r="CM519" s="63">
        <f t="shared" si="497"/>
        <v>637.5</v>
      </c>
      <c r="CN519" s="63">
        <f t="shared" si="498"/>
        <v>642.5</v>
      </c>
      <c r="CO519" s="63">
        <f t="shared" si="499"/>
        <v>9.3385214007782107</v>
      </c>
      <c r="CP519" s="13">
        <f t="shared" si="500"/>
        <v>9</v>
      </c>
      <c r="CQ519" s="70">
        <f t="shared" si="501"/>
        <v>0.1111111111111111</v>
      </c>
      <c r="CR519" s="69">
        <f t="shared" si="465"/>
        <v>0.1111111111111111</v>
      </c>
    </row>
    <row r="520" spans="1:96" hidden="1" x14ac:dyDescent="0.25">
      <c r="A520" s="10">
        <v>3</v>
      </c>
      <c r="B520" s="8" t="s">
        <v>1306</v>
      </c>
      <c r="C520" s="10" t="s">
        <v>87</v>
      </c>
      <c r="D520" s="10" t="s">
        <v>90</v>
      </c>
      <c r="E520" s="10" t="s">
        <v>52</v>
      </c>
      <c r="F520" s="12">
        <f t="shared" si="470"/>
        <v>7</v>
      </c>
      <c r="G520" s="10">
        <v>2</v>
      </c>
      <c r="H520" s="10">
        <f t="shared" si="502"/>
        <v>2</v>
      </c>
      <c r="I520" s="10">
        <v>9</v>
      </c>
      <c r="J520" s="8" t="s">
        <v>88</v>
      </c>
      <c r="K520" s="8" t="s">
        <v>34</v>
      </c>
      <c r="L520" s="10" t="s">
        <v>89</v>
      </c>
      <c r="M520" s="8" t="s">
        <v>35</v>
      </c>
      <c r="N520" s="10" t="s">
        <v>90</v>
      </c>
      <c r="O520" s="28" t="s">
        <v>41</v>
      </c>
      <c r="P520" s="28" t="s">
        <v>41</v>
      </c>
      <c r="Q520" s="28" t="s">
        <v>79</v>
      </c>
      <c r="R520" s="30">
        <v>14.05511811023622</v>
      </c>
      <c r="S520" s="30">
        <v>0.3125</v>
      </c>
      <c r="T520" s="30"/>
      <c r="U520" s="30">
        <v>0.3125</v>
      </c>
      <c r="V520" s="8">
        <f t="shared" si="471"/>
        <v>357</v>
      </c>
      <c r="W520" s="8">
        <f t="shared" si="472"/>
        <v>7.9375</v>
      </c>
      <c r="X520" s="8">
        <f t="shared" si="473"/>
        <v>0</v>
      </c>
      <c r="Y520" s="33">
        <f t="shared" si="474"/>
        <v>7.9375</v>
      </c>
      <c r="Z520" s="28" t="s">
        <v>80</v>
      </c>
      <c r="AA520" s="28" t="s">
        <v>81</v>
      </c>
      <c r="AB520" s="61" t="s">
        <v>79</v>
      </c>
      <c r="AC520" s="31" t="s">
        <v>82</v>
      </c>
      <c r="AD520" s="50">
        <f t="shared" si="475"/>
        <v>2</v>
      </c>
      <c r="AE520" s="31"/>
      <c r="AF520" s="51">
        <v>14</v>
      </c>
      <c r="AG520" s="51">
        <f t="shared" si="503"/>
        <v>8.4</v>
      </c>
      <c r="AH520" s="51">
        <f t="shared" si="469"/>
        <v>42</v>
      </c>
      <c r="AI520" s="52" t="s">
        <v>2497</v>
      </c>
      <c r="AJ520" s="52" t="s">
        <v>2498</v>
      </c>
      <c r="AK520" s="53">
        <f t="shared" si="504"/>
        <v>5.6673749999999997E-3</v>
      </c>
      <c r="AL520" s="54">
        <f t="shared" si="505"/>
        <v>0.11904761904761904</v>
      </c>
      <c r="AM520" s="54">
        <f t="shared" si="506"/>
        <v>2.3809523809523808E-2</v>
      </c>
      <c r="AN520" s="55">
        <f t="shared" si="507"/>
        <v>1.3493749999999999E-3</v>
      </c>
      <c r="AO520" s="55">
        <f t="shared" si="508"/>
        <v>2.6987499999999999E-4</v>
      </c>
      <c r="AP520" s="53">
        <v>7.1</v>
      </c>
      <c r="AQ520" s="53">
        <f t="shared" si="476"/>
        <v>4.26</v>
      </c>
      <c r="AR520" s="53">
        <f t="shared" si="477"/>
        <v>21.299999999999997</v>
      </c>
      <c r="AS520" s="56">
        <f t="shared" si="478"/>
        <v>4.6948356807511742E-2</v>
      </c>
      <c r="AT520" s="56">
        <f t="shared" si="509"/>
        <v>0.23474178403755869</v>
      </c>
      <c r="AU520" s="56">
        <f t="shared" si="479"/>
        <v>0.176056338028169</v>
      </c>
      <c r="AV520" s="56">
        <f t="shared" si="510"/>
        <v>5.8685446009389672E-2</v>
      </c>
      <c r="AW520" s="57" t="s">
        <v>2511</v>
      </c>
      <c r="AX520" s="57" t="s">
        <v>2512</v>
      </c>
      <c r="AY520" s="57" t="s">
        <v>2513</v>
      </c>
      <c r="AZ520" s="58">
        <f t="shared" si="511"/>
        <v>5.6673749999999997E-3</v>
      </c>
      <c r="BA520" s="59">
        <f t="shared" ref="BA520:BA583" si="514">IF(AW520&lt;&gt;0,((AV520*AD520*AK520)/2),0)</f>
        <v>3.3259242957746479E-4</v>
      </c>
      <c r="BB520" s="59">
        <f t="shared" ref="BB520:BB583" si="515">IF(AX520&lt;&gt;0,((AD520*AU520*AZ520)/2),0)</f>
        <v>9.9777728873239415E-4</v>
      </c>
      <c r="BC520" s="59">
        <f t="shared" ref="BC520:BC583" si="516">IF(AY520&lt;&gt;0,((AD520*AS520*AZ520)/2),0)</f>
        <v>2.6607394366197183E-4</v>
      </c>
      <c r="BD520" s="60">
        <f t="shared" si="512"/>
        <v>1.3736263736263737E-3</v>
      </c>
      <c r="BE520" s="59">
        <f t="shared" si="513"/>
        <v>2.7472527472527475E-3</v>
      </c>
      <c r="BQ520" s="61">
        <v>3000</v>
      </c>
      <c r="BR520" s="61">
        <v>1200</v>
      </c>
      <c r="BS520" s="28">
        <f t="shared" si="480"/>
        <v>2980</v>
      </c>
      <c r="BT520" s="28">
        <f t="shared" si="481"/>
        <v>1180</v>
      </c>
      <c r="BU520" s="28" t="s">
        <v>2541</v>
      </c>
      <c r="BV520" s="28">
        <f t="shared" si="482"/>
        <v>362</v>
      </c>
      <c r="BW520" s="28">
        <f t="shared" si="483"/>
        <v>12.9375</v>
      </c>
      <c r="BX520" s="13">
        <f t="shared" si="484"/>
        <v>8.2320441988950268</v>
      </c>
      <c r="BY520" s="13">
        <f t="shared" si="485"/>
        <v>8</v>
      </c>
      <c r="BZ520" s="13">
        <f t="shared" si="486"/>
        <v>91.207729468599027</v>
      </c>
      <c r="CA520" s="13">
        <f t="shared" si="487"/>
        <v>91</v>
      </c>
      <c r="CB520" s="13">
        <f t="shared" si="488"/>
        <v>728</v>
      </c>
      <c r="CC520" s="62">
        <f t="shared" si="489"/>
        <v>1.3736263736263737E-3</v>
      </c>
      <c r="CD520" s="13">
        <f t="shared" si="490"/>
        <v>230.33816425120773</v>
      </c>
      <c r="CE520" s="13">
        <f t="shared" si="491"/>
        <v>230</v>
      </c>
      <c r="CF520" s="13">
        <f t="shared" si="492"/>
        <v>3.2596685082872927</v>
      </c>
      <c r="CG520" s="13">
        <f t="shared" si="493"/>
        <v>3</v>
      </c>
      <c r="CH520" s="28">
        <f t="shared" si="494"/>
        <v>690</v>
      </c>
      <c r="CI520" s="62">
        <f t="shared" si="495"/>
        <v>1.4492753623188406E-3</v>
      </c>
      <c r="CJ520" s="59">
        <f t="shared" si="496"/>
        <v>1.3736263736263737E-3</v>
      </c>
      <c r="CL520" s="63">
        <v>6000</v>
      </c>
      <c r="CM520" s="63">
        <f t="shared" si="497"/>
        <v>357</v>
      </c>
      <c r="CN520" s="63">
        <f t="shared" si="498"/>
        <v>362</v>
      </c>
      <c r="CO520" s="63">
        <f t="shared" si="499"/>
        <v>16.574585635359117</v>
      </c>
      <c r="CP520" s="13">
        <f t="shared" si="500"/>
        <v>16</v>
      </c>
      <c r="CQ520" s="70">
        <f t="shared" si="501"/>
        <v>6.25E-2</v>
      </c>
      <c r="CR520" s="69">
        <f t="shared" si="465"/>
        <v>0.125</v>
      </c>
    </row>
    <row r="521" spans="1:96" hidden="1" x14ac:dyDescent="0.25">
      <c r="A521" s="10">
        <v>3</v>
      </c>
      <c r="B521" s="8" t="s">
        <v>1306</v>
      </c>
      <c r="C521" s="10" t="s">
        <v>1311</v>
      </c>
      <c r="D521" s="10" t="s">
        <v>2270</v>
      </c>
      <c r="E521" s="10" t="s">
        <v>32</v>
      </c>
      <c r="F521" s="12">
        <f t="shared" si="470"/>
        <v>1</v>
      </c>
      <c r="G521" s="10">
        <v>1</v>
      </c>
      <c r="H521" s="10">
        <f t="shared" si="502"/>
        <v>1</v>
      </c>
      <c r="I521" s="10">
        <v>10</v>
      </c>
      <c r="J521" s="8" t="s">
        <v>508</v>
      </c>
      <c r="K521" s="8" t="s">
        <v>34</v>
      </c>
      <c r="L521" s="10" t="s">
        <v>110</v>
      </c>
      <c r="M521" s="8" t="s">
        <v>35</v>
      </c>
      <c r="N521" s="10" t="s">
        <v>1312</v>
      </c>
      <c r="O521" s="28" t="s">
        <v>41</v>
      </c>
      <c r="P521" s="28" t="s">
        <v>41</v>
      </c>
      <c r="Q521" s="28"/>
      <c r="R521" s="30"/>
      <c r="S521" s="30"/>
      <c r="T521" s="30"/>
      <c r="U521" s="30"/>
      <c r="V521" s="8">
        <f t="shared" si="471"/>
        <v>0</v>
      </c>
      <c r="W521" s="8">
        <f t="shared" si="472"/>
        <v>0</v>
      </c>
      <c r="X521" s="8">
        <f t="shared" si="473"/>
        <v>0</v>
      </c>
      <c r="Y521" s="33">
        <f t="shared" si="474"/>
        <v>0</v>
      </c>
      <c r="Z521" s="28"/>
      <c r="AA521" s="28"/>
      <c r="AB521" s="28">
        <v>0</v>
      </c>
      <c r="AC521" s="31"/>
      <c r="AD521" s="50">
        <f t="shared" si="475"/>
        <v>1</v>
      </c>
      <c r="AE521" s="31"/>
      <c r="AF521" s="51">
        <v>14</v>
      </c>
      <c r="AG521" s="51">
        <f t="shared" si="503"/>
        <v>8.4</v>
      </c>
      <c r="AH521" s="51">
        <f t="shared" si="469"/>
        <v>42</v>
      </c>
      <c r="AI521" s="52" t="s">
        <v>2497</v>
      </c>
      <c r="AJ521" s="52" t="s">
        <v>2498</v>
      </c>
      <c r="AK521" s="53">
        <f t="shared" si="504"/>
        <v>0</v>
      </c>
      <c r="AL521" s="54">
        <f t="shared" si="505"/>
        <v>0.11904761904761904</v>
      </c>
      <c r="AM521" s="54">
        <f t="shared" si="506"/>
        <v>2.3809523809523808E-2</v>
      </c>
      <c r="AN521" s="55">
        <f t="shared" si="507"/>
        <v>0</v>
      </c>
      <c r="AO521" s="55">
        <f t="shared" si="508"/>
        <v>0</v>
      </c>
      <c r="AP521" s="53">
        <v>7.1</v>
      </c>
      <c r="AQ521" s="53">
        <f t="shared" si="476"/>
        <v>4.26</v>
      </c>
      <c r="AR521" s="53">
        <f t="shared" si="477"/>
        <v>21.299999999999997</v>
      </c>
      <c r="AS521" s="56">
        <f t="shared" si="478"/>
        <v>4.6948356807511742E-2</v>
      </c>
      <c r="AT521" s="56">
        <f t="shared" si="509"/>
        <v>0.23474178403755869</v>
      </c>
      <c r="AU521" s="56">
        <f t="shared" si="479"/>
        <v>0.176056338028169</v>
      </c>
      <c r="AV521" s="56">
        <f t="shared" si="510"/>
        <v>5.8685446009389672E-2</v>
      </c>
      <c r="AW521" s="57" t="s">
        <v>2511</v>
      </c>
      <c r="AX521" s="57" t="s">
        <v>2512</v>
      </c>
      <c r="AY521" s="57" t="s">
        <v>2513</v>
      </c>
      <c r="AZ521" s="58">
        <f t="shared" si="511"/>
        <v>0</v>
      </c>
      <c r="BA521" s="59">
        <f t="shared" si="514"/>
        <v>0</v>
      </c>
      <c r="BB521" s="59">
        <f t="shared" si="515"/>
        <v>0</v>
      </c>
      <c r="BC521" s="59">
        <f t="shared" si="516"/>
        <v>0</v>
      </c>
      <c r="BD521" s="60">
        <f t="shared" si="512"/>
        <v>0</v>
      </c>
      <c r="BE521" s="59">
        <f t="shared" si="513"/>
        <v>0</v>
      </c>
      <c r="BQ521" s="61">
        <v>3000</v>
      </c>
      <c r="BR521" s="61">
        <v>1200</v>
      </c>
      <c r="BS521" s="28">
        <f t="shared" si="480"/>
        <v>2980</v>
      </c>
      <c r="BT521" s="28">
        <f t="shared" si="481"/>
        <v>1180</v>
      </c>
      <c r="BU521" s="28" t="s">
        <v>2541</v>
      </c>
      <c r="BV521" s="28">
        <f t="shared" si="482"/>
        <v>5</v>
      </c>
      <c r="BW521" s="28">
        <f t="shared" si="483"/>
        <v>5</v>
      </c>
      <c r="BX521" s="13">
        <f t="shared" si="484"/>
        <v>596</v>
      </c>
      <c r="BY521" s="13">
        <f t="shared" si="485"/>
        <v>596</v>
      </c>
      <c r="BZ521" s="13">
        <f t="shared" si="486"/>
        <v>236</v>
      </c>
      <c r="CA521" s="13">
        <f t="shared" si="487"/>
        <v>236</v>
      </c>
      <c r="CB521" s="13">
        <f t="shared" si="488"/>
        <v>140656</v>
      </c>
      <c r="CC521" s="62" t="str">
        <f t="shared" si="489"/>
        <v/>
      </c>
      <c r="CD521" s="13">
        <f t="shared" si="490"/>
        <v>596</v>
      </c>
      <c r="CE521" s="13">
        <f t="shared" si="491"/>
        <v>596</v>
      </c>
      <c r="CF521" s="13">
        <f t="shared" si="492"/>
        <v>236</v>
      </c>
      <c r="CG521" s="13">
        <f t="shared" si="493"/>
        <v>236</v>
      </c>
      <c r="CH521" s="28">
        <f t="shared" si="494"/>
        <v>140656</v>
      </c>
      <c r="CI521" s="62" t="str">
        <f t="shared" si="495"/>
        <v/>
      </c>
      <c r="CJ521" s="59">
        <f t="shared" si="496"/>
        <v>0</v>
      </c>
      <c r="CL521" s="63">
        <v>6000</v>
      </c>
      <c r="CM521" s="63">
        <f t="shared" si="497"/>
        <v>0</v>
      </c>
      <c r="CN521" s="63">
        <f t="shared" si="498"/>
        <v>5</v>
      </c>
      <c r="CO521" s="63">
        <f t="shared" si="499"/>
        <v>1200</v>
      </c>
      <c r="CP521" s="13">
        <f t="shared" si="500"/>
        <v>1200</v>
      </c>
      <c r="CQ521" s="70">
        <f t="shared" si="501"/>
        <v>8.3333333333333339E-4</v>
      </c>
      <c r="CR521" s="69">
        <f t="shared" si="465"/>
        <v>8.3333333333333339E-4</v>
      </c>
    </row>
    <row r="522" spans="1:96" hidden="1" x14ac:dyDescent="0.25">
      <c r="A522" s="13">
        <v>4</v>
      </c>
      <c r="B522" s="14" t="s">
        <v>1313</v>
      </c>
      <c r="C522" s="13" t="s">
        <v>1314</v>
      </c>
      <c r="D522" s="13" t="s">
        <v>2270</v>
      </c>
      <c r="E522" s="13" t="s">
        <v>52</v>
      </c>
      <c r="F522" s="15">
        <f t="shared" si="470"/>
        <v>1</v>
      </c>
      <c r="G522" s="13">
        <v>1</v>
      </c>
      <c r="H522" s="13">
        <f>G522*$H$521</f>
        <v>1</v>
      </c>
      <c r="I522" s="13">
        <v>1</v>
      </c>
      <c r="J522" s="14" t="s">
        <v>512</v>
      </c>
      <c r="K522" s="14" t="s">
        <v>34</v>
      </c>
      <c r="L522" s="13" t="s">
        <v>110</v>
      </c>
      <c r="M522" s="14" t="s">
        <v>35</v>
      </c>
      <c r="N522" s="13" t="s">
        <v>1315</v>
      </c>
      <c r="O522" s="28" t="s">
        <v>41</v>
      </c>
      <c r="P522" s="28" t="s">
        <v>41</v>
      </c>
      <c r="Q522" s="28" t="s">
        <v>124</v>
      </c>
      <c r="R522" s="30">
        <v>6.25</v>
      </c>
      <c r="S522" s="30">
        <v>5.8849999999999998</v>
      </c>
      <c r="T522" s="30"/>
      <c r="U522" s="30">
        <v>9.8000000000000004E-2</v>
      </c>
      <c r="V522" s="8">
        <f t="shared" si="471"/>
        <v>158.75</v>
      </c>
      <c r="W522" s="8">
        <f t="shared" si="472"/>
        <v>149.47899999999998</v>
      </c>
      <c r="X522" s="8">
        <f t="shared" si="473"/>
        <v>0</v>
      </c>
      <c r="Y522" s="33">
        <f t="shared" si="474"/>
        <v>2.4891999999999999</v>
      </c>
      <c r="Z522" s="28" t="s">
        <v>56</v>
      </c>
      <c r="AA522" s="28" t="s">
        <v>57</v>
      </c>
      <c r="AB522" s="61" t="s">
        <v>124</v>
      </c>
      <c r="AC522" s="31" t="s">
        <v>125</v>
      </c>
      <c r="AD522" s="50">
        <f t="shared" si="475"/>
        <v>1</v>
      </c>
      <c r="AE522" s="31"/>
      <c r="AF522" s="51">
        <v>14</v>
      </c>
      <c r="AG522" s="51">
        <f t="shared" si="503"/>
        <v>8.4</v>
      </c>
      <c r="AH522" s="51">
        <f t="shared" si="469"/>
        <v>42</v>
      </c>
      <c r="AI522" s="52" t="s">
        <v>2497</v>
      </c>
      <c r="AJ522" s="52" t="s">
        <v>2498</v>
      </c>
      <c r="AK522" s="53">
        <f t="shared" si="504"/>
        <v>4.74595825E-2</v>
      </c>
      <c r="AL522" s="54">
        <f t="shared" si="505"/>
        <v>0.11904761904761904</v>
      </c>
      <c r="AM522" s="54">
        <f t="shared" si="506"/>
        <v>2.3809523809523808E-2</v>
      </c>
      <c r="AN522" s="55">
        <f t="shared" si="507"/>
        <v>5.6499502976190474E-3</v>
      </c>
      <c r="AO522" s="55">
        <f t="shared" si="508"/>
        <v>1.1299900595238095E-3</v>
      </c>
      <c r="AP522" s="53">
        <v>7.1</v>
      </c>
      <c r="AQ522" s="53">
        <f t="shared" si="476"/>
        <v>4.26</v>
      </c>
      <c r="AR522" s="53">
        <f t="shared" si="477"/>
        <v>21.299999999999997</v>
      </c>
      <c r="AS522" s="56">
        <f t="shared" si="478"/>
        <v>4.6948356807511742E-2</v>
      </c>
      <c r="AT522" s="56">
        <f t="shared" si="509"/>
        <v>0.23474178403755869</v>
      </c>
      <c r="AU522" s="56">
        <f t="shared" si="479"/>
        <v>0.176056338028169</v>
      </c>
      <c r="AV522" s="56">
        <f t="shared" si="510"/>
        <v>5.8685446009389672E-2</v>
      </c>
      <c r="AW522" s="57" t="s">
        <v>2511</v>
      </c>
      <c r="AX522" s="57" t="s">
        <v>2512</v>
      </c>
      <c r="AY522" s="57" t="s">
        <v>2513</v>
      </c>
      <c r="AZ522" s="58">
        <f t="shared" si="511"/>
        <v>4.74595825E-2</v>
      </c>
      <c r="BA522" s="59">
        <f t="shared" si="514"/>
        <v>1.3925933832159623E-3</v>
      </c>
      <c r="BB522" s="59">
        <f t="shared" si="515"/>
        <v>4.1777801496478868E-3</v>
      </c>
      <c r="BC522" s="59">
        <f t="shared" si="516"/>
        <v>1.11407470657277E-3</v>
      </c>
      <c r="BD522" s="60">
        <f t="shared" si="512"/>
        <v>7.5187969924812026E-3</v>
      </c>
      <c r="BE522" s="59">
        <f t="shared" si="513"/>
        <v>7.5187969924812026E-3</v>
      </c>
      <c r="BQ522" s="61">
        <v>3000</v>
      </c>
      <c r="BR522" s="61">
        <v>1200</v>
      </c>
      <c r="BS522" s="28">
        <f t="shared" si="480"/>
        <v>2980</v>
      </c>
      <c r="BT522" s="28">
        <f t="shared" si="481"/>
        <v>1180</v>
      </c>
      <c r="BU522" s="28" t="s">
        <v>2541</v>
      </c>
      <c r="BV522" s="28">
        <f t="shared" si="482"/>
        <v>163.75</v>
      </c>
      <c r="BW522" s="28">
        <f t="shared" si="483"/>
        <v>154.47899999999998</v>
      </c>
      <c r="BX522" s="13">
        <f t="shared" si="484"/>
        <v>18.198473282442748</v>
      </c>
      <c r="BY522" s="13">
        <f t="shared" si="485"/>
        <v>18</v>
      </c>
      <c r="BZ522" s="13">
        <f t="shared" si="486"/>
        <v>7.6385787064908506</v>
      </c>
      <c r="CA522" s="13">
        <f t="shared" si="487"/>
        <v>7</v>
      </c>
      <c r="CB522" s="13">
        <f t="shared" si="488"/>
        <v>126</v>
      </c>
      <c r="CC522" s="62">
        <f t="shared" si="489"/>
        <v>7.9365079365079361E-3</v>
      </c>
      <c r="CD522" s="13">
        <f t="shared" si="490"/>
        <v>19.290647919781978</v>
      </c>
      <c r="CE522" s="13">
        <f t="shared" si="491"/>
        <v>19</v>
      </c>
      <c r="CF522" s="13">
        <f t="shared" si="492"/>
        <v>7.2061068702290072</v>
      </c>
      <c r="CG522" s="13">
        <f t="shared" si="493"/>
        <v>7</v>
      </c>
      <c r="CH522" s="28">
        <f t="shared" si="494"/>
        <v>133</v>
      </c>
      <c r="CI522" s="62">
        <f t="shared" si="495"/>
        <v>7.5187969924812026E-3</v>
      </c>
      <c r="CJ522" s="59">
        <f t="shared" si="496"/>
        <v>7.5187969924812026E-3</v>
      </c>
      <c r="CL522" s="63">
        <v>6000</v>
      </c>
      <c r="CM522" s="63">
        <f t="shared" si="497"/>
        <v>158.75</v>
      </c>
      <c r="CN522" s="63">
        <f t="shared" si="498"/>
        <v>163.75</v>
      </c>
      <c r="CO522" s="63">
        <f t="shared" si="499"/>
        <v>36.641221374045799</v>
      </c>
      <c r="CP522" s="13">
        <f t="shared" si="500"/>
        <v>36</v>
      </c>
      <c r="CQ522" s="70">
        <f t="shared" si="501"/>
        <v>2.7777777777777776E-2</v>
      </c>
      <c r="CR522" s="69">
        <f t="shared" si="465"/>
        <v>2.7777777777777776E-2</v>
      </c>
    </row>
    <row r="523" spans="1:96" hidden="1" x14ac:dyDescent="0.25">
      <c r="A523" s="13">
        <v>4</v>
      </c>
      <c r="B523" s="14" t="s">
        <v>1313</v>
      </c>
      <c r="C523" s="13" t="s">
        <v>1316</v>
      </c>
      <c r="D523" s="13" t="s">
        <v>2482</v>
      </c>
      <c r="E523" s="13" t="s">
        <v>52</v>
      </c>
      <c r="F523" s="15">
        <f t="shared" si="470"/>
        <v>1</v>
      </c>
      <c r="G523" s="13">
        <v>3</v>
      </c>
      <c r="H523" s="13">
        <f>G523*$H$521</f>
        <v>3</v>
      </c>
      <c r="I523" s="13">
        <v>2</v>
      </c>
      <c r="J523" s="14" t="s">
        <v>1317</v>
      </c>
      <c r="K523" s="14" t="s">
        <v>34</v>
      </c>
      <c r="L523" s="13">
        <v>0</v>
      </c>
      <c r="M523" s="14" t="s">
        <v>35</v>
      </c>
      <c r="N523" s="13" t="s">
        <v>1318</v>
      </c>
      <c r="O523" s="28" t="s">
        <v>41</v>
      </c>
      <c r="P523" s="28" t="s">
        <v>41</v>
      </c>
      <c r="Q523" s="28" t="s">
        <v>1318</v>
      </c>
      <c r="R523" s="30"/>
      <c r="S523" s="30"/>
      <c r="T523" s="30"/>
      <c r="U523" s="30"/>
      <c r="V523" s="8">
        <f t="shared" si="471"/>
        <v>0</v>
      </c>
      <c r="W523" s="8">
        <f t="shared" si="472"/>
        <v>0</v>
      </c>
      <c r="X523" s="8">
        <f t="shared" si="473"/>
        <v>0</v>
      </c>
      <c r="Y523" s="33">
        <f t="shared" si="474"/>
        <v>0</v>
      </c>
      <c r="Z523" s="28"/>
      <c r="AA523" s="28"/>
      <c r="AB523" s="61" t="s">
        <v>1318</v>
      </c>
      <c r="AC523" s="31" t="s">
        <v>1319</v>
      </c>
      <c r="AD523" s="50">
        <f t="shared" si="475"/>
        <v>3</v>
      </c>
      <c r="AE523" s="31"/>
      <c r="AF523" s="51">
        <v>14</v>
      </c>
      <c r="AG523" s="51">
        <f t="shared" si="503"/>
        <v>8.4</v>
      </c>
      <c r="AH523" s="51">
        <f t="shared" si="469"/>
        <v>42</v>
      </c>
      <c r="AI523" s="52" t="s">
        <v>2497</v>
      </c>
      <c r="AJ523" s="52" t="s">
        <v>2498</v>
      </c>
      <c r="AK523" s="53">
        <f t="shared" si="504"/>
        <v>0</v>
      </c>
      <c r="AL523" s="54">
        <f t="shared" si="505"/>
        <v>0.11904761904761904</v>
      </c>
      <c r="AM523" s="54">
        <f t="shared" si="506"/>
        <v>2.3809523809523808E-2</v>
      </c>
      <c r="AN523" s="55">
        <f t="shared" si="507"/>
        <v>0</v>
      </c>
      <c r="AO523" s="55">
        <f t="shared" si="508"/>
        <v>0</v>
      </c>
      <c r="AP523" s="53">
        <v>7.1</v>
      </c>
      <c r="AQ523" s="53">
        <f t="shared" si="476"/>
        <v>4.26</v>
      </c>
      <c r="AR523" s="53">
        <f t="shared" si="477"/>
        <v>21.299999999999997</v>
      </c>
      <c r="AS523" s="56">
        <f t="shared" si="478"/>
        <v>4.6948356807511742E-2</v>
      </c>
      <c r="AT523" s="56">
        <f t="shared" si="509"/>
        <v>0.23474178403755869</v>
      </c>
      <c r="AU523" s="56">
        <f t="shared" si="479"/>
        <v>0.176056338028169</v>
      </c>
      <c r="AV523" s="56">
        <f t="shared" si="510"/>
        <v>5.8685446009389672E-2</v>
      </c>
      <c r="AW523" s="57" t="s">
        <v>2511</v>
      </c>
      <c r="AX523" s="57" t="s">
        <v>2512</v>
      </c>
      <c r="AY523" s="57" t="s">
        <v>2513</v>
      </c>
      <c r="AZ523" s="58">
        <f t="shared" si="511"/>
        <v>0</v>
      </c>
      <c r="BA523" s="59">
        <f t="shared" si="514"/>
        <v>0</v>
      </c>
      <c r="BB523" s="59">
        <f t="shared" si="515"/>
        <v>0</v>
      </c>
      <c r="BC523" s="59">
        <f t="shared" si="516"/>
        <v>0</v>
      </c>
      <c r="BD523" s="60">
        <f t="shared" si="512"/>
        <v>7.1095438516664771E-6</v>
      </c>
      <c r="BE523" s="59">
        <f t="shared" si="513"/>
        <v>2.1328631554999432E-5</v>
      </c>
      <c r="BQ523" s="61">
        <v>3000</v>
      </c>
      <c r="BR523" s="61">
        <v>1200</v>
      </c>
      <c r="BS523" s="28">
        <f t="shared" si="480"/>
        <v>2980</v>
      </c>
      <c r="BT523" s="28">
        <f t="shared" si="481"/>
        <v>1180</v>
      </c>
      <c r="BU523" s="28" t="s">
        <v>2541</v>
      </c>
      <c r="BV523" s="28">
        <f t="shared" si="482"/>
        <v>5</v>
      </c>
      <c r="BW523" s="28">
        <f t="shared" si="483"/>
        <v>5</v>
      </c>
      <c r="BX523" s="13">
        <f t="shared" si="484"/>
        <v>596</v>
      </c>
      <c r="BY523" s="13">
        <f t="shared" si="485"/>
        <v>596</v>
      </c>
      <c r="BZ523" s="13">
        <f t="shared" si="486"/>
        <v>236</v>
      </c>
      <c r="CA523" s="13">
        <f t="shared" si="487"/>
        <v>236</v>
      </c>
      <c r="CB523" s="13">
        <f t="shared" si="488"/>
        <v>140656</v>
      </c>
      <c r="CC523" s="62">
        <f t="shared" si="489"/>
        <v>7.1095438516664771E-6</v>
      </c>
      <c r="CD523" s="13">
        <f t="shared" si="490"/>
        <v>596</v>
      </c>
      <c r="CE523" s="13">
        <f t="shared" si="491"/>
        <v>596</v>
      </c>
      <c r="CF523" s="13">
        <f t="shared" si="492"/>
        <v>236</v>
      </c>
      <c r="CG523" s="13">
        <f t="shared" si="493"/>
        <v>236</v>
      </c>
      <c r="CH523" s="28">
        <f t="shared" si="494"/>
        <v>140656</v>
      </c>
      <c r="CI523" s="62">
        <f t="shared" si="495"/>
        <v>7.1095438516664771E-6</v>
      </c>
      <c r="CJ523" s="59">
        <f t="shared" si="496"/>
        <v>7.1095438516664771E-6</v>
      </c>
      <c r="CL523" s="63">
        <v>6000</v>
      </c>
      <c r="CM523" s="63">
        <f t="shared" si="497"/>
        <v>0</v>
      </c>
      <c r="CN523" s="63">
        <f t="shared" si="498"/>
        <v>5</v>
      </c>
      <c r="CO523" s="63">
        <f t="shared" si="499"/>
        <v>1200</v>
      </c>
      <c r="CP523" s="13">
        <f t="shared" si="500"/>
        <v>1200</v>
      </c>
      <c r="CQ523" s="70">
        <f t="shared" si="501"/>
        <v>8.3333333333333339E-4</v>
      </c>
      <c r="CR523" s="69">
        <f t="shared" si="465"/>
        <v>2.5000000000000001E-3</v>
      </c>
    </row>
    <row r="524" spans="1:96" hidden="1" x14ac:dyDescent="0.25">
      <c r="A524" s="10">
        <v>3</v>
      </c>
      <c r="B524" s="8" t="s">
        <v>1306</v>
      </c>
      <c r="C524" s="10" t="s">
        <v>1320</v>
      </c>
      <c r="D524" s="10" t="s">
        <v>1321</v>
      </c>
      <c r="E524" s="10" t="s">
        <v>52</v>
      </c>
      <c r="F524" s="12">
        <f t="shared" si="470"/>
        <v>1</v>
      </c>
      <c r="G524" s="10">
        <v>1</v>
      </c>
      <c r="H524" s="10">
        <f t="shared" ref="H524:H526" si="517">G524*$H$513</f>
        <v>1</v>
      </c>
      <c r="I524" s="10">
        <v>11</v>
      </c>
      <c r="J524" s="8" t="s">
        <v>76</v>
      </c>
      <c r="K524" s="8" t="s">
        <v>34</v>
      </c>
      <c r="L524" s="10" t="s">
        <v>77</v>
      </c>
      <c r="M524" s="8" t="s">
        <v>35</v>
      </c>
      <c r="N524" s="10" t="s">
        <v>1321</v>
      </c>
      <c r="O524" s="28" t="s">
        <v>41</v>
      </c>
      <c r="P524" s="28" t="s">
        <v>41</v>
      </c>
      <c r="Q524" s="28" t="s">
        <v>79</v>
      </c>
      <c r="R524" s="30">
        <v>23.051181102362207</v>
      </c>
      <c r="S524" s="30">
        <v>0.3125</v>
      </c>
      <c r="T524" s="30"/>
      <c r="U524" s="30">
        <v>0.3125</v>
      </c>
      <c r="V524" s="8">
        <f t="shared" si="471"/>
        <v>585.5</v>
      </c>
      <c r="W524" s="8">
        <f t="shared" si="472"/>
        <v>7.9375</v>
      </c>
      <c r="X524" s="8">
        <f t="shared" si="473"/>
        <v>0</v>
      </c>
      <c r="Y524" s="33">
        <f t="shared" si="474"/>
        <v>7.9375</v>
      </c>
      <c r="Z524" s="28" t="s">
        <v>80</v>
      </c>
      <c r="AA524" s="28" t="s">
        <v>81</v>
      </c>
      <c r="AB524" s="61" t="s">
        <v>79</v>
      </c>
      <c r="AC524" s="31" t="s">
        <v>82</v>
      </c>
      <c r="AD524" s="50">
        <f t="shared" si="475"/>
        <v>1</v>
      </c>
      <c r="AE524" s="31"/>
      <c r="AF524" s="51">
        <v>14</v>
      </c>
      <c r="AG524" s="51">
        <f t="shared" si="503"/>
        <v>8.4</v>
      </c>
      <c r="AH524" s="51">
        <f t="shared" si="469"/>
        <v>42</v>
      </c>
      <c r="AI524" s="52" t="s">
        <v>2497</v>
      </c>
      <c r="AJ524" s="52" t="s">
        <v>2498</v>
      </c>
      <c r="AK524" s="53">
        <f t="shared" si="504"/>
        <v>9.2948124999999993E-3</v>
      </c>
      <c r="AL524" s="54">
        <f t="shared" si="505"/>
        <v>0.11904761904761904</v>
      </c>
      <c r="AM524" s="54">
        <f t="shared" si="506"/>
        <v>2.3809523809523808E-2</v>
      </c>
      <c r="AN524" s="55">
        <f t="shared" si="507"/>
        <v>1.1065252976190474E-3</v>
      </c>
      <c r="AO524" s="55">
        <f t="shared" si="508"/>
        <v>2.213050595238095E-4</v>
      </c>
      <c r="AP524" s="53">
        <v>7.1</v>
      </c>
      <c r="AQ524" s="53">
        <f t="shared" si="476"/>
        <v>4.26</v>
      </c>
      <c r="AR524" s="53">
        <f t="shared" si="477"/>
        <v>21.299999999999997</v>
      </c>
      <c r="AS524" s="56">
        <f t="shared" si="478"/>
        <v>4.6948356807511742E-2</v>
      </c>
      <c r="AT524" s="56">
        <f t="shared" si="509"/>
        <v>0.23474178403755869</v>
      </c>
      <c r="AU524" s="56">
        <f t="shared" si="479"/>
        <v>0.176056338028169</v>
      </c>
      <c r="AV524" s="56">
        <f t="shared" si="510"/>
        <v>5.8685446009389672E-2</v>
      </c>
      <c r="AW524" s="57" t="s">
        <v>2511</v>
      </c>
      <c r="AX524" s="57" t="s">
        <v>2512</v>
      </c>
      <c r="AY524" s="57" t="s">
        <v>2513</v>
      </c>
      <c r="AZ524" s="58">
        <f t="shared" si="511"/>
        <v>9.2948124999999993E-3</v>
      </c>
      <c r="BA524" s="59">
        <f t="shared" si="514"/>
        <v>2.7273510856807507E-4</v>
      </c>
      <c r="BB524" s="59">
        <f t="shared" si="515"/>
        <v>8.1820532570422522E-4</v>
      </c>
      <c r="BC524" s="59">
        <f t="shared" si="516"/>
        <v>2.1818808685446009E-4</v>
      </c>
      <c r="BD524" s="60">
        <f t="shared" si="512"/>
        <v>2.1978021978021978E-3</v>
      </c>
      <c r="BE524" s="59">
        <f t="shared" si="513"/>
        <v>2.1978021978021978E-3</v>
      </c>
      <c r="BQ524" s="61">
        <v>3000</v>
      </c>
      <c r="BR524" s="61">
        <v>1200</v>
      </c>
      <c r="BS524" s="28">
        <f t="shared" si="480"/>
        <v>2980</v>
      </c>
      <c r="BT524" s="28">
        <f t="shared" si="481"/>
        <v>1180</v>
      </c>
      <c r="BU524" s="28" t="s">
        <v>2541</v>
      </c>
      <c r="BV524" s="28">
        <f t="shared" si="482"/>
        <v>590.5</v>
      </c>
      <c r="BW524" s="28">
        <f t="shared" si="483"/>
        <v>12.9375</v>
      </c>
      <c r="BX524" s="13">
        <f t="shared" si="484"/>
        <v>5.0465707027942424</v>
      </c>
      <c r="BY524" s="13">
        <f t="shared" si="485"/>
        <v>5</v>
      </c>
      <c r="BZ524" s="13">
        <f t="shared" si="486"/>
        <v>91.207729468599027</v>
      </c>
      <c r="CA524" s="13">
        <f t="shared" si="487"/>
        <v>91</v>
      </c>
      <c r="CB524" s="13">
        <f t="shared" si="488"/>
        <v>455</v>
      </c>
      <c r="CC524" s="62">
        <f t="shared" si="489"/>
        <v>2.1978021978021978E-3</v>
      </c>
      <c r="CD524" s="13">
        <f t="shared" si="490"/>
        <v>230.33816425120773</v>
      </c>
      <c r="CE524" s="13">
        <f t="shared" si="491"/>
        <v>230</v>
      </c>
      <c r="CF524" s="13">
        <f t="shared" si="492"/>
        <v>1.9983065198983911</v>
      </c>
      <c r="CG524" s="13">
        <f t="shared" si="493"/>
        <v>1</v>
      </c>
      <c r="CH524" s="28">
        <f t="shared" si="494"/>
        <v>230</v>
      </c>
      <c r="CI524" s="62">
        <f t="shared" si="495"/>
        <v>4.3478260869565218E-3</v>
      </c>
      <c r="CJ524" s="59">
        <f t="shared" si="496"/>
        <v>2.1978021978021978E-3</v>
      </c>
      <c r="CL524" s="63">
        <v>6000</v>
      </c>
      <c r="CM524" s="63">
        <f t="shared" si="497"/>
        <v>585.5</v>
      </c>
      <c r="CN524" s="63">
        <f t="shared" si="498"/>
        <v>590.5</v>
      </c>
      <c r="CO524" s="63">
        <f t="shared" si="499"/>
        <v>10.160880609652837</v>
      </c>
      <c r="CP524" s="13">
        <f t="shared" si="500"/>
        <v>10</v>
      </c>
      <c r="CQ524" s="70">
        <f t="shared" si="501"/>
        <v>0.1</v>
      </c>
      <c r="CR524" s="69">
        <f t="shared" si="465"/>
        <v>0.1</v>
      </c>
    </row>
    <row r="525" spans="1:96" hidden="1" x14ac:dyDescent="0.25">
      <c r="A525" s="10">
        <v>3</v>
      </c>
      <c r="B525" s="8" t="s">
        <v>1306</v>
      </c>
      <c r="C525" s="10" t="s">
        <v>1322</v>
      </c>
      <c r="D525" s="10" t="s">
        <v>1323</v>
      </c>
      <c r="E525" s="10" t="s">
        <v>52</v>
      </c>
      <c r="F525" s="12">
        <f t="shared" si="470"/>
        <v>1</v>
      </c>
      <c r="G525" s="10">
        <v>1</v>
      </c>
      <c r="H525" s="10">
        <f t="shared" si="517"/>
        <v>1</v>
      </c>
      <c r="I525" s="10">
        <v>12</v>
      </c>
      <c r="J525" s="8" t="s">
        <v>76</v>
      </c>
      <c r="K525" s="8" t="s">
        <v>34</v>
      </c>
      <c r="L525" s="10" t="s">
        <v>77</v>
      </c>
      <c r="M525" s="8" t="s">
        <v>35</v>
      </c>
      <c r="N525" s="10" t="s">
        <v>1323</v>
      </c>
      <c r="O525" s="28" t="s">
        <v>41</v>
      </c>
      <c r="P525" s="28" t="s">
        <v>41</v>
      </c>
      <c r="Q525" s="28" t="s">
        <v>79</v>
      </c>
      <c r="R525" s="30">
        <v>22.086614173228348</v>
      </c>
      <c r="S525" s="30">
        <v>0.3125</v>
      </c>
      <c r="T525" s="30"/>
      <c r="U525" s="30">
        <v>0.3125</v>
      </c>
      <c r="V525" s="8">
        <f t="shared" si="471"/>
        <v>561</v>
      </c>
      <c r="W525" s="8">
        <f t="shared" si="472"/>
        <v>7.9375</v>
      </c>
      <c r="X525" s="8">
        <f t="shared" si="473"/>
        <v>0</v>
      </c>
      <c r="Y525" s="33">
        <f t="shared" si="474"/>
        <v>7.9375</v>
      </c>
      <c r="Z525" s="28" t="s">
        <v>80</v>
      </c>
      <c r="AA525" s="28" t="s">
        <v>81</v>
      </c>
      <c r="AB525" s="61" t="s">
        <v>79</v>
      </c>
      <c r="AC525" s="31" t="s">
        <v>82</v>
      </c>
      <c r="AD525" s="50">
        <f t="shared" si="475"/>
        <v>1</v>
      </c>
      <c r="AE525" s="31"/>
      <c r="AF525" s="51">
        <v>14</v>
      </c>
      <c r="AG525" s="51">
        <f t="shared" si="503"/>
        <v>8.4</v>
      </c>
      <c r="AH525" s="51">
        <f t="shared" si="469"/>
        <v>42</v>
      </c>
      <c r="AI525" s="52" t="s">
        <v>2497</v>
      </c>
      <c r="AJ525" s="52" t="s">
        <v>2498</v>
      </c>
      <c r="AK525" s="53">
        <f t="shared" si="504"/>
        <v>8.9058750000000006E-3</v>
      </c>
      <c r="AL525" s="54">
        <f t="shared" si="505"/>
        <v>0.11904761904761904</v>
      </c>
      <c r="AM525" s="54">
        <f t="shared" si="506"/>
        <v>2.3809523809523808E-2</v>
      </c>
      <c r="AN525" s="55">
        <f t="shared" si="507"/>
        <v>1.0602232142857143E-3</v>
      </c>
      <c r="AO525" s="55">
        <f t="shared" si="508"/>
        <v>2.1204464285714286E-4</v>
      </c>
      <c r="AP525" s="53">
        <v>7.1</v>
      </c>
      <c r="AQ525" s="53">
        <f t="shared" si="476"/>
        <v>4.26</v>
      </c>
      <c r="AR525" s="53">
        <f t="shared" si="477"/>
        <v>21.299999999999997</v>
      </c>
      <c r="AS525" s="56">
        <f t="shared" si="478"/>
        <v>4.6948356807511742E-2</v>
      </c>
      <c r="AT525" s="56">
        <f t="shared" si="509"/>
        <v>0.23474178403755869</v>
      </c>
      <c r="AU525" s="56">
        <f t="shared" si="479"/>
        <v>0.176056338028169</v>
      </c>
      <c r="AV525" s="56">
        <f t="shared" si="510"/>
        <v>5.8685446009389672E-2</v>
      </c>
      <c r="AW525" s="57" t="s">
        <v>2511</v>
      </c>
      <c r="AX525" s="57" t="s">
        <v>2512</v>
      </c>
      <c r="AY525" s="57" t="s">
        <v>2513</v>
      </c>
      <c r="AZ525" s="58">
        <f t="shared" si="511"/>
        <v>8.9058750000000006E-3</v>
      </c>
      <c r="BA525" s="59">
        <f t="shared" si="514"/>
        <v>2.6132262323943665E-4</v>
      </c>
      <c r="BB525" s="59">
        <f t="shared" si="515"/>
        <v>7.8396786971830985E-4</v>
      </c>
      <c r="BC525" s="59">
        <f t="shared" si="516"/>
        <v>2.0905809859154934E-4</v>
      </c>
      <c r="BD525" s="60">
        <f t="shared" si="512"/>
        <v>2.1739130434782609E-3</v>
      </c>
      <c r="BE525" s="59">
        <f t="shared" si="513"/>
        <v>2.1739130434782609E-3</v>
      </c>
      <c r="BQ525" s="61">
        <v>3000</v>
      </c>
      <c r="BR525" s="61">
        <v>1200</v>
      </c>
      <c r="BS525" s="28">
        <f t="shared" si="480"/>
        <v>2980</v>
      </c>
      <c r="BT525" s="28">
        <f t="shared" si="481"/>
        <v>1180</v>
      </c>
      <c r="BU525" s="28" t="s">
        <v>2541</v>
      </c>
      <c r="BV525" s="28">
        <f t="shared" si="482"/>
        <v>566</v>
      </c>
      <c r="BW525" s="28">
        <f t="shared" si="483"/>
        <v>12.9375</v>
      </c>
      <c r="BX525" s="13">
        <f t="shared" si="484"/>
        <v>5.2650176678445231</v>
      </c>
      <c r="BY525" s="13">
        <f t="shared" si="485"/>
        <v>5</v>
      </c>
      <c r="BZ525" s="13">
        <f t="shared" si="486"/>
        <v>91.207729468599027</v>
      </c>
      <c r="CA525" s="13">
        <f t="shared" si="487"/>
        <v>91</v>
      </c>
      <c r="CB525" s="13">
        <f t="shared" si="488"/>
        <v>455</v>
      </c>
      <c r="CC525" s="62">
        <f t="shared" si="489"/>
        <v>2.1978021978021978E-3</v>
      </c>
      <c r="CD525" s="13">
        <f t="shared" si="490"/>
        <v>230.33816425120773</v>
      </c>
      <c r="CE525" s="13">
        <f t="shared" si="491"/>
        <v>230</v>
      </c>
      <c r="CF525" s="13">
        <f t="shared" si="492"/>
        <v>2.0848056537102475</v>
      </c>
      <c r="CG525" s="13">
        <f t="shared" si="493"/>
        <v>2</v>
      </c>
      <c r="CH525" s="28">
        <f t="shared" si="494"/>
        <v>460</v>
      </c>
      <c r="CI525" s="62">
        <f t="shared" si="495"/>
        <v>2.1739130434782609E-3</v>
      </c>
      <c r="CJ525" s="59">
        <f t="shared" si="496"/>
        <v>2.1739130434782609E-3</v>
      </c>
      <c r="CL525" s="63">
        <v>6000</v>
      </c>
      <c r="CM525" s="63">
        <f t="shared" si="497"/>
        <v>561</v>
      </c>
      <c r="CN525" s="63">
        <f t="shared" si="498"/>
        <v>566</v>
      </c>
      <c r="CO525" s="63">
        <f t="shared" si="499"/>
        <v>10.600706713780919</v>
      </c>
      <c r="CP525" s="13">
        <f t="shared" si="500"/>
        <v>10</v>
      </c>
      <c r="CQ525" s="70">
        <f t="shared" si="501"/>
        <v>0.1</v>
      </c>
      <c r="CR525" s="69">
        <f t="shared" si="465"/>
        <v>0.1</v>
      </c>
    </row>
    <row r="526" spans="1:96" hidden="1" x14ac:dyDescent="0.25">
      <c r="A526" s="10">
        <v>3</v>
      </c>
      <c r="B526" s="8" t="s">
        <v>1306</v>
      </c>
      <c r="C526" s="10" t="s">
        <v>1324</v>
      </c>
      <c r="D526" s="10" t="s">
        <v>2270</v>
      </c>
      <c r="E526" s="10" t="s">
        <v>32</v>
      </c>
      <c r="F526" s="12">
        <f t="shared" si="470"/>
        <v>1</v>
      </c>
      <c r="G526" s="10">
        <v>1</v>
      </c>
      <c r="H526" s="10">
        <f t="shared" si="517"/>
        <v>1</v>
      </c>
      <c r="I526" s="10">
        <v>13</v>
      </c>
      <c r="J526" s="8" t="s">
        <v>1325</v>
      </c>
      <c r="K526" s="8" t="s">
        <v>34</v>
      </c>
      <c r="L526" s="10" t="s">
        <v>259</v>
      </c>
      <c r="M526" s="8" t="s">
        <v>35</v>
      </c>
      <c r="N526" s="10" t="s">
        <v>1326</v>
      </c>
      <c r="O526" s="28" t="s">
        <v>41</v>
      </c>
      <c r="P526" s="28" t="s">
        <v>41</v>
      </c>
      <c r="Q526" s="28"/>
      <c r="R526" s="30"/>
      <c r="S526" s="30"/>
      <c r="T526" s="30"/>
      <c r="U526" s="30"/>
      <c r="V526" s="8">
        <f t="shared" si="471"/>
        <v>0</v>
      </c>
      <c r="W526" s="8">
        <f t="shared" si="472"/>
        <v>0</v>
      </c>
      <c r="X526" s="8">
        <f t="shared" si="473"/>
        <v>0</v>
      </c>
      <c r="Y526" s="33">
        <f t="shared" si="474"/>
        <v>0</v>
      </c>
      <c r="Z526" s="28"/>
      <c r="AA526" s="28"/>
      <c r="AB526" s="28">
        <v>0</v>
      </c>
      <c r="AC526" s="31"/>
      <c r="AD526" s="50">
        <f t="shared" si="475"/>
        <v>1</v>
      </c>
      <c r="AE526" s="47" t="s">
        <v>107</v>
      </c>
      <c r="AF526" s="51">
        <v>14</v>
      </c>
      <c r="AG526" s="51">
        <f t="shared" si="503"/>
        <v>8.4</v>
      </c>
      <c r="AH526" s="51">
        <f t="shared" si="469"/>
        <v>42</v>
      </c>
      <c r="AI526" s="52" t="s">
        <v>2497</v>
      </c>
      <c r="AJ526" s="52" t="s">
        <v>2498</v>
      </c>
      <c r="AK526" s="53">
        <f t="shared" si="504"/>
        <v>0</v>
      </c>
      <c r="AL526" s="54">
        <f t="shared" si="505"/>
        <v>0.11904761904761904</v>
      </c>
      <c r="AM526" s="54">
        <f t="shared" si="506"/>
        <v>2.3809523809523808E-2</v>
      </c>
      <c r="AN526" s="55">
        <f t="shared" si="507"/>
        <v>0</v>
      </c>
      <c r="AO526" s="55">
        <f t="shared" si="508"/>
        <v>0</v>
      </c>
      <c r="AP526" s="53">
        <v>7.1</v>
      </c>
      <c r="AQ526" s="53">
        <f t="shared" si="476"/>
        <v>4.26</v>
      </c>
      <c r="AR526" s="53">
        <f t="shared" si="477"/>
        <v>21.299999999999997</v>
      </c>
      <c r="AS526" s="56">
        <f t="shared" si="478"/>
        <v>4.6948356807511742E-2</v>
      </c>
      <c r="AT526" s="56">
        <f t="shared" si="509"/>
        <v>0.23474178403755869</v>
      </c>
      <c r="AU526" s="56">
        <f t="shared" si="479"/>
        <v>0.176056338028169</v>
      </c>
      <c r="AV526" s="56">
        <f t="shared" si="510"/>
        <v>5.8685446009389672E-2</v>
      </c>
      <c r="AW526" s="57" t="s">
        <v>2511</v>
      </c>
      <c r="AX526" s="57" t="s">
        <v>2512</v>
      </c>
      <c r="AY526" s="57" t="s">
        <v>2513</v>
      </c>
      <c r="AZ526" s="58">
        <f t="shared" si="511"/>
        <v>0</v>
      </c>
      <c r="BA526" s="59">
        <f t="shared" si="514"/>
        <v>0</v>
      </c>
      <c r="BB526" s="59">
        <f t="shared" si="515"/>
        <v>0</v>
      </c>
      <c r="BC526" s="59">
        <f t="shared" si="516"/>
        <v>0</v>
      </c>
      <c r="BD526" s="60">
        <f t="shared" si="512"/>
        <v>0</v>
      </c>
      <c r="BE526" s="59">
        <f t="shared" si="513"/>
        <v>0</v>
      </c>
      <c r="BQ526" s="61">
        <v>3000</v>
      </c>
      <c r="BR526" s="61">
        <v>1200</v>
      </c>
      <c r="BS526" s="28">
        <f t="shared" si="480"/>
        <v>2980</v>
      </c>
      <c r="BT526" s="28">
        <f t="shared" si="481"/>
        <v>1180</v>
      </c>
      <c r="BU526" s="28" t="s">
        <v>2541</v>
      </c>
      <c r="BV526" s="28">
        <f t="shared" si="482"/>
        <v>5</v>
      </c>
      <c r="BW526" s="28">
        <f t="shared" si="483"/>
        <v>5</v>
      </c>
      <c r="BX526" s="13">
        <f t="shared" si="484"/>
        <v>596</v>
      </c>
      <c r="BY526" s="13">
        <f t="shared" si="485"/>
        <v>596</v>
      </c>
      <c r="BZ526" s="13">
        <f t="shared" si="486"/>
        <v>236</v>
      </c>
      <c r="CA526" s="13">
        <f t="shared" si="487"/>
        <v>236</v>
      </c>
      <c r="CB526" s="13">
        <f t="shared" si="488"/>
        <v>140656</v>
      </c>
      <c r="CC526" s="62" t="str">
        <f t="shared" si="489"/>
        <v/>
      </c>
      <c r="CD526" s="13">
        <f t="shared" si="490"/>
        <v>596</v>
      </c>
      <c r="CE526" s="13">
        <f t="shared" si="491"/>
        <v>596</v>
      </c>
      <c r="CF526" s="13">
        <f t="shared" si="492"/>
        <v>236</v>
      </c>
      <c r="CG526" s="13">
        <f t="shared" si="493"/>
        <v>236</v>
      </c>
      <c r="CH526" s="28">
        <f t="shared" si="494"/>
        <v>140656</v>
      </c>
      <c r="CI526" s="62" t="str">
        <f t="shared" si="495"/>
        <v/>
      </c>
      <c r="CJ526" s="59">
        <f t="shared" si="496"/>
        <v>0</v>
      </c>
      <c r="CL526" s="63">
        <v>6000</v>
      </c>
      <c r="CM526" s="63">
        <f t="shared" si="497"/>
        <v>0</v>
      </c>
      <c r="CN526" s="63">
        <f t="shared" si="498"/>
        <v>5</v>
      </c>
      <c r="CO526" s="63">
        <f t="shared" si="499"/>
        <v>1200</v>
      </c>
      <c r="CP526" s="13">
        <f t="shared" si="500"/>
        <v>1200</v>
      </c>
      <c r="CQ526" s="70">
        <f t="shared" si="501"/>
        <v>8.3333333333333339E-4</v>
      </c>
      <c r="CR526" s="69">
        <f t="shared" si="465"/>
        <v>8.3333333333333339E-4</v>
      </c>
    </row>
    <row r="527" spans="1:96" hidden="1" x14ac:dyDescent="0.25">
      <c r="A527" s="13">
        <v>4</v>
      </c>
      <c r="B527" s="14" t="s">
        <v>1327</v>
      </c>
      <c r="C527" s="13" t="s">
        <v>1328</v>
      </c>
      <c r="D527" s="13" t="s">
        <v>2270</v>
      </c>
      <c r="E527" s="13" t="s">
        <v>52</v>
      </c>
      <c r="F527" s="15">
        <f t="shared" si="470"/>
        <v>1</v>
      </c>
      <c r="G527" s="13">
        <v>1</v>
      </c>
      <c r="H527" s="13">
        <f>G527*$H$526</f>
        <v>1</v>
      </c>
      <c r="I527" s="13">
        <v>1</v>
      </c>
      <c r="J527" s="14" t="s">
        <v>130</v>
      </c>
      <c r="K527" s="14" t="s">
        <v>34</v>
      </c>
      <c r="L527" s="13" t="s">
        <v>259</v>
      </c>
      <c r="M527" s="14" t="s">
        <v>35</v>
      </c>
      <c r="N527" s="13" t="s">
        <v>1329</v>
      </c>
      <c r="O527" s="28" t="s">
        <v>41</v>
      </c>
      <c r="P527" s="28" t="s">
        <v>41</v>
      </c>
      <c r="Q527" s="28" t="s">
        <v>116</v>
      </c>
      <c r="R527" s="30">
        <v>17.167000000000002</v>
      </c>
      <c r="S527" s="30">
        <v>12.930999999999999</v>
      </c>
      <c r="T527" s="30"/>
      <c r="U527" s="30">
        <v>0.11799999999999999</v>
      </c>
      <c r="V527" s="8">
        <f t="shared" si="471"/>
        <v>436.04180000000002</v>
      </c>
      <c r="W527" s="8">
        <f t="shared" si="472"/>
        <v>328.44739999999996</v>
      </c>
      <c r="X527" s="8">
        <f t="shared" si="473"/>
        <v>0</v>
      </c>
      <c r="Y527" s="33">
        <f t="shared" si="474"/>
        <v>2.9971999999999999</v>
      </c>
      <c r="Z527" s="28" t="s">
        <v>56</v>
      </c>
      <c r="AA527" s="28" t="s">
        <v>57</v>
      </c>
      <c r="AB527" s="28" t="s">
        <v>116</v>
      </c>
      <c r="AC527" s="31" t="s">
        <v>117</v>
      </c>
      <c r="AD527" s="50">
        <f t="shared" si="475"/>
        <v>1</v>
      </c>
      <c r="AE527" s="31"/>
      <c r="AF527" s="51">
        <v>14</v>
      </c>
      <c r="AG527" s="51">
        <f t="shared" si="503"/>
        <v>8.4</v>
      </c>
      <c r="AH527" s="51">
        <f t="shared" si="469"/>
        <v>42</v>
      </c>
      <c r="AI527" s="52" t="s">
        <v>2497</v>
      </c>
      <c r="AJ527" s="52" t="s">
        <v>2498</v>
      </c>
      <c r="AK527" s="53">
        <f t="shared" si="504"/>
        <v>0.28643359100263999</v>
      </c>
      <c r="AL527" s="54">
        <f t="shared" si="505"/>
        <v>0.11904761904761904</v>
      </c>
      <c r="AM527" s="54">
        <f t="shared" si="506"/>
        <v>2.3809523809523808E-2</v>
      </c>
      <c r="AN527" s="55">
        <f t="shared" si="507"/>
        <v>3.4099237024123805E-2</v>
      </c>
      <c r="AO527" s="55">
        <f t="shared" si="508"/>
        <v>6.8198474048247609E-3</v>
      </c>
      <c r="AP527" s="53">
        <v>7.1</v>
      </c>
      <c r="AQ527" s="53">
        <f t="shared" si="476"/>
        <v>4.26</v>
      </c>
      <c r="AR527" s="53">
        <f t="shared" si="477"/>
        <v>21.299999999999997</v>
      </c>
      <c r="AS527" s="56">
        <f t="shared" si="478"/>
        <v>4.6948356807511742E-2</v>
      </c>
      <c r="AT527" s="56">
        <f t="shared" si="509"/>
        <v>0.23474178403755869</v>
      </c>
      <c r="AU527" s="56">
        <f t="shared" si="479"/>
        <v>0.176056338028169</v>
      </c>
      <c r="AV527" s="56">
        <f t="shared" si="510"/>
        <v>5.8685446009389672E-2</v>
      </c>
      <c r="AW527" s="57" t="s">
        <v>2511</v>
      </c>
      <c r="AX527" s="57" t="s">
        <v>2512</v>
      </c>
      <c r="AY527" s="57" t="s">
        <v>2513</v>
      </c>
      <c r="AZ527" s="58">
        <f t="shared" si="511"/>
        <v>0.28643359100263999</v>
      </c>
      <c r="BA527" s="59">
        <f t="shared" si="514"/>
        <v>8.4047415200305155E-3</v>
      </c>
      <c r="BB527" s="59">
        <f t="shared" si="515"/>
        <v>2.5214224560091546E-2</v>
      </c>
      <c r="BC527" s="59">
        <f t="shared" si="516"/>
        <v>6.7237932160244132E-3</v>
      </c>
      <c r="BD527" s="60">
        <f t="shared" si="512"/>
        <v>5.5555555555555552E-2</v>
      </c>
      <c r="BE527" s="59">
        <f t="shared" si="513"/>
        <v>5.5555555555555552E-2</v>
      </c>
      <c r="BQ527" s="61">
        <v>3000</v>
      </c>
      <c r="BR527" s="61">
        <v>1200</v>
      </c>
      <c r="BS527" s="28">
        <f t="shared" si="480"/>
        <v>2980</v>
      </c>
      <c r="BT527" s="28">
        <f t="shared" si="481"/>
        <v>1180</v>
      </c>
      <c r="BU527" s="28" t="s">
        <v>2541</v>
      </c>
      <c r="BV527" s="28">
        <f t="shared" si="482"/>
        <v>441.04180000000002</v>
      </c>
      <c r="BW527" s="28">
        <f t="shared" si="483"/>
        <v>333.44739999999996</v>
      </c>
      <c r="BX527" s="13">
        <f t="shared" si="484"/>
        <v>6.7567291807715275</v>
      </c>
      <c r="BY527" s="13">
        <f t="shared" si="485"/>
        <v>6</v>
      </c>
      <c r="BZ527" s="13">
        <f t="shared" si="486"/>
        <v>3.5387890263951678</v>
      </c>
      <c r="CA527" s="13">
        <f t="shared" si="487"/>
        <v>3</v>
      </c>
      <c r="CB527" s="13">
        <f t="shared" si="488"/>
        <v>18</v>
      </c>
      <c r="CC527" s="62">
        <f t="shared" si="489"/>
        <v>5.5555555555555552E-2</v>
      </c>
      <c r="CD527" s="13">
        <f t="shared" si="490"/>
        <v>8.9369417785233907</v>
      </c>
      <c r="CE527" s="13">
        <f t="shared" si="491"/>
        <v>8</v>
      </c>
      <c r="CF527" s="13">
        <f t="shared" si="492"/>
        <v>2.6754833668826854</v>
      </c>
      <c r="CG527" s="13">
        <f t="shared" si="493"/>
        <v>2</v>
      </c>
      <c r="CH527" s="28">
        <f t="shared" si="494"/>
        <v>16</v>
      </c>
      <c r="CI527" s="62">
        <f t="shared" si="495"/>
        <v>6.25E-2</v>
      </c>
      <c r="CJ527" s="59">
        <f t="shared" si="496"/>
        <v>5.5555555555555552E-2</v>
      </c>
      <c r="CL527" s="63">
        <v>6000</v>
      </c>
      <c r="CM527" s="63">
        <f t="shared" si="497"/>
        <v>436.04180000000002</v>
      </c>
      <c r="CN527" s="63">
        <f t="shared" si="498"/>
        <v>441.04180000000002</v>
      </c>
      <c r="CO527" s="63">
        <f t="shared" si="499"/>
        <v>13.604152712962806</v>
      </c>
      <c r="CP527" s="13">
        <f t="shared" si="500"/>
        <v>13</v>
      </c>
      <c r="CQ527" s="70">
        <f t="shared" si="501"/>
        <v>7.6923076923076927E-2</v>
      </c>
      <c r="CR527" s="69">
        <f t="shared" si="465"/>
        <v>7.6923076923076927E-2</v>
      </c>
    </row>
    <row r="528" spans="1:96" hidden="1" x14ac:dyDescent="0.25">
      <c r="A528" s="13">
        <v>4</v>
      </c>
      <c r="B528" s="14" t="s">
        <v>1327</v>
      </c>
      <c r="C528" s="13" t="s">
        <v>1330</v>
      </c>
      <c r="D528" s="13" t="s">
        <v>1332</v>
      </c>
      <c r="E528" s="13" t="s">
        <v>52</v>
      </c>
      <c r="F528" s="15">
        <f t="shared" si="470"/>
        <v>1</v>
      </c>
      <c r="G528" s="13">
        <v>4</v>
      </c>
      <c r="H528" s="13">
        <f t="shared" ref="H528:H529" si="518">G528*$H$526</f>
        <v>4</v>
      </c>
      <c r="I528" s="13">
        <v>2</v>
      </c>
      <c r="J528" s="14" t="s">
        <v>1331</v>
      </c>
      <c r="K528" s="14" t="s">
        <v>34</v>
      </c>
      <c r="L528" s="13">
        <v>0</v>
      </c>
      <c r="M528" s="14" t="s">
        <v>35</v>
      </c>
      <c r="N528" s="13" t="s">
        <v>1332</v>
      </c>
      <c r="O528" s="28" t="s">
        <v>41</v>
      </c>
      <c r="P528" s="28" t="s">
        <v>41</v>
      </c>
      <c r="Q528" s="28" t="s">
        <v>1332</v>
      </c>
      <c r="R528" s="30"/>
      <c r="S528" s="30"/>
      <c r="T528" s="30"/>
      <c r="U528" s="30"/>
      <c r="V528" s="8">
        <f t="shared" si="471"/>
        <v>0</v>
      </c>
      <c r="W528" s="8">
        <f t="shared" si="472"/>
        <v>0</v>
      </c>
      <c r="X528" s="8">
        <f t="shared" si="473"/>
        <v>0</v>
      </c>
      <c r="Y528" s="33">
        <f t="shared" si="474"/>
        <v>0</v>
      </c>
      <c r="Z528" s="28"/>
      <c r="AA528" s="28"/>
      <c r="AB528" s="61" t="s">
        <v>1332</v>
      </c>
      <c r="AC528" s="31" t="s">
        <v>1333</v>
      </c>
      <c r="AD528" s="50">
        <f t="shared" si="475"/>
        <v>4</v>
      </c>
      <c r="AE528" s="47" t="s">
        <v>107</v>
      </c>
      <c r="AF528" s="51">
        <v>14</v>
      </c>
      <c r="AG528" s="51">
        <f t="shared" si="503"/>
        <v>8.4</v>
      </c>
      <c r="AH528" s="51">
        <f t="shared" si="469"/>
        <v>42</v>
      </c>
      <c r="AI528" s="52" t="s">
        <v>2497</v>
      </c>
      <c r="AJ528" s="52" t="s">
        <v>2498</v>
      </c>
      <c r="AK528" s="53">
        <f t="shared" si="504"/>
        <v>0</v>
      </c>
      <c r="AL528" s="54">
        <f t="shared" si="505"/>
        <v>0.11904761904761904</v>
      </c>
      <c r="AM528" s="54">
        <f t="shared" si="506"/>
        <v>2.3809523809523808E-2</v>
      </c>
      <c r="AN528" s="55">
        <f t="shared" si="507"/>
        <v>0</v>
      </c>
      <c r="AO528" s="55">
        <f t="shared" si="508"/>
        <v>0</v>
      </c>
      <c r="AP528" s="53">
        <v>7.1</v>
      </c>
      <c r="AQ528" s="53">
        <f t="shared" si="476"/>
        <v>4.26</v>
      </c>
      <c r="AR528" s="53">
        <f t="shared" si="477"/>
        <v>21.299999999999997</v>
      </c>
      <c r="AS528" s="56">
        <f t="shared" si="478"/>
        <v>4.6948356807511742E-2</v>
      </c>
      <c r="AT528" s="56">
        <f t="shared" si="509"/>
        <v>0.23474178403755869</v>
      </c>
      <c r="AU528" s="56">
        <f t="shared" si="479"/>
        <v>0.176056338028169</v>
      </c>
      <c r="AV528" s="56">
        <f t="shared" si="510"/>
        <v>5.8685446009389672E-2</v>
      </c>
      <c r="AW528" s="57" t="s">
        <v>2511</v>
      </c>
      <c r="AX528" s="57" t="s">
        <v>2512</v>
      </c>
      <c r="AY528" s="57" t="s">
        <v>2513</v>
      </c>
      <c r="AZ528" s="58">
        <f t="shared" si="511"/>
        <v>0</v>
      </c>
      <c r="BA528" s="59">
        <f t="shared" si="514"/>
        <v>0</v>
      </c>
      <c r="BB528" s="59">
        <f t="shared" si="515"/>
        <v>0</v>
      </c>
      <c r="BC528" s="59">
        <f t="shared" si="516"/>
        <v>0</v>
      </c>
      <c r="BD528" s="60">
        <f t="shared" si="512"/>
        <v>7.1095438516664771E-6</v>
      </c>
      <c r="BE528" s="59">
        <f t="shared" si="513"/>
        <v>2.8438175406665908E-5</v>
      </c>
      <c r="BQ528" s="61">
        <v>3000</v>
      </c>
      <c r="BR528" s="61">
        <v>1200</v>
      </c>
      <c r="BS528" s="28">
        <f t="shared" si="480"/>
        <v>2980</v>
      </c>
      <c r="BT528" s="28">
        <f t="shared" si="481"/>
        <v>1180</v>
      </c>
      <c r="BU528" s="28" t="s">
        <v>2541</v>
      </c>
      <c r="BV528" s="28">
        <f t="shared" si="482"/>
        <v>5</v>
      </c>
      <c r="BW528" s="28">
        <f t="shared" si="483"/>
        <v>5</v>
      </c>
      <c r="BX528" s="13">
        <f t="shared" si="484"/>
        <v>596</v>
      </c>
      <c r="BY528" s="13">
        <f t="shared" si="485"/>
        <v>596</v>
      </c>
      <c r="BZ528" s="13">
        <f t="shared" si="486"/>
        <v>236</v>
      </c>
      <c r="CA528" s="13">
        <f t="shared" si="487"/>
        <v>236</v>
      </c>
      <c r="CB528" s="13">
        <f t="shared" si="488"/>
        <v>140656</v>
      </c>
      <c r="CC528" s="62">
        <f t="shared" si="489"/>
        <v>7.1095438516664771E-6</v>
      </c>
      <c r="CD528" s="13">
        <f t="shared" si="490"/>
        <v>596</v>
      </c>
      <c r="CE528" s="13">
        <f t="shared" si="491"/>
        <v>596</v>
      </c>
      <c r="CF528" s="13">
        <f t="shared" si="492"/>
        <v>236</v>
      </c>
      <c r="CG528" s="13">
        <f t="shared" si="493"/>
        <v>236</v>
      </c>
      <c r="CH528" s="28">
        <f t="shared" si="494"/>
        <v>140656</v>
      </c>
      <c r="CI528" s="62">
        <f t="shared" si="495"/>
        <v>7.1095438516664771E-6</v>
      </c>
      <c r="CJ528" s="59">
        <f t="shared" si="496"/>
        <v>7.1095438516664771E-6</v>
      </c>
      <c r="CL528" s="63">
        <v>6000</v>
      </c>
      <c r="CM528" s="63">
        <f t="shared" si="497"/>
        <v>0</v>
      </c>
      <c r="CN528" s="63">
        <f t="shared" si="498"/>
        <v>5</v>
      </c>
      <c r="CO528" s="63">
        <f t="shared" si="499"/>
        <v>1200</v>
      </c>
      <c r="CP528" s="13">
        <f t="shared" si="500"/>
        <v>1200</v>
      </c>
      <c r="CQ528" s="70">
        <f t="shared" si="501"/>
        <v>8.3333333333333339E-4</v>
      </c>
      <c r="CR528" s="69">
        <f t="shared" si="465"/>
        <v>3.3333333333333335E-3</v>
      </c>
    </row>
    <row r="529" spans="1:96" hidden="1" x14ac:dyDescent="0.25">
      <c r="A529" s="13">
        <v>4</v>
      </c>
      <c r="B529" s="14" t="s">
        <v>1327</v>
      </c>
      <c r="C529" s="13" t="s">
        <v>1334</v>
      </c>
      <c r="D529" s="13" t="s">
        <v>1336</v>
      </c>
      <c r="E529" s="13" t="s">
        <v>52</v>
      </c>
      <c r="F529" s="15">
        <f t="shared" si="470"/>
        <v>2</v>
      </c>
      <c r="G529" s="13">
        <v>2</v>
      </c>
      <c r="H529" s="13">
        <f t="shared" si="518"/>
        <v>2</v>
      </c>
      <c r="I529" s="13">
        <v>3</v>
      </c>
      <c r="J529" s="14" t="s">
        <v>1335</v>
      </c>
      <c r="K529" s="14" t="s">
        <v>34</v>
      </c>
      <c r="L529" s="13">
        <v>0</v>
      </c>
      <c r="M529" s="14" t="s">
        <v>35</v>
      </c>
      <c r="N529" s="13" t="s">
        <v>1336</v>
      </c>
      <c r="O529" s="28" t="s">
        <v>41</v>
      </c>
      <c r="P529" s="28" t="s">
        <v>41</v>
      </c>
      <c r="Q529" s="28" t="s">
        <v>1336</v>
      </c>
      <c r="R529" s="30"/>
      <c r="S529" s="30"/>
      <c r="T529" s="30"/>
      <c r="U529" s="30"/>
      <c r="V529" s="8">
        <f t="shared" si="471"/>
        <v>0</v>
      </c>
      <c r="W529" s="8">
        <f t="shared" si="472"/>
        <v>0</v>
      </c>
      <c r="X529" s="8">
        <f t="shared" si="473"/>
        <v>0</v>
      </c>
      <c r="Y529" s="33">
        <f t="shared" si="474"/>
        <v>0</v>
      </c>
      <c r="Z529" s="28"/>
      <c r="AA529" s="28"/>
      <c r="AB529" s="61" t="s">
        <v>1336</v>
      </c>
      <c r="AC529" s="31" t="s">
        <v>1337</v>
      </c>
      <c r="AD529" s="50">
        <f t="shared" si="475"/>
        <v>2</v>
      </c>
      <c r="AE529" s="31"/>
      <c r="AF529" s="51">
        <v>14</v>
      </c>
      <c r="AG529" s="51">
        <f t="shared" si="503"/>
        <v>8.4</v>
      </c>
      <c r="AH529" s="51">
        <f t="shared" si="469"/>
        <v>42</v>
      </c>
      <c r="AI529" s="52" t="s">
        <v>2497</v>
      </c>
      <c r="AJ529" s="52" t="s">
        <v>2498</v>
      </c>
      <c r="AK529" s="53">
        <f t="shared" si="504"/>
        <v>0</v>
      </c>
      <c r="AL529" s="54">
        <f t="shared" si="505"/>
        <v>0.11904761904761904</v>
      </c>
      <c r="AM529" s="54">
        <f t="shared" si="506"/>
        <v>2.3809523809523808E-2</v>
      </c>
      <c r="AN529" s="55">
        <f t="shared" si="507"/>
        <v>0</v>
      </c>
      <c r="AO529" s="55">
        <f t="shared" si="508"/>
        <v>0</v>
      </c>
      <c r="AP529" s="53">
        <v>7.1</v>
      </c>
      <c r="AQ529" s="53">
        <f t="shared" si="476"/>
        <v>4.26</v>
      </c>
      <c r="AR529" s="53">
        <f t="shared" si="477"/>
        <v>21.299999999999997</v>
      </c>
      <c r="AS529" s="56">
        <f t="shared" si="478"/>
        <v>4.6948356807511742E-2</v>
      </c>
      <c r="AT529" s="56">
        <f t="shared" si="509"/>
        <v>0.23474178403755869</v>
      </c>
      <c r="AU529" s="56">
        <f t="shared" si="479"/>
        <v>0.176056338028169</v>
      </c>
      <c r="AV529" s="56">
        <f t="shared" si="510"/>
        <v>5.8685446009389672E-2</v>
      </c>
      <c r="AW529" s="57" t="s">
        <v>2511</v>
      </c>
      <c r="AX529" s="57" t="s">
        <v>2512</v>
      </c>
      <c r="AY529" s="57" t="s">
        <v>2513</v>
      </c>
      <c r="AZ529" s="58">
        <f t="shared" si="511"/>
        <v>0</v>
      </c>
      <c r="BA529" s="59">
        <f t="shared" si="514"/>
        <v>0</v>
      </c>
      <c r="BB529" s="59">
        <f t="shared" si="515"/>
        <v>0</v>
      </c>
      <c r="BC529" s="59">
        <f t="shared" si="516"/>
        <v>0</v>
      </c>
      <c r="BD529" s="60">
        <f t="shared" si="512"/>
        <v>7.1095438516664771E-6</v>
      </c>
      <c r="BE529" s="59">
        <f t="shared" si="513"/>
        <v>1.4219087703332954E-5</v>
      </c>
      <c r="BQ529" s="61">
        <v>3000</v>
      </c>
      <c r="BR529" s="61">
        <v>1200</v>
      </c>
      <c r="BS529" s="28">
        <f t="shared" si="480"/>
        <v>2980</v>
      </c>
      <c r="BT529" s="28">
        <f t="shared" si="481"/>
        <v>1180</v>
      </c>
      <c r="BU529" s="28" t="s">
        <v>2541</v>
      </c>
      <c r="BV529" s="28">
        <f t="shared" si="482"/>
        <v>5</v>
      </c>
      <c r="BW529" s="28">
        <f t="shared" si="483"/>
        <v>5</v>
      </c>
      <c r="BX529" s="13">
        <f t="shared" si="484"/>
        <v>596</v>
      </c>
      <c r="BY529" s="13">
        <f t="shared" si="485"/>
        <v>596</v>
      </c>
      <c r="BZ529" s="13">
        <f t="shared" si="486"/>
        <v>236</v>
      </c>
      <c r="CA529" s="13">
        <f t="shared" si="487"/>
        <v>236</v>
      </c>
      <c r="CB529" s="13">
        <f t="shared" si="488"/>
        <v>140656</v>
      </c>
      <c r="CC529" s="62">
        <f t="shared" si="489"/>
        <v>7.1095438516664771E-6</v>
      </c>
      <c r="CD529" s="13">
        <f t="shared" si="490"/>
        <v>596</v>
      </c>
      <c r="CE529" s="13">
        <f t="shared" si="491"/>
        <v>596</v>
      </c>
      <c r="CF529" s="13">
        <f t="shared" si="492"/>
        <v>236</v>
      </c>
      <c r="CG529" s="13">
        <f t="shared" si="493"/>
        <v>236</v>
      </c>
      <c r="CH529" s="28">
        <f t="shared" si="494"/>
        <v>140656</v>
      </c>
      <c r="CI529" s="62">
        <f t="shared" si="495"/>
        <v>7.1095438516664771E-6</v>
      </c>
      <c r="CJ529" s="59">
        <f t="shared" si="496"/>
        <v>7.1095438516664771E-6</v>
      </c>
      <c r="CL529" s="63">
        <v>6000</v>
      </c>
      <c r="CM529" s="63">
        <f t="shared" si="497"/>
        <v>0</v>
      </c>
      <c r="CN529" s="63">
        <f t="shared" si="498"/>
        <v>5</v>
      </c>
      <c r="CO529" s="63">
        <f t="shared" si="499"/>
        <v>1200</v>
      </c>
      <c r="CP529" s="13">
        <f t="shared" si="500"/>
        <v>1200</v>
      </c>
      <c r="CQ529" s="70">
        <f t="shared" si="501"/>
        <v>8.3333333333333339E-4</v>
      </c>
      <c r="CR529" s="69">
        <f t="shared" si="465"/>
        <v>1.6666666666666668E-3</v>
      </c>
    </row>
    <row r="530" spans="1:96" hidden="1" x14ac:dyDescent="0.25">
      <c r="A530" s="10">
        <v>3</v>
      </c>
      <c r="B530" s="8" t="s">
        <v>1306</v>
      </c>
      <c r="C530" s="10" t="s">
        <v>1338</v>
      </c>
      <c r="D530" s="10" t="s">
        <v>2270</v>
      </c>
      <c r="E530" s="10" t="s">
        <v>32</v>
      </c>
      <c r="F530" s="12">
        <f t="shared" si="470"/>
        <v>1</v>
      </c>
      <c r="G530" s="10">
        <v>1</v>
      </c>
      <c r="H530" s="10">
        <f>G530*$H$513</f>
        <v>1</v>
      </c>
      <c r="I530" s="10">
        <v>14</v>
      </c>
      <c r="J530" s="8" t="s">
        <v>722</v>
      </c>
      <c r="K530" s="8" t="s">
        <v>34</v>
      </c>
      <c r="L530" s="10" t="s">
        <v>110</v>
      </c>
      <c r="M530" s="8" t="s">
        <v>35</v>
      </c>
      <c r="N530" s="10" t="s">
        <v>1339</v>
      </c>
      <c r="O530" s="28" t="s">
        <v>41</v>
      </c>
      <c r="P530" s="28" t="s">
        <v>41</v>
      </c>
      <c r="Q530" s="28"/>
      <c r="R530" s="30"/>
      <c r="S530" s="30"/>
      <c r="T530" s="30"/>
      <c r="U530" s="30"/>
      <c r="V530" s="8">
        <f t="shared" si="471"/>
        <v>0</v>
      </c>
      <c r="W530" s="8">
        <f t="shared" si="472"/>
        <v>0</v>
      </c>
      <c r="X530" s="8">
        <f t="shared" si="473"/>
        <v>0</v>
      </c>
      <c r="Y530" s="33">
        <f t="shared" si="474"/>
        <v>0</v>
      </c>
      <c r="Z530" s="28"/>
      <c r="AA530" s="28"/>
      <c r="AB530" s="28">
        <v>0</v>
      </c>
      <c r="AC530" s="31"/>
      <c r="AD530" s="50">
        <f t="shared" si="475"/>
        <v>1</v>
      </c>
      <c r="AE530" s="31"/>
      <c r="AF530" s="51">
        <v>14</v>
      </c>
      <c r="AG530" s="51">
        <f t="shared" si="503"/>
        <v>8.4</v>
      </c>
      <c r="AH530" s="51">
        <f t="shared" si="469"/>
        <v>42</v>
      </c>
      <c r="AI530" s="52" t="s">
        <v>2497</v>
      </c>
      <c r="AJ530" s="52" t="s">
        <v>2498</v>
      </c>
      <c r="AK530" s="53">
        <f t="shared" si="504"/>
        <v>0</v>
      </c>
      <c r="AL530" s="54">
        <f t="shared" si="505"/>
        <v>0.11904761904761904</v>
      </c>
      <c r="AM530" s="54">
        <f t="shared" si="506"/>
        <v>2.3809523809523808E-2</v>
      </c>
      <c r="AN530" s="55">
        <f t="shared" si="507"/>
        <v>0</v>
      </c>
      <c r="AO530" s="55">
        <f t="shared" si="508"/>
        <v>0</v>
      </c>
      <c r="AP530" s="53">
        <v>7.1</v>
      </c>
      <c r="AQ530" s="53">
        <f t="shared" si="476"/>
        <v>4.26</v>
      </c>
      <c r="AR530" s="53">
        <f t="shared" si="477"/>
        <v>21.299999999999997</v>
      </c>
      <c r="AS530" s="56">
        <f t="shared" si="478"/>
        <v>4.6948356807511742E-2</v>
      </c>
      <c r="AT530" s="56">
        <f t="shared" si="509"/>
        <v>0.23474178403755869</v>
      </c>
      <c r="AU530" s="56">
        <f t="shared" si="479"/>
        <v>0.176056338028169</v>
      </c>
      <c r="AV530" s="56">
        <f t="shared" si="510"/>
        <v>5.8685446009389672E-2</v>
      </c>
      <c r="AW530" s="57" t="s">
        <v>2511</v>
      </c>
      <c r="AX530" s="57" t="s">
        <v>2512</v>
      </c>
      <c r="AY530" s="57" t="s">
        <v>2513</v>
      </c>
      <c r="AZ530" s="58">
        <f t="shared" si="511"/>
        <v>0</v>
      </c>
      <c r="BA530" s="59">
        <f t="shared" si="514"/>
        <v>0</v>
      </c>
      <c r="BB530" s="59">
        <f t="shared" si="515"/>
        <v>0</v>
      </c>
      <c r="BC530" s="59">
        <f t="shared" si="516"/>
        <v>0</v>
      </c>
      <c r="BD530" s="60">
        <f t="shared" si="512"/>
        <v>0</v>
      </c>
      <c r="BE530" s="59">
        <f t="shared" si="513"/>
        <v>0</v>
      </c>
      <c r="BQ530" s="61">
        <v>3000</v>
      </c>
      <c r="BR530" s="61">
        <v>1200</v>
      </c>
      <c r="BS530" s="28">
        <f t="shared" si="480"/>
        <v>2980</v>
      </c>
      <c r="BT530" s="28">
        <f t="shared" si="481"/>
        <v>1180</v>
      </c>
      <c r="BU530" s="28" t="s">
        <v>2541</v>
      </c>
      <c r="BV530" s="28">
        <f t="shared" si="482"/>
        <v>5</v>
      </c>
      <c r="BW530" s="28">
        <f t="shared" si="483"/>
        <v>5</v>
      </c>
      <c r="BX530" s="13">
        <f t="shared" si="484"/>
        <v>596</v>
      </c>
      <c r="BY530" s="13">
        <f t="shared" si="485"/>
        <v>596</v>
      </c>
      <c r="BZ530" s="13">
        <f t="shared" si="486"/>
        <v>236</v>
      </c>
      <c r="CA530" s="13">
        <f t="shared" si="487"/>
        <v>236</v>
      </c>
      <c r="CB530" s="13">
        <f t="shared" si="488"/>
        <v>140656</v>
      </c>
      <c r="CC530" s="62" t="str">
        <f t="shared" si="489"/>
        <v/>
      </c>
      <c r="CD530" s="13">
        <f t="shared" si="490"/>
        <v>596</v>
      </c>
      <c r="CE530" s="13">
        <f t="shared" si="491"/>
        <v>596</v>
      </c>
      <c r="CF530" s="13">
        <f t="shared" si="492"/>
        <v>236</v>
      </c>
      <c r="CG530" s="13">
        <f t="shared" si="493"/>
        <v>236</v>
      </c>
      <c r="CH530" s="28">
        <f t="shared" si="494"/>
        <v>140656</v>
      </c>
      <c r="CI530" s="62" t="str">
        <f t="shared" si="495"/>
        <v/>
      </c>
      <c r="CJ530" s="59">
        <f t="shared" si="496"/>
        <v>0</v>
      </c>
      <c r="CL530" s="63">
        <v>6000</v>
      </c>
      <c r="CM530" s="63">
        <f t="shared" si="497"/>
        <v>0</v>
      </c>
      <c r="CN530" s="63">
        <f t="shared" si="498"/>
        <v>5</v>
      </c>
      <c r="CO530" s="63">
        <f t="shared" si="499"/>
        <v>1200</v>
      </c>
      <c r="CP530" s="13">
        <f t="shared" si="500"/>
        <v>1200</v>
      </c>
      <c r="CQ530" s="70">
        <f t="shared" si="501"/>
        <v>8.3333333333333339E-4</v>
      </c>
      <c r="CR530" s="69">
        <f t="shared" si="465"/>
        <v>8.3333333333333339E-4</v>
      </c>
    </row>
    <row r="531" spans="1:96" hidden="1" x14ac:dyDescent="0.25">
      <c r="A531" s="13">
        <v>4</v>
      </c>
      <c r="B531" s="14" t="s">
        <v>1340</v>
      </c>
      <c r="C531" s="13" t="s">
        <v>1341</v>
      </c>
      <c r="D531" s="13" t="s">
        <v>2270</v>
      </c>
      <c r="E531" s="13" t="s">
        <v>32</v>
      </c>
      <c r="F531" s="15">
        <f t="shared" si="470"/>
        <v>1</v>
      </c>
      <c r="G531" s="13">
        <v>1</v>
      </c>
      <c r="H531" s="13">
        <f>G531*$H$530</f>
        <v>1</v>
      </c>
      <c r="I531" s="13">
        <v>10</v>
      </c>
      <c r="J531" s="14" t="s">
        <v>722</v>
      </c>
      <c r="K531" s="14" t="s">
        <v>34</v>
      </c>
      <c r="L531" s="13" t="s">
        <v>110</v>
      </c>
      <c r="M531" s="14" t="s">
        <v>35</v>
      </c>
      <c r="N531" s="13" t="s">
        <v>1342</v>
      </c>
      <c r="O531" s="28" t="s">
        <v>41</v>
      </c>
      <c r="P531" s="28" t="s">
        <v>41</v>
      </c>
      <c r="Q531" s="28"/>
      <c r="R531" s="30"/>
      <c r="S531" s="30"/>
      <c r="T531" s="30"/>
      <c r="U531" s="30"/>
      <c r="V531" s="8">
        <f t="shared" si="471"/>
        <v>0</v>
      </c>
      <c r="W531" s="8">
        <f t="shared" si="472"/>
        <v>0</v>
      </c>
      <c r="X531" s="8">
        <f t="shared" si="473"/>
        <v>0</v>
      </c>
      <c r="Y531" s="33">
        <f t="shared" si="474"/>
        <v>0</v>
      </c>
      <c r="Z531" s="28"/>
      <c r="AA531" s="28"/>
      <c r="AB531" s="28">
        <v>0</v>
      </c>
      <c r="AC531" s="31"/>
      <c r="AD531" s="50">
        <f t="shared" si="475"/>
        <v>1</v>
      </c>
      <c r="AE531" s="31"/>
      <c r="AF531" s="51">
        <v>14</v>
      </c>
      <c r="AG531" s="51">
        <f t="shared" si="503"/>
        <v>8.4</v>
      </c>
      <c r="AH531" s="51">
        <f t="shared" si="469"/>
        <v>42</v>
      </c>
      <c r="AI531" s="52" t="s">
        <v>2497</v>
      </c>
      <c r="AJ531" s="52" t="s">
        <v>2498</v>
      </c>
      <c r="AK531" s="53">
        <f t="shared" si="504"/>
        <v>0</v>
      </c>
      <c r="AL531" s="54">
        <f t="shared" si="505"/>
        <v>0.11904761904761904</v>
      </c>
      <c r="AM531" s="54">
        <f t="shared" si="506"/>
        <v>2.3809523809523808E-2</v>
      </c>
      <c r="AN531" s="55">
        <f t="shared" si="507"/>
        <v>0</v>
      </c>
      <c r="AO531" s="55">
        <f t="shared" si="508"/>
        <v>0</v>
      </c>
      <c r="AP531" s="53">
        <v>7.1</v>
      </c>
      <c r="AQ531" s="53">
        <f t="shared" si="476"/>
        <v>4.26</v>
      </c>
      <c r="AR531" s="53">
        <f t="shared" si="477"/>
        <v>21.299999999999997</v>
      </c>
      <c r="AS531" s="56">
        <f t="shared" si="478"/>
        <v>4.6948356807511742E-2</v>
      </c>
      <c r="AT531" s="56">
        <f t="shared" si="509"/>
        <v>0.23474178403755869</v>
      </c>
      <c r="AU531" s="56">
        <f t="shared" si="479"/>
        <v>0.176056338028169</v>
      </c>
      <c r="AV531" s="56">
        <f t="shared" si="510"/>
        <v>5.8685446009389672E-2</v>
      </c>
      <c r="AW531" s="57" t="s">
        <v>2511</v>
      </c>
      <c r="AX531" s="57" t="s">
        <v>2512</v>
      </c>
      <c r="AY531" s="57" t="s">
        <v>2513</v>
      </c>
      <c r="AZ531" s="58">
        <f t="shared" si="511"/>
        <v>0</v>
      </c>
      <c r="BA531" s="59">
        <f t="shared" si="514"/>
        <v>0</v>
      </c>
      <c r="BB531" s="59">
        <f t="shared" si="515"/>
        <v>0</v>
      </c>
      <c r="BC531" s="59">
        <f t="shared" si="516"/>
        <v>0</v>
      </c>
      <c r="BD531" s="60">
        <f t="shared" si="512"/>
        <v>0</v>
      </c>
      <c r="BE531" s="59">
        <f t="shared" si="513"/>
        <v>0</v>
      </c>
      <c r="BQ531" s="61">
        <v>3000</v>
      </c>
      <c r="BR531" s="61">
        <v>1200</v>
      </c>
      <c r="BS531" s="28">
        <f t="shared" si="480"/>
        <v>2980</v>
      </c>
      <c r="BT531" s="28">
        <f t="shared" si="481"/>
        <v>1180</v>
      </c>
      <c r="BU531" s="28" t="s">
        <v>2541</v>
      </c>
      <c r="BV531" s="28">
        <f t="shared" si="482"/>
        <v>5</v>
      </c>
      <c r="BW531" s="28">
        <f t="shared" si="483"/>
        <v>5</v>
      </c>
      <c r="BX531" s="13">
        <f t="shared" si="484"/>
        <v>596</v>
      </c>
      <c r="BY531" s="13">
        <f t="shared" si="485"/>
        <v>596</v>
      </c>
      <c r="BZ531" s="13">
        <f t="shared" si="486"/>
        <v>236</v>
      </c>
      <c r="CA531" s="13">
        <f t="shared" si="487"/>
        <v>236</v>
      </c>
      <c r="CB531" s="13">
        <f t="shared" si="488"/>
        <v>140656</v>
      </c>
      <c r="CC531" s="62" t="str">
        <f t="shared" si="489"/>
        <v/>
      </c>
      <c r="CD531" s="13">
        <f t="shared" si="490"/>
        <v>596</v>
      </c>
      <c r="CE531" s="13">
        <f t="shared" si="491"/>
        <v>596</v>
      </c>
      <c r="CF531" s="13">
        <f t="shared" si="492"/>
        <v>236</v>
      </c>
      <c r="CG531" s="13">
        <f t="shared" si="493"/>
        <v>236</v>
      </c>
      <c r="CH531" s="28">
        <f t="shared" si="494"/>
        <v>140656</v>
      </c>
      <c r="CI531" s="62" t="str">
        <f t="shared" si="495"/>
        <v/>
      </c>
      <c r="CJ531" s="59">
        <f t="shared" si="496"/>
        <v>0</v>
      </c>
      <c r="CL531" s="63">
        <v>6000</v>
      </c>
      <c r="CM531" s="63">
        <f t="shared" si="497"/>
        <v>0</v>
      </c>
      <c r="CN531" s="63">
        <f t="shared" si="498"/>
        <v>5</v>
      </c>
      <c r="CO531" s="63">
        <f t="shared" si="499"/>
        <v>1200</v>
      </c>
      <c r="CP531" s="13">
        <f t="shared" si="500"/>
        <v>1200</v>
      </c>
      <c r="CQ531" s="70">
        <f t="shared" si="501"/>
        <v>8.3333333333333339E-4</v>
      </c>
      <c r="CR531" s="69">
        <f t="shared" si="465"/>
        <v>8.3333333333333339E-4</v>
      </c>
    </row>
    <row r="532" spans="1:96" hidden="1" x14ac:dyDescent="0.25">
      <c r="A532" s="17">
        <v>5</v>
      </c>
      <c r="B532" s="6" t="s">
        <v>1343</v>
      </c>
      <c r="C532" s="17" t="s">
        <v>1344</v>
      </c>
      <c r="D532" s="17" t="s">
        <v>2270</v>
      </c>
      <c r="E532" s="17" t="s">
        <v>52</v>
      </c>
      <c r="F532" s="7">
        <f t="shared" si="470"/>
        <v>1</v>
      </c>
      <c r="G532" s="17">
        <v>1</v>
      </c>
      <c r="H532" s="17">
        <f>G532*$H$531</f>
        <v>1</v>
      </c>
      <c r="I532" s="17">
        <v>1</v>
      </c>
      <c r="J532" s="6" t="s">
        <v>503</v>
      </c>
      <c r="K532" s="6" t="s">
        <v>34</v>
      </c>
      <c r="L532" s="17" t="s">
        <v>110</v>
      </c>
      <c r="M532" s="6" t="s">
        <v>35</v>
      </c>
      <c r="N532" s="17" t="s">
        <v>1342</v>
      </c>
      <c r="O532" s="28" t="s">
        <v>41</v>
      </c>
      <c r="P532" s="28" t="s">
        <v>41</v>
      </c>
      <c r="Q532" s="28" t="s">
        <v>116</v>
      </c>
      <c r="R532" s="30">
        <v>27</v>
      </c>
      <c r="S532" s="30">
        <v>14.574999999999999</v>
      </c>
      <c r="T532" s="30"/>
      <c r="U532" s="30">
        <v>0.11799999999999999</v>
      </c>
      <c r="V532" s="8">
        <f t="shared" si="471"/>
        <v>685.8</v>
      </c>
      <c r="W532" s="8">
        <f t="shared" si="472"/>
        <v>370.20499999999998</v>
      </c>
      <c r="X532" s="8">
        <f t="shared" si="473"/>
        <v>0</v>
      </c>
      <c r="Y532" s="33">
        <f t="shared" si="474"/>
        <v>2.9971999999999999</v>
      </c>
      <c r="Z532" s="28" t="s">
        <v>56</v>
      </c>
      <c r="AA532" s="28" t="s">
        <v>57</v>
      </c>
      <c r="AB532" s="28" t="s">
        <v>116</v>
      </c>
      <c r="AC532" s="31" t="s">
        <v>117</v>
      </c>
      <c r="AD532" s="50">
        <f t="shared" si="475"/>
        <v>1</v>
      </c>
      <c r="AE532" s="31"/>
      <c r="AF532" s="51">
        <v>14</v>
      </c>
      <c r="AG532" s="51">
        <f t="shared" si="503"/>
        <v>8.4</v>
      </c>
      <c r="AH532" s="51">
        <f t="shared" si="469"/>
        <v>42</v>
      </c>
      <c r="AI532" s="52" t="s">
        <v>2497</v>
      </c>
      <c r="AJ532" s="52" t="s">
        <v>2498</v>
      </c>
      <c r="AK532" s="53">
        <f t="shared" si="504"/>
        <v>0.50777317799999999</v>
      </c>
      <c r="AL532" s="54">
        <f t="shared" si="505"/>
        <v>0.11904761904761904</v>
      </c>
      <c r="AM532" s="54">
        <f t="shared" si="506"/>
        <v>2.3809523809523808E-2</v>
      </c>
      <c r="AN532" s="55">
        <f t="shared" si="507"/>
        <v>6.0449187857142851E-2</v>
      </c>
      <c r="AO532" s="55">
        <f t="shared" si="508"/>
        <v>1.208983757142857E-2</v>
      </c>
      <c r="AP532" s="53">
        <v>7.1</v>
      </c>
      <c r="AQ532" s="53">
        <f t="shared" si="476"/>
        <v>4.26</v>
      </c>
      <c r="AR532" s="53">
        <f t="shared" si="477"/>
        <v>21.299999999999997</v>
      </c>
      <c r="AS532" s="56">
        <f t="shared" si="478"/>
        <v>4.6948356807511742E-2</v>
      </c>
      <c r="AT532" s="56">
        <f t="shared" si="509"/>
        <v>0.23474178403755869</v>
      </c>
      <c r="AU532" s="56">
        <f t="shared" si="479"/>
        <v>0.176056338028169</v>
      </c>
      <c r="AV532" s="56">
        <f t="shared" si="510"/>
        <v>5.8685446009389672E-2</v>
      </c>
      <c r="AW532" s="57" t="s">
        <v>2511</v>
      </c>
      <c r="AX532" s="57" t="s">
        <v>2512</v>
      </c>
      <c r="AY532" s="57" t="s">
        <v>2513</v>
      </c>
      <c r="AZ532" s="58">
        <f t="shared" si="511"/>
        <v>0.50777317799999999</v>
      </c>
      <c r="BA532" s="59">
        <f t="shared" si="514"/>
        <v>1.4899447711267605E-2</v>
      </c>
      <c r="BB532" s="59">
        <f t="shared" si="515"/>
        <v>4.4698343133802811E-2</v>
      </c>
      <c r="BC532" s="59">
        <f t="shared" si="516"/>
        <v>1.1919558169014086E-2</v>
      </c>
      <c r="BD532" s="60">
        <f t="shared" si="512"/>
        <v>8.3333333333333329E-2</v>
      </c>
      <c r="BE532" s="59">
        <f t="shared" si="513"/>
        <v>8.3333333333333329E-2</v>
      </c>
      <c r="BQ532" s="61">
        <v>3000</v>
      </c>
      <c r="BR532" s="61">
        <v>1200</v>
      </c>
      <c r="BS532" s="28">
        <f t="shared" si="480"/>
        <v>2980</v>
      </c>
      <c r="BT532" s="28">
        <f t="shared" si="481"/>
        <v>1180</v>
      </c>
      <c r="BU532" s="28" t="s">
        <v>2541</v>
      </c>
      <c r="BV532" s="28">
        <f t="shared" si="482"/>
        <v>690.8</v>
      </c>
      <c r="BW532" s="28">
        <f t="shared" si="483"/>
        <v>375.20499999999998</v>
      </c>
      <c r="BX532" s="13">
        <f t="shared" si="484"/>
        <v>4.3138390272148239</v>
      </c>
      <c r="BY532" s="13">
        <f t="shared" si="485"/>
        <v>4</v>
      </c>
      <c r="BZ532" s="13">
        <f t="shared" si="486"/>
        <v>3.1449474287389561</v>
      </c>
      <c r="CA532" s="13">
        <f t="shared" si="487"/>
        <v>3</v>
      </c>
      <c r="CB532" s="13">
        <f t="shared" si="488"/>
        <v>12</v>
      </c>
      <c r="CC532" s="62">
        <f t="shared" si="489"/>
        <v>8.3333333333333329E-2</v>
      </c>
      <c r="CD532" s="13">
        <f t="shared" si="490"/>
        <v>7.9423248624085501</v>
      </c>
      <c r="CE532" s="13">
        <f t="shared" si="491"/>
        <v>7</v>
      </c>
      <c r="CF532" s="13">
        <f t="shared" si="492"/>
        <v>1.7081644470179502</v>
      </c>
      <c r="CG532" s="13">
        <f t="shared" si="493"/>
        <v>1</v>
      </c>
      <c r="CH532" s="28">
        <f t="shared" si="494"/>
        <v>7</v>
      </c>
      <c r="CI532" s="62">
        <f t="shared" si="495"/>
        <v>0.14285714285714285</v>
      </c>
      <c r="CJ532" s="59">
        <f t="shared" si="496"/>
        <v>8.3333333333333329E-2</v>
      </c>
      <c r="CL532" s="63">
        <v>6000</v>
      </c>
      <c r="CM532" s="63">
        <f t="shared" si="497"/>
        <v>685.8</v>
      </c>
      <c r="CN532" s="63">
        <f t="shared" si="498"/>
        <v>690.8</v>
      </c>
      <c r="CO532" s="63">
        <f t="shared" si="499"/>
        <v>8.6855819339895781</v>
      </c>
      <c r="CP532" s="13">
        <f t="shared" si="500"/>
        <v>8</v>
      </c>
      <c r="CQ532" s="70">
        <f t="shared" si="501"/>
        <v>0.125</v>
      </c>
      <c r="CR532" s="69">
        <f t="shared" si="465"/>
        <v>0.125</v>
      </c>
    </row>
    <row r="533" spans="1:96" hidden="1" x14ac:dyDescent="0.25">
      <c r="A533" s="17">
        <v>5</v>
      </c>
      <c r="B533" s="6" t="s">
        <v>1343</v>
      </c>
      <c r="C533" s="17" t="s">
        <v>1100</v>
      </c>
      <c r="D533" s="17" t="s">
        <v>2270</v>
      </c>
      <c r="E533" s="17" t="s">
        <v>52</v>
      </c>
      <c r="F533" s="7">
        <f t="shared" si="470"/>
        <v>2</v>
      </c>
      <c r="G533" s="17">
        <v>6</v>
      </c>
      <c r="H533" s="17">
        <f t="shared" ref="H533:H535" si="519">G533*$H$531</f>
        <v>6</v>
      </c>
      <c r="I533" s="17">
        <v>2</v>
      </c>
      <c r="J533" s="6" t="s">
        <v>1101</v>
      </c>
      <c r="K533" s="6" t="s">
        <v>34</v>
      </c>
      <c r="L533" s="17">
        <v>0</v>
      </c>
      <c r="M533" s="6" t="s">
        <v>35</v>
      </c>
      <c r="N533" s="17" t="s">
        <v>1102</v>
      </c>
      <c r="O533" s="28" t="s">
        <v>41</v>
      </c>
      <c r="P533" s="28" t="s">
        <v>41</v>
      </c>
      <c r="Q533" s="28" t="s">
        <v>1102</v>
      </c>
      <c r="R533" s="30"/>
      <c r="S533" s="30"/>
      <c r="T533" s="30"/>
      <c r="U533" s="30"/>
      <c r="V533" s="8">
        <f t="shared" si="471"/>
        <v>0</v>
      </c>
      <c r="W533" s="8">
        <f t="shared" si="472"/>
        <v>0</v>
      </c>
      <c r="X533" s="8">
        <f t="shared" si="473"/>
        <v>0</v>
      </c>
      <c r="Y533" s="33">
        <f t="shared" si="474"/>
        <v>0</v>
      </c>
      <c r="Z533" s="28"/>
      <c r="AA533" s="28"/>
      <c r="AB533" s="61" t="s">
        <v>1102</v>
      </c>
      <c r="AC533" s="31" t="s">
        <v>1103</v>
      </c>
      <c r="AD533" s="50">
        <f t="shared" si="475"/>
        <v>6</v>
      </c>
      <c r="AE533" s="31"/>
      <c r="AF533" s="51">
        <v>14</v>
      </c>
      <c r="AG533" s="51">
        <f t="shared" si="503"/>
        <v>8.4</v>
      </c>
      <c r="AH533" s="51">
        <f t="shared" si="469"/>
        <v>42</v>
      </c>
      <c r="AI533" s="52" t="s">
        <v>2497</v>
      </c>
      <c r="AJ533" s="52" t="s">
        <v>2498</v>
      </c>
      <c r="AK533" s="53">
        <f t="shared" si="504"/>
        <v>0</v>
      </c>
      <c r="AL533" s="54">
        <f t="shared" si="505"/>
        <v>0.11904761904761904</v>
      </c>
      <c r="AM533" s="54">
        <f t="shared" si="506"/>
        <v>2.3809523809523808E-2</v>
      </c>
      <c r="AN533" s="55">
        <f t="shared" si="507"/>
        <v>0</v>
      </c>
      <c r="AO533" s="55">
        <f t="shared" si="508"/>
        <v>0</v>
      </c>
      <c r="AP533" s="53">
        <v>7.1</v>
      </c>
      <c r="AQ533" s="53">
        <f t="shared" si="476"/>
        <v>4.26</v>
      </c>
      <c r="AR533" s="53">
        <f t="shared" si="477"/>
        <v>21.299999999999997</v>
      </c>
      <c r="AS533" s="56">
        <f t="shared" si="478"/>
        <v>4.6948356807511742E-2</v>
      </c>
      <c r="AT533" s="56">
        <f t="shared" si="509"/>
        <v>0.23474178403755869</v>
      </c>
      <c r="AU533" s="56">
        <f t="shared" si="479"/>
        <v>0.176056338028169</v>
      </c>
      <c r="AV533" s="56">
        <f t="shared" si="510"/>
        <v>5.8685446009389672E-2</v>
      </c>
      <c r="AW533" s="57" t="s">
        <v>2511</v>
      </c>
      <c r="AX533" s="57" t="s">
        <v>2512</v>
      </c>
      <c r="AY533" s="57" t="s">
        <v>2513</v>
      </c>
      <c r="AZ533" s="58">
        <f t="shared" si="511"/>
        <v>0</v>
      </c>
      <c r="BA533" s="59">
        <f t="shared" si="514"/>
        <v>0</v>
      </c>
      <c r="BB533" s="59">
        <f t="shared" si="515"/>
        <v>0</v>
      </c>
      <c r="BC533" s="59">
        <f t="shared" si="516"/>
        <v>0</v>
      </c>
      <c r="BD533" s="60">
        <f t="shared" si="512"/>
        <v>7.1095438516664771E-6</v>
      </c>
      <c r="BE533" s="59">
        <f t="shared" si="513"/>
        <v>4.2657263109998864E-5</v>
      </c>
      <c r="BQ533" s="61">
        <v>3000</v>
      </c>
      <c r="BR533" s="61">
        <v>1200</v>
      </c>
      <c r="BS533" s="28">
        <f t="shared" si="480"/>
        <v>2980</v>
      </c>
      <c r="BT533" s="28">
        <f t="shared" si="481"/>
        <v>1180</v>
      </c>
      <c r="BU533" s="28" t="s">
        <v>2541</v>
      </c>
      <c r="BV533" s="28">
        <f t="shared" si="482"/>
        <v>5</v>
      </c>
      <c r="BW533" s="28">
        <f t="shared" si="483"/>
        <v>5</v>
      </c>
      <c r="BX533" s="13">
        <f t="shared" si="484"/>
        <v>596</v>
      </c>
      <c r="BY533" s="13">
        <f t="shared" si="485"/>
        <v>596</v>
      </c>
      <c r="BZ533" s="13">
        <f t="shared" si="486"/>
        <v>236</v>
      </c>
      <c r="CA533" s="13">
        <f t="shared" si="487"/>
        <v>236</v>
      </c>
      <c r="CB533" s="13">
        <f t="shared" si="488"/>
        <v>140656</v>
      </c>
      <c r="CC533" s="62">
        <f t="shared" si="489"/>
        <v>7.1095438516664771E-6</v>
      </c>
      <c r="CD533" s="13">
        <f t="shared" si="490"/>
        <v>596</v>
      </c>
      <c r="CE533" s="13">
        <f t="shared" si="491"/>
        <v>596</v>
      </c>
      <c r="CF533" s="13">
        <f t="shared" si="492"/>
        <v>236</v>
      </c>
      <c r="CG533" s="13">
        <f t="shared" si="493"/>
        <v>236</v>
      </c>
      <c r="CH533" s="28">
        <f t="shared" si="494"/>
        <v>140656</v>
      </c>
      <c r="CI533" s="62">
        <f t="shared" si="495"/>
        <v>7.1095438516664771E-6</v>
      </c>
      <c r="CJ533" s="59">
        <f t="shared" si="496"/>
        <v>7.1095438516664771E-6</v>
      </c>
      <c r="CL533" s="63">
        <v>6000</v>
      </c>
      <c r="CM533" s="63">
        <f t="shared" si="497"/>
        <v>0</v>
      </c>
      <c r="CN533" s="63">
        <f t="shared" si="498"/>
        <v>5</v>
      </c>
      <c r="CO533" s="63">
        <f t="shared" si="499"/>
        <v>1200</v>
      </c>
      <c r="CP533" s="13">
        <f t="shared" si="500"/>
        <v>1200</v>
      </c>
      <c r="CQ533" s="70">
        <f t="shared" si="501"/>
        <v>8.3333333333333339E-4</v>
      </c>
      <c r="CR533" s="69">
        <f t="shared" si="465"/>
        <v>5.0000000000000001E-3</v>
      </c>
    </row>
    <row r="534" spans="1:96" hidden="1" x14ac:dyDescent="0.25">
      <c r="A534" s="17">
        <v>5</v>
      </c>
      <c r="B534" s="6" t="s">
        <v>1343</v>
      </c>
      <c r="C534" s="17" t="s">
        <v>1283</v>
      </c>
      <c r="D534" s="17" t="s">
        <v>1285</v>
      </c>
      <c r="E534" s="17" t="s">
        <v>52</v>
      </c>
      <c r="F534" s="7">
        <f t="shared" si="470"/>
        <v>2</v>
      </c>
      <c r="G534" s="17">
        <v>5</v>
      </c>
      <c r="H534" s="17">
        <f t="shared" si="519"/>
        <v>5</v>
      </c>
      <c r="I534" s="17">
        <v>3</v>
      </c>
      <c r="J534" s="6" t="s">
        <v>1284</v>
      </c>
      <c r="K534" s="6" t="s">
        <v>34</v>
      </c>
      <c r="L534" s="17">
        <v>0</v>
      </c>
      <c r="M534" s="6" t="s">
        <v>35</v>
      </c>
      <c r="N534" s="17" t="s">
        <v>1285</v>
      </c>
      <c r="O534" s="28" t="s">
        <v>41</v>
      </c>
      <c r="P534" s="28" t="s">
        <v>41</v>
      </c>
      <c r="Q534" s="28" t="s">
        <v>1285</v>
      </c>
      <c r="R534" s="30"/>
      <c r="S534" s="30"/>
      <c r="T534" s="30"/>
      <c r="U534" s="30"/>
      <c r="V534" s="8">
        <f t="shared" si="471"/>
        <v>0</v>
      </c>
      <c r="W534" s="8">
        <f t="shared" si="472"/>
        <v>0</v>
      </c>
      <c r="X534" s="8">
        <f t="shared" si="473"/>
        <v>0</v>
      </c>
      <c r="Y534" s="33">
        <f t="shared" si="474"/>
        <v>0</v>
      </c>
      <c r="Z534" s="28"/>
      <c r="AA534" s="28"/>
      <c r="AB534" s="61" t="s">
        <v>1285</v>
      </c>
      <c r="AC534" s="31" t="s">
        <v>1286</v>
      </c>
      <c r="AD534" s="50">
        <f t="shared" si="475"/>
        <v>5</v>
      </c>
      <c r="AE534" s="31"/>
      <c r="AF534" s="51">
        <v>14</v>
      </c>
      <c r="AG534" s="51">
        <f t="shared" si="503"/>
        <v>8.4</v>
      </c>
      <c r="AH534" s="51">
        <f t="shared" si="469"/>
        <v>42</v>
      </c>
      <c r="AI534" s="52" t="s">
        <v>2497</v>
      </c>
      <c r="AJ534" s="52" t="s">
        <v>2498</v>
      </c>
      <c r="AK534" s="53">
        <f t="shared" si="504"/>
        <v>0</v>
      </c>
      <c r="AL534" s="54">
        <f t="shared" si="505"/>
        <v>0.11904761904761904</v>
      </c>
      <c r="AM534" s="54">
        <f t="shared" si="506"/>
        <v>2.3809523809523808E-2</v>
      </c>
      <c r="AN534" s="55">
        <f t="shared" si="507"/>
        <v>0</v>
      </c>
      <c r="AO534" s="55">
        <f t="shared" si="508"/>
        <v>0</v>
      </c>
      <c r="AP534" s="53">
        <v>7.1</v>
      </c>
      <c r="AQ534" s="53">
        <f t="shared" si="476"/>
        <v>4.26</v>
      </c>
      <c r="AR534" s="53">
        <f t="shared" si="477"/>
        <v>21.299999999999997</v>
      </c>
      <c r="AS534" s="56">
        <f t="shared" si="478"/>
        <v>4.6948356807511742E-2</v>
      </c>
      <c r="AT534" s="56">
        <f t="shared" si="509"/>
        <v>0.23474178403755869</v>
      </c>
      <c r="AU534" s="56">
        <f t="shared" si="479"/>
        <v>0.176056338028169</v>
      </c>
      <c r="AV534" s="56">
        <f t="shared" si="510"/>
        <v>5.8685446009389672E-2</v>
      </c>
      <c r="AW534" s="57" t="s">
        <v>2511</v>
      </c>
      <c r="AX534" s="57" t="s">
        <v>2512</v>
      </c>
      <c r="AY534" s="57" t="s">
        <v>2513</v>
      </c>
      <c r="AZ534" s="58">
        <f t="shared" si="511"/>
        <v>0</v>
      </c>
      <c r="BA534" s="59">
        <f t="shared" si="514"/>
        <v>0</v>
      </c>
      <c r="BB534" s="59">
        <f t="shared" si="515"/>
        <v>0</v>
      </c>
      <c r="BC534" s="59">
        <f t="shared" si="516"/>
        <v>0</v>
      </c>
      <c r="BD534" s="60">
        <f t="shared" si="512"/>
        <v>7.1095438516664771E-6</v>
      </c>
      <c r="BE534" s="59">
        <f t="shared" si="513"/>
        <v>3.5547719258332388E-5</v>
      </c>
      <c r="BQ534" s="61">
        <v>3000</v>
      </c>
      <c r="BR534" s="61">
        <v>1200</v>
      </c>
      <c r="BS534" s="28">
        <f t="shared" si="480"/>
        <v>2980</v>
      </c>
      <c r="BT534" s="28">
        <f t="shared" si="481"/>
        <v>1180</v>
      </c>
      <c r="BU534" s="28" t="s">
        <v>2541</v>
      </c>
      <c r="BV534" s="28">
        <f t="shared" si="482"/>
        <v>5</v>
      </c>
      <c r="BW534" s="28">
        <f t="shared" si="483"/>
        <v>5</v>
      </c>
      <c r="BX534" s="13">
        <f t="shared" si="484"/>
        <v>596</v>
      </c>
      <c r="BY534" s="13">
        <f t="shared" si="485"/>
        <v>596</v>
      </c>
      <c r="BZ534" s="13">
        <f t="shared" si="486"/>
        <v>236</v>
      </c>
      <c r="CA534" s="13">
        <f t="shared" si="487"/>
        <v>236</v>
      </c>
      <c r="CB534" s="13">
        <f t="shared" si="488"/>
        <v>140656</v>
      </c>
      <c r="CC534" s="62">
        <f t="shared" si="489"/>
        <v>7.1095438516664771E-6</v>
      </c>
      <c r="CD534" s="13">
        <f t="shared" si="490"/>
        <v>596</v>
      </c>
      <c r="CE534" s="13">
        <f t="shared" si="491"/>
        <v>596</v>
      </c>
      <c r="CF534" s="13">
        <f t="shared" si="492"/>
        <v>236</v>
      </c>
      <c r="CG534" s="13">
        <f t="shared" si="493"/>
        <v>236</v>
      </c>
      <c r="CH534" s="28">
        <f t="shared" si="494"/>
        <v>140656</v>
      </c>
      <c r="CI534" s="62">
        <f t="shared" si="495"/>
        <v>7.1095438516664771E-6</v>
      </c>
      <c r="CJ534" s="59">
        <f t="shared" si="496"/>
        <v>7.1095438516664771E-6</v>
      </c>
      <c r="CL534" s="63">
        <v>6000</v>
      </c>
      <c r="CM534" s="63">
        <f t="shared" si="497"/>
        <v>0</v>
      </c>
      <c r="CN534" s="63">
        <f t="shared" si="498"/>
        <v>5</v>
      </c>
      <c r="CO534" s="63">
        <f t="shared" si="499"/>
        <v>1200</v>
      </c>
      <c r="CP534" s="13">
        <f t="shared" si="500"/>
        <v>1200</v>
      </c>
      <c r="CQ534" s="70">
        <f t="shared" si="501"/>
        <v>8.3333333333333339E-4</v>
      </c>
      <c r="CR534" s="69">
        <f t="shared" si="465"/>
        <v>4.1666666666666666E-3</v>
      </c>
    </row>
    <row r="535" spans="1:96" hidden="1" x14ac:dyDescent="0.25">
      <c r="A535" s="17">
        <v>5</v>
      </c>
      <c r="B535" s="6" t="s">
        <v>1343</v>
      </c>
      <c r="C535" s="17" t="s">
        <v>904</v>
      </c>
      <c r="D535" s="17" t="s">
        <v>905</v>
      </c>
      <c r="E535" s="17" t="s">
        <v>52</v>
      </c>
      <c r="F535" s="7">
        <f t="shared" si="470"/>
        <v>5</v>
      </c>
      <c r="G535" s="17">
        <v>6</v>
      </c>
      <c r="H535" s="17">
        <f t="shared" si="519"/>
        <v>6</v>
      </c>
      <c r="I535" s="17">
        <v>4</v>
      </c>
      <c r="J535" s="6" t="s">
        <v>681</v>
      </c>
      <c r="K535" s="6" t="s">
        <v>34</v>
      </c>
      <c r="L535" s="17">
        <v>0</v>
      </c>
      <c r="M535" s="6" t="s">
        <v>35</v>
      </c>
      <c r="N535" s="17" t="s">
        <v>905</v>
      </c>
      <c r="O535" s="28" t="s">
        <v>41</v>
      </c>
      <c r="P535" s="28" t="s">
        <v>41</v>
      </c>
      <c r="Q535" s="28" t="s">
        <v>905</v>
      </c>
      <c r="R535" s="30"/>
      <c r="S535" s="30"/>
      <c r="T535" s="30"/>
      <c r="U535" s="30"/>
      <c r="V535" s="8">
        <f t="shared" si="471"/>
        <v>0</v>
      </c>
      <c r="W535" s="8">
        <f t="shared" si="472"/>
        <v>0</v>
      </c>
      <c r="X535" s="8">
        <f t="shared" si="473"/>
        <v>0</v>
      </c>
      <c r="Y535" s="33">
        <f t="shared" si="474"/>
        <v>0</v>
      </c>
      <c r="Z535" s="28"/>
      <c r="AA535" s="28"/>
      <c r="AB535" s="61" t="s">
        <v>905</v>
      </c>
      <c r="AC535" s="31" t="s">
        <v>906</v>
      </c>
      <c r="AD535" s="50">
        <f t="shared" si="475"/>
        <v>6</v>
      </c>
      <c r="AE535" s="31"/>
      <c r="AF535" s="51">
        <v>14</v>
      </c>
      <c r="AG535" s="51">
        <f t="shared" si="503"/>
        <v>8.4</v>
      </c>
      <c r="AH535" s="51">
        <f t="shared" si="469"/>
        <v>42</v>
      </c>
      <c r="AI535" s="52" t="s">
        <v>2497</v>
      </c>
      <c r="AJ535" s="52" t="s">
        <v>2498</v>
      </c>
      <c r="AK535" s="53">
        <f t="shared" si="504"/>
        <v>0</v>
      </c>
      <c r="AL535" s="54">
        <f t="shared" si="505"/>
        <v>0.11904761904761904</v>
      </c>
      <c r="AM535" s="54">
        <f t="shared" si="506"/>
        <v>2.3809523809523808E-2</v>
      </c>
      <c r="AN535" s="55">
        <f t="shared" si="507"/>
        <v>0</v>
      </c>
      <c r="AO535" s="55">
        <f t="shared" si="508"/>
        <v>0</v>
      </c>
      <c r="AP535" s="53">
        <v>7.1</v>
      </c>
      <c r="AQ535" s="53">
        <f t="shared" si="476"/>
        <v>4.26</v>
      </c>
      <c r="AR535" s="53">
        <f t="shared" si="477"/>
        <v>21.299999999999997</v>
      </c>
      <c r="AS535" s="56">
        <f t="shared" si="478"/>
        <v>4.6948356807511742E-2</v>
      </c>
      <c r="AT535" s="56">
        <f t="shared" si="509"/>
        <v>0.23474178403755869</v>
      </c>
      <c r="AU535" s="56">
        <f t="shared" si="479"/>
        <v>0.176056338028169</v>
      </c>
      <c r="AV535" s="56">
        <f t="shared" si="510"/>
        <v>5.8685446009389672E-2</v>
      </c>
      <c r="AW535" s="57" t="s">
        <v>2511</v>
      </c>
      <c r="AX535" s="57" t="s">
        <v>2512</v>
      </c>
      <c r="AY535" s="57" t="s">
        <v>2513</v>
      </c>
      <c r="AZ535" s="58">
        <f t="shared" si="511"/>
        <v>0</v>
      </c>
      <c r="BA535" s="59">
        <f t="shared" si="514"/>
        <v>0</v>
      </c>
      <c r="BB535" s="59">
        <f t="shared" si="515"/>
        <v>0</v>
      </c>
      <c r="BC535" s="59">
        <f t="shared" si="516"/>
        <v>0</v>
      </c>
      <c r="BD535" s="60">
        <f t="shared" si="512"/>
        <v>7.1095438516664771E-6</v>
      </c>
      <c r="BE535" s="59">
        <f t="shared" si="513"/>
        <v>4.2657263109998864E-5</v>
      </c>
      <c r="BQ535" s="61">
        <v>3000</v>
      </c>
      <c r="BR535" s="61">
        <v>1200</v>
      </c>
      <c r="BS535" s="28">
        <f t="shared" si="480"/>
        <v>2980</v>
      </c>
      <c r="BT535" s="28">
        <f t="shared" si="481"/>
        <v>1180</v>
      </c>
      <c r="BU535" s="28" t="s">
        <v>2541</v>
      </c>
      <c r="BV535" s="28">
        <f t="shared" si="482"/>
        <v>5</v>
      </c>
      <c r="BW535" s="28">
        <f t="shared" si="483"/>
        <v>5</v>
      </c>
      <c r="BX535" s="13">
        <f t="shared" si="484"/>
        <v>596</v>
      </c>
      <c r="BY535" s="13">
        <f t="shared" si="485"/>
        <v>596</v>
      </c>
      <c r="BZ535" s="13">
        <f t="shared" si="486"/>
        <v>236</v>
      </c>
      <c r="CA535" s="13">
        <f t="shared" si="487"/>
        <v>236</v>
      </c>
      <c r="CB535" s="13">
        <f t="shared" si="488"/>
        <v>140656</v>
      </c>
      <c r="CC535" s="62">
        <f t="shared" si="489"/>
        <v>7.1095438516664771E-6</v>
      </c>
      <c r="CD535" s="13">
        <f t="shared" si="490"/>
        <v>596</v>
      </c>
      <c r="CE535" s="13">
        <f t="shared" si="491"/>
        <v>596</v>
      </c>
      <c r="CF535" s="13">
        <f t="shared" si="492"/>
        <v>236</v>
      </c>
      <c r="CG535" s="13">
        <f t="shared" si="493"/>
        <v>236</v>
      </c>
      <c r="CH535" s="28">
        <f t="shared" si="494"/>
        <v>140656</v>
      </c>
      <c r="CI535" s="62">
        <f t="shared" si="495"/>
        <v>7.1095438516664771E-6</v>
      </c>
      <c r="CJ535" s="59">
        <f t="shared" si="496"/>
        <v>7.1095438516664771E-6</v>
      </c>
      <c r="CL535" s="63">
        <v>6000</v>
      </c>
      <c r="CM535" s="63">
        <f t="shared" si="497"/>
        <v>0</v>
      </c>
      <c r="CN535" s="63">
        <f t="shared" si="498"/>
        <v>5</v>
      </c>
      <c r="CO535" s="63">
        <f t="shared" si="499"/>
        <v>1200</v>
      </c>
      <c r="CP535" s="13">
        <f t="shared" si="500"/>
        <v>1200</v>
      </c>
      <c r="CQ535" s="70">
        <f t="shared" si="501"/>
        <v>8.3333333333333339E-4</v>
      </c>
      <c r="CR535" s="69">
        <f t="shared" si="465"/>
        <v>5.0000000000000001E-3</v>
      </c>
    </row>
    <row r="536" spans="1:96" hidden="1" x14ac:dyDescent="0.25">
      <c r="A536" s="13">
        <v>4</v>
      </c>
      <c r="B536" s="14" t="s">
        <v>1340</v>
      </c>
      <c r="C536" s="13" t="s">
        <v>710</v>
      </c>
      <c r="D536" s="13" t="s">
        <v>711</v>
      </c>
      <c r="E536" s="13" t="s">
        <v>52</v>
      </c>
      <c r="F536" s="15">
        <f t="shared" si="470"/>
        <v>4</v>
      </c>
      <c r="G536" s="13">
        <v>1</v>
      </c>
      <c r="H536" s="13">
        <f>G536*$H$530</f>
        <v>1</v>
      </c>
      <c r="I536" s="13">
        <v>5</v>
      </c>
      <c r="J536" s="14" t="s">
        <v>76</v>
      </c>
      <c r="K536" s="14" t="s">
        <v>34</v>
      </c>
      <c r="L536" s="13" t="s">
        <v>77</v>
      </c>
      <c r="M536" s="14" t="s">
        <v>35</v>
      </c>
      <c r="N536" s="13" t="s">
        <v>711</v>
      </c>
      <c r="O536" s="28" t="s">
        <v>41</v>
      </c>
      <c r="P536" s="28" t="s">
        <v>41</v>
      </c>
      <c r="Q536" s="28" t="s">
        <v>79</v>
      </c>
      <c r="R536" s="30">
        <v>25.098425196850396</v>
      </c>
      <c r="S536" s="30">
        <v>0.3125</v>
      </c>
      <c r="T536" s="30"/>
      <c r="U536" s="30">
        <v>0.3125</v>
      </c>
      <c r="V536" s="8">
        <f t="shared" si="471"/>
        <v>637.5</v>
      </c>
      <c r="W536" s="8">
        <f t="shared" si="472"/>
        <v>7.9375</v>
      </c>
      <c r="X536" s="8">
        <f t="shared" si="473"/>
        <v>0</v>
      </c>
      <c r="Y536" s="33">
        <f t="shared" si="474"/>
        <v>7.9375</v>
      </c>
      <c r="Z536" s="28" t="s">
        <v>80</v>
      </c>
      <c r="AA536" s="28" t="s">
        <v>81</v>
      </c>
      <c r="AB536" s="61" t="s">
        <v>79</v>
      </c>
      <c r="AC536" s="31" t="s">
        <v>82</v>
      </c>
      <c r="AD536" s="50">
        <f t="shared" si="475"/>
        <v>1</v>
      </c>
      <c r="AE536" s="31"/>
      <c r="AF536" s="51">
        <v>14</v>
      </c>
      <c r="AG536" s="51">
        <f t="shared" si="503"/>
        <v>8.4</v>
      </c>
      <c r="AH536" s="51">
        <f t="shared" si="469"/>
        <v>42</v>
      </c>
      <c r="AI536" s="52" t="s">
        <v>2497</v>
      </c>
      <c r="AJ536" s="52" t="s">
        <v>2498</v>
      </c>
      <c r="AK536" s="53">
        <f t="shared" si="504"/>
        <v>1.0120312500000001E-2</v>
      </c>
      <c r="AL536" s="54">
        <f t="shared" si="505"/>
        <v>0.11904761904761904</v>
      </c>
      <c r="AM536" s="54">
        <f t="shared" si="506"/>
        <v>2.3809523809523808E-2</v>
      </c>
      <c r="AN536" s="55">
        <f t="shared" si="507"/>
        <v>1.2047991071428572E-3</v>
      </c>
      <c r="AO536" s="55">
        <f t="shared" si="508"/>
        <v>2.4095982142857144E-4</v>
      </c>
      <c r="AP536" s="53">
        <v>7.1</v>
      </c>
      <c r="AQ536" s="53">
        <f t="shared" si="476"/>
        <v>4.26</v>
      </c>
      <c r="AR536" s="53">
        <f t="shared" si="477"/>
        <v>21.299999999999997</v>
      </c>
      <c r="AS536" s="56">
        <f t="shared" si="478"/>
        <v>4.6948356807511742E-2</v>
      </c>
      <c r="AT536" s="56">
        <f t="shared" si="509"/>
        <v>0.23474178403755869</v>
      </c>
      <c r="AU536" s="56">
        <f t="shared" si="479"/>
        <v>0.176056338028169</v>
      </c>
      <c r="AV536" s="56">
        <f t="shared" si="510"/>
        <v>5.8685446009389672E-2</v>
      </c>
      <c r="AW536" s="57" t="s">
        <v>2511</v>
      </c>
      <c r="AX536" s="57" t="s">
        <v>2512</v>
      </c>
      <c r="AY536" s="57" t="s">
        <v>2513</v>
      </c>
      <c r="AZ536" s="58">
        <f t="shared" si="511"/>
        <v>1.0120312500000001E-2</v>
      </c>
      <c r="BA536" s="59">
        <f t="shared" si="514"/>
        <v>2.9695752640845072E-4</v>
      </c>
      <c r="BB536" s="59">
        <f t="shared" si="515"/>
        <v>8.9087257922535216E-4</v>
      </c>
      <c r="BC536" s="59">
        <f t="shared" si="516"/>
        <v>2.3756602112676061E-4</v>
      </c>
      <c r="BD536" s="60">
        <f t="shared" si="512"/>
        <v>2.7472527472527475E-3</v>
      </c>
      <c r="BE536" s="59">
        <f t="shared" si="513"/>
        <v>2.7472527472527475E-3</v>
      </c>
      <c r="BQ536" s="61">
        <v>3000</v>
      </c>
      <c r="BR536" s="61">
        <v>1200</v>
      </c>
      <c r="BS536" s="28">
        <f t="shared" si="480"/>
        <v>2980</v>
      </c>
      <c r="BT536" s="28">
        <f t="shared" si="481"/>
        <v>1180</v>
      </c>
      <c r="BU536" s="28" t="s">
        <v>2541</v>
      </c>
      <c r="BV536" s="28">
        <f t="shared" si="482"/>
        <v>642.5</v>
      </c>
      <c r="BW536" s="28">
        <f t="shared" si="483"/>
        <v>12.9375</v>
      </c>
      <c r="BX536" s="13">
        <f t="shared" si="484"/>
        <v>4.6381322957198448</v>
      </c>
      <c r="BY536" s="13">
        <f t="shared" si="485"/>
        <v>4</v>
      </c>
      <c r="BZ536" s="13">
        <f t="shared" si="486"/>
        <v>91.207729468599027</v>
      </c>
      <c r="CA536" s="13">
        <f t="shared" si="487"/>
        <v>91</v>
      </c>
      <c r="CB536" s="13">
        <f t="shared" si="488"/>
        <v>364</v>
      </c>
      <c r="CC536" s="62">
        <f t="shared" si="489"/>
        <v>2.7472527472527475E-3</v>
      </c>
      <c r="CD536" s="13">
        <f t="shared" si="490"/>
        <v>230.33816425120773</v>
      </c>
      <c r="CE536" s="13">
        <f t="shared" si="491"/>
        <v>230</v>
      </c>
      <c r="CF536" s="13">
        <f t="shared" si="492"/>
        <v>1.8365758754863812</v>
      </c>
      <c r="CG536" s="13">
        <f t="shared" si="493"/>
        <v>1</v>
      </c>
      <c r="CH536" s="28">
        <f t="shared" si="494"/>
        <v>230</v>
      </c>
      <c r="CI536" s="62">
        <f t="shared" si="495"/>
        <v>4.3478260869565218E-3</v>
      </c>
      <c r="CJ536" s="59">
        <f t="shared" si="496"/>
        <v>2.7472527472527475E-3</v>
      </c>
      <c r="CL536" s="63">
        <v>6000</v>
      </c>
      <c r="CM536" s="63">
        <f t="shared" si="497"/>
        <v>637.5</v>
      </c>
      <c r="CN536" s="63">
        <f t="shared" si="498"/>
        <v>642.5</v>
      </c>
      <c r="CO536" s="63">
        <f t="shared" si="499"/>
        <v>9.3385214007782107</v>
      </c>
      <c r="CP536" s="13">
        <f t="shared" si="500"/>
        <v>9</v>
      </c>
      <c r="CQ536" s="70">
        <f t="shared" si="501"/>
        <v>0.1111111111111111</v>
      </c>
      <c r="CR536" s="69">
        <f t="shared" si="465"/>
        <v>0.1111111111111111</v>
      </c>
    </row>
    <row r="537" spans="1:96" hidden="1" x14ac:dyDescent="0.25">
      <c r="A537" s="10">
        <v>3</v>
      </c>
      <c r="B537" s="8" t="s">
        <v>1306</v>
      </c>
      <c r="C537" s="10" t="s">
        <v>1123</v>
      </c>
      <c r="D537" s="10" t="s">
        <v>1124</v>
      </c>
      <c r="E537" s="10" t="s">
        <v>52</v>
      </c>
      <c r="F537" s="12">
        <f t="shared" si="470"/>
        <v>2</v>
      </c>
      <c r="G537" s="10">
        <v>1</v>
      </c>
      <c r="H537" s="10">
        <f t="shared" ref="H537:H540" si="520">G537*$H$513</f>
        <v>1</v>
      </c>
      <c r="I537" s="10">
        <v>15</v>
      </c>
      <c r="J537" s="8" t="s">
        <v>76</v>
      </c>
      <c r="K537" s="8" t="s">
        <v>34</v>
      </c>
      <c r="L537" s="10" t="s">
        <v>77</v>
      </c>
      <c r="M537" s="8" t="s">
        <v>35</v>
      </c>
      <c r="N537" s="10" t="s">
        <v>1124</v>
      </c>
      <c r="O537" s="28" t="s">
        <v>41</v>
      </c>
      <c r="P537" s="28" t="s">
        <v>41</v>
      </c>
      <c r="Q537" s="28" t="s">
        <v>79</v>
      </c>
      <c r="R537" s="30">
        <v>12.086614173228346</v>
      </c>
      <c r="S537" s="30">
        <v>0.3125</v>
      </c>
      <c r="T537" s="30"/>
      <c r="U537" s="30">
        <v>0.3125</v>
      </c>
      <c r="V537" s="8">
        <f t="shared" si="471"/>
        <v>307</v>
      </c>
      <c r="W537" s="8">
        <f t="shared" si="472"/>
        <v>7.9375</v>
      </c>
      <c r="X537" s="8">
        <f t="shared" si="473"/>
        <v>0</v>
      </c>
      <c r="Y537" s="33">
        <f t="shared" si="474"/>
        <v>7.9375</v>
      </c>
      <c r="Z537" s="28" t="s">
        <v>80</v>
      </c>
      <c r="AA537" s="28" t="s">
        <v>81</v>
      </c>
      <c r="AB537" s="61" t="s">
        <v>79</v>
      </c>
      <c r="AC537" s="31" t="s">
        <v>82</v>
      </c>
      <c r="AD537" s="50">
        <f t="shared" si="475"/>
        <v>1</v>
      </c>
      <c r="AE537" s="31"/>
      <c r="AF537" s="51">
        <v>14</v>
      </c>
      <c r="AG537" s="51">
        <f t="shared" si="503"/>
        <v>8.4</v>
      </c>
      <c r="AH537" s="51">
        <f t="shared" si="469"/>
        <v>42</v>
      </c>
      <c r="AI537" s="52" t="s">
        <v>2497</v>
      </c>
      <c r="AJ537" s="52" t="s">
        <v>2498</v>
      </c>
      <c r="AK537" s="53">
        <f t="shared" si="504"/>
        <v>4.8736250000000004E-3</v>
      </c>
      <c r="AL537" s="54">
        <f t="shared" si="505"/>
        <v>0.11904761904761904</v>
      </c>
      <c r="AM537" s="54">
        <f t="shared" si="506"/>
        <v>2.3809523809523808E-2</v>
      </c>
      <c r="AN537" s="55">
        <f t="shared" si="507"/>
        <v>5.8019345238095237E-4</v>
      </c>
      <c r="AO537" s="55">
        <f t="shared" si="508"/>
        <v>1.1603869047619048E-4</v>
      </c>
      <c r="AP537" s="53">
        <v>7.1</v>
      </c>
      <c r="AQ537" s="53">
        <f t="shared" si="476"/>
        <v>4.26</v>
      </c>
      <c r="AR537" s="53">
        <f t="shared" si="477"/>
        <v>21.299999999999997</v>
      </c>
      <c r="AS537" s="56">
        <f t="shared" si="478"/>
        <v>4.6948356807511742E-2</v>
      </c>
      <c r="AT537" s="56">
        <f t="shared" si="509"/>
        <v>0.23474178403755869</v>
      </c>
      <c r="AU537" s="56">
        <f t="shared" si="479"/>
        <v>0.176056338028169</v>
      </c>
      <c r="AV537" s="56">
        <f t="shared" si="510"/>
        <v>5.8685446009389672E-2</v>
      </c>
      <c r="AW537" s="57" t="s">
        <v>2511</v>
      </c>
      <c r="AX537" s="57" t="s">
        <v>2512</v>
      </c>
      <c r="AY537" s="57" t="s">
        <v>2513</v>
      </c>
      <c r="AZ537" s="58">
        <f t="shared" si="511"/>
        <v>4.8736250000000004E-3</v>
      </c>
      <c r="BA537" s="59">
        <f t="shared" si="514"/>
        <v>1.4300542840375589E-4</v>
      </c>
      <c r="BB537" s="59">
        <f t="shared" si="515"/>
        <v>4.2901628521126758E-4</v>
      </c>
      <c r="BC537" s="59">
        <f t="shared" si="516"/>
        <v>1.1440434272300472E-4</v>
      </c>
      <c r="BD537" s="60">
        <f t="shared" si="512"/>
        <v>1.221001221001221E-3</v>
      </c>
      <c r="BE537" s="59">
        <f t="shared" si="513"/>
        <v>1.221001221001221E-3</v>
      </c>
      <c r="BQ537" s="61">
        <v>3000</v>
      </c>
      <c r="BR537" s="61">
        <v>1200</v>
      </c>
      <c r="BS537" s="28">
        <f t="shared" si="480"/>
        <v>2980</v>
      </c>
      <c r="BT537" s="28">
        <f t="shared" si="481"/>
        <v>1180</v>
      </c>
      <c r="BU537" s="28" t="s">
        <v>2541</v>
      </c>
      <c r="BV537" s="28">
        <f t="shared" si="482"/>
        <v>312</v>
      </c>
      <c r="BW537" s="28">
        <f t="shared" si="483"/>
        <v>12.9375</v>
      </c>
      <c r="BX537" s="13">
        <f t="shared" si="484"/>
        <v>9.5512820512820511</v>
      </c>
      <c r="BY537" s="13">
        <f t="shared" si="485"/>
        <v>9</v>
      </c>
      <c r="BZ537" s="13">
        <f t="shared" si="486"/>
        <v>91.207729468599027</v>
      </c>
      <c r="CA537" s="13">
        <f t="shared" si="487"/>
        <v>91</v>
      </c>
      <c r="CB537" s="13">
        <f t="shared" si="488"/>
        <v>819</v>
      </c>
      <c r="CC537" s="62">
        <f t="shared" si="489"/>
        <v>1.221001221001221E-3</v>
      </c>
      <c r="CD537" s="13">
        <f t="shared" si="490"/>
        <v>230.33816425120773</v>
      </c>
      <c r="CE537" s="13">
        <f t="shared" si="491"/>
        <v>230</v>
      </c>
      <c r="CF537" s="13">
        <f t="shared" si="492"/>
        <v>3.7820512820512819</v>
      </c>
      <c r="CG537" s="13">
        <f t="shared" si="493"/>
        <v>3</v>
      </c>
      <c r="CH537" s="28">
        <f t="shared" si="494"/>
        <v>690</v>
      </c>
      <c r="CI537" s="62">
        <f t="shared" si="495"/>
        <v>1.4492753623188406E-3</v>
      </c>
      <c r="CJ537" s="59">
        <f t="shared" si="496"/>
        <v>1.221001221001221E-3</v>
      </c>
      <c r="CL537" s="63">
        <v>6000</v>
      </c>
      <c r="CM537" s="63">
        <f t="shared" si="497"/>
        <v>307</v>
      </c>
      <c r="CN537" s="63">
        <f t="shared" si="498"/>
        <v>312</v>
      </c>
      <c r="CO537" s="63">
        <f t="shared" si="499"/>
        <v>19.23076923076923</v>
      </c>
      <c r="CP537" s="13">
        <f t="shared" si="500"/>
        <v>19</v>
      </c>
      <c r="CQ537" s="70">
        <f t="shared" si="501"/>
        <v>5.2631578947368418E-2</v>
      </c>
      <c r="CR537" s="69">
        <f t="shared" si="465"/>
        <v>5.2631578947368418E-2</v>
      </c>
    </row>
    <row r="538" spans="1:96" hidden="1" x14ac:dyDescent="0.25">
      <c r="A538" s="10">
        <v>3</v>
      </c>
      <c r="B538" s="8" t="s">
        <v>1306</v>
      </c>
      <c r="C538" s="10" t="s">
        <v>1345</v>
      </c>
      <c r="D538" s="10" t="s">
        <v>1346</v>
      </c>
      <c r="E538" s="10" t="s">
        <v>52</v>
      </c>
      <c r="F538" s="12">
        <f t="shared" si="470"/>
        <v>1</v>
      </c>
      <c r="G538" s="10">
        <v>1</v>
      </c>
      <c r="H538" s="10">
        <f t="shared" si="520"/>
        <v>1</v>
      </c>
      <c r="I538" s="10">
        <v>16</v>
      </c>
      <c r="J538" s="8" t="s">
        <v>76</v>
      </c>
      <c r="K538" s="8" t="s">
        <v>34</v>
      </c>
      <c r="L538" s="10" t="s">
        <v>77</v>
      </c>
      <c r="M538" s="8" t="s">
        <v>35</v>
      </c>
      <c r="N538" s="10" t="s">
        <v>1346</v>
      </c>
      <c r="O538" s="28" t="s">
        <v>41</v>
      </c>
      <c r="P538" s="28" t="s">
        <v>41</v>
      </c>
      <c r="Q538" s="28" t="s">
        <v>79</v>
      </c>
      <c r="R538" s="30">
        <v>17.007874015748033</v>
      </c>
      <c r="S538" s="30">
        <v>0.3125</v>
      </c>
      <c r="T538" s="30"/>
      <c r="U538" s="30">
        <v>0.3125</v>
      </c>
      <c r="V538" s="8">
        <f t="shared" si="471"/>
        <v>432</v>
      </c>
      <c r="W538" s="8">
        <f t="shared" si="472"/>
        <v>7.9375</v>
      </c>
      <c r="X538" s="8">
        <f t="shared" si="473"/>
        <v>0</v>
      </c>
      <c r="Y538" s="33">
        <f t="shared" si="474"/>
        <v>7.9375</v>
      </c>
      <c r="Z538" s="28" t="s">
        <v>80</v>
      </c>
      <c r="AA538" s="28" t="s">
        <v>81</v>
      </c>
      <c r="AB538" s="61" t="s">
        <v>79</v>
      </c>
      <c r="AC538" s="31" t="s">
        <v>82</v>
      </c>
      <c r="AD538" s="50">
        <f t="shared" si="475"/>
        <v>1</v>
      </c>
      <c r="AE538" s="31"/>
      <c r="AF538" s="51">
        <v>14</v>
      </c>
      <c r="AG538" s="51">
        <f t="shared" si="503"/>
        <v>8.4</v>
      </c>
      <c r="AH538" s="51">
        <f t="shared" si="469"/>
        <v>42</v>
      </c>
      <c r="AI538" s="52" t="s">
        <v>2497</v>
      </c>
      <c r="AJ538" s="52" t="s">
        <v>2498</v>
      </c>
      <c r="AK538" s="53">
        <f t="shared" si="504"/>
        <v>6.8580000000000004E-3</v>
      </c>
      <c r="AL538" s="54">
        <f t="shared" si="505"/>
        <v>0.11904761904761904</v>
      </c>
      <c r="AM538" s="54">
        <f t="shared" si="506"/>
        <v>2.3809523809523808E-2</v>
      </c>
      <c r="AN538" s="55">
        <f t="shared" si="507"/>
        <v>8.1642857142857146E-4</v>
      </c>
      <c r="AO538" s="55">
        <f t="shared" si="508"/>
        <v>1.6328571428571428E-4</v>
      </c>
      <c r="AP538" s="53">
        <v>7.1</v>
      </c>
      <c r="AQ538" s="53">
        <f t="shared" si="476"/>
        <v>4.26</v>
      </c>
      <c r="AR538" s="53">
        <f t="shared" si="477"/>
        <v>21.299999999999997</v>
      </c>
      <c r="AS538" s="56">
        <f t="shared" si="478"/>
        <v>4.6948356807511742E-2</v>
      </c>
      <c r="AT538" s="56">
        <f t="shared" si="509"/>
        <v>0.23474178403755869</v>
      </c>
      <c r="AU538" s="56">
        <f t="shared" si="479"/>
        <v>0.176056338028169</v>
      </c>
      <c r="AV538" s="56">
        <f t="shared" si="510"/>
        <v>5.8685446009389672E-2</v>
      </c>
      <c r="AW538" s="57" t="s">
        <v>2511</v>
      </c>
      <c r="AX538" s="57" t="s">
        <v>2512</v>
      </c>
      <c r="AY538" s="57" t="s">
        <v>2513</v>
      </c>
      <c r="AZ538" s="58">
        <f t="shared" si="511"/>
        <v>6.8580000000000004E-3</v>
      </c>
      <c r="BA538" s="59">
        <f t="shared" si="514"/>
        <v>2.012323943661972E-4</v>
      </c>
      <c r="BB538" s="59">
        <f t="shared" si="515"/>
        <v>6.0369718309859156E-4</v>
      </c>
      <c r="BC538" s="59">
        <f t="shared" si="516"/>
        <v>1.6098591549295777E-4</v>
      </c>
      <c r="BD538" s="60">
        <f t="shared" si="512"/>
        <v>1.8315018315018315E-3</v>
      </c>
      <c r="BE538" s="59">
        <f t="shared" si="513"/>
        <v>1.8315018315018315E-3</v>
      </c>
      <c r="BQ538" s="61">
        <v>3000</v>
      </c>
      <c r="BR538" s="61">
        <v>1200</v>
      </c>
      <c r="BS538" s="28">
        <f t="shared" si="480"/>
        <v>2980</v>
      </c>
      <c r="BT538" s="28">
        <f t="shared" si="481"/>
        <v>1180</v>
      </c>
      <c r="BU538" s="28" t="s">
        <v>2541</v>
      </c>
      <c r="BV538" s="28">
        <f t="shared" si="482"/>
        <v>437</v>
      </c>
      <c r="BW538" s="28">
        <f t="shared" si="483"/>
        <v>12.9375</v>
      </c>
      <c r="BX538" s="13">
        <f t="shared" si="484"/>
        <v>6.8192219679633865</v>
      </c>
      <c r="BY538" s="13">
        <f t="shared" si="485"/>
        <v>6</v>
      </c>
      <c r="BZ538" s="13">
        <f t="shared" si="486"/>
        <v>91.207729468599027</v>
      </c>
      <c r="CA538" s="13">
        <f t="shared" si="487"/>
        <v>91</v>
      </c>
      <c r="CB538" s="13">
        <f t="shared" si="488"/>
        <v>546</v>
      </c>
      <c r="CC538" s="62">
        <f t="shared" si="489"/>
        <v>1.8315018315018315E-3</v>
      </c>
      <c r="CD538" s="13">
        <f t="shared" si="490"/>
        <v>230.33816425120773</v>
      </c>
      <c r="CE538" s="13">
        <f t="shared" si="491"/>
        <v>230</v>
      </c>
      <c r="CF538" s="13">
        <f t="shared" si="492"/>
        <v>2.7002288329519453</v>
      </c>
      <c r="CG538" s="13">
        <f t="shared" si="493"/>
        <v>2</v>
      </c>
      <c r="CH538" s="28">
        <f t="shared" si="494"/>
        <v>460</v>
      </c>
      <c r="CI538" s="62">
        <f t="shared" si="495"/>
        <v>2.1739130434782609E-3</v>
      </c>
      <c r="CJ538" s="59">
        <f t="shared" si="496"/>
        <v>1.8315018315018315E-3</v>
      </c>
      <c r="CL538" s="63">
        <v>6000</v>
      </c>
      <c r="CM538" s="63">
        <f t="shared" si="497"/>
        <v>432</v>
      </c>
      <c r="CN538" s="63">
        <f t="shared" si="498"/>
        <v>437</v>
      </c>
      <c r="CO538" s="63">
        <f t="shared" si="499"/>
        <v>13.729977116704806</v>
      </c>
      <c r="CP538" s="13">
        <f t="shared" si="500"/>
        <v>13</v>
      </c>
      <c r="CQ538" s="70">
        <f t="shared" si="501"/>
        <v>7.6923076923076927E-2</v>
      </c>
      <c r="CR538" s="69">
        <f t="shared" si="465"/>
        <v>7.6923076923076927E-2</v>
      </c>
    </row>
    <row r="539" spans="1:96" hidden="1" x14ac:dyDescent="0.25">
      <c r="A539" s="10">
        <v>3</v>
      </c>
      <c r="B539" s="8" t="s">
        <v>1306</v>
      </c>
      <c r="C539" s="10" t="s">
        <v>827</v>
      </c>
      <c r="D539" s="10" t="s">
        <v>828</v>
      </c>
      <c r="E539" s="10" t="s">
        <v>52</v>
      </c>
      <c r="F539" s="12">
        <f t="shared" si="470"/>
        <v>6</v>
      </c>
      <c r="G539" s="10">
        <v>2</v>
      </c>
      <c r="H539" s="10">
        <f t="shared" si="520"/>
        <v>2</v>
      </c>
      <c r="I539" s="10">
        <v>17</v>
      </c>
      <c r="J539" s="8" t="s">
        <v>76</v>
      </c>
      <c r="K539" s="8" t="s">
        <v>34</v>
      </c>
      <c r="L539" s="10" t="s">
        <v>77</v>
      </c>
      <c r="M539" s="8" t="s">
        <v>35</v>
      </c>
      <c r="N539" s="10" t="s">
        <v>828</v>
      </c>
      <c r="O539" s="28" t="s">
        <v>41</v>
      </c>
      <c r="P539" s="28" t="s">
        <v>41</v>
      </c>
      <c r="Q539" s="28" t="s">
        <v>79</v>
      </c>
      <c r="R539" s="30">
        <v>9.015748031496063</v>
      </c>
      <c r="S539" s="30">
        <v>0.3125</v>
      </c>
      <c r="T539" s="30"/>
      <c r="U539" s="30">
        <v>0.3125</v>
      </c>
      <c r="V539" s="8">
        <f t="shared" si="471"/>
        <v>229</v>
      </c>
      <c r="W539" s="8">
        <f t="shared" si="472"/>
        <v>7.9375</v>
      </c>
      <c r="X539" s="8">
        <f t="shared" si="473"/>
        <v>0</v>
      </c>
      <c r="Y539" s="33">
        <f t="shared" si="474"/>
        <v>7.9375</v>
      </c>
      <c r="Z539" s="28" t="s">
        <v>80</v>
      </c>
      <c r="AA539" s="28" t="s">
        <v>81</v>
      </c>
      <c r="AB539" s="61" t="s">
        <v>79</v>
      </c>
      <c r="AC539" s="31" t="s">
        <v>82</v>
      </c>
      <c r="AD539" s="50">
        <f t="shared" si="475"/>
        <v>2</v>
      </c>
      <c r="AE539" s="31"/>
      <c r="AF539" s="51">
        <v>14</v>
      </c>
      <c r="AG539" s="51">
        <f t="shared" si="503"/>
        <v>8.4</v>
      </c>
      <c r="AH539" s="51">
        <f t="shared" si="469"/>
        <v>42</v>
      </c>
      <c r="AI539" s="52" t="s">
        <v>2497</v>
      </c>
      <c r="AJ539" s="52" t="s">
        <v>2498</v>
      </c>
      <c r="AK539" s="53">
        <f t="shared" si="504"/>
        <v>3.6353750000000002E-3</v>
      </c>
      <c r="AL539" s="54">
        <f t="shared" si="505"/>
        <v>0.11904761904761904</v>
      </c>
      <c r="AM539" s="54">
        <f t="shared" si="506"/>
        <v>2.3809523809523808E-2</v>
      </c>
      <c r="AN539" s="55">
        <f t="shared" si="507"/>
        <v>8.6556547619047615E-4</v>
      </c>
      <c r="AO539" s="55">
        <f t="shared" si="508"/>
        <v>1.7311309523809524E-4</v>
      </c>
      <c r="AP539" s="53">
        <v>7.1</v>
      </c>
      <c r="AQ539" s="53">
        <f t="shared" si="476"/>
        <v>4.26</v>
      </c>
      <c r="AR539" s="53">
        <f t="shared" si="477"/>
        <v>21.299999999999997</v>
      </c>
      <c r="AS539" s="56">
        <f t="shared" si="478"/>
        <v>4.6948356807511742E-2</v>
      </c>
      <c r="AT539" s="56">
        <f t="shared" si="509"/>
        <v>0.23474178403755869</v>
      </c>
      <c r="AU539" s="56">
        <f t="shared" si="479"/>
        <v>0.176056338028169</v>
      </c>
      <c r="AV539" s="56">
        <f t="shared" si="510"/>
        <v>5.8685446009389672E-2</v>
      </c>
      <c r="AW539" s="57" t="s">
        <v>2511</v>
      </c>
      <c r="AX539" s="57" t="s">
        <v>2512</v>
      </c>
      <c r="AY539" s="57" t="s">
        <v>2513</v>
      </c>
      <c r="AZ539" s="58">
        <f t="shared" si="511"/>
        <v>3.6353750000000002E-3</v>
      </c>
      <c r="BA539" s="59">
        <f t="shared" si="514"/>
        <v>2.1334360328638499E-4</v>
      </c>
      <c r="BB539" s="59">
        <f t="shared" si="515"/>
        <v>6.4003080985915487E-4</v>
      </c>
      <c r="BC539" s="59">
        <f t="shared" si="516"/>
        <v>1.7067488262910801E-4</v>
      </c>
      <c r="BD539" s="60">
        <f t="shared" si="512"/>
        <v>8.6956521739130438E-4</v>
      </c>
      <c r="BE539" s="59">
        <f t="shared" si="513"/>
        <v>1.7391304347826088E-3</v>
      </c>
      <c r="BQ539" s="61">
        <v>3000</v>
      </c>
      <c r="BR539" s="61">
        <v>1200</v>
      </c>
      <c r="BS539" s="28">
        <f t="shared" si="480"/>
        <v>2980</v>
      </c>
      <c r="BT539" s="28">
        <f t="shared" si="481"/>
        <v>1180</v>
      </c>
      <c r="BU539" s="28" t="s">
        <v>2541</v>
      </c>
      <c r="BV539" s="28">
        <f t="shared" si="482"/>
        <v>234</v>
      </c>
      <c r="BW539" s="28">
        <f t="shared" si="483"/>
        <v>12.9375</v>
      </c>
      <c r="BX539" s="13">
        <f t="shared" si="484"/>
        <v>12.735042735042734</v>
      </c>
      <c r="BY539" s="13">
        <f t="shared" si="485"/>
        <v>12</v>
      </c>
      <c r="BZ539" s="13">
        <f t="shared" si="486"/>
        <v>91.207729468599027</v>
      </c>
      <c r="CA539" s="13">
        <f t="shared" si="487"/>
        <v>91</v>
      </c>
      <c r="CB539" s="13">
        <f t="shared" si="488"/>
        <v>1092</v>
      </c>
      <c r="CC539" s="62">
        <f t="shared" si="489"/>
        <v>9.1575091575091575E-4</v>
      </c>
      <c r="CD539" s="13">
        <f t="shared" si="490"/>
        <v>230.33816425120773</v>
      </c>
      <c r="CE539" s="13">
        <f t="shared" si="491"/>
        <v>230</v>
      </c>
      <c r="CF539" s="13">
        <f t="shared" si="492"/>
        <v>5.0427350427350426</v>
      </c>
      <c r="CG539" s="13">
        <f t="shared" si="493"/>
        <v>5</v>
      </c>
      <c r="CH539" s="28">
        <f t="shared" si="494"/>
        <v>1150</v>
      </c>
      <c r="CI539" s="62">
        <f t="shared" si="495"/>
        <v>8.6956521739130438E-4</v>
      </c>
      <c r="CJ539" s="59">
        <f t="shared" si="496"/>
        <v>8.6956521739130438E-4</v>
      </c>
      <c r="CL539" s="63">
        <v>6000</v>
      </c>
      <c r="CM539" s="63">
        <f t="shared" si="497"/>
        <v>229</v>
      </c>
      <c r="CN539" s="63">
        <f t="shared" si="498"/>
        <v>234</v>
      </c>
      <c r="CO539" s="63">
        <f t="shared" si="499"/>
        <v>25.641025641025642</v>
      </c>
      <c r="CP539" s="13">
        <f t="shared" si="500"/>
        <v>25</v>
      </c>
      <c r="CQ539" s="70">
        <f t="shared" si="501"/>
        <v>0.04</v>
      </c>
      <c r="CR539" s="69">
        <f t="shared" si="465"/>
        <v>0.08</v>
      </c>
    </row>
    <row r="540" spans="1:96" hidden="1" x14ac:dyDescent="0.25">
      <c r="A540" s="10">
        <v>3</v>
      </c>
      <c r="B540" s="8" t="s">
        <v>1306</v>
      </c>
      <c r="C540" s="10" t="s">
        <v>1347</v>
      </c>
      <c r="D540" s="10" t="s">
        <v>2270</v>
      </c>
      <c r="E540" s="10" t="s">
        <v>32</v>
      </c>
      <c r="F540" s="12">
        <f t="shared" si="470"/>
        <v>1</v>
      </c>
      <c r="G540" s="10">
        <v>1</v>
      </c>
      <c r="H540" s="10">
        <f t="shared" si="520"/>
        <v>1</v>
      </c>
      <c r="I540" s="10">
        <v>18</v>
      </c>
      <c r="J540" s="8" t="s">
        <v>508</v>
      </c>
      <c r="K540" s="8" t="s">
        <v>34</v>
      </c>
      <c r="L540" s="10">
        <v>0</v>
      </c>
      <c r="M540" s="8" t="s">
        <v>35</v>
      </c>
      <c r="N540" s="10" t="s">
        <v>1348</v>
      </c>
      <c r="O540" s="28" t="s">
        <v>41</v>
      </c>
      <c r="P540" s="28" t="s">
        <v>41</v>
      </c>
      <c r="Q540" s="28"/>
      <c r="R540" s="30"/>
      <c r="S540" s="30"/>
      <c r="T540" s="30"/>
      <c r="U540" s="30"/>
      <c r="V540" s="8">
        <f t="shared" si="471"/>
        <v>0</v>
      </c>
      <c r="W540" s="8">
        <f t="shared" si="472"/>
        <v>0</v>
      </c>
      <c r="X540" s="8">
        <f t="shared" si="473"/>
        <v>0</v>
      </c>
      <c r="Y540" s="33">
        <f t="shared" si="474"/>
        <v>0</v>
      </c>
      <c r="Z540" s="28"/>
      <c r="AA540" s="28"/>
      <c r="AB540" s="28">
        <v>0</v>
      </c>
      <c r="AC540" s="31"/>
      <c r="AD540" s="50">
        <f t="shared" si="475"/>
        <v>1</v>
      </c>
      <c r="AE540" s="31"/>
      <c r="AF540" s="51">
        <v>14</v>
      </c>
      <c r="AG540" s="51">
        <f t="shared" si="503"/>
        <v>8.4</v>
      </c>
      <c r="AH540" s="51">
        <f t="shared" si="469"/>
        <v>42</v>
      </c>
      <c r="AI540" s="52" t="s">
        <v>2497</v>
      </c>
      <c r="AJ540" s="52" t="s">
        <v>2498</v>
      </c>
      <c r="AK540" s="53">
        <f t="shared" si="504"/>
        <v>0</v>
      </c>
      <c r="AL540" s="54">
        <f t="shared" si="505"/>
        <v>0.11904761904761904</v>
      </c>
      <c r="AM540" s="54">
        <f t="shared" si="506"/>
        <v>2.3809523809523808E-2</v>
      </c>
      <c r="AN540" s="55">
        <f t="shared" si="507"/>
        <v>0</v>
      </c>
      <c r="AO540" s="55">
        <f t="shared" si="508"/>
        <v>0</v>
      </c>
      <c r="AP540" s="53">
        <v>7.1</v>
      </c>
      <c r="AQ540" s="53">
        <f t="shared" si="476"/>
        <v>4.26</v>
      </c>
      <c r="AR540" s="53">
        <f t="shared" si="477"/>
        <v>21.299999999999997</v>
      </c>
      <c r="AS540" s="56">
        <f t="shared" si="478"/>
        <v>4.6948356807511742E-2</v>
      </c>
      <c r="AT540" s="56">
        <f t="shared" si="509"/>
        <v>0.23474178403755869</v>
      </c>
      <c r="AU540" s="56">
        <f t="shared" si="479"/>
        <v>0.176056338028169</v>
      </c>
      <c r="AV540" s="56">
        <f t="shared" si="510"/>
        <v>5.8685446009389672E-2</v>
      </c>
      <c r="AW540" s="57" t="s">
        <v>2511</v>
      </c>
      <c r="AX540" s="57" t="s">
        <v>2512</v>
      </c>
      <c r="AY540" s="57" t="s">
        <v>2513</v>
      </c>
      <c r="AZ540" s="58">
        <f t="shared" si="511"/>
        <v>0</v>
      </c>
      <c r="BA540" s="59">
        <f t="shared" si="514"/>
        <v>0</v>
      </c>
      <c r="BB540" s="59">
        <f t="shared" si="515"/>
        <v>0</v>
      </c>
      <c r="BC540" s="59">
        <f t="shared" si="516"/>
        <v>0</v>
      </c>
      <c r="BD540" s="60">
        <f t="shared" si="512"/>
        <v>0</v>
      </c>
      <c r="BE540" s="59">
        <f t="shared" si="513"/>
        <v>0</v>
      </c>
      <c r="BQ540" s="61">
        <v>3000</v>
      </c>
      <c r="BR540" s="61">
        <v>1200</v>
      </c>
      <c r="BS540" s="28">
        <f t="shared" si="480"/>
        <v>2980</v>
      </c>
      <c r="BT540" s="28">
        <f t="shared" si="481"/>
        <v>1180</v>
      </c>
      <c r="BU540" s="28" t="s">
        <v>2541</v>
      </c>
      <c r="BV540" s="28">
        <f t="shared" si="482"/>
        <v>5</v>
      </c>
      <c r="BW540" s="28">
        <f t="shared" si="483"/>
        <v>5</v>
      </c>
      <c r="BX540" s="13">
        <f t="shared" si="484"/>
        <v>596</v>
      </c>
      <c r="BY540" s="13">
        <f t="shared" si="485"/>
        <v>596</v>
      </c>
      <c r="BZ540" s="13">
        <f t="shared" si="486"/>
        <v>236</v>
      </c>
      <c r="CA540" s="13">
        <f t="shared" si="487"/>
        <v>236</v>
      </c>
      <c r="CB540" s="13">
        <f t="shared" si="488"/>
        <v>140656</v>
      </c>
      <c r="CC540" s="62" t="str">
        <f t="shared" si="489"/>
        <v/>
      </c>
      <c r="CD540" s="13">
        <f t="shared" si="490"/>
        <v>596</v>
      </c>
      <c r="CE540" s="13">
        <f t="shared" si="491"/>
        <v>596</v>
      </c>
      <c r="CF540" s="13">
        <f t="shared" si="492"/>
        <v>236</v>
      </c>
      <c r="CG540" s="13">
        <f t="shared" si="493"/>
        <v>236</v>
      </c>
      <c r="CH540" s="28">
        <f t="shared" si="494"/>
        <v>140656</v>
      </c>
      <c r="CI540" s="62" t="str">
        <f t="shared" si="495"/>
        <v/>
      </c>
      <c r="CJ540" s="59">
        <f t="shared" si="496"/>
        <v>0</v>
      </c>
      <c r="CL540" s="63">
        <v>6000</v>
      </c>
      <c r="CM540" s="63">
        <f t="shared" si="497"/>
        <v>0</v>
      </c>
      <c r="CN540" s="63">
        <f t="shared" si="498"/>
        <v>5</v>
      </c>
      <c r="CO540" s="63">
        <f t="shared" si="499"/>
        <v>1200</v>
      </c>
      <c r="CP540" s="13">
        <f t="shared" si="500"/>
        <v>1200</v>
      </c>
      <c r="CQ540" s="70">
        <f t="shared" si="501"/>
        <v>8.3333333333333339E-4</v>
      </c>
      <c r="CR540" s="69">
        <f t="shared" si="465"/>
        <v>8.3333333333333339E-4</v>
      </c>
    </row>
    <row r="541" spans="1:96" hidden="1" x14ac:dyDescent="0.25">
      <c r="A541" s="13">
        <v>4</v>
      </c>
      <c r="B541" s="14" t="s">
        <v>1349</v>
      </c>
      <c r="C541" s="13" t="s">
        <v>1350</v>
      </c>
      <c r="D541" s="13" t="s">
        <v>2270</v>
      </c>
      <c r="E541" s="13" t="s">
        <v>52</v>
      </c>
      <c r="F541" s="15">
        <f t="shared" si="470"/>
        <v>1</v>
      </c>
      <c r="G541" s="13">
        <v>1</v>
      </c>
      <c r="H541" s="13">
        <f>G541*$H$540</f>
        <v>1</v>
      </c>
      <c r="I541" s="13">
        <v>1</v>
      </c>
      <c r="J541" s="14" t="s">
        <v>978</v>
      </c>
      <c r="K541" s="14" t="s">
        <v>34</v>
      </c>
      <c r="L541" s="13">
        <v>0</v>
      </c>
      <c r="M541" s="14" t="s">
        <v>35</v>
      </c>
      <c r="N541" s="13" t="s">
        <v>1351</v>
      </c>
      <c r="O541" s="28" t="s">
        <v>41</v>
      </c>
      <c r="P541" s="28" t="s">
        <v>41</v>
      </c>
      <c r="Q541" s="28" t="s">
        <v>116</v>
      </c>
      <c r="R541" s="30">
        <v>32</v>
      </c>
      <c r="S541" s="30">
        <v>4.5030000000000001</v>
      </c>
      <c r="T541" s="30"/>
      <c r="U541" s="30">
        <v>0.11799999999999999</v>
      </c>
      <c r="V541" s="8">
        <f t="shared" si="471"/>
        <v>812.8</v>
      </c>
      <c r="W541" s="8">
        <f t="shared" si="472"/>
        <v>114.3762</v>
      </c>
      <c r="X541" s="8">
        <f t="shared" si="473"/>
        <v>0</v>
      </c>
      <c r="Y541" s="33">
        <f t="shared" si="474"/>
        <v>2.9971999999999999</v>
      </c>
      <c r="Z541" s="28" t="s">
        <v>56</v>
      </c>
      <c r="AA541" s="28" t="s">
        <v>57</v>
      </c>
      <c r="AB541" s="28" t="s">
        <v>116</v>
      </c>
      <c r="AC541" s="31" t="s">
        <v>117</v>
      </c>
      <c r="AD541" s="50">
        <f t="shared" si="475"/>
        <v>1</v>
      </c>
      <c r="AE541" s="31"/>
      <c r="AF541" s="51">
        <v>14</v>
      </c>
      <c r="AG541" s="51">
        <f t="shared" si="503"/>
        <v>8.4</v>
      </c>
      <c r="AH541" s="51">
        <f t="shared" si="469"/>
        <v>42</v>
      </c>
      <c r="AI541" s="52" t="s">
        <v>2497</v>
      </c>
      <c r="AJ541" s="52" t="s">
        <v>2498</v>
      </c>
      <c r="AK541" s="53">
        <f t="shared" si="504"/>
        <v>0.18592995071999999</v>
      </c>
      <c r="AL541" s="54">
        <f t="shared" si="505"/>
        <v>0.11904761904761904</v>
      </c>
      <c r="AM541" s="54">
        <f t="shared" si="506"/>
        <v>2.3809523809523808E-2</v>
      </c>
      <c r="AN541" s="55">
        <f t="shared" si="507"/>
        <v>2.2134517942857139E-2</v>
      </c>
      <c r="AO541" s="55">
        <f t="shared" si="508"/>
        <v>4.426903588571428E-3</v>
      </c>
      <c r="AP541" s="53">
        <v>7.1</v>
      </c>
      <c r="AQ541" s="53">
        <f t="shared" si="476"/>
        <v>4.26</v>
      </c>
      <c r="AR541" s="53">
        <f t="shared" si="477"/>
        <v>21.299999999999997</v>
      </c>
      <c r="AS541" s="56">
        <f t="shared" si="478"/>
        <v>4.6948356807511742E-2</v>
      </c>
      <c r="AT541" s="56">
        <f t="shared" si="509"/>
        <v>0.23474178403755869</v>
      </c>
      <c r="AU541" s="56">
        <f t="shared" si="479"/>
        <v>0.176056338028169</v>
      </c>
      <c r="AV541" s="56">
        <f t="shared" si="510"/>
        <v>5.8685446009389672E-2</v>
      </c>
      <c r="AW541" s="57" t="s">
        <v>2511</v>
      </c>
      <c r="AX541" s="57" t="s">
        <v>2512</v>
      </c>
      <c r="AY541" s="57" t="s">
        <v>2513</v>
      </c>
      <c r="AZ541" s="58">
        <f t="shared" si="511"/>
        <v>0.18592995071999999</v>
      </c>
      <c r="BA541" s="59">
        <f t="shared" si="514"/>
        <v>5.4556910422535205E-3</v>
      </c>
      <c r="BB541" s="59">
        <f t="shared" si="515"/>
        <v>1.636707312676056E-2</v>
      </c>
      <c r="BC541" s="59">
        <f t="shared" si="516"/>
        <v>4.3645528338028174E-3</v>
      </c>
      <c r="BD541" s="60">
        <f t="shared" si="512"/>
        <v>3.7037037037037035E-2</v>
      </c>
      <c r="BE541" s="59">
        <f t="shared" si="513"/>
        <v>3.7037037037037035E-2</v>
      </c>
      <c r="BQ541" s="61">
        <v>3000</v>
      </c>
      <c r="BR541" s="61">
        <v>1200</v>
      </c>
      <c r="BS541" s="28">
        <f t="shared" si="480"/>
        <v>2980</v>
      </c>
      <c r="BT541" s="28">
        <f t="shared" si="481"/>
        <v>1180</v>
      </c>
      <c r="BU541" s="28" t="s">
        <v>2541</v>
      </c>
      <c r="BV541" s="28">
        <f t="shared" si="482"/>
        <v>817.8</v>
      </c>
      <c r="BW541" s="28">
        <f t="shared" si="483"/>
        <v>119.3762</v>
      </c>
      <c r="BX541" s="13">
        <f t="shared" si="484"/>
        <v>3.6439227194913184</v>
      </c>
      <c r="BY541" s="13">
        <f t="shared" si="485"/>
        <v>3</v>
      </c>
      <c r="BZ541" s="13">
        <f t="shared" si="486"/>
        <v>9.8847173892283386</v>
      </c>
      <c r="CA541" s="13">
        <f t="shared" si="487"/>
        <v>9</v>
      </c>
      <c r="CB541" s="13">
        <f t="shared" si="488"/>
        <v>27</v>
      </c>
      <c r="CC541" s="62">
        <f t="shared" si="489"/>
        <v>3.7037037037037035E-2</v>
      </c>
      <c r="CD541" s="13">
        <f t="shared" si="490"/>
        <v>24.963099847373261</v>
      </c>
      <c r="CE541" s="13">
        <f t="shared" si="491"/>
        <v>24</v>
      </c>
      <c r="CF541" s="13">
        <f t="shared" si="492"/>
        <v>1.442895573489851</v>
      </c>
      <c r="CG541" s="13">
        <f t="shared" si="493"/>
        <v>1</v>
      </c>
      <c r="CH541" s="28">
        <f t="shared" si="494"/>
        <v>24</v>
      </c>
      <c r="CI541" s="62">
        <f t="shared" si="495"/>
        <v>4.1666666666666664E-2</v>
      </c>
      <c r="CJ541" s="59">
        <f t="shared" si="496"/>
        <v>3.7037037037037035E-2</v>
      </c>
      <c r="CL541" s="63">
        <v>6000</v>
      </c>
      <c r="CM541" s="63">
        <f t="shared" si="497"/>
        <v>812.8</v>
      </c>
      <c r="CN541" s="63">
        <f t="shared" si="498"/>
        <v>817.8</v>
      </c>
      <c r="CO541" s="63">
        <f t="shared" si="499"/>
        <v>7.3367571533382252</v>
      </c>
      <c r="CP541" s="13">
        <f t="shared" si="500"/>
        <v>7</v>
      </c>
      <c r="CQ541" s="70">
        <f t="shared" si="501"/>
        <v>0.14285714285714285</v>
      </c>
      <c r="CR541" s="69">
        <f t="shared" si="465"/>
        <v>0.14285714285714285</v>
      </c>
    </row>
    <row r="542" spans="1:96" x14ac:dyDescent="0.25">
      <c r="A542" s="13">
        <v>4</v>
      </c>
      <c r="B542" s="14" t="s">
        <v>1349</v>
      </c>
      <c r="C542" s="13" t="s">
        <v>1352</v>
      </c>
      <c r="D542" s="13" t="s">
        <v>2270</v>
      </c>
      <c r="E542" s="13" t="s">
        <v>52</v>
      </c>
      <c r="F542" s="15">
        <f t="shared" si="470"/>
        <v>1</v>
      </c>
      <c r="G542" s="13">
        <v>1</v>
      </c>
      <c r="H542" s="13">
        <f>G542*$H$540</f>
        <v>1</v>
      </c>
      <c r="I542" s="13">
        <v>2</v>
      </c>
      <c r="J542" s="14" t="s">
        <v>1353</v>
      </c>
      <c r="K542" s="14" t="s">
        <v>34</v>
      </c>
      <c r="L542" s="13">
        <v>0</v>
      </c>
      <c r="M542" s="14" t="s">
        <v>35</v>
      </c>
      <c r="N542" s="13" t="s">
        <v>1354</v>
      </c>
      <c r="O542" s="28" t="s">
        <v>41</v>
      </c>
      <c r="P542" s="28" t="s">
        <v>41</v>
      </c>
      <c r="Q542" s="28" t="s">
        <v>2585</v>
      </c>
      <c r="R542" s="30">
        <v>32</v>
      </c>
      <c r="S542" s="30">
        <v>4.5510000000000002</v>
      </c>
      <c r="T542" s="30"/>
      <c r="U542" s="30">
        <v>5.8999999999999997E-2</v>
      </c>
      <c r="V542" s="8">
        <f t="shared" si="471"/>
        <v>812.8</v>
      </c>
      <c r="W542" s="8">
        <f t="shared" si="472"/>
        <v>115.5954</v>
      </c>
      <c r="X542" s="8">
        <f t="shared" si="473"/>
        <v>0</v>
      </c>
      <c r="Y542" s="33">
        <f t="shared" si="474"/>
        <v>1.4985999999999999</v>
      </c>
      <c r="Z542" s="28" t="s">
        <v>56</v>
      </c>
      <c r="AA542" s="28" t="s">
        <v>1765</v>
      </c>
      <c r="AB542" s="61" t="s">
        <v>2585</v>
      </c>
      <c r="AC542" s="31" t="s">
        <v>2586</v>
      </c>
      <c r="AD542" s="50">
        <f t="shared" si="475"/>
        <v>1</v>
      </c>
      <c r="AE542" s="31"/>
      <c r="AF542" s="51">
        <v>14</v>
      </c>
      <c r="AG542" s="51">
        <f t="shared" si="503"/>
        <v>8.4</v>
      </c>
      <c r="AH542" s="51">
        <f t="shared" si="469"/>
        <v>42</v>
      </c>
      <c r="AI542" s="52" t="s">
        <v>2497</v>
      </c>
      <c r="AJ542" s="52" t="s">
        <v>2498</v>
      </c>
      <c r="AK542" s="53">
        <f t="shared" si="504"/>
        <v>0.18791188223999997</v>
      </c>
      <c r="AL542" s="54">
        <f t="shared" si="505"/>
        <v>0.11904761904761904</v>
      </c>
      <c r="AM542" s="54">
        <f t="shared" si="506"/>
        <v>2.3809523809523808E-2</v>
      </c>
      <c r="AN542" s="55">
        <f t="shared" si="507"/>
        <v>2.2370462171428566E-2</v>
      </c>
      <c r="AO542" s="55">
        <f t="shared" si="508"/>
        <v>4.4740924342857131E-3</v>
      </c>
      <c r="AP542" s="53">
        <v>7.1</v>
      </c>
      <c r="AQ542" s="53">
        <f t="shared" si="476"/>
        <v>4.26</v>
      </c>
      <c r="AR542" s="53">
        <f t="shared" si="477"/>
        <v>21.299999999999997</v>
      </c>
      <c r="AS542" s="56">
        <f t="shared" si="478"/>
        <v>4.6948356807511742E-2</v>
      </c>
      <c r="AT542" s="56">
        <f t="shared" si="509"/>
        <v>0.23474178403755869</v>
      </c>
      <c r="AU542" s="56">
        <f t="shared" si="479"/>
        <v>0.176056338028169</v>
      </c>
      <c r="AV542" s="56">
        <f t="shared" si="510"/>
        <v>5.8685446009389672E-2</v>
      </c>
      <c r="AW542" s="57" t="s">
        <v>2511</v>
      </c>
      <c r="AX542" s="57" t="s">
        <v>2512</v>
      </c>
      <c r="AY542" s="57" t="s">
        <v>2513</v>
      </c>
      <c r="AZ542" s="58">
        <f t="shared" si="511"/>
        <v>0.18791188223999997</v>
      </c>
      <c r="BA542" s="59">
        <f t="shared" si="514"/>
        <v>5.5138463098591542E-3</v>
      </c>
      <c r="BB542" s="59">
        <f t="shared" si="515"/>
        <v>1.6541538929577462E-2</v>
      </c>
      <c r="BC542" s="59">
        <f t="shared" si="516"/>
        <v>4.4110770478873237E-3</v>
      </c>
      <c r="BD542" s="60">
        <f t="shared" si="512"/>
        <v>3.7037037037037035E-2</v>
      </c>
      <c r="BE542" s="59">
        <f t="shared" si="513"/>
        <v>3.7037037037037035E-2</v>
      </c>
      <c r="BQ542" s="61">
        <v>3000</v>
      </c>
      <c r="BR542" s="61">
        <v>1200</v>
      </c>
      <c r="BS542" s="28">
        <f t="shared" si="480"/>
        <v>2980</v>
      </c>
      <c r="BT542" s="28">
        <f t="shared" si="481"/>
        <v>1180</v>
      </c>
      <c r="BU542" s="28" t="s">
        <v>2541</v>
      </c>
      <c r="BV542" s="28">
        <f t="shared" si="482"/>
        <v>817.8</v>
      </c>
      <c r="BW542" s="28">
        <f t="shared" si="483"/>
        <v>120.5954</v>
      </c>
      <c r="BX542" s="13">
        <f t="shared" si="484"/>
        <v>3.6439227194913184</v>
      </c>
      <c r="BY542" s="13">
        <f t="shared" si="485"/>
        <v>3</v>
      </c>
      <c r="BZ542" s="13">
        <f t="shared" si="486"/>
        <v>9.7847844942676083</v>
      </c>
      <c r="CA542" s="13">
        <f t="shared" si="487"/>
        <v>9</v>
      </c>
      <c r="CB542" s="13">
        <f t="shared" si="488"/>
        <v>27</v>
      </c>
      <c r="CC542" s="62">
        <f t="shared" si="489"/>
        <v>3.7037037037037035E-2</v>
      </c>
      <c r="CD542" s="13">
        <f t="shared" si="490"/>
        <v>24.710726943150402</v>
      </c>
      <c r="CE542" s="13">
        <f t="shared" si="491"/>
        <v>24</v>
      </c>
      <c r="CF542" s="13">
        <f t="shared" si="492"/>
        <v>1.442895573489851</v>
      </c>
      <c r="CG542" s="13">
        <f t="shared" si="493"/>
        <v>1</v>
      </c>
      <c r="CH542" s="28">
        <f t="shared" si="494"/>
        <v>24</v>
      </c>
      <c r="CI542" s="62">
        <f t="shared" si="495"/>
        <v>4.1666666666666664E-2</v>
      </c>
      <c r="CJ542" s="59">
        <f t="shared" si="496"/>
        <v>3.7037037037037035E-2</v>
      </c>
      <c r="CL542" s="63">
        <v>6000</v>
      </c>
      <c r="CM542" s="63">
        <f t="shared" si="497"/>
        <v>812.8</v>
      </c>
      <c r="CN542" s="63">
        <f t="shared" si="498"/>
        <v>817.8</v>
      </c>
      <c r="CO542" s="63">
        <f t="shared" si="499"/>
        <v>7.3367571533382252</v>
      </c>
      <c r="CP542" s="13">
        <f t="shared" si="500"/>
        <v>7</v>
      </c>
      <c r="CQ542" s="70">
        <f t="shared" si="501"/>
        <v>0.14285714285714285</v>
      </c>
      <c r="CR542" s="69">
        <f t="shared" si="465"/>
        <v>0.14285714285714285</v>
      </c>
    </row>
    <row r="543" spans="1:96" hidden="1" x14ac:dyDescent="0.25">
      <c r="A543" s="10">
        <v>3</v>
      </c>
      <c r="B543" s="8" t="s">
        <v>1306</v>
      </c>
      <c r="C543" s="10" t="s">
        <v>738</v>
      </c>
      <c r="D543" s="10" t="s">
        <v>739</v>
      </c>
      <c r="E543" s="10" t="s">
        <v>52</v>
      </c>
      <c r="F543" s="12">
        <f t="shared" si="470"/>
        <v>4</v>
      </c>
      <c r="G543" s="10">
        <v>1</v>
      </c>
      <c r="H543" s="10">
        <f t="shared" ref="H543:H545" si="521">G543*$H$513</f>
        <v>1</v>
      </c>
      <c r="I543" s="10">
        <v>19</v>
      </c>
      <c r="J543" s="8" t="s">
        <v>76</v>
      </c>
      <c r="K543" s="8" t="s">
        <v>34</v>
      </c>
      <c r="L543" s="10" t="s">
        <v>77</v>
      </c>
      <c r="M543" s="8" t="s">
        <v>35</v>
      </c>
      <c r="N543" s="10" t="s">
        <v>739</v>
      </c>
      <c r="O543" s="28" t="s">
        <v>41</v>
      </c>
      <c r="P543" s="28" t="s">
        <v>41</v>
      </c>
      <c r="Q543" s="28" t="s">
        <v>79</v>
      </c>
      <c r="R543" s="30">
        <v>5.0787401574803148</v>
      </c>
      <c r="S543" s="30">
        <v>0.3125</v>
      </c>
      <c r="T543" s="30"/>
      <c r="U543" s="30">
        <v>0.3125</v>
      </c>
      <c r="V543" s="8">
        <f t="shared" si="471"/>
        <v>129</v>
      </c>
      <c r="W543" s="8">
        <f t="shared" si="472"/>
        <v>7.9375</v>
      </c>
      <c r="X543" s="8">
        <f t="shared" si="473"/>
        <v>0</v>
      </c>
      <c r="Y543" s="33">
        <f t="shared" si="474"/>
        <v>7.9375</v>
      </c>
      <c r="Z543" s="28" t="s">
        <v>80</v>
      </c>
      <c r="AA543" s="28" t="s">
        <v>81</v>
      </c>
      <c r="AB543" s="61" t="s">
        <v>79</v>
      </c>
      <c r="AC543" s="31" t="s">
        <v>82</v>
      </c>
      <c r="AD543" s="50">
        <f t="shared" si="475"/>
        <v>1</v>
      </c>
      <c r="AE543" s="31"/>
      <c r="AF543" s="51">
        <v>14</v>
      </c>
      <c r="AG543" s="51">
        <f t="shared" si="503"/>
        <v>8.4</v>
      </c>
      <c r="AH543" s="51">
        <f t="shared" si="469"/>
        <v>42</v>
      </c>
      <c r="AI543" s="52" t="s">
        <v>2497</v>
      </c>
      <c r="AJ543" s="52" t="s">
        <v>2498</v>
      </c>
      <c r="AK543" s="53">
        <f t="shared" si="504"/>
        <v>2.0478750000000002E-3</v>
      </c>
      <c r="AL543" s="54">
        <f t="shared" si="505"/>
        <v>0.11904761904761904</v>
      </c>
      <c r="AM543" s="54">
        <f t="shared" si="506"/>
        <v>2.3809523809523808E-2</v>
      </c>
      <c r="AN543" s="55">
        <f t="shared" si="507"/>
        <v>2.4379464285714288E-4</v>
      </c>
      <c r="AO543" s="55">
        <f t="shared" si="508"/>
        <v>4.8758928571428574E-5</v>
      </c>
      <c r="AP543" s="53">
        <v>7.1</v>
      </c>
      <c r="AQ543" s="53">
        <f t="shared" si="476"/>
        <v>4.26</v>
      </c>
      <c r="AR543" s="53">
        <f t="shared" si="477"/>
        <v>21.299999999999997</v>
      </c>
      <c r="AS543" s="56">
        <f t="shared" si="478"/>
        <v>4.6948356807511742E-2</v>
      </c>
      <c r="AT543" s="56">
        <f t="shared" si="509"/>
        <v>0.23474178403755869</v>
      </c>
      <c r="AU543" s="56">
        <f t="shared" si="479"/>
        <v>0.176056338028169</v>
      </c>
      <c r="AV543" s="56">
        <f t="shared" si="510"/>
        <v>5.8685446009389672E-2</v>
      </c>
      <c r="AW543" s="57" t="s">
        <v>2511</v>
      </c>
      <c r="AX543" s="57" t="s">
        <v>2512</v>
      </c>
      <c r="AY543" s="57" t="s">
        <v>2513</v>
      </c>
      <c r="AZ543" s="58">
        <f t="shared" si="511"/>
        <v>2.0478750000000002E-3</v>
      </c>
      <c r="BA543" s="59">
        <f t="shared" si="514"/>
        <v>6.0090228873239441E-5</v>
      </c>
      <c r="BB543" s="59">
        <f t="shared" si="515"/>
        <v>1.8027068661971831E-4</v>
      </c>
      <c r="BC543" s="59">
        <f t="shared" si="516"/>
        <v>4.8072183098591556E-5</v>
      </c>
      <c r="BD543" s="60">
        <f t="shared" si="512"/>
        <v>4.995004995004995E-4</v>
      </c>
      <c r="BE543" s="59">
        <f t="shared" si="513"/>
        <v>4.995004995004995E-4</v>
      </c>
      <c r="BQ543" s="61">
        <v>3000</v>
      </c>
      <c r="BR543" s="61">
        <v>1200</v>
      </c>
      <c r="BS543" s="28">
        <f t="shared" si="480"/>
        <v>2980</v>
      </c>
      <c r="BT543" s="28">
        <f t="shared" si="481"/>
        <v>1180</v>
      </c>
      <c r="BU543" s="28" t="s">
        <v>2541</v>
      </c>
      <c r="BV543" s="28">
        <f t="shared" si="482"/>
        <v>134</v>
      </c>
      <c r="BW543" s="28">
        <f t="shared" si="483"/>
        <v>12.9375</v>
      </c>
      <c r="BX543" s="13">
        <f t="shared" si="484"/>
        <v>22.238805970149254</v>
      </c>
      <c r="BY543" s="13">
        <f t="shared" si="485"/>
        <v>22</v>
      </c>
      <c r="BZ543" s="13">
        <f t="shared" si="486"/>
        <v>91.207729468599027</v>
      </c>
      <c r="CA543" s="13">
        <f t="shared" si="487"/>
        <v>91</v>
      </c>
      <c r="CB543" s="13">
        <f t="shared" si="488"/>
        <v>2002</v>
      </c>
      <c r="CC543" s="62">
        <f t="shared" si="489"/>
        <v>4.995004995004995E-4</v>
      </c>
      <c r="CD543" s="13">
        <f t="shared" si="490"/>
        <v>230.33816425120773</v>
      </c>
      <c r="CE543" s="13">
        <f t="shared" si="491"/>
        <v>230</v>
      </c>
      <c r="CF543" s="13">
        <f t="shared" si="492"/>
        <v>8.8059701492537314</v>
      </c>
      <c r="CG543" s="13">
        <f t="shared" si="493"/>
        <v>8</v>
      </c>
      <c r="CH543" s="28">
        <f t="shared" si="494"/>
        <v>1840</v>
      </c>
      <c r="CI543" s="62">
        <f t="shared" si="495"/>
        <v>5.4347826086956522E-4</v>
      </c>
      <c r="CJ543" s="59">
        <f t="shared" si="496"/>
        <v>4.995004995004995E-4</v>
      </c>
      <c r="CL543" s="63">
        <v>6000</v>
      </c>
      <c r="CM543" s="63">
        <f t="shared" si="497"/>
        <v>129</v>
      </c>
      <c r="CN543" s="63">
        <f t="shared" si="498"/>
        <v>134</v>
      </c>
      <c r="CO543" s="63">
        <f t="shared" si="499"/>
        <v>44.776119402985074</v>
      </c>
      <c r="CP543" s="13">
        <f t="shared" si="500"/>
        <v>44</v>
      </c>
      <c r="CQ543" s="70">
        <f t="shared" si="501"/>
        <v>2.2727272727272728E-2</v>
      </c>
      <c r="CR543" s="69">
        <f t="shared" si="465"/>
        <v>2.2727272727272728E-2</v>
      </c>
    </row>
    <row r="544" spans="1:96" hidden="1" x14ac:dyDescent="0.25">
      <c r="A544" s="10">
        <v>3</v>
      </c>
      <c r="B544" s="8" t="s">
        <v>1306</v>
      </c>
      <c r="C544" s="10" t="s">
        <v>1355</v>
      </c>
      <c r="D544" s="10" t="s">
        <v>1356</v>
      </c>
      <c r="E544" s="10" t="s">
        <v>52</v>
      </c>
      <c r="F544" s="12">
        <f t="shared" si="470"/>
        <v>1</v>
      </c>
      <c r="G544" s="10">
        <v>1</v>
      </c>
      <c r="H544" s="10">
        <f t="shared" si="521"/>
        <v>1</v>
      </c>
      <c r="I544" s="10">
        <v>20</v>
      </c>
      <c r="J544" s="8" t="s">
        <v>76</v>
      </c>
      <c r="K544" s="8" t="s">
        <v>34</v>
      </c>
      <c r="L544" s="10" t="s">
        <v>77</v>
      </c>
      <c r="M544" s="8" t="s">
        <v>35</v>
      </c>
      <c r="N544" s="10" t="s">
        <v>1356</v>
      </c>
      <c r="O544" s="28" t="s">
        <v>41</v>
      </c>
      <c r="P544" s="28" t="s">
        <v>41</v>
      </c>
      <c r="Q544" s="28" t="s">
        <v>85</v>
      </c>
      <c r="R544" s="30">
        <v>26.850393700787404</v>
      </c>
      <c r="S544" s="30">
        <v>0.375</v>
      </c>
      <c r="T544" s="30"/>
      <c r="U544" s="30">
        <v>0.375</v>
      </c>
      <c r="V544" s="8">
        <f t="shared" si="471"/>
        <v>682</v>
      </c>
      <c r="W544" s="8">
        <f t="shared" si="472"/>
        <v>9.5249999999999986</v>
      </c>
      <c r="X544" s="8">
        <f t="shared" si="473"/>
        <v>0</v>
      </c>
      <c r="Y544" s="33">
        <f t="shared" si="474"/>
        <v>9.5249999999999986</v>
      </c>
      <c r="Z544" s="28" t="s">
        <v>80</v>
      </c>
      <c r="AA544" s="28" t="s">
        <v>81</v>
      </c>
      <c r="AB544" s="61" t="s">
        <v>85</v>
      </c>
      <c r="AC544" s="31" t="s">
        <v>86</v>
      </c>
      <c r="AD544" s="50">
        <f t="shared" si="475"/>
        <v>1</v>
      </c>
      <c r="AE544" s="31"/>
      <c r="AF544" s="51">
        <v>14</v>
      </c>
      <c r="AG544" s="51">
        <f t="shared" si="503"/>
        <v>8.4</v>
      </c>
      <c r="AH544" s="51">
        <f t="shared" si="469"/>
        <v>42</v>
      </c>
      <c r="AI544" s="52" t="s">
        <v>2497</v>
      </c>
      <c r="AJ544" s="52" t="s">
        <v>2498</v>
      </c>
      <c r="AK544" s="53">
        <f t="shared" si="504"/>
        <v>1.2992099999999998E-2</v>
      </c>
      <c r="AL544" s="54">
        <f t="shared" si="505"/>
        <v>0.11904761904761904</v>
      </c>
      <c r="AM544" s="54">
        <f t="shared" si="506"/>
        <v>2.3809523809523808E-2</v>
      </c>
      <c r="AN544" s="55">
        <f t="shared" si="507"/>
        <v>1.546678571428571E-3</v>
      </c>
      <c r="AO544" s="55">
        <f t="shared" si="508"/>
        <v>3.0933571428571423E-4</v>
      </c>
      <c r="AP544" s="53">
        <v>7.1</v>
      </c>
      <c r="AQ544" s="53">
        <f t="shared" si="476"/>
        <v>4.26</v>
      </c>
      <c r="AR544" s="53">
        <f t="shared" si="477"/>
        <v>21.299999999999997</v>
      </c>
      <c r="AS544" s="56">
        <f t="shared" si="478"/>
        <v>4.6948356807511742E-2</v>
      </c>
      <c r="AT544" s="56">
        <f t="shared" si="509"/>
        <v>0.23474178403755869</v>
      </c>
      <c r="AU544" s="56">
        <f t="shared" si="479"/>
        <v>0.176056338028169</v>
      </c>
      <c r="AV544" s="56">
        <f t="shared" si="510"/>
        <v>5.8685446009389672E-2</v>
      </c>
      <c r="AW544" s="57" t="s">
        <v>2511</v>
      </c>
      <c r="AX544" s="57" t="s">
        <v>2512</v>
      </c>
      <c r="AY544" s="57" t="s">
        <v>2513</v>
      </c>
      <c r="AZ544" s="58">
        <f t="shared" si="511"/>
        <v>1.2992099999999998E-2</v>
      </c>
      <c r="BA544" s="59">
        <f t="shared" si="514"/>
        <v>3.8122359154929569E-4</v>
      </c>
      <c r="BB544" s="59">
        <f t="shared" si="515"/>
        <v>1.1436707746478871E-3</v>
      </c>
      <c r="BC544" s="59">
        <f t="shared" si="516"/>
        <v>3.0497887323943662E-4</v>
      </c>
      <c r="BD544" s="60">
        <f t="shared" si="512"/>
        <v>3.0864197530864196E-3</v>
      </c>
      <c r="BE544" s="59">
        <f t="shared" si="513"/>
        <v>3.0864197530864196E-3</v>
      </c>
      <c r="BQ544" s="61">
        <v>3000</v>
      </c>
      <c r="BR544" s="61">
        <v>1200</v>
      </c>
      <c r="BS544" s="28">
        <f t="shared" si="480"/>
        <v>2980</v>
      </c>
      <c r="BT544" s="28">
        <f t="shared" si="481"/>
        <v>1180</v>
      </c>
      <c r="BU544" s="28" t="s">
        <v>2541</v>
      </c>
      <c r="BV544" s="28">
        <f t="shared" si="482"/>
        <v>687</v>
      </c>
      <c r="BW544" s="28">
        <f t="shared" si="483"/>
        <v>14.524999999999999</v>
      </c>
      <c r="BX544" s="13">
        <f t="shared" si="484"/>
        <v>4.3377001455604072</v>
      </c>
      <c r="BY544" s="13">
        <f t="shared" si="485"/>
        <v>4</v>
      </c>
      <c r="BZ544" s="13">
        <f t="shared" si="486"/>
        <v>81.239242685025829</v>
      </c>
      <c r="CA544" s="13">
        <f t="shared" si="487"/>
        <v>81</v>
      </c>
      <c r="CB544" s="13">
        <f t="shared" si="488"/>
        <v>324</v>
      </c>
      <c r="CC544" s="62">
        <f t="shared" si="489"/>
        <v>3.0864197530864196E-3</v>
      </c>
      <c r="CD544" s="13">
        <f t="shared" si="490"/>
        <v>205.16351118760758</v>
      </c>
      <c r="CE544" s="13">
        <f t="shared" si="491"/>
        <v>205</v>
      </c>
      <c r="CF544" s="13">
        <f t="shared" si="492"/>
        <v>1.717612809315866</v>
      </c>
      <c r="CG544" s="13">
        <f t="shared" si="493"/>
        <v>1</v>
      </c>
      <c r="CH544" s="28">
        <f t="shared" si="494"/>
        <v>205</v>
      </c>
      <c r="CI544" s="62">
        <f t="shared" si="495"/>
        <v>4.8780487804878049E-3</v>
      </c>
      <c r="CJ544" s="59">
        <f t="shared" si="496"/>
        <v>3.0864197530864196E-3</v>
      </c>
      <c r="CL544" s="63">
        <v>6000</v>
      </c>
      <c r="CM544" s="63">
        <f t="shared" si="497"/>
        <v>682</v>
      </c>
      <c r="CN544" s="63">
        <f t="shared" si="498"/>
        <v>687</v>
      </c>
      <c r="CO544" s="63">
        <f t="shared" si="499"/>
        <v>8.7336244541484724</v>
      </c>
      <c r="CP544" s="13">
        <f t="shared" si="500"/>
        <v>8</v>
      </c>
      <c r="CQ544" s="70">
        <f t="shared" si="501"/>
        <v>0.125</v>
      </c>
      <c r="CR544" s="69">
        <f t="shared" si="465"/>
        <v>0.125</v>
      </c>
    </row>
    <row r="545" spans="1:96" hidden="1" x14ac:dyDescent="0.25">
      <c r="A545" s="10">
        <v>3</v>
      </c>
      <c r="B545" s="8" t="s">
        <v>1306</v>
      </c>
      <c r="C545" s="10" t="s">
        <v>1357</v>
      </c>
      <c r="D545" s="10" t="s">
        <v>2270</v>
      </c>
      <c r="E545" s="10" t="s">
        <v>32</v>
      </c>
      <c r="F545" s="12">
        <f t="shared" si="470"/>
        <v>1</v>
      </c>
      <c r="G545" s="10">
        <v>1</v>
      </c>
      <c r="H545" s="10">
        <f t="shared" si="521"/>
        <v>1</v>
      </c>
      <c r="I545" s="10">
        <v>30</v>
      </c>
      <c r="J545" s="8" t="s">
        <v>658</v>
      </c>
      <c r="K545" s="8" t="s">
        <v>34</v>
      </c>
      <c r="L545" s="10">
        <v>0</v>
      </c>
      <c r="M545" s="8" t="s">
        <v>35</v>
      </c>
      <c r="N545" s="10" t="s">
        <v>1358</v>
      </c>
      <c r="O545" s="28" t="s">
        <v>41</v>
      </c>
      <c r="P545" s="28" t="s">
        <v>41</v>
      </c>
      <c r="Q545" s="28"/>
      <c r="R545" s="30"/>
      <c r="S545" s="30"/>
      <c r="T545" s="30"/>
      <c r="U545" s="30"/>
      <c r="V545" s="8">
        <f t="shared" si="471"/>
        <v>0</v>
      </c>
      <c r="W545" s="8">
        <f t="shared" si="472"/>
        <v>0</v>
      </c>
      <c r="X545" s="8">
        <f t="shared" si="473"/>
        <v>0</v>
      </c>
      <c r="Y545" s="33">
        <f t="shared" si="474"/>
        <v>0</v>
      </c>
      <c r="Z545" s="28"/>
      <c r="AA545" s="28"/>
      <c r="AB545" s="28">
        <v>0</v>
      </c>
      <c r="AC545" s="31"/>
      <c r="AD545" s="50">
        <f t="shared" si="475"/>
        <v>1</v>
      </c>
      <c r="AE545" s="31"/>
      <c r="AF545" s="51">
        <v>14</v>
      </c>
      <c r="AG545" s="51">
        <f t="shared" si="503"/>
        <v>8.4</v>
      </c>
      <c r="AH545" s="51">
        <f t="shared" si="469"/>
        <v>42</v>
      </c>
      <c r="AI545" s="52" t="s">
        <v>2497</v>
      </c>
      <c r="AJ545" s="52" t="s">
        <v>2498</v>
      </c>
      <c r="AK545" s="53">
        <f t="shared" si="504"/>
        <v>0</v>
      </c>
      <c r="AL545" s="54">
        <f t="shared" si="505"/>
        <v>0.11904761904761904</v>
      </c>
      <c r="AM545" s="54">
        <f t="shared" si="506"/>
        <v>2.3809523809523808E-2</v>
      </c>
      <c r="AN545" s="55">
        <f t="shared" si="507"/>
        <v>0</v>
      </c>
      <c r="AO545" s="55">
        <f t="shared" si="508"/>
        <v>0</v>
      </c>
      <c r="AP545" s="53">
        <v>7.1</v>
      </c>
      <c r="AQ545" s="53">
        <f t="shared" si="476"/>
        <v>4.26</v>
      </c>
      <c r="AR545" s="53">
        <f t="shared" si="477"/>
        <v>21.299999999999997</v>
      </c>
      <c r="AS545" s="56">
        <f t="shared" si="478"/>
        <v>4.6948356807511742E-2</v>
      </c>
      <c r="AT545" s="56">
        <f t="shared" si="509"/>
        <v>0.23474178403755869</v>
      </c>
      <c r="AU545" s="56">
        <f t="shared" si="479"/>
        <v>0.176056338028169</v>
      </c>
      <c r="AV545" s="56">
        <f t="shared" si="510"/>
        <v>5.8685446009389672E-2</v>
      </c>
      <c r="AW545" s="57" t="s">
        <v>2511</v>
      </c>
      <c r="AX545" s="57" t="s">
        <v>2512</v>
      </c>
      <c r="AY545" s="57" t="s">
        <v>2513</v>
      </c>
      <c r="AZ545" s="58">
        <f t="shared" si="511"/>
        <v>0</v>
      </c>
      <c r="BA545" s="59">
        <f t="shared" si="514"/>
        <v>0</v>
      </c>
      <c r="BB545" s="59">
        <f t="shared" si="515"/>
        <v>0</v>
      </c>
      <c r="BC545" s="59">
        <f t="shared" si="516"/>
        <v>0</v>
      </c>
      <c r="BD545" s="60">
        <f t="shared" si="512"/>
        <v>0</v>
      </c>
      <c r="BE545" s="59">
        <f t="shared" si="513"/>
        <v>0</v>
      </c>
      <c r="BQ545" s="61">
        <v>3000</v>
      </c>
      <c r="BR545" s="61">
        <v>1200</v>
      </c>
      <c r="BS545" s="28">
        <f t="shared" si="480"/>
        <v>2980</v>
      </c>
      <c r="BT545" s="28">
        <f t="shared" si="481"/>
        <v>1180</v>
      </c>
      <c r="BU545" s="28" t="s">
        <v>2541</v>
      </c>
      <c r="BV545" s="28">
        <f t="shared" si="482"/>
        <v>5</v>
      </c>
      <c r="BW545" s="28">
        <f t="shared" si="483"/>
        <v>5</v>
      </c>
      <c r="BX545" s="13">
        <f t="shared" si="484"/>
        <v>596</v>
      </c>
      <c r="BY545" s="13">
        <f t="shared" si="485"/>
        <v>596</v>
      </c>
      <c r="BZ545" s="13">
        <f t="shared" si="486"/>
        <v>236</v>
      </c>
      <c r="CA545" s="13">
        <f t="shared" si="487"/>
        <v>236</v>
      </c>
      <c r="CB545" s="13">
        <f t="shared" si="488"/>
        <v>140656</v>
      </c>
      <c r="CC545" s="62" t="str">
        <f t="shared" si="489"/>
        <v/>
      </c>
      <c r="CD545" s="13">
        <f t="shared" si="490"/>
        <v>596</v>
      </c>
      <c r="CE545" s="13">
        <f t="shared" si="491"/>
        <v>596</v>
      </c>
      <c r="CF545" s="13">
        <f t="shared" si="492"/>
        <v>236</v>
      </c>
      <c r="CG545" s="13">
        <f t="shared" si="493"/>
        <v>236</v>
      </c>
      <c r="CH545" s="28">
        <f t="shared" si="494"/>
        <v>140656</v>
      </c>
      <c r="CI545" s="62" t="str">
        <f t="shared" si="495"/>
        <v/>
      </c>
      <c r="CJ545" s="59">
        <f t="shared" si="496"/>
        <v>0</v>
      </c>
      <c r="CL545" s="63">
        <v>6000</v>
      </c>
      <c r="CM545" s="63">
        <f t="shared" si="497"/>
        <v>0</v>
      </c>
      <c r="CN545" s="63">
        <f t="shared" si="498"/>
        <v>5</v>
      </c>
      <c r="CO545" s="63">
        <f t="shared" si="499"/>
        <v>1200</v>
      </c>
      <c r="CP545" s="13">
        <f t="shared" si="500"/>
        <v>1200</v>
      </c>
      <c r="CQ545" s="70">
        <f t="shared" si="501"/>
        <v>8.3333333333333339E-4</v>
      </c>
      <c r="CR545" s="69">
        <f t="shared" si="465"/>
        <v>8.3333333333333339E-4</v>
      </c>
    </row>
    <row r="546" spans="1:96" hidden="1" x14ac:dyDescent="0.25">
      <c r="A546" s="13">
        <v>4</v>
      </c>
      <c r="B546" s="14" t="s">
        <v>1359</v>
      </c>
      <c r="C546" s="13" t="s">
        <v>1360</v>
      </c>
      <c r="D546" s="13" t="s">
        <v>2270</v>
      </c>
      <c r="E546" s="13" t="s">
        <v>52</v>
      </c>
      <c r="F546" s="15">
        <f t="shared" si="470"/>
        <v>1</v>
      </c>
      <c r="G546" s="13">
        <v>1</v>
      </c>
      <c r="H546" s="13">
        <f>G546*$H$545</f>
        <v>1</v>
      </c>
      <c r="I546" s="13">
        <v>1</v>
      </c>
      <c r="J546" s="14" t="s">
        <v>662</v>
      </c>
      <c r="K546" s="14" t="s">
        <v>34</v>
      </c>
      <c r="L546" s="13">
        <v>0</v>
      </c>
      <c r="M546" s="14" t="s">
        <v>35</v>
      </c>
      <c r="N546" s="13" t="s">
        <v>1361</v>
      </c>
      <c r="O546" s="28" t="s">
        <v>41</v>
      </c>
      <c r="P546" s="28" t="s">
        <v>41</v>
      </c>
      <c r="Q546" s="28" t="s">
        <v>124</v>
      </c>
      <c r="R546" s="30">
        <v>58.637</v>
      </c>
      <c r="S546" s="30">
        <v>19.920000000000002</v>
      </c>
      <c r="T546" s="30"/>
      <c r="U546" s="30">
        <v>9.8000000000000004E-2</v>
      </c>
      <c r="V546" s="8">
        <f t="shared" si="471"/>
        <v>1489.3797999999999</v>
      </c>
      <c r="W546" s="8">
        <f t="shared" si="472"/>
        <v>505.96800000000002</v>
      </c>
      <c r="X546" s="8">
        <f t="shared" si="473"/>
        <v>0</v>
      </c>
      <c r="Y546" s="33">
        <f t="shared" si="474"/>
        <v>2.4891999999999999</v>
      </c>
      <c r="Z546" s="28" t="s">
        <v>56</v>
      </c>
      <c r="AA546" s="28" t="s">
        <v>57</v>
      </c>
      <c r="AB546" s="61" t="s">
        <v>124</v>
      </c>
      <c r="AC546" s="31" t="s">
        <v>125</v>
      </c>
      <c r="AD546" s="50">
        <f t="shared" si="475"/>
        <v>1</v>
      </c>
      <c r="AE546" s="31"/>
      <c r="AF546" s="51">
        <v>14</v>
      </c>
      <c r="AG546" s="51">
        <f t="shared" si="503"/>
        <v>8.4</v>
      </c>
      <c r="AH546" s="51">
        <f t="shared" si="469"/>
        <v>42</v>
      </c>
      <c r="AI546" s="52" t="s">
        <v>2497</v>
      </c>
      <c r="AJ546" s="52" t="s">
        <v>2498</v>
      </c>
      <c r="AK546" s="53">
        <f t="shared" si="504"/>
        <v>1.5071570372927998</v>
      </c>
      <c r="AL546" s="54">
        <f t="shared" si="505"/>
        <v>0.11904761904761904</v>
      </c>
      <c r="AM546" s="54">
        <f t="shared" si="506"/>
        <v>2.3809523809523808E-2</v>
      </c>
      <c r="AN546" s="55">
        <f t="shared" si="507"/>
        <v>0.1794234568205714</v>
      </c>
      <c r="AO546" s="55">
        <f t="shared" si="508"/>
        <v>3.5884691364114277E-2</v>
      </c>
      <c r="AP546" s="53">
        <v>7.1</v>
      </c>
      <c r="AQ546" s="53">
        <f t="shared" si="476"/>
        <v>4.26</v>
      </c>
      <c r="AR546" s="53">
        <f t="shared" si="477"/>
        <v>21.299999999999997</v>
      </c>
      <c r="AS546" s="56">
        <f t="shared" si="478"/>
        <v>4.6948356807511742E-2</v>
      </c>
      <c r="AT546" s="56">
        <f t="shared" si="509"/>
        <v>0.23474178403755869</v>
      </c>
      <c r="AU546" s="56">
        <f t="shared" si="479"/>
        <v>0.176056338028169</v>
      </c>
      <c r="AV546" s="56">
        <f t="shared" si="510"/>
        <v>5.8685446009389672E-2</v>
      </c>
      <c r="AW546" s="57" t="s">
        <v>2511</v>
      </c>
      <c r="AX546" s="57" t="s">
        <v>2512</v>
      </c>
      <c r="AY546" s="57" t="s">
        <v>2513</v>
      </c>
      <c r="AZ546" s="58">
        <f t="shared" si="511"/>
        <v>1.5071570372927998</v>
      </c>
      <c r="BA546" s="59">
        <f t="shared" si="514"/>
        <v>4.4224091469859152E-2</v>
      </c>
      <c r="BB546" s="59">
        <f t="shared" si="515"/>
        <v>0.13267227440957743</v>
      </c>
      <c r="BC546" s="59">
        <f t="shared" si="516"/>
        <v>3.5379273175887321E-2</v>
      </c>
      <c r="BD546" s="60">
        <f t="shared" si="512"/>
        <v>0.5</v>
      </c>
      <c r="BE546" s="59">
        <f t="shared" si="513"/>
        <v>0.5</v>
      </c>
      <c r="BQ546" s="61">
        <v>3000</v>
      </c>
      <c r="BR546" s="61">
        <v>1200</v>
      </c>
      <c r="BS546" s="28">
        <f t="shared" si="480"/>
        <v>2980</v>
      </c>
      <c r="BT546" s="28">
        <f t="shared" si="481"/>
        <v>1180</v>
      </c>
      <c r="BU546" s="28" t="s">
        <v>2541</v>
      </c>
      <c r="BV546" s="28">
        <f t="shared" si="482"/>
        <v>1494.3797999999999</v>
      </c>
      <c r="BW546" s="28">
        <f t="shared" si="483"/>
        <v>510.96800000000002</v>
      </c>
      <c r="BX546" s="13">
        <f t="shared" si="484"/>
        <v>1.994138304064335</v>
      </c>
      <c r="BY546" s="13">
        <f t="shared" si="485"/>
        <v>1</v>
      </c>
      <c r="BZ546" s="13">
        <f t="shared" si="486"/>
        <v>2.3093422680089555</v>
      </c>
      <c r="CA546" s="13">
        <f t="shared" si="487"/>
        <v>2</v>
      </c>
      <c r="CB546" s="13">
        <f t="shared" si="488"/>
        <v>2</v>
      </c>
      <c r="CC546" s="62">
        <f t="shared" si="489"/>
        <v>0.5</v>
      </c>
      <c r="CD546" s="13">
        <f t="shared" si="490"/>
        <v>5.8320677615819383</v>
      </c>
      <c r="CE546" s="13">
        <f t="shared" si="491"/>
        <v>5</v>
      </c>
      <c r="CF546" s="13">
        <f t="shared" si="492"/>
        <v>0.78962523449527355</v>
      </c>
      <c r="CG546" s="13">
        <f t="shared" si="493"/>
        <v>0</v>
      </c>
      <c r="CH546" s="28">
        <f t="shared" si="494"/>
        <v>0</v>
      </c>
      <c r="CI546" s="62">
        <f t="shared" si="495"/>
        <v>1</v>
      </c>
      <c r="CJ546" s="59">
        <f t="shared" si="496"/>
        <v>0.5</v>
      </c>
      <c r="CL546" s="63">
        <v>6000</v>
      </c>
      <c r="CM546" s="63">
        <f t="shared" si="497"/>
        <v>1489.3797999999999</v>
      </c>
      <c r="CN546" s="63">
        <f t="shared" si="498"/>
        <v>1494.3797999999999</v>
      </c>
      <c r="CO546" s="63">
        <f t="shared" si="499"/>
        <v>4.0150435652302043</v>
      </c>
      <c r="CP546" s="13">
        <f t="shared" si="500"/>
        <v>4</v>
      </c>
      <c r="CQ546" s="70">
        <f t="shared" si="501"/>
        <v>0.25</v>
      </c>
      <c r="CR546" s="69">
        <f t="shared" si="465"/>
        <v>0.25</v>
      </c>
    </row>
    <row r="547" spans="1:96" hidden="1" x14ac:dyDescent="0.25">
      <c r="A547" s="13">
        <v>4</v>
      </c>
      <c r="B547" s="14" t="s">
        <v>1359</v>
      </c>
      <c r="C547" s="13" t="s">
        <v>1362</v>
      </c>
      <c r="D547" s="13" t="s">
        <v>1363</v>
      </c>
      <c r="E547" s="13" t="s">
        <v>52</v>
      </c>
      <c r="F547" s="15">
        <f t="shared" si="470"/>
        <v>1</v>
      </c>
      <c r="G547" s="13">
        <v>4</v>
      </c>
      <c r="H547" s="13">
        <f t="shared" ref="H547:H549" si="522">G547*$H$545</f>
        <v>4</v>
      </c>
      <c r="I547" s="13">
        <v>2</v>
      </c>
      <c r="J547" s="14" t="s">
        <v>681</v>
      </c>
      <c r="K547" s="14" t="s">
        <v>34</v>
      </c>
      <c r="L547" s="13">
        <v>0</v>
      </c>
      <c r="M547" s="14" t="s">
        <v>35</v>
      </c>
      <c r="N547" s="13" t="s">
        <v>1363</v>
      </c>
      <c r="O547" s="28" t="s">
        <v>41</v>
      </c>
      <c r="P547" s="28" t="s">
        <v>41</v>
      </c>
      <c r="Q547" s="28" t="s">
        <v>1363</v>
      </c>
      <c r="R547" s="30"/>
      <c r="S547" s="30"/>
      <c r="T547" s="30"/>
      <c r="U547" s="30"/>
      <c r="V547" s="8">
        <f t="shared" si="471"/>
        <v>0</v>
      </c>
      <c r="W547" s="8">
        <f t="shared" si="472"/>
        <v>0</v>
      </c>
      <c r="X547" s="8">
        <f t="shared" si="473"/>
        <v>0</v>
      </c>
      <c r="Y547" s="33">
        <f t="shared" si="474"/>
        <v>0</v>
      </c>
      <c r="Z547" s="28"/>
      <c r="AA547" s="28"/>
      <c r="AB547" s="61" t="s">
        <v>1363</v>
      </c>
      <c r="AC547" s="31" t="s">
        <v>1364</v>
      </c>
      <c r="AD547" s="50">
        <f t="shared" si="475"/>
        <v>4</v>
      </c>
      <c r="AE547" s="31"/>
      <c r="AF547" s="51">
        <v>14</v>
      </c>
      <c r="AG547" s="51">
        <f t="shared" si="503"/>
        <v>8.4</v>
      </c>
      <c r="AH547" s="51">
        <f t="shared" si="469"/>
        <v>42</v>
      </c>
      <c r="AI547" s="52" t="s">
        <v>2497</v>
      </c>
      <c r="AJ547" s="52" t="s">
        <v>2498</v>
      </c>
      <c r="AK547" s="53">
        <f t="shared" si="504"/>
        <v>0</v>
      </c>
      <c r="AL547" s="54">
        <f t="shared" si="505"/>
        <v>0.11904761904761904</v>
      </c>
      <c r="AM547" s="54">
        <f t="shared" si="506"/>
        <v>2.3809523809523808E-2</v>
      </c>
      <c r="AN547" s="55">
        <f t="shared" si="507"/>
        <v>0</v>
      </c>
      <c r="AO547" s="55">
        <f t="shared" si="508"/>
        <v>0</v>
      </c>
      <c r="AP547" s="53">
        <v>7.1</v>
      </c>
      <c r="AQ547" s="53">
        <f t="shared" si="476"/>
        <v>4.26</v>
      </c>
      <c r="AR547" s="53">
        <f t="shared" si="477"/>
        <v>21.299999999999997</v>
      </c>
      <c r="AS547" s="56">
        <f t="shared" si="478"/>
        <v>4.6948356807511742E-2</v>
      </c>
      <c r="AT547" s="56">
        <f t="shared" si="509"/>
        <v>0.23474178403755869</v>
      </c>
      <c r="AU547" s="56">
        <f t="shared" si="479"/>
        <v>0.176056338028169</v>
      </c>
      <c r="AV547" s="56">
        <f t="shared" si="510"/>
        <v>5.8685446009389672E-2</v>
      </c>
      <c r="AW547" s="57" t="s">
        <v>2511</v>
      </c>
      <c r="AX547" s="57" t="s">
        <v>2512</v>
      </c>
      <c r="AY547" s="57" t="s">
        <v>2513</v>
      </c>
      <c r="AZ547" s="58">
        <f t="shared" si="511"/>
        <v>0</v>
      </c>
      <c r="BA547" s="59">
        <f t="shared" si="514"/>
        <v>0</v>
      </c>
      <c r="BB547" s="59">
        <f t="shared" si="515"/>
        <v>0</v>
      </c>
      <c r="BC547" s="59">
        <f t="shared" si="516"/>
        <v>0</v>
      </c>
      <c r="BD547" s="60">
        <f t="shared" si="512"/>
        <v>7.1095438516664771E-6</v>
      </c>
      <c r="BE547" s="59">
        <f t="shared" si="513"/>
        <v>2.8438175406665908E-5</v>
      </c>
      <c r="BQ547" s="61">
        <v>3000</v>
      </c>
      <c r="BR547" s="61">
        <v>1200</v>
      </c>
      <c r="BS547" s="28">
        <f t="shared" si="480"/>
        <v>2980</v>
      </c>
      <c r="BT547" s="28">
        <f t="shared" si="481"/>
        <v>1180</v>
      </c>
      <c r="BU547" s="28" t="s">
        <v>2541</v>
      </c>
      <c r="BV547" s="28">
        <f t="shared" si="482"/>
        <v>5</v>
      </c>
      <c r="BW547" s="28">
        <f t="shared" si="483"/>
        <v>5</v>
      </c>
      <c r="BX547" s="13">
        <f t="shared" si="484"/>
        <v>596</v>
      </c>
      <c r="BY547" s="13">
        <f t="shared" si="485"/>
        <v>596</v>
      </c>
      <c r="BZ547" s="13">
        <f t="shared" si="486"/>
        <v>236</v>
      </c>
      <c r="CA547" s="13">
        <f t="shared" si="487"/>
        <v>236</v>
      </c>
      <c r="CB547" s="13">
        <f t="shared" si="488"/>
        <v>140656</v>
      </c>
      <c r="CC547" s="62">
        <f t="shared" si="489"/>
        <v>7.1095438516664771E-6</v>
      </c>
      <c r="CD547" s="13">
        <f t="shared" si="490"/>
        <v>596</v>
      </c>
      <c r="CE547" s="13">
        <f t="shared" si="491"/>
        <v>596</v>
      </c>
      <c r="CF547" s="13">
        <f t="shared" si="492"/>
        <v>236</v>
      </c>
      <c r="CG547" s="13">
        <f t="shared" si="493"/>
        <v>236</v>
      </c>
      <c r="CH547" s="28">
        <f t="shared" si="494"/>
        <v>140656</v>
      </c>
      <c r="CI547" s="62">
        <f t="shared" si="495"/>
        <v>7.1095438516664771E-6</v>
      </c>
      <c r="CJ547" s="59">
        <f t="shared" si="496"/>
        <v>7.1095438516664771E-6</v>
      </c>
      <c r="CL547" s="63">
        <v>6000</v>
      </c>
      <c r="CM547" s="63">
        <f t="shared" si="497"/>
        <v>0</v>
      </c>
      <c r="CN547" s="63">
        <f t="shared" si="498"/>
        <v>5</v>
      </c>
      <c r="CO547" s="63">
        <f t="shared" si="499"/>
        <v>1200</v>
      </c>
      <c r="CP547" s="13">
        <f t="shared" si="500"/>
        <v>1200</v>
      </c>
      <c r="CQ547" s="70">
        <f t="shared" si="501"/>
        <v>8.3333333333333339E-4</v>
      </c>
      <c r="CR547" s="69">
        <f t="shared" si="465"/>
        <v>3.3333333333333335E-3</v>
      </c>
    </row>
    <row r="548" spans="1:96" hidden="1" x14ac:dyDescent="0.25">
      <c r="A548" s="13">
        <v>4</v>
      </c>
      <c r="B548" s="14" t="s">
        <v>1359</v>
      </c>
      <c r="C548" s="13" t="s">
        <v>793</v>
      </c>
      <c r="D548" s="13" t="s">
        <v>795</v>
      </c>
      <c r="E548" s="13" t="s">
        <v>52</v>
      </c>
      <c r="F548" s="15">
        <f t="shared" si="470"/>
        <v>4</v>
      </c>
      <c r="G548" s="13">
        <v>1</v>
      </c>
      <c r="H548" s="13">
        <f t="shared" si="522"/>
        <v>1</v>
      </c>
      <c r="I548" s="13">
        <v>3</v>
      </c>
      <c r="J548" s="14" t="s">
        <v>794</v>
      </c>
      <c r="K548" s="14" t="s">
        <v>34</v>
      </c>
      <c r="L548" s="13" t="s">
        <v>687</v>
      </c>
      <c r="M548" s="14" t="s">
        <v>340</v>
      </c>
      <c r="N548" s="13" t="s">
        <v>795</v>
      </c>
      <c r="O548" s="28" t="s">
        <v>41</v>
      </c>
      <c r="P548" s="28" t="s">
        <v>41</v>
      </c>
      <c r="Q548" s="28" t="s">
        <v>795</v>
      </c>
      <c r="R548" s="30"/>
      <c r="S548" s="30"/>
      <c r="T548" s="30"/>
      <c r="U548" s="30"/>
      <c r="V548" s="8">
        <f t="shared" si="471"/>
        <v>0</v>
      </c>
      <c r="W548" s="8">
        <f t="shared" si="472"/>
        <v>0</v>
      </c>
      <c r="X548" s="8">
        <f t="shared" si="473"/>
        <v>0</v>
      </c>
      <c r="Y548" s="33">
        <f t="shared" si="474"/>
        <v>0</v>
      </c>
      <c r="Z548" s="28"/>
      <c r="AA548" s="28"/>
      <c r="AB548" s="61" t="s">
        <v>795</v>
      </c>
      <c r="AC548" s="31" t="s">
        <v>796</v>
      </c>
      <c r="AD548" s="50">
        <f t="shared" si="475"/>
        <v>1</v>
      </c>
      <c r="AE548" s="31"/>
      <c r="AF548" s="51">
        <v>14</v>
      </c>
      <c r="AG548" s="51">
        <f t="shared" si="503"/>
        <v>8.4</v>
      </c>
      <c r="AH548" s="51">
        <f t="shared" si="469"/>
        <v>42</v>
      </c>
      <c r="AI548" s="52" t="s">
        <v>2497</v>
      </c>
      <c r="AJ548" s="52" t="s">
        <v>2498</v>
      </c>
      <c r="AK548" s="53">
        <f t="shared" si="504"/>
        <v>0</v>
      </c>
      <c r="AL548" s="54">
        <f t="shared" si="505"/>
        <v>0.11904761904761904</v>
      </c>
      <c r="AM548" s="54">
        <f t="shared" si="506"/>
        <v>2.3809523809523808E-2</v>
      </c>
      <c r="AN548" s="55">
        <f t="shared" si="507"/>
        <v>0</v>
      </c>
      <c r="AO548" s="55">
        <f t="shared" si="508"/>
        <v>0</v>
      </c>
      <c r="AP548" s="53">
        <v>7.1</v>
      </c>
      <c r="AQ548" s="53">
        <f t="shared" si="476"/>
        <v>4.26</v>
      </c>
      <c r="AR548" s="53">
        <f t="shared" si="477"/>
        <v>21.299999999999997</v>
      </c>
      <c r="AS548" s="56">
        <f t="shared" si="478"/>
        <v>4.6948356807511742E-2</v>
      </c>
      <c r="AT548" s="56">
        <f t="shared" si="509"/>
        <v>0.23474178403755869</v>
      </c>
      <c r="AU548" s="56">
        <f t="shared" si="479"/>
        <v>0.176056338028169</v>
      </c>
      <c r="AV548" s="56">
        <f t="shared" si="510"/>
        <v>5.8685446009389672E-2</v>
      </c>
      <c r="AW548" s="57" t="s">
        <v>2511</v>
      </c>
      <c r="AX548" s="57" t="s">
        <v>2512</v>
      </c>
      <c r="AY548" s="57" t="s">
        <v>2513</v>
      </c>
      <c r="AZ548" s="58">
        <f t="shared" si="511"/>
        <v>0</v>
      </c>
      <c r="BA548" s="59">
        <f t="shared" si="514"/>
        <v>0</v>
      </c>
      <c r="BB548" s="59">
        <f t="shared" si="515"/>
        <v>0</v>
      </c>
      <c r="BC548" s="59">
        <f t="shared" si="516"/>
        <v>0</v>
      </c>
      <c r="BD548" s="60">
        <f t="shared" si="512"/>
        <v>7.1095438516664771E-6</v>
      </c>
      <c r="BE548" s="59">
        <f t="shared" si="513"/>
        <v>7.1095438516664771E-6</v>
      </c>
      <c r="BQ548" s="61">
        <v>3000</v>
      </c>
      <c r="BR548" s="61">
        <v>1200</v>
      </c>
      <c r="BS548" s="28">
        <f t="shared" si="480"/>
        <v>2980</v>
      </c>
      <c r="BT548" s="28">
        <f t="shared" si="481"/>
        <v>1180</v>
      </c>
      <c r="BU548" s="28" t="s">
        <v>2541</v>
      </c>
      <c r="BV548" s="28">
        <f t="shared" si="482"/>
        <v>5</v>
      </c>
      <c r="BW548" s="28">
        <f t="shared" si="483"/>
        <v>5</v>
      </c>
      <c r="BX548" s="13">
        <f t="shared" si="484"/>
        <v>596</v>
      </c>
      <c r="BY548" s="13">
        <f t="shared" si="485"/>
        <v>596</v>
      </c>
      <c r="BZ548" s="13">
        <f t="shared" si="486"/>
        <v>236</v>
      </c>
      <c r="CA548" s="13">
        <f t="shared" si="487"/>
        <v>236</v>
      </c>
      <c r="CB548" s="13">
        <f t="shared" si="488"/>
        <v>140656</v>
      </c>
      <c r="CC548" s="62">
        <f t="shared" si="489"/>
        <v>7.1095438516664771E-6</v>
      </c>
      <c r="CD548" s="13">
        <f t="shared" si="490"/>
        <v>596</v>
      </c>
      <c r="CE548" s="13">
        <f t="shared" si="491"/>
        <v>596</v>
      </c>
      <c r="CF548" s="13">
        <f t="shared" si="492"/>
        <v>236</v>
      </c>
      <c r="CG548" s="13">
        <f t="shared" si="493"/>
        <v>236</v>
      </c>
      <c r="CH548" s="28">
        <f t="shared" si="494"/>
        <v>140656</v>
      </c>
      <c r="CI548" s="62">
        <f t="shared" si="495"/>
        <v>7.1095438516664771E-6</v>
      </c>
      <c r="CJ548" s="59">
        <f t="shared" si="496"/>
        <v>7.1095438516664771E-6</v>
      </c>
      <c r="CL548" s="63">
        <v>6000</v>
      </c>
      <c r="CM548" s="63">
        <f t="shared" si="497"/>
        <v>0</v>
      </c>
      <c r="CN548" s="63">
        <f t="shared" si="498"/>
        <v>5</v>
      </c>
      <c r="CO548" s="63">
        <f t="shared" si="499"/>
        <v>1200</v>
      </c>
      <c r="CP548" s="13">
        <f t="shared" si="500"/>
        <v>1200</v>
      </c>
      <c r="CQ548" s="70">
        <f t="shared" si="501"/>
        <v>8.3333333333333339E-4</v>
      </c>
      <c r="CR548" s="69">
        <f t="shared" ref="CR548:CR611" si="523">CQ548*AD548</f>
        <v>8.3333333333333339E-4</v>
      </c>
    </row>
    <row r="549" spans="1:96" hidden="1" x14ac:dyDescent="0.25">
      <c r="A549" s="13">
        <v>4</v>
      </c>
      <c r="B549" s="14" t="s">
        <v>1359</v>
      </c>
      <c r="C549" s="13" t="s">
        <v>1365</v>
      </c>
      <c r="D549" s="13" t="s">
        <v>1367</v>
      </c>
      <c r="E549" s="13" t="s">
        <v>52</v>
      </c>
      <c r="F549" s="15">
        <f t="shared" si="470"/>
        <v>1</v>
      </c>
      <c r="G549" s="13">
        <v>1</v>
      </c>
      <c r="H549" s="13">
        <f t="shared" si="522"/>
        <v>1</v>
      </c>
      <c r="I549" s="13">
        <v>4</v>
      </c>
      <c r="J549" s="14" t="s">
        <v>1366</v>
      </c>
      <c r="K549" s="14" t="s">
        <v>34</v>
      </c>
      <c r="L549" s="13" t="s">
        <v>687</v>
      </c>
      <c r="M549" s="14" t="s">
        <v>340</v>
      </c>
      <c r="N549" s="13" t="s">
        <v>1367</v>
      </c>
      <c r="O549" s="28" t="s">
        <v>41</v>
      </c>
      <c r="P549" s="28" t="s">
        <v>41</v>
      </c>
      <c r="Q549" s="28" t="s">
        <v>1367</v>
      </c>
      <c r="R549" s="30"/>
      <c r="S549" s="30"/>
      <c r="T549" s="30"/>
      <c r="U549" s="30"/>
      <c r="V549" s="8">
        <f t="shared" si="471"/>
        <v>0</v>
      </c>
      <c r="W549" s="8">
        <f t="shared" si="472"/>
        <v>0</v>
      </c>
      <c r="X549" s="8">
        <f t="shared" si="473"/>
        <v>0</v>
      </c>
      <c r="Y549" s="33">
        <f t="shared" si="474"/>
        <v>0</v>
      </c>
      <c r="Z549" s="28"/>
      <c r="AA549" s="28"/>
      <c r="AB549" s="61" t="s">
        <v>1367</v>
      </c>
      <c r="AC549" s="31" t="s">
        <v>1368</v>
      </c>
      <c r="AD549" s="50">
        <f t="shared" si="475"/>
        <v>1</v>
      </c>
      <c r="AE549" s="31"/>
      <c r="AF549" s="51">
        <v>14</v>
      </c>
      <c r="AG549" s="51">
        <f t="shared" si="503"/>
        <v>8.4</v>
      </c>
      <c r="AH549" s="51">
        <f t="shared" si="469"/>
        <v>42</v>
      </c>
      <c r="AI549" s="52" t="s">
        <v>2497</v>
      </c>
      <c r="AJ549" s="52" t="s">
        <v>2498</v>
      </c>
      <c r="AK549" s="53">
        <f t="shared" si="504"/>
        <v>0</v>
      </c>
      <c r="AL549" s="54">
        <f t="shared" si="505"/>
        <v>0.11904761904761904</v>
      </c>
      <c r="AM549" s="54">
        <f t="shared" si="506"/>
        <v>2.3809523809523808E-2</v>
      </c>
      <c r="AN549" s="55">
        <f t="shared" si="507"/>
        <v>0</v>
      </c>
      <c r="AO549" s="55">
        <f t="shared" si="508"/>
        <v>0</v>
      </c>
      <c r="AP549" s="53">
        <v>7.1</v>
      </c>
      <c r="AQ549" s="53">
        <f t="shared" si="476"/>
        <v>4.26</v>
      </c>
      <c r="AR549" s="53">
        <f t="shared" si="477"/>
        <v>21.299999999999997</v>
      </c>
      <c r="AS549" s="56">
        <f t="shared" si="478"/>
        <v>4.6948356807511742E-2</v>
      </c>
      <c r="AT549" s="56">
        <f t="shared" si="509"/>
        <v>0.23474178403755869</v>
      </c>
      <c r="AU549" s="56">
        <f t="shared" si="479"/>
        <v>0.176056338028169</v>
      </c>
      <c r="AV549" s="56">
        <f t="shared" si="510"/>
        <v>5.8685446009389672E-2</v>
      </c>
      <c r="AW549" s="57" t="s">
        <v>2511</v>
      </c>
      <c r="AX549" s="57" t="s">
        <v>2512</v>
      </c>
      <c r="AY549" s="57" t="s">
        <v>2513</v>
      </c>
      <c r="AZ549" s="58">
        <f t="shared" si="511"/>
        <v>0</v>
      </c>
      <c r="BA549" s="59">
        <f t="shared" si="514"/>
        <v>0</v>
      </c>
      <c r="BB549" s="59">
        <f t="shared" si="515"/>
        <v>0</v>
      </c>
      <c r="BC549" s="59">
        <f t="shared" si="516"/>
        <v>0</v>
      </c>
      <c r="BD549" s="60">
        <f t="shared" si="512"/>
        <v>7.1095438516664771E-6</v>
      </c>
      <c r="BE549" s="59">
        <f t="shared" si="513"/>
        <v>7.1095438516664771E-6</v>
      </c>
      <c r="BQ549" s="61">
        <v>3000</v>
      </c>
      <c r="BR549" s="61">
        <v>1200</v>
      </c>
      <c r="BS549" s="28">
        <f t="shared" si="480"/>
        <v>2980</v>
      </c>
      <c r="BT549" s="28">
        <f t="shared" si="481"/>
        <v>1180</v>
      </c>
      <c r="BU549" s="28" t="s">
        <v>2541</v>
      </c>
      <c r="BV549" s="28">
        <f t="shared" si="482"/>
        <v>5</v>
      </c>
      <c r="BW549" s="28">
        <f t="shared" si="483"/>
        <v>5</v>
      </c>
      <c r="BX549" s="13">
        <f t="shared" si="484"/>
        <v>596</v>
      </c>
      <c r="BY549" s="13">
        <f t="shared" si="485"/>
        <v>596</v>
      </c>
      <c r="BZ549" s="13">
        <f t="shared" si="486"/>
        <v>236</v>
      </c>
      <c r="CA549" s="13">
        <f t="shared" si="487"/>
        <v>236</v>
      </c>
      <c r="CB549" s="13">
        <f t="shared" si="488"/>
        <v>140656</v>
      </c>
      <c r="CC549" s="62">
        <f t="shared" si="489"/>
        <v>7.1095438516664771E-6</v>
      </c>
      <c r="CD549" s="13">
        <f t="shared" si="490"/>
        <v>596</v>
      </c>
      <c r="CE549" s="13">
        <f t="shared" si="491"/>
        <v>596</v>
      </c>
      <c r="CF549" s="13">
        <f t="shared" si="492"/>
        <v>236</v>
      </c>
      <c r="CG549" s="13">
        <f t="shared" si="493"/>
        <v>236</v>
      </c>
      <c r="CH549" s="28">
        <f t="shared" si="494"/>
        <v>140656</v>
      </c>
      <c r="CI549" s="62">
        <f t="shared" si="495"/>
        <v>7.1095438516664771E-6</v>
      </c>
      <c r="CJ549" s="59">
        <f t="shared" si="496"/>
        <v>7.1095438516664771E-6</v>
      </c>
      <c r="CL549" s="63">
        <v>6000</v>
      </c>
      <c r="CM549" s="63">
        <f t="shared" si="497"/>
        <v>0</v>
      </c>
      <c r="CN549" s="63">
        <f t="shared" si="498"/>
        <v>5</v>
      </c>
      <c r="CO549" s="63">
        <f t="shared" si="499"/>
        <v>1200</v>
      </c>
      <c r="CP549" s="13">
        <f t="shared" si="500"/>
        <v>1200</v>
      </c>
      <c r="CQ549" s="70">
        <f t="shared" si="501"/>
        <v>8.3333333333333339E-4</v>
      </c>
      <c r="CR549" s="69">
        <f t="shared" si="523"/>
        <v>8.3333333333333339E-4</v>
      </c>
    </row>
    <row r="550" spans="1:96" hidden="1" x14ac:dyDescent="0.25">
      <c r="A550" s="36">
        <v>2</v>
      </c>
      <c r="B550" s="37" t="s">
        <v>37</v>
      </c>
      <c r="C550" s="36" t="s">
        <v>1369</v>
      </c>
      <c r="D550" s="36" t="s">
        <v>2270</v>
      </c>
      <c r="E550" s="36" t="s">
        <v>32</v>
      </c>
      <c r="F550" s="38">
        <f t="shared" si="470"/>
        <v>1</v>
      </c>
      <c r="G550" s="36">
        <v>1</v>
      </c>
      <c r="H550" s="36">
        <f>G550*$H$3</f>
        <v>1</v>
      </c>
      <c r="I550" s="36">
        <v>21</v>
      </c>
      <c r="J550" s="37" t="s">
        <v>1370</v>
      </c>
      <c r="K550" s="37" t="s">
        <v>34</v>
      </c>
      <c r="L550" s="36">
        <v>0</v>
      </c>
      <c r="M550" s="37" t="s">
        <v>35</v>
      </c>
      <c r="N550" s="36" t="s">
        <v>1371</v>
      </c>
      <c r="O550" s="28" t="s">
        <v>41</v>
      </c>
      <c r="P550" s="28" t="s">
        <v>41</v>
      </c>
      <c r="Q550" s="28"/>
      <c r="R550" s="30"/>
      <c r="S550" s="30"/>
      <c r="T550" s="30"/>
      <c r="U550" s="30"/>
      <c r="V550" s="8">
        <f t="shared" si="471"/>
        <v>0</v>
      </c>
      <c r="W550" s="8">
        <f t="shared" si="472"/>
        <v>0</v>
      </c>
      <c r="X550" s="8">
        <f t="shared" si="473"/>
        <v>0</v>
      </c>
      <c r="Y550" s="33">
        <f t="shared" si="474"/>
        <v>0</v>
      </c>
      <c r="Z550" s="28"/>
      <c r="AA550" s="28"/>
      <c r="AB550" s="28">
        <v>0</v>
      </c>
      <c r="AC550" s="31"/>
      <c r="AD550" s="50">
        <f t="shared" si="475"/>
        <v>1</v>
      </c>
      <c r="AE550" s="31"/>
      <c r="AF550" s="51">
        <v>14</v>
      </c>
      <c r="AG550" s="51">
        <f t="shared" si="503"/>
        <v>8.4</v>
      </c>
      <c r="AH550" s="51">
        <f t="shared" si="469"/>
        <v>42</v>
      </c>
      <c r="AI550" s="52" t="s">
        <v>2497</v>
      </c>
      <c r="AJ550" s="52" t="s">
        <v>2498</v>
      </c>
      <c r="AK550" s="53">
        <f t="shared" si="504"/>
        <v>0</v>
      </c>
      <c r="AL550" s="54">
        <f t="shared" si="505"/>
        <v>0.11904761904761904</v>
      </c>
      <c r="AM550" s="54">
        <f t="shared" si="506"/>
        <v>2.3809523809523808E-2</v>
      </c>
      <c r="AN550" s="55">
        <f t="shared" si="507"/>
        <v>0</v>
      </c>
      <c r="AO550" s="55">
        <f t="shared" si="508"/>
        <v>0</v>
      </c>
      <c r="AP550" s="53">
        <v>7.1</v>
      </c>
      <c r="AQ550" s="53">
        <f t="shared" si="476"/>
        <v>4.26</v>
      </c>
      <c r="AR550" s="53">
        <f t="shared" si="477"/>
        <v>21.299999999999997</v>
      </c>
      <c r="AS550" s="56">
        <f t="shared" si="478"/>
        <v>4.6948356807511742E-2</v>
      </c>
      <c r="AT550" s="56">
        <f t="shared" si="509"/>
        <v>0.23474178403755869</v>
      </c>
      <c r="AU550" s="56">
        <f t="shared" si="479"/>
        <v>0.176056338028169</v>
      </c>
      <c r="AV550" s="56">
        <f t="shared" si="510"/>
        <v>5.8685446009389672E-2</v>
      </c>
      <c r="AW550" s="57" t="s">
        <v>2511</v>
      </c>
      <c r="AX550" s="57" t="s">
        <v>2512</v>
      </c>
      <c r="AY550" s="57" t="s">
        <v>2513</v>
      </c>
      <c r="AZ550" s="58">
        <f t="shared" si="511"/>
        <v>0</v>
      </c>
      <c r="BA550" s="59">
        <f t="shared" si="514"/>
        <v>0</v>
      </c>
      <c r="BB550" s="59">
        <f t="shared" si="515"/>
        <v>0</v>
      </c>
      <c r="BC550" s="59">
        <f t="shared" si="516"/>
        <v>0</v>
      </c>
      <c r="BD550" s="60">
        <f t="shared" si="512"/>
        <v>0</v>
      </c>
      <c r="BE550" s="59">
        <f t="shared" si="513"/>
        <v>0</v>
      </c>
      <c r="BQ550" s="61">
        <v>3000</v>
      </c>
      <c r="BR550" s="61">
        <v>1200</v>
      </c>
      <c r="BS550" s="28">
        <f t="shared" si="480"/>
        <v>2980</v>
      </c>
      <c r="BT550" s="28">
        <f t="shared" si="481"/>
        <v>1180</v>
      </c>
      <c r="BU550" s="28" t="s">
        <v>2541</v>
      </c>
      <c r="BV550" s="28">
        <f t="shared" si="482"/>
        <v>5</v>
      </c>
      <c r="BW550" s="28">
        <f t="shared" si="483"/>
        <v>5</v>
      </c>
      <c r="BX550" s="13">
        <f t="shared" si="484"/>
        <v>596</v>
      </c>
      <c r="BY550" s="13">
        <f t="shared" si="485"/>
        <v>596</v>
      </c>
      <c r="BZ550" s="13">
        <f t="shared" si="486"/>
        <v>236</v>
      </c>
      <c r="CA550" s="13">
        <f t="shared" si="487"/>
        <v>236</v>
      </c>
      <c r="CB550" s="13">
        <f t="shared" si="488"/>
        <v>140656</v>
      </c>
      <c r="CC550" s="62" t="str">
        <f t="shared" si="489"/>
        <v/>
      </c>
      <c r="CD550" s="13">
        <f t="shared" si="490"/>
        <v>596</v>
      </c>
      <c r="CE550" s="13">
        <f t="shared" si="491"/>
        <v>596</v>
      </c>
      <c r="CF550" s="13">
        <f t="shared" si="492"/>
        <v>236</v>
      </c>
      <c r="CG550" s="13">
        <f t="shared" si="493"/>
        <v>236</v>
      </c>
      <c r="CH550" s="28">
        <f t="shared" si="494"/>
        <v>140656</v>
      </c>
      <c r="CI550" s="62" t="str">
        <f t="shared" si="495"/>
        <v/>
      </c>
      <c r="CJ550" s="59">
        <f t="shared" si="496"/>
        <v>0</v>
      </c>
      <c r="CL550" s="63">
        <v>6000</v>
      </c>
      <c r="CM550" s="63">
        <f t="shared" si="497"/>
        <v>0</v>
      </c>
      <c r="CN550" s="63">
        <f t="shared" si="498"/>
        <v>5</v>
      </c>
      <c r="CO550" s="63">
        <f t="shared" si="499"/>
        <v>1200</v>
      </c>
      <c r="CP550" s="13">
        <f t="shared" si="500"/>
        <v>1200</v>
      </c>
      <c r="CQ550" s="70">
        <f t="shared" si="501"/>
        <v>8.3333333333333339E-4</v>
      </c>
      <c r="CR550" s="69">
        <f t="shared" si="523"/>
        <v>8.3333333333333339E-4</v>
      </c>
    </row>
    <row r="551" spans="1:96" hidden="1" x14ac:dyDescent="0.25">
      <c r="A551" s="10">
        <v>3</v>
      </c>
      <c r="B551" s="8" t="s">
        <v>1372</v>
      </c>
      <c r="C551" s="10" t="s">
        <v>1373</v>
      </c>
      <c r="D551" s="10" t="s">
        <v>2270</v>
      </c>
      <c r="E551" s="10" t="s">
        <v>52</v>
      </c>
      <c r="F551" s="12">
        <f t="shared" si="470"/>
        <v>1</v>
      </c>
      <c r="G551" s="10">
        <v>1</v>
      </c>
      <c r="H551" s="10">
        <f>G551*$H$550</f>
        <v>1</v>
      </c>
      <c r="I551" s="10">
        <v>1</v>
      </c>
      <c r="J551" s="8" t="s">
        <v>1374</v>
      </c>
      <c r="K551" s="8" t="s">
        <v>34</v>
      </c>
      <c r="L551" s="10">
        <v>0</v>
      </c>
      <c r="M551" s="8" t="s">
        <v>35</v>
      </c>
      <c r="N551" s="10" t="s">
        <v>1375</v>
      </c>
      <c r="O551" s="28" t="s">
        <v>41</v>
      </c>
      <c r="P551" s="28" t="s">
        <v>41</v>
      </c>
      <c r="Q551" s="28" t="s">
        <v>124</v>
      </c>
      <c r="R551" s="30">
        <v>31.257000000000001</v>
      </c>
      <c r="S551" s="30">
        <v>11.945</v>
      </c>
      <c r="T551" s="30"/>
      <c r="U551" s="30">
        <v>9.8000000000000004E-2</v>
      </c>
      <c r="V551" s="8">
        <f t="shared" si="471"/>
        <v>793.92780000000005</v>
      </c>
      <c r="W551" s="8">
        <f t="shared" si="472"/>
        <v>303.40299999999996</v>
      </c>
      <c r="X551" s="8">
        <f t="shared" si="473"/>
        <v>0</v>
      </c>
      <c r="Y551" s="33">
        <f t="shared" si="474"/>
        <v>2.4891999999999999</v>
      </c>
      <c r="Z551" s="28" t="s">
        <v>56</v>
      </c>
      <c r="AA551" s="28" t="s">
        <v>57</v>
      </c>
      <c r="AB551" s="61" t="s">
        <v>124</v>
      </c>
      <c r="AC551" s="31" t="s">
        <v>125</v>
      </c>
      <c r="AD551" s="50">
        <f t="shared" si="475"/>
        <v>1</v>
      </c>
      <c r="AE551" s="47" t="s">
        <v>107</v>
      </c>
      <c r="AF551" s="51">
        <v>14</v>
      </c>
      <c r="AG551" s="51">
        <f t="shared" si="503"/>
        <v>8.4</v>
      </c>
      <c r="AH551" s="51">
        <f t="shared" si="469"/>
        <v>42</v>
      </c>
      <c r="AI551" s="52" t="s">
        <v>2497</v>
      </c>
      <c r="AJ551" s="52" t="s">
        <v>2498</v>
      </c>
      <c r="AK551" s="53">
        <f t="shared" si="504"/>
        <v>0.48176015260679994</v>
      </c>
      <c r="AL551" s="54">
        <f t="shared" si="505"/>
        <v>0.11904761904761904</v>
      </c>
      <c r="AM551" s="54">
        <f t="shared" si="506"/>
        <v>2.3809523809523808E-2</v>
      </c>
      <c r="AN551" s="55">
        <f t="shared" si="507"/>
        <v>5.735239911985713E-2</v>
      </c>
      <c r="AO551" s="55">
        <f t="shared" si="508"/>
        <v>1.1470479823971426E-2</v>
      </c>
      <c r="AP551" s="53">
        <v>7.1</v>
      </c>
      <c r="AQ551" s="53">
        <f t="shared" si="476"/>
        <v>4.26</v>
      </c>
      <c r="AR551" s="53">
        <f t="shared" si="477"/>
        <v>21.299999999999997</v>
      </c>
      <c r="AS551" s="56">
        <f t="shared" si="478"/>
        <v>4.6948356807511742E-2</v>
      </c>
      <c r="AT551" s="56">
        <f t="shared" si="509"/>
        <v>0.23474178403755869</v>
      </c>
      <c r="AU551" s="56">
        <f t="shared" si="479"/>
        <v>0.176056338028169</v>
      </c>
      <c r="AV551" s="56">
        <f t="shared" si="510"/>
        <v>5.8685446009389672E-2</v>
      </c>
      <c r="AW551" s="57" t="s">
        <v>2511</v>
      </c>
      <c r="AX551" s="57" t="s">
        <v>2512</v>
      </c>
      <c r="AY551" s="57" t="s">
        <v>2513</v>
      </c>
      <c r="AZ551" s="58">
        <f t="shared" si="511"/>
        <v>0.48176015260679994</v>
      </c>
      <c r="BA551" s="59">
        <f t="shared" si="514"/>
        <v>1.4136154712640844E-2</v>
      </c>
      <c r="BB551" s="59">
        <f t="shared" si="515"/>
        <v>4.2408464137922527E-2</v>
      </c>
      <c r="BC551" s="59">
        <f t="shared" si="516"/>
        <v>1.1308923770112675E-2</v>
      </c>
      <c r="BD551" s="60">
        <f t="shared" si="512"/>
        <v>0.1111111111111111</v>
      </c>
      <c r="BE551" s="59">
        <f t="shared" si="513"/>
        <v>0.1111111111111111</v>
      </c>
      <c r="BQ551" s="61">
        <v>3000</v>
      </c>
      <c r="BR551" s="61">
        <v>1200</v>
      </c>
      <c r="BS551" s="28">
        <f t="shared" si="480"/>
        <v>2980</v>
      </c>
      <c r="BT551" s="28">
        <f t="shared" si="481"/>
        <v>1180</v>
      </c>
      <c r="BU551" s="28" t="s">
        <v>2541</v>
      </c>
      <c r="BV551" s="28">
        <f t="shared" si="482"/>
        <v>798.92780000000005</v>
      </c>
      <c r="BW551" s="28">
        <f t="shared" si="483"/>
        <v>308.40299999999996</v>
      </c>
      <c r="BX551" s="13">
        <f t="shared" si="484"/>
        <v>3.7299991313357728</v>
      </c>
      <c r="BY551" s="13">
        <f t="shared" si="485"/>
        <v>3</v>
      </c>
      <c r="BZ551" s="13">
        <f t="shared" si="486"/>
        <v>3.8261625211168506</v>
      </c>
      <c r="CA551" s="13">
        <f t="shared" si="487"/>
        <v>3</v>
      </c>
      <c r="CB551" s="13">
        <f t="shared" si="488"/>
        <v>9</v>
      </c>
      <c r="CC551" s="62">
        <f t="shared" si="489"/>
        <v>0.1111111111111111</v>
      </c>
      <c r="CD551" s="13">
        <f t="shared" si="490"/>
        <v>9.662681621125607</v>
      </c>
      <c r="CE551" s="13">
        <f t="shared" si="491"/>
        <v>9</v>
      </c>
      <c r="CF551" s="13">
        <f t="shared" si="492"/>
        <v>1.4769795218040978</v>
      </c>
      <c r="CG551" s="13">
        <f t="shared" si="493"/>
        <v>1</v>
      </c>
      <c r="CH551" s="28">
        <f t="shared" si="494"/>
        <v>9</v>
      </c>
      <c r="CI551" s="62">
        <f t="shared" si="495"/>
        <v>0.1111111111111111</v>
      </c>
      <c r="CJ551" s="59">
        <f t="shared" si="496"/>
        <v>0.1111111111111111</v>
      </c>
      <c r="CL551" s="63">
        <v>6000</v>
      </c>
      <c r="CM551" s="63">
        <f t="shared" si="497"/>
        <v>793.92780000000005</v>
      </c>
      <c r="CN551" s="63">
        <f t="shared" si="498"/>
        <v>798.92780000000005</v>
      </c>
      <c r="CO551" s="63">
        <f t="shared" si="499"/>
        <v>7.5100653651055822</v>
      </c>
      <c r="CP551" s="13">
        <f t="shared" si="500"/>
        <v>7</v>
      </c>
      <c r="CQ551" s="70">
        <f t="shared" si="501"/>
        <v>0.14285714285714285</v>
      </c>
      <c r="CR551" s="69">
        <f t="shared" si="523"/>
        <v>0.14285714285714285</v>
      </c>
    </row>
    <row r="552" spans="1:96" hidden="1" x14ac:dyDescent="0.25">
      <c r="A552" s="10">
        <v>3</v>
      </c>
      <c r="B552" s="8" t="s">
        <v>1372</v>
      </c>
      <c r="C552" s="10" t="s">
        <v>1376</v>
      </c>
      <c r="D552" s="10" t="s">
        <v>1377</v>
      </c>
      <c r="E552" s="10" t="s">
        <v>52</v>
      </c>
      <c r="F552" s="12">
        <f t="shared" si="470"/>
        <v>1</v>
      </c>
      <c r="G552" s="10">
        <v>3</v>
      </c>
      <c r="H552" s="10">
        <f t="shared" ref="H552:H553" si="524">G552*$H$550</f>
        <v>3</v>
      </c>
      <c r="I552" s="10">
        <v>2</v>
      </c>
      <c r="J552" s="8" t="s">
        <v>76</v>
      </c>
      <c r="K552" s="8" t="s">
        <v>34</v>
      </c>
      <c r="L552" s="10" t="s">
        <v>77</v>
      </c>
      <c r="M552" s="8" t="s">
        <v>35</v>
      </c>
      <c r="N552" s="10" t="s">
        <v>1377</v>
      </c>
      <c r="O552" s="28" t="s">
        <v>41</v>
      </c>
      <c r="P552" s="28" t="s">
        <v>41</v>
      </c>
      <c r="Q552" s="28" t="s">
        <v>79</v>
      </c>
      <c r="R552" s="30">
        <v>13.110236220472443</v>
      </c>
      <c r="S552" s="30">
        <v>0.3125</v>
      </c>
      <c r="T552" s="30"/>
      <c r="U552" s="30">
        <v>0.3125</v>
      </c>
      <c r="V552" s="8">
        <f t="shared" si="471"/>
        <v>333</v>
      </c>
      <c r="W552" s="8">
        <f t="shared" si="472"/>
        <v>7.9375</v>
      </c>
      <c r="X552" s="8">
        <f t="shared" si="473"/>
        <v>0</v>
      </c>
      <c r="Y552" s="33">
        <f t="shared" si="474"/>
        <v>7.9375</v>
      </c>
      <c r="Z552" s="28" t="s">
        <v>80</v>
      </c>
      <c r="AA552" s="28" t="s">
        <v>81</v>
      </c>
      <c r="AB552" s="61" t="s">
        <v>79</v>
      </c>
      <c r="AC552" s="31" t="s">
        <v>82</v>
      </c>
      <c r="AD552" s="50">
        <f t="shared" si="475"/>
        <v>3</v>
      </c>
      <c r="AE552" s="31"/>
      <c r="AF552" s="51">
        <v>14</v>
      </c>
      <c r="AG552" s="51">
        <f t="shared" si="503"/>
        <v>8.4</v>
      </c>
      <c r="AH552" s="51">
        <f t="shared" si="469"/>
        <v>42</v>
      </c>
      <c r="AI552" s="52" t="s">
        <v>2497</v>
      </c>
      <c r="AJ552" s="52" t="s">
        <v>2498</v>
      </c>
      <c r="AK552" s="53">
        <f t="shared" si="504"/>
        <v>5.2863750000000003E-3</v>
      </c>
      <c r="AL552" s="54">
        <f t="shared" si="505"/>
        <v>0.11904761904761904</v>
      </c>
      <c r="AM552" s="54">
        <f t="shared" si="506"/>
        <v>2.3809523809523808E-2</v>
      </c>
      <c r="AN552" s="55">
        <f t="shared" si="507"/>
        <v>1.8879910714285715E-3</v>
      </c>
      <c r="AO552" s="55">
        <f t="shared" si="508"/>
        <v>3.7759821428571427E-4</v>
      </c>
      <c r="AP552" s="53">
        <v>7.1</v>
      </c>
      <c r="AQ552" s="53">
        <f t="shared" si="476"/>
        <v>4.26</v>
      </c>
      <c r="AR552" s="53">
        <f t="shared" si="477"/>
        <v>21.299999999999997</v>
      </c>
      <c r="AS552" s="56">
        <f t="shared" si="478"/>
        <v>4.6948356807511742E-2</v>
      </c>
      <c r="AT552" s="56">
        <f t="shared" si="509"/>
        <v>0.23474178403755869</v>
      </c>
      <c r="AU552" s="56">
        <f t="shared" si="479"/>
        <v>0.176056338028169</v>
      </c>
      <c r="AV552" s="56">
        <f t="shared" si="510"/>
        <v>5.8685446009389672E-2</v>
      </c>
      <c r="AW552" s="57" t="s">
        <v>2511</v>
      </c>
      <c r="AX552" s="57" t="s">
        <v>2512</v>
      </c>
      <c r="AY552" s="57" t="s">
        <v>2513</v>
      </c>
      <c r="AZ552" s="58">
        <f t="shared" si="511"/>
        <v>5.2863750000000003E-3</v>
      </c>
      <c r="BA552" s="59">
        <f t="shared" si="514"/>
        <v>4.65349911971831E-4</v>
      </c>
      <c r="BB552" s="59">
        <f t="shared" si="515"/>
        <v>1.3960497359154929E-3</v>
      </c>
      <c r="BC552" s="59">
        <f t="shared" si="516"/>
        <v>3.722799295774648E-4</v>
      </c>
      <c r="BD552" s="60">
        <f t="shared" si="512"/>
        <v>1.3736263736263737E-3</v>
      </c>
      <c r="BE552" s="59">
        <f t="shared" si="513"/>
        <v>4.120879120879121E-3</v>
      </c>
      <c r="BQ552" s="61">
        <v>3000</v>
      </c>
      <c r="BR552" s="61">
        <v>1200</v>
      </c>
      <c r="BS552" s="28">
        <f t="shared" si="480"/>
        <v>2980</v>
      </c>
      <c r="BT552" s="28">
        <f t="shared" si="481"/>
        <v>1180</v>
      </c>
      <c r="BU552" s="28" t="s">
        <v>2541</v>
      </c>
      <c r="BV552" s="28">
        <f t="shared" si="482"/>
        <v>338</v>
      </c>
      <c r="BW552" s="28">
        <f t="shared" si="483"/>
        <v>12.9375</v>
      </c>
      <c r="BX552" s="13">
        <f t="shared" si="484"/>
        <v>8.8165680473372774</v>
      </c>
      <c r="BY552" s="13">
        <f t="shared" si="485"/>
        <v>8</v>
      </c>
      <c r="BZ552" s="13">
        <f t="shared" si="486"/>
        <v>91.207729468599027</v>
      </c>
      <c r="CA552" s="13">
        <f t="shared" si="487"/>
        <v>91</v>
      </c>
      <c r="CB552" s="13">
        <f t="shared" si="488"/>
        <v>728</v>
      </c>
      <c r="CC552" s="62">
        <f t="shared" si="489"/>
        <v>1.3736263736263737E-3</v>
      </c>
      <c r="CD552" s="13">
        <f t="shared" si="490"/>
        <v>230.33816425120773</v>
      </c>
      <c r="CE552" s="13">
        <f t="shared" si="491"/>
        <v>230</v>
      </c>
      <c r="CF552" s="13">
        <f t="shared" si="492"/>
        <v>3.4911242603550297</v>
      </c>
      <c r="CG552" s="13">
        <f t="shared" si="493"/>
        <v>3</v>
      </c>
      <c r="CH552" s="28">
        <f t="shared" si="494"/>
        <v>690</v>
      </c>
      <c r="CI552" s="62">
        <f t="shared" si="495"/>
        <v>1.4492753623188406E-3</v>
      </c>
      <c r="CJ552" s="59">
        <f t="shared" si="496"/>
        <v>1.3736263736263737E-3</v>
      </c>
      <c r="CL552" s="63">
        <v>6000</v>
      </c>
      <c r="CM552" s="63">
        <f t="shared" si="497"/>
        <v>333</v>
      </c>
      <c r="CN552" s="63">
        <f t="shared" si="498"/>
        <v>338</v>
      </c>
      <c r="CO552" s="63">
        <f t="shared" si="499"/>
        <v>17.751479289940828</v>
      </c>
      <c r="CP552" s="13">
        <f t="shared" si="500"/>
        <v>17</v>
      </c>
      <c r="CQ552" s="70">
        <f t="shared" si="501"/>
        <v>5.8823529411764705E-2</v>
      </c>
      <c r="CR552" s="69">
        <f t="shared" si="523"/>
        <v>0.1764705882352941</v>
      </c>
    </row>
    <row r="553" spans="1:96" hidden="1" x14ac:dyDescent="0.25">
      <c r="A553" s="10">
        <v>3</v>
      </c>
      <c r="B553" s="8" t="s">
        <v>1372</v>
      </c>
      <c r="C553" s="10" t="s">
        <v>1378</v>
      </c>
      <c r="D553" s="10" t="s">
        <v>2270</v>
      </c>
      <c r="E553" s="10" t="s">
        <v>32</v>
      </c>
      <c r="F553" s="12">
        <f t="shared" si="470"/>
        <v>1</v>
      </c>
      <c r="G553" s="10">
        <v>1</v>
      </c>
      <c r="H553" s="10">
        <f t="shared" si="524"/>
        <v>1</v>
      </c>
      <c r="I553" s="10">
        <v>3</v>
      </c>
      <c r="J553" s="8" t="s">
        <v>1379</v>
      </c>
      <c r="K553" s="8" t="s">
        <v>34</v>
      </c>
      <c r="L553" s="10">
        <v>0</v>
      </c>
      <c r="M553" s="8" t="s">
        <v>35</v>
      </c>
      <c r="N553" s="10" t="s">
        <v>1380</v>
      </c>
      <c r="O553" s="28" t="s">
        <v>41</v>
      </c>
      <c r="P553" s="28" t="s">
        <v>41</v>
      </c>
      <c r="Q553" s="28"/>
      <c r="R553" s="30"/>
      <c r="S553" s="30"/>
      <c r="T553" s="30"/>
      <c r="U553" s="30"/>
      <c r="V553" s="8">
        <f t="shared" si="471"/>
        <v>0</v>
      </c>
      <c r="W553" s="8">
        <f t="shared" si="472"/>
        <v>0</v>
      </c>
      <c r="X553" s="8">
        <f t="shared" si="473"/>
        <v>0</v>
      </c>
      <c r="Y553" s="33">
        <f t="shared" si="474"/>
        <v>0</v>
      </c>
      <c r="Z553" s="28"/>
      <c r="AA553" s="28"/>
      <c r="AB553" s="28">
        <v>0</v>
      </c>
      <c r="AC553" s="31"/>
      <c r="AD553" s="50">
        <f t="shared" si="475"/>
        <v>1</v>
      </c>
      <c r="AE553" s="31"/>
      <c r="AF553" s="51">
        <v>14</v>
      </c>
      <c r="AG553" s="51">
        <f t="shared" si="503"/>
        <v>8.4</v>
      </c>
      <c r="AH553" s="51">
        <f t="shared" si="469"/>
        <v>42</v>
      </c>
      <c r="AI553" s="52" t="s">
        <v>2497</v>
      </c>
      <c r="AJ553" s="52" t="s">
        <v>2498</v>
      </c>
      <c r="AK553" s="53">
        <f t="shared" si="504"/>
        <v>0</v>
      </c>
      <c r="AL553" s="54">
        <f t="shared" si="505"/>
        <v>0.11904761904761904</v>
      </c>
      <c r="AM553" s="54">
        <f t="shared" si="506"/>
        <v>2.3809523809523808E-2</v>
      </c>
      <c r="AN553" s="55">
        <f t="shared" si="507"/>
        <v>0</v>
      </c>
      <c r="AO553" s="55">
        <f t="shared" si="508"/>
        <v>0</v>
      </c>
      <c r="AP553" s="53">
        <v>7.1</v>
      </c>
      <c r="AQ553" s="53">
        <f t="shared" si="476"/>
        <v>4.26</v>
      </c>
      <c r="AR553" s="53">
        <f t="shared" si="477"/>
        <v>21.299999999999997</v>
      </c>
      <c r="AS553" s="56">
        <f t="shared" si="478"/>
        <v>4.6948356807511742E-2</v>
      </c>
      <c r="AT553" s="56">
        <f t="shared" si="509"/>
        <v>0.23474178403755869</v>
      </c>
      <c r="AU553" s="56">
        <f t="shared" si="479"/>
        <v>0.176056338028169</v>
      </c>
      <c r="AV553" s="56">
        <f t="shared" si="510"/>
        <v>5.8685446009389672E-2</v>
      </c>
      <c r="AW553" s="57" t="s">
        <v>2511</v>
      </c>
      <c r="AX553" s="57" t="s">
        <v>2512</v>
      </c>
      <c r="AY553" s="57" t="s">
        <v>2513</v>
      </c>
      <c r="AZ553" s="58">
        <f t="shared" si="511"/>
        <v>0</v>
      </c>
      <c r="BA553" s="59">
        <f t="shared" si="514"/>
        <v>0</v>
      </c>
      <c r="BB553" s="59">
        <f t="shared" si="515"/>
        <v>0</v>
      </c>
      <c r="BC553" s="59">
        <f t="shared" si="516"/>
        <v>0</v>
      </c>
      <c r="BD553" s="60">
        <f t="shared" si="512"/>
        <v>0</v>
      </c>
      <c r="BE553" s="59">
        <f t="shared" si="513"/>
        <v>0</v>
      </c>
      <c r="BQ553" s="61">
        <v>3000</v>
      </c>
      <c r="BR553" s="61">
        <v>1200</v>
      </c>
      <c r="BS553" s="28">
        <f t="shared" si="480"/>
        <v>2980</v>
      </c>
      <c r="BT553" s="28">
        <f t="shared" si="481"/>
        <v>1180</v>
      </c>
      <c r="BU553" s="28" t="s">
        <v>2541</v>
      </c>
      <c r="BV553" s="28">
        <f t="shared" si="482"/>
        <v>5</v>
      </c>
      <c r="BW553" s="28">
        <f t="shared" si="483"/>
        <v>5</v>
      </c>
      <c r="BX553" s="13">
        <f t="shared" si="484"/>
        <v>596</v>
      </c>
      <c r="BY553" s="13">
        <f t="shared" si="485"/>
        <v>596</v>
      </c>
      <c r="BZ553" s="13">
        <f t="shared" si="486"/>
        <v>236</v>
      </c>
      <c r="CA553" s="13">
        <f t="shared" si="487"/>
        <v>236</v>
      </c>
      <c r="CB553" s="13">
        <f t="shared" si="488"/>
        <v>140656</v>
      </c>
      <c r="CC553" s="62" t="str">
        <f t="shared" si="489"/>
        <v/>
      </c>
      <c r="CD553" s="13">
        <f t="shared" si="490"/>
        <v>596</v>
      </c>
      <c r="CE553" s="13">
        <f t="shared" si="491"/>
        <v>596</v>
      </c>
      <c r="CF553" s="13">
        <f t="shared" si="492"/>
        <v>236</v>
      </c>
      <c r="CG553" s="13">
        <f t="shared" si="493"/>
        <v>236</v>
      </c>
      <c r="CH553" s="28">
        <f t="shared" si="494"/>
        <v>140656</v>
      </c>
      <c r="CI553" s="62" t="str">
        <f t="shared" si="495"/>
        <v/>
      </c>
      <c r="CJ553" s="59">
        <f t="shared" si="496"/>
        <v>0</v>
      </c>
      <c r="CL553" s="63">
        <v>6000</v>
      </c>
      <c r="CM553" s="63">
        <f t="shared" si="497"/>
        <v>0</v>
      </c>
      <c r="CN553" s="63">
        <f t="shared" si="498"/>
        <v>5</v>
      </c>
      <c r="CO553" s="63">
        <f t="shared" si="499"/>
        <v>1200</v>
      </c>
      <c r="CP553" s="13">
        <f t="shared" si="500"/>
        <v>1200</v>
      </c>
      <c r="CQ553" s="70">
        <f t="shared" si="501"/>
        <v>8.3333333333333339E-4</v>
      </c>
      <c r="CR553" s="69">
        <f t="shared" si="523"/>
        <v>8.3333333333333339E-4</v>
      </c>
    </row>
    <row r="554" spans="1:96" hidden="1" x14ac:dyDescent="0.25">
      <c r="A554" s="13">
        <v>4</v>
      </c>
      <c r="B554" s="14" t="s">
        <v>1381</v>
      </c>
      <c r="C554" s="13" t="s">
        <v>1382</v>
      </c>
      <c r="D554" s="13" t="s">
        <v>2270</v>
      </c>
      <c r="E554" s="13" t="s">
        <v>52</v>
      </c>
      <c r="F554" s="15">
        <f t="shared" si="470"/>
        <v>1</v>
      </c>
      <c r="G554" s="13">
        <v>1</v>
      </c>
      <c r="H554" s="13">
        <f>G554*$H$553</f>
        <v>1</v>
      </c>
      <c r="I554" s="13">
        <v>1</v>
      </c>
      <c r="J554" s="14" t="s">
        <v>1379</v>
      </c>
      <c r="K554" s="14" t="s">
        <v>34</v>
      </c>
      <c r="L554" s="13">
        <v>0</v>
      </c>
      <c r="M554" s="14" t="s">
        <v>35</v>
      </c>
      <c r="N554" s="13" t="s">
        <v>1383</v>
      </c>
      <c r="O554" s="28" t="s">
        <v>41</v>
      </c>
      <c r="P554" s="28" t="s">
        <v>41</v>
      </c>
      <c r="Q554" s="28" t="s">
        <v>116</v>
      </c>
      <c r="R554" s="30">
        <v>15.526999999999999</v>
      </c>
      <c r="S554" s="30">
        <v>9.7170000000000005</v>
      </c>
      <c r="T554" s="30"/>
      <c r="U554" s="30">
        <v>0.11799999999999999</v>
      </c>
      <c r="V554" s="8">
        <f t="shared" si="471"/>
        <v>394.38579999999996</v>
      </c>
      <c r="W554" s="8">
        <f t="shared" si="472"/>
        <v>246.81180000000001</v>
      </c>
      <c r="X554" s="8">
        <f t="shared" si="473"/>
        <v>0</v>
      </c>
      <c r="Y554" s="33">
        <f t="shared" si="474"/>
        <v>2.9971999999999999</v>
      </c>
      <c r="Z554" s="28" t="s">
        <v>56</v>
      </c>
      <c r="AA554" s="28" t="s">
        <v>57</v>
      </c>
      <c r="AB554" s="28" t="s">
        <v>116</v>
      </c>
      <c r="AC554" s="31" t="s">
        <v>117</v>
      </c>
      <c r="AD554" s="50">
        <f t="shared" si="475"/>
        <v>1</v>
      </c>
      <c r="AE554" s="47" t="s">
        <v>107</v>
      </c>
      <c r="AF554" s="51">
        <v>14</v>
      </c>
      <c r="AG554" s="51">
        <f t="shared" si="503"/>
        <v>8.4</v>
      </c>
      <c r="AH554" s="51">
        <f t="shared" si="469"/>
        <v>42</v>
      </c>
      <c r="AI554" s="52" t="s">
        <v>2497</v>
      </c>
      <c r="AJ554" s="52" t="s">
        <v>2498</v>
      </c>
      <c r="AK554" s="53">
        <f t="shared" si="504"/>
        <v>0.19467813838487996</v>
      </c>
      <c r="AL554" s="54">
        <f t="shared" si="505"/>
        <v>0.11904761904761904</v>
      </c>
      <c r="AM554" s="54">
        <f t="shared" si="506"/>
        <v>2.3809523809523808E-2</v>
      </c>
      <c r="AN554" s="55">
        <f t="shared" si="507"/>
        <v>2.317596885534285E-2</v>
      </c>
      <c r="AO554" s="55">
        <f t="shared" si="508"/>
        <v>4.6351937710685702E-3</v>
      </c>
      <c r="AP554" s="53">
        <v>7.1</v>
      </c>
      <c r="AQ554" s="53">
        <f t="shared" si="476"/>
        <v>4.26</v>
      </c>
      <c r="AR554" s="53">
        <f t="shared" si="477"/>
        <v>21.299999999999997</v>
      </c>
      <c r="AS554" s="56">
        <f t="shared" si="478"/>
        <v>4.6948356807511742E-2</v>
      </c>
      <c r="AT554" s="56">
        <f t="shared" si="509"/>
        <v>0.23474178403755869</v>
      </c>
      <c r="AU554" s="56">
        <f t="shared" si="479"/>
        <v>0.176056338028169</v>
      </c>
      <c r="AV554" s="56">
        <f t="shared" si="510"/>
        <v>5.8685446009389672E-2</v>
      </c>
      <c r="AW554" s="57" t="s">
        <v>2511</v>
      </c>
      <c r="AX554" s="57" t="s">
        <v>2512</v>
      </c>
      <c r="AY554" s="57" t="s">
        <v>2513</v>
      </c>
      <c r="AZ554" s="58">
        <f t="shared" si="511"/>
        <v>0.19467813838487996</v>
      </c>
      <c r="BA554" s="59">
        <f t="shared" si="514"/>
        <v>5.712386689697182E-3</v>
      </c>
      <c r="BB554" s="59">
        <f t="shared" si="515"/>
        <v>1.7137160069091543E-2</v>
      </c>
      <c r="BC554" s="59">
        <f t="shared" si="516"/>
        <v>4.5699093517577458E-3</v>
      </c>
      <c r="BD554" s="60">
        <f t="shared" si="512"/>
        <v>3.5714285714285712E-2</v>
      </c>
      <c r="BE554" s="59">
        <f t="shared" si="513"/>
        <v>3.5714285714285712E-2</v>
      </c>
      <c r="BQ554" s="61">
        <v>3000</v>
      </c>
      <c r="BR554" s="61">
        <v>1200</v>
      </c>
      <c r="BS554" s="28">
        <f t="shared" si="480"/>
        <v>2980</v>
      </c>
      <c r="BT554" s="28">
        <f t="shared" si="481"/>
        <v>1180</v>
      </c>
      <c r="BU554" s="28" t="s">
        <v>2541</v>
      </c>
      <c r="BV554" s="28">
        <f t="shared" si="482"/>
        <v>399.38579999999996</v>
      </c>
      <c r="BW554" s="28">
        <f t="shared" si="483"/>
        <v>251.81180000000001</v>
      </c>
      <c r="BX554" s="13">
        <f t="shared" si="484"/>
        <v>7.4614570673268812</v>
      </c>
      <c r="BY554" s="13">
        <f t="shared" si="485"/>
        <v>7</v>
      </c>
      <c r="BZ554" s="13">
        <f t="shared" si="486"/>
        <v>4.6860393357261252</v>
      </c>
      <c r="CA554" s="13">
        <f t="shared" si="487"/>
        <v>4</v>
      </c>
      <c r="CB554" s="13">
        <f t="shared" si="488"/>
        <v>28</v>
      </c>
      <c r="CC554" s="62">
        <f t="shared" si="489"/>
        <v>3.5714285714285712E-2</v>
      </c>
      <c r="CD554" s="13">
        <f t="shared" si="490"/>
        <v>11.834234932596486</v>
      </c>
      <c r="CE554" s="13">
        <f t="shared" si="491"/>
        <v>11</v>
      </c>
      <c r="CF554" s="13">
        <f t="shared" si="492"/>
        <v>2.9545366910891677</v>
      </c>
      <c r="CG554" s="13">
        <f t="shared" si="493"/>
        <v>2</v>
      </c>
      <c r="CH554" s="28">
        <f t="shared" si="494"/>
        <v>22</v>
      </c>
      <c r="CI554" s="62">
        <f t="shared" si="495"/>
        <v>4.5454545454545456E-2</v>
      </c>
      <c r="CJ554" s="59">
        <f t="shared" si="496"/>
        <v>3.5714285714285712E-2</v>
      </c>
      <c r="CL554" s="63">
        <v>6000</v>
      </c>
      <c r="CM554" s="63">
        <f t="shared" si="497"/>
        <v>394.38579999999996</v>
      </c>
      <c r="CN554" s="63">
        <f t="shared" si="498"/>
        <v>399.38579999999996</v>
      </c>
      <c r="CO554" s="63">
        <f t="shared" si="499"/>
        <v>15.023067920792379</v>
      </c>
      <c r="CP554" s="13">
        <f t="shared" si="500"/>
        <v>15</v>
      </c>
      <c r="CQ554" s="70">
        <f t="shared" si="501"/>
        <v>6.6666666666666666E-2</v>
      </c>
      <c r="CR554" s="69">
        <f t="shared" si="523"/>
        <v>6.6666666666666666E-2</v>
      </c>
    </row>
    <row r="555" spans="1:96" hidden="1" x14ac:dyDescent="0.25">
      <c r="A555" s="13">
        <v>4</v>
      </c>
      <c r="B555" s="14" t="s">
        <v>1381</v>
      </c>
      <c r="C555" s="13" t="s">
        <v>1384</v>
      </c>
      <c r="D555" s="13" t="s">
        <v>2270</v>
      </c>
      <c r="E555" s="13" t="s">
        <v>52</v>
      </c>
      <c r="F555" s="15">
        <f t="shared" si="470"/>
        <v>1</v>
      </c>
      <c r="G555" s="13">
        <v>2</v>
      </c>
      <c r="H555" s="13">
        <f>G555*$H$553</f>
        <v>2</v>
      </c>
      <c r="I555" s="13">
        <v>2</v>
      </c>
      <c r="J555" s="14" t="s">
        <v>1385</v>
      </c>
      <c r="K555" s="14" t="s">
        <v>34</v>
      </c>
      <c r="L555" s="13" t="s">
        <v>1386</v>
      </c>
      <c r="M555" s="14" t="s">
        <v>35</v>
      </c>
      <c r="N555" s="13" t="s">
        <v>1387</v>
      </c>
      <c r="O555" s="28" t="s">
        <v>41</v>
      </c>
      <c r="P555" s="28" t="s">
        <v>41</v>
      </c>
      <c r="Q555" s="28"/>
      <c r="R555" s="30"/>
      <c r="S555" s="30"/>
      <c r="T555" s="30"/>
      <c r="U555" s="30"/>
      <c r="V555" s="8">
        <f t="shared" si="471"/>
        <v>0</v>
      </c>
      <c r="W555" s="8">
        <f t="shared" si="472"/>
        <v>0</v>
      </c>
      <c r="X555" s="8">
        <f t="shared" si="473"/>
        <v>0</v>
      </c>
      <c r="Y555" s="33">
        <f t="shared" si="474"/>
        <v>0</v>
      </c>
      <c r="Z555" s="28"/>
      <c r="AA555" s="28"/>
      <c r="AB555" s="28">
        <v>0</v>
      </c>
      <c r="AC555" s="31"/>
      <c r="AD555" s="50">
        <f t="shared" si="475"/>
        <v>2</v>
      </c>
      <c r="AE555" s="31"/>
      <c r="AF555" s="51">
        <v>14</v>
      </c>
      <c r="AG555" s="51">
        <f t="shared" si="503"/>
        <v>8.4</v>
      </c>
      <c r="AH555" s="51">
        <f t="shared" si="469"/>
        <v>42</v>
      </c>
      <c r="AI555" s="52" t="s">
        <v>2497</v>
      </c>
      <c r="AJ555" s="52" t="s">
        <v>2498</v>
      </c>
      <c r="AK555" s="53">
        <f t="shared" si="504"/>
        <v>0</v>
      </c>
      <c r="AL555" s="54">
        <f t="shared" si="505"/>
        <v>0.11904761904761904</v>
      </c>
      <c r="AM555" s="54">
        <f t="shared" si="506"/>
        <v>2.3809523809523808E-2</v>
      </c>
      <c r="AN555" s="55">
        <f t="shared" si="507"/>
        <v>0</v>
      </c>
      <c r="AO555" s="55">
        <f t="shared" si="508"/>
        <v>0</v>
      </c>
      <c r="AP555" s="53">
        <v>7.1</v>
      </c>
      <c r="AQ555" s="53">
        <f t="shared" si="476"/>
        <v>4.26</v>
      </c>
      <c r="AR555" s="53">
        <f t="shared" si="477"/>
        <v>21.299999999999997</v>
      </c>
      <c r="AS555" s="56">
        <f t="shared" si="478"/>
        <v>4.6948356807511742E-2</v>
      </c>
      <c r="AT555" s="56">
        <f t="shared" si="509"/>
        <v>0.23474178403755869</v>
      </c>
      <c r="AU555" s="56">
        <f t="shared" si="479"/>
        <v>0.176056338028169</v>
      </c>
      <c r="AV555" s="56">
        <f t="shared" si="510"/>
        <v>5.8685446009389672E-2</v>
      </c>
      <c r="AW555" s="57" t="s">
        <v>2511</v>
      </c>
      <c r="AX555" s="57" t="s">
        <v>2512</v>
      </c>
      <c r="AY555" s="57" t="s">
        <v>2513</v>
      </c>
      <c r="AZ555" s="58">
        <f t="shared" si="511"/>
        <v>0</v>
      </c>
      <c r="BA555" s="59">
        <f t="shared" si="514"/>
        <v>0</v>
      </c>
      <c r="BB555" s="59">
        <f t="shared" si="515"/>
        <v>0</v>
      </c>
      <c r="BC555" s="59">
        <f t="shared" si="516"/>
        <v>0</v>
      </c>
      <c r="BD555" s="60">
        <f t="shared" si="512"/>
        <v>7.1095438516664771E-6</v>
      </c>
      <c r="BE555" s="59">
        <f t="shared" si="513"/>
        <v>1.4219087703332954E-5</v>
      </c>
      <c r="BQ555" s="61">
        <v>3000</v>
      </c>
      <c r="BR555" s="61">
        <v>1200</v>
      </c>
      <c r="BS555" s="28">
        <f t="shared" si="480"/>
        <v>2980</v>
      </c>
      <c r="BT555" s="28">
        <f t="shared" si="481"/>
        <v>1180</v>
      </c>
      <c r="BU555" s="28" t="s">
        <v>2541</v>
      </c>
      <c r="BV555" s="28">
        <f t="shared" si="482"/>
        <v>5</v>
      </c>
      <c r="BW555" s="28">
        <f t="shared" si="483"/>
        <v>5</v>
      </c>
      <c r="BX555" s="13">
        <f t="shared" si="484"/>
        <v>596</v>
      </c>
      <c r="BY555" s="13">
        <f t="shared" si="485"/>
        <v>596</v>
      </c>
      <c r="BZ555" s="13">
        <f t="shared" si="486"/>
        <v>236</v>
      </c>
      <c r="CA555" s="13">
        <f t="shared" si="487"/>
        <v>236</v>
      </c>
      <c r="CB555" s="13">
        <f t="shared" si="488"/>
        <v>140656</v>
      </c>
      <c r="CC555" s="62">
        <f t="shared" si="489"/>
        <v>7.1095438516664771E-6</v>
      </c>
      <c r="CD555" s="13">
        <f t="shared" si="490"/>
        <v>596</v>
      </c>
      <c r="CE555" s="13">
        <f t="shared" si="491"/>
        <v>596</v>
      </c>
      <c r="CF555" s="13">
        <f t="shared" si="492"/>
        <v>236</v>
      </c>
      <c r="CG555" s="13">
        <f t="shared" si="493"/>
        <v>236</v>
      </c>
      <c r="CH555" s="28">
        <f t="shared" si="494"/>
        <v>140656</v>
      </c>
      <c r="CI555" s="62">
        <f t="shared" si="495"/>
        <v>7.1095438516664771E-6</v>
      </c>
      <c r="CJ555" s="59">
        <f t="shared" si="496"/>
        <v>7.1095438516664771E-6</v>
      </c>
      <c r="CL555" s="63">
        <v>6000</v>
      </c>
      <c r="CM555" s="63">
        <f t="shared" si="497"/>
        <v>0</v>
      </c>
      <c r="CN555" s="63">
        <f t="shared" si="498"/>
        <v>5</v>
      </c>
      <c r="CO555" s="63">
        <f t="shared" si="499"/>
        <v>1200</v>
      </c>
      <c r="CP555" s="13">
        <f t="shared" si="500"/>
        <v>1200</v>
      </c>
      <c r="CQ555" s="70">
        <f t="shared" si="501"/>
        <v>8.3333333333333339E-4</v>
      </c>
      <c r="CR555" s="69">
        <f t="shared" si="523"/>
        <v>1.6666666666666668E-3</v>
      </c>
    </row>
    <row r="556" spans="1:96" hidden="1" x14ac:dyDescent="0.25">
      <c r="A556" s="17">
        <v>5</v>
      </c>
      <c r="B556" s="6" t="s">
        <v>1388</v>
      </c>
      <c r="C556" s="17" t="s">
        <v>1389</v>
      </c>
      <c r="D556" s="17" t="s">
        <v>2270</v>
      </c>
      <c r="E556" s="17" t="s">
        <v>52</v>
      </c>
      <c r="F556" s="7">
        <f t="shared" si="470"/>
        <v>1</v>
      </c>
      <c r="G556" s="17">
        <v>1</v>
      </c>
      <c r="H556" s="17">
        <f>G556*$H$555</f>
        <v>2</v>
      </c>
      <c r="I556" s="17">
        <v>8</v>
      </c>
      <c r="J556" s="6" t="s">
        <v>1390</v>
      </c>
      <c r="K556" s="6" t="s">
        <v>34</v>
      </c>
      <c r="L556" s="17" t="s">
        <v>1391</v>
      </c>
      <c r="M556" s="6" t="s">
        <v>35</v>
      </c>
      <c r="N556" s="17" t="s">
        <v>1392</v>
      </c>
      <c r="O556" s="28" t="s">
        <v>41</v>
      </c>
      <c r="P556" s="28" t="s">
        <v>41</v>
      </c>
      <c r="Q556" s="28"/>
      <c r="R556" s="30"/>
      <c r="S556" s="30"/>
      <c r="T556" s="30"/>
      <c r="U556" s="30"/>
      <c r="V556" s="8">
        <f t="shared" si="471"/>
        <v>0</v>
      </c>
      <c r="W556" s="8">
        <f t="shared" si="472"/>
        <v>0</v>
      </c>
      <c r="X556" s="8">
        <f t="shared" si="473"/>
        <v>0</v>
      </c>
      <c r="Y556" s="33">
        <f t="shared" si="474"/>
        <v>0</v>
      </c>
      <c r="Z556" s="28"/>
      <c r="AA556" s="28"/>
      <c r="AB556" s="28">
        <v>0</v>
      </c>
      <c r="AC556" s="31"/>
      <c r="AD556" s="50">
        <f t="shared" si="475"/>
        <v>2</v>
      </c>
      <c r="AE556" s="31"/>
      <c r="AF556" s="51">
        <v>14</v>
      </c>
      <c r="AG556" s="51">
        <f t="shared" si="503"/>
        <v>8.4</v>
      </c>
      <c r="AH556" s="51">
        <f t="shared" si="469"/>
        <v>42</v>
      </c>
      <c r="AI556" s="52" t="s">
        <v>2497</v>
      </c>
      <c r="AJ556" s="52" t="s">
        <v>2498</v>
      </c>
      <c r="AK556" s="53">
        <f t="shared" si="504"/>
        <v>0</v>
      </c>
      <c r="AL556" s="54">
        <f t="shared" si="505"/>
        <v>0.11904761904761904</v>
      </c>
      <c r="AM556" s="54">
        <f t="shared" si="506"/>
        <v>2.3809523809523808E-2</v>
      </c>
      <c r="AN556" s="55">
        <f t="shared" si="507"/>
        <v>0</v>
      </c>
      <c r="AO556" s="55">
        <f t="shared" si="508"/>
        <v>0</v>
      </c>
      <c r="AP556" s="53">
        <v>7.1</v>
      </c>
      <c r="AQ556" s="53">
        <f t="shared" si="476"/>
        <v>4.26</v>
      </c>
      <c r="AR556" s="53">
        <f t="shared" si="477"/>
        <v>21.299999999999997</v>
      </c>
      <c r="AS556" s="56">
        <f t="shared" si="478"/>
        <v>4.6948356807511742E-2</v>
      </c>
      <c r="AT556" s="56">
        <f t="shared" si="509"/>
        <v>0.23474178403755869</v>
      </c>
      <c r="AU556" s="56">
        <f t="shared" si="479"/>
        <v>0.176056338028169</v>
      </c>
      <c r="AV556" s="56">
        <f t="shared" si="510"/>
        <v>5.8685446009389672E-2</v>
      </c>
      <c r="AW556" s="57" t="s">
        <v>2511</v>
      </c>
      <c r="AX556" s="57" t="s">
        <v>2512</v>
      </c>
      <c r="AY556" s="57" t="s">
        <v>2513</v>
      </c>
      <c r="AZ556" s="58">
        <f t="shared" si="511"/>
        <v>0</v>
      </c>
      <c r="BA556" s="59">
        <f t="shared" si="514"/>
        <v>0</v>
      </c>
      <c r="BB556" s="59">
        <f t="shared" si="515"/>
        <v>0</v>
      </c>
      <c r="BC556" s="59">
        <f t="shared" si="516"/>
        <v>0</v>
      </c>
      <c r="BD556" s="60">
        <f t="shared" si="512"/>
        <v>7.1095438516664771E-6</v>
      </c>
      <c r="BE556" s="59">
        <f t="shared" si="513"/>
        <v>1.4219087703332954E-5</v>
      </c>
      <c r="BQ556" s="61">
        <v>3000</v>
      </c>
      <c r="BR556" s="61">
        <v>1200</v>
      </c>
      <c r="BS556" s="28">
        <f t="shared" si="480"/>
        <v>2980</v>
      </c>
      <c r="BT556" s="28">
        <f t="shared" si="481"/>
        <v>1180</v>
      </c>
      <c r="BU556" s="28" t="s">
        <v>2541</v>
      </c>
      <c r="BV556" s="28">
        <f t="shared" si="482"/>
        <v>5</v>
      </c>
      <c r="BW556" s="28">
        <f t="shared" si="483"/>
        <v>5</v>
      </c>
      <c r="BX556" s="13">
        <f t="shared" si="484"/>
        <v>596</v>
      </c>
      <c r="BY556" s="13">
        <f t="shared" si="485"/>
        <v>596</v>
      </c>
      <c r="BZ556" s="13">
        <f t="shared" si="486"/>
        <v>236</v>
      </c>
      <c r="CA556" s="13">
        <f t="shared" si="487"/>
        <v>236</v>
      </c>
      <c r="CB556" s="13">
        <f t="shared" si="488"/>
        <v>140656</v>
      </c>
      <c r="CC556" s="62">
        <f t="shared" si="489"/>
        <v>7.1095438516664771E-6</v>
      </c>
      <c r="CD556" s="13">
        <f t="shared" si="490"/>
        <v>596</v>
      </c>
      <c r="CE556" s="13">
        <f t="shared" si="491"/>
        <v>596</v>
      </c>
      <c r="CF556" s="13">
        <f t="shared" si="492"/>
        <v>236</v>
      </c>
      <c r="CG556" s="13">
        <f t="shared" si="493"/>
        <v>236</v>
      </c>
      <c r="CH556" s="28">
        <f t="shared" si="494"/>
        <v>140656</v>
      </c>
      <c r="CI556" s="62">
        <f t="shared" si="495"/>
        <v>7.1095438516664771E-6</v>
      </c>
      <c r="CJ556" s="59">
        <f t="shared" si="496"/>
        <v>7.1095438516664771E-6</v>
      </c>
      <c r="CL556" s="63">
        <v>6000</v>
      </c>
      <c r="CM556" s="63">
        <f t="shared" si="497"/>
        <v>0</v>
      </c>
      <c r="CN556" s="63">
        <f t="shared" si="498"/>
        <v>5</v>
      </c>
      <c r="CO556" s="63">
        <f t="shared" si="499"/>
        <v>1200</v>
      </c>
      <c r="CP556" s="13">
        <f t="shared" si="500"/>
        <v>1200</v>
      </c>
      <c r="CQ556" s="70">
        <f t="shared" si="501"/>
        <v>8.3333333333333339E-4</v>
      </c>
      <c r="CR556" s="69">
        <f t="shared" si="523"/>
        <v>1.6666666666666668E-3</v>
      </c>
    </row>
    <row r="557" spans="1:96" hidden="1" x14ac:dyDescent="0.25">
      <c r="A557" s="42">
        <v>6</v>
      </c>
      <c r="B557" s="43" t="s">
        <v>1393</v>
      </c>
      <c r="C557" s="42" t="s">
        <v>649</v>
      </c>
      <c r="D557" s="42" t="s">
        <v>2270</v>
      </c>
      <c r="E557" s="42" t="s">
        <v>52</v>
      </c>
      <c r="F557" s="44">
        <f t="shared" si="470"/>
        <v>3</v>
      </c>
      <c r="G557" s="42">
        <v>1</v>
      </c>
      <c r="H557" s="42">
        <f>G557*$H$556</f>
        <v>2</v>
      </c>
      <c r="I557" s="42" t="s">
        <v>485</v>
      </c>
      <c r="J557" s="43" t="s">
        <v>650</v>
      </c>
      <c r="K557" s="43" t="s">
        <v>651</v>
      </c>
      <c r="L557" s="42" t="s">
        <v>194</v>
      </c>
      <c r="M557" s="43" t="s">
        <v>35</v>
      </c>
      <c r="N557" s="42" t="s">
        <v>1392</v>
      </c>
      <c r="O557" s="28" t="s">
        <v>41</v>
      </c>
      <c r="P557" s="28" t="s">
        <v>41</v>
      </c>
      <c r="Q557" s="28" t="s">
        <v>644</v>
      </c>
      <c r="R557" s="30">
        <v>8</v>
      </c>
      <c r="S557" s="30" t="s">
        <v>1251</v>
      </c>
      <c r="T557" s="30"/>
      <c r="U557" s="30" t="s">
        <v>1251</v>
      </c>
      <c r="V557" s="8">
        <f t="shared" si="471"/>
        <v>203.2</v>
      </c>
      <c r="W557" s="8">
        <v>0</v>
      </c>
      <c r="X557" s="8">
        <f t="shared" si="473"/>
        <v>0</v>
      </c>
      <c r="Y557" s="33">
        <v>0</v>
      </c>
      <c r="Z557" s="28" t="s">
        <v>646</v>
      </c>
      <c r="AA557" s="28" t="s">
        <v>173</v>
      </c>
      <c r="AB557" s="61" t="s">
        <v>644</v>
      </c>
      <c r="AC557" s="31" t="s">
        <v>647</v>
      </c>
      <c r="AD557" s="50">
        <f t="shared" si="475"/>
        <v>2</v>
      </c>
      <c r="AE557" s="48"/>
      <c r="AF557" s="51">
        <v>14</v>
      </c>
      <c r="AG557" s="51">
        <f t="shared" si="503"/>
        <v>8.4</v>
      </c>
      <c r="AH557" s="51">
        <f t="shared" si="469"/>
        <v>42</v>
      </c>
      <c r="AI557" s="52" t="s">
        <v>2497</v>
      </c>
      <c r="AJ557" s="52" t="s">
        <v>2498</v>
      </c>
      <c r="AK557" s="53">
        <f t="shared" si="504"/>
        <v>0</v>
      </c>
      <c r="AL557" s="54">
        <f t="shared" si="505"/>
        <v>0.11904761904761904</v>
      </c>
      <c r="AM557" s="54">
        <f t="shared" si="506"/>
        <v>2.3809523809523808E-2</v>
      </c>
      <c r="AN557" s="55">
        <f t="shared" si="507"/>
        <v>0</v>
      </c>
      <c r="AO557" s="55">
        <f t="shared" si="508"/>
        <v>0</v>
      </c>
      <c r="AP557" s="53">
        <v>7.1</v>
      </c>
      <c r="AQ557" s="53">
        <f t="shared" si="476"/>
        <v>4.26</v>
      </c>
      <c r="AR557" s="53">
        <f t="shared" si="477"/>
        <v>21.299999999999997</v>
      </c>
      <c r="AS557" s="56">
        <f t="shared" si="478"/>
        <v>4.6948356807511742E-2</v>
      </c>
      <c r="AT557" s="56">
        <f t="shared" si="509"/>
        <v>0.23474178403755869</v>
      </c>
      <c r="AU557" s="56">
        <f t="shared" si="479"/>
        <v>0.176056338028169</v>
      </c>
      <c r="AV557" s="56">
        <f t="shared" si="510"/>
        <v>5.8685446009389672E-2</v>
      </c>
      <c r="AW557" s="57" t="s">
        <v>2511</v>
      </c>
      <c r="AX557" s="57" t="s">
        <v>2512</v>
      </c>
      <c r="AY557" s="57" t="s">
        <v>2513</v>
      </c>
      <c r="AZ557" s="58">
        <f t="shared" si="511"/>
        <v>0</v>
      </c>
      <c r="BA557" s="59">
        <f t="shared" si="514"/>
        <v>0</v>
      </c>
      <c r="BB557" s="59">
        <f t="shared" si="515"/>
        <v>0</v>
      </c>
      <c r="BC557" s="59">
        <f t="shared" si="516"/>
        <v>0</v>
      </c>
      <c r="BD557" s="60">
        <f t="shared" si="512"/>
        <v>3.0266343825665861E-4</v>
      </c>
      <c r="BE557" s="59">
        <f t="shared" si="513"/>
        <v>6.0532687651331722E-4</v>
      </c>
      <c r="BQ557" s="61">
        <v>3000</v>
      </c>
      <c r="BR557" s="61">
        <v>1200</v>
      </c>
      <c r="BS557" s="28">
        <f t="shared" si="480"/>
        <v>2980</v>
      </c>
      <c r="BT557" s="28">
        <f t="shared" si="481"/>
        <v>1180</v>
      </c>
      <c r="BU557" s="28" t="s">
        <v>2541</v>
      </c>
      <c r="BV557" s="28">
        <f t="shared" si="482"/>
        <v>208.2</v>
      </c>
      <c r="BW557" s="28">
        <f t="shared" si="483"/>
        <v>5</v>
      </c>
      <c r="BX557" s="13">
        <f t="shared" si="484"/>
        <v>14.31316042267051</v>
      </c>
      <c r="BY557" s="13">
        <f t="shared" si="485"/>
        <v>14</v>
      </c>
      <c r="BZ557" s="13">
        <f t="shared" si="486"/>
        <v>236</v>
      </c>
      <c r="CA557" s="13">
        <f t="shared" si="487"/>
        <v>236</v>
      </c>
      <c r="CB557" s="13">
        <f t="shared" si="488"/>
        <v>3304</v>
      </c>
      <c r="CC557" s="62">
        <f t="shared" si="489"/>
        <v>3.0266343825665861E-4</v>
      </c>
      <c r="CD557" s="13">
        <f t="shared" si="490"/>
        <v>596</v>
      </c>
      <c r="CE557" s="13">
        <f t="shared" si="491"/>
        <v>596</v>
      </c>
      <c r="CF557" s="13">
        <f t="shared" si="492"/>
        <v>5.6676272814601347</v>
      </c>
      <c r="CG557" s="13">
        <f t="shared" si="493"/>
        <v>5</v>
      </c>
      <c r="CH557" s="28">
        <f t="shared" si="494"/>
        <v>2980</v>
      </c>
      <c r="CI557" s="62">
        <f t="shared" si="495"/>
        <v>3.355704697986577E-4</v>
      </c>
      <c r="CJ557" s="59">
        <f t="shared" si="496"/>
        <v>3.0266343825665861E-4</v>
      </c>
      <c r="CL557" s="63">
        <v>6000</v>
      </c>
      <c r="CM557" s="63">
        <f t="shared" si="497"/>
        <v>203.2</v>
      </c>
      <c r="CN557" s="63">
        <f t="shared" si="498"/>
        <v>208.2</v>
      </c>
      <c r="CO557" s="63">
        <f t="shared" si="499"/>
        <v>28.818443804034583</v>
      </c>
      <c r="CP557" s="13">
        <f t="shared" si="500"/>
        <v>28</v>
      </c>
      <c r="CQ557" s="70">
        <f t="shared" si="501"/>
        <v>3.5714285714285712E-2</v>
      </c>
      <c r="CR557" s="69">
        <f t="shared" si="523"/>
        <v>7.1428571428571425E-2</v>
      </c>
    </row>
    <row r="558" spans="1:96" hidden="1" x14ac:dyDescent="0.25">
      <c r="A558" s="17">
        <v>5</v>
      </c>
      <c r="B558" s="6" t="s">
        <v>1388</v>
      </c>
      <c r="C558" s="17" t="s">
        <v>1243</v>
      </c>
      <c r="D558" s="17" t="s">
        <v>1245</v>
      </c>
      <c r="E558" s="17" t="s">
        <v>52</v>
      </c>
      <c r="F558" s="7">
        <f t="shared" si="470"/>
        <v>2</v>
      </c>
      <c r="G558" s="17">
        <v>1</v>
      </c>
      <c r="H558" s="17">
        <f>G558*$H$555</f>
        <v>2</v>
      </c>
      <c r="I558" s="17">
        <v>1</v>
      </c>
      <c r="J558" s="6" t="s">
        <v>1244</v>
      </c>
      <c r="K558" s="6" t="s">
        <v>34</v>
      </c>
      <c r="L558" s="17">
        <v>0</v>
      </c>
      <c r="M558" s="6" t="s">
        <v>35</v>
      </c>
      <c r="N558" s="17" t="s">
        <v>1245</v>
      </c>
      <c r="O558" s="28" t="s">
        <v>41</v>
      </c>
      <c r="P558" s="28" t="s">
        <v>41</v>
      </c>
      <c r="Q558" s="28" t="s">
        <v>1245</v>
      </c>
      <c r="R558" s="30"/>
      <c r="S558" s="30"/>
      <c r="T558" s="30"/>
      <c r="U558" s="30"/>
      <c r="V558" s="8">
        <f t="shared" si="471"/>
        <v>0</v>
      </c>
      <c r="W558" s="8">
        <f t="shared" si="472"/>
        <v>0</v>
      </c>
      <c r="X558" s="8">
        <f t="shared" si="473"/>
        <v>0</v>
      </c>
      <c r="Y558" s="33">
        <f t="shared" si="474"/>
        <v>0</v>
      </c>
      <c r="Z558" s="28"/>
      <c r="AA558" s="28"/>
      <c r="AB558" s="61" t="s">
        <v>1245</v>
      </c>
      <c r="AC558" s="31" t="s">
        <v>1246</v>
      </c>
      <c r="AD558" s="50">
        <f t="shared" si="475"/>
        <v>2</v>
      </c>
      <c r="AE558" s="31"/>
      <c r="AF558" s="51">
        <v>14</v>
      </c>
      <c r="AG558" s="51">
        <f t="shared" si="503"/>
        <v>8.4</v>
      </c>
      <c r="AH558" s="51">
        <f t="shared" si="469"/>
        <v>42</v>
      </c>
      <c r="AI558" s="52" t="s">
        <v>2497</v>
      </c>
      <c r="AJ558" s="52" t="s">
        <v>2498</v>
      </c>
      <c r="AK558" s="53">
        <f t="shared" si="504"/>
        <v>0</v>
      </c>
      <c r="AL558" s="54">
        <f t="shared" si="505"/>
        <v>0.11904761904761904</v>
      </c>
      <c r="AM558" s="54">
        <f t="shared" si="506"/>
        <v>2.3809523809523808E-2</v>
      </c>
      <c r="AN558" s="55">
        <f t="shared" si="507"/>
        <v>0</v>
      </c>
      <c r="AO558" s="55">
        <f t="shared" si="508"/>
        <v>0</v>
      </c>
      <c r="AP558" s="53">
        <v>7.1</v>
      </c>
      <c r="AQ558" s="53">
        <f t="shared" si="476"/>
        <v>4.26</v>
      </c>
      <c r="AR558" s="53">
        <f t="shared" si="477"/>
        <v>21.299999999999997</v>
      </c>
      <c r="AS558" s="56">
        <f t="shared" si="478"/>
        <v>4.6948356807511742E-2</v>
      </c>
      <c r="AT558" s="56">
        <f t="shared" si="509"/>
        <v>0.23474178403755869</v>
      </c>
      <c r="AU558" s="56">
        <f t="shared" si="479"/>
        <v>0.176056338028169</v>
      </c>
      <c r="AV558" s="56">
        <f t="shared" si="510"/>
        <v>5.8685446009389672E-2</v>
      </c>
      <c r="AW558" s="57" t="s">
        <v>2511</v>
      </c>
      <c r="AX558" s="57" t="s">
        <v>2512</v>
      </c>
      <c r="AY558" s="57" t="s">
        <v>2513</v>
      </c>
      <c r="AZ558" s="58">
        <f t="shared" si="511"/>
        <v>0</v>
      </c>
      <c r="BA558" s="59">
        <f t="shared" si="514"/>
        <v>0</v>
      </c>
      <c r="BB558" s="59">
        <f t="shared" si="515"/>
        <v>0</v>
      </c>
      <c r="BC558" s="59">
        <f t="shared" si="516"/>
        <v>0</v>
      </c>
      <c r="BD558" s="60">
        <f t="shared" si="512"/>
        <v>7.1095438516664771E-6</v>
      </c>
      <c r="BE558" s="59">
        <f t="shared" si="513"/>
        <v>1.4219087703332954E-5</v>
      </c>
      <c r="BQ558" s="61">
        <v>3000</v>
      </c>
      <c r="BR558" s="61">
        <v>1200</v>
      </c>
      <c r="BS558" s="28">
        <f t="shared" si="480"/>
        <v>2980</v>
      </c>
      <c r="BT558" s="28">
        <f t="shared" si="481"/>
        <v>1180</v>
      </c>
      <c r="BU558" s="28" t="s">
        <v>2541</v>
      </c>
      <c r="BV558" s="28">
        <f t="shared" si="482"/>
        <v>5</v>
      </c>
      <c r="BW558" s="28">
        <f t="shared" si="483"/>
        <v>5</v>
      </c>
      <c r="BX558" s="13">
        <f t="shared" si="484"/>
        <v>596</v>
      </c>
      <c r="BY558" s="13">
        <f t="shared" si="485"/>
        <v>596</v>
      </c>
      <c r="BZ558" s="13">
        <f t="shared" si="486"/>
        <v>236</v>
      </c>
      <c r="CA558" s="13">
        <f t="shared" si="487"/>
        <v>236</v>
      </c>
      <c r="CB558" s="13">
        <f t="shared" si="488"/>
        <v>140656</v>
      </c>
      <c r="CC558" s="62">
        <f t="shared" si="489"/>
        <v>7.1095438516664771E-6</v>
      </c>
      <c r="CD558" s="13">
        <f t="shared" si="490"/>
        <v>596</v>
      </c>
      <c r="CE558" s="13">
        <f t="shared" si="491"/>
        <v>596</v>
      </c>
      <c r="CF558" s="13">
        <f t="shared" si="492"/>
        <v>236</v>
      </c>
      <c r="CG558" s="13">
        <f t="shared" si="493"/>
        <v>236</v>
      </c>
      <c r="CH558" s="28">
        <f t="shared" si="494"/>
        <v>140656</v>
      </c>
      <c r="CI558" s="62">
        <f t="shared" si="495"/>
        <v>7.1095438516664771E-6</v>
      </c>
      <c r="CJ558" s="59">
        <f t="shared" si="496"/>
        <v>7.1095438516664771E-6</v>
      </c>
      <c r="CL558" s="63">
        <v>6000</v>
      </c>
      <c r="CM558" s="63">
        <f t="shared" si="497"/>
        <v>0</v>
      </c>
      <c r="CN558" s="63">
        <f t="shared" si="498"/>
        <v>5</v>
      </c>
      <c r="CO558" s="63">
        <f t="shared" si="499"/>
        <v>1200</v>
      </c>
      <c r="CP558" s="13">
        <f t="shared" si="500"/>
        <v>1200</v>
      </c>
      <c r="CQ558" s="70">
        <f t="shared" si="501"/>
        <v>8.3333333333333339E-4</v>
      </c>
      <c r="CR558" s="69">
        <f t="shared" si="523"/>
        <v>1.6666666666666668E-3</v>
      </c>
    </row>
    <row r="559" spans="1:96" hidden="1" x14ac:dyDescent="0.25">
      <c r="A559" s="36">
        <v>2</v>
      </c>
      <c r="B559" s="37" t="s">
        <v>37</v>
      </c>
      <c r="C559" s="36" t="s">
        <v>1394</v>
      </c>
      <c r="D559" s="36" t="s">
        <v>2270</v>
      </c>
      <c r="E559" s="36" t="s">
        <v>32</v>
      </c>
      <c r="F559" s="38">
        <f t="shared" si="470"/>
        <v>1</v>
      </c>
      <c r="G559" s="36">
        <v>1</v>
      </c>
      <c r="H559" s="36">
        <f>G559*$H$3</f>
        <v>1</v>
      </c>
      <c r="I559" s="36">
        <v>23</v>
      </c>
      <c r="J559" s="37" t="s">
        <v>1395</v>
      </c>
      <c r="K559" s="37" t="s">
        <v>34</v>
      </c>
      <c r="L559" s="36">
        <v>0</v>
      </c>
      <c r="M559" s="37" t="s">
        <v>35</v>
      </c>
      <c r="N559" s="36" t="s">
        <v>1396</v>
      </c>
      <c r="O559" s="28" t="s">
        <v>41</v>
      </c>
      <c r="P559" s="28" t="s">
        <v>41</v>
      </c>
      <c r="Q559" s="28"/>
      <c r="R559" s="30"/>
      <c r="S559" s="30"/>
      <c r="T559" s="30"/>
      <c r="U559" s="30"/>
      <c r="V559" s="8">
        <f t="shared" si="471"/>
        <v>0</v>
      </c>
      <c r="W559" s="8">
        <f t="shared" si="472"/>
        <v>0</v>
      </c>
      <c r="X559" s="8">
        <f t="shared" si="473"/>
        <v>0</v>
      </c>
      <c r="Y559" s="33">
        <f t="shared" si="474"/>
        <v>0</v>
      </c>
      <c r="Z559" s="28"/>
      <c r="AA559" s="28"/>
      <c r="AB559" s="28">
        <v>0</v>
      </c>
      <c r="AC559" s="31"/>
      <c r="AD559" s="50">
        <f t="shared" si="475"/>
        <v>1</v>
      </c>
      <c r="AE559" s="31"/>
      <c r="AF559" s="51">
        <v>14</v>
      </c>
      <c r="AG559" s="51">
        <f t="shared" si="503"/>
        <v>8.4</v>
      </c>
      <c r="AH559" s="51">
        <f t="shared" si="469"/>
        <v>42</v>
      </c>
      <c r="AI559" s="52" t="s">
        <v>2497</v>
      </c>
      <c r="AJ559" s="52" t="s">
        <v>2498</v>
      </c>
      <c r="AK559" s="53">
        <f t="shared" si="504"/>
        <v>0</v>
      </c>
      <c r="AL559" s="54">
        <f t="shared" si="505"/>
        <v>0.11904761904761904</v>
      </c>
      <c r="AM559" s="54">
        <f t="shared" si="506"/>
        <v>2.3809523809523808E-2</v>
      </c>
      <c r="AN559" s="55">
        <f t="shared" si="507"/>
        <v>0</v>
      </c>
      <c r="AO559" s="55">
        <f t="shared" si="508"/>
        <v>0</v>
      </c>
      <c r="AP559" s="53">
        <v>7.1</v>
      </c>
      <c r="AQ559" s="53">
        <f t="shared" si="476"/>
        <v>4.26</v>
      </c>
      <c r="AR559" s="53">
        <f t="shared" si="477"/>
        <v>21.299999999999997</v>
      </c>
      <c r="AS559" s="56">
        <f t="shared" si="478"/>
        <v>4.6948356807511742E-2</v>
      </c>
      <c r="AT559" s="56">
        <f t="shared" si="509"/>
        <v>0.23474178403755869</v>
      </c>
      <c r="AU559" s="56">
        <f t="shared" si="479"/>
        <v>0.176056338028169</v>
      </c>
      <c r="AV559" s="56">
        <f t="shared" si="510"/>
        <v>5.8685446009389672E-2</v>
      </c>
      <c r="AW559" s="57" t="s">
        <v>2511</v>
      </c>
      <c r="AX559" s="57" t="s">
        <v>2512</v>
      </c>
      <c r="AY559" s="57" t="s">
        <v>2513</v>
      </c>
      <c r="AZ559" s="58">
        <f t="shared" si="511"/>
        <v>0</v>
      </c>
      <c r="BA559" s="59">
        <f t="shared" si="514"/>
        <v>0</v>
      </c>
      <c r="BB559" s="59">
        <f t="shared" si="515"/>
        <v>0</v>
      </c>
      <c r="BC559" s="59">
        <f t="shared" si="516"/>
        <v>0</v>
      </c>
      <c r="BD559" s="60">
        <f t="shared" si="512"/>
        <v>0</v>
      </c>
      <c r="BE559" s="59">
        <f t="shared" si="513"/>
        <v>0</v>
      </c>
      <c r="BQ559" s="61">
        <v>3000</v>
      </c>
      <c r="BR559" s="61">
        <v>1200</v>
      </c>
      <c r="BS559" s="28">
        <f t="shared" si="480"/>
        <v>2980</v>
      </c>
      <c r="BT559" s="28">
        <f t="shared" si="481"/>
        <v>1180</v>
      </c>
      <c r="BU559" s="28" t="s">
        <v>2541</v>
      </c>
      <c r="BV559" s="28">
        <f t="shared" si="482"/>
        <v>5</v>
      </c>
      <c r="BW559" s="28">
        <f t="shared" si="483"/>
        <v>5</v>
      </c>
      <c r="BX559" s="13">
        <f t="shared" si="484"/>
        <v>596</v>
      </c>
      <c r="BY559" s="13">
        <f t="shared" si="485"/>
        <v>596</v>
      </c>
      <c r="BZ559" s="13">
        <f t="shared" si="486"/>
        <v>236</v>
      </c>
      <c r="CA559" s="13">
        <f t="shared" si="487"/>
        <v>236</v>
      </c>
      <c r="CB559" s="13">
        <f t="shared" si="488"/>
        <v>140656</v>
      </c>
      <c r="CC559" s="62" t="str">
        <f t="shared" si="489"/>
        <v/>
      </c>
      <c r="CD559" s="13">
        <f t="shared" si="490"/>
        <v>596</v>
      </c>
      <c r="CE559" s="13">
        <f t="shared" si="491"/>
        <v>596</v>
      </c>
      <c r="CF559" s="13">
        <f t="shared" si="492"/>
        <v>236</v>
      </c>
      <c r="CG559" s="13">
        <f t="shared" si="493"/>
        <v>236</v>
      </c>
      <c r="CH559" s="28">
        <f t="shared" si="494"/>
        <v>140656</v>
      </c>
      <c r="CI559" s="62" t="str">
        <f t="shared" si="495"/>
        <v/>
      </c>
      <c r="CJ559" s="59">
        <f t="shared" si="496"/>
        <v>0</v>
      </c>
      <c r="CL559" s="63">
        <v>6000</v>
      </c>
      <c r="CM559" s="63">
        <f t="shared" si="497"/>
        <v>0</v>
      </c>
      <c r="CN559" s="63">
        <f t="shared" si="498"/>
        <v>5</v>
      </c>
      <c r="CO559" s="63">
        <f t="shared" si="499"/>
        <v>1200</v>
      </c>
      <c r="CP559" s="13">
        <f t="shared" si="500"/>
        <v>1200</v>
      </c>
      <c r="CQ559" s="70">
        <f t="shared" si="501"/>
        <v>8.3333333333333339E-4</v>
      </c>
      <c r="CR559" s="69">
        <f t="shared" si="523"/>
        <v>8.3333333333333339E-4</v>
      </c>
    </row>
    <row r="560" spans="1:96" hidden="1" x14ac:dyDescent="0.25">
      <c r="A560" s="10">
        <v>3</v>
      </c>
      <c r="B560" s="8" t="s">
        <v>1397</v>
      </c>
      <c r="C560" s="10" t="s">
        <v>1398</v>
      </c>
      <c r="D560" s="10" t="s">
        <v>2270</v>
      </c>
      <c r="E560" s="10" t="s">
        <v>52</v>
      </c>
      <c r="F560" s="12">
        <f t="shared" si="470"/>
        <v>2</v>
      </c>
      <c r="G560" s="10">
        <v>1</v>
      </c>
      <c r="H560" s="10">
        <f>G560*$H$559</f>
        <v>1</v>
      </c>
      <c r="I560" s="10">
        <v>4</v>
      </c>
      <c r="J560" s="8" t="s">
        <v>503</v>
      </c>
      <c r="K560" s="8" t="s">
        <v>34</v>
      </c>
      <c r="L560" s="10">
        <v>0</v>
      </c>
      <c r="M560" s="8" t="s">
        <v>35</v>
      </c>
      <c r="N560" s="10" t="s">
        <v>1399</v>
      </c>
      <c r="O560" s="28" t="s">
        <v>41</v>
      </c>
      <c r="P560" s="28" t="s">
        <v>41</v>
      </c>
      <c r="Q560" s="28" t="s">
        <v>116</v>
      </c>
      <c r="R560" s="30">
        <v>6.8479999999999999</v>
      </c>
      <c r="S560" s="30">
        <v>3</v>
      </c>
      <c r="T560" s="30"/>
      <c r="U560" s="30">
        <v>0.11799999999999999</v>
      </c>
      <c r="V560" s="8">
        <f t="shared" si="471"/>
        <v>173.9392</v>
      </c>
      <c r="W560" s="8">
        <f t="shared" si="472"/>
        <v>76.199999999999989</v>
      </c>
      <c r="X560" s="8">
        <f t="shared" si="473"/>
        <v>0</v>
      </c>
      <c r="Y560" s="33">
        <f t="shared" si="474"/>
        <v>2.9971999999999999</v>
      </c>
      <c r="Z560" s="28" t="s">
        <v>56</v>
      </c>
      <c r="AA560" s="28" t="s">
        <v>57</v>
      </c>
      <c r="AB560" s="28" t="s">
        <v>116</v>
      </c>
      <c r="AC560" s="31" t="s">
        <v>117</v>
      </c>
      <c r="AD560" s="50">
        <f t="shared" si="475"/>
        <v>1</v>
      </c>
      <c r="AE560" s="31"/>
      <c r="AF560" s="51">
        <v>14</v>
      </c>
      <c r="AG560" s="51">
        <f t="shared" si="503"/>
        <v>8.4</v>
      </c>
      <c r="AH560" s="51">
        <f t="shared" si="469"/>
        <v>42</v>
      </c>
      <c r="AI560" s="52" t="s">
        <v>2497</v>
      </c>
      <c r="AJ560" s="52" t="s">
        <v>2498</v>
      </c>
      <c r="AK560" s="53">
        <f t="shared" si="504"/>
        <v>2.6508334079999998E-2</v>
      </c>
      <c r="AL560" s="54">
        <f t="shared" si="505"/>
        <v>0.11904761904761904</v>
      </c>
      <c r="AM560" s="54">
        <f t="shared" si="506"/>
        <v>2.3809523809523808E-2</v>
      </c>
      <c r="AN560" s="55">
        <f t="shared" si="507"/>
        <v>3.1557540571428566E-3</v>
      </c>
      <c r="AO560" s="55">
        <f t="shared" si="508"/>
        <v>6.3115081142857139E-4</v>
      </c>
      <c r="AP560" s="53">
        <v>7.1</v>
      </c>
      <c r="AQ560" s="53">
        <f t="shared" si="476"/>
        <v>4.26</v>
      </c>
      <c r="AR560" s="53">
        <f t="shared" si="477"/>
        <v>21.299999999999997</v>
      </c>
      <c r="AS560" s="56">
        <f t="shared" si="478"/>
        <v>4.6948356807511742E-2</v>
      </c>
      <c r="AT560" s="56">
        <f t="shared" si="509"/>
        <v>0.23474178403755869</v>
      </c>
      <c r="AU560" s="56">
        <f t="shared" si="479"/>
        <v>0.176056338028169</v>
      </c>
      <c r="AV560" s="56">
        <f t="shared" si="510"/>
        <v>5.8685446009389672E-2</v>
      </c>
      <c r="AW560" s="57" t="s">
        <v>2511</v>
      </c>
      <c r="AX560" s="57" t="s">
        <v>2512</v>
      </c>
      <c r="AY560" s="57" t="s">
        <v>2513</v>
      </c>
      <c r="AZ560" s="58">
        <f t="shared" si="511"/>
        <v>2.6508334079999998E-2</v>
      </c>
      <c r="BA560" s="59">
        <f t="shared" si="514"/>
        <v>7.7782670422535209E-4</v>
      </c>
      <c r="BB560" s="59">
        <f t="shared" si="515"/>
        <v>2.3334801126760562E-3</v>
      </c>
      <c r="BC560" s="59">
        <f t="shared" si="516"/>
        <v>6.2226136338028174E-4</v>
      </c>
      <c r="BD560" s="60">
        <f t="shared" si="512"/>
        <v>4.464285714285714E-3</v>
      </c>
      <c r="BE560" s="59">
        <f t="shared" si="513"/>
        <v>4.464285714285714E-3</v>
      </c>
      <c r="BQ560" s="61">
        <v>3000</v>
      </c>
      <c r="BR560" s="61">
        <v>1200</v>
      </c>
      <c r="BS560" s="28">
        <f t="shared" si="480"/>
        <v>2980</v>
      </c>
      <c r="BT560" s="28">
        <f t="shared" si="481"/>
        <v>1180</v>
      </c>
      <c r="BU560" s="28" t="s">
        <v>2541</v>
      </c>
      <c r="BV560" s="28">
        <f t="shared" si="482"/>
        <v>178.9392</v>
      </c>
      <c r="BW560" s="28">
        <f t="shared" si="483"/>
        <v>81.199999999999989</v>
      </c>
      <c r="BX560" s="13">
        <f t="shared" si="484"/>
        <v>16.653701368956607</v>
      </c>
      <c r="BY560" s="13">
        <f t="shared" si="485"/>
        <v>16</v>
      </c>
      <c r="BZ560" s="13">
        <f t="shared" si="486"/>
        <v>14.5320197044335</v>
      </c>
      <c r="CA560" s="13">
        <f t="shared" si="487"/>
        <v>14</v>
      </c>
      <c r="CB560" s="13">
        <f t="shared" si="488"/>
        <v>224</v>
      </c>
      <c r="CC560" s="62">
        <f t="shared" si="489"/>
        <v>4.464285714285714E-3</v>
      </c>
      <c r="CD560" s="13">
        <f t="shared" si="490"/>
        <v>36.699507389162569</v>
      </c>
      <c r="CE560" s="13">
        <f t="shared" si="491"/>
        <v>36</v>
      </c>
      <c r="CF560" s="13">
        <f t="shared" si="492"/>
        <v>6.5944186628754347</v>
      </c>
      <c r="CG560" s="13">
        <f t="shared" si="493"/>
        <v>6</v>
      </c>
      <c r="CH560" s="28">
        <f t="shared" si="494"/>
        <v>216</v>
      </c>
      <c r="CI560" s="62">
        <f t="shared" si="495"/>
        <v>4.6296296296296294E-3</v>
      </c>
      <c r="CJ560" s="59">
        <f t="shared" si="496"/>
        <v>4.464285714285714E-3</v>
      </c>
      <c r="CL560" s="63">
        <v>6000</v>
      </c>
      <c r="CM560" s="63">
        <f t="shared" si="497"/>
        <v>173.9392</v>
      </c>
      <c r="CN560" s="63">
        <f t="shared" si="498"/>
        <v>178.9392</v>
      </c>
      <c r="CO560" s="63">
        <f t="shared" si="499"/>
        <v>33.530942353603905</v>
      </c>
      <c r="CP560" s="13">
        <f t="shared" si="500"/>
        <v>33</v>
      </c>
      <c r="CQ560" s="70">
        <f t="shared" si="501"/>
        <v>3.0303030303030304E-2</v>
      </c>
      <c r="CR560" s="69">
        <f t="shared" si="523"/>
        <v>3.0303030303030304E-2</v>
      </c>
    </row>
    <row r="561" spans="1:96" hidden="1" x14ac:dyDescent="0.25">
      <c r="A561" s="10">
        <v>3</v>
      </c>
      <c r="B561" s="8" t="s">
        <v>1397</v>
      </c>
      <c r="C561" s="10" t="s">
        <v>1400</v>
      </c>
      <c r="D561" s="10" t="s">
        <v>2270</v>
      </c>
      <c r="E561" s="10" t="s">
        <v>32</v>
      </c>
      <c r="F561" s="12">
        <f t="shared" si="470"/>
        <v>1</v>
      </c>
      <c r="G561" s="10">
        <v>1</v>
      </c>
      <c r="H561" s="10">
        <f>G561*$H$559</f>
        <v>1</v>
      </c>
      <c r="I561" s="10">
        <v>5</v>
      </c>
      <c r="J561" s="8" t="s">
        <v>130</v>
      </c>
      <c r="K561" s="8" t="s">
        <v>34</v>
      </c>
      <c r="L561" s="10">
        <v>0</v>
      </c>
      <c r="M561" s="8" t="s">
        <v>35</v>
      </c>
      <c r="N561" s="10" t="s">
        <v>1401</v>
      </c>
      <c r="O561" s="28" t="s">
        <v>41</v>
      </c>
      <c r="P561" s="28" t="s">
        <v>41</v>
      </c>
      <c r="Q561" s="28"/>
      <c r="R561" s="30"/>
      <c r="S561" s="30"/>
      <c r="T561" s="30"/>
      <c r="U561" s="30"/>
      <c r="V561" s="8">
        <f t="shared" si="471"/>
        <v>0</v>
      </c>
      <c r="W561" s="8">
        <f t="shared" si="472"/>
        <v>0</v>
      </c>
      <c r="X561" s="8">
        <f t="shared" si="473"/>
        <v>0</v>
      </c>
      <c r="Y561" s="33">
        <f t="shared" si="474"/>
        <v>0</v>
      </c>
      <c r="Z561" s="28"/>
      <c r="AA561" s="28"/>
      <c r="AB561" s="28">
        <v>0</v>
      </c>
      <c r="AC561" s="31"/>
      <c r="AD561" s="50">
        <f t="shared" si="475"/>
        <v>1</v>
      </c>
      <c r="AE561" s="47" t="s">
        <v>1402</v>
      </c>
      <c r="AF561" s="51">
        <v>14</v>
      </c>
      <c r="AG561" s="51">
        <f t="shared" si="503"/>
        <v>8.4</v>
      </c>
      <c r="AH561" s="51">
        <f t="shared" si="469"/>
        <v>42</v>
      </c>
      <c r="AI561" s="52" t="s">
        <v>2497</v>
      </c>
      <c r="AJ561" s="52" t="s">
        <v>2498</v>
      </c>
      <c r="AK561" s="53">
        <f t="shared" si="504"/>
        <v>0</v>
      </c>
      <c r="AL561" s="54">
        <f t="shared" si="505"/>
        <v>0.11904761904761904</v>
      </c>
      <c r="AM561" s="54">
        <f t="shared" si="506"/>
        <v>2.3809523809523808E-2</v>
      </c>
      <c r="AN561" s="55">
        <f t="shared" si="507"/>
        <v>0</v>
      </c>
      <c r="AO561" s="55">
        <f t="shared" si="508"/>
        <v>0</v>
      </c>
      <c r="AP561" s="53">
        <v>7.1</v>
      </c>
      <c r="AQ561" s="53">
        <f t="shared" si="476"/>
        <v>4.26</v>
      </c>
      <c r="AR561" s="53">
        <f t="shared" si="477"/>
        <v>21.299999999999997</v>
      </c>
      <c r="AS561" s="56">
        <f t="shared" si="478"/>
        <v>4.6948356807511742E-2</v>
      </c>
      <c r="AT561" s="56">
        <f t="shared" si="509"/>
        <v>0.23474178403755869</v>
      </c>
      <c r="AU561" s="56">
        <f t="shared" si="479"/>
        <v>0.176056338028169</v>
      </c>
      <c r="AV561" s="56">
        <f t="shared" si="510"/>
        <v>5.8685446009389672E-2</v>
      </c>
      <c r="AW561" s="57" t="s">
        <v>2511</v>
      </c>
      <c r="AX561" s="57" t="s">
        <v>2512</v>
      </c>
      <c r="AY561" s="57" t="s">
        <v>2513</v>
      </c>
      <c r="AZ561" s="58">
        <f t="shared" si="511"/>
        <v>0</v>
      </c>
      <c r="BA561" s="59">
        <f t="shared" si="514"/>
        <v>0</v>
      </c>
      <c r="BB561" s="59">
        <f t="shared" si="515"/>
        <v>0</v>
      </c>
      <c r="BC561" s="59">
        <f t="shared" si="516"/>
        <v>0</v>
      </c>
      <c r="BD561" s="60">
        <f t="shared" si="512"/>
        <v>0</v>
      </c>
      <c r="BE561" s="59">
        <f t="shared" si="513"/>
        <v>0</v>
      </c>
      <c r="BQ561" s="61">
        <v>3000</v>
      </c>
      <c r="BR561" s="61">
        <v>1200</v>
      </c>
      <c r="BS561" s="28">
        <f t="shared" si="480"/>
        <v>2980</v>
      </c>
      <c r="BT561" s="28">
        <f t="shared" si="481"/>
        <v>1180</v>
      </c>
      <c r="BU561" s="28" t="s">
        <v>2541</v>
      </c>
      <c r="BV561" s="28">
        <f t="shared" si="482"/>
        <v>5</v>
      </c>
      <c r="BW561" s="28">
        <f t="shared" si="483"/>
        <v>5</v>
      </c>
      <c r="BX561" s="13">
        <f t="shared" si="484"/>
        <v>596</v>
      </c>
      <c r="BY561" s="13">
        <f t="shared" si="485"/>
        <v>596</v>
      </c>
      <c r="BZ561" s="13">
        <f t="shared" si="486"/>
        <v>236</v>
      </c>
      <c r="CA561" s="13">
        <f t="shared" si="487"/>
        <v>236</v>
      </c>
      <c r="CB561" s="13">
        <f t="shared" si="488"/>
        <v>140656</v>
      </c>
      <c r="CC561" s="62" t="str">
        <f t="shared" si="489"/>
        <v/>
      </c>
      <c r="CD561" s="13">
        <f t="shared" si="490"/>
        <v>596</v>
      </c>
      <c r="CE561" s="13">
        <f t="shared" si="491"/>
        <v>596</v>
      </c>
      <c r="CF561" s="13">
        <f t="shared" si="492"/>
        <v>236</v>
      </c>
      <c r="CG561" s="13">
        <f t="shared" si="493"/>
        <v>236</v>
      </c>
      <c r="CH561" s="28">
        <f t="shared" si="494"/>
        <v>140656</v>
      </c>
      <c r="CI561" s="62" t="str">
        <f t="shared" si="495"/>
        <v/>
      </c>
      <c r="CJ561" s="59">
        <f t="shared" si="496"/>
        <v>0</v>
      </c>
      <c r="CL561" s="63">
        <v>6000</v>
      </c>
      <c r="CM561" s="63">
        <f t="shared" si="497"/>
        <v>0</v>
      </c>
      <c r="CN561" s="63">
        <f t="shared" si="498"/>
        <v>5</v>
      </c>
      <c r="CO561" s="63">
        <f t="shared" si="499"/>
        <v>1200</v>
      </c>
      <c r="CP561" s="13">
        <f t="shared" si="500"/>
        <v>1200</v>
      </c>
      <c r="CQ561" s="70">
        <f t="shared" si="501"/>
        <v>8.3333333333333339E-4</v>
      </c>
      <c r="CR561" s="69">
        <f t="shared" si="523"/>
        <v>8.3333333333333339E-4</v>
      </c>
    </row>
    <row r="562" spans="1:96" hidden="1" x14ac:dyDescent="0.25">
      <c r="A562" s="13">
        <v>4</v>
      </c>
      <c r="B562" s="14" t="s">
        <v>1403</v>
      </c>
      <c r="C562" s="13" t="s">
        <v>1404</v>
      </c>
      <c r="D562" s="13" t="s">
        <v>2270</v>
      </c>
      <c r="E562" s="13" t="s">
        <v>52</v>
      </c>
      <c r="F562" s="15">
        <f t="shared" si="470"/>
        <v>1</v>
      </c>
      <c r="G562" s="13">
        <v>1</v>
      </c>
      <c r="H562" s="13">
        <f>G562*$H$561</f>
        <v>1</v>
      </c>
      <c r="I562" s="13">
        <v>1</v>
      </c>
      <c r="J562" s="14" t="s">
        <v>130</v>
      </c>
      <c r="K562" s="14" t="s">
        <v>34</v>
      </c>
      <c r="L562" s="13">
        <v>0</v>
      </c>
      <c r="M562" s="14" t="s">
        <v>35</v>
      </c>
      <c r="N562" s="13" t="s">
        <v>1405</v>
      </c>
      <c r="O562" s="28" t="s">
        <v>41</v>
      </c>
      <c r="P562" s="28" t="s">
        <v>41</v>
      </c>
      <c r="Q562" s="28" t="s">
        <v>124</v>
      </c>
      <c r="R562" s="30">
        <v>9.3800000000000008</v>
      </c>
      <c r="S562" s="30">
        <v>4.3869999999999996</v>
      </c>
      <c r="T562" s="30"/>
      <c r="U562" s="30">
        <v>9.8000000000000004E-2</v>
      </c>
      <c r="V562" s="8">
        <f t="shared" si="471"/>
        <v>238.25200000000001</v>
      </c>
      <c r="W562" s="8">
        <f t="shared" si="472"/>
        <v>111.42979999999999</v>
      </c>
      <c r="X562" s="8">
        <f t="shared" si="473"/>
        <v>0</v>
      </c>
      <c r="Y562" s="33">
        <f t="shared" si="474"/>
        <v>2.4891999999999999</v>
      </c>
      <c r="Z562" s="28" t="s">
        <v>56</v>
      </c>
      <c r="AA562" s="28" t="s">
        <v>57</v>
      </c>
      <c r="AB562" s="61" t="s">
        <v>124</v>
      </c>
      <c r="AC562" s="31" t="s">
        <v>125</v>
      </c>
      <c r="AD562" s="50">
        <f t="shared" si="475"/>
        <v>1</v>
      </c>
      <c r="AE562" s="31"/>
      <c r="AF562" s="51">
        <v>14</v>
      </c>
      <c r="AG562" s="51">
        <f t="shared" si="503"/>
        <v>8.4</v>
      </c>
      <c r="AH562" s="51">
        <f t="shared" si="469"/>
        <v>42</v>
      </c>
      <c r="AI562" s="52" t="s">
        <v>2497</v>
      </c>
      <c r="AJ562" s="52" t="s">
        <v>2498</v>
      </c>
      <c r="AK562" s="53">
        <f t="shared" si="504"/>
        <v>5.3096745419199995E-2</v>
      </c>
      <c r="AL562" s="54">
        <f t="shared" si="505"/>
        <v>0.11904761904761904</v>
      </c>
      <c r="AM562" s="54">
        <f t="shared" si="506"/>
        <v>2.3809523809523808E-2</v>
      </c>
      <c r="AN562" s="55">
        <f t="shared" si="507"/>
        <v>6.3210411213333326E-3</v>
      </c>
      <c r="AO562" s="55">
        <f t="shared" si="508"/>
        <v>1.2642082242666664E-3</v>
      </c>
      <c r="AP562" s="53">
        <v>7.1</v>
      </c>
      <c r="AQ562" s="53">
        <f t="shared" si="476"/>
        <v>4.26</v>
      </c>
      <c r="AR562" s="53">
        <f t="shared" si="477"/>
        <v>21.299999999999997</v>
      </c>
      <c r="AS562" s="56">
        <f t="shared" si="478"/>
        <v>4.6948356807511742E-2</v>
      </c>
      <c r="AT562" s="56">
        <f t="shared" si="509"/>
        <v>0.23474178403755869</v>
      </c>
      <c r="AU562" s="56">
        <f t="shared" si="479"/>
        <v>0.176056338028169</v>
      </c>
      <c r="AV562" s="56">
        <f t="shared" si="510"/>
        <v>5.8685446009389672E-2</v>
      </c>
      <c r="AW562" s="57" t="s">
        <v>2511</v>
      </c>
      <c r="AX562" s="57" t="s">
        <v>2512</v>
      </c>
      <c r="AY562" s="57" t="s">
        <v>2513</v>
      </c>
      <c r="AZ562" s="58">
        <f t="shared" si="511"/>
        <v>5.3096745419199995E-2</v>
      </c>
      <c r="BA562" s="59">
        <f t="shared" si="514"/>
        <v>1.5580030932863848E-3</v>
      </c>
      <c r="BB562" s="59">
        <f t="shared" si="515"/>
        <v>4.6740092798591539E-3</v>
      </c>
      <c r="BC562" s="59">
        <f t="shared" si="516"/>
        <v>1.2464024746291079E-3</v>
      </c>
      <c r="BD562" s="60">
        <f t="shared" si="512"/>
        <v>8.3333333333333332E-3</v>
      </c>
      <c r="BE562" s="59">
        <f t="shared" si="513"/>
        <v>8.3333333333333332E-3</v>
      </c>
      <c r="BQ562" s="61">
        <v>3000</v>
      </c>
      <c r="BR562" s="61">
        <v>1200</v>
      </c>
      <c r="BS562" s="28">
        <f t="shared" si="480"/>
        <v>2980</v>
      </c>
      <c r="BT562" s="28">
        <f t="shared" si="481"/>
        <v>1180</v>
      </c>
      <c r="BU562" s="28" t="s">
        <v>2541</v>
      </c>
      <c r="BV562" s="28">
        <f t="shared" si="482"/>
        <v>243.25200000000001</v>
      </c>
      <c r="BW562" s="28">
        <f t="shared" si="483"/>
        <v>116.42979999999999</v>
      </c>
      <c r="BX562" s="13">
        <f t="shared" si="484"/>
        <v>12.250670086987979</v>
      </c>
      <c r="BY562" s="13">
        <f t="shared" si="485"/>
        <v>12</v>
      </c>
      <c r="BZ562" s="13">
        <f t="shared" si="486"/>
        <v>10.134862380593285</v>
      </c>
      <c r="CA562" s="13">
        <f t="shared" si="487"/>
        <v>10</v>
      </c>
      <c r="CB562" s="13">
        <f t="shared" si="488"/>
        <v>120</v>
      </c>
      <c r="CC562" s="62">
        <f t="shared" si="489"/>
        <v>8.3333333333333332E-3</v>
      </c>
      <c r="CD562" s="13">
        <f t="shared" si="490"/>
        <v>25.594821944210164</v>
      </c>
      <c r="CE562" s="13">
        <f t="shared" si="491"/>
        <v>25</v>
      </c>
      <c r="CF562" s="13">
        <f t="shared" si="492"/>
        <v>4.8509364773979247</v>
      </c>
      <c r="CG562" s="13">
        <f t="shared" si="493"/>
        <v>4</v>
      </c>
      <c r="CH562" s="28">
        <f t="shared" si="494"/>
        <v>100</v>
      </c>
      <c r="CI562" s="62">
        <f t="shared" si="495"/>
        <v>0.01</v>
      </c>
      <c r="CJ562" s="59">
        <f t="shared" si="496"/>
        <v>8.3333333333333332E-3</v>
      </c>
      <c r="CL562" s="63">
        <v>6000</v>
      </c>
      <c r="CM562" s="63">
        <f t="shared" si="497"/>
        <v>238.25200000000001</v>
      </c>
      <c r="CN562" s="63">
        <f t="shared" si="498"/>
        <v>243.25200000000001</v>
      </c>
      <c r="CO562" s="63">
        <f t="shared" si="499"/>
        <v>24.665778698633513</v>
      </c>
      <c r="CP562" s="13">
        <f t="shared" si="500"/>
        <v>24</v>
      </c>
      <c r="CQ562" s="70">
        <f t="shared" si="501"/>
        <v>4.1666666666666664E-2</v>
      </c>
      <c r="CR562" s="69">
        <f t="shared" si="523"/>
        <v>4.1666666666666664E-2</v>
      </c>
    </row>
    <row r="563" spans="1:96" hidden="1" x14ac:dyDescent="0.25">
      <c r="A563" s="13">
        <v>4</v>
      </c>
      <c r="B563" s="14" t="s">
        <v>1403</v>
      </c>
      <c r="C563" s="13" t="s">
        <v>448</v>
      </c>
      <c r="D563" s="13" t="s">
        <v>450</v>
      </c>
      <c r="E563" s="13" t="s">
        <v>52</v>
      </c>
      <c r="F563" s="15">
        <f t="shared" si="470"/>
        <v>23</v>
      </c>
      <c r="G563" s="13">
        <v>4</v>
      </c>
      <c r="H563" s="13">
        <f>G563*$H$561</f>
        <v>4</v>
      </c>
      <c r="I563" s="13">
        <v>2</v>
      </c>
      <c r="J563" s="14" t="s">
        <v>449</v>
      </c>
      <c r="K563" s="14" t="s">
        <v>34</v>
      </c>
      <c r="L563" s="13">
        <v>0</v>
      </c>
      <c r="M563" s="14" t="s">
        <v>35</v>
      </c>
      <c r="N563" s="13" t="s">
        <v>450</v>
      </c>
      <c r="O563" s="28" t="s">
        <v>41</v>
      </c>
      <c r="P563" s="28" t="s">
        <v>41</v>
      </c>
      <c r="Q563" s="28" t="s">
        <v>450</v>
      </c>
      <c r="R563" s="30"/>
      <c r="S563" s="30"/>
      <c r="T563" s="30"/>
      <c r="U563" s="30"/>
      <c r="V563" s="8">
        <f t="shared" si="471"/>
        <v>0</v>
      </c>
      <c r="W563" s="8">
        <f t="shared" si="472"/>
        <v>0</v>
      </c>
      <c r="X563" s="8">
        <f t="shared" si="473"/>
        <v>0</v>
      </c>
      <c r="Y563" s="33">
        <f t="shared" si="474"/>
        <v>0</v>
      </c>
      <c r="Z563" s="28"/>
      <c r="AA563" s="28"/>
      <c r="AB563" s="61" t="s">
        <v>450</v>
      </c>
      <c r="AC563" s="31" t="s">
        <v>451</v>
      </c>
      <c r="AD563" s="50">
        <f t="shared" si="475"/>
        <v>4</v>
      </c>
      <c r="AE563" s="31"/>
      <c r="AF563" s="51">
        <v>14</v>
      </c>
      <c r="AG563" s="51">
        <f t="shared" si="503"/>
        <v>8.4</v>
      </c>
      <c r="AH563" s="51">
        <f t="shared" si="469"/>
        <v>42</v>
      </c>
      <c r="AI563" s="52" t="s">
        <v>2497</v>
      </c>
      <c r="AJ563" s="52" t="s">
        <v>2498</v>
      </c>
      <c r="AK563" s="53">
        <f t="shared" si="504"/>
        <v>0</v>
      </c>
      <c r="AL563" s="54">
        <f t="shared" si="505"/>
        <v>0.11904761904761904</v>
      </c>
      <c r="AM563" s="54">
        <f t="shared" si="506"/>
        <v>2.3809523809523808E-2</v>
      </c>
      <c r="AN563" s="55">
        <f t="shared" si="507"/>
        <v>0</v>
      </c>
      <c r="AO563" s="55">
        <f t="shared" si="508"/>
        <v>0</v>
      </c>
      <c r="AP563" s="53">
        <v>7.1</v>
      </c>
      <c r="AQ563" s="53">
        <f t="shared" si="476"/>
        <v>4.26</v>
      </c>
      <c r="AR563" s="53">
        <f t="shared" si="477"/>
        <v>21.299999999999997</v>
      </c>
      <c r="AS563" s="56">
        <f t="shared" si="478"/>
        <v>4.6948356807511742E-2</v>
      </c>
      <c r="AT563" s="56">
        <f t="shared" si="509"/>
        <v>0.23474178403755869</v>
      </c>
      <c r="AU563" s="56">
        <f t="shared" si="479"/>
        <v>0.176056338028169</v>
      </c>
      <c r="AV563" s="56">
        <f t="shared" si="510"/>
        <v>5.8685446009389672E-2</v>
      </c>
      <c r="AW563" s="57" t="s">
        <v>2511</v>
      </c>
      <c r="AX563" s="57" t="s">
        <v>2512</v>
      </c>
      <c r="AY563" s="57" t="s">
        <v>2513</v>
      </c>
      <c r="AZ563" s="58">
        <f t="shared" si="511"/>
        <v>0</v>
      </c>
      <c r="BA563" s="59">
        <f t="shared" si="514"/>
        <v>0</v>
      </c>
      <c r="BB563" s="59">
        <f t="shared" si="515"/>
        <v>0</v>
      </c>
      <c r="BC563" s="59">
        <f t="shared" si="516"/>
        <v>0</v>
      </c>
      <c r="BD563" s="60">
        <f t="shared" si="512"/>
        <v>7.1095438516664771E-6</v>
      </c>
      <c r="BE563" s="59">
        <f t="shared" si="513"/>
        <v>2.8438175406665908E-5</v>
      </c>
      <c r="BQ563" s="61">
        <v>3000</v>
      </c>
      <c r="BR563" s="61">
        <v>1200</v>
      </c>
      <c r="BS563" s="28">
        <f t="shared" si="480"/>
        <v>2980</v>
      </c>
      <c r="BT563" s="28">
        <f t="shared" si="481"/>
        <v>1180</v>
      </c>
      <c r="BU563" s="28" t="s">
        <v>2541</v>
      </c>
      <c r="BV563" s="28">
        <f t="shared" si="482"/>
        <v>5</v>
      </c>
      <c r="BW563" s="28">
        <f t="shared" si="483"/>
        <v>5</v>
      </c>
      <c r="BX563" s="13">
        <f t="shared" si="484"/>
        <v>596</v>
      </c>
      <c r="BY563" s="13">
        <f t="shared" si="485"/>
        <v>596</v>
      </c>
      <c r="BZ563" s="13">
        <f t="shared" si="486"/>
        <v>236</v>
      </c>
      <c r="CA563" s="13">
        <f t="shared" si="487"/>
        <v>236</v>
      </c>
      <c r="CB563" s="13">
        <f t="shared" si="488"/>
        <v>140656</v>
      </c>
      <c r="CC563" s="62">
        <f t="shared" si="489"/>
        <v>7.1095438516664771E-6</v>
      </c>
      <c r="CD563" s="13">
        <f t="shared" si="490"/>
        <v>596</v>
      </c>
      <c r="CE563" s="13">
        <f t="shared" si="491"/>
        <v>596</v>
      </c>
      <c r="CF563" s="13">
        <f t="shared" si="492"/>
        <v>236</v>
      </c>
      <c r="CG563" s="13">
        <f t="shared" si="493"/>
        <v>236</v>
      </c>
      <c r="CH563" s="28">
        <f t="shared" si="494"/>
        <v>140656</v>
      </c>
      <c r="CI563" s="62">
        <f t="shared" si="495"/>
        <v>7.1095438516664771E-6</v>
      </c>
      <c r="CJ563" s="59">
        <f t="shared" si="496"/>
        <v>7.1095438516664771E-6</v>
      </c>
      <c r="CL563" s="63">
        <v>6000</v>
      </c>
      <c r="CM563" s="63">
        <f t="shared" si="497"/>
        <v>0</v>
      </c>
      <c r="CN563" s="63">
        <f t="shared" si="498"/>
        <v>5</v>
      </c>
      <c r="CO563" s="63">
        <f t="shared" si="499"/>
        <v>1200</v>
      </c>
      <c r="CP563" s="13">
        <f t="shared" si="500"/>
        <v>1200</v>
      </c>
      <c r="CQ563" s="70">
        <f t="shared" si="501"/>
        <v>8.3333333333333339E-4</v>
      </c>
      <c r="CR563" s="69">
        <f t="shared" si="523"/>
        <v>3.3333333333333335E-3</v>
      </c>
    </row>
    <row r="564" spans="1:96" hidden="1" x14ac:dyDescent="0.25">
      <c r="A564" s="10">
        <v>3</v>
      </c>
      <c r="B564" s="8" t="s">
        <v>1397</v>
      </c>
      <c r="C564" s="10" t="s">
        <v>91</v>
      </c>
      <c r="D564" s="10" t="s">
        <v>93</v>
      </c>
      <c r="E564" s="10" t="s">
        <v>52</v>
      </c>
      <c r="F564" s="12">
        <f t="shared" si="470"/>
        <v>3</v>
      </c>
      <c r="G564" s="10">
        <v>5</v>
      </c>
      <c r="H564" s="10">
        <f t="shared" ref="H564:H568" si="525">G564*$H$559</f>
        <v>5</v>
      </c>
      <c r="I564" s="10">
        <v>6</v>
      </c>
      <c r="J564" s="8" t="s">
        <v>92</v>
      </c>
      <c r="K564" s="8" t="s">
        <v>34</v>
      </c>
      <c r="L564" s="10" t="s">
        <v>89</v>
      </c>
      <c r="M564" s="8" t="s">
        <v>35</v>
      </c>
      <c r="N564" s="10" t="s">
        <v>93</v>
      </c>
      <c r="O564" s="28" t="s">
        <v>41</v>
      </c>
      <c r="P564" s="28" t="s">
        <v>41</v>
      </c>
      <c r="Q564" s="28" t="s">
        <v>79</v>
      </c>
      <c r="R564" s="30">
        <v>19.980314960629922</v>
      </c>
      <c r="S564" s="30">
        <v>0.3125</v>
      </c>
      <c r="T564" s="30"/>
      <c r="U564" s="30">
        <v>0.3125</v>
      </c>
      <c r="V564" s="8">
        <f t="shared" si="471"/>
        <v>507.5</v>
      </c>
      <c r="W564" s="8">
        <f t="shared" si="472"/>
        <v>7.9375</v>
      </c>
      <c r="X564" s="8">
        <f t="shared" si="473"/>
        <v>0</v>
      </c>
      <c r="Y564" s="33">
        <f t="shared" si="474"/>
        <v>7.9375</v>
      </c>
      <c r="Z564" s="28" t="s">
        <v>80</v>
      </c>
      <c r="AA564" s="28" t="s">
        <v>81</v>
      </c>
      <c r="AB564" s="61" t="s">
        <v>79</v>
      </c>
      <c r="AC564" s="31" t="s">
        <v>82</v>
      </c>
      <c r="AD564" s="50">
        <f t="shared" si="475"/>
        <v>5</v>
      </c>
      <c r="AE564" s="31"/>
      <c r="AF564" s="51">
        <v>14</v>
      </c>
      <c r="AG564" s="51">
        <f t="shared" si="503"/>
        <v>8.4</v>
      </c>
      <c r="AH564" s="51">
        <f t="shared" si="469"/>
        <v>42</v>
      </c>
      <c r="AI564" s="52" t="s">
        <v>2497</v>
      </c>
      <c r="AJ564" s="52" t="s">
        <v>2498</v>
      </c>
      <c r="AK564" s="53">
        <f t="shared" si="504"/>
        <v>8.0565624999999995E-3</v>
      </c>
      <c r="AL564" s="54">
        <f t="shared" si="505"/>
        <v>0.11904761904761904</v>
      </c>
      <c r="AM564" s="54">
        <f t="shared" si="506"/>
        <v>2.3809523809523808E-2</v>
      </c>
      <c r="AN564" s="55">
        <f t="shared" si="507"/>
        <v>4.7955729166666659E-3</v>
      </c>
      <c r="AO564" s="55">
        <f t="shared" si="508"/>
        <v>9.5911458333333319E-4</v>
      </c>
      <c r="AP564" s="53">
        <v>7.1</v>
      </c>
      <c r="AQ564" s="53">
        <f t="shared" si="476"/>
        <v>4.26</v>
      </c>
      <c r="AR564" s="53">
        <f t="shared" si="477"/>
        <v>21.299999999999997</v>
      </c>
      <c r="AS564" s="56">
        <f t="shared" si="478"/>
        <v>4.6948356807511742E-2</v>
      </c>
      <c r="AT564" s="56">
        <f t="shared" si="509"/>
        <v>0.23474178403755869</v>
      </c>
      <c r="AU564" s="56">
        <f t="shared" si="479"/>
        <v>0.176056338028169</v>
      </c>
      <c r="AV564" s="56">
        <f t="shared" si="510"/>
        <v>5.8685446009389672E-2</v>
      </c>
      <c r="AW564" s="57" t="s">
        <v>2511</v>
      </c>
      <c r="AX564" s="57" t="s">
        <v>2512</v>
      </c>
      <c r="AY564" s="57" t="s">
        <v>2513</v>
      </c>
      <c r="AZ564" s="58">
        <f t="shared" si="511"/>
        <v>8.0565624999999995E-3</v>
      </c>
      <c r="BA564" s="59">
        <f t="shared" si="514"/>
        <v>1.1820074090375587E-3</v>
      </c>
      <c r="BB564" s="59">
        <f t="shared" si="515"/>
        <v>3.5460222271126757E-3</v>
      </c>
      <c r="BC564" s="59">
        <f t="shared" si="516"/>
        <v>9.4560592723004705E-4</v>
      </c>
      <c r="BD564" s="60">
        <f t="shared" si="512"/>
        <v>2.1739130434782609E-3</v>
      </c>
      <c r="BE564" s="59">
        <f t="shared" si="513"/>
        <v>1.0869565217391304E-2</v>
      </c>
      <c r="BQ564" s="61">
        <v>3000</v>
      </c>
      <c r="BR564" s="61">
        <v>1200</v>
      </c>
      <c r="BS564" s="28">
        <f t="shared" si="480"/>
        <v>2980</v>
      </c>
      <c r="BT564" s="28">
        <f t="shared" si="481"/>
        <v>1180</v>
      </c>
      <c r="BU564" s="28" t="s">
        <v>2541</v>
      </c>
      <c r="BV564" s="28">
        <f t="shared" si="482"/>
        <v>512.5</v>
      </c>
      <c r="BW564" s="28">
        <f t="shared" si="483"/>
        <v>12.9375</v>
      </c>
      <c r="BX564" s="13">
        <f t="shared" si="484"/>
        <v>5.8146341463414632</v>
      </c>
      <c r="BY564" s="13">
        <f t="shared" si="485"/>
        <v>5</v>
      </c>
      <c r="BZ564" s="13">
        <f t="shared" si="486"/>
        <v>91.207729468599027</v>
      </c>
      <c r="CA564" s="13">
        <f t="shared" si="487"/>
        <v>91</v>
      </c>
      <c r="CB564" s="13">
        <f t="shared" si="488"/>
        <v>455</v>
      </c>
      <c r="CC564" s="62">
        <f t="shared" si="489"/>
        <v>2.1978021978021978E-3</v>
      </c>
      <c r="CD564" s="13">
        <f t="shared" si="490"/>
        <v>230.33816425120773</v>
      </c>
      <c r="CE564" s="13">
        <f t="shared" si="491"/>
        <v>230</v>
      </c>
      <c r="CF564" s="13">
        <f t="shared" si="492"/>
        <v>2.3024390243902437</v>
      </c>
      <c r="CG564" s="13">
        <f t="shared" si="493"/>
        <v>2</v>
      </c>
      <c r="CH564" s="28">
        <f t="shared" si="494"/>
        <v>460</v>
      </c>
      <c r="CI564" s="62">
        <f t="shared" si="495"/>
        <v>2.1739130434782609E-3</v>
      </c>
      <c r="CJ564" s="59">
        <f t="shared" si="496"/>
        <v>2.1739130434782609E-3</v>
      </c>
      <c r="CL564" s="63">
        <v>6000</v>
      </c>
      <c r="CM564" s="63">
        <f t="shared" si="497"/>
        <v>507.5</v>
      </c>
      <c r="CN564" s="63">
        <f t="shared" si="498"/>
        <v>512.5</v>
      </c>
      <c r="CO564" s="63">
        <f t="shared" si="499"/>
        <v>11.707317073170731</v>
      </c>
      <c r="CP564" s="13">
        <f t="shared" si="500"/>
        <v>11</v>
      </c>
      <c r="CQ564" s="70">
        <f t="shared" si="501"/>
        <v>9.0909090909090912E-2</v>
      </c>
      <c r="CR564" s="69">
        <f t="shared" si="523"/>
        <v>0.45454545454545459</v>
      </c>
    </row>
    <row r="565" spans="1:96" hidden="1" x14ac:dyDescent="0.25">
      <c r="A565" s="10">
        <v>3</v>
      </c>
      <c r="B565" s="8" t="s">
        <v>1397</v>
      </c>
      <c r="C565" s="10" t="s">
        <v>1406</v>
      </c>
      <c r="D565" s="10" t="s">
        <v>1408</v>
      </c>
      <c r="E565" s="10" t="s">
        <v>52</v>
      </c>
      <c r="F565" s="12">
        <f t="shared" si="470"/>
        <v>1</v>
      </c>
      <c r="G565" s="10">
        <v>2</v>
      </c>
      <c r="H565" s="10">
        <f t="shared" si="525"/>
        <v>2</v>
      </c>
      <c r="I565" s="10">
        <v>7</v>
      </c>
      <c r="J565" s="8" t="s">
        <v>1407</v>
      </c>
      <c r="K565" s="8" t="s">
        <v>34</v>
      </c>
      <c r="L565" s="10" t="s">
        <v>259</v>
      </c>
      <c r="M565" s="8" t="s">
        <v>35</v>
      </c>
      <c r="N565" s="10" t="s">
        <v>1408</v>
      </c>
      <c r="O565" s="28" t="s">
        <v>41</v>
      </c>
      <c r="P565" s="28" t="s">
        <v>41</v>
      </c>
      <c r="Q565" s="28" t="s">
        <v>79</v>
      </c>
      <c r="R565" s="30">
        <v>20.984251968503937</v>
      </c>
      <c r="S565" s="30">
        <v>0.3125</v>
      </c>
      <c r="T565" s="30"/>
      <c r="U565" s="30">
        <v>0.3125</v>
      </c>
      <c r="V565" s="8">
        <f t="shared" si="471"/>
        <v>533</v>
      </c>
      <c r="W565" s="8">
        <f t="shared" si="472"/>
        <v>7.9375</v>
      </c>
      <c r="X565" s="8">
        <f t="shared" si="473"/>
        <v>0</v>
      </c>
      <c r="Y565" s="33">
        <f t="shared" si="474"/>
        <v>7.9375</v>
      </c>
      <c r="Z565" s="28" t="s">
        <v>80</v>
      </c>
      <c r="AA565" s="28" t="s">
        <v>81</v>
      </c>
      <c r="AB565" s="61" t="s">
        <v>79</v>
      </c>
      <c r="AC565" s="31" t="s">
        <v>82</v>
      </c>
      <c r="AD565" s="50">
        <f t="shared" si="475"/>
        <v>2</v>
      </c>
      <c r="AE565" s="31"/>
      <c r="AF565" s="51">
        <v>14</v>
      </c>
      <c r="AG565" s="51">
        <f t="shared" si="503"/>
        <v>8.4</v>
      </c>
      <c r="AH565" s="51">
        <f t="shared" si="469"/>
        <v>42</v>
      </c>
      <c r="AI565" s="52" t="s">
        <v>2497</v>
      </c>
      <c r="AJ565" s="52" t="s">
        <v>2498</v>
      </c>
      <c r="AK565" s="53">
        <f t="shared" si="504"/>
        <v>8.4613750000000001E-3</v>
      </c>
      <c r="AL565" s="54">
        <f t="shared" si="505"/>
        <v>0.11904761904761904</v>
      </c>
      <c r="AM565" s="54">
        <f t="shared" si="506"/>
        <v>2.3809523809523808E-2</v>
      </c>
      <c r="AN565" s="55">
        <f t="shared" si="507"/>
        <v>2.0146130952380954E-3</v>
      </c>
      <c r="AO565" s="55">
        <f t="shared" si="508"/>
        <v>4.0292261904761905E-4</v>
      </c>
      <c r="AP565" s="53">
        <v>7.1</v>
      </c>
      <c r="AQ565" s="53">
        <f t="shared" si="476"/>
        <v>4.26</v>
      </c>
      <c r="AR565" s="53">
        <f t="shared" si="477"/>
        <v>21.299999999999997</v>
      </c>
      <c r="AS565" s="56">
        <f t="shared" si="478"/>
        <v>4.6948356807511742E-2</v>
      </c>
      <c r="AT565" s="56">
        <f t="shared" si="509"/>
        <v>0.23474178403755869</v>
      </c>
      <c r="AU565" s="56">
        <f t="shared" si="479"/>
        <v>0.176056338028169</v>
      </c>
      <c r="AV565" s="56">
        <f t="shared" si="510"/>
        <v>5.8685446009389672E-2</v>
      </c>
      <c r="AW565" s="57" t="s">
        <v>2511</v>
      </c>
      <c r="AX565" s="57" t="s">
        <v>2512</v>
      </c>
      <c r="AY565" s="57" t="s">
        <v>2513</v>
      </c>
      <c r="AZ565" s="58">
        <f t="shared" si="511"/>
        <v>8.4613750000000001E-3</v>
      </c>
      <c r="BA565" s="59">
        <f t="shared" si="514"/>
        <v>4.9655956572769954E-4</v>
      </c>
      <c r="BB565" s="59">
        <f t="shared" si="515"/>
        <v>1.4896786971830985E-3</v>
      </c>
      <c r="BC565" s="59">
        <f t="shared" si="516"/>
        <v>3.9724765258215968E-4</v>
      </c>
      <c r="BD565" s="60">
        <f t="shared" si="512"/>
        <v>2.1739130434782609E-3</v>
      </c>
      <c r="BE565" s="59">
        <f t="shared" si="513"/>
        <v>4.3478260869565218E-3</v>
      </c>
      <c r="BQ565" s="61">
        <v>3000</v>
      </c>
      <c r="BR565" s="61">
        <v>1200</v>
      </c>
      <c r="BS565" s="28">
        <f t="shared" si="480"/>
        <v>2980</v>
      </c>
      <c r="BT565" s="28">
        <f t="shared" si="481"/>
        <v>1180</v>
      </c>
      <c r="BU565" s="28" t="s">
        <v>2541</v>
      </c>
      <c r="BV565" s="28">
        <f t="shared" si="482"/>
        <v>538</v>
      </c>
      <c r="BW565" s="28">
        <f t="shared" si="483"/>
        <v>12.9375</v>
      </c>
      <c r="BX565" s="13">
        <f t="shared" si="484"/>
        <v>5.5390334572490705</v>
      </c>
      <c r="BY565" s="13">
        <f t="shared" si="485"/>
        <v>5</v>
      </c>
      <c r="BZ565" s="13">
        <f t="shared" si="486"/>
        <v>91.207729468599027</v>
      </c>
      <c r="CA565" s="13">
        <f t="shared" si="487"/>
        <v>91</v>
      </c>
      <c r="CB565" s="13">
        <f t="shared" si="488"/>
        <v>455</v>
      </c>
      <c r="CC565" s="62">
        <f t="shared" si="489"/>
        <v>2.1978021978021978E-3</v>
      </c>
      <c r="CD565" s="13">
        <f t="shared" si="490"/>
        <v>230.33816425120773</v>
      </c>
      <c r="CE565" s="13">
        <f t="shared" si="491"/>
        <v>230</v>
      </c>
      <c r="CF565" s="13">
        <f t="shared" si="492"/>
        <v>2.1933085501858738</v>
      </c>
      <c r="CG565" s="13">
        <f t="shared" si="493"/>
        <v>2</v>
      </c>
      <c r="CH565" s="28">
        <f t="shared" si="494"/>
        <v>460</v>
      </c>
      <c r="CI565" s="62">
        <f t="shared" si="495"/>
        <v>2.1739130434782609E-3</v>
      </c>
      <c r="CJ565" s="59">
        <f t="shared" si="496"/>
        <v>2.1739130434782609E-3</v>
      </c>
      <c r="CL565" s="63">
        <v>6000</v>
      </c>
      <c r="CM565" s="63">
        <f t="shared" si="497"/>
        <v>533</v>
      </c>
      <c r="CN565" s="63">
        <f t="shared" si="498"/>
        <v>538</v>
      </c>
      <c r="CO565" s="63">
        <f t="shared" si="499"/>
        <v>11.152416356877323</v>
      </c>
      <c r="CP565" s="13">
        <f t="shared" si="500"/>
        <v>11</v>
      </c>
      <c r="CQ565" s="70">
        <f t="shared" si="501"/>
        <v>9.0909090909090912E-2</v>
      </c>
      <c r="CR565" s="69">
        <f t="shared" si="523"/>
        <v>0.18181818181818182</v>
      </c>
    </row>
    <row r="566" spans="1:96" hidden="1" x14ac:dyDescent="0.25">
      <c r="A566" s="10">
        <v>3</v>
      </c>
      <c r="B566" s="8" t="s">
        <v>1397</v>
      </c>
      <c r="C566" s="10" t="s">
        <v>1409</v>
      </c>
      <c r="D566" s="10" t="s">
        <v>1411</v>
      </c>
      <c r="E566" s="10" t="s">
        <v>52</v>
      </c>
      <c r="F566" s="12">
        <f t="shared" si="470"/>
        <v>2</v>
      </c>
      <c r="G566" s="10">
        <v>1</v>
      </c>
      <c r="H566" s="10">
        <f t="shared" si="525"/>
        <v>1</v>
      </c>
      <c r="I566" s="10">
        <v>8</v>
      </c>
      <c r="J566" s="8" t="s">
        <v>1410</v>
      </c>
      <c r="K566" s="8" t="s">
        <v>34</v>
      </c>
      <c r="L566" s="10" t="s">
        <v>259</v>
      </c>
      <c r="M566" s="8" t="s">
        <v>35</v>
      </c>
      <c r="N566" s="10" t="s">
        <v>1411</v>
      </c>
      <c r="O566" s="28" t="s">
        <v>41</v>
      </c>
      <c r="P566" s="28" t="s">
        <v>41</v>
      </c>
      <c r="Q566" s="28" t="s">
        <v>79</v>
      </c>
      <c r="R566" s="30">
        <v>11.023622047244094</v>
      </c>
      <c r="S566" s="30">
        <v>0.3125</v>
      </c>
      <c r="T566" s="30"/>
      <c r="U566" s="30">
        <v>0.3125</v>
      </c>
      <c r="V566" s="8">
        <f t="shared" si="471"/>
        <v>280</v>
      </c>
      <c r="W566" s="8">
        <f t="shared" si="472"/>
        <v>7.9375</v>
      </c>
      <c r="X566" s="8">
        <f t="shared" si="473"/>
        <v>0</v>
      </c>
      <c r="Y566" s="33">
        <f t="shared" si="474"/>
        <v>7.9375</v>
      </c>
      <c r="Z566" s="28" t="s">
        <v>80</v>
      </c>
      <c r="AA566" s="28" t="s">
        <v>81</v>
      </c>
      <c r="AB566" s="61" t="s">
        <v>79</v>
      </c>
      <c r="AC566" s="31" t="s">
        <v>82</v>
      </c>
      <c r="AD566" s="50">
        <f t="shared" si="475"/>
        <v>1</v>
      </c>
      <c r="AE566" s="31"/>
      <c r="AF566" s="51">
        <v>14</v>
      </c>
      <c r="AG566" s="51">
        <f t="shared" si="503"/>
        <v>8.4</v>
      </c>
      <c r="AH566" s="51">
        <f t="shared" si="469"/>
        <v>42</v>
      </c>
      <c r="AI566" s="52" t="s">
        <v>2497</v>
      </c>
      <c r="AJ566" s="52" t="s">
        <v>2498</v>
      </c>
      <c r="AK566" s="53">
        <f t="shared" si="504"/>
        <v>4.4450000000000002E-3</v>
      </c>
      <c r="AL566" s="54">
        <f t="shared" si="505"/>
        <v>0.11904761904761904</v>
      </c>
      <c r="AM566" s="54">
        <f t="shared" si="506"/>
        <v>2.3809523809523808E-2</v>
      </c>
      <c r="AN566" s="55">
        <f t="shared" si="507"/>
        <v>5.2916666666666661E-4</v>
      </c>
      <c r="AO566" s="55">
        <f t="shared" si="508"/>
        <v>1.0583333333333334E-4</v>
      </c>
      <c r="AP566" s="53">
        <v>7.1</v>
      </c>
      <c r="AQ566" s="53">
        <f t="shared" si="476"/>
        <v>4.26</v>
      </c>
      <c r="AR566" s="53">
        <f t="shared" si="477"/>
        <v>21.299999999999997</v>
      </c>
      <c r="AS566" s="56">
        <f t="shared" si="478"/>
        <v>4.6948356807511742E-2</v>
      </c>
      <c r="AT566" s="56">
        <f t="shared" si="509"/>
        <v>0.23474178403755869</v>
      </c>
      <c r="AU566" s="56">
        <f t="shared" si="479"/>
        <v>0.176056338028169</v>
      </c>
      <c r="AV566" s="56">
        <f t="shared" si="510"/>
        <v>5.8685446009389672E-2</v>
      </c>
      <c r="AW566" s="57" t="s">
        <v>2511</v>
      </c>
      <c r="AX566" s="57" t="s">
        <v>2512</v>
      </c>
      <c r="AY566" s="57" t="s">
        <v>2513</v>
      </c>
      <c r="AZ566" s="58">
        <f t="shared" si="511"/>
        <v>4.4450000000000002E-3</v>
      </c>
      <c r="BA566" s="59">
        <f t="shared" si="514"/>
        <v>1.3042840375586856E-4</v>
      </c>
      <c r="BB566" s="59">
        <f t="shared" si="515"/>
        <v>3.9128521126760563E-4</v>
      </c>
      <c r="BC566" s="59">
        <f t="shared" si="516"/>
        <v>1.0434272300469485E-4</v>
      </c>
      <c r="BD566" s="60">
        <f t="shared" si="512"/>
        <v>1.0869565217391304E-3</v>
      </c>
      <c r="BE566" s="59">
        <f t="shared" si="513"/>
        <v>1.0869565217391304E-3</v>
      </c>
      <c r="BQ566" s="61">
        <v>3000</v>
      </c>
      <c r="BR566" s="61">
        <v>1200</v>
      </c>
      <c r="BS566" s="28">
        <f t="shared" si="480"/>
        <v>2980</v>
      </c>
      <c r="BT566" s="28">
        <f t="shared" si="481"/>
        <v>1180</v>
      </c>
      <c r="BU566" s="28" t="s">
        <v>2541</v>
      </c>
      <c r="BV566" s="28">
        <f t="shared" si="482"/>
        <v>285</v>
      </c>
      <c r="BW566" s="28">
        <f t="shared" si="483"/>
        <v>12.9375</v>
      </c>
      <c r="BX566" s="13">
        <f t="shared" si="484"/>
        <v>10.456140350877194</v>
      </c>
      <c r="BY566" s="13">
        <f t="shared" si="485"/>
        <v>10</v>
      </c>
      <c r="BZ566" s="13">
        <f t="shared" si="486"/>
        <v>91.207729468599027</v>
      </c>
      <c r="CA566" s="13">
        <f t="shared" si="487"/>
        <v>91</v>
      </c>
      <c r="CB566" s="13">
        <f t="shared" si="488"/>
        <v>910</v>
      </c>
      <c r="CC566" s="62">
        <f t="shared" si="489"/>
        <v>1.0989010989010989E-3</v>
      </c>
      <c r="CD566" s="13">
        <f t="shared" si="490"/>
        <v>230.33816425120773</v>
      </c>
      <c r="CE566" s="13">
        <f t="shared" si="491"/>
        <v>230</v>
      </c>
      <c r="CF566" s="13">
        <f t="shared" si="492"/>
        <v>4.1403508771929829</v>
      </c>
      <c r="CG566" s="13">
        <f t="shared" si="493"/>
        <v>4</v>
      </c>
      <c r="CH566" s="28">
        <f t="shared" si="494"/>
        <v>920</v>
      </c>
      <c r="CI566" s="62">
        <f t="shared" si="495"/>
        <v>1.0869565217391304E-3</v>
      </c>
      <c r="CJ566" s="59">
        <f t="shared" si="496"/>
        <v>1.0869565217391304E-3</v>
      </c>
      <c r="CL566" s="63">
        <v>6000</v>
      </c>
      <c r="CM566" s="63">
        <f t="shared" si="497"/>
        <v>280</v>
      </c>
      <c r="CN566" s="63">
        <f t="shared" si="498"/>
        <v>285</v>
      </c>
      <c r="CO566" s="63">
        <f t="shared" si="499"/>
        <v>21.05263157894737</v>
      </c>
      <c r="CP566" s="13">
        <f t="shared" si="500"/>
        <v>21</v>
      </c>
      <c r="CQ566" s="70">
        <f t="shared" si="501"/>
        <v>4.7619047619047616E-2</v>
      </c>
      <c r="CR566" s="69">
        <f t="shared" si="523"/>
        <v>4.7619047619047616E-2</v>
      </c>
    </row>
    <row r="567" spans="1:96" hidden="1" x14ac:dyDescent="0.25">
      <c r="A567" s="10">
        <v>3</v>
      </c>
      <c r="B567" s="8" t="s">
        <v>1397</v>
      </c>
      <c r="C567" s="10" t="s">
        <v>1412</v>
      </c>
      <c r="D567" s="10" t="s">
        <v>1414</v>
      </c>
      <c r="E567" s="10" t="s">
        <v>52</v>
      </c>
      <c r="F567" s="12">
        <f t="shared" si="470"/>
        <v>1</v>
      </c>
      <c r="G567" s="10">
        <v>2</v>
      </c>
      <c r="H567" s="10">
        <f t="shared" si="525"/>
        <v>2</v>
      </c>
      <c r="I567" s="10">
        <v>9</v>
      </c>
      <c r="J567" s="8" t="s">
        <v>1413</v>
      </c>
      <c r="K567" s="8" t="s">
        <v>34</v>
      </c>
      <c r="L567" s="10" t="s">
        <v>259</v>
      </c>
      <c r="M567" s="8" t="s">
        <v>35</v>
      </c>
      <c r="N567" s="10" t="s">
        <v>1414</v>
      </c>
      <c r="O567" s="28" t="s">
        <v>41</v>
      </c>
      <c r="P567" s="28" t="s">
        <v>41</v>
      </c>
      <c r="Q567" s="28" t="s">
        <v>79</v>
      </c>
      <c r="R567" s="30">
        <v>10.15748031496063</v>
      </c>
      <c r="S567" s="30">
        <v>0.3125</v>
      </c>
      <c r="T567" s="30"/>
      <c r="U567" s="30">
        <v>0.3125</v>
      </c>
      <c r="V567" s="8">
        <f t="shared" si="471"/>
        <v>258</v>
      </c>
      <c r="W567" s="8">
        <f t="shared" si="472"/>
        <v>7.9375</v>
      </c>
      <c r="X567" s="8">
        <f t="shared" si="473"/>
        <v>0</v>
      </c>
      <c r="Y567" s="33">
        <f t="shared" si="474"/>
        <v>7.9375</v>
      </c>
      <c r="Z567" s="28" t="s">
        <v>80</v>
      </c>
      <c r="AA567" s="28" t="s">
        <v>81</v>
      </c>
      <c r="AB567" s="61" t="s">
        <v>79</v>
      </c>
      <c r="AC567" s="31" t="s">
        <v>82</v>
      </c>
      <c r="AD567" s="50">
        <f t="shared" si="475"/>
        <v>2</v>
      </c>
      <c r="AE567" s="31"/>
      <c r="AF567" s="51">
        <v>14</v>
      </c>
      <c r="AG567" s="51">
        <f t="shared" si="503"/>
        <v>8.4</v>
      </c>
      <c r="AH567" s="51">
        <f t="shared" si="469"/>
        <v>42</v>
      </c>
      <c r="AI567" s="52" t="s">
        <v>2497</v>
      </c>
      <c r="AJ567" s="52" t="s">
        <v>2498</v>
      </c>
      <c r="AK567" s="53">
        <f t="shared" si="504"/>
        <v>4.0957500000000004E-3</v>
      </c>
      <c r="AL567" s="54">
        <f t="shared" si="505"/>
        <v>0.11904761904761904</v>
      </c>
      <c r="AM567" s="54">
        <f t="shared" si="506"/>
        <v>2.3809523809523808E-2</v>
      </c>
      <c r="AN567" s="55">
        <f t="shared" si="507"/>
        <v>9.751785714285715E-4</v>
      </c>
      <c r="AO567" s="55">
        <f t="shared" si="508"/>
        <v>1.9503571428571429E-4</v>
      </c>
      <c r="AP567" s="53">
        <v>7.1</v>
      </c>
      <c r="AQ567" s="53">
        <f t="shared" si="476"/>
        <v>4.26</v>
      </c>
      <c r="AR567" s="53">
        <f t="shared" si="477"/>
        <v>21.299999999999997</v>
      </c>
      <c r="AS567" s="56">
        <f t="shared" si="478"/>
        <v>4.6948356807511742E-2</v>
      </c>
      <c r="AT567" s="56">
        <f t="shared" si="509"/>
        <v>0.23474178403755869</v>
      </c>
      <c r="AU567" s="56">
        <f t="shared" si="479"/>
        <v>0.176056338028169</v>
      </c>
      <c r="AV567" s="56">
        <f t="shared" si="510"/>
        <v>5.8685446009389672E-2</v>
      </c>
      <c r="AW567" s="57" t="s">
        <v>2511</v>
      </c>
      <c r="AX567" s="57" t="s">
        <v>2512</v>
      </c>
      <c r="AY567" s="57" t="s">
        <v>2513</v>
      </c>
      <c r="AZ567" s="58">
        <f t="shared" si="511"/>
        <v>4.0957500000000004E-3</v>
      </c>
      <c r="BA567" s="59">
        <f t="shared" si="514"/>
        <v>2.4036091549295776E-4</v>
      </c>
      <c r="BB567" s="59">
        <f t="shared" si="515"/>
        <v>7.2108274647887324E-4</v>
      </c>
      <c r="BC567" s="59">
        <f t="shared" si="516"/>
        <v>1.9228873239436622E-4</v>
      </c>
      <c r="BD567" s="60">
        <f t="shared" si="512"/>
        <v>9.99000999000999E-4</v>
      </c>
      <c r="BE567" s="59">
        <f t="shared" si="513"/>
        <v>1.998001998001998E-3</v>
      </c>
      <c r="BQ567" s="61">
        <v>3000</v>
      </c>
      <c r="BR567" s="61">
        <v>1200</v>
      </c>
      <c r="BS567" s="28">
        <f t="shared" si="480"/>
        <v>2980</v>
      </c>
      <c r="BT567" s="28">
        <f t="shared" si="481"/>
        <v>1180</v>
      </c>
      <c r="BU567" s="28" t="s">
        <v>2541</v>
      </c>
      <c r="BV567" s="28">
        <f t="shared" si="482"/>
        <v>263</v>
      </c>
      <c r="BW567" s="28">
        <f t="shared" si="483"/>
        <v>12.9375</v>
      </c>
      <c r="BX567" s="13">
        <f t="shared" si="484"/>
        <v>11.330798479087452</v>
      </c>
      <c r="BY567" s="13">
        <f t="shared" si="485"/>
        <v>11</v>
      </c>
      <c r="BZ567" s="13">
        <f t="shared" si="486"/>
        <v>91.207729468599027</v>
      </c>
      <c r="CA567" s="13">
        <f t="shared" si="487"/>
        <v>91</v>
      </c>
      <c r="CB567" s="13">
        <f t="shared" si="488"/>
        <v>1001</v>
      </c>
      <c r="CC567" s="62">
        <f t="shared" si="489"/>
        <v>9.99000999000999E-4</v>
      </c>
      <c r="CD567" s="13">
        <f t="shared" si="490"/>
        <v>230.33816425120773</v>
      </c>
      <c r="CE567" s="13">
        <f t="shared" si="491"/>
        <v>230</v>
      </c>
      <c r="CF567" s="13">
        <f t="shared" si="492"/>
        <v>4.4866920152091252</v>
      </c>
      <c r="CG567" s="13">
        <f t="shared" si="493"/>
        <v>4</v>
      </c>
      <c r="CH567" s="28">
        <f t="shared" si="494"/>
        <v>920</v>
      </c>
      <c r="CI567" s="62">
        <f t="shared" si="495"/>
        <v>1.0869565217391304E-3</v>
      </c>
      <c r="CJ567" s="59">
        <f t="shared" si="496"/>
        <v>9.99000999000999E-4</v>
      </c>
      <c r="CL567" s="63">
        <v>6000</v>
      </c>
      <c r="CM567" s="63">
        <f t="shared" si="497"/>
        <v>258</v>
      </c>
      <c r="CN567" s="63">
        <f t="shared" si="498"/>
        <v>263</v>
      </c>
      <c r="CO567" s="63">
        <f t="shared" si="499"/>
        <v>22.813688212927758</v>
      </c>
      <c r="CP567" s="13">
        <f t="shared" si="500"/>
        <v>22</v>
      </c>
      <c r="CQ567" s="70">
        <f t="shared" si="501"/>
        <v>4.5454545454545456E-2</v>
      </c>
      <c r="CR567" s="69">
        <f t="shared" si="523"/>
        <v>9.0909090909090912E-2</v>
      </c>
    </row>
    <row r="568" spans="1:96" hidden="1" x14ac:dyDescent="0.25">
      <c r="A568" s="10">
        <v>3</v>
      </c>
      <c r="B568" s="8" t="s">
        <v>1397</v>
      </c>
      <c r="C568" s="10" t="s">
        <v>530</v>
      </c>
      <c r="D568" s="10" t="s">
        <v>532</v>
      </c>
      <c r="E568" s="10" t="s">
        <v>32</v>
      </c>
      <c r="F568" s="12">
        <f t="shared" si="470"/>
        <v>21</v>
      </c>
      <c r="G568" s="10">
        <v>1</v>
      </c>
      <c r="H568" s="10">
        <f t="shared" si="525"/>
        <v>1</v>
      </c>
      <c r="I568" s="10">
        <v>10</v>
      </c>
      <c r="J568" s="8" t="s">
        <v>531</v>
      </c>
      <c r="K568" s="8" t="s">
        <v>34</v>
      </c>
      <c r="L568" s="10" t="s">
        <v>110</v>
      </c>
      <c r="M568" s="8" t="s">
        <v>35</v>
      </c>
      <c r="N568" s="10" t="s">
        <v>532</v>
      </c>
      <c r="O568" s="28" t="s">
        <v>41</v>
      </c>
      <c r="P568" s="28" t="s">
        <v>41</v>
      </c>
      <c r="Q568" s="28"/>
      <c r="R568" s="30"/>
      <c r="S568" s="30"/>
      <c r="T568" s="30"/>
      <c r="U568" s="30"/>
      <c r="V568" s="8">
        <f t="shared" si="471"/>
        <v>0</v>
      </c>
      <c r="W568" s="8">
        <f t="shared" si="472"/>
        <v>0</v>
      </c>
      <c r="X568" s="8">
        <f t="shared" si="473"/>
        <v>0</v>
      </c>
      <c r="Y568" s="33">
        <f t="shared" si="474"/>
        <v>0</v>
      </c>
      <c r="Z568" s="28"/>
      <c r="AA568" s="28"/>
      <c r="AB568" s="28">
        <v>0</v>
      </c>
      <c r="AC568" s="31"/>
      <c r="AD568" s="50">
        <f t="shared" si="475"/>
        <v>1</v>
      </c>
      <c r="AE568" s="47" t="s">
        <v>107</v>
      </c>
      <c r="AF568" s="51">
        <v>14</v>
      </c>
      <c r="AG568" s="51">
        <f t="shared" si="503"/>
        <v>8.4</v>
      </c>
      <c r="AH568" s="51">
        <f t="shared" si="469"/>
        <v>42</v>
      </c>
      <c r="AI568" s="52" t="s">
        <v>2497</v>
      </c>
      <c r="AJ568" s="52" t="s">
        <v>2498</v>
      </c>
      <c r="AK568" s="53">
        <f t="shared" si="504"/>
        <v>0</v>
      </c>
      <c r="AL568" s="54">
        <f t="shared" si="505"/>
        <v>0.11904761904761904</v>
      </c>
      <c r="AM568" s="54">
        <f t="shared" si="506"/>
        <v>2.3809523809523808E-2</v>
      </c>
      <c r="AN568" s="55">
        <f t="shared" si="507"/>
        <v>0</v>
      </c>
      <c r="AO568" s="55">
        <f t="shared" si="508"/>
        <v>0</v>
      </c>
      <c r="AP568" s="53">
        <v>7.1</v>
      </c>
      <c r="AQ568" s="53">
        <f t="shared" si="476"/>
        <v>4.26</v>
      </c>
      <c r="AR568" s="53">
        <f t="shared" si="477"/>
        <v>21.299999999999997</v>
      </c>
      <c r="AS568" s="56">
        <f t="shared" si="478"/>
        <v>4.6948356807511742E-2</v>
      </c>
      <c r="AT568" s="56">
        <f t="shared" si="509"/>
        <v>0.23474178403755869</v>
      </c>
      <c r="AU568" s="56">
        <f t="shared" si="479"/>
        <v>0.176056338028169</v>
      </c>
      <c r="AV568" s="56">
        <f t="shared" si="510"/>
        <v>5.8685446009389672E-2</v>
      </c>
      <c r="AW568" s="57" t="s">
        <v>2511</v>
      </c>
      <c r="AX568" s="57" t="s">
        <v>2512</v>
      </c>
      <c r="AY568" s="57" t="s">
        <v>2513</v>
      </c>
      <c r="AZ568" s="58">
        <f t="shared" si="511"/>
        <v>0</v>
      </c>
      <c r="BA568" s="59">
        <f t="shared" si="514"/>
        <v>0</v>
      </c>
      <c r="BB568" s="59">
        <f t="shared" si="515"/>
        <v>0</v>
      </c>
      <c r="BC568" s="59">
        <f t="shared" si="516"/>
        <v>0</v>
      </c>
      <c r="BD568" s="60">
        <f t="shared" si="512"/>
        <v>0</v>
      </c>
      <c r="BE568" s="59">
        <f t="shared" si="513"/>
        <v>0</v>
      </c>
      <c r="BQ568" s="61">
        <v>3000</v>
      </c>
      <c r="BR568" s="61">
        <v>1200</v>
      </c>
      <c r="BS568" s="28">
        <f t="shared" si="480"/>
        <v>2980</v>
      </c>
      <c r="BT568" s="28">
        <f t="shared" si="481"/>
        <v>1180</v>
      </c>
      <c r="BU568" s="28" t="s">
        <v>2541</v>
      </c>
      <c r="BV568" s="28">
        <f t="shared" si="482"/>
        <v>5</v>
      </c>
      <c r="BW568" s="28">
        <f t="shared" si="483"/>
        <v>5</v>
      </c>
      <c r="BX568" s="13">
        <f t="shared" si="484"/>
        <v>596</v>
      </c>
      <c r="BY568" s="13">
        <f t="shared" si="485"/>
        <v>596</v>
      </c>
      <c r="BZ568" s="13">
        <f t="shared" si="486"/>
        <v>236</v>
      </c>
      <c r="CA568" s="13">
        <f t="shared" si="487"/>
        <v>236</v>
      </c>
      <c r="CB568" s="13">
        <f t="shared" si="488"/>
        <v>140656</v>
      </c>
      <c r="CC568" s="62" t="str">
        <f t="shared" si="489"/>
        <v/>
      </c>
      <c r="CD568" s="13">
        <f t="shared" si="490"/>
        <v>596</v>
      </c>
      <c r="CE568" s="13">
        <f t="shared" si="491"/>
        <v>596</v>
      </c>
      <c r="CF568" s="13">
        <f t="shared" si="492"/>
        <v>236</v>
      </c>
      <c r="CG568" s="13">
        <f t="shared" si="493"/>
        <v>236</v>
      </c>
      <c r="CH568" s="28">
        <f t="shared" si="494"/>
        <v>140656</v>
      </c>
      <c r="CI568" s="62" t="str">
        <f t="shared" si="495"/>
        <v/>
      </c>
      <c r="CJ568" s="59">
        <f t="shared" si="496"/>
        <v>0</v>
      </c>
      <c r="CL568" s="63">
        <v>6000</v>
      </c>
      <c r="CM568" s="63">
        <f t="shared" si="497"/>
        <v>0</v>
      </c>
      <c r="CN568" s="63">
        <f t="shared" si="498"/>
        <v>5</v>
      </c>
      <c r="CO568" s="63">
        <f t="shared" si="499"/>
        <v>1200</v>
      </c>
      <c r="CP568" s="13">
        <f t="shared" si="500"/>
        <v>1200</v>
      </c>
      <c r="CQ568" s="70">
        <f t="shared" si="501"/>
        <v>8.3333333333333339E-4</v>
      </c>
      <c r="CR568" s="69">
        <f t="shared" si="523"/>
        <v>8.3333333333333339E-4</v>
      </c>
    </row>
    <row r="569" spans="1:96" hidden="1" x14ac:dyDescent="0.25">
      <c r="A569" s="13">
        <v>4</v>
      </c>
      <c r="B569" s="14" t="s">
        <v>769</v>
      </c>
      <c r="C569" s="13" t="s">
        <v>534</v>
      </c>
      <c r="D569" s="13" t="s">
        <v>2270</v>
      </c>
      <c r="E569" s="13" t="s">
        <v>52</v>
      </c>
      <c r="F569" s="15">
        <f t="shared" si="470"/>
        <v>21</v>
      </c>
      <c r="G569" s="13">
        <v>1</v>
      </c>
      <c r="H569" s="13">
        <f>G569*$H$568</f>
        <v>1</v>
      </c>
      <c r="I569" s="13">
        <v>1</v>
      </c>
      <c r="J569" s="14" t="s">
        <v>101</v>
      </c>
      <c r="K569" s="14" t="s">
        <v>34</v>
      </c>
      <c r="L569" s="13" t="s">
        <v>110</v>
      </c>
      <c r="M569" s="14" t="s">
        <v>35</v>
      </c>
      <c r="N569" s="13" t="s">
        <v>535</v>
      </c>
      <c r="O569" s="28" t="s">
        <v>41</v>
      </c>
      <c r="P569" s="28" t="s">
        <v>41</v>
      </c>
      <c r="Q569" s="28" t="s">
        <v>535</v>
      </c>
      <c r="R569" s="30">
        <v>0.98</v>
      </c>
      <c r="S569" s="30">
        <v>0.98</v>
      </c>
      <c r="T569" s="30"/>
      <c r="U569" s="30">
        <v>0.11811023622047245</v>
      </c>
      <c r="V569" s="8">
        <f t="shared" si="471"/>
        <v>24.891999999999999</v>
      </c>
      <c r="W569" s="8">
        <f t="shared" si="472"/>
        <v>24.891999999999999</v>
      </c>
      <c r="X569" s="8">
        <f t="shared" si="473"/>
        <v>0</v>
      </c>
      <c r="Y569" s="33">
        <f t="shared" si="474"/>
        <v>3</v>
      </c>
      <c r="Z569" s="28" t="s">
        <v>536</v>
      </c>
      <c r="AA569" s="28" t="s">
        <v>537</v>
      </c>
      <c r="AB569" s="61" t="s">
        <v>535</v>
      </c>
      <c r="AC569" s="31" t="s">
        <v>538</v>
      </c>
      <c r="AD569" s="50">
        <f t="shared" si="475"/>
        <v>1</v>
      </c>
      <c r="AE569" s="31"/>
      <c r="AF569" s="51">
        <v>14</v>
      </c>
      <c r="AG569" s="51">
        <f t="shared" si="503"/>
        <v>8.4</v>
      </c>
      <c r="AH569" s="51">
        <f t="shared" si="469"/>
        <v>42</v>
      </c>
      <c r="AI569" s="52" t="s">
        <v>2497</v>
      </c>
      <c r="AJ569" s="52" t="s">
        <v>2498</v>
      </c>
      <c r="AK569" s="53">
        <f t="shared" si="504"/>
        <v>1.239223328E-3</v>
      </c>
      <c r="AL569" s="54">
        <f t="shared" si="505"/>
        <v>0.11904761904761904</v>
      </c>
      <c r="AM569" s="54">
        <f t="shared" si="506"/>
        <v>2.3809523809523808E-2</v>
      </c>
      <c r="AN569" s="55">
        <f t="shared" si="507"/>
        <v>1.4752658666666667E-4</v>
      </c>
      <c r="AO569" s="55">
        <f t="shared" si="508"/>
        <v>2.9505317333333333E-5</v>
      </c>
      <c r="AP569" s="53">
        <v>7.1</v>
      </c>
      <c r="AQ569" s="53">
        <f t="shared" si="476"/>
        <v>4.26</v>
      </c>
      <c r="AR569" s="53">
        <f t="shared" si="477"/>
        <v>21.299999999999997</v>
      </c>
      <c r="AS569" s="56">
        <f t="shared" si="478"/>
        <v>4.6948356807511742E-2</v>
      </c>
      <c r="AT569" s="56">
        <f t="shared" si="509"/>
        <v>0.23474178403755869</v>
      </c>
      <c r="AU569" s="56">
        <f t="shared" si="479"/>
        <v>0.176056338028169</v>
      </c>
      <c r="AV569" s="56">
        <f t="shared" si="510"/>
        <v>5.8685446009389672E-2</v>
      </c>
      <c r="AW569" s="57" t="s">
        <v>2511</v>
      </c>
      <c r="AX569" s="57" t="s">
        <v>2512</v>
      </c>
      <c r="AY569" s="57" t="s">
        <v>2513</v>
      </c>
      <c r="AZ569" s="58">
        <f t="shared" si="511"/>
        <v>1.239223328E-3</v>
      </c>
      <c r="BA569" s="59">
        <f t="shared" si="514"/>
        <v>3.6362186854460095E-5</v>
      </c>
      <c r="BB569" s="59">
        <f t="shared" si="515"/>
        <v>1.0908656056338028E-4</v>
      </c>
      <c r="BC569" s="59">
        <f t="shared" si="516"/>
        <v>2.9089749483568078E-5</v>
      </c>
      <c r="BD569" s="60">
        <f t="shared" si="512"/>
        <v>2.5900025900025902E-4</v>
      </c>
      <c r="BE569" s="59">
        <f t="shared" si="513"/>
        <v>2.5900025900025902E-4</v>
      </c>
      <c r="BQ569" s="61">
        <v>3000</v>
      </c>
      <c r="BR569" s="61">
        <v>1200</v>
      </c>
      <c r="BS569" s="28">
        <f t="shared" si="480"/>
        <v>2980</v>
      </c>
      <c r="BT569" s="28">
        <f t="shared" si="481"/>
        <v>1180</v>
      </c>
      <c r="BU569" s="28" t="s">
        <v>2541</v>
      </c>
      <c r="BV569" s="28">
        <f t="shared" si="482"/>
        <v>29.891999999999999</v>
      </c>
      <c r="BW569" s="28">
        <f t="shared" si="483"/>
        <v>29.891999999999999</v>
      </c>
      <c r="BX569" s="13">
        <f t="shared" si="484"/>
        <v>99.692225344573799</v>
      </c>
      <c r="BY569" s="13">
        <f t="shared" si="485"/>
        <v>99</v>
      </c>
      <c r="BZ569" s="13">
        <f t="shared" si="486"/>
        <v>39.475444935099695</v>
      </c>
      <c r="CA569" s="13">
        <f t="shared" si="487"/>
        <v>39</v>
      </c>
      <c r="CB569" s="13">
        <f t="shared" si="488"/>
        <v>3861</v>
      </c>
      <c r="CC569" s="62">
        <f t="shared" si="489"/>
        <v>2.5900025900025902E-4</v>
      </c>
      <c r="CD569" s="13">
        <f t="shared" si="490"/>
        <v>99.692225344573799</v>
      </c>
      <c r="CE569" s="13">
        <f t="shared" si="491"/>
        <v>99</v>
      </c>
      <c r="CF569" s="13">
        <f t="shared" si="492"/>
        <v>39.475444935099695</v>
      </c>
      <c r="CG569" s="13">
        <f t="shared" si="493"/>
        <v>39</v>
      </c>
      <c r="CH569" s="28">
        <f t="shared" si="494"/>
        <v>3861</v>
      </c>
      <c r="CI569" s="62">
        <f t="shared" si="495"/>
        <v>2.5900025900025902E-4</v>
      </c>
      <c r="CJ569" s="59">
        <f t="shared" si="496"/>
        <v>2.5900025900025902E-4</v>
      </c>
      <c r="CL569" s="63">
        <v>6000</v>
      </c>
      <c r="CM569" s="63">
        <f t="shared" si="497"/>
        <v>24.891999999999999</v>
      </c>
      <c r="CN569" s="63">
        <f t="shared" si="498"/>
        <v>29.891999999999999</v>
      </c>
      <c r="CO569" s="63">
        <f t="shared" si="499"/>
        <v>200.72260136491369</v>
      </c>
      <c r="CP569" s="13">
        <f t="shared" si="500"/>
        <v>200</v>
      </c>
      <c r="CQ569" s="70">
        <f t="shared" si="501"/>
        <v>5.0000000000000001E-3</v>
      </c>
      <c r="CR569" s="69">
        <f t="shared" si="523"/>
        <v>5.0000000000000001E-3</v>
      </c>
    </row>
    <row r="570" spans="1:96" hidden="1" x14ac:dyDescent="0.25">
      <c r="A570" s="13">
        <v>4</v>
      </c>
      <c r="B570" s="14" t="s">
        <v>769</v>
      </c>
      <c r="C570" s="13" t="s">
        <v>539</v>
      </c>
      <c r="D570" s="13" t="s">
        <v>2270</v>
      </c>
      <c r="E570" s="13" t="s">
        <v>52</v>
      </c>
      <c r="F570" s="15">
        <f t="shared" si="470"/>
        <v>21</v>
      </c>
      <c r="G570" s="13">
        <v>1</v>
      </c>
      <c r="H570" s="13">
        <f>G570*$H$568</f>
        <v>1</v>
      </c>
      <c r="I570" s="13">
        <v>2</v>
      </c>
      <c r="J570" s="14" t="s">
        <v>101</v>
      </c>
      <c r="K570" s="14" t="s">
        <v>34</v>
      </c>
      <c r="L570" s="13" t="s">
        <v>110</v>
      </c>
      <c r="M570" s="14" t="s">
        <v>35</v>
      </c>
      <c r="N570" s="13" t="s">
        <v>540</v>
      </c>
      <c r="O570" s="28" t="s">
        <v>41</v>
      </c>
      <c r="P570" s="28" t="s">
        <v>41</v>
      </c>
      <c r="Q570" s="28" t="s">
        <v>540</v>
      </c>
      <c r="R570" s="30">
        <v>0.98</v>
      </c>
      <c r="S570" s="30">
        <v>0.98</v>
      </c>
      <c r="T570" s="30"/>
      <c r="U570" s="30">
        <v>0.47244094488188981</v>
      </c>
      <c r="V570" s="8">
        <f t="shared" si="471"/>
        <v>24.891999999999999</v>
      </c>
      <c r="W570" s="8">
        <f t="shared" si="472"/>
        <v>24.891999999999999</v>
      </c>
      <c r="X570" s="8">
        <f t="shared" si="473"/>
        <v>0</v>
      </c>
      <c r="Y570" s="33">
        <f t="shared" si="474"/>
        <v>12</v>
      </c>
      <c r="Z570" s="28" t="s">
        <v>2477</v>
      </c>
      <c r="AA570" s="28" t="s">
        <v>2477</v>
      </c>
      <c r="AB570" s="61" t="s">
        <v>540</v>
      </c>
      <c r="AC570" s="31" t="s">
        <v>541</v>
      </c>
      <c r="AD570" s="50">
        <f t="shared" si="475"/>
        <v>1</v>
      </c>
      <c r="AE570" s="31"/>
      <c r="AF570" s="51">
        <v>14</v>
      </c>
      <c r="AG570" s="51">
        <f t="shared" si="503"/>
        <v>8.4</v>
      </c>
      <c r="AH570" s="51">
        <f t="shared" si="469"/>
        <v>42</v>
      </c>
      <c r="AI570" s="52" t="s">
        <v>2497</v>
      </c>
      <c r="AJ570" s="52" t="s">
        <v>2498</v>
      </c>
      <c r="AK570" s="53">
        <f t="shared" si="504"/>
        <v>1.239223328E-3</v>
      </c>
      <c r="AL570" s="54">
        <f t="shared" si="505"/>
        <v>0.11904761904761904</v>
      </c>
      <c r="AM570" s="54">
        <f t="shared" si="506"/>
        <v>2.3809523809523808E-2</v>
      </c>
      <c r="AN570" s="55">
        <f t="shared" si="507"/>
        <v>1.4752658666666667E-4</v>
      </c>
      <c r="AO570" s="55">
        <f t="shared" si="508"/>
        <v>2.9505317333333333E-5</v>
      </c>
      <c r="AP570" s="53">
        <v>7.1</v>
      </c>
      <c r="AQ570" s="53">
        <f t="shared" si="476"/>
        <v>4.26</v>
      </c>
      <c r="AR570" s="53">
        <f t="shared" si="477"/>
        <v>21.299999999999997</v>
      </c>
      <c r="AS570" s="56">
        <f t="shared" si="478"/>
        <v>4.6948356807511742E-2</v>
      </c>
      <c r="AT570" s="56">
        <f t="shared" si="509"/>
        <v>0.23474178403755869</v>
      </c>
      <c r="AU570" s="56">
        <f t="shared" si="479"/>
        <v>0.176056338028169</v>
      </c>
      <c r="AV570" s="56">
        <f t="shared" si="510"/>
        <v>5.8685446009389672E-2</v>
      </c>
      <c r="AW570" s="57" t="s">
        <v>2511</v>
      </c>
      <c r="AX570" s="57" t="s">
        <v>2512</v>
      </c>
      <c r="AY570" s="57" t="s">
        <v>2513</v>
      </c>
      <c r="AZ570" s="58">
        <f t="shared" si="511"/>
        <v>1.239223328E-3</v>
      </c>
      <c r="BA570" s="59">
        <f t="shared" si="514"/>
        <v>3.6362186854460095E-5</v>
      </c>
      <c r="BB570" s="59">
        <f t="shared" si="515"/>
        <v>1.0908656056338028E-4</v>
      </c>
      <c r="BC570" s="59">
        <f t="shared" si="516"/>
        <v>2.9089749483568078E-5</v>
      </c>
      <c r="BD570" s="60">
        <f t="shared" si="512"/>
        <v>2.5900025900025902E-4</v>
      </c>
      <c r="BE570" s="59">
        <f t="shared" si="513"/>
        <v>2.5900025900025902E-4</v>
      </c>
      <c r="BQ570" s="61">
        <v>3000</v>
      </c>
      <c r="BR570" s="61">
        <v>1200</v>
      </c>
      <c r="BS570" s="28">
        <f t="shared" si="480"/>
        <v>2980</v>
      </c>
      <c r="BT570" s="28">
        <f t="shared" si="481"/>
        <v>1180</v>
      </c>
      <c r="BU570" s="28" t="s">
        <v>2541</v>
      </c>
      <c r="BV570" s="28">
        <f t="shared" si="482"/>
        <v>29.891999999999999</v>
      </c>
      <c r="BW570" s="28">
        <f t="shared" si="483"/>
        <v>29.891999999999999</v>
      </c>
      <c r="BX570" s="13">
        <f t="shared" si="484"/>
        <v>99.692225344573799</v>
      </c>
      <c r="BY570" s="13">
        <f t="shared" si="485"/>
        <v>99</v>
      </c>
      <c r="BZ570" s="13">
        <f t="shared" si="486"/>
        <v>39.475444935099695</v>
      </c>
      <c r="CA570" s="13">
        <f t="shared" si="487"/>
        <v>39</v>
      </c>
      <c r="CB570" s="13">
        <f t="shared" si="488"/>
        <v>3861</v>
      </c>
      <c r="CC570" s="62">
        <f t="shared" si="489"/>
        <v>2.5900025900025902E-4</v>
      </c>
      <c r="CD570" s="13">
        <f t="shared" si="490"/>
        <v>99.692225344573799</v>
      </c>
      <c r="CE570" s="13">
        <f t="shared" si="491"/>
        <v>99</v>
      </c>
      <c r="CF570" s="13">
        <f t="shared" si="492"/>
        <v>39.475444935099695</v>
      </c>
      <c r="CG570" s="13">
        <f t="shared" si="493"/>
        <v>39</v>
      </c>
      <c r="CH570" s="28">
        <f t="shared" si="494"/>
        <v>3861</v>
      </c>
      <c r="CI570" s="62">
        <f t="shared" si="495"/>
        <v>2.5900025900025902E-4</v>
      </c>
      <c r="CJ570" s="59">
        <f t="shared" si="496"/>
        <v>2.5900025900025902E-4</v>
      </c>
      <c r="CL570" s="63">
        <v>6000</v>
      </c>
      <c r="CM570" s="63">
        <f t="shared" si="497"/>
        <v>24.891999999999999</v>
      </c>
      <c r="CN570" s="63">
        <f t="shared" si="498"/>
        <v>29.891999999999999</v>
      </c>
      <c r="CO570" s="63">
        <f t="shared" si="499"/>
        <v>200.72260136491369</v>
      </c>
      <c r="CP570" s="13">
        <f t="shared" si="500"/>
        <v>200</v>
      </c>
      <c r="CQ570" s="70">
        <f t="shared" si="501"/>
        <v>5.0000000000000001E-3</v>
      </c>
      <c r="CR570" s="69">
        <f t="shared" si="523"/>
        <v>5.0000000000000001E-3</v>
      </c>
    </row>
    <row r="571" spans="1:96" hidden="1" x14ac:dyDescent="0.25">
      <c r="A571" s="10">
        <v>3</v>
      </c>
      <c r="B571" s="8" t="s">
        <v>1397</v>
      </c>
      <c r="C571" s="10" t="s">
        <v>226</v>
      </c>
      <c r="D571" s="10" t="s">
        <v>228</v>
      </c>
      <c r="E571" s="10" t="s">
        <v>52</v>
      </c>
      <c r="F571" s="12">
        <f t="shared" si="470"/>
        <v>5</v>
      </c>
      <c r="G571" s="10">
        <v>8</v>
      </c>
      <c r="H571" s="10">
        <f t="shared" ref="H571:H573" si="526">G571*$H$559</f>
        <v>8</v>
      </c>
      <c r="I571" s="10">
        <v>11</v>
      </c>
      <c r="J571" s="8" t="s">
        <v>227</v>
      </c>
      <c r="K571" s="8" t="s">
        <v>34</v>
      </c>
      <c r="L571" s="10" t="s">
        <v>89</v>
      </c>
      <c r="M571" s="8" t="s">
        <v>35</v>
      </c>
      <c r="N571" s="10" t="s">
        <v>228</v>
      </c>
      <c r="O571" s="28" t="s">
        <v>41</v>
      </c>
      <c r="P571" s="28" t="s">
        <v>41</v>
      </c>
      <c r="Q571" s="28" t="s">
        <v>79</v>
      </c>
      <c r="R571" s="30">
        <v>10</v>
      </c>
      <c r="S571" s="30">
        <v>0.3125</v>
      </c>
      <c r="T571" s="30"/>
      <c r="U571" s="30">
        <v>0.3125</v>
      </c>
      <c r="V571" s="8">
        <f t="shared" si="471"/>
        <v>254</v>
      </c>
      <c r="W571" s="8">
        <f t="shared" si="472"/>
        <v>7.9375</v>
      </c>
      <c r="X571" s="8">
        <f t="shared" si="473"/>
        <v>0</v>
      </c>
      <c r="Y571" s="33">
        <f t="shared" si="474"/>
        <v>7.9375</v>
      </c>
      <c r="Z571" s="28" t="s">
        <v>80</v>
      </c>
      <c r="AA571" s="28" t="s">
        <v>81</v>
      </c>
      <c r="AB571" s="61" t="s">
        <v>79</v>
      </c>
      <c r="AC571" s="31" t="s">
        <v>82</v>
      </c>
      <c r="AD571" s="50">
        <f t="shared" si="475"/>
        <v>8</v>
      </c>
      <c r="AE571" s="31"/>
      <c r="AF571" s="51">
        <v>14</v>
      </c>
      <c r="AG571" s="51">
        <f t="shared" si="503"/>
        <v>8.4</v>
      </c>
      <c r="AH571" s="51">
        <f t="shared" si="469"/>
        <v>42</v>
      </c>
      <c r="AI571" s="52" t="s">
        <v>2497</v>
      </c>
      <c r="AJ571" s="52" t="s">
        <v>2498</v>
      </c>
      <c r="AK571" s="53">
        <f t="shared" si="504"/>
        <v>4.0322500000000002E-3</v>
      </c>
      <c r="AL571" s="54">
        <f t="shared" si="505"/>
        <v>0.11904761904761904</v>
      </c>
      <c r="AM571" s="54">
        <f t="shared" si="506"/>
        <v>2.3809523809523808E-2</v>
      </c>
      <c r="AN571" s="55">
        <f t="shared" si="507"/>
        <v>3.8402380952380953E-3</v>
      </c>
      <c r="AO571" s="55">
        <f t="shared" si="508"/>
        <v>7.6804761904761905E-4</v>
      </c>
      <c r="AP571" s="53">
        <v>7.1</v>
      </c>
      <c r="AQ571" s="53">
        <f t="shared" si="476"/>
        <v>4.26</v>
      </c>
      <c r="AR571" s="53">
        <f t="shared" si="477"/>
        <v>21.299999999999997</v>
      </c>
      <c r="AS571" s="56">
        <f t="shared" si="478"/>
        <v>4.6948356807511742E-2</v>
      </c>
      <c r="AT571" s="56">
        <f t="shared" si="509"/>
        <v>0.23474178403755869</v>
      </c>
      <c r="AU571" s="56">
        <f t="shared" si="479"/>
        <v>0.176056338028169</v>
      </c>
      <c r="AV571" s="56">
        <f t="shared" si="510"/>
        <v>5.8685446009389672E-2</v>
      </c>
      <c r="AW571" s="57" t="s">
        <v>2511</v>
      </c>
      <c r="AX571" s="57" t="s">
        <v>2512</v>
      </c>
      <c r="AY571" s="57" t="s">
        <v>2513</v>
      </c>
      <c r="AZ571" s="58">
        <f t="shared" si="511"/>
        <v>4.0322500000000002E-3</v>
      </c>
      <c r="BA571" s="59">
        <f t="shared" si="514"/>
        <v>9.4653755868544611E-4</v>
      </c>
      <c r="BB571" s="59">
        <f t="shared" si="515"/>
        <v>2.8396126760563381E-3</v>
      </c>
      <c r="BC571" s="59">
        <f t="shared" si="516"/>
        <v>7.5723004694835689E-4</v>
      </c>
      <c r="BD571" s="60">
        <f t="shared" si="512"/>
        <v>9.99000999000999E-4</v>
      </c>
      <c r="BE571" s="59">
        <f t="shared" si="513"/>
        <v>7.992007992007992E-3</v>
      </c>
      <c r="BQ571" s="61">
        <v>3000</v>
      </c>
      <c r="BR571" s="61">
        <v>1200</v>
      </c>
      <c r="BS571" s="28">
        <f t="shared" si="480"/>
        <v>2980</v>
      </c>
      <c r="BT571" s="28">
        <f t="shared" si="481"/>
        <v>1180</v>
      </c>
      <c r="BU571" s="28" t="s">
        <v>2541</v>
      </c>
      <c r="BV571" s="28">
        <f t="shared" si="482"/>
        <v>259</v>
      </c>
      <c r="BW571" s="28">
        <f t="shared" si="483"/>
        <v>12.9375</v>
      </c>
      <c r="BX571" s="13">
        <f t="shared" si="484"/>
        <v>11.505791505791505</v>
      </c>
      <c r="BY571" s="13">
        <f t="shared" si="485"/>
        <v>11</v>
      </c>
      <c r="BZ571" s="13">
        <f t="shared" si="486"/>
        <v>91.207729468599027</v>
      </c>
      <c r="CA571" s="13">
        <f t="shared" si="487"/>
        <v>91</v>
      </c>
      <c r="CB571" s="13">
        <f t="shared" si="488"/>
        <v>1001</v>
      </c>
      <c r="CC571" s="62">
        <f t="shared" si="489"/>
        <v>9.99000999000999E-4</v>
      </c>
      <c r="CD571" s="13">
        <f t="shared" si="490"/>
        <v>230.33816425120773</v>
      </c>
      <c r="CE571" s="13">
        <f t="shared" si="491"/>
        <v>230</v>
      </c>
      <c r="CF571" s="13">
        <f t="shared" si="492"/>
        <v>4.5559845559845558</v>
      </c>
      <c r="CG571" s="13">
        <f t="shared" si="493"/>
        <v>4</v>
      </c>
      <c r="CH571" s="28">
        <f t="shared" si="494"/>
        <v>920</v>
      </c>
      <c r="CI571" s="62">
        <f t="shared" si="495"/>
        <v>1.0869565217391304E-3</v>
      </c>
      <c r="CJ571" s="59">
        <f t="shared" si="496"/>
        <v>9.99000999000999E-4</v>
      </c>
      <c r="CL571" s="63">
        <v>6000</v>
      </c>
      <c r="CM571" s="63">
        <f t="shared" si="497"/>
        <v>254</v>
      </c>
      <c r="CN571" s="63">
        <f t="shared" si="498"/>
        <v>259</v>
      </c>
      <c r="CO571" s="63">
        <f t="shared" si="499"/>
        <v>23.166023166023166</v>
      </c>
      <c r="CP571" s="13">
        <f t="shared" si="500"/>
        <v>23</v>
      </c>
      <c r="CQ571" s="70">
        <f t="shared" si="501"/>
        <v>4.3478260869565216E-2</v>
      </c>
      <c r="CR571" s="69">
        <f t="shared" si="523"/>
        <v>0.34782608695652173</v>
      </c>
    </row>
    <row r="572" spans="1:96" hidden="1" x14ac:dyDescent="0.25">
      <c r="A572" s="10">
        <v>3</v>
      </c>
      <c r="B572" s="8" t="s">
        <v>1397</v>
      </c>
      <c r="C572" s="10" t="s">
        <v>1415</v>
      </c>
      <c r="D572" s="10" t="s">
        <v>1417</v>
      </c>
      <c r="E572" s="10" t="s">
        <v>52</v>
      </c>
      <c r="F572" s="12">
        <f t="shared" si="470"/>
        <v>1</v>
      </c>
      <c r="G572" s="10">
        <v>1</v>
      </c>
      <c r="H572" s="10">
        <f t="shared" si="526"/>
        <v>1</v>
      </c>
      <c r="I572" s="10">
        <v>12</v>
      </c>
      <c r="J572" s="8" t="s">
        <v>1416</v>
      </c>
      <c r="K572" s="8" t="s">
        <v>34</v>
      </c>
      <c r="L572" s="10" t="s">
        <v>259</v>
      </c>
      <c r="M572" s="8" t="s">
        <v>35</v>
      </c>
      <c r="N572" s="10" t="s">
        <v>1417</v>
      </c>
      <c r="O572" s="28" t="s">
        <v>41</v>
      </c>
      <c r="P572" s="28" t="s">
        <v>41</v>
      </c>
      <c r="Q572" s="28" t="s">
        <v>79</v>
      </c>
      <c r="R572" s="30">
        <v>5.984251968503937</v>
      </c>
      <c r="S572" s="30">
        <v>0.3125</v>
      </c>
      <c r="T572" s="30"/>
      <c r="U572" s="30">
        <v>0.3125</v>
      </c>
      <c r="V572" s="8">
        <f t="shared" si="471"/>
        <v>152</v>
      </c>
      <c r="W572" s="8">
        <f t="shared" si="472"/>
        <v>7.9375</v>
      </c>
      <c r="X572" s="8">
        <f t="shared" si="473"/>
        <v>0</v>
      </c>
      <c r="Y572" s="33">
        <f t="shared" si="474"/>
        <v>7.9375</v>
      </c>
      <c r="Z572" s="28" t="s">
        <v>80</v>
      </c>
      <c r="AA572" s="28" t="s">
        <v>81</v>
      </c>
      <c r="AB572" s="61" t="s">
        <v>79</v>
      </c>
      <c r="AC572" s="31" t="s">
        <v>82</v>
      </c>
      <c r="AD572" s="50">
        <f t="shared" si="475"/>
        <v>1</v>
      </c>
      <c r="AE572" s="31"/>
      <c r="AF572" s="51">
        <v>14</v>
      </c>
      <c r="AG572" s="51">
        <f t="shared" si="503"/>
        <v>8.4</v>
      </c>
      <c r="AH572" s="51">
        <f t="shared" si="469"/>
        <v>42</v>
      </c>
      <c r="AI572" s="52" t="s">
        <v>2497</v>
      </c>
      <c r="AJ572" s="52" t="s">
        <v>2498</v>
      </c>
      <c r="AK572" s="53">
        <f t="shared" si="504"/>
        <v>2.4130000000000002E-3</v>
      </c>
      <c r="AL572" s="54">
        <f t="shared" si="505"/>
        <v>0.11904761904761904</v>
      </c>
      <c r="AM572" s="54">
        <f t="shared" si="506"/>
        <v>2.3809523809523808E-2</v>
      </c>
      <c r="AN572" s="55">
        <f t="shared" si="507"/>
        <v>2.8726190476190475E-4</v>
      </c>
      <c r="AO572" s="55">
        <f t="shared" si="508"/>
        <v>5.7452380952380953E-5</v>
      </c>
      <c r="AP572" s="53">
        <v>7.1</v>
      </c>
      <c r="AQ572" s="53">
        <f t="shared" si="476"/>
        <v>4.26</v>
      </c>
      <c r="AR572" s="53">
        <f t="shared" si="477"/>
        <v>21.299999999999997</v>
      </c>
      <c r="AS572" s="56">
        <f t="shared" si="478"/>
        <v>4.6948356807511742E-2</v>
      </c>
      <c r="AT572" s="56">
        <f t="shared" si="509"/>
        <v>0.23474178403755869</v>
      </c>
      <c r="AU572" s="56">
        <f t="shared" si="479"/>
        <v>0.176056338028169</v>
      </c>
      <c r="AV572" s="56">
        <f t="shared" si="510"/>
        <v>5.8685446009389672E-2</v>
      </c>
      <c r="AW572" s="57" t="s">
        <v>2511</v>
      </c>
      <c r="AX572" s="57" t="s">
        <v>2512</v>
      </c>
      <c r="AY572" s="57" t="s">
        <v>2513</v>
      </c>
      <c r="AZ572" s="58">
        <f t="shared" si="511"/>
        <v>2.4130000000000002E-3</v>
      </c>
      <c r="BA572" s="59">
        <f t="shared" si="514"/>
        <v>7.0803990610328649E-5</v>
      </c>
      <c r="BB572" s="59">
        <f t="shared" si="515"/>
        <v>2.1241197183098591E-4</v>
      </c>
      <c r="BC572" s="59">
        <f t="shared" si="516"/>
        <v>5.6643192488262918E-5</v>
      </c>
      <c r="BD572" s="60">
        <f t="shared" si="512"/>
        <v>6.105006105006105E-4</v>
      </c>
      <c r="BE572" s="59">
        <f t="shared" si="513"/>
        <v>6.105006105006105E-4</v>
      </c>
      <c r="BQ572" s="61">
        <v>3000</v>
      </c>
      <c r="BR572" s="61">
        <v>1200</v>
      </c>
      <c r="BS572" s="28">
        <f t="shared" si="480"/>
        <v>2980</v>
      </c>
      <c r="BT572" s="28">
        <f t="shared" si="481"/>
        <v>1180</v>
      </c>
      <c r="BU572" s="28" t="s">
        <v>2541</v>
      </c>
      <c r="BV572" s="28">
        <f t="shared" si="482"/>
        <v>157</v>
      </c>
      <c r="BW572" s="28">
        <f t="shared" si="483"/>
        <v>12.9375</v>
      </c>
      <c r="BX572" s="13">
        <f t="shared" si="484"/>
        <v>18.980891719745223</v>
      </c>
      <c r="BY572" s="13">
        <f t="shared" si="485"/>
        <v>18</v>
      </c>
      <c r="BZ572" s="13">
        <f t="shared" si="486"/>
        <v>91.207729468599027</v>
      </c>
      <c r="CA572" s="13">
        <f t="shared" si="487"/>
        <v>91</v>
      </c>
      <c r="CB572" s="13">
        <f t="shared" si="488"/>
        <v>1638</v>
      </c>
      <c r="CC572" s="62">
        <f t="shared" si="489"/>
        <v>6.105006105006105E-4</v>
      </c>
      <c r="CD572" s="13">
        <f t="shared" si="490"/>
        <v>230.33816425120773</v>
      </c>
      <c r="CE572" s="13">
        <f t="shared" si="491"/>
        <v>230</v>
      </c>
      <c r="CF572" s="13">
        <f t="shared" si="492"/>
        <v>7.515923566878981</v>
      </c>
      <c r="CG572" s="13">
        <f t="shared" si="493"/>
        <v>7</v>
      </c>
      <c r="CH572" s="28">
        <f t="shared" si="494"/>
        <v>1610</v>
      </c>
      <c r="CI572" s="62">
        <f t="shared" si="495"/>
        <v>6.2111801242236027E-4</v>
      </c>
      <c r="CJ572" s="59">
        <f t="shared" si="496"/>
        <v>6.105006105006105E-4</v>
      </c>
      <c r="CL572" s="63">
        <v>6000</v>
      </c>
      <c r="CM572" s="63">
        <f t="shared" si="497"/>
        <v>152</v>
      </c>
      <c r="CN572" s="63">
        <f t="shared" si="498"/>
        <v>157</v>
      </c>
      <c r="CO572" s="63">
        <f t="shared" si="499"/>
        <v>38.216560509554142</v>
      </c>
      <c r="CP572" s="13">
        <f t="shared" si="500"/>
        <v>38</v>
      </c>
      <c r="CQ572" s="70">
        <f t="shared" si="501"/>
        <v>2.6315789473684209E-2</v>
      </c>
      <c r="CR572" s="69">
        <f t="shared" si="523"/>
        <v>2.6315789473684209E-2</v>
      </c>
    </row>
    <row r="573" spans="1:96" hidden="1" x14ac:dyDescent="0.25">
      <c r="A573" s="10">
        <v>3</v>
      </c>
      <c r="B573" s="8" t="s">
        <v>1397</v>
      </c>
      <c r="C573" s="10" t="s">
        <v>1418</v>
      </c>
      <c r="D573" s="10" t="s">
        <v>2270</v>
      </c>
      <c r="E573" s="10" t="s">
        <v>32</v>
      </c>
      <c r="F573" s="12">
        <f t="shared" si="470"/>
        <v>1</v>
      </c>
      <c r="G573" s="10">
        <v>1</v>
      </c>
      <c r="H573" s="10">
        <f t="shared" si="526"/>
        <v>1</v>
      </c>
      <c r="I573" s="10">
        <v>30</v>
      </c>
      <c r="J573" s="8" t="s">
        <v>1395</v>
      </c>
      <c r="K573" s="8" t="s">
        <v>34</v>
      </c>
      <c r="L573" s="10">
        <v>0</v>
      </c>
      <c r="M573" s="8" t="s">
        <v>35</v>
      </c>
      <c r="N573" s="10" t="s">
        <v>1419</v>
      </c>
      <c r="O573" s="28" t="s">
        <v>41</v>
      </c>
      <c r="P573" s="28" t="s">
        <v>41</v>
      </c>
      <c r="Q573" s="28"/>
      <c r="R573" s="30"/>
      <c r="S573" s="30"/>
      <c r="T573" s="30"/>
      <c r="U573" s="30"/>
      <c r="V573" s="8">
        <f t="shared" si="471"/>
        <v>0</v>
      </c>
      <c r="W573" s="8">
        <f t="shared" si="472"/>
        <v>0</v>
      </c>
      <c r="X573" s="8">
        <f t="shared" si="473"/>
        <v>0</v>
      </c>
      <c r="Y573" s="33">
        <f t="shared" si="474"/>
        <v>0</v>
      </c>
      <c r="Z573" s="28"/>
      <c r="AA573" s="28"/>
      <c r="AB573" s="28">
        <v>0</v>
      </c>
      <c r="AC573" s="31"/>
      <c r="AD573" s="50">
        <f t="shared" si="475"/>
        <v>1</v>
      </c>
      <c r="AE573" s="31"/>
      <c r="AF573" s="51">
        <v>14</v>
      </c>
      <c r="AG573" s="51">
        <f t="shared" si="503"/>
        <v>8.4</v>
      </c>
      <c r="AH573" s="51">
        <f t="shared" si="469"/>
        <v>42</v>
      </c>
      <c r="AI573" s="52" t="s">
        <v>2497</v>
      </c>
      <c r="AJ573" s="52" t="s">
        <v>2498</v>
      </c>
      <c r="AK573" s="53">
        <f t="shared" si="504"/>
        <v>0</v>
      </c>
      <c r="AL573" s="54">
        <f t="shared" si="505"/>
        <v>0.11904761904761904</v>
      </c>
      <c r="AM573" s="54">
        <f t="shared" si="506"/>
        <v>2.3809523809523808E-2</v>
      </c>
      <c r="AN573" s="55">
        <f t="shared" si="507"/>
        <v>0</v>
      </c>
      <c r="AO573" s="55">
        <f t="shared" si="508"/>
        <v>0</v>
      </c>
      <c r="AP573" s="53">
        <v>7.1</v>
      </c>
      <c r="AQ573" s="53">
        <f t="shared" si="476"/>
        <v>4.26</v>
      </c>
      <c r="AR573" s="53">
        <f t="shared" si="477"/>
        <v>21.299999999999997</v>
      </c>
      <c r="AS573" s="56">
        <f t="shared" si="478"/>
        <v>4.6948356807511742E-2</v>
      </c>
      <c r="AT573" s="56">
        <f t="shared" si="509"/>
        <v>0.23474178403755869</v>
      </c>
      <c r="AU573" s="56">
        <f t="shared" si="479"/>
        <v>0.176056338028169</v>
      </c>
      <c r="AV573" s="56">
        <f t="shared" si="510"/>
        <v>5.8685446009389672E-2</v>
      </c>
      <c r="AW573" s="57" t="s">
        <v>2511</v>
      </c>
      <c r="AX573" s="57" t="s">
        <v>2512</v>
      </c>
      <c r="AY573" s="57" t="s">
        <v>2513</v>
      </c>
      <c r="AZ573" s="58">
        <f t="shared" si="511"/>
        <v>0</v>
      </c>
      <c r="BA573" s="59">
        <f t="shared" si="514"/>
        <v>0</v>
      </c>
      <c r="BB573" s="59">
        <f t="shared" si="515"/>
        <v>0</v>
      </c>
      <c r="BC573" s="59">
        <f t="shared" si="516"/>
        <v>0</v>
      </c>
      <c r="BD573" s="60">
        <f t="shared" si="512"/>
        <v>0</v>
      </c>
      <c r="BE573" s="59">
        <f t="shared" si="513"/>
        <v>0</v>
      </c>
      <c r="BQ573" s="61">
        <v>3000</v>
      </c>
      <c r="BR573" s="61">
        <v>1200</v>
      </c>
      <c r="BS573" s="28">
        <f t="shared" si="480"/>
        <v>2980</v>
      </c>
      <c r="BT573" s="28">
        <f t="shared" si="481"/>
        <v>1180</v>
      </c>
      <c r="BU573" s="28" t="s">
        <v>2541</v>
      </c>
      <c r="BV573" s="28">
        <f t="shared" si="482"/>
        <v>5</v>
      </c>
      <c r="BW573" s="28">
        <f t="shared" si="483"/>
        <v>5</v>
      </c>
      <c r="BX573" s="13">
        <f t="shared" si="484"/>
        <v>596</v>
      </c>
      <c r="BY573" s="13">
        <f t="shared" si="485"/>
        <v>596</v>
      </c>
      <c r="BZ573" s="13">
        <f t="shared" si="486"/>
        <v>236</v>
      </c>
      <c r="CA573" s="13">
        <f t="shared" si="487"/>
        <v>236</v>
      </c>
      <c r="CB573" s="13">
        <f t="shared" si="488"/>
        <v>140656</v>
      </c>
      <c r="CC573" s="62" t="str">
        <f t="shared" si="489"/>
        <v/>
      </c>
      <c r="CD573" s="13">
        <f t="shared" si="490"/>
        <v>596</v>
      </c>
      <c r="CE573" s="13">
        <f t="shared" si="491"/>
        <v>596</v>
      </c>
      <c r="CF573" s="13">
        <f t="shared" si="492"/>
        <v>236</v>
      </c>
      <c r="CG573" s="13">
        <f t="shared" si="493"/>
        <v>236</v>
      </c>
      <c r="CH573" s="28">
        <f t="shared" si="494"/>
        <v>140656</v>
      </c>
      <c r="CI573" s="62" t="str">
        <f t="shared" si="495"/>
        <v/>
      </c>
      <c r="CJ573" s="59">
        <f t="shared" si="496"/>
        <v>0</v>
      </c>
      <c r="CL573" s="63">
        <v>6000</v>
      </c>
      <c r="CM573" s="63">
        <f t="shared" si="497"/>
        <v>0</v>
      </c>
      <c r="CN573" s="63">
        <f t="shared" si="498"/>
        <v>5</v>
      </c>
      <c r="CO573" s="63">
        <f t="shared" si="499"/>
        <v>1200</v>
      </c>
      <c r="CP573" s="13">
        <f t="shared" si="500"/>
        <v>1200</v>
      </c>
      <c r="CQ573" s="70">
        <f t="shared" si="501"/>
        <v>8.3333333333333339E-4</v>
      </c>
      <c r="CR573" s="69">
        <f t="shared" si="523"/>
        <v>8.3333333333333339E-4</v>
      </c>
    </row>
    <row r="574" spans="1:96" hidden="1" x14ac:dyDescent="0.25">
      <c r="A574" s="13">
        <v>4</v>
      </c>
      <c r="B574" s="14" t="s">
        <v>1420</v>
      </c>
      <c r="C574" s="13" t="s">
        <v>1421</v>
      </c>
      <c r="D574" s="13" t="s">
        <v>2270</v>
      </c>
      <c r="E574" s="13" t="s">
        <v>52</v>
      </c>
      <c r="F574" s="15">
        <f t="shared" si="470"/>
        <v>1</v>
      </c>
      <c r="G574" s="13">
        <v>1</v>
      </c>
      <c r="H574" s="13">
        <f>G574*$H$573</f>
        <v>1</v>
      </c>
      <c r="I574" s="13">
        <v>1</v>
      </c>
      <c r="J574" s="14" t="s">
        <v>1422</v>
      </c>
      <c r="K574" s="14" t="s">
        <v>34</v>
      </c>
      <c r="L574" s="13">
        <v>0</v>
      </c>
      <c r="M574" s="14" t="s">
        <v>35</v>
      </c>
      <c r="N574" s="13" t="s">
        <v>1423</v>
      </c>
      <c r="O574" s="28" t="s">
        <v>41</v>
      </c>
      <c r="P574" s="28" t="s">
        <v>41</v>
      </c>
      <c r="Q574" s="28" t="s">
        <v>124</v>
      </c>
      <c r="R574" s="30">
        <v>58.587000000000003</v>
      </c>
      <c r="S574" s="30">
        <v>23.657</v>
      </c>
      <c r="T574" s="30"/>
      <c r="U574" s="30">
        <v>9.8000000000000004E-2</v>
      </c>
      <c r="V574" s="8">
        <f t="shared" si="471"/>
        <v>1488.1098</v>
      </c>
      <c r="W574" s="8">
        <f t="shared" si="472"/>
        <v>600.88779999999997</v>
      </c>
      <c r="X574" s="8">
        <f t="shared" si="473"/>
        <v>0</v>
      </c>
      <c r="Y574" s="33">
        <f t="shared" si="474"/>
        <v>2.4891999999999999</v>
      </c>
      <c r="Z574" s="28" t="s">
        <v>56</v>
      </c>
      <c r="AA574" s="28" t="s">
        <v>57</v>
      </c>
      <c r="AB574" s="61" t="s">
        <v>124</v>
      </c>
      <c r="AC574" s="31" t="s">
        <v>125</v>
      </c>
      <c r="AD574" s="50">
        <f t="shared" si="475"/>
        <v>1</v>
      </c>
      <c r="AE574" s="31"/>
      <c r="AF574" s="51">
        <v>14</v>
      </c>
      <c r="AG574" s="51">
        <f t="shared" si="503"/>
        <v>8.4</v>
      </c>
      <c r="AH574" s="51">
        <f t="shared" si="469"/>
        <v>42</v>
      </c>
      <c r="AI574" s="52" t="s">
        <v>2497</v>
      </c>
      <c r="AJ574" s="52" t="s">
        <v>2498</v>
      </c>
      <c r="AK574" s="53">
        <f t="shared" si="504"/>
        <v>1.7883740477608798</v>
      </c>
      <c r="AL574" s="54">
        <f t="shared" si="505"/>
        <v>0.11904761904761904</v>
      </c>
      <c r="AM574" s="54">
        <f t="shared" si="506"/>
        <v>2.3809523809523808E-2</v>
      </c>
      <c r="AN574" s="55">
        <f t="shared" si="507"/>
        <v>0.21290167235248569</v>
      </c>
      <c r="AO574" s="55">
        <f t="shared" si="508"/>
        <v>4.2580334470497139E-2</v>
      </c>
      <c r="AP574" s="53">
        <v>7.1</v>
      </c>
      <c r="AQ574" s="53">
        <f t="shared" si="476"/>
        <v>4.26</v>
      </c>
      <c r="AR574" s="53">
        <f t="shared" si="477"/>
        <v>21.299999999999997</v>
      </c>
      <c r="AS574" s="56">
        <f t="shared" si="478"/>
        <v>4.6948356807511742E-2</v>
      </c>
      <c r="AT574" s="56">
        <f t="shared" si="509"/>
        <v>0.23474178403755869</v>
      </c>
      <c r="AU574" s="56">
        <f t="shared" si="479"/>
        <v>0.176056338028169</v>
      </c>
      <c r="AV574" s="56">
        <f t="shared" si="510"/>
        <v>5.8685446009389672E-2</v>
      </c>
      <c r="AW574" s="57" t="s">
        <v>2511</v>
      </c>
      <c r="AX574" s="57" t="s">
        <v>2512</v>
      </c>
      <c r="AY574" s="57" t="s">
        <v>2513</v>
      </c>
      <c r="AZ574" s="58">
        <f t="shared" si="511"/>
        <v>1.7883740477608798</v>
      </c>
      <c r="BA574" s="59">
        <f t="shared" si="514"/>
        <v>5.2475764312232387E-2</v>
      </c>
      <c r="BB574" s="59">
        <f t="shared" si="515"/>
        <v>0.15742729293669716</v>
      </c>
      <c r="BC574" s="59">
        <f t="shared" si="516"/>
        <v>4.1980611449785918E-2</v>
      </c>
      <c r="BD574" s="60">
        <f t="shared" si="512"/>
        <v>1</v>
      </c>
      <c r="BE574" s="59">
        <f t="shared" si="513"/>
        <v>1</v>
      </c>
      <c r="BQ574" s="61">
        <v>3000</v>
      </c>
      <c r="BR574" s="61">
        <v>1200</v>
      </c>
      <c r="BS574" s="28">
        <f t="shared" si="480"/>
        <v>2980</v>
      </c>
      <c r="BT574" s="28">
        <f t="shared" si="481"/>
        <v>1180</v>
      </c>
      <c r="BU574" s="28" t="s">
        <v>2541</v>
      </c>
      <c r="BV574" s="28">
        <f t="shared" si="482"/>
        <v>1493.1098</v>
      </c>
      <c r="BW574" s="28">
        <f t="shared" si="483"/>
        <v>605.88779999999997</v>
      </c>
      <c r="BX574" s="13">
        <f t="shared" si="484"/>
        <v>1.9958344657573075</v>
      </c>
      <c r="BY574" s="13">
        <f t="shared" si="485"/>
        <v>1</v>
      </c>
      <c r="BZ574" s="13">
        <f t="shared" si="486"/>
        <v>1.9475553064445266</v>
      </c>
      <c r="CA574" s="13">
        <f t="shared" si="487"/>
        <v>1</v>
      </c>
      <c r="CB574" s="13">
        <f t="shared" si="488"/>
        <v>1</v>
      </c>
      <c r="CC574" s="62">
        <f t="shared" si="489"/>
        <v>1</v>
      </c>
      <c r="CD574" s="13">
        <f t="shared" si="490"/>
        <v>4.9184023840717703</v>
      </c>
      <c r="CE574" s="13">
        <f t="shared" si="491"/>
        <v>4</v>
      </c>
      <c r="CF574" s="13">
        <f t="shared" si="492"/>
        <v>0.79029686899114859</v>
      </c>
      <c r="CG574" s="13">
        <f t="shared" si="493"/>
        <v>0</v>
      </c>
      <c r="CH574" s="28">
        <f t="shared" si="494"/>
        <v>0</v>
      </c>
      <c r="CI574" s="62">
        <f t="shared" si="495"/>
        <v>1</v>
      </c>
      <c r="CJ574" s="59">
        <f t="shared" si="496"/>
        <v>1</v>
      </c>
      <c r="CL574" s="63">
        <v>6000</v>
      </c>
      <c r="CM574" s="63">
        <f t="shared" si="497"/>
        <v>1488.1098</v>
      </c>
      <c r="CN574" s="63">
        <f t="shared" si="498"/>
        <v>1493.1098</v>
      </c>
      <c r="CO574" s="63">
        <f t="shared" si="499"/>
        <v>4.018458655887196</v>
      </c>
      <c r="CP574" s="13">
        <f t="shared" si="500"/>
        <v>4</v>
      </c>
      <c r="CQ574" s="70">
        <f t="shared" si="501"/>
        <v>0.25</v>
      </c>
      <c r="CR574" s="69">
        <f t="shared" si="523"/>
        <v>0.25</v>
      </c>
    </row>
    <row r="575" spans="1:96" hidden="1" x14ac:dyDescent="0.25">
      <c r="A575" s="13">
        <v>4</v>
      </c>
      <c r="B575" s="14" t="s">
        <v>1420</v>
      </c>
      <c r="C575" s="13" t="s">
        <v>859</v>
      </c>
      <c r="D575" s="13" t="s">
        <v>861</v>
      </c>
      <c r="E575" s="13" t="s">
        <v>52</v>
      </c>
      <c r="F575" s="15">
        <f t="shared" si="470"/>
        <v>3</v>
      </c>
      <c r="G575" s="13">
        <v>12</v>
      </c>
      <c r="H575" s="13">
        <f t="shared" ref="H575:H576" si="527">G575*$H$573</f>
        <v>12</v>
      </c>
      <c r="I575" s="13">
        <v>2</v>
      </c>
      <c r="J575" s="14" t="s">
        <v>860</v>
      </c>
      <c r="K575" s="14" t="s">
        <v>34</v>
      </c>
      <c r="L575" s="13" t="s">
        <v>223</v>
      </c>
      <c r="M575" s="14" t="s">
        <v>340</v>
      </c>
      <c r="N575" s="13" t="s">
        <v>861</v>
      </c>
      <c r="O575" s="28" t="s">
        <v>41</v>
      </c>
      <c r="P575" s="28" t="s">
        <v>41</v>
      </c>
      <c r="Q575" s="28" t="s">
        <v>861</v>
      </c>
      <c r="R575" s="30"/>
      <c r="S575" s="30"/>
      <c r="T575" s="30"/>
      <c r="U575" s="30"/>
      <c r="V575" s="8">
        <f t="shared" si="471"/>
        <v>0</v>
      </c>
      <c r="W575" s="8">
        <f t="shared" si="472"/>
        <v>0</v>
      </c>
      <c r="X575" s="8">
        <f t="shared" si="473"/>
        <v>0</v>
      </c>
      <c r="Y575" s="33">
        <f t="shared" si="474"/>
        <v>0</v>
      </c>
      <c r="Z575" s="28"/>
      <c r="AA575" s="28"/>
      <c r="AB575" s="61" t="s">
        <v>861</v>
      </c>
      <c r="AC575" s="31" t="s">
        <v>862</v>
      </c>
      <c r="AD575" s="50">
        <f t="shared" si="475"/>
        <v>12</v>
      </c>
      <c r="AE575" s="47" t="s">
        <v>107</v>
      </c>
      <c r="AF575" s="51">
        <v>14</v>
      </c>
      <c r="AG575" s="51">
        <f t="shared" si="503"/>
        <v>8.4</v>
      </c>
      <c r="AH575" s="51">
        <f t="shared" si="469"/>
        <v>42</v>
      </c>
      <c r="AI575" s="52" t="s">
        <v>2497</v>
      </c>
      <c r="AJ575" s="52" t="s">
        <v>2498</v>
      </c>
      <c r="AK575" s="53">
        <f t="shared" si="504"/>
        <v>0</v>
      </c>
      <c r="AL575" s="54">
        <f t="shared" si="505"/>
        <v>0.11904761904761904</v>
      </c>
      <c r="AM575" s="54">
        <f t="shared" si="506"/>
        <v>2.3809523809523808E-2</v>
      </c>
      <c r="AN575" s="55">
        <f t="shared" si="507"/>
        <v>0</v>
      </c>
      <c r="AO575" s="55">
        <f t="shared" si="508"/>
        <v>0</v>
      </c>
      <c r="AP575" s="53">
        <v>7.1</v>
      </c>
      <c r="AQ575" s="53">
        <f t="shared" si="476"/>
        <v>4.26</v>
      </c>
      <c r="AR575" s="53">
        <f t="shared" si="477"/>
        <v>21.299999999999997</v>
      </c>
      <c r="AS575" s="56">
        <f t="shared" si="478"/>
        <v>4.6948356807511742E-2</v>
      </c>
      <c r="AT575" s="56">
        <f t="shared" si="509"/>
        <v>0.23474178403755869</v>
      </c>
      <c r="AU575" s="56">
        <f t="shared" si="479"/>
        <v>0.176056338028169</v>
      </c>
      <c r="AV575" s="56">
        <f t="shared" si="510"/>
        <v>5.8685446009389672E-2</v>
      </c>
      <c r="AW575" s="57" t="s">
        <v>2511</v>
      </c>
      <c r="AX575" s="57" t="s">
        <v>2512</v>
      </c>
      <c r="AY575" s="57" t="s">
        <v>2513</v>
      </c>
      <c r="AZ575" s="58">
        <f t="shared" si="511"/>
        <v>0</v>
      </c>
      <c r="BA575" s="59">
        <f t="shared" si="514"/>
        <v>0</v>
      </c>
      <c r="BB575" s="59">
        <f t="shared" si="515"/>
        <v>0</v>
      </c>
      <c r="BC575" s="59">
        <f t="shared" si="516"/>
        <v>0</v>
      </c>
      <c r="BD575" s="60">
        <f t="shared" si="512"/>
        <v>7.1095438516664771E-6</v>
      </c>
      <c r="BE575" s="59">
        <f t="shared" si="513"/>
        <v>8.5314526219997728E-5</v>
      </c>
      <c r="BQ575" s="61">
        <v>3000</v>
      </c>
      <c r="BR575" s="61">
        <v>1200</v>
      </c>
      <c r="BS575" s="28">
        <f t="shared" si="480"/>
        <v>2980</v>
      </c>
      <c r="BT575" s="28">
        <f t="shared" si="481"/>
        <v>1180</v>
      </c>
      <c r="BU575" s="28" t="s">
        <v>2541</v>
      </c>
      <c r="BV575" s="28">
        <f t="shared" si="482"/>
        <v>5</v>
      </c>
      <c r="BW575" s="28">
        <f t="shared" si="483"/>
        <v>5</v>
      </c>
      <c r="BX575" s="13">
        <f t="shared" si="484"/>
        <v>596</v>
      </c>
      <c r="BY575" s="13">
        <f t="shared" si="485"/>
        <v>596</v>
      </c>
      <c r="BZ575" s="13">
        <f t="shared" si="486"/>
        <v>236</v>
      </c>
      <c r="CA575" s="13">
        <f t="shared" si="487"/>
        <v>236</v>
      </c>
      <c r="CB575" s="13">
        <f t="shared" si="488"/>
        <v>140656</v>
      </c>
      <c r="CC575" s="62">
        <f t="shared" si="489"/>
        <v>7.1095438516664771E-6</v>
      </c>
      <c r="CD575" s="13">
        <f t="shared" si="490"/>
        <v>596</v>
      </c>
      <c r="CE575" s="13">
        <f t="shared" si="491"/>
        <v>596</v>
      </c>
      <c r="CF575" s="13">
        <f t="shared" si="492"/>
        <v>236</v>
      </c>
      <c r="CG575" s="13">
        <f t="shared" si="493"/>
        <v>236</v>
      </c>
      <c r="CH575" s="28">
        <f t="shared" si="494"/>
        <v>140656</v>
      </c>
      <c r="CI575" s="62">
        <f t="shared" si="495"/>
        <v>7.1095438516664771E-6</v>
      </c>
      <c r="CJ575" s="59">
        <f t="shared" si="496"/>
        <v>7.1095438516664771E-6</v>
      </c>
      <c r="CL575" s="63">
        <v>6000</v>
      </c>
      <c r="CM575" s="63">
        <f t="shared" si="497"/>
        <v>0</v>
      </c>
      <c r="CN575" s="63">
        <f t="shared" si="498"/>
        <v>5</v>
      </c>
      <c r="CO575" s="63">
        <f t="shared" si="499"/>
        <v>1200</v>
      </c>
      <c r="CP575" s="13">
        <f t="shared" si="500"/>
        <v>1200</v>
      </c>
      <c r="CQ575" s="70">
        <f t="shared" si="501"/>
        <v>8.3333333333333339E-4</v>
      </c>
      <c r="CR575" s="69">
        <f t="shared" si="523"/>
        <v>0.01</v>
      </c>
    </row>
    <row r="576" spans="1:96" hidden="1" x14ac:dyDescent="0.25">
      <c r="A576" s="13">
        <v>4</v>
      </c>
      <c r="B576" s="14" t="s">
        <v>1420</v>
      </c>
      <c r="C576" s="13" t="s">
        <v>369</v>
      </c>
      <c r="D576" s="13" t="s">
        <v>2270</v>
      </c>
      <c r="E576" s="13" t="s">
        <v>52</v>
      </c>
      <c r="F576" s="15">
        <f t="shared" si="470"/>
        <v>2</v>
      </c>
      <c r="G576" s="13">
        <v>4</v>
      </c>
      <c r="H576" s="13">
        <f t="shared" si="527"/>
        <v>4</v>
      </c>
      <c r="I576" s="13">
        <v>3</v>
      </c>
      <c r="J576" s="14" t="s">
        <v>370</v>
      </c>
      <c r="K576" s="14" t="s">
        <v>34</v>
      </c>
      <c r="L576" s="13" t="s">
        <v>223</v>
      </c>
      <c r="M576" s="14" t="s">
        <v>340</v>
      </c>
      <c r="N576" s="13" t="s">
        <v>371</v>
      </c>
      <c r="O576" s="28" t="s">
        <v>41</v>
      </c>
      <c r="P576" s="28" t="s">
        <v>41</v>
      </c>
      <c r="Q576" s="28" t="s">
        <v>371</v>
      </c>
      <c r="R576" s="30"/>
      <c r="S576" s="30"/>
      <c r="T576" s="30"/>
      <c r="U576" s="30"/>
      <c r="V576" s="8">
        <f t="shared" si="471"/>
        <v>0</v>
      </c>
      <c r="W576" s="8">
        <f t="shared" si="472"/>
        <v>0</v>
      </c>
      <c r="X576" s="8">
        <f t="shared" si="473"/>
        <v>0</v>
      </c>
      <c r="Y576" s="33">
        <f t="shared" si="474"/>
        <v>0</v>
      </c>
      <c r="Z576" s="28"/>
      <c r="AA576" s="28"/>
      <c r="AB576" s="61" t="s">
        <v>371</v>
      </c>
      <c r="AC576" s="31" t="s">
        <v>372</v>
      </c>
      <c r="AD576" s="50">
        <f t="shared" si="475"/>
        <v>4</v>
      </c>
      <c r="AE576" s="31"/>
      <c r="AF576" s="51">
        <v>14</v>
      </c>
      <c r="AG576" s="51">
        <f t="shared" si="503"/>
        <v>8.4</v>
      </c>
      <c r="AH576" s="51">
        <f t="shared" si="469"/>
        <v>42</v>
      </c>
      <c r="AI576" s="52" t="s">
        <v>2497</v>
      </c>
      <c r="AJ576" s="52" t="s">
        <v>2498</v>
      </c>
      <c r="AK576" s="53">
        <f t="shared" si="504"/>
        <v>0</v>
      </c>
      <c r="AL576" s="54">
        <f t="shared" si="505"/>
        <v>0.11904761904761904</v>
      </c>
      <c r="AM576" s="54">
        <f t="shared" si="506"/>
        <v>2.3809523809523808E-2</v>
      </c>
      <c r="AN576" s="55">
        <f t="shared" si="507"/>
        <v>0</v>
      </c>
      <c r="AO576" s="55">
        <f t="shared" si="508"/>
        <v>0</v>
      </c>
      <c r="AP576" s="53">
        <v>7.1</v>
      </c>
      <c r="AQ576" s="53">
        <f t="shared" si="476"/>
        <v>4.26</v>
      </c>
      <c r="AR576" s="53">
        <f t="shared" si="477"/>
        <v>21.299999999999997</v>
      </c>
      <c r="AS576" s="56">
        <f t="shared" si="478"/>
        <v>4.6948356807511742E-2</v>
      </c>
      <c r="AT576" s="56">
        <f t="shared" si="509"/>
        <v>0.23474178403755869</v>
      </c>
      <c r="AU576" s="56">
        <f t="shared" si="479"/>
        <v>0.176056338028169</v>
      </c>
      <c r="AV576" s="56">
        <f t="shared" si="510"/>
        <v>5.8685446009389672E-2</v>
      </c>
      <c r="AW576" s="57" t="s">
        <v>2511</v>
      </c>
      <c r="AX576" s="57" t="s">
        <v>2512</v>
      </c>
      <c r="AY576" s="57" t="s">
        <v>2513</v>
      </c>
      <c r="AZ576" s="58">
        <f t="shared" si="511"/>
        <v>0</v>
      </c>
      <c r="BA576" s="59">
        <f t="shared" si="514"/>
        <v>0</v>
      </c>
      <c r="BB576" s="59">
        <f t="shared" si="515"/>
        <v>0</v>
      </c>
      <c r="BC576" s="59">
        <f t="shared" si="516"/>
        <v>0</v>
      </c>
      <c r="BD576" s="60">
        <f t="shared" si="512"/>
        <v>7.1095438516664771E-6</v>
      </c>
      <c r="BE576" s="59">
        <f t="shared" si="513"/>
        <v>2.8438175406665908E-5</v>
      </c>
      <c r="BQ576" s="61">
        <v>3000</v>
      </c>
      <c r="BR576" s="61">
        <v>1200</v>
      </c>
      <c r="BS576" s="28">
        <f t="shared" si="480"/>
        <v>2980</v>
      </c>
      <c r="BT576" s="28">
        <f t="shared" si="481"/>
        <v>1180</v>
      </c>
      <c r="BU576" s="28" t="s">
        <v>2541</v>
      </c>
      <c r="BV576" s="28">
        <f t="shared" si="482"/>
        <v>5</v>
      </c>
      <c r="BW576" s="28">
        <f t="shared" si="483"/>
        <v>5</v>
      </c>
      <c r="BX576" s="13">
        <f t="shared" si="484"/>
        <v>596</v>
      </c>
      <c r="BY576" s="13">
        <f t="shared" si="485"/>
        <v>596</v>
      </c>
      <c r="BZ576" s="13">
        <f t="shared" si="486"/>
        <v>236</v>
      </c>
      <c r="CA576" s="13">
        <f t="shared" si="487"/>
        <v>236</v>
      </c>
      <c r="CB576" s="13">
        <f t="shared" si="488"/>
        <v>140656</v>
      </c>
      <c r="CC576" s="62">
        <f t="shared" si="489"/>
        <v>7.1095438516664771E-6</v>
      </c>
      <c r="CD576" s="13">
        <f t="shared" si="490"/>
        <v>596</v>
      </c>
      <c r="CE576" s="13">
        <f t="shared" si="491"/>
        <v>596</v>
      </c>
      <c r="CF576" s="13">
        <f t="shared" si="492"/>
        <v>236</v>
      </c>
      <c r="CG576" s="13">
        <f t="shared" si="493"/>
        <v>236</v>
      </c>
      <c r="CH576" s="28">
        <f t="shared" si="494"/>
        <v>140656</v>
      </c>
      <c r="CI576" s="62">
        <f t="shared" si="495"/>
        <v>7.1095438516664771E-6</v>
      </c>
      <c r="CJ576" s="59">
        <f t="shared" si="496"/>
        <v>7.1095438516664771E-6</v>
      </c>
      <c r="CL576" s="63">
        <v>6000</v>
      </c>
      <c r="CM576" s="63">
        <f t="shared" si="497"/>
        <v>0</v>
      </c>
      <c r="CN576" s="63">
        <f t="shared" si="498"/>
        <v>5</v>
      </c>
      <c r="CO576" s="63">
        <f t="shared" si="499"/>
        <v>1200</v>
      </c>
      <c r="CP576" s="13">
        <f t="shared" si="500"/>
        <v>1200</v>
      </c>
      <c r="CQ576" s="70">
        <f t="shared" si="501"/>
        <v>8.3333333333333339E-4</v>
      </c>
      <c r="CR576" s="69">
        <f t="shared" si="523"/>
        <v>3.3333333333333335E-3</v>
      </c>
    </row>
    <row r="577" spans="1:96" hidden="1" x14ac:dyDescent="0.25">
      <c r="A577" s="36">
        <v>2</v>
      </c>
      <c r="B577" s="37" t="s">
        <v>37</v>
      </c>
      <c r="C577" s="36" t="s">
        <v>1424</v>
      </c>
      <c r="D577" s="36" t="s">
        <v>2270</v>
      </c>
      <c r="E577" s="36" t="s">
        <v>32</v>
      </c>
      <c r="F577" s="38">
        <f t="shared" si="470"/>
        <v>1</v>
      </c>
      <c r="G577" s="36">
        <v>1</v>
      </c>
      <c r="H577" s="36">
        <f>G577*$H$3</f>
        <v>1</v>
      </c>
      <c r="I577" s="36">
        <v>24</v>
      </c>
      <c r="J577" s="37" t="s">
        <v>1395</v>
      </c>
      <c r="K577" s="37" t="s">
        <v>34</v>
      </c>
      <c r="L577" s="36">
        <v>0</v>
      </c>
      <c r="M577" s="37" t="s">
        <v>35</v>
      </c>
      <c r="N577" s="36" t="s">
        <v>1425</v>
      </c>
      <c r="O577" s="28" t="s">
        <v>41</v>
      </c>
      <c r="P577" s="28" t="s">
        <v>41</v>
      </c>
      <c r="Q577" s="28"/>
      <c r="R577" s="30"/>
      <c r="S577" s="30"/>
      <c r="T577" s="30"/>
      <c r="U577" s="30"/>
      <c r="V577" s="8">
        <f t="shared" si="471"/>
        <v>0</v>
      </c>
      <c r="W577" s="8">
        <f t="shared" si="472"/>
        <v>0</v>
      </c>
      <c r="X577" s="8">
        <f t="shared" si="473"/>
        <v>0</v>
      </c>
      <c r="Y577" s="33">
        <f t="shared" si="474"/>
        <v>0</v>
      </c>
      <c r="Z577" s="28"/>
      <c r="AA577" s="28"/>
      <c r="AB577" s="28">
        <v>0</v>
      </c>
      <c r="AC577" s="31"/>
      <c r="AD577" s="50">
        <f t="shared" si="475"/>
        <v>1</v>
      </c>
      <c r="AE577" s="31"/>
      <c r="AF577" s="51">
        <v>14</v>
      </c>
      <c r="AG577" s="51">
        <f t="shared" si="503"/>
        <v>8.4</v>
      </c>
      <c r="AH577" s="51">
        <f t="shared" si="469"/>
        <v>42</v>
      </c>
      <c r="AI577" s="52" t="s">
        <v>2497</v>
      </c>
      <c r="AJ577" s="52" t="s">
        <v>2498</v>
      </c>
      <c r="AK577" s="53">
        <f t="shared" si="504"/>
        <v>0</v>
      </c>
      <c r="AL577" s="54">
        <f t="shared" si="505"/>
        <v>0.11904761904761904</v>
      </c>
      <c r="AM577" s="54">
        <f t="shared" si="506"/>
        <v>2.3809523809523808E-2</v>
      </c>
      <c r="AN577" s="55">
        <f t="shared" si="507"/>
        <v>0</v>
      </c>
      <c r="AO577" s="55">
        <f t="shared" si="508"/>
        <v>0</v>
      </c>
      <c r="AP577" s="53">
        <v>7.1</v>
      </c>
      <c r="AQ577" s="53">
        <f t="shared" si="476"/>
        <v>4.26</v>
      </c>
      <c r="AR577" s="53">
        <f t="shared" si="477"/>
        <v>21.299999999999997</v>
      </c>
      <c r="AS577" s="56">
        <f t="shared" si="478"/>
        <v>4.6948356807511742E-2</v>
      </c>
      <c r="AT577" s="56">
        <f t="shared" si="509"/>
        <v>0.23474178403755869</v>
      </c>
      <c r="AU577" s="56">
        <f t="shared" si="479"/>
        <v>0.176056338028169</v>
      </c>
      <c r="AV577" s="56">
        <f t="shared" si="510"/>
        <v>5.8685446009389672E-2</v>
      </c>
      <c r="AW577" s="57" t="s">
        <v>2511</v>
      </c>
      <c r="AX577" s="57" t="s">
        <v>2512</v>
      </c>
      <c r="AY577" s="57" t="s">
        <v>2513</v>
      </c>
      <c r="AZ577" s="58">
        <f t="shared" si="511"/>
        <v>0</v>
      </c>
      <c r="BA577" s="59">
        <f t="shared" si="514"/>
        <v>0</v>
      </c>
      <c r="BB577" s="59">
        <f t="shared" si="515"/>
        <v>0</v>
      </c>
      <c r="BC577" s="59">
        <f t="shared" si="516"/>
        <v>0</v>
      </c>
      <c r="BD577" s="60">
        <f t="shared" si="512"/>
        <v>0</v>
      </c>
      <c r="BE577" s="59">
        <f t="shared" si="513"/>
        <v>0</v>
      </c>
      <c r="BQ577" s="61">
        <v>3000</v>
      </c>
      <c r="BR577" s="61">
        <v>1200</v>
      </c>
      <c r="BS577" s="28">
        <f t="shared" si="480"/>
        <v>2980</v>
      </c>
      <c r="BT577" s="28">
        <f t="shared" si="481"/>
        <v>1180</v>
      </c>
      <c r="BU577" s="28" t="s">
        <v>2541</v>
      </c>
      <c r="BV577" s="28">
        <f t="shared" si="482"/>
        <v>5</v>
      </c>
      <c r="BW577" s="28">
        <f t="shared" si="483"/>
        <v>5</v>
      </c>
      <c r="BX577" s="13">
        <f t="shared" si="484"/>
        <v>596</v>
      </c>
      <c r="BY577" s="13">
        <f t="shared" si="485"/>
        <v>596</v>
      </c>
      <c r="BZ577" s="13">
        <f t="shared" si="486"/>
        <v>236</v>
      </c>
      <c r="CA577" s="13">
        <f t="shared" si="487"/>
        <v>236</v>
      </c>
      <c r="CB577" s="13">
        <f t="shared" si="488"/>
        <v>140656</v>
      </c>
      <c r="CC577" s="62" t="str">
        <f t="shared" si="489"/>
        <v/>
      </c>
      <c r="CD577" s="13">
        <f t="shared" si="490"/>
        <v>596</v>
      </c>
      <c r="CE577" s="13">
        <f t="shared" si="491"/>
        <v>596</v>
      </c>
      <c r="CF577" s="13">
        <f t="shared" si="492"/>
        <v>236</v>
      </c>
      <c r="CG577" s="13">
        <f t="shared" si="493"/>
        <v>236</v>
      </c>
      <c r="CH577" s="28">
        <f t="shared" si="494"/>
        <v>140656</v>
      </c>
      <c r="CI577" s="62" t="str">
        <f t="shared" si="495"/>
        <v/>
      </c>
      <c r="CJ577" s="59">
        <f t="shared" si="496"/>
        <v>0</v>
      </c>
      <c r="CL577" s="63">
        <v>6000</v>
      </c>
      <c r="CM577" s="63">
        <f t="shared" si="497"/>
        <v>0</v>
      </c>
      <c r="CN577" s="63">
        <f t="shared" si="498"/>
        <v>5</v>
      </c>
      <c r="CO577" s="63">
        <f t="shared" si="499"/>
        <v>1200</v>
      </c>
      <c r="CP577" s="13">
        <f t="shared" si="500"/>
        <v>1200</v>
      </c>
      <c r="CQ577" s="70">
        <f t="shared" si="501"/>
        <v>8.3333333333333339E-4</v>
      </c>
      <c r="CR577" s="69">
        <f t="shared" si="523"/>
        <v>8.3333333333333339E-4</v>
      </c>
    </row>
    <row r="578" spans="1:96" hidden="1" x14ac:dyDescent="0.25">
      <c r="A578" s="10">
        <v>3</v>
      </c>
      <c r="B578" s="8" t="s">
        <v>1426</v>
      </c>
      <c r="C578" s="10" t="s">
        <v>1427</v>
      </c>
      <c r="D578" s="10" t="s">
        <v>2270</v>
      </c>
      <c r="E578" s="10" t="s">
        <v>32</v>
      </c>
      <c r="F578" s="12">
        <f t="shared" si="470"/>
        <v>1</v>
      </c>
      <c r="G578" s="10">
        <v>1</v>
      </c>
      <c r="H578" s="10">
        <f>G578*$H$577</f>
        <v>1</v>
      </c>
      <c r="I578" s="10">
        <v>7</v>
      </c>
      <c r="J578" s="8" t="s">
        <v>109</v>
      </c>
      <c r="K578" s="8" t="s">
        <v>34</v>
      </c>
      <c r="L578" s="10">
        <v>0</v>
      </c>
      <c r="M578" s="8" t="s">
        <v>35</v>
      </c>
      <c r="N578" s="10" t="s">
        <v>1428</v>
      </c>
      <c r="O578" s="28" t="s">
        <v>41</v>
      </c>
      <c r="P578" s="28" t="s">
        <v>41</v>
      </c>
      <c r="Q578" s="28"/>
      <c r="R578" s="30"/>
      <c r="S578" s="30"/>
      <c r="T578" s="30"/>
      <c r="U578" s="30"/>
      <c r="V578" s="8">
        <f t="shared" si="471"/>
        <v>0</v>
      </c>
      <c r="W578" s="8">
        <f t="shared" si="472"/>
        <v>0</v>
      </c>
      <c r="X578" s="8">
        <f t="shared" si="473"/>
        <v>0</v>
      </c>
      <c r="Y578" s="33">
        <f t="shared" si="474"/>
        <v>0</v>
      </c>
      <c r="Z578" s="28"/>
      <c r="AA578" s="28"/>
      <c r="AB578" s="28">
        <v>0</v>
      </c>
      <c r="AC578" s="31"/>
      <c r="AD578" s="50">
        <f t="shared" si="475"/>
        <v>1</v>
      </c>
      <c r="AE578" s="47" t="s">
        <v>107</v>
      </c>
      <c r="AF578" s="51">
        <v>14</v>
      </c>
      <c r="AG578" s="51">
        <f t="shared" si="503"/>
        <v>8.4</v>
      </c>
      <c r="AH578" s="51">
        <f t="shared" ref="AH578:AH641" si="528">AG578/0.2</f>
        <v>42</v>
      </c>
      <c r="AI578" s="52" t="s">
        <v>2497</v>
      </c>
      <c r="AJ578" s="52" t="s">
        <v>2498</v>
      </c>
      <c r="AK578" s="53">
        <f t="shared" si="504"/>
        <v>0</v>
      </c>
      <c r="AL578" s="54">
        <f t="shared" si="505"/>
        <v>0.11904761904761904</v>
      </c>
      <c r="AM578" s="54">
        <f t="shared" si="506"/>
        <v>2.3809523809523808E-2</v>
      </c>
      <c r="AN578" s="55">
        <f t="shared" si="507"/>
        <v>0</v>
      </c>
      <c r="AO578" s="55">
        <f t="shared" si="508"/>
        <v>0</v>
      </c>
      <c r="AP578" s="53">
        <v>7.1</v>
      </c>
      <c r="AQ578" s="53">
        <f t="shared" si="476"/>
        <v>4.26</v>
      </c>
      <c r="AR578" s="53">
        <f t="shared" si="477"/>
        <v>21.299999999999997</v>
      </c>
      <c r="AS578" s="56">
        <f t="shared" si="478"/>
        <v>4.6948356807511742E-2</v>
      </c>
      <c r="AT578" s="56">
        <f t="shared" si="509"/>
        <v>0.23474178403755869</v>
      </c>
      <c r="AU578" s="56">
        <f t="shared" si="479"/>
        <v>0.176056338028169</v>
      </c>
      <c r="AV578" s="56">
        <f t="shared" si="510"/>
        <v>5.8685446009389672E-2</v>
      </c>
      <c r="AW578" s="57" t="s">
        <v>2511</v>
      </c>
      <c r="AX578" s="57" t="s">
        <v>2512</v>
      </c>
      <c r="AY578" s="57" t="s">
        <v>2513</v>
      </c>
      <c r="AZ578" s="58">
        <f t="shared" si="511"/>
        <v>0</v>
      </c>
      <c r="BA578" s="59">
        <f t="shared" si="514"/>
        <v>0</v>
      </c>
      <c r="BB578" s="59">
        <f t="shared" si="515"/>
        <v>0</v>
      </c>
      <c r="BC578" s="59">
        <f t="shared" si="516"/>
        <v>0</v>
      </c>
      <c r="BD578" s="60">
        <f t="shared" si="512"/>
        <v>0</v>
      </c>
      <c r="BE578" s="59">
        <f t="shared" si="513"/>
        <v>0</v>
      </c>
      <c r="BQ578" s="61">
        <v>3000</v>
      </c>
      <c r="BR578" s="61">
        <v>1200</v>
      </c>
      <c r="BS578" s="28">
        <f t="shared" si="480"/>
        <v>2980</v>
      </c>
      <c r="BT578" s="28">
        <f t="shared" si="481"/>
        <v>1180</v>
      </c>
      <c r="BU578" s="28" t="s">
        <v>2541</v>
      </c>
      <c r="BV578" s="28">
        <f t="shared" si="482"/>
        <v>5</v>
      </c>
      <c r="BW578" s="28">
        <f t="shared" si="483"/>
        <v>5</v>
      </c>
      <c r="BX578" s="13">
        <f t="shared" si="484"/>
        <v>596</v>
      </c>
      <c r="BY578" s="13">
        <f t="shared" si="485"/>
        <v>596</v>
      </c>
      <c r="BZ578" s="13">
        <f t="shared" si="486"/>
        <v>236</v>
      </c>
      <c r="CA578" s="13">
        <f t="shared" si="487"/>
        <v>236</v>
      </c>
      <c r="CB578" s="13">
        <f t="shared" si="488"/>
        <v>140656</v>
      </c>
      <c r="CC578" s="62" t="str">
        <f t="shared" si="489"/>
        <v/>
      </c>
      <c r="CD578" s="13">
        <f t="shared" si="490"/>
        <v>596</v>
      </c>
      <c r="CE578" s="13">
        <f t="shared" si="491"/>
        <v>596</v>
      </c>
      <c r="CF578" s="13">
        <f t="shared" si="492"/>
        <v>236</v>
      </c>
      <c r="CG578" s="13">
        <f t="shared" si="493"/>
        <v>236</v>
      </c>
      <c r="CH578" s="28">
        <f t="shared" si="494"/>
        <v>140656</v>
      </c>
      <c r="CI578" s="62" t="str">
        <f t="shared" si="495"/>
        <v/>
      </c>
      <c r="CJ578" s="59">
        <f t="shared" si="496"/>
        <v>0</v>
      </c>
      <c r="CL578" s="63">
        <v>6000</v>
      </c>
      <c r="CM578" s="63">
        <f t="shared" si="497"/>
        <v>0</v>
      </c>
      <c r="CN578" s="63">
        <f t="shared" si="498"/>
        <v>5</v>
      </c>
      <c r="CO578" s="63">
        <f t="shared" si="499"/>
        <v>1200</v>
      </c>
      <c r="CP578" s="13">
        <f t="shared" si="500"/>
        <v>1200</v>
      </c>
      <c r="CQ578" s="70">
        <f t="shared" si="501"/>
        <v>8.3333333333333339E-4</v>
      </c>
      <c r="CR578" s="69">
        <f t="shared" si="523"/>
        <v>8.3333333333333339E-4</v>
      </c>
    </row>
    <row r="579" spans="1:96" hidden="1" x14ac:dyDescent="0.25">
      <c r="A579" s="13">
        <v>4</v>
      </c>
      <c r="B579" s="14" t="s">
        <v>1429</v>
      </c>
      <c r="C579" s="13" t="s">
        <v>1430</v>
      </c>
      <c r="D579" s="13" t="s">
        <v>2270</v>
      </c>
      <c r="E579" s="13" t="s">
        <v>52</v>
      </c>
      <c r="F579" s="15">
        <f t="shared" ref="F579:F642" si="529">COUNTIF($C$2:$C$1202,C579)</f>
        <v>1</v>
      </c>
      <c r="G579" s="13">
        <v>1</v>
      </c>
      <c r="H579" s="13">
        <f>G579*$H$578</f>
        <v>1</v>
      </c>
      <c r="I579" s="13">
        <v>1</v>
      </c>
      <c r="J579" s="14" t="s">
        <v>114</v>
      </c>
      <c r="K579" s="14" t="s">
        <v>34</v>
      </c>
      <c r="L579" s="13">
        <v>0</v>
      </c>
      <c r="M579" s="14" t="s">
        <v>35</v>
      </c>
      <c r="N579" s="13" t="s">
        <v>1431</v>
      </c>
      <c r="O579" s="28" t="s">
        <v>41</v>
      </c>
      <c r="P579" s="28" t="s">
        <v>41</v>
      </c>
      <c r="Q579" s="28" t="s">
        <v>124</v>
      </c>
      <c r="R579" s="30">
        <v>4.25</v>
      </c>
      <c r="S579" s="30">
        <v>3.4529999999999998</v>
      </c>
      <c r="T579" s="30"/>
      <c r="U579" s="30">
        <v>9.8000000000000004E-2</v>
      </c>
      <c r="V579" s="8">
        <f t="shared" ref="V579:V642" si="530">R579*25.4</f>
        <v>107.94999999999999</v>
      </c>
      <c r="W579" s="8">
        <f t="shared" ref="W579:W642" si="531">S579*25.4</f>
        <v>87.706199999999995</v>
      </c>
      <c r="X579" s="8">
        <f t="shared" ref="X579:X642" si="532">T579*25.4</f>
        <v>0</v>
      </c>
      <c r="Y579" s="33">
        <f t="shared" ref="Y579:Y642" si="533">U579*25.4</f>
        <v>2.4891999999999999</v>
      </c>
      <c r="Z579" s="28" t="s">
        <v>56</v>
      </c>
      <c r="AA579" s="28" t="s">
        <v>57</v>
      </c>
      <c r="AB579" s="61" t="s">
        <v>124</v>
      </c>
      <c r="AC579" s="31" t="s">
        <v>125</v>
      </c>
      <c r="AD579" s="50">
        <f t="shared" ref="AD579:AD642" si="534">H579</f>
        <v>1</v>
      </c>
      <c r="AE579" s="31"/>
      <c r="AF579" s="51">
        <v>14</v>
      </c>
      <c r="AG579" s="51">
        <f t="shared" si="503"/>
        <v>8.4</v>
      </c>
      <c r="AH579" s="51">
        <f t="shared" si="528"/>
        <v>42</v>
      </c>
      <c r="AI579" s="52" t="s">
        <v>2497</v>
      </c>
      <c r="AJ579" s="52" t="s">
        <v>2498</v>
      </c>
      <c r="AK579" s="53">
        <f t="shared" si="504"/>
        <v>1.8935768579999995E-2</v>
      </c>
      <c r="AL579" s="54">
        <f t="shared" si="505"/>
        <v>0.11904761904761904</v>
      </c>
      <c r="AM579" s="54">
        <f t="shared" si="506"/>
        <v>2.3809523809523808E-2</v>
      </c>
      <c r="AN579" s="55">
        <f t="shared" si="507"/>
        <v>2.2542581642857134E-3</v>
      </c>
      <c r="AO579" s="55">
        <f t="shared" si="508"/>
        <v>4.5085163285714272E-4</v>
      </c>
      <c r="AP579" s="53">
        <v>7.1</v>
      </c>
      <c r="AQ579" s="53">
        <f t="shared" ref="AQ579:AQ642" si="535">AP579*0.6</f>
        <v>4.26</v>
      </c>
      <c r="AR579" s="53">
        <f t="shared" ref="AR579:AR642" si="536">AQ579*5</f>
        <v>21.299999999999997</v>
      </c>
      <c r="AS579" s="56">
        <f t="shared" ref="AS579:AS642" si="537">1/AR579</f>
        <v>4.6948356807511742E-2</v>
      </c>
      <c r="AT579" s="56">
        <f t="shared" si="509"/>
        <v>0.23474178403755869</v>
      </c>
      <c r="AU579" s="56">
        <f t="shared" ref="AU579:AU642" si="538">AT579*0.75</f>
        <v>0.176056338028169</v>
      </c>
      <c r="AV579" s="56">
        <f t="shared" si="510"/>
        <v>5.8685446009389672E-2</v>
      </c>
      <c r="AW579" s="57" t="s">
        <v>2511</v>
      </c>
      <c r="AX579" s="57" t="s">
        <v>2512</v>
      </c>
      <c r="AY579" s="57" t="s">
        <v>2513</v>
      </c>
      <c r="AZ579" s="58">
        <f t="shared" si="511"/>
        <v>1.8935768579999995E-2</v>
      </c>
      <c r="BA579" s="59">
        <f t="shared" si="514"/>
        <v>5.5562701232394346E-4</v>
      </c>
      <c r="BB579" s="59">
        <f t="shared" si="515"/>
        <v>1.6668810369718304E-3</v>
      </c>
      <c r="BC579" s="59">
        <f t="shared" si="516"/>
        <v>4.4450160985915485E-4</v>
      </c>
      <c r="BD579" s="60">
        <f t="shared" si="512"/>
        <v>3.1250000000000002E-3</v>
      </c>
      <c r="BE579" s="59">
        <f t="shared" si="513"/>
        <v>3.1250000000000002E-3</v>
      </c>
      <c r="BQ579" s="61">
        <v>3000</v>
      </c>
      <c r="BR579" s="61">
        <v>1200</v>
      </c>
      <c r="BS579" s="28">
        <f t="shared" ref="BS579:BS642" si="539">BQ579-20</f>
        <v>2980</v>
      </c>
      <c r="BT579" s="28">
        <f t="shared" ref="BT579:BT642" si="540">BR579-20</f>
        <v>1180</v>
      </c>
      <c r="BU579" s="28" t="s">
        <v>2541</v>
      </c>
      <c r="BV579" s="28">
        <f t="shared" ref="BV579:BV642" si="541">V579+5</f>
        <v>112.94999999999999</v>
      </c>
      <c r="BW579" s="28">
        <f t="shared" ref="BW579:BW642" si="542">W579+5</f>
        <v>92.706199999999995</v>
      </c>
      <c r="BX579" s="13">
        <f t="shared" ref="BX579:BX642" si="543">BS579/BV579</f>
        <v>26.383355467020809</v>
      </c>
      <c r="BY579" s="13">
        <f t="shared" ref="BY579:BY642" si="544">ROUNDDOWN(BX579,0)</f>
        <v>26</v>
      </c>
      <c r="BZ579" s="13">
        <f t="shared" ref="BZ579:BZ642" si="545">BT579/BW579</f>
        <v>12.728382783460006</v>
      </c>
      <c r="CA579" s="13">
        <f t="shared" ref="CA579:CA642" si="546">ROUNDDOWN(BZ579,0)</f>
        <v>12</v>
      </c>
      <c r="CB579" s="13">
        <f t="shared" ref="CB579:CB642" si="547">BY579*CA579</f>
        <v>312</v>
      </c>
      <c r="CC579" s="62">
        <f t="shared" ref="CC579:CC642" si="548">IF(E579="CJ","",IFERROR((1/CB579),1))</f>
        <v>3.205128205128205E-3</v>
      </c>
      <c r="CD579" s="13">
        <f t="shared" ref="CD579:CD642" si="549">BS579/BW579</f>
        <v>32.144559910771882</v>
      </c>
      <c r="CE579" s="13">
        <f t="shared" ref="CE579:CE642" si="550">ROUNDDOWN(CD579,0)</f>
        <v>32</v>
      </c>
      <c r="CF579" s="13">
        <f t="shared" ref="CF579:CF642" si="551">BT579/BV579</f>
        <v>10.447100486941125</v>
      </c>
      <c r="CG579" s="13">
        <f t="shared" ref="CG579:CG642" si="552">ROUNDDOWN(CF579,0)</f>
        <v>10</v>
      </c>
      <c r="CH579" s="28">
        <f t="shared" ref="CH579:CH642" si="553">CE579*CG579</f>
        <v>320</v>
      </c>
      <c r="CI579" s="62">
        <f t="shared" ref="CI579:CI642" si="554">IF(E579="CJ","",IFERROR((1/CH579),1))</f>
        <v>3.1250000000000002E-3</v>
      </c>
      <c r="CJ579" s="59">
        <f t="shared" ref="CJ579:CJ642" si="555">MIN(CC579,CI579)</f>
        <v>3.1250000000000002E-3</v>
      </c>
      <c r="CL579" s="63">
        <v>6000</v>
      </c>
      <c r="CM579" s="63">
        <f t="shared" ref="CM579:CM642" si="556">V579</f>
        <v>107.94999999999999</v>
      </c>
      <c r="CN579" s="63">
        <f t="shared" ref="CN579:CN642" si="557">CM579+5</f>
        <v>112.94999999999999</v>
      </c>
      <c r="CO579" s="63">
        <f t="shared" ref="CO579:CO642" si="558">CL579/CN579</f>
        <v>53.12084993359894</v>
      </c>
      <c r="CP579" s="13">
        <f t="shared" ref="CP579:CP642" si="559">ROUNDDOWN(CO579,0)</f>
        <v>53</v>
      </c>
      <c r="CQ579" s="70">
        <f t="shared" ref="CQ579:CQ642" si="560">1/CP579</f>
        <v>1.8867924528301886E-2</v>
      </c>
      <c r="CR579" s="69">
        <f t="shared" si="523"/>
        <v>1.8867924528301886E-2</v>
      </c>
    </row>
    <row r="580" spans="1:96" hidden="1" x14ac:dyDescent="0.25">
      <c r="A580" s="13">
        <v>4</v>
      </c>
      <c r="B580" s="14" t="s">
        <v>1429</v>
      </c>
      <c r="C580" s="13" t="s">
        <v>1432</v>
      </c>
      <c r="D580" s="13" t="s">
        <v>1434</v>
      </c>
      <c r="E580" s="13" t="s">
        <v>52</v>
      </c>
      <c r="F580" s="15">
        <f t="shared" si="529"/>
        <v>1</v>
      </c>
      <c r="G580" s="13">
        <v>2</v>
      </c>
      <c r="H580" s="13">
        <f>G580*$H$578</f>
        <v>2</v>
      </c>
      <c r="I580" s="13">
        <v>2</v>
      </c>
      <c r="J580" s="14" t="s">
        <v>1433</v>
      </c>
      <c r="K580" s="14" t="s">
        <v>34</v>
      </c>
      <c r="L580" s="13" t="s">
        <v>223</v>
      </c>
      <c r="M580" s="14" t="s">
        <v>340</v>
      </c>
      <c r="N580" s="13" t="s">
        <v>1434</v>
      </c>
      <c r="O580" s="28" t="s">
        <v>41</v>
      </c>
      <c r="P580" s="28" t="s">
        <v>41</v>
      </c>
      <c r="Q580" s="28" t="s">
        <v>1434</v>
      </c>
      <c r="R580" s="30"/>
      <c r="S580" s="30"/>
      <c r="T580" s="30"/>
      <c r="U580" s="30"/>
      <c r="V580" s="8">
        <f t="shared" si="530"/>
        <v>0</v>
      </c>
      <c r="W580" s="8">
        <f t="shared" si="531"/>
        <v>0</v>
      </c>
      <c r="X580" s="8">
        <f t="shared" si="532"/>
        <v>0</v>
      </c>
      <c r="Y580" s="33">
        <f t="shared" si="533"/>
        <v>0</v>
      </c>
      <c r="Z580" s="28"/>
      <c r="AA580" s="28"/>
      <c r="AB580" s="61" t="s">
        <v>1434</v>
      </c>
      <c r="AC580" s="31" t="s">
        <v>1435</v>
      </c>
      <c r="AD580" s="50">
        <f t="shared" si="534"/>
        <v>2</v>
      </c>
      <c r="AE580" s="31"/>
      <c r="AF580" s="51">
        <v>14</v>
      </c>
      <c r="AG580" s="51">
        <f t="shared" si="503"/>
        <v>8.4</v>
      </c>
      <c r="AH580" s="51">
        <f t="shared" si="528"/>
        <v>42</v>
      </c>
      <c r="AI580" s="52" t="s">
        <v>2497</v>
      </c>
      <c r="AJ580" s="52" t="s">
        <v>2498</v>
      </c>
      <c r="AK580" s="53">
        <f t="shared" si="504"/>
        <v>0</v>
      </c>
      <c r="AL580" s="54">
        <f t="shared" si="505"/>
        <v>0.11904761904761904</v>
      </c>
      <c r="AM580" s="54">
        <f t="shared" si="506"/>
        <v>2.3809523809523808E-2</v>
      </c>
      <c r="AN580" s="55">
        <f t="shared" si="507"/>
        <v>0</v>
      </c>
      <c r="AO580" s="55">
        <f t="shared" si="508"/>
        <v>0</v>
      </c>
      <c r="AP580" s="53">
        <v>7.1</v>
      </c>
      <c r="AQ580" s="53">
        <f t="shared" si="535"/>
        <v>4.26</v>
      </c>
      <c r="AR580" s="53">
        <f t="shared" si="536"/>
        <v>21.299999999999997</v>
      </c>
      <c r="AS580" s="56">
        <f t="shared" si="537"/>
        <v>4.6948356807511742E-2</v>
      </c>
      <c r="AT580" s="56">
        <f t="shared" si="509"/>
        <v>0.23474178403755869</v>
      </c>
      <c r="AU580" s="56">
        <f t="shared" si="538"/>
        <v>0.176056338028169</v>
      </c>
      <c r="AV580" s="56">
        <f t="shared" si="510"/>
        <v>5.8685446009389672E-2</v>
      </c>
      <c r="AW580" s="57" t="s">
        <v>2511</v>
      </c>
      <c r="AX580" s="57" t="s">
        <v>2512</v>
      </c>
      <c r="AY580" s="57" t="s">
        <v>2513</v>
      </c>
      <c r="AZ580" s="58">
        <f t="shared" si="511"/>
        <v>0</v>
      </c>
      <c r="BA580" s="59">
        <f t="shared" si="514"/>
        <v>0</v>
      </c>
      <c r="BB580" s="59">
        <f t="shared" si="515"/>
        <v>0</v>
      </c>
      <c r="BC580" s="59">
        <f t="shared" si="516"/>
        <v>0</v>
      </c>
      <c r="BD580" s="60">
        <f t="shared" si="512"/>
        <v>7.1095438516664771E-6</v>
      </c>
      <c r="BE580" s="59">
        <f t="shared" si="513"/>
        <v>1.4219087703332954E-5</v>
      </c>
      <c r="BQ580" s="61">
        <v>3000</v>
      </c>
      <c r="BR580" s="61">
        <v>1200</v>
      </c>
      <c r="BS580" s="28">
        <f t="shared" si="539"/>
        <v>2980</v>
      </c>
      <c r="BT580" s="28">
        <f t="shared" si="540"/>
        <v>1180</v>
      </c>
      <c r="BU580" s="28" t="s">
        <v>2541</v>
      </c>
      <c r="BV580" s="28">
        <f t="shared" si="541"/>
        <v>5</v>
      </c>
      <c r="BW580" s="28">
        <f t="shared" si="542"/>
        <v>5</v>
      </c>
      <c r="BX580" s="13">
        <f t="shared" si="543"/>
        <v>596</v>
      </c>
      <c r="BY580" s="13">
        <f t="shared" si="544"/>
        <v>596</v>
      </c>
      <c r="BZ580" s="13">
        <f t="shared" si="545"/>
        <v>236</v>
      </c>
      <c r="CA580" s="13">
        <f t="shared" si="546"/>
        <v>236</v>
      </c>
      <c r="CB580" s="13">
        <f t="shared" si="547"/>
        <v>140656</v>
      </c>
      <c r="CC580" s="62">
        <f t="shared" si="548"/>
        <v>7.1095438516664771E-6</v>
      </c>
      <c r="CD580" s="13">
        <f t="shared" si="549"/>
        <v>596</v>
      </c>
      <c r="CE580" s="13">
        <f t="shared" si="550"/>
        <v>596</v>
      </c>
      <c r="CF580" s="13">
        <f t="shared" si="551"/>
        <v>236</v>
      </c>
      <c r="CG580" s="13">
        <f t="shared" si="552"/>
        <v>236</v>
      </c>
      <c r="CH580" s="28">
        <f t="shared" si="553"/>
        <v>140656</v>
      </c>
      <c r="CI580" s="62">
        <f t="shared" si="554"/>
        <v>7.1095438516664771E-6</v>
      </c>
      <c r="CJ580" s="59">
        <f t="shared" si="555"/>
        <v>7.1095438516664771E-6</v>
      </c>
      <c r="CL580" s="63">
        <v>6000</v>
      </c>
      <c r="CM580" s="63">
        <f t="shared" si="556"/>
        <v>0</v>
      </c>
      <c r="CN580" s="63">
        <f t="shared" si="557"/>
        <v>5</v>
      </c>
      <c r="CO580" s="63">
        <f t="shared" si="558"/>
        <v>1200</v>
      </c>
      <c r="CP580" s="13">
        <f t="shared" si="559"/>
        <v>1200</v>
      </c>
      <c r="CQ580" s="70">
        <f t="shared" si="560"/>
        <v>8.3333333333333339E-4</v>
      </c>
      <c r="CR580" s="69">
        <f t="shared" si="523"/>
        <v>1.6666666666666668E-3</v>
      </c>
    </row>
    <row r="581" spans="1:96" hidden="1" x14ac:dyDescent="0.25">
      <c r="A581" s="10">
        <v>3</v>
      </c>
      <c r="B581" s="8" t="s">
        <v>1426</v>
      </c>
      <c r="C581" s="10" t="s">
        <v>1398</v>
      </c>
      <c r="D581" s="10" t="s">
        <v>2270</v>
      </c>
      <c r="E581" s="10" t="s">
        <v>52</v>
      </c>
      <c r="F581" s="12">
        <f t="shared" si="529"/>
        <v>2</v>
      </c>
      <c r="G581" s="10">
        <v>1</v>
      </c>
      <c r="H581" s="10">
        <f t="shared" ref="H581:H593" si="561">G581*$H$577</f>
        <v>1</v>
      </c>
      <c r="I581" s="10">
        <v>9</v>
      </c>
      <c r="J581" s="8" t="s">
        <v>503</v>
      </c>
      <c r="K581" s="8" t="s">
        <v>34</v>
      </c>
      <c r="L581" s="10">
        <v>0</v>
      </c>
      <c r="M581" s="8" t="s">
        <v>35</v>
      </c>
      <c r="N581" s="10" t="s">
        <v>1399</v>
      </c>
      <c r="O581" s="28" t="s">
        <v>41</v>
      </c>
      <c r="P581" s="28" t="s">
        <v>41</v>
      </c>
      <c r="Q581" s="28" t="s">
        <v>116</v>
      </c>
      <c r="R581" s="30">
        <v>6.8479999999999999</v>
      </c>
      <c r="S581" s="30">
        <v>3</v>
      </c>
      <c r="T581" s="30"/>
      <c r="U581" s="30">
        <v>0.11799999999999999</v>
      </c>
      <c r="V581" s="8">
        <f t="shared" si="530"/>
        <v>173.9392</v>
      </c>
      <c r="W581" s="8">
        <f t="shared" si="531"/>
        <v>76.199999999999989</v>
      </c>
      <c r="X581" s="8">
        <f t="shared" si="532"/>
        <v>0</v>
      </c>
      <c r="Y581" s="33">
        <f t="shared" si="533"/>
        <v>2.9971999999999999</v>
      </c>
      <c r="Z581" s="28" t="s">
        <v>56</v>
      </c>
      <c r="AA581" s="28" t="s">
        <v>57</v>
      </c>
      <c r="AB581" s="28" t="s">
        <v>116</v>
      </c>
      <c r="AC581" s="31" t="s">
        <v>117</v>
      </c>
      <c r="AD581" s="50">
        <f t="shared" si="534"/>
        <v>1</v>
      </c>
      <c r="AE581" s="31"/>
      <c r="AF581" s="51">
        <v>14</v>
      </c>
      <c r="AG581" s="51">
        <f t="shared" si="503"/>
        <v>8.4</v>
      </c>
      <c r="AH581" s="51">
        <f t="shared" si="528"/>
        <v>42</v>
      </c>
      <c r="AI581" s="52" t="s">
        <v>2497</v>
      </c>
      <c r="AJ581" s="52" t="s">
        <v>2498</v>
      </c>
      <c r="AK581" s="53">
        <f t="shared" si="504"/>
        <v>2.6508334079999998E-2</v>
      </c>
      <c r="AL581" s="54">
        <f t="shared" si="505"/>
        <v>0.11904761904761904</v>
      </c>
      <c r="AM581" s="54">
        <f t="shared" si="506"/>
        <v>2.3809523809523808E-2</v>
      </c>
      <c r="AN581" s="55">
        <f t="shared" si="507"/>
        <v>3.1557540571428566E-3</v>
      </c>
      <c r="AO581" s="55">
        <f t="shared" si="508"/>
        <v>6.3115081142857139E-4</v>
      </c>
      <c r="AP581" s="53">
        <v>7.1</v>
      </c>
      <c r="AQ581" s="53">
        <f t="shared" si="535"/>
        <v>4.26</v>
      </c>
      <c r="AR581" s="53">
        <f t="shared" si="536"/>
        <v>21.299999999999997</v>
      </c>
      <c r="AS581" s="56">
        <f t="shared" si="537"/>
        <v>4.6948356807511742E-2</v>
      </c>
      <c r="AT581" s="56">
        <f t="shared" si="509"/>
        <v>0.23474178403755869</v>
      </c>
      <c r="AU581" s="56">
        <f t="shared" si="538"/>
        <v>0.176056338028169</v>
      </c>
      <c r="AV581" s="56">
        <f t="shared" si="510"/>
        <v>5.8685446009389672E-2</v>
      </c>
      <c r="AW581" s="57" t="s">
        <v>2511</v>
      </c>
      <c r="AX581" s="57" t="s">
        <v>2512</v>
      </c>
      <c r="AY581" s="57" t="s">
        <v>2513</v>
      </c>
      <c r="AZ581" s="58">
        <f t="shared" si="511"/>
        <v>2.6508334079999998E-2</v>
      </c>
      <c r="BA581" s="59">
        <f t="shared" si="514"/>
        <v>7.7782670422535209E-4</v>
      </c>
      <c r="BB581" s="59">
        <f t="shared" si="515"/>
        <v>2.3334801126760562E-3</v>
      </c>
      <c r="BC581" s="59">
        <f t="shared" si="516"/>
        <v>6.2226136338028174E-4</v>
      </c>
      <c r="BD581" s="60">
        <f t="shared" si="512"/>
        <v>4.464285714285714E-3</v>
      </c>
      <c r="BE581" s="59">
        <f t="shared" si="513"/>
        <v>4.464285714285714E-3</v>
      </c>
      <c r="BQ581" s="61">
        <v>3000</v>
      </c>
      <c r="BR581" s="61">
        <v>1200</v>
      </c>
      <c r="BS581" s="28">
        <f t="shared" si="539"/>
        <v>2980</v>
      </c>
      <c r="BT581" s="28">
        <f t="shared" si="540"/>
        <v>1180</v>
      </c>
      <c r="BU581" s="28" t="s">
        <v>2541</v>
      </c>
      <c r="BV581" s="28">
        <f t="shared" si="541"/>
        <v>178.9392</v>
      </c>
      <c r="BW581" s="28">
        <f t="shared" si="542"/>
        <v>81.199999999999989</v>
      </c>
      <c r="BX581" s="13">
        <f t="shared" si="543"/>
        <v>16.653701368956607</v>
      </c>
      <c r="BY581" s="13">
        <f t="shared" si="544"/>
        <v>16</v>
      </c>
      <c r="BZ581" s="13">
        <f t="shared" si="545"/>
        <v>14.5320197044335</v>
      </c>
      <c r="CA581" s="13">
        <f t="shared" si="546"/>
        <v>14</v>
      </c>
      <c r="CB581" s="13">
        <f t="shared" si="547"/>
        <v>224</v>
      </c>
      <c r="CC581" s="62">
        <f t="shared" si="548"/>
        <v>4.464285714285714E-3</v>
      </c>
      <c r="CD581" s="13">
        <f t="shared" si="549"/>
        <v>36.699507389162569</v>
      </c>
      <c r="CE581" s="13">
        <f t="shared" si="550"/>
        <v>36</v>
      </c>
      <c r="CF581" s="13">
        <f t="shared" si="551"/>
        <v>6.5944186628754347</v>
      </c>
      <c r="CG581" s="13">
        <f t="shared" si="552"/>
        <v>6</v>
      </c>
      <c r="CH581" s="28">
        <f t="shared" si="553"/>
        <v>216</v>
      </c>
      <c r="CI581" s="62">
        <f t="shared" si="554"/>
        <v>4.6296296296296294E-3</v>
      </c>
      <c r="CJ581" s="59">
        <f t="shared" si="555"/>
        <v>4.464285714285714E-3</v>
      </c>
      <c r="CL581" s="63">
        <v>6000</v>
      </c>
      <c r="CM581" s="63">
        <f t="shared" si="556"/>
        <v>173.9392</v>
      </c>
      <c r="CN581" s="63">
        <f t="shared" si="557"/>
        <v>178.9392</v>
      </c>
      <c r="CO581" s="63">
        <f t="shared" si="558"/>
        <v>33.530942353603905</v>
      </c>
      <c r="CP581" s="13">
        <f t="shared" si="559"/>
        <v>33</v>
      </c>
      <c r="CQ581" s="70">
        <f t="shared" si="560"/>
        <v>3.0303030303030304E-2</v>
      </c>
      <c r="CR581" s="69">
        <f t="shared" si="523"/>
        <v>3.0303030303030304E-2</v>
      </c>
    </row>
    <row r="582" spans="1:96" hidden="1" x14ac:dyDescent="0.25">
      <c r="A582" s="10">
        <v>3</v>
      </c>
      <c r="B582" s="8" t="s">
        <v>1426</v>
      </c>
      <c r="C582" s="10" t="s">
        <v>703</v>
      </c>
      <c r="D582" s="10" t="s">
        <v>705</v>
      </c>
      <c r="E582" s="10" t="s">
        <v>52</v>
      </c>
      <c r="F582" s="12">
        <f t="shared" si="529"/>
        <v>7</v>
      </c>
      <c r="G582" s="10">
        <v>5</v>
      </c>
      <c r="H582" s="10">
        <f t="shared" si="561"/>
        <v>5</v>
      </c>
      <c r="I582" s="10">
        <v>12</v>
      </c>
      <c r="J582" s="8" t="s">
        <v>704</v>
      </c>
      <c r="K582" s="8" t="s">
        <v>34</v>
      </c>
      <c r="L582" s="10" t="s">
        <v>89</v>
      </c>
      <c r="M582" s="8" t="s">
        <v>35</v>
      </c>
      <c r="N582" s="10" t="s">
        <v>705</v>
      </c>
      <c r="O582" s="28" t="s">
        <v>41</v>
      </c>
      <c r="P582" s="28" t="s">
        <v>41</v>
      </c>
      <c r="Q582" s="28" t="s">
        <v>79</v>
      </c>
      <c r="R582" s="30">
        <v>7.9921259842519685</v>
      </c>
      <c r="S582" s="30">
        <v>0.3125</v>
      </c>
      <c r="T582" s="30"/>
      <c r="U582" s="30">
        <v>0.3125</v>
      </c>
      <c r="V582" s="8">
        <f t="shared" si="530"/>
        <v>203</v>
      </c>
      <c r="W582" s="8">
        <f t="shared" si="531"/>
        <v>7.9375</v>
      </c>
      <c r="X582" s="8">
        <f t="shared" si="532"/>
        <v>0</v>
      </c>
      <c r="Y582" s="33">
        <f t="shared" si="533"/>
        <v>7.9375</v>
      </c>
      <c r="Z582" s="28" t="s">
        <v>80</v>
      </c>
      <c r="AA582" s="28" t="s">
        <v>81</v>
      </c>
      <c r="AB582" s="61" t="s">
        <v>79</v>
      </c>
      <c r="AC582" s="31" t="s">
        <v>82</v>
      </c>
      <c r="AD582" s="50">
        <f t="shared" si="534"/>
        <v>5</v>
      </c>
      <c r="AE582" s="31"/>
      <c r="AF582" s="51">
        <v>14</v>
      </c>
      <c r="AG582" s="51">
        <f t="shared" ref="AG582:AG645" si="562">AF582*0.6</f>
        <v>8.4</v>
      </c>
      <c r="AH582" s="51">
        <f t="shared" si="528"/>
        <v>42</v>
      </c>
      <c r="AI582" s="52" t="s">
        <v>2497</v>
      </c>
      <c r="AJ582" s="52" t="s">
        <v>2498</v>
      </c>
      <c r="AK582" s="53">
        <f t="shared" ref="AK582:AK645" si="563">(V582*W582)*2/1000000</f>
        <v>3.2226249999999998E-3</v>
      </c>
      <c r="AL582" s="54">
        <f t="shared" ref="AL582:AL645" si="564">1/(AF582*0.6)</f>
        <v>0.11904761904761904</v>
      </c>
      <c r="AM582" s="54">
        <f t="shared" ref="AM582:AM645" si="565">1/AG582*(20/100)</f>
        <v>2.3809523809523808E-2</v>
      </c>
      <c r="AN582" s="55">
        <f t="shared" ref="AN582:AN645" si="566">IF(AI582&lt;&gt;0,(AK582*AL582*AD582),0)</f>
        <v>1.9182291666666664E-3</v>
      </c>
      <c r="AO582" s="55">
        <f t="shared" ref="AO582:AO645" si="567">IF(AJ582&lt;&gt;0,(AK582*AM582*AD582),0)</f>
        <v>3.8364583333333333E-4</v>
      </c>
      <c r="AP582" s="53">
        <v>7.1</v>
      </c>
      <c r="AQ582" s="53">
        <f t="shared" si="535"/>
        <v>4.26</v>
      </c>
      <c r="AR582" s="53">
        <f t="shared" si="536"/>
        <v>21.299999999999997</v>
      </c>
      <c r="AS582" s="56">
        <f t="shared" si="537"/>
        <v>4.6948356807511742E-2</v>
      </c>
      <c r="AT582" s="56">
        <f t="shared" ref="AT582:AT645" si="568">1/AQ582</f>
        <v>0.23474178403755869</v>
      </c>
      <c r="AU582" s="56">
        <f t="shared" si="538"/>
        <v>0.176056338028169</v>
      </c>
      <c r="AV582" s="56">
        <f t="shared" ref="AV582:AV645" si="569">AT582*0.25</f>
        <v>5.8685446009389672E-2</v>
      </c>
      <c r="AW582" s="57" t="s">
        <v>2511</v>
      </c>
      <c r="AX582" s="57" t="s">
        <v>2512</v>
      </c>
      <c r="AY582" s="57" t="s">
        <v>2513</v>
      </c>
      <c r="AZ582" s="58">
        <f t="shared" ref="AZ582:AZ645" si="570">(V582*W582)*2/1000000</f>
        <v>3.2226249999999998E-3</v>
      </c>
      <c r="BA582" s="59">
        <f t="shared" si="514"/>
        <v>4.7280296361502347E-4</v>
      </c>
      <c r="BB582" s="59">
        <f t="shared" si="515"/>
        <v>1.4184088908450701E-3</v>
      </c>
      <c r="BC582" s="59">
        <f t="shared" si="516"/>
        <v>3.782423708920188E-4</v>
      </c>
      <c r="BD582" s="60">
        <f t="shared" ref="BD582:BD645" si="571">CJ582</f>
        <v>7.8492935635792783E-4</v>
      </c>
      <c r="BE582" s="59">
        <f t="shared" ref="BE582:BE645" si="572">BD582*AD582</f>
        <v>3.9246467817896395E-3</v>
      </c>
      <c r="BQ582" s="61">
        <v>3000</v>
      </c>
      <c r="BR582" s="61">
        <v>1200</v>
      </c>
      <c r="BS582" s="28">
        <f t="shared" si="539"/>
        <v>2980</v>
      </c>
      <c r="BT582" s="28">
        <f t="shared" si="540"/>
        <v>1180</v>
      </c>
      <c r="BU582" s="28" t="s">
        <v>2541</v>
      </c>
      <c r="BV582" s="28">
        <f t="shared" si="541"/>
        <v>208</v>
      </c>
      <c r="BW582" s="28">
        <f t="shared" si="542"/>
        <v>12.9375</v>
      </c>
      <c r="BX582" s="13">
        <f t="shared" si="543"/>
        <v>14.326923076923077</v>
      </c>
      <c r="BY582" s="13">
        <f t="shared" si="544"/>
        <v>14</v>
      </c>
      <c r="BZ582" s="13">
        <f t="shared" si="545"/>
        <v>91.207729468599027</v>
      </c>
      <c r="CA582" s="13">
        <f t="shared" si="546"/>
        <v>91</v>
      </c>
      <c r="CB582" s="13">
        <f t="shared" si="547"/>
        <v>1274</v>
      </c>
      <c r="CC582" s="62">
        <f t="shared" si="548"/>
        <v>7.8492935635792783E-4</v>
      </c>
      <c r="CD582" s="13">
        <f t="shared" si="549"/>
        <v>230.33816425120773</v>
      </c>
      <c r="CE582" s="13">
        <f t="shared" si="550"/>
        <v>230</v>
      </c>
      <c r="CF582" s="13">
        <f t="shared" si="551"/>
        <v>5.6730769230769234</v>
      </c>
      <c r="CG582" s="13">
        <f t="shared" si="552"/>
        <v>5</v>
      </c>
      <c r="CH582" s="28">
        <f t="shared" si="553"/>
        <v>1150</v>
      </c>
      <c r="CI582" s="62">
        <f t="shared" si="554"/>
        <v>8.6956521739130438E-4</v>
      </c>
      <c r="CJ582" s="59">
        <f t="shared" si="555"/>
        <v>7.8492935635792783E-4</v>
      </c>
      <c r="CL582" s="63">
        <v>6000</v>
      </c>
      <c r="CM582" s="63">
        <f t="shared" si="556"/>
        <v>203</v>
      </c>
      <c r="CN582" s="63">
        <f t="shared" si="557"/>
        <v>208</v>
      </c>
      <c r="CO582" s="63">
        <f t="shared" si="558"/>
        <v>28.846153846153847</v>
      </c>
      <c r="CP582" s="13">
        <f t="shared" si="559"/>
        <v>28</v>
      </c>
      <c r="CQ582" s="70">
        <f t="shared" si="560"/>
        <v>3.5714285714285712E-2</v>
      </c>
      <c r="CR582" s="69">
        <f t="shared" si="523"/>
        <v>0.17857142857142855</v>
      </c>
    </row>
    <row r="583" spans="1:96" hidden="1" x14ac:dyDescent="0.25">
      <c r="A583" s="10">
        <v>3</v>
      </c>
      <c r="B583" s="8" t="s">
        <v>1426</v>
      </c>
      <c r="C583" s="10" t="s">
        <v>1436</v>
      </c>
      <c r="D583" s="10" t="s">
        <v>2270</v>
      </c>
      <c r="E583" s="10" t="s">
        <v>52</v>
      </c>
      <c r="F583" s="12">
        <f t="shared" si="529"/>
        <v>1</v>
      </c>
      <c r="G583" s="10">
        <v>2</v>
      </c>
      <c r="H583" s="10">
        <f t="shared" si="561"/>
        <v>2</v>
      </c>
      <c r="I583" s="10">
        <v>13</v>
      </c>
      <c r="J583" s="8" t="s">
        <v>122</v>
      </c>
      <c r="K583" s="8" t="s">
        <v>34</v>
      </c>
      <c r="L583" s="10" t="s">
        <v>110</v>
      </c>
      <c r="M583" s="8" t="s">
        <v>35</v>
      </c>
      <c r="N583" s="10" t="s">
        <v>1437</v>
      </c>
      <c r="O583" s="28" t="s">
        <v>41</v>
      </c>
      <c r="P583" s="28" t="s">
        <v>41</v>
      </c>
      <c r="Q583" s="28" t="s">
        <v>116</v>
      </c>
      <c r="R583" s="30">
        <v>23.838000000000001</v>
      </c>
      <c r="S583" s="30">
        <v>1</v>
      </c>
      <c r="T583" s="30"/>
      <c r="U583" s="30">
        <v>0.11799999999999999</v>
      </c>
      <c r="V583" s="8">
        <f t="shared" si="530"/>
        <v>605.48519999999996</v>
      </c>
      <c r="W583" s="8">
        <f t="shared" si="531"/>
        <v>25.4</v>
      </c>
      <c r="X583" s="8">
        <f t="shared" si="532"/>
        <v>0</v>
      </c>
      <c r="Y583" s="33">
        <f t="shared" si="533"/>
        <v>2.9971999999999999</v>
      </c>
      <c r="Z583" s="28" t="s">
        <v>56</v>
      </c>
      <c r="AA583" s="28" t="s">
        <v>57</v>
      </c>
      <c r="AB583" s="28" t="s">
        <v>116</v>
      </c>
      <c r="AC583" s="31" t="s">
        <v>117</v>
      </c>
      <c r="AD583" s="50">
        <f t="shared" si="534"/>
        <v>2</v>
      </c>
      <c r="AE583" s="47" t="s">
        <v>107</v>
      </c>
      <c r="AF583" s="51">
        <v>14</v>
      </c>
      <c r="AG583" s="51">
        <f t="shared" si="562"/>
        <v>8.4</v>
      </c>
      <c r="AH583" s="51">
        <f t="shared" si="528"/>
        <v>42</v>
      </c>
      <c r="AI583" s="52" t="s">
        <v>2497</v>
      </c>
      <c r="AJ583" s="52" t="s">
        <v>2498</v>
      </c>
      <c r="AK583" s="53">
        <f t="shared" si="563"/>
        <v>3.0758648159999995E-2</v>
      </c>
      <c r="AL583" s="54">
        <f t="shared" si="564"/>
        <v>0.11904761904761904</v>
      </c>
      <c r="AM583" s="54">
        <f t="shared" si="565"/>
        <v>2.3809523809523808E-2</v>
      </c>
      <c r="AN583" s="55">
        <f t="shared" si="566"/>
        <v>7.3234876571428558E-3</v>
      </c>
      <c r="AO583" s="55">
        <f t="shared" si="567"/>
        <v>1.4646975314285711E-3</v>
      </c>
      <c r="AP583" s="53">
        <v>7.1</v>
      </c>
      <c r="AQ583" s="53">
        <f t="shared" si="535"/>
        <v>4.26</v>
      </c>
      <c r="AR583" s="53">
        <f t="shared" si="536"/>
        <v>21.299999999999997</v>
      </c>
      <c r="AS583" s="56">
        <f t="shared" si="537"/>
        <v>4.6948356807511742E-2</v>
      </c>
      <c r="AT583" s="56">
        <f t="shared" si="568"/>
        <v>0.23474178403755869</v>
      </c>
      <c r="AU583" s="56">
        <f t="shared" si="538"/>
        <v>0.176056338028169</v>
      </c>
      <c r="AV583" s="56">
        <f t="shared" si="569"/>
        <v>5.8685446009389672E-2</v>
      </c>
      <c r="AW583" s="57" t="s">
        <v>2511</v>
      </c>
      <c r="AX583" s="57" t="s">
        <v>2512</v>
      </c>
      <c r="AY583" s="57" t="s">
        <v>2513</v>
      </c>
      <c r="AZ583" s="58">
        <f t="shared" si="570"/>
        <v>3.0758648159999995E-2</v>
      </c>
      <c r="BA583" s="59">
        <f t="shared" si="514"/>
        <v>1.8050849859154927E-3</v>
      </c>
      <c r="BB583" s="59">
        <f t="shared" si="515"/>
        <v>5.415254957746478E-3</v>
      </c>
      <c r="BC583" s="59">
        <f t="shared" si="516"/>
        <v>1.4440679887323942E-3</v>
      </c>
      <c r="BD583" s="60">
        <f t="shared" si="571"/>
        <v>6.5789473684210523E-3</v>
      </c>
      <c r="BE583" s="59">
        <f t="shared" si="572"/>
        <v>1.3157894736842105E-2</v>
      </c>
      <c r="BQ583" s="61">
        <v>3000</v>
      </c>
      <c r="BR583" s="61">
        <v>1200</v>
      </c>
      <c r="BS583" s="28">
        <f t="shared" si="539"/>
        <v>2980</v>
      </c>
      <c r="BT583" s="28">
        <f t="shared" si="540"/>
        <v>1180</v>
      </c>
      <c r="BU583" s="28" t="s">
        <v>2541</v>
      </c>
      <c r="BV583" s="28">
        <f t="shared" si="541"/>
        <v>610.48519999999996</v>
      </c>
      <c r="BW583" s="28">
        <f t="shared" si="542"/>
        <v>30.4</v>
      </c>
      <c r="BX583" s="13">
        <f t="shared" si="543"/>
        <v>4.8813632173228774</v>
      </c>
      <c r="BY583" s="13">
        <f t="shared" si="544"/>
        <v>4</v>
      </c>
      <c r="BZ583" s="13">
        <f t="shared" si="545"/>
        <v>38.815789473684212</v>
      </c>
      <c r="CA583" s="13">
        <f t="shared" si="546"/>
        <v>38</v>
      </c>
      <c r="CB583" s="13">
        <f t="shared" si="547"/>
        <v>152</v>
      </c>
      <c r="CC583" s="62">
        <f t="shared" si="548"/>
        <v>6.5789473684210523E-3</v>
      </c>
      <c r="CD583" s="13">
        <f t="shared" si="549"/>
        <v>98.026315789473685</v>
      </c>
      <c r="CE583" s="13">
        <f t="shared" si="550"/>
        <v>98</v>
      </c>
      <c r="CF583" s="13">
        <f t="shared" si="551"/>
        <v>1.9328887907520118</v>
      </c>
      <c r="CG583" s="13">
        <f t="shared" si="552"/>
        <v>1</v>
      </c>
      <c r="CH583" s="28">
        <f t="shared" si="553"/>
        <v>98</v>
      </c>
      <c r="CI583" s="62">
        <f t="shared" si="554"/>
        <v>1.020408163265306E-2</v>
      </c>
      <c r="CJ583" s="59">
        <f t="shared" si="555"/>
        <v>6.5789473684210523E-3</v>
      </c>
      <c r="CL583" s="63">
        <v>6000</v>
      </c>
      <c r="CM583" s="63">
        <f t="shared" si="556"/>
        <v>605.48519999999996</v>
      </c>
      <c r="CN583" s="63">
        <f t="shared" si="557"/>
        <v>610.48519999999996</v>
      </c>
      <c r="CO583" s="63">
        <f t="shared" si="558"/>
        <v>9.828248088569552</v>
      </c>
      <c r="CP583" s="13">
        <f t="shared" si="559"/>
        <v>9</v>
      </c>
      <c r="CQ583" s="70">
        <f t="shared" si="560"/>
        <v>0.1111111111111111</v>
      </c>
      <c r="CR583" s="69">
        <f t="shared" si="523"/>
        <v>0.22222222222222221</v>
      </c>
    </row>
    <row r="584" spans="1:96" hidden="1" x14ac:dyDescent="0.25">
      <c r="A584" s="10">
        <v>3</v>
      </c>
      <c r="B584" s="8" t="s">
        <v>1426</v>
      </c>
      <c r="C584" s="10" t="s">
        <v>229</v>
      </c>
      <c r="D584" s="10" t="s">
        <v>231</v>
      </c>
      <c r="E584" s="10" t="s">
        <v>52</v>
      </c>
      <c r="F584" s="12">
        <f t="shared" si="529"/>
        <v>4</v>
      </c>
      <c r="G584" s="10">
        <v>1</v>
      </c>
      <c r="H584" s="10">
        <f t="shared" si="561"/>
        <v>1</v>
      </c>
      <c r="I584" s="10">
        <v>14</v>
      </c>
      <c r="J584" s="8" t="s">
        <v>230</v>
      </c>
      <c r="K584" s="8" t="s">
        <v>34</v>
      </c>
      <c r="L584" s="10" t="s">
        <v>89</v>
      </c>
      <c r="M584" s="8" t="s">
        <v>35</v>
      </c>
      <c r="N584" s="10" t="s">
        <v>231</v>
      </c>
      <c r="O584" s="28" t="s">
        <v>41</v>
      </c>
      <c r="P584" s="28" t="s">
        <v>41</v>
      </c>
      <c r="Q584" s="28" t="s">
        <v>79</v>
      </c>
      <c r="R584" s="30">
        <v>12.027559055118111</v>
      </c>
      <c r="S584" s="30">
        <v>0.3125</v>
      </c>
      <c r="T584" s="30"/>
      <c r="U584" s="30">
        <v>0.3125</v>
      </c>
      <c r="V584" s="8">
        <f t="shared" si="530"/>
        <v>305.5</v>
      </c>
      <c r="W584" s="8">
        <f t="shared" si="531"/>
        <v>7.9375</v>
      </c>
      <c r="X584" s="8">
        <f t="shared" si="532"/>
        <v>0</v>
      </c>
      <c r="Y584" s="33">
        <f t="shared" si="533"/>
        <v>7.9375</v>
      </c>
      <c r="Z584" s="28" t="s">
        <v>80</v>
      </c>
      <c r="AA584" s="28" t="s">
        <v>81</v>
      </c>
      <c r="AB584" s="61" t="s">
        <v>79</v>
      </c>
      <c r="AC584" s="31" t="s">
        <v>82</v>
      </c>
      <c r="AD584" s="50">
        <f t="shared" si="534"/>
        <v>1</v>
      </c>
      <c r="AE584" s="31"/>
      <c r="AF584" s="51">
        <v>14</v>
      </c>
      <c r="AG584" s="51">
        <f t="shared" si="562"/>
        <v>8.4</v>
      </c>
      <c r="AH584" s="51">
        <f t="shared" si="528"/>
        <v>42</v>
      </c>
      <c r="AI584" s="52" t="s">
        <v>2497</v>
      </c>
      <c r="AJ584" s="52" t="s">
        <v>2498</v>
      </c>
      <c r="AK584" s="53">
        <f t="shared" si="563"/>
        <v>4.8498125E-3</v>
      </c>
      <c r="AL584" s="54">
        <f t="shared" si="564"/>
        <v>0.11904761904761904</v>
      </c>
      <c r="AM584" s="54">
        <f t="shared" si="565"/>
        <v>2.3809523809523808E-2</v>
      </c>
      <c r="AN584" s="55">
        <f t="shared" si="566"/>
        <v>5.7735863095238087E-4</v>
      </c>
      <c r="AO584" s="55">
        <f t="shared" si="567"/>
        <v>1.1547172619047618E-4</v>
      </c>
      <c r="AP584" s="53">
        <v>7.1</v>
      </c>
      <c r="AQ584" s="53">
        <f t="shared" si="535"/>
        <v>4.26</v>
      </c>
      <c r="AR584" s="53">
        <f t="shared" si="536"/>
        <v>21.299999999999997</v>
      </c>
      <c r="AS584" s="56">
        <f t="shared" si="537"/>
        <v>4.6948356807511742E-2</v>
      </c>
      <c r="AT584" s="56">
        <f t="shared" si="568"/>
        <v>0.23474178403755869</v>
      </c>
      <c r="AU584" s="56">
        <f t="shared" si="538"/>
        <v>0.176056338028169</v>
      </c>
      <c r="AV584" s="56">
        <f t="shared" si="569"/>
        <v>5.8685446009389672E-2</v>
      </c>
      <c r="AW584" s="57" t="s">
        <v>2511</v>
      </c>
      <c r="AX584" s="57" t="s">
        <v>2512</v>
      </c>
      <c r="AY584" s="57" t="s">
        <v>2513</v>
      </c>
      <c r="AZ584" s="58">
        <f t="shared" si="570"/>
        <v>4.8498125E-3</v>
      </c>
      <c r="BA584" s="59">
        <f t="shared" ref="BA584:BA647" si="573">IF(AW584&lt;&gt;0,((AV584*AD584*AK584)/2),0)</f>
        <v>1.4230670481220657E-4</v>
      </c>
      <c r="BB584" s="59">
        <f t="shared" ref="BB584:BB647" si="574">IF(AX584&lt;&gt;0,((AD584*AU584*AZ584)/2),0)</f>
        <v>4.269201144366197E-4</v>
      </c>
      <c r="BC584" s="59">
        <f t="shared" ref="BC584:BC647" si="575">IF(AY584&lt;&gt;0,((AD584*AS584*AZ584)/2),0)</f>
        <v>1.1384536384976526E-4</v>
      </c>
      <c r="BD584" s="60">
        <f t="shared" si="571"/>
        <v>1.221001221001221E-3</v>
      </c>
      <c r="BE584" s="59">
        <f t="shared" si="572"/>
        <v>1.221001221001221E-3</v>
      </c>
      <c r="BQ584" s="61">
        <v>3000</v>
      </c>
      <c r="BR584" s="61">
        <v>1200</v>
      </c>
      <c r="BS584" s="28">
        <f t="shared" si="539"/>
        <v>2980</v>
      </c>
      <c r="BT584" s="28">
        <f t="shared" si="540"/>
        <v>1180</v>
      </c>
      <c r="BU584" s="28" t="s">
        <v>2541</v>
      </c>
      <c r="BV584" s="28">
        <f t="shared" si="541"/>
        <v>310.5</v>
      </c>
      <c r="BW584" s="28">
        <f t="shared" si="542"/>
        <v>12.9375</v>
      </c>
      <c r="BX584" s="13">
        <f t="shared" si="543"/>
        <v>9.5974235104669887</v>
      </c>
      <c r="BY584" s="13">
        <f t="shared" si="544"/>
        <v>9</v>
      </c>
      <c r="BZ584" s="13">
        <f t="shared" si="545"/>
        <v>91.207729468599027</v>
      </c>
      <c r="CA584" s="13">
        <f t="shared" si="546"/>
        <v>91</v>
      </c>
      <c r="CB584" s="13">
        <f t="shared" si="547"/>
        <v>819</v>
      </c>
      <c r="CC584" s="62">
        <f t="shared" si="548"/>
        <v>1.221001221001221E-3</v>
      </c>
      <c r="CD584" s="13">
        <f t="shared" si="549"/>
        <v>230.33816425120773</v>
      </c>
      <c r="CE584" s="13">
        <f t="shared" si="550"/>
        <v>230</v>
      </c>
      <c r="CF584" s="13">
        <f t="shared" si="551"/>
        <v>3.8003220611916264</v>
      </c>
      <c r="CG584" s="13">
        <f t="shared" si="552"/>
        <v>3</v>
      </c>
      <c r="CH584" s="28">
        <f t="shared" si="553"/>
        <v>690</v>
      </c>
      <c r="CI584" s="62">
        <f t="shared" si="554"/>
        <v>1.4492753623188406E-3</v>
      </c>
      <c r="CJ584" s="59">
        <f t="shared" si="555"/>
        <v>1.221001221001221E-3</v>
      </c>
      <c r="CL584" s="63">
        <v>6000</v>
      </c>
      <c r="CM584" s="63">
        <f t="shared" si="556"/>
        <v>305.5</v>
      </c>
      <c r="CN584" s="63">
        <f t="shared" si="557"/>
        <v>310.5</v>
      </c>
      <c r="CO584" s="63">
        <f t="shared" si="558"/>
        <v>19.323671497584542</v>
      </c>
      <c r="CP584" s="13">
        <f t="shared" si="559"/>
        <v>19</v>
      </c>
      <c r="CQ584" s="70">
        <f t="shared" si="560"/>
        <v>5.2631578947368418E-2</v>
      </c>
      <c r="CR584" s="69">
        <f t="shared" si="523"/>
        <v>5.2631578947368418E-2</v>
      </c>
    </row>
    <row r="585" spans="1:96" hidden="1" x14ac:dyDescent="0.25">
      <c r="A585" s="10">
        <v>3</v>
      </c>
      <c r="B585" s="8" t="s">
        <v>1426</v>
      </c>
      <c r="C585" s="10" t="s">
        <v>817</v>
      </c>
      <c r="D585" s="10" t="s">
        <v>819</v>
      </c>
      <c r="E585" s="10" t="s">
        <v>52</v>
      </c>
      <c r="F585" s="12">
        <f t="shared" si="529"/>
        <v>5</v>
      </c>
      <c r="G585" s="10">
        <v>3</v>
      </c>
      <c r="H585" s="10">
        <f t="shared" si="561"/>
        <v>3</v>
      </c>
      <c r="I585" s="10">
        <v>15</v>
      </c>
      <c r="J585" s="8" t="s">
        <v>818</v>
      </c>
      <c r="K585" s="8" t="s">
        <v>34</v>
      </c>
      <c r="L585" s="10" t="s">
        <v>89</v>
      </c>
      <c r="M585" s="8" t="s">
        <v>35</v>
      </c>
      <c r="N585" s="10" t="s">
        <v>819</v>
      </c>
      <c r="O585" s="28" t="s">
        <v>41</v>
      </c>
      <c r="P585" s="28" t="s">
        <v>41</v>
      </c>
      <c r="Q585" s="28" t="s">
        <v>79</v>
      </c>
      <c r="R585" s="30">
        <v>16.023622047244096</v>
      </c>
      <c r="S585" s="30">
        <v>0.3125</v>
      </c>
      <c r="T585" s="30"/>
      <c r="U585" s="30">
        <v>0.3125</v>
      </c>
      <c r="V585" s="8">
        <f t="shared" si="530"/>
        <v>407</v>
      </c>
      <c r="W585" s="8">
        <f t="shared" si="531"/>
        <v>7.9375</v>
      </c>
      <c r="X585" s="8">
        <f t="shared" si="532"/>
        <v>0</v>
      </c>
      <c r="Y585" s="33">
        <f t="shared" si="533"/>
        <v>7.9375</v>
      </c>
      <c r="Z585" s="28" t="s">
        <v>80</v>
      </c>
      <c r="AA585" s="28" t="s">
        <v>81</v>
      </c>
      <c r="AB585" s="61" t="s">
        <v>79</v>
      </c>
      <c r="AC585" s="31" t="s">
        <v>82</v>
      </c>
      <c r="AD585" s="50">
        <f t="shared" si="534"/>
        <v>3</v>
      </c>
      <c r="AE585" s="31"/>
      <c r="AF585" s="51">
        <v>14</v>
      </c>
      <c r="AG585" s="51">
        <f t="shared" si="562"/>
        <v>8.4</v>
      </c>
      <c r="AH585" s="51">
        <f t="shared" si="528"/>
        <v>42</v>
      </c>
      <c r="AI585" s="52" t="s">
        <v>2497</v>
      </c>
      <c r="AJ585" s="52" t="s">
        <v>2498</v>
      </c>
      <c r="AK585" s="53">
        <f t="shared" si="563"/>
        <v>6.4611249999999999E-3</v>
      </c>
      <c r="AL585" s="54">
        <f t="shared" si="564"/>
        <v>0.11904761904761904</v>
      </c>
      <c r="AM585" s="54">
        <f t="shared" si="565"/>
        <v>2.3809523809523808E-2</v>
      </c>
      <c r="AN585" s="55">
        <f t="shared" si="566"/>
        <v>2.3075446428571424E-3</v>
      </c>
      <c r="AO585" s="55">
        <f t="shared" si="567"/>
        <v>4.6150892857142853E-4</v>
      </c>
      <c r="AP585" s="53">
        <v>7.1</v>
      </c>
      <c r="AQ585" s="53">
        <f t="shared" si="535"/>
        <v>4.26</v>
      </c>
      <c r="AR585" s="53">
        <f t="shared" si="536"/>
        <v>21.299999999999997</v>
      </c>
      <c r="AS585" s="56">
        <f t="shared" si="537"/>
        <v>4.6948356807511742E-2</v>
      </c>
      <c r="AT585" s="56">
        <f t="shared" si="568"/>
        <v>0.23474178403755869</v>
      </c>
      <c r="AU585" s="56">
        <f t="shared" si="538"/>
        <v>0.176056338028169</v>
      </c>
      <c r="AV585" s="56">
        <f t="shared" si="569"/>
        <v>5.8685446009389672E-2</v>
      </c>
      <c r="AW585" s="57" t="s">
        <v>2511</v>
      </c>
      <c r="AX585" s="57" t="s">
        <v>2512</v>
      </c>
      <c r="AY585" s="57" t="s">
        <v>2513</v>
      </c>
      <c r="AZ585" s="58">
        <f t="shared" si="570"/>
        <v>6.4611249999999999E-3</v>
      </c>
      <c r="BA585" s="59">
        <f t="shared" si="573"/>
        <v>5.6876100352112673E-4</v>
      </c>
      <c r="BB585" s="59">
        <f t="shared" si="574"/>
        <v>1.7062830105633801E-3</v>
      </c>
      <c r="BC585" s="59">
        <f t="shared" si="575"/>
        <v>4.5500880281690141E-4</v>
      </c>
      <c r="BD585" s="60">
        <f t="shared" si="571"/>
        <v>1.5698587127158557E-3</v>
      </c>
      <c r="BE585" s="59">
        <f t="shared" si="572"/>
        <v>4.7095761381475672E-3</v>
      </c>
      <c r="BQ585" s="61">
        <v>3000</v>
      </c>
      <c r="BR585" s="61">
        <v>1200</v>
      </c>
      <c r="BS585" s="28">
        <f t="shared" si="539"/>
        <v>2980</v>
      </c>
      <c r="BT585" s="28">
        <f t="shared" si="540"/>
        <v>1180</v>
      </c>
      <c r="BU585" s="28" t="s">
        <v>2541</v>
      </c>
      <c r="BV585" s="28">
        <f t="shared" si="541"/>
        <v>412</v>
      </c>
      <c r="BW585" s="28">
        <f t="shared" si="542"/>
        <v>12.9375</v>
      </c>
      <c r="BX585" s="13">
        <f t="shared" si="543"/>
        <v>7.233009708737864</v>
      </c>
      <c r="BY585" s="13">
        <f t="shared" si="544"/>
        <v>7</v>
      </c>
      <c r="BZ585" s="13">
        <f t="shared" si="545"/>
        <v>91.207729468599027</v>
      </c>
      <c r="CA585" s="13">
        <f t="shared" si="546"/>
        <v>91</v>
      </c>
      <c r="CB585" s="13">
        <f t="shared" si="547"/>
        <v>637</v>
      </c>
      <c r="CC585" s="62">
        <f t="shared" si="548"/>
        <v>1.5698587127158557E-3</v>
      </c>
      <c r="CD585" s="13">
        <f t="shared" si="549"/>
        <v>230.33816425120773</v>
      </c>
      <c r="CE585" s="13">
        <f t="shared" si="550"/>
        <v>230</v>
      </c>
      <c r="CF585" s="13">
        <f t="shared" si="551"/>
        <v>2.8640776699029127</v>
      </c>
      <c r="CG585" s="13">
        <f t="shared" si="552"/>
        <v>2</v>
      </c>
      <c r="CH585" s="28">
        <f t="shared" si="553"/>
        <v>460</v>
      </c>
      <c r="CI585" s="62">
        <f t="shared" si="554"/>
        <v>2.1739130434782609E-3</v>
      </c>
      <c r="CJ585" s="59">
        <f t="shared" si="555"/>
        <v>1.5698587127158557E-3</v>
      </c>
      <c r="CL585" s="63">
        <v>6000</v>
      </c>
      <c r="CM585" s="63">
        <f t="shared" si="556"/>
        <v>407</v>
      </c>
      <c r="CN585" s="63">
        <f t="shared" si="557"/>
        <v>412</v>
      </c>
      <c r="CO585" s="63">
        <f t="shared" si="558"/>
        <v>14.563106796116505</v>
      </c>
      <c r="CP585" s="13">
        <f t="shared" si="559"/>
        <v>14</v>
      </c>
      <c r="CQ585" s="70">
        <f t="shared" si="560"/>
        <v>7.1428571428571425E-2</v>
      </c>
      <c r="CR585" s="69">
        <f t="shared" si="523"/>
        <v>0.21428571428571427</v>
      </c>
    </row>
    <row r="586" spans="1:96" hidden="1" x14ac:dyDescent="0.25">
      <c r="A586" s="10">
        <v>3</v>
      </c>
      <c r="B586" s="8" t="s">
        <v>1426</v>
      </c>
      <c r="C586" s="10" t="s">
        <v>1128</v>
      </c>
      <c r="D586" s="10" t="s">
        <v>1130</v>
      </c>
      <c r="E586" s="10" t="s">
        <v>52</v>
      </c>
      <c r="F586" s="12">
        <f t="shared" si="529"/>
        <v>2</v>
      </c>
      <c r="G586" s="10">
        <v>1</v>
      </c>
      <c r="H586" s="10">
        <f t="shared" si="561"/>
        <v>1</v>
      </c>
      <c r="I586" s="10">
        <v>17</v>
      </c>
      <c r="J586" s="8" t="s">
        <v>1129</v>
      </c>
      <c r="K586" s="8" t="s">
        <v>34</v>
      </c>
      <c r="L586" s="10" t="s">
        <v>259</v>
      </c>
      <c r="M586" s="8" t="s">
        <v>35</v>
      </c>
      <c r="N586" s="10" t="s">
        <v>1130</v>
      </c>
      <c r="O586" s="28" t="s">
        <v>41</v>
      </c>
      <c r="P586" s="28" t="s">
        <v>41</v>
      </c>
      <c r="Q586" s="28" t="s">
        <v>79</v>
      </c>
      <c r="R586" s="30">
        <v>13.976377952755906</v>
      </c>
      <c r="S586" s="30">
        <v>0.3125</v>
      </c>
      <c r="T586" s="30"/>
      <c r="U586" s="30">
        <v>0.3125</v>
      </c>
      <c r="V586" s="8">
        <f t="shared" si="530"/>
        <v>355</v>
      </c>
      <c r="W586" s="8">
        <f t="shared" si="531"/>
        <v>7.9375</v>
      </c>
      <c r="X586" s="8">
        <f t="shared" si="532"/>
        <v>0</v>
      </c>
      <c r="Y586" s="33">
        <f t="shared" si="533"/>
        <v>7.9375</v>
      </c>
      <c r="Z586" s="28" t="s">
        <v>80</v>
      </c>
      <c r="AA586" s="28" t="s">
        <v>81</v>
      </c>
      <c r="AB586" s="61" t="s">
        <v>79</v>
      </c>
      <c r="AC586" s="31" t="s">
        <v>82</v>
      </c>
      <c r="AD586" s="50">
        <f t="shared" si="534"/>
        <v>1</v>
      </c>
      <c r="AE586" s="31"/>
      <c r="AF586" s="51">
        <v>14</v>
      </c>
      <c r="AG586" s="51">
        <f t="shared" si="562"/>
        <v>8.4</v>
      </c>
      <c r="AH586" s="51">
        <f t="shared" si="528"/>
        <v>42</v>
      </c>
      <c r="AI586" s="52" t="s">
        <v>2497</v>
      </c>
      <c r="AJ586" s="52" t="s">
        <v>2498</v>
      </c>
      <c r="AK586" s="53">
        <f t="shared" si="563"/>
        <v>5.635625E-3</v>
      </c>
      <c r="AL586" s="54">
        <f t="shared" si="564"/>
        <v>0.11904761904761904</v>
      </c>
      <c r="AM586" s="54">
        <f t="shared" si="565"/>
        <v>2.3809523809523808E-2</v>
      </c>
      <c r="AN586" s="55">
        <f t="shared" si="566"/>
        <v>6.7090773809523802E-4</v>
      </c>
      <c r="AO586" s="55">
        <f t="shared" si="567"/>
        <v>1.3418154761904761E-4</v>
      </c>
      <c r="AP586" s="53">
        <v>7.1</v>
      </c>
      <c r="AQ586" s="53">
        <f t="shared" si="535"/>
        <v>4.26</v>
      </c>
      <c r="AR586" s="53">
        <f t="shared" si="536"/>
        <v>21.299999999999997</v>
      </c>
      <c r="AS586" s="56">
        <f t="shared" si="537"/>
        <v>4.6948356807511742E-2</v>
      </c>
      <c r="AT586" s="56">
        <f t="shared" si="568"/>
        <v>0.23474178403755869</v>
      </c>
      <c r="AU586" s="56">
        <f t="shared" si="538"/>
        <v>0.176056338028169</v>
      </c>
      <c r="AV586" s="56">
        <f t="shared" si="569"/>
        <v>5.8685446009389672E-2</v>
      </c>
      <c r="AW586" s="57" t="s">
        <v>2511</v>
      </c>
      <c r="AX586" s="57" t="s">
        <v>2512</v>
      </c>
      <c r="AY586" s="57" t="s">
        <v>2513</v>
      </c>
      <c r="AZ586" s="58">
        <f t="shared" si="570"/>
        <v>5.635625E-3</v>
      </c>
      <c r="BA586" s="59">
        <f t="shared" si="573"/>
        <v>1.6536458333333334E-4</v>
      </c>
      <c r="BB586" s="59">
        <f t="shared" si="574"/>
        <v>4.9609375000000001E-4</v>
      </c>
      <c r="BC586" s="59">
        <f t="shared" si="575"/>
        <v>1.3229166666666668E-4</v>
      </c>
      <c r="BD586" s="60">
        <f t="shared" si="571"/>
        <v>1.3736263736263737E-3</v>
      </c>
      <c r="BE586" s="59">
        <f t="shared" si="572"/>
        <v>1.3736263736263737E-3</v>
      </c>
      <c r="BQ586" s="61">
        <v>3000</v>
      </c>
      <c r="BR586" s="61">
        <v>1200</v>
      </c>
      <c r="BS586" s="28">
        <f t="shared" si="539"/>
        <v>2980</v>
      </c>
      <c r="BT586" s="28">
        <f t="shared" si="540"/>
        <v>1180</v>
      </c>
      <c r="BU586" s="28" t="s">
        <v>2541</v>
      </c>
      <c r="BV586" s="28">
        <f t="shared" si="541"/>
        <v>360</v>
      </c>
      <c r="BW586" s="28">
        <f t="shared" si="542"/>
        <v>12.9375</v>
      </c>
      <c r="BX586" s="13">
        <f t="shared" si="543"/>
        <v>8.2777777777777786</v>
      </c>
      <c r="BY586" s="13">
        <f t="shared" si="544"/>
        <v>8</v>
      </c>
      <c r="BZ586" s="13">
        <f t="shared" si="545"/>
        <v>91.207729468599027</v>
      </c>
      <c r="CA586" s="13">
        <f t="shared" si="546"/>
        <v>91</v>
      </c>
      <c r="CB586" s="13">
        <f t="shared" si="547"/>
        <v>728</v>
      </c>
      <c r="CC586" s="62">
        <f t="shared" si="548"/>
        <v>1.3736263736263737E-3</v>
      </c>
      <c r="CD586" s="13">
        <f t="shared" si="549"/>
        <v>230.33816425120773</v>
      </c>
      <c r="CE586" s="13">
        <f t="shared" si="550"/>
        <v>230</v>
      </c>
      <c r="CF586" s="13">
        <f t="shared" si="551"/>
        <v>3.2777777777777777</v>
      </c>
      <c r="CG586" s="13">
        <f t="shared" si="552"/>
        <v>3</v>
      </c>
      <c r="CH586" s="28">
        <f t="shared" si="553"/>
        <v>690</v>
      </c>
      <c r="CI586" s="62">
        <f t="shared" si="554"/>
        <v>1.4492753623188406E-3</v>
      </c>
      <c r="CJ586" s="59">
        <f t="shared" si="555"/>
        <v>1.3736263736263737E-3</v>
      </c>
      <c r="CL586" s="63">
        <v>6000</v>
      </c>
      <c r="CM586" s="63">
        <f t="shared" si="556"/>
        <v>355</v>
      </c>
      <c r="CN586" s="63">
        <f t="shared" si="557"/>
        <v>360</v>
      </c>
      <c r="CO586" s="63">
        <f t="shared" si="558"/>
        <v>16.666666666666668</v>
      </c>
      <c r="CP586" s="13">
        <f t="shared" si="559"/>
        <v>16</v>
      </c>
      <c r="CQ586" s="70">
        <f t="shared" si="560"/>
        <v>6.25E-2</v>
      </c>
      <c r="CR586" s="69">
        <f t="shared" si="523"/>
        <v>6.25E-2</v>
      </c>
    </row>
    <row r="587" spans="1:96" hidden="1" x14ac:dyDescent="0.25">
      <c r="A587" s="10">
        <v>3</v>
      </c>
      <c r="B587" s="8" t="s">
        <v>1426</v>
      </c>
      <c r="C587" s="10" t="s">
        <v>1438</v>
      </c>
      <c r="D587" s="10" t="s">
        <v>1439</v>
      </c>
      <c r="E587" s="10" t="s">
        <v>52</v>
      </c>
      <c r="F587" s="12">
        <f t="shared" si="529"/>
        <v>1</v>
      </c>
      <c r="G587" s="10">
        <v>1</v>
      </c>
      <c r="H587" s="10">
        <f t="shared" si="561"/>
        <v>1</v>
      </c>
      <c r="I587" s="10">
        <v>18</v>
      </c>
      <c r="J587" s="8" t="s">
        <v>76</v>
      </c>
      <c r="K587" s="8" t="s">
        <v>34</v>
      </c>
      <c r="L587" s="10" t="s">
        <v>77</v>
      </c>
      <c r="M587" s="8" t="s">
        <v>35</v>
      </c>
      <c r="N587" s="10" t="s">
        <v>1439</v>
      </c>
      <c r="O587" s="28" t="s">
        <v>41</v>
      </c>
      <c r="P587" s="28" t="s">
        <v>41</v>
      </c>
      <c r="Q587" s="28" t="s">
        <v>85</v>
      </c>
      <c r="R587" s="30">
        <v>17.834645669291341</v>
      </c>
      <c r="S587" s="30">
        <v>0.375</v>
      </c>
      <c r="T587" s="30"/>
      <c r="U587" s="30">
        <v>0.375</v>
      </c>
      <c r="V587" s="8">
        <f t="shared" si="530"/>
        <v>453</v>
      </c>
      <c r="W587" s="8">
        <f t="shared" si="531"/>
        <v>9.5249999999999986</v>
      </c>
      <c r="X587" s="8">
        <f t="shared" si="532"/>
        <v>0</v>
      </c>
      <c r="Y587" s="33">
        <f t="shared" si="533"/>
        <v>9.5249999999999986</v>
      </c>
      <c r="Z587" s="28" t="s">
        <v>80</v>
      </c>
      <c r="AA587" s="28" t="s">
        <v>81</v>
      </c>
      <c r="AB587" s="61" t="s">
        <v>85</v>
      </c>
      <c r="AC587" s="31" t="s">
        <v>86</v>
      </c>
      <c r="AD587" s="50">
        <f t="shared" si="534"/>
        <v>1</v>
      </c>
      <c r="AE587" s="31"/>
      <c r="AF587" s="51">
        <v>14</v>
      </c>
      <c r="AG587" s="51">
        <f t="shared" si="562"/>
        <v>8.4</v>
      </c>
      <c r="AH587" s="51">
        <f t="shared" si="528"/>
        <v>42</v>
      </c>
      <c r="AI587" s="52" t="s">
        <v>2497</v>
      </c>
      <c r="AJ587" s="52" t="s">
        <v>2498</v>
      </c>
      <c r="AK587" s="53">
        <f t="shared" si="563"/>
        <v>8.6296499999999974E-3</v>
      </c>
      <c r="AL587" s="54">
        <f t="shared" si="564"/>
        <v>0.11904761904761904</v>
      </c>
      <c r="AM587" s="54">
        <f t="shared" si="565"/>
        <v>2.3809523809523808E-2</v>
      </c>
      <c r="AN587" s="55">
        <f t="shared" si="566"/>
        <v>1.0273392857142853E-3</v>
      </c>
      <c r="AO587" s="55">
        <f t="shared" si="567"/>
        <v>2.0546785714285707E-4</v>
      </c>
      <c r="AP587" s="53">
        <v>7.1</v>
      </c>
      <c r="AQ587" s="53">
        <f t="shared" si="535"/>
        <v>4.26</v>
      </c>
      <c r="AR587" s="53">
        <f t="shared" si="536"/>
        <v>21.299999999999997</v>
      </c>
      <c r="AS587" s="56">
        <f t="shared" si="537"/>
        <v>4.6948356807511742E-2</v>
      </c>
      <c r="AT587" s="56">
        <f t="shared" si="568"/>
        <v>0.23474178403755869</v>
      </c>
      <c r="AU587" s="56">
        <f t="shared" si="538"/>
        <v>0.176056338028169</v>
      </c>
      <c r="AV587" s="56">
        <f t="shared" si="569"/>
        <v>5.8685446009389672E-2</v>
      </c>
      <c r="AW587" s="57" t="s">
        <v>2511</v>
      </c>
      <c r="AX587" s="57" t="s">
        <v>2512</v>
      </c>
      <c r="AY587" s="57" t="s">
        <v>2513</v>
      </c>
      <c r="AZ587" s="58">
        <f t="shared" si="570"/>
        <v>8.6296499999999974E-3</v>
      </c>
      <c r="BA587" s="59">
        <f t="shared" si="573"/>
        <v>2.5321742957746472E-4</v>
      </c>
      <c r="BB587" s="59">
        <f t="shared" si="574"/>
        <v>7.596522887323941E-4</v>
      </c>
      <c r="BC587" s="59">
        <f t="shared" si="575"/>
        <v>2.0257394366197178E-4</v>
      </c>
      <c r="BD587" s="60">
        <f t="shared" si="571"/>
        <v>2.05761316872428E-3</v>
      </c>
      <c r="BE587" s="59">
        <f t="shared" si="572"/>
        <v>2.05761316872428E-3</v>
      </c>
      <c r="BQ587" s="61">
        <v>3000</v>
      </c>
      <c r="BR587" s="61">
        <v>1200</v>
      </c>
      <c r="BS587" s="28">
        <f t="shared" si="539"/>
        <v>2980</v>
      </c>
      <c r="BT587" s="28">
        <f t="shared" si="540"/>
        <v>1180</v>
      </c>
      <c r="BU587" s="28" t="s">
        <v>2541</v>
      </c>
      <c r="BV587" s="28">
        <f t="shared" si="541"/>
        <v>458</v>
      </c>
      <c r="BW587" s="28">
        <f t="shared" si="542"/>
        <v>14.524999999999999</v>
      </c>
      <c r="BX587" s="13">
        <f t="shared" si="543"/>
        <v>6.5065502183406112</v>
      </c>
      <c r="BY587" s="13">
        <f t="shared" si="544"/>
        <v>6</v>
      </c>
      <c r="BZ587" s="13">
        <f t="shared" si="545"/>
        <v>81.239242685025829</v>
      </c>
      <c r="CA587" s="13">
        <f t="shared" si="546"/>
        <v>81</v>
      </c>
      <c r="CB587" s="13">
        <f t="shared" si="547"/>
        <v>486</v>
      </c>
      <c r="CC587" s="62">
        <f t="shared" si="548"/>
        <v>2.05761316872428E-3</v>
      </c>
      <c r="CD587" s="13">
        <f t="shared" si="549"/>
        <v>205.16351118760758</v>
      </c>
      <c r="CE587" s="13">
        <f t="shared" si="550"/>
        <v>205</v>
      </c>
      <c r="CF587" s="13">
        <f t="shared" si="551"/>
        <v>2.5764192139737991</v>
      </c>
      <c r="CG587" s="13">
        <f t="shared" si="552"/>
        <v>2</v>
      </c>
      <c r="CH587" s="28">
        <f t="shared" si="553"/>
        <v>410</v>
      </c>
      <c r="CI587" s="62">
        <f t="shared" si="554"/>
        <v>2.4390243902439024E-3</v>
      </c>
      <c r="CJ587" s="59">
        <f t="shared" si="555"/>
        <v>2.05761316872428E-3</v>
      </c>
      <c r="CL587" s="63">
        <v>6000</v>
      </c>
      <c r="CM587" s="63">
        <f t="shared" si="556"/>
        <v>453</v>
      </c>
      <c r="CN587" s="63">
        <f t="shared" si="557"/>
        <v>458</v>
      </c>
      <c r="CO587" s="63">
        <f t="shared" si="558"/>
        <v>13.100436681222707</v>
      </c>
      <c r="CP587" s="13">
        <f t="shared" si="559"/>
        <v>13</v>
      </c>
      <c r="CQ587" s="70">
        <f t="shared" si="560"/>
        <v>7.6923076923076927E-2</v>
      </c>
      <c r="CR587" s="69">
        <f t="shared" si="523"/>
        <v>7.6923076923076927E-2</v>
      </c>
    </row>
    <row r="588" spans="1:96" hidden="1" x14ac:dyDescent="0.25">
      <c r="A588" s="10">
        <v>3</v>
      </c>
      <c r="B588" s="8" t="s">
        <v>1426</v>
      </c>
      <c r="C588" s="10" t="s">
        <v>1263</v>
      </c>
      <c r="D588" s="10" t="s">
        <v>1264</v>
      </c>
      <c r="E588" s="10" t="s">
        <v>52</v>
      </c>
      <c r="F588" s="12">
        <f t="shared" si="529"/>
        <v>2</v>
      </c>
      <c r="G588" s="10">
        <v>1</v>
      </c>
      <c r="H588" s="10">
        <f t="shared" si="561"/>
        <v>1</v>
      </c>
      <c r="I588" s="10">
        <v>20</v>
      </c>
      <c r="J588" s="8" t="s">
        <v>76</v>
      </c>
      <c r="K588" s="8" t="s">
        <v>34</v>
      </c>
      <c r="L588" s="10" t="s">
        <v>77</v>
      </c>
      <c r="M588" s="8" t="s">
        <v>35</v>
      </c>
      <c r="N588" s="10" t="s">
        <v>1264</v>
      </c>
      <c r="O588" s="28" t="s">
        <v>41</v>
      </c>
      <c r="P588" s="28" t="s">
        <v>41</v>
      </c>
      <c r="Q588" s="28" t="s">
        <v>79</v>
      </c>
      <c r="R588" s="30">
        <v>13.031496062992126</v>
      </c>
      <c r="S588" s="30">
        <v>0.3125</v>
      </c>
      <c r="T588" s="30"/>
      <c r="U588" s="30">
        <v>0.3125</v>
      </c>
      <c r="V588" s="8">
        <f t="shared" si="530"/>
        <v>331</v>
      </c>
      <c r="W588" s="8">
        <f t="shared" si="531"/>
        <v>7.9375</v>
      </c>
      <c r="X588" s="8">
        <f t="shared" si="532"/>
        <v>0</v>
      </c>
      <c r="Y588" s="33">
        <f t="shared" si="533"/>
        <v>7.9375</v>
      </c>
      <c r="Z588" s="28" t="s">
        <v>80</v>
      </c>
      <c r="AA588" s="28" t="s">
        <v>81</v>
      </c>
      <c r="AB588" s="61" t="s">
        <v>79</v>
      </c>
      <c r="AC588" s="31" t="s">
        <v>82</v>
      </c>
      <c r="AD588" s="50">
        <f t="shared" si="534"/>
        <v>1</v>
      </c>
      <c r="AE588" s="31"/>
      <c r="AF588" s="51">
        <v>14</v>
      </c>
      <c r="AG588" s="51">
        <f t="shared" si="562"/>
        <v>8.4</v>
      </c>
      <c r="AH588" s="51">
        <f t="shared" si="528"/>
        <v>42</v>
      </c>
      <c r="AI588" s="52" t="s">
        <v>2497</v>
      </c>
      <c r="AJ588" s="52" t="s">
        <v>2498</v>
      </c>
      <c r="AK588" s="53">
        <f t="shared" si="563"/>
        <v>5.2546249999999997E-3</v>
      </c>
      <c r="AL588" s="54">
        <f t="shared" si="564"/>
        <v>0.11904761904761904</v>
      </c>
      <c r="AM588" s="54">
        <f t="shared" si="565"/>
        <v>2.3809523809523808E-2</v>
      </c>
      <c r="AN588" s="55">
        <f t="shared" si="566"/>
        <v>6.2555059523809514E-4</v>
      </c>
      <c r="AO588" s="55">
        <f t="shared" si="567"/>
        <v>1.2511011904761904E-4</v>
      </c>
      <c r="AP588" s="53">
        <v>7.1</v>
      </c>
      <c r="AQ588" s="53">
        <f t="shared" si="535"/>
        <v>4.26</v>
      </c>
      <c r="AR588" s="53">
        <f t="shared" si="536"/>
        <v>21.299999999999997</v>
      </c>
      <c r="AS588" s="56">
        <f t="shared" si="537"/>
        <v>4.6948356807511742E-2</v>
      </c>
      <c r="AT588" s="56">
        <f t="shared" si="568"/>
        <v>0.23474178403755869</v>
      </c>
      <c r="AU588" s="56">
        <f t="shared" si="538"/>
        <v>0.176056338028169</v>
      </c>
      <c r="AV588" s="56">
        <f t="shared" si="569"/>
        <v>5.8685446009389672E-2</v>
      </c>
      <c r="AW588" s="57" t="s">
        <v>2511</v>
      </c>
      <c r="AX588" s="57" t="s">
        <v>2512</v>
      </c>
      <c r="AY588" s="57" t="s">
        <v>2513</v>
      </c>
      <c r="AZ588" s="58">
        <f t="shared" si="570"/>
        <v>5.2546249999999997E-3</v>
      </c>
      <c r="BA588" s="59">
        <f t="shared" si="573"/>
        <v>1.541850058685446E-4</v>
      </c>
      <c r="BB588" s="59">
        <f t="shared" si="574"/>
        <v>4.6255501760563377E-4</v>
      </c>
      <c r="BC588" s="59">
        <f t="shared" si="575"/>
        <v>1.2334800469483568E-4</v>
      </c>
      <c r="BD588" s="60">
        <f t="shared" si="571"/>
        <v>1.3736263736263737E-3</v>
      </c>
      <c r="BE588" s="59">
        <f t="shared" si="572"/>
        <v>1.3736263736263737E-3</v>
      </c>
      <c r="BQ588" s="61">
        <v>3000</v>
      </c>
      <c r="BR588" s="61">
        <v>1200</v>
      </c>
      <c r="BS588" s="28">
        <f t="shared" si="539"/>
        <v>2980</v>
      </c>
      <c r="BT588" s="28">
        <f t="shared" si="540"/>
        <v>1180</v>
      </c>
      <c r="BU588" s="28" t="s">
        <v>2541</v>
      </c>
      <c r="BV588" s="28">
        <f t="shared" si="541"/>
        <v>336</v>
      </c>
      <c r="BW588" s="28">
        <f t="shared" si="542"/>
        <v>12.9375</v>
      </c>
      <c r="BX588" s="13">
        <f t="shared" si="543"/>
        <v>8.8690476190476186</v>
      </c>
      <c r="BY588" s="13">
        <f t="shared" si="544"/>
        <v>8</v>
      </c>
      <c r="BZ588" s="13">
        <f t="shared" si="545"/>
        <v>91.207729468599027</v>
      </c>
      <c r="CA588" s="13">
        <f t="shared" si="546"/>
        <v>91</v>
      </c>
      <c r="CB588" s="13">
        <f t="shared" si="547"/>
        <v>728</v>
      </c>
      <c r="CC588" s="62">
        <f t="shared" si="548"/>
        <v>1.3736263736263737E-3</v>
      </c>
      <c r="CD588" s="13">
        <f t="shared" si="549"/>
        <v>230.33816425120773</v>
      </c>
      <c r="CE588" s="13">
        <f t="shared" si="550"/>
        <v>230</v>
      </c>
      <c r="CF588" s="13">
        <f t="shared" si="551"/>
        <v>3.5119047619047619</v>
      </c>
      <c r="CG588" s="13">
        <f t="shared" si="552"/>
        <v>3</v>
      </c>
      <c r="CH588" s="28">
        <f t="shared" si="553"/>
        <v>690</v>
      </c>
      <c r="CI588" s="62">
        <f t="shared" si="554"/>
        <v>1.4492753623188406E-3</v>
      </c>
      <c r="CJ588" s="59">
        <f t="shared" si="555"/>
        <v>1.3736263736263737E-3</v>
      </c>
      <c r="CL588" s="63">
        <v>6000</v>
      </c>
      <c r="CM588" s="63">
        <f t="shared" si="556"/>
        <v>331</v>
      </c>
      <c r="CN588" s="63">
        <f t="shared" si="557"/>
        <v>336</v>
      </c>
      <c r="CO588" s="63">
        <f t="shared" si="558"/>
        <v>17.857142857142858</v>
      </c>
      <c r="CP588" s="13">
        <f t="shared" si="559"/>
        <v>17</v>
      </c>
      <c r="CQ588" s="70">
        <f t="shared" si="560"/>
        <v>5.8823529411764705E-2</v>
      </c>
      <c r="CR588" s="69">
        <f t="shared" si="523"/>
        <v>5.8823529411764705E-2</v>
      </c>
    </row>
    <row r="589" spans="1:96" hidden="1" x14ac:dyDescent="0.25">
      <c r="A589" s="10">
        <v>3</v>
      </c>
      <c r="B589" s="8" t="s">
        <v>1426</v>
      </c>
      <c r="C589" s="10" t="s">
        <v>1440</v>
      </c>
      <c r="D589" s="10" t="s">
        <v>1441</v>
      </c>
      <c r="E589" s="10" t="s">
        <v>52</v>
      </c>
      <c r="F589" s="12">
        <f t="shared" si="529"/>
        <v>2</v>
      </c>
      <c r="G589" s="10">
        <v>2</v>
      </c>
      <c r="H589" s="10">
        <f t="shared" si="561"/>
        <v>2</v>
      </c>
      <c r="I589" s="10">
        <v>21</v>
      </c>
      <c r="J589" s="8" t="s">
        <v>76</v>
      </c>
      <c r="K589" s="8" t="s">
        <v>34</v>
      </c>
      <c r="L589" s="10" t="s">
        <v>77</v>
      </c>
      <c r="M589" s="8" t="s">
        <v>35</v>
      </c>
      <c r="N589" s="10" t="s">
        <v>1441</v>
      </c>
      <c r="O589" s="28" t="s">
        <v>41</v>
      </c>
      <c r="P589" s="28" t="s">
        <v>41</v>
      </c>
      <c r="Q589" s="28" t="s">
        <v>79</v>
      </c>
      <c r="R589" s="30">
        <v>17.047244094488189</v>
      </c>
      <c r="S589" s="30">
        <v>0.3125</v>
      </c>
      <c r="T589" s="30"/>
      <c r="U589" s="30">
        <v>0.3125</v>
      </c>
      <c r="V589" s="8">
        <f t="shared" si="530"/>
        <v>433</v>
      </c>
      <c r="W589" s="8">
        <f t="shared" si="531"/>
        <v>7.9375</v>
      </c>
      <c r="X589" s="8">
        <f t="shared" si="532"/>
        <v>0</v>
      </c>
      <c r="Y589" s="33">
        <f t="shared" si="533"/>
        <v>7.9375</v>
      </c>
      <c r="Z589" s="28" t="s">
        <v>80</v>
      </c>
      <c r="AA589" s="28" t="s">
        <v>81</v>
      </c>
      <c r="AB589" s="61" t="s">
        <v>79</v>
      </c>
      <c r="AC589" s="31" t="s">
        <v>82</v>
      </c>
      <c r="AD589" s="50">
        <f t="shared" si="534"/>
        <v>2</v>
      </c>
      <c r="AE589" s="31"/>
      <c r="AF589" s="51">
        <v>14</v>
      </c>
      <c r="AG589" s="51">
        <f t="shared" si="562"/>
        <v>8.4</v>
      </c>
      <c r="AH589" s="51">
        <f t="shared" si="528"/>
        <v>42</v>
      </c>
      <c r="AI589" s="52" t="s">
        <v>2497</v>
      </c>
      <c r="AJ589" s="52" t="s">
        <v>2498</v>
      </c>
      <c r="AK589" s="53">
        <f t="shared" si="563"/>
        <v>6.8738749999999998E-3</v>
      </c>
      <c r="AL589" s="54">
        <f t="shared" si="564"/>
        <v>0.11904761904761904</v>
      </c>
      <c r="AM589" s="54">
        <f t="shared" si="565"/>
        <v>2.3809523809523808E-2</v>
      </c>
      <c r="AN589" s="55">
        <f t="shared" si="566"/>
        <v>1.6366369047619046E-3</v>
      </c>
      <c r="AO589" s="55">
        <f t="shared" si="567"/>
        <v>3.2732738095238095E-4</v>
      </c>
      <c r="AP589" s="53">
        <v>7.1</v>
      </c>
      <c r="AQ589" s="53">
        <f t="shared" si="535"/>
        <v>4.26</v>
      </c>
      <c r="AR589" s="53">
        <f t="shared" si="536"/>
        <v>21.299999999999997</v>
      </c>
      <c r="AS589" s="56">
        <f t="shared" si="537"/>
        <v>4.6948356807511742E-2</v>
      </c>
      <c r="AT589" s="56">
        <f t="shared" si="568"/>
        <v>0.23474178403755869</v>
      </c>
      <c r="AU589" s="56">
        <f t="shared" si="538"/>
        <v>0.176056338028169</v>
      </c>
      <c r="AV589" s="56">
        <f t="shared" si="569"/>
        <v>5.8685446009389672E-2</v>
      </c>
      <c r="AW589" s="57" t="s">
        <v>2511</v>
      </c>
      <c r="AX589" s="57" t="s">
        <v>2512</v>
      </c>
      <c r="AY589" s="57" t="s">
        <v>2513</v>
      </c>
      <c r="AZ589" s="58">
        <f t="shared" si="570"/>
        <v>6.8738749999999998E-3</v>
      </c>
      <c r="BA589" s="59">
        <f t="shared" si="573"/>
        <v>4.033964201877934E-4</v>
      </c>
      <c r="BB589" s="59">
        <f t="shared" si="574"/>
        <v>1.2101892605633801E-3</v>
      </c>
      <c r="BC589" s="59">
        <f t="shared" si="575"/>
        <v>3.2271713615023478E-4</v>
      </c>
      <c r="BD589" s="60">
        <f t="shared" si="571"/>
        <v>1.8315018315018315E-3</v>
      </c>
      <c r="BE589" s="59">
        <f t="shared" si="572"/>
        <v>3.663003663003663E-3</v>
      </c>
      <c r="BQ589" s="61">
        <v>3000</v>
      </c>
      <c r="BR589" s="61">
        <v>1200</v>
      </c>
      <c r="BS589" s="28">
        <f t="shared" si="539"/>
        <v>2980</v>
      </c>
      <c r="BT589" s="28">
        <f t="shared" si="540"/>
        <v>1180</v>
      </c>
      <c r="BU589" s="28" t="s">
        <v>2541</v>
      </c>
      <c r="BV589" s="28">
        <f t="shared" si="541"/>
        <v>438</v>
      </c>
      <c r="BW589" s="28">
        <f t="shared" si="542"/>
        <v>12.9375</v>
      </c>
      <c r="BX589" s="13">
        <f t="shared" si="543"/>
        <v>6.8036529680365296</v>
      </c>
      <c r="BY589" s="13">
        <f t="shared" si="544"/>
        <v>6</v>
      </c>
      <c r="BZ589" s="13">
        <f t="shared" si="545"/>
        <v>91.207729468599027</v>
      </c>
      <c r="CA589" s="13">
        <f t="shared" si="546"/>
        <v>91</v>
      </c>
      <c r="CB589" s="13">
        <f t="shared" si="547"/>
        <v>546</v>
      </c>
      <c r="CC589" s="62">
        <f t="shared" si="548"/>
        <v>1.8315018315018315E-3</v>
      </c>
      <c r="CD589" s="13">
        <f t="shared" si="549"/>
        <v>230.33816425120773</v>
      </c>
      <c r="CE589" s="13">
        <f t="shared" si="550"/>
        <v>230</v>
      </c>
      <c r="CF589" s="13">
        <f t="shared" si="551"/>
        <v>2.6940639269406392</v>
      </c>
      <c r="CG589" s="13">
        <f t="shared" si="552"/>
        <v>2</v>
      </c>
      <c r="CH589" s="28">
        <f t="shared" si="553"/>
        <v>460</v>
      </c>
      <c r="CI589" s="62">
        <f t="shared" si="554"/>
        <v>2.1739130434782609E-3</v>
      </c>
      <c r="CJ589" s="59">
        <f t="shared" si="555"/>
        <v>1.8315018315018315E-3</v>
      </c>
      <c r="CL589" s="63">
        <v>6000</v>
      </c>
      <c r="CM589" s="63">
        <f t="shared" si="556"/>
        <v>433</v>
      </c>
      <c r="CN589" s="63">
        <f t="shared" si="557"/>
        <v>438</v>
      </c>
      <c r="CO589" s="63">
        <f t="shared" si="558"/>
        <v>13.698630136986301</v>
      </c>
      <c r="CP589" s="13">
        <f t="shared" si="559"/>
        <v>13</v>
      </c>
      <c r="CQ589" s="70">
        <f t="shared" si="560"/>
        <v>7.6923076923076927E-2</v>
      </c>
      <c r="CR589" s="69">
        <f t="shared" si="523"/>
        <v>0.15384615384615385</v>
      </c>
    </row>
    <row r="590" spans="1:96" hidden="1" x14ac:dyDescent="0.25">
      <c r="A590" s="10">
        <v>3</v>
      </c>
      <c r="B590" s="8" t="s">
        <v>1426</v>
      </c>
      <c r="C590" s="10" t="s">
        <v>94</v>
      </c>
      <c r="D590" s="10" t="s">
        <v>95</v>
      </c>
      <c r="E590" s="10" t="s">
        <v>52</v>
      </c>
      <c r="F590" s="12">
        <f t="shared" si="529"/>
        <v>13</v>
      </c>
      <c r="G590" s="10">
        <v>4</v>
      </c>
      <c r="H590" s="10">
        <f t="shared" si="561"/>
        <v>4</v>
      </c>
      <c r="I590" s="10">
        <v>22</v>
      </c>
      <c r="J590" s="8" t="s">
        <v>76</v>
      </c>
      <c r="K590" s="8" t="s">
        <v>34</v>
      </c>
      <c r="L590" s="10" t="s">
        <v>77</v>
      </c>
      <c r="M590" s="8" t="s">
        <v>35</v>
      </c>
      <c r="N590" s="10" t="s">
        <v>95</v>
      </c>
      <c r="O590" s="28" t="s">
        <v>41</v>
      </c>
      <c r="P590" s="28" t="s">
        <v>41</v>
      </c>
      <c r="Q590" s="28" t="s">
        <v>79</v>
      </c>
      <c r="R590" s="30">
        <v>7.0078740157480315</v>
      </c>
      <c r="S590" s="30">
        <v>0.3125</v>
      </c>
      <c r="T590" s="30"/>
      <c r="U590" s="30">
        <v>0.3125</v>
      </c>
      <c r="V590" s="8">
        <f t="shared" si="530"/>
        <v>178</v>
      </c>
      <c r="W590" s="8">
        <f t="shared" si="531"/>
        <v>7.9375</v>
      </c>
      <c r="X590" s="8">
        <f t="shared" si="532"/>
        <v>0</v>
      </c>
      <c r="Y590" s="33">
        <f t="shared" si="533"/>
        <v>7.9375</v>
      </c>
      <c r="Z590" s="28" t="s">
        <v>80</v>
      </c>
      <c r="AA590" s="28" t="s">
        <v>81</v>
      </c>
      <c r="AB590" s="61" t="s">
        <v>79</v>
      </c>
      <c r="AC590" s="31" t="s">
        <v>82</v>
      </c>
      <c r="AD590" s="50">
        <f t="shared" si="534"/>
        <v>4</v>
      </c>
      <c r="AE590" s="31"/>
      <c r="AF590" s="51">
        <v>14</v>
      </c>
      <c r="AG590" s="51">
        <f t="shared" si="562"/>
        <v>8.4</v>
      </c>
      <c r="AH590" s="51">
        <f t="shared" si="528"/>
        <v>42</v>
      </c>
      <c r="AI590" s="52" t="s">
        <v>2497</v>
      </c>
      <c r="AJ590" s="52" t="s">
        <v>2498</v>
      </c>
      <c r="AK590" s="53">
        <f t="shared" si="563"/>
        <v>2.8257500000000001E-3</v>
      </c>
      <c r="AL590" s="54">
        <f t="shared" si="564"/>
        <v>0.11904761904761904</v>
      </c>
      <c r="AM590" s="54">
        <f t="shared" si="565"/>
        <v>2.3809523809523808E-2</v>
      </c>
      <c r="AN590" s="55">
        <f t="shared" si="566"/>
        <v>1.3455952380952382E-3</v>
      </c>
      <c r="AO590" s="55">
        <f t="shared" si="567"/>
        <v>2.691190476190476E-4</v>
      </c>
      <c r="AP590" s="53">
        <v>7.1</v>
      </c>
      <c r="AQ590" s="53">
        <f t="shared" si="535"/>
        <v>4.26</v>
      </c>
      <c r="AR590" s="53">
        <f t="shared" si="536"/>
        <v>21.299999999999997</v>
      </c>
      <c r="AS590" s="56">
        <f t="shared" si="537"/>
        <v>4.6948356807511742E-2</v>
      </c>
      <c r="AT590" s="56">
        <f t="shared" si="568"/>
        <v>0.23474178403755869</v>
      </c>
      <c r="AU590" s="56">
        <f t="shared" si="538"/>
        <v>0.176056338028169</v>
      </c>
      <c r="AV590" s="56">
        <f t="shared" si="569"/>
        <v>5.8685446009389672E-2</v>
      </c>
      <c r="AW590" s="57" t="s">
        <v>2511</v>
      </c>
      <c r="AX590" s="57" t="s">
        <v>2512</v>
      </c>
      <c r="AY590" s="57" t="s">
        <v>2513</v>
      </c>
      <c r="AZ590" s="58">
        <f t="shared" si="570"/>
        <v>2.8257500000000001E-3</v>
      </c>
      <c r="BA590" s="59">
        <f t="shared" si="573"/>
        <v>3.3166079812206573E-4</v>
      </c>
      <c r="BB590" s="59">
        <f t="shared" si="574"/>
        <v>9.9498239436619719E-4</v>
      </c>
      <c r="BC590" s="59">
        <f t="shared" si="575"/>
        <v>2.653286384976526E-4</v>
      </c>
      <c r="BD590" s="60">
        <f t="shared" si="571"/>
        <v>6.8681318681318687E-4</v>
      </c>
      <c r="BE590" s="59">
        <f t="shared" si="572"/>
        <v>2.7472527472527475E-3</v>
      </c>
      <c r="BQ590" s="61">
        <v>3000</v>
      </c>
      <c r="BR590" s="61">
        <v>1200</v>
      </c>
      <c r="BS590" s="28">
        <f t="shared" si="539"/>
        <v>2980</v>
      </c>
      <c r="BT590" s="28">
        <f t="shared" si="540"/>
        <v>1180</v>
      </c>
      <c r="BU590" s="28" t="s">
        <v>2541</v>
      </c>
      <c r="BV590" s="28">
        <f t="shared" si="541"/>
        <v>183</v>
      </c>
      <c r="BW590" s="28">
        <f t="shared" si="542"/>
        <v>12.9375</v>
      </c>
      <c r="BX590" s="13">
        <f t="shared" si="543"/>
        <v>16.284153005464482</v>
      </c>
      <c r="BY590" s="13">
        <f t="shared" si="544"/>
        <v>16</v>
      </c>
      <c r="BZ590" s="13">
        <f t="shared" si="545"/>
        <v>91.207729468599027</v>
      </c>
      <c r="CA590" s="13">
        <f t="shared" si="546"/>
        <v>91</v>
      </c>
      <c r="CB590" s="13">
        <f t="shared" si="547"/>
        <v>1456</v>
      </c>
      <c r="CC590" s="62">
        <f t="shared" si="548"/>
        <v>6.8681318681318687E-4</v>
      </c>
      <c r="CD590" s="13">
        <f t="shared" si="549"/>
        <v>230.33816425120773</v>
      </c>
      <c r="CE590" s="13">
        <f t="shared" si="550"/>
        <v>230</v>
      </c>
      <c r="CF590" s="13">
        <f t="shared" si="551"/>
        <v>6.4480874316939891</v>
      </c>
      <c r="CG590" s="13">
        <f t="shared" si="552"/>
        <v>6</v>
      </c>
      <c r="CH590" s="28">
        <f t="shared" si="553"/>
        <v>1380</v>
      </c>
      <c r="CI590" s="62">
        <f t="shared" si="554"/>
        <v>7.246376811594203E-4</v>
      </c>
      <c r="CJ590" s="59">
        <f t="shared" si="555"/>
        <v>6.8681318681318687E-4</v>
      </c>
      <c r="CL590" s="63">
        <v>6000</v>
      </c>
      <c r="CM590" s="63">
        <f t="shared" si="556"/>
        <v>178</v>
      </c>
      <c r="CN590" s="63">
        <f t="shared" si="557"/>
        <v>183</v>
      </c>
      <c r="CO590" s="63">
        <f t="shared" si="558"/>
        <v>32.786885245901637</v>
      </c>
      <c r="CP590" s="13">
        <f t="shared" si="559"/>
        <v>32</v>
      </c>
      <c r="CQ590" s="70">
        <f t="shared" si="560"/>
        <v>3.125E-2</v>
      </c>
      <c r="CR590" s="69">
        <f t="shared" si="523"/>
        <v>0.125</v>
      </c>
    </row>
    <row r="591" spans="1:96" hidden="1" x14ac:dyDescent="0.25">
      <c r="A591" s="10">
        <v>3</v>
      </c>
      <c r="B591" s="8" t="s">
        <v>1426</v>
      </c>
      <c r="C591" s="10" t="s">
        <v>391</v>
      </c>
      <c r="D591" s="10" t="s">
        <v>829</v>
      </c>
      <c r="E591" s="10" t="s">
        <v>52</v>
      </c>
      <c r="F591" s="12">
        <f t="shared" si="529"/>
        <v>4</v>
      </c>
      <c r="G591" s="10">
        <v>1</v>
      </c>
      <c r="H591" s="10">
        <f t="shared" si="561"/>
        <v>1</v>
      </c>
      <c r="I591" s="10">
        <v>25</v>
      </c>
      <c r="J591" s="8" t="s">
        <v>76</v>
      </c>
      <c r="K591" s="8" t="s">
        <v>34</v>
      </c>
      <c r="L591" s="10" t="s">
        <v>77</v>
      </c>
      <c r="M591" s="8" t="s">
        <v>35</v>
      </c>
      <c r="N591" s="10" t="s">
        <v>829</v>
      </c>
      <c r="O591" s="28" t="s">
        <v>41</v>
      </c>
      <c r="P591" s="28" t="s">
        <v>41</v>
      </c>
      <c r="Q591" s="28" t="s">
        <v>79</v>
      </c>
      <c r="R591" s="30">
        <v>19.094488188976378</v>
      </c>
      <c r="S591" s="30">
        <v>0.3125</v>
      </c>
      <c r="T591" s="30"/>
      <c r="U591" s="30">
        <v>0.3125</v>
      </c>
      <c r="V591" s="8">
        <f t="shared" si="530"/>
        <v>484.99999999999994</v>
      </c>
      <c r="W591" s="8">
        <f t="shared" si="531"/>
        <v>7.9375</v>
      </c>
      <c r="X591" s="8">
        <f t="shared" si="532"/>
        <v>0</v>
      </c>
      <c r="Y591" s="33">
        <f t="shared" si="533"/>
        <v>7.9375</v>
      </c>
      <c r="Z591" s="28" t="s">
        <v>80</v>
      </c>
      <c r="AA591" s="28" t="s">
        <v>81</v>
      </c>
      <c r="AB591" s="61" t="s">
        <v>79</v>
      </c>
      <c r="AC591" s="31" t="s">
        <v>82</v>
      </c>
      <c r="AD591" s="50">
        <f t="shared" si="534"/>
        <v>1</v>
      </c>
      <c r="AE591" s="31"/>
      <c r="AF591" s="51">
        <v>14</v>
      </c>
      <c r="AG591" s="51">
        <f t="shared" si="562"/>
        <v>8.4</v>
      </c>
      <c r="AH591" s="51">
        <f t="shared" si="528"/>
        <v>42</v>
      </c>
      <c r="AI591" s="52" t="s">
        <v>2497</v>
      </c>
      <c r="AJ591" s="52" t="s">
        <v>2498</v>
      </c>
      <c r="AK591" s="53">
        <f t="shared" si="563"/>
        <v>7.6993749999999988E-3</v>
      </c>
      <c r="AL591" s="54">
        <f t="shared" si="564"/>
        <v>0.11904761904761904</v>
      </c>
      <c r="AM591" s="54">
        <f t="shared" si="565"/>
        <v>2.3809523809523808E-2</v>
      </c>
      <c r="AN591" s="55">
        <f t="shared" si="566"/>
        <v>9.1659226190476169E-4</v>
      </c>
      <c r="AO591" s="55">
        <f t="shared" si="567"/>
        <v>1.8331845238095233E-4</v>
      </c>
      <c r="AP591" s="53">
        <v>7.1</v>
      </c>
      <c r="AQ591" s="53">
        <f t="shared" si="535"/>
        <v>4.26</v>
      </c>
      <c r="AR591" s="53">
        <f t="shared" si="536"/>
        <v>21.299999999999997</v>
      </c>
      <c r="AS591" s="56">
        <f t="shared" si="537"/>
        <v>4.6948356807511742E-2</v>
      </c>
      <c r="AT591" s="56">
        <f t="shared" si="568"/>
        <v>0.23474178403755869</v>
      </c>
      <c r="AU591" s="56">
        <f t="shared" si="538"/>
        <v>0.176056338028169</v>
      </c>
      <c r="AV591" s="56">
        <f t="shared" si="569"/>
        <v>5.8685446009389672E-2</v>
      </c>
      <c r="AW591" s="57" t="s">
        <v>2511</v>
      </c>
      <c r="AX591" s="57" t="s">
        <v>2512</v>
      </c>
      <c r="AY591" s="57" t="s">
        <v>2513</v>
      </c>
      <c r="AZ591" s="58">
        <f t="shared" si="570"/>
        <v>7.6993749999999988E-3</v>
      </c>
      <c r="BA591" s="59">
        <f t="shared" si="573"/>
        <v>2.2592062793427227E-4</v>
      </c>
      <c r="BB591" s="59">
        <f t="shared" si="574"/>
        <v>6.7776188380281677E-4</v>
      </c>
      <c r="BC591" s="59">
        <f t="shared" si="575"/>
        <v>1.8073650234741784E-4</v>
      </c>
      <c r="BD591" s="60">
        <f t="shared" si="571"/>
        <v>1.8315018315018315E-3</v>
      </c>
      <c r="BE591" s="59">
        <f t="shared" si="572"/>
        <v>1.8315018315018315E-3</v>
      </c>
      <c r="BQ591" s="61">
        <v>3000</v>
      </c>
      <c r="BR591" s="61">
        <v>1200</v>
      </c>
      <c r="BS591" s="28">
        <f t="shared" si="539"/>
        <v>2980</v>
      </c>
      <c r="BT591" s="28">
        <f t="shared" si="540"/>
        <v>1180</v>
      </c>
      <c r="BU591" s="28" t="s">
        <v>2541</v>
      </c>
      <c r="BV591" s="28">
        <f t="shared" si="541"/>
        <v>489.99999999999994</v>
      </c>
      <c r="BW591" s="28">
        <f t="shared" si="542"/>
        <v>12.9375</v>
      </c>
      <c r="BX591" s="13">
        <f t="shared" si="543"/>
        <v>6.0816326530612255</v>
      </c>
      <c r="BY591" s="13">
        <f t="shared" si="544"/>
        <v>6</v>
      </c>
      <c r="BZ591" s="13">
        <f t="shared" si="545"/>
        <v>91.207729468599027</v>
      </c>
      <c r="CA591" s="13">
        <f t="shared" si="546"/>
        <v>91</v>
      </c>
      <c r="CB591" s="13">
        <f t="shared" si="547"/>
        <v>546</v>
      </c>
      <c r="CC591" s="62">
        <f t="shared" si="548"/>
        <v>1.8315018315018315E-3</v>
      </c>
      <c r="CD591" s="13">
        <f t="shared" si="549"/>
        <v>230.33816425120773</v>
      </c>
      <c r="CE591" s="13">
        <f t="shared" si="550"/>
        <v>230</v>
      </c>
      <c r="CF591" s="13">
        <f t="shared" si="551"/>
        <v>2.4081632653061229</v>
      </c>
      <c r="CG591" s="13">
        <f t="shared" si="552"/>
        <v>2</v>
      </c>
      <c r="CH591" s="28">
        <f t="shared" si="553"/>
        <v>460</v>
      </c>
      <c r="CI591" s="62">
        <f t="shared" si="554"/>
        <v>2.1739130434782609E-3</v>
      </c>
      <c r="CJ591" s="59">
        <f t="shared" si="555"/>
        <v>1.8315018315018315E-3</v>
      </c>
      <c r="CL591" s="63">
        <v>6000</v>
      </c>
      <c r="CM591" s="63">
        <f t="shared" si="556"/>
        <v>484.99999999999994</v>
      </c>
      <c r="CN591" s="63">
        <f t="shared" si="557"/>
        <v>489.99999999999994</v>
      </c>
      <c r="CO591" s="63">
        <f t="shared" si="558"/>
        <v>12.244897959183675</v>
      </c>
      <c r="CP591" s="13">
        <f t="shared" si="559"/>
        <v>12</v>
      </c>
      <c r="CQ591" s="70">
        <f t="shared" si="560"/>
        <v>8.3333333333333329E-2</v>
      </c>
      <c r="CR591" s="69">
        <f t="shared" si="523"/>
        <v>8.3333333333333329E-2</v>
      </c>
    </row>
    <row r="592" spans="1:96" hidden="1" x14ac:dyDescent="0.25">
      <c r="A592" s="10">
        <v>3</v>
      </c>
      <c r="B592" s="8" t="s">
        <v>1426</v>
      </c>
      <c r="C592" s="10" t="s">
        <v>738</v>
      </c>
      <c r="D592" s="10" t="s">
        <v>739</v>
      </c>
      <c r="E592" s="10" t="s">
        <v>52</v>
      </c>
      <c r="F592" s="12">
        <f t="shared" si="529"/>
        <v>4</v>
      </c>
      <c r="G592" s="10">
        <v>1</v>
      </c>
      <c r="H592" s="10">
        <f t="shared" si="561"/>
        <v>1</v>
      </c>
      <c r="I592" s="10">
        <v>26</v>
      </c>
      <c r="J592" s="8" t="s">
        <v>76</v>
      </c>
      <c r="K592" s="8" t="s">
        <v>34</v>
      </c>
      <c r="L592" s="10" t="s">
        <v>77</v>
      </c>
      <c r="M592" s="8" t="s">
        <v>35</v>
      </c>
      <c r="N592" s="10" t="s">
        <v>739</v>
      </c>
      <c r="O592" s="28" t="s">
        <v>41</v>
      </c>
      <c r="P592" s="28" t="s">
        <v>41</v>
      </c>
      <c r="Q592" s="28" t="s">
        <v>79</v>
      </c>
      <c r="R592" s="30">
        <v>5.0787401574803148</v>
      </c>
      <c r="S592" s="30">
        <v>0.3125</v>
      </c>
      <c r="T592" s="30"/>
      <c r="U592" s="30">
        <v>0.3125</v>
      </c>
      <c r="V592" s="8">
        <f t="shared" si="530"/>
        <v>129</v>
      </c>
      <c r="W592" s="8">
        <f t="shared" si="531"/>
        <v>7.9375</v>
      </c>
      <c r="X592" s="8">
        <f t="shared" si="532"/>
        <v>0</v>
      </c>
      <c r="Y592" s="33">
        <f t="shared" si="533"/>
        <v>7.9375</v>
      </c>
      <c r="Z592" s="28" t="s">
        <v>80</v>
      </c>
      <c r="AA592" s="28" t="s">
        <v>81</v>
      </c>
      <c r="AB592" s="61" t="s">
        <v>79</v>
      </c>
      <c r="AC592" s="31" t="s">
        <v>82</v>
      </c>
      <c r="AD592" s="50">
        <f t="shared" si="534"/>
        <v>1</v>
      </c>
      <c r="AE592" s="31"/>
      <c r="AF592" s="51">
        <v>14</v>
      </c>
      <c r="AG592" s="51">
        <f t="shared" si="562"/>
        <v>8.4</v>
      </c>
      <c r="AH592" s="51">
        <f t="shared" si="528"/>
        <v>42</v>
      </c>
      <c r="AI592" s="52" t="s">
        <v>2497</v>
      </c>
      <c r="AJ592" s="52" t="s">
        <v>2498</v>
      </c>
      <c r="AK592" s="53">
        <f t="shared" si="563"/>
        <v>2.0478750000000002E-3</v>
      </c>
      <c r="AL592" s="54">
        <f t="shared" si="564"/>
        <v>0.11904761904761904</v>
      </c>
      <c r="AM592" s="54">
        <f t="shared" si="565"/>
        <v>2.3809523809523808E-2</v>
      </c>
      <c r="AN592" s="55">
        <f t="shared" si="566"/>
        <v>2.4379464285714288E-4</v>
      </c>
      <c r="AO592" s="55">
        <f t="shared" si="567"/>
        <v>4.8758928571428574E-5</v>
      </c>
      <c r="AP592" s="53">
        <v>7.1</v>
      </c>
      <c r="AQ592" s="53">
        <f t="shared" si="535"/>
        <v>4.26</v>
      </c>
      <c r="AR592" s="53">
        <f t="shared" si="536"/>
        <v>21.299999999999997</v>
      </c>
      <c r="AS592" s="56">
        <f t="shared" si="537"/>
        <v>4.6948356807511742E-2</v>
      </c>
      <c r="AT592" s="56">
        <f t="shared" si="568"/>
        <v>0.23474178403755869</v>
      </c>
      <c r="AU592" s="56">
        <f t="shared" si="538"/>
        <v>0.176056338028169</v>
      </c>
      <c r="AV592" s="56">
        <f t="shared" si="569"/>
        <v>5.8685446009389672E-2</v>
      </c>
      <c r="AW592" s="57" t="s">
        <v>2511</v>
      </c>
      <c r="AX592" s="57" t="s">
        <v>2512</v>
      </c>
      <c r="AY592" s="57" t="s">
        <v>2513</v>
      </c>
      <c r="AZ592" s="58">
        <f t="shared" si="570"/>
        <v>2.0478750000000002E-3</v>
      </c>
      <c r="BA592" s="59">
        <f t="shared" si="573"/>
        <v>6.0090228873239441E-5</v>
      </c>
      <c r="BB592" s="59">
        <f t="shared" si="574"/>
        <v>1.8027068661971831E-4</v>
      </c>
      <c r="BC592" s="59">
        <f t="shared" si="575"/>
        <v>4.8072183098591556E-5</v>
      </c>
      <c r="BD592" s="60">
        <f t="shared" si="571"/>
        <v>4.995004995004995E-4</v>
      </c>
      <c r="BE592" s="59">
        <f t="shared" si="572"/>
        <v>4.995004995004995E-4</v>
      </c>
      <c r="BQ592" s="61">
        <v>3000</v>
      </c>
      <c r="BR592" s="61">
        <v>1200</v>
      </c>
      <c r="BS592" s="28">
        <f t="shared" si="539"/>
        <v>2980</v>
      </c>
      <c r="BT592" s="28">
        <f t="shared" si="540"/>
        <v>1180</v>
      </c>
      <c r="BU592" s="28" t="s">
        <v>2541</v>
      </c>
      <c r="BV592" s="28">
        <f t="shared" si="541"/>
        <v>134</v>
      </c>
      <c r="BW592" s="28">
        <f t="shared" si="542"/>
        <v>12.9375</v>
      </c>
      <c r="BX592" s="13">
        <f t="shared" si="543"/>
        <v>22.238805970149254</v>
      </c>
      <c r="BY592" s="13">
        <f t="shared" si="544"/>
        <v>22</v>
      </c>
      <c r="BZ592" s="13">
        <f t="shared" si="545"/>
        <v>91.207729468599027</v>
      </c>
      <c r="CA592" s="13">
        <f t="shared" si="546"/>
        <v>91</v>
      </c>
      <c r="CB592" s="13">
        <f t="shared" si="547"/>
        <v>2002</v>
      </c>
      <c r="CC592" s="62">
        <f t="shared" si="548"/>
        <v>4.995004995004995E-4</v>
      </c>
      <c r="CD592" s="13">
        <f t="shared" si="549"/>
        <v>230.33816425120773</v>
      </c>
      <c r="CE592" s="13">
        <f t="shared" si="550"/>
        <v>230</v>
      </c>
      <c r="CF592" s="13">
        <f t="shared" si="551"/>
        <v>8.8059701492537314</v>
      </c>
      <c r="CG592" s="13">
        <f t="shared" si="552"/>
        <v>8</v>
      </c>
      <c r="CH592" s="28">
        <f t="shared" si="553"/>
        <v>1840</v>
      </c>
      <c r="CI592" s="62">
        <f t="shared" si="554"/>
        <v>5.4347826086956522E-4</v>
      </c>
      <c r="CJ592" s="59">
        <f t="shared" si="555"/>
        <v>4.995004995004995E-4</v>
      </c>
      <c r="CL592" s="63">
        <v>6000</v>
      </c>
      <c r="CM592" s="63">
        <f t="shared" si="556"/>
        <v>129</v>
      </c>
      <c r="CN592" s="63">
        <f t="shared" si="557"/>
        <v>134</v>
      </c>
      <c r="CO592" s="63">
        <f t="shared" si="558"/>
        <v>44.776119402985074</v>
      </c>
      <c r="CP592" s="13">
        <f t="shared" si="559"/>
        <v>44</v>
      </c>
      <c r="CQ592" s="70">
        <f t="shared" si="560"/>
        <v>2.2727272727272728E-2</v>
      </c>
      <c r="CR592" s="69">
        <f t="shared" si="523"/>
        <v>2.2727272727272728E-2</v>
      </c>
    </row>
    <row r="593" spans="1:96" hidden="1" x14ac:dyDescent="0.25">
      <c r="A593" s="10">
        <v>3</v>
      </c>
      <c r="B593" s="8" t="s">
        <v>1426</v>
      </c>
      <c r="C593" s="10" t="s">
        <v>1442</v>
      </c>
      <c r="D593" s="10" t="s">
        <v>2270</v>
      </c>
      <c r="E593" s="10" t="s">
        <v>32</v>
      </c>
      <c r="F593" s="12">
        <f t="shared" si="529"/>
        <v>1</v>
      </c>
      <c r="G593" s="10">
        <v>1</v>
      </c>
      <c r="H593" s="10">
        <f t="shared" si="561"/>
        <v>1</v>
      </c>
      <c r="I593" s="10">
        <v>30</v>
      </c>
      <c r="J593" s="8" t="s">
        <v>1395</v>
      </c>
      <c r="K593" s="8" t="s">
        <v>34</v>
      </c>
      <c r="L593" s="10">
        <v>0</v>
      </c>
      <c r="M593" s="8" t="s">
        <v>35</v>
      </c>
      <c r="N593" s="10" t="s">
        <v>1443</v>
      </c>
      <c r="O593" s="28" t="s">
        <v>41</v>
      </c>
      <c r="P593" s="28" t="s">
        <v>41</v>
      </c>
      <c r="Q593" s="28"/>
      <c r="R593" s="30"/>
      <c r="S593" s="30"/>
      <c r="T593" s="30"/>
      <c r="U593" s="30"/>
      <c r="V593" s="8">
        <f t="shared" si="530"/>
        <v>0</v>
      </c>
      <c r="W593" s="8">
        <f t="shared" si="531"/>
        <v>0</v>
      </c>
      <c r="X593" s="8">
        <f t="shared" si="532"/>
        <v>0</v>
      </c>
      <c r="Y593" s="33">
        <f t="shared" si="533"/>
        <v>0</v>
      </c>
      <c r="Z593" s="28"/>
      <c r="AA593" s="28"/>
      <c r="AB593" s="28">
        <v>0</v>
      </c>
      <c r="AC593" s="31"/>
      <c r="AD593" s="50">
        <f t="shared" si="534"/>
        <v>1</v>
      </c>
      <c r="AE593" s="31"/>
      <c r="AF593" s="51">
        <v>14</v>
      </c>
      <c r="AG593" s="51">
        <f t="shared" si="562"/>
        <v>8.4</v>
      </c>
      <c r="AH593" s="51">
        <f t="shared" si="528"/>
        <v>42</v>
      </c>
      <c r="AI593" s="52" t="s">
        <v>2497</v>
      </c>
      <c r="AJ593" s="52" t="s">
        <v>2498</v>
      </c>
      <c r="AK593" s="53">
        <f t="shared" si="563"/>
        <v>0</v>
      </c>
      <c r="AL593" s="54">
        <f t="shared" si="564"/>
        <v>0.11904761904761904</v>
      </c>
      <c r="AM593" s="54">
        <f t="shared" si="565"/>
        <v>2.3809523809523808E-2</v>
      </c>
      <c r="AN593" s="55">
        <f t="shared" si="566"/>
        <v>0</v>
      </c>
      <c r="AO593" s="55">
        <f t="shared" si="567"/>
        <v>0</v>
      </c>
      <c r="AP593" s="53">
        <v>7.1</v>
      </c>
      <c r="AQ593" s="53">
        <f t="shared" si="535"/>
        <v>4.26</v>
      </c>
      <c r="AR593" s="53">
        <f t="shared" si="536"/>
        <v>21.299999999999997</v>
      </c>
      <c r="AS593" s="56">
        <f t="shared" si="537"/>
        <v>4.6948356807511742E-2</v>
      </c>
      <c r="AT593" s="56">
        <f t="shared" si="568"/>
        <v>0.23474178403755869</v>
      </c>
      <c r="AU593" s="56">
        <f t="shared" si="538"/>
        <v>0.176056338028169</v>
      </c>
      <c r="AV593" s="56">
        <f t="shared" si="569"/>
        <v>5.8685446009389672E-2</v>
      </c>
      <c r="AW593" s="57" t="s">
        <v>2511</v>
      </c>
      <c r="AX593" s="57" t="s">
        <v>2512</v>
      </c>
      <c r="AY593" s="57" t="s">
        <v>2513</v>
      </c>
      <c r="AZ593" s="58">
        <f t="shared" si="570"/>
        <v>0</v>
      </c>
      <c r="BA593" s="59">
        <f t="shared" si="573"/>
        <v>0</v>
      </c>
      <c r="BB593" s="59">
        <f t="shared" si="574"/>
        <v>0</v>
      </c>
      <c r="BC593" s="59">
        <f t="shared" si="575"/>
        <v>0</v>
      </c>
      <c r="BD593" s="60">
        <f t="shared" si="571"/>
        <v>0</v>
      </c>
      <c r="BE593" s="59">
        <f t="shared" si="572"/>
        <v>0</v>
      </c>
      <c r="BQ593" s="61">
        <v>3000</v>
      </c>
      <c r="BR593" s="61">
        <v>1200</v>
      </c>
      <c r="BS593" s="28">
        <f t="shared" si="539"/>
        <v>2980</v>
      </c>
      <c r="BT593" s="28">
        <f t="shared" si="540"/>
        <v>1180</v>
      </c>
      <c r="BU593" s="28" t="s">
        <v>2541</v>
      </c>
      <c r="BV593" s="28">
        <f t="shared" si="541"/>
        <v>5</v>
      </c>
      <c r="BW593" s="28">
        <f t="shared" si="542"/>
        <v>5</v>
      </c>
      <c r="BX593" s="13">
        <f t="shared" si="543"/>
        <v>596</v>
      </c>
      <c r="BY593" s="13">
        <f t="shared" si="544"/>
        <v>596</v>
      </c>
      <c r="BZ593" s="13">
        <f t="shared" si="545"/>
        <v>236</v>
      </c>
      <c r="CA593" s="13">
        <f t="shared" si="546"/>
        <v>236</v>
      </c>
      <c r="CB593" s="13">
        <f t="shared" si="547"/>
        <v>140656</v>
      </c>
      <c r="CC593" s="62" t="str">
        <f t="shared" si="548"/>
        <v/>
      </c>
      <c r="CD593" s="13">
        <f t="shared" si="549"/>
        <v>596</v>
      </c>
      <c r="CE593" s="13">
        <f t="shared" si="550"/>
        <v>596</v>
      </c>
      <c r="CF593" s="13">
        <f t="shared" si="551"/>
        <v>236</v>
      </c>
      <c r="CG593" s="13">
        <f t="shared" si="552"/>
        <v>236</v>
      </c>
      <c r="CH593" s="28">
        <f t="shared" si="553"/>
        <v>140656</v>
      </c>
      <c r="CI593" s="62" t="str">
        <f t="shared" si="554"/>
        <v/>
      </c>
      <c r="CJ593" s="59">
        <f t="shared" si="555"/>
        <v>0</v>
      </c>
      <c r="CL593" s="63">
        <v>6000</v>
      </c>
      <c r="CM593" s="63">
        <f t="shared" si="556"/>
        <v>0</v>
      </c>
      <c r="CN593" s="63">
        <f t="shared" si="557"/>
        <v>5</v>
      </c>
      <c r="CO593" s="63">
        <f t="shared" si="558"/>
        <v>1200</v>
      </c>
      <c r="CP593" s="13">
        <f t="shared" si="559"/>
        <v>1200</v>
      </c>
      <c r="CQ593" s="70">
        <f t="shared" si="560"/>
        <v>8.3333333333333339E-4</v>
      </c>
      <c r="CR593" s="69">
        <f t="shared" si="523"/>
        <v>8.3333333333333339E-4</v>
      </c>
    </row>
    <row r="594" spans="1:96" hidden="1" x14ac:dyDescent="0.25">
      <c r="A594" s="13">
        <v>4</v>
      </c>
      <c r="B594" s="14" t="s">
        <v>1444</v>
      </c>
      <c r="C594" s="13" t="s">
        <v>1445</v>
      </c>
      <c r="D594" s="13" t="s">
        <v>2270</v>
      </c>
      <c r="E594" s="13" t="s">
        <v>52</v>
      </c>
      <c r="F594" s="15">
        <f t="shared" si="529"/>
        <v>1</v>
      </c>
      <c r="G594" s="13">
        <v>1</v>
      </c>
      <c r="H594" s="13">
        <f>G594*$H$593</f>
        <v>1</v>
      </c>
      <c r="I594" s="13">
        <v>1</v>
      </c>
      <c r="J594" s="14" t="s">
        <v>1422</v>
      </c>
      <c r="K594" s="14" t="s">
        <v>34</v>
      </c>
      <c r="L594" s="13">
        <v>0</v>
      </c>
      <c r="M594" s="14" t="s">
        <v>35</v>
      </c>
      <c r="N594" s="13" t="s">
        <v>1446</v>
      </c>
      <c r="O594" s="28" t="s">
        <v>41</v>
      </c>
      <c r="P594" s="28" t="s">
        <v>41</v>
      </c>
      <c r="Q594" s="28" t="s">
        <v>124</v>
      </c>
      <c r="R594" s="30">
        <v>58.947000000000003</v>
      </c>
      <c r="S594" s="30">
        <v>24.786000000000001</v>
      </c>
      <c r="T594" s="30"/>
      <c r="U594" s="30">
        <v>9.8000000000000004E-2</v>
      </c>
      <c r="V594" s="8">
        <f t="shared" si="530"/>
        <v>1497.2538</v>
      </c>
      <c r="W594" s="8">
        <f t="shared" si="531"/>
        <v>629.56439999999998</v>
      </c>
      <c r="X594" s="8">
        <f t="shared" si="532"/>
        <v>0</v>
      </c>
      <c r="Y594" s="33">
        <f t="shared" si="533"/>
        <v>2.4891999999999999</v>
      </c>
      <c r="Z594" s="28" t="s">
        <v>56</v>
      </c>
      <c r="AA594" s="28" t="s">
        <v>57</v>
      </c>
      <c r="AB594" s="61" t="s">
        <v>124</v>
      </c>
      <c r="AC594" s="31" t="s">
        <v>125</v>
      </c>
      <c r="AD594" s="50">
        <f t="shared" si="534"/>
        <v>1</v>
      </c>
      <c r="AE594" s="47" t="s">
        <v>1183</v>
      </c>
      <c r="AF594" s="51">
        <v>14</v>
      </c>
      <c r="AG594" s="51">
        <f t="shared" si="562"/>
        <v>8.4</v>
      </c>
      <c r="AH594" s="51">
        <f t="shared" si="528"/>
        <v>42</v>
      </c>
      <c r="AI594" s="52" t="s">
        <v>2497</v>
      </c>
      <c r="AJ594" s="52" t="s">
        <v>2498</v>
      </c>
      <c r="AK594" s="53">
        <f t="shared" si="563"/>
        <v>1.8852353804894399</v>
      </c>
      <c r="AL594" s="54">
        <f t="shared" si="564"/>
        <v>0.11904761904761904</v>
      </c>
      <c r="AM594" s="54">
        <f t="shared" si="565"/>
        <v>2.3809523809523808E-2</v>
      </c>
      <c r="AN594" s="55">
        <f t="shared" si="566"/>
        <v>0.22443278339159997</v>
      </c>
      <c r="AO594" s="55">
        <f t="shared" si="567"/>
        <v>4.4886556678319998E-2</v>
      </c>
      <c r="AP594" s="53">
        <v>7.1</v>
      </c>
      <c r="AQ594" s="53">
        <f t="shared" si="535"/>
        <v>4.26</v>
      </c>
      <c r="AR594" s="53">
        <f t="shared" si="536"/>
        <v>21.299999999999997</v>
      </c>
      <c r="AS594" s="56">
        <f t="shared" si="537"/>
        <v>4.6948356807511742E-2</v>
      </c>
      <c r="AT594" s="56">
        <f t="shared" si="568"/>
        <v>0.23474178403755869</v>
      </c>
      <c r="AU594" s="56">
        <f t="shared" si="538"/>
        <v>0.176056338028169</v>
      </c>
      <c r="AV594" s="56">
        <f t="shared" si="569"/>
        <v>5.8685446009389672E-2</v>
      </c>
      <c r="AW594" s="57" t="s">
        <v>2511</v>
      </c>
      <c r="AX594" s="57" t="s">
        <v>2512</v>
      </c>
      <c r="AY594" s="57" t="s">
        <v>2513</v>
      </c>
      <c r="AZ594" s="58">
        <f t="shared" si="570"/>
        <v>1.8852353804894399</v>
      </c>
      <c r="BA594" s="59">
        <f t="shared" si="573"/>
        <v>5.5317939568352112E-2</v>
      </c>
      <c r="BB594" s="59">
        <f t="shared" si="574"/>
        <v>0.16595381870505632</v>
      </c>
      <c r="BC594" s="59">
        <f t="shared" si="575"/>
        <v>4.4254351654681695E-2</v>
      </c>
      <c r="BD594" s="60">
        <f t="shared" si="571"/>
        <v>1</v>
      </c>
      <c r="BE594" s="59">
        <f t="shared" si="572"/>
        <v>1</v>
      </c>
      <c r="BQ594" s="61">
        <v>3000</v>
      </c>
      <c r="BR594" s="61">
        <v>1200</v>
      </c>
      <c r="BS594" s="28">
        <f t="shared" si="539"/>
        <v>2980</v>
      </c>
      <c r="BT594" s="28">
        <f t="shared" si="540"/>
        <v>1180</v>
      </c>
      <c r="BU594" s="28" t="s">
        <v>2541</v>
      </c>
      <c r="BV594" s="28">
        <f t="shared" si="541"/>
        <v>1502.2538</v>
      </c>
      <c r="BW594" s="28">
        <f t="shared" si="542"/>
        <v>634.56439999999998</v>
      </c>
      <c r="BX594" s="13">
        <f t="shared" si="543"/>
        <v>1.9836861121602756</v>
      </c>
      <c r="BY594" s="13">
        <f t="shared" si="544"/>
        <v>1</v>
      </c>
      <c r="BZ594" s="13">
        <f t="shared" si="545"/>
        <v>1.8595433339783953</v>
      </c>
      <c r="CA594" s="13">
        <f t="shared" si="546"/>
        <v>1</v>
      </c>
      <c r="CB594" s="13">
        <f t="shared" si="547"/>
        <v>1</v>
      </c>
      <c r="CC594" s="62">
        <f t="shared" si="548"/>
        <v>1</v>
      </c>
      <c r="CD594" s="13">
        <f t="shared" si="549"/>
        <v>4.6961348603861168</v>
      </c>
      <c r="CE594" s="13">
        <f t="shared" si="550"/>
        <v>4</v>
      </c>
      <c r="CF594" s="13">
        <f t="shared" si="551"/>
        <v>0.78548644709702187</v>
      </c>
      <c r="CG594" s="13">
        <f t="shared" si="552"/>
        <v>0</v>
      </c>
      <c r="CH594" s="28">
        <f t="shared" si="553"/>
        <v>0</v>
      </c>
      <c r="CI594" s="62">
        <f t="shared" si="554"/>
        <v>1</v>
      </c>
      <c r="CJ594" s="59">
        <f t="shared" si="555"/>
        <v>1</v>
      </c>
      <c r="CL594" s="63">
        <v>6000</v>
      </c>
      <c r="CM594" s="63">
        <f t="shared" si="556"/>
        <v>1497.2538</v>
      </c>
      <c r="CN594" s="63">
        <f t="shared" si="557"/>
        <v>1502.2538</v>
      </c>
      <c r="CO594" s="63">
        <f t="shared" si="558"/>
        <v>3.9939988835441791</v>
      </c>
      <c r="CP594" s="13">
        <f t="shared" si="559"/>
        <v>3</v>
      </c>
      <c r="CQ594" s="70">
        <f t="shared" si="560"/>
        <v>0.33333333333333331</v>
      </c>
      <c r="CR594" s="69">
        <f t="shared" si="523"/>
        <v>0.33333333333333331</v>
      </c>
    </row>
    <row r="595" spans="1:96" hidden="1" x14ac:dyDescent="0.25">
      <c r="A595" s="13">
        <v>4</v>
      </c>
      <c r="B595" s="14" t="s">
        <v>1444</v>
      </c>
      <c r="C595" s="13" t="s">
        <v>1447</v>
      </c>
      <c r="D595" s="13" t="s">
        <v>1449</v>
      </c>
      <c r="E595" s="13" t="s">
        <v>52</v>
      </c>
      <c r="F595" s="15">
        <f t="shared" si="529"/>
        <v>1</v>
      </c>
      <c r="G595" s="13">
        <v>8</v>
      </c>
      <c r="H595" s="13">
        <f t="shared" ref="H595:H598" si="576">G595*$H$593</f>
        <v>8</v>
      </c>
      <c r="I595" s="13">
        <v>2</v>
      </c>
      <c r="J595" s="14" t="s">
        <v>1448</v>
      </c>
      <c r="K595" s="14" t="s">
        <v>34</v>
      </c>
      <c r="L595" s="13" t="s">
        <v>223</v>
      </c>
      <c r="M595" s="14" t="s">
        <v>340</v>
      </c>
      <c r="N595" s="13" t="s">
        <v>1449</v>
      </c>
      <c r="O595" s="28" t="s">
        <v>41</v>
      </c>
      <c r="P595" s="28" t="s">
        <v>41</v>
      </c>
      <c r="Q595" s="28" t="s">
        <v>1449</v>
      </c>
      <c r="R595" s="30"/>
      <c r="S595" s="30"/>
      <c r="T595" s="30"/>
      <c r="U595" s="30"/>
      <c r="V595" s="8">
        <f t="shared" si="530"/>
        <v>0</v>
      </c>
      <c r="W595" s="8">
        <f t="shared" si="531"/>
        <v>0</v>
      </c>
      <c r="X595" s="8">
        <f t="shared" si="532"/>
        <v>0</v>
      </c>
      <c r="Y595" s="33">
        <f t="shared" si="533"/>
        <v>0</v>
      </c>
      <c r="Z595" s="28"/>
      <c r="AA595" s="28"/>
      <c r="AB595" s="61" t="s">
        <v>1449</v>
      </c>
      <c r="AC595" s="31" t="s">
        <v>1450</v>
      </c>
      <c r="AD595" s="50">
        <f t="shared" si="534"/>
        <v>8</v>
      </c>
      <c r="AE595" s="31"/>
      <c r="AF595" s="51">
        <v>14</v>
      </c>
      <c r="AG595" s="51">
        <f t="shared" si="562"/>
        <v>8.4</v>
      </c>
      <c r="AH595" s="51">
        <f t="shared" si="528"/>
        <v>42</v>
      </c>
      <c r="AI595" s="52" t="s">
        <v>2497</v>
      </c>
      <c r="AJ595" s="52" t="s">
        <v>2498</v>
      </c>
      <c r="AK595" s="53">
        <f t="shared" si="563"/>
        <v>0</v>
      </c>
      <c r="AL595" s="54">
        <f t="shared" si="564"/>
        <v>0.11904761904761904</v>
      </c>
      <c r="AM595" s="54">
        <f t="shared" si="565"/>
        <v>2.3809523809523808E-2</v>
      </c>
      <c r="AN595" s="55">
        <f t="shared" si="566"/>
        <v>0</v>
      </c>
      <c r="AO595" s="55">
        <f t="shared" si="567"/>
        <v>0</v>
      </c>
      <c r="AP595" s="53">
        <v>7.1</v>
      </c>
      <c r="AQ595" s="53">
        <f t="shared" si="535"/>
        <v>4.26</v>
      </c>
      <c r="AR595" s="53">
        <f t="shared" si="536"/>
        <v>21.299999999999997</v>
      </c>
      <c r="AS595" s="56">
        <f t="shared" si="537"/>
        <v>4.6948356807511742E-2</v>
      </c>
      <c r="AT595" s="56">
        <f t="shared" si="568"/>
        <v>0.23474178403755869</v>
      </c>
      <c r="AU595" s="56">
        <f t="shared" si="538"/>
        <v>0.176056338028169</v>
      </c>
      <c r="AV595" s="56">
        <f t="shared" si="569"/>
        <v>5.8685446009389672E-2</v>
      </c>
      <c r="AW595" s="57" t="s">
        <v>2511</v>
      </c>
      <c r="AX595" s="57" t="s">
        <v>2512</v>
      </c>
      <c r="AY595" s="57" t="s">
        <v>2513</v>
      </c>
      <c r="AZ595" s="58">
        <f t="shared" si="570"/>
        <v>0</v>
      </c>
      <c r="BA595" s="59">
        <f t="shared" si="573"/>
        <v>0</v>
      </c>
      <c r="BB595" s="59">
        <f t="shared" si="574"/>
        <v>0</v>
      </c>
      <c r="BC595" s="59">
        <f t="shared" si="575"/>
        <v>0</v>
      </c>
      <c r="BD595" s="60">
        <f t="shared" si="571"/>
        <v>7.1095438516664771E-6</v>
      </c>
      <c r="BE595" s="59">
        <f t="shared" si="572"/>
        <v>5.6876350813331817E-5</v>
      </c>
      <c r="BQ595" s="61">
        <v>3000</v>
      </c>
      <c r="BR595" s="61">
        <v>1200</v>
      </c>
      <c r="BS595" s="28">
        <f t="shared" si="539"/>
        <v>2980</v>
      </c>
      <c r="BT595" s="28">
        <f t="shared" si="540"/>
        <v>1180</v>
      </c>
      <c r="BU595" s="28" t="s">
        <v>2541</v>
      </c>
      <c r="BV595" s="28">
        <f t="shared" si="541"/>
        <v>5</v>
      </c>
      <c r="BW595" s="28">
        <f t="shared" si="542"/>
        <v>5</v>
      </c>
      <c r="BX595" s="13">
        <f t="shared" si="543"/>
        <v>596</v>
      </c>
      <c r="BY595" s="13">
        <f t="shared" si="544"/>
        <v>596</v>
      </c>
      <c r="BZ595" s="13">
        <f t="shared" si="545"/>
        <v>236</v>
      </c>
      <c r="CA595" s="13">
        <f t="shared" si="546"/>
        <v>236</v>
      </c>
      <c r="CB595" s="13">
        <f t="shared" si="547"/>
        <v>140656</v>
      </c>
      <c r="CC595" s="62">
        <f t="shared" si="548"/>
        <v>7.1095438516664771E-6</v>
      </c>
      <c r="CD595" s="13">
        <f t="shared" si="549"/>
        <v>596</v>
      </c>
      <c r="CE595" s="13">
        <f t="shared" si="550"/>
        <v>596</v>
      </c>
      <c r="CF595" s="13">
        <f t="shared" si="551"/>
        <v>236</v>
      </c>
      <c r="CG595" s="13">
        <f t="shared" si="552"/>
        <v>236</v>
      </c>
      <c r="CH595" s="28">
        <f t="shared" si="553"/>
        <v>140656</v>
      </c>
      <c r="CI595" s="62">
        <f t="shared" si="554"/>
        <v>7.1095438516664771E-6</v>
      </c>
      <c r="CJ595" s="59">
        <f t="shared" si="555"/>
        <v>7.1095438516664771E-6</v>
      </c>
      <c r="CL595" s="63">
        <v>6000</v>
      </c>
      <c r="CM595" s="63">
        <f t="shared" si="556"/>
        <v>0</v>
      </c>
      <c r="CN595" s="63">
        <f t="shared" si="557"/>
        <v>5</v>
      </c>
      <c r="CO595" s="63">
        <f t="shared" si="558"/>
        <v>1200</v>
      </c>
      <c r="CP595" s="13">
        <f t="shared" si="559"/>
        <v>1200</v>
      </c>
      <c r="CQ595" s="70">
        <f t="shared" si="560"/>
        <v>8.3333333333333339E-4</v>
      </c>
      <c r="CR595" s="69">
        <f t="shared" si="523"/>
        <v>6.6666666666666671E-3</v>
      </c>
    </row>
    <row r="596" spans="1:96" hidden="1" x14ac:dyDescent="0.25">
      <c r="A596" s="13">
        <v>4</v>
      </c>
      <c r="B596" s="14" t="s">
        <v>1444</v>
      </c>
      <c r="C596" s="13" t="s">
        <v>59</v>
      </c>
      <c r="D596" s="13" t="s">
        <v>61</v>
      </c>
      <c r="E596" s="13" t="s">
        <v>52</v>
      </c>
      <c r="F596" s="15">
        <f t="shared" si="529"/>
        <v>19</v>
      </c>
      <c r="G596" s="13">
        <v>2</v>
      </c>
      <c r="H596" s="13">
        <f t="shared" si="576"/>
        <v>2</v>
      </c>
      <c r="I596" s="13">
        <v>3</v>
      </c>
      <c r="J596" s="14" t="s">
        <v>60</v>
      </c>
      <c r="K596" s="14" t="s">
        <v>34</v>
      </c>
      <c r="L596" s="13">
        <v>0</v>
      </c>
      <c r="M596" s="14" t="s">
        <v>35</v>
      </c>
      <c r="N596" s="13" t="s">
        <v>61</v>
      </c>
      <c r="O596" s="28" t="s">
        <v>41</v>
      </c>
      <c r="P596" s="28" t="s">
        <v>41</v>
      </c>
      <c r="Q596" s="28" t="s">
        <v>61</v>
      </c>
      <c r="R596" s="30"/>
      <c r="S596" s="30"/>
      <c r="T596" s="30"/>
      <c r="U596" s="30"/>
      <c r="V596" s="8">
        <f t="shared" si="530"/>
        <v>0</v>
      </c>
      <c r="W596" s="8">
        <f t="shared" si="531"/>
        <v>0</v>
      </c>
      <c r="X596" s="8">
        <f t="shared" si="532"/>
        <v>0</v>
      </c>
      <c r="Y596" s="33">
        <f t="shared" si="533"/>
        <v>0</v>
      </c>
      <c r="Z596" s="28"/>
      <c r="AA596" s="28"/>
      <c r="AB596" s="61" t="s">
        <v>61</v>
      </c>
      <c r="AC596" s="31" t="s">
        <v>62</v>
      </c>
      <c r="AD596" s="50">
        <f t="shared" si="534"/>
        <v>2</v>
      </c>
      <c r="AE596" s="31"/>
      <c r="AF596" s="51">
        <v>14</v>
      </c>
      <c r="AG596" s="51">
        <f t="shared" si="562"/>
        <v>8.4</v>
      </c>
      <c r="AH596" s="51">
        <f t="shared" si="528"/>
        <v>42</v>
      </c>
      <c r="AI596" s="52" t="s">
        <v>2497</v>
      </c>
      <c r="AJ596" s="52" t="s">
        <v>2498</v>
      </c>
      <c r="AK596" s="53">
        <f t="shared" si="563"/>
        <v>0</v>
      </c>
      <c r="AL596" s="54">
        <f t="shared" si="564"/>
        <v>0.11904761904761904</v>
      </c>
      <c r="AM596" s="54">
        <f t="shared" si="565"/>
        <v>2.3809523809523808E-2</v>
      </c>
      <c r="AN596" s="55">
        <f t="shared" si="566"/>
        <v>0</v>
      </c>
      <c r="AO596" s="55">
        <f t="shared" si="567"/>
        <v>0</v>
      </c>
      <c r="AP596" s="53">
        <v>7.1</v>
      </c>
      <c r="AQ596" s="53">
        <f t="shared" si="535"/>
        <v>4.26</v>
      </c>
      <c r="AR596" s="53">
        <f t="shared" si="536"/>
        <v>21.299999999999997</v>
      </c>
      <c r="AS596" s="56">
        <f t="shared" si="537"/>
        <v>4.6948356807511742E-2</v>
      </c>
      <c r="AT596" s="56">
        <f t="shared" si="568"/>
        <v>0.23474178403755869</v>
      </c>
      <c r="AU596" s="56">
        <f t="shared" si="538"/>
        <v>0.176056338028169</v>
      </c>
      <c r="AV596" s="56">
        <f t="shared" si="569"/>
        <v>5.8685446009389672E-2</v>
      </c>
      <c r="AW596" s="57" t="s">
        <v>2511</v>
      </c>
      <c r="AX596" s="57" t="s">
        <v>2512</v>
      </c>
      <c r="AY596" s="57" t="s">
        <v>2513</v>
      </c>
      <c r="AZ596" s="58">
        <f t="shared" si="570"/>
        <v>0</v>
      </c>
      <c r="BA596" s="59">
        <f t="shared" si="573"/>
        <v>0</v>
      </c>
      <c r="BB596" s="59">
        <f t="shared" si="574"/>
        <v>0</v>
      </c>
      <c r="BC596" s="59">
        <f t="shared" si="575"/>
        <v>0</v>
      </c>
      <c r="BD596" s="60">
        <f t="shared" si="571"/>
        <v>7.1095438516664771E-6</v>
      </c>
      <c r="BE596" s="59">
        <f t="shared" si="572"/>
        <v>1.4219087703332954E-5</v>
      </c>
      <c r="BQ596" s="61">
        <v>3000</v>
      </c>
      <c r="BR596" s="61">
        <v>1200</v>
      </c>
      <c r="BS596" s="28">
        <f t="shared" si="539"/>
        <v>2980</v>
      </c>
      <c r="BT596" s="28">
        <f t="shared" si="540"/>
        <v>1180</v>
      </c>
      <c r="BU596" s="28" t="s">
        <v>2541</v>
      </c>
      <c r="BV596" s="28">
        <f t="shared" si="541"/>
        <v>5</v>
      </c>
      <c r="BW596" s="28">
        <f t="shared" si="542"/>
        <v>5</v>
      </c>
      <c r="BX596" s="13">
        <f t="shared" si="543"/>
        <v>596</v>
      </c>
      <c r="BY596" s="13">
        <f t="shared" si="544"/>
        <v>596</v>
      </c>
      <c r="BZ596" s="13">
        <f t="shared" si="545"/>
        <v>236</v>
      </c>
      <c r="CA596" s="13">
        <f t="shared" si="546"/>
        <v>236</v>
      </c>
      <c r="CB596" s="13">
        <f t="shared" si="547"/>
        <v>140656</v>
      </c>
      <c r="CC596" s="62">
        <f t="shared" si="548"/>
        <v>7.1095438516664771E-6</v>
      </c>
      <c r="CD596" s="13">
        <f t="shared" si="549"/>
        <v>596</v>
      </c>
      <c r="CE596" s="13">
        <f t="shared" si="550"/>
        <v>596</v>
      </c>
      <c r="CF596" s="13">
        <f t="shared" si="551"/>
        <v>236</v>
      </c>
      <c r="CG596" s="13">
        <f t="shared" si="552"/>
        <v>236</v>
      </c>
      <c r="CH596" s="28">
        <f t="shared" si="553"/>
        <v>140656</v>
      </c>
      <c r="CI596" s="62">
        <f t="shared" si="554"/>
        <v>7.1095438516664771E-6</v>
      </c>
      <c r="CJ596" s="59">
        <f t="shared" si="555"/>
        <v>7.1095438516664771E-6</v>
      </c>
      <c r="CL596" s="63">
        <v>6000</v>
      </c>
      <c r="CM596" s="63">
        <f t="shared" si="556"/>
        <v>0</v>
      </c>
      <c r="CN596" s="63">
        <f t="shared" si="557"/>
        <v>5</v>
      </c>
      <c r="CO596" s="63">
        <f t="shared" si="558"/>
        <v>1200</v>
      </c>
      <c r="CP596" s="13">
        <f t="shared" si="559"/>
        <v>1200</v>
      </c>
      <c r="CQ596" s="70">
        <f t="shared" si="560"/>
        <v>8.3333333333333339E-4</v>
      </c>
      <c r="CR596" s="69">
        <f t="shared" si="523"/>
        <v>1.6666666666666668E-3</v>
      </c>
    </row>
    <row r="597" spans="1:96" hidden="1" x14ac:dyDescent="0.25">
      <c r="A597" s="13">
        <v>4</v>
      </c>
      <c r="B597" s="14" t="s">
        <v>1444</v>
      </c>
      <c r="C597" s="13" t="s">
        <v>448</v>
      </c>
      <c r="D597" s="13" t="s">
        <v>450</v>
      </c>
      <c r="E597" s="13" t="s">
        <v>52</v>
      </c>
      <c r="F597" s="15">
        <f t="shared" si="529"/>
        <v>23</v>
      </c>
      <c r="G597" s="13">
        <v>4</v>
      </c>
      <c r="H597" s="13">
        <f t="shared" si="576"/>
        <v>4</v>
      </c>
      <c r="I597" s="13">
        <v>4</v>
      </c>
      <c r="J597" s="14" t="s">
        <v>449</v>
      </c>
      <c r="K597" s="14" t="s">
        <v>34</v>
      </c>
      <c r="L597" s="13">
        <v>0</v>
      </c>
      <c r="M597" s="14" t="s">
        <v>35</v>
      </c>
      <c r="N597" s="13" t="s">
        <v>450</v>
      </c>
      <c r="O597" s="28" t="s">
        <v>41</v>
      </c>
      <c r="P597" s="28" t="s">
        <v>41</v>
      </c>
      <c r="Q597" s="28" t="s">
        <v>450</v>
      </c>
      <c r="R597" s="30"/>
      <c r="S597" s="30"/>
      <c r="T597" s="30"/>
      <c r="U597" s="30"/>
      <c r="V597" s="8">
        <f t="shared" si="530"/>
        <v>0</v>
      </c>
      <c r="W597" s="8">
        <f t="shared" si="531"/>
        <v>0</v>
      </c>
      <c r="X597" s="8">
        <f t="shared" si="532"/>
        <v>0</v>
      </c>
      <c r="Y597" s="33">
        <f t="shared" si="533"/>
        <v>0</v>
      </c>
      <c r="Z597" s="28"/>
      <c r="AA597" s="28"/>
      <c r="AB597" s="61" t="s">
        <v>450</v>
      </c>
      <c r="AC597" s="31" t="s">
        <v>451</v>
      </c>
      <c r="AD597" s="50">
        <f t="shared" si="534"/>
        <v>4</v>
      </c>
      <c r="AE597" s="31"/>
      <c r="AF597" s="51">
        <v>14</v>
      </c>
      <c r="AG597" s="51">
        <f t="shared" si="562"/>
        <v>8.4</v>
      </c>
      <c r="AH597" s="51">
        <f t="shared" si="528"/>
        <v>42</v>
      </c>
      <c r="AI597" s="52" t="s">
        <v>2497</v>
      </c>
      <c r="AJ597" s="52" t="s">
        <v>2498</v>
      </c>
      <c r="AK597" s="53">
        <f t="shared" si="563"/>
        <v>0</v>
      </c>
      <c r="AL597" s="54">
        <f t="shared" si="564"/>
        <v>0.11904761904761904</v>
      </c>
      <c r="AM597" s="54">
        <f t="shared" si="565"/>
        <v>2.3809523809523808E-2</v>
      </c>
      <c r="AN597" s="55">
        <f t="shared" si="566"/>
        <v>0</v>
      </c>
      <c r="AO597" s="55">
        <f t="shared" si="567"/>
        <v>0</v>
      </c>
      <c r="AP597" s="53">
        <v>7.1</v>
      </c>
      <c r="AQ597" s="53">
        <f t="shared" si="535"/>
        <v>4.26</v>
      </c>
      <c r="AR597" s="53">
        <f t="shared" si="536"/>
        <v>21.299999999999997</v>
      </c>
      <c r="AS597" s="56">
        <f t="shared" si="537"/>
        <v>4.6948356807511742E-2</v>
      </c>
      <c r="AT597" s="56">
        <f t="shared" si="568"/>
        <v>0.23474178403755869</v>
      </c>
      <c r="AU597" s="56">
        <f t="shared" si="538"/>
        <v>0.176056338028169</v>
      </c>
      <c r="AV597" s="56">
        <f t="shared" si="569"/>
        <v>5.8685446009389672E-2</v>
      </c>
      <c r="AW597" s="57" t="s">
        <v>2511</v>
      </c>
      <c r="AX597" s="57" t="s">
        <v>2512</v>
      </c>
      <c r="AY597" s="57" t="s">
        <v>2513</v>
      </c>
      <c r="AZ597" s="58">
        <f t="shared" si="570"/>
        <v>0</v>
      </c>
      <c r="BA597" s="59">
        <f t="shared" si="573"/>
        <v>0</v>
      </c>
      <c r="BB597" s="59">
        <f t="shared" si="574"/>
        <v>0</v>
      </c>
      <c r="BC597" s="59">
        <f t="shared" si="575"/>
        <v>0</v>
      </c>
      <c r="BD597" s="60">
        <f t="shared" si="571"/>
        <v>7.1095438516664771E-6</v>
      </c>
      <c r="BE597" s="59">
        <f t="shared" si="572"/>
        <v>2.8438175406665908E-5</v>
      </c>
      <c r="BQ597" s="61">
        <v>3000</v>
      </c>
      <c r="BR597" s="61">
        <v>1200</v>
      </c>
      <c r="BS597" s="28">
        <f t="shared" si="539"/>
        <v>2980</v>
      </c>
      <c r="BT597" s="28">
        <f t="shared" si="540"/>
        <v>1180</v>
      </c>
      <c r="BU597" s="28" t="s">
        <v>2541</v>
      </c>
      <c r="BV597" s="28">
        <f t="shared" si="541"/>
        <v>5</v>
      </c>
      <c r="BW597" s="28">
        <f t="shared" si="542"/>
        <v>5</v>
      </c>
      <c r="BX597" s="13">
        <f t="shared" si="543"/>
        <v>596</v>
      </c>
      <c r="BY597" s="13">
        <f t="shared" si="544"/>
        <v>596</v>
      </c>
      <c r="BZ597" s="13">
        <f t="shared" si="545"/>
        <v>236</v>
      </c>
      <c r="CA597" s="13">
        <f t="shared" si="546"/>
        <v>236</v>
      </c>
      <c r="CB597" s="13">
        <f t="shared" si="547"/>
        <v>140656</v>
      </c>
      <c r="CC597" s="62">
        <f t="shared" si="548"/>
        <v>7.1095438516664771E-6</v>
      </c>
      <c r="CD597" s="13">
        <f t="shared" si="549"/>
        <v>596</v>
      </c>
      <c r="CE597" s="13">
        <f t="shared" si="550"/>
        <v>596</v>
      </c>
      <c r="CF597" s="13">
        <f t="shared" si="551"/>
        <v>236</v>
      </c>
      <c r="CG597" s="13">
        <f t="shared" si="552"/>
        <v>236</v>
      </c>
      <c r="CH597" s="28">
        <f t="shared" si="553"/>
        <v>140656</v>
      </c>
      <c r="CI597" s="62">
        <f t="shared" si="554"/>
        <v>7.1095438516664771E-6</v>
      </c>
      <c r="CJ597" s="59">
        <f t="shared" si="555"/>
        <v>7.1095438516664771E-6</v>
      </c>
      <c r="CL597" s="63">
        <v>6000</v>
      </c>
      <c r="CM597" s="63">
        <f t="shared" si="556"/>
        <v>0</v>
      </c>
      <c r="CN597" s="63">
        <f t="shared" si="557"/>
        <v>5</v>
      </c>
      <c r="CO597" s="63">
        <f t="shared" si="558"/>
        <v>1200</v>
      </c>
      <c r="CP597" s="13">
        <f t="shared" si="559"/>
        <v>1200</v>
      </c>
      <c r="CQ597" s="70">
        <f t="shared" si="560"/>
        <v>8.3333333333333339E-4</v>
      </c>
      <c r="CR597" s="69">
        <f t="shared" si="523"/>
        <v>3.3333333333333335E-3</v>
      </c>
    </row>
    <row r="598" spans="1:96" hidden="1" x14ac:dyDescent="0.25">
      <c r="A598" s="13">
        <v>4</v>
      </c>
      <c r="B598" s="14" t="s">
        <v>1444</v>
      </c>
      <c r="C598" s="13" t="s">
        <v>859</v>
      </c>
      <c r="D598" s="13" t="s">
        <v>861</v>
      </c>
      <c r="E598" s="13" t="s">
        <v>52</v>
      </c>
      <c r="F598" s="15">
        <f t="shared" si="529"/>
        <v>3</v>
      </c>
      <c r="G598" s="13">
        <v>3</v>
      </c>
      <c r="H598" s="13">
        <f t="shared" si="576"/>
        <v>3</v>
      </c>
      <c r="I598" s="13">
        <v>5</v>
      </c>
      <c r="J598" s="14" t="s">
        <v>860</v>
      </c>
      <c r="K598" s="14" t="s">
        <v>34</v>
      </c>
      <c r="L598" s="13" t="s">
        <v>223</v>
      </c>
      <c r="M598" s="14" t="s">
        <v>340</v>
      </c>
      <c r="N598" s="13" t="s">
        <v>861</v>
      </c>
      <c r="O598" s="28" t="s">
        <v>41</v>
      </c>
      <c r="P598" s="28" t="s">
        <v>41</v>
      </c>
      <c r="Q598" s="28" t="s">
        <v>861</v>
      </c>
      <c r="R598" s="30"/>
      <c r="S598" s="30"/>
      <c r="T598" s="30"/>
      <c r="U598" s="30"/>
      <c r="V598" s="8">
        <f t="shared" si="530"/>
        <v>0</v>
      </c>
      <c r="W598" s="8">
        <f t="shared" si="531"/>
        <v>0</v>
      </c>
      <c r="X598" s="8">
        <f t="shared" si="532"/>
        <v>0</v>
      </c>
      <c r="Y598" s="33">
        <f t="shared" si="533"/>
        <v>0</v>
      </c>
      <c r="Z598" s="28"/>
      <c r="AA598" s="28"/>
      <c r="AB598" s="61" t="s">
        <v>861</v>
      </c>
      <c r="AC598" s="31" t="s">
        <v>862</v>
      </c>
      <c r="AD598" s="50">
        <f t="shared" si="534"/>
        <v>3</v>
      </c>
      <c r="AE598" s="31"/>
      <c r="AF598" s="51">
        <v>14</v>
      </c>
      <c r="AG598" s="51">
        <f t="shared" si="562"/>
        <v>8.4</v>
      </c>
      <c r="AH598" s="51">
        <f t="shared" si="528"/>
        <v>42</v>
      </c>
      <c r="AI598" s="52" t="s">
        <v>2497</v>
      </c>
      <c r="AJ598" s="52" t="s">
        <v>2498</v>
      </c>
      <c r="AK598" s="53">
        <f t="shared" si="563"/>
        <v>0</v>
      </c>
      <c r="AL598" s="54">
        <f t="shared" si="564"/>
        <v>0.11904761904761904</v>
      </c>
      <c r="AM598" s="54">
        <f t="shared" si="565"/>
        <v>2.3809523809523808E-2</v>
      </c>
      <c r="AN598" s="55">
        <f t="shared" si="566"/>
        <v>0</v>
      </c>
      <c r="AO598" s="55">
        <f t="shared" si="567"/>
        <v>0</v>
      </c>
      <c r="AP598" s="53">
        <v>7.1</v>
      </c>
      <c r="AQ598" s="53">
        <f t="shared" si="535"/>
        <v>4.26</v>
      </c>
      <c r="AR598" s="53">
        <f t="shared" si="536"/>
        <v>21.299999999999997</v>
      </c>
      <c r="AS598" s="56">
        <f t="shared" si="537"/>
        <v>4.6948356807511742E-2</v>
      </c>
      <c r="AT598" s="56">
        <f t="shared" si="568"/>
        <v>0.23474178403755869</v>
      </c>
      <c r="AU598" s="56">
        <f t="shared" si="538"/>
        <v>0.176056338028169</v>
      </c>
      <c r="AV598" s="56">
        <f t="shared" si="569"/>
        <v>5.8685446009389672E-2</v>
      </c>
      <c r="AW598" s="57" t="s">
        <v>2511</v>
      </c>
      <c r="AX598" s="57" t="s">
        <v>2512</v>
      </c>
      <c r="AY598" s="57" t="s">
        <v>2513</v>
      </c>
      <c r="AZ598" s="58">
        <f t="shared" si="570"/>
        <v>0</v>
      </c>
      <c r="BA598" s="59">
        <f t="shared" si="573"/>
        <v>0</v>
      </c>
      <c r="BB598" s="59">
        <f t="shared" si="574"/>
        <v>0</v>
      </c>
      <c r="BC598" s="59">
        <f t="shared" si="575"/>
        <v>0</v>
      </c>
      <c r="BD598" s="60">
        <f t="shared" si="571"/>
        <v>7.1095438516664771E-6</v>
      </c>
      <c r="BE598" s="59">
        <f t="shared" si="572"/>
        <v>2.1328631554999432E-5</v>
      </c>
      <c r="BQ598" s="61">
        <v>3000</v>
      </c>
      <c r="BR598" s="61">
        <v>1200</v>
      </c>
      <c r="BS598" s="28">
        <f t="shared" si="539"/>
        <v>2980</v>
      </c>
      <c r="BT598" s="28">
        <f t="shared" si="540"/>
        <v>1180</v>
      </c>
      <c r="BU598" s="28" t="s">
        <v>2541</v>
      </c>
      <c r="BV598" s="28">
        <f t="shared" si="541"/>
        <v>5</v>
      </c>
      <c r="BW598" s="28">
        <f t="shared" si="542"/>
        <v>5</v>
      </c>
      <c r="BX598" s="13">
        <f t="shared" si="543"/>
        <v>596</v>
      </c>
      <c r="BY598" s="13">
        <f t="shared" si="544"/>
        <v>596</v>
      </c>
      <c r="BZ598" s="13">
        <f t="shared" si="545"/>
        <v>236</v>
      </c>
      <c r="CA598" s="13">
        <f t="shared" si="546"/>
        <v>236</v>
      </c>
      <c r="CB598" s="13">
        <f t="shared" si="547"/>
        <v>140656</v>
      </c>
      <c r="CC598" s="62">
        <f t="shared" si="548"/>
        <v>7.1095438516664771E-6</v>
      </c>
      <c r="CD598" s="13">
        <f t="shared" si="549"/>
        <v>596</v>
      </c>
      <c r="CE598" s="13">
        <f t="shared" si="550"/>
        <v>596</v>
      </c>
      <c r="CF598" s="13">
        <f t="shared" si="551"/>
        <v>236</v>
      </c>
      <c r="CG598" s="13">
        <f t="shared" si="552"/>
        <v>236</v>
      </c>
      <c r="CH598" s="28">
        <f t="shared" si="553"/>
        <v>140656</v>
      </c>
      <c r="CI598" s="62">
        <f t="shared" si="554"/>
        <v>7.1095438516664771E-6</v>
      </c>
      <c r="CJ598" s="59">
        <f t="shared" si="555"/>
        <v>7.1095438516664771E-6</v>
      </c>
      <c r="CL598" s="63">
        <v>6000</v>
      </c>
      <c r="CM598" s="63">
        <f t="shared" si="556"/>
        <v>0</v>
      </c>
      <c r="CN598" s="63">
        <f t="shared" si="557"/>
        <v>5</v>
      </c>
      <c r="CO598" s="63">
        <f t="shared" si="558"/>
        <v>1200</v>
      </c>
      <c r="CP598" s="13">
        <f t="shared" si="559"/>
        <v>1200</v>
      </c>
      <c r="CQ598" s="70">
        <f t="shared" si="560"/>
        <v>8.3333333333333339E-4</v>
      </c>
      <c r="CR598" s="69">
        <f t="shared" si="523"/>
        <v>2.5000000000000001E-3</v>
      </c>
    </row>
    <row r="599" spans="1:96" hidden="1" x14ac:dyDescent="0.25">
      <c r="A599" s="36">
        <v>2</v>
      </c>
      <c r="B599" s="37" t="s">
        <v>37</v>
      </c>
      <c r="C599" s="36" t="s">
        <v>1451</v>
      </c>
      <c r="D599" s="36" t="s">
        <v>2270</v>
      </c>
      <c r="E599" s="36" t="s">
        <v>32</v>
      </c>
      <c r="F599" s="38">
        <f t="shared" si="529"/>
        <v>1</v>
      </c>
      <c r="G599" s="36">
        <v>1</v>
      </c>
      <c r="H599" s="36">
        <f>G599*$H$3</f>
        <v>1</v>
      </c>
      <c r="I599" s="36">
        <v>29</v>
      </c>
      <c r="J599" s="37" t="s">
        <v>508</v>
      </c>
      <c r="K599" s="37" t="s">
        <v>34</v>
      </c>
      <c r="L599" s="36">
        <v>0</v>
      </c>
      <c r="M599" s="37" t="s">
        <v>35</v>
      </c>
      <c r="N599" s="36" t="s">
        <v>1452</v>
      </c>
      <c r="O599" s="28" t="s">
        <v>41</v>
      </c>
      <c r="P599" s="28" t="s">
        <v>41</v>
      </c>
      <c r="Q599" s="28"/>
      <c r="R599" s="30"/>
      <c r="S599" s="30"/>
      <c r="T599" s="30"/>
      <c r="U599" s="30"/>
      <c r="V599" s="8">
        <f t="shared" si="530"/>
        <v>0</v>
      </c>
      <c r="W599" s="8">
        <f t="shared" si="531"/>
        <v>0</v>
      </c>
      <c r="X599" s="8">
        <f t="shared" si="532"/>
        <v>0</v>
      </c>
      <c r="Y599" s="33">
        <f t="shared" si="533"/>
        <v>0</v>
      </c>
      <c r="Z599" s="28"/>
      <c r="AA599" s="28"/>
      <c r="AB599" s="28">
        <v>0</v>
      </c>
      <c r="AC599" s="31"/>
      <c r="AD599" s="50">
        <f t="shared" si="534"/>
        <v>1</v>
      </c>
      <c r="AE599" s="31"/>
      <c r="AF599" s="51">
        <v>14</v>
      </c>
      <c r="AG599" s="51">
        <f t="shared" si="562"/>
        <v>8.4</v>
      </c>
      <c r="AH599" s="51">
        <f t="shared" si="528"/>
        <v>42</v>
      </c>
      <c r="AI599" s="52" t="s">
        <v>2497</v>
      </c>
      <c r="AJ599" s="52" t="s">
        <v>2498</v>
      </c>
      <c r="AK599" s="53">
        <f t="shared" si="563"/>
        <v>0</v>
      </c>
      <c r="AL599" s="54">
        <f t="shared" si="564"/>
        <v>0.11904761904761904</v>
      </c>
      <c r="AM599" s="54">
        <f t="shared" si="565"/>
        <v>2.3809523809523808E-2</v>
      </c>
      <c r="AN599" s="55">
        <f t="shared" si="566"/>
        <v>0</v>
      </c>
      <c r="AO599" s="55">
        <f t="shared" si="567"/>
        <v>0</v>
      </c>
      <c r="AP599" s="53">
        <v>7.1</v>
      </c>
      <c r="AQ599" s="53">
        <f t="shared" si="535"/>
        <v>4.26</v>
      </c>
      <c r="AR599" s="53">
        <f t="shared" si="536"/>
        <v>21.299999999999997</v>
      </c>
      <c r="AS599" s="56">
        <f t="shared" si="537"/>
        <v>4.6948356807511742E-2</v>
      </c>
      <c r="AT599" s="56">
        <f t="shared" si="568"/>
        <v>0.23474178403755869</v>
      </c>
      <c r="AU599" s="56">
        <f t="shared" si="538"/>
        <v>0.176056338028169</v>
      </c>
      <c r="AV599" s="56">
        <f t="shared" si="569"/>
        <v>5.8685446009389672E-2</v>
      </c>
      <c r="AW599" s="57" t="s">
        <v>2511</v>
      </c>
      <c r="AX599" s="57" t="s">
        <v>2512</v>
      </c>
      <c r="AY599" s="57" t="s">
        <v>2513</v>
      </c>
      <c r="AZ599" s="58">
        <f t="shared" si="570"/>
        <v>0</v>
      </c>
      <c r="BA599" s="59">
        <f t="shared" si="573"/>
        <v>0</v>
      </c>
      <c r="BB599" s="59">
        <f t="shared" si="574"/>
        <v>0</v>
      </c>
      <c r="BC599" s="59">
        <f t="shared" si="575"/>
        <v>0</v>
      </c>
      <c r="BD599" s="60">
        <f t="shared" si="571"/>
        <v>0</v>
      </c>
      <c r="BE599" s="59">
        <f t="shared" si="572"/>
        <v>0</v>
      </c>
      <c r="BQ599" s="61">
        <v>3000</v>
      </c>
      <c r="BR599" s="61">
        <v>1200</v>
      </c>
      <c r="BS599" s="28">
        <f t="shared" si="539"/>
        <v>2980</v>
      </c>
      <c r="BT599" s="28">
        <f t="shared" si="540"/>
        <v>1180</v>
      </c>
      <c r="BU599" s="28" t="s">
        <v>2541</v>
      </c>
      <c r="BV599" s="28">
        <f t="shared" si="541"/>
        <v>5</v>
      </c>
      <c r="BW599" s="28">
        <f t="shared" si="542"/>
        <v>5</v>
      </c>
      <c r="BX599" s="13">
        <f t="shared" si="543"/>
        <v>596</v>
      </c>
      <c r="BY599" s="13">
        <f t="shared" si="544"/>
        <v>596</v>
      </c>
      <c r="BZ599" s="13">
        <f t="shared" si="545"/>
        <v>236</v>
      </c>
      <c r="CA599" s="13">
        <f t="shared" si="546"/>
        <v>236</v>
      </c>
      <c r="CB599" s="13">
        <f t="shared" si="547"/>
        <v>140656</v>
      </c>
      <c r="CC599" s="62" t="str">
        <f t="shared" si="548"/>
        <v/>
      </c>
      <c r="CD599" s="13">
        <f t="shared" si="549"/>
        <v>596</v>
      </c>
      <c r="CE599" s="13">
        <f t="shared" si="550"/>
        <v>596</v>
      </c>
      <c r="CF599" s="13">
        <f t="shared" si="551"/>
        <v>236</v>
      </c>
      <c r="CG599" s="13">
        <f t="shared" si="552"/>
        <v>236</v>
      </c>
      <c r="CH599" s="28">
        <f t="shared" si="553"/>
        <v>140656</v>
      </c>
      <c r="CI599" s="62" t="str">
        <f t="shared" si="554"/>
        <v/>
      </c>
      <c r="CJ599" s="59">
        <f t="shared" si="555"/>
        <v>0</v>
      </c>
      <c r="CL599" s="63">
        <v>6000</v>
      </c>
      <c r="CM599" s="63">
        <f t="shared" si="556"/>
        <v>0</v>
      </c>
      <c r="CN599" s="63">
        <f t="shared" si="557"/>
        <v>5</v>
      </c>
      <c r="CO599" s="63">
        <f t="shared" si="558"/>
        <v>1200</v>
      </c>
      <c r="CP599" s="13">
        <f t="shared" si="559"/>
        <v>1200</v>
      </c>
      <c r="CQ599" s="70">
        <f t="shared" si="560"/>
        <v>8.3333333333333339E-4</v>
      </c>
      <c r="CR599" s="69">
        <f t="shared" si="523"/>
        <v>8.3333333333333339E-4</v>
      </c>
    </row>
    <row r="600" spans="1:96" hidden="1" x14ac:dyDescent="0.25">
      <c r="A600" s="10">
        <v>3</v>
      </c>
      <c r="B600" s="8" t="s">
        <v>1453</v>
      </c>
      <c r="C600" s="10" t="s">
        <v>1454</v>
      </c>
      <c r="D600" s="10" t="s">
        <v>2270</v>
      </c>
      <c r="E600" s="10" t="s">
        <v>52</v>
      </c>
      <c r="F600" s="12">
        <f t="shared" si="529"/>
        <v>1</v>
      </c>
      <c r="G600" s="10">
        <v>1</v>
      </c>
      <c r="H600" s="10">
        <f>G600*$H$599</f>
        <v>1</v>
      </c>
      <c r="I600" s="10">
        <v>1</v>
      </c>
      <c r="J600" s="8" t="s">
        <v>512</v>
      </c>
      <c r="K600" s="8" t="s">
        <v>34</v>
      </c>
      <c r="L600" s="10">
        <v>0</v>
      </c>
      <c r="M600" s="8" t="s">
        <v>35</v>
      </c>
      <c r="N600" s="10" t="s">
        <v>1455</v>
      </c>
      <c r="O600" s="28" t="s">
        <v>41</v>
      </c>
      <c r="P600" s="28" t="s">
        <v>41</v>
      </c>
      <c r="Q600" s="28" t="s">
        <v>124</v>
      </c>
      <c r="R600" s="30">
        <v>5.1929999999999996</v>
      </c>
      <c r="S600" s="30">
        <v>1.5</v>
      </c>
      <c r="T600" s="30"/>
      <c r="U600" s="30">
        <v>9.8000000000000004E-2</v>
      </c>
      <c r="V600" s="8">
        <f t="shared" si="530"/>
        <v>131.90219999999999</v>
      </c>
      <c r="W600" s="8">
        <f t="shared" si="531"/>
        <v>38.099999999999994</v>
      </c>
      <c r="X600" s="8">
        <f t="shared" si="532"/>
        <v>0</v>
      </c>
      <c r="Y600" s="33">
        <f t="shared" si="533"/>
        <v>2.4891999999999999</v>
      </c>
      <c r="Z600" s="28" t="s">
        <v>56</v>
      </c>
      <c r="AA600" s="28" t="s">
        <v>57</v>
      </c>
      <c r="AB600" s="61" t="s">
        <v>124</v>
      </c>
      <c r="AC600" s="31" t="s">
        <v>125</v>
      </c>
      <c r="AD600" s="50">
        <f t="shared" si="534"/>
        <v>1</v>
      </c>
      <c r="AE600" s="31"/>
      <c r="AF600" s="51">
        <v>14</v>
      </c>
      <c r="AG600" s="51">
        <f t="shared" si="562"/>
        <v>8.4</v>
      </c>
      <c r="AH600" s="51">
        <f t="shared" si="528"/>
        <v>42</v>
      </c>
      <c r="AI600" s="52" t="s">
        <v>2497</v>
      </c>
      <c r="AJ600" s="52" t="s">
        <v>2498</v>
      </c>
      <c r="AK600" s="53">
        <f t="shared" si="563"/>
        <v>1.0050947639999998E-2</v>
      </c>
      <c r="AL600" s="54">
        <f t="shared" si="564"/>
        <v>0.11904761904761904</v>
      </c>
      <c r="AM600" s="54">
        <f t="shared" si="565"/>
        <v>2.3809523809523808E-2</v>
      </c>
      <c r="AN600" s="55">
        <f t="shared" si="566"/>
        <v>1.1965413857142856E-3</v>
      </c>
      <c r="AO600" s="55">
        <f t="shared" si="567"/>
        <v>2.3930827714285709E-4</v>
      </c>
      <c r="AP600" s="53">
        <v>7.1</v>
      </c>
      <c r="AQ600" s="53">
        <f t="shared" si="535"/>
        <v>4.26</v>
      </c>
      <c r="AR600" s="53">
        <f t="shared" si="536"/>
        <v>21.299999999999997</v>
      </c>
      <c r="AS600" s="56">
        <f t="shared" si="537"/>
        <v>4.6948356807511742E-2</v>
      </c>
      <c r="AT600" s="56">
        <f t="shared" si="568"/>
        <v>0.23474178403755869</v>
      </c>
      <c r="AU600" s="56">
        <f t="shared" si="538"/>
        <v>0.176056338028169</v>
      </c>
      <c r="AV600" s="56">
        <f t="shared" si="569"/>
        <v>5.8685446009389672E-2</v>
      </c>
      <c r="AW600" s="57" t="s">
        <v>2511</v>
      </c>
      <c r="AX600" s="57" t="s">
        <v>2512</v>
      </c>
      <c r="AY600" s="57" t="s">
        <v>2513</v>
      </c>
      <c r="AZ600" s="58">
        <f t="shared" si="570"/>
        <v>1.0050947639999998E-2</v>
      </c>
      <c r="BA600" s="59">
        <f t="shared" si="573"/>
        <v>2.9492217253521125E-4</v>
      </c>
      <c r="BB600" s="59">
        <f t="shared" si="574"/>
        <v>8.8476651760563364E-4</v>
      </c>
      <c r="BC600" s="59">
        <f t="shared" si="575"/>
        <v>2.3593773802816899E-4</v>
      </c>
      <c r="BD600" s="60">
        <f t="shared" si="571"/>
        <v>1.7636684303350969E-3</v>
      </c>
      <c r="BE600" s="59">
        <f t="shared" si="572"/>
        <v>1.7636684303350969E-3</v>
      </c>
      <c r="BQ600" s="61">
        <v>3000</v>
      </c>
      <c r="BR600" s="61">
        <v>1200</v>
      </c>
      <c r="BS600" s="28">
        <f t="shared" si="539"/>
        <v>2980</v>
      </c>
      <c r="BT600" s="28">
        <f t="shared" si="540"/>
        <v>1180</v>
      </c>
      <c r="BU600" s="28" t="s">
        <v>2541</v>
      </c>
      <c r="BV600" s="28">
        <f t="shared" si="541"/>
        <v>136.90219999999999</v>
      </c>
      <c r="BW600" s="28">
        <f t="shared" si="542"/>
        <v>43.099999999999994</v>
      </c>
      <c r="BX600" s="13">
        <f t="shared" si="543"/>
        <v>21.767363855365364</v>
      </c>
      <c r="BY600" s="13">
        <f t="shared" si="544"/>
        <v>21</v>
      </c>
      <c r="BZ600" s="13">
        <f t="shared" si="545"/>
        <v>27.378190255220421</v>
      </c>
      <c r="CA600" s="13">
        <f t="shared" si="546"/>
        <v>27</v>
      </c>
      <c r="CB600" s="13">
        <f t="shared" si="547"/>
        <v>567</v>
      </c>
      <c r="CC600" s="62">
        <f t="shared" si="548"/>
        <v>1.7636684303350969E-3</v>
      </c>
      <c r="CD600" s="13">
        <f t="shared" si="549"/>
        <v>69.141531322505813</v>
      </c>
      <c r="CE600" s="13">
        <f t="shared" si="550"/>
        <v>69</v>
      </c>
      <c r="CF600" s="13">
        <f t="shared" si="551"/>
        <v>8.619291727963466</v>
      </c>
      <c r="CG600" s="13">
        <f t="shared" si="552"/>
        <v>8</v>
      </c>
      <c r="CH600" s="28">
        <f t="shared" si="553"/>
        <v>552</v>
      </c>
      <c r="CI600" s="62">
        <f t="shared" si="554"/>
        <v>1.8115942028985507E-3</v>
      </c>
      <c r="CJ600" s="59">
        <f t="shared" si="555"/>
        <v>1.7636684303350969E-3</v>
      </c>
      <c r="CL600" s="63">
        <v>6000</v>
      </c>
      <c r="CM600" s="63">
        <f t="shared" si="556"/>
        <v>131.90219999999999</v>
      </c>
      <c r="CN600" s="63">
        <f t="shared" si="557"/>
        <v>136.90219999999999</v>
      </c>
      <c r="CO600" s="63">
        <f t="shared" si="558"/>
        <v>43.826907091339656</v>
      </c>
      <c r="CP600" s="13">
        <f t="shared" si="559"/>
        <v>43</v>
      </c>
      <c r="CQ600" s="70">
        <f t="shared" si="560"/>
        <v>2.3255813953488372E-2</v>
      </c>
      <c r="CR600" s="69">
        <f t="shared" si="523"/>
        <v>2.3255813953488372E-2</v>
      </c>
    </row>
    <row r="601" spans="1:96" hidden="1" x14ac:dyDescent="0.25">
      <c r="A601" s="10">
        <v>3</v>
      </c>
      <c r="B601" s="8" t="s">
        <v>1453</v>
      </c>
      <c r="C601" s="10" t="s">
        <v>1456</v>
      </c>
      <c r="D601" s="10" t="s">
        <v>2270</v>
      </c>
      <c r="E601" s="10" t="s">
        <v>52</v>
      </c>
      <c r="F601" s="12">
        <f t="shared" si="529"/>
        <v>1</v>
      </c>
      <c r="G601" s="10">
        <v>1</v>
      </c>
      <c r="H601" s="10">
        <f t="shared" ref="H601:H602" si="577">G601*$H$599</f>
        <v>1</v>
      </c>
      <c r="I601" s="10">
        <v>2</v>
      </c>
      <c r="J601" s="8" t="s">
        <v>728</v>
      </c>
      <c r="K601" s="8" t="s">
        <v>34</v>
      </c>
      <c r="L601" s="10">
        <v>0</v>
      </c>
      <c r="M601" s="8" t="s">
        <v>35</v>
      </c>
      <c r="N601" s="10" t="s">
        <v>1457</v>
      </c>
      <c r="O601" s="28" t="s">
        <v>41</v>
      </c>
      <c r="P601" s="28" t="s">
        <v>41</v>
      </c>
      <c r="Q601" s="28" t="s">
        <v>124</v>
      </c>
      <c r="R601" s="30">
        <v>2.62</v>
      </c>
      <c r="S601" s="30">
        <v>1.25</v>
      </c>
      <c r="T601" s="30"/>
      <c r="U601" s="30">
        <v>9.8000000000000004E-2</v>
      </c>
      <c r="V601" s="8">
        <f t="shared" si="530"/>
        <v>66.548000000000002</v>
      </c>
      <c r="W601" s="8">
        <f t="shared" si="531"/>
        <v>31.75</v>
      </c>
      <c r="X601" s="8">
        <f t="shared" si="532"/>
        <v>0</v>
      </c>
      <c r="Y601" s="33">
        <f t="shared" si="533"/>
        <v>2.4891999999999999</v>
      </c>
      <c r="Z601" s="28" t="s">
        <v>56</v>
      </c>
      <c r="AA601" s="28" t="s">
        <v>57</v>
      </c>
      <c r="AB601" s="61" t="s">
        <v>124</v>
      </c>
      <c r="AC601" s="31" t="s">
        <v>125</v>
      </c>
      <c r="AD601" s="50">
        <f t="shared" si="534"/>
        <v>1</v>
      </c>
      <c r="AE601" s="31"/>
      <c r="AF601" s="51">
        <v>14</v>
      </c>
      <c r="AG601" s="51">
        <f t="shared" si="562"/>
        <v>8.4</v>
      </c>
      <c r="AH601" s="51">
        <f t="shared" si="528"/>
        <v>42</v>
      </c>
      <c r="AI601" s="52" t="s">
        <v>2497</v>
      </c>
      <c r="AJ601" s="52" t="s">
        <v>2498</v>
      </c>
      <c r="AK601" s="53">
        <f t="shared" si="563"/>
        <v>4.2257979999999994E-3</v>
      </c>
      <c r="AL601" s="54">
        <f t="shared" si="564"/>
        <v>0.11904761904761904</v>
      </c>
      <c r="AM601" s="54">
        <f t="shared" si="565"/>
        <v>2.3809523809523808E-2</v>
      </c>
      <c r="AN601" s="55">
        <f t="shared" si="566"/>
        <v>5.0307119047619038E-4</v>
      </c>
      <c r="AO601" s="55">
        <f t="shared" si="567"/>
        <v>1.0061423809523807E-4</v>
      </c>
      <c r="AP601" s="53">
        <v>7.1</v>
      </c>
      <c r="AQ601" s="53">
        <f t="shared" si="535"/>
        <v>4.26</v>
      </c>
      <c r="AR601" s="53">
        <f t="shared" si="536"/>
        <v>21.299999999999997</v>
      </c>
      <c r="AS601" s="56">
        <f t="shared" si="537"/>
        <v>4.6948356807511742E-2</v>
      </c>
      <c r="AT601" s="56">
        <f t="shared" si="568"/>
        <v>0.23474178403755869</v>
      </c>
      <c r="AU601" s="56">
        <f t="shared" si="538"/>
        <v>0.176056338028169</v>
      </c>
      <c r="AV601" s="56">
        <f t="shared" si="569"/>
        <v>5.8685446009389672E-2</v>
      </c>
      <c r="AW601" s="57" t="s">
        <v>2511</v>
      </c>
      <c r="AX601" s="57" t="s">
        <v>2512</v>
      </c>
      <c r="AY601" s="57" t="s">
        <v>2513</v>
      </c>
      <c r="AZ601" s="58">
        <f t="shared" si="570"/>
        <v>4.2257979999999994E-3</v>
      </c>
      <c r="BA601" s="59">
        <f t="shared" si="573"/>
        <v>1.2399642018779341E-4</v>
      </c>
      <c r="BB601" s="59">
        <f t="shared" si="574"/>
        <v>3.719892605633802E-4</v>
      </c>
      <c r="BC601" s="59">
        <f t="shared" si="575"/>
        <v>9.9197136150234742E-5</v>
      </c>
      <c r="BD601" s="60">
        <f t="shared" si="571"/>
        <v>7.6219512195121954E-4</v>
      </c>
      <c r="BE601" s="59">
        <f t="shared" si="572"/>
        <v>7.6219512195121954E-4</v>
      </c>
      <c r="BQ601" s="61">
        <v>3000</v>
      </c>
      <c r="BR601" s="61">
        <v>1200</v>
      </c>
      <c r="BS601" s="28">
        <f t="shared" si="539"/>
        <v>2980</v>
      </c>
      <c r="BT601" s="28">
        <f t="shared" si="540"/>
        <v>1180</v>
      </c>
      <c r="BU601" s="28" t="s">
        <v>2541</v>
      </c>
      <c r="BV601" s="28">
        <f t="shared" si="541"/>
        <v>71.548000000000002</v>
      </c>
      <c r="BW601" s="28">
        <f t="shared" si="542"/>
        <v>36.75</v>
      </c>
      <c r="BX601" s="13">
        <f t="shared" si="543"/>
        <v>41.650360597081679</v>
      </c>
      <c r="BY601" s="13">
        <f t="shared" si="544"/>
        <v>41</v>
      </c>
      <c r="BZ601" s="13">
        <f t="shared" si="545"/>
        <v>32.108843537414963</v>
      </c>
      <c r="CA601" s="13">
        <f t="shared" si="546"/>
        <v>32</v>
      </c>
      <c r="CB601" s="13">
        <f t="shared" si="547"/>
        <v>1312</v>
      </c>
      <c r="CC601" s="62">
        <f t="shared" si="548"/>
        <v>7.6219512195121954E-4</v>
      </c>
      <c r="CD601" s="13">
        <f t="shared" si="549"/>
        <v>81.088435374149654</v>
      </c>
      <c r="CE601" s="13">
        <f t="shared" si="550"/>
        <v>81</v>
      </c>
      <c r="CF601" s="13">
        <f t="shared" si="551"/>
        <v>16.492424665958517</v>
      </c>
      <c r="CG601" s="13">
        <f t="shared" si="552"/>
        <v>16</v>
      </c>
      <c r="CH601" s="28">
        <f t="shared" si="553"/>
        <v>1296</v>
      </c>
      <c r="CI601" s="62">
        <f t="shared" si="554"/>
        <v>7.716049382716049E-4</v>
      </c>
      <c r="CJ601" s="59">
        <f t="shared" si="555"/>
        <v>7.6219512195121954E-4</v>
      </c>
      <c r="CL601" s="63">
        <v>6000</v>
      </c>
      <c r="CM601" s="63">
        <f t="shared" si="556"/>
        <v>66.548000000000002</v>
      </c>
      <c r="CN601" s="63">
        <f t="shared" si="557"/>
        <v>71.548000000000002</v>
      </c>
      <c r="CO601" s="63">
        <f t="shared" si="558"/>
        <v>83.859786437077204</v>
      </c>
      <c r="CP601" s="13">
        <f t="shared" si="559"/>
        <v>83</v>
      </c>
      <c r="CQ601" s="70">
        <f t="shared" si="560"/>
        <v>1.2048192771084338E-2</v>
      </c>
      <c r="CR601" s="69">
        <f t="shared" si="523"/>
        <v>1.2048192771084338E-2</v>
      </c>
    </row>
    <row r="602" spans="1:96" hidden="1" x14ac:dyDescent="0.25">
      <c r="A602" s="10">
        <v>3</v>
      </c>
      <c r="B602" s="8" t="s">
        <v>1453</v>
      </c>
      <c r="C602" s="10" t="s">
        <v>1458</v>
      </c>
      <c r="D602" s="10" t="s">
        <v>1460</v>
      </c>
      <c r="E602" s="10" t="s">
        <v>52</v>
      </c>
      <c r="F602" s="12">
        <f t="shared" si="529"/>
        <v>1</v>
      </c>
      <c r="G602" s="10">
        <v>1</v>
      </c>
      <c r="H602" s="10">
        <f t="shared" si="577"/>
        <v>1</v>
      </c>
      <c r="I602" s="10">
        <v>3</v>
      </c>
      <c r="J602" s="8" t="s">
        <v>1459</v>
      </c>
      <c r="K602" s="8" t="s">
        <v>34</v>
      </c>
      <c r="L602" s="10" t="s">
        <v>170</v>
      </c>
      <c r="M602" s="8" t="s">
        <v>35</v>
      </c>
      <c r="N602" s="10" t="s">
        <v>1460</v>
      </c>
      <c r="O602" s="28" t="s">
        <v>41</v>
      </c>
      <c r="P602" s="28" t="s">
        <v>41</v>
      </c>
      <c r="Q602" s="28" t="s">
        <v>1460</v>
      </c>
      <c r="R602" s="30"/>
      <c r="S602" s="30"/>
      <c r="T602" s="30"/>
      <c r="U602" s="30"/>
      <c r="V602" s="8">
        <f t="shared" si="530"/>
        <v>0</v>
      </c>
      <c r="W602" s="8">
        <f t="shared" si="531"/>
        <v>0</v>
      </c>
      <c r="X602" s="8">
        <f t="shared" si="532"/>
        <v>0</v>
      </c>
      <c r="Y602" s="33">
        <f t="shared" si="533"/>
        <v>0</v>
      </c>
      <c r="Z602" s="28"/>
      <c r="AA602" s="28"/>
      <c r="AB602" s="28" t="s">
        <v>1460</v>
      </c>
      <c r="AC602" s="31" t="s">
        <v>776</v>
      </c>
      <c r="AD602" s="50">
        <f t="shared" si="534"/>
        <v>1</v>
      </c>
      <c r="AE602" s="31"/>
      <c r="AF602" s="51">
        <v>14</v>
      </c>
      <c r="AG602" s="51">
        <f t="shared" si="562"/>
        <v>8.4</v>
      </c>
      <c r="AH602" s="51">
        <f t="shared" si="528"/>
        <v>42</v>
      </c>
      <c r="AI602" s="52" t="s">
        <v>2497</v>
      </c>
      <c r="AJ602" s="52" t="s">
        <v>2498</v>
      </c>
      <c r="AK602" s="53">
        <f t="shared" si="563"/>
        <v>0</v>
      </c>
      <c r="AL602" s="54">
        <f t="shared" si="564"/>
        <v>0.11904761904761904</v>
      </c>
      <c r="AM602" s="54">
        <f t="shared" si="565"/>
        <v>2.3809523809523808E-2</v>
      </c>
      <c r="AN602" s="55">
        <f t="shared" si="566"/>
        <v>0</v>
      </c>
      <c r="AO602" s="55">
        <f t="shared" si="567"/>
        <v>0</v>
      </c>
      <c r="AP602" s="53">
        <v>7.1</v>
      </c>
      <c r="AQ602" s="53">
        <f t="shared" si="535"/>
        <v>4.26</v>
      </c>
      <c r="AR602" s="53">
        <f t="shared" si="536"/>
        <v>21.299999999999997</v>
      </c>
      <c r="AS602" s="56">
        <f t="shared" si="537"/>
        <v>4.6948356807511742E-2</v>
      </c>
      <c r="AT602" s="56">
        <f t="shared" si="568"/>
        <v>0.23474178403755869</v>
      </c>
      <c r="AU602" s="56">
        <f t="shared" si="538"/>
        <v>0.176056338028169</v>
      </c>
      <c r="AV602" s="56">
        <f t="shared" si="569"/>
        <v>5.8685446009389672E-2</v>
      </c>
      <c r="AW602" s="57" t="s">
        <v>2511</v>
      </c>
      <c r="AX602" s="57" t="s">
        <v>2512</v>
      </c>
      <c r="AY602" s="57" t="s">
        <v>2513</v>
      </c>
      <c r="AZ602" s="58">
        <f t="shared" si="570"/>
        <v>0</v>
      </c>
      <c r="BA602" s="59">
        <f t="shared" si="573"/>
        <v>0</v>
      </c>
      <c r="BB602" s="59">
        <f t="shared" si="574"/>
        <v>0</v>
      </c>
      <c r="BC602" s="59">
        <f t="shared" si="575"/>
        <v>0</v>
      </c>
      <c r="BD602" s="60">
        <f t="shared" si="571"/>
        <v>7.1095438516664771E-6</v>
      </c>
      <c r="BE602" s="59">
        <f t="shared" si="572"/>
        <v>7.1095438516664771E-6</v>
      </c>
      <c r="BQ602" s="61">
        <v>3000</v>
      </c>
      <c r="BR602" s="61">
        <v>1200</v>
      </c>
      <c r="BS602" s="28">
        <f t="shared" si="539"/>
        <v>2980</v>
      </c>
      <c r="BT602" s="28">
        <f t="shared" si="540"/>
        <v>1180</v>
      </c>
      <c r="BU602" s="28" t="s">
        <v>2541</v>
      </c>
      <c r="BV602" s="28">
        <f t="shared" si="541"/>
        <v>5</v>
      </c>
      <c r="BW602" s="28">
        <f t="shared" si="542"/>
        <v>5</v>
      </c>
      <c r="BX602" s="13">
        <f t="shared" si="543"/>
        <v>596</v>
      </c>
      <c r="BY602" s="13">
        <f t="shared" si="544"/>
        <v>596</v>
      </c>
      <c r="BZ602" s="13">
        <f t="shared" si="545"/>
        <v>236</v>
      </c>
      <c r="CA602" s="13">
        <f t="shared" si="546"/>
        <v>236</v>
      </c>
      <c r="CB602" s="13">
        <f t="shared" si="547"/>
        <v>140656</v>
      </c>
      <c r="CC602" s="62">
        <f t="shared" si="548"/>
        <v>7.1095438516664771E-6</v>
      </c>
      <c r="CD602" s="13">
        <f t="shared" si="549"/>
        <v>596</v>
      </c>
      <c r="CE602" s="13">
        <f t="shared" si="550"/>
        <v>596</v>
      </c>
      <c r="CF602" s="13">
        <f t="shared" si="551"/>
        <v>236</v>
      </c>
      <c r="CG602" s="13">
        <f t="shared" si="552"/>
        <v>236</v>
      </c>
      <c r="CH602" s="28">
        <f t="shared" si="553"/>
        <v>140656</v>
      </c>
      <c r="CI602" s="62">
        <f t="shared" si="554"/>
        <v>7.1095438516664771E-6</v>
      </c>
      <c r="CJ602" s="59">
        <f t="shared" si="555"/>
        <v>7.1095438516664771E-6</v>
      </c>
      <c r="CL602" s="63">
        <v>6000</v>
      </c>
      <c r="CM602" s="63">
        <f t="shared" si="556"/>
        <v>0</v>
      </c>
      <c r="CN602" s="63">
        <f t="shared" si="557"/>
        <v>5</v>
      </c>
      <c r="CO602" s="63">
        <f t="shared" si="558"/>
        <v>1200</v>
      </c>
      <c r="CP602" s="13">
        <f t="shared" si="559"/>
        <v>1200</v>
      </c>
      <c r="CQ602" s="70">
        <f t="shared" si="560"/>
        <v>8.3333333333333339E-4</v>
      </c>
      <c r="CR602" s="69">
        <f t="shared" si="523"/>
        <v>8.3333333333333339E-4</v>
      </c>
    </row>
    <row r="603" spans="1:96" hidden="1" x14ac:dyDescent="0.25">
      <c r="A603" s="36">
        <v>2</v>
      </c>
      <c r="B603" s="37" t="s">
        <v>37</v>
      </c>
      <c r="C603" s="36" t="s">
        <v>1461</v>
      </c>
      <c r="D603" s="36" t="s">
        <v>2270</v>
      </c>
      <c r="E603" s="36" t="s">
        <v>52</v>
      </c>
      <c r="F603" s="38">
        <f t="shared" si="529"/>
        <v>1</v>
      </c>
      <c r="G603" s="36">
        <v>1</v>
      </c>
      <c r="H603" s="36">
        <f t="shared" ref="H603:H604" si="578">G603*$H$3</f>
        <v>1</v>
      </c>
      <c r="I603" s="36">
        <v>30</v>
      </c>
      <c r="J603" s="37" t="s">
        <v>728</v>
      </c>
      <c r="K603" s="37" t="s">
        <v>34</v>
      </c>
      <c r="L603" s="36" t="s">
        <v>110</v>
      </c>
      <c r="M603" s="37" t="s">
        <v>35</v>
      </c>
      <c r="N603" s="36" t="s">
        <v>1462</v>
      </c>
      <c r="O603" s="28" t="s">
        <v>41</v>
      </c>
      <c r="P603" s="28" t="s">
        <v>41</v>
      </c>
      <c r="Q603" s="28" t="s">
        <v>1197</v>
      </c>
      <c r="R603" s="30">
        <v>7.3419999999999996</v>
      </c>
      <c r="S603" s="30">
        <v>5.5439999999999996</v>
      </c>
      <c r="T603" s="30"/>
      <c r="U603" s="30">
        <v>0.23599999999999999</v>
      </c>
      <c r="V603" s="8">
        <f t="shared" si="530"/>
        <v>186.48679999999999</v>
      </c>
      <c r="W603" s="8">
        <f t="shared" si="531"/>
        <v>140.81759999999997</v>
      </c>
      <c r="X603" s="8">
        <f t="shared" si="532"/>
        <v>0</v>
      </c>
      <c r="Y603" s="33">
        <f t="shared" si="533"/>
        <v>5.9943999999999997</v>
      </c>
      <c r="Z603" s="28" t="s">
        <v>1463</v>
      </c>
      <c r="AA603" s="28" t="s">
        <v>251</v>
      </c>
      <c r="AB603" s="61" t="s">
        <v>1197</v>
      </c>
      <c r="AC603" s="31" t="s">
        <v>1199</v>
      </c>
      <c r="AD603" s="50">
        <f t="shared" si="534"/>
        <v>1</v>
      </c>
      <c r="AE603" s="47" t="s">
        <v>1183</v>
      </c>
      <c r="AF603" s="51">
        <v>14</v>
      </c>
      <c r="AG603" s="51">
        <f t="shared" si="562"/>
        <v>8.4</v>
      </c>
      <c r="AH603" s="51">
        <f t="shared" si="528"/>
        <v>42</v>
      </c>
      <c r="AI603" s="52" t="s">
        <v>2497</v>
      </c>
      <c r="AJ603" s="52" t="s">
        <v>2498</v>
      </c>
      <c r="AK603" s="53">
        <f t="shared" si="563"/>
        <v>5.2521247215359987E-2</v>
      </c>
      <c r="AL603" s="54">
        <f t="shared" si="564"/>
        <v>0.11904761904761904</v>
      </c>
      <c r="AM603" s="54">
        <f t="shared" si="565"/>
        <v>2.3809523809523808E-2</v>
      </c>
      <c r="AN603" s="55">
        <f t="shared" si="566"/>
        <v>6.2525294303999984E-3</v>
      </c>
      <c r="AO603" s="55">
        <f t="shared" si="567"/>
        <v>1.2505058860799996E-3</v>
      </c>
      <c r="AP603" s="53">
        <v>7.1</v>
      </c>
      <c r="AQ603" s="53">
        <f t="shared" si="535"/>
        <v>4.26</v>
      </c>
      <c r="AR603" s="53">
        <f t="shared" si="536"/>
        <v>21.299999999999997</v>
      </c>
      <c r="AS603" s="56">
        <f t="shared" si="537"/>
        <v>4.6948356807511742E-2</v>
      </c>
      <c r="AT603" s="56">
        <f t="shared" si="568"/>
        <v>0.23474178403755869</v>
      </c>
      <c r="AU603" s="56">
        <f t="shared" si="538"/>
        <v>0.176056338028169</v>
      </c>
      <c r="AV603" s="56">
        <f t="shared" si="569"/>
        <v>5.8685446009389672E-2</v>
      </c>
      <c r="AW603" s="57" t="s">
        <v>2511</v>
      </c>
      <c r="AX603" s="57" t="s">
        <v>2512</v>
      </c>
      <c r="AY603" s="57" t="s">
        <v>2513</v>
      </c>
      <c r="AZ603" s="58">
        <f t="shared" si="570"/>
        <v>5.2521247215359987E-2</v>
      </c>
      <c r="BA603" s="59">
        <f t="shared" si="573"/>
        <v>1.5411164089014081E-3</v>
      </c>
      <c r="BB603" s="59">
        <f t="shared" si="574"/>
        <v>4.6233492267042237E-3</v>
      </c>
      <c r="BC603" s="59">
        <f t="shared" si="575"/>
        <v>1.2328931271211267E-3</v>
      </c>
      <c r="BD603" s="60">
        <f t="shared" si="571"/>
        <v>8.3333333333333332E-3</v>
      </c>
      <c r="BE603" s="59">
        <f t="shared" si="572"/>
        <v>8.3333333333333332E-3</v>
      </c>
      <c r="BQ603" s="61">
        <v>3000</v>
      </c>
      <c r="BR603" s="61">
        <v>1200</v>
      </c>
      <c r="BS603" s="28">
        <f t="shared" si="539"/>
        <v>2980</v>
      </c>
      <c r="BT603" s="28">
        <f t="shared" si="540"/>
        <v>1180</v>
      </c>
      <c r="BU603" s="28" t="s">
        <v>2541</v>
      </c>
      <c r="BV603" s="28">
        <f t="shared" si="541"/>
        <v>191.48679999999999</v>
      </c>
      <c r="BW603" s="28">
        <f t="shared" si="542"/>
        <v>145.81759999999997</v>
      </c>
      <c r="BX603" s="13">
        <f t="shared" si="543"/>
        <v>15.562430412957969</v>
      </c>
      <c r="BY603" s="13">
        <f t="shared" si="544"/>
        <v>15</v>
      </c>
      <c r="BZ603" s="13">
        <f t="shared" si="545"/>
        <v>8.092301615168541</v>
      </c>
      <c r="CA603" s="13">
        <f t="shared" si="546"/>
        <v>8</v>
      </c>
      <c r="CB603" s="13">
        <f t="shared" si="547"/>
        <v>120</v>
      </c>
      <c r="CC603" s="62">
        <f t="shared" si="548"/>
        <v>8.3333333333333332E-3</v>
      </c>
      <c r="CD603" s="13">
        <f t="shared" si="549"/>
        <v>20.436490519662925</v>
      </c>
      <c r="CE603" s="13">
        <f t="shared" si="550"/>
        <v>20</v>
      </c>
      <c r="CF603" s="13">
        <f t="shared" si="551"/>
        <v>6.1623046601645655</v>
      </c>
      <c r="CG603" s="13">
        <f t="shared" si="552"/>
        <v>6</v>
      </c>
      <c r="CH603" s="28">
        <f t="shared" si="553"/>
        <v>120</v>
      </c>
      <c r="CI603" s="62">
        <f t="shared" si="554"/>
        <v>8.3333333333333332E-3</v>
      </c>
      <c r="CJ603" s="59">
        <f t="shared" si="555"/>
        <v>8.3333333333333332E-3</v>
      </c>
      <c r="CL603" s="63">
        <v>6000</v>
      </c>
      <c r="CM603" s="63">
        <f t="shared" si="556"/>
        <v>186.48679999999999</v>
      </c>
      <c r="CN603" s="63">
        <f t="shared" si="557"/>
        <v>191.48679999999999</v>
      </c>
      <c r="CO603" s="63">
        <f t="shared" si="558"/>
        <v>31.333752509311349</v>
      </c>
      <c r="CP603" s="13">
        <f t="shared" si="559"/>
        <v>31</v>
      </c>
      <c r="CQ603" s="70">
        <f t="shared" si="560"/>
        <v>3.2258064516129031E-2</v>
      </c>
      <c r="CR603" s="69">
        <f t="shared" si="523"/>
        <v>3.2258064516129031E-2</v>
      </c>
    </row>
    <row r="604" spans="1:96" hidden="1" x14ac:dyDescent="0.25">
      <c r="A604" s="36">
        <v>2</v>
      </c>
      <c r="B604" s="37" t="s">
        <v>37</v>
      </c>
      <c r="C604" s="36" t="s">
        <v>1464</v>
      </c>
      <c r="D604" s="36" t="s">
        <v>2270</v>
      </c>
      <c r="E604" s="36" t="s">
        <v>32</v>
      </c>
      <c r="F604" s="38">
        <f t="shared" si="529"/>
        <v>1</v>
      </c>
      <c r="G604" s="36">
        <v>1</v>
      </c>
      <c r="H604" s="36">
        <f t="shared" si="578"/>
        <v>1</v>
      </c>
      <c r="I604" s="36">
        <v>31</v>
      </c>
      <c r="J604" s="37" t="s">
        <v>722</v>
      </c>
      <c r="K604" s="37" t="s">
        <v>34</v>
      </c>
      <c r="L604" s="36">
        <v>0</v>
      </c>
      <c r="M604" s="37" t="s">
        <v>35</v>
      </c>
      <c r="N604" s="36" t="s">
        <v>1465</v>
      </c>
      <c r="O604" s="28" t="s">
        <v>41</v>
      </c>
      <c r="P604" s="28" t="s">
        <v>41</v>
      </c>
      <c r="Q604" s="28"/>
      <c r="R604" s="30"/>
      <c r="S604" s="30"/>
      <c r="T604" s="30"/>
      <c r="U604" s="30"/>
      <c r="V604" s="8">
        <f t="shared" si="530"/>
        <v>0</v>
      </c>
      <c r="W604" s="8">
        <f t="shared" si="531"/>
        <v>0</v>
      </c>
      <c r="X604" s="8">
        <f t="shared" si="532"/>
        <v>0</v>
      </c>
      <c r="Y604" s="33">
        <f t="shared" si="533"/>
        <v>0</v>
      </c>
      <c r="Z604" s="28"/>
      <c r="AA604" s="28"/>
      <c r="AB604" s="28">
        <v>0</v>
      </c>
      <c r="AC604" s="31"/>
      <c r="AD604" s="50">
        <f t="shared" si="534"/>
        <v>1</v>
      </c>
      <c r="AE604" s="31"/>
      <c r="AF604" s="51">
        <v>14</v>
      </c>
      <c r="AG604" s="51">
        <f t="shared" si="562"/>
        <v>8.4</v>
      </c>
      <c r="AH604" s="51">
        <f t="shared" si="528"/>
        <v>42</v>
      </c>
      <c r="AI604" s="52" t="s">
        <v>2497</v>
      </c>
      <c r="AJ604" s="52" t="s">
        <v>2498</v>
      </c>
      <c r="AK604" s="53">
        <f t="shared" si="563"/>
        <v>0</v>
      </c>
      <c r="AL604" s="54">
        <f t="shared" si="564"/>
        <v>0.11904761904761904</v>
      </c>
      <c r="AM604" s="54">
        <f t="shared" si="565"/>
        <v>2.3809523809523808E-2</v>
      </c>
      <c r="AN604" s="55">
        <f t="shared" si="566"/>
        <v>0</v>
      </c>
      <c r="AO604" s="55">
        <f t="shared" si="567"/>
        <v>0</v>
      </c>
      <c r="AP604" s="53">
        <v>7.1</v>
      </c>
      <c r="AQ604" s="53">
        <f t="shared" si="535"/>
        <v>4.26</v>
      </c>
      <c r="AR604" s="53">
        <f t="shared" si="536"/>
        <v>21.299999999999997</v>
      </c>
      <c r="AS604" s="56">
        <f t="shared" si="537"/>
        <v>4.6948356807511742E-2</v>
      </c>
      <c r="AT604" s="56">
        <f t="shared" si="568"/>
        <v>0.23474178403755869</v>
      </c>
      <c r="AU604" s="56">
        <f t="shared" si="538"/>
        <v>0.176056338028169</v>
      </c>
      <c r="AV604" s="56">
        <f t="shared" si="569"/>
        <v>5.8685446009389672E-2</v>
      </c>
      <c r="AW604" s="57" t="s">
        <v>2511</v>
      </c>
      <c r="AX604" s="57" t="s">
        <v>2512</v>
      </c>
      <c r="AY604" s="57" t="s">
        <v>2513</v>
      </c>
      <c r="AZ604" s="58">
        <f t="shared" si="570"/>
        <v>0</v>
      </c>
      <c r="BA604" s="59">
        <f t="shared" si="573"/>
        <v>0</v>
      </c>
      <c r="BB604" s="59">
        <f t="shared" si="574"/>
        <v>0</v>
      </c>
      <c r="BC604" s="59">
        <f t="shared" si="575"/>
        <v>0</v>
      </c>
      <c r="BD604" s="60">
        <f t="shared" si="571"/>
        <v>0</v>
      </c>
      <c r="BE604" s="59">
        <f t="shared" si="572"/>
        <v>0</v>
      </c>
      <c r="BQ604" s="61">
        <v>3000</v>
      </c>
      <c r="BR604" s="61">
        <v>1200</v>
      </c>
      <c r="BS604" s="28">
        <f t="shared" si="539"/>
        <v>2980</v>
      </c>
      <c r="BT604" s="28">
        <f t="shared" si="540"/>
        <v>1180</v>
      </c>
      <c r="BU604" s="28" t="s">
        <v>2541</v>
      </c>
      <c r="BV604" s="28">
        <f t="shared" si="541"/>
        <v>5</v>
      </c>
      <c r="BW604" s="28">
        <f t="shared" si="542"/>
        <v>5</v>
      </c>
      <c r="BX604" s="13">
        <f t="shared" si="543"/>
        <v>596</v>
      </c>
      <c r="BY604" s="13">
        <f t="shared" si="544"/>
        <v>596</v>
      </c>
      <c r="BZ604" s="13">
        <f t="shared" si="545"/>
        <v>236</v>
      </c>
      <c r="CA604" s="13">
        <f t="shared" si="546"/>
        <v>236</v>
      </c>
      <c r="CB604" s="13">
        <f t="shared" si="547"/>
        <v>140656</v>
      </c>
      <c r="CC604" s="62" t="str">
        <f t="shared" si="548"/>
        <v/>
      </c>
      <c r="CD604" s="13">
        <f t="shared" si="549"/>
        <v>596</v>
      </c>
      <c r="CE604" s="13">
        <f t="shared" si="550"/>
        <v>596</v>
      </c>
      <c r="CF604" s="13">
        <f t="shared" si="551"/>
        <v>236</v>
      </c>
      <c r="CG604" s="13">
        <f t="shared" si="552"/>
        <v>236</v>
      </c>
      <c r="CH604" s="28">
        <f t="shared" si="553"/>
        <v>140656</v>
      </c>
      <c r="CI604" s="62" t="str">
        <f t="shared" si="554"/>
        <v/>
      </c>
      <c r="CJ604" s="59">
        <f t="shared" si="555"/>
        <v>0</v>
      </c>
      <c r="CL604" s="63">
        <v>6000</v>
      </c>
      <c r="CM604" s="63">
        <f t="shared" si="556"/>
        <v>0</v>
      </c>
      <c r="CN604" s="63">
        <f t="shared" si="557"/>
        <v>5</v>
      </c>
      <c r="CO604" s="63">
        <f t="shared" si="558"/>
        <v>1200</v>
      </c>
      <c r="CP604" s="13">
        <f t="shared" si="559"/>
        <v>1200</v>
      </c>
      <c r="CQ604" s="70">
        <f t="shared" si="560"/>
        <v>8.3333333333333339E-4</v>
      </c>
      <c r="CR604" s="69">
        <f t="shared" si="523"/>
        <v>8.3333333333333339E-4</v>
      </c>
    </row>
    <row r="605" spans="1:96" hidden="1" x14ac:dyDescent="0.25">
      <c r="A605" s="10">
        <v>3</v>
      </c>
      <c r="B605" s="8" t="s">
        <v>1466</v>
      </c>
      <c r="C605" s="10" t="s">
        <v>1467</v>
      </c>
      <c r="D605" s="10" t="s">
        <v>2270</v>
      </c>
      <c r="E605" s="10" t="s">
        <v>52</v>
      </c>
      <c r="F605" s="12">
        <f t="shared" si="529"/>
        <v>1</v>
      </c>
      <c r="G605" s="10">
        <v>1</v>
      </c>
      <c r="H605" s="10">
        <f>G605*$H$604</f>
        <v>1</v>
      </c>
      <c r="I605" s="10">
        <v>1</v>
      </c>
      <c r="J605" s="8" t="s">
        <v>1468</v>
      </c>
      <c r="K605" s="8" t="s">
        <v>34</v>
      </c>
      <c r="L605" s="10">
        <v>0</v>
      </c>
      <c r="M605" s="8" t="s">
        <v>35</v>
      </c>
      <c r="N605" s="10" t="s">
        <v>1469</v>
      </c>
      <c r="O605" s="28" t="s">
        <v>41</v>
      </c>
      <c r="P605" s="28" t="s">
        <v>41</v>
      </c>
      <c r="Q605" s="28" t="s">
        <v>116</v>
      </c>
      <c r="R605" s="30">
        <v>20.100000000000001</v>
      </c>
      <c r="S605" s="30">
        <v>16.402999999999999</v>
      </c>
      <c r="T605" s="30"/>
      <c r="U605" s="30">
        <v>0.11799999999999999</v>
      </c>
      <c r="V605" s="8">
        <f t="shared" si="530"/>
        <v>510.54</v>
      </c>
      <c r="W605" s="8">
        <f t="shared" si="531"/>
        <v>416.63619999999992</v>
      </c>
      <c r="X605" s="8">
        <f t="shared" si="532"/>
        <v>0</v>
      </c>
      <c r="Y605" s="33">
        <f t="shared" si="533"/>
        <v>2.9971999999999999</v>
      </c>
      <c r="Z605" s="28" t="s">
        <v>56</v>
      </c>
      <c r="AA605" s="28" t="s">
        <v>57</v>
      </c>
      <c r="AB605" s="28" t="s">
        <v>116</v>
      </c>
      <c r="AC605" s="31" t="s">
        <v>117</v>
      </c>
      <c r="AD605" s="50">
        <f t="shared" si="534"/>
        <v>1</v>
      </c>
      <c r="AE605" s="31"/>
      <c r="AF605" s="51">
        <v>14</v>
      </c>
      <c r="AG605" s="51">
        <f t="shared" si="562"/>
        <v>8.4</v>
      </c>
      <c r="AH605" s="51">
        <f t="shared" si="528"/>
        <v>42</v>
      </c>
      <c r="AI605" s="52" t="s">
        <v>2497</v>
      </c>
      <c r="AJ605" s="52" t="s">
        <v>2498</v>
      </c>
      <c r="AK605" s="53">
        <f t="shared" si="563"/>
        <v>0.4254188910959999</v>
      </c>
      <c r="AL605" s="54">
        <f t="shared" si="564"/>
        <v>0.11904761904761904</v>
      </c>
      <c r="AM605" s="54">
        <f t="shared" si="565"/>
        <v>2.3809523809523808E-2</v>
      </c>
      <c r="AN605" s="55">
        <f t="shared" si="566"/>
        <v>5.0645106082857126E-2</v>
      </c>
      <c r="AO605" s="55">
        <f t="shared" si="567"/>
        <v>1.0129021216571426E-2</v>
      </c>
      <c r="AP605" s="53">
        <v>7.1</v>
      </c>
      <c r="AQ605" s="53">
        <f t="shared" si="535"/>
        <v>4.26</v>
      </c>
      <c r="AR605" s="53">
        <f t="shared" si="536"/>
        <v>21.299999999999997</v>
      </c>
      <c r="AS605" s="56">
        <f t="shared" si="537"/>
        <v>4.6948356807511742E-2</v>
      </c>
      <c r="AT605" s="56">
        <f t="shared" si="568"/>
        <v>0.23474178403755869</v>
      </c>
      <c r="AU605" s="56">
        <f t="shared" si="538"/>
        <v>0.176056338028169</v>
      </c>
      <c r="AV605" s="56">
        <f t="shared" si="569"/>
        <v>5.8685446009389672E-2</v>
      </c>
      <c r="AW605" s="57" t="s">
        <v>2511</v>
      </c>
      <c r="AX605" s="57" t="s">
        <v>2512</v>
      </c>
      <c r="AY605" s="57" t="s">
        <v>2513</v>
      </c>
      <c r="AZ605" s="58">
        <f t="shared" si="570"/>
        <v>0.4254188910959999</v>
      </c>
      <c r="BA605" s="59">
        <f t="shared" si="573"/>
        <v>1.2482948682394364E-2</v>
      </c>
      <c r="BB605" s="59">
        <f t="shared" si="574"/>
        <v>3.7448846047183085E-2</v>
      </c>
      <c r="BC605" s="59">
        <f t="shared" si="575"/>
        <v>9.9863589459154908E-3</v>
      </c>
      <c r="BD605" s="60">
        <f t="shared" si="571"/>
        <v>7.1428571428571425E-2</v>
      </c>
      <c r="BE605" s="59">
        <f t="shared" si="572"/>
        <v>7.1428571428571425E-2</v>
      </c>
      <c r="BQ605" s="61">
        <v>3000</v>
      </c>
      <c r="BR605" s="61">
        <v>1200</v>
      </c>
      <c r="BS605" s="28">
        <f t="shared" si="539"/>
        <v>2980</v>
      </c>
      <c r="BT605" s="28">
        <f t="shared" si="540"/>
        <v>1180</v>
      </c>
      <c r="BU605" s="28" t="s">
        <v>2541</v>
      </c>
      <c r="BV605" s="28">
        <f t="shared" si="541"/>
        <v>515.54</v>
      </c>
      <c r="BW605" s="28">
        <f t="shared" si="542"/>
        <v>421.63619999999992</v>
      </c>
      <c r="BX605" s="13">
        <f t="shared" si="543"/>
        <v>5.7803468208092488</v>
      </c>
      <c r="BY605" s="13">
        <f t="shared" si="544"/>
        <v>5</v>
      </c>
      <c r="BZ605" s="13">
        <f t="shared" si="545"/>
        <v>2.7986211810086519</v>
      </c>
      <c r="CA605" s="13">
        <f t="shared" si="546"/>
        <v>2</v>
      </c>
      <c r="CB605" s="13">
        <f t="shared" si="547"/>
        <v>10</v>
      </c>
      <c r="CC605" s="62">
        <f t="shared" si="548"/>
        <v>0.1</v>
      </c>
      <c r="CD605" s="13">
        <f t="shared" si="549"/>
        <v>7.0677043384794773</v>
      </c>
      <c r="CE605" s="13">
        <f t="shared" si="550"/>
        <v>7</v>
      </c>
      <c r="CF605" s="13">
        <f t="shared" si="551"/>
        <v>2.2888621639446018</v>
      </c>
      <c r="CG605" s="13">
        <f t="shared" si="552"/>
        <v>2</v>
      </c>
      <c r="CH605" s="28">
        <f t="shared" si="553"/>
        <v>14</v>
      </c>
      <c r="CI605" s="62">
        <f t="shared" si="554"/>
        <v>7.1428571428571425E-2</v>
      </c>
      <c r="CJ605" s="59">
        <f t="shared" si="555"/>
        <v>7.1428571428571425E-2</v>
      </c>
      <c r="CL605" s="63">
        <v>6000</v>
      </c>
      <c r="CM605" s="63">
        <f t="shared" si="556"/>
        <v>510.54</v>
      </c>
      <c r="CN605" s="63">
        <f t="shared" si="557"/>
        <v>515.54</v>
      </c>
      <c r="CO605" s="63">
        <f t="shared" si="558"/>
        <v>11.638282189548823</v>
      </c>
      <c r="CP605" s="13">
        <f t="shared" si="559"/>
        <v>11</v>
      </c>
      <c r="CQ605" s="70">
        <f t="shared" si="560"/>
        <v>9.0909090909090912E-2</v>
      </c>
      <c r="CR605" s="69">
        <f t="shared" si="523"/>
        <v>9.0909090909090912E-2</v>
      </c>
    </row>
    <row r="606" spans="1:96" hidden="1" x14ac:dyDescent="0.25">
      <c r="A606" s="10">
        <v>3</v>
      </c>
      <c r="B606" s="8" t="s">
        <v>1466</v>
      </c>
      <c r="C606" s="10" t="s">
        <v>59</v>
      </c>
      <c r="D606" s="10" t="s">
        <v>61</v>
      </c>
      <c r="E606" s="10" t="s">
        <v>52</v>
      </c>
      <c r="F606" s="12">
        <f t="shared" si="529"/>
        <v>19</v>
      </c>
      <c r="G606" s="10">
        <v>4</v>
      </c>
      <c r="H606" s="10">
        <f>G606*$H$604</f>
        <v>4</v>
      </c>
      <c r="I606" s="10">
        <v>2</v>
      </c>
      <c r="J606" s="8" t="s">
        <v>60</v>
      </c>
      <c r="K606" s="8" t="s">
        <v>34</v>
      </c>
      <c r="L606" s="10">
        <v>0</v>
      </c>
      <c r="M606" s="8" t="s">
        <v>35</v>
      </c>
      <c r="N606" s="10" t="s">
        <v>61</v>
      </c>
      <c r="O606" s="28" t="s">
        <v>41</v>
      </c>
      <c r="P606" s="28" t="s">
        <v>41</v>
      </c>
      <c r="Q606" s="28" t="s">
        <v>61</v>
      </c>
      <c r="R606" s="30"/>
      <c r="S606" s="30"/>
      <c r="T606" s="30"/>
      <c r="U606" s="30"/>
      <c r="V606" s="8">
        <f t="shared" si="530"/>
        <v>0</v>
      </c>
      <c r="W606" s="8">
        <f t="shared" si="531"/>
        <v>0</v>
      </c>
      <c r="X606" s="8">
        <f t="shared" si="532"/>
        <v>0</v>
      </c>
      <c r="Y606" s="33">
        <f t="shared" si="533"/>
        <v>0</v>
      </c>
      <c r="Z606" s="28"/>
      <c r="AA606" s="28"/>
      <c r="AB606" s="61" t="s">
        <v>61</v>
      </c>
      <c r="AC606" s="31" t="s">
        <v>62</v>
      </c>
      <c r="AD606" s="50">
        <f t="shared" si="534"/>
        <v>4</v>
      </c>
      <c r="AE606" s="31"/>
      <c r="AF606" s="51">
        <v>14</v>
      </c>
      <c r="AG606" s="51">
        <f t="shared" si="562"/>
        <v>8.4</v>
      </c>
      <c r="AH606" s="51">
        <f t="shared" si="528"/>
        <v>42</v>
      </c>
      <c r="AI606" s="52" t="s">
        <v>2497</v>
      </c>
      <c r="AJ606" s="52" t="s">
        <v>2498</v>
      </c>
      <c r="AK606" s="53">
        <f t="shared" si="563"/>
        <v>0</v>
      </c>
      <c r="AL606" s="54">
        <f t="shared" si="564"/>
        <v>0.11904761904761904</v>
      </c>
      <c r="AM606" s="54">
        <f t="shared" si="565"/>
        <v>2.3809523809523808E-2</v>
      </c>
      <c r="AN606" s="55">
        <f t="shared" si="566"/>
        <v>0</v>
      </c>
      <c r="AO606" s="55">
        <f t="shared" si="567"/>
        <v>0</v>
      </c>
      <c r="AP606" s="53">
        <v>7.1</v>
      </c>
      <c r="AQ606" s="53">
        <f t="shared" si="535"/>
        <v>4.26</v>
      </c>
      <c r="AR606" s="53">
        <f t="shared" si="536"/>
        <v>21.299999999999997</v>
      </c>
      <c r="AS606" s="56">
        <f t="shared" si="537"/>
        <v>4.6948356807511742E-2</v>
      </c>
      <c r="AT606" s="56">
        <f t="shared" si="568"/>
        <v>0.23474178403755869</v>
      </c>
      <c r="AU606" s="56">
        <f t="shared" si="538"/>
        <v>0.176056338028169</v>
      </c>
      <c r="AV606" s="56">
        <f t="shared" si="569"/>
        <v>5.8685446009389672E-2</v>
      </c>
      <c r="AW606" s="57" t="s">
        <v>2511</v>
      </c>
      <c r="AX606" s="57" t="s">
        <v>2512</v>
      </c>
      <c r="AY606" s="57" t="s">
        <v>2513</v>
      </c>
      <c r="AZ606" s="58">
        <f t="shared" si="570"/>
        <v>0</v>
      </c>
      <c r="BA606" s="59">
        <f t="shared" si="573"/>
        <v>0</v>
      </c>
      <c r="BB606" s="59">
        <f t="shared" si="574"/>
        <v>0</v>
      </c>
      <c r="BC606" s="59">
        <f t="shared" si="575"/>
        <v>0</v>
      </c>
      <c r="BD606" s="60">
        <f t="shared" si="571"/>
        <v>7.1095438516664771E-6</v>
      </c>
      <c r="BE606" s="59">
        <f t="shared" si="572"/>
        <v>2.8438175406665908E-5</v>
      </c>
      <c r="BQ606" s="61">
        <v>3000</v>
      </c>
      <c r="BR606" s="61">
        <v>1200</v>
      </c>
      <c r="BS606" s="28">
        <f t="shared" si="539"/>
        <v>2980</v>
      </c>
      <c r="BT606" s="28">
        <f t="shared" si="540"/>
        <v>1180</v>
      </c>
      <c r="BU606" s="28" t="s">
        <v>2541</v>
      </c>
      <c r="BV606" s="28">
        <f t="shared" si="541"/>
        <v>5</v>
      </c>
      <c r="BW606" s="28">
        <f t="shared" si="542"/>
        <v>5</v>
      </c>
      <c r="BX606" s="13">
        <f t="shared" si="543"/>
        <v>596</v>
      </c>
      <c r="BY606" s="13">
        <f t="shared" si="544"/>
        <v>596</v>
      </c>
      <c r="BZ606" s="13">
        <f t="shared" si="545"/>
        <v>236</v>
      </c>
      <c r="CA606" s="13">
        <f t="shared" si="546"/>
        <v>236</v>
      </c>
      <c r="CB606" s="13">
        <f t="shared" si="547"/>
        <v>140656</v>
      </c>
      <c r="CC606" s="62">
        <f t="shared" si="548"/>
        <v>7.1095438516664771E-6</v>
      </c>
      <c r="CD606" s="13">
        <f t="shared" si="549"/>
        <v>596</v>
      </c>
      <c r="CE606" s="13">
        <f t="shared" si="550"/>
        <v>596</v>
      </c>
      <c r="CF606" s="13">
        <f t="shared" si="551"/>
        <v>236</v>
      </c>
      <c r="CG606" s="13">
        <f t="shared" si="552"/>
        <v>236</v>
      </c>
      <c r="CH606" s="28">
        <f t="shared" si="553"/>
        <v>140656</v>
      </c>
      <c r="CI606" s="62">
        <f t="shared" si="554"/>
        <v>7.1095438516664771E-6</v>
      </c>
      <c r="CJ606" s="59">
        <f t="shared" si="555"/>
        <v>7.1095438516664771E-6</v>
      </c>
      <c r="CL606" s="63">
        <v>6000</v>
      </c>
      <c r="CM606" s="63">
        <f t="shared" si="556"/>
        <v>0</v>
      </c>
      <c r="CN606" s="63">
        <f t="shared" si="557"/>
        <v>5</v>
      </c>
      <c r="CO606" s="63">
        <f t="shared" si="558"/>
        <v>1200</v>
      </c>
      <c r="CP606" s="13">
        <f t="shared" si="559"/>
        <v>1200</v>
      </c>
      <c r="CQ606" s="70">
        <f t="shared" si="560"/>
        <v>8.3333333333333339E-4</v>
      </c>
      <c r="CR606" s="69">
        <f t="shared" si="523"/>
        <v>3.3333333333333335E-3</v>
      </c>
    </row>
    <row r="607" spans="1:96" hidden="1" x14ac:dyDescent="0.25">
      <c r="A607" s="36">
        <v>2</v>
      </c>
      <c r="B607" s="37" t="s">
        <v>37</v>
      </c>
      <c r="C607" s="36" t="s">
        <v>1470</v>
      </c>
      <c r="D607" s="36" t="s">
        <v>2270</v>
      </c>
      <c r="E607" s="36" t="s">
        <v>52</v>
      </c>
      <c r="F607" s="38">
        <f t="shared" si="529"/>
        <v>1</v>
      </c>
      <c r="G607" s="36">
        <v>1</v>
      </c>
      <c r="H607" s="36">
        <f t="shared" ref="H607:H608" si="579">G607*$H$3</f>
        <v>1</v>
      </c>
      <c r="I607" s="36">
        <v>35</v>
      </c>
      <c r="J607" s="37" t="s">
        <v>1471</v>
      </c>
      <c r="K607" s="37" t="s">
        <v>34</v>
      </c>
      <c r="L607" s="36">
        <v>0</v>
      </c>
      <c r="M607" s="37" t="s">
        <v>35</v>
      </c>
      <c r="N607" s="36" t="s">
        <v>1472</v>
      </c>
      <c r="O607" s="28" t="s">
        <v>41</v>
      </c>
      <c r="P607" s="28" t="s">
        <v>41</v>
      </c>
      <c r="Q607" s="28" t="s">
        <v>124</v>
      </c>
      <c r="R607" s="30">
        <v>18.303000000000001</v>
      </c>
      <c r="S607" s="30">
        <v>9.6470000000000002</v>
      </c>
      <c r="T607" s="30"/>
      <c r="U607" s="30">
        <v>9.8000000000000004E-2</v>
      </c>
      <c r="V607" s="8">
        <f t="shared" si="530"/>
        <v>464.89620000000002</v>
      </c>
      <c r="W607" s="8">
        <f t="shared" si="531"/>
        <v>245.03379999999999</v>
      </c>
      <c r="X607" s="8">
        <f t="shared" si="532"/>
        <v>0</v>
      </c>
      <c r="Y607" s="33">
        <f t="shared" si="533"/>
        <v>2.4891999999999999</v>
      </c>
      <c r="Z607" s="28" t="s">
        <v>56</v>
      </c>
      <c r="AA607" s="28" t="s">
        <v>57</v>
      </c>
      <c r="AB607" s="61" t="s">
        <v>124</v>
      </c>
      <c r="AC607" s="31" t="s">
        <v>125</v>
      </c>
      <c r="AD607" s="50">
        <f t="shared" si="534"/>
        <v>1</v>
      </c>
      <c r="AE607" s="31"/>
      <c r="AF607" s="51">
        <v>14</v>
      </c>
      <c r="AG607" s="51">
        <f t="shared" si="562"/>
        <v>8.4</v>
      </c>
      <c r="AH607" s="51">
        <f t="shared" si="528"/>
        <v>42</v>
      </c>
      <c r="AI607" s="52" t="s">
        <v>2497</v>
      </c>
      <c r="AJ607" s="52" t="s">
        <v>2498</v>
      </c>
      <c r="AK607" s="53">
        <f t="shared" si="563"/>
        <v>0.22783056498311999</v>
      </c>
      <c r="AL607" s="54">
        <f t="shared" si="564"/>
        <v>0.11904761904761904</v>
      </c>
      <c r="AM607" s="54">
        <f t="shared" si="565"/>
        <v>2.3809523809523808E-2</v>
      </c>
      <c r="AN607" s="55">
        <f t="shared" si="566"/>
        <v>2.7122686307514281E-2</v>
      </c>
      <c r="AO607" s="55">
        <f t="shared" si="567"/>
        <v>5.4245372615028568E-3</v>
      </c>
      <c r="AP607" s="53">
        <v>7.1</v>
      </c>
      <c r="AQ607" s="53">
        <f t="shared" si="535"/>
        <v>4.26</v>
      </c>
      <c r="AR607" s="53">
        <f t="shared" si="536"/>
        <v>21.299999999999997</v>
      </c>
      <c r="AS607" s="56">
        <f t="shared" si="537"/>
        <v>4.6948356807511742E-2</v>
      </c>
      <c r="AT607" s="56">
        <f t="shared" si="568"/>
        <v>0.23474178403755869</v>
      </c>
      <c r="AU607" s="56">
        <f t="shared" si="538"/>
        <v>0.176056338028169</v>
      </c>
      <c r="AV607" s="56">
        <f t="shared" si="569"/>
        <v>5.8685446009389672E-2</v>
      </c>
      <c r="AW607" s="57" t="s">
        <v>2511</v>
      </c>
      <c r="AX607" s="57" t="s">
        <v>2512</v>
      </c>
      <c r="AY607" s="57" t="s">
        <v>2513</v>
      </c>
      <c r="AZ607" s="58">
        <f t="shared" si="570"/>
        <v>0.22783056498311999</v>
      </c>
      <c r="BA607" s="59">
        <f t="shared" si="573"/>
        <v>6.6851691603028165E-3</v>
      </c>
      <c r="BB607" s="59">
        <f t="shared" si="574"/>
        <v>2.0055507480908449E-2</v>
      </c>
      <c r="BC607" s="59">
        <f t="shared" si="575"/>
        <v>5.3481353282422541E-3</v>
      </c>
      <c r="BD607" s="60">
        <f t="shared" si="571"/>
        <v>4.1666666666666664E-2</v>
      </c>
      <c r="BE607" s="59">
        <f t="shared" si="572"/>
        <v>4.1666666666666664E-2</v>
      </c>
      <c r="BQ607" s="61">
        <v>3000</v>
      </c>
      <c r="BR607" s="61">
        <v>1200</v>
      </c>
      <c r="BS607" s="28">
        <f t="shared" si="539"/>
        <v>2980</v>
      </c>
      <c r="BT607" s="28">
        <f t="shared" si="540"/>
        <v>1180</v>
      </c>
      <c r="BU607" s="28" t="s">
        <v>2541</v>
      </c>
      <c r="BV607" s="28">
        <f t="shared" si="541"/>
        <v>469.89620000000002</v>
      </c>
      <c r="BW607" s="28">
        <f t="shared" si="542"/>
        <v>250.03379999999999</v>
      </c>
      <c r="BX607" s="13">
        <f t="shared" si="543"/>
        <v>6.3418261309625397</v>
      </c>
      <c r="BY607" s="13">
        <f t="shared" si="544"/>
        <v>6</v>
      </c>
      <c r="BZ607" s="13">
        <f t="shared" si="545"/>
        <v>4.7193619422654063</v>
      </c>
      <c r="CA607" s="13">
        <f t="shared" si="546"/>
        <v>4</v>
      </c>
      <c r="CB607" s="13">
        <f t="shared" si="547"/>
        <v>24</v>
      </c>
      <c r="CC607" s="62">
        <f t="shared" si="548"/>
        <v>4.1666666666666664E-2</v>
      </c>
      <c r="CD607" s="13">
        <f t="shared" si="549"/>
        <v>11.918388633856702</v>
      </c>
      <c r="CE607" s="13">
        <f t="shared" si="550"/>
        <v>11</v>
      </c>
      <c r="CF607" s="13">
        <f t="shared" si="551"/>
        <v>2.511192897495234</v>
      </c>
      <c r="CG607" s="13">
        <f t="shared" si="552"/>
        <v>2</v>
      </c>
      <c r="CH607" s="28">
        <f t="shared" si="553"/>
        <v>22</v>
      </c>
      <c r="CI607" s="62">
        <f t="shared" si="554"/>
        <v>4.5454545454545456E-2</v>
      </c>
      <c r="CJ607" s="59">
        <f t="shared" si="555"/>
        <v>4.1666666666666664E-2</v>
      </c>
      <c r="CL607" s="63">
        <v>6000</v>
      </c>
      <c r="CM607" s="63">
        <f t="shared" si="556"/>
        <v>464.89620000000002</v>
      </c>
      <c r="CN607" s="63">
        <f t="shared" si="557"/>
        <v>469.89620000000002</v>
      </c>
      <c r="CO607" s="63">
        <f t="shared" si="558"/>
        <v>12.76877744489102</v>
      </c>
      <c r="CP607" s="13">
        <f t="shared" si="559"/>
        <v>12</v>
      </c>
      <c r="CQ607" s="70">
        <f t="shared" si="560"/>
        <v>8.3333333333333329E-2</v>
      </c>
      <c r="CR607" s="69">
        <f t="shared" si="523"/>
        <v>8.3333333333333329E-2</v>
      </c>
    </row>
    <row r="608" spans="1:96" hidden="1" x14ac:dyDescent="0.25">
      <c r="A608" s="36">
        <v>2</v>
      </c>
      <c r="B608" s="37" t="s">
        <v>37</v>
      </c>
      <c r="C608" s="36" t="s">
        <v>1473</v>
      </c>
      <c r="D608" s="36" t="s">
        <v>2270</v>
      </c>
      <c r="E608" s="36" t="s">
        <v>32</v>
      </c>
      <c r="F608" s="38">
        <f t="shared" si="529"/>
        <v>1</v>
      </c>
      <c r="G608" s="36">
        <v>1</v>
      </c>
      <c r="H608" s="36">
        <f t="shared" si="579"/>
        <v>1</v>
      </c>
      <c r="I608" s="36">
        <v>36</v>
      </c>
      <c r="J608" s="37" t="s">
        <v>109</v>
      </c>
      <c r="K608" s="37" t="s">
        <v>34</v>
      </c>
      <c r="L608" s="36">
        <v>0</v>
      </c>
      <c r="M608" s="37" t="s">
        <v>35</v>
      </c>
      <c r="N608" s="36" t="s">
        <v>1474</v>
      </c>
      <c r="O608" s="28" t="s">
        <v>41</v>
      </c>
      <c r="P608" s="28" t="s">
        <v>41</v>
      </c>
      <c r="Q608" s="28"/>
      <c r="R608" s="30"/>
      <c r="S608" s="30"/>
      <c r="T608" s="30"/>
      <c r="U608" s="30"/>
      <c r="V608" s="8">
        <f t="shared" si="530"/>
        <v>0</v>
      </c>
      <c r="W608" s="8">
        <f t="shared" si="531"/>
        <v>0</v>
      </c>
      <c r="X608" s="8">
        <f t="shared" si="532"/>
        <v>0</v>
      </c>
      <c r="Y608" s="33">
        <f t="shared" si="533"/>
        <v>0</v>
      </c>
      <c r="Z608" s="28"/>
      <c r="AA608" s="28"/>
      <c r="AB608" s="28">
        <v>0</v>
      </c>
      <c r="AC608" s="31"/>
      <c r="AD608" s="50">
        <f t="shared" si="534"/>
        <v>1</v>
      </c>
      <c r="AE608" s="31"/>
      <c r="AF608" s="51">
        <v>14</v>
      </c>
      <c r="AG608" s="51">
        <f t="shared" si="562"/>
        <v>8.4</v>
      </c>
      <c r="AH608" s="51">
        <f t="shared" si="528"/>
        <v>42</v>
      </c>
      <c r="AI608" s="52" t="s">
        <v>2497</v>
      </c>
      <c r="AJ608" s="52" t="s">
        <v>2498</v>
      </c>
      <c r="AK608" s="53">
        <f t="shared" si="563"/>
        <v>0</v>
      </c>
      <c r="AL608" s="54">
        <f t="shared" si="564"/>
        <v>0.11904761904761904</v>
      </c>
      <c r="AM608" s="54">
        <f t="shared" si="565"/>
        <v>2.3809523809523808E-2</v>
      </c>
      <c r="AN608" s="55">
        <f t="shared" si="566"/>
        <v>0</v>
      </c>
      <c r="AO608" s="55">
        <f t="shared" si="567"/>
        <v>0</v>
      </c>
      <c r="AP608" s="53">
        <v>7.1</v>
      </c>
      <c r="AQ608" s="53">
        <f t="shared" si="535"/>
        <v>4.26</v>
      </c>
      <c r="AR608" s="53">
        <f t="shared" si="536"/>
        <v>21.299999999999997</v>
      </c>
      <c r="AS608" s="56">
        <f t="shared" si="537"/>
        <v>4.6948356807511742E-2</v>
      </c>
      <c r="AT608" s="56">
        <f t="shared" si="568"/>
        <v>0.23474178403755869</v>
      </c>
      <c r="AU608" s="56">
        <f t="shared" si="538"/>
        <v>0.176056338028169</v>
      </c>
      <c r="AV608" s="56">
        <f t="shared" si="569"/>
        <v>5.8685446009389672E-2</v>
      </c>
      <c r="AW608" s="57" t="s">
        <v>2511</v>
      </c>
      <c r="AX608" s="57" t="s">
        <v>2512</v>
      </c>
      <c r="AY608" s="57" t="s">
        <v>2513</v>
      </c>
      <c r="AZ608" s="58">
        <f t="shared" si="570"/>
        <v>0</v>
      </c>
      <c r="BA608" s="59">
        <f t="shared" si="573"/>
        <v>0</v>
      </c>
      <c r="BB608" s="59">
        <f t="shared" si="574"/>
        <v>0</v>
      </c>
      <c r="BC608" s="59">
        <f t="shared" si="575"/>
        <v>0</v>
      </c>
      <c r="BD608" s="60">
        <f t="shared" si="571"/>
        <v>0</v>
      </c>
      <c r="BE608" s="59">
        <f t="shared" si="572"/>
        <v>0</v>
      </c>
      <c r="BQ608" s="61">
        <v>3000</v>
      </c>
      <c r="BR608" s="61">
        <v>1200</v>
      </c>
      <c r="BS608" s="28">
        <f t="shared" si="539"/>
        <v>2980</v>
      </c>
      <c r="BT608" s="28">
        <f t="shared" si="540"/>
        <v>1180</v>
      </c>
      <c r="BU608" s="28" t="s">
        <v>2541</v>
      </c>
      <c r="BV608" s="28">
        <f t="shared" si="541"/>
        <v>5</v>
      </c>
      <c r="BW608" s="28">
        <f t="shared" si="542"/>
        <v>5</v>
      </c>
      <c r="BX608" s="13">
        <f t="shared" si="543"/>
        <v>596</v>
      </c>
      <c r="BY608" s="13">
        <f t="shared" si="544"/>
        <v>596</v>
      </c>
      <c r="BZ608" s="13">
        <f t="shared" si="545"/>
        <v>236</v>
      </c>
      <c r="CA608" s="13">
        <f t="shared" si="546"/>
        <v>236</v>
      </c>
      <c r="CB608" s="13">
        <f t="shared" si="547"/>
        <v>140656</v>
      </c>
      <c r="CC608" s="62" t="str">
        <f t="shared" si="548"/>
        <v/>
      </c>
      <c r="CD608" s="13">
        <f t="shared" si="549"/>
        <v>596</v>
      </c>
      <c r="CE608" s="13">
        <f t="shared" si="550"/>
        <v>596</v>
      </c>
      <c r="CF608" s="13">
        <f t="shared" si="551"/>
        <v>236</v>
      </c>
      <c r="CG608" s="13">
        <f t="shared" si="552"/>
        <v>236</v>
      </c>
      <c r="CH608" s="28">
        <f t="shared" si="553"/>
        <v>140656</v>
      </c>
      <c r="CI608" s="62" t="str">
        <f t="shared" si="554"/>
        <v/>
      </c>
      <c r="CJ608" s="59">
        <f t="shared" si="555"/>
        <v>0</v>
      </c>
      <c r="CL608" s="63">
        <v>6000</v>
      </c>
      <c r="CM608" s="63">
        <f t="shared" si="556"/>
        <v>0</v>
      </c>
      <c r="CN608" s="63">
        <f t="shared" si="557"/>
        <v>5</v>
      </c>
      <c r="CO608" s="63">
        <f t="shared" si="558"/>
        <v>1200</v>
      </c>
      <c r="CP608" s="13">
        <f t="shared" si="559"/>
        <v>1200</v>
      </c>
      <c r="CQ608" s="70">
        <f t="shared" si="560"/>
        <v>8.3333333333333339E-4</v>
      </c>
      <c r="CR608" s="69">
        <f t="shared" si="523"/>
        <v>8.3333333333333339E-4</v>
      </c>
    </row>
    <row r="609" spans="1:96" hidden="1" x14ac:dyDescent="0.25">
      <c r="A609" s="10">
        <v>3</v>
      </c>
      <c r="B609" s="8" t="s">
        <v>1475</v>
      </c>
      <c r="C609" s="10" t="s">
        <v>1476</v>
      </c>
      <c r="D609" s="10" t="s">
        <v>2270</v>
      </c>
      <c r="E609" s="10" t="s">
        <v>52</v>
      </c>
      <c r="F609" s="12">
        <f t="shared" si="529"/>
        <v>1</v>
      </c>
      <c r="G609" s="10">
        <v>1</v>
      </c>
      <c r="H609" s="10">
        <f>G609*$H$608</f>
        <v>1</v>
      </c>
      <c r="I609" s="10">
        <v>1</v>
      </c>
      <c r="J609" s="8" t="s">
        <v>114</v>
      </c>
      <c r="K609" s="8" t="s">
        <v>34</v>
      </c>
      <c r="L609" s="10">
        <v>0</v>
      </c>
      <c r="M609" s="8" t="s">
        <v>35</v>
      </c>
      <c r="N609" s="10" t="s">
        <v>1477</v>
      </c>
      <c r="O609" s="28" t="s">
        <v>41</v>
      </c>
      <c r="P609" s="28" t="s">
        <v>41</v>
      </c>
      <c r="Q609" s="28" t="s">
        <v>116</v>
      </c>
      <c r="R609" s="30">
        <v>25.779</v>
      </c>
      <c r="S609" s="30">
        <v>17.774999999999999</v>
      </c>
      <c r="T609" s="30"/>
      <c r="U609" s="30">
        <v>0.11799999999999999</v>
      </c>
      <c r="V609" s="8">
        <f t="shared" si="530"/>
        <v>654.78659999999991</v>
      </c>
      <c r="W609" s="8">
        <f t="shared" si="531"/>
        <v>451.48499999999996</v>
      </c>
      <c r="X609" s="8">
        <f t="shared" si="532"/>
        <v>0</v>
      </c>
      <c r="Y609" s="33">
        <f t="shared" si="533"/>
        <v>2.9971999999999999</v>
      </c>
      <c r="Z609" s="28" t="s">
        <v>56</v>
      </c>
      <c r="AA609" s="28" t="s">
        <v>57</v>
      </c>
      <c r="AB609" s="28" t="s">
        <v>116</v>
      </c>
      <c r="AC609" s="31" t="s">
        <v>117</v>
      </c>
      <c r="AD609" s="50">
        <f t="shared" si="534"/>
        <v>1</v>
      </c>
      <c r="AE609" s="31"/>
      <c r="AF609" s="51">
        <v>14</v>
      </c>
      <c r="AG609" s="51">
        <f t="shared" si="562"/>
        <v>8.4</v>
      </c>
      <c r="AH609" s="51">
        <f t="shared" si="528"/>
        <v>42</v>
      </c>
      <c r="AI609" s="52" t="s">
        <v>2497</v>
      </c>
      <c r="AJ609" s="52" t="s">
        <v>2498</v>
      </c>
      <c r="AK609" s="53">
        <f t="shared" si="563"/>
        <v>0.59125265620199985</v>
      </c>
      <c r="AL609" s="54">
        <f t="shared" si="564"/>
        <v>0.11904761904761904</v>
      </c>
      <c r="AM609" s="54">
        <f t="shared" si="565"/>
        <v>2.3809523809523808E-2</v>
      </c>
      <c r="AN609" s="55">
        <f t="shared" si="566"/>
        <v>7.0387220976428549E-2</v>
      </c>
      <c r="AO609" s="55">
        <f t="shared" si="567"/>
        <v>1.4077444195285709E-2</v>
      </c>
      <c r="AP609" s="53">
        <v>7.1</v>
      </c>
      <c r="AQ609" s="53">
        <f t="shared" si="535"/>
        <v>4.26</v>
      </c>
      <c r="AR609" s="53">
        <f t="shared" si="536"/>
        <v>21.299999999999997</v>
      </c>
      <c r="AS609" s="56">
        <f t="shared" si="537"/>
        <v>4.6948356807511742E-2</v>
      </c>
      <c r="AT609" s="56">
        <f t="shared" si="568"/>
        <v>0.23474178403755869</v>
      </c>
      <c r="AU609" s="56">
        <f t="shared" si="538"/>
        <v>0.176056338028169</v>
      </c>
      <c r="AV609" s="56">
        <f t="shared" si="569"/>
        <v>5.8685446009389672E-2</v>
      </c>
      <c r="AW609" s="57" t="s">
        <v>2511</v>
      </c>
      <c r="AX609" s="57" t="s">
        <v>2512</v>
      </c>
      <c r="AY609" s="57" t="s">
        <v>2513</v>
      </c>
      <c r="AZ609" s="58">
        <f t="shared" si="570"/>
        <v>0.59125265620199985</v>
      </c>
      <c r="BA609" s="59">
        <f t="shared" si="573"/>
        <v>1.7348962916725347E-2</v>
      </c>
      <c r="BB609" s="59">
        <f t="shared" si="574"/>
        <v>5.2046888750176039E-2</v>
      </c>
      <c r="BC609" s="59">
        <f t="shared" si="575"/>
        <v>1.387917033338028E-2</v>
      </c>
      <c r="BD609" s="60">
        <f t="shared" si="571"/>
        <v>0.125</v>
      </c>
      <c r="BE609" s="59">
        <f t="shared" si="572"/>
        <v>0.125</v>
      </c>
      <c r="BQ609" s="61">
        <v>3000</v>
      </c>
      <c r="BR609" s="61">
        <v>1200</v>
      </c>
      <c r="BS609" s="28">
        <f t="shared" si="539"/>
        <v>2980</v>
      </c>
      <c r="BT609" s="28">
        <f t="shared" si="540"/>
        <v>1180</v>
      </c>
      <c r="BU609" s="28" t="s">
        <v>2541</v>
      </c>
      <c r="BV609" s="28">
        <f t="shared" si="541"/>
        <v>659.78659999999991</v>
      </c>
      <c r="BW609" s="28">
        <f t="shared" si="542"/>
        <v>456.48499999999996</v>
      </c>
      <c r="BX609" s="13">
        <f t="shared" si="543"/>
        <v>4.5166118863280955</v>
      </c>
      <c r="BY609" s="13">
        <f t="shared" si="544"/>
        <v>4</v>
      </c>
      <c r="BZ609" s="13">
        <f t="shared" si="545"/>
        <v>2.5849699332946319</v>
      </c>
      <c r="CA609" s="13">
        <f t="shared" si="546"/>
        <v>2</v>
      </c>
      <c r="CB609" s="13">
        <f t="shared" si="547"/>
        <v>8</v>
      </c>
      <c r="CC609" s="62">
        <f t="shared" si="548"/>
        <v>0.125</v>
      </c>
      <c r="CD609" s="13">
        <f t="shared" si="549"/>
        <v>6.5281444078118671</v>
      </c>
      <c r="CE609" s="13">
        <f t="shared" si="550"/>
        <v>6</v>
      </c>
      <c r="CF609" s="13">
        <f t="shared" si="551"/>
        <v>1.7884570556601183</v>
      </c>
      <c r="CG609" s="13">
        <f t="shared" si="552"/>
        <v>1</v>
      </c>
      <c r="CH609" s="28">
        <f t="shared" si="553"/>
        <v>6</v>
      </c>
      <c r="CI609" s="62">
        <f t="shared" si="554"/>
        <v>0.16666666666666666</v>
      </c>
      <c r="CJ609" s="59">
        <f t="shared" si="555"/>
        <v>0.125</v>
      </c>
      <c r="CL609" s="63">
        <v>6000</v>
      </c>
      <c r="CM609" s="63">
        <f t="shared" si="556"/>
        <v>654.78659999999991</v>
      </c>
      <c r="CN609" s="63">
        <f t="shared" si="557"/>
        <v>659.78659999999991</v>
      </c>
      <c r="CO609" s="63">
        <f t="shared" si="558"/>
        <v>9.0938494355599229</v>
      </c>
      <c r="CP609" s="13">
        <f t="shared" si="559"/>
        <v>9</v>
      </c>
      <c r="CQ609" s="70">
        <f t="shared" si="560"/>
        <v>0.1111111111111111</v>
      </c>
      <c r="CR609" s="69">
        <f t="shared" si="523"/>
        <v>0.1111111111111111</v>
      </c>
    </row>
    <row r="610" spans="1:96" hidden="1" x14ac:dyDescent="0.25">
      <c r="A610" s="10">
        <v>3</v>
      </c>
      <c r="B610" s="8" t="s">
        <v>1475</v>
      </c>
      <c r="C610" s="10" t="s">
        <v>1478</v>
      </c>
      <c r="D610" s="10" t="s">
        <v>1480</v>
      </c>
      <c r="E610" s="10" t="s">
        <v>52</v>
      </c>
      <c r="F610" s="12">
        <f t="shared" si="529"/>
        <v>2</v>
      </c>
      <c r="G610" s="10">
        <v>4</v>
      </c>
      <c r="H610" s="10">
        <f>G610*$H$608</f>
        <v>4</v>
      </c>
      <c r="I610" s="10">
        <v>2</v>
      </c>
      <c r="J610" s="8" t="s">
        <v>1479</v>
      </c>
      <c r="K610" s="8" t="s">
        <v>34</v>
      </c>
      <c r="L610" s="10">
        <v>0</v>
      </c>
      <c r="M610" s="8" t="s">
        <v>35</v>
      </c>
      <c r="N610" s="10" t="s">
        <v>1480</v>
      </c>
      <c r="O610" s="28" t="s">
        <v>41</v>
      </c>
      <c r="P610" s="28" t="s">
        <v>41</v>
      </c>
      <c r="Q610" s="28" t="s">
        <v>1480</v>
      </c>
      <c r="R610" s="30"/>
      <c r="S610" s="30"/>
      <c r="T610" s="30"/>
      <c r="U610" s="30"/>
      <c r="V610" s="8">
        <f t="shared" si="530"/>
        <v>0</v>
      </c>
      <c r="W610" s="8">
        <f t="shared" si="531"/>
        <v>0</v>
      </c>
      <c r="X610" s="8">
        <f t="shared" si="532"/>
        <v>0</v>
      </c>
      <c r="Y610" s="33">
        <f t="shared" si="533"/>
        <v>0</v>
      </c>
      <c r="Z610" s="28"/>
      <c r="AA610" s="28"/>
      <c r="AB610" s="61" t="s">
        <v>1480</v>
      </c>
      <c r="AC610" s="31" t="s">
        <v>1481</v>
      </c>
      <c r="AD610" s="50">
        <f t="shared" si="534"/>
        <v>4</v>
      </c>
      <c r="AE610" s="31"/>
      <c r="AF610" s="51">
        <v>14</v>
      </c>
      <c r="AG610" s="51">
        <f t="shared" si="562"/>
        <v>8.4</v>
      </c>
      <c r="AH610" s="51">
        <f t="shared" si="528"/>
        <v>42</v>
      </c>
      <c r="AI610" s="52" t="s">
        <v>2497</v>
      </c>
      <c r="AJ610" s="52" t="s">
        <v>2498</v>
      </c>
      <c r="AK610" s="53">
        <f t="shared" si="563"/>
        <v>0</v>
      </c>
      <c r="AL610" s="54">
        <f t="shared" si="564"/>
        <v>0.11904761904761904</v>
      </c>
      <c r="AM610" s="54">
        <f t="shared" si="565"/>
        <v>2.3809523809523808E-2</v>
      </c>
      <c r="AN610" s="55">
        <f t="shared" si="566"/>
        <v>0</v>
      </c>
      <c r="AO610" s="55">
        <f t="shared" si="567"/>
        <v>0</v>
      </c>
      <c r="AP610" s="53">
        <v>7.1</v>
      </c>
      <c r="AQ610" s="53">
        <f t="shared" si="535"/>
        <v>4.26</v>
      </c>
      <c r="AR610" s="53">
        <f t="shared" si="536"/>
        <v>21.299999999999997</v>
      </c>
      <c r="AS610" s="56">
        <f t="shared" si="537"/>
        <v>4.6948356807511742E-2</v>
      </c>
      <c r="AT610" s="56">
        <f t="shared" si="568"/>
        <v>0.23474178403755869</v>
      </c>
      <c r="AU610" s="56">
        <f t="shared" si="538"/>
        <v>0.176056338028169</v>
      </c>
      <c r="AV610" s="56">
        <f t="shared" si="569"/>
        <v>5.8685446009389672E-2</v>
      </c>
      <c r="AW610" s="57" t="s">
        <v>2511</v>
      </c>
      <c r="AX610" s="57" t="s">
        <v>2512</v>
      </c>
      <c r="AY610" s="57" t="s">
        <v>2513</v>
      </c>
      <c r="AZ610" s="58">
        <f t="shared" si="570"/>
        <v>0</v>
      </c>
      <c r="BA610" s="59">
        <f t="shared" si="573"/>
        <v>0</v>
      </c>
      <c r="BB610" s="59">
        <f t="shared" si="574"/>
        <v>0</v>
      </c>
      <c r="BC610" s="59">
        <f t="shared" si="575"/>
        <v>0</v>
      </c>
      <c r="BD610" s="60">
        <f t="shared" si="571"/>
        <v>7.1095438516664771E-6</v>
      </c>
      <c r="BE610" s="59">
        <f t="shared" si="572"/>
        <v>2.8438175406665908E-5</v>
      </c>
      <c r="BQ610" s="61">
        <v>3000</v>
      </c>
      <c r="BR610" s="61">
        <v>1200</v>
      </c>
      <c r="BS610" s="28">
        <f t="shared" si="539"/>
        <v>2980</v>
      </c>
      <c r="BT610" s="28">
        <f t="shared" si="540"/>
        <v>1180</v>
      </c>
      <c r="BU610" s="28" t="s">
        <v>2541</v>
      </c>
      <c r="BV610" s="28">
        <f t="shared" si="541"/>
        <v>5</v>
      </c>
      <c r="BW610" s="28">
        <f t="shared" si="542"/>
        <v>5</v>
      </c>
      <c r="BX610" s="13">
        <f t="shared" si="543"/>
        <v>596</v>
      </c>
      <c r="BY610" s="13">
        <f t="shared" si="544"/>
        <v>596</v>
      </c>
      <c r="BZ610" s="13">
        <f t="shared" si="545"/>
        <v>236</v>
      </c>
      <c r="CA610" s="13">
        <f t="shared" si="546"/>
        <v>236</v>
      </c>
      <c r="CB610" s="13">
        <f t="shared" si="547"/>
        <v>140656</v>
      </c>
      <c r="CC610" s="62">
        <f t="shared" si="548"/>
        <v>7.1095438516664771E-6</v>
      </c>
      <c r="CD610" s="13">
        <f t="shared" si="549"/>
        <v>596</v>
      </c>
      <c r="CE610" s="13">
        <f t="shared" si="550"/>
        <v>596</v>
      </c>
      <c r="CF610" s="13">
        <f t="shared" si="551"/>
        <v>236</v>
      </c>
      <c r="CG610" s="13">
        <f t="shared" si="552"/>
        <v>236</v>
      </c>
      <c r="CH610" s="28">
        <f t="shared" si="553"/>
        <v>140656</v>
      </c>
      <c r="CI610" s="62">
        <f t="shared" si="554"/>
        <v>7.1095438516664771E-6</v>
      </c>
      <c r="CJ610" s="59">
        <f t="shared" si="555"/>
        <v>7.1095438516664771E-6</v>
      </c>
      <c r="CL610" s="63">
        <v>6000</v>
      </c>
      <c r="CM610" s="63">
        <f t="shared" si="556"/>
        <v>0</v>
      </c>
      <c r="CN610" s="63">
        <f t="shared" si="557"/>
        <v>5</v>
      </c>
      <c r="CO610" s="63">
        <f t="shared" si="558"/>
        <v>1200</v>
      </c>
      <c r="CP610" s="13">
        <f t="shared" si="559"/>
        <v>1200</v>
      </c>
      <c r="CQ610" s="70">
        <f t="shared" si="560"/>
        <v>8.3333333333333339E-4</v>
      </c>
      <c r="CR610" s="69">
        <f t="shared" si="523"/>
        <v>3.3333333333333335E-3</v>
      </c>
    </row>
    <row r="611" spans="1:96" hidden="1" x14ac:dyDescent="0.25">
      <c r="A611" s="36">
        <v>2</v>
      </c>
      <c r="B611" s="37" t="s">
        <v>37</v>
      </c>
      <c r="C611" s="36" t="s">
        <v>1482</v>
      </c>
      <c r="D611" s="36" t="s">
        <v>2270</v>
      </c>
      <c r="E611" s="36" t="s">
        <v>52</v>
      </c>
      <c r="F611" s="38">
        <f t="shared" si="529"/>
        <v>1</v>
      </c>
      <c r="G611" s="36">
        <v>1</v>
      </c>
      <c r="H611" s="36">
        <f t="shared" ref="H611:H612" si="580">G611*$H$3</f>
        <v>1</v>
      </c>
      <c r="I611" s="36">
        <v>38</v>
      </c>
      <c r="J611" s="37" t="s">
        <v>119</v>
      </c>
      <c r="K611" s="37" t="s">
        <v>34</v>
      </c>
      <c r="L611" s="36" t="s">
        <v>110</v>
      </c>
      <c r="M611" s="37" t="s">
        <v>35</v>
      </c>
      <c r="N611" s="36" t="s">
        <v>1483</v>
      </c>
      <c r="O611" s="28" t="s">
        <v>41</v>
      </c>
      <c r="P611" s="28" t="s">
        <v>41</v>
      </c>
      <c r="Q611" s="28" t="s">
        <v>116</v>
      </c>
      <c r="R611" s="30">
        <v>24.28</v>
      </c>
      <c r="S611" s="30">
        <v>1.387</v>
      </c>
      <c r="T611" s="30"/>
      <c r="U611" s="30">
        <v>0.11799999999999999</v>
      </c>
      <c r="V611" s="8">
        <f t="shared" si="530"/>
        <v>616.71199999999999</v>
      </c>
      <c r="W611" s="8">
        <f t="shared" si="531"/>
        <v>35.229799999999997</v>
      </c>
      <c r="X611" s="8">
        <f t="shared" si="532"/>
        <v>0</v>
      </c>
      <c r="Y611" s="33">
        <f t="shared" si="533"/>
        <v>2.9971999999999999</v>
      </c>
      <c r="Z611" s="28" t="s">
        <v>56</v>
      </c>
      <c r="AA611" s="28" t="s">
        <v>57</v>
      </c>
      <c r="AB611" s="28" t="s">
        <v>116</v>
      </c>
      <c r="AC611" s="31" t="s">
        <v>117</v>
      </c>
      <c r="AD611" s="50">
        <f t="shared" si="534"/>
        <v>1</v>
      </c>
      <c r="AE611" s="31"/>
      <c r="AF611" s="51">
        <v>14</v>
      </c>
      <c r="AG611" s="51">
        <f t="shared" si="562"/>
        <v>8.4</v>
      </c>
      <c r="AH611" s="51">
        <f t="shared" si="528"/>
        <v>42</v>
      </c>
      <c r="AI611" s="52" t="s">
        <v>2497</v>
      </c>
      <c r="AJ611" s="52" t="s">
        <v>2498</v>
      </c>
      <c r="AK611" s="53">
        <f t="shared" si="563"/>
        <v>4.3453280835199996E-2</v>
      </c>
      <c r="AL611" s="54">
        <f t="shared" si="564"/>
        <v>0.11904761904761904</v>
      </c>
      <c r="AM611" s="54">
        <f t="shared" si="565"/>
        <v>2.3809523809523808E-2</v>
      </c>
      <c r="AN611" s="55">
        <f t="shared" si="566"/>
        <v>5.1730096232380949E-3</v>
      </c>
      <c r="AO611" s="55">
        <f t="shared" si="567"/>
        <v>1.0346019246476189E-3</v>
      </c>
      <c r="AP611" s="53">
        <v>7.1</v>
      </c>
      <c r="AQ611" s="53">
        <f t="shared" si="535"/>
        <v>4.26</v>
      </c>
      <c r="AR611" s="53">
        <f t="shared" si="536"/>
        <v>21.299999999999997</v>
      </c>
      <c r="AS611" s="56">
        <f t="shared" si="537"/>
        <v>4.6948356807511742E-2</v>
      </c>
      <c r="AT611" s="56">
        <f t="shared" si="568"/>
        <v>0.23474178403755869</v>
      </c>
      <c r="AU611" s="56">
        <f t="shared" si="538"/>
        <v>0.176056338028169</v>
      </c>
      <c r="AV611" s="56">
        <f t="shared" si="569"/>
        <v>5.8685446009389672E-2</v>
      </c>
      <c r="AW611" s="57" t="s">
        <v>2511</v>
      </c>
      <c r="AX611" s="57" t="s">
        <v>2512</v>
      </c>
      <c r="AY611" s="57" t="s">
        <v>2513</v>
      </c>
      <c r="AZ611" s="58">
        <f t="shared" si="570"/>
        <v>4.3453280835199996E-2</v>
      </c>
      <c r="BA611" s="59">
        <f t="shared" si="573"/>
        <v>1.2750375831924881E-3</v>
      </c>
      <c r="BB611" s="59">
        <f t="shared" si="574"/>
        <v>3.8251127495774642E-3</v>
      </c>
      <c r="BC611" s="59">
        <f t="shared" si="575"/>
        <v>1.0200300665539907E-3</v>
      </c>
      <c r="BD611" s="60">
        <f t="shared" si="571"/>
        <v>8.6206896551724137E-3</v>
      </c>
      <c r="BE611" s="59">
        <f t="shared" si="572"/>
        <v>8.6206896551724137E-3</v>
      </c>
      <c r="BQ611" s="61">
        <v>3000</v>
      </c>
      <c r="BR611" s="61">
        <v>1200</v>
      </c>
      <c r="BS611" s="28">
        <f t="shared" si="539"/>
        <v>2980</v>
      </c>
      <c r="BT611" s="28">
        <f t="shared" si="540"/>
        <v>1180</v>
      </c>
      <c r="BU611" s="28" t="s">
        <v>2541</v>
      </c>
      <c r="BV611" s="28">
        <f t="shared" si="541"/>
        <v>621.71199999999999</v>
      </c>
      <c r="BW611" s="28">
        <f t="shared" si="542"/>
        <v>40.229799999999997</v>
      </c>
      <c r="BX611" s="13">
        <f t="shared" si="543"/>
        <v>4.7932161515299692</v>
      </c>
      <c r="BY611" s="13">
        <f t="shared" si="544"/>
        <v>4</v>
      </c>
      <c r="BZ611" s="13">
        <f t="shared" si="545"/>
        <v>29.331490586580099</v>
      </c>
      <c r="CA611" s="13">
        <f t="shared" si="546"/>
        <v>29</v>
      </c>
      <c r="CB611" s="13">
        <f t="shared" si="547"/>
        <v>116</v>
      </c>
      <c r="CC611" s="62">
        <f t="shared" si="548"/>
        <v>8.6206896551724137E-3</v>
      </c>
      <c r="CD611" s="13">
        <f t="shared" si="549"/>
        <v>74.074442328820922</v>
      </c>
      <c r="CE611" s="13">
        <f t="shared" si="550"/>
        <v>74</v>
      </c>
      <c r="CF611" s="13">
        <f t="shared" si="551"/>
        <v>1.8979849190622025</v>
      </c>
      <c r="CG611" s="13">
        <f t="shared" si="552"/>
        <v>1</v>
      </c>
      <c r="CH611" s="28">
        <f t="shared" si="553"/>
        <v>74</v>
      </c>
      <c r="CI611" s="62">
        <f t="shared" si="554"/>
        <v>1.3513513513513514E-2</v>
      </c>
      <c r="CJ611" s="59">
        <f t="shared" si="555"/>
        <v>8.6206896551724137E-3</v>
      </c>
      <c r="CL611" s="63">
        <v>6000</v>
      </c>
      <c r="CM611" s="63">
        <f t="shared" si="556"/>
        <v>616.71199999999999</v>
      </c>
      <c r="CN611" s="63">
        <f t="shared" si="557"/>
        <v>621.71199999999999</v>
      </c>
      <c r="CO611" s="63">
        <f t="shared" si="558"/>
        <v>9.6507707748925551</v>
      </c>
      <c r="CP611" s="13">
        <f t="shared" si="559"/>
        <v>9</v>
      </c>
      <c r="CQ611" s="70">
        <f t="shared" si="560"/>
        <v>0.1111111111111111</v>
      </c>
      <c r="CR611" s="69">
        <f t="shared" si="523"/>
        <v>0.1111111111111111</v>
      </c>
    </row>
    <row r="612" spans="1:96" hidden="1" x14ac:dyDescent="0.25">
      <c r="A612" s="36">
        <v>2</v>
      </c>
      <c r="B612" s="37" t="s">
        <v>37</v>
      </c>
      <c r="C612" s="36" t="s">
        <v>1484</v>
      </c>
      <c r="D612" s="36" t="s">
        <v>2270</v>
      </c>
      <c r="E612" s="36" t="s">
        <v>32</v>
      </c>
      <c r="F612" s="38">
        <f t="shared" si="529"/>
        <v>1</v>
      </c>
      <c r="G612" s="36">
        <v>1</v>
      </c>
      <c r="H612" s="36">
        <f t="shared" si="580"/>
        <v>1</v>
      </c>
      <c r="I612" s="36">
        <v>41</v>
      </c>
      <c r="J612" s="37" t="s">
        <v>1485</v>
      </c>
      <c r="K612" s="37" t="s">
        <v>34</v>
      </c>
      <c r="L612" s="36">
        <v>0</v>
      </c>
      <c r="M612" s="37" t="s">
        <v>35</v>
      </c>
      <c r="N612" s="36" t="s">
        <v>1486</v>
      </c>
      <c r="O612" s="28" t="s">
        <v>41</v>
      </c>
      <c r="P612" s="28" t="s">
        <v>41</v>
      </c>
      <c r="Q612" s="28"/>
      <c r="R612" s="30"/>
      <c r="S612" s="30"/>
      <c r="T612" s="30"/>
      <c r="U612" s="30"/>
      <c r="V612" s="8">
        <f t="shared" si="530"/>
        <v>0</v>
      </c>
      <c r="W612" s="8">
        <f t="shared" si="531"/>
        <v>0</v>
      </c>
      <c r="X612" s="8">
        <f t="shared" si="532"/>
        <v>0</v>
      </c>
      <c r="Y612" s="33">
        <f t="shared" si="533"/>
        <v>0</v>
      </c>
      <c r="Z612" s="28"/>
      <c r="AA612" s="28" t="s">
        <v>2477</v>
      </c>
      <c r="AB612" s="28">
        <v>0</v>
      </c>
      <c r="AC612" s="31" t="s">
        <v>2477</v>
      </c>
      <c r="AD612" s="50">
        <f t="shared" si="534"/>
        <v>1</v>
      </c>
      <c r="AE612" s="31"/>
      <c r="AF612" s="51">
        <v>14</v>
      </c>
      <c r="AG612" s="51">
        <f t="shared" si="562"/>
        <v>8.4</v>
      </c>
      <c r="AH612" s="51">
        <f t="shared" si="528"/>
        <v>42</v>
      </c>
      <c r="AI612" s="52" t="s">
        <v>2497</v>
      </c>
      <c r="AJ612" s="52" t="s">
        <v>2498</v>
      </c>
      <c r="AK612" s="53">
        <f t="shared" si="563"/>
        <v>0</v>
      </c>
      <c r="AL612" s="54">
        <f t="shared" si="564"/>
        <v>0.11904761904761904</v>
      </c>
      <c r="AM612" s="54">
        <f t="shared" si="565"/>
        <v>2.3809523809523808E-2</v>
      </c>
      <c r="AN612" s="55">
        <f t="shared" si="566"/>
        <v>0</v>
      </c>
      <c r="AO612" s="55">
        <f t="shared" si="567"/>
        <v>0</v>
      </c>
      <c r="AP612" s="53">
        <v>7.1</v>
      </c>
      <c r="AQ612" s="53">
        <f t="shared" si="535"/>
        <v>4.26</v>
      </c>
      <c r="AR612" s="53">
        <f t="shared" si="536"/>
        <v>21.299999999999997</v>
      </c>
      <c r="AS612" s="56">
        <f t="shared" si="537"/>
        <v>4.6948356807511742E-2</v>
      </c>
      <c r="AT612" s="56">
        <f t="shared" si="568"/>
        <v>0.23474178403755869</v>
      </c>
      <c r="AU612" s="56">
        <f t="shared" si="538"/>
        <v>0.176056338028169</v>
      </c>
      <c r="AV612" s="56">
        <f t="shared" si="569"/>
        <v>5.8685446009389672E-2</v>
      </c>
      <c r="AW612" s="57" t="s">
        <v>2511</v>
      </c>
      <c r="AX612" s="57" t="s">
        <v>2512</v>
      </c>
      <c r="AY612" s="57" t="s">
        <v>2513</v>
      </c>
      <c r="AZ612" s="58">
        <f t="shared" si="570"/>
        <v>0</v>
      </c>
      <c r="BA612" s="59">
        <f t="shared" si="573"/>
        <v>0</v>
      </c>
      <c r="BB612" s="59">
        <f t="shared" si="574"/>
        <v>0</v>
      </c>
      <c r="BC612" s="59">
        <f t="shared" si="575"/>
        <v>0</v>
      </c>
      <c r="BD612" s="60">
        <f t="shared" si="571"/>
        <v>0</v>
      </c>
      <c r="BE612" s="59">
        <f t="shared" si="572"/>
        <v>0</v>
      </c>
      <c r="BQ612" s="61">
        <v>3000</v>
      </c>
      <c r="BR612" s="61">
        <v>1200</v>
      </c>
      <c r="BS612" s="28">
        <f t="shared" si="539"/>
        <v>2980</v>
      </c>
      <c r="BT612" s="28">
        <f t="shared" si="540"/>
        <v>1180</v>
      </c>
      <c r="BU612" s="28" t="s">
        <v>2541</v>
      </c>
      <c r="BV612" s="28">
        <f t="shared" si="541"/>
        <v>5</v>
      </c>
      <c r="BW612" s="28">
        <f t="shared" si="542"/>
        <v>5</v>
      </c>
      <c r="BX612" s="13">
        <f t="shared" si="543"/>
        <v>596</v>
      </c>
      <c r="BY612" s="13">
        <f t="shared" si="544"/>
        <v>596</v>
      </c>
      <c r="BZ612" s="13">
        <f t="shared" si="545"/>
        <v>236</v>
      </c>
      <c r="CA612" s="13">
        <f t="shared" si="546"/>
        <v>236</v>
      </c>
      <c r="CB612" s="13">
        <f t="shared" si="547"/>
        <v>140656</v>
      </c>
      <c r="CC612" s="62" t="str">
        <f t="shared" si="548"/>
        <v/>
      </c>
      <c r="CD612" s="13">
        <f t="shared" si="549"/>
        <v>596</v>
      </c>
      <c r="CE612" s="13">
        <f t="shared" si="550"/>
        <v>596</v>
      </c>
      <c r="CF612" s="13">
        <f t="shared" si="551"/>
        <v>236</v>
      </c>
      <c r="CG612" s="13">
        <f t="shared" si="552"/>
        <v>236</v>
      </c>
      <c r="CH612" s="28">
        <f t="shared" si="553"/>
        <v>140656</v>
      </c>
      <c r="CI612" s="62" t="str">
        <f t="shared" si="554"/>
        <v/>
      </c>
      <c r="CJ612" s="59">
        <f t="shared" si="555"/>
        <v>0</v>
      </c>
      <c r="CL612" s="63">
        <v>6000</v>
      </c>
      <c r="CM612" s="63">
        <f t="shared" si="556"/>
        <v>0</v>
      </c>
      <c r="CN612" s="63">
        <f t="shared" si="557"/>
        <v>5</v>
      </c>
      <c r="CO612" s="63">
        <f t="shared" si="558"/>
        <v>1200</v>
      </c>
      <c r="CP612" s="13">
        <f t="shared" si="559"/>
        <v>1200</v>
      </c>
      <c r="CQ612" s="70">
        <f t="shared" si="560"/>
        <v>8.3333333333333339E-4</v>
      </c>
      <c r="CR612" s="69">
        <f t="shared" ref="CR612:CR675" si="581">CQ612*AD612</f>
        <v>8.3333333333333339E-4</v>
      </c>
    </row>
    <row r="613" spans="1:96" hidden="1" x14ac:dyDescent="0.25">
      <c r="A613" s="10">
        <v>3</v>
      </c>
      <c r="B613" s="8" t="s">
        <v>1487</v>
      </c>
      <c r="C613" s="10" t="s">
        <v>1488</v>
      </c>
      <c r="D613" s="10" t="s">
        <v>2270</v>
      </c>
      <c r="E613" s="10" t="s">
        <v>52</v>
      </c>
      <c r="F613" s="12">
        <f t="shared" si="529"/>
        <v>1</v>
      </c>
      <c r="G613" s="10">
        <v>1</v>
      </c>
      <c r="H613" s="10">
        <f>G613*$H$612</f>
        <v>1</v>
      </c>
      <c r="I613" s="10">
        <v>1</v>
      </c>
      <c r="J613" s="8" t="s">
        <v>1485</v>
      </c>
      <c r="K613" s="8" t="s">
        <v>34</v>
      </c>
      <c r="L613" s="10">
        <v>0</v>
      </c>
      <c r="M613" s="8" t="s">
        <v>35</v>
      </c>
      <c r="N613" s="10" t="s">
        <v>1489</v>
      </c>
      <c r="O613" s="28" t="s">
        <v>41</v>
      </c>
      <c r="P613" s="28" t="s">
        <v>41</v>
      </c>
      <c r="Q613" s="28" t="s">
        <v>116</v>
      </c>
      <c r="R613" s="30">
        <v>32.720999999999997</v>
      </c>
      <c r="S613" s="30">
        <v>14.526</v>
      </c>
      <c r="T613" s="30"/>
      <c r="U613" s="30">
        <v>0.11799999999999999</v>
      </c>
      <c r="V613" s="8">
        <f t="shared" si="530"/>
        <v>831.11339999999984</v>
      </c>
      <c r="W613" s="8">
        <f t="shared" si="531"/>
        <v>368.96039999999999</v>
      </c>
      <c r="X613" s="8">
        <f t="shared" si="532"/>
        <v>0</v>
      </c>
      <c r="Y613" s="33">
        <f t="shared" si="533"/>
        <v>2.9971999999999999</v>
      </c>
      <c r="Z613" s="28" t="s">
        <v>56</v>
      </c>
      <c r="AA613" s="28" t="s">
        <v>57</v>
      </c>
      <c r="AB613" s="28" t="s">
        <v>116</v>
      </c>
      <c r="AC613" s="31" t="s">
        <v>117</v>
      </c>
      <c r="AD613" s="50">
        <f t="shared" si="534"/>
        <v>1</v>
      </c>
      <c r="AE613" s="47" t="s">
        <v>107</v>
      </c>
      <c r="AF613" s="51">
        <v>14</v>
      </c>
      <c r="AG613" s="51">
        <f t="shared" si="562"/>
        <v>8.4</v>
      </c>
      <c r="AH613" s="51">
        <f t="shared" si="528"/>
        <v>42</v>
      </c>
      <c r="AI613" s="52" t="s">
        <v>2497</v>
      </c>
      <c r="AJ613" s="52" t="s">
        <v>2498</v>
      </c>
      <c r="AK613" s="53">
        <f t="shared" si="563"/>
        <v>0.61329586501871991</v>
      </c>
      <c r="AL613" s="54">
        <f t="shared" si="564"/>
        <v>0.11904761904761904</v>
      </c>
      <c r="AM613" s="54">
        <f t="shared" si="565"/>
        <v>2.3809523809523808E-2</v>
      </c>
      <c r="AN613" s="55">
        <f t="shared" si="566"/>
        <v>7.3011412502228562E-2</v>
      </c>
      <c r="AO613" s="55">
        <f t="shared" si="567"/>
        <v>1.4602282500445712E-2</v>
      </c>
      <c r="AP613" s="53">
        <v>7.1</v>
      </c>
      <c r="AQ613" s="53">
        <f t="shared" si="535"/>
        <v>4.26</v>
      </c>
      <c r="AR613" s="53">
        <f t="shared" si="536"/>
        <v>21.299999999999997</v>
      </c>
      <c r="AS613" s="56">
        <f t="shared" si="537"/>
        <v>4.6948356807511742E-2</v>
      </c>
      <c r="AT613" s="56">
        <f t="shared" si="568"/>
        <v>0.23474178403755869</v>
      </c>
      <c r="AU613" s="56">
        <f t="shared" si="538"/>
        <v>0.176056338028169</v>
      </c>
      <c r="AV613" s="56">
        <f t="shared" si="569"/>
        <v>5.8685446009389672E-2</v>
      </c>
      <c r="AW613" s="57" t="s">
        <v>2511</v>
      </c>
      <c r="AX613" s="57" t="s">
        <v>2512</v>
      </c>
      <c r="AY613" s="57" t="s">
        <v>2513</v>
      </c>
      <c r="AZ613" s="58">
        <f t="shared" si="570"/>
        <v>0.61329586501871991</v>
      </c>
      <c r="BA613" s="59">
        <f t="shared" si="573"/>
        <v>1.799577068716901E-2</v>
      </c>
      <c r="BB613" s="59">
        <f t="shared" si="574"/>
        <v>5.3987312061507031E-2</v>
      </c>
      <c r="BC613" s="59">
        <f t="shared" si="575"/>
        <v>1.439661654973521E-2</v>
      </c>
      <c r="BD613" s="60">
        <f t="shared" si="571"/>
        <v>0.1111111111111111</v>
      </c>
      <c r="BE613" s="59">
        <f t="shared" si="572"/>
        <v>0.1111111111111111</v>
      </c>
      <c r="BQ613" s="61">
        <v>3000</v>
      </c>
      <c r="BR613" s="61">
        <v>1200</v>
      </c>
      <c r="BS613" s="28">
        <f t="shared" si="539"/>
        <v>2980</v>
      </c>
      <c r="BT613" s="28">
        <f t="shared" si="540"/>
        <v>1180</v>
      </c>
      <c r="BU613" s="28" t="s">
        <v>2541</v>
      </c>
      <c r="BV613" s="28">
        <f t="shared" si="541"/>
        <v>836.11339999999984</v>
      </c>
      <c r="BW613" s="28">
        <f t="shared" si="542"/>
        <v>373.96039999999999</v>
      </c>
      <c r="BX613" s="13">
        <f t="shared" si="543"/>
        <v>3.564109844430194</v>
      </c>
      <c r="BY613" s="13">
        <f t="shared" si="544"/>
        <v>3</v>
      </c>
      <c r="BZ613" s="13">
        <f t="shared" si="545"/>
        <v>3.1554143165960888</v>
      </c>
      <c r="CA613" s="13">
        <f t="shared" si="546"/>
        <v>3</v>
      </c>
      <c r="CB613" s="13">
        <f t="shared" si="547"/>
        <v>9</v>
      </c>
      <c r="CC613" s="62">
        <f t="shared" si="548"/>
        <v>0.1111111111111111</v>
      </c>
      <c r="CD613" s="13">
        <f t="shared" si="549"/>
        <v>7.9687581893697841</v>
      </c>
      <c r="CE613" s="13">
        <f t="shared" si="550"/>
        <v>7</v>
      </c>
      <c r="CF613" s="13">
        <f t="shared" si="551"/>
        <v>1.4112918175931641</v>
      </c>
      <c r="CG613" s="13">
        <f t="shared" si="552"/>
        <v>1</v>
      </c>
      <c r="CH613" s="28">
        <f t="shared" si="553"/>
        <v>7</v>
      </c>
      <c r="CI613" s="62">
        <f t="shared" si="554"/>
        <v>0.14285714285714285</v>
      </c>
      <c r="CJ613" s="59">
        <f t="shared" si="555"/>
        <v>0.1111111111111111</v>
      </c>
      <c r="CL613" s="63">
        <v>6000</v>
      </c>
      <c r="CM613" s="63">
        <f t="shared" si="556"/>
        <v>831.11339999999984</v>
      </c>
      <c r="CN613" s="63">
        <f t="shared" si="557"/>
        <v>836.11339999999984</v>
      </c>
      <c r="CO613" s="63">
        <f t="shared" si="558"/>
        <v>7.1760600894567661</v>
      </c>
      <c r="CP613" s="13">
        <f t="shared" si="559"/>
        <v>7</v>
      </c>
      <c r="CQ613" s="70">
        <f t="shared" si="560"/>
        <v>0.14285714285714285</v>
      </c>
      <c r="CR613" s="69">
        <f t="shared" si="581"/>
        <v>0.14285714285714285</v>
      </c>
    </row>
    <row r="614" spans="1:96" hidden="1" x14ac:dyDescent="0.25">
      <c r="A614" s="10">
        <v>3</v>
      </c>
      <c r="B614" s="8" t="s">
        <v>1487</v>
      </c>
      <c r="C614" s="10" t="s">
        <v>1490</v>
      </c>
      <c r="D614" s="10" t="s">
        <v>1492</v>
      </c>
      <c r="E614" s="10" t="s">
        <v>52</v>
      </c>
      <c r="F614" s="12">
        <f t="shared" si="529"/>
        <v>2</v>
      </c>
      <c r="G614" s="10">
        <v>4</v>
      </c>
      <c r="H614" s="10">
        <f>G614*$H$612</f>
        <v>4</v>
      </c>
      <c r="I614" s="10">
        <v>2</v>
      </c>
      <c r="J614" s="8" t="s">
        <v>1491</v>
      </c>
      <c r="K614" s="8" t="s">
        <v>34</v>
      </c>
      <c r="L614" s="10">
        <v>0</v>
      </c>
      <c r="M614" s="8" t="s">
        <v>35</v>
      </c>
      <c r="N614" s="10" t="s">
        <v>1492</v>
      </c>
      <c r="O614" s="28" t="s">
        <v>41</v>
      </c>
      <c r="P614" s="28" t="s">
        <v>41</v>
      </c>
      <c r="Q614" s="28" t="s">
        <v>1492</v>
      </c>
      <c r="R614" s="30"/>
      <c r="S614" s="30"/>
      <c r="T614" s="30"/>
      <c r="U614" s="30"/>
      <c r="V614" s="8">
        <f t="shared" si="530"/>
        <v>0</v>
      </c>
      <c r="W614" s="8">
        <f t="shared" si="531"/>
        <v>0</v>
      </c>
      <c r="X614" s="8">
        <f t="shared" si="532"/>
        <v>0</v>
      </c>
      <c r="Y614" s="33">
        <f t="shared" si="533"/>
        <v>0</v>
      </c>
      <c r="Z614" s="28"/>
      <c r="AA614" s="28"/>
      <c r="AB614" s="61" t="s">
        <v>1492</v>
      </c>
      <c r="AC614" s="31" t="s">
        <v>1493</v>
      </c>
      <c r="AD614" s="50">
        <f t="shared" si="534"/>
        <v>4</v>
      </c>
      <c r="AE614" s="31"/>
      <c r="AF614" s="51">
        <v>14</v>
      </c>
      <c r="AG614" s="51">
        <f t="shared" si="562"/>
        <v>8.4</v>
      </c>
      <c r="AH614" s="51">
        <f t="shared" si="528"/>
        <v>42</v>
      </c>
      <c r="AI614" s="52" t="s">
        <v>2497</v>
      </c>
      <c r="AJ614" s="52" t="s">
        <v>2498</v>
      </c>
      <c r="AK614" s="53">
        <f t="shared" si="563"/>
        <v>0</v>
      </c>
      <c r="AL614" s="54">
        <f t="shared" si="564"/>
        <v>0.11904761904761904</v>
      </c>
      <c r="AM614" s="54">
        <f t="shared" si="565"/>
        <v>2.3809523809523808E-2</v>
      </c>
      <c r="AN614" s="55">
        <f t="shared" si="566"/>
        <v>0</v>
      </c>
      <c r="AO614" s="55">
        <f t="shared" si="567"/>
        <v>0</v>
      </c>
      <c r="AP614" s="53">
        <v>7.1</v>
      </c>
      <c r="AQ614" s="53">
        <f t="shared" si="535"/>
        <v>4.26</v>
      </c>
      <c r="AR614" s="53">
        <f t="shared" si="536"/>
        <v>21.299999999999997</v>
      </c>
      <c r="AS614" s="56">
        <f t="shared" si="537"/>
        <v>4.6948356807511742E-2</v>
      </c>
      <c r="AT614" s="56">
        <f t="shared" si="568"/>
        <v>0.23474178403755869</v>
      </c>
      <c r="AU614" s="56">
        <f t="shared" si="538"/>
        <v>0.176056338028169</v>
      </c>
      <c r="AV614" s="56">
        <f t="shared" si="569"/>
        <v>5.8685446009389672E-2</v>
      </c>
      <c r="AW614" s="57" t="s">
        <v>2511</v>
      </c>
      <c r="AX614" s="57" t="s">
        <v>2512</v>
      </c>
      <c r="AY614" s="57" t="s">
        <v>2513</v>
      </c>
      <c r="AZ614" s="58">
        <f t="shared" si="570"/>
        <v>0</v>
      </c>
      <c r="BA614" s="59">
        <f t="shared" si="573"/>
        <v>0</v>
      </c>
      <c r="BB614" s="59">
        <f t="shared" si="574"/>
        <v>0</v>
      </c>
      <c r="BC614" s="59">
        <f t="shared" si="575"/>
        <v>0</v>
      </c>
      <c r="BD614" s="60">
        <f t="shared" si="571"/>
        <v>7.1095438516664771E-6</v>
      </c>
      <c r="BE614" s="59">
        <f t="shared" si="572"/>
        <v>2.8438175406665908E-5</v>
      </c>
      <c r="BQ614" s="61">
        <v>3000</v>
      </c>
      <c r="BR614" s="61">
        <v>1200</v>
      </c>
      <c r="BS614" s="28">
        <f t="shared" si="539"/>
        <v>2980</v>
      </c>
      <c r="BT614" s="28">
        <f t="shared" si="540"/>
        <v>1180</v>
      </c>
      <c r="BU614" s="28" t="s">
        <v>2541</v>
      </c>
      <c r="BV614" s="28">
        <f t="shared" si="541"/>
        <v>5</v>
      </c>
      <c r="BW614" s="28">
        <f t="shared" si="542"/>
        <v>5</v>
      </c>
      <c r="BX614" s="13">
        <f t="shared" si="543"/>
        <v>596</v>
      </c>
      <c r="BY614" s="13">
        <f t="shared" si="544"/>
        <v>596</v>
      </c>
      <c r="BZ614" s="13">
        <f t="shared" si="545"/>
        <v>236</v>
      </c>
      <c r="CA614" s="13">
        <f t="shared" si="546"/>
        <v>236</v>
      </c>
      <c r="CB614" s="13">
        <f t="shared" si="547"/>
        <v>140656</v>
      </c>
      <c r="CC614" s="62">
        <f t="shared" si="548"/>
        <v>7.1095438516664771E-6</v>
      </c>
      <c r="CD614" s="13">
        <f t="shared" si="549"/>
        <v>596</v>
      </c>
      <c r="CE614" s="13">
        <f t="shared" si="550"/>
        <v>596</v>
      </c>
      <c r="CF614" s="13">
        <f t="shared" si="551"/>
        <v>236</v>
      </c>
      <c r="CG614" s="13">
        <f t="shared" si="552"/>
        <v>236</v>
      </c>
      <c r="CH614" s="28">
        <f t="shared" si="553"/>
        <v>140656</v>
      </c>
      <c r="CI614" s="62">
        <f t="shared" si="554"/>
        <v>7.1095438516664771E-6</v>
      </c>
      <c r="CJ614" s="59">
        <f t="shared" si="555"/>
        <v>7.1095438516664771E-6</v>
      </c>
      <c r="CL614" s="63">
        <v>6000</v>
      </c>
      <c r="CM614" s="63">
        <f t="shared" si="556"/>
        <v>0</v>
      </c>
      <c r="CN614" s="63">
        <f t="shared" si="557"/>
        <v>5</v>
      </c>
      <c r="CO614" s="63">
        <f t="shared" si="558"/>
        <v>1200</v>
      </c>
      <c r="CP614" s="13">
        <f t="shared" si="559"/>
        <v>1200</v>
      </c>
      <c r="CQ614" s="70">
        <f t="shared" si="560"/>
        <v>8.3333333333333339E-4</v>
      </c>
      <c r="CR614" s="69">
        <f t="shared" si="581"/>
        <v>3.3333333333333335E-3</v>
      </c>
    </row>
    <row r="615" spans="1:96" hidden="1" x14ac:dyDescent="0.25">
      <c r="A615" s="36">
        <v>2</v>
      </c>
      <c r="B615" s="37" t="s">
        <v>37</v>
      </c>
      <c r="C615" s="36" t="s">
        <v>1494</v>
      </c>
      <c r="D615" s="36" t="s">
        <v>2270</v>
      </c>
      <c r="E615" s="36" t="s">
        <v>32</v>
      </c>
      <c r="F615" s="38">
        <f t="shared" si="529"/>
        <v>1</v>
      </c>
      <c r="G615" s="36">
        <v>1</v>
      </c>
      <c r="H615" s="36">
        <f>G615*$H$3</f>
        <v>1</v>
      </c>
      <c r="I615" s="36">
        <v>42</v>
      </c>
      <c r="J615" s="37" t="s">
        <v>508</v>
      </c>
      <c r="K615" s="37" t="s">
        <v>34</v>
      </c>
      <c r="L615" s="36">
        <v>0</v>
      </c>
      <c r="M615" s="37" t="s">
        <v>35</v>
      </c>
      <c r="N615" s="36" t="s">
        <v>1495</v>
      </c>
      <c r="O615" s="28" t="s">
        <v>41</v>
      </c>
      <c r="P615" s="28" t="s">
        <v>41</v>
      </c>
      <c r="Q615" s="28"/>
      <c r="R615" s="30"/>
      <c r="S615" s="30"/>
      <c r="T615" s="30"/>
      <c r="U615" s="30"/>
      <c r="V615" s="8">
        <f t="shared" si="530"/>
        <v>0</v>
      </c>
      <c r="W615" s="8">
        <f t="shared" si="531"/>
        <v>0</v>
      </c>
      <c r="X615" s="8">
        <f t="shared" si="532"/>
        <v>0</v>
      </c>
      <c r="Y615" s="33">
        <f t="shared" si="533"/>
        <v>0</v>
      </c>
      <c r="Z615" s="28"/>
      <c r="AA615" s="28"/>
      <c r="AB615" s="28">
        <v>0</v>
      </c>
      <c r="AC615" s="31"/>
      <c r="AD615" s="50">
        <f t="shared" si="534"/>
        <v>1</v>
      </c>
      <c r="AE615" s="31"/>
      <c r="AF615" s="51">
        <v>14</v>
      </c>
      <c r="AG615" s="51">
        <f t="shared" si="562"/>
        <v>8.4</v>
      </c>
      <c r="AH615" s="51">
        <f t="shared" si="528"/>
        <v>42</v>
      </c>
      <c r="AI615" s="52" t="s">
        <v>2497</v>
      </c>
      <c r="AJ615" s="52" t="s">
        <v>2498</v>
      </c>
      <c r="AK615" s="53">
        <f t="shared" si="563"/>
        <v>0</v>
      </c>
      <c r="AL615" s="54">
        <f t="shared" si="564"/>
        <v>0.11904761904761904</v>
      </c>
      <c r="AM615" s="54">
        <f t="shared" si="565"/>
        <v>2.3809523809523808E-2</v>
      </c>
      <c r="AN615" s="55">
        <f t="shared" si="566"/>
        <v>0</v>
      </c>
      <c r="AO615" s="55">
        <f t="shared" si="567"/>
        <v>0</v>
      </c>
      <c r="AP615" s="53">
        <v>7.1</v>
      </c>
      <c r="AQ615" s="53">
        <f t="shared" si="535"/>
        <v>4.26</v>
      </c>
      <c r="AR615" s="53">
        <f t="shared" si="536"/>
        <v>21.299999999999997</v>
      </c>
      <c r="AS615" s="56">
        <f t="shared" si="537"/>
        <v>4.6948356807511742E-2</v>
      </c>
      <c r="AT615" s="56">
        <f t="shared" si="568"/>
        <v>0.23474178403755869</v>
      </c>
      <c r="AU615" s="56">
        <f t="shared" si="538"/>
        <v>0.176056338028169</v>
      </c>
      <c r="AV615" s="56">
        <f t="shared" si="569"/>
        <v>5.8685446009389672E-2</v>
      </c>
      <c r="AW615" s="57" t="s">
        <v>2511</v>
      </c>
      <c r="AX615" s="57" t="s">
        <v>2512</v>
      </c>
      <c r="AY615" s="57" t="s">
        <v>2513</v>
      </c>
      <c r="AZ615" s="58">
        <f t="shared" si="570"/>
        <v>0</v>
      </c>
      <c r="BA615" s="59">
        <f t="shared" si="573"/>
        <v>0</v>
      </c>
      <c r="BB615" s="59">
        <f t="shared" si="574"/>
        <v>0</v>
      </c>
      <c r="BC615" s="59">
        <f t="shared" si="575"/>
        <v>0</v>
      </c>
      <c r="BD615" s="60">
        <f t="shared" si="571"/>
        <v>0</v>
      </c>
      <c r="BE615" s="59">
        <f t="shared" si="572"/>
        <v>0</v>
      </c>
      <c r="BQ615" s="61">
        <v>3000</v>
      </c>
      <c r="BR615" s="61">
        <v>1200</v>
      </c>
      <c r="BS615" s="28">
        <f t="shared" si="539"/>
        <v>2980</v>
      </c>
      <c r="BT615" s="28">
        <f t="shared" si="540"/>
        <v>1180</v>
      </c>
      <c r="BU615" s="28" t="s">
        <v>2541</v>
      </c>
      <c r="BV615" s="28">
        <f t="shared" si="541"/>
        <v>5</v>
      </c>
      <c r="BW615" s="28">
        <f t="shared" si="542"/>
        <v>5</v>
      </c>
      <c r="BX615" s="13">
        <f t="shared" si="543"/>
        <v>596</v>
      </c>
      <c r="BY615" s="13">
        <f t="shared" si="544"/>
        <v>596</v>
      </c>
      <c r="BZ615" s="13">
        <f t="shared" si="545"/>
        <v>236</v>
      </c>
      <c r="CA615" s="13">
        <f t="shared" si="546"/>
        <v>236</v>
      </c>
      <c r="CB615" s="13">
        <f t="shared" si="547"/>
        <v>140656</v>
      </c>
      <c r="CC615" s="62" t="str">
        <f t="shared" si="548"/>
        <v/>
      </c>
      <c r="CD615" s="13">
        <f t="shared" si="549"/>
        <v>596</v>
      </c>
      <c r="CE615" s="13">
        <f t="shared" si="550"/>
        <v>596</v>
      </c>
      <c r="CF615" s="13">
        <f t="shared" si="551"/>
        <v>236</v>
      </c>
      <c r="CG615" s="13">
        <f t="shared" si="552"/>
        <v>236</v>
      </c>
      <c r="CH615" s="28">
        <f t="shared" si="553"/>
        <v>140656</v>
      </c>
      <c r="CI615" s="62" t="str">
        <f t="shared" si="554"/>
        <v/>
      </c>
      <c r="CJ615" s="59">
        <f t="shared" si="555"/>
        <v>0</v>
      </c>
      <c r="CL615" s="63">
        <v>6000</v>
      </c>
      <c r="CM615" s="63">
        <f t="shared" si="556"/>
        <v>0</v>
      </c>
      <c r="CN615" s="63">
        <f t="shared" si="557"/>
        <v>5</v>
      </c>
      <c r="CO615" s="63">
        <f t="shared" si="558"/>
        <v>1200</v>
      </c>
      <c r="CP615" s="13">
        <f t="shared" si="559"/>
        <v>1200</v>
      </c>
      <c r="CQ615" s="70">
        <f t="shared" si="560"/>
        <v>8.3333333333333339E-4</v>
      </c>
      <c r="CR615" s="69">
        <f t="shared" si="581"/>
        <v>8.3333333333333339E-4</v>
      </c>
    </row>
    <row r="616" spans="1:96" hidden="1" x14ac:dyDescent="0.25">
      <c r="A616" s="10">
        <v>3</v>
      </c>
      <c r="B616" s="8" t="s">
        <v>1496</v>
      </c>
      <c r="C616" s="10" t="s">
        <v>1497</v>
      </c>
      <c r="D616" s="10" t="s">
        <v>2270</v>
      </c>
      <c r="E616" s="10" t="s">
        <v>52</v>
      </c>
      <c r="F616" s="12">
        <f t="shared" si="529"/>
        <v>1</v>
      </c>
      <c r="G616" s="10">
        <v>1</v>
      </c>
      <c r="H616" s="10">
        <f>G616*$H$615</f>
        <v>1</v>
      </c>
      <c r="I616" s="10">
        <v>1</v>
      </c>
      <c r="J616" s="8" t="s">
        <v>512</v>
      </c>
      <c r="K616" s="8" t="s">
        <v>34</v>
      </c>
      <c r="L616" s="10">
        <v>0</v>
      </c>
      <c r="M616" s="8" t="s">
        <v>35</v>
      </c>
      <c r="N616" s="10" t="s">
        <v>1498</v>
      </c>
      <c r="O616" s="28" t="s">
        <v>41</v>
      </c>
      <c r="P616" s="28" t="s">
        <v>41</v>
      </c>
      <c r="Q616" s="28" t="s">
        <v>124</v>
      </c>
      <c r="R616" s="30">
        <v>19.823</v>
      </c>
      <c r="S616" s="30">
        <v>7.3650000000000002</v>
      </c>
      <c r="T616" s="30"/>
      <c r="U616" s="30">
        <v>9.8000000000000004E-2</v>
      </c>
      <c r="V616" s="8">
        <f t="shared" si="530"/>
        <v>503.50419999999997</v>
      </c>
      <c r="W616" s="8">
        <f t="shared" si="531"/>
        <v>187.071</v>
      </c>
      <c r="X616" s="8">
        <f t="shared" si="532"/>
        <v>0</v>
      </c>
      <c r="Y616" s="33">
        <f t="shared" si="533"/>
        <v>2.4891999999999999</v>
      </c>
      <c r="Z616" s="28" t="s">
        <v>56</v>
      </c>
      <c r="AA616" s="28" t="s">
        <v>57</v>
      </c>
      <c r="AB616" s="61" t="s">
        <v>124</v>
      </c>
      <c r="AC616" s="31" t="s">
        <v>125</v>
      </c>
      <c r="AD616" s="50">
        <f t="shared" si="534"/>
        <v>1</v>
      </c>
      <c r="AE616" s="31"/>
      <c r="AF616" s="51">
        <v>14</v>
      </c>
      <c r="AG616" s="51">
        <f t="shared" si="562"/>
        <v>8.4</v>
      </c>
      <c r="AH616" s="51">
        <f t="shared" si="528"/>
        <v>42</v>
      </c>
      <c r="AI616" s="52" t="s">
        <v>2497</v>
      </c>
      <c r="AJ616" s="52" t="s">
        <v>2498</v>
      </c>
      <c r="AK616" s="53">
        <f t="shared" si="563"/>
        <v>0.18838206839639998</v>
      </c>
      <c r="AL616" s="54">
        <f t="shared" si="564"/>
        <v>0.11904761904761904</v>
      </c>
      <c r="AM616" s="54">
        <f t="shared" si="565"/>
        <v>2.3809523809523808E-2</v>
      </c>
      <c r="AN616" s="55">
        <f t="shared" si="566"/>
        <v>2.2426436713857141E-2</v>
      </c>
      <c r="AO616" s="55">
        <f t="shared" si="567"/>
        <v>4.4852873427714277E-3</v>
      </c>
      <c r="AP616" s="53">
        <v>7.1</v>
      </c>
      <c r="AQ616" s="53">
        <f t="shared" si="535"/>
        <v>4.26</v>
      </c>
      <c r="AR616" s="53">
        <f t="shared" si="536"/>
        <v>21.299999999999997</v>
      </c>
      <c r="AS616" s="56">
        <f t="shared" si="537"/>
        <v>4.6948356807511742E-2</v>
      </c>
      <c r="AT616" s="56">
        <f t="shared" si="568"/>
        <v>0.23474178403755869</v>
      </c>
      <c r="AU616" s="56">
        <f t="shared" si="538"/>
        <v>0.176056338028169</v>
      </c>
      <c r="AV616" s="56">
        <f t="shared" si="569"/>
        <v>5.8685446009389672E-2</v>
      </c>
      <c r="AW616" s="57" t="s">
        <v>2511</v>
      </c>
      <c r="AX616" s="57" t="s">
        <v>2512</v>
      </c>
      <c r="AY616" s="57" t="s">
        <v>2513</v>
      </c>
      <c r="AZ616" s="58">
        <f t="shared" si="570"/>
        <v>0.18838206839639998</v>
      </c>
      <c r="BA616" s="59">
        <f t="shared" si="573"/>
        <v>5.5276428520070415E-3</v>
      </c>
      <c r="BB616" s="59">
        <f t="shared" si="574"/>
        <v>1.6582928556021125E-2</v>
      </c>
      <c r="BC616" s="59">
        <f t="shared" si="575"/>
        <v>4.4221142816056342E-3</v>
      </c>
      <c r="BD616" s="60">
        <f t="shared" si="571"/>
        <v>3.3333333333333333E-2</v>
      </c>
      <c r="BE616" s="59">
        <f t="shared" si="572"/>
        <v>3.3333333333333333E-2</v>
      </c>
      <c r="BQ616" s="61">
        <v>3000</v>
      </c>
      <c r="BR616" s="61">
        <v>1200</v>
      </c>
      <c r="BS616" s="28">
        <f t="shared" si="539"/>
        <v>2980</v>
      </c>
      <c r="BT616" s="28">
        <f t="shared" si="540"/>
        <v>1180</v>
      </c>
      <c r="BU616" s="28" t="s">
        <v>2541</v>
      </c>
      <c r="BV616" s="28">
        <f t="shared" si="541"/>
        <v>508.50419999999997</v>
      </c>
      <c r="BW616" s="28">
        <f t="shared" si="542"/>
        <v>192.071</v>
      </c>
      <c r="BX616" s="13">
        <f t="shared" si="543"/>
        <v>5.860325244117945</v>
      </c>
      <c r="BY616" s="13">
        <f t="shared" si="544"/>
        <v>5</v>
      </c>
      <c r="BZ616" s="13">
        <f t="shared" si="545"/>
        <v>6.1435614954886475</v>
      </c>
      <c r="CA616" s="13">
        <f t="shared" si="546"/>
        <v>6</v>
      </c>
      <c r="CB616" s="13">
        <f t="shared" si="547"/>
        <v>30</v>
      </c>
      <c r="CC616" s="62">
        <f t="shared" si="548"/>
        <v>3.3333333333333333E-2</v>
      </c>
      <c r="CD616" s="13">
        <f t="shared" si="549"/>
        <v>15.515095980132347</v>
      </c>
      <c r="CE616" s="13">
        <f t="shared" si="550"/>
        <v>15</v>
      </c>
      <c r="CF616" s="13">
        <f t="shared" si="551"/>
        <v>2.3205314725030788</v>
      </c>
      <c r="CG616" s="13">
        <f t="shared" si="552"/>
        <v>2</v>
      </c>
      <c r="CH616" s="28">
        <f t="shared" si="553"/>
        <v>30</v>
      </c>
      <c r="CI616" s="62">
        <f t="shared" si="554"/>
        <v>3.3333333333333333E-2</v>
      </c>
      <c r="CJ616" s="59">
        <f t="shared" si="555"/>
        <v>3.3333333333333333E-2</v>
      </c>
      <c r="CL616" s="63">
        <v>6000</v>
      </c>
      <c r="CM616" s="63">
        <f t="shared" si="556"/>
        <v>503.50419999999997</v>
      </c>
      <c r="CN616" s="63">
        <f t="shared" si="557"/>
        <v>508.50419999999997</v>
      </c>
      <c r="CO616" s="63">
        <f t="shared" si="558"/>
        <v>11.799312572049553</v>
      </c>
      <c r="CP616" s="13">
        <f t="shared" si="559"/>
        <v>11</v>
      </c>
      <c r="CQ616" s="70">
        <f t="shared" si="560"/>
        <v>9.0909090909090912E-2</v>
      </c>
      <c r="CR616" s="69">
        <f t="shared" si="581"/>
        <v>9.0909090909090912E-2</v>
      </c>
    </row>
    <row r="617" spans="1:96" hidden="1" x14ac:dyDescent="0.25">
      <c r="A617" s="10">
        <v>3</v>
      </c>
      <c r="B617" s="8" t="s">
        <v>1496</v>
      </c>
      <c r="C617" s="10" t="s">
        <v>1499</v>
      </c>
      <c r="D617" s="10" t="s">
        <v>1501</v>
      </c>
      <c r="E617" s="10" t="s">
        <v>52</v>
      </c>
      <c r="F617" s="12">
        <f t="shared" si="529"/>
        <v>1</v>
      </c>
      <c r="G617" s="10">
        <v>4</v>
      </c>
      <c r="H617" s="10">
        <f>G617*$H$615</f>
        <v>4</v>
      </c>
      <c r="I617" s="10">
        <v>2</v>
      </c>
      <c r="J617" s="8" t="s">
        <v>1500</v>
      </c>
      <c r="K617" s="8" t="s">
        <v>34</v>
      </c>
      <c r="L617" s="10" t="s">
        <v>223</v>
      </c>
      <c r="M617" s="8" t="s">
        <v>340</v>
      </c>
      <c r="N617" s="10" t="s">
        <v>1501</v>
      </c>
      <c r="O617" s="28" t="s">
        <v>41</v>
      </c>
      <c r="P617" s="28" t="s">
        <v>41</v>
      </c>
      <c r="Q617" s="28" t="s">
        <v>1501</v>
      </c>
      <c r="R617" s="30"/>
      <c r="S617" s="30"/>
      <c r="T617" s="30"/>
      <c r="U617" s="30"/>
      <c r="V617" s="8">
        <f t="shared" si="530"/>
        <v>0</v>
      </c>
      <c r="W617" s="8">
        <f t="shared" si="531"/>
        <v>0</v>
      </c>
      <c r="X617" s="8">
        <f t="shared" si="532"/>
        <v>0</v>
      </c>
      <c r="Y617" s="33">
        <f t="shared" si="533"/>
        <v>0</v>
      </c>
      <c r="Z617" s="28"/>
      <c r="AA617" s="28"/>
      <c r="AB617" s="61" t="s">
        <v>1501</v>
      </c>
      <c r="AC617" s="31" t="s">
        <v>1502</v>
      </c>
      <c r="AD617" s="50">
        <f t="shared" si="534"/>
        <v>4</v>
      </c>
      <c r="AE617" s="31"/>
      <c r="AF617" s="51">
        <v>14</v>
      </c>
      <c r="AG617" s="51">
        <f t="shared" si="562"/>
        <v>8.4</v>
      </c>
      <c r="AH617" s="51">
        <f t="shared" si="528"/>
        <v>42</v>
      </c>
      <c r="AI617" s="52" t="s">
        <v>2497</v>
      </c>
      <c r="AJ617" s="52" t="s">
        <v>2498</v>
      </c>
      <c r="AK617" s="53">
        <f t="shared" si="563"/>
        <v>0</v>
      </c>
      <c r="AL617" s="54">
        <f t="shared" si="564"/>
        <v>0.11904761904761904</v>
      </c>
      <c r="AM617" s="54">
        <f t="shared" si="565"/>
        <v>2.3809523809523808E-2</v>
      </c>
      <c r="AN617" s="55">
        <f t="shared" si="566"/>
        <v>0</v>
      </c>
      <c r="AO617" s="55">
        <f t="shared" si="567"/>
        <v>0</v>
      </c>
      <c r="AP617" s="53">
        <v>7.1</v>
      </c>
      <c r="AQ617" s="53">
        <f t="shared" si="535"/>
        <v>4.26</v>
      </c>
      <c r="AR617" s="53">
        <f t="shared" si="536"/>
        <v>21.299999999999997</v>
      </c>
      <c r="AS617" s="56">
        <f t="shared" si="537"/>
        <v>4.6948356807511742E-2</v>
      </c>
      <c r="AT617" s="56">
        <f t="shared" si="568"/>
        <v>0.23474178403755869</v>
      </c>
      <c r="AU617" s="56">
        <f t="shared" si="538"/>
        <v>0.176056338028169</v>
      </c>
      <c r="AV617" s="56">
        <f t="shared" si="569"/>
        <v>5.8685446009389672E-2</v>
      </c>
      <c r="AW617" s="57" t="s">
        <v>2511</v>
      </c>
      <c r="AX617" s="57" t="s">
        <v>2512</v>
      </c>
      <c r="AY617" s="57" t="s">
        <v>2513</v>
      </c>
      <c r="AZ617" s="58">
        <f t="shared" si="570"/>
        <v>0</v>
      </c>
      <c r="BA617" s="59">
        <f t="shared" si="573"/>
        <v>0</v>
      </c>
      <c r="BB617" s="59">
        <f t="shared" si="574"/>
        <v>0</v>
      </c>
      <c r="BC617" s="59">
        <f t="shared" si="575"/>
        <v>0</v>
      </c>
      <c r="BD617" s="60">
        <f t="shared" si="571"/>
        <v>7.1095438516664771E-6</v>
      </c>
      <c r="BE617" s="59">
        <f t="shared" si="572"/>
        <v>2.8438175406665908E-5</v>
      </c>
      <c r="BQ617" s="61">
        <v>3000</v>
      </c>
      <c r="BR617" s="61">
        <v>1200</v>
      </c>
      <c r="BS617" s="28">
        <f t="shared" si="539"/>
        <v>2980</v>
      </c>
      <c r="BT617" s="28">
        <f t="shared" si="540"/>
        <v>1180</v>
      </c>
      <c r="BU617" s="28" t="s">
        <v>2541</v>
      </c>
      <c r="BV617" s="28">
        <f t="shared" si="541"/>
        <v>5</v>
      </c>
      <c r="BW617" s="28">
        <f t="shared" si="542"/>
        <v>5</v>
      </c>
      <c r="BX617" s="13">
        <f t="shared" si="543"/>
        <v>596</v>
      </c>
      <c r="BY617" s="13">
        <f t="shared" si="544"/>
        <v>596</v>
      </c>
      <c r="BZ617" s="13">
        <f t="shared" si="545"/>
        <v>236</v>
      </c>
      <c r="CA617" s="13">
        <f t="shared" si="546"/>
        <v>236</v>
      </c>
      <c r="CB617" s="13">
        <f t="shared" si="547"/>
        <v>140656</v>
      </c>
      <c r="CC617" s="62">
        <f t="shared" si="548"/>
        <v>7.1095438516664771E-6</v>
      </c>
      <c r="CD617" s="13">
        <f t="shared" si="549"/>
        <v>596</v>
      </c>
      <c r="CE617" s="13">
        <f t="shared" si="550"/>
        <v>596</v>
      </c>
      <c r="CF617" s="13">
        <f t="shared" si="551"/>
        <v>236</v>
      </c>
      <c r="CG617" s="13">
        <f t="shared" si="552"/>
        <v>236</v>
      </c>
      <c r="CH617" s="28">
        <f t="shared" si="553"/>
        <v>140656</v>
      </c>
      <c r="CI617" s="62">
        <f t="shared" si="554"/>
        <v>7.1095438516664771E-6</v>
      </c>
      <c r="CJ617" s="59">
        <f t="shared" si="555"/>
        <v>7.1095438516664771E-6</v>
      </c>
      <c r="CL617" s="63">
        <v>6000</v>
      </c>
      <c r="CM617" s="63">
        <f t="shared" si="556"/>
        <v>0</v>
      </c>
      <c r="CN617" s="63">
        <f t="shared" si="557"/>
        <v>5</v>
      </c>
      <c r="CO617" s="63">
        <f t="shared" si="558"/>
        <v>1200</v>
      </c>
      <c r="CP617" s="13">
        <f t="shared" si="559"/>
        <v>1200</v>
      </c>
      <c r="CQ617" s="70">
        <f t="shared" si="560"/>
        <v>8.3333333333333339E-4</v>
      </c>
      <c r="CR617" s="69">
        <f t="shared" si="581"/>
        <v>3.3333333333333335E-3</v>
      </c>
    </row>
    <row r="618" spans="1:96" hidden="1" x14ac:dyDescent="0.25">
      <c r="A618" s="36">
        <v>2</v>
      </c>
      <c r="B618" s="37" t="s">
        <v>37</v>
      </c>
      <c r="C618" s="36" t="s">
        <v>1503</v>
      </c>
      <c r="D618" s="36" t="s">
        <v>2270</v>
      </c>
      <c r="E618" s="36" t="s">
        <v>32</v>
      </c>
      <c r="F618" s="38">
        <f t="shared" si="529"/>
        <v>1</v>
      </c>
      <c r="G618" s="36">
        <v>1</v>
      </c>
      <c r="H618" s="36">
        <f>G618*$H$3</f>
        <v>1</v>
      </c>
      <c r="I618" s="36">
        <v>47</v>
      </c>
      <c r="J618" s="37" t="s">
        <v>1504</v>
      </c>
      <c r="K618" s="37" t="s">
        <v>34</v>
      </c>
      <c r="L618" s="36" t="s">
        <v>110</v>
      </c>
      <c r="M618" s="37" t="s">
        <v>35</v>
      </c>
      <c r="N618" s="36" t="s">
        <v>1505</v>
      </c>
      <c r="O618" s="28" t="s">
        <v>41</v>
      </c>
      <c r="P618" s="28" t="s">
        <v>41</v>
      </c>
      <c r="Q618" s="28"/>
      <c r="R618" s="30"/>
      <c r="S618" s="30"/>
      <c r="T618" s="30"/>
      <c r="U618" s="30"/>
      <c r="V618" s="8">
        <f t="shared" si="530"/>
        <v>0</v>
      </c>
      <c r="W618" s="8">
        <f t="shared" si="531"/>
        <v>0</v>
      </c>
      <c r="X618" s="8">
        <f t="shared" si="532"/>
        <v>0</v>
      </c>
      <c r="Y618" s="33">
        <f t="shared" si="533"/>
        <v>0</v>
      </c>
      <c r="Z618" s="28"/>
      <c r="AA618" s="28"/>
      <c r="AB618" s="28">
        <v>0</v>
      </c>
      <c r="AC618" s="31"/>
      <c r="AD618" s="50">
        <f t="shared" si="534"/>
        <v>1</v>
      </c>
      <c r="AE618" s="31"/>
      <c r="AF618" s="51">
        <v>14</v>
      </c>
      <c r="AG618" s="51">
        <f t="shared" si="562"/>
        <v>8.4</v>
      </c>
      <c r="AH618" s="51">
        <f t="shared" si="528"/>
        <v>42</v>
      </c>
      <c r="AI618" s="52" t="s">
        <v>2497</v>
      </c>
      <c r="AJ618" s="52" t="s">
        <v>2498</v>
      </c>
      <c r="AK618" s="53">
        <f t="shared" si="563"/>
        <v>0</v>
      </c>
      <c r="AL618" s="54">
        <f t="shared" si="564"/>
        <v>0.11904761904761904</v>
      </c>
      <c r="AM618" s="54">
        <f t="shared" si="565"/>
        <v>2.3809523809523808E-2</v>
      </c>
      <c r="AN618" s="55">
        <f t="shared" si="566"/>
        <v>0</v>
      </c>
      <c r="AO618" s="55">
        <f t="shared" si="567"/>
        <v>0</v>
      </c>
      <c r="AP618" s="53">
        <v>7.1</v>
      </c>
      <c r="AQ618" s="53">
        <f t="shared" si="535"/>
        <v>4.26</v>
      </c>
      <c r="AR618" s="53">
        <f t="shared" si="536"/>
        <v>21.299999999999997</v>
      </c>
      <c r="AS618" s="56">
        <f t="shared" si="537"/>
        <v>4.6948356807511742E-2</v>
      </c>
      <c r="AT618" s="56">
        <f t="shared" si="568"/>
        <v>0.23474178403755869</v>
      </c>
      <c r="AU618" s="56">
        <f t="shared" si="538"/>
        <v>0.176056338028169</v>
      </c>
      <c r="AV618" s="56">
        <f t="shared" si="569"/>
        <v>5.8685446009389672E-2</v>
      </c>
      <c r="AW618" s="57" t="s">
        <v>2511</v>
      </c>
      <c r="AX618" s="57" t="s">
        <v>2512</v>
      </c>
      <c r="AY618" s="57" t="s">
        <v>2513</v>
      </c>
      <c r="AZ618" s="58">
        <f t="shared" si="570"/>
        <v>0</v>
      </c>
      <c r="BA618" s="59">
        <f t="shared" si="573"/>
        <v>0</v>
      </c>
      <c r="BB618" s="59">
        <f t="shared" si="574"/>
        <v>0</v>
      </c>
      <c r="BC618" s="59">
        <f t="shared" si="575"/>
        <v>0</v>
      </c>
      <c r="BD618" s="60">
        <f t="shared" si="571"/>
        <v>0</v>
      </c>
      <c r="BE618" s="59">
        <f t="shared" si="572"/>
        <v>0</v>
      </c>
      <c r="BQ618" s="61">
        <v>3000</v>
      </c>
      <c r="BR618" s="61">
        <v>1200</v>
      </c>
      <c r="BS618" s="28">
        <f t="shared" si="539"/>
        <v>2980</v>
      </c>
      <c r="BT618" s="28">
        <f t="shared" si="540"/>
        <v>1180</v>
      </c>
      <c r="BU618" s="28" t="s">
        <v>2541</v>
      </c>
      <c r="BV618" s="28">
        <f t="shared" si="541"/>
        <v>5</v>
      </c>
      <c r="BW618" s="28">
        <f t="shared" si="542"/>
        <v>5</v>
      </c>
      <c r="BX618" s="13">
        <f t="shared" si="543"/>
        <v>596</v>
      </c>
      <c r="BY618" s="13">
        <f t="shared" si="544"/>
        <v>596</v>
      </c>
      <c r="BZ618" s="13">
        <f t="shared" si="545"/>
        <v>236</v>
      </c>
      <c r="CA618" s="13">
        <f t="shared" si="546"/>
        <v>236</v>
      </c>
      <c r="CB618" s="13">
        <f t="shared" si="547"/>
        <v>140656</v>
      </c>
      <c r="CC618" s="62" t="str">
        <f t="shared" si="548"/>
        <v/>
      </c>
      <c r="CD618" s="13">
        <f t="shared" si="549"/>
        <v>596</v>
      </c>
      <c r="CE618" s="13">
        <f t="shared" si="550"/>
        <v>596</v>
      </c>
      <c r="CF618" s="13">
        <f t="shared" si="551"/>
        <v>236</v>
      </c>
      <c r="CG618" s="13">
        <f t="shared" si="552"/>
        <v>236</v>
      </c>
      <c r="CH618" s="28">
        <f t="shared" si="553"/>
        <v>140656</v>
      </c>
      <c r="CI618" s="62" t="str">
        <f t="shared" si="554"/>
        <v/>
      </c>
      <c r="CJ618" s="59">
        <f t="shared" si="555"/>
        <v>0</v>
      </c>
      <c r="CL618" s="63">
        <v>6000</v>
      </c>
      <c r="CM618" s="63">
        <f t="shared" si="556"/>
        <v>0</v>
      </c>
      <c r="CN618" s="63">
        <f t="shared" si="557"/>
        <v>5</v>
      </c>
      <c r="CO618" s="63">
        <f t="shared" si="558"/>
        <v>1200</v>
      </c>
      <c r="CP618" s="13">
        <f t="shared" si="559"/>
        <v>1200</v>
      </c>
      <c r="CQ618" s="70">
        <f t="shared" si="560"/>
        <v>8.3333333333333339E-4</v>
      </c>
      <c r="CR618" s="69">
        <f t="shared" si="581"/>
        <v>8.3333333333333339E-4</v>
      </c>
    </row>
    <row r="619" spans="1:96" hidden="1" x14ac:dyDescent="0.25">
      <c r="A619" s="10">
        <v>3</v>
      </c>
      <c r="B619" s="8" t="s">
        <v>1506</v>
      </c>
      <c r="C619" s="10" t="s">
        <v>1507</v>
      </c>
      <c r="D619" s="10" t="s">
        <v>2270</v>
      </c>
      <c r="E619" s="10" t="s">
        <v>52</v>
      </c>
      <c r="F619" s="12">
        <f t="shared" si="529"/>
        <v>1</v>
      </c>
      <c r="G619" s="10">
        <v>2</v>
      </c>
      <c r="H619" s="10">
        <f>G619*$H$618</f>
        <v>2</v>
      </c>
      <c r="I619" s="10">
        <v>1</v>
      </c>
      <c r="J619" s="8" t="s">
        <v>1504</v>
      </c>
      <c r="K619" s="8" t="s">
        <v>34</v>
      </c>
      <c r="L619" s="10" t="s">
        <v>110</v>
      </c>
      <c r="M619" s="8" t="s">
        <v>35</v>
      </c>
      <c r="N619" s="10" t="s">
        <v>1508</v>
      </c>
      <c r="O619" s="28" t="s">
        <v>41</v>
      </c>
      <c r="P619" s="28" t="s">
        <v>41</v>
      </c>
      <c r="Q619" s="28" t="s">
        <v>249</v>
      </c>
      <c r="R619" s="30">
        <v>8.2319999999999993</v>
      </c>
      <c r="S619" s="30">
        <v>1.91</v>
      </c>
      <c r="T619" s="30"/>
      <c r="U619" s="30">
        <v>0.19700000000000001</v>
      </c>
      <c r="V619" s="8">
        <f t="shared" si="530"/>
        <v>209.09279999999998</v>
      </c>
      <c r="W619" s="8">
        <f t="shared" si="531"/>
        <v>48.513999999999996</v>
      </c>
      <c r="X619" s="8">
        <f t="shared" si="532"/>
        <v>0</v>
      </c>
      <c r="Y619" s="33">
        <f t="shared" si="533"/>
        <v>5.0038</v>
      </c>
      <c r="Z619" s="28" t="s">
        <v>250</v>
      </c>
      <c r="AA619" s="28" t="s">
        <v>251</v>
      </c>
      <c r="AB619" s="61" t="s">
        <v>249</v>
      </c>
      <c r="AC619" s="31" t="s">
        <v>252</v>
      </c>
      <c r="AD619" s="50">
        <f t="shared" si="534"/>
        <v>2</v>
      </c>
      <c r="AE619" s="31"/>
      <c r="AF619" s="51">
        <v>14</v>
      </c>
      <c r="AG619" s="51">
        <f t="shared" si="562"/>
        <v>8.4</v>
      </c>
      <c r="AH619" s="51">
        <f t="shared" si="528"/>
        <v>42</v>
      </c>
      <c r="AI619" s="52" t="s">
        <v>2497</v>
      </c>
      <c r="AJ619" s="52" t="s">
        <v>2498</v>
      </c>
      <c r="AK619" s="53">
        <f t="shared" si="563"/>
        <v>2.0287856198399998E-2</v>
      </c>
      <c r="AL619" s="54">
        <f t="shared" si="564"/>
        <v>0.11904761904761904</v>
      </c>
      <c r="AM619" s="54">
        <f t="shared" si="565"/>
        <v>2.3809523809523808E-2</v>
      </c>
      <c r="AN619" s="55">
        <f t="shared" si="566"/>
        <v>4.8304419519999992E-3</v>
      </c>
      <c r="AO619" s="55">
        <f t="shared" si="567"/>
        <v>9.660883903999998E-4</v>
      </c>
      <c r="AP619" s="53">
        <v>7.1</v>
      </c>
      <c r="AQ619" s="53">
        <f t="shared" si="535"/>
        <v>4.26</v>
      </c>
      <c r="AR619" s="53">
        <f t="shared" si="536"/>
        <v>21.299999999999997</v>
      </c>
      <c r="AS619" s="56">
        <f t="shared" si="537"/>
        <v>4.6948356807511742E-2</v>
      </c>
      <c r="AT619" s="56">
        <f t="shared" si="568"/>
        <v>0.23474178403755869</v>
      </c>
      <c r="AU619" s="56">
        <f t="shared" si="538"/>
        <v>0.176056338028169</v>
      </c>
      <c r="AV619" s="56">
        <f t="shared" si="569"/>
        <v>5.8685446009389672E-2</v>
      </c>
      <c r="AW619" s="57" t="s">
        <v>2511</v>
      </c>
      <c r="AX619" s="57" t="s">
        <v>2512</v>
      </c>
      <c r="AY619" s="57" t="s">
        <v>2513</v>
      </c>
      <c r="AZ619" s="58">
        <f t="shared" si="570"/>
        <v>2.0287856198399998E-2</v>
      </c>
      <c r="BA619" s="59">
        <f t="shared" si="573"/>
        <v>1.1906018895774648E-3</v>
      </c>
      <c r="BB619" s="59">
        <f t="shared" si="574"/>
        <v>3.5718056687323936E-3</v>
      </c>
      <c r="BC619" s="59">
        <f t="shared" si="575"/>
        <v>9.5248151166197183E-4</v>
      </c>
      <c r="BD619" s="60">
        <f t="shared" si="571"/>
        <v>3.4965034965034965E-3</v>
      </c>
      <c r="BE619" s="59">
        <f t="shared" si="572"/>
        <v>6.993006993006993E-3</v>
      </c>
      <c r="BQ619" s="61">
        <v>3000</v>
      </c>
      <c r="BR619" s="61">
        <v>1200</v>
      </c>
      <c r="BS619" s="28">
        <f t="shared" si="539"/>
        <v>2980</v>
      </c>
      <c r="BT619" s="28">
        <f t="shared" si="540"/>
        <v>1180</v>
      </c>
      <c r="BU619" s="28" t="s">
        <v>2541</v>
      </c>
      <c r="BV619" s="28">
        <f t="shared" si="541"/>
        <v>214.09279999999998</v>
      </c>
      <c r="BW619" s="28">
        <f t="shared" si="542"/>
        <v>53.513999999999996</v>
      </c>
      <c r="BX619" s="13">
        <f t="shared" si="543"/>
        <v>13.919197656343419</v>
      </c>
      <c r="BY619" s="13">
        <f t="shared" si="544"/>
        <v>13</v>
      </c>
      <c r="BZ619" s="13">
        <f t="shared" si="545"/>
        <v>22.050304593190567</v>
      </c>
      <c r="CA619" s="13">
        <f t="shared" si="546"/>
        <v>22</v>
      </c>
      <c r="CB619" s="13">
        <f t="shared" si="547"/>
        <v>286</v>
      </c>
      <c r="CC619" s="62">
        <f t="shared" si="548"/>
        <v>3.4965034965034965E-3</v>
      </c>
      <c r="CD619" s="13">
        <f t="shared" si="549"/>
        <v>55.68636244721008</v>
      </c>
      <c r="CE619" s="13">
        <f t="shared" si="550"/>
        <v>55</v>
      </c>
      <c r="CF619" s="13">
        <f t="shared" si="551"/>
        <v>5.5116286021762528</v>
      </c>
      <c r="CG619" s="13">
        <f t="shared" si="552"/>
        <v>5</v>
      </c>
      <c r="CH619" s="28">
        <f t="shared" si="553"/>
        <v>275</v>
      </c>
      <c r="CI619" s="62">
        <f t="shared" si="554"/>
        <v>3.6363636363636364E-3</v>
      </c>
      <c r="CJ619" s="59">
        <f t="shared" si="555"/>
        <v>3.4965034965034965E-3</v>
      </c>
      <c r="CL619" s="63">
        <v>6000</v>
      </c>
      <c r="CM619" s="63">
        <f t="shared" si="556"/>
        <v>209.09279999999998</v>
      </c>
      <c r="CN619" s="63">
        <f t="shared" si="557"/>
        <v>214.09279999999998</v>
      </c>
      <c r="CO619" s="63">
        <f t="shared" si="558"/>
        <v>28.025230180557219</v>
      </c>
      <c r="CP619" s="13">
        <f t="shared" si="559"/>
        <v>28</v>
      </c>
      <c r="CQ619" s="70">
        <f t="shared" si="560"/>
        <v>3.5714285714285712E-2</v>
      </c>
      <c r="CR619" s="69">
        <f t="shared" si="581"/>
        <v>7.1428571428571425E-2</v>
      </c>
    </row>
    <row r="620" spans="1:96" hidden="1" x14ac:dyDescent="0.25">
      <c r="A620" s="36">
        <v>2</v>
      </c>
      <c r="B620" s="37" t="s">
        <v>37</v>
      </c>
      <c r="C620" s="36" t="s">
        <v>1509</v>
      </c>
      <c r="D620" s="36" t="s">
        <v>1510</v>
      </c>
      <c r="E620" s="36" t="s">
        <v>52</v>
      </c>
      <c r="F620" s="38">
        <f t="shared" si="529"/>
        <v>1</v>
      </c>
      <c r="G620" s="36">
        <v>1</v>
      </c>
      <c r="H620" s="36">
        <f t="shared" ref="H620:H631" si="582">G620*$H$3</f>
        <v>1</v>
      </c>
      <c r="I620" s="36">
        <v>49</v>
      </c>
      <c r="J620" s="37" t="s">
        <v>244</v>
      </c>
      <c r="K620" s="37" t="s">
        <v>34</v>
      </c>
      <c r="L620" s="36">
        <v>0</v>
      </c>
      <c r="M620" s="37" t="s">
        <v>35</v>
      </c>
      <c r="N620" s="36" t="s">
        <v>1510</v>
      </c>
      <c r="O620" s="28" t="s">
        <v>41</v>
      </c>
      <c r="P620" s="28" t="s">
        <v>41</v>
      </c>
      <c r="Q620" s="28" t="s">
        <v>79</v>
      </c>
      <c r="R620" s="30">
        <v>10</v>
      </c>
      <c r="S620" s="30">
        <v>0.3125</v>
      </c>
      <c r="T620" s="30"/>
      <c r="U620" s="30">
        <v>0.3125</v>
      </c>
      <c r="V620" s="8">
        <f t="shared" si="530"/>
        <v>254</v>
      </c>
      <c r="W620" s="8">
        <f t="shared" si="531"/>
        <v>7.9375</v>
      </c>
      <c r="X620" s="8">
        <f t="shared" si="532"/>
        <v>0</v>
      </c>
      <c r="Y620" s="33">
        <f t="shared" si="533"/>
        <v>7.9375</v>
      </c>
      <c r="Z620" s="28" t="s">
        <v>80</v>
      </c>
      <c r="AA620" s="28" t="s">
        <v>81</v>
      </c>
      <c r="AB620" s="61" t="s">
        <v>79</v>
      </c>
      <c r="AC620" s="31" t="s">
        <v>82</v>
      </c>
      <c r="AD620" s="50">
        <f t="shared" si="534"/>
        <v>1</v>
      </c>
      <c r="AE620" s="31"/>
      <c r="AF620" s="51">
        <v>14</v>
      </c>
      <c r="AG620" s="51">
        <f t="shared" si="562"/>
        <v>8.4</v>
      </c>
      <c r="AH620" s="51">
        <f t="shared" si="528"/>
        <v>42</v>
      </c>
      <c r="AI620" s="52" t="s">
        <v>2497</v>
      </c>
      <c r="AJ620" s="52" t="s">
        <v>2498</v>
      </c>
      <c r="AK620" s="53">
        <f t="shared" si="563"/>
        <v>4.0322500000000002E-3</v>
      </c>
      <c r="AL620" s="54">
        <f t="shared" si="564"/>
        <v>0.11904761904761904</v>
      </c>
      <c r="AM620" s="54">
        <f t="shared" si="565"/>
        <v>2.3809523809523808E-2</v>
      </c>
      <c r="AN620" s="55">
        <f t="shared" si="566"/>
        <v>4.8002976190476192E-4</v>
      </c>
      <c r="AO620" s="55">
        <f t="shared" si="567"/>
        <v>9.6005952380952381E-5</v>
      </c>
      <c r="AP620" s="53">
        <v>7.1</v>
      </c>
      <c r="AQ620" s="53">
        <f t="shared" si="535"/>
        <v>4.26</v>
      </c>
      <c r="AR620" s="53">
        <f t="shared" si="536"/>
        <v>21.299999999999997</v>
      </c>
      <c r="AS620" s="56">
        <f t="shared" si="537"/>
        <v>4.6948356807511742E-2</v>
      </c>
      <c r="AT620" s="56">
        <f t="shared" si="568"/>
        <v>0.23474178403755869</v>
      </c>
      <c r="AU620" s="56">
        <f t="shared" si="538"/>
        <v>0.176056338028169</v>
      </c>
      <c r="AV620" s="56">
        <f t="shared" si="569"/>
        <v>5.8685446009389672E-2</v>
      </c>
      <c r="AW620" s="57" t="s">
        <v>2511</v>
      </c>
      <c r="AX620" s="57" t="s">
        <v>2512</v>
      </c>
      <c r="AY620" s="57" t="s">
        <v>2513</v>
      </c>
      <c r="AZ620" s="58">
        <f t="shared" si="570"/>
        <v>4.0322500000000002E-3</v>
      </c>
      <c r="BA620" s="59">
        <f t="shared" si="573"/>
        <v>1.1831719483568076E-4</v>
      </c>
      <c r="BB620" s="59">
        <f t="shared" si="574"/>
        <v>3.5495158450704227E-4</v>
      </c>
      <c r="BC620" s="59">
        <f t="shared" si="575"/>
        <v>9.4653755868544611E-5</v>
      </c>
      <c r="BD620" s="60">
        <f t="shared" si="571"/>
        <v>9.99000999000999E-4</v>
      </c>
      <c r="BE620" s="59">
        <f t="shared" si="572"/>
        <v>9.99000999000999E-4</v>
      </c>
      <c r="BQ620" s="61">
        <v>3000</v>
      </c>
      <c r="BR620" s="61">
        <v>1200</v>
      </c>
      <c r="BS620" s="28">
        <f t="shared" si="539"/>
        <v>2980</v>
      </c>
      <c r="BT620" s="28">
        <f t="shared" si="540"/>
        <v>1180</v>
      </c>
      <c r="BU620" s="28" t="s">
        <v>2541</v>
      </c>
      <c r="BV620" s="28">
        <f t="shared" si="541"/>
        <v>259</v>
      </c>
      <c r="BW620" s="28">
        <f t="shared" si="542"/>
        <v>12.9375</v>
      </c>
      <c r="BX620" s="13">
        <f t="shared" si="543"/>
        <v>11.505791505791505</v>
      </c>
      <c r="BY620" s="13">
        <f t="shared" si="544"/>
        <v>11</v>
      </c>
      <c r="BZ620" s="13">
        <f t="shared" si="545"/>
        <v>91.207729468599027</v>
      </c>
      <c r="CA620" s="13">
        <f t="shared" si="546"/>
        <v>91</v>
      </c>
      <c r="CB620" s="13">
        <f t="shared" si="547"/>
        <v>1001</v>
      </c>
      <c r="CC620" s="62">
        <f t="shared" si="548"/>
        <v>9.99000999000999E-4</v>
      </c>
      <c r="CD620" s="13">
        <f t="shared" si="549"/>
        <v>230.33816425120773</v>
      </c>
      <c r="CE620" s="13">
        <f t="shared" si="550"/>
        <v>230</v>
      </c>
      <c r="CF620" s="13">
        <f t="shared" si="551"/>
        <v>4.5559845559845558</v>
      </c>
      <c r="CG620" s="13">
        <f t="shared" si="552"/>
        <v>4</v>
      </c>
      <c r="CH620" s="28">
        <f t="shared" si="553"/>
        <v>920</v>
      </c>
      <c r="CI620" s="62">
        <f t="shared" si="554"/>
        <v>1.0869565217391304E-3</v>
      </c>
      <c r="CJ620" s="59">
        <f t="shared" si="555"/>
        <v>9.99000999000999E-4</v>
      </c>
      <c r="CL620" s="63">
        <v>6000</v>
      </c>
      <c r="CM620" s="63">
        <f t="shared" si="556"/>
        <v>254</v>
      </c>
      <c r="CN620" s="63">
        <f t="shared" si="557"/>
        <v>259</v>
      </c>
      <c r="CO620" s="63">
        <f t="shared" si="558"/>
        <v>23.166023166023166</v>
      </c>
      <c r="CP620" s="13">
        <f t="shared" si="559"/>
        <v>23</v>
      </c>
      <c r="CQ620" s="70">
        <f t="shared" si="560"/>
        <v>4.3478260869565216E-2</v>
      </c>
      <c r="CR620" s="69">
        <f t="shared" si="581"/>
        <v>4.3478260869565216E-2</v>
      </c>
    </row>
    <row r="621" spans="1:96" hidden="1" x14ac:dyDescent="0.25">
      <c r="A621" s="36">
        <v>2</v>
      </c>
      <c r="B621" s="37" t="s">
        <v>37</v>
      </c>
      <c r="C621" s="36" t="s">
        <v>1511</v>
      </c>
      <c r="D621" s="36" t="s">
        <v>2270</v>
      </c>
      <c r="E621" s="36" t="s">
        <v>52</v>
      </c>
      <c r="F621" s="38">
        <f t="shared" si="529"/>
        <v>1</v>
      </c>
      <c r="G621" s="36">
        <v>1</v>
      </c>
      <c r="H621" s="36">
        <f t="shared" si="582"/>
        <v>1</v>
      </c>
      <c r="I621" s="36">
        <v>50</v>
      </c>
      <c r="J621" s="37" t="s">
        <v>277</v>
      </c>
      <c r="K621" s="37" t="s">
        <v>34</v>
      </c>
      <c r="L621" s="36">
        <v>0</v>
      </c>
      <c r="M621" s="37" t="s">
        <v>35</v>
      </c>
      <c r="N621" s="36" t="s">
        <v>1512</v>
      </c>
      <c r="O621" s="28" t="s">
        <v>41</v>
      </c>
      <c r="P621" s="28" t="s">
        <v>41</v>
      </c>
      <c r="Q621" s="28" t="s">
        <v>116</v>
      </c>
      <c r="R621" s="30">
        <v>19.82</v>
      </c>
      <c r="S621" s="30">
        <v>3.335</v>
      </c>
      <c r="T621" s="30"/>
      <c r="U621" s="30">
        <v>0.11799999999999999</v>
      </c>
      <c r="V621" s="8">
        <f t="shared" si="530"/>
        <v>503.428</v>
      </c>
      <c r="W621" s="8">
        <f t="shared" si="531"/>
        <v>84.708999999999989</v>
      </c>
      <c r="X621" s="8">
        <f t="shared" si="532"/>
        <v>0</v>
      </c>
      <c r="Y621" s="33">
        <f t="shared" si="533"/>
        <v>2.9971999999999999</v>
      </c>
      <c r="Z621" s="28" t="s">
        <v>56</v>
      </c>
      <c r="AA621" s="28" t="s">
        <v>57</v>
      </c>
      <c r="AB621" s="28" t="s">
        <v>116</v>
      </c>
      <c r="AC621" s="31" t="s">
        <v>117</v>
      </c>
      <c r="AD621" s="50">
        <f t="shared" si="534"/>
        <v>1</v>
      </c>
      <c r="AE621" s="31"/>
      <c r="AF621" s="51">
        <v>14</v>
      </c>
      <c r="AG621" s="51">
        <f t="shared" si="562"/>
        <v>8.4</v>
      </c>
      <c r="AH621" s="51">
        <f t="shared" si="528"/>
        <v>42</v>
      </c>
      <c r="AI621" s="52" t="s">
        <v>2497</v>
      </c>
      <c r="AJ621" s="52" t="s">
        <v>2498</v>
      </c>
      <c r="AK621" s="53">
        <f t="shared" si="563"/>
        <v>8.5289764903999976E-2</v>
      </c>
      <c r="AL621" s="54">
        <f t="shared" si="564"/>
        <v>0.11904761904761904</v>
      </c>
      <c r="AM621" s="54">
        <f t="shared" si="565"/>
        <v>2.3809523809523808E-2</v>
      </c>
      <c r="AN621" s="55">
        <f t="shared" si="566"/>
        <v>1.0153543440952378E-2</v>
      </c>
      <c r="AO621" s="55">
        <f t="shared" si="567"/>
        <v>2.0307086881904755E-3</v>
      </c>
      <c r="AP621" s="53">
        <v>7.1</v>
      </c>
      <c r="AQ621" s="53">
        <f t="shared" si="535"/>
        <v>4.26</v>
      </c>
      <c r="AR621" s="53">
        <f t="shared" si="536"/>
        <v>21.299999999999997</v>
      </c>
      <c r="AS621" s="56">
        <f t="shared" si="537"/>
        <v>4.6948356807511742E-2</v>
      </c>
      <c r="AT621" s="56">
        <f t="shared" si="568"/>
        <v>0.23474178403755869</v>
      </c>
      <c r="AU621" s="56">
        <f t="shared" si="538"/>
        <v>0.176056338028169</v>
      </c>
      <c r="AV621" s="56">
        <f t="shared" si="569"/>
        <v>5.8685446009389672E-2</v>
      </c>
      <c r="AW621" s="57" t="s">
        <v>2511</v>
      </c>
      <c r="AX621" s="57" t="s">
        <v>2512</v>
      </c>
      <c r="AY621" s="57" t="s">
        <v>2513</v>
      </c>
      <c r="AZ621" s="58">
        <f t="shared" si="570"/>
        <v>8.5289764903999976E-2</v>
      </c>
      <c r="BA621" s="59">
        <f t="shared" si="573"/>
        <v>2.5026339467136144E-3</v>
      </c>
      <c r="BB621" s="59">
        <f t="shared" si="574"/>
        <v>7.5079018401408423E-3</v>
      </c>
      <c r="BC621" s="59">
        <f t="shared" si="575"/>
        <v>2.0021071573708919E-3</v>
      </c>
      <c r="BD621" s="60">
        <f t="shared" si="571"/>
        <v>1.5151515151515152E-2</v>
      </c>
      <c r="BE621" s="59">
        <f t="shared" si="572"/>
        <v>1.5151515151515152E-2</v>
      </c>
      <c r="BQ621" s="61">
        <v>3000</v>
      </c>
      <c r="BR621" s="61">
        <v>1200</v>
      </c>
      <c r="BS621" s="28">
        <f t="shared" si="539"/>
        <v>2980</v>
      </c>
      <c r="BT621" s="28">
        <f t="shared" si="540"/>
        <v>1180</v>
      </c>
      <c r="BU621" s="28" t="s">
        <v>2541</v>
      </c>
      <c r="BV621" s="28">
        <f t="shared" si="541"/>
        <v>508.428</v>
      </c>
      <c r="BW621" s="28">
        <f t="shared" si="542"/>
        <v>89.708999999999989</v>
      </c>
      <c r="BX621" s="13">
        <f t="shared" si="543"/>
        <v>5.8612035529121131</v>
      </c>
      <c r="BY621" s="13">
        <f t="shared" si="544"/>
        <v>5</v>
      </c>
      <c r="BZ621" s="13">
        <f t="shared" si="545"/>
        <v>13.153641217715059</v>
      </c>
      <c r="CA621" s="13">
        <f t="shared" si="546"/>
        <v>13</v>
      </c>
      <c r="CB621" s="13">
        <f t="shared" si="547"/>
        <v>65</v>
      </c>
      <c r="CC621" s="62">
        <f t="shared" si="548"/>
        <v>1.5384615384615385E-2</v>
      </c>
      <c r="CD621" s="13">
        <f t="shared" si="549"/>
        <v>33.218517651517686</v>
      </c>
      <c r="CE621" s="13">
        <f t="shared" si="550"/>
        <v>33</v>
      </c>
      <c r="CF621" s="13">
        <f t="shared" si="551"/>
        <v>2.3208792592068099</v>
      </c>
      <c r="CG621" s="13">
        <f t="shared" si="552"/>
        <v>2</v>
      </c>
      <c r="CH621" s="28">
        <f t="shared" si="553"/>
        <v>66</v>
      </c>
      <c r="CI621" s="62">
        <f t="shared" si="554"/>
        <v>1.5151515151515152E-2</v>
      </c>
      <c r="CJ621" s="59">
        <f t="shared" si="555"/>
        <v>1.5151515151515152E-2</v>
      </c>
      <c r="CL621" s="63">
        <v>6000</v>
      </c>
      <c r="CM621" s="63">
        <f t="shared" si="556"/>
        <v>503.428</v>
      </c>
      <c r="CN621" s="63">
        <f t="shared" si="557"/>
        <v>508.428</v>
      </c>
      <c r="CO621" s="63">
        <f t="shared" si="558"/>
        <v>11.801080979017678</v>
      </c>
      <c r="CP621" s="13">
        <f t="shared" si="559"/>
        <v>11</v>
      </c>
      <c r="CQ621" s="70">
        <f t="shared" si="560"/>
        <v>9.0909090909090912E-2</v>
      </c>
      <c r="CR621" s="69">
        <f t="shared" si="581"/>
        <v>9.0909090909090912E-2</v>
      </c>
    </row>
    <row r="622" spans="1:96" hidden="1" x14ac:dyDescent="0.25">
      <c r="A622" s="36">
        <v>2</v>
      </c>
      <c r="B622" s="37" t="s">
        <v>37</v>
      </c>
      <c r="C622" s="36" t="s">
        <v>1513</v>
      </c>
      <c r="D622" s="36" t="s">
        <v>2270</v>
      </c>
      <c r="E622" s="36" t="s">
        <v>52</v>
      </c>
      <c r="F622" s="38">
        <f t="shared" si="529"/>
        <v>1</v>
      </c>
      <c r="G622" s="36">
        <v>8</v>
      </c>
      <c r="H622" s="36">
        <f t="shared" si="582"/>
        <v>8</v>
      </c>
      <c r="I622" s="36">
        <v>51</v>
      </c>
      <c r="J622" s="37" t="s">
        <v>119</v>
      </c>
      <c r="K622" s="37" t="s">
        <v>34</v>
      </c>
      <c r="L622" s="36">
        <v>0</v>
      </c>
      <c r="M622" s="37" t="s">
        <v>35</v>
      </c>
      <c r="N622" s="36" t="s">
        <v>1514</v>
      </c>
      <c r="O622" s="28" t="s">
        <v>41</v>
      </c>
      <c r="P622" s="28" t="s">
        <v>41</v>
      </c>
      <c r="Q622" s="28" t="s">
        <v>116</v>
      </c>
      <c r="R622" s="30">
        <v>6.76</v>
      </c>
      <c r="S622" s="30">
        <v>2.1869999999999998</v>
      </c>
      <c r="T622" s="30"/>
      <c r="U622" s="30">
        <v>0.11799999999999999</v>
      </c>
      <c r="V622" s="8">
        <f t="shared" si="530"/>
        <v>171.70399999999998</v>
      </c>
      <c r="W622" s="8">
        <f t="shared" si="531"/>
        <v>55.549799999999991</v>
      </c>
      <c r="X622" s="8">
        <f t="shared" si="532"/>
        <v>0</v>
      </c>
      <c r="Y622" s="33">
        <f t="shared" si="533"/>
        <v>2.9971999999999999</v>
      </c>
      <c r="Z622" s="28" t="s">
        <v>56</v>
      </c>
      <c r="AA622" s="28" t="s">
        <v>57</v>
      </c>
      <c r="AB622" s="28" t="s">
        <v>116</v>
      </c>
      <c r="AC622" s="31" t="s">
        <v>117</v>
      </c>
      <c r="AD622" s="50">
        <f t="shared" si="534"/>
        <v>8</v>
      </c>
      <c r="AE622" s="31"/>
      <c r="AF622" s="51">
        <v>14</v>
      </c>
      <c r="AG622" s="51">
        <f t="shared" si="562"/>
        <v>8.4</v>
      </c>
      <c r="AH622" s="51">
        <f t="shared" si="528"/>
        <v>42</v>
      </c>
      <c r="AI622" s="52" t="s">
        <v>2497</v>
      </c>
      <c r="AJ622" s="52" t="s">
        <v>2498</v>
      </c>
      <c r="AK622" s="53">
        <f t="shared" si="563"/>
        <v>1.9076245718399994E-2</v>
      </c>
      <c r="AL622" s="54">
        <f t="shared" si="564"/>
        <v>0.11904761904761904</v>
      </c>
      <c r="AM622" s="54">
        <f t="shared" si="565"/>
        <v>2.3809523809523808E-2</v>
      </c>
      <c r="AN622" s="55">
        <f t="shared" si="566"/>
        <v>1.8167853065142851E-2</v>
      </c>
      <c r="AO622" s="55">
        <f t="shared" si="567"/>
        <v>3.6335706130285702E-3</v>
      </c>
      <c r="AP622" s="53">
        <v>7.1</v>
      </c>
      <c r="AQ622" s="53">
        <f t="shared" si="535"/>
        <v>4.26</v>
      </c>
      <c r="AR622" s="53">
        <f t="shared" si="536"/>
        <v>21.299999999999997</v>
      </c>
      <c r="AS622" s="56">
        <f t="shared" si="537"/>
        <v>4.6948356807511742E-2</v>
      </c>
      <c r="AT622" s="56">
        <f t="shared" si="568"/>
        <v>0.23474178403755869</v>
      </c>
      <c r="AU622" s="56">
        <f t="shared" si="538"/>
        <v>0.176056338028169</v>
      </c>
      <c r="AV622" s="56">
        <f t="shared" si="569"/>
        <v>5.8685446009389672E-2</v>
      </c>
      <c r="AW622" s="57" t="s">
        <v>2511</v>
      </c>
      <c r="AX622" s="57" t="s">
        <v>2512</v>
      </c>
      <c r="AY622" s="57" t="s">
        <v>2513</v>
      </c>
      <c r="AZ622" s="58">
        <f t="shared" si="570"/>
        <v>1.9076245718399994E-2</v>
      </c>
      <c r="BA622" s="59">
        <f t="shared" si="573"/>
        <v>4.477991952676055E-3</v>
      </c>
      <c r="BB622" s="59">
        <f t="shared" si="574"/>
        <v>1.3433975858028165E-2</v>
      </c>
      <c r="BC622" s="59">
        <f t="shared" si="575"/>
        <v>3.5823935621408444E-3</v>
      </c>
      <c r="BD622" s="60">
        <f t="shared" si="571"/>
        <v>3.2894736842105261E-3</v>
      </c>
      <c r="BE622" s="59">
        <f t="shared" si="572"/>
        <v>2.6315789473684209E-2</v>
      </c>
      <c r="BQ622" s="61">
        <v>3000</v>
      </c>
      <c r="BR622" s="61">
        <v>1200</v>
      </c>
      <c r="BS622" s="28">
        <f t="shared" si="539"/>
        <v>2980</v>
      </c>
      <c r="BT622" s="28">
        <f t="shared" si="540"/>
        <v>1180</v>
      </c>
      <c r="BU622" s="28" t="s">
        <v>2541</v>
      </c>
      <c r="BV622" s="28">
        <f t="shared" si="541"/>
        <v>176.70399999999998</v>
      </c>
      <c r="BW622" s="28">
        <f t="shared" si="542"/>
        <v>60.549799999999991</v>
      </c>
      <c r="BX622" s="13">
        <f t="shared" si="543"/>
        <v>16.864360738862732</v>
      </c>
      <c r="BY622" s="13">
        <f t="shared" si="544"/>
        <v>16</v>
      </c>
      <c r="BZ622" s="13">
        <f t="shared" si="545"/>
        <v>19.488090794684709</v>
      </c>
      <c r="CA622" s="13">
        <f t="shared" si="546"/>
        <v>19</v>
      </c>
      <c r="CB622" s="13">
        <f t="shared" si="547"/>
        <v>304</v>
      </c>
      <c r="CC622" s="62">
        <f t="shared" si="548"/>
        <v>3.2894736842105261E-3</v>
      </c>
      <c r="CD622" s="13">
        <f t="shared" si="549"/>
        <v>49.215686922169859</v>
      </c>
      <c r="CE622" s="13">
        <f t="shared" si="550"/>
        <v>49</v>
      </c>
      <c r="CF622" s="13">
        <f t="shared" si="551"/>
        <v>6.6778341180731626</v>
      </c>
      <c r="CG622" s="13">
        <f t="shared" si="552"/>
        <v>6</v>
      </c>
      <c r="CH622" s="28">
        <f t="shared" si="553"/>
        <v>294</v>
      </c>
      <c r="CI622" s="62">
        <f t="shared" si="554"/>
        <v>3.4013605442176869E-3</v>
      </c>
      <c r="CJ622" s="59">
        <f t="shared" si="555"/>
        <v>3.2894736842105261E-3</v>
      </c>
      <c r="CL622" s="63">
        <v>6000</v>
      </c>
      <c r="CM622" s="63">
        <f t="shared" si="556"/>
        <v>171.70399999999998</v>
      </c>
      <c r="CN622" s="63">
        <f t="shared" si="557"/>
        <v>176.70399999999998</v>
      </c>
      <c r="CO622" s="63">
        <f t="shared" si="558"/>
        <v>33.955088735965234</v>
      </c>
      <c r="CP622" s="13">
        <f t="shared" si="559"/>
        <v>33</v>
      </c>
      <c r="CQ622" s="70">
        <f t="shared" si="560"/>
        <v>3.0303030303030304E-2</v>
      </c>
      <c r="CR622" s="69">
        <f t="shared" si="581"/>
        <v>0.24242424242424243</v>
      </c>
    </row>
    <row r="623" spans="1:96" hidden="1" x14ac:dyDescent="0.25">
      <c r="A623" s="36">
        <v>2</v>
      </c>
      <c r="B623" s="37" t="s">
        <v>37</v>
      </c>
      <c r="C623" s="36" t="s">
        <v>1515</v>
      </c>
      <c r="D623" s="36" t="s">
        <v>2270</v>
      </c>
      <c r="E623" s="36" t="s">
        <v>52</v>
      </c>
      <c r="F623" s="38">
        <f t="shared" si="529"/>
        <v>1</v>
      </c>
      <c r="G623" s="36">
        <v>1</v>
      </c>
      <c r="H623" s="36">
        <f t="shared" si="582"/>
        <v>1</v>
      </c>
      <c r="I623" s="36">
        <v>53</v>
      </c>
      <c r="J623" s="37" t="s">
        <v>851</v>
      </c>
      <c r="K623" s="37" t="s">
        <v>34</v>
      </c>
      <c r="L623" s="36">
        <v>0</v>
      </c>
      <c r="M623" s="37" t="s">
        <v>35</v>
      </c>
      <c r="N623" s="36" t="s">
        <v>1516</v>
      </c>
      <c r="O623" s="28" t="s">
        <v>41</v>
      </c>
      <c r="P623" s="28" t="s">
        <v>41</v>
      </c>
      <c r="Q623" s="28" t="s">
        <v>124</v>
      </c>
      <c r="R623" s="30">
        <v>61.893999999999998</v>
      </c>
      <c r="S623" s="30">
        <v>3.1150000000000002</v>
      </c>
      <c r="T623" s="30"/>
      <c r="U623" s="30">
        <v>9.8000000000000004E-2</v>
      </c>
      <c r="V623" s="8">
        <f t="shared" si="530"/>
        <v>1572.1075999999998</v>
      </c>
      <c r="W623" s="8">
        <f t="shared" si="531"/>
        <v>79.120999999999995</v>
      </c>
      <c r="X623" s="8">
        <f t="shared" si="532"/>
        <v>0</v>
      </c>
      <c r="Y623" s="33">
        <f t="shared" si="533"/>
        <v>2.4891999999999999</v>
      </c>
      <c r="Z623" s="28" t="s">
        <v>56</v>
      </c>
      <c r="AA623" s="28" t="s">
        <v>57</v>
      </c>
      <c r="AB623" s="61" t="s">
        <v>124</v>
      </c>
      <c r="AC623" s="31" t="s">
        <v>125</v>
      </c>
      <c r="AD623" s="50">
        <f t="shared" si="534"/>
        <v>1</v>
      </c>
      <c r="AE623" s="47" t="s">
        <v>107</v>
      </c>
      <c r="AF623" s="51">
        <v>14</v>
      </c>
      <c r="AG623" s="51">
        <f t="shared" si="562"/>
        <v>8.4</v>
      </c>
      <c r="AH623" s="51">
        <f t="shared" si="528"/>
        <v>42</v>
      </c>
      <c r="AI623" s="52" t="s">
        <v>2497</v>
      </c>
      <c r="AJ623" s="52" t="s">
        <v>2498</v>
      </c>
      <c r="AK623" s="53">
        <f t="shared" si="563"/>
        <v>0.24877345083919997</v>
      </c>
      <c r="AL623" s="54">
        <f t="shared" si="564"/>
        <v>0.11904761904761904</v>
      </c>
      <c r="AM623" s="54">
        <f t="shared" si="565"/>
        <v>2.3809523809523808E-2</v>
      </c>
      <c r="AN623" s="55">
        <f t="shared" si="566"/>
        <v>2.961588700466666E-2</v>
      </c>
      <c r="AO623" s="55">
        <f t="shared" si="567"/>
        <v>5.9231774009333325E-3</v>
      </c>
      <c r="AP623" s="53">
        <v>7.1</v>
      </c>
      <c r="AQ623" s="53">
        <f t="shared" si="535"/>
        <v>4.26</v>
      </c>
      <c r="AR623" s="53">
        <f t="shared" si="536"/>
        <v>21.299999999999997</v>
      </c>
      <c r="AS623" s="56">
        <f t="shared" si="537"/>
        <v>4.6948356807511742E-2</v>
      </c>
      <c r="AT623" s="56">
        <f t="shared" si="568"/>
        <v>0.23474178403755869</v>
      </c>
      <c r="AU623" s="56">
        <f t="shared" si="538"/>
        <v>0.176056338028169</v>
      </c>
      <c r="AV623" s="56">
        <f t="shared" si="569"/>
        <v>5.8685446009389672E-2</v>
      </c>
      <c r="AW623" s="57" t="s">
        <v>2511</v>
      </c>
      <c r="AX623" s="57" t="s">
        <v>2512</v>
      </c>
      <c r="AY623" s="57" t="s">
        <v>2513</v>
      </c>
      <c r="AZ623" s="58">
        <f t="shared" si="570"/>
        <v>0.24877345083919997</v>
      </c>
      <c r="BA623" s="59">
        <f t="shared" si="573"/>
        <v>7.2996904588967125E-3</v>
      </c>
      <c r="BB623" s="59">
        <f t="shared" si="574"/>
        <v>2.1899071376690137E-2</v>
      </c>
      <c r="BC623" s="59">
        <f t="shared" si="575"/>
        <v>5.8397523671173705E-3</v>
      </c>
      <c r="BD623" s="60">
        <f t="shared" si="571"/>
        <v>7.1428571428571425E-2</v>
      </c>
      <c r="BE623" s="59">
        <f t="shared" si="572"/>
        <v>7.1428571428571425E-2</v>
      </c>
      <c r="BQ623" s="61">
        <v>3000</v>
      </c>
      <c r="BR623" s="61">
        <v>1200</v>
      </c>
      <c r="BS623" s="28">
        <f t="shared" si="539"/>
        <v>2980</v>
      </c>
      <c r="BT623" s="28">
        <f t="shared" si="540"/>
        <v>1180</v>
      </c>
      <c r="BU623" s="28" t="s">
        <v>2541</v>
      </c>
      <c r="BV623" s="28">
        <f t="shared" si="541"/>
        <v>1577.1075999999998</v>
      </c>
      <c r="BW623" s="28">
        <f t="shared" si="542"/>
        <v>84.120999999999995</v>
      </c>
      <c r="BX623" s="13">
        <f t="shared" si="543"/>
        <v>1.8895349943149093</v>
      </c>
      <c r="BY623" s="13">
        <f t="shared" si="544"/>
        <v>1</v>
      </c>
      <c r="BZ623" s="13">
        <f t="shared" si="545"/>
        <v>14.027412893332224</v>
      </c>
      <c r="CA623" s="13">
        <f t="shared" si="546"/>
        <v>14</v>
      </c>
      <c r="CB623" s="13">
        <f t="shared" si="547"/>
        <v>14</v>
      </c>
      <c r="CC623" s="62">
        <f t="shared" si="548"/>
        <v>7.1428571428571425E-2</v>
      </c>
      <c r="CD623" s="13">
        <f t="shared" si="549"/>
        <v>35.425161374686468</v>
      </c>
      <c r="CE623" s="13">
        <f t="shared" si="550"/>
        <v>35</v>
      </c>
      <c r="CF623" s="13">
        <f t="shared" si="551"/>
        <v>0.74820513197704464</v>
      </c>
      <c r="CG623" s="13">
        <f t="shared" si="552"/>
        <v>0</v>
      </c>
      <c r="CH623" s="28">
        <f t="shared" si="553"/>
        <v>0</v>
      </c>
      <c r="CI623" s="62">
        <f t="shared" si="554"/>
        <v>1</v>
      </c>
      <c r="CJ623" s="59">
        <f t="shared" si="555"/>
        <v>7.1428571428571425E-2</v>
      </c>
      <c r="CL623" s="63">
        <v>6000</v>
      </c>
      <c r="CM623" s="63">
        <f t="shared" si="556"/>
        <v>1572.1075999999998</v>
      </c>
      <c r="CN623" s="63">
        <f t="shared" si="557"/>
        <v>1577.1075999999998</v>
      </c>
      <c r="CO623" s="63">
        <f t="shared" si="558"/>
        <v>3.804432874459549</v>
      </c>
      <c r="CP623" s="13">
        <f t="shared" si="559"/>
        <v>3</v>
      </c>
      <c r="CQ623" s="70">
        <f t="shared" si="560"/>
        <v>0.33333333333333331</v>
      </c>
      <c r="CR623" s="69">
        <f t="shared" si="581"/>
        <v>0.33333333333333331</v>
      </c>
    </row>
    <row r="624" spans="1:96" hidden="1" x14ac:dyDescent="0.25">
      <c r="A624" s="36">
        <v>2</v>
      </c>
      <c r="B624" s="37" t="s">
        <v>37</v>
      </c>
      <c r="C624" s="36" t="s">
        <v>1517</v>
      </c>
      <c r="D624" s="36" t="s">
        <v>2270</v>
      </c>
      <c r="E624" s="36" t="s">
        <v>52</v>
      </c>
      <c r="F624" s="38">
        <f t="shared" si="529"/>
        <v>1</v>
      </c>
      <c r="G624" s="36">
        <v>1</v>
      </c>
      <c r="H624" s="36">
        <f t="shared" si="582"/>
        <v>1</v>
      </c>
      <c r="I624" s="36">
        <v>58</v>
      </c>
      <c r="J624" s="37" t="s">
        <v>1518</v>
      </c>
      <c r="K624" s="37" t="s">
        <v>34</v>
      </c>
      <c r="L624" s="36">
        <v>0</v>
      </c>
      <c r="M624" s="37" t="s">
        <v>35</v>
      </c>
      <c r="N624" s="36" t="s">
        <v>1519</v>
      </c>
      <c r="O624" s="28" t="s">
        <v>41</v>
      </c>
      <c r="P624" s="28" t="s">
        <v>41</v>
      </c>
      <c r="Q624" s="28" t="s">
        <v>103</v>
      </c>
      <c r="R624" s="30">
        <v>22.125984251968504</v>
      </c>
      <c r="S624" s="30">
        <v>1.0629921259842521</v>
      </c>
      <c r="T624" s="30"/>
      <c r="U624" s="30">
        <v>0.23622047244094491</v>
      </c>
      <c r="V624" s="8">
        <f t="shared" si="530"/>
        <v>562</v>
      </c>
      <c r="W624" s="8">
        <f t="shared" si="531"/>
        <v>27</v>
      </c>
      <c r="X624" s="8">
        <f t="shared" si="532"/>
        <v>0</v>
      </c>
      <c r="Y624" s="33">
        <f t="shared" si="533"/>
        <v>6</v>
      </c>
      <c r="Z624" s="28" t="s">
        <v>56</v>
      </c>
      <c r="AA624" s="28" t="s">
        <v>57</v>
      </c>
      <c r="AB624" s="28" t="s">
        <v>103</v>
      </c>
      <c r="AC624" s="31" t="s">
        <v>104</v>
      </c>
      <c r="AD624" s="50">
        <f t="shared" si="534"/>
        <v>1</v>
      </c>
      <c r="AE624" s="31"/>
      <c r="AF624" s="51">
        <v>14</v>
      </c>
      <c r="AG624" s="51">
        <f t="shared" si="562"/>
        <v>8.4</v>
      </c>
      <c r="AH624" s="51">
        <f t="shared" si="528"/>
        <v>42</v>
      </c>
      <c r="AI624" s="52" t="s">
        <v>2497</v>
      </c>
      <c r="AJ624" s="52" t="s">
        <v>2498</v>
      </c>
      <c r="AK624" s="53">
        <f t="shared" si="563"/>
        <v>3.0348E-2</v>
      </c>
      <c r="AL624" s="54">
        <f t="shared" si="564"/>
        <v>0.11904761904761904</v>
      </c>
      <c r="AM624" s="54">
        <f t="shared" si="565"/>
        <v>2.3809523809523808E-2</v>
      </c>
      <c r="AN624" s="55">
        <f t="shared" si="566"/>
        <v>3.6128571428571425E-3</v>
      </c>
      <c r="AO624" s="55">
        <f t="shared" si="567"/>
        <v>7.2257142857142854E-4</v>
      </c>
      <c r="AP624" s="53">
        <v>7.1</v>
      </c>
      <c r="AQ624" s="53">
        <f t="shared" si="535"/>
        <v>4.26</v>
      </c>
      <c r="AR624" s="53">
        <f t="shared" si="536"/>
        <v>21.299999999999997</v>
      </c>
      <c r="AS624" s="56">
        <f t="shared" si="537"/>
        <v>4.6948356807511742E-2</v>
      </c>
      <c r="AT624" s="56">
        <f t="shared" si="568"/>
        <v>0.23474178403755869</v>
      </c>
      <c r="AU624" s="56">
        <f t="shared" si="538"/>
        <v>0.176056338028169</v>
      </c>
      <c r="AV624" s="56">
        <f t="shared" si="569"/>
        <v>5.8685446009389672E-2</v>
      </c>
      <c r="AW624" s="57" t="s">
        <v>2511</v>
      </c>
      <c r="AX624" s="57" t="s">
        <v>2512</v>
      </c>
      <c r="AY624" s="57" t="s">
        <v>2513</v>
      </c>
      <c r="AZ624" s="58">
        <f t="shared" si="570"/>
        <v>3.0348E-2</v>
      </c>
      <c r="BA624" s="59">
        <f t="shared" si="573"/>
        <v>8.9049295774647891E-4</v>
      </c>
      <c r="BB624" s="59">
        <f t="shared" si="574"/>
        <v>2.6714788732394366E-3</v>
      </c>
      <c r="BC624" s="59">
        <f t="shared" si="575"/>
        <v>7.1239436619718313E-4</v>
      </c>
      <c r="BD624" s="60">
        <f t="shared" si="571"/>
        <v>5.3763440860215058E-3</v>
      </c>
      <c r="BE624" s="59">
        <f t="shared" si="572"/>
        <v>5.3763440860215058E-3</v>
      </c>
      <c r="BQ624" s="61">
        <v>3000</v>
      </c>
      <c r="BR624" s="61">
        <v>1200</v>
      </c>
      <c r="BS624" s="28">
        <f t="shared" si="539"/>
        <v>2980</v>
      </c>
      <c r="BT624" s="28">
        <f t="shared" si="540"/>
        <v>1180</v>
      </c>
      <c r="BU624" s="28" t="s">
        <v>2541</v>
      </c>
      <c r="BV624" s="28">
        <f t="shared" si="541"/>
        <v>567</v>
      </c>
      <c r="BW624" s="28">
        <f t="shared" si="542"/>
        <v>32</v>
      </c>
      <c r="BX624" s="13">
        <f t="shared" si="543"/>
        <v>5.2557319223985894</v>
      </c>
      <c r="BY624" s="13">
        <f t="shared" si="544"/>
        <v>5</v>
      </c>
      <c r="BZ624" s="13">
        <f t="shared" si="545"/>
        <v>36.875</v>
      </c>
      <c r="CA624" s="13">
        <f t="shared" si="546"/>
        <v>36</v>
      </c>
      <c r="CB624" s="13">
        <f t="shared" si="547"/>
        <v>180</v>
      </c>
      <c r="CC624" s="62">
        <f t="shared" si="548"/>
        <v>5.5555555555555558E-3</v>
      </c>
      <c r="CD624" s="13">
        <f t="shared" si="549"/>
        <v>93.125</v>
      </c>
      <c r="CE624" s="13">
        <f t="shared" si="550"/>
        <v>93</v>
      </c>
      <c r="CF624" s="13">
        <f t="shared" si="551"/>
        <v>2.0811287477954146</v>
      </c>
      <c r="CG624" s="13">
        <f t="shared" si="552"/>
        <v>2</v>
      </c>
      <c r="CH624" s="28">
        <f t="shared" si="553"/>
        <v>186</v>
      </c>
      <c r="CI624" s="62">
        <f t="shared" si="554"/>
        <v>5.3763440860215058E-3</v>
      </c>
      <c r="CJ624" s="59">
        <f t="shared" si="555"/>
        <v>5.3763440860215058E-3</v>
      </c>
      <c r="CL624" s="63">
        <v>6000</v>
      </c>
      <c r="CM624" s="63">
        <f t="shared" si="556"/>
        <v>562</v>
      </c>
      <c r="CN624" s="63">
        <f t="shared" si="557"/>
        <v>567</v>
      </c>
      <c r="CO624" s="63">
        <f t="shared" si="558"/>
        <v>10.582010582010582</v>
      </c>
      <c r="CP624" s="13">
        <f t="shared" si="559"/>
        <v>10</v>
      </c>
      <c r="CQ624" s="70">
        <f t="shared" si="560"/>
        <v>0.1</v>
      </c>
      <c r="CR624" s="69">
        <f t="shared" si="581"/>
        <v>0.1</v>
      </c>
    </row>
    <row r="625" spans="1:96" hidden="1" x14ac:dyDescent="0.25">
      <c r="A625" s="36">
        <v>2</v>
      </c>
      <c r="B625" s="37" t="s">
        <v>37</v>
      </c>
      <c r="C625" s="36" t="s">
        <v>1520</v>
      </c>
      <c r="D625" s="36" t="s">
        <v>2270</v>
      </c>
      <c r="E625" s="36" t="s">
        <v>52</v>
      </c>
      <c r="F625" s="38">
        <f t="shared" si="529"/>
        <v>1</v>
      </c>
      <c r="G625" s="36">
        <v>1</v>
      </c>
      <c r="H625" s="36">
        <f t="shared" si="582"/>
        <v>1</v>
      </c>
      <c r="I625" s="36">
        <v>65</v>
      </c>
      <c r="J625" s="37" t="s">
        <v>736</v>
      </c>
      <c r="K625" s="37" t="s">
        <v>34</v>
      </c>
      <c r="L625" s="36">
        <v>0</v>
      </c>
      <c r="M625" s="37" t="s">
        <v>35</v>
      </c>
      <c r="N625" s="36" t="s">
        <v>1521</v>
      </c>
      <c r="O625" s="28" t="s">
        <v>41</v>
      </c>
      <c r="P625" s="28" t="s">
        <v>41</v>
      </c>
      <c r="Q625" s="28" t="s">
        <v>124</v>
      </c>
      <c r="R625" s="30">
        <v>1.9685039370078741</v>
      </c>
      <c r="S625" s="30">
        <v>0.94488188976377963</v>
      </c>
      <c r="T625" s="30"/>
      <c r="U625" s="30">
        <v>9.8000000000000004E-2</v>
      </c>
      <c r="V625" s="8">
        <f t="shared" si="530"/>
        <v>50</v>
      </c>
      <c r="W625" s="8">
        <f t="shared" si="531"/>
        <v>24</v>
      </c>
      <c r="X625" s="8">
        <f t="shared" si="532"/>
        <v>0</v>
      </c>
      <c r="Y625" s="33">
        <f t="shared" si="533"/>
        <v>2.4891999999999999</v>
      </c>
      <c r="Z625" s="28" t="s">
        <v>56</v>
      </c>
      <c r="AA625" s="28" t="s">
        <v>57</v>
      </c>
      <c r="AB625" s="61" t="s">
        <v>124</v>
      </c>
      <c r="AC625" s="31" t="s">
        <v>125</v>
      </c>
      <c r="AD625" s="50">
        <f t="shared" si="534"/>
        <v>1</v>
      </c>
      <c r="AE625" s="31"/>
      <c r="AF625" s="51">
        <v>14</v>
      </c>
      <c r="AG625" s="51">
        <f t="shared" si="562"/>
        <v>8.4</v>
      </c>
      <c r="AH625" s="51">
        <f t="shared" si="528"/>
        <v>42</v>
      </c>
      <c r="AI625" s="52" t="s">
        <v>2497</v>
      </c>
      <c r="AJ625" s="52" t="s">
        <v>2498</v>
      </c>
      <c r="AK625" s="53">
        <f t="shared" si="563"/>
        <v>2.3999999999999998E-3</v>
      </c>
      <c r="AL625" s="54">
        <f t="shared" si="564"/>
        <v>0.11904761904761904</v>
      </c>
      <c r="AM625" s="54">
        <f t="shared" si="565"/>
        <v>2.3809523809523808E-2</v>
      </c>
      <c r="AN625" s="55">
        <f t="shared" si="566"/>
        <v>2.8571428571428568E-4</v>
      </c>
      <c r="AO625" s="55">
        <f t="shared" si="567"/>
        <v>5.7142857142857135E-5</v>
      </c>
      <c r="AP625" s="53">
        <v>7.1</v>
      </c>
      <c r="AQ625" s="53">
        <f t="shared" si="535"/>
        <v>4.26</v>
      </c>
      <c r="AR625" s="53">
        <f t="shared" si="536"/>
        <v>21.299999999999997</v>
      </c>
      <c r="AS625" s="56">
        <f t="shared" si="537"/>
        <v>4.6948356807511742E-2</v>
      </c>
      <c r="AT625" s="56">
        <f t="shared" si="568"/>
        <v>0.23474178403755869</v>
      </c>
      <c r="AU625" s="56">
        <f t="shared" si="538"/>
        <v>0.176056338028169</v>
      </c>
      <c r="AV625" s="56">
        <f t="shared" si="569"/>
        <v>5.8685446009389672E-2</v>
      </c>
      <c r="AW625" s="57" t="s">
        <v>2511</v>
      </c>
      <c r="AX625" s="57" t="s">
        <v>2512</v>
      </c>
      <c r="AY625" s="57" t="s">
        <v>2513</v>
      </c>
      <c r="AZ625" s="58">
        <f t="shared" si="570"/>
        <v>2.3999999999999998E-3</v>
      </c>
      <c r="BA625" s="59">
        <f t="shared" si="573"/>
        <v>7.0422535211267596E-5</v>
      </c>
      <c r="BB625" s="59">
        <f t="shared" si="574"/>
        <v>2.1126760563380277E-4</v>
      </c>
      <c r="BC625" s="59">
        <f t="shared" si="575"/>
        <v>5.6338028169014086E-5</v>
      </c>
      <c r="BD625" s="60">
        <f t="shared" si="571"/>
        <v>4.6296296296296298E-4</v>
      </c>
      <c r="BE625" s="59">
        <f t="shared" si="572"/>
        <v>4.6296296296296298E-4</v>
      </c>
      <c r="BQ625" s="61">
        <v>3000</v>
      </c>
      <c r="BR625" s="61">
        <v>1200</v>
      </c>
      <c r="BS625" s="28">
        <f t="shared" si="539"/>
        <v>2980</v>
      </c>
      <c r="BT625" s="28">
        <f t="shared" si="540"/>
        <v>1180</v>
      </c>
      <c r="BU625" s="28" t="s">
        <v>2541</v>
      </c>
      <c r="BV625" s="28">
        <f t="shared" si="541"/>
        <v>55</v>
      </c>
      <c r="BW625" s="28">
        <f t="shared" si="542"/>
        <v>29</v>
      </c>
      <c r="BX625" s="13">
        <f t="shared" si="543"/>
        <v>54.18181818181818</v>
      </c>
      <c r="BY625" s="13">
        <f t="shared" si="544"/>
        <v>54</v>
      </c>
      <c r="BZ625" s="13">
        <f t="shared" si="545"/>
        <v>40.689655172413794</v>
      </c>
      <c r="CA625" s="13">
        <f t="shared" si="546"/>
        <v>40</v>
      </c>
      <c r="CB625" s="13">
        <f t="shared" si="547"/>
        <v>2160</v>
      </c>
      <c r="CC625" s="62">
        <f t="shared" si="548"/>
        <v>4.6296296296296298E-4</v>
      </c>
      <c r="CD625" s="13">
        <f t="shared" si="549"/>
        <v>102.75862068965517</v>
      </c>
      <c r="CE625" s="13">
        <f t="shared" si="550"/>
        <v>102</v>
      </c>
      <c r="CF625" s="13">
        <f t="shared" si="551"/>
        <v>21.454545454545453</v>
      </c>
      <c r="CG625" s="13">
        <f t="shared" si="552"/>
        <v>21</v>
      </c>
      <c r="CH625" s="28">
        <f t="shared" si="553"/>
        <v>2142</v>
      </c>
      <c r="CI625" s="62">
        <f t="shared" si="554"/>
        <v>4.6685340802987864E-4</v>
      </c>
      <c r="CJ625" s="59">
        <f t="shared" si="555"/>
        <v>4.6296296296296298E-4</v>
      </c>
      <c r="CL625" s="63">
        <v>6000</v>
      </c>
      <c r="CM625" s="63">
        <f t="shared" si="556"/>
        <v>50</v>
      </c>
      <c r="CN625" s="63">
        <f t="shared" si="557"/>
        <v>55</v>
      </c>
      <c r="CO625" s="63">
        <f t="shared" si="558"/>
        <v>109.09090909090909</v>
      </c>
      <c r="CP625" s="13">
        <f t="shared" si="559"/>
        <v>109</v>
      </c>
      <c r="CQ625" s="70">
        <f t="shared" si="560"/>
        <v>9.1743119266055051E-3</v>
      </c>
      <c r="CR625" s="69">
        <f t="shared" si="581"/>
        <v>9.1743119266055051E-3</v>
      </c>
    </row>
    <row r="626" spans="1:96" hidden="1" x14ac:dyDescent="0.25">
      <c r="A626" s="36">
        <v>2</v>
      </c>
      <c r="B626" s="37" t="s">
        <v>37</v>
      </c>
      <c r="C626" s="36" t="s">
        <v>1522</v>
      </c>
      <c r="D626" s="36" t="s">
        <v>2270</v>
      </c>
      <c r="E626" s="36" t="s">
        <v>52</v>
      </c>
      <c r="F626" s="38">
        <f t="shared" si="529"/>
        <v>1</v>
      </c>
      <c r="G626" s="36">
        <v>1</v>
      </c>
      <c r="H626" s="36">
        <f t="shared" si="582"/>
        <v>1</v>
      </c>
      <c r="I626" s="36">
        <v>67</v>
      </c>
      <c r="J626" s="37" t="s">
        <v>1523</v>
      </c>
      <c r="K626" s="37" t="s">
        <v>34</v>
      </c>
      <c r="L626" s="36">
        <v>0</v>
      </c>
      <c r="M626" s="37" t="s">
        <v>35</v>
      </c>
      <c r="N626" s="36" t="s">
        <v>1524</v>
      </c>
      <c r="O626" s="28" t="s">
        <v>41</v>
      </c>
      <c r="P626" s="28" t="s">
        <v>41</v>
      </c>
      <c r="Q626" s="28" t="s">
        <v>116</v>
      </c>
      <c r="R626" s="30">
        <v>21.73228346456693</v>
      </c>
      <c r="S626" s="30">
        <v>1.0629921259842521</v>
      </c>
      <c r="T626" s="30"/>
      <c r="U626" s="30">
        <v>0.11799999999999999</v>
      </c>
      <c r="V626" s="8">
        <f t="shared" si="530"/>
        <v>552</v>
      </c>
      <c r="W626" s="8">
        <f t="shared" si="531"/>
        <v>27</v>
      </c>
      <c r="X626" s="8">
        <f t="shared" si="532"/>
        <v>0</v>
      </c>
      <c r="Y626" s="33">
        <f t="shared" si="533"/>
        <v>2.9971999999999999</v>
      </c>
      <c r="Z626" s="28" t="s">
        <v>56</v>
      </c>
      <c r="AA626" s="28" t="s">
        <v>57</v>
      </c>
      <c r="AB626" s="28" t="s">
        <v>116</v>
      </c>
      <c r="AC626" s="31" t="s">
        <v>117</v>
      </c>
      <c r="AD626" s="50">
        <f t="shared" si="534"/>
        <v>1</v>
      </c>
      <c r="AE626" s="47" t="s">
        <v>107</v>
      </c>
      <c r="AF626" s="51">
        <v>14</v>
      </c>
      <c r="AG626" s="51">
        <f t="shared" si="562"/>
        <v>8.4</v>
      </c>
      <c r="AH626" s="51">
        <f t="shared" si="528"/>
        <v>42</v>
      </c>
      <c r="AI626" s="52" t="s">
        <v>2497</v>
      </c>
      <c r="AJ626" s="52" t="s">
        <v>2498</v>
      </c>
      <c r="AK626" s="53">
        <f t="shared" si="563"/>
        <v>2.9808000000000001E-2</v>
      </c>
      <c r="AL626" s="54">
        <f t="shared" si="564"/>
        <v>0.11904761904761904</v>
      </c>
      <c r="AM626" s="54">
        <f t="shared" si="565"/>
        <v>2.3809523809523808E-2</v>
      </c>
      <c r="AN626" s="55">
        <f t="shared" si="566"/>
        <v>3.5485714285714287E-3</v>
      </c>
      <c r="AO626" s="55">
        <f t="shared" si="567"/>
        <v>7.0971428571428574E-4</v>
      </c>
      <c r="AP626" s="53">
        <v>7.1</v>
      </c>
      <c r="AQ626" s="53">
        <f t="shared" si="535"/>
        <v>4.26</v>
      </c>
      <c r="AR626" s="53">
        <f t="shared" si="536"/>
        <v>21.299999999999997</v>
      </c>
      <c r="AS626" s="56">
        <f t="shared" si="537"/>
        <v>4.6948356807511742E-2</v>
      </c>
      <c r="AT626" s="56">
        <f t="shared" si="568"/>
        <v>0.23474178403755869</v>
      </c>
      <c r="AU626" s="56">
        <f t="shared" si="538"/>
        <v>0.176056338028169</v>
      </c>
      <c r="AV626" s="56">
        <f t="shared" si="569"/>
        <v>5.8685446009389672E-2</v>
      </c>
      <c r="AW626" s="57" t="s">
        <v>2511</v>
      </c>
      <c r="AX626" s="57" t="s">
        <v>2512</v>
      </c>
      <c r="AY626" s="57" t="s">
        <v>2513</v>
      </c>
      <c r="AZ626" s="58">
        <f t="shared" si="570"/>
        <v>2.9808000000000001E-2</v>
      </c>
      <c r="BA626" s="59">
        <f t="shared" si="573"/>
        <v>8.7464788732394369E-4</v>
      </c>
      <c r="BB626" s="59">
        <f t="shared" si="574"/>
        <v>2.6239436619718308E-3</v>
      </c>
      <c r="BC626" s="59">
        <f t="shared" si="575"/>
        <v>6.9971830985915504E-4</v>
      </c>
      <c r="BD626" s="60">
        <f t="shared" si="571"/>
        <v>5.3763440860215058E-3</v>
      </c>
      <c r="BE626" s="59">
        <f t="shared" si="572"/>
        <v>5.3763440860215058E-3</v>
      </c>
      <c r="BQ626" s="61">
        <v>3000</v>
      </c>
      <c r="BR626" s="61">
        <v>1200</v>
      </c>
      <c r="BS626" s="28">
        <f t="shared" si="539"/>
        <v>2980</v>
      </c>
      <c r="BT626" s="28">
        <f t="shared" si="540"/>
        <v>1180</v>
      </c>
      <c r="BU626" s="28" t="s">
        <v>2541</v>
      </c>
      <c r="BV626" s="28">
        <f t="shared" si="541"/>
        <v>557</v>
      </c>
      <c r="BW626" s="28">
        <f t="shared" si="542"/>
        <v>32</v>
      </c>
      <c r="BX626" s="13">
        <f t="shared" si="543"/>
        <v>5.3500897666068221</v>
      </c>
      <c r="BY626" s="13">
        <f t="shared" si="544"/>
        <v>5</v>
      </c>
      <c r="BZ626" s="13">
        <f t="shared" si="545"/>
        <v>36.875</v>
      </c>
      <c r="CA626" s="13">
        <f t="shared" si="546"/>
        <v>36</v>
      </c>
      <c r="CB626" s="13">
        <f t="shared" si="547"/>
        <v>180</v>
      </c>
      <c r="CC626" s="62">
        <f t="shared" si="548"/>
        <v>5.5555555555555558E-3</v>
      </c>
      <c r="CD626" s="13">
        <f t="shared" si="549"/>
        <v>93.125</v>
      </c>
      <c r="CE626" s="13">
        <f t="shared" si="550"/>
        <v>93</v>
      </c>
      <c r="CF626" s="13">
        <f t="shared" si="551"/>
        <v>2.1184919210053859</v>
      </c>
      <c r="CG626" s="13">
        <f t="shared" si="552"/>
        <v>2</v>
      </c>
      <c r="CH626" s="28">
        <f t="shared" si="553"/>
        <v>186</v>
      </c>
      <c r="CI626" s="62">
        <f t="shared" si="554"/>
        <v>5.3763440860215058E-3</v>
      </c>
      <c r="CJ626" s="59">
        <f t="shared" si="555"/>
        <v>5.3763440860215058E-3</v>
      </c>
      <c r="CL626" s="63">
        <v>6000</v>
      </c>
      <c r="CM626" s="63">
        <f t="shared" si="556"/>
        <v>552</v>
      </c>
      <c r="CN626" s="63">
        <f t="shared" si="557"/>
        <v>557</v>
      </c>
      <c r="CO626" s="63">
        <f t="shared" si="558"/>
        <v>10.771992818671455</v>
      </c>
      <c r="CP626" s="13">
        <f t="shared" si="559"/>
        <v>10</v>
      </c>
      <c r="CQ626" s="70">
        <f t="shared" si="560"/>
        <v>0.1</v>
      </c>
      <c r="CR626" s="69">
        <f t="shared" si="581"/>
        <v>0.1</v>
      </c>
    </row>
    <row r="627" spans="1:96" hidden="1" x14ac:dyDescent="0.25">
      <c r="A627" s="36">
        <v>2</v>
      </c>
      <c r="B627" s="37" t="s">
        <v>37</v>
      </c>
      <c r="C627" s="36" t="s">
        <v>1525</v>
      </c>
      <c r="D627" s="36" t="s">
        <v>2270</v>
      </c>
      <c r="E627" s="36" t="s">
        <v>52</v>
      </c>
      <c r="F627" s="38">
        <f t="shared" si="529"/>
        <v>1</v>
      </c>
      <c r="G627" s="36">
        <v>1</v>
      </c>
      <c r="H627" s="36">
        <f t="shared" si="582"/>
        <v>1</v>
      </c>
      <c r="I627" s="36">
        <v>69</v>
      </c>
      <c r="J627" s="37" t="s">
        <v>1526</v>
      </c>
      <c r="K627" s="37" t="s">
        <v>34</v>
      </c>
      <c r="L627" s="36">
        <v>0</v>
      </c>
      <c r="M627" s="37" t="s">
        <v>35</v>
      </c>
      <c r="N627" s="36" t="s">
        <v>1527</v>
      </c>
      <c r="O627" s="28" t="s">
        <v>41</v>
      </c>
      <c r="P627" s="28" t="s">
        <v>41</v>
      </c>
      <c r="Q627" s="28" t="s">
        <v>124</v>
      </c>
      <c r="R627" s="30">
        <v>5.6349999999999998</v>
      </c>
      <c r="S627" s="30">
        <v>4.9470000000000001</v>
      </c>
      <c r="T627" s="30"/>
      <c r="U627" s="30">
        <v>9.8000000000000004E-2</v>
      </c>
      <c r="V627" s="8">
        <f t="shared" si="530"/>
        <v>143.12899999999999</v>
      </c>
      <c r="W627" s="8">
        <f t="shared" si="531"/>
        <v>125.65379999999999</v>
      </c>
      <c r="X627" s="8">
        <f t="shared" si="532"/>
        <v>0</v>
      </c>
      <c r="Y627" s="33">
        <f t="shared" si="533"/>
        <v>2.4891999999999999</v>
      </c>
      <c r="Z627" s="28" t="s">
        <v>56</v>
      </c>
      <c r="AA627" s="28" t="s">
        <v>57</v>
      </c>
      <c r="AB627" s="61" t="s">
        <v>124</v>
      </c>
      <c r="AC627" s="31" t="s">
        <v>125</v>
      </c>
      <c r="AD627" s="50">
        <f t="shared" si="534"/>
        <v>1</v>
      </c>
      <c r="AE627" s="31"/>
      <c r="AF627" s="51">
        <v>14</v>
      </c>
      <c r="AG627" s="51">
        <f t="shared" si="562"/>
        <v>8.4</v>
      </c>
      <c r="AH627" s="51">
        <f t="shared" si="528"/>
        <v>42</v>
      </c>
      <c r="AI627" s="52" t="s">
        <v>2497</v>
      </c>
      <c r="AJ627" s="52" t="s">
        <v>2498</v>
      </c>
      <c r="AK627" s="53">
        <f t="shared" si="563"/>
        <v>3.59694054804E-2</v>
      </c>
      <c r="AL627" s="54">
        <f t="shared" si="564"/>
        <v>0.11904761904761904</v>
      </c>
      <c r="AM627" s="54">
        <f t="shared" si="565"/>
        <v>2.3809523809523808E-2</v>
      </c>
      <c r="AN627" s="55">
        <f t="shared" si="566"/>
        <v>4.2820720809999997E-3</v>
      </c>
      <c r="AO627" s="55">
        <f t="shared" si="567"/>
        <v>8.5641441619999992E-4</v>
      </c>
      <c r="AP627" s="53">
        <v>7.1</v>
      </c>
      <c r="AQ627" s="53">
        <f t="shared" si="535"/>
        <v>4.26</v>
      </c>
      <c r="AR627" s="53">
        <f t="shared" si="536"/>
        <v>21.299999999999997</v>
      </c>
      <c r="AS627" s="56">
        <f t="shared" si="537"/>
        <v>4.6948356807511742E-2</v>
      </c>
      <c r="AT627" s="56">
        <f t="shared" si="568"/>
        <v>0.23474178403755869</v>
      </c>
      <c r="AU627" s="56">
        <f t="shared" si="538"/>
        <v>0.176056338028169</v>
      </c>
      <c r="AV627" s="56">
        <f t="shared" si="569"/>
        <v>5.8685446009389672E-2</v>
      </c>
      <c r="AW627" s="57" t="s">
        <v>2511</v>
      </c>
      <c r="AX627" s="57" t="s">
        <v>2512</v>
      </c>
      <c r="AY627" s="57" t="s">
        <v>2513</v>
      </c>
      <c r="AZ627" s="58">
        <f t="shared" si="570"/>
        <v>3.59694054804E-2</v>
      </c>
      <c r="BA627" s="59">
        <f t="shared" si="573"/>
        <v>1.0554403016549297E-3</v>
      </c>
      <c r="BB627" s="59">
        <f t="shared" si="574"/>
        <v>3.1663209049647887E-3</v>
      </c>
      <c r="BC627" s="59">
        <f t="shared" si="575"/>
        <v>8.4435224132394372E-4</v>
      </c>
      <c r="BD627" s="60">
        <f t="shared" si="571"/>
        <v>5.5555555555555558E-3</v>
      </c>
      <c r="BE627" s="59">
        <f t="shared" si="572"/>
        <v>5.5555555555555558E-3</v>
      </c>
      <c r="BQ627" s="61">
        <v>3000</v>
      </c>
      <c r="BR627" s="61">
        <v>1200</v>
      </c>
      <c r="BS627" s="28">
        <f t="shared" si="539"/>
        <v>2980</v>
      </c>
      <c r="BT627" s="28">
        <f t="shared" si="540"/>
        <v>1180</v>
      </c>
      <c r="BU627" s="28" t="s">
        <v>2541</v>
      </c>
      <c r="BV627" s="28">
        <f t="shared" si="541"/>
        <v>148.12899999999999</v>
      </c>
      <c r="BW627" s="28">
        <f t="shared" si="542"/>
        <v>130.65379999999999</v>
      </c>
      <c r="BX627" s="13">
        <f t="shared" si="543"/>
        <v>20.11760019982583</v>
      </c>
      <c r="BY627" s="13">
        <f t="shared" si="544"/>
        <v>20</v>
      </c>
      <c r="BZ627" s="13">
        <f t="shared" si="545"/>
        <v>9.0315015713281976</v>
      </c>
      <c r="CA627" s="13">
        <f t="shared" si="546"/>
        <v>9</v>
      </c>
      <c r="CB627" s="13">
        <f t="shared" si="547"/>
        <v>180</v>
      </c>
      <c r="CC627" s="62">
        <f t="shared" si="548"/>
        <v>5.5555555555555558E-3</v>
      </c>
      <c r="CD627" s="13">
        <f t="shared" si="549"/>
        <v>22.808368375049177</v>
      </c>
      <c r="CE627" s="13">
        <f t="shared" si="550"/>
        <v>22</v>
      </c>
      <c r="CF627" s="13">
        <f t="shared" si="551"/>
        <v>7.9660296093270064</v>
      </c>
      <c r="CG627" s="13">
        <f t="shared" si="552"/>
        <v>7</v>
      </c>
      <c r="CH627" s="28">
        <f t="shared" si="553"/>
        <v>154</v>
      </c>
      <c r="CI627" s="62">
        <f t="shared" si="554"/>
        <v>6.4935064935064939E-3</v>
      </c>
      <c r="CJ627" s="59">
        <f t="shared" si="555"/>
        <v>5.5555555555555558E-3</v>
      </c>
      <c r="CL627" s="63">
        <v>6000</v>
      </c>
      <c r="CM627" s="63">
        <f t="shared" si="556"/>
        <v>143.12899999999999</v>
      </c>
      <c r="CN627" s="63">
        <f t="shared" si="557"/>
        <v>148.12899999999999</v>
      </c>
      <c r="CO627" s="63">
        <f t="shared" si="558"/>
        <v>40.505235301662744</v>
      </c>
      <c r="CP627" s="13">
        <f t="shared" si="559"/>
        <v>40</v>
      </c>
      <c r="CQ627" s="70">
        <f t="shared" si="560"/>
        <v>2.5000000000000001E-2</v>
      </c>
      <c r="CR627" s="69">
        <f t="shared" si="581"/>
        <v>2.5000000000000001E-2</v>
      </c>
    </row>
    <row r="628" spans="1:96" hidden="1" x14ac:dyDescent="0.25">
      <c r="A628" s="36">
        <v>2</v>
      </c>
      <c r="B628" s="37" t="s">
        <v>37</v>
      </c>
      <c r="C628" s="36" t="s">
        <v>1528</v>
      </c>
      <c r="D628" s="36" t="s">
        <v>2270</v>
      </c>
      <c r="E628" s="36" t="s">
        <v>52</v>
      </c>
      <c r="F628" s="38">
        <f t="shared" si="529"/>
        <v>1</v>
      </c>
      <c r="G628" s="36">
        <v>2</v>
      </c>
      <c r="H628" s="36">
        <f t="shared" si="582"/>
        <v>2</v>
      </c>
      <c r="I628" s="36">
        <v>70</v>
      </c>
      <c r="J628" s="37" t="s">
        <v>1529</v>
      </c>
      <c r="K628" s="37" t="s">
        <v>34</v>
      </c>
      <c r="L628" s="36">
        <v>0</v>
      </c>
      <c r="M628" s="37" t="s">
        <v>35</v>
      </c>
      <c r="N628" s="36" t="s">
        <v>1530</v>
      </c>
      <c r="O628" s="28" t="s">
        <v>41</v>
      </c>
      <c r="P628" s="28" t="s">
        <v>41</v>
      </c>
      <c r="Q628" s="28" t="s">
        <v>116</v>
      </c>
      <c r="R628" s="30">
        <v>10.925000000000001</v>
      </c>
      <c r="S628" s="30">
        <v>4.67</v>
      </c>
      <c r="T628" s="30"/>
      <c r="U628" s="30">
        <v>0.11799999999999999</v>
      </c>
      <c r="V628" s="8">
        <f t="shared" si="530"/>
        <v>277.495</v>
      </c>
      <c r="W628" s="8">
        <f t="shared" si="531"/>
        <v>118.61799999999999</v>
      </c>
      <c r="X628" s="8">
        <f t="shared" si="532"/>
        <v>0</v>
      </c>
      <c r="Y628" s="33">
        <f t="shared" si="533"/>
        <v>2.9971999999999999</v>
      </c>
      <c r="Z628" s="28" t="s">
        <v>56</v>
      </c>
      <c r="AA628" s="28" t="s">
        <v>57</v>
      </c>
      <c r="AB628" s="28" t="s">
        <v>116</v>
      </c>
      <c r="AC628" s="31" t="s">
        <v>117</v>
      </c>
      <c r="AD628" s="50">
        <f t="shared" si="534"/>
        <v>2</v>
      </c>
      <c r="AE628" s="31"/>
      <c r="AF628" s="51">
        <v>14</v>
      </c>
      <c r="AG628" s="51">
        <f t="shared" si="562"/>
        <v>8.4</v>
      </c>
      <c r="AH628" s="51">
        <f t="shared" si="528"/>
        <v>42</v>
      </c>
      <c r="AI628" s="52" t="s">
        <v>2497</v>
      </c>
      <c r="AJ628" s="52" t="s">
        <v>2498</v>
      </c>
      <c r="AK628" s="53">
        <f t="shared" si="563"/>
        <v>6.5831803820000007E-2</v>
      </c>
      <c r="AL628" s="54">
        <f t="shared" si="564"/>
        <v>0.11904761904761904</v>
      </c>
      <c r="AM628" s="54">
        <f t="shared" si="565"/>
        <v>2.3809523809523808E-2</v>
      </c>
      <c r="AN628" s="55">
        <f t="shared" si="566"/>
        <v>1.5674239004761906E-2</v>
      </c>
      <c r="AO628" s="55">
        <f t="shared" si="567"/>
        <v>3.1348478009523813E-3</v>
      </c>
      <c r="AP628" s="53">
        <v>7.1</v>
      </c>
      <c r="AQ628" s="53">
        <f t="shared" si="535"/>
        <v>4.26</v>
      </c>
      <c r="AR628" s="53">
        <f t="shared" si="536"/>
        <v>21.299999999999997</v>
      </c>
      <c r="AS628" s="56">
        <f t="shared" si="537"/>
        <v>4.6948356807511742E-2</v>
      </c>
      <c r="AT628" s="56">
        <f t="shared" si="568"/>
        <v>0.23474178403755869</v>
      </c>
      <c r="AU628" s="56">
        <f t="shared" si="538"/>
        <v>0.176056338028169</v>
      </c>
      <c r="AV628" s="56">
        <f t="shared" si="569"/>
        <v>5.8685446009389672E-2</v>
      </c>
      <c r="AW628" s="57" t="s">
        <v>2511</v>
      </c>
      <c r="AX628" s="57" t="s">
        <v>2512</v>
      </c>
      <c r="AY628" s="57" t="s">
        <v>2513</v>
      </c>
      <c r="AZ628" s="58">
        <f t="shared" si="570"/>
        <v>6.5831803820000007E-2</v>
      </c>
      <c r="BA628" s="59">
        <f t="shared" si="573"/>
        <v>3.863368768779343E-3</v>
      </c>
      <c r="BB628" s="59">
        <f t="shared" si="574"/>
        <v>1.1590106306338029E-2</v>
      </c>
      <c r="BC628" s="59">
        <f t="shared" si="575"/>
        <v>3.0906950150234747E-3</v>
      </c>
      <c r="BD628" s="60">
        <f t="shared" si="571"/>
        <v>1.0416666666666666E-2</v>
      </c>
      <c r="BE628" s="59">
        <f t="shared" si="572"/>
        <v>2.0833333333333332E-2</v>
      </c>
      <c r="BQ628" s="61">
        <v>3000</v>
      </c>
      <c r="BR628" s="61">
        <v>1200</v>
      </c>
      <c r="BS628" s="28">
        <f t="shared" si="539"/>
        <v>2980</v>
      </c>
      <c r="BT628" s="28">
        <f t="shared" si="540"/>
        <v>1180</v>
      </c>
      <c r="BU628" s="28" t="s">
        <v>2541</v>
      </c>
      <c r="BV628" s="28">
        <f t="shared" si="541"/>
        <v>282.495</v>
      </c>
      <c r="BW628" s="28">
        <f t="shared" si="542"/>
        <v>123.61799999999999</v>
      </c>
      <c r="BX628" s="13">
        <f t="shared" si="543"/>
        <v>10.548859271845519</v>
      </c>
      <c r="BY628" s="13">
        <f t="shared" si="544"/>
        <v>10</v>
      </c>
      <c r="BZ628" s="13">
        <f t="shared" si="545"/>
        <v>9.5455354398226806</v>
      </c>
      <c r="CA628" s="13">
        <f t="shared" si="546"/>
        <v>9</v>
      </c>
      <c r="CB628" s="13">
        <f t="shared" si="547"/>
        <v>90</v>
      </c>
      <c r="CC628" s="62">
        <f t="shared" si="548"/>
        <v>1.1111111111111112E-2</v>
      </c>
      <c r="CD628" s="13">
        <f t="shared" si="549"/>
        <v>24.106521703958972</v>
      </c>
      <c r="CE628" s="13">
        <f t="shared" si="550"/>
        <v>24</v>
      </c>
      <c r="CF628" s="13">
        <f t="shared" si="551"/>
        <v>4.17706508079789</v>
      </c>
      <c r="CG628" s="13">
        <f t="shared" si="552"/>
        <v>4</v>
      </c>
      <c r="CH628" s="28">
        <f t="shared" si="553"/>
        <v>96</v>
      </c>
      <c r="CI628" s="62">
        <f t="shared" si="554"/>
        <v>1.0416666666666666E-2</v>
      </c>
      <c r="CJ628" s="59">
        <f t="shared" si="555"/>
        <v>1.0416666666666666E-2</v>
      </c>
      <c r="CL628" s="63">
        <v>6000</v>
      </c>
      <c r="CM628" s="63">
        <f t="shared" si="556"/>
        <v>277.495</v>
      </c>
      <c r="CN628" s="63">
        <f t="shared" si="557"/>
        <v>282.495</v>
      </c>
      <c r="CO628" s="63">
        <f t="shared" si="558"/>
        <v>21.239313970158765</v>
      </c>
      <c r="CP628" s="13">
        <f t="shared" si="559"/>
        <v>21</v>
      </c>
      <c r="CQ628" s="70">
        <f t="shared" si="560"/>
        <v>4.7619047619047616E-2</v>
      </c>
      <c r="CR628" s="69">
        <f t="shared" si="581"/>
        <v>9.5238095238095233E-2</v>
      </c>
    </row>
    <row r="629" spans="1:96" hidden="1" x14ac:dyDescent="0.25">
      <c r="A629" s="36">
        <v>2</v>
      </c>
      <c r="B629" s="37" t="s">
        <v>37</v>
      </c>
      <c r="C629" s="36" t="s">
        <v>1531</v>
      </c>
      <c r="D629" s="36" t="s">
        <v>2270</v>
      </c>
      <c r="E629" s="36" t="s">
        <v>52</v>
      </c>
      <c r="F629" s="38">
        <f t="shared" si="529"/>
        <v>1</v>
      </c>
      <c r="G629" s="36">
        <v>2</v>
      </c>
      <c r="H629" s="36">
        <f t="shared" si="582"/>
        <v>2</v>
      </c>
      <c r="I629" s="36">
        <v>71</v>
      </c>
      <c r="J629" s="37" t="s">
        <v>1529</v>
      </c>
      <c r="K629" s="37" t="s">
        <v>34</v>
      </c>
      <c r="L629" s="36">
        <v>0</v>
      </c>
      <c r="M629" s="37" t="s">
        <v>35</v>
      </c>
      <c r="N629" s="36" t="s">
        <v>1532</v>
      </c>
      <c r="O629" s="28" t="s">
        <v>41</v>
      </c>
      <c r="P629" s="28" t="s">
        <v>41</v>
      </c>
      <c r="Q629" s="28" t="s">
        <v>116</v>
      </c>
      <c r="R629" s="30">
        <v>2.3199999999999998</v>
      </c>
      <c r="S629" s="30">
        <v>2.12</v>
      </c>
      <c r="T629" s="30"/>
      <c r="U629" s="30">
        <v>0.11799999999999999</v>
      </c>
      <c r="V629" s="8">
        <f t="shared" si="530"/>
        <v>58.92799999999999</v>
      </c>
      <c r="W629" s="8">
        <f t="shared" si="531"/>
        <v>53.847999999999999</v>
      </c>
      <c r="X629" s="8">
        <f t="shared" si="532"/>
        <v>0</v>
      </c>
      <c r="Y629" s="33">
        <f t="shared" si="533"/>
        <v>2.9971999999999999</v>
      </c>
      <c r="Z629" s="28" t="s">
        <v>56</v>
      </c>
      <c r="AA629" s="28" t="s">
        <v>57</v>
      </c>
      <c r="AB629" s="28" t="s">
        <v>116</v>
      </c>
      <c r="AC629" s="31" t="s">
        <v>117</v>
      </c>
      <c r="AD629" s="50">
        <f t="shared" si="534"/>
        <v>2</v>
      </c>
      <c r="AE629" s="31"/>
      <c r="AF629" s="51">
        <v>14</v>
      </c>
      <c r="AG629" s="51">
        <f t="shared" si="562"/>
        <v>8.4</v>
      </c>
      <c r="AH629" s="51">
        <f t="shared" si="528"/>
        <v>42</v>
      </c>
      <c r="AI629" s="52" t="s">
        <v>2497</v>
      </c>
      <c r="AJ629" s="52" t="s">
        <v>2498</v>
      </c>
      <c r="AK629" s="53">
        <f t="shared" si="563"/>
        <v>6.3463098879999987E-3</v>
      </c>
      <c r="AL629" s="54">
        <f t="shared" si="564"/>
        <v>0.11904761904761904</v>
      </c>
      <c r="AM629" s="54">
        <f t="shared" si="565"/>
        <v>2.3809523809523808E-2</v>
      </c>
      <c r="AN629" s="55">
        <f t="shared" si="566"/>
        <v>1.5110261638095234E-3</v>
      </c>
      <c r="AO629" s="55">
        <f t="shared" si="567"/>
        <v>3.0220523276190469E-4</v>
      </c>
      <c r="AP629" s="53">
        <v>7.1</v>
      </c>
      <c r="AQ629" s="53">
        <f t="shared" si="535"/>
        <v>4.26</v>
      </c>
      <c r="AR629" s="53">
        <f t="shared" si="536"/>
        <v>21.299999999999997</v>
      </c>
      <c r="AS629" s="56">
        <f t="shared" si="537"/>
        <v>4.6948356807511742E-2</v>
      </c>
      <c r="AT629" s="56">
        <f t="shared" si="568"/>
        <v>0.23474178403755869</v>
      </c>
      <c r="AU629" s="56">
        <f t="shared" si="538"/>
        <v>0.176056338028169</v>
      </c>
      <c r="AV629" s="56">
        <f t="shared" si="569"/>
        <v>5.8685446009389672E-2</v>
      </c>
      <c r="AW629" s="57" t="s">
        <v>2511</v>
      </c>
      <c r="AX629" s="57" t="s">
        <v>2512</v>
      </c>
      <c r="AY629" s="57" t="s">
        <v>2513</v>
      </c>
      <c r="AZ629" s="58">
        <f t="shared" si="570"/>
        <v>6.3463098879999987E-3</v>
      </c>
      <c r="BA629" s="59">
        <f t="shared" si="573"/>
        <v>3.7243602629107974E-4</v>
      </c>
      <c r="BB629" s="59">
        <f t="shared" si="574"/>
        <v>1.1173080788732391E-3</v>
      </c>
      <c r="BC629" s="59">
        <f t="shared" si="575"/>
        <v>2.9794882103286379E-4</v>
      </c>
      <c r="BD629" s="60">
        <f t="shared" si="571"/>
        <v>1.0869565217391304E-3</v>
      </c>
      <c r="BE629" s="59">
        <f t="shared" si="572"/>
        <v>2.1739130434782609E-3</v>
      </c>
      <c r="BQ629" s="61">
        <v>3000</v>
      </c>
      <c r="BR629" s="61">
        <v>1200</v>
      </c>
      <c r="BS629" s="28">
        <f t="shared" si="539"/>
        <v>2980</v>
      </c>
      <c r="BT629" s="28">
        <f t="shared" si="540"/>
        <v>1180</v>
      </c>
      <c r="BU629" s="28" t="s">
        <v>2541</v>
      </c>
      <c r="BV629" s="28">
        <f t="shared" si="541"/>
        <v>63.92799999999999</v>
      </c>
      <c r="BW629" s="28">
        <f t="shared" si="542"/>
        <v>58.847999999999999</v>
      </c>
      <c r="BX629" s="13">
        <f t="shared" si="543"/>
        <v>46.614941809535736</v>
      </c>
      <c r="BY629" s="13">
        <f t="shared" si="544"/>
        <v>46</v>
      </c>
      <c r="BZ629" s="13">
        <f t="shared" si="545"/>
        <v>20.051658510059816</v>
      </c>
      <c r="CA629" s="13">
        <f t="shared" si="546"/>
        <v>20</v>
      </c>
      <c r="CB629" s="13">
        <f t="shared" si="547"/>
        <v>920</v>
      </c>
      <c r="CC629" s="62">
        <f t="shared" si="548"/>
        <v>1.0869565217391304E-3</v>
      </c>
      <c r="CD629" s="13">
        <f t="shared" si="549"/>
        <v>50.638934203371399</v>
      </c>
      <c r="CE629" s="13">
        <f t="shared" si="550"/>
        <v>50</v>
      </c>
      <c r="CF629" s="13">
        <f t="shared" si="551"/>
        <v>18.458265548742339</v>
      </c>
      <c r="CG629" s="13">
        <f t="shared" si="552"/>
        <v>18</v>
      </c>
      <c r="CH629" s="28">
        <f t="shared" si="553"/>
        <v>900</v>
      </c>
      <c r="CI629" s="62">
        <f t="shared" si="554"/>
        <v>1.1111111111111111E-3</v>
      </c>
      <c r="CJ629" s="59">
        <f t="shared" si="555"/>
        <v>1.0869565217391304E-3</v>
      </c>
      <c r="CL629" s="63">
        <v>6000</v>
      </c>
      <c r="CM629" s="63">
        <f t="shared" si="556"/>
        <v>58.92799999999999</v>
      </c>
      <c r="CN629" s="63">
        <f t="shared" si="557"/>
        <v>63.92799999999999</v>
      </c>
      <c r="CO629" s="63">
        <f t="shared" si="558"/>
        <v>93.855587535977989</v>
      </c>
      <c r="CP629" s="13">
        <f t="shared" si="559"/>
        <v>93</v>
      </c>
      <c r="CQ629" s="70">
        <f t="shared" si="560"/>
        <v>1.0752688172043012E-2</v>
      </c>
      <c r="CR629" s="69">
        <f t="shared" si="581"/>
        <v>2.1505376344086023E-2</v>
      </c>
    </row>
    <row r="630" spans="1:96" hidden="1" x14ac:dyDescent="0.25">
      <c r="A630" s="36">
        <v>2</v>
      </c>
      <c r="B630" s="37" t="s">
        <v>37</v>
      </c>
      <c r="C630" s="36" t="s">
        <v>1533</v>
      </c>
      <c r="D630" s="36" t="s">
        <v>2270</v>
      </c>
      <c r="E630" s="36" t="s">
        <v>52</v>
      </c>
      <c r="F630" s="38">
        <f t="shared" si="529"/>
        <v>1</v>
      </c>
      <c r="G630" s="36">
        <v>1</v>
      </c>
      <c r="H630" s="36">
        <f t="shared" si="582"/>
        <v>1</v>
      </c>
      <c r="I630" s="36">
        <v>75</v>
      </c>
      <c r="J630" s="37" t="s">
        <v>1534</v>
      </c>
      <c r="K630" s="37" t="s">
        <v>34</v>
      </c>
      <c r="L630" s="36">
        <v>0</v>
      </c>
      <c r="M630" s="37" t="s">
        <v>35</v>
      </c>
      <c r="N630" s="36" t="s">
        <v>1535</v>
      </c>
      <c r="O630" s="28" t="s">
        <v>41</v>
      </c>
      <c r="P630" s="28" t="s">
        <v>41</v>
      </c>
      <c r="Q630" s="28" t="s">
        <v>124</v>
      </c>
      <c r="R630" s="30">
        <v>1.9685039370078741</v>
      </c>
      <c r="S630" s="30">
        <v>0.47244094488188981</v>
      </c>
      <c r="T630" s="30"/>
      <c r="U630" s="30">
        <v>9.8000000000000004E-2</v>
      </c>
      <c r="V630" s="8">
        <f t="shared" si="530"/>
        <v>50</v>
      </c>
      <c r="W630" s="8">
        <f t="shared" si="531"/>
        <v>12</v>
      </c>
      <c r="X630" s="8">
        <f t="shared" si="532"/>
        <v>0</v>
      </c>
      <c r="Y630" s="33">
        <f t="shared" si="533"/>
        <v>2.4891999999999999</v>
      </c>
      <c r="Z630" s="28" t="s">
        <v>56</v>
      </c>
      <c r="AA630" s="28" t="s">
        <v>57</v>
      </c>
      <c r="AB630" s="61" t="s">
        <v>124</v>
      </c>
      <c r="AC630" s="31" t="s">
        <v>125</v>
      </c>
      <c r="AD630" s="50">
        <f t="shared" si="534"/>
        <v>1</v>
      </c>
      <c r="AE630" s="47" t="s">
        <v>107</v>
      </c>
      <c r="AF630" s="51">
        <v>14</v>
      </c>
      <c r="AG630" s="51">
        <f t="shared" si="562"/>
        <v>8.4</v>
      </c>
      <c r="AH630" s="51">
        <f t="shared" si="528"/>
        <v>42</v>
      </c>
      <c r="AI630" s="52" t="s">
        <v>2497</v>
      </c>
      <c r="AJ630" s="52" t="s">
        <v>2498</v>
      </c>
      <c r="AK630" s="53">
        <f t="shared" si="563"/>
        <v>1.1999999999999999E-3</v>
      </c>
      <c r="AL630" s="54">
        <f t="shared" si="564"/>
        <v>0.11904761904761904</v>
      </c>
      <c r="AM630" s="54">
        <f t="shared" si="565"/>
        <v>2.3809523809523808E-2</v>
      </c>
      <c r="AN630" s="55">
        <f t="shared" si="566"/>
        <v>1.4285714285714284E-4</v>
      </c>
      <c r="AO630" s="55">
        <f t="shared" si="567"/>
        <v>2.8571428571428567E-5</v>
      </c>
      <c r="AP630" s="53">
        <v>7.1</v>
      </c>
      <c r="AQ630" s="53">
        <f t="shared" si="535"/>
        <v>4.26</v>
      </c>
      <c r="AR630" s="53">
        <f t="shared" si="536"/>
        <v>21.299999999999997</v>
      </c>
      <c r="AS630" s="56">
        <f t="shared" si="537"/>
        <v>4.6948356807511742E-2</v>
      </c>
      <c r="AT630" s="56">
        <f t="shared" si="568"/>
        <v>0.23474178403755869</v>
      </c>
      <c r="AU630" s="56">
        <f t="shared" si="538"/>
        <v>0.176056338028169</v>
      </c>
      <c r="AV630" s="56">
        <f t="shared" si="569"/>
        <v>5.8685446009389672E-2</v>
      </c>
      <c r="AW630" s="57" t="s">
        <v>2511</v>
      </c>
      <c r="AX630" s="57" t="s">
        <v>2512</v>
      </c>
      <c r="AY630" s="57" t="s">
        <v>2513</v>
      </c>
      <c r="AZ630" s="58">
        <f t="shared" si="570"/>
        <v>1.1999999999999999E-3</v>
      </c>
      <c r="BA630" s="59">
        <f t="shared" si="573"/>
        <v>3.5211267605633798E-5</v>
      </c>
      <c r="BB630" s="59">
        <f t="shared" si="574"/>
        <v>1.0563380281690139E-4</v>
      </c>
      <c r="BC630" s="59">
        <f t="shared" si="575"/>
        <v>2.8169014084507043E-5</v>
      </c>
      <c r="BD630" s="60">
        <f t="shared" si="571"/>
        <v>2.6838432635534085E-4</v>
      </c>
      <c r="BE630" s="59">
        <f t="shared" si="572"/>
        <v>2.6838432635534085E-4</v>
      </c>
      <c r="BQ630" s="61">
        <v>3000</v>
      </c>
      <c r="BR630" s="61">
        <v>1200</v>
      </c>
      <c r="BS630" s="28">
        <f t="shared" si="539"/>
        <v>2980</v>
      </c>
      <c r="BT630" s="28">
        <f t="shared" si="540"/>
        <v>1180</v>
      </c>
      <c r="BU630" s="28" t="s">
        <v>2541</v>
      </c>
      <c r="BV630" s="28">
        <f t="shared" si="541"/>
        <v>55</v>
      </c>
      <c r="BW630" s="28">
        <f t="shared" si="542"/>
        <v>17</v>
      </c>
      <c r="BX630" s="13">
        <f t="shared" si="543"/>
        <v>54.18181818181818</v>
      </c>
      <c r="BY630" s="13">
        <f t="shared" si="544"/>
        <v>54</v>
      </c>
      <c r="BZ630" s="13">
        <f t="shared" si="545"/>
        <v>69.411764705882348</v>
      </c>
      <c r="CA630" s="13">
        <f t="shared" si="546"/>
        <v>69</v>
      </c>
      <c r="CB630" s="13">
        <f t="shared" si="547"/>
        <v>3726</v>
      </c>
      <c r="CC630" s="62">
        <f t="shared" si="548"/>
        <v>2.6838432635534085E-4</v>
      </c>
      <c r="CD630" s="13">
        <f t="shared" si="549"/>
        <v>175.29411764705881</v>
      </c>
      <c r="CE630" s="13">
        <f t="shared" si="550"/>
        <v>175</v>
      </c>
      <c r="CF630" s="13">
        <f t="shared" si="551"/>
        <v>21.454545454545453</v>
      </c>
      <c r="CG630" s="13">
        <f t="shared" si="552"/>
        <v>21</v>
      </c>
      <c r="CH630" s="28">
        <f t="shared" si="553"/>
        <v>3675</v>
      </c>
      <c r="CI630" s="62">
        <f t="shared" si="554"/>
        <v>2.7210884353741496E-4</v>
      </c>
      <c r="CJ630" s="59">
        <f t="shared" si="555"/>
        <v>2.6838432635534085E-4</v>
      </c>
      <c r="CL630" s="63">
        <v>6000</v>
      </c>
      <c r="CM630" s="63">
        <f t="shared" si="556"/>
        <v>50</v>
      </c>
      <c r="CN630" s="63">
        <f t="shared" si="557"/>
        <v>55</v>
      </c>
      <c r="CO630" s="63">
        <f t="shared" si="558"/>
        <v>109.09090909090909</v>
      </c>
      <c r="CP630" s="13">
        <f t="shared" si="559"/>
        <v>109</v>
      </c>
      <c r="CQ630" s="70">
        <f t="shared" si="560"/>
        <v>9.1743119266055051E-3</v>
      </c>
      <c r="CR630" s="69">
        <f t="shared" si="581"/>
        <v>9.1743119266055051E-3</v>
      </c>
    </row>
    <row r="631" spans="1:96" hidden="1" x14ac:dyDescent="0.25">
      <c r="A631" s="36">
        <v>2</v>
      </c>
      <c r="B631" s="37" t="s">
        <v>37</v>
      </c>
      <c r="C631" s="36" t="s">
        <v>530</v>
      </c>
      <c r="D631" s="36" t="s">
        <v>532</v>
      </c>
      <c r="E631" s="36" t="s">
        <v>52</v>
      </c>
      <c r="F631" s="38">
        <f t="shared" si="529"/>
        <v>21</v>
      </c>
      <c r="G631" s="36">
        <v>9</v>
      </c>
      <c r="H631" s="36">
        <f t="shared" si="582"/>
        <v>9</v>
      </c>
      <c r="I631" s="36">
        <v>84</v>
      </c>
      <c r="J631" s="37" t="s">
        <v>531</v>
      </c>
      <c r="K631" s="37" t="s">
        <v>34</v>
      </c>
      <c r="L631" s="36" t="s">
        <v>110</v>
      </c>
      <c r="M631" s="37" t="s">
        <v>35</v>
      </c>
      <c r="N631" s="36" t="s">
        <v>532</v>
      </c>
      <c r="O631" s="28" t="s">
        <v>41</v>
      </c>
      <c r="P631" s="28" t="s">
        <v>41</v>
      </c>
      <c r="Q631" s="28"/>
      <c r="R631" s="30"/>
      <c r="S631" s="30"/>
      <c r="T631" s="30"/>
      <c r="U631" s="30"/>
      <c r="V631" s="8">
        <f t="shared" si="530"/>
        <v>0</v>
      </c>
      <c r="W631" s="8">
        <f t="shared" si="531"/>
        <v>0</v>
      </c>
      <c r="X631" s="8">
        <f t="shared" si="532"/>
        <v>0</v>
      </c>
      <c r="Y631" s="33">
        <f t="shared" si="533"/>
        <v>0</v>
      </c>
      <c r="Z631" s="28"/>
      <c r="AA631" s="28"/>
      <c r="AB631" s="28">
        <v>0</v>
      </c>
      <c r="AC631" s="31"/>
      <c r="AD631" s="50">
        <f t="shared" si="534"/>
        <v>9</v>
      </c>
      <c r="AE631" s="31"/>
      <c r="AF631" s="51">
        <v>14</v>
      </c>
      <c r="AG631" s="51">
        <f t="shared" si="562"/>
        <v>8.4</v>
      </c>
      <c r="AH631" s="51">
        <f t="shared" si="528"/>
        <v>42</v>
      </c>
      <c r="AI631" s="52" t="s">
        <v>2497</v>
      </c>
      <c r="AJ631" s="52" t="s">
        <v>2498</v>
      </c>
      <c r="AK631" s="53">
        <f t="shared" si="563"/>
        <v>0</v>
      </c>
      <c r="AL631" s="54">
        <f t="shared" si="564"/>
        <v>0.11904761904761904</v>
      </c>
      <c r="AM631" s="54">
        <f t="shared" si="565"/>
        <v>2.3809523809523808E-2</v>
      </c>
      <c r="AN631" s="55">
        <f t="shared" si="566"/>
        <v>0</v>
      </c>
      <c r="AO631" s="55">
        <f t="shared" si="567"/>
        <v>0</v>
      </c>
      <c r="AP631" s="53">
        <v>7.1</v>
      </c>
      <c r="AQ631" s="53">
        <f t="shared" si="535"/>
        <v>4.26</v>
      </c>
      <c r="AR631" s="53">
        <f t="shared" si="536"/>
        <v>21.299999999999997</v>
      </c>
      <c r="AS631" s="56">
        <f t="shared" si="537"/>
        <v>4.6948356807511742E-2</v>
      </c>
      <c r="AT631" s="56">
        <f t="shared" si="568"/>
        <v>0.23474178403755869</v>
      </c>
      <c r="AU631" s="56">
        <f t="shared" si="538"/>
        <v>0.176056338028169</v>
      </c>
      <c r="AV631" s="56">
        <f t="shared" si="569"/>
        <v>5.8685446009389672E-2</v>
      </c>
      <c r="AW631" s="57" t="s">
        <v>2511</v>
      </c>
      <c r="AX631" s="57" t="s">
        <v>2512</v>
      </c>
      <c r="AY631" s="57" t="s">
        <v>2513</v>
      </c>
      <c r="AZ631" s="58">
        <f t="shared" si="570"/>
        <v>0</v>
      </c>
      <c r="BA631" s="59">
        <f t="shared" si="573"/>
        <v>0</v>
      </c>
      <c r="BB631" s="59">
        <f t="shared" si="574"/>
        <v>0</v>
      </c>
      <c r="BC631" s="59">
        <f t="shared" si="575"/>
        <v>0</v>
      </c>
      <c r="BD631" s="60">
        <f t="shared" si="571"/>
        <v>7.1095438516664771E-6</v>
      </c>
      <c r="BE631" s="59">
        <f t="shared" si="572"/>
        <v>6.39858946649983E-5</v>
      </c>
      <c r="BQ631" s="61">
        <v>3000</v>
      </c>
      <c r="BR631" s="61">
        <v>1200</v>
      </c>
      <c r="BS631" s="28">
        <f t="shared" si="539"/>
        <v>2980</v>
      </c>
      <c r="BT631" s="28">
        <f t="shared" si="540"/>
        <v>1180</v>
      </c>
      <c r="BU631" s="28" t="s">
        <v>2541</v>
      </c>
      <c r="BV631" s="28">
        <f t="shared" si="541"/>
        <v>5</v>
      </c>
      <c r="BW631" s="28">
        <f t="shared" si="542"/>
        <v>5</v>
      </c>
      <c r="BX631" s="13">
        <f t="shared" si="543"/>
        <v>596</v>
      </c>
      <c r="BY631" s="13">
        <f t="shared" si="544"/>
        <v>596</v>
      </c>
      <c r="BZ631" s="13">
        <f t="shared" si="545"/>
        <v>236</v>
      </c>
      <c r="CA631" s="13">
        <f t="shared" si="546"/>
        <v>236</v>
      </c>
      <c r="CB631" s="13">
        <f t="shared" si="547"/>
        <v>140656</v>
      </c>
      <c r="CC631" s="62">
        <f t="shared" si="548"/>
        <v>7.1095438516664771E-6</v>
      </c>
      <c r="CD631" s="13">
        <f t="shared" si="549"/>
        <v>596</v>
      </c>
      <c r="CE631" s="13">
        <f t="shared" si="550"/>
        <v>596</v>
      </c>
      <c r="CF631" s="13">
        <f t="shared" si="551"/>
        <v>236</v>
      </c>
      <c r="CG631" s="13">
        <f t="shared" si="552"/>
        <v>236</v>
      </c>
      <c r="CH631" s="28">
        <f t="shared" si="553"/>
        <v>140656</v>
      </c>
      <c r="CI631" s="62">
        <f t="shared" si="554"/>
        <v>7.1095438516664771E-6</v>
      </c>
      <c r="CJ631" s="59">
        <f t="shared" si="555"/>
        <v>7.1095438516664771E-6</v>
      </c>
      <c r="CL631" s="63">
        <v>6000</v>
      </c>
      <c r="CM631" s="63">
        <f t="shared" si="556"/>
        <v>0</v>
      </c>
      <c r="CN631" s="63">
        <f t="shared" si="557"/>
        <v>5</v>
      </c>
      <c r="CO631" s="63">
        <f t="shared" si="558"/>
        <v>1200</v>
      </c>
      <c r="CP631" s="13">
        <f t="shared" si="559"/>
        <v>1200</v>
      </c>
      <c r="CQ631" s="70">
        <f t="shared" si="560"/>
        <v>8.3333333333333339E-4</v>
      </c>
      <c r="CR631" s="69">
        <f t="shared" si="581"/>
        <v>7.5000000000000006E-3</v>
      </c>
    </row>
    <row r="632" spans="1:96" hidden="1" x14ac:dyDescent="0.25">
      <c r="A632" s="10">
        <v>3</v>
      </c>
      <c r="B632" s="8" t="s">
        <v>1536</v>
      </c>
      <c r="C632" s="10" t="s">
        <v>534</v>
      </c>
      <c r="D632" s="10" t="s">
        <v>2270</v>
      </c>
      <c r="E632" s="10" t="s">
        <v>52</v>
      </c>
      <c r="F632" s="12">
        <f t="shared" si="529"/>
        <v>21</v>
      </c>
      <c r="G632" s="10">
        <v>1</v>
      </c>
      <c r="H632" s="10">
        <f>G632*$H$631</f>
        <v>9</v>
      </c>
      <c r="I632" s="10">
        <v>1</v>
      </c>
      <c r="J632" s="8" t="s">
        <v>101</v>
      </c>
      <c r="K632" s="8" t="s">
        <v>34</v>
      </c>
      <c r="L632" s="10" t="s">
        <v>110</v>
      </c>
      <c r="M632" s="8" t="s">
        <v>35</v>
      </c>
      <c r="N632" s="10" t="s">
        <v>535</v>
      </c>
      <c r="O632" s="28" t="s">
        <v>41</v>
      </c>
      <c r="P632" s="28" t="s">
        <v>41</v>
      </c>
      <c r="Q632" s="28" t="s">
        <v>535</v>
      </c>
      <c r="R632" s="30">
        <v>0.98</v>
      </c>
      <c r="S632" s="30">
        <v>0.98</v>
      </c>
      <c r="T632" s="30"/>
      <c r="U632" s="30">
        <v>0.11811023622047245</v>
      </c>
      <c r="V632" s="8">
        <f t="shared" si="530"/>
        <v>24.891999999999999</v>
      </c>
      <c r="W632" s="8">
        <f t="shared" si="531"/>
        <v>24.891999999999999</v>
      </c>
      <c r="X632" s="8">
        <f t="shared" si="532"/>
        <v>0</v>
      </c>
      <c r="Y632" s="33">
        <f t="shared" si="533"/>
        <v>3</v>
      </c>
      <c r="Z632" s="28" t="s">
        <v>536</v>
      </c>
      <c r="AA632" s="28" t="s">
        <v>537</v>
      </c>
      <c r="AB632" s="61" t="s">
        <v>535</v>
      </c>
      <c r="AC632" s="31" t="s">
        <v>538</v>
      </c>
      <c r="AD632" s="50">
        <f t="shared" si="534"/>
        <v>9</v>
      </c>
      <c r="AE632" s="31"/>
      <c r="AF632" s="51">
        <v>14</v>
      </c>
      <c r="AG632" s="51">
        <f t="shared" si="562"/>
        <v>8.4</v>
      </c>
      <c r="AH632" s="51">
        <f t="shared" si="528"/>
        <v>42</v>
      </c>
      <c r="AI632" s="52" t="s">
        <v>2497</v>
      </c>
      <c r="AJ632" s="52" t="s">
        <v>2498</v>
      </c>
      <c r="AK632" s="53">
        <f t="shared" si="563"/>
        <v>1.239223328E-3</v>
      </c>
      <c r="AL632" s="54">
        <f t="shared" si="564"/>
        <v>0.11904761904761904</v>
      </c>
      <c r="AM632" s="54">
        <f t="shared" si="565"/>
        <v>2.3809523809523808E-2</v>
      </c>
      <c r="AN632" s="55">
        <f t="shared" si="566"/>
        <v>1.3277392800000001E-3</v>
      </c>
      <c r="AO632" s="55">
        <f t="shared" si="567"/>
        <v>2.6554785599999998E-4</v>
      </c>
      <c r="AP632" s="53">
        <v>7.1</v>
      </c>
      <c r="AQ632" s="53">
        <f t="shared" si="535"/>
        <v>4.26</v>
      </c>
      <c r="AR632" s="53">
        <f t="shared" si="536"/>
        <v>21.299999999999997</v>
      </c>
      <c r="AS632" s="56">
        <f t="shared" si="537"/>
        <v>4.6948356807511742E-2</v>
      </c>
      <c r="AT632" s="56">
        <f t="shared" si="568"/>
        <v>0.23474178403755869</v>
      </c>
      <c r="AU632" s="56">
        <f t="shared" si="538"/>
        <v>0.176056338028169</v>
      </c>
      <c r="AV632" s="56">
        <f t="shared" si="569"/>
        <v>5.8685446009389672E-2</v>
      </c>
      <c r="AW632" s="57" t="s">
        <v>2511</v>
      </c>
      <c r="AX632" s="57" t="s">
        <v>2512</v>
      </c>
      <c r="AY632" s="57" t="s">
        <v>2513</v>
      </c>
      <c r="AZ632" s="58">
        <f t="shared" si="570"/>
        <v>1.239223328E-3</v>
      </c>
      <c r="BA632" s="59">
        <f t="shared" si="573"/>
        <v>3.2725968169014085E-4</v>
      </c>
      <c r="BB632" s="59">
        <f t="shared" si="574"/>
        <v>9.8177904507042255E-4</v>
      </c>
      <c r="BC632" s="59">
        <f t="shared" si="575"/>
        <v>2.6180774535211268E-4</v>
      </c>
      <c r="BD632" s="60">
        <f t="shared" si="571"/>
        <v>2.5900025900025902E-4</v>
      </c>
      <c r="BE632" s="59">
        <f t="shared" si="572"/>
        <v>2.331002331002331E-3</v>
      </c>
      <c r="BQ632" s="61">
        <v>3000</v>
      </c>
      <c r="BR632" s="61">
        <v>1200</v>
      </c>
      <c r="BS632" s="28">
        <f t="shared" si="539"/>
        <v>2980</v>
      </c>
      <c r="BT632" s="28">
        <f t="shared" si="540"/>
        <v>1180</v>
      </c>
      <c r="BU632" s="28" t="s">
        <v>2541</v>
      </c>
      <c r="BV632" s="28">
        <f t="shared" si="541"/>
        <v>29.891999999999999</v>
      </c>
      <c r="BW632" s="28">
        <f t="shared" si="542"/>
        <v>29.891999999999999</v>
      </c>
      <c r="BX632" s="13">
        <f t="shared" si="543"/>
        <v>99.692225344573799</v>
      </c>
      <c r="BY632" s="13">
        <f t="shared" si="544"/>
        <v>99</v>
      </c>
      <c r="BZ632" s="13">
        <f t="shared" si="545"/>
        <v>39.475444935099695</v>
      </c>
      <c r="CA632" s="13">
        <f t="shared" si="546"/>
        <v>39</v>
      </c>
      <c r="CB632" s="13">
        <f t="shared" si="547"/>
        <v>3861</v>
      </c>
      <c r="CC632" s="62">
        <f t="shared" si="548"/>
        <v>2.5900025900025902E-4</v>
      </c>
      <c r="CD632" s="13">
        <f t="shared" si="549"/>
        <v>99.692225344573799</v>
      </c>
      <c r="CE632" s="13">
        <f t="shared" si="550"/>
        <v>99</v>
      </c>
      <c r="CF632" s="13">
        <f t="shared" si="551"/>
        <v>39.475444935099695</v>
      </c>
      <c r="CG632" s="13">
        <f t="shared" si="552"/>
        <v>39</v>
      </c>
      <c r="CH632" s="28">
        <f t="shared" si="553"/>
        <v>3861</v>
      </c>
      <c r="CI632" s="62">
        <f t="shared" si="554"/>
        <v>2.5900025900025902E-4</v>
      </c>
      <c r="CJ632" s="59">
        <f t="shared" si="555"/>
        <v>2.5900025900025902E-4</v>
      </c>
      <c r="CL632" s="63">
        <v>6000</v>
      </c>
      <c r="CM632" s="63">
        <f t="shared" si="556"/>
        <v>24.891999999999999</v>
      </c>
      <c r="CN632" s="63">
        <f t="shared" si="557"/>
        <v>29.891999999999999</v>
      </c>
      <c r="CO632" s="63">
        <f t="shared" si="558"/>
        <v>200.72260136491369</v>
      </c>
      <c r="CP632" s="13">
        <f t="shared" si="559"/>
        <v>200</v>
      </c>
      <c r="CQ632" s="70">
        <f t="shared" si="560"/>
        <v>5.0000000000000001E-3</v>
      </c>
      <c r="CR632" s="69">
        <f t="shared" si="581"/>
        <v>4.4999999999999998E-2</v>
      </c>
    </row>
    <row r="633" spans="1:96" hidden="1" x14ac:dyDescent="0.25">
      <c r="A633" s="10">
        <v>3</v>
      </c>
      <c r="B633" s="8" t="s">
        <v>1536</v>
      </c>
      <c r="C633" s="10" t="s">
        <v>539</v>
      </c>
      <c r="D633" s="10" t="s">
        <v>2270</v>
      </c>
      <c r="E633" s="10" t="s">
        <v>52</v>
      </c>
      <c r="F633" s="12">
        <f t="shared" si="529"/>
        <v>21</v>
      </c>
      <c r="G633" s="10">
        <v>1</v>
      </c>
      <c r="H633" s="10">
        <f>G633*$H$631</f>
        <v>9</v>
      </c>
      <c r="I633" s="10">
        <v>2</v>
      </c>
      <c r="J633" s="8" t="s">
        <v>101</v>
      </c>
      <c r="K633" s="8" t="s">
        <v>34</v>
      </c>
      <c r="L633" s="10" t="s">
        <v>110</v>
      </c>
      <c r="M633" s="8" t="s">
        <v>35</v>
      </c>
      <c r="N633" s="10" t="s">
        <v>540</v>
      </c>
      <c r="O633" s="28" t="s">
        <v>41</v>
      </c>
      <c r="P633" s="28" t="s">
        <v>41</v>
      </c>
      <c r="Q633" s="28" t="s">
        <v>540</v>
      </c>
      <c r="R633" s="30">
        <v>0.98</v>
      </c>
      <c r="S633" s="30">
        <v>0.98</v>
      </c>
      <c r="T633" s="30"/>
      <c r="U633" s="30">
        <v>0.47244094488188981</v>
      </c>
      <c r="V633" s="8">
        <f t="shared" si="530"/>
        <v>24.891999999999999</v>
      </c>
      <c r="W633" s="8">
        <f t="shared" si="531"/>
        <v>24.891999999999999</v>
      </c>
      <c r="X633" s="8">
        <f t="shared" si="532"/>
        <v>0</v>
      </c>
      <c r="Y633" s="33">
        <f t="shared" si="533"/>
        <v>12</v>
      </c>
      <c r="Z633" s="28" t="s">
        <v>2477</v>
      </c>
      <c r="AA633" s="28" t="s">
        <v>2477</v>
      </c>
      <c r="AB633" s="61" t="s">
        <v>540</v>
      </c>
      <c r="AC633" s="31" t="s">
        <v>541</v>
      </c>
      <c r="AD633" s="50">
        <f t="shared" si="534"/>
        <v>9</v>
      </c>
      <c r="AE633" s="47" t="s">
        <v>107</v>
      </c>
      <c r="AF633" s="51">
        <v>14</v>
      </c>
      <c r="AG633" s="51">
        <f t="shared" si="562"/>
        <v>8.4</v>
      </c>
      <c r="AH633" s="51">
        <f t="shared" si="528"/>
        <v>42</v>
      </c>
      <c r="AI633" s="52" t="s">
        <v>2497</v>
      </c>
      <c r="AJ633" s="52" t="s">
        <v>2498</v>
      </c>
      <c r="AK633" s="53">
        <f t="shared" si="563"/>
        <v>1.239223328E-3</v>
      </c>
      <c r="AL633" s="54">
        <f t="shared" si="564"/>
        <v>0.11904761904761904</v>
      </c>
      <c r="AM633" s="54">
        <f t="shared" si="565"/>
        <v>2.3809523809523808E-2</v>
      </c>
      <c r="AN633" s="55">
        <f t="shared" si="566"/>
        <v>1.3277392800000001E-3</v>
      </c>
      <c r="AO633" s="55">
        <f t="shared" si="567"/>
        <v>2.6554785599999998E-4</v>
      </c>
      <c r="AP633" s="53">
        <v>7.1</v>
      </c>
      <c r="AQ633" s="53">
        <f t="shared" si="535"/>
        <v>4.26</v>
      </c>
      <c r="AR633" s="53">
        <f t="shared" si="536"/>
        <v>21.299999999999997</v>
      </c>
      <c r="AS633" s="56">
        <f t="shared" si="537"/>
        <v>4.6948356807511742E-2</v>
      </c>
      <c r="AT633" s="56">
        <f t="shared" si="568"/>
        <v>0.23474178403755869</v>
      </c>
      <c r="AU633" s="56">
        <f t="shared" si="538"/>
        <v>0.176056338028169</v>
      </c>
      <c r="AV633" s="56">
        <f t="shared" si="569"/>
        <v>5.8685446009389672E-2</v>
      </c>
      <c r="AW633" s="57" t="s">
        <v>2511</v>
      </c>
      <c r="AX633" s="57" t="s">
        <v>2512</v>
      </c>
      <c r="AY633" s="57" t="s">
        <v>2513</v>
      </c>
      <c r="AZ633" s="58">
        <f t="shared" si="570"/>
        <v>1.239223328E-3</v>
      </c>
      <c r="BA633" s="59">
        <f t="shared" si="573"/>
        <v>3.2725968169014085E-4</v>
      </c>
      <c r="BB633" s="59">
        <f t="shared" si="574"/>
        <v>9.8177904507042255E-4</v>
      </c>
      <c r="BC633" s="59">
        <f t="shared" si="575"/>
        <v>2.6180774535211268E-4</v>
      </c>
      <c r="BD633" s="60">
        <f t="shared" si="571"/>
        <v>2.5900025900025902E-4</v>
      </c>
      <c r="BE633" s="59">
        <f t="shared" si="572"/>
        <v>2.331002331002331E-3</v>
      </c>
      <c r="BQ633" s="61">
        <v>3000</v>
      </c>
      <c r="BR633" s="61">
        <v>1200</v>
      </c>
      <c r="BS633" s="28">
        <f t="shared" si="539"/>
        <v>2980</v>
      </c>
      <c r="BT633" s="28">
        <f t="shared" si="540"/>
        <v>1180</v>
      </c>
      <c r="BU633" s="28" t="s">
        <v>2541</v>
      </c>
      <c r="BV633" s="28">
        <f t="shared" si="541"/>
        <v>29.891999999999999</v>
      </c>
      <c r="BW633" s="28">
        <f t="shared" si="542"/>
        <v>29.891999999999999</v>
      </c>
      <c r="BX633" s="13">
        <f t="shared" si="543"/>
        <v>99.692225344573799</v>
      </c>
      <c r="BY633" s="13">
        <f t="shared" si="544"/>
        <v>99</v>
      </c>
      <c r="BZ633" s="13">
        <f t="shared" si="545"/>
        <v>39.475444935099695</v>
      </c>
      <c r="CA633" s="13">
        <f t="shared" si="546"/>
        <v>39</v>
      </c>
      <c r="CB633" s="13">
        <f t="shared" si="547"/>
        <v>3861</v>
      </c>
      <c r="CC633" s="62">
        <f t="shared" si="548"/>
        <v>2.5900025900025902E-4</v>
      </c>
      <c r="CD633" s="13">
        <f t="shared" si="549"/>
        <v>99.692225344573799</v>
      </c>
      <c r="CE633" s="13">
        <f t="shared" si="550"/>
        <v>99</v>
      </c>
      <c r="CF633" s="13">
        <f t="shared" si="551"/>
        <v>39.475444935099695</v>
      </c>
      <c r="CG633" s="13">
        <f t="shared" si="552"/>
        <v>39</v>
      </c>
      <c r="CH633" s="28">
        <f t="shared" si="553"/>
        <v>3861</v>
      </c>
      <c r="CI633" s="62">
        <f t="shared" si="554"/>
        <v>2.5900025900025902E-4</v>
      </c>
      <c r="CJ633" s="59">
        <f t="shared" si="555"/>
        <v>2.5900025900025902E-4</v>
      </c>
      <c r="CL633" s="63">
        <v>6000</v>
      </c>
      <c r="CM633" s="63">
        <f t="shared" si="556"/>
        <v>24.891999999999999</v>
      </c>
      <c r="CN633" s="63">
        <f t="shared" si="557"/>
        <v>29.891999999999999</v>
      </c>
      <c r="CO633" s="63">
        <f t="shared" si="558"/>
        <v>200.72260136491369</v>
      </c>
      <c r="CP633" s="13">
        <f t="shared" si="559"/>
        <v>200</v>
      </c>
      <c r="CQ633" s="70">
        <f t="shared" si="560"/>
        <v>5.0000000000000001E-3</v>
      </c>
      <c r="CR633" s="69">
        <f t="shared" si="581"/>
        <v>4.4999999999999998E-2</v>
      </c>
    </row>
    <row r="634" spans="1:96" hidden="1" x14ac:dyDescent="0.25">
      <c r="A634" s="36">
        <v>2</v>
      </c>
      <c r="B634" s="37" t="s">
        <v>37</v>
      </c>
      <c r="C634" s="36" t="s">
        <v>1537</v>
      </c>
      <c r="D634" s="36" t="s">
        <v>2270</v>
      </c>
      <c r="E634" s="36" t="s">
        <v>52</v>
      </c>
      <c r="F634" s="38">
        <f t="shared" si="529"/>
        <v>1</v>
      </c>
      <c r="G634" s="36">
        <v>1</v>
      </c>
      <c r="H634" s="36">
        <f t="shared" ref="H634:H653" si="583">G634*$H$3</f>
        <v>1</v>
      </c>
      <c r="I634" s="36">
        <v>86</v>
      </c>
      <c r="J634" s="37" t="s">
        <v>1538</v>
      </c>
      <c r="K634" s="37" t="s">
        <v>34</v>
      </c>
      <c r="L634" s="36">
        <v>0</v>
      </c>
      <c r="M634" s="37" t="s">
        <v>35</v>
      </c>
      <c r="N634" s="36" t="s">
        <v>1539</v>
      </c>
      <c r="O634" s="28" t="s">
        <v>41</v>
      </c>
      <c r="P634" s="28" t="s">
        <v>41</v>
      </c>
      <c r="Q634" s="28" t="s">
        <v>116</v>
      </c>
      <c r="R634" s="30">
        <v>12.007874015748031</v>
      </c>
      <c r="S634" s="30">
        <v>0.94488188976377963</v>
      </c>
      <c r="T634" s="30"/>
      <c r="U634" s="30">
        <v>0.11799999999999999</v>
      </c>
      <c r="V634" s="8">
        <f t="shared" si="530"/>
        <v>305</v>
      </c>
      <c r="W634" s="8">
        <f t="shared" si="531"/>
        <v>24</v>
      </c>
      <c r="X634" s="8">
        <f t="shared" si="532"/>
        <v>0</v>
      </c>
      <c r="Y634" s="33">
        <f t="shared" si="533"/>
        <v>2.9971999999999999</v>
      </c>
      <c r="Z634" s="28" t="s">
        <v>56</v>
      </c>
      <c r="AA634" s="28" t="s">
        <v>57</v>
      </c>
      <c r="AB634" s="28" t="s">
        <v>116</v>
      </c>
      <c r="AC634" s="31" t="s">
        <v>117</v>
      </c>
      <c r="AD634" s="50">
        <f t="shared" si="534"/>
        <v>1</v>
      </c>
      <c r="AE634" s="31"/>
      <c r="AF634" s="51">
        <v>14</v>
      </c>
      <c r="AG634" s="51">
        <f t="shared" si="562"/>
        <v>8.4</v>
      </c>
      <c r="AH634" s="51">
        <f t="shared" si="528"/>
        <v>42</v>
      </c>
      <c r="AI634" s="52" t="s">
        <v>2497</v>
      </c>
      <c r="AJ634" s="52" t="s">
        <v>2498</v>
      </c>
      <c r="AK634" s="53">
        <f t="shared" si="563"/>
        <v>1.464E-2</v>
      </c>
      <c r="AL634" s="54">
        <f t="shared" si="564"/>
        <v>0.11904761904761904</v>
      </c>
      <c r="AM634" s="54">
        <f t="shared" si="565"/>
        <v>2.3809523809523808E-2</v>
      </c>
      <c r="AN634" s="55">
        <f t="shared" si="566"/>
        <v>1.7428571428571428E-3</v>
      </c>
      <c r="AO634" s="55">
        <f t="shared" si="567"/>
        <v>3.4857142857142856E-4</v>
      </c>
      <c r="AP634" s="53">
        <v>7.1</v>
      </c>
      <c r="AQ634" s="53">
        <f t="shared" si="535"/>
        <v>4.26</v>
      </c>
      <c r="AR634" s="53">
        <f t="shared" si="536"/>
        <v>21.299999999999997</v>
      </c>
      <c r="AS634" s="56">
        <f t="shared" si="537"/>
        <v>4.6948356807511742E-2</v>
      </c>
      <c r="AT634" s="56">
        <f t="shared" si="568"/>
        <v>0.23474178403755869</v>
      </c>
      <c r="AU634" s="56">
        <f t="shared" si="538"/>
        <v>0.176056338028169</v>
      </c>
      <c r="AV634" s="56">
        <f t="shared" si="569"/>
        <v>5.8685446009389672E-2</v>
      </c>
      <c r="AW634" s="57" t="s">
        <v>2511</v>
      </c>
      <c r="AX634" s="57" t="s">
        <v>2512</v>
      </c>
      <c r="AY634" s="57" t="s">
        <v>2513</v>
      </c>
      <c r="AZ634" s="58">
        <f t="shared" si="570"/>
        <v>1.464E-2</v>
      </c>
      <c r="BA634" s="59">
        <f t="shared" si="573"/>
        <v>4.295774647887324E-4</v>
      </c>
      <c r="BB634" s="59">
        <f t="shared" si="574"/>
        <v>1.2887323943661971E-3</v>
      </c>
      <c r="BC634" s="59">
        <f t="shared" si="575"/>
        <v>3.4366197183098595E-4</v>
      </c>
      <c r="BD634" s="60">
        <f t="shared" si="571"/>
        <v>2.7777777777777779E-3</v>
      </c>
      <c r="BE634" s="59">
        <f t="shared" si="572"/>
        <v>2.7777777777777779E-3</v>
      </c>
      <c r="BQ634" s="61">
        <v>3000</v>
      </c>
      <c r="BR634" s="61">
        <v>1200</v>
      </c>
      <c r="BS634" s="28">
        <f t="shared" si="539"/>
        <v>2980</v>
      </c>
      <c r="BT634" s="28">
        <f t="shared" si="540"/>
        <v>1180</v>
      </c>
      <c r="BU634" s="28" t="s">
        <v>2541</v>
      </c>
      <c r="BV634" s="28">
        <f t="shared" si="541"/>
        <v>310</v>
      </c>
      <c r="BW634" s="28">
        <f t="shared" si="542"/>
        <v>29</v>
      </c>
      <c r="BX634" s="13">
        <f t="shared" si="543"/>
        <v>9.612903225806452</v>
      </c>
      <c r="BY634" s="13">
        <f t="shared" si="544"/>
        <v>9</v>
      </c>
      <c r="BZ634" s="13">
        <f t="shared" si="545"/>
        <v>40.689655172413794</v>
      </c>
      <c r="CA634" s="13">
        <f t="shared" si="546"/>
        <v>40</v>
      </c>
      <c r="CB634" s="13">
        <f t="shared" si="547"/>
        <v>360</v>
      </c>
      <c r="CC634" s="62">
        <f t="shared" si="548"/>
        <v>2.7777777777777779E-3</v>
      </c>
      <c r="CD634" s="13">
        <f t="shared" si="549"/>
        <v>102.75862068965517</v>
      </c>
      <c r="CE634" s="13">
        <f t="shared" si="550"/>
        <v>102</v>
      </c>
      <c r="CF634" s="13">
        <f t="shared" si="551"/>
        <v>3.806451612903226</v>
      </c>
      <c r="CG634" s="13">
        <f t="shared" si="552"/>
        <v>3</v>
      </c>
      <c r="CH634" s="28">
        <f t="shared" si="553"/>
        <v>306</v>
      </c>
      <c r="CI634" s="62">
        <f t="shared" si="554"/>
        <v>3.2679738562091504E-3</v>
      </c>
      <c r="CJ634" s="59">
        <f t="shared" si="555"/>
        <v>2.7777777777777779E-3</v>
      </c>
      <c r="CL634" s="63">
        <v>6000</v>
      </c>
      <c r="CM634" s="63">
        <f t="shared" si="556"/>
        <v>305</v>
      </c>
      <c r="CN634" s="63">
        <f t="shared" si="557"/>
        <v>310</v>
      </c>
      <c r="CO634" s="63">
        <f t="shared" si="558"/>
        <v>19.35483870967742</v>
      </c>
      <c r="CP634" s="13">
        <f t="shared" si="559"/>
        <v>19</v>
      </c>
      <c r="CQ634" s="70">
        <f t="shared" si="560"/>
        <v>5.2631578947368418E-2</v>
      </c>
      <c r="CR634" s="69">
        <f t="shared" si="581"/>
        <v>5.2631578947368418E-2</v>
      </c>
    </row>
    <row r="635" spans="1:96" hidden="1" x14ac:dyDescent="0.25">
      <c r="A635" s="36">
        <v>2</v>
      </c>
      <c r="B635" s="37" t="s">
        <v>37</v>
      </c>
      <c r="C635" s="36" t="s">
        <v>1540</v>
      </c>
      <c r="D635" s="36" t="s">
        <v>2270</v>
      </c>
      <c r="E635" s="36" t="s">
        <v>52</v>
      </c>
      <c r="F635" s="38">
        <f t="shared" si="529"/>
        <v>1</v>
      </c>
      <c r="G635" s="36">
        <v>1</v>
      </c>
      <c r="H635" s="36">
        <f t="shared" si="583"/>
        <v>1</v>
      </c>
      <c r="I635" s="36">
        <v>87</v>
      </c>
      <c r="J635" s="37" t="s">
        <v>1541</v>
      </c>
      <c r="K635" s="37" t="s">
        <v>34</v>
      </c>
      <c r="L635" s="36">
        <v>0</v>
      </c>
      <c r="M635" s="37" t="s">
        <v>35</v>
      </c>
      <c r="N635" s="36" t="s">
        <v>1542</v>
      </c>
      <c r="O635" s="28" t="s">
        <v>41</v>
      </c>
      <c r="P635" s="28" t="s">
        <v>41</v>
      </c>
      <c r="Q635" s="28" t="s">
        <v>116</v>
      </c>
      <c r="R635" s="30">
        <v>4.8031496062992129</v>
      </c>
      <c r="S635" s="30">
        <v>2.9527559055118111</v>
      </c>
      <c r="T635" s="30"/>
      <c r="U635" s="30">
        <v>0.11799999999999999</v>
      </c>
      <c r="V635" s="8">
        <f t="shared" si="530"/>
        <v>122</v>
      </c>
      <c r="W635" s="8">
        <f t="shared" si="531"/>
        <v>75</v>
      </c>
      <c r="X635" s="8">
        <f t="shared" si="532"/>
        <v>0</v>
      </c>
      <c r="Y635" s="33">
        <f t="shared" si="533"/>
        <v>2.9971999999999999</v>
      </c>
      <c r="Z635" s="28" t="s">
        <v>56</v>
      </c>
      <c r="AA635" s="28" t="s">
        <v>57</v>
      </c>
      <c r="AB635" s="28" t="s">
        <v>116</v>
      </c>
      <c r="AC635" s="31" t="s">
        <v>117</v>
      </c>
      <c r="AD635" s="50">
        <f t="shared" si="534"/>
        <v>1</v>
      </c>
      <c r="AE635" s="31"/>
      <c r="AF635" s="51">
        <v>14</v>
      </c>
      <c r="AG635" s="51">
        <f t="shared" si="562"/>
        <v>8.4</v>
      </c>
      <c r="AH635" s="51">
        <f t="shared" si="528"/>
        <v>42</v>
      </c>
      <c r="AI635" s="52" t="s">
        <v>2497</v>
      </c>
      <c r="AJ635" s="52" t="s">
        <v>2498</v>
      </c>
      <c r="AK635" s="53">
        <f t="shared" si="563"/>
        <v>1.83E-2</v>
      </c>
      <c r="AL635" s="54">
        <f t="shared" si="564"/>
        <v>0.11904761904761904</v>
      </c>
      <c r="AM635" s="54">
        <f t="shared" si="565"/>
        <v>2.3809523809523808E-2</v>
      </c>
      <c r="AN635" s="55">
        <f t="shared" si="566"/>
        <v>2.1785714285714286E-3</v>
      </c>
      <c r="AO635" s="55">
        <f t="shared" si="567"/>
        <v>4.357142857142857E-4</v>
      </c>
      <c r="AP635" s="53">
        <v>7.1</v>
      </c>
      <c r="AQ635" s="53">
        <f t="shared" si="535"/>
        <v>4.26</v>
      </c>
      <c r="AR635" s="53">
        <f t="shared" si="536"/>
        <v>21.299999999999997</v>
      </c>
      <c r="AS635" s="56">
        <f t="shared" si="537"/>
        <v>4.6948356807511742E-2</v>
      </c>
      <c r="AT635" s="56">
        <f t="shared" si="568"/>
        <v>0.23474178403755869</v>
      </c>
      <c r="AU635" s="56">
        <f t="shared" si="538"/>
        <v>0.176056338028169</v>
      </c>
      <c r="AV635" s="56">
        <f t="shared" si="569"/>
        <v>5.8685446009389672E-2</v>
      </c>
      <c r="AW635" s="57" t="s">
        <v>2511</v>
      </c>
      <c r="AX635" s="57" t="s">
        <v>2512</v>
      </c>
      <c r="AY635" s="57" t="s">
        <v>2513</v>
      </c>
      <c r="AZ635" s="58">
        <f t="shared" si="570"/>
        <v>1.83E-2</v>
      </c>
      <c r="BA635" s="59">
        <f t="shared" si="573"/>
        <v>5.3697183098591551E-4</v>
      </c>
      <c r="BB635" s="59">
        <f t="shared" si="574"/>
        <v>1.6109154929577463E-3</v>
      </c>
      <c r="BC635" s="59">
        <f t="shared" si="575"/>
        <v>4.2957746478873246E-4</v>
      </c>
      <c r="BD635" s="60">
        <f t="shared" si="571"/>
        <v>3.003003003003003E-3</v>
      </c>
      <c r="BE635" s="59">
        <f t="shared" si="572"/>
        <v>3.003003003003003E-3</v>
      </c>
      <c r="BQ635" s="61">
        <v>3000</v>
      </c>
      <c r="BR635" s="61">
        <v>1200</v>
      </c>
      <c r="BS635" s="28">
        <f t="shared" si="539"/>
        <v>2980</v>
      </c>
      <c r="BT635" s="28">
        <f t="shared" si="540"/>
        <v>1180</v>
      </c>
      <c r="BU635" s="28" t="s">
        <v>2541</v>
      </c>
      <c r="BV635" s="28">
        <f t="shared" si="541"/>
        <v>127</v>
      </c>
      <c r="BW635" s="28">
        <f t="shared" si="542"/>
        <v>80</v>
      </c>
      <c r="BX635" s="13">
        <f t="shared" si="543"/>
        <v>23.464566929133859</v>
      </c>
      <c r="BY635" s="13">
        <f t="shared" si="544"/>
        <v>23</v>
      </c>
      <c r="BZ635" s="13">
        <f t="shared" si="545"/>
        <v>14.75</v>
      </c>
      <c r="CA635" s="13">
        <f t="shared" si="546"/>
        <v>14</v>
      </c>
      <c r="CB635" s="13">
        <f t="shared" si="547"/>
        <v>322</v>
      </c>
      <c r="CC635" s="62">
        <f t="shared" si="548"/>
        <v>3.105590062111801E-3</v>
      </c>
      <c r="CD635" s="13">
        <f t="shared" si="549"/>
        <v>37.25</v>
      </c>
      <c r="CE635" s="13">
        <f t="shared" si="550"/>
        <v>37</v>
      </c>
      <c r="CF635" s="13">
        <f t="shared" si="551"/>
        <v>9.2913385826771648</v>
      </c>
      <c r="CG635" s="13">
        <f t="shared" si="552"/>
        <v>9</v>
      </c>
      <c r="CH635" s="28">
        <f t="shared" si="553"/>
        <v>333</v>
      </c>
      <c r="CI635" s="62">
        <f t="shared" si="554"/>
        <v>3.003003003003003E-3</v>
      </c>
      <c r="CJ635" s="59">
        <f t="shared" si="555"/>
        <v>3.003003003003003E-3</v>
      </c>
      <c r="CL635" s="63">
        <v>6000</v>
      </c>
      <c r="CM635" s="63">
        <f t="shared" si="556"/>
        <v>122</v>
      </c>
      <c r="CN635" s="63">
        <f t="shared" si="557"/>
        <v>127</v>
      </c>
      <c r="CO635" s="63">
        <f t="shared" si="558"/>
        <v>47.244094488188978</v>
      </c>
      <c r="CP635" s="13">
        <f t="shared" si="559"/>
        <v>47</v>
      </c>
      <c r="CQ635" s="70">
        <f t="shared" si="560"/>
        <v>2.1276595744680851E-2</v>
      </c>
      <c r="CR635" s="69">
        <f t="shared" si="581"/>
        <v>2.1276595744680851E-2</v>
      </c>
    </row>
    <row r="636" spans="1:96" hidden="1" x14ac:dyDescent="0.25">
      <c r="A636" s="36">
        <v>2</v>
      </c>
      <c r="B636" s="37" t="s">
        <v>37</v>
      </c>
      <c r="C636" s="36" t="s">
        <v>1543</v>
      </c>
      <c r="D636" s="36" t="s">
        <v>2270</v>
      </c>
      <c r="E636" s="36" t="s">
        <v>52</v>
      </c>
      <c r="F636" s="38">
        <f t="shared" si="529"/>
        <v>1</v>
      </c>
      <c r="G636" s="36">
        <v>1</v>
      </c>
      <c r="H636" s="36">
        <f t="shared" si="583"/>
        <v>1</v>
      </c>
      <c r="I636" s="36">
        <v>88</v>
      </c>
      <c r="J636" s="37" t="s">
        <v>1544</v>
      </c>
      <c r="K636" s="37" t="s">
        <v>34</v>
      </c>
      <c r="L636" s="36">
        <v>0</v>
      </c>
      <c r="M636" s="37" t="s">
        <v>35</v>
      </c>
      <c r="N636" s="36" t="s">
        <v>1545</v>
      </c>
      <c r="O636" s="28" t="s">
        <v>41</v>
      </c>
      <c r="P636" s="28" t="s">
        <v>41</v>
      </c>
      <c r="Q636" s="28" t="s">
        <v>116</v>
      </c>
      <c r="R636" s="30">
        <v>4.5</v>
      </c>
      <c r="S636" s="30">
        <v>4.0599999999999996</v>
      </c>
      <c r="T636" s="30"/>
      <c r="U636" s="30">
        <v>0.11799999999999999</v>
      </c>
      <c r="V636" s="8">
        <f t="shared" si="530"/>
        <v>114.3</v>
      </c>
      <c r="W636" s="8">
        <f t="shared" si="531"/>
        <v>103.12399999999998</v>
      </c>
      <c r="X636" s="8">
        <f t="shared" si="532"/>
        <v>0</v>
      </c>
      <c r="Y636" s="33">
        <f t="shared" si="533"/>
        <v>2.9971999999999999</v>
      </c>
      <c r="Z636" s="28" t="s">
        <v>56</v>
      </c>
      <c r="AA636" s="28" t="s">
        <v>57</v>
      </c>
      <c r="AB636" s="28" t="s">
        <v>116</v>
      </c>
      <c r="AC636" s="31" t="s">
        <v>117</v>
      </c>
      <c r="AD636" s="50">
        <f t="shared" si="534"/>
        <v>1</v>
      </c>
      <c r="AE636" s="47" t="s">
        <v>107</v>
      </c>
      <c r="AF636" s="51">
        <v>14</v>
      </c>
      <c r="AG636" s="51">
        <f t="shared" si="562"/>
        <v>8.4</v>
      </c>
      <c r="AH636" s="51">
        <f t="shared" si="528"/>
        <v>42</v>
      </c>
      <c r="AI636" s="52" t="s">
        <v>2497</v>
      </c>
      <c r="AJ636" s="52" t="s">
        <v>2498</v>
      </c>
      <c r="AK636" s="53">
        <f t="shared" si="563"/>
        <v>2.3574146399999996E-2</v>
      </c>
      <c r="AL636" s="54">
        <f t="shared" si="564"/>
        <v>0.11904761904761904</v>
      </c>
      <c r="AM636" s="54">
        <f t="shared" si="565"/>
        <v>2.3809523809523808E-2</v>
      </c>
      <c r="AN636" s="55">
        <f t="shared" si="566"/>
        <v>2.8064459999999993E-3</v>
      </c>
      <c r="AO636" s="55">
        <f t="shared" si="567"/>
        <v>5.6128919999999982E-4</v>
      </c>
      <c r="AP636" s="53">
        <v>7.1</v>
      </c>
      <c r="AQ636" s="53">
        <f t="shared" si="535"/>
        <v>4.26</v>
      </c>
      <c r="AR636" s="53">
        <f t="shared" si="536"/>
        <v>21.299999999999997</v>
      </c>
      <c r="AS636" s="56">
        <f t="shared" si="537"/>
        <v>4.6948356807511742E-2</v>
      </c>
      <c r="AT636" s="56">
        <f t="shared" si="568"/>
        <v>0.23474178403755869</v>
      </c>
      <c r="AU636" s="56">
        <f t="shared" si="538"/>
        <v>0.176056338028169</v>
      </c>
      <c r="AV636" s="56">
        <f t="shared" si="569"/>
        <v>5.8685446009389672E-2</v>
      </c>
      <c r="AW636" s="57" t="s">
        <v>2511</v>
      </c>
      <c r="AX636" s="57" t="s">
        <v>2512</v>
      </c>
      <c r="AY636" s="57" t="s">
        <v>2513</v>
      </c>
      <c r="AZ636" s="58">
        <f t="shared" si="570"/>
        <v>2.3574146399999996E-2</v>
      </c>
      <c r="BA636" s="59">
        <f t="shared" si="573"/>
        <v>6.9172964788732385E-4</v>
      </c>
      <c r="BB636" s="59">
        <f t="shared" si="574"/>
        <v>2.0751889436619714E-3</v>
      </c>
      <c r="BC636" s="59">
        <f t="shared" si="575"/>
        <v>5.5338371830985914E-4</v>
      </c>
      <c r="BD636" s="60">
        <f t="shared" si="571"/>
        <v>4.11522633744856E-3</v>
      </c>
      <c r="BE636" s="59">
        <f t="shared" si="572"/>
        <v>4.11522633744856E-3</v>
      </c>
      <c r="BQ636" s="61">
        <v>3000</v>
      </c>
      <c r="BR636" s="61">
        <v>1200</v>
      </c>
      <c r="BS636" s="28">
        <f t="shared" si="539"/>
        <v>2980</v>
      </c>
      <c r="BT636" s="28">
        <f t="shared" si="540"/>
        <v>1180</v>
      </c>
      <c r="BU636" s="28" t="s">
        <v>2541</v>
      </c>
      <c r="BV636" s="28">
        <f t="shared" si="541"/>
        <v>119.3</v>
      </c>
      <c r="BW636" s="28">
        <f t="shared" si="542"/>
        <v>108.12399999999998</v>
      </c>
      <c r="BX636" s="13">
        <f t="shared" si="543"/>
        <v>24.979044425817268</v>
      </c>
      <c r="BY636" s="13">
        <f t="shared" si="544"/>
        <v>24</v>
      </c>
      <c r="BZ636" s="13">
        <f t="shared" si="545"/>
        <v>10.91339573082757</v>
      </c>
      <c r="CA636" s="13">
        <f t="shared" si="546"/>
        <v>10</v>
      </c>
      <c r="CB636" s="13">
        <f t="shared" si="547"/>
        <v>240</v>
      </c>
      <c r="CC636" s="62">
        <f t="shared" si="548"/>
        <v>4.1666666666666666E-3</v>
      </c>
      <c r="CD636" s="13">
        <f t="shared" si="549"/>
        <v>27.560948540564542</v>
      </c>
      <c r="CE636" s="13">
        <f t="shared" si="550"/>
        <v>27</v>
      </c>
      <c r="CF636" s="13">
        <f t="shared" si="551"/>
        <v>9.8910310142497906</v>
      </c>
      <c r="CG636" s="13">
        <f t="shared" si="552"/>
        <v>9</v>
      </c>
      <c r="CH636" s="28">
        <f t="shared" si="553"/>
        <v>243</v>
      </c>
      <c r="CI636" s="62">
        <f t="shared" si="554"/>
        <v>4.11522633744856E-3</v>
      </c>
      <c r="CJ636" s="59">
        <f t="shared" si="555"/>
        <v>4.11522633744856E-3</v>
      </c>
      <c r="CL636" s="63">
        <v>6000</v>
      </c>
      <c r="CM636" s="63">
        <f t="shared" si="556"/>
        <v>114.3</v>
      </c>
      <c r="CN636" s="63">
        <f t="shared" si="557"/>
        <v>119.3</v>
      </c>
      <c r="CO636" s="63">
        <f t="shared" si="558"/>
        <v>50.293378038558259</v>
      </c>
      <c r="CP636" s="13">
        <f t="shared" si="559"/>
        <v>50</v>
      </c>
      <c r="CQ636" s="70">
        <f t="shared" si="560"/>
        <v>0.02</v>
      </c>
      <c r="CR636" s="69">
        <f t="shared" si="581"/>
        <v>0.02</v>
      </c>
    </row>
    <row r="637" spans="1:96" hidden="1" x14ac:dyDescent="0.25">
      <c r="A637" s="36">
        <v>2</v>
      </c>
      <c r="B637" s="37" t="s">
        <v>37</v>
      </c>
      <c r="C637" s="36" t="s">
        <v>1546</v>
      </c>
      <c r="D637" s="36" t="s">
        <v>2270</v>
      </c>
      <c r="E637" s="36" t="s">
        <v>52</v>
      </c>
      <c r="F637" s="38">
        <f t="shared" si="529"/>
        <v>1</v>
      </c>
      <c r="G637" s="36">
        <v>1</v>
      </c>
      <c r="H637" s="36">
        <f t="shared" si="583"/>
        <v>1</v>
      </c>
      <c r="I637" s="36">
        <v>89</v>
      </c>
      <c r="J637" s="37" t="s">
        <v>287</v>
      </c>
      <c r="K637" s="37" t="s">
        <v>34</v>
      </c>
      <c r="L637" s="36">
        <v>0</v>
      </c>
      <c r="M637" s="37" t="s">
        <v>35</v>
      </c>
      <c r="N637" s="36" t="s">
        <v>1547</v>
      </c>
      <c r="O637" s="28" t="s">
        <v>41</v>
      </c>
      <c r="P637" s="28" t="s">
        <v>41</v>
      </c>
      <c r="Q637" s="28" t="s">
        <v>116</v>
      </c>
      <c r="R637" s="30">
        <v>7.0179999999999998</v>
      </c>
      <c r="S637" s="30">
        <v>4.55</v>
      </c>
      <c r="T637" s="30"/>
      <c r="U637" s="30">
        <v>0.11799999999999999</v>
      </c>
      <c r="V637" s="8">
        <f t="shared" si="530"/>
        <v>178.25719999999998</v>
      </c>
      <c r="W637" s="8">
        <f t="shared" si="531"/>
        <v>115.57</v>
      </c>
      <c r="X637" s="8">
        <f t="shared" si="532"/>
        <v>0</v>
      </c>
      <c r="Y637" s="33">
        <f t="shared" si="533"/>
        <v>2.9971999999999999</v>
      </c>
      <c r="Z637" s="28" t="s">
        <v>56</v>
      </c>
      <c r="AA637" s="28" t="s">
        <v>57</v>
      </c>
      <c r="AB637" s="28" t="s">
        <v>116</v>
      </c>
      <c r="AC637" s="31" t="s">
        <v>117</v>
      </c>
      <c r="AD637" s="50">
        <f t="shared" si="534"/>
        <v>1</v>
      </c>
      <c r="AE637" s="31"/>
      <c r="AF637" s="51">
        <v>14</v>
      </c>
      <c r="AG637" s="51">
        <f t="shared" si="562"/>
        <v>8.4</v>
      </c>
      <c r="AH637" s="51">
        <f t="shared" si="528"/>
        <v>42</v>
      </c>
      <c r="AI637" s="52" t="s">
        <v>2497</v>
      </c>
      <c r="AJ637" s="52" t="s">
        <v>2498</v>
      </c>
      <c r="AK637" s="53">
        <f t="shared" si="563"/>
        <v>4.1202369207999995E-2</v>
      </c>
      <c r="AL637" s="54">
        <f t="shared" si="564"/>
        <v>0.11904761904761904</v>
      </c>
      <c r="AM637" s="54">
        <f t="shared" si="565"/>
        <v>2.3809523809523808E-2</v>
      </c>
      <c r="AN637" s="55">
        <f t="shared" si="566"/>
        <v>4.9050439533333328E-3</v>
      </c>
      <c r="AO637" s="55">
        <f t="shared" si="567"/>
        <v>9.8100879066666648E-4</v>
      </c>
      <c r="AP637" s="53">
        <v>7.1</v>
      </c>
      <c r="AQ637" s="53">
        <f t="shared" si="535"/>
        <v>4.26</v>
      </c>
      <c r="AR637" s="53">
        <f t="shared" si="536"/>
        <v>21.299999999999997</v>
      </c>
      <c r="AS637" s="56">
        <f t="shared" si="537"/>
        <v>4.6948356807511742E-2</v>
      </c>
      <c r="AT637" s="56">
        <f t="shared" si="568"/>
        <v>0.23474178403755869</v>
      </c>
      <c r="AU637" s="56">
        <f t="shared" si="538"/>
        <v>0.176056338028169</v>
      </c>
      <c r="AV637" s="56">
        <f t="shared" si="569"/>
        <v>5.8685446009389672E-2</v>
      </c>
      <c r="AW637" s="57" t="s">
        <v>2511</v>
      </c>
      <c r="AX637" s="57" t="s">
        <v>2512</v>
      </c>
      <c r="AY637" s="57" t="s">
        <v>2513</v>
      </c>
      <c r="AZ637" s="58">
        <f t="shared" si="570"/>
        <v>4.1202369207999995E-2</v>
      </c>
      <c r="BA637" s="59">
        <f t="shared" si="573"/>
        <v>1.2089897068075115E-3</v>
      </c>
      <c r="BB637" s="59">
        <f t="shared" si="574"/>
        <v>3.6269691204225346E-3</v>
      </c>
      <c r="BC637" s="59">
        <f t="shared" si="575"/>
        <v>9.6719176544600937E-4</v>
      </c>
      <c r="BD637" s="60">
        <f t="shared" si="571"/>
        <v>6.9444444444444441E-3</v>
      </c>
      <c r="BE637" s="59">
        <f t="shared" si="572"/>
        <v>6.9444444444444441E-3</v>
      </c>
      <c r="BQ637" s="61">
        <v>3000</v>
      </c>
      <c r="BR637" s="61">
        <v>1200</v>
      </c>
      <c r="BS637" s="28">
        <f t="shared" si="539"/>
        <v>2980</v>
      </c>
      <c r="BT637" s="28">
        <f t="shared" si="540"/>
        <v>1180</v>
      </c>
      <c r="BU637" s="28" t="s">
        <v>2541</v>
      </c>
      <c r="BV637" s="28">
        <f t="shared" si="541"/>
        <v>183.25719999999998</v>
      </c>
      <c r="BW637" s="28">
        <f t="shared" si="542"/>
        <v>120.57</v>
      </c>
      <c r="BX637" s="13">
        <f t="shared" si="543"/>
        <v>16.261298328251225</v>
      </c>
      <c r="BY637" s="13">
        <f t="shared" si="544"/>
        <v>16</v>
      </c>
      <c r="BZ637" s="13">
        <f t="shared" si="545"/>
        <v>9.7868458157087179</v>
      </c>
      <c r="CA637" s="13">
        <f t="shared" si="546"/>
        <v>9</v>
      </c>
      <c r="CB637" s="13">
        <f t="shared" si="547"/>
        <v>144</v>
      </c>
      <c r="CC637" s="62">
        <f t="shared" si="548"/>
        <v>6.9444444444444441E-3</v>
      </c>
      <c r="CD637" s="13">
        <f t="shared" si="549"/>
        <v>24.715932653230489</v>
      </c>
      <c r="CE637" s="13">
        <f t="shared" si="550"/>
        <v>24</v>
      </c>
      <c r="CF637" s="13">
        <f t="shared" si="551"/>
        <v>6.4390375930659207</v>
      </c>
      <c r="CG637" s="13">
        <f t="shared" si="552"/>
        <v>6</v>
      </c>
      <c r="CH637" s="28">
        <f t="shared" si="553"/>
        <v>144</v>
      </c>
      <c r="CI637" s="62">
        <f t="shared" si="554"/>
        <v>6.9444444444444441E-3</v>
      </c>
      <c r="CJ637" s="59">
        <f t="shared" si="555"/>
        <v>6.9444444444444441E-3</v>
      </c>
      <c r="CL637" s="63">
        <v>6000</v>
      </c>
      <c r="CM637" s="63">
        <f t="shared" si="556"/>
        <v>178.25719999999998</v>
      </c>
      <c r="CN637" s="63">
        <f t="shared" si="557"/>
        <v>183.25719999999998</v>
      </c>
      <c r="CO637" s="63">
        <f t="shared" si="558"/>
        <v>32.740869117284348</v>
      </c>
      <c r="CP637" s="13">
        <f t="shared" si="559"/>
        <v>32</v>
      </c>
      <c r="CQ637" s="70">
        <f t="shared" si="560"/>
        <v>3.125E-2</v>
      </c>
      <c r="CR637" s="69">
        <f t="shared" si="581"/>
        <v>3.125E-2</v>
      </c>
    </row>
    <row r="638" spans="1:96" hidden="1" x14ac:dyDescent="0.25">
      <c r="A638" s="36">
        <v>2</v>
      </c>
      <c r="B638" s="37" t="s">
        <v>37</v>
      </c>
      <c r="C638" s="36" t="s">
        <v>1548</v>
      </c>
      <c r="D638" s="36" t="s">
        <v>2270</v>
      </c>
      <c r="E638" s="36" t="s">
        <v>52</v>
      </c>
      <c r="F638" s="38">
        <f t="shared" si="529"/>
        <v>1</v>
      </c>
      <c r="G638" s="36">
        <v>1</v>
      </c>
      <c r="H638" s="36">
        <f t="shared" si="583"/>
        <v>1</v>
      </c>
      <c r="I638" s="36">
        <v>90</v>
      </c>
      <c r="J638" s="37" t="s">
        <v>287</v>
      </c>
      <c r="K638" s="37" t="s">
        <v>34</v>
      </c>
      <c r="L638" s="36" t="s">
        <v>110</v>
      </c>
      <c r="M638" s="37" t="s">
        <v>35</v>
      </c>
      <c r="N638" s="36" t="s">
        <v>1549</v>
      </c>
      <c r="O638" s="28" t="s">
        <v>41</v>
      </c>
      <c r="P638" s="28" t="s">
        <v>41</v>
      </c>
      <c r="Q638" s="28" t="s">
        <v>116</v>
      </c>
      <c r="R638" s="30">
        <v>5.4649999999999999</v>
      </c>
      <c r="S638" s="30">
        <v>5.423</v>
      </c>
      <c r="T638" s="30"/>
      <c r="U638" s="30">
        <v>0.11799999999999999</v>
      </c>
      <c r="V638" s="8">
        <f t="shared" si="530"/>
        <v>138.81099999999998</v>
      </c>
      <c r="W638" s="8">
        <f t="shared" si="531"/>
        <v>137.74420000000001</v>
      </c>
      <c r="X638" s="8">
        <f t="shared" si="532"/>
        <v>0</v>
      </c>
      <c r="Y638" s="33">
        <f t="shared" si="533"/>
        <v>2.9971999999999999</v>
      </c>
      <c r="Z638" s="28" t="s">
        <v>56</v>
      </c>
      <c r="AA638" s="28" t="s">
        <v>57</v>
      </c>
      <c r="AB638" s="28" t="s">
        <v>116</v>
      </c>
      <c r="AC638" s="31" t="s">
        <v>117</v>
      </c>
      <c r="AD638" s="50">
        <f t="shared" si="534"/>
        <v>1</v>
      </c>
      <c r="AE638" s="31"/>
      <c r="AF638" s="51">
        <v>14</v>
      </c>
      <c r="AG638" s="51">
        <f t="shared" si="562"/>
        <v>8.4</v>
      </c>
      <c r="AH638" s="51">
        <f t="shared" si="528"/>
        <v>42</v>
      </c>
      <c r="AI638" s="52" t="s">
        <v>2497</v>
      </c>
      <c r="AJ638" s="52" t="s">
        <v>2498</v>
      </c>
      <c r="AK638" s="53">
        <f t="shared" si="563"/>
        <v>3.8240820292399995E-2</v>
      </c>
      <c r="AL638" s="54">
        <f t="shared" si="564"/>
        <v>0.11904761904761904</v>
      </c>
      <c r="AM638" s="54">
        <f t="shared" si="565"/>
        <v>2.3809523809523808E-2</v>
      </c>
      <c r="AN638" s="55">
        <f t="shared" si="566"/>
        <v>4.552478606238094E-3</v>
      </c>
      <c r="AO638" s="55">
        <f t="shared" si="567"/>
        <v>9.1049572124761891E-4</v>
      </c>
      <c r="AP638" s="53">
        <v>7.1</v>
      </c>
      <c r="AQ638" s="53">
        <f t="shared" si="535"/>
        <v>4.26</v>
      </c>
      <c r="AR638" s="53">
        <f t="shared" si="536"/>
        <v>21.299999999999997</v>
      </c>
      <c r="AS638" s="56">
        <f t="shared" si="537"/>
        <v>4.6948356807511742E-2</v>
      </c>
      <c r="AT638" s="56">
        <f t="shared" si="568"/>
        <v>0.23474178403755869</v>
      </c>
      <c r="AU638" s="56">
        <f t="shared" si="538"/>
        <v>0.176056338028169</v>
      </c>
      <c r="AV638" s="56">
        <f t="shared" si="569"/>
        <v>5.8685446009389672E-2</v>
      </c>
      <c r="AW638" s="57" t="s">
        <v>2511</v>
      </c>
      <c r="AX638" s="57" t="s">
        <v>2512</v>
      </c>
      <c r="AY638" s="57" t="s">
        <v>2513</v>
      </c>
      <c r="AZ638" s="58">
        <f t="shared" si="570"/>
        <v>3.8240820292399995E-2</v>
      </c>
      <c r="BA638" s="59">
        <f t="shared" si="573"/>
        <v>1.1220897973122064E-3</v>
      </c>
      <c r="BB638" s="59">
        <f t="shared" si="574"/>
        <v>3.3662693919366189E-3</v>
      </c>
      <c r="BC638" s="59">
        <f t="shared" si="575"/>
        <v>8.9767183784976521E-4</v>
      </c>
      <c r="BD638" s="60">
        <f t="shared" si="571"/>
        <v>6.2500000000000003E-3</v>
      </c>
      <c r="BE638" s="59">
        <f t="shared" si="572"/>
        <v>6.2500000000000003E-3</v>
      </c>
      <c r="BQ638" s="61">
        <v>3000</v>
      </c>
      <c r="BR638" s="61">
        <v>1200</v>
      </c>
      <c r="BS638" s="28">
        <f t="shared" si="539"/>
        <v>2980</v>
      </c>
      <c r="BT638" s="28">
        <f t="shared" si="540"/>
        <v>1180</v>
      </c>
      <c r="BU638" s="28" t="s">
        <v>2541</v>
      </c>
      <c r="BV638" s="28">
        <f t="shared" si="541"/>
        <v>143.81099999999998</v>
      </c>
      <c r="BW638" s="28">
        <f t="shared" si="542"/>
        <v>142.74420000000001</v>
      </c>
      <c r="BX638" s="13">
        <f t="shared" si="543"/>
        <v>20.721641599043192</v>
      </c>
      <c r="BY638" s="13">
        <f t="shared" si="544"/>
        <v>20</v>
      </c>
      <c r="BZ638" s="13">
        <f t="shared" si="545"/>
        <v>8.266535522984471</v>
      </c>
      <c r="CA638" s="13">
        <f t="shared" si="546"/>
        <v>8</v>
      </c>
      <c r="CB638" s="13">
        <f t="shared" si="547"/>
        <v>160</v>
      </c>
      <c r="CC638" s="62">
        <f t="shared" si="548"/>
        <v>6.2500000000000003E-3</v>
      </c>
      <c r="CD638" s="13">
        <f t="shared" si="549"/>
        <v>20.876504964825191</v>
      </c>
      <c r="CE638" s="13">
        <f t="shared" si="550"/>
        <v>20</v>
      </c>
      <c r="CF638" s="13">
        <f t="shared" si="551"/>
        <v>8.2052137875405933</v>
      </c>
      <c r="CG638" s="13">
        <f t="shared" si="552"/>
        <v>8</v>
      </c>
      <c r="CH638" s="28">
        <f t="shared" si="553"/>
        <v>160</v>
      </c>
      <c r="CI638" s="62">
        <f t="shared" si="554"/>
        <v>6.2500000000000003E-3</v>
      </c>
      <c r="CJ638" s="59">
        <f t="shared" si="555"/>
        <v>6.2500000000000003E-3</v>
      </c>
      <c r="CL638" s="63">
        <v>6000</v>
      </c>
      <c r="CM638" s="63">
        <f t="shared" si="556"/>
        <v>138.81099999999998</v>
      </c>
      <c r="CN638" s="63">
        <f t="shared" si="557"/>
        <v>143.81099999999998</v>
      </c>
      <c r="CO638" s="63">
        <f t="shared" si="558"/>
        <v>41.721426038341995</v>
      </c>
      <c r="CP638" s="13">
        <f t="shared" si="559"/>
        <v>41</v>
      </c>
      <c r="CQ638" s="70">
        <f t="shared" si="560"/>
        <v>2.4390243902439025E-2</v>
      </c>
      <c r="CR638" s="69">
        <f t="shared" si="581"/>
        <v>2.4390243902439025E-2</v>
      </c>
    </row>
    <row r="639" spans="1:96" hidden="1" x14ac:dyDescent="0.25">
      <c r="A639" s="36">
        <v>2</v>
      </c>
      <c r="B639" s="37" t="s">
        <v>37</v>
      </c>
      <c r="C639" s="36" t="s">
        <v>1550</v>
      </c>
      <c r="D639" s="36" t="s">
        <v>2270</v>
      </c>
      <c r="E639" s="36" t="s">
        <v>52</v>
      </c>
      <c r="F639" s="38">
        <f t="shared" si="529"/>
        <v>1</v>
      </c>
      <c r="G639" s="36">
        <v>1</v>
      </c>
      <c r="H639" s="36">
        <f t="shared" si="583"/>
        <v>1</v>
      </c>
      <c r="I639" s="36">
        <v>91</v>
      </c>
      <c r="J639" s="37" t="s">
        <v>287</v>
      </c>
      <c r="K639" s="37" t="s">
        <v>34</v>
      </c>
      <c r="L639" s="36" t="s">
        <v>110</v>
      </c>
      <c r="M639" s="37" t="s">
        <v>35</v>
      </c>
      <c r="N639" s="36" t="s">
        <v>1551</v>
      </c>
      <c r="O639" s="28" t="s">
        <v>41</v>
      </c>
      <c r="P639" s="28" t="s">
        <v>41</v>
      </c>
      <c r="Q639" s="28" t="s">
        <v>116</v>
      </c>
      <c r="R639" s="30">
        <v>5.4649999999999999</v>
      </c>
      <c r="S639" s="30">
        <v>5.423</v>
      </c>
      <c r="T639" s="30"/>
      <c r="U639" s="30">
        <v>0.11799999999999999</v>
      </c>
      <c r="V639" s="8">
        <f t="shared" si="530"/>
        <v>138.81099999999998</v>
      </c>
      <c r="W639" s="8">
        <f t="shared" si="531"/>
        <v>137.74420000000001</v>
      </c>
      <c r="X639" s="8">
        <f t="shared" si="532"/>
        <v>0</v>
      </c>
      <c r="Y639" s="33">
        <f t="shared" si="533"/>
        <v>2.9971999999999999</v>
      </c>
      <c r="Z639" s="28" t="s">
        <v>56</v>
      </c>
      <c r="AA639" s="28" t="s">
        <v>57</v>
      </c>
      <c r="AB639" s="28" t="s">
        <v>116</v>
      </c>
      <c r="AC639" s="31" t="s">
        <v>117</v>
      </c>
      <c r="AD639" s="50">
        <f t="shared" si="534"/>
        <v>1</v>
      </c>
      <c r="AE639" s="31"/>
      <c r="AF639" s="51">
        <v>14</v>
      </c>
      <c r="AG639" s="51">
        <f t="shared" si="562"/>
        <v>8.4</v>
      </c>
      <c r="AH639" s="51">
        <f t="shared" si="528"/>
        <v>42</v>
      </c>
      <c r="AI639" s="52" t="s">
        <v>2497</v>
      </c>
      <c r="AJ639" s="52" t="s">
        <v>2498</v>
      </c>
      <c r="AK639" s="53">
        <f t="shared" si="563"/>
        <v>3.8240820292399995E-2</v>
      </c>
      <c r="AL639" s="54">
        <f t="shared" si="564"/>
        <v>0.11904761904761904</v>
      </c>
      <c r="AM639" s="54">
        <f t="shared" si="565"/>
        <v>2.3809523809523808E-2</v>
      </c>
      <c r="AN639" s="55">
        <f t="shared" si="566"/>
        <v>4.552478606238094E-3</v>
      </c>
      <c r="AO639" s="55">
        <f t="shared" si="567"/>
        <v>9.1049572124761891E-4</v>
      </c>
      <c r="AP639" s="53">
        <v>7.1</v>
      </c>
      <c r="AQ639" s="53">
        <f t="shared" si="535"/>
        <v>4.26</v>
      </c>
      <c r="AR639" s="53">
        <f t="shared" si="536"/>
        <v>21.299999999999997</v>
      </c>
      <c r="AS639" s="56">
        <f t="shared" si="537"/>
        <v>4.6948356807511742E-2</v>
      </c>
      <c r="AT639" s="56">
        <f t="shared" si="568"/>
        <v>0.23474178403755869</v>
      </c>
      <c r="AU639" s="56">
        <f t="shared" si="538"/>
        <v>0.176056338028169</v>
      </c>
      <c r="AV639" s="56">
        <f t="shared" si="569"/>
        <v>5.8685446009389672E-2</v>
      </c>
      <c r="AW639" s="57" t="s">
        <v>2511</v>
      </c>
      <c r="AX639" s="57" t="s">
        <v>2512</v>
      </c>
      <c r="AY639" s="57" t="s">
        <v>2513</v>
      </c>
      <c r="AZ639" s="58">
        <f t="shared" si="570"/>
        <v>3.8240820292399995E-2</v>
      </c>
      <c r="BA639" s="59">
        <f t="shared" si="573"/>
        <v>1.1220897973122064E-3</v>
      </c>
      <c r="BB639" s="59">
        <f t="shared" si="574"/>
        <v>3.3662693919366189E-3</v>
      </c>
      <c r="BC639" s="59">
        <f t="shared" si="575"/>
        <v>8.9767183784976521E-4</v>
      </c>
      <c r="BD639" s="60">
        <f t="shared" si="571"/>
        <v>6.2500000000000003E-3</v>
      </c>
      <c r="BE639" s="59">
        <f t="shared" si="572"/>
        <v>6.2500000000000003E-3</v>
      </c>
      <c r="BQ639" s="61">
        <v>3000</v>
      </c>
      <c r="BR639" s="61">
        <v>1200</v>
      </c>
      <c r="BS639" s="28">
        <f t="shared" si="539"/>
        <v>2980</v>
      </c>
      <c r="BT639" s="28">
        <f t="shared" si="540"/>
        <v>1180</v>
      </c>
      <c r="BU639" s="28" t="s">
        <v>2541</v>
      </c>
      <c r="BV639" s="28">
        <f t="shared" si="541"/>
        <v>143.81099999999998</v>
      </c>
      <c r="BW639" s="28">
        <f t="shared" si="542"/>
        <v>142.74420000000001</v>
      </c>
      <c r="BX639" s="13">
        <f t="shared" si="543"/>
        <v>20.721641599043192</v>
      </c>
      <c r="BY639" s="13">
        <f t="shared" si="544"/>
        <v>20</v>
      </c>
      <c r="BZ639" s="13">
        <f t="shared" si="545"/>
        <v>8.266535522984471</v>
      </c>
      <c r="CA639" s="13">
        <f t="shared" si="546"/>
        <v>8</v>
      </c>
      <c r="CB639" s="13">
        <f t="shared" si="547"/>
        <v>160</v>
      </c>
      <c r="CC639" s="62">
        <f t="shared" si="548"/>
        <v>6.2500000000000003E-3</v>
      </c>
      <c r="CD639" s="13">
        <f t="shared" si="549"/>
        <v>20.876504964825191</v>
      </c>
      <c r="CE639" s="13">
        <f t="shared" si="550"/>
        <v>20</v>
      </c>
      <c r="CF639" s="13">
        <f t="shared" si="551"/>
        <v>8.2052137875405933</v>
      </c>
      <c r="CG639" s="13">
        <f t="shared" si="552"/>
        <v>8</v>
      </c>
      <c r="CH639" s="28">
        <f t="shared" si="553"/>
        <v>160</v>
      </c>
      <c r="CI639" s="62">
        <f t="shared" si="554"/>
        <v>6.2500000000000003E-3</v>
      </c>
      <c r="CJ639" s="59">
        <f t="shared" si="555"/>
        <v>6.2500000000000003E-3</v>
      </c>
      <c r="CL639" s="63">
        <v>6000</v>
      </c>
      <c r="CM639" s="63">
        <f t="shared" si="556"/>
        <v>138.81099999999998</v>
      </c>
      <c r="CN639" s="63">
        <f t="shared" si="557"/>
        <v>143.81099999999998</v>
      </c>
      <c r="CO639" s="63">
        <f t="shared" si="558"/>
        <v>41.721426038341995</v>
      </c>
      <c r="CP639" s="13">
        <f t="shared" si="559"/>
        <v>41</v>
      </c>
      <c r="CQ639" s="70">
        <f t="shared" si="560"/>
        <v>2.4390243902439025E-2</v>
      </c>
      <c r="CR639" s="69">
        <f t="shared" si="581"/>
        <v>2.4390243902439025E-2</v>
      </c>
    </row>
    <row r="640" spans="1:96" x14ac:dyDescent="0.25">
      <c r="A640" s="36">
        <v>2</v>
      </c>
      <c r="B640" s="37" t="s">
        <v>37</v>
      </c>
      <c r="C640" s="36" t="s">
        <v>1552</v>
      </c>
      <c r="D640" s="36" t="s">
        <v>2270</v>
      </c>
      <c r="E640" s="36" t="s">
        <v>52</v>
      </c>
      <c r="F640" s="38">
        <f t="shared" si="529"/>
        <v>1</v>
      </c>
      <c r="G640" s="36">
        <v>1</v>
      </c>
      <c r="H640" s="36">
        <f t="shared" si="583"/>
        <v>1</v>
      </c>
      <c r="I640" s="36">
        <v>93</v>
      </c>
      <c r="J640" s="37" t="s">
        <v>1553</v>
      </c>
      <c r="K640" s="37" t="s">
        <v>34</v>
      </c>
      <c r="L640" s="36">
        <v>0</v>
      </c>
      <c r="M640" s="37" t="s">
        <v>35</v>
      </c>
      <c r="N640" s="36" t="s">
        <v>1554</v>
      </c>
      <c r="O640" s="28" t="s">
        <v>41</v>
      </c>
      <c r="P640" s="28" t="s">
        <v>41</v>
      </c>
      <c r="Q640" s="28" t="s">
        <v>2585</v>
      </c>
      <c r="R640" s="30">
        <v>7.149</v>
      </c>
      <c r="S640" s="30">
        <v>1.91</v>
      </c>
      <c r="T640" s="30"/>
      <c r="U640" s="30">
        <v>5.8999999999999997E-2</v>
      </c>
      <c r="V640" s="8">
        <f t="shared" si="530"/>
        <v>181.58459999999999</v>
      </c>
      <c r="W640" s="8">
        <f t="shared" si="531"/>
        <v>48.513999999999996</v>
      </c>
      <c r="X640" s="8">
        <f t="shared" si="532"/>
        <v>0</v>
      </c>
      <c r="Y640" s="33">
        <f t="shared" si="533"/>
        <v>1.4985999999999999</v>
      </c>
      <c r="Z640" s="28" t="s">
        <v>56</v>
      </c>
      <c r="AA640" s="28" t="s">
        <v>1765</v>
      </c>
      <c r="AB640" s="61" t="s">
        <v>2585</v>
      </c>
      <c r="AC640" s="31" t="s">
        <v>2586</v>
      </c>
      <c r="AD640" s="50">
        <f t="shared" si="534"/>
        <v>1</v>
      </c>
      <c r="AE640" s="31"/>
      <c r="AF640" s="51">
        <v>14</v>
      </c>
      <c r="AG640" s="51">
        <f t="shared" si="562"/>
        <v>8.4</v>
      </c>
      <c r="AH640" s="51">
        <f t="shared" si="528"/>
        <v>42</v>
      </c>
      <c r="AI640" s="52" t="s">
        <v>2497</v>
      </c>
      <c r="AJ640" s="52" t="s">
        <v>2498</v>
      </c>
      <c r="AK640" s="53">
        <f t="shared" si="563"/>
        <v>1.7618790568799999E-2</v>
      </c>
      <c r="AL640" s="54">
        <f t="shared" si="564"/>
        <v>0.11904761904761904</v>
      </c>
      <c r="AM640" s="54">
        <f t="shared" si="565"/>
        <v>2.3809523809523808E-2</v>
      </c>
      <c r="AN640" s="55">
        <f t="shared" si="566"/>
        <v>2.0974750677142853E-3</v>
      </c>
      <c r="AO640" s="55">
        <f t="shared" si="567"/>
        <v>4.1949501354285708E-4</v>
      </c>
      <c r="AP640" s="53">
        <v>7.1</v>
      </c>
      <c r="AQ640" s="53">
        <f t="shared" si="535"/>
        <v>4.26</v>
      </c>
      <c r="AR640" s="53">
        <f t="shared" si="536"/>
        <v>21.299999999999997</v>
      </c>
      <c r="AS640" s="56">
        <f t="shared" si="537"/>
        <v>4.6948356807511742E-2</v>
      </c>
      <c r="AT640" s="56">
        <f t="shared" si="568"/>
        <v>0.23474178403755869</v>
      </c>
      <c r="AU640" s="56">
        <f t="shared" si="538"/>
        <v>0.176056338028169</v>
      </c>
      <c r="AV640" s="56">
        <f t="shared" si="569"/>
        <v>5.8685446009389672E-2</v>
      </c>
      <c r="AW640" s="57" t="s">
        <v>2511</v>
      </c>
      <c r="AX640" s="57" t="s">
        <v>2512</v>
      </c>
      <c r="AY640" s="57" t="s">
        <v>2513</v>
      </c>
      <c r="AZ640" s="58">
        <f t="shared" si="570"/>
        <v>1.7618790568799999E-2</v>
      </c>
      <c r="BA640" s="59">
        <f t="shared" si="573"/>
        <v>5.1698329133802819E-4</v>
      </c>
      <c r="BB640" s="59">
        <f t="shared" si="574"/>
        <v>1.5509498740140842E-3</v>
      </c>
      <c r="BC640" s="59">
        <f t="shared" si="575"/>
        <v>4.1358663307042255E-4</v>
      </c>
      <c r="BD640" s="60">
        <f t="shared" si="571"/>
        <v>3.0303030303030303E-3</v>
      </c>
      <c r="BE640" s="59">
        <f t="shared" si="572"/>
        <v>3.0303030303030303E-3</v>
      </c>
      <c r="BQ640" s="61">
        <v>3000</v>
      </c>
      <c r="BR640" s="61">
        <v>1200</v>
      </c>
      <c r="BS640" s="28">
        <f t="shared" si="539"/>
        <v>2980</v>
      </c>
      <c r="BT640" s="28">
        <f t="shared" si="540"/>
        <v>1180</v>
      </c>
      <c r="BU640" s="28" t="s">
        <v>2541</v>
      </c>
      <c r="BV640" s="28">
        <f t="shared" si="541"/>
        <v>186.58459999999999</v>
      </c>
      <c r="BW640" s="28">
        <f t="shared" si="542"/>
        <v>53.513999999999996</v>
      </c>
      <c r="BX640" s="13">
        <f t="shared" si="543"/>
        <v>15.971307385496981</v>
      </c>
      <c r="BY640" s="13">
        <f t="shared" si="544"/>
        <v>15</v>
      </c>
      <c r="BZ640" s="13">
        <f t="shared" si="545"/>
        <v>22.050304593190567</v>
      </c>
      <c r="CA640" s="13">
        <f t="shared" si="546"/>
        <v>22</v>
      </c>
      <c r="CB640" s="13">
        <f t="shared" si="547"/>
        <v>330</v>
      </c>
      <c r="CC640" s="62">
        <f t="shared" si="548"/>
        <v>3.0303030303030303E-3</v>
      </c>
      <c r="CD640" s="13">
        <f t="shared" si="549"/>
        <v>55.68636244721008</v>
      </c>
      <c r="CE640" s="13">
        <f t="shared" si="550"/>
        <v>55</v>
      </c>
      <c r="CF640" s="13">
        <f t="shared" si="551"/>
        <v>6.324208964726993</v>
      </c>
      <c r="CG640" s="13">
        <f t="shared" si="552"/>
        <v>6</v>
      </c>
      <c r="CH640" s="28">
        <f t="shared" si="553"/>
        <v>330</v>
      </c>
      <c r="CI640" s="62">
        <f t="shared" si="554"/>
        <v>3.0303030303030303E-3</v>
      </c>
      <c r="CJ640" s="59">
        <f t="shared" si="555"/>
        <v>3.0303030303030303E-3</v>
      </c>
      <c r="CL640" s="63">
        <v>6000</v>
      </c>
      <c r="CM640" s="63">
        <f t="shared" si="556"/>
        <v>181.58459999999999</v>
      </c>
      <c r="CN640" s="63">
        <f t="shared" si="557"/>
        <v>186.58459999999999</v>
      </c>
      <c r="CO640" s="63">
        <f t="shared" si="558"/>
        <v>32.156994735899964</v>
      </c>
      <c r="CP640" s="13">
        <f t="shared" si="559"/>
        <v>32</v>
      </c>
      <c r="CQ640" s="70">
        <f t="shared" si="560"/>
        <v>3.125E-2</v>
      </c>
      <c r="CR640" s="69">
        <f t="shared" si="581"/>
        <v>3.125E-2</v>
      </c>
    </row>
    <row r="641" spans="1:96" hidden="1" x14ac:dyDescent="0.25">
      <c r="A641" s="36">
        <v>2</v>
      </c>
      <c r="B641" s="37" t="s">
        <v>37</v>
      </c>
      <c r="C641" s="36" t="s">
        <v>1555</v>
      </c>
      <c r="D641" s="36" t="s">
        <v>2270</v>
      </c>
      <c r="E641" s="36" t="s">
        <v>52</v>
      </c>
      <c r="F641" s="38">
        <f t="shared" si="529"/>
        <v>1</v>
      </c>
      <c r="G641" s="36">
        <v>1</v>
      </c>
      <c r="H641" s="36">
        <f t="shared" si="583"/>
        <v>1</v>
      </c>
      <c r="I641" s="36">
        <v>98</v>
      </c>
      <c r="J641" s="37" t="s">
        <v>76</v>
      </c>
      <c r="K641" s="37" t="s">
        <v>34</v>
      </c>
      <c r="L641" s="36" t="s">
        <v>89</v>
      </c>
      <c r="M641" s="37" t="s">
        <v>35</v>
      </c>
      <c r="N641" s="36" t="s">
        <v>1556</v>
      </c>
      <c r="O641" s="28" t="s">
        <v>41</v>
      </c>
      <c r="P641" s="28" t="s">
        <v>41</v>
      </c>
      <c r="Q641" s="28" t="s">
        <v>85</v>
      </c>
      <c r="R641" s="30">
        <v>24</v>
      </c>
      <c r="S641" s="30">
        <v>0.375</v>
      </c>
      <c r="T641" s="30"/>
      <c r="U641" s="30">
        <v>0.375</v>
      </c>
      <c r="V641" s="8">
        <f t="shared" si="530"/>
        <v>609.59999999999991</v>
      </c>
      <c r="W641" s="8">
        <f t="shared" si="531"/>
        <v>9.5249999999999986</v>
      </c>
      <c r="X641" s="8">
        <f t="shared" si="532"/>
        <v>0</v>
      </c>
      <c r="Y641" s="33">
        <f t="shared" si="533"/>
        <v>9.5249999999999986</v>
      </c>
      <c r="Z641" s="28" t="s">
        <v>80</v>
      </c>
      <c r="AA641" s="28" t="s">
        <v>81</v>
      </c>
      <c r="AB641" s="61" t="s">
        <v>85</v>
      </c>
      <c r="AC641" s="31" t="s">
        <v>86</v>
      </c>
      <c r="AD641" s="50">
        <f t="shared" si="534"/>
        <v>1</v>
      </c>
      <c r="AE641" s="31"/>
      <c r="AF641" s="51">
        <v>14</v>
      </c>
      <c r="AG641" s="51">
        <f t="shared" si="562"/>
        <v>8.4</v>
      </c>
      <c r="AH641" s="51">
        <f t="shared" si="528"/>
        <v>42</v>
      </c>
      <c r="AI641" s="52" t="s">
        <v>2497</v>
      </c>
      <c r="AJ641" s="52" t="s">
        <v>2498</v>
      </c>
      <c r="AK641" s="53">
        <f t="shared" si="563"/>
        <v>1.1612879999999997E-2</v>
      </c>
      <c r="AL641" s="54">
        <f t="shared" si="564"/>
        <v>0.11904761904761904</v>
      </c>
      <c r="AM641" s="54">
        <f t="shared" si="565"/>
        <v>2.3809523809523808E-2</v>
      </c>
      <c r="AN641" s="55">
        <f t="shared" si="566"/>
        <v>1.3824857142857138E-3</v>
      </c>
      <c r="AO641" s="55">
        <f t="shared" si="567"/>
        <v>2.7649714285714279E-4</v>
      </c>
      <c r="AP641" s="53">
        <v>7.1</v>
      </c>
      <c r="AQ641" s="53">
        <f t="shared" si="535"/>
        <v>4.26</v>
      </c>
      <c r="AR641" s="53">
        <f t="shared" si="536"/>
        <v>21.299999999999997</v>
      </c>
      <c r="AS641" s="56">
        <f t="shared" si="537"/>
        <v>4.6948356807511742E-2</v>
      </c>
      <c r="AT641" s="56">
        <f t="shared" si="568"/>
        <v>0.23474178403755869</v>
      </c>
      <c r="AU641" s="56">
        <f t="shared" si="538"/>
        <v>0.176056338028169</v>
      </c>
      <c r="AV641" s="56">
        <f t="shared" si="569"/>
        <v>5.8685446009389672E-2</v>
      </c>
      <c r="AW641" s="57" t="s">
        <v>2511</v>
      </c>
      <c r="AX641" s="57" t="s">
        <v>2512</v>
      </c>
      <c r="AY641" s="57" t="s">
        <v>2513</v>
      </c>
      <c r="AZ641" s="58">
        <f t="shared" si="570"/>
        <v>1.1612879999999997E-2</v>
      </c>
      <c r="BA641" s="59">
        <f t="shared" si="573"/>
        <v>3.4075352112676051E-4</v>
      </c>
      <c r="BB641" s="59">
        <f t="shared" si="574"/>
        <v>1.0222605633802813E-3</v>
      </c>
      <c r="BC641" s="59">
        <f t="shared" si="575"/>
        <v>2.7260281690140843E-4</v>
      </c>
      <c r="BD641" s="60">
        <f t="shared" si="571"/>
        <v>3.0864197530864196E-3</v>
      </c>
      <c r="BE641" s="59">
        <f t="shared" si="572"/>
        <v>3.0864197530864196E-3</v>
      </c>
      <c r="BQ641" s="61">
        <v>3000</v>
      </c>
      <c r="BR641" s="61">
        <v>1200</v>
      </c>
      <c r="BS641" s="28">
        <f t="shared" si="539"/>
        <v>2980</v>
      </c>
      <c r="BT641" s="28">
        <f t="shared" si="540"/>
        <v>1180</v>
      </c>
      <c r="BU641" s="28" t="s">
        <v>2541</v>
      </c>
      <c r="BV641" s="28">
        <f t="shared" si="541"/>
        <v>614.59999999999991</v>
      </c>
      <c r="BW641" s="28">
        <f t="shared" si="542"/>
        <v>14.524999999999999</v>
      </c>
      <c r="BX641" s="13">
        <f t="shared" si="543"/>
        <v>4.84868206963879</v>
      </c>
      <c r="BY641" s="13">
        <f t="shared" si="544"/>
        <v>4</v>
      </c>
      <c r="BZ641" s="13">
        <f t="shared" si="545"/>
        <v>81.239242685025829</v>
      </c>
      <c r="CA641" s="13">
        <f t="shared" si="546"/>
        <v>81</v>
      </c>
      <c r="CB641" s="13">
        <f t="shared" si="547"/>
        <v>324</v>
      </c>
      <c r="CC641" s="62">
        <f t="shared" si="548"/>
        <v>3.0864197530864196E-3</v>
      </c>
      <c r="CD641" s="13">
        <f t="shared" si="549"/>
        <v>205.16351118760758</v>
      </c>
      <c r="CE641" s="13">
        <f t="shared" si="550"/>
        <v>205</v>
      </c>
      <c r="CF641" s="13">
        <f t="shared" si="551"/>
        <v>1.9199479336153598</v>
      </c>
      <c r="CG641" s="13">
        <f t="shared" si="552"/>
        <v>1</v>
      </c>
      <c r="CH641" s="28">
        <f t="shared" si="553"/>
        <v>205</v>
      </c>
      <c r="CI641" s="62">
        <f t="shared" si="554"/>
        <v>4.8780487804878049E-3</v>
      </c>
      <c r="CJ641" s="59">
        <f t="shared" si="555"/>
        <v>3.0864197530864196E-3</v>
      </c>
      <c r="CL641" s="63">
        <v>6000</v>
      </c>
      <c r="CM641" s="63">
        <f t="shared" si="556"/>
        <v>609.59999999999991</v>
      </c>
      <c r="CN641" s="63">
        <f t="shared" si="557"/>
        <v>614.59999999999991</v>
      </c>
      <c r="CO641" s="63">
        <f t="shared" si="558"/>
        <v>9.7624471200781002</v>
      </c>
      <c r="CP641" s="13">
        <f t="shared" si="559"/>
        <v>9</v>
      </c>
      <c r="CQ641" s="70">
        <f t="shared" si="560"/>
        <v>0.1111111111111111</v>
      </c>
      <c r="CR641" s="69">
        <f t="shared" si="581"/>
        <v>0.1111111111111111</v>
      </c>
    </row>
    <row r="642" spans="1:96" hidden="1" x14ac:dyDescent="0.25">
      <c r="A642" s="36">
        <v>2</v>
      </c>
      <c r="B642" s="37" t="s">
        <v>37</v>
      </c>
      <c r="C642" s="36" t="s">
        <v>1440</v>
      </c>
      <c r="D642" s="36" t="s">
        <v>1441</v>
      </c>
      <c r="E642" s="36" t="s">
        <v>52</v>
      </c>
      <c r="F642" s="38">
        <f t="shared" si="529"/>
        <v>2</v>
      </c>
      <c r="G642" s="36">
        <v>5</v>
      </c>
      <c r="H642" s="36">
        <f t="shared" si="583"/>
        <v>5</v>
      </c>
      <c r="I642" s="36">
        <v>103</v>
      </c>
      <c r="J642" s="37" t="s">
        <v>76</v>
      </c>
      <c r="K642" s="37" t="s">
        <v>34</v>
      </c>
      <c r="L642" s="36" t="s">
        <v>77</v>
      </c>
      <c r="M642" s="37" t="s">
        <v>35</v>
      </c>
      <c r="N642" s="36" t="s">
        <v>1441</v>
      </c>
      <c r="O642" s="28" t="s">
        <v>41</v>
      </c>
      <c r="P642" s="28" t="s">
        <v>41</v>
      </c>
      <c r="Q642" s="28" t="s">
        <v>79</v>
      </c>
      <c r="R642" s="30">
        <v>17.047244094488189</v>
      </c>
      <c r="S642" s="30">
        <v>0.3125</v>
      </c>
      <c r="T642" s="30"/>
      <c r="U642" s="30">
        <v>0.3125</v>
      </c>
      <c r="V642" s="8">
        <f t="shared" si="530"/>
        <v>433</v>
      </c>
      <c r="W642" s="8">
        <f t="shared" si="531"/>
        <v>7.9375</v>
      </c>
      <c r="X642" s="8">
        <f t="shared" si="532"/>
        <v>0</v>
      </c>
      <c r="Y642" s="33">
        <f t="shared" si="533"/>
        <v>7.9375</v>
      </c>
      <c r="Z642" s="28" t="s">
        <v>80</v>
      </c>
      <c r="AA642" s="28" t="s">
        <v>81</v>
      </c>
      <c r="AB642" s="61" t="s">
        <v>79</v>
      </c>
      <c r="AC642" s="31" t="s">
        <v>82</v>
      </c>
      <c r="AD642" s="50">
        <f t="shared" si="534"/>
        <v>5</v>
      </c>
      <c r="AE642" s="31"/>
      <c r="AF642" s="51">
        <v>14</v>
      </c>
      <c r="AG642" s="51">
        <f t="shared" si="562"/>
        <v>8.4</v>
      </c>
      <c r="AH642" s="51">
        <f t="shared" ref="AH642:AH705" si="584">AG642/0.2</f>
        <v>42</v>
      </c>
      <c r="AI642" s="52" t="s">
        <v>2497</v>
      </c>
      <c r="AJ642" s="52" t="s">
        <v>2498</v>
      </c>
      <c r="AK642" s="53">
        <f t="shared" si="563"/>
        <v>6.8738749999999998E-3</v>
      </c>
      <c r="AL642" s="54">
        <f t="shared" si="564"/>
        <v>0.11904761904761904</v>
      </c>
      <c r="AM642" s="54">
        <f t="shared" si="565"/>
        <v>2.3809523809523808E-2</v>
      </c>
      <c r="AN642" s="55">
        <f t="shared" si="566"/>
        <v>4.0915922619047616E-3</v>
      </c>
      <c r="AO642" s="55">
        <f t="shared" si="567"/>
        <v>8.1831845238095231E-4</v>
      </c>
      <c r="AP642" s="53">
        <v>7.1</v>
      </c>
      <c r="AQ642" s="53">
        <f t="shared" si="535"/>
        <v>4.26</v>
      </c>
      <c r="AR642" s="53">
        <f t="shared" si="536"/>
        <v>21.299999999999997</v>
      </c>
      <c r="AS642" s="56">
        <f t="shared" si="537"/>
        <v>4.6948356807511742E-2</v>
      </c>
      <c r="AT642" s="56">
        <f t="shared" si="568"/>
        <v>0.23474178403755869</v>
      </c>
      <c r="AU642" s="56">
        <f t="shared" si="538"/>
        <v>0.176056338028169</v>
      </c>
      <c r="AV642" s="56">
        <f t="shared" si="569"/>
        <v>5.8685446009389672E-2</v>
      </c>
      <c r="AW642" s="57" t="s">
        <v>2511</v>
      </c>
      <c r="AX642" s="57" t="s">
        <v>2512</v>
      </c>
      <c r="AY642" s="57" t="s">
        <v>2513</v>
      </c>
      <c r="AZ642" s="58">
        <f t="shared" si="570"/>
        <v>6.8738749999999998E-3</v>
      </c>
      <c r="BA642" s="59">
        <f t="shared" si="573"/>
        <v>1.0084910504694837E-3</v>
      </c>
      <c r="BB642" s="59">
        <f t="shared" si="574"/>
        <v>3.0254731514084503E-3</v>
      </c>
      <c r="BC642" s="59">
        <f t="shared" si="575"/>
        <v>8.0679284037558691E-4</v>
      </c>
      <c r="BD642" s="60">
        <f t="shared" si="571"/>
        <v>1.8315018315018315E-3</v>
      </c>
      <c r="BE642" s="59">
        <f t="shared" si="572"/>
        <v>9.1575091575091579E-3</v>
      </c>
      <c r="BQ642" s="61">
        <v>3000</v>
      </c>
      <c r="BR642" s="61">
        <v>1200</v>
      </c>
      <c r="BS642" s="28">
        <f t="shared" si="539"/>
        <v>2980</v>
      </c>
      <c r="BT642" s="28">
        <f t="shared" si="540"/>
        <v>1180</v>
      </c>
      <c r="BU642" s="28" t="s">
        <v>2541</v>
      </c>
      <c r="BV642" s="28">
        <f t="shared" si="541"/>
        <v>438</v>
      </c>
      <c r="BW642" s="28">
        <f t="shared" si="542"/>
        <v>12.9375</v>
      </c>
      <c r="BX642" s="13">
        <f t="shared" si="543"/>
        <v>6.8036529680365296</v>
      </c>
      <c r="BY642" s="13">
        <f t="shared" si="544"/>
        <v>6</v>
      </c>
      <c r="BZ642" s="13">
        <f t="shared" si="545"/>
        <v>91.207729468599027</v>
      </c>
      <c r="CA642" s="13">
        <f t="shared" si="546"/>
        <v>91</v>
      </c>
      <c r="CB642" s="13">
        <f t="shared" si="547"/>
        <v>546</v>
      </c>
      <c r="CC642" s="62">
        <f t="shared" si="548"/>
        <v>1.8315018315018315E-3</v>
      </c>
      <c r="CD642" s="13">
        <f t="shared" si="549"/>
        <v>230.33816425120773</v>
      </c>
      <c r="CE642" s="13">
        <f t="shared" si="550"/>
        <v>230</v>
      </c>
      <c r="CF642" s="13">
        <f t="shared" si="551"/>
        <v>2.6940639269406392</v>
      </c>
      <c r="CG642" s="13">
        <f t="shared" si="552"/>
        <v>2</v>
      </c>
      <c r="CH642" s="28">
        <f t="shared" si="553"/>
        <v>460</v>
      </c>
      <c r="CI642" s="62">
        <f t="shared" si="554"/>
        <v>2.1739130434782609E-3</v>
      </c>
      <c r="CJ642" s="59">
        <f t="shared" si="555"/>
        <v>1.8315018315018315E-3</v>
      </c>
      <c r="CL642" s="63">
        <v>6000</v>
      </c>
      <c r="CM642" s="63">
        <f t="shared" si="556"/>
        <v>433</v>
      </c>
      <c r="CN642" s="63">
        <f t="shared" si="557"/>
        <v>438</v>
      </c>
      <c r="CO642" s="63">
        <f t="shared" si="558"/>
        <v>13.698630136986301</v>
      </c>
      <c r="CP642" s="13">
        <f t="shared" si="559"/>
        <v>13</v>
      </c>
      <c r="CQ642" s="70">
        <f t="shared" si="560"/>
        <v>7.6923076923076927E-2</v>
      </c>
      <c r="CR642" s="69">
        <f t="shared" si="581"/>
        <v>0.38461538461538464</v>
      </c>
    </row>
    <row r="643" spans="1:96" hidden="1" x14ac:dyDescent="0.25">
      <c r="A643" s="36">
        <v>2</v>
      </c>
      <c r="B643" s="37" t="s">
        <v>37</v>
      </c>
      <c r="C643" s="36" t="s">
        <v>226</v>
      </c>
      <c r="D643" s="36" t="s">
        <v>228</v>
      </c>
      <c r="E643" s="36" t="s">
        <v>52</v>
      </c>
      <c r="F643" s="38">
        <f t="shared" ref="F643:F706" si="585">COUNTIF($C$2:$C$1202,C643)</f>
        <v>5</v>
      </c>
      <c r="G643" s="36">
        <v>1</v>
      </c>
      <c r="H643" s="36">
        <f t="shared" si="583"/>
        <v>1</v>
      </c>
      <c r="I643" s="36">
        <v>108</v>
      </c>
      <c r="J643" s="37" t="s">
        <v>227</v>
      </c>
      <c r="K643" s="37" t="s">
        <v>34</v>
      </c>
      <c r="L643" s="36" t="s">
        <v>89</v>
      </c>
      <c r="M643" s="37" t="s">
        <v>35</v>
      </c>
      <c r="N643" s="36" t="s">
        <v>228</v>
      </c>
      <c r="O643" s="28" t="s">
        <v>41</v>
      </c>
      <c r="P643" s="28" t="s">
        <v>41</v>
      </c>
      <c r="Q643" s="28" t="s">
        <v>79</v>
      </c>
      <c r="R643" s="30">
        <v>10</v>
      </c>
      <c r="S643" s="30">
        <v>0.3125</v>
      </c>
      <c r="T643" s="30"/>
      <c r="U643" s="30">
        <v>0.3125</v>
      </c>
      <c r="V643" s="8">
        <f t="shared" ref="V643:V706" si="586">R643*25.4</f>
        <v>254</v>
      </c>
      <c r="W643" s="8">
        <f t="shared" ref="W643:W706" si="587">S643*25.4</f>
        <v>7.9375</v>
      </c>
      <c r="X643" s="8">
        <f t="shared" ref="X643:X706" si="588">T643*25.4</f>
        <v>0</v>
      </c>
      <c r="Y643" s="33">
        <f t="shared" ref="Y643:Y706" si="589">U643*25.4</f>
        <v>7.9375</v>
      </c>
      <c r="Z643" s="28" t="s">
        <v>80</v>
      </c>
      <c r="AA643" s="28" t="s">
        <v>81</v>
      </c>
      <c r="AB643" s="61" t="s">
        <v>79</v>
      </c>
      <c r="AC643" s="31" t="s">
        <v>82</v>
      </c>
      <c r="AD643" s="50">
        <f t="shared" ref="AD643:AD706" si="590">H643</f>
        <v>1</v>
      </c>
      <c r="AE643" s="31"/>
      <c r="AF643" s="51">
        <v>14</v>
      </c>
      <c r="AG643" s="51">
        <f t="shared" si="562"/>
        <v>8.4</v>
      </c>
      <c r="AH643" s="51">
        <f t="shared" si="584"/>
        <v>42</v>
      </c>
      <c r="AI643" s="52" t="s">
        <v>2497</v>
      </c>
      <c r="AJ643" s="52" t="s">
        <v>2498</v>
      </c>
      <c r="AK643" s="53">
        <f t="shared" si="563"/>
        <v>4.0322500000000002E-3</v>
      </c>
      <c r="AL643" s="54">
        <f t="shared" si="564"/>
        <v>0.11904761904761904</v>
      </c>
      <c r="AM643" s="54">
        <f t="shared" si="565"/>
        <v>2.3809523809523808E-2</v>
      </c>
      <c r="AN643" s="55">
        <f t="shared" si="566"/>
        <v>4.8002976190476192E-4</v>
      </c>
      <c r="AO643" s="55">
        <f t="shared" si="567"/>
        <v>9.6005952380952381E-5</v>
      </c>
      <c r="AP643" s="53">
        <v>7.1</v>
      </c>
      <c r="AQ643" s="53">
        <f t="shared" ref="AQ643:AQ706" si="591">AP643*0.6</f>
        <v>4.26</v>
      </c>
      <c r="AR643" s="53">
        <f t="shared" ref="AR643:AR706" si="592">AQ643*5</f>
        <v>21.299999999999997</v>
      </c>
      <c r="AS643" s="56">
        <f t="shared" ref="AS643:AS706" si="593">1/AR643</f>
        <v>4.6948356807511742E-2</v>
      </c>
      <c r="AT643" s="56">
        <f t="shared" si="568"/>
        <v>0.23474178403755869</v>
      </c>
      <c r="AU643" s="56">
        <f t="shared" ref="AU643:AU706" si="594">AT643*0.75</f>
        <v>0.176056338028169</v>
      </c>
      <c r="AV643" s="56">
        <f t="shared" si="569"/>
        <v>5.8685446009389672E-2</v>
      </c>
      <c r="AW643" s="57" t="s">
        <v>2511</v>
      </c>
      <c r="AX643" s="57" t="s">
        <v>2512</v>
      </c>
      <c r="AY643" s="57" t="s">
        <v>2513</v>
      </c>
      <c r="AZ643" s="58">
        <f t="shared" si="570"/>
        <v>4.0322500000000002E-3</v>
      </c>
      <c r="BA643" s="59">
        <f t="shared" si="573"/>
        <v>1.1831719483568076E-4</v>
      </c>
      <c r="BB643" s="59">
        <f t="shared" si="574"/>
        <v>3.5495158450704227E-4</v>
      </c>
      <c r="BC643" s="59">
        <f t="shared" si="575"/>
        <v>9.4653755868544611E-5</v>
      </c>
      <c r="BD643" s="60">
        <f t="shared" si="571"/>
        <v>9.99000999000999E-4</v>
      </c>
      <c r="BE643" s="59">
        <f t="shared" si="572"/>
        <v>9.99000999000999E-4</v>
      </c>
      <c r="BQ643" s="61">
        <v>3000</v>
      </c>
      <c r="BR643" s="61">
        <v>1200</v>
      </c>
      <c r="BS643" s="28">
        <f t="shared" ref="BS643:BS706" si="595">BQ643-20</f>
        <v>2980</v>
      </c>
      <c r="BT643" s="28">
        <f t="shared" ref="BT643:BT706" si="596">BR643-20</f>
        <v>1180</v>
      </c>
      <c r="BU643" s="28" t="s">
        <v>2541</v>
      </c>
      <c r="BV643" s="28">
        <f t="shared" ref="BV643:BV706" si="597">V643+5</f>
        <v>259</v>
      </c>
      <c r="BW643" s="28">
        <f t="shared" ref="BW643:BW706" si="598">W643+5</f>
        <v>12.9375</v>
      </c>
      <c r="BX643" s="13">
        <f t="shared" ref="BX643:BX706" si="599">BS643/BV643</f>
        <v>11.505791505791505</v>
      </c>
      <c r="BY643" s="13">
        <f t="shared" ref="BY643:BY706" si="600">ROUNDDOWN(BX643,0)</f>
        <v>11</v>
      </c>
      <c r="BZ643" s="13">
        <f t="shared" ref="BZ643:BZ706" si="601">BT643/BW643</f>
        <v>91.207729468599027</v>
      </c>
      <c r="CA643" s="13">
        <f t="shared" ref="CA643:CA706" si="602">ROUNDDOWN(BZ643,0)</f>
        <v>91</v>
      </c>
      <c r="CB643" s="13">
        <f t="shared" ref="CB643:CB706" si="603">BY643*CA643</f>
        <v>1001</v>
      </c>
      <c r="CC643" s="62">
        <f t="shared" ref="CC643:CC706" si="604">IF(E643="CJ","",IFERROR((1/CB643),1))</f>
        <v>9.99000999000999E-4</v>
      </c>
      <c r="CD643" s="13">
        <f t="shared" ref="CD643:CD706" si="605">BS643/BW643</f>
        <v>230.33816425120773</v>
      </c>
      <c r="CE643" s="13">
        <f t="shared" ref="CE643:CE706" si="606">ROUNDDOWN(CD643,0)</f>
        <v>230</v>
      </c>
      <c r="CF643" s="13">
        <f t="shared" ref="CF643:CF706" si="607">BT643/BV643</f>
        <v>4.5559845559845558</v>
      </c>
      <c r="CG643" s="13">
        <f t="shared" ref="CG643:CG706" si="608">ROUNDDOWN(CF643,0)</f>
        <v>4</v>
      </c>
      <c r="CH643" s="28">
        <f t="shared" ref="CH643:CH706" si="609">CE643*CG643</f>
        <v>920</v>
      </c>
      <c r="CI643" s="62">
        <f t="shared" ref="CI643:CI706" si="610">IF(E643="CJ","",IFERROR((1/CH643),1))</f>
        <v>1.0869565217391304E-3</v>
      </c>
      <c r="CJ643" s="59">
        <f t="shared" ref="CJ643:CJ706" si="611">MIN(CC643,CI643)</f>
        <v>9.99000999000999E-4</v>
      </c>
      <c r="CL643" s="63">
        <v>6000</v>
      </c>
      <c r="CM643" s="63">
        <f t="shared" ref="CM643:CM706" si="612">V643</f>
        <v>254</v>
      </c>
      <c r="CN643" s="63">
        <f t="shared" ref="CN643:CN706" si="613">CM643+5</f>
        <v>259</v>
      </c>
      <c r="CO643" s="63">
        <f t="shared" ref="CO643:CO706" si="614">CL643/CN643</f>
        <v>23.166023166023166</v>
      </c>
      <c r="CP643" s="13">
        <f t="shared" ref="CP643:CP706" si="615">ROUNDDOWN(CO643,0)</f>
        <v>23</v>
      </c>
      <c r="CQ643" s="70">
        <f t="shared" ref="CQ643:CQ706" si="616">1/CP643</f>
        <v>4.3478260869565216E-2</v>
      </c>
      <c r="CR643" s="69">
        <f t="shared" si="581"/>
        <v>4.3478260869565216E-2</v>
      </c>
    </row>
    <row r="644" spans="1:96" hidden="1" x14ac:dyDescent="0.25">
      <c r="A644" s="36">
        <v>2</v>
      </c>
      <c r="B644" s="37" t="s">
        <v>37</v>
      </c>
      <c r="C644" s="36" t="s">
        <v>105</v>
      </c>
      <c r="D644" s="36" t="s">
        <v>106</v>
      </c>
      <c r="E644" s="36" t="s">
        <v>52</v>
      </c>
      <c r="F644" s="38">
        <f t="shared" si="585"/>
        <v>9</v>
      </c>
      <c r="G644" s="36">
        <v>1</v>
      </c>
      <c r="H644" s="36">
        <f t="shared" si="583"/>
        <v>1</v>
      </c>
      <c r="I644" s="36">
        <v>109</v>
      </c>
      <c r="J644" s="37" t="s">
        <v>76</v>
      </c>
      <c r="K644" s="37" t="s">
        <v>34</v>
      </c>
      <c r="L644" s="36" t="s">
        <v>77</v>
      </c>
      <c r="M644" s="37" t="s">
        <v>35</v>
      </c>
      <c r="N644" s="36" t="s">
        <v>106</v>
      </c>
      <c r="O644" s="28" t="s">
        <v>41</v>
      </c>
      <c r="P644" s="28" t="s">
        <v>41</v>
      </c>
      <c r="Q644" s="28" t="s">
        <v>79</v>
      </c>
      <c r="R644" s="30">
        <v>11.023622047244094</v>
      </c>
      <c r="S644" s="30">
        <v>0.3125</v>
      </c>
      <c r="T644" s="30"/>
      <c r="U644" s="30">
        <v>0.3125</v>
      </c>
      <c r="V644" s="8">
        <f t="shared" si="586"/>
        <v>280</v>
      </c>
      <c r="W644" s="8">
        <f t="shared" si="587"/>
        <v>7.9375</v>
      </c>
      <c r="X644" s="8">
        <f t="shared" si="588"/>
        <v>0</v>
      </c>
      <c r="Y644" s="33">
        <f t="shared" si="589"/>
        <v>7.9375</v>
      </c>
      <c r="Z644" s="28" t="s">
        <v>80</v>
      </c>
      <c r="AA644" s="28" t="s">
        <v>81</v>
      </c>
      <c r="AB644" s="61" t="s">
        <v>79</v>
      </c>
      <c r="AC644" s="31" t="s">
        <v>82</v>
      </c>
      <c r="AD644" s="50">
        <f t="shared" si="590"/>
        <v>1</v>
      </c>
      <c r="AE644" s="31"/>
      <c r="AF644" s="51">
        <v>14</v>
      </c>
      <c r="AG644" s="51">
        <f t="shared" si="562"/>
        <v>8.4</v>
      </c>
      <c r="AH644" s="51">
        <f t="shared" si="584"/>
        <v>42</v>
      </c>
      <c r="AI644" s="52" t="s">
        <v>2497</v>
      </c>
      <c r="AJ644" s="52" t="s">
        <v>2498</v>
      </c>
      <c r="AK644" s="53">
        <f t="shared" si="563"/>
        <v>4.4450000000000002E-3</v>
      </c>
      <c r="AL644" s="54">
        <f t="shared" si="564"/>
        <v>0.11904761904761904</v>
      </c>
      <c r="AM644" s="54">
        <f t="shared" si="565"/>
        <v>2.3809523809523808E-2</v>
      </c>
      <c r="AN644" s="55">
        <f t="shared" si="566"/>
        <v>5.2916666666666661E-4</v>
      </c>
      <c r="AO644" s="55">
        <f t="shared" si="567"/>
        <v>1.0583333333333334E-4</v>
      </c>
      <c r="AP644" s="53">
        <v>7.1</v>
      </c>
      <c r="AQ644" s="53">
        <f t="shared" si="591"/>
        <v>4.26</v>
      </c>
      <c r="AR644" s="53">
        <f t="shared" si="592"/>
        <v>21.299999999999997</v>
      </c>
      <c r="AS644" s="56">
        <f t="shared" si="593"/>
        <v>4.6948356807511742E-2</v>
      </c>
      <c r="AT644" s="56">
        <f t="shared" si="568"/>
        <v>0.23474178403755869</v>
      </c>
      <c r="AU644" s="56">
        <f t="shared" si="594"/>
        <v>0.176056338028169</v>
      </c>
      <c r="AV644" s="56">
        <f t="shared" si="569"/>
        <v>5.8685446009389672E-2</v>
      </c>
      <c r="AW644" s="57" t="s">
        <v>2511</v>
      </c>
      <c r="AX644" s="57" t="s">
        <v>2512</v>
      </c>
      <c r="AY644" s="57" t="s">
        <v>2513</v>
      </c>
      <c r="AZ644" s="58">
        <f t="shared" si="570"/>
        <v>4.4450000000000002E-3</v>
      </c>
      <c r="BA644" s="59">
        <f t="shared" si="573"/>
        <v>1.3042840375586856E-4</v>
      </c>
      <c r="BB644" s="59">
        <f t="shared" si="574"/>
        <v>3.9128521126760563E-4</v>
      </c>
      <c r="BC644" s="59">
        <f t="shared" si="575"/>
        <v>1.0434272300469485E-4</v>
      </c>
      <c r="BD644" s="60">
        <f t="shared" si="571"/>
        <v>1.0869565217391304E-3</v>
      </c>
      <c r="BE644" s="59">
        <f t="shared" si="572"/>
        <v>1.0869565217391304E-3</v>
      </c>
      <c r="BQ644" s="61">
        <v>3000</v>
      </c>
      <c r="BR644" s="61">
        <v>1200</v>
      </c>
      <c r="BS644" s="28">
        <f t="shared" si="595"/>
        <v>2980</v>
      </c>
      <c r="BT644" s="28">
        <f t="shared" si="596"/>
        <v>1180</v>
      </c>
      <c r="BU644" s="28" t="s">
        <v>2541</v>
      </c>
      <c r="BV644" s="28">
        <f t="shared" si="597"/>
        <v>285</v>
      </c>
      <c r="BW644" s="28">
        <f t="shared" si="598"/>
        <v>12.9375</v>
      </c>
      <c r="BX644" s="13">
        <f t="shared" si="599"/>
        <v>10.456140350877194</v>
      </c>
      <c r="BY644" s="13">
        <f t="shared" si="600"/>
        <v>10</v>
      </c>
      <c r="BZ644" s="13">
        <f t="shared" si="601"/>
        <v>91.207729468599027</v>
      </c>
      <c r="CA644" s="13">
        <f t="shared" si="602"/>
        <v>91</v>
      </c>
      <c r="CB644" s="13">
        <f t="shared" si="603"/>
        <v>910</v>
      </c>
      <c r="CC644" s="62">
        <f t="shared" si="604"/>
        <v>1.0989010989010989E-3</v>
      </c>
      <c r="CD644" s="13">
        <f t="shared" si="605"/>
        <v>230.33816425120773</v>
      </c>
      <c r="CE644" s="13">
        <f t="shared" si="606"/>
        <v>230</v>
      </c>
      <c r="CF644" s="13">
        <f t="shared" si="607"/>
        <v>4.1403508771929829</v>
      </c>
      <c r="CG644" s="13">
        <f t="shared" si="608"/>
        <v>4</v>
      </c>
      <c r="CH644" s="28">
        <f t="shared" si="609"/>
        <v>920</v>
      </c>
      <c r="CI644" s="62">
        <f t="shared" si="610"/>
        <v>1.0869565217391304E-3</v>
      </c>
      <c r="CJ644" s="59">
        <f t="shared" si="611"/>
        <v>1.0869565217391304E-3</v>
      </c>
      <c r="CL644" s="63">
        <v>6000</v>
      </c>
      <c r="CM644" s="63">
        <f t="shared" si="612"/>
        <v>280</v>
      </c>
      <c r="CN644" s="63">
        <f t="shared" si="613"/>
        <v>285</v>
      </c>
      <c r="CO644" s="63">
        <f t="shared" si="614"/>
        <v>21.05263157894737</v>
      </c>
      <c r="CP644" s="13">
        <f t="shared" si="615"/>
        <v>21</v>
      </c>
      <c r="CQ644" s="70">
        <f t="shared" si="616"/>
        <v>4.7619047619047616E-2</v>
      </c>
      <c r="CR644" s="69">
        <f t="shared" si="581"/>
        <v>4.7619047619047616E-2</v>
      </c>
    </row>
    <row r="645" spans="1:96" hidden="1" x14ac:dyDescent="0.25">
      <c r="A645" s="36">
        <v>2</v>
      </c>
      <c r="B645" s="37" t="s">
        <v>37</v>
      </c>
      <c r="C645" s="36" t="s">
        <v>87</v>
      </c>
      <c r="D645" s="36" t="s">
        <v>90</v>
      </c>
      <c r="E645" s="36" t="s">
        <v>52</v>
      </c>
      <c r="F645" s="38">
        <f t="shared" si="585"/>
        <v>7</v>
      </c>
      <c r="G645" s="36">
        <v>1</v>
      </c>
      <c r="H645" s="36">
        <f t="shared" si="583"/>
        <v>1</v>
      </c>
      <c r="I645" s="36">
        <v>115</v>
      </c>
      <c r="J645" s="37" t="s">
        <v>88</v>
      </c>
      <c r="K645" s="37" t="s">
        <v>34</v>
      </c>
      <c r="L645" s="36" t="s">
        <v>89</v>
      </c>
      <c r="M645" s="37" t="s">
        <v>35</v>
      </c>
      <c r="N645" s="36" t="s">
        <v>90</v>
      </c>
      <c r="O645" s="28" t="s">
        <v>41</v>
      </c>
      <c r="P645" s="28" t="s">
        <v>41</v>
      </c>
      <c r="Q645" s="28" t="s">
        <v>79</v>
      </c>
      <c r="R645" s="30">
        <v>14.05511811023622</v>
      </c>
      <c r="S645" s="30">
        <v>0.3125</v>
      </c>
      <c r="T645" s="30"/>
      <c r="U645" s="30">
        <v>0.3125</v>
      </c>
      <c r="V645" s="8">
        <f t="shared" si="586"/>
        <v>357</v>
      </c>
      <c r="W645" s="8">
        <f t="shared" si="587"/>
        <v>7.9375</v>
      </c>
      <c r="X645" s="8">
        <f t="shared" si="588"/>
        <v>0</v>
      </c>
      <c r="Y645" s="33">
        <f t="shared" si="589"/>
        <v>7.9375</v>
      </c>
      <c r="Z645" s="28" t="s">
        <v>80</v>
      </c>
      <c r="AA645" s="28" t="s">
        <v>81</v>
      </c>
      <c r="AB645" s="61" t="s">
        <v>79</v>
      </c>
      <c r="AC645" s="31" t="s">
        <v>82</v>
      </c>
      <c r="AD645" s="50">
        <f t="shared" si="590"/>
        <v>1</v>
      </c>
      <c r="AE645" s="31"/>
      <c r="AF645" s="51">
        <v>14</v>
      </c>
      <c r="AG645" s="51">
        <f t="shared" si="562"/>
        <v>8.4</v>
      </c>
      <c r="AH645" s="51">
        <f t="shared" si="584"/>
        <v>42</v>
      </c>
      <c r="AI645" s="52" t="s">
        <v>2497</v>
      </c>
      <c r="AJ645" s="52" t="s">
        <v>2498</v>
      </c>
      <c r="AK645" s="53">
        <f t="shared" si="563"/>
        <v>5.6673749999999997E-3</v>
      </c>
      <c r="AL645" s="54">
        <f t="shared" si="564"/>
        <v>0.11904761904761904</v>
      </c>
      <c r="AM645" s="54">
        <f t="shared" si="565"/>
        <v>2.3809523809523808E-2</v>
      </c>
      <c r="AN645" s="55">
        <f t="shared" si="566"/>
        <v>6.7468749999999994E-4</v>
      </c>
      <c r="AO645" s="55">
        <f t="shared" si="567"/>
        <v>1.3493749999999999E-4</v>
      </c>
      <c r="AP645" s="53">
        <v>7.1</v>
      </c>
      <c r="AQ645" s="53">
        <f t="shared" si="591"/>
        <v>4.26</v>
      </c>
      <c r="AR645" s="53">
        <f t="shared" si="592"/>
        <v>21.299999999999997</v>
      </c>
      <c r="AS645" s="56">
        <f t="shared" si="593"/>
        <v>4.6948356807511742E-2</v>
      </c>
      <c r="AT645" s="56">
        <f t="shared" si="568"/>
        <v>0.23474178403755869</v>
      </c>
      <c r="AU645" s="56">
        <f t="shared" si="594"/>
        <v>0.176056338028169</v>
      </c>
      <c r="AV645" s="56">
        <f t="shared" si="569"/>
        <v>5.8685446009389672E-2</v>
      </c>
      <c r="AW645" s="57" t="s">
        <v>2511</v>
      </c>
      <c r="AX645" s="57" t="s">
        <v>2512</v>
      </c>
      <c r="AY645" s="57" t="s">
        <v>2513</v>
      </c>
      <c r="AZ645" s="58">
        <f t="shared" si="570"/>
        <v>5.6673749999999997E-3</v>
      </c>
      <c r="BA645" s="59">
        <f t="shared" si="573"/>
        <v>1.6629621478873239E-4</v>
      </c>
      <c r="BB645" s="59">
        <f t="shared" si="574"/>
        <v>4.9888864436619708E-4</v>
      </c>
      <c r="BC645" s="59">
        <f t="shared" si="575"/>
        <v>1.3303697183098592E-4</v>
      </c>
      <c r="BD645" s="60">
        <f t="shared" si="571"/>
        <v>1.3736263736263737E-3</v>
      </c>
      <c r="BE645" s="59">
        <f t="shared" si="572"/>
        <v>1.3736263736263737E-3</v>
      </c>
      <c r="BQ645" s="61">
        <v>3000</v>
      </c>
      <c r="BR645" s="61">
        <v>1200</v>
      </c>
      <c r="BS645" s="28">
        <f t="shared" si="595"/>
        <v>2980</v>
      </c>
      <c r="BT645" s="28">
        <f t="shared" si="596"/>
        <v>1180</v>
      </c>
      <c r="BU645" s="28" t="s">
        <v>2541</v>
      </c>
      <c r="BV645" s="28">
        <f t="shared" si="597"/>
        <v>362</v>
      </c>
      <c r="BW645" s="28">
        <f t="shared" si="598"/>
        <v>12.9375</v>
      </c>
      <c r="BX645" s="13">
        <f t="shared" si="599"/>
        <v>8.2320441988950268</v>
      </c>
      <c r="BY645" s="13">
        <f t="shared" si="600"/>
        <v>8</v>
      </c>
      <c r="BZ645" s="13">
        <f t="shared" si="601"/>
        <v>91.207729468599027</v>
      </c>
      <c r="CA645" s="13">
        <f t="shared" si="602"/>
        <v>91</v>
      </c>
      <c r="CB645" s="13">
        <f t="shared" si="603"/>
        <v>728</v>
      </c>
      <c r="CC645" s="62">
        <f t="shared" si="604"/>
        <v>1.3736263736263737E-3</v>
      </c>
      <c r="CD645" s="13">
        <f t="shared" si="605"/>
        <v>230.33816425120773</v>
      </c>
      <c r="CE645" s="13">
        <f t="shared" si="606"/>
        <v>230</v>
      </c>
      <c r="CF645" s="13">
        <f t="shared" si="607"/>
        <v>3.2596685082872927</v>
      </c>
      <c r="CG645" s="13">
        <f t="shared" si="608"/>
        <v>3</v>
      </c>
      <c r="CH645" s="28">
        <f t="shared" si="609"/>
        <v>690</v>
      </c>
      <c r="CI645" s="62">
        <f t="shared" si="610"/>
        <v>1.4492753623188406E-3</v>
      </c>
      <c r="CJ645" s="59">
        <f t="shared" si="611"/>
        <v>1.3736263736263737E-3</v>
      </c>
      <c r="CL645" s="63">
        <v>6000</v>
      </c>
      <c r="CM645" s="63">
        <f t="shared" si="612"/>
        <v>357</v>
      </c>
      <c r="CN645" s="63">
        <f t="shared" si="613"/>
        <v>362</v>
      </c>
      <c r="CO645" s="63">
        <f t="shared" si="614"/>
        <v>16.574585635359117</v>
      </c>
      <c r="CP645" s="13">
        <f t="shared" si="615"/>
        <v>16</v>
      </c>
      <c r="CQ645" s="70">
        <f t="shared" si="616"/>
        <v>6.25E-2</v>
      </c>
      <c r="CR645" s="69">
        <f t="shared" si="581"/>
        <v>6.25E-2</v>
      </c>
    </row>
    <row r="646" spans="1:96" hidden="1" x14ac:dyDescent="0.25">
      <c r="A646" s="36">
        <v>2</v>
      </c>
      <c r="B646" s="37" t="s">
        <v>37</v>
      </c>
      <c r="C646" s="36" t="s">
        <v>703</v>
      </c>
      <c r="D646" s="36" t="s">
        <v>705</v>
      </c>
      <c r="E646" s="36" t="s">
        <v>52</v>
      </c>
      <c r="F646" s="38">
        <f t="shared" si="585"/>
        <v>7</v>
      </c>
      <c r="G646" s="36">
        <v>1</v>
      </c>
      <c r="H646" s="36">
        <f t="shared" si="583"/>
        <v>1</v>
      </c>
      <c r="I646" s="36">
        <v>119</v>
      </c>
      <c r="J646" s="37" t="s">
        <v>704</v>
      </c>
      <c r="K646" s="37" t="s">
        <v>34</v>
      </c>
      <c r="L646" s="36" t="s">
        <v>89</v>
      </c>
      <c r="M646" s="37" t="s">
        <v>35</v>
      </c>
      <c r="N646" s="36" t="s">
        <v>705</v>
      </c>
      <c r="O646" s="28" t="s">
        <v>41</v>
      </c>
      <c r="P646" s="28" t="s">
        <v>41</v>
      </c>
      <c r="Q646" s="28" t="s">
        <v>79</v>
      </c>
      <c r="R646" s="30">
        <v>7.9921259842519685</v>
      </c>
      <c r="S646" s="30">
        <v>0.3125</v>
      </c>
      <c r="T646" s="30"/>
      <c r="U646" s="30">
        <v>0.3125</v>
      </c>
      <c r="V646" s="8">
        <f t="shared" si="586"/>
        <v>203</v>
      </c>
      <c r="W646" s="8">
        <f t="shared" si="587"/>
        <v>7.9375</v>
      </c>
      <c r="X646" s="8">
        <f t="shared" si="588"/>
        <v>0</v>
      </c>
      <c r="Y646" s="33">
        <f t="shared" si="589"/>
        <v>7.9375</v>
      </c>
      <c r="Z646" s="28" t="s">
        <v>80</v>
      </c>
      <c r="AA646" s="28" t="s">
        <v>81</v>
      </c>
      <c r="AB646" s="61" t="s">
        <v>79</v>
      </c>
      <c r="AC646" s="31" t="s">
        <v>82</v>
      </c>
      <c r="AD646" s="50">
        <f t="shared" si="590"/>
        <v>1</v>
      </c>
      <c r="AE646" s="31"/>
      <c r="AF646" s="51">
        <v>14</v>
      </c>
      <c r="AG646" s="51">
        <f t="shared" ref="AG646:AG709" si="617">AF646*0.6</f>
        <v>8.4</v>
      </c>
      <c r="AH646" s="51">
        <f t="shared" si="584"/>
        <v>42</v>
      </c>
      <c r="AI646" s="52" t="s">
        <v>2497</v>
      </c>
      <c r="AJ646" s="52" t="s">
        <v>2498</v>
      </c>
      <c r="AK646" s="53">
        <f t="shared" ref="AK646:AK709" si="618">(V646*W646)*2/1000000</f>
        <v>3.2226249999999998E-3</v>
      </c>
      <c r="AL646" s="54">
        <f t="shared" ref="AL646:AL709" si="619">1/(AF646*0.6)</f>
        <v>0.11904761904761904</v>
      </c>
      <c r="AM646" s="54">
        <f t="shared" ref="AM646:AM709" si="620">1/AG646*(20/100)</f>
        <v>2.3809523809523808E-2</v>
      </c>
      <c r="AN646" s="55">
        <f t="shared" ref="AN646:AN709" si="621">IF(AI646&lt;&gt;0,(AK646*AL646*AD646),0)</f>
        <v>3.8364583333333328E-4</v>
      </c>
      <c r="AO646" s="55">
        <f t="shared" ref="AO646:AO709" si="622">IF(AJ646&lt;&gt;0,(AK646*AM646*AD646),0)</f>
        <v>7.6729166666666664E-5</v>
      </c>
      <c r="AP646" s="53">
        <v>7.1</v>
      </c>
      <c r="AQ646" s="53">
        <f t="shared" si="591"/>
        <v>4.26</v>
      </c>
      <c r="AR646" s="53">
        <f t="shared" si="592"/>
        <v>21.299999999999997</v>
      </c>
      <c r="AS646" s="56">
        <f t="shared" si="593"/>
        <v>4.6948356807511742E-2</v>
      </c>
      <c r="AT646" s="56">
        <f t="shared" ref="AT646:AT709" si="623">1/AQ646</f>
        <v>0.23474178403755869</v>
      </c>
      <c r="AU646" s="56">
        <f t="shared" si="594"/>
        <v>0.176056338028169</v>
      </c>
      <c r="AV646" s="56">
        <f t="shared" ref="AV646:AV709" si="624">AT646*0.25</f>
        <v>5.8685446009389672E-2</v>
      </c>
      <c r="AW646" s="57" t="s">
        <v>2511</v>
      </c>
      <c r="AX646" s="57" t="s">
        <v>2512</v>
      </c>
      <c r="AY646" s="57" t="s">
        <v>2513</v>
      </c>
      <c r="AZ646" s="58">
        <f t="shared" ref="AZ646:AZ709" si="625">(V646*W646)*2/1000000</f>
        <v>3.2226249999999998E-3</v>
      </c>
      <c r="BA646" s="59">
        <f t="shared" si="573"/>
        <v>9.4560592723004686E-5</v>
      </c>
      <c r="BB646" s="59">
        <f t="shared" si="574"/>
        <v>2.8368177816901407E-4</v>
      </c>
      <c r="BC646" s="59">
        <f t="shared" si="575"/>
        <v>7.5648474178403754E-5</v>
      </c>
      <c r="BD646" s="60">
        <f t="shared" ref="BD646:BD709" si="626">CJ646</f>
        <v>7.8492935635792783E-4</v>
      </c>
      <c r="BE646" s="59">
        <f t="shared" ref="BE646:BE709" si="627">BD646*AD646</f>
        <v>7.8492935635792783E-4</v>
      </c>
      <c r="BQ646" s="61">
        <v>3000</v>
      </c>
      <c r="BR646" s="61">
        <v>1200</v>
      </c>
      <c r="BS646" s="28">
        <f t="shared" si="595"/>
        <v>2980</v>
      </c>
      <c r="BT646" s="28">
        <f t="shared" si="596"/>
        <v>1180</v>
      </c>
      <c r="BU646" s="28" t="s">
        <v>2541</v>
      </c>
      <c r="BV646" s="28">
        <f t="shared" si="597"/>
        <v>208</v>
      </c>
      <c r="BW646" s="28">
        <f t="shared" si="598"/>
        <v>12.9375</v>
      </c>
      <c r="BX646" s="13">
        <f t="shared" si="599"/>
        <v>14.326923076923077</v>
      </c>
      <c r="BY646" s="13">
        <f t="shared" si="600"/>
        <v>14</v>
      </c>
      <c r="BZ646" s="13">
        <f t="shared" si="601"/>
        <v>91.207729468599027</v>
      </c>
      <c r="CA646" s="13">
        <f t="shared" si="602"/>
        <v>91</v>
      </c>
      <c r="CB646" s="13">
        <f t="shared" si="603"/>
        <v>1274</v>
      </c>
      <c r="CC646" s="62">
        <f t="shared" si="604"/>
        <v>7.8492935635792783E-4</v>
      </c>
      <c r="CD646" s="13">
        <f t="shared" si="605"/>
        <v>230.33816425120773</v>
      </c>
      <c r="CE646" s="13">
        <f t="shared" si="606"/>
        <v>230</v>
      </c>
      <c r="CF646" s="13">
        <f t="shared" si="607"/>
        <v>5.6730769230769234</v>
      </c>
      <c r="CG646" s="13">
        <f t="shared" si="608"/>
        <v>5</v>
      </c>
      <c r="CH646" s="28">
        <f t="shared" si="609"/>
        <v>1150</v>
      </c>
      <c r="CI646" s="62">
        <f t="shared" si="610"/>
        <v>8.6956521739130438E-4</v>
      </c>
      <c r="CJ646" s="59">
        <f t="shared" si="611"/>
        <v>7.8492935635792783E-4</v>
      </c>
      <c r="CL646" s="63">
        <v>6000</v>
      </c>
      <c r="CM646" s="63">
        <f t="shared" si="612"/>
        <v>203</v>
      </c>
      <c r="CN646" s="63">
        <f t="shared" si="613"/>
        <v>208</v>
      </c>
      <c r="CO646" s="63">
        <f t="shared" si="614"/>
        <v>28.846153846153847</v>
      </c>
      <c r="CP646" s="13">
        <f t="shared" si="615"/>
        <v>28</v>
      </c>
      <c r="CQ646" s="70">
        <f t="shared" si="616"/>
        <v>3.5714285714285712E-2</v>
      </c>
      <c r="CR646" s="69">
        <f t="shared" si="581"/>
        <v>3.5714285714285712E-2</v>
      </c>
    </row>
    <row r="647" spans="1:96" hidden="1" x14ac:dyDescent="0.25">
      <c r="A647" s="36">
        <v>2</v>
      </c>
      <c r="B647" s="37" t="s">
        <v>37</v>
      </c>
      <c r="C647" s="36" t="s">
        <v>1557</v>
      </c>
      <c r="D647" s="36" t="s">
        <v>1558</v>
      </c>
      <c r="E647" s="36" t="s">
        <v>52</v>
      </c>
      <c r="F647" s="38">
        <f t="shared" si="585"/>
        <v>1</v>
      </c>
      <c r="G647" s="36">
        <v>3</v>
      </c>
      <c r="H647" s="36">
        <f t="shared" si="583"/>
        <v>3</v>
      </c>
      <c r="I647" s="36">
        <v>120</v>
      </c>
      <c r="J647" s="37" t="s">
        <v>76</v>
      </c>
      <c r="K647" s="37" t="s">
        <v>34</v>
      </c>
      <c r="L647" s="36" t="s">
        <v>77</v>
      </c>
      <c r="M647" s="37" t="s">
        <v>35</v>
      </c>
      <c r="N647" s="36" t="s">
        <v>1558</v>
      </c>
      <c r="O647" s="28" t="s">
        <v>41</v>
      </c>
      <c r="P647" s="28" t="s">
        <v>41</v>
      </c>
      <c r="Q647" s="28" t="s">
        <v>79</v>
      </c>
      <c r="R647" s="30">
        <v>18.110236220472441</v>
      </c>
      <c r="S647" s="30">
        <v>0.3125</v>
      </c>
      <c r="T647" s="30"/>
      <c r="U647" s="30">
        <v>0.3125</v>
      </c>
      <c r="V647" s="8">
        <f t="shared" si="586"/>
        <v>459.99999999999994</v>
      </c>
      <c r="W647" s="8">
        <f t="shared" si="587"/>
        <v>7.9375</v>
      </c>
      <c r="X647" s="8">
        <f t="shared" si="588"/>
        <v>0</v>
      </c>
      <c r="Y647" s="33">
        <f t="shared" si="589"/>
        <v>7.9375</v>
      </c>
      <c r="Z647" s="28" t="s">
        <v>80</v>
      </c>
      <c r="AA647" s="28" t="s">
        <v>81</v>
      </c>
      <c r="AB647" s="61" t="s">
        <v>79</v>
      </c>
      <c r="AC647" s="31" t="s">
        <v>82</v>
      </c>
      <c r="AD647" s="50">
        <f t="shared" si="590"/>
        <v>3</v>
      </c>
      <c r="AE647" s="31"/>
      <c r="AF647" s="51">
        <v>14</v>
      </c>
      <c r="AG647" s="51">
        <f t="shared" si="617"/>
        <v>8.4</v>
      </c>
      <c r="AH647" s="51">
        <f t="shared" si="584"/>
        <v>42</v>
      </c>
      <c r="AI647" s="52" t="s">
        <v>2497</v>
      </c>
      <c r="AJ647" s="52" t="s">
        <v>2498</v>
      </c>
      <c r="AK647" s="53">
        <f t="shared" si="618"/>
        <v>7.3024999999999991E-3</v>
      </c>
      <c r="AL647" s="54">
        <f t="shared" si="619"/>
        <v>0.11904761904761904</v>
      </c>
      <c r="AM647" s="54">
        <f t="shared" si="620"/>
        <v>2.3809523809523808E-2</v>
      </c>
      <c r="AN647" s="55">
        <f t="shared" si="621"/>
        <v>2.6080357142857138E-3</v>
      </c>
      <c r="AO647" s="55">
        <f t="shared" si="622"/>
        <v>5.2160714285714278E-4</v>
      </c>
      <c r="AP647" s="53">
        <v>7.1</v>
      </c>
      <c r="AQ647" s="53">
        <f t="shared" si="591"/>
        <v>4.26</v>
      </c>
      <c r="AR647" s="53">
        <f t="shared" si="592"/>
        <v>21.299999999999997</v>
      </c>
      <c r="AS647" s="56">
        <f t="shared" si="593"/>
        <v>4.6948356807511742E-2</v>
      </c>
      <c r="AT647" s="56">
        <f t="shared" si="623"/>
        <v>0.23474178403755869</v>
      </c>
      <c r="AU647" s="56">
        <f t="shared" si="594"/>
        <v>0.176056338028169</v>
      </c>
      <c r="AV647" s="56">
        <f t="shared" si="624"/>
        <v>5.8685446009389672E-2</v>
      </c>
      <c r="AW647" s="57" t="s">
        <v>2511</v>
      </c>
      <c r="AX647" s="57" t="s">
        <v>2512</v>
      </c>
      <c r="AY647" s="57" t="s">
        <v>2513</v>
      </c>
      <c r="AZ647" s="58">
        <f t="shared" si="625"/>
        <v>7.3024999999999991E-3</v>
      </c>
      <c r="BA647" s="59">
        <f t="shared" si="573"/>
        <v>6.4282570422535194E-4</v>
      </c>
      <c r="BB647" s="59">
        <f t="shared" si="574"/>
        <v>1.928477112676056E-3</v>
      </c>
      <c r="BC647" s="59">
        <f t="shared" si="575"/>
        <v>5.1426056338028166E-4</v>
      </c>
      <c r="BD647" s="60">
        <f t="shared" si="626"/>
        <v>1.8315018315018315E-3</v>
      </c>
      <c r="BE647" s="59">
        <f t="shared" si="627"/>
        <v>5.4945054945054941E-3</v>
      </c>
      <c r="BQ647" s="61">
        <v>3000</v>
      </c>
      <c r="BR647" s="61">
        <v>1200</v>
      </c>
      <c r="BS647" s="28">
        <f t="shared" si="595"/>
        <v>2980</v>
      </c>
      <c r="BT647" s="28">
        <f t="shared" si="596"/>
        <v>1180</v>
      </c>
      <c r="BU647" s="28" t="s">
        <v>2541</v>
      </c>
      <c r="BV647" s="28">
        <f t="shared" si="597"/>
        <v>464.99999999999994</v>
      </c>
      <c r="BW647" s="28">
        <f t="shared" si="598"/>
        <v>12.9375</v>
      </c>
      <c r="BX647" s="13">
        <f t="shared" si="599"/>
        <v>6.4086021505376349</v>
      </c>
      <c r="BY647" s="13">
        <f t="shared" si="600"/>
        <v>6</v>
      </c>
      <c r="BZ647" s="13">
        <f t="shared" si="601"/>
        <v>91.207729468599027</v>
      </c>
      <c r="CA647" s="13">
        <f t="shared" si="602"/>
        <v>91</v>
      </c>
      <c r="CB647" s="13">
        <f t="shared" si="603"/>
        <v>546</v>
      </c>
      <c r="CC647" s="62">
        <f t="shared" si="604"/>
        <v>1.8315018315018315E-3</v>
      </c>
      <c r="CD647" s="13">
        <f t="shared" si="605"/>
        <v>230.33816425120773</v>
      </c>
      <c r="CE647" s="13">
        <f t="shared" si="606"/>
        <v>230</v>
      </c>
      <c r="CF647" s="13">
        <f t="shared" si="607"/>
        <v>2.5376344086021509</v>
      </c>
      <c r="CG647" s="13">
        <f t="shared" si="608"/>
        <v>2</v>
      </c>
      <c r="CH647" s="28">
        <f t="shared" si="609"/>
        <v>460</v>
      </c>
      <c r="CI647" s="62">
        <f t="shared" si="610"/>
        <v>2.1739130434782609E-3</v>
      </c>
      <c r="CJ647" s="59">
        <f t="shared" si="611"/>
        <v>1.8315018315018315E-3</v>
      </c>
      <c r="CL647" s="63">
        <v>6000</v>
      </c>
      <c r="CM647" s="63">
        <f t="shared" si="612"/>
        <v>459.99999999999994</v>
      </c>
      <c r="CN647" s="63">
        <f t="shared" si="613"/>
        <v>464.99999999999994</v>
      </c>
      <c r="CO647" s="63">
        <f t="shared" si="614"/>
        <v>12.903225806451614</v>
      </c>
      <c r="CP647" s="13">
        <f t="shared" si="615"/>
        <v>12</v>
      </c>
      <c r="CQ647" s="70">
        <f t="shared" si="616"/>
        <v>8.3333333333333329E-2</v>
      </c>
      <c r="CR647" s="69">
        <f t="shared" si="581"/>
        <v>0.25</v>
      </c>
    </row>
    <row r="648" spans="1:96" hidden="1" x14ac:dyDescent="0.25">
      <c r="A648" s="36">
        <v>2</v>
      </c>
      <c r="B648" s="37" t="s">
        <v>37</v>
      </c>
      <c r="C648" s="36" t="s">
        <v>1409</v>
      </c>
      <c r="D648" s="36" t="s">
        <v>1411</v>
      </c>
      <c r="E648" s="36" t="s">
        <v>52</v>
      </c>
      <c r="F648" s="38">
        <f t="shared" si="585"/>
        <v>2</v>
      </c>
      <c r="G648" s="36">
        <v>1</v>
      </c>
      <c r="H648" s="36">
        <f t="shared" si="583"/>
        <v>1</v>
      </c>
      <c r="I648" s="36">
        <v>122</v>
      </c>
      <c r="J648" s="37" t="s">
        <v>1410</v>
      </c>
      <c r="K648" s="37" t="s">
        <v>34</v>
      </c>
      <c r="L648" s="36" t="s">
        <v>259</v>
      </c>
      <c r="M648" s="37" t="s">
        <v>35</v>
      </c>
      <c r="N648" s="36" t="s">
        <v>1411</v>
      </c>
      <c r="O648" s="28" t="s">
        <v>41</v>
      </c>
      <c r="P648" s="28" t="s">
        <v>41</v>
      </c>
      <c r="Q648" s="28" t="s">
        <v>79</v>
      </c>
      <c r="R648" s="30">
        <v>11.023622047244094</v>
      </c>
      <c r="S648" s="30">
        <v>0.3125</v>
      </c>
      <c r="T648" s="30"/>
      <c r="U648" s="30">
        <v>0.3125</v>
      </c>
      <c r="V648" s="8">
        <f t="shared" si="586"/>
        <v>280</v>
      </c>
      <c r="W648" s="8">
        <f t="shared" si="587"/>
        <v>7.9375</v>
      </c>
      <c r="X648" s="8">
        <f t="shared" si="588"/>
        <v>0</v>
      </c>
      <c r="Y648" s="33">
        <f t="shared" si="589"/>
        <v>7.9375</v>
      </c>
      <c r="Z648" s="28" t="s">
        <v>80</v>
      </c>
      <c r="AA648" s="28" t="s">
        <v>81</v>
      </c>
      <c r="AB648" s="61" t="s">
        <v>79</v>
      </c>
      <c r="AC648" s="31" t="s">
        <v>82</v>
      </c>
      <c r="AD648" s="50">
        <f t="shared" si="590"/>
        <v>1</v>
      </c>
      <c r="AE648" s="31"/>
      <c r="AF648" s="51">
        <v>14</v>
      </c>
      <c r="AG648" s="51">
        <f t="shared" si="617"/>
        <v>8.4</v>
      </c>
      <c r="AH648" s="51">
        <f t="shared" si="584"/>
        <v>42</v>
      </c>
      <c r="AI648" s="52" t="s">
        <v>2497</v>
      </c>
      <c r="AJ648" s="52" t="s">
        <v>2498</v>
      </c>
      <c r="AK648" s="53">
        <f t="shared" si="618"/>
        <v>4.4450000000000002E-3</v>
      </c>
      <c r="AL648" s="54">
        <f t="shared" si="619"/>
        <v>0.11904761904761904</v>
      </c>
      <c r="AM648" s="54">
        <f t="shared" si="620"/>
        <v>2.3809523809523808E-2</v>
      </c>
      <c r="AN648" s="55">
        <f t="shared" si="621"/>
        <v>5.2916666666666661E-4</v>
      </c>
      <c r="AO648" s="55">
        <f t="shared" si="622"/>
        <v>1.0583333333333334E-4</v>
      </c>
      <c r="AP648" s="53">
        <v>7.1</v>
      </c>
      <c r="AQ648" s="53">
        <f t="shared" si="591"/>
        <v>4.26</v>
      </c>
      <c r="AR648" s="53">
        <f t="shared" si="592"/>
        <v>21.299999999999997</v>
      </c>
      <c r="AS648" s="56">
        <f t="shared" si="593"/>
        <v>4.6948356807511742E-2</v>
      </c>
      <c r="AT648" s="56">
        <f t="shared" si="623"/>
        <v>0.23474178403755869</v>
      </c>
      <c r="AU648" s="56">
        <f t="shared" si="594"/>
        <v>0.176056338028169</v>
      </c>
      <c r="AV648" s="56">
        <f t="shared" si="624"/>
        <v>5.8685446009389672E-2</v>
      </c>
      <c r="AW648" s="57" t="s">
        <v>2511</v>
      </c>
      <c r="AX648" s="57" t="s">
        <v>2512</v>
      </c>
      <c r="AY648" s="57" t="s">
        <v>2513</v>
      </c>
      <c r="AZ648" s="58">
        <f t="shared" si="625"/>
        <v>4.4450000000000002E-3</v>
      </c>
      <c r="BA648" s="59">
        <f t="shared" ref="BA648:BA711" si="628">IF(AW648&lt;&gt;0,((AV648*AD648*AK648)/2),0)</f>
        <v>1.3042840375586856E-4</v>
      </c>
      <c r="BB648" s="59">
        <f t="shared" ref="BB648:BB711" si="629">IF(AX648&lt;&gt;0,((AD648*AU648*AZ648)/2),0)</f>
        <v>3.9128521126760563E-4</v>
      </c>
      <c r="BC648" s="59">
        <f t="shared" ref="BC648:BC711" si="630">IF(AY648&lt;&gt;0,((AD648*AS648*AZ648)/2),0)</f>
        <v>1.0434272300469485E-4</v>
      </c>
      <c r="BD648" s="60">
        <f t="shared" si="626"/>
        <v>1.0869565217391304E-3</v>
      </c>
      <c r="BE648" s="59">
        <f t="shared" si="627"/>
        <v>1.0869565217391304E-3</v>
      </c>
      <c r="BQ648" s="61">
        <v>3000</v>
      </c>
      <c r="BR648" s="61">
        <v>1200</v>
      </c>
      <c r="BS648" s="28">
        <f t="shared" si="595"/>
        <v>2980</v>
      </c>
      <c r="BT648" s="28">
        <f t="shared" si="596"/>
        <v>1180</v>
      </c>
      <c r="BU648" s="28" t="s">
        <v>2541</v>
      </c>
      <c r="BV648" s="28">
        <f t="shared" si="597"/>
        <v>285</v>
      </c>
      <c r="BW648" s="28">
        <f t="shared" si="598"/>
        <v>12.9375</v>
      </c>
      <c r="BX648" s="13">
        <f t="shared" si="599"/>
        <v>10.456140350877194</v>
      </c>
      <c r="BY648" s="13">
        <f t="shared" si="600"/>
        <v>10</v>
      </c>
      <c r="BZ648" s="13">
        <f t="shared" si="601"/>
        <v>91.207729468599027</v>
      </c>
      <c r="CA648" s="13">
        <f t="shared" si="602"/>
        <v>91</v>
      </c>
      <c r="CB648" s="13">
        <f t="shared" si="603"/>
        <v>910</v>
      </c>
      <c r="CC648" s="62">
        <f t="shared" si="604"/>
        <v>1.0989010989010989E-3</v>
      </c>
      <c r="CD648" s="13">
        <f t="shared" si="605"/>
        <v>230.33816425120773</v>
      </c>
      <c r="CE648" s="13">
        <f t="shared" si="606"/>
        <v>230</v>
      </c>
      <c r="CF648" s="13">
        <f t="shared" si="607"/>
        <v>4.1403508771929829</v>
      </c>
      <c r="CG648" s="13">
        <f t="shared" si="608"/>
        <v>4</v>
      </c>
      <c r="CH648" s="28">
        <f t="shared" si="609"/>
        <v>920</v>
      </c>
      <c r="CI648" s="62">
        <f t="shared" si="610"/>
        <v>1.0869565217391304E-3</v>
      </c>
      <c r="CJ648" s="59">
        <f t="shared" si="611"/>
        <v>1.0869565217391304E-3</v>
      </c>
      <c r="CL648" s="63">
        <v>6000</v>
      </c>
      <c r="CM648" s="63">
        <f t="shared" si="612"/>
        <v>280</v>
      </c>
      <c r="CN648" s="63">
        <f t="shared" si="613"/>
        <v>285</v>
      </c>
      <c r="CO648" s="63">
        <f t="shared" si="614"/>
        <v>21.05263157894737</v>
      </c>
      <c r="CP648" s="13">
        <f t="shared" si="615"/>
        <v>21</v>
      </c>
      <c r="CQ648" s="70">
        <f t="shared" si="616"/>
        <v>4.7619047619047616E-2</v>
      </c>
      <c r="CR648" s="69">
        <f t="shared" si="581"/>
        <v>4.7619047619047616E-2</v>
      </c>
    </row>
    <row r="649" spans="1:96" hidden="1" x14ac:dyDescent="0.25">
      <c r="A649" s="36">
        <v>2</v>
      </c>
      <c r="B649" s="37" t="s">
        <v>37</v>
      </c>
      <c r="C649" s="36" t="s">
        <v>1559</v>
      </c>
      <c r="D649" s="36" t="s">
        <v>1560</v>
      </c>
      <c r="E649" s="36" t="s">
        <v>52</v>
      </c>
      <c r="F649" s="38">
        <f t="shared" si="585"/>
        <v>1</v>
      </c>
      <c r="G649" s="36">
        <v>2</v>
      </c>
      <c r="H649" s="36">
        <f t="shared" si="583"/>
        <v>2</v>
      </c>
      <c r="I649" s="36">
        <v>123</v>
      </c>
      <c r="J649" s="37" t="s">
        <v>76</v>
      </c>
      <c r="K649" s="37" t="s">
        <v>34</v>
      </c>
      <c r="L649" s="36" t="s">
        <v>77</v>
      </c>
      <c r="M649" s="37" t="s">
        <v>35</v>
      </c>
      <c r="N649" s="36" t="s">
        <v>1560</v>
      </c>
      <c r="O649" s="28" t="s">
        <v>41</v>
      </c>
      <c r="P649" s="28" t="s">
        <v>41</v>
      </c>
      <c r="Q649" s="28" t="s">
        <v>79</v>
      </c>
      <c r="R649" s="30">
        <v>19.094488188976378</v>
      </c>
      <c r="S649" s="30">
        <v>0.3125</v>
      </c>
      <c r="T649" s="30"/>
      <c r="U649" s="30">
        <v>0.3125</v>
      </c>
      <c r="V649" s="8">
        <f t="shared" si="586"/>
        <v>484.99999999999994</v>
      </c>
      <c r="W649" s="8">
        <f t="shared" si="587"/>
        <v>7.9375</v>
      </c>
      <c r="X649" s="8">
        <f t="shared" si="588"/>
        <v>0</v>
      </c>
      <c r="Y649" s="33">
        <f t="shared" si="589"/>
        <v>7.9375</v>
      </c>
      <c r="Z649" s="28" t="s">
        <v>80</v>
      </c>
      <c r="AA649" s="28" t="s">
        <v>81</v>
      </c>
      <c r="AB649" s="61" t="s">
        <v>79</v>
      </c>
      <c r="AC649" s="31" t="s">
        <v>82</v>
      </c>
      <c r="AD649" s="50">
        <f t="shared" si="590"/>
        <v>2</v>
      </c>
      <c r="AE649" s="31"/>
      <c r="AF649" s="51">
        <v>14</v>
      </c>
      <c r="AG649" s="51">
        <f t="shared" si="617"/>
        <v>8.4</v>
      </c>
      <c r="AH649" s="51">
        <f t="shared" si="584"/>
        <v>42</v>
      </c>
      <c r="AI649" s="52" t="s">
        <v>2497</v>
      </c>
      <c r="AJ649" s="52" t="s">
        <v>2498</v>
      </c>
      <c r="AK649" s="53">
        <f t="shared" si="618"/>
        <v>7.6993749999999988E-3</v>
      </c>
      <c r="AL649" s="54">
        <f t="shared" si="619"/>
        <v>0.11904761904761904</v>
      </c>
      <c r="AM649" s="54">
        <f t="shared" si="620"/>
        <v>2.3809523809523808E-2</v>
      </c>
      <c r="AN649" s="55">
        <f t="shared" si="621"/>
        <v>1.8331845238095234E-3</v>
      </c>
      <c r="AO649" s="55">
        <f t="shared" si="622"/>
        <v>3.6663690476190466E-4</v>
      </c>
      <c r="AP649" s="53">
        <v>7.1</v>
      </c>
      <c r="AQ649" s="53">
        <f t="shared" si="591"/>
        <v>4.26</v>
      </c>
      <c r="AR649" s="53">
        <f t="shared" si="592"/>
        <v>21.299999999999997</v>
      </c>
      <c r="AS649" s="56">
        <f t="shared" si="593"/>
        <v>4.6948356807511742E-2</v>
      </c>
      <c r="AT649" s="56">
        <f t="shared" si="623"/>
        <v>0.23474178403755869</v>
      </c>
      <c r="AU649" s="56">
        <f t="shared" si="594"/>
        <v>0.176056338028169</v>
      </c>
      <c r="AV649" s="56">
        <f t="shared" si="624"/>
        <v>5.8685446009389672E-2</v>
      </c>
      <c r="AW649" s="57" t="s">
        <v>2511</v>
      </c>
      <c r="AX649" s="57" t="s">
        <v>2512</v>
      </c>
      <c r="AY649" s="57" t="s">
        <v>2513</v>
      </c>
      <c r="AZ649" s="58">
        <f t="shared" si="625"/>
        <v>7.6993749999999988E-3</v>
      </c>
      <c r="BA649" s="59">
        <f t="shared" si="628"/>
        <v>4.5184125586854453E-4</v>
      </c>
      <c r="BB649" s="59">
        <f t="shared" si="629"/>
        <v>1.3555237676056335E-3</v>
      </c>
      <c r="BC649" s="59">
        <f t="shared" si="630"/>
        <v>3.6147300469483568E-4</v>
      </c>
      <c r="BD649" s="60">
        <f t="shared" si="626"/>
        <v>1.8315018315018315E-3</v>
      </c>
      <c r="BE649" s="59">
        <f t="shared" si="627"/>
        <v>3.663003663003663E-3</v>
      </c>
      <c r="BQ649" s="61">
        <v>3000</v>
      </c>
      <c r="BR649" s="61">
        <v>1200</v>
      </c>
      <c r="BS649" s="28">
        <f t="shared" si="595"/>
        <v>2980</v>
      </c>
      <c r="BT649" s="28">
        <f t="shared" si="596"/>
        <v>1180</v>
      </c>
      <c r="BU649" s="28" t="s">
        <v>2541</v>
      </c>
      <c r="BV649" s="28">
        <f t="shared" si="597"/>
        <v>489.99999999999994</v>
      </c>
      <c r="BW649" s="28">
        <f t="shared" si="598"/>
        <v>12.9375</v>
      </c>
      <c r="BX649" s="13">
        <f t="shared" si="599"/>
        <v>6.0816326530612255</v>
      </c>
      <c r="BY649" s="13">
        <f t="shared" si="600"/>
        <v>6</v>
      </c>
      <c r="BZ649" s="13">
        <f t="shared" si="601"/>
        <v>91.207729468599027</v>
      </c>
      <c r="CA649" s="13">
        <f t="shared" si="602"/>
        <v>91</v>
      </c>
      <c r="CB649" s="13">
        <f t="shared" si="603"/>
        <v>546</v>
      </c>
      <c r="CC649" s="62">
        <f t="shared" si="604"/>
        <v>1.8315018315018315E-3</v>
      </c>
      <c r="CD649" s="13">
        <f t="shared" si="605"/>
        <v>230.33816425120773</v>
      </c>
      <c r="CE649" s="13">
        <f t="shared" si="606"/>
        <v>230</v>
      </c>
      <c r="CF649" s="13">
        <f t="shared" si="607"/>
        <v>2.4081632653061229</v>
      </c>
      <c r="CG649" s="13">
        <f t="shared" si="608"/>
        <v>2</v>
      </c>
      <c r="CH649" s="28">
        <f t="shared" si="609"/>
        <v>460</v>
      </c>
      <c r="CI649" s="62">
        <f t="shared" si="610"/>
        <v>2.1739130434782609E-3</v>
      </c>
      <c r="CJ649" s="59">
        <f t="shared" si="611"/>
        <v>1.8315018315018315E-3</v>
      </c>
      <c r="CL649" s="63">
        <v>6000</v>
      </c>
      <c r="CM649" s="63">
        <f t="shared" si="612"/>
        <v>484.99999999999994</v>
      </c>
      <c r="CN649" s="63">
        <f t="shared" si="613"/>
        <v>489.99999999999994</v>
      </c>
      <c r="CO649" s="63">
        <f t="shared" si="614"/>
        <v>12.244897959183675</v>
      </c>
      <c r="CP649" s="13">
        <f t="shared" si="615"/>
        <v>12</v>
      </c>
      <c r="CQ649" s="70">
        <f t="shared" si="616"/>
        <v>8.3333333333333329E-2</v>
      </c>
      <c r="CR649" s="69">
        <f t="shared" si="581"/>
        <v>0.16666666666666666</v>
      </c>
    </row>
    <row r="650" spans="1:96" hidden="1" x14ac:dyDescent="0.25">
      <c r="A650" s="36">
        <v>2</v>
      </c>
      <c r="B650" s="37" t="s">
        <v>37</v>
      </c>
      <c r="C650" s="36" t="s">
        <v>1561</v>
      </c>
      <c r="D650" s="36" t="s">
        <v>2270</v>
      </c>
      <c r="E650" s="36" t="s">
        <v>52</v>
      </c>
      <c r="F650" s="38">
        <f t="shared" si="585"/>
        <v>1</v>
      </c>
      <c r="G650" s="36">
        <v>1</v>
      </c>
      <c r="H650" s="36">
        <f t="shared" si="583"/>
        <v>1</v>
      </c>
      <c r="I650" s="36">
        <v>124</v>
      </c>
      <c r="J650" s="37" t="s">
        <v>1562</v>
      </c>
      <c r="K650" s="37" t="s">
        <v>34</v>
      </c>
      <c r="L650" s="36" t="s">
        <v>385</v>
      </c>
      <c r="M650" s="37" t="s">
        <v>35</v>
      </c>
      <c r="N650" s="36" t="s">
        <v>1563</v>
      </c>
      <c r="O650" s="28" t="s">
        <v>41</v>
      </c>
      <c r="P650" s="28" t="s">
        <v>41</v>
      </c>
      <c r="Q650" s="28" t="s">
        <v>85</v>
      </c>
      <c r="R650" s="30">
        <v>20.637795275590555</v>
      </c>
      <c r="S650" s="30">
        <v>0.375</v>
      </c>
      <c r="T650" s="30"/>
      <c r="U650" s="30">
        <v>0.375</v>
      </c>
      <c r="V650" s="8">
        <f t="shared" si="586"/>
        <v>524.20000000000005</v>
      </c>
      <c r="W650" s="8">
        <f t="shared" si="587"/>
        <v>9.5249999999999986</v>
      </c>
      <c r="X650" s="8">
        <f t="shared" si="588"/>
        <v>0</v>
      </c>
      <c r="Y650" s="33">
        <f t="shared" si="589"/>
        <v>9.5249999999999986</v>
      </c>
      <c r="Z650" s="28" t="s">
        <v>80</v>
      </c>
      <c r="AA650" s="28" t="s">
        <v>81</v>
      </c>
      <c r="AB650" s="61" t="s">
        <v>85</v>
      </c>
      <c r="AC650" s="31" t="s">
        <v>86</v>
      </c>
      <c r="AD650" s="50">
        <f t="shared" si="590"/>
        <v>1</v>
      </c>
      <c r="AE650" s="31"/>
      <c r="AF650" s="51">
        <v>14</v>
      </c>
      <c r="AG650" s="51">
        <f t="shared" si="617"/>
        <v>8.4</v>
      </c>
      <c r="AH650" s="51">
        <f t="shared" si="584"/>
        <v>42</v>
      </c>
      <c r="AI650" s="52" t="s">
        <v>2497</v>
      </c>
      <c r="AJ650" s="52" t="s">
        <v>2498</v>
      </c>
      <c r="AK650" s="53">
        <f t="shared" si="618"/>
        <v>9.98601E-3</v>
      </c>
      <c r="AL650" s="54">
        <f t="shared" si="619"/>
        <v>0.11904761904761904</v>
      </c>
      <c r="AM650" s="54">
        <f t="shared" si="620"/>
        <v>2.3809523809523808E-2</v>
      </c>
      <c r="AN650" s="55">
        <f t="shared" si="621"/>
        <v>1.1888107142857141E-3</v>
      </c>
      <c r="AO650" s="55">
        <f t="shared" si="622"/>
        <v>2.3776214285714284E-4</v>
      </c>
      <c r="AP650" s="53">
        <v>7.1</v>
      </c>
      <c r="AQ650" s="53">
        <f t="shared" si="591"/>
        <v>4.26</v>
      </c>
      <c r="AR650" s="53">
        <f t="shared" si="592"/>
        <v>21.299999999999997</v>
      </c>
      <c r="AS650" s="56">
        <f t="shared" si="593"/>
        <v>4.6948356807511742E-2</v>
      </c>
      <c r="AT650" s="56">
        <f t="shared" si="623"/>
        <v>0.23474178403755869</v>
      </c>
      <c r="AU650" s="56">
        <f t="shared" si="594"/>
        <v>0.176056338028169</v>
      </c>
      <c r="AV650" s="56">
        <f t="shared" si="624"/>
        <v>5.8685446009389672E-2</v>
      </c>
      <c r="AW650" s="57" t="s">
        <v>2511</v>
      </c>
      <c r="AX650" s="57" t="s">
        <v>2512</v>
      </c>
      <c r="AY650" s="57" t="s">
        <v>2513</v>
      </c>
      <c r="AZ650" s="58">
        <f t="shared" si="625"/>
        <v>9.98601E-3</v>
      </c>
      <c r="BA650" s="59">
        <f t="shared" si="628"/>
        <v>2.9301672535211268E-4</v>
      </c>
      <c r="BB650" s="59">
        <f t="shared" si="629"/>
        <v>8.7905017605633795E-4</v>
      </c>
      <c r="BC650" s="59">
        <f t="shared" si="630"/>
        <v>2.3441338028169016E-4</v>
      </c>
      <c r="BD650" s="60">
        <f t="shared" si="626"/>
        <v>2.4390243902439024E-3</v>
      </c>
      <c r="BE650" s="59">
        <f t="shared" si="627"/>
        <v>2.4390243902439024E-3</v>
      </c>
      <c r="BQ650" s="61">
        <v>3000</v>
      </c>
      <c r="BR650" s="61">
        <v>1200</v>
      </c>
      <c r="BS650" s="28">
        <f t="shared" si="595"/>
        <v>2980</v>
      </c>
      <c r="BT650" s="28">
        <f t="shared" si="596"/>
        <v>1180</v>
      </c>
      <c r="BU650" s="28" t="s">
        <v>2541</v>
      </c>
      <c r="BV650" s="28">
        <f t="shared" si="597"/>
        <v>529.20000000000005</v>
      </c>
      <c r="BW650" s="28">
        <f t="shared" si="598"/>
        <v>14.524999999999999</v>
      </c>
      <c r="BX650" s="13">
        <f t="shared" si="599"/>
        <v>5.6311413454270589</v>
      </c>
      <c r="BY650" s="13">
        <f t="shared" si="600"/>
        <v>5</v>
      </c>
      <c r="BZ650" s="13">
        <f t="shared" si="601"/>
        <v>81.239242685025829</v>
      </c>
      <c r="CA650" s="13">
        <f t="shared" si="602"/>
        <v>81</v>
      </c>
      <c r="CB650" s="13">
        <f t="shared" si="603"/>
        <v>405</v>
      </c>
      <c r="CC650" s="62">
        <f t="shared" si="604"/>
        <v>2.4691358024691358E-3</v>
      </c>
      <c r="CD650" s="13">
        <f t="shared" si="605"/>
        <v>205.16351118760758</v>
      </c>
      <c r="CE650" s="13">
        <f t="shared" si="606"/>
        <v>205</v>
      </c>
      <c r="CF650" s="13">
        <f t="shared" si="607"/>
        <v>2.2297808012093725</v>
      </c>
      <c r="CG650" s="13">
        <f t="shared" si="608"/>
        <v>2</v>
      </c>
      <c r="CH650" s="28">
        <f t="shared" si="609"/>
        <v>410</v>
      </c>
      <c r="CI650" s="62">
        <f t="shared" si="610"/>
        <v>2.4390243902439024E-3</v>
      </c>
      <c r="CJ650" s="59">
        <f t="shared" si="611"/>
        <v>2.4390243902439024E-3</v>
      </c>
      <c r="CL650" s="63">
        <v>6000</v>
      </c>
      <c r="CM650" s="63">
        <f t="shared" si="612"/>
        <v>524.20000000000005</v>
      </c>
      <c r="CN650" s="63">
        <f t="shared" si="613"/>
        <v>529.20000000000005</v>
      </c>
      <c r="CO650" s="63">
        <f t="shared" si="614"/>
        <v>11.337868480725623</v>
      </c>
      <c r="CP650" s="13">
        <f t="shared" si="615"/>
        <v>11</v>
      </c>
      <c r="CQ650" s="70">
        <f t="shared" si="616"/>
        <v>9.0909090909090912E-2</v>
      </c>
      <c r="CR650" s="69">
        <f t="shared" si="581"/>
        <v>9.0909090909090912E-2</v>
      </c>
    </row>
    <row r="651" spans="1:96" hidden="1" x14ac:dyDescent="0.25">
      <c r="A651" s="36">
        <v>2</v>
      </c>
      <c r="B651" s="37" t="s">
        <v>37</v>
      </c>
      <c r="C651" s="36" t="s">
        <v>94</v>
      </c>
      <c r="D651" s="36" t="s">
        <v>95</v>
      </c>
      <c r="E651" s="36" t="s">
        <v>52</v>
      </c>
      <c r="F651" s="38">
        <f t="shared" si="585"/>
        <v>13</v>
      </c>
      <c r="G651" s="36">
        <v>3</v>
      </c>
      <c r="H651" s="36">
        <f t="shared" si="583"/>
        <v>3</v>
      </c>
      <c r="I651" s="36">
        <v>129</v>
      </c>
      <c r="J651" s="37" t="s">
        <v>76</v>
      </c>
      <c r="K651" s="37" t="s">
        <v>34</v>
      </c>
      <c r="L651" s="36" t="s">
        <v>77</v>
      </c>
      <c r="M651" s="37" t="s">
        <v>35</v>
      </c>
      <c r="N651" s="36" t="s">
        <v>95</v>
      </c>
      <c r="O651" s="28" t="s">
        <v>41</v>
      </c>
      <c r="P651" s="28" t="s">
        <v>41</v>
      </c>
      <c r="Q651" s="28" t="s">
        <v>79</v>
      </c>
      <c r="R651" s="30">
        <v>7.0078740157480315</v>
      </c>
      <c r="S651" s="30">
        <v>0.3125</v>
      </c>
      <c r="T651" s="30"/>
      <c r="U651" s="30">
        <v>0.3125</v>
      </c>
      <c r="V651" s="8">
        <f t="shared" si="586"/>
        <v>178</v>
      </c>
      <c r="W651" s="8">
        <f t="shared" si="587"/>
        <v>7.9375</v>
      </c>
      <c r="X651" s="8">
        <f t="shared" si="588"/>
        <v>0</v>
      </c>
      <c r="Y651" s="33">
        <f t="shared" si="589"/>
        <v>7.9375</v>
      </c>
      <c r="Z651" s="28" t="s">
        <v>80</v>
      </c>
      <c r="AA651" s="28" t="s">
        <v>81</v>
      </c>
      <c r="AB651" s="61" t="s">
        <v>79</v>
      </c>
      <c r="AC651" s="31" t="s">
        <v>82</v>
      </c>
      <c r="AD651" s="50">
        <f t="shared" si="590"/>
        <v>3</v>
      </c>
      <c r="AE651" s="31"/>
      <c r="AF651" s="51">
        <v>14</v>
      </c>
      <c r="AG651" s="51">
        <f t="shared" si="617"/>
        <v>8.4</v>
      </c>
      <c r="AH651" s="51">
        <f t="shared" si="584"/>
        <v>42</v>
      </c>
      <c r="AI651" s="52" t="s">
        <v>2497</v>
      </c>
      <c r="AJ651" s="52" t="s">
        <v>2498</v>
      </c>
      <c r="AK651" s="53">
        <f t="shared" si="618"/>
        <v>2.8257500000000001E-3</v>
      </c>
      <c r="AL651" s="54">
        <f t="shared" si="619"/>
        <v>0.11904761904761904</v>
      </c>
      <c r="AM651" s="54">
        <f t="shared" si="620"/>
        <v>2.3809523809523808E-2</v>
      </c>
      <c r="AN651" s="55">
        <f t="shared" si="621"/>
        <v>1.0091964285714287E-3</v>
      </c>
      <c r="AO651" s="55">
        <f t="shared" si="622"/>
        <v>2.0183928571428572E-4</v>
      </c>
      <c r="AP651" s="53">
        <v>7.1</v>
      </c>
      <c r="AQ651" s="53">
        <f t="shared" si="591"/>
        <v>4.26</v>
      </c>
      <c r="AR651" s="53">
        <f t="shared" si="592"/>
        <v>21.299999999999997</v>
      </c>
      <c r="AS651" s="56">
        <f t="shared" si="593"/>
        <v>4.6948356807511742E-2</v>
      </c>
      <c r="AT651" s="56">
        <f t="shared" si="623"/>
        <v>0.23474178403755869</v>
      </c>
      <c r="AU651" s="56">
        <f t="shared" si="594"/>
        <v>0.176056338028169</v>
      </c>
      <c r="AV651" s="56">
        <f t="shared" si="624"/>
        <v>5.8685446009389672E-2</v>
      </c>
      <c r="AW651" s="57" t="s">
        <v>2511</v>
      </c>
      <c r="AX651" s="57" t="s">
        <v>2512</v>
      </c>
      <c r="AY651" s="57" t="s">
        <v>2513</v>
      </c>
      <c r="AZ651" s="58">
        <f t="shared" si="625"/>
        <v>2.8257500000000001E-3</v>
      </c>
      <c r="BA651" s="59">
        <f t="shared" si="628"/>
        <v>2.487455985915493E-4</v>
      </c>
      <c r="BB651" s="59">
        <f t="shared" si="629"/>
        <v>7.4623679577464784E-4</v>
      </c>
      <c r="BC651" s="59">
        <f t="shared" si="630"/>
        <v>1.9899647887323946E-4</v>
      </c>
      <c r="BD651" s="60">
        <f t="shared" si="626"/>
        <v>6.8681318681318687E-4</v>
      </c>
      <c r="BE651" s="59">
        <f t="shared" si="627"/>
        <v>2.0604395604395605E-3</v>
      </c>
      <c r="BQ651" s="61">
        <v>3000</v>
      </c>
      <c r="BR651" s="61">
        <v>1200</v>
      </c>
      <c r="BS651" s="28">
        <f t="shared" si="595"/>
        <v>2980</v>
      </c>
      <c r="BT651" s="28">
        <f t="shared" si="596"/>
        <v>1180</v>
      </c>
      <c r="BU651" s="28" t="s">
        <v>2541</v>
      </c>
      <c r="BV651" s="28">
        <f t="shared" si="597"/>
        <v>183</v>
      </c>
      <c r="BW651" s="28">
        <f t="shared" si="598"/>
        <v>12.9375</v>
      </c>
      <c r="BX651" s="13">
        <f t="shared" si="599"/>
        <v>16.284153005464482</v>
      </c>
      <c r="BY651" s="13">
        <f t="shared" si="600"/>
        <v>16</v>
      </c>
      <c r="BZ651" s="13">
        <f t="shared" si="601"/>
        <v>91.207729468599027</v>
      </c>
      <c r="CA651" s="13">
        <f t="shared" si="602"/>
        <v>91</v>
      </c>
      <c r="CB651" s="13">
        <f t="shared" si="603"/>
        <v>1456</v>
      </c>
      <c r="CC651" s="62">
        <f t="shared" si="604"/>
        <v>6.8681318681318687E-4</v>
      </c>
      <c r="CD651" s="13">
        <f t="shared" si="605"/>
        <v>230.33816425120773</v>
      </c>
      <c r="CE651" s="13">
        <f t="shared" si="606"/>
        <v>230</v>
      </c>
      <c r="CF651" s="13">
        <f t="shared" si="607"/>
        <v>6.4480874316939891</v>
      </c>
      <c r="CG651" s="13">
        <f t="shared" si="608"/>
        <v>6</v>
      </c>
      <c r="CH651" s="28">
        <f t="shared" si="609"/>
        <v>1380</v>
      </c>
      <c r="CI651" s="62">
        <f t="shared" si="610"/>
        <v>7.246376811594203E-4</v>
      </c>
      <c r="CJ651" s="59">
        <f t="shared" si="611"/>
        <v>6.8681318681318687E-4</v>
      </c>
      <c r="CL651" s="63">
        <v>6000</v>
      </c>
      <c r="CM651" s="63">
        <f t="shared" si="612"/>
        <v>178</v>
      </c>
      <c r="CN651" s="63">
        <f t="shared" si="613"/>
        <v>183</v>
      </c>
      <c r="CO651" s="63">
        <f t="shared" si="614"/>
        <v>32.786885245901637</v>
      </c>
      <c r="CP651" s="13">
        <f t="shared" si="615"/>
        <v>32</v>
      </c>
      <c r="CQ651" s="70">
        <f t="shared" si="616"/>
        <v>3.125E-2</v>
      </c>
      <c r="CR651" s="69">
        <f t="shared" si="581"/>
        <v>9.375E-2</v>
      </c>
    </row>
    <row r="652" spans="1:96" hidden="1" x14ac:dyDescent="0.25">
      <c r="A652" s="36">
        <v>2</v>
      </c>
      <c r="B652" s="37" t="s">
        <v>37</v>
      </c>
      <c r="C652" s="36" t="s">
        <v>1564</v>
      </c>
      <c r="D652" s="36" t="s">
        <v>2270</v>
      </c>
      <c r="E652" s="36" t="s">
        <v>52</v>
      </c>
      <c r="F652" s="38">
        <f t="shared" si="585"/>
        <v>1</v>
      </c>
      <c r="G652" s="36">
        <v>1</v>
      </c>
      <c r="H652" s="36">
        <f t="shared" si="583"/>
        <v>1</v>
      </c>
      <c r="I652" s="36">
        <v>134</v>
      </c>
      <c r="J652" s="37" t="s">
        <v>1565</v>
      </c>
      <c r="K652" s="37" t="s">
        <v>34</v>
      </c>
      <c r="L652" s="36" t="s">
        <v>385</v>
      </c>
      <c r="M652" s="37" t="s">
        <v>35</v>
      </c>
      <c r="N652" s="36" t="s">
        <v>1566</v>
      </c>
      <c r="O652" s="28" t="s">
        <v>41</v>
      </c>
      <c r="P652" s="28" t="s">
        <v>41</v>
      </c>
      <c r="Q652" s="28" t="s">
        <v>85</v>
      </c>
      <c r="R652" s="30">
        <v>39.251968503937007</v>
      </c>
      <c r="S652" s="30">
        <v>0.375</v>
      </c>
      <c r="T652" s="30"/>
      <c r="U652" s="30">
        <v>0.375</v>
      </c>
      <c r="V652" s="8">
        <f t="shared" si="586"/>
        <v>996.99999999999989</v>
      </c>
      <c r="W652" s="8">
        <f t="shared" si="587"/>
        <v>9.5249999999999986</v>
      </c>
      <c r="X652" s="8">
        <f t="shared" si="588"/>
        <v>0</v>
      </c>
      <c r="Y652" s="33">
        <f t="shared" si="589"/>
        <v>9.5249999999999986</v>
      </c>
      <c r="Z652" s="28" t="s">
        <v>80</v>
      </c>
      <c r="AA652" s="28" t="s">
        <v>81</v>
      </c>
      <c r="AB652" s="61" t="s">
        <v>85</v>
      </c>
      <c r="AC652" s="31" t="s">
        <v>86</v>
      </c>
      <c r="AD652" s="50">
        <f t="shared" si="590"/>
        <v>1</v>
      </c>
      <c r="AE652" s="31"/>
      <c r="AF652" s="51">
        <v>14</v>
      </c>
      <c r="AG652" s="51">
        <f t="shared" si="617"/>
        <v>8.4</v>
      </c>
      <c r="AH652" s="51">
        <f t="shared" si="584"/>
        <v>42</v>
      </c>
      <c r="AI652" s="52" t="s">
        <v>2497</v>
      </c>
      <c r="AJ652" s="52" t="s">
        <v>2498</v>
      </c>
      <c r="AK652" s="53">
        <f t="shared" si="618"/>
        <v>1.8992849999999995E-2</v>
      </c>
      <c r="AL652" s="54">
        <f t="shared" si="619"/>
        <v>0.11904761904761904</v>
      </c>
      <c r="AM652" s="54">
        <f t="shared" si="620"/>
        <v>2.3809523809523808E-2</v>
      </c>
      <c r="AN652" s="55">
        <f t="shared" si="621"/>
        <v>2.2610535714285705E-3</v>
      </c>
      <c r="AO652" s="55">
        <f t="shared" si="622"/>
        <v>4.5221071428571416E-4</v>
      </c>
      <c r="AP652" s="53">
        <v>7.1</v>
      </c>
      <c r="AQ652" s="53">
        <f t="shared" si="591"/>
        <v>4.26</v>
      </c>
      <c r="AR652" s="53">
        <f t="shared" si="592"/>
        <v>21.299999999999997</v>
      </c>
      <c r="AS652" s="56">
        <f t="shared" si="593"/>
        <v>4.6948356807511742E-2</v>
      </c>
      <c r="AT652" s="56">
        <f t="shared" si="623"/>
        <v>0.23474178403755869</v>
      </c>
      <c r="AU652" s="56">
        <f t="shared" si="594"/>
        <v>0.176056338028169</v>
      </c>
      <c r="AV652" s="56">
        <f t="shared" si="624"/>
        <v>5.8685446009389672E-2</v>
      </c>
      <c r="AW652" s="57" t="s">
        <v>2511</v>
      </c>
      <c r="AX652" s="57" t="s">
        <v>2512</v>
      </c>
      <c r="AY652" s="57" t="s">
        <v>2513</v>
      </c>
      <c r="AZ652" s="58">
        <f t="shared" si="625"/>
        <v>1.8992849999999995E-2</v>
      </c>
      <c r="BA652" s="59">
        <f t="shared" si="628"/>
        <v>5.5730193661971815E-4</v>
      </c>
      <c r="BB652" s="59">
        <f t="shared" si="629"/>
        <v>1.6719058098591544E-3</v>
      </c>
      <c r="BC652" s="59">
        <f t="shared" si="630"/>
        <v>4.458415492957746E-4</v>
      </c>
      <c r="BD652" s="60">
        <f t="shared" si="626"/>
        <v>4.8780487804878049E-3</v>
      </c>
      <c r="BE652" s="59">
        <f t="shared" si="627"/>
        <v>4.8780487804878049E-3</v>
      </c>
      <c r="BQ652" s="61">
        <v>3000</v>
      </c>
      <c r="BR652" s="61">
        <v>1200</v>
      </c>
      <c r="BS652" s="28">
        <f t="shared" si="595"/>
        <v>2980</v>
      </c>
      <c r="BT652" s="28">
        <f t="shared" si="596"/>
        <v>1180</v>
      </c>
      <c r="BU652" s="28" t="s">
        <v>2541</v>
      </c>
      <c r="BV652" s="28">
        <f t="shared" si="597"/>
        <v>1001.9999999999999</v>
      </c>
      <c r="BW652" s="28">
        <f t="shared" si="598"/>
        <v>14.524999999999999</v>
      </c>
      <c r="BX652" s="13">
        <f t="shared" si="599"/>
        <v>2.9740518962075853</v>
      </c>
      <c r="BY652" s="13">
        <f t="shared" si="600"/>
        <v>2</v>
      </c>
      <c r="BZ652" s="13">
        <f t="shared" si="601"/>
        <v>81.239242685025829</v>
      </c>
      <c r="CA652" s="13">
        <f t="shared" si="602"/>
        <v>81</v>
      </c>
      <c r="CB652" s="13">
        <f t="shared" si="603"/>
        <v>162</v>
      </c>
      <c r="CC652" s="62">
        <f t="shared" si="604"/>
        <v>6.1728395061728392E-3</v>
      </c>
      <c r="CD652" s="13">
        <f t="shared" si="605"/>
        <v>205.16351118760758</v>
      </c>
      <c r="CE652" s="13">
        <f t="shared" si="606"/>
        <v>205</v>
      </c>
      <c r="CF652" s="13">
        <f t="shared" si="607"/>
        <v>1.1776447105788423</v>
      </c>
      <c r="CG652" s="13">
        <f t="shared" si="608"/>
        <v>1</v>
      </c>
      <c r="CH652" s="28">
        <f t="shared" si="609"/>
        <v>205</v>
      </c>
      <c r="CI652" s="62">
        <f t="shared" si="610"/>
        <v>4.8780487804878049E-3</v>
      </c>
      <c r="CJ652" s="59">
        <f t="shared" si="611"/>
        <v>4.8780487804878049E-3</v>
      </c>
      <c r="CL652" s="63">
        <v>6000</v>
      </c>
      <c r="CM652" s="63">
        <f t="shared" si="612"/>
        <v>996.99999999999989</v>
      </c>
      <c r="CN652" s="63">
        <f t="shared" si="613"/>
        <v>1001.9999999999999</v>
      </c>
      <c r="CO652" s="63">
        <f t="shared" si="614"/>
        <v>5.9880239520958094</v>
      </c>
      <c r="CP652" s="13">
        <f t="shared" si="615"/>
        <v>5</v>
      </c>
      <c r="CQ652" s="70">
        <f t="shared" si="616"/>
        <v>0.2</v>
      </c>
      <c r="CR652" s="69">
        <f t="shared" si="581"/>
        <v>0.2</v>
      </c>
    </row>
    <row r="653" spans="1:96" hidden="1" x14ac:dyDescent="0.25">
      <c r="A653" s="36">
        <v>2</v>
      </c>
      <c r="B653" s="37" t="s">
        <v>37</v>
      </c>
      <c r="C653" s="36" t="s">
        <v>1567</v>
      </c>
      <c r="D653" s="36" t="s">
        <v>2270</v>
      </c>
      <c r="E653" s="36" t="s">
        <v>52</v>
      </c>
      <c r="F653" s="38">
        <f t="shared" si="585"/>
        <v>1</v>
      </c>
      <c r="G653" s="36">
        <v>1</v>
      </c>
      <c r="H653" s="36">
        <f t="shared" si="583"/>
        <v>1</v>
      </c>
      <c r="I653" s="36">
        <v>147</v>
      </c>
      <c r="J653" s="37" t="s">
        <v>76</v>
      </c>
      <c r="K653" s="37" t="s">
        <v>34</v>
      </c>
      <c r="L653" s="36">
        <v>0</v>
      </c>
      <c r="M653" s="37" t="s">
        <v>35</v>
      </c>
      <c r="N653" s="36" t="s">
        <v>1568</v>
      </c>
      <c r="O653" s="28" t="s">
        <v>41</v>
      </c>
      <c r="P653" s="28" t="s">
        <v>41</v>
      </c>
      <c r="Q653" s="28" t="s">
        <v>85</v>
      </c>
      <c r="R653" s="30">
        <v>51</v>
      </c>
      <c r="S653" s="30">
        <v>0.375</v>
      </c>
      <c r="T653" s="30"/>
      <c r="U653" s="30">
        <v>0.375</v>
      </c>
      <c r="V653" s="8">
        <f t="shared" si="586"/>
        <v>1295.3999999999999</v>
      </c>
      <c r="W653" s="8">
        <f t="shared" si="587"/>
        <v>9.5249999999999986</v>
      </c>
      <c r="X653" s="8">
        <f t="shared" si="588"/>
        <v>0</v>
      </c>
      <c r="Y653" s="33">
        <f t="shared" si="589"/>
        <v>9.5249999999999986</v>
      </c>
      <c r="Z653" s="28" t="s">
        <v>80</v>
      </c>
      <c r="AA653" s="28" t="s">
        <v>81</v>
      </c>
      <c r="AB653" s="61" t="s">
        <v>85</v>
      </c>
      <c r="AC653" s="31" t="s">
        <v>86</v>
      </c>
      <c r="AD653" s="50">
        <f t="shared" si="590"/>
        <v>1</v>
      </c>
      <c r="AE653" s="31"/>
      <c r="AF653" s="51">
        <v>14</v>
      </c>
      <c r="AG653" s="51">
        <f t="shared" si="617"/>
        <v>8.4</v>
      </c>
      <c r="AH653" s="51">
        <f t="shared" si="584"/>
        <v>42</v>
      </c>
      <c r="AI653" s="52" t="s">
        <v>2497</v>
      </c>
      <c r="AJ653" s="52" t="s">
        <v>2498</v>
      </c>
      <c r="AK653" s="53">
        <f t="shared" si="618"/>
        <v>2.4677369999999994E-2</v>
      </c>
      <c r="AL653" s="54">
        <f t="shared" si="619"/>
        <v>0.11904761904761904</v>
      </c>
      <c r="AM653" s="54">
        <f t="shared" si="620"/>
        <v>2.3809523809523808E-2</v>
      </c>
      <c r="AN653" s="55">
        <f t="shared" si="621"/>
        <v>2.9377821428571418E-3</v>
      </c>
      <c r="AO653" s="55">
        <f t="shared" si="622"/>
        <v>5.8755642857142838E-4</v>
      </c>
      <c r="AP653" s="53">
        <v>7.1</v>
      </c>
      <c r="AQ653" s="53">
        <f t="shared" si="591"/>
        <v>4.26</v>
      </c>
      <c r="AR653" s="53">
        <f t="shared" si="592"/>
        <v>21.299999999999997</v>
      </c>
      <c r="AS653" s="56">
        <f t="shared" si="593"/>
        <v>4.6948356807511742E-2</v>
      </c>
      <c r="AT653" s="56">
        <f t="shared" si="623"/>
        <v>0.23474178403755869</v>
      </c>
      <c r="AU653" s="56">
        <f t="shared" si="594"/>
        <v>0.176056338028169</v>
      </c>
      <c r="AV653" s="56">
        <f t="shared" si="624"/>
        <v>5.8685446009389672E-2</v>
      </c>
      <c r="AW653" s="57" t="s">
        <v>2511</v>
      </c>
      <c r="AX653" s="57" t="s">
        <v>2512</v>
      </c>
      <c r="AY653" s="57" t="s">
        <v>2513</v>
      </c>
      <c r="AZ653" s="58">
        <f t="shared" si="625"/>
        <v>2.4677369999999994E-2</v>
      </c>
      <c r="BA653" s="59">
        <f t="shared" si="628"/>
        <v>7.2410123239436601E-4</v>
      </c>
      <c r="BB653" s="59">
        <f t="shared" si="629"/>
        <v>2.1723036971830977E-3</v>
      </c>
      <c r="BC653" s="59">
        <f t="shared" si="630"/>
        <v>5.7928098591549285E-4</v>
      </c>
      <c r="BD653" s="60">
        <f t="shared" si="626"/>
        <v>6.1728395061728392E-3</v>
      </c>
      <c r="BE653" s="59">
        <f t="shared" si="627"/>
        <v>6.1728395061728392E-3</v>
      </c>
      <c r="BQ653" s="61">
        <v>3000</v>
      </c>
      <c r="BR653" s="61">
        <v>1200</v>
      </c>
      <c r="BS653" s="28">
        <f t="shared" si="595"/>
        <v>2980</v>
      </c>
      <c r="BT653" s="28">
        <f t="shared" si="596"/>
        <v>1180</v>
      </c>
      <c r="BU653" s="28" t="s">
        <v>2541</v>
      </c>
      <c r="BV653" s="28">
        <f t="shared" si="597"/>
        <v>1300.3999999999999</v>
      </c>
      <c r="BW653" s="28">
        <f t="shared" si="598"/>
        <v>14.524999999999999</v>
      </c>
      <c r="BX653" s="13">
        <f t="shared" si="599"/>
        <v>2.2916025838203633</v>
      </c>
      <c r="BY653" s="13">
        <f t="shared" si="600"/>
        <v>2</v>
      </c>
      <c r="BZ653" s="13">
        <f t="shared" si="601"/>
        <v>81.239242685025829</v>
      </c>
      <c r="CA653" s="13">
        <f t="shared" si="602"/>
        <v>81</v>
      </c>
      <c r="CB653" s="13">
        <f t="shared" si="603"/>
        <v>162</v>
      </c>
      <c r="CC653" s="62">
        <f t="shared" si="604"/>
        <v>6.1728395061728392E-3</v>
      </c>
      <c r="CD653" s="13">
        <f t="shared" si="605"/>
        <v>205.16351118760758</v>
      </c>
      <c r="CE653" s="13">
        <f t="shared" si="606"/>
        <v>205</v>
      </c>
      <c r="CF653" s="13">
        <f t="shared" si="607"/>
        <v>0.90741310366041228</v>
      </c>
      <c r="CG653" s="13">
        <f t="shared" si="608"/>
        <v>0</v>
      </c>
      <c r="CH653" s="28">
        <f t="shared" si="609"/>
        <v>0</v>
      </c>
      <c r="CI653" s="62">
        <f t="shared" si="610"/>
        <v>1</v>
      </c>
      <c r="CJ653" s="59">
        <f t="shared" si="611"/>
        <v>6.1728395061728392E-3</v>
      </c>
      <c r="CL653" s="63">
        <v>6000</v>
      </c>
      <c r="CM653" s="63">
        <f t="shared" si="612"/>
        <v>1295.3999999999999</v>
      </c>
      <c r="CN653" s="63">
        <f t="shared" si="613"/>
        <v>1300.3999999999999</v>
      </c>
      <c r="CO653" s="63">
        <f t="shared" si="614"/>
        <v>4.6139649338665034</v>
      </c>
      <c r="CP653" s="13">
        <f t="shared" si="615"/>
        <v>4</v>
      </c>
      <c r="CQ653" s="70">
        <f t="shared" si="616"/>
        <v>0.25</v>
      </c>
      <c r="CR653" s="69">
        <f t="shared" si="581"/>
        <v>0.25</v>
      </c>
    </row>
    <row r="654" spans="1:96" hidden="1" x14ac:dyDescent="0.25">
      <c r="A654" s="36">
        <v>2</v>
      </c>
      <c r="B654" s="37" t="s">
        <v>37</v>
      </c>
      <c r="C654" s="36" t="s">
        <v>336</v>
      </c>
      <c r="D654" s="36" t="s">
        <v>341</v>
      </c>
      <c r="E654" s="36" t="s">
        <v>52</v>
      </c>
      <c r="F654" s="38">
        <f t="shared" si="585"/>
        <v>15</v>
      </c>
      <c r="G654" s="36" t="s">
        <v>337</v>
      </c>
      <c r="H654" s="36" t="str">
        <f>G654</f>
        <v>A/R</v>
      </c>
      <c r="I654" s="36">
        <v>150</v>
      </c>
      <c r="J654" s="37" t="s">
        <v>338</v>
      </c>
      <c r="K654" s="37" t="s">
        <v>34</v>
      </c>
      <c r="L654" s="36" t="s">
        <v>339</v>
      </c>
      <c r="M654" s="37" t="s">
        <v>340</v>
      </c>
      <c r="N654" s="36" t="s">
        <v>341</v>
      </c>
      <c r="O654" s="28" t="s">
        <v>41</v>
      </c>
      <c r="P654" s="28" t="s">
        <v>41</v>
      </c>
      <c r="Q654" s="28" t="s">
        <v>341</v>
      </c>
      <c r="R654" s="30"/>
      <c r="S654" s="30"/>
      <c r="T654" s="30"/>
      <c r="U654" s="30"/>
      <c r="V654" s="8">
        <f t="shared" si="586"/>
        <v>0</v>
      </c>
      <c r="W654" s="8">
        <f t="shared" si="587"/>
        <v>0</v>
      </c>
      <c r="X654" s="8">
        <f t="shared" si="588"/>
        <v>0</v>
      </c>
      <c r="Y654" s="33">
        <f t="shared" si="589"/>
        <v>0</v>
      </c>
      <c r="Z654" s="28"/>
      <c r="AA654" s="28"/>
      <c r="AB654" s="28" t="s">
        <v>341</v>
      </c>
      <c r="AC654" s="31" t="s">
        <v>342</v>
      </c>
      <c r="AD654" s="50">
        <v>0</v>
      </c>
      <c r="AE654" s="50" t="s">
        <v>337</v>
      </c>
      <c r="AF654" s="51">
        <v>14</v>
      </c>
      <c r="AG654" s="51">
        <f t="shared" si="617"/>
        <v>8.4</v>
      </c>
      <c r="AH654" s="51">
        <f t="shared" si="584"/>
        <v>42</v>
      </c>
      <c r="AI654" s="52" t="s">
        <v>2497</v>
      </c>
      <c r="AJ654" s="52" t="s">
        <v>2498</v>
      </c>
      <c r="AK654" s="53">
        <f t="shared" si="618"/>
        <v>0</v>
      </c>
      <c r="AL654" s="54">
        <f t="shared" si="619"/>
        <v>0.11904761904761904</v>
      </c>
      <c r="AM654" s="54">
        <f t="shared" si="620"/>
        <v>2.3809523809523808E-2</v>
      </c>
      <c r="AN654" s="55">
        <f t="shared" si="621"/>
        <v>0</v>
      </c>
      <c r="AO654" s="55">
        <f t="shared" si="622"/>
        <v>0</v>
      </c>
      <c r="AP654" s="53">
        <v>7.1</v>
      </c>
      <c r="AQ654" s="53">
        <f t="shared" si="591"/>
        <v>4.26</v>
      </c>
      <c r="AR654" s="53">
        <f t="shared" si="592"/>
        <v>21.299999999999997</v>
      </c>
      <c r="AS654" s="56">
        <f t="shared" si="593"/>
        <v>4.6948356807511742E-2</v>
      </c>
      <c r="AT654" s="56">
        <f t="shared" si="623"/>
        <v>0.23474178403755869</v>
      </c>
      <c r="AU654" s="56">
        <f t="shared" si="594"/>
        <v>0.176056338028169</v>
      </c>
      <c r="AV654" s="56">
        <f t="shared" si="624"/>
        <v>5.8685446009389672E-2</v>
      </c>
      <c r="AW654" s="57" t="s">
        <v>2511</v>
      </c>
      <c r="AX654" s="57" t="s">
        <v>2512</v>
      </c>
      <c r="AY654" s="57" t="s">
        <v>2513</v>
      </c>
      <c r="AZ654" s="58">
        <f t="shared" si="625"/>
        <v>0</v>
      </c>
      <c r="BA654" s="59">
        <f t="shared" si="628"/>
        <v>0</v>
      </c>
      <c r="BB654" s="59">
        <f t="shared" si="629"/>
        <v>0</v>
      </c>
      <c r="BC654" s="59">
        <f t="shared" si="630"/>
        <v>0</v>
      </c>
      <c r="BD654" s="60">
        <f t="shared" si="626"/>
        <v>7.1095438516664771E-6</v>
      </c>
      <c r="BE654" s="59">
        <f t="shared" si="627"/>
        <v>0</v>
      </c>
      <c r="BQ654" s="61">
        <v>3000</v>
      </c>
      <c r="BR654" s="61">
        <v>1200</v>
      </c>
      <c r="BS654" s="28">
        <f t="shared" si="595"/>
        <v>2980</v>
      </c>
      <c r="BT654" s="28">
        <f t="shared" si="596"/>
        <v>1180</v>
      </c>
      <c r="BU654" s="28" t="s">
        <v>2541</v>
      </c>
      <c r="BV654" s="28">
        <f t="shared" si="597"/>
        <v>5</v>
      </c>
      <c r="BW654" s="28">
        <f t="shared" si="598"/>
        <v>5</v>
      </c>
      <c r="BX654" s="13">
        <f t="shared" si="599"/>
        <v>596</v>
      </c>
      <c r="BY654" s="13">
        <f t="shared" si="600"/>
        <v>596</v>
      </c>
      <c r="BZ654" s="13">
        <f t="shared" si="601"/>
        <v>236</v>
      </c>
      <c r="CA654" s="13">
        <f t="shared" si="602"/>
        <v>236</v>
      </c>
      <c r="CB654" s="13">
        <f t="shared" si="603"/>
        <v>140656</v>
      </c>
      <c r="CC654" s="62">
        <f t="shared" si="604"/>
        <v>7.1095438516664771E-6</v>
      </c>
      <c r="CD654" s="13">
        <f t="shared" si="605"/>
        <v>596</v>
      </c>
      <c r="CE654" s="13">
        <f t="shared" si="606"/>
        <v>596</v>
      </c>
      <c r="CF654" s="13">
        <f t="shared" si="607"/>
        <v>236</v>
      </c>
      <c r="CG654" s="13">
        <f t="shared" si="608"/>
        <v>236</v>
      </c>
      <c r="CH654" s="28">
        <f t="shared" si="609"/>
        <v>140656</v>
      </c>
      <c r="CI654" s="62">
        <f t="shared" si="610"/>
        <v>7.1095438516664771E-6</v>
      </c>
      <c r="CJ654" s="59">
        <f t="shared" si="611"/>
        <v>7.1095438516664771E-6</v>
      </c>
      <c r="CL654" s="63">
        <v>6000</v>
      </c>
      <c r="CM654" s="63">
        <f t="shared" si="612"/>
        <v>0</v>
      </c>
      <c r="CN654" s="63">
        <f t="shared" si="613"/>
        <v>5</v>
      </c>
      <c r="CO654" s="63">
        <f t="shared" si="614"/>
        <v>1200</v>
      </c>
      <c r="CP654" s="13">
        <f t="shared" si="615"/>
        <v>1200</v>
      </c>
      <c r="CQ654" s="70">
        <f t="shared" si="616"/>
        <v>8.3333333333333339E-4</v>
      </c>
      <c r="CR654" s="69">
        <f t="shared" si="581"/>
        <v>0</v>
      </c>
    </row>
    <row r="655" spans="1:96" hidden="1" x14ac:dyDescent="0.25">
      <c r="A655" s="36">
        <v>2</v>
      </c>
      <c r="B655" s="37" t="s">
        <v>37</v>
      </c>
      <c r="C655" s="36" t="s">
        <v>1569</v>
      </c>
      <c r="D655" s="36" t="s">
        <v>2270</v>
      </c>
      <c r="E655" s="36" t="s">
        <v>52</v>
      </c>
      <c r="F655" s="38">
        <f t="shared" si="585"/>
        <v>1</v>
      </c>
      <c r="G655" s="36" t="s">
        <v>337</v>
      </c>
      <c r="H655" s="36" t="str">
        <f>G655</f>
        <v>A/R</v>
      </c>
      <c r="I655" s="36">
        <v>151</v>
      </c>
      <c r="J655" s="37" t="s">
        <v>1570</v>
      </c>
      <c r="K655" s="37" t="s">
        <v>34</v>
      </c>
      <c r="L655" s="36">
        <v>0</v>
      </c>
      <c r="M655" s="37" t="s">
        <v>35</v>
      </c>
      <c r="N655" s="36" t="s">
        <v>1571</v>
      </c>
      <c r="O655" s="28" t="s">
        <v>41</v>
      </c>
      <c r="P655" s="28" t="s">
        <v>41</v>
      </c>
      <c r="Q655" s="28" t="s">
        <v>116</v>
      </c>
      <c r="R655" s="30">
        <v>54.75</v>
      </c>
      <c r="S655" s="30">
        <v>19.82</v>
      </c>
      <c r="T655" s="30"/>
      <c r="U655" s="30">
        <v>0.11799999999999999</v>
      </c>
      <c r="V655" s="8">
        <f t="shared" si="586"/>
        <v>1390.6499999999999</v>
      </c>
      <c r="W655" s="8">
        <f t="shared" si="587"/>
        <v>503.428</v>
      </c>
      <c r="X655" s="8">
        <f t="shared" si="588"/>
        <v>0</v>
      </c>
      <c r="Y655" s="33">
        <f t="shared" si="589"/>
        <v>2.9971999999999999</v>
      </c>
      <c r="Z655" s="28" t="s">
        <v>56</v>
      </c>
      <c r="AA655" s="28" t="s">
        <v>57</v>
      </c>
      <c r="AB655" s="28" t="s">
        <v>116</v>
      </c>
      <c r="AC655" s="31" t="s">
        <v>117</v>
      </c>
      <c r="AD655" s="72">
        <v>0.05</v>
      </c>
      <c r="AE655" s="73" t="s">
        <v>1572</v>
      </c>
      <c r="AF655" s="51">
        <v>14</v>
      </c>
      <c r="AG655" s="51">
        <f t="shared" si="617"/>
        <v>8.4</v>
      </c>
      <c r="AH655" s="51">
        <f t="shared" si="584"/>
        <v>42</v>
      </c>
      <c r="AI655" s="52" t="s">
        <v>2497</v>
      </c>
      <c r="AJ655" s="52" t="s">
        <v>2498</v>
      </c>
      <c r="AK655" s="53">
        <f t="shared" si="618"/>
        <v>1.4001842964</v>
      </c>
      <c r="AL655" s="54">
        <f t="shared" si="619"/>
        <v>0.11904761904761904</v>
      </c>
      <c r="AM655" s="54">
        <f t="shared" si="620"/>
        <v>2.3809523809523808E-2</v>
      </c>
      <c r="AN655" s="55">
        <f t="shared" si="621"/>
        <v>8.3344303357142848E-3</v>
      </c>
      <c r="AO655" s="55">
        <f t="shared" si="622"/>
        <v>1.666886067142857E-3</v>
      </c>
      <c r="AP655" s="53">
        <v>7.1</v>
      </c>
      <c r="AQ655" s="53">
        <f t="shared" si="591"/>
        <v>4.26</v>
      </c>
      <c r="AR655" s="53">
        <f t="shared" si="592"/>
        <v>21.299999999999997</v>
      </c>
      <c r="AS655" s="56">
        <f t="shared" si="593"/>
        <v>4.6948356807511742E-2</v>
      </c>
      <c r="AT655" s="56">
        <f t="shared" si="623"/>
        <v>0.23474178403755869</v>
      </c>
      <c r="AU655" s="56">
        <f t="shared" si="594"/>
        <v>0.176056338028169</v>
      </c>
      <c r="AV655" s="56">
        <f t="shared" si="624"/>
        <v>5.8685446009389672E-2</v>
      </c>
      <c r="AW655" s="57" t="s">
        <v>2511</v>
      </c>
      <c r="AX655" s="57" t="s">
        <v>2512</v>
      </c>
      <c r="AY655" s="57" t="s">
        <v>2513</v>
      </c>
      <c r="AZ655" s="58">
        <f t="shared" si="625"/>
        <v>1.4001842964</v>
      </c>
      <c r="BA655" s="59">
        <f t="shared" si="628"/>
        <v>2.0542609982394369E-3</v>
      </c>
      <c r="BB655" s="59">
        <f t="shared" si="629"/>
        <v>6.1627829947183098E-3</v>
      </c>
      <c r="BC655" s="59">
        <f t="shared" si="630"/>
        <v>1.6434087985915495E-3</v>
      </c>
      <c r="BD655" s="60">
        <f t="shared" si="626"/>
        <v>0.25</v>
      </c>
      <c r="BE655" s="59">
        <f t="shared" si="627"/>
        <v>1.2500000000000001E-2</v>
      </c>
      <c r="BQ655" s="61">
        <v>3000</v>
      </c>
      <c r="BR655" s="61">
        <v>1200</v>
      </c>
      <c r="BS655" s="28">
        <f t="shared" si="595"/>
        <v>2980</v>
      </c>
      <c r="BT655" s="28">
        <f t="shared" si="596"/>
        <v>1180</v>
      </c>
      <c r="BU655" s="28" t="s">
        <v>2541</v>
      </c>
      <c r="BV655" s="28">
        <f t="shared" si="597"/>
        <v>1395.6499999999999</v>
      </c>
      <c r="BW655" s="28">
        <f t="shared" si="598"/>
        <v>508.428</v>
      </c>
      <c r="BX655" s="13">
        <f t="shared" si="599"/>
        <v>2.1352058180775986</v>
      </c>
      <c r="BY655" s="13">
        <f t="shared" si="600"/>
        <v>2</v>
      </c>
      <c r="BZ655" s="13">
        <f t="shared" si="601"/>
        <v>2.3208792592068099</v>
      </c>
      <c r="CA655" s="13">
        <f t="shared" si="602"/>
        <v>2</v>
      </c>
      <c r="CB655" s="13">
        <f t="shared" si="603"/>
        <v>4</v>
      </c>
      <c r="CC655" s="62">
        <f t="shared" si="604"/>
        <v>0.25</v>
      </c>
      <c r="CD655" s="13">
        <f t="shared" si="605"/>
        <v>5.8612035529121131</v>
      </c>
      <c r="CE655" s="13">
        <f t="shared" si="606"/>
        <v>5</v>
      </c>
      <c r="CF655" s="13">
        <f t="shared" si="607"/>
        <v>0.84548418299716988</v>
      </c>
      <c r="CG655" s="13">
        <f t="shared" si="608"/>
        <v>0</v>
      </c>
      <c r="CH655" s="28">
        <f t="shared" si="609"/>
        <v>0</v>
      </c>
      <c r="CI655" s="62">
        <f t="shared" si="610"/>
        <v>1</v>
      </c>
      <c r="CJ655" s="59">
        <f t="shared" si="611"/>
        <v>0.25</v>
      </c>
      <c r="CL655" s="63">
        <v>6000</v>
      </c>
      <c r="CM655" s="63">
        <f t="shared" si="612"/>
        <v>1390.6499999999999</v>
      </c>
      <c r="CN655" s="63">
        <f t="shared" si="613"/>
        <v>1395.6499999999999</v>
      </c>
      <c r="CO655" s="63">
        <f t="shared" si="614"/>
        <v>4.2990721169347621</v>
      </c>
      <c r="CP655" s="13">
        <f t="shared" si="615"/>
        <v>4</v>
      </c>
      <c r="CQ655" s="70">
        <f t="shared" si="616"/>
        <v>0.25</v>
      </c>
      <c r="CR655" s="69">
        <f t="shared" si="581"/>
        <v>1.2500000000000001E-2</v>
      </c>
    </row>
    <row r="656" spans="1:96" hidden="1" x14ac:dyDescent="0.25">
      <c r="A656" s="36">
        <v>2</v>
      </c>
      <c r="B656" s="37" t="s">
        <v>37</v>
      </c>
      <c r="C656" s="36" t="s">
        <v>1573</v>
      </c>
      <c r="D656" s="36" t="s">
        <v>2270</v>
      </c>
      <c r="E656" s="36" t="s">
        <v>32</v>
      </c>
      <c r="F656" s="38">
        <f t="shared" si="585"/>
        <v>1</v>
      </c>
      <c r="G656" s="36">
        <v>1</v>
      </c>
      <c r="H656" s="36">
        <f t="shared" ref="H656" si="631">G656*$H$3</f>
        <v>1</v>
      </c>
      <c r="I656" s="36">
        <v>156</v>
      </c>
      <c r="J656" s="37" t="s">
        <v>1574</v>
      </c>
      <c r="K656" s="37" t="s">
        <v>34</v>
      </c>
      <c r="L656" s="36">
        <v>0</v>
      </c>
      <c r="M656" s="37" t="s">
        <v>35</v>
      </c>
      <c r="N656" s="36" t="s">
        <v>1575</v>
      </c>
      <c r="O656" s="28" t="s">
        <v>41</v>
      </c>
      <c r="P656" s="28" t="s">
        <v>41</v>
      </c>
      <c r="Q656" s="28"/>
      <c r="R656" s="30"/>
      <c r="S656" s="30"/>
      <c r="T656" s="30"/>
      <c r="U656" s="30"/>
      <c r="V656" s="8">
        <f t="shared" si="586"/>
        <v>0</v>
      </c>
      <c r="W656" s="8">
        <f t="shared" si="587"/>
        <v>0</v>
      </c>
      <c r="X656" s="8">
        <f t="shared" si="588"/>
        <v>0</v>
      </c>
      <c r="Y656" s="33">
        <f t="shared" si="589"/>
        <v>0</v>
      </c>
      <c r="Z656" s="28"/>
      <c r="AA656" s="28"/>
      <c r="AB656" s="28">
        <v>0</v>
      </c>
      <c r="AC656" s="31"/>
      <c r="AD656" s="50">
        <f t="shared" si="590"/>
        <v>1</v>
      </c>
      <c r="AE656" s="5" t="s">
        <v>1576</v>
      </c>
      <c r="AF656" s="51">
        <v>14</v>
      </c>
      <c r="AG656" s="51">
        <f t="shared" si="617"/>
        <v>8.4</v>
      </c>
      <c r="AH656" s="51">
        <f t="shared" si="584"/>
        <v>42</v>
      </c>
      <c r="AI656" s="52" t="s">
        <v>2497</v>
      </c>
      <c r="AJ656" s="52" t="s">
        <v>2498</v>
      </c>
      <c r="AK656" s="53">
        <f t="shared" si="618"/>
        <v>0</v>
      </c>
      <c r="AL656" s="54">
        <f t="shared" si="619"/>
        <v>0.11904761904761904</v>
      </c>
      <c r="AM656" s="54">
        <f t="shared" si="620"/>
        <v>2.3809523809523808E-2</v>
      </c>
      <c r="AN656" s="55">
        <f t="shared" si="621"/>
        <v>0</v>
      </c>
      <c r="AO656" s="55">
        <f t="shared" si="622"/>
        <v>0</v>
      </c>
      <c r="AP656" s="53">
        <v>7.1</v>
      </c>
      <c r="AQ656" s="53">
        <f t="shared" si="591"/>
        <v>4.26</v>
      </c>
      <c r="AR656" s="53">
        <f t="shared" si="592"/>
        <v>21.299999999999997</v>
      </c>
      <c r="AS656" s="56">
        <f t="shared" si="593"/>
        <v>4.6948356807511742E-2</v>
      </c>
      <c r="AT656" s="56">
        <f t="shared" si="623"/>
        <v>0.23474178403755869</v>
      </c>
      <c r="AU656" s="56">
        <f t="shared" si="594"/>
        <v>0.176056338028169</v>
      </c>
      <c r="AV656" s="56">
        <f t="shared" si="624"/>
        <v>5.8685446009389672E-2</v>
      </c>
      <c r="AW656" s="57" t="s">
        <v>2511</v>
      </c>
      <c r="AX656" s="57" t="s">
        <v>2512</v>
      </c>
      <c r="AY656" s="57" t="s">
        <v>2513</v>
      </c>
      <c r="AZ656" s="58">
        <f t="shared" si="625"/>
        <v>0</v>
      </c>
      <c r="BA656" s="59">
        <f t="shared" si="628"/>
        <v>0</v>
      </c>
      <c r="BB656" s="59">
        <f t="shared" si="629"/>
        <v>0</v>
      </c>
      <c r="BC656" s="59">
        <f t="shared" si="630"/>
        <v>0</v>
      </c>
      <c r="BD656" s="60">
        <f t="shared" si="626"/>
        <v>0</v>
      </c>
      <c r="BE656" s="59">
        <f t="shared" si="627"/>
        <v>0</v>
      </c>
      <c r="BQ656" s="61">
        <v>3000</v>
      </c>
      <c r="BR656" s="61">
        <v>1200</v>
      </c>
      <c r="BS656" s="28">
        <f t="shared" si="595"/>
        <v>2980</v>
      </c>
      <c r="BT656" s="28">
        <f t="shared" si="596"/>
        <v>1180</v>
      </c>
      <c r="BU656" s="28" t="s">
        <v>2541</v>
      </c>
      <c r="BV656" s="28">
        <f t="shared" si="597"/>
        <v>5</v>
      </c>
      <c r="BW656" s="28">
        <f t="shared" si="598"/>
        <v>5</v>
      </c>
      <c r="BX656" s="13">
        <f t="shared" si="599"/>
        <v>596</v>
      </c>
      <c r="BY656" s="13">
        <f t="shared" si="600"/>
        <v>596</v>
      </c>
      <c r="BZ656" s="13">
        <f t="shared" si="601"/>
        <v>236</v>
      </c>
      <c r="CA656" s="13">
        <f t="shared" si="602"/>
        <v>236</v>
      </c>
      <c r="CB656" s="13">
        <f t="shared" si="603"/>
        <v>140656</v>
      </c>
      <c r="CC656" s="62" t="str">
        <f t="shared" si="604"/>
        <v/>
      </c>
      <c r="CD656" s="13">
        <f t="shared" si="605"/>
        <v>596</v>
      </c>
      <c r="CE656" s="13">
        <f t="shared" si="606"/>
        <v>596</v>
      </c>
      <c r="CF656" s="13">
        <f t="shared" si="607"/>
        <v>236</v>
      </c>
      <c r="CG656" s="13">
        <f t="shared" si="608"/>
        <v>236</v>
      </c>
      <c r="CH656" s="28">
        <f t="shared" si="609"/>
        <v>140656</v>
      </c>
      <c r="CI656" s="62" t="str">
        <f t="shared" si="610"/>
        <v/>
      </c>
      <c r="CJ656" s="59">
        <f t="shared" si="611"/>
        <v>0</v>
      </c>
      <c r="CL656" s="63">
        <v>6000</v>
      </c>
      <c r="CM656" s="63">
        <f t="shared" si="612"/>
        <v>0</v>
      </c>
      <c r="CN656" s="63">
        <f t="shared" si="613"/>
        <v>5</v>
      </c>
      <c r="CO656" s="63">
        <f t="shared" si="614"/>
        <v>1200</v>
      </c>
      <c r="CP656" s="13">
        <f t="shared" si="615"/>
        <v>1200</v>
      </c>
      <c r="CQ656" s="70">
        <f t="shared" si="616"/>
        <v>8.3333333333333339E-4</v>
      </c>
      <c r="CR656" s="69">
        <f t="shared" si="581"/>
        <v>8.3333333333333339E-4</v>
      </c>
    </row>
    <row r="657" spans="1:96" hidden="1" x14ac:dyDescent="0.25">
      <c r="A657" s="10">
        <v>3</v>
      </c>
      <c r="B657" s="8" t="s">
        <v>1577</v>
      </c>
      <c r="C657" s="10" t="s">
        <v>1578</v>
      </c>
      <c r="D657" s="10" t="s">
        <v>2270</v>
      </c>
      <c r="E657" s="10" t="s">
        <v>52</v>
      </c>
      <c r="F657" s="12">
        <f t="shared" si="585"/>
        <v>1</v>
      </c>
      <c r="G657" s="10">
        <v>1</v>
      </c>
      <c r="H657" s="10">
        <f>G657*$H$656</f>
        <v>1</v>
      </c>
      <c r="I657" s="10">
        <v>1</v>
      </c>
      <c r="J657" s="8" t="s">
        <v>1471</v>
      </c>
      <c r="K657" s="8" t="s">
        <v>34</v>
      </c>
      <c r="L657" s="10">
        <v>0</v>
      </c>
      <c r="M657" s="8" t="s">
        <v>35</v>
      </c>
      <c r="N657" s="10" t="s">
        <v>1579</v>
      </c>
      <c r="O657" s="28" t="s">
        <v>41</v>
      </c>
      <c r="P657" s="28" t="s">
        <v>41</v>
      </c>
      <c r="Q657" s="28" t="s">
        <v>124</v>
      </c>
      <c r="R657" s="30">
        <v>13.2</v>
      </c>
      <c r="S657" s="30">
        <v>2.95</v>
      </c>
      <c r="T657" s="30"/>
      <c r="U657" s="30">
        <v>9.8000000000000004E-2</v>
      </c>
      <c r="V657" s="8">
        <f t="shared" si="586"/>
        <v>335.28</v>
      </c>
      <c r="W657" s="8">
        <f t="shared" si="587"/>
        <v>74.930000000000007</v>
      </c>
      <c r="X657" s="8">
        <f t="shared" si="588"/>
        <v>0</v>
      </c>
      <c r="Y657" s="33">
        <f t="shared" si="589"/>
        <v>2.4891999999999999</v>
      </c>
      <c r="Z657" s="28" t="s">
        <v>56</v>
      </c>
      <c r="AA657" s="28" t="s">
        <v>57</v>
      </c>
      <c r="AB657" s="61" t="s">
        <v>124</v>
      </c>
      <c r="AC657" s="31" t="s">
        <v>125</v>
      </c>
      <c r="AD657" s="50">
        <f t="shared" si="590"/>
        <v>1</v>
      </c>
      <c r="AE657" s="31"/>
      <c r="AF657" s="51">
        <v>14</v>
      </c>
      <c r="AG657" s="51">
        <f t="shared" si="617"/>
        <v>8.4</v>
      </c>
      <c r="AH657" s="51">
        <f t="shared" si="584"/>
        <v>42</v>
      </c>
      <c r="AI657" s="52" t="s">
        <v>2497</v>
      </c>
      <c r="AJ657" s="52" t="s">
        <v>2498</v>
      </c>
      <c r="AK657" s="53">
        <f t="shared" si="618"/>
        <v>5.0245060799999998E-2</v>
      </c>
      <c r="AL657" s="54">
        <f t="shared" si="619"/>
        <v>0.11904761904761904</v>
      </c>
      <c r="AM657" s="54">
        <f t="shared" si="620"/>
        <v>2.3809523809523808E-2</v>
      </c>
      <c r="AN657" s="55">
        <f t="shared" si="621"/>
        <v>5.9815548571428567E-3</v>
      </c>
      <c r="AO657" s="55">
        <f t="shared" si="622"/>
        <v>1.1963109714285714E-3</v>
      </c>
      <c r="AP657" s="53">
        <v>7.1</v>
      </c>
      <c r="AQ657" s="53">
        <f t="shared" si="591"/>
        <v>4.26</v>
      </c>
      <c r="AR657" s="53">
        <f t="shared" si="592"/>
        <v>21.299999999999997</v>
      </c>
      <c r="AS657" s="56">
        <f t="shared" si="593"/>
        <v>4.6948356807511742E-2</v>
      </c>
      <c r="AT657" s="56">
        <f t="shared" si="623"/>
        <v>0.23474178403755869</v>
      </c>
      <c r="AU657" s="56">
        <f t="shared" si="594"/>
        <v>0.176056338028169</v>
      </c>
      <c r="AV657" s="56">
        <f t="shared" si="624"/>
        <v>5.8685446009389672E-2</v>
      </c>
      <c r="AW657" s="57" t="s">
        <v>2511</v>
      </c>
      <c r="AX657" s="57" t="s">
        <v>2512</v>
      </c>
      <c r="AY657" s="57" t="s">
        <v>2513</v>
      </c>
      <c r="AZ657" s="58">
        <f t="shared" si="625"/>
        <v>5.0245060799999998E-2</v>
      </c>
      <c r="BA657" s="59">
        <f t="shared" si="628"/>
        <v>1.4743269014084507E-3</v>
      </c>
      <c r="BB657" s="59">
        <f t="shared" si="629"/>
        <v>4.4229807042253516E-3</v>
      </c>
      <c r="BC657" s="59">
        <f t="shared" si="630"/>
        <v>1.1794615211267606E-3</v>
      </c>
      <c r="BD657" s="60">
        <f t="shared" si="626"/>
        <v>8.9285714285714281E-3</v>
      </c>
      <c r="BE657" s="59">
        <f t="shared" si="627"/>
        <v>8.9285714285714281E-3</v>
      </c>
      <c r="BQ657" s="61">
        <v>3000</v>
      </c>
      <c r="BR657" s="61">
        <v>1200</v>
      </c>
      <c r="BS657" s="28">
        <f t="shared" si="595"/>
        <v>2980</v>
      </c>
      <c r="BT657" s="28">
        <f t="shared" si="596"/>
        <v>1180</v>
      </c>
      <c r="BU657" s="28" t="s">
        <v>2541</v>
      </c>
      <c r="BV657" s="28">
        <f t="shared" si="597"/>
        <v>340.28</v>
      </c>
      <c r="BW657" s="28">
        <f t="shared" si="598"/>
        <v>79.930000000000007</v>
      </c>
      <c r="BX657" s="13">
        <f t="shared" si="599"/>
        <v>8.7574938286117323</v>
      </c>
      <c r="BY657" s="13">
        <f t="shared" si="600"/>
        <v>8</v>
      </c>
      <c r="BZ657" s="13">
        <f t="shared" si="601"/>
        <v>14.762917552858751</v>
      </c>
      <c r="CA657" s="13">
        <f t="shared" si="602"/>
        <v>14</v>
      </c>
      <c r="CB657" s="13">
        <f t="shared" si="603"/>
        <v>112</v>
      </c>
      <c r="CC657" s="62">
        <f t="shared" si="604"/>
        <v>8.9285714285714281E-3</v>
      </c>
      <c r="CD657" s="13">
        <f t="shared" si="605"/>
        <v>37.282622294507689</v>
      </c>
      <c r="CE657" s="13">
        <f t="shared" si="606"/>
        <v>37</v>
      </c>
      <c r="CF657" s="13">
        <f t="shared" si="607"/>
        <v>3.4677324556247799</v>
      </c>
      <c r="CG657" s="13">
        <f t="shared" si="608"/>
        <v>3</v>
      </c>
      <c r="CH657" s="28">
        <f t="shared" si="609"/>
        <v>111</v>
      </c>
      <c r="CI657" s="62">
        <f t="shared" si="610"/>
        <v>9.0090090090090089E-3</v>
      </c>
      <c r="CJ657" s="59">
        <f t="shared" si="611"/>
        <v>8.9285714285714281E-3</v>
      </c>
      <c r="CL657" s="63">
        <v>6000</v>
      </c>
      <c r="CM657" s="63">
        <f t="shared" si="612"/>
        <v>335.28</v>
      </c>
      <c r="CN657" s="63">
        <f t="shared" si="613"/>
        <v>340.28</v>
      </c>
      <c r="CO657" s="63">
        <f t="shared" si="614"/>
        <v>17.632537909956508</v>
      </c>
      <c r="CP657" s="13">
        <f t="shared" si="615"/>
        <v>17</v>
      </c>
      <c r="CQ657" s="70">
        <f t="shared" si="616"/>
        <v>5.8823529411764705E-2</v>
      </c>
      <c r="CR657" s="69">
        <f t="shared" si="581"/>
        <v>5.8823529411764705E-2</v>
      </c>
    </row>
    <row r="658" spans="1:96" hidden="1" x14ac:dyDescent="0.25">
      <c r="A658" s="10">
        <v>3</v>
      </c>
      <c r="B658" s="8" t="s">
        <v>1577</v>
      </c>
      <c r="C658" s="10" t="s">
        <v>1580</v>
      </c>
      <c r="D658" s="10" t="s">
        <v>1581</v>
      </c>
      <c r="E658" s="10" t="s">
        <v>52</v>
      </c>
      <c r="F658" s="12">
        <f t="shared" si="585"/>
        <v>1</v>
      </c>
      <c r="G658" s="10">
        <v>2</v>
      </c>
      <c r="H658" s="10">
        <f t="shared" ref="H658:H659" si="632">G658*$H$656</f>
        <v>2</v>
      </c>
      <c r="I658" s="10">
        <v>2</v>
      </c>
      <c r="J658" s="8" t="s">
        <v>480</v>
      </c>
      <c r="K658" s="8" t="s">
        <v>34</v>
      </c>
      <c r="L658" s="10">
        <v>0</v>
      </c>
      <c r="M658" s="8" t="s">
        <v>35</v>
      </c>
      <c r="N658" s="10" t="s">
        <v>1581</v>
      </c>
      <c r="O658" s="28" t="s">
        <v>41</v>
      </c>
      <c r="P658" s="28" t="s">
        <v>41</v>
      </c>
      <c r="Q658" s="28" t="s">
        <v>1581</v>
      </c>
      <c r="R658" s="30"/>
      <c r="S658" s="30"/>
      <c r="T658" s="30"/>
      <c r="U658" s="30"/>
      <c r="V658" s="8">
        <f t="shared" si="586"/>
        <v>0</v>
      </c>
      <c r="W658" s="8">
        <f t="shared" si="587"/>
        <v>0</v>
      </c>
      <c r="X658" s="8">
        <f t="shared" si="588"/>
        <v>0</v>
      </c>
      <c r="Y658" s="33">
        <f t="shared" si="589"/>
        <v>0</v>
      </c>
      <c r="Z658" s="28"/>
      <c r="AA658" s="28"/>
      <c r="AB658" s="61" t="s">
        <v>1581</v>
      </c>
      <c r="AC658" s="31" t="s">
        <v>1582</v>
      </c>
      <c r="AD658" s="50">
        <f t="shared" si="590"/>
        <v>2</v>
      </c>
      <c r="AE658" s="31"/>
      <c r="AF658" s="51">
        <v>14</v>
      </c>
      <c r="AG658" s="51">
        <f t="shared" si="617"/>
        <v>8.4</v>
      </c>
      <c r="AH658" s="51">
        <f t="shared" si="584"/>
        <v>42</v>
      </c>
      <c r="AI658" s="52" t="s">
        <v>2497</v>
      </c>
      <c r="AJ658" s="52" t="s">
        <v>2498</v>
      </c>
      <c r="AK658" s="53">
        <f t="shared" si="618"/>
        <v>0</v>
      </c>
      <c r="AL658" s="54">
        <f t="shared" si="619"/>
        <v>0.11904761904761904</v>
      </c>
      <c r="AM658" s="54">
        <f t="shared" si="620"/>
        <v>2.3809523809523808E-2</v>
      </c>
      <c r="AN658" s="55">
        <f t="shared" si="621"/>
        <v>0</v>
      </c>
      <c r="AO658" s="55">
        <f t="shared" si="622"/>
        <v>0</v>
      </c>
      <c r="AP658" s="53">
        <v>7.1</v>
      </c>
      <c r="AQ658" s="53">
        <f t="shared" si="591"/>
        <v>4.26</v>
      </c>
      <c r="AR658" s="53">
        <f t="shared" si="592"/>
        <v>21.299999999999997</v>
      </c>
      <c r="AS658" s="56">
        <f t="shared" si="593"/>
        <v>4.6948356807511742E-2</v>
      </c>
      <c r="AT658" s="56">
        <f t="shared" si="623"/>
        <v>0.23474178403755869</v>
      </c>
      <c r="AU658" s="56">
        <f t="shared" si="594"/>
        <v>0.176056338028169</v>
      </c>
      <c r="AV658" s="56">
        <f t="shared" si="624"/>
        <v>5.8685446009389672E-2</v>
      </c>
      <c r="AW658" s="57" t="s">
        <v>2511</v>
      </c>
      <c r="AX658" s="57" t="s">
        <v>2512</v>
      </c>
      <c r="AY658" s="57" t="s">
        <v>2513</v>
      </c>
      <c r="AZ658" s="58">
        <f t="shared" si="625"/>
        <v>0</v>
      </c>
      <c r="BA658" s="59">
        <f t="shared" si="628"/>
        <v>0</v>
      </c>
      <c r="BB658" s="59">
        <f t="shared" si="629"/>
        <v>0</v>
      </c>
      <c r="BC658" s="59">
        <f t="shared" si="630"/>
        <v>0</v>
      </c>
      <c r="BD658" s="60">
        <f t="shared" si="626"/>
        <v>7.1095438516664771E-6</v>
      </c>
      <c r="BE658" s="59">
        <f t="shared" si="627"/>
        <v>1.4219087703332954E-5</v>
      </c>
      <c r="BQ658" s="61">
        <v>3000</v>
      </c>
      <c r="BR658" s="61">
        <v>1200</v>
      </c>
      <c r="BS658" s="28">
        <f t="shared" si="595"/>
        <v>2980</v>
      </c>
      <c r="BT658" s="28">
        <f t="shared" si="596"/>
        <v>1180</v>
      </c>
      <c r="BU658" s="28" t="s">
        <v>2541</v>
      </c>
      <c r="BV658" s="28">
        <f t="shared" si="597"/>
        <v>5</v>
      </c>
      <c r="BW658" s="28">
        <f t="shared" si="598"/>
        <v>5</v>
      </c>
      <c r="BX658" s="13">
        <f t="shared" si="599"/>
        <v>596</v>
      </c>
      <c r="BY658" s="13">
        <f t="shared" si="600"/>
        <v>596</v>
      </c>
      <c r="BZ658" s="13">
        <f t="shared" si="601"/>
        <v>236</v>
      </c>
      <c r="CA658" s="13">
        <f t="shared" si="602"/>
        <v>236</v>
      </c>
      <c r="CB658" s="13">
        <f t="shared" si="603"/>
        <v>140656</v>
      </c>
      <c r="CC658" s="62">
        <f t="shared" si="604"/>
        <v>7.1095438516664771E-6</v>
      </c>
      <c r="CD658" s="13">
        <f t="shared" si="605"/>
        <v>596</v>
      </c>
      <c r="CE658" s="13">
        <f t="shared" si="606"/>
        <v>596</v>
      </c>
      <c r="CF658" s="13">
        <f t="shared" si="607"/>
        <v>236</v>
      </c>
      <c r="CG658" s="13">
        <f t="shared" si="608"/>
        <v>236</v>
      </c>
      <c r="CH658" s="28">
        <f t="shared" si="609"/>
        <v>140656</v>
      </c>
      <c r="CI658" s="62">
        <f t="shared" si="610"/>
        <v>7.1095438516664771E-6</v>
      </c>
      <c r="CJ658" s="59">
        <f t="shared" si="611"/>
        <v>7.1095438516664771E-6</v>
      </c>
      <c r="CL658" s="63">
        <v>6000</v>
      </c>
      <c r="CM658" s="63">
        <f t="shared" si="612"/>
        <v>0</v>
      </c>
      <c r="CN658" s="63">
        <f t="shared" si="613"/>
        <v>5</v>
      </c>
      <c r="CO658" s="63">
        <f t="shared" si="614"/>
        <v>1200</v>
      </c>
      <c r="CP658" s="13">
        <f t="shared" si="615"/>
        <v>1200</v>
      </c>
      <c r="CQ658" s="70">
        <f t="shared" si="616"/>
        <v>8.3333333333333339E-4</v>
      </c>
      <c r="CR658" s="69">
        <f t="shared" si="581"/>
        <v>1.6666666666666668E-3</v>
      </c>
    </row>
    <row r="659" spans="1:96" hidden="1" x14ac:dyDescent="0.25">
      <c r="A659" s="10">
        <v>3</v>
      </c>
      <c r="B659" s="8" t="s">
        <v>1577</v>
      </c>
      <c r="C659" s="10" t="s">
        <v>1583</v>
      </c>
      <c r="D659" s="10" t="s">
        <v>1584</v>
      </c>
      <c r="E659" s="10" t="s">
        <v>52</v>
      </c>
      <c r="F659" s="12">
        <f t="shared" si="585"/>
        <v>1</v>
      </c>
      <c r="G659" s="10">
        <v>2</v>
      </c>
      <c r="H659" s="10">
        <f t="shared" si="632"/>
        <v>2</v>
      </c>
      <c r="I659" s="10">
        <v>3</v>
      </c>
      <c r="J659" s="8" t="s">
        <v>480</v>
      </c>
      <c r="K659" s="8" t="s">
        <v>34</v>
      </c>
      <c r="L659" s="10">
        <v>0</v>
      </c>
      <c r="M659" s="8" t="s">
        <v>35</v>
      </c>
      <c r="N659" s="10" t="s">
        <v>1584</v>
      </c>
      <c r="O659" s="28" t="s">
        <v>41</v>
      </c>
      <c r="P659" s="28" t="s">
        <v>41</v>
      </c>
      <c r="Q659" s="28" t="s">
        <v>1584</v>
      </c>
      <c r="R659" s="30"/>
      <c r="S659" s="30"/>
      <c r="T659" s="30"/>
      <c r="U659" s="30"/>
      <c r="V659" s="8">
        <f t="shared" si="586"/>
        <v>0</v>
      </c>
      <c r="W659" s="8">
        <f t="shared" si="587"/>
        <v>0</v>
      </c>
      <c r="X659" s="8">
        <f t="shared" si="588"/>
        <v>0</v>
      </c>
      <c r="Y659" s="33">
        <f t="shared" si="589"/>
        <v>0</v>
      </c>
      <c r="Z659" s="28"/>
      <c r="AA659" s="28"/>
      <c r="AB659" s="61" t="s">
        <v>1584</v>
      </c>
      <c r="AC659" s="31" t="s">
        <v>1585</v>
      </c>
      <c r="AD659" s="50">
        <f t="shared" si="590"/>
        <v>2</v>
      </c>
      <c r="AE659" s="31"/>
      <c r="AF659" s="51">
        <v>14</v>
      </c>
      <c r="AG659" s="51">
        <f t="shared" si="617"/>
        <v>8.4</v>
      </c>
      <c r="AH659" s="51">
        <f t="shared" si="584"/>
        <v>42</v>
      </c>
      <c r="AI659" s="52" t="s">
        <v>2497</v>
      </c>
      <c r="AJ659" s="52" t="s">
        <v>2498</v>
      </c>
      <c r="AK659" s="53">
        <f t="shared" si="618"/>
        <v>0</v>
      </c>
      <c r="AL659" s="54">
        <f t="shared" si="619"/>
        <v>0.11904761904761904</v>
      </c>
      <c r="AM659" s="54">
        <f t="shared" si="620"/>
        <v>2.3809523809523808E-2</v>
      </c>
      <c r="AN659" s="55">
        <f t="shared" si="621"/>
        <v>0</v>
      </c>
      <c r="AO659" s="55">
        <f t="shared" si="622"/>
        <v>0</v>
      </c>
      <c r="AP659" s="53">
        <v>7.1</v>
      </c>
      <c r="AQ659" s="53">
        <f t="shared" si="591"/>
        <v>4.26</v>
      </c>
      <c r="AR659" s="53">
        <f t="shared" si="592"/>
        <v>21.299999999999997</v>
      </c>
      <c r="AS659" s="56">
        <f t="shared" si="593"/>
        <v>4.6948356807511742E-2</v>
      </c>
      <c r="AT659" s="56">
        <f t="shared" si="623"/>
        <v>0.23474178403755869</v>
      </c>
      <c r="AU659" s="56">
        <f t="shared" si="594"/>
        <v>0.176056338028169</v>
      </c>
      <c r="AV659" s="56">
        <f t="shared" si="624"/>
        <v>5.8685446009389672E-2</v>
      </c>
      <c r="AW659" s="57" t="s">
        <v>2511</v>
      </c>
      <c r="AX659" s="57" t="s">
        <v>2512</v>
      </c>
      <c r="AY659" s="57" t="s">
        <v>2513</v>
      </c>
      <c r="AZ659" s="58">
        <f t="shared" si="625"/>
        <v>0</v>
      </c>
      <c r="BA659" s="59">
        <f t="shared" si="628"/>
        <v>0</v>
      </c>
      <c r="BB659" s="59">
        <f t="shared" si="629"/>
        <v>0</v>
      </c>
      <c r="BC659" s="59">
        <f t="shared" si="630"/>
        <v>0</v>
      </c>
      <c r="BD659" s="60">
        <f t="shared" si="626"/>
        <v>7.1095438516664771E-6</v>
      </c>
      <c r="BE659" s="59">
        <f t="shared" si="627"/>
        <v>1.4219087703332954E-5</v>
      </c>
      <c r="BQ659" s="61">
        <v>3000</v>
      </c>
      <c r="BR659" s="61">
        <v>1200</v>
      </c>
      <c r="BS659" s="28">
        <f t="shared" si="595"/>
        <v>2980</v>
      </c>
      <c r="BT659" s="28">
        <f t="shared" si="596"/>
        <v>1180</v>
      </c>
      <c r="BU659" s="28" t="s">
        <v>2541</v>
      </c>
      <c r="BV659" s="28">
        <f t="shared" si="597"/>
        <v>5</v>
      </c>
      <c r="BW659" s="28">
        <f t="shared" si="598"/>
        <v>5</v>
      </c>
      <c r="BX659" s="13">
        <f t="shared" si="599"/>
        <v>596</v>
      </c>
      <c r="BY659" s="13">
        <f t="shared" si="600"/>
        <v>596</v>
      </c>
      <c r="BZ659" s="13">
        <f t="shared" si="601"/>
        <v>236</v>
      </c>
      <c r="CA659" s="13">
        <f t="shared" si="602"/>
        <v>236</v>
      </c>
      <c r="CB659" s="13">
        <f t="shared" si="603"/>
        <v>140656</v>
      </c>
      <c r="CC659" s="62">
        <f t="shared" si="604"/>
        <v>7.1095438516664771E-6</v>
      </c>
      <c r="CD659" s="13">
        <f t="shared" si="605"/>
        <v>596</v>
      </c>
      <c r="CE659" s="13">
        <f t="shared" si="606"/>
        <v>596</v>
      </c>
      <c r="CF659" s="13">
        <f t="shared" si="607"/>
        <v>236</v>
      </c>
      <c r="CG659" s="13">
        <f t="shared" si="608"/>
        <v>236</v>
      </c>
      <c r="CH659" s="28">
        <f t="shared" si="609"/>
        <v>140656</v>
      </c>
      <c r="CI659" s="62">
        <f t="shared" si="610"/>
        <v>7.1095438516664771E-6</v>
      </c>
      <c r="CJ659" s="59">
        <f t="shared" si="611"/>
        <v>7.1095438516664771E-6</v>
      </c>
      <c r="CL659" s="63">
        <v>6000</v>
      </c>
      <c r="CM659" s="63">
        <f t="shared" si="612"/>
        <v>0</v>
      </c>
      <c r="CN659" s="63">
        <f t="shared" si="613"/>
        <v>5</v>
      </c>
      <c r="CO659" s="63">
        <f t="shared" si="614"/>
        <v>1200</v>
      </c>
      <c r="CP659" s="13">
        <f t="shared" si="615"/>
        <v>1200</v>
      </c>
      <c r="CQ659" s="70">
        <f t="shared" si="616"/>
        <v>8.3333333333333339E-4</v>
      </c>
      <c r="CR659" s="69">
        <f t="shared" si="581"/>
        <v>1.6666666666666668E-3</v>
      </c>
    </row>
    <row r="660" spans="1:96" hidden="1" x14ac:dyDescent="0.25">
      <c r="A660" s="36">
        <v>2</v>
      </c>
      <c r="B660" s="37" t="s">
        <v>37</v>
      </c>
      <c r="C660" s="36" t="s">
        <v>1586</v>
      </c>
      <c r="D660" s="36" t="s">
        <v>1588</v>
      </c>
      <c r="E660" s="36" t="s">
        <v>52</v>
      </c>
      <c r="F660" s="38">
        <f t="shared" si="585"/>
        <v>1</v>
      </c>
      <c r="G660" s="36">
        <v>6</v>
      </c>
      <c r="H660" s="36">
        <f t="shared" ref="H660:H666" si="633">G660*$H$3</f>
        <v>6</v>
      </c>
      <c r="I660" s="36">
        <v>157</v>
      </c>
      <c r="J660" s="37" t="s">
        <v>1587</v>
      </c>
      <c r="K660" s="37" t="s">
        <v>34</v>
      </c>
      <c r="L660" s="36">
        <v>0</v>
      </c>
      <c r="M660" s="37" t="s">
        <v>35</v>
      </c>
      <c r="N660" s="36" t="s">
        <v>1588</v>
      </c>
      <c r="O660" s="28" t="s">
        <v>41</v>
      </c>
      <c r="P660" s="28" t="s">
        <v>41</v>
      </c>
      <c r="Q660" s="28" t="s">
        <v>1588</v>
      </c>
      <c r="R660" s="30"/>
      <c r="S660" s="30"/>
      <c r="T660" s="30"/>
      <c r="U660" s="30"/>
      <c r="V660" s="8">
        <f t="shared" si="586"/>
        <v>0</v>
      </c>
      <c r="W660" s="8">
        <f t="shared" si="587"/>
        <v>0</v>
      </c>
      <c r="X660" s="8">
        <f t="shared" si="588"/>
        <v>0</v>
      </c>
      <c r="Y660" s="33">
        <f t="shared" si="589"/>
        <v>0</v>
      </c>
      <c r="Z660" s="28"/>
      <c r="AA660" s="28"/>
      <c r="AB660" s="61" t="s">
        <v>1588</v>
      </c>
      <c r="AC660" s="31" t="s">
        <v>1589</v>
      </c>
      <c r="AD660" s="50">
        <f t="shared" si="590"/>
        <v>6</v>
      </c>
      <c r="AE660" s="31"/>
      <c r="AF660" s="51">
        <v>14</v>
      </c>
      <c r="AG660" s="51">
        <f t="shared" si="617"/>
        <v>8.4</v>
      </c>
      <c r="AH660" s="51">
        <f t="shared" si="584"/>
        <v>42</v>
      </c>
      <c r="AI660" s="52" t="s">
        <v>2497</v>
      </c>
      <c r="AJ660" s="52" t="s">
        <v>2498</v>
      </c>
      <c r="AK660" s="53">
        <f t="shared" si="618"/>
        <v>0</v>
      </c>
      <c r="AL660" s="54">
        <f t="shared" si="619"/>
        <v>0.11904761904761904</v>
      </c>
      <c r="AM660" s="54">
        <f t="shared" si="620"/>
        <v>2.3809523809523808E-2</v>
      </c>
      <c r="AN660" s="55">
        <f t="shared" si="621"/>
        <v>0</v>
      </c>
      <c r="AO660" s="55">
        <f t="shared" si="622"/>
        <v>0</v>
      </c>
      <c r="AP660" s="53">
        <v>7.1</v>
      </c>
      <c r="AQ660" s="53">
        <f t="shared" si="591"/>
        <v>4.26</v>
      </c>
      <c r="AR660" s="53">
        <f t="shared" si="592"/>
        <v>21.299999999999997</v>
      </c>
      <c r="AS660" s="56">
        <f t="shared" si="593"/>
        <v>4.6948356807511742E-2</v>
      </c>
      <c r="AT660" s="56">
        <f t="shared" si="623"/>
        <v>0.23474178403755869</v>
      </c>
      <c r="AU660" s="56">
        <f t="shared" si="594"/>
        <v>0.176056338028169</v>
      </c>
      <c r="AV660" s="56">
        <f t="shared" si="624"/>
        <v>5.8685446009389672E-2</v>
      </c>
      <c r="AW660" s="57" t="s">
        <v>2511</v>
      </c>
      <c r="AX660" s="57" t="s">
        <v>2512</v>
      </c>
      <c r="AY660" s="57" t="s">
        <v>2513</v>
      </c>
      <c r="AZ660" s="58">
        <f t="shared" si="625"/>
        <v>0</v>
      </c>
      <c r="BA660" s="59">
        <f t="shared" si="628"/>
        <v>0</v>
      </c>
      <c r="BB660" s="59">
        <f t="shared" si="629"/>
        <v>0</v>
      </c>
      <c r="BC660" s="59">
        <f t="shared" si="630"/>
        <v>0</v>
      </c>
      <c r="BD660" s="60">
        <f t="shared" si="626"/>
        <v>7.1095438516664771E-6</v>
      </c>
      <c r="BE660" s="59">
        <f t="shared" si="627"/>
        <v>4.2657263109998864E-5</v>
      </c>
      <c r="BQ660" s="61">
        <v>3000</v>
      </c>
      <c r="BR660" s="61">
        <v>1200</v>
      </c>
      <c r="BS660" s="28">
        <f t="shared" si="595"/>
        <v>2980</v>
      </c>
      <c r="BT660" s="28">
        <f t="shared" si="596"/>
        <v>1180</v>
      </c>
      <c r="BU660" s="28" t="s">
        <v>2541</v>
      </c>
      <c r="BV660" s="28">
        <f t="shared" si="597"/>
        <v>5</v>
      </c>
      <c r="BW660" s="28">
        <f t="shared" si="598"/>
        <v>5</v>
      </c>
      <c r="BX660" s="13">
        <f t="shared" si="599"/>
        <v>596</v>
      </c>
      <c r="BY660" s="13">
        <f t="shared" si="600"/>
        <v>596</v>
      </c>
      <c r="BZ660" s="13">
        <f t="shared" si="601"/>
        <v>236</v>
      </c>
      <c r="CA660" s="13">
        <f t="shared" si="602"/>
        <v>236</v>
      </c>
      <c r="CB660" s="13">
        <f t="shared" si="603"/>
        <v>140656</v>
      </c>
      <c r="CC660" s="62">
        <f t="shared" si="604"/>
        <v>7.1095438516664771E-6</v>
      </c>
      <c r="CD660" s="13">
        <f t="shared" si="605"/>
        <v>596</v>
      </c>
      <c r="CE660" s="13">
        <f t="shared" si="606"/>
        <v>596</v>
      </c>
      <c r="CF660" s="13">
        <f t="shared" si="607"/>
        <v>236</v>
      </c>
      <c r="CG660" s="13">
        <f t="shared" si="608"/>
        <v>236</v>
      </c>
      <c r="CH660" s="28">
        <f t="shared" si="609"/>
        <v>140656</v>
      </c>
      <c r="CI660" s="62">
        <f t="shared" si="610"/>
        <v>7.1095438516664771E-6</v>
      </c>
      <c r="CJ660" s="59">
        <f t="shared" si="611"/>
        <v>7.1095438516664771E-6</v>
      </c>
      <c r="CL660" s="63">
        <v>6000</v>
      </c>
      <c r="CM660" s="63">
        <f t="shared" si="612"/>
        <v>0</v>
      </c>
      <c r="CN660" s="63">
        <f t="shared" si="613"/>
        <v>5</v>
      </c>
      <c r="CO660" s="63">
        <f t="shared" si="614"/>
        <v>1200</v>
      </c>
      <c r="CP660" s="13">
        <f t="shared" si="615"/>
        <v>1200</v>
      </c>
      <c r="CQ660" s="70">
        <f t="shared" si="616"/>
        <v>8.3333333333333339E-4</v>
      </c>
      <c r="CR660" s="69">
        <f t="shared" si="581"/>
        <v>5.0000000000000001E-3</v>
      </c>
    </row>
    <row r="661" spans="1:96" hidden="1" x14ac:dyDescent="0.25">
      <c r="A661" s="36">
        <v>2</v>
      </c>
      <c r="B661" s="37" t="s">
        <v>37</v>
      </c>
      <c r="C661" s="36" t="s">
        <v>1590</v>
      </c>
      <c r="D661" s="36" t="s">
        <v>1592</v>
      </c>
      <c r="E661" s="36" t="s">
        <v>52</v>
      </c>
      <c r="F661" s="38">
        <f t="shared" si="585"/>
        <v>1</v>
      </c>
      <c r="G661" s="36">
        <v>6</v>
      </c>
      <c r="H661" s="36">
        <f t="shared" si="633"/>
        <v>6</v>
      </c>
      <c r="I661" s="36">
        <v>158</v>
      </c>
      <c r="J661" s="37" t="s">
        <v>1591</v>
      </c>
      <c r="K661" s="37" t="s">
        <v>34</v>
      </c>
      <c r="L661" s="36">
        <v>0</v>
      </c>
      <c r="M661" s="37" t="s">
        <v>35</v>
      </c>
      <c r="N661" s="36" t="s">
        <v>1592</v>
      </c>
      <c r="O661" s="28" t="s">
        <v>41</v>
      </c>
      <c r="P661" s="28" t="s">
        <v>41</v>
      </c>
      <c r="Q661" s="28" t="s">
        <v>1592</v>
      </c>
      <c r="R661" s="30"/>
      <c r="S661" s="30"/>
      <c r="T661" s="30"/>
      <c r="U661" s="30"/>
      <c r="V661" s="8">
        <f t="shared" si="586"/>
        <v>0</v>
      </c>
      <c r="W661" s="8">
        <f t="shared" si="587"/>
        <v>0</v>
      </c>
      <c r="X661" s="8">
        <f t="shared" si="588"/>
        <v>0</v>
      </c>
      <c r="Y661" s="33">
        <f t="shared" si="589"/>
        <v>0</v>
      </c>
      <c r="Z661" s="28"/>
      <c r="AA661" s="28"/>
      <c r="AB661" s="61" t="s">
        <v>1592</v>
      </c>
      <c r="AC661" s="31" t="s">
        <v>1593</v>
      </c>
      <c r="AD661" s="50">
        <f t="shared" si="590"/>
        <v>6</v>
      </c>
      <c r="AE661" s="31"/>
      <c r="AF661" s="51">
        <v>14</v>
      </c>
      <c r="AG661" s="51">
        <f t="shared" si="617"/>
        <v>8.4</v>
      </c>
      <c r="AH661" s="51">
        <f t="shared" si="584"/>
        <v>42</v>
      </c>
      <c r="AI661" s="52" t="s">
        <v>2497</v>
      </c>
      <c r="AJ661" s="52" t="s">
        <v>2498</v>
      </c>
      <c r="AK661" s="53">
        <f t="shared" si="618"/>
        <v>0</v>
      </c>
      <c r="AL661" s="54">
        <f t="shared" si="619"/>
        <v>0.11904761904761904</v>
      </c>
      <c r="AM661" s="54">
        <f t="shared" si="620"/>
        <v>2.3809523809523808E-2</v>
      </c>
      <c r="AN661" s="55">
        <f t="shared" si="621"/>
        <v>0</v>
      </c>
      <c r="AO661" s="55">
        <f t="shared" si="622"/>
        <v>0</v>
      </c>
      <c r="AP661" s="53">
        <v>7.1</v>
      </c>
      <c r="AQ661" s="53">
        <f t="shared" si="591"/>
        <v>4.26</v>
      </c>
      <c r="AR661" s="53">
        <f t="shared" si="592"/>
        <v>21.299999999999997</v>
      </c>
      <c r="AS661" s="56">
        <f t="shared" si="593"/>
        <v>4.6948356807511742E-2</v>
      </c>
      <c r="AT661" s="56">
        <f t="shared" si="623"/>
        <v>0.23474178403755869</v>
      </c>
      <c r="AU661" s="56">
        <f t="shared" si="594"/>
        <v>0.176056338028169</v>
      </c>
      <c r="AV661" s="56">
        <f t="shared" si="624"/>
        <v>5.8685446009389672E-2</v>
      </c>
      <c r="AW661" s="57" t="s">
        <v>2511</v>
      </c>
      <c r="AX661" s="57" t="s">
        <v>2512</v>
      </c>
      <c r="AY661" s="57" t="s">
        <v>2513</v>
      </c>
      <c r="AZ661" s="58">
        <f t="shared" si="625"/>
        <v>0</v>
      </c>
      <c r="BA661" s="59">
        <f t="shared" si="628"/>
        <v>0</v>
      </c>
      <c r="BB661" s="59">
        <f t="shared" si="629"/>
        <v>0</v>
      </c>
      <c r="BC661" s="59">
        <f t="shared" si="630"/>
        <v>0</v>
      </c>
      <c r="BD661" s="60">
        <f t="shared" si="626"/>
        <v>7.1095438516664771E-6</v>
      </c>
      <c r="BE661" s="59">
        <f t="shared" si="627"/>
        <v>4.2657263109998864E-5</v>
      </c>
      <c r="BQ661" s="61">
        <v>3000</v>
      </c>
      <c r="BR661" s="61">
        <v>1200</v>
      </c>
      <c r="BS661" s="28">
        <f t="shared" si="595"/>
        <v>2980</v>
      </c>
      <c r="BT661" s="28">
        <f t="shared" si="596"/>
        <v>1180</v>
      </c>
      <c r="BU661" s="28" t="s">
        <v>2541</v>
      </c>
      <c r="BV661" s="28">
        <f t="shared" si="597"/>
        <v>5</v>
      </c>
      <c r="BW661" s="28">
        <f t="shared" si="598"/>
        <v>5</v>
      </c>
      <c r="BX661" s="13">
        <f t="shared" si="599"/>
        <v>596</v>
      </c>
      <c r="BY661" s="13">
        <f t="shared" si="600"/>
        <v>596</v>
      </c>
      <c r="BZ661" s="13">
        <f t="shared" si="601"/>
        <v>236</v>
      </c>
      <c r="CA661" s="13">
        <f t="shared" si="602"/>
        <v>236</v>
      </c>
      <c r="CB661" s="13">
        <f t="shared" si="603"/>
        <v>140656</v>
      </c>
      <c r="CC661" s="62">
        <f t="shared" si="604"/>
        <v>7.1095438516664771E-6</v>
      </c>
      <c r="CD661" s="13">
        <f t="shared" si="605"/>
        <v>596</v>
      </c>
      <c r="CE661" s="13">
        <f t="shared" si="606"/>
        <v>596</v>
      </c>
      <c r="CF661" s="13">
        <f t="shared" si="607"/>
        <v>236</v>
      </c>
      <c r="CG661" s="13">
        <f t="shared" si="608"/>
        <v>236</v>
      </c>
      <c r="CH661" s="28">
        <f t="shared" si="609"/>
        <v>140656</v>
      </c>
      <c r="CI661" s="62">
        <f t="shared" si="610"/>
        <v>7.1095438516664771E-6</v>
      </c>
      <c r="CJ661" s="59">
        <f t="shared" si="611"/>
        <v>7.1095438516664771E-6</v>
      </c>
      <c r="CL661" s="63">
        <v>6000</v>
      </c>
      <c r="CM661" s="63">
        <f t="shared" si="612"/>
        <v>0</v>
      </c>
      <c r="CN661" s="63">
        <f t="shared" si="613"/>
        <v>5</v>
      </c>
      <c r="CO661" s="63">
        <f t="shared" si="614"/>
        <v>1200</v>
      </c>
      <c r="CP661" s="13">
        <f t="shared" si="615"/>
        <v>1200</v>
      </c>
      <c r="CQ661" s="70">
        <f t="shared" si="616"/>
        <v>8.3333333333333339E-4</v>
      </c>
      <c r="CR661" s="69">
        <f t="shared" si="581"/>
        <v>5.0000000000000001E-3</v>
      </c>
    </row>
    <row r="662" spans="1:96" hidden="1" x14ac:dyDescent="0.25">
      <c r="A662" s="36">
        <v>2</v>
      </c>
      <c r="B662" s="37" t="s">
        <v>37</v>
      </c>
      <c r="C662" s="36" t="s">
        <v>1594</v>
      </c>
      <c r="D662" s="36" t="s">
        <v>1596</v>
      </c>
      <c r="E662" s="36" t="s">
        <v>52</v>
      </c>
      <c r="F662" s="38">
        <f t="shared" si="585"/>
        <v>2</v>
      </c>
      <c r="G662" s="36">
        <v>6</v>
      </c>
      <c r="H662" s="36">
        <f t="shared" si="633"/>
        <v>6</v>
      </c>
      <c r="I662" s="36">
        <v>159</v>
      </c>
      <c r="J662" s="37" t="s">
        <v>1595</v>
      </c>
      <c r="K662" s="37" t="s">
        <v>34</v>
      </c>
      <c r="L662" s="36">
        <v>0</v>
      </c>
      <c r="M662" s="37" t="s">
        <v>35</v>
      </c>
      <c r="N662" s="36" t="s">
        <v>1596</v>
      </c>
      <c r="O662" s="28" t="s">
        <v>41</v>
      </c>
      <c r="P662" s="28" t="s">
        <v>41</v>
      </c>
      <c r="Q662" s="28" t="s">
        <v>1596</v>
      </c>
      <c r="R662" s="30"/>
      <c r="S662" s="30"/>
      <c r="T662" s="30"/>
      <c r="U662" s="30"/>
      <c r="V662" s="8">
        <f t="shared" si="586"/>
        <v>0</v>
      </c>
      <c r="W662" s="8">
        <f t="shared" si="587"/>
        <v>0</v>
      </c>
      <c r="X662" s="8">
        <f t="shared" si="588"/>
        <v>0</v>
      </c>
      <c r="Y662" s="33">
        <f t="shared" si="589"/>
        <v>0</v>
      </c>
      <c r="Z662" s="28"/>
      <c r="AA662" s="28"/>
      <c r="AB662" s="61" t="s">
        <v>1596</v>
      </c>
      <c r="AC662" s="31" t="s">
        <v>1597</v>
      </c>
      <c r="AD662" s="50">
        <f t="shared" si="590"/>
        <v>6</v>
      </c>
      <c r="AE662" s="31"/>
      <c r="AF662" s="51">
        <v>14</v>
      </c>
      <c r="AG662" s="51">
        <f t="shared" si="617"/>
        <v>8.4</v>
      </c>
      <c r="AH662" s="51">
        <f t="shared" si="584"/>
        <v>42</v>
      </c>
      <c r="AI662" s="52" t="s">
        <v>2497</v>
      </c>
      <c r="AJ662" s="52" t="s">
        <v>2498</v>
      </c>
      <c r="AK662" s="53">
        <f t="shared" si="618"/>
        <v>0</v>
      </c>
      <c r="AL662" s="54">
        <f t="shared" si="619"/>
        <v>0.11904761904761904</v>
      </c>
      <c r="AM662" s="54">
        <f t="shared" si="620"/>
        <v>2.3809523809523808E-2</v>
      </c>
      <c r="AN662" s="55">
        <f t="shared" si="621"/>
        <v>0</v>
      </c>
      <c r="AO662" s="55">
        <f t="shared" si="622"/>
        <v>0</v>
      </c>
      <c r="AP662" s="53">
        <v>7.1</v>
      </c>
      <c r="AQ662" s="53">
        <f t="shared" si="591"/>
        <v>4.26</v>
      </c>
      <c r="AR662" s="53">
        <f t="shared" si="592"/>
        <v>21.299999999999997</v>
      </c>
      <c r="AS662" s="56">
        <f t="shared" si="593"/>
        <v>4.6948356807511742E-2</v>
      </c>
      <c r="AT662" s="56">
        <f t="shared" si="623"/>
        <v>0.23474178403755869</v>
      </c>
      <c r="AU662" s="56">
        <f t="shared" si="594"/>
        <v>0.176056338028169</v>
      </c>
      <c r="AV662" s="56">
        <f t="shared" si="624"/>
        <v>5.8685446009389672E-2</v>
      </c>
      <c r="AW662" s="57" t="s">
        <v>2511</v>
      </c>
      <c r="AX662" s="57" t="s">
        <v>2512</v>
      </c>
      <c r="AY662" s="57" t="s">
        <v>2513</v>
      </c>
      <c r="AZ662" s="58">
        <f t="shared" si="625"/>
        <v>0</v>
      </c>
      <c r="BA662" s="59">
        <f t="shared" si="628"/>
        <v>0</v>
      </c>
      <c r="BB662" s="59">
        <f t="shared" si="629"/>
        <v>0</v>
      </c>
      <c r="BC662" s="59">
        <f t="shared" si="630"/>
        <v>0</v>
      </c>
      <c r="BD662" s="60">
        <f t="shared" si="626"/>
        <v>7.1095438516664771E-6</v>
      </c>
      <c r="BE662" s="59">
        <f t="shared" si="627"/>
        <v>4.2657263109998864E-5</v>
      </c>
      <c r="BQ662" s="61">
        <v>3000</v>
      </c>
      <c r="BR662" s="61">
        <v>1200</v>
      </c>
      <c r="BS662" s="28">
        <f t="shared" si="595"/>
        <v>2980</v>
      </c>
      <c r="BT662" s="28">
        <f t="shared" si="596"/>
        <v>1180</v>
      </c>
      <c r="BU662" s="28" t="s">
        <v>2541</v>
      </c>
      <c r="BV662" s="28">
        <f t="shared" si="597"/>
        <v>5</v>
      </c>
      <c r="BW662" s="28">
        <f t="shared" si="598"/>
        <v>5</v>
      </c>
      <c r="BX662" s="13">
        <f t="shared" si="599"/>
        <v>596</v>
      </c>
      <c r="BY662" s="13">
        <f t="shared" si="600"/>
        <v>596</v>
      </c>
      <c r="BZ662" s="13">
        <f t="shared" si="601"/>
        <v>236</v>
      </c>
      <c r="CA662" s="13">
        <f t="shared" si="602"/>
        <v>236</v>
      </c>
      <c r="CB662" s="13">
        <f t="shared" si="603"/>
        <v>140656</v>
      </c>
      <c r="CC662" s="62">
        <f t="shared" si="604"/>
        <v>7.1095438516664771E-6</v>
      </c>
      <c r="CD662" s="13">
        <f t="shared" si="605"/>
        <v>596</v>
      </c>
      <c r="CE662" s="13">
        <f t="shared" si="606"/>
        <v>596</v>
      </c>
      <c r="CF662" s="13">
        <f t="shared" si="607"/>
        <v>236</v>
      </c>
      <c r="CG662" s="13">
        <f t="shared" si="608"/>
        <v>236</v>
      </c>
      <c r="CH662" s="28">
        <f t="shared" si="609"/>
        <v>140656</v>
      </c>
      <c r="CI662" s="62">
        <f t="shared" si="610"/>
        <v>7.1095438516664771E-6</v>
      </c>
      <c r="CJ662" s="59">
        <f t="shared" si="611"/>
        <v>7.1095438516664771E-6</v>
      </c>
      <c r="CL662" s="63">
        <v>6000</v>
      </c>
      <c r="CM662" s="63">
        <f t="shared" si="612"/>
        <v>0</v>
      </c>
      <c r="CN662" s="63">
        <f t="shared" si="613"/>
        <v>5</v>
      </c>
      <c r="CO662" s="63">
        <f t="shared" si="614"/>
        <v>1200</v>
      </c>
      <c r="CP662" s="13">
        <f t="shared" si="615"/>
        <v>1200</v>
      </c>
      <c r="CQ662" s="70">
        <f t="shared" si="616"/>
        <v>8.3333333333333339E-4</v>
      </c>
      <c r="CR662" s="69">
        <f t="shared" si="581"/>
        <v>5.0000000000000001E-3</v>
      </c>
    </row>
    <row r="663" spans="1:96" hidden="1" x14ac:dyDescent="0.25">
      <c r="A663" s="36">
        <v>2</v>
      </c>
      <c r="B663" s="37" t="s">
        <v>37</v>
      </c>
      <c r="C663" s="36" t="s">
        <v>1598</v>
      </c>
      <c r="D663" s="36" t="s">
        <v>2270</v>
      </c>
      <c r="E663" s="36" t="s">
        <v>52</v>
      </c>
      <c r="F663" s="38">
        <f t="shared" si="585"/>
        <v>1</v>
      </c>
      <c r="G663" s="36">
        <v>1</v>
      </c>
      <c r="H663" s="36">
        <f t="shared" si="633"/>
        <v>1</v>
      </c>
      <c r="I663" s="36">
        <v>163</v>
      </c>
      <c r="J663" s="37" t="s">
        <v>938</v>
      </c>
      <c r="K663" s="37" t="s">
        <v>34</v>
      </c>
      <c r="L663" s="36">
        <v>0</v>
      </c>
      <c r="M663" s="37" t="s">
        <v>35</v>
      </c>
      <c r="N663" s="36" t="s">
        <v>1599</v>
      </c>
      <c r="O663" s="28" t="s">
        <v>41</v>
      </c>
      <c r="P663" s="28" t="s">
        <v>41</v>
      </c>
      <c r="Q663" s="28" t="s">
        <v>1600</v>
      </c>
      <c r="R663" s="30">
        <v>7.3700787401574805</v>
      </c>
      <c r="S663" s="30">
        <v>1</v>
      </c>
      <c r="T663" s="30"/>
      <c r="U663" s="30">
        <v>1</v>
      </c>
      <c r="V663" s="8">
        <f t="shared" si="586"/>
        <v>187.2</v>
      </c>
      <c r="W663" s="8">
        <f t="shared" si="587"/>
        <v>25.4</v>
      </c>
      <c r="X663" s="8">
        <f t="shared" si="588"/>
        <v>0</v>
      </c>
      <c r="Y663" s="33">
        <f t="shared" si="589"/>
        <v>25.4</v>
      </c>
      <c r="Z663" s="28"/>
      <c r="AA663" s="28"/>
      <c r="AB663" s="61" t="s">
        <v>1600</v>
      </c>
      <c r="AC663" s="31" t="s">
        <v>1601</v>
      </c>
      <c r="AD663" s="50">
        <f t="shared" si="590"/>
        <v>1</v>
      </c>
      <c r="AE663" s="31"/>
      <c r="AF663" s="51">
        <v>14</v>
      </c>
      <c r="AG663" s="51">
        <f t="shared" si="617"/>
        <v>8.4</v>
      </c>
      <c r="AH663" s="51">
        <f t="shared" si="584"/>
        <v>42</v>
      </c>
      <c r="AI663" s="52" t="s">
        <v>2497</v>
      </c>
      <c r="AJ663" s="52" t="s">
        <v>2498</v>
      </c>
      <c r="AK663" s="53">
        <f t="shared" si="618"/>
        <v>9.509759999999999E-3</v>
      </c>
      <c r="AL663" s="54">
        <f t="shared" si="619"/>
        <v>0.11904761904761904</v>
      </c>
      <c r="AM663" s="54">
        <f t="shared" si="620"/>
        <v>2.3809523809523808E-2</v>
      </c>
      <c r="AN663" s="55">
        <f t="shared" si="621"/>
        <v>1.1321142857142856E-3</v>
      </c>
      <c r="AO663" s="55">
        <f t="shared" si="622"/>
        <v>2.2642285714285712E-4</v>
      </c>
      <c r="AP663" s="53">
        <v>7.1</v>
      </c>
      <c r="AQ663" s="53">
        <f t="shared" si="591"/>
        <v>4.26</v>
      </c>
      <c r="AR663" s="53">
        <f t="shared" si="592"/>
        <v>21.299999999999997</v>
      </c>
      <c r="AS663" s="56">
        <f t="shared" si="593"/>
        <v>4.6948356807511742E-2</v>
      </c>
      <c r="AT663" s="56">
        <f t="shared" si="623"/>
        <v>0.23474178403755869</v>
      </c>
      <c r="AU663" s="56">
        <f t="shared" si="594"/>
        <v>0.176056338028169</v>
      </c>
      <c r="AV663" s="56">
        <f t="shared" si="624"/>
        <v>5.8685446009389672E-2</v>
      </c>
      <c r="AW663" s="57" t="s">
        <v>2511</v>
      </c>
      <c r="AX663" s="57" t="s">
        <v>2512</v>
      </c>
      <c r="AY663" s="57" t="s">
        <v>2513</v>
      </c>
      <c r="AZ663" s="58">
        <f t="shared" si="625"/>
        <v>9.509759999999999E-3</v>
      </c>
      <c r="BA663" s="59">
        <f t="shared" si="628"/>
        <v>2.7904225352112674E-4</v>
      </c>
      <c r="BB663" s="59">
        <f t="shared" si="629"/>
        <v>8.3712676056338017E-4</v>
      </c>
      <c r="BC663" s="59">
        <f t="shared" si="630"/>
        <v>2.232338028169014E-4</v>
      </c>
      <c r="BD663" s="60">
        <f t="shared" si="626"/>
        <v>1.7006802721088435E-3</v>
      </c>
      <c r="BE663" s="59">
        <f t="shared" si="627"/>
        <v>1.7006802721088435E-3</v>
      </c>
      <c r="BQ663" s="61">
        <v>3000</v>
      </c>
      <c r="BR663" s="61">
        <v>1200</v>
      </c>
      <c r="BS663" s="28">
        <f t="shared" si="595"/>
        <v>2980</v>
      </c>
      <c r="BT663" s="28">
        <f t="shared" si="596"/>
        <v>1180</v>
      </c>
      <c r="BU663" s="28" t="s">
        <v>2541</v>
      </c>
      <c r="BV663" s="28">
        <f t="shared" si="597"/>
        <v>192.2</v>
      </c>
      <c r="BW663" s="28">
        <f t="shared" si="598"/>
        <v>30.4</v>
      </c>
      <c r="BX663" s="13">
        <f t="shared" si="599"/>
        <v>15.50468262226847</v>
      </c>
      <c r="BY663" s="13">
        <f t="shared" si="600"/>
        <v>15</v>
      </c>
      <c r="BZ663" s="13">
        <f t="shared" si="601"/>
        <v>38.815789473684212</v>
      </c>
      <c r="CA663" s="13">
        <f t="shared" si="602"/>
        <v>38</v>
      </c>
      <c r="CB663" s="13">
        <f t="shared" si="603"/>
        <v>570</v>
      </c>
      <c r="CC663" s="62">
        <f t="shared" si="604"/>
        <v>1.7543859649122807E-3</v>
      </c>
      <c r="CD663" s="13">
        <f t="shared" si="605"/>
        <v>98.026315789473685</v>
      </c>
      <c r="CE663" s="13">
        <f t="shared" si="606"/>
        <v>98</v>
      </c>
      <c r="CF663" s="13">
        <f t="shared" si="607"/>
        <v>6.1394380853277841</v>
      </c>
      <c r="CG663" s="13">
        <f t="shared" si="608"/>
        <v>6</v>
      </c>
      <c r="CH663" s="28">
        <f t="shared" si="609"/>
        <v>588</v>
      </c>
      <c r="CI663" s="62">
        <f t="shared" si="610"/>
        <v>1.7006802721088435E-3</v>
      </c>
      <c r="CJ663" s="59">
        <f t="shared" si="611"/>
        <v>1.7006802721088435E-3</v>
      </c>
      <c r="CL663" s="63">
        <v>6000</v>
      </c>
      <c r="CM663" s="63">
        <f t="shared" si="612"/>
        <v>187.2</v>
      </c>
      <c r="CN663" s="63">
        <f t="shared" si="613"/>
        <v>192.2</v>
      </c>
      <c r="CO663" s="63">
        <f t="shared" si="614"/>
        <v>31.217481789802292</v>
      </c>
      <c r="CP663" s="13">
        <f t="shared" si="615"/>
        <v>31</v>
      </c>
      <c r="CQ663" s="70">
        <f t="shared" si="616"/>
        <v>3.2258064516129031E-2</v>
      </c>
      <c r="CR663" s="69">
        <f t="shared" si="581"/>
        <v>3.2258064516129031E-2</v>
      </c>
    </row>
    <row r="664" spans="1:96" hidden="1" x14ac:dyDescent="0.25">
      <c r="A664" s="36">
        <v>2</v>
      </c>
      <c r="B664" s="37" t="s">
        <v>37</v>
      </c>
      <c r="C664" s="36" t="s">
        <v>1602</v>
      </c>
      <c r="D664" s="36" t="s">
        <v>2270</v>
      </c>
      <c r="E664" s="36" t="s">
        <v>52</v>
      </c>
      <c r="F664" s="38">
        <f t="shared" si="585"/>
        <v>1</v>
      </c>
      <c r="G664" s="36">
        <v>1</v>
      </c>
      <c r="H664" s="36">
        <f t="shared" si="633"/>
        <v>1</v>
      </c>
      <c r="I664" s="36">
        <v>166</v>
      </c>
      <c r="J664" s="37" t="s">
        <v>938</v>
      </c>
      <c r="K664" s="37" t="s">
        <v>34</v>
      </c>
      <c r="L664" s="36">
        <v>0</v>
      </c>
      <c r="M664" s="37" t="s">
        <v>35</v>
      </c>
      <c r="N664" s="36" t="s">
        <v>1603</v>
      </c>
      <c r="O664" s="28" t="s">
        <v>41</v>
      </c>
      <c r="P664" s="28" t="s">
        <v>41</v>
      </c>
      <c r="Q664" s="28" t="s">
        <v>1600</v>
      </c>
      <c r="R664" s="30">
        <v>9.3700787401574814</v>
      </c>
      <c r="S664" s="30">
        <v>1</v>
      </c>
      <c r="T664" s="30"/>
      <c r="U664" s="30">
        <v>1</v>
      </c>
      <c r="V664" s="8">
        <f t="shared" si="586"/>
        <v>238.00000000000003</v>
      </c>
      <c r="W664" s="8">
        <f t="shared" si="587"/>
        <v>25.4</v>
      </c>
      <c r="X664" s="8">
        <f t="shared" si="588"/>
        <v>0</v>
      </c>
      <c r="Y664" s="33">
        <f t="shared" si="589"/>
        <v>25.4</v>
      </c>
      <c r="Z664" s="28"/>
      <c r="AA664" s="28"/>
      <c r="AB664" s="61" t="s">
        <v>1600</v>
      </c>
      <c r="AC664" s="31" t="s">
        <v>1601</v>
      </c>
      <c r="AD664" s="50">
        <f t="shared" si="590"/>
        <v>1</v>
      </c>
      <c r="AE664" s="48"/>
      <c r="AF664" s="51">
        <v>14</v>
      </c>
      <c r="AG664" s="51">
        <f t="shared" si="617"/>
        <v>8.4</v>
      </c>
      <c r="AH664" s="51">
        <f t="shared" si="584"/>
        <v>42</v>
      </c>
      <c r="AI664" s="52" t="s">
        <v>2497</v>
      </c>
      <c r="AJ664" s="52" t="s">
        <v>2498</v>
      </c>
      <c r="AK664" s="53">
        <f t="shared" si="618"/>
        <v>1.2090400000000001E-2</v>
      </c>
      <c r="AL664" s="54">
        <f t="shared" si="619"/>
        <v>0.11904761904761904</v>
      </c>
      <c r="AM664" s="54">
        <f t="shared" si="620"/>
        <v>2.3809523809523808E-2</v>
      </c>
      <c r="AN664" s="55">
        <f t="shared" si="621"/>
        <v>1.4393333333333335E-3</v>
      </c>
      <c r="AO664" s="55">
        <f t="shared" si="622"/>
        <v>2.8786666666666665E-4</v>
      </c>
      <c r="AP664" s="53">
        <v>7.1</v>
      </c>
      <c r="AQ664" s="53">
        <f t="shared" si="591"/>
        <v>4.26</v>
      </c>
      <c r="AR664" s="53">
        <f t="shared" si="592"/>
        <v>21.299999999999997</v>
      </c>
      <c r="AS664" s="56">
        <f t="shared" si="593"/>
        <v>4.6948356807511742E-2</v>
      </c>
      <c r="AT664" s="56">
        <f t="shared" si="623"/>
        <v>0.23474178403755869</v>
      </c>
      <c r="AU664" s="56">
        <f t="shared" si="594"/>
        <v>0.176056338028169</v>
      </c>
      <c r="AV664" s="56">
        <f t="shared" si="624"/>
        <v>5.8685446009389672E-2</v>
      </c>
      <c r="AW664" s="57" t="s">
        <v>2511</v>
      </c>
      <c r="AX664" s="57" t="s">
        <v>2512</v>
      </c>
      <c r="AY664" s="57" t="s">
        <v>2513</v>
      </c>
      <c r="AZ664" s="58">
        <f t="shared" si="625"/>
        <v>1.2090400000000001E-2</v>
      </c>
      <c r="BA664" s="59">
        <f t="shared" si="628"/>
        <v>3.547652582159625E-4</v>
      </c>
      <c r="BB664" s="59">
        <f t="shared" si="629"/>
        <v>1.0642957746478873E-3</v>
      </c>
      <c r="BC664" s="59">
        <f t="shared" si="630"/>
        <v>2.8381220657277E-4</v>
      </c>
      <c r="BD664" s="60">
        <f t="shared" si="626"/>
        <v>2.1929824561403508E-3</v>
      </c>
      <c r="BE664" s="59">
        <f t="shared" si="627"/>
        <v>2.1929824561403508E-3</v>
      </c>
      <c r="BQ664" s="61">
        <v>3000</v>
      </c>
      <c r="BR664" s="61">
        <v>1200</v>
      </c>
      <c r="BS664" s="28">
        <f t="shared" si="595"/>
        <v>2980</v>
      </c>
      <c r="BT664" s="28">
        <f t="shared" si="596"/>
        <v>1180</v>
      </c>
      <c r="BU664" s="28" t="s">
        <v>2541</v>
      </c>
      <c r="BV664" s="28">
        <f t="shared" si="597"/>
        <v>243.00000000000003</v>
      </c>
      <c r="BW664" s="28">
        <f t="shared" si="598"/>
        <v>30.4</v>
      </c>
      <c r="BX664" s="13">
        <f t="shared" si="599"/>
        <v>12.263374485596707</v>
      </c>
      <c r="BY664" s="13">
        <f t="shared" si="600"/>
        <v>12</v>
      </c>
      <c r="BZ664" s="13">
        <f t="shared" si="601"/>
        <v>38.815789473684212</v>
      </c>
      <c r="CA664" s="13">
        <f t="shared" si="602"/>
        <v>38</v>
      </c>
      <c r="CB664" s="13">
        <f t="shared" si="603"/>
        <v>456</v>
      </c>
      <c r="CC664" s="62">
        <f t="shared" si="604"/>
        <v>2.1929824561403508E-3</v>
      </c>
      <c r="CD664" s="13">
        <f t="shared" si="605"/>
        <v>98.026315789473685</v>
      </c>
      <c r="CE664" s="13">
        <f t="shared" si="606"/>
        <v>98</v>
      </c>
      <c r="CF664" s="13">
        <f t="shared" si="607"/>
        <v>4.8559670781893001</v>
      </c>
      <c r="CG664" s="13">
        <f t="shared" si="608"/>
        <v>4</v>
      </c>
      <c r="CH664" s="28">
        <f t="shared" si="609"/>
        <v>392</v>
      </c>
      <c r="CI664" s="62">
        <f t="shared" si="610"/>
        <v>2.5510204081632651E-3</v>
      </c>
      <c r="CJ664" s="59">
        <f t="shared" si="611"/>
        <v>2.1929824561403508E-3</v>
      </c>
      <c r="CL664" s="63">
        <v>6000</v>
      </c>
      <c r="CM664" s="63">
        <f t="shared" si="612"/>
        <v>238.00000000000003</v>
      </c>
      <c r="CN664" s="63">
        <f t="shared" si="613"/>
        <v>243.00000000000003</v>
      </c>
      <c r="CO664" s="63">
        <f t="shared" si="614"/>
        <v>24.691358024691354</v>
      </c>
      <c r="CP664" s="13">
        <f t="shared" si="615"/>
        <v>24</v>
      </c>
      <c r="CQ664" s="70">
        <f t="shared" si="616"/>
        <v>4.1666666666666664E-2</v>
      </c>
      <c r="CR664" s="69">
        <f t="shared" si="581"/>
        <v>4.1666666666666664E-2</v>
      </c>
    </row>
    <row r="665" spans="1:96" hidden="1" x14ac:dyDescent="0.25">
      <c r="A665" s="36">
        <v>2</v>
      </c>
      <c r="B665" s="37" t="s">
        <v>37</v>
      </c>
      <c r="C665" s="36" t="s">
        <v>827</v>
      </c>
      <c r="D665" s="36" t="s">
        <v>828</v>
      </c>
      <c r="E665" s="36" t="s">
        <v>52</v>
      </c>
      <c r="F665" s="38">
        <f t="shared" si="585"/>
        <v>6</v>
      </c>
      <c r="G665" s="36">
        <v>1</v>
      </c>
      <c r="H665" s="36">
        <f t="shared" si="633"/>
        <v>1</v>
      </c>
      <c r="I665" s="36">
        <v>171</v>
      </c>
      <c r="J665" s="37" t="s">
        <v>76</v>
      </c>
      <c r="K665" s="37" t="s">
        <v>34</v>
      </c>
      <c r="L665" s="36" t="s">
        <v>77</v>
      </c>
      <c r="M665" s="37" t="s">
        <v>35</v>
      </c>
      <c r="N665" s="36" t="s">
        <v>828</v>
      </c>
      <c r="O665" s="28" t="s">
        <v>41</v>
      </c>
      <c r="P665" s="28" t="s">
        <v>41</v>
      </c>
      <c r="Q665" s="28" t="s">
        <v>79</v>
      </c>
      <c r="R665" s="30">
        <v>9.015748031496063</v>
      </c>
      <c r="S665" s="30">
        <v>0.3125</v>
      </c>
      <c r="T665" s="30"/>
      <c r="U665" s="30">
        <v>0.3125</v>
      </c>
      <c r="V665" s="8">
        <f t="shared" si="586"/>
        <v>229</v>
      </c>
      <c r="W665" s="8">
        <f t="shared" si="587"/>
        <v>7.9375</v>
      </c>
      <c r="X665" s="8">
        <f t="shared" si="588"/>
        <v>0</v>
      </c>
      <c r="Y665" s="33">
        <f t="shared" si="589"/>
        <v>7.9375</v>
      </c>
      <c r="Z665" s="28" t="s">
        <v>80</v>
      </c>
      <c r="AA665" s="28" t="s">
        <v>81</v>
      </c>
      <c r="AB665" s="61" t="s">
        <v>79</v>
      </c>
      <c r="AC665" s="31" t="s">
        <v>82</v>
      </c>
      <c r="AD665" s="50">
        <f t="shared" si="590"/>
        <v>1</v>
      </c>
      <c r="AE665" s="31"/>
      <c r="AF665" s="51">
        <v>14</v>
      </c>
      <c r="AG665" s="51">
        <f t="shared" si="617"/>
        <v>8.4</v>
      </c>
      <c r="AH665" s="51">
        <f t="shared" si="584"/>
        <v>42</v>
      </c>
      <c r="AI665" s="52" t="s">
        <v>2497</v>
      </c>
      <c r="AJ665" s="52" t="s">
        <v>2498</v>
      </c>
      <c r="AK665" s="53">
        <f t="shared" si="618"/>
        <v>3.6353750000000002E-3</v>
      </c>
      <c r="AL665" s="54">
        <f t="shared" si="619"/>
        <v>0.11904761904761904</v>
      </c>
      <c r="AM665" s="54">
        <f t="shared" si="620"/>
        <v>2.3809523809523808E-2</v>
      </c>
      <c r="AN665" s="55">
        <f t="shared" si="621"/>
        <v>4.3278273809523808E-4</v>
      </c>
      <c r="AO665" s="55">
        <f t="shared" si="622"/>
        <v>8.6556547619047618E-5</v>
      </c>
      <c r="AP665" s="53">
        <v>7.1</v>
      </c>
      <c r="AQ665" s="53">
        <f t="shared" si="591"/>
        <v>4.26</v>
      </c>
      <c r="AR665" s="53">
        <f t="shared" si="592"/>
        <v>21.299999999999997</v>
      </c>
      <c r="AS665" s="56">
        <f t="shared" si="593"/>
        <v>4.6948356807511742E-2</v>
      </c>
      <c r="AT665" s="56">
        <f t="shared" si="623"/>
        <v>0.23474178403755869</v>
      </c>
      <c r="AU665" s="56">
        <f t="shared" si="594"/>
        <v>0.176056338028169</v>
      </c>
      <c r="AV665" s="56">
        <f t="shared" si="624"/>
        <v>5.8685446009389672E-2</v>
      </c>
      <c r="AW665" s="57" t="s">
        <v>2511</v>
      </c>
      <c r="AX665" s="57" t="s">
        <v>2512</v>
      </c>
      <c r="AY665" s="57" t="s">
        <v>2513</v>
      </c>
      <c r="AZ665" s="58">
        <f t="shared" si="625"/>
        <v>3.6353750000000002E-3</v>
      </c>
      <c r="BA665" s="59">
        <f t="shared" si="628"/>
        <v>1.066718016431925E-4</v>
      </c>
      <c r="BB665" s="59">
        <f t="shared" si="629"/>
        <v>3.2001540492957744E-4</v>
      </c>
      <c r="BC665" s="59">
        <f t="shared" si="630"/>
        <v>8.5337441314554006E-5</v>
      </c>
      <c r="BD665" s="60">
        <f t="shared" si="626"/>
        <v>8.6956521739130438E-4</v>
      </c>
      <c r="BE665" s="59">
        <f t="shared" si="627"/>
        <v>8.6956521739130438E-4</v>
      </c>
      <c r="BQ665" s="61">
        <v>3000</v>
      </c>
      <c r="BR665" s="61">
        <v>1200</v>
      </c>
      <c r="BS665" s="28">
        <f t="shared" si="595"/>
        <v>2980</v>
      </c>
      <c r="BT665" s="28">
        <f t="shared" si="596"/>
        <v>1180</v>
      </c>
      <c r="BU665" s="28" t="s">
        <v>2541</v>
      </c>
      <c r="BV665" s="28">
        <f t="shared" si="597"/>
        <v>234</v>
      </c>
      <c r="BW665" s="28">
        <f t="shared" si="598"/>
        <v>12.9375</v>
      </c>
      <c r="BX665" s="13">
        <f t="shared" si="599"/>
        <v>12.735042735042734</v>
      </c>
      <c r="BY665" s="13">
        <f t="shared" si="600"/>
        <v>12</v>
      </c>
      <c r="BZ665" s="13">
        <f t="shared" si="601"/>
        <v>91.207729468599027</v>
      </c>
      <c r="CA665" s="13">
        <f t="shared" si="602"/>
        <v>91</v>
      </c>
      <c r="CB665" s="13">
        <f t="shared" si="603"/>
        <v>1092</v>
      </c>
      <c r="CC665" s="62">
        <f t="shared" si="604"/>
        <v>9.1575091575091575E-4</v>
      </c>
      <c r="CD665" s="13">
        <f t="shared" si="605"/>
        <v>230.33816425120773</v>
      </c>
      <c r="CE665" s="13">
        <f t="shared" si="606"/>
        <v>230</v>
      </c>
      <c r="CF665" s="13">
        <f t="shared" si="607"/>
        <v>5.0427350427350426</v>
      </c>
      <c r="CG665" s="13">
        <f t="shared" si="608"/>
        <v>5</v>
      </c>
      <c r="CH665" s="28">
        <f t="shared" si="609"/>
        <v>1150</v>
      </c>
      <c r="CI665" s="62">
        <f t="shared" si="610"/>
        <v>8.6956521739130438E-4</v>
      </c>
      <c r="CJ665" s="59">
        <f t="shared" si="611"/>
        <v>8.6956521739130438E-4</v>
      </c>
      <c r="CL665" s="63">
        <v>6000</v>
      </c>
      <c r="CM665" s="63">
        <f t="shared" si="612"/>
        <v>229</v>
      </c>
      <c r="CN665" s="63">
        <f t="shared" si="613"/>
        <v>234</v>
      </c>
      <c r="CO665" s="63">
        <f t="shared" si="614"/>
        <v>25.641025641025642</v>
      </c>
      <c r="CP665" s="13">
        <f t="shared" si="615"/>
        <v>25</v>
      </c>
      <c r="CQ665" s="70">
        <f t="shared" si="616"/>
        <v>0.04</v>
      </c>
      <c r="CR665" s="69">
        <f t="shared" si="581"/>
        <v>0.04</v>
      </c>
    </row>
    <row r="666" spans="1:96" hidden="1" x14ac:dyDescent="0.25">
      <c r="A666" s="36">
        <v>2</v>
      </c>
      <c r="B666" s="37" t="s">
        <v>37</v>
      </c>
      <c r="C666" s="36" t="s">
        <v>1604</v>
      </c>
      <c r="D666" s="36" t="s">
        <v>2270</v>
      </c>
      <c r="E666" s="36" t="s">
        <v>32</v>
      </c>
      <c r="F666" s="38">
        <f t="shared" si="585"/>
        <v>1</v>
      </c>
      <c r="G666" s="36">
        <v>3</v>
      </c>
      <c r="H666" s="36">
        <f t="shared" si="633"/>
        <v>3</v>
      </c>
      <c r="I666" s="36">
        <v>180</v>
      </c>
      <c r="J666" s="37" t="s">
        <v>508</v>
      </c>
      <c r="K666" s="37" t="s">
        <v>34</v>
      </c>
      <c r="L666" s="36">
        <v>0</v>
      </c>
      <c r="M666" s="37" t="s">
        <v>35</v>
      </c>
      <c r="N666" s="36" t="s">
        <v>1605</v>
      </c>
      <c r="O666" s="28" t="s">
        <v>41</v>
      </c>
      <c r="P666" s="28" t="s">
        <v>41</v>
      </c>
      <c r="Q666" s="28"/>
      <c r="R666" s="30"/>
      <c r="S666" s="30"/>
      <c r="T666" s="30"/>
      <c r="U666" s="30"/>
      <c r="V666" s="8">
        <f t="shared" si="586"/>
        <v>0</v>
      </c>
      <c r="W666" s="8">
        <f t="shared" si="587"/>
        <v>0</v>
      </c>
      <c r="X666" s="8">
        <f t="shared" si="588"/>
        <v>0</v>
      </c>
      <c r="Y666" s="33">
        <f t="shared" si="589"/>
        <v>0</v>
      </c>
      <c r="Z666" s="28"/>
      <c r="AA666" s="28"/>
      <c r="AB666" s="28">
        <v>0</v>
      </c>
      <c r="AC666" s="31"/>
      <c r="AD666" s="50">
        <f t="shared" si="590"/>
        <v>3</v>
      </c>
      <c r="AE666" s="31"/>
      <c r="AF666" s="51">
        <v>14</v>
      </c>
      <c r="AG666" s="51">
        <f t="shared" si="617"/>
        <v>8.4</v>
      </c>
      <c r="AH666" s="51">
        <f t="shared" si="584"/>
        <v>42</v>
      </c>
      <c r="AI666" s="52" t="s">
        <v>2497</v>
      </c>
      <c r="AJ666" s="52" t="s">
        <v>2498</v>
      </c>
      <c r="AK666" s="53">
        <f t="shared" si="618"/>
        <v>0</v>
      </c>
      <c r="AL666" s="54">
        <f t="shared" si="619"/>
        <v>0.11904761904761904</v>
      </c>
      <c r="AM666" s="54">
        <f t="shared" si="620"/>
        <v>2.3809523809523808E-2</v>
      </c>
      <c r="AN666" s="55">
        <f t="shared" si="621"/>
        <v>0</v>
      </c>
      <c r="AO666" s="55">
        <f t="shared" si="622"/>
        <v>0</v>
      </c>
      <c r="AP666" s="53">
        <v>7.1</v>
      </c>
      <c r="AQ666" s="53">
        <f t="shared" si="591"/>
        <v>4.26</v>
      </c>
      <c r="AR666" s="53">
        <f t="shared" si="592"/>
        <v>21.299999999999997</v>
      </c>
      <c r="AS666" s="56">
        <f t="shared" si="593"/>
        <v>4.6948356807511742E-2</v>
      </c>
      <c r="AT666" s="56">
        <f t="shared" si="623"/>
        <v>0.23474178403755869</v>
      </c>
      <c r="AU666" s="56">
        <f t="shared" si="594"/>
        <v>0.176056338028169</v>
      </c>
      <c r="AV666" s="56">
        <f t="shared" si="624"/>
        <v>5.8685446009389672E-2</v>
      </c>
      <c r="AW666" s="57" t="s">
        <v>2511</v>
      </c>
      <c r="AX666" s="57" t="s">
        <v>2512</v>
      </c>
      <c r="AY666" s="57" t="s">
        <v>2513</v>
      </c>
      <c r="AZ666" s="58">
        <f t="shared" si="625"/>
        <v>0</v>
      </c>
      <c r="BA666" s="59">
        <f t="shared" si="628"/>
        <v>0</v>
      </c>
      <c r="BB666" s="59">
        <f t="shared" si="629"/>
        <v>0</v>
      </c>
      <c r="BC666" s="59">
        <f t="shared" si="630"/>
        <v>0</v>
      </c>
      <c r="BD666" s="60">
        <f t="shared" si="626"/>
        <v>0</v>
      </c>
      <c r="BE666" s="59">
        <f t="shared" si="627"/>
        <v>0</v>
      </c>
      <c r="BQ666" s="61">
        <v>3000</v>
      </c>
      <c r="BR666" s="61">
        <v>1200</v>
      </c>
      <c r="BS666" s="28">
        <f t="shared" si="595"/>
        <v>2980</v>
      </c>
      <c r="BT666" s="28">
        <f t="shared" si="596"/>
        <v>1180</v>
      </c>
      <c r="BU666" s="28" t="s">
        <v>2541</v>
      </c>
      <c r="BV666" s="28">
        <f t="shared" si="597"/>
        <v>5</v>
      </c>
      <c r="BW666" s="28">
        <f t="shared" si="598"/>
        <v>5</v>
      </c>
      <c r="BX666" s="13">
        <f t="shared" si="599"/>
        <v>596</v>
      </c>
      <c r="BY666" s="13">
        <f t="shared" si="600"/>
        <v>596</v>
      </c>
      <c r="BZ666" s="13">
        <f t="shared" si="601"/>
        <v>236</v>
      </c>
      <c r="CA666" s="13">
        <f t="shared" si="602"/>
        <v>236</v>
      </c>
      <c r="CB666" s="13">
        <f t="shared" si="603"/>
        <v>140656</v>
      </c>
      <c r="CC666" s="62" t="str">
        <f t="shared" si="604"/>
        <v/>
      </c>
      <c r="CD666" s="13">
        <f t="shared" si="605"/>
        <v>596</v>
      </c>
      <c r="CE666" s="13">
        <f t="shared" si="606"/>
        <v>596</v>
      </c>
      <c r="CF666" s="13">
        <f t="shared" si="607"/>
        <v>236</v>
      </c>
      <c r="CG666" s="13">
        <f t="shared" si="608"/>
        <v>236</v>
      </c>
      <c r="CH666" s="28">
        <f t="shared" si="609"/>
        <v>140656</v>
      </c>
      <c r="CI666" s="62" t="str">
        <f t="shared" si="610"/>
        <v/>
      </c>
      <c r="CJ666" s="59">
        <f t="shared" si="611"/>
        <v>0</v>
      </c>
      <c r="CL666" s="63">
        <v>6000</v>
      </c>
      <c r="CM666" s="63">
        <f t="shared" si="612"/>
        <v>0</v>
      </c>
      <c r="CN666" s="63">
        <f t="shared" si="613"/>
        <v>5</v>
      </c>
      <c r="CO666" s="63">
        <f t="shared" si="614"/>
        <v>1200</v>
      </c>
      <c r="CP666" s="13">
        <f t="shared" si="615"/>
        <v>1200</v>
      </c>
      <c r="CQ666" s="70">
        <f t="shared" si="616"/>
        <v>8.3333333333333339E-4</v>
      </c>
      <c r="CR666" s="69">
        <f t="shared" si="581"/>
        <v>2.5000000000000001E-3</v>
      </c>
    </row>
    <row r="667" spans="1:96" hidden="1" x14ac:dyDescent="0.25">
      <c r="A667" s="10">
        <v>3</v>
      </c>
      <c r="B667" s="8" t="s">
        <v>1606</v>
      </c>
      <c r="C667" s="10" t="s">
        <v>1607</v>
      </c>
      <c r="D667" s="10" t="s">
        <v>2270</v>
      </c>
      <c r="E667" s="10" t="s">
        <v>52</v>
      </c>
      <c r="F667" s="12">
        <f t="shared" si="585"/>
        <v>1</v>
      </c>
      <c r="G667" s="10">
        <v>1</v>
      </c>
      <c r="H667" s="10">
        <f>G667*$H$666</f>
        <v>3</v>
      </c>
      <c r="I667" s="10">
        <v>1</v>
      </c>
      <c r="J667" s="8" t="s">
        <v>512</v>
      </c>
      <c r="K667" s="8" t="s">
        <v>34</v>
      </c>
      <c r="L667" s="10">
        <v>0</v>
      </c>
      <c r="M667" s="8" t="s">
        <v>35</v>
      </c>
      <c r="N667" s="10" t="s">
        <v>1608</v>
      </c>
      <c r="O667" s="28" t="s">
        <v>41</v>
      </c>
      <c r="P667" s="28" t="s">
        <v>41</v>
      </c>
      <c r="Q667" s="28" t="s">
        <v>116</v>
      </c>
      <c r="R667" s="30">
        <v>7.0179999999999998</v>
      </c>
      <c r="S667" s="30">
        <v>6.0730000000000004</v>
      </c>
      <c r="T667" s="30"/>
      <c r="U667" s="30">
        <v>0.11799999999999999</v>
      </c>
      <c r="V667" s="8">
        <f t="shared" si="586"/>
        <v>178.25719999999998</v>
      </c>
      <c r="W667" s="8">
        <f t="shared" si="587"/>
        <v>154.2542</v>
      </c>
      <c r="X667" s="8">
        <f t="shared" si="588"/>
        <v>0</v>
      </c>
      <c r="Y667" s="33">
        <f t="shared" si="589"/>
        <v>2.9971999999999999</v>
      </c>
      <c r="Z667" s="28" t="s">
        <v>56</v>
      </c>
      <c r="AA667" s="28" t="s">
        <v>57</v>
      </c>
      <c r="AB667" s="28" t="s">
        <v>116</v>
      </c>
      <c r="AC667" s="31" t="s">
        <v>117</v>
      </c>
      <c r="AD667" s="50">
        <f t="shared" si="590"/>
        <v>3</v>
      </c>
      <c r="AE667" s="31"/>
      <c r="AF667" s="51">
        <v>14</v>
      </c>
      <c r="AG667" s="51">
        <f t="shared" si="617"/>
        <v>8.4</v>
      </c>
      <c r="AH667" s="51">
        <f t="shared" si="584"/>
        <v>42</v>
      </c>
      <c r="AI667" s="52" t="s">
        <v>2497</v>
      </c>
      <c r="AJ667" s="52" t="s">
        <v>2498</v>
      </c>
      <c r="AK667" s="53">
        <f t="shared" si="618"/>
        <v>5.4993843560479996E-2</v>
      </c>
      <c r="AL667" s="54">
        <f t="shared" si="619"/>
        <v>0.11904761904761904</v>
      </c>
      <c r="AM667" s="54">
        <f t="shared" si="620"/>
        <v>2.3809523809523808E-2</v>
      </c>
      <c r="AN667" s="55">
        <f t="shared" si="621"/>
        <v>1.9640658414457141E-2</v>
      </c>
      <c r="AO667" s="55">
        <f t="shared" si="622"/>
        <v>3.9281316828914288E-3</v>
      </c>
      <c r="AP667" s="53">
        <v>7.1</v>
      </c>
      <c r="AQ667" s="53">
        <f t="shared" si="591"/>
        <v>4.26</v>
      </c>
      <c r="AR667" s="53">
        <f t="shared" si="592"/>
        <v>21.299999999999997</v>
      </c>
      <c r="AS667" s="56">
        <f t="shared" si="593"/>
        <v>4.6948356807511742E-2</v>
      </c>
      <c r="AT667" s="56">
        <f t="shared" si="623"/>
        <v>0.23474178403755869</v>
      </c>
      <c r="AU667" s="56">
        <f t="shared" si="594"/>
        <v>0.176056338028169</v>
      </c>
      <c r="AV667" s="56">
        <f t="shared" si="624"/>
        <v>5.8685446009389672E-2</v>
      </c>
      <c r="AW667" s="57" t="s">
        <v>2511</v>
      </c>
      <c r="AX667" s="57" t="s">
        <v>2512</v>
      </c>
      <c r="AY667" s="57" t="s">
        <v>2513</v>
      </c>
      <c r="AZ667" s="58">
        <f t="shared" si="625"/>
        <v>5.4993843560479996E-2</v>
      </c>
      <c r="BA667" s="59">
        <f t="shared" si="628"/>
        <v>4.8410073556760559E-3</v>
      </c>
      <c r="BB667" s="59">
        <f t="shared" si="629"/>
        <v>1.4523022067028168E-2</v>
      </c>
      <c r="BC667" s="59">
        <f t="shared" si="630"/>
        <v>3.8728058845408451E-3</v>
      </c>
      <c r="BD667" s="60">
        <f t="shared" si="626"/>
        <v>8.9285714285714281E-3</v>
      </c>
      <c r="BE667" s="59">
        <f t="shared" si="627"/>
        <v>2.6785714285714284E-2</v>
      </c>
      <c r="BQ667" s="61">
        <v>3000</v>
      </c>
      <c r="BR667" s="61">
        <v>1200</v>
      </c>
      <c r="BS667" s="28">
        <f t="shared" si="595"/>
        <v>2980</v>
      </c>
      <c r="BT667" s="28">
        <f t="shared" si="596"/>
        <v>1180</v>
      </c>
      <c r="BU667" s="28" t="s">
        <v>2541</v>
      </c>
      <c r="BV667" s="28">
        <f t="shared" si="597"/>
        <v>183.25719999999998</v>
      </c>
      <c r="BW667" s="28">
        <f t="shared" si="598"/>
        <v>159.2542</v>
      </c>
      <c r="BX667" s="13">
        <f t="shared" si="599"/>
        <v>16.261298328251225</v>
      </c>
      <c r="BY667" s="13">
        <f t="shared" si="600"/>
        <v>16</v>
      </c>
      <c r="BZ667" s="13">
        <f t="shared" si="601"/>
        <v>7.4095377076397355</v>
      </c>
      <c r="CA667" s="13">
        <f t="shared" si="602"/>
        <v>7</v>
      </c>
      <c r="CB667" s="13">
        <f t="shared" si="603"/>
        <v>112</v>
      </c>
      <c r="CC667" s="62">
        <f t="shared" si="604"/>
        <v>8.9285714285714281E-3</v>
      </c>
      <c r="CD667" s="13">
        <f t="shared" si="605"/>
        <v>18.712222346412215</v>
      </c>
      <c r="CE667" s="13">
        <f t="shared" si="606"/>
        <v>18</v>
      </c>
      <c r="CF667" s="13">
        <f t="shared" si="607"/>
        <v>6.4390375930659207</v>
      </c>
      <c r="CG667" s="13">
        <f t="shared" si="608"/>
        <v>6</v>
      </c>
      <c r="CH667" s="28">
        <f t="shared" si="609"/>
        <v>108</v>
      </c>
      <c r="CI667" s="62">
        <f t="shared" si="610"/>
        <v>9.2592592592592587E-3</v>
      </c>
      <c r="CJ667" s="59">
        <f t="shared" si="611"/>
        <v>8.9285714285714281E-3</v>
      </c>
      <c r="CL667" s="63">
        <v>6000</v>
      </c>
      <c r="CM667" s="63">
        <f t="shared" si="612"/>
        <v>178.25719999999998</v>
      </c>
      <c r="CN667" s="63">
        <f t="shared" si="613"/>
        <v>183.25719999999998</v>
      </c>
      <c r="CO667" s="63">
        <f t="shared" si="614"/>
        <v>32.740869117284348</v>
      </c>
      <c r="CP667" s="13">
        <f t="shared" si="615"/>
        <v>32</v>
      </c>
      <c r="CQ667" s="70">
        <f t="shared" si="616"/>
        <v>3.125E-2</v>
      </c>
      <c r="CR667" s="69">
        <f t="shared" si="581"/>
        <v>9.375E-2</v>
      </c>
    </row>
    <row r="668" spans="1:96" hidden="1" x14ac:dyDescent="0.25">
      <c r="A668" s="10">
        <v>3</v>
      </c>
      <c r="B668" s="8" t="s">
        <v>1606</v>
      </c>
      <c r="C668" s="10" t="s">
        <v>279</v>
      </c>
      <c r="D668" s="10" t="s">
        <v>281</v>
      </c>
      <c r="E668" s="10" t="s">
        <v>52</v>
      </c>
      <c r="F668" s="12">
        <f t="shared" si="585"/>
        <v>12</v>
      </c>
      <c r="G668" s="10">
        <v>1</v>
      </c>
      <c r="H668" s="10">
        <f>G668*$H$666</f>
        <v>3</v>
      </c>
      <c r="I668" s="10">
        <v>2</v>
      </c>
      <c r="J668" s="8" t="s">
        <v>280</v>
      </c>
      <c r="K668" s="8" t="s">
        <v>34</v>
      </c>
      <c r="L668" s="10">
        <v>0</v>
      </c>
      <c r="M668" s="8" t="s">
        <v>35</v>
      </c>
      <c r="N668" s="10" t="s">
        <v>281</v>
      </c>
      <c r="O668" s="28" t="s">
        <v>41</v>
      </c>
      <c r="P668" s="28" t="s">
        <v>41</v>
      </c>
      <c r="Q668" s="28" t="s">
        <v>281</v>
      </c>
      <c r="R668" s="30"/>
      <c r="S668" s="30"/>
      <c r="T668" s="30"/>
      <c r="U668" s="30"/>
      <c r="V668" s="8">
        <f t="shared" si="586"/>
        <v>0</v>
      </c>
      <c r="W668" s="8">
        <f t="shared" si="587"/>
        <v>0</v>
      </c>
      <c r="X668" s="8">
        <f t="shared" si="588"/>
        <v>0</v>
      </c>
      <c r="Y668" s="33">
        <f t="shared" si="589"/>
        <v>0</v>
      </c>
      <c r="Z668" s="28"/>
      <c r="AA668" s="28"/>
      <c r="AB668" s="61" t="s">
        <v>281</v>
      </c>
      <c r="AC668" s="31" t="s">
        <v>282</v>
      </c>
      <c r="AD668" s="50">
        <f t="shared" si="590"/>
        <v>3</v>
      </c>
      <c r="AE668" s="31"/>
      <c r="AF668" s="51">
        <v>14</v>
      </c>
      <c r="AG668" s="51">
        <f t="shared" si="617"/>
        <v>8.4</v>
      </c>
      <c r="AH668" s="51">
        <f t="shared" si="584"/>
        <v>42</v>
      </c>
      <c r="AI668" s="52" t="s">
        <v>2497</v>
      </c>
      <c r="AJ668" s="52" t="s">
        <v>2498</v>
      </c>
      <c r="AK668" s="53">
        <f t="shared" si="618"/>
        <v>0</v>
      </c>
      <c r="AL668" s="54">
        <f t="shared" si="619"/>
        <v>0.11904761904761904</v>
      </c>
      <c r="AM668" s="54">
        <f t="shared" si="620"/>
        <v>2.3809523809523808E-2</v>
      </c>
      <c r="AN668" s="55">
        <f t="shared" si="621"/>
        <v>0</v>
      </c>
      <c r="AO668" s="55">
        <f t="shared" si="622"/>
        <v>0</v>
      </c>
      <c r="AP668" s="53">
        <v>7.1</v>
      </c>
      <c r="AQ668" s="53">
        <f t="shared" si="591"/>
        <v>4.26</v>
      </c>
      <c r="AR668" s="53">
        <f t="shared" si="592"/>
        <v>21.299999999999997</v>
      </c>
      <c r="AS668" s="56">
        <f t="shared" si="593"/>
        <v>4.6948356807511742E-2</v>
      </c>
      <c r="AT668" s="56">
        <f t="shared" si="623"/>
        <v>0.23474178403755869</v>
      </c>
      <c r="AU668" s="56">
        <f t="shared" si="594"/>
        <v>0.176056338028169</v>
      </c>
      <c r="AV668" s="56">
        <f t="shared" si="624"/>
        <v>5.8685446009389672E-2</v>
      </c>
      <c r="AW668" s="57" t="s">
        <v>2511</v>
      </c>
      <c r="AX668" s="57" t="s">
        <v>2512</v>
      </c>
      <c r="AY668" s="57" t="s">
        <v>2513</v>
      </c>
      <c r="AZ668" s="58">
        <f t="shared" si="625"/>
        <v>0</v>
      </c>
      <c r="BA668" s="59">
        <f t="shared" si="628"/>
        <v>0</v>
      </c>
      <c r="BB668" s="59">
        <f t="shared" si="629"/>
        <v>0</v>
      </c>
      <c r="BC668" s="59">
        <f t="shared" si="630"/>
        <v>0</v>
      </c>
      <c r="BD668" s="60">
        <f t="shared" si="626"/>
        <v>7.1095438516664771E-6</v>
      </c>
      <c r="BE668" s="59">
        <f t="shared" si="627"/>
        <v>2.1328631554999432E-5</v>
      </c>
      <c r="BQ668" s="61">
        <v>3000</v>
      </c>
      <c r="BR668" s="61">
        <v>1200</v>
      </c>
      <c r="BS668" s="28">
        <f t="shared" si="595"/>
        <v>2980</v>
      </c>
      <c r="BT668" s="28">
        <f t="shared" si="596"/>
        <v>1180</v>
      </c>
      <c r="BU668" s="28" t="s">
        <v>2541</v>
      </c>
      <c r="BV668" s="28">
        <f t="shared" si="597"/>
        <v>5</v>
      </c>
      <c r="BW668" s="28">
        <f t="shared" si="598"/>
        <v>5</v>
      </c>
      <c r="BX668" s="13">
        <f t="shared" si="599"/>
        <v>596</v>
      </c>
      <c r="BY668" s="13">
        <f t="shared" si="600"/>
        <v>596</v>
      </c>
      <c r="BZ668" s="13">
        <f t="shared" si="601"/>
        <v>236</v>
      </c>
      <c r="CA668" s="13">
        <f t="shared" si="602"/>
        <v>236</v>
      </c>
      <c r="CB668" s="13">
        <f t="shared" si="603"/>
        <v>140656</v>
      </c>
      <c r="CC668" s="62">
        <f t="shared" si="604"/>
        <v>7.1095438516664771E-6</v>
      </c>
      <c r="CD668" s="13">
        <f t="shared" si="605"/>
        <v>596</v>
      </c>
      <c r="CE668" s="13">
        <f t="shared" si="606"/>
        <v>596</v>
      </c>
      <c r="CF668" s="13">
        <f t="shared" si="607"/>
        <v>236</v>
      </c>
      <c r="CG668" s="13">
        <f t="shared" si="608"/>
        <v>236</v>
      </c>
      <c r="CH668" s="28">
        <f t="shared" si="609"/>
        <v>140656</v>
      </c>
      <c r="CI668" s="62">
        <f t="shared" si="610"/>
        <v>7.1095438516664771E-6</v>
      </c>
      <c r="CJ668" s="59">
        <f t="shared" si="611"/>
        <v>7.1095438516664771E-6</v>
      </c>
      <c r="CL668" s="63">
        <v>6000</v>
      </c>
      <c r="CM668" s="63">
        <f t="shared" si="612"/>
        <v>0</v>
      </c>
      <c r="CN668" s="63">
        <f t="shared" si="613"/>
        <v>5</v>
      </c>
      <c r="CO668" s="63">
        <f t="shared" si="614"/>
        <v>1200</v>
      </c>
      <c r="CP668" s="13">
        <f t="shared" si="615"/>
        <v>1200</v>
      </c>
      <c r="CQ668" s="70">
        <f t="shared" si="616"/>
        <v>8.3333333333333339E-4</v>
      </c>
      <c r="CR668" s="69">
        <f t="shared" si="581"/>
        <v>2.5000000000000001E-3</v>
      </c>
    </row>
    <row r="669" spans="1:96" hidden="1" x14ac:dyDescent="0.25">
      <c r="A669" s="36">
        <v>2</v>
      </c>
      <c r="B669" s="37" t="s">
        <v>37</v>
      </c>
      <c r="C669" s="36" t="s">
        <v>1609</v>
      </c>
      <c r="D669" s="36" t="s">
        <v>2270</v>
      </c>
      <c r="E669" s="36" t="s">
        <v>52</v>
      </c>
      <c r="F669" s="38">
        <f t="shared" si="585"/>
        <v>1</v>
      </c>
      <c r="G669" s="36">
        <v>2</v>
      </c>
      <c r="H669" s="36">
        <f t="shared" ref="H669" si="634">G669*$H$3</f>
        <v>2</v>
      </c>
      <c r="I669" s="36">
        <v>186</v>
      </c>
      <c r="J669" s="37" t="s">
        <v>380</v>
      </c>
      <c r="K669" s="37" t="s">
        <v>34</v>
      </c>
      <c r="L669" s="36">
        <v>0</v>
      </c>
      <c r="M669" s="37" t="s">
        <v>35</v>
      </c>
      <c r="N669" s="36" t="s">
        <v>1610</v>
      </c>
      <c r="O669" s="28" t="s">
        <v>41</v>
      </c>
      <c r="P669" s="28" t="s">
        <v>41</v>
      </c>
      <c r="Q669" s="28" t="s">
        <v>116</v>
      </c>
      <c r="R669" s="30">
        <v>17.37</v>
      </c>
      <c r="S669" s="30">
        <v>4.5</v>
      </c>
      <c r="T669" s="30"/>
      <c r="U669" s="30">
        <v>0.11799999999999999</v>
      </c>
      <c r="V669" s="8">
        <f t="shared" si="586"/>
        <v>441.19799999999998</v>
      </c>
      <c r="W669" s="8">
        <f t="shared" si="587"/>
        <v>114.3</v>
      </c>
      <c r="X669" s="8">
        <f t="shared" si="588"/>
        <v>0</v>
      </c>
      <c r="Y669" s="33">
        <f t="shared" si="589"/>
        <v>2.9971999999999999</v>
      </c>
      <c r="Z669" s="28" t="s">
        <v>56</v>
      </c>
      <c r="AA669" s="28" t="s">
        <v>57</v>
      </c>
      <c r="AB669" s="28" t="s">
        <v>116</v>
      </c>
      <c r="AC669" s="31" t="s">
        <v>117</v>
      </c>
      <c r="AD669" s="50">
        <f t="shared" si="590"/>
        <v>2</v>
      </c>
      <c r="AE669" s="31"/>
      <c r="AF669" s="51">
        <v>14</v>
      </c>
      <c r="AG669" s="51">
        <f t="shared" si="617"/>
        <v>8.4</v>
      </c>
      <c r="AH669" s="51">
        <f t="shared" si="584"/>
        <v>42</v>
      </c>
      <c r="AI669" s="52" t="s">
        <v>2497</v>
      </c>
      <c r="AJ669" s="52" t="s">
        <v>2498</v>
      </c>
      <c r="AK669" s="53">
        <f t="shared" si="618"/>
        <v>0.10085786279999999</v>
      </c>
      <c r="AL669" s="54">
        <f t="shared" si="619"/>
        <v>0.11904761904761904</v>
      </c>
      <c r="AM669" s="54">
        <f t="shared" si="620"/>
        <v>2.3809523809523808E-2</v>
      </c>
      <c r="AN669" s="55">
        <f t="shared" si="621"/>
        <v>2.4013776857142854E-2</v>
      </c>
      <c r="AO669" s="55">
        <f t="shared" si="622"/>
        <v>4.8027553714285708E-3</v>
      </c>
      <c r="AP669" s="53">
        <v>7.1</v>
      </c>
      <c r="AQ669" s="53">
        <f t="shared" si="591"/>
        <v>4.26</v>
      </c>
      <c r="AR669" s="53">
        <f t="shared" si="592"/>
        <v>21.299999999999997</v>
      </c>
      <c r="AS669" s="56">
        <f t="shared" si="593"/>
        <v>4.6948356807511742E-2</v>
      </c>
      <c r="AT669" s="56">
        <f t="shared" si="623"/>
        <v>0.23474178403755869</v>
      </c>
      <c r="AU669" s="56">
        <f t="shared" si="594"/>
        <v>0.176056338028169</v>
      </c>
      <c r="AV669" s="56">
        <f t="shared" si="624"/>
        <v>5.8685446009389672E-2</v>
      </c>
      <c r="AW669" s="57" t="s">
        <v>2511</v>
      </c>
      <c r="AX669" s="57" t="s">
        <v>2512</v>
      </c>
      <c r="AY669" s="57" t="s">
        <v>2513</v>
      </c>
      <c r="AZ669" s="58">
        <f t="shared" si="625"/>
        <v>0.10085786279999999</v>
      </c>
      <c r="BA669" s="59">
        <f t="shared" si="628"/>
        <v>5.9188886619718304E-3</v>
      </c>
      <c r="BB669" s="59">
        <f t="shared" si="629"/>
        <v>1.7756665985915489E-2</v>
      </c>
      <c r="BC669" s="59">
        <f t="shared" si="630"/>
        <v>4.7351109295774643E-3</v>
      </c>
      <c r="BD669" s="60">
        <f t="shared" si="626"/>
        <v>1.8518518518518517E-2</v>
      </c>
      <c r="BE669" s="59">
        <f t="shared" si="627"/>
        <v>3.7037037037037035E-2</v>
      </c>
      <c r="BQ669" s="61">
        <v>3000</v>
      </c>
      <c r="BR669" s="61">
        <v>1200</v>
      </c>
      <c r="BS669" s="28">
        <f t="shared" si="595"/>
        <v>2980</v>
      </c>
      <c r="BT669" s="28">
        <f t="shared" si="596"/>
        <v>1180</v>
      </c>
      <c r="BU669" s="28" t="s">
        <v>2541</v>
      </c>
      <c r="BV669" s="28">
        <f t="shared" si="597"/>
        <v>446.19799999999998</v>
      </c>
      <c r="BW669" s="28">
        <f t="shared" si="598"/>
        <v>119.3</v>
      </c>
      <c r="BX669" s="13">
        <f t="shared" si="599"/>
        <v>6.6786493888363463</v>
      </c>
      <c r="BY669" s="13">
        <f t="shared" si="600"/>
        <v>6</v>
      </c>
      <c r="BZ669" s="13">
        <f t="shared" si="601"/>
        <v>9.8910310142497906</v>
      </c>
      <c r="CA669" s="13">
        <f t="shared" si="602"/>
        <v>9</v>
      </c>
      <c r="CB669" s="13">
        <f t="shared" si="603"/>
        <v>54</v>
      </c>
      <c r="CC669" s="62">
        <f t="shared" si="604"/>
        <v>1.8518518518518517E-2</v>
      </c>
      <c r="CD669" s="13">
        <f t="shared" si="605"/>
        <v>24.979044425817268</v>
      </c>
      <c r="CE669" s="13">
        <f t="shared" si="606"/>
        <v>24</v>
      </c>
      <c r="CF669" s="13">
        <f t="shared" si="607"/>
        <v>2.6445658653781505</v>
      </c>
      <c r="CG669" s="13">
        <f t="shared" si="608"/>
        <v>2</v>
      </c>
      <c r="CH669" s="28">
        <f t="shared" si="609"/>
        <v>48</v>
      </c>
      <c r="CI669" s="62">
        <f t="shared" si="610"/>
        <v>2.0833333333333332E-2</v>
      </c>
      <c r="CJ669" s="59">
        <f t="shared" si="611"/>
        <v>1.8518518518518517E-2</v>
      </c>
      <c r="CL669" s="63">
        <v>6000</v>
      </c>
      <c r="CM669" s="63">
        <f t="shared" si="612"/>
        <v>441.19799999999998</v>
      </c>
      <c r="CN669" s="63">
        <f t="shared" si="613"/>
        <v>446.19799999999998</v>
      </c>
      <c r="CO669" s="63">
        <f t="shared" si="614"/>
        <v>13.446945078193986</v>
      </c>
      <c r="CP669" s="13">
        <f t="shared" si="615"/>
        <v>13</v>
      </c>
      <c r="CQ669" s="70">
        <f t="shared" si="616"/>
        <v>7.6923076923076927E-2</v>
      </c>
      <c r="CR669" s="69">
        <f t="shared" si="581"/>
        <v>0.15384615384615385</v>
      </c>
    </row>
    <row r="670" spans="1:96" hidden="1" x14ac:dyDescent="0.25">
      <c r="A670" s="36">
        <v>2</v>
      </c>
      <c r="B670" s="37" t="s">
        <v>37</v>
      </c>
      <c r="C670" s="36" t="s">
        <v>1611</v>
      </c>
      <c r="D670" s="36" t="s">
        <v>2270</v>
      </c>
      <c r="E670" s="36" t="s">
        <v>32</v>
      </c>
      <c r="F670" s="38">
        <f t="shared" si="585"/>
        <v>1</v>
      </c>
      <c r="G670" s="36" t="s">
        <v>337</v>
      </c>
      <c r="H670" s="36" t="str">
        <f>G670</f>
        <v>A/R</v>
      </c>
      <c r="I670" s="36">
        <v>189</v>
      </c>
      <c r="J670" s="37" t="s">
        <v>1612</v>
      </c>
      <c r="K670" s="37" t="s">
        <v>34</v>
      </c>
      <c r="L670" s="36">
        <v>0</v>
      </c>
      <c r="M670" s="37" t="s">
        <v>35</v>
      </c>
      <c r="N670" s="36" t="s">
        <v>1613</v>
      </c>
      <c r="O670" s="28" t="s">
        <v>41</v>
      </c>
      <c r="P670" s="28" t="s">
        <v>41</v>
      </c>
      <c r="Q670" s="28"/>
      <c r="R670" s="30"/>
      <c r="S670" s="30"/>
      <c r="T670" s="30"/>
      <c r="U670" s="30"/>
      <c r="V670" s="8">
        <f t="shared" si="586"/>
        <v>0</v>
      </c>
      <c r="W670" s="8">
        <f t="shared" si="587"/>
        <v>0</v>
      </c>
      <c r="X670" s="8">
        <f t="shared" si="588"/>
        <v>0</v>
      </c>
      <c r="Y670" s="33">
        <f t="shared" si="589"/>
        <v>0</v>
      </c>
      <c r="Z670" s="28"/>
      <c r="AA670" s="28"/>
      <c r="AB670" s="61" t="s">
        <v>1618</v>
      </c>
      <c r="AC670" s="31" t="s">
        <v>1619</v>
      </c>
      <c r="AD670" s="50">
        <v>0.01</v>
      </c>
      <c r="AE670" s="47" t="s">
        <v>1614</v>
      </c>
      <c r="AF670" s="51">
        <v>14</v>
      </c>
      <c r="AG670" s="51">
        <f t="shared" si="617"/>
        <v>8.4</v>
      </c>
      <c r="AH670" s="51">
        <f t="shared" si="584"/>
        <v>42</v>
      </c>
      <c r="AI670" s="52" t="s">
        <v>2497</v>
      </c>
      <c r="AJ670" s="52" t="s">
        <v>2498</v>
      </c>
      <c r="AK670" s="53">
        <f t="shared" si="618"/>
        <v>0</v>
      </c>
      <c r="AL670" s="54">
        <f t="shared" si="619"/>
        <v>0.11904761904761904</v>
      </c>
      <c r="AM670" s="54">
        <f t="shared" si="620"/>
        <v>2.3809523809523808E-2</v>
      </c>
      <c r="AN670" s="55">
        <f t="shared" si="621"/>
        <v>0</v>
      </c>
      <c r="AO670" s="55">
        <f t="shared" si="622"/>
        <v>0</v>
      </c>
      <c r="AP670" s="53">
        <v>7.1</v>
      </c>
      <c r="AQ670" s="53">
        <f t="shared" si="591"/>
        <v>4.26</v>
      </c>
      <c r="AR670" s="53">
        <f t="shared" si="592"/>
        <v>21.299999999999997</v>
      </c>
      <c r="AS670" s="56">
        <f t="shared" si="593"/>
        <v>4.6948356807511742E-2</v>
      </c>
      <c r="AT670" s="56">
        <f t="shared" si="623"/>
        <v>0.23474178403755869</v>
      </c>
      <c r="AU670" s="56">
        <f t="shared" si="594"/>
        <v>0.176056338028169</v>
      </c>
      <c r="AV670" s="56">
        <f t="shared" si="624"/>
        <v>5.8685446009389672E-2</v>
      </c>
      <c r="AW670" s="57" t="s">
        <v>2511</v>
      </c>
      <c r="AX670" s="57" t="s">
        <v>2512</v>
      </c>
      <c r="AY670" s="57" t="s">
        <v>2513</v>
      </c>
      <c r="AZ670" s="58">
        <f t="shared" si="625"/>
        <v>0</v>
      </c>
      <c r="BA670" s="59">
        <f t="shared" si="628"/>
        <v>0</v>
      </c>
      <c r="BB670" s="59">
        <f t="shared" si="629"/>
        <v>0</v>
      </c>
      <c r="BC670" s="59">
        <f t="shared" si="630"/>
        <v>0</v>
      </c>
      <c r="BD670" s="60">
        <f t="shared" si="626"/>
        <v>0</v>
      </c>
      <c r="BE670" s="59">
        <f t="shared" si="627"/>
        <v>0</v>
      </c>
      <c r="BQ670" s="61">
        <v>3000</v>
      </c>
      <c r="BR670" s="61">
        <v>1200</v>
      </c>
      <c r="BS670" s="28">
        <f t="shared" si="595"/>
        <v>2980</v>
      </c>
      <c r="BT670" s="28">
        <f t="shared" si="596"/>
        <v>1180</v>
      </c>
      <c r="BU670" s="28" t="s">
        <v>2541</v>
      </c>
      <c r="BV670" s="28">
        <f t="shared" si="597"/>
        <v>5</v>
      </c>
      <c r="BW670" s="28">
        <f t="shared" si="598"/>
        <v>5</v>
      </c>
      <c r="BX670" s="13">
        <f t="shared" si="599"/>
        <v>596</v>
      </c>
      <c r="BY670" s="13">
        <f t="shared" si="600"/>
        <v>596</v>
      </c>
      <c r="BZ670" s="13">
        <f t="shared" si="601"/>
        <v>236</v>
      </c>
      <c r="CA670" s="13">
        <f t="shared" si="602"/>
        <v>236</v>
      </c>
      <c r="CB670" s="13">
        <f t="shared" si="603"/>
        <v>140656</v>
      </c>
      <c r="CC670" s="62" t="str">
        <f t="shared" si="604"/>
        <v/>
      </c>
      <c r="CD670" s="13">
        <f t="shared" si="605"/>
        <v>596</v>
      </c>
      <c r="CE670" s="13">
        <f t="shared" si="606"/>
        <v>596</v>
      </c>
      <c r="CF670" s="13">
        <f t="shared" si="607"/>
        <v>236</v>
      </c>
      <c r="CG670" s="13">
        <f t="shared" si="608"/>
        <v>236</v>
      </c>
      <c r="CH670" s="28">
        <f t="shared" si="609"/>
        <v>140656</v>
      </c>
      <c r="CI670" s="62" t="str">
        <f t="shared" si="610"/>
        <v/>
      </c>
      <c r="CJ670" s="59">
        <f t="shared" si="611"/>
        <v>0</v>
      </c>
      <c r="CL670" s="63">
        <v>6000</v>
      </c>
      <c r="CM670" s="63">
        <f t="shared" si="612"/>
        <v>0</v>
      </c>
      <c r="CN670" s="63">
        <f t="shared" si="613"/>
        <v>5</v>
      </c>
      <c r="CO670" s="63">
        <f t="shared" si="614"/>
        <v>1200</v>
      </c>
      <c r="CP670" s="13">
        <f t="shared" si="615"/>
        <v>1200</v>
      </c>
      <c r="CQ670" s="70">
        <f t="shared" si="616"/>
        <v>8.3333333333333339E-4</v>
      </c>
      <c r="CR670" s="69">
        <f t="shared" si="581"/>
        <v>8.3333333333333337E-6</v>
      </c>
    </row>
    <row r="671" spans="1:96" hidden="1" x14ac:dyDescent="0.25">
      <c r="A671" s="10">
        <v>3</v>
      </c>
      <c r="B671" s="8" t="s">
        <v>1615</v>
      </c>
      <c r="C671" s="10" t="s">
        <v>1616</v>
      </c>
      <c r="D671" s="10" t="s">
        <v>2270</v>
      </c>
      <c r="E671" s="10" t="s">
        <v>52</v>
      </c>
      <c r="F671" s="12">
        <f t="shared" si="585"/>
        <v>1</v>
      </c>
      <c r="G671" s="10" t="s">
        <v>337</v>
      </c>
      <c r="H671" s="10" t="str">
        <f>G671</f>
        <v>A/R</v>
      </c>
      <c r="I671" s="10">
        <v>1</v>
      </c>
      <c r="J671" s="8" t="s">
        <v>549</v>
      </c>
      <c r="K671" s="8" t="s">
        <v>34</v>
      </c>
      <c r="L671" s="10">
        <v>0</v>
      </c>
      <c r="M671" s="8" t="s">
        <v>35</v>
      </c>
      <c r="N671" s="10" t="s">
        <v>1617</v>
      </c>
      <c r="O671" s="28" t="s">
        <v>41</v>
      </c>
      <c r="P671" s="28" t="s">
        <v>41</v>
      </c>
      <c r="Q671" s="28" t="s">
        <v>1618</v>
      </c>
      <c r="R671" s="30">
        <v>7</v>
      </c>
      <c r="S671" s="30">
        <v>6</v>
      </c>
      <c r="T671" s="30"/>
      <c r="U671" s="30">
        <v>0.629</v>
      </c>
      <c r="V671" s="8">
        <f t="shared" si="586"/>
        <v>177.79999999999998</v>
      </c>
      <c r="W671" s="8">
        <f t="shared" si="587"/>
        <v>152.39999999999998</v>
      </c>
      <c r="X671" s="8">
        <f t="shared" si="588"/>
        <v>0</v>
      </c>
      <c r="Y671" s="33">
        <f t="shared" si="589"/>
        <v>15.976599999999999</v>
      </c>
      <c r="Z671" s="28" t="s">
        <v>646</v>
      </c>
      <c r="AA671" s="28" t="s">
        <v>173</v>
      </c>
      <c r="AB671" s="61" t="s">
        <v>1618</v>
      </c>
      <c r="AC671" s="31" t="s">
        <v>1619</v>
      </c>
      <c r="AD671" s="50">
        <v>0.01</v>
      </c>
      <c r="AE671" s="47" t="s">
        <v>1620</v>
      </c>
      <c r="AF671" s="51">
        <v>14</v>
      </c>
      <c r="AG671" s="51">
        <f t="shared" si="617"/>
        <v>8.4</v>
      </c>
      <c r="AH671" s="51">
        <f t="shared" si="584"/>
        <v>42</v>
      </c>
      <c r="AI671" s="52" t="s">
        <v>2497</v>
      </c>
      <c r="AJ671" s="52" t="s">
        <v>2498</v>
      </c>
      <c r="AK671" s="53">
        <f t="shared" si="618"/>
        <v>5.4193439999999989E-2</v>
      </c>
      <c r="AL671" s="54">
        <f t="shared" si="619"/>
        <v>0.11904761904761904</v>
      </c>
      <c r="AM671" s="54">
        <f t="shared" si="620"/>
        <v>2.3809523809523808E-2</v>
      </c>
      <c r="AN671" s="55">
        <f t="shared" si="621"/>
        <v>6.451599999999999E-5</v>
      </c>
      <c r="AO671" s="55">
        <f t="shared" si="622"/>
        <v>1.2903199999999997E-5</v>
      </c>
      <c r="AP671" s="53">
        <v>7.1</v>
      </c>
      <c r="AQ671" s="53">
        <f t="shared" si="591"/>
        <v>4.26</v>
      </c>
      <c r="AR671" s="53">
        <f t="shared" si="592"/>
        <v>21.299999999999997</v>
      </c>
      <c r="AS671" s="56">
        <f t="shared" si="593"/>
        <v>4.6948356807511742E-2</v>
      </c>
      <c r="AT671" s="56">
        <f t="shared" si="623"/>
        <v>0.23474178403755869</v>
      </c>
      <c r="AU671" s="56">
        <f t="shared" si="594"/>
        <v>0.176056338028169</v>
      </c>
      <c r="AV671" s="56">
        <f t="shared" si="624"/>
        <v>5.8685446009389672E-2</v>
      </c>
      <c r="AW671" s="57" t="s">
        <v>2511</v>
      </c>
      <c r="AX671" s="57" t="s">
        <v>2512</v>
      </c>
      <c r="AY671" s="57" t="s">
        <v>2513</v>
      </c>
      <c r="AZ671" s="58">
        <f t="shared" si="625"/>
        <v>5.4193439999999989E-2</v>
      </c>
      <c r="BA671" s="59">
        <f t="shared" si="628"/>
        <v>1.5901830985915491E-5</v>
      </c>
      <c r="BB671" s="59">
        <f t="shared" si="629"/>
        <v>4.7705492957746466E-5</v>
      </c>
      <c r="BC671" s="59">
        <f t="shared" si="630"/>
        <v>1.2721464788732393E-5</v>
      </c>
      <c r="BD671" s="60">
        <f t="shared" si="626"/>
        <v>8.9285714285714281E-3</v>
      </c>
      <c r="BE671" s="59">
        <f t="shared" si="627"/>
        <v>8.9285714285714286E-5</v>
      </c>
      <c r="BQ671" s="61">
        <v>3000</v>
      </c>
      <c r="BR671" s="61">
        <v>1200</v>
      </c>
      <c r="BS671" s="28">
        <f t="shared" si="595"/>
        <v>2980</v>
      </c>
      <c r="BT671" s="28">
        <f t="shared" si="596"/>
        <v>1180</v>
      </c>
      <c r="BU671" s="28" t="s">
        <v>2541</v>
      </c>
      <c r="BV671" s="28">
        <f t="shared" si="597"/>
        <v>182.79999999999998</v>
      </c>
      <c r="BW671" s="28">
        <f t="shared" si="598"/>
        <v>157.39999999999998</v>
      </c>
      <c r="BX671" s="13">
        <f t="shared" si="599"/>
        <v>16.301969365426697</v>
      </c>
      <c r="BY671" s="13">
        <f t="shared" si="600"/>
        <v>16</v>
      </c>
      <c r="BZ671" s="13">
        <f t="shared" si="601"/>
        <v>7.4968233799237618</v>
      </c>
      <c r="CA671" s="13">
        <f t="shared" si="602"/>
        <v>7</v>
      </c>
      <c r="CB671" s="13">
        <f t="shared" si="603"/>
        <v>112</v>
      </c>
      <c r="CC671" s="62">
        <f t="shared" si="604"/>
        <v>8.9285714285714281E-3</v>
      </c>
      <c r="CD671" s="13">
        <f t="shared" si="605"/>
        <v>18.932655654383737</v>
      </c>
      <c r="CE671" s="13">
        <f t="shared" si="606"/>
        <v>18</v>
      </c>
      <c r="CF671" s="13">
        <f t="shared" si="607"/>
        <v>6.4551422319474838</v>
      </c>
      <c r="CG671" s="13">
        <f t="shared" si="608"/>
        <v>6</v>
      </c>
      <c r="CH671" s="28">
        <f t="shared" si="609"/>
        <v>108</v>
      </c>
      <c r="CI671" s="62">
        <f t="shared" si="610"/>
        <v>9.2592592592592587E-3</v>
      </c>
      <c r="CJ671" s="59">
        <f t="shared" si="611"/>
        <v>8.9285714285714281E-3</v>
      </c>
      <c r="CL671" s="63">
        <v>6000</v>
      </c>
      <c r="CM671" s="63">
        <f t="shared" si="612"/>
        <v>177.79999999999998</v>
      </c>
      <c r="CN671" s="63">
        <f t="shared" si="613"/>
        <v>182.79999999999998</v>
      </c>
      <c r="CO671" s="63">
        <f t="shared" si="614"/>
        <v>32.822757111597376</v>
      </c>
      <c r="CP671" s="13">
        <f t="shared" si="615"/>
        <v>32</v>
      </c>
      <c r="CQ671" s="70">
        <f t="shared" si="616"/>
        <v>3.125E-2</v>
      </c>
      <c r="CR671" s="69">
        <f t="shared" si="581"/>
        <v>3.1250000000000001E-4</v>
      </c>
    </row>
    <row r="672" spans="1:96" hidden="1" x14ac:dyDescent="0.25">
      <c r="A672" s="10">
        <v>3</v>
      </c>
      <c r="B672" s="8" t="s">
        <v>1615</v>
      </c>
      <c r="C672" s="10" t="s">
        <v>1621</v>
      </c>
      <c r="D672" s="10" t="s">
        <v>2270</v>
      </c>
      <c r="E672" s="10" t="s">
        <v>52</v>
      </c>
      <c r="F672" s="12">
        <f t="shared" si="585"/>
        <v>1</v>
      </c>
      <c r="G672" s="10" t="s">
        <v>337</v>
      </c>
      <c r="H672" s="10" t="str">
        <f>G672</f>
        <v>A/R</v>
      </c>
      <c r="I672" s="10">
        <v>2</v>
      </c>
      <c r="J672" s="8" t="s">
        <v>728</v>
      </c>
      <c r="K672" s="8" t="s">
        <v>34</v>
      </c>
      <c r="L672" s="10">
        <v>0</v>
      </c>
      <c r="M672" s="8" t="s">
        <v>35</v>
      </c>
      <c r="N672" s="10" t="s">
        <v>1622</v>
      </c>
      <c r="O672" s="28" t="s">
        <v>41</v>
      </c>
      <c r="P672" s="28" t="s">
        <v>41</v>
      </c>
      <c r="Q672" s="28" t="s">
        <v>1618</v>
      </c>
      <c r="R672" s="30">
        <v>2.75</v>
      </c>
      <c r="S672" s="30">
        <v>2.12</v>
      </c>
      <c r="T672" s="30"/>
      <c r="U672" s="30">
        <v>0.629</v>
      </c>
      <c r="V672" s="8">
        <f t="shared" si="586"/>
        <v>69.849999999999994</v>
      </c>
      <c r="W672" s="8">
        <f t="shared" si="587"/>
        <v>53.847999999999999</v>
      </c>
      <c r="X672" s="8">
        <f t="shared" si="588"/>
        <v>0</v>
      </c>
      <c r="Y672" s="33">
        <f t="shared" si="589"/>
        <v>15.976599999999999</v>
      </c>
      <c r="Z672" s="28" t="s">
        <v>1060</v>
      </c>
      <c r="AA672" s="28" t="s">
        <v>173</v>
      </c>
      <c r="AB672" s="61" t="s">
        <v>1618</v>
      </c>
      <c r="AC672" s="31" t="s">
        <v>1619</v>
      </c>
      <c r="AD672" s="50">
        <v>0.01</v>
      </c>
      <c r="AE672" s="47" t="s">
        <v>1620</v>
      </c>
      <c r="AF672" s="51">
        <v>14</v>
      </c>
      <c r="AG672" s="51">
        <f t="shared" si="617"/>
        <v>8.4</v>
      </c>
      <c r="AH672" s="51">
        <f t="shared" si="584"/>
        <v>42</v>
      </c>
      <c r="AI672" s="52" t="s">
        <v>2497</v>
      </c>
      <c r="AJ672" s="52" t="s">
        <v>2498</v>
      </c>
      <c r="AK672" s="53">
        <f t="shared" si="618"/>
        <v>7.5225655999999986E-3</v>
      </c>
      <c r="AL672" s="54">
        <f t="shared" si="619"/>
        <v>0.11904761904761904</v>
      </c>
      <c r="AM672" s="54">
        <f t="shared" si="620"/>
        <v>2.3809523809523808E-2</v>
      </c>
      <c r="AN672" s="55">
        <f t="shared" si="621"/>
        <v>8.9554352380952353E-6</v>
      </c>
      <c r="AO672" s="55">
        <f t="shared" si="622"/>
        <v>1.7910870476190471E-6</v>
      </c>
      <c r="AP672" s="53">
        <v>7.1</v>
      </c>
      <c r="AQ672" s="53">
        <f t="shared" si="591"/>
        <v>4.26</v>
      </c>
      <c r="AR672" s="53">
        <f t="shared" si="592"/>
        <v>21.299999999999997</v>
      </c>
      <c r="AS672" s="56">
        <f t="shared" si="593"/>
        <v>4.6948356807511742E-2</v>
      </c>
      <c r="AT672" s="56">
        <f t="shared" si="623"/>
        <v>0.23474178403755869</v>
      </c>
      <c r="AU672" s="56">
        <f t="shared" si="594"/>
        <v>0.176056338028169</v>
      </c>
      <c r="AV672" s="56">
        <f t="shared" si="624"/>
        <v>5.8685446009389672E-2</v>
      </c>
      <c r="AW672" s="57" t="s">
        <v>2511</v>
      </c>
      <c r="AX672" s="57" t="s">
        <v>2512</v>
      </c>
      <c r="AY672" s="57" t="s">
        <v>2513</v>
      </c>
      <c r="AZ672" s="58">
        <f t="shared" si="625"/>
        <v>7.5225655999999986E-3</v>
      </c>
      <c r="BA672" s="59">
        <f t="shared" si="628"/>
        <v>2.2073255868544596E-6</v>
      </c>
      <c r="BB672" s="59">
        <f t="shared" si="629"/>
        <v>6.6219767605633784E-6</v>
      </c>
      <c r="BC672" s="59">
        <f t="shared" si="630"/>
        <v>1.7658604694835679E-6</v>
      </c>
      <c r="BD672" s="60">
        <f t="shared" si="626"/>
        <v>1.2820512820512821E-3</v>
      </c>
      <c r="BE672" s="59">
        <f t="shared" si="627"/>
        <v>1.2820512820512822E-5</v>
      </c>
      <c r="BQ672" s="61">
        <v>3000</v>
      </c>
      <c r="BR672" s="61">
        <v>1200</v>
      </c>
      <c r="BS672" s="28">
        <f t="shared" si="595"/>
        <v>2980</v>
      </c>
      <c r="BT672" s="28">
        <f t="shared" si="596"/>
        <v>1180</v>
      </c>
      <c r="BU672" s="28" t="s">
        <v>2541</v>
      </c>
      <c r="BV672" s="28">
        <f t="shared" si="597"/>
        <v>74.849999999999994</v>
      </c>
      <c r="BW672" s="28">
        <f t="shared" si="598"/>
        <v>58.847999999999999</v>
      </c>
      <c r="BX672" s="13">
        <f t="shared" si="599"/>
        <v>39.812959251837007</v>
      </c>
      <c r="BY672" s="13">
        <f t="shared" si="600"/>
        <v>39</v>
      </c>
      <c r="BZ672" s="13">
        <f t="shared" si="601"/>
        <v>20.051658510059816</v>
      </c>
      <c r="CA672" s="13">
        <f t="shared" si="602"/>
        <v>20</v>
      </c>
      <c r="CB672" s="13">
        <f t="shared" si="603"/>
        <v>780</v>
      </c>
      <c r="CC672" s="62">
        <f t="shared" si="604"/>
        <v>1.2820512820512821E-3</v>
      </c>
      <c r="CD672" s="13">
        <f t="shared" si="605"/>
        <v>50.638934203371399</v>
      </c>
      <c r="CE672" s="13">
        <f t="shared" si="606"/>
        <v>50</v>
      </c>
      <c r="CF672" s="13">
        <f t="shared" si="607"/>
        <v>15.764863059452239</v>
      </c>
      <c r="CG672" s="13">
        <f t="shared" si="608"/>
        <v>15</v>
      </c>
      <c r="CH672" s="28">
        <f t="shared" si="609"/>
        <v>750</v>
      </c>
      <c r="CI672" s="62">
        <f t="shared" si="610"/>
        <v>1.3333333333333333E-3</v>
      </c>
      <c r="CJ672" s="59">
        <f t="shared" si="611"/>
        <v>1.2820512820512821E-3</v>
      </c>
      <c r="CL672" s="63">
        <v>6000</v>
      </c>
      <c r="CM672" s="63">
        <f t="shared" si="612"/>
        <v>69.849999999999994</v>
      </c>
      <c r="CN672" s="63">
        <f t="shared" si="613"/>
        <v>74.849999999999994</v>
      </c>
      <c r="CO672" s="63">
        <f t="shared" si="614"/>
        <v>80.160320641282567</v>
      </c>
      <c r="CP672" s="13">
        <f t="shared" si="615"/>
        <v>80</v>
      </c>
      <c r="CQ672" s="70">
        <f t="shared" si="616"/>
        <v>1.2500000000000001E-2</v>
      </c>
      <c r="CR672" s="69">
        <f t="shared" si="581"/>
        <v>1.25E-4</v>
      </c>
    </row>
    <row r="673" spans="1:96" hidden="1" x14ac:dyDescent="0.25">
      <c r="A673" s="10">
        <v>3</v>
      </c>
      <c r="B673" s="8" t="s">
        <v>1615</v>
      </c>
      <c r="C673" s="10" t="s">
        <v>1623</v>
      </c>
      <c r="D673" s="10" t="s">
        <v>2270</v>
      </c>
      <c r="E673" s="10" t="s">
        <v>52</v>
      </c>
      <c r="F673" s="12">
        <f t="shared" si="585"/>
        <v>1</v>
      </c>
      <c r="G673" s="10" t="s">
        <v>337</v>
      </c>
      <c r="H673" s="10" t="str">
        <f>G673</f>
        <v>A/R</v>
      </c>
      <c r="I673" s="10">
        <v>3</v>
      </c>
      <c r="J673" s="8" t="s">
        <v>1624</v>
      </c>
      <c r="K673" s="8" t="s">
        <v>34</v>
      </c>
      <c r="L673" s="10">
        <v>0</v>
      </c>
      <c r="M673" s="8" t="s">
        <v>35</v>
      </c>
      <c r="N673" s="10" t="s">
        <v>1625</v>
      </c>
      <c r="O673" s="28" t="s">
        <v>41</v>
      </c>
      <c r="P673" s="28" t="s">
        <v>41</v>
      </c>
      <c r="Q673" s="28" t="s">
        <v>1626</v>
      </c>
      <c r="R673" s="30">
        <v>7</v>
      </c>
      <c r="S673" s="30">
        <v>5</v>
      </c>
      <c r="T673" s="30"/>
      <c r="U673" s="30">
        <v>0.98399999999999999</v>
      </c>
      <c r="V673" s="8">
        <f t="shared" si="586"/>
        <v>177.79999999999998</v>
      </c>
      <c r="W673" s="8">
        <f t="shared" si="587"/>
        <v>127</v>
      </c>
      <c r="X673" s="8">
        <f t="shared" si="588"/>
        <v>0</v>
      </c>
      <c r="Y673" s="33">
        <f t="shared" si="589"/>
        <v>24.993599999999997</v>
      </c>
      <c r="Z673" s="28" t="s">
        <v>1060</v>
      </c>
      <c r="AA673" s="28" t="s">
        <v>173</v>
      </c>
      <c r="AB673" s="61" t="s">
        <v>1626</v>
      </c>
      <c r="AC673" s="31" t="s">
        <v>1627</v>
      </c>
      <c r="AD673" s="50">
        <v>0.01</v>
      </c>
      <c r="AE673" s="74" t="s">
        <v>1620</v>
      </c>
      <c r="AF673" s="51">
        <v>14</v>
      </c>
      <c r="AG673" s="51">
        <f t="shared" si="617"/>
        <v>8.4</v>
      </c>
      <c r="AH673" s="51">
        <f t="shared" si="584"/>
        <v>42</v>
      </c>
      <c r="AI673" s="52" t="s">
        <v>2497</v>
      </c>
      <c r="AJ673" s="52" t="s">
        <v>2498</v>
      </c>
      <c r="AK673" s="53">
        <f t="shared" si="618"/>
        <v>4.5161199999999999E-2</v>
      </c>
      <c r="AL673" s="54">
        <f t="shared" si="619"/>
        <v>0.11904761904761904</v>
      </c>
      <c r="AM673" s="54">
        <f t="shared" si="620"/>
        <v>2.3809523809523808E-2</v>
      </c>
      <c r="AN673" s="55">
        <f t="shared" si="621"/>
        <v>5.3763333333333327E-5</v>
      </c>
      <c r="AO673" s="55">
        <f t="shared" si="622"/>
        <v>1.0752666666666666E-5</v>
      </c>
      <c r="AP673" s="53">
        <v>7.1</v>
      </c>
      <c r="AQ673" s="53">
        <f t="shared" si="591"/>
        <v>4.26</v>
      </c>
      <c r="AR673" s="53">
        <f t="shared" si="592"/>
        <v>21.299999999999997</v>
      </c>
      <c r="AS673" s="56">
        <f t="shared" si="593"/>
        <v>4.6948356807511742E-2</v>
      </c>
      <c r="AT673" s="56">
        <f t="shared" si="623"/>
        <v>0.23474178403755869</v>
      </c>
      <c r="AU673" s="56">
        <f t="shared" si="594"/>
        <v>0.176056338028169</v>
      </c>
      <c r="AV673" s="56">
        <f t="shared" si="624"/>
        <v>5.8685446009389672E-2</v>
      </c>
      <c r="AW673" s="57" t="s">
        <v>2511</v>
      </c>
      <c r="AX673" s="57" t="s">
        <v>2512</v>
      </c>
      <c r="AY673" s="57" t="s">
        <v>2513</v>
      </c>
      <c r="AZ673" s="58">
        <f t="shared" si="625"/>
        <v>4.5161199999999999E-2</v>
      </c>
      <c r="BA673" s="59">
        <f t="shared" si="628"/>
        <v>1.3251525821596245E-5</v>
      </c>
      <c r="BB673" s="59">
        <f t="shared" si="629"/>
        <v>3.9754577464788728E-5</v>
      </c>
      <c r="BC673" s="59">
        <f t="shared" si="630"/>
        <v>1.0601220657276995E-5</v>
      </c>
      <c r="BD673" s="60">
        <f t="shared" si="626"/>
        <v>7.575757575757576E-3</v>
      </c>
      <c r="BE673" s="59">
        <f t="shared" si="627"/>
        <v>7.5757575757575758E-5</v>
      </c>
      <c r="BQ673" s="61">
        <v>3000</v>
      </c>
      <c r="BR673" s="61">
        <v>1200</v>
      </c>
      <c r="BS673" s="28">
        <f t="shared" si="595"/>
        <v>2980</v>
      </c>
      <c r="BT673" s="28">
        <f t="shared" si="596"/>
        <v>1180</v>
      </c>
      <c r="BU673" s="28" t="s">
        <v>2541</v>
      </c>
      <c r="BV673" s="28">
        <f t="shared" si="597"/>
        <v>182.79999999999998</v>
      </c>
      <c r="BW673" s="28">
        <f t="shared" si="598"/>
        <v>132</v>
      </c>
      <c r="BX673" s="13">
        <f t="shared" si="599"/>
        <v>16.301969365426697</v>
      </c>
      <c r="BY673" s="13">
        <f t="shared" si="600"/>
        <v>16</v>
      </c>
      <c r="BZ673" s="13">
        <f t="shared" si="601"/>
        <v>8.9393939393939394</v>
      </c>
      <c r="CA673" s="13">
        <f t="shared" si="602"/>
        <v>8</v>
      </c>
      <c r="CB673" s="13">
        <f t="shared" si="603"/>
        <v>128</v>
      </c>
      <c r="CC673" s="62">
        <f t="shared" si="604"/>
        <v>7.8125E-3</v>
      </c>
      <c r="CD673" s="13">
        <f t="shared" si="605"/>
        <v>22.575757575757574</v>
      </c>
      <c r="CE673" s="13">
        <f t="shared" si="606"/>
        <v>22</v>
      </c>
      <c r="CF673" s="13">
        <f t="shared" si="607"/>
        <v>6.4551422319474838</v>
      </c>
      <c r="CG673" s="13">
        <f t="shared" si="608"/>
        <v>6</v>
      </c>
      <c r="CH673" s="28">
        <f t="shared" si="609"/>
        <v>132</v>
      </c>
      <c r="CI673" s="62">
        <f t="shared" si="610"/>
        <v>7.575757575757576E-3</v>
      </c>
      <c r="CJ673" s="59">
        <f t="shared" si="611"/>
        <v>7.575757575757576E-3</v>
      </c>
      <c r="CL673" s="63">
        <v>6000</v>
      </c>
      <c r="CM673" s="63">
        <f t="shared" si="612"/>
        <v>177.79999999999998</v>
      </c>
      <c r="CN673" s="63">
        <f t="shared" si="613"/>
        <v>182.79999999999998</v>
      </c>
      <c r="CO673" s="63">
        <f t="shared" si="614"/>
        <v>32.822757111597376</v>
      </c>
      <c r="CP673" s="13">
        <f t="shared" si="615"/>
        <v>32</v>
      </c>
      <c r="CQ673" s="70">
        <f t="shared" si="616"/>
        <v>3.125E-2</v>
      </c>
      <c r="CR673" s="69">
        <f t="shared" si="581"/>
        <v>3.1250000000000001E-4</v>
      </c>
    </row>
    <row r="674" spans="1:96" hidden="1" x14ac:dyDescent="0.25">
      <c r="A674" s="36">
        <v>2</v>
      </c>
      <c r="B674" s="37" t="s">
        <v>37</v>
      </c>
      <c r="C674" s="36" t="s">
        <v>1628</v>
      </c>
      <c r="D674" s="36" t="s">
        <v>2270</v>
      </c>
      <c r="E674" s="36" t="s">
        <v>52</v>
      </c>
      <c r="F674" s="38">
        <f t="shared" si="585"/>
        <v>1</v>
      </c>
      <c r="G674" s="36">
        <v>4</v>
      </c>
      <c r="H674" s="36">
        <f t="shared" ref="H674:H679" si="635">G674*$H$3</f>
        <v>4</v>
      </c>
      <c r="I674" s="36">
        <v>190</v>
      </c>
      <c r="J674" s="37" t="s">
        <v>380</v>
      </c>
      <c r="K674" s="37" t="s">
        <v>34</v>
      </c>
      <c r="L674" s="36">
        <v>0</v>
      </c>
      <c r="M674" s="37" t="s">
        <v>35</v>
      </c>
      <c r="N674" s="36" t="s">
        <v>1629</v>
      </c>
      <c r="O674" s="28" t="s">
        <v>41</v>
      </c>
      <c r="P674" s="28" t="s">
        <v>41</v>
      </c>
      <c r="Q674" s="28" t="s">
        <v>1626</v>
      </c>
      <c r="R674" s="30">
        <v>7</v>
      </c>
      <c r="S674" s="30">
        <v>6</v>
      </c>
      <c r="T674" s="30"/>
      <c r="U674" s="30">
        <v>0.98399999999999999</v>
      </c>
      <c r="V674" s="8">
        <f t="shared" si="586"/>
        <v>177.79999999999998</v>
      </c>
      <c r="W674" s="8">
        <f t="shared" si="587"/>
        <v>152.39999999999998</v>
      </c>
      <c r="X674" s="8">
        <f t="shared" si="588"/>
        <v>0</v>
      </c>
      <c r="Y674" s="33">
        <f t="shared" si="589"/>
        <v>24.993599999999997</v>
      </c>
      <c r="Z674" s="28" t="s">
        <v>1060</v>
      </c>
      <c r="AA674" s="28" t="s">
        <v>173</v>
      </c>
      <c r="AB674" s="61" t="s">
        <v>1626</v>
      </c>
      <c r="AC674" s="31" t="s">
        <v>1627</v>
      </c>
      <c r="AD674" s="50">
        <v>0.01</v>
      </c>
      <c r="AE674" s="74" t="s">
        <v>1620</v>
      </c>
      <c r="AF674" s="51">
        <v>14</v>
      </c>
      <c r="AG674" s="51">
        <f t="shared" si="617"/>
        <v>8.4</v>
      </c>
      <c r="AH674" s="51">
        <f t="shared" si="584"/>
        <v>42</v>
      </c>
      <c r="AI674" s="52" t="s">
        <v>2497</v>
      </c>
      <c r="AJ674" s="52" t="s">
        <v>2498</v>
      </c>
      <c r="AK674" s="53">
        <f t="shared" si="618"/>
        <v>5.4193439999999989E-2</v>
      </c>
      <c r="AL674" s="54">
        <f t="shared" si="619"/>
        <v>0.11904761904761904</v>
      </c>
      <c r="AM674" s="54">
        <f t="shared" si="620"/>
        <v>2.3809523809523808E-2</v>
      </c>
      <c r="AN674" s="55">
        <f t="shared" si="621"/>
        <v>6.451599999999999E-5</v>
      </c>
      <c r="AO674" s="55">
        <f t="shared" si="622"/>
        <v>1.2903199999999997E-5</v>
      </c>
      <c r="AP674" s="53">
        <v>7.1</v>
      </c>
      <c r="AQ674" s="53">
        <f t="shared" si="591"/>
        <v>4.26</v>
      </c>
      <c r="AR674" s="53">
        <f t="shared" si="592"/>
        <v>21.299999999999997</v>
      </c>
      <c r="AS674" s="56">
        <f t="shared" si="593"/>
        <v>4.6948356807511742E-2</v>
      </c>
      <c r="AT674" s="56">
        <f t="shared" si="623"/>
        <v>0.23474178403755869</v>
      </c>
      <c r="AU674" s="56">
        <f t="shared" si="594"/>
        <v>0.176056338028169</v>
      </c>
      <c r="AV674" s="56">
        <f t="shared" si="624"/>
        <v>5.8685446009389672E-2</v>
      </c>
      <c r="AW674" s="57" t="s">
        <v>2511</v>
      </c>
      <c r="AX674" s="57" t="s">
        <v>2512</v>
      </c>
      <c r="AY674" s="57" t="s">
        <v>2513</v>
      </c>
      <c r="AZ674" s="58">
        <f t="shared" si="625"/>
        <v>5.4193439999999989E-2</v>
      </c>
      <c r="BA674" s="59">
        <f t="shared" si="628"/>
        <v>1.5901830985915491E-5</v>
      </c>
      <c r="BB674" s="59">
        <f t="shared" si="629"/>
        <v>4.7705492957746466E-5</v>
      </c>
      <c r="BC674" s="59">
        <f t="shared" si="630"/>
        <v>1.2721464788732393E-5</v>
      </c>
      <c r="BD674" s="60">
        <f t="shared" si="626"/>
        <v>8.9285714285714281E-3</v>
      </c>
      <c r="BE674" s="59">
        <f t="shared" si="627"/>
        <v>8.9285714285714286E-5</v>
      </c>
      <c r="BQ674" s="61">
        <v>3000</v>
      </c>
      <c r="BR674" s="61">
        <v>1200</v>
      </c>
      <c r="BS674" s="28">
        <f t="shared" si="595"/>
        <v>2980</v>
      </c>
      <c r="BT674" s="28">
        <f t="shared" si="596"/>
        <v>1180</v>
      </c>
      <c r="BU674" s="28" t="s">
        <v>2541</v>
      </c>
      <c r="BV674" s="28">
        <f t="shared" si="597"/>
        <v>182.79999999999998</v>
      </c>
      <c r="BW674" s="28">
        <f t="shared" si="598"/>
        <v>157.39999999999998</v>
      </c>
      <c r="BX674" s="13">
        <f t="shared" si="599"/>
        <v>16.301969365426697</v>
      </c>
      <c r="BY674" s="13">
        <f t="shared" si="600"/>
        <v>16</v>
      </c>
      <c r="BZ674" s="13">
        <f t="shared" si="601"/>
        <v>7.4968233799237618</v>
      </c>
      <c r="CA674" s="13">
        <f t="shared" si="602"/>
        <v>7</v>
      </c>
      <c r="CB674" s="13">
        <f t="shared" si="603"/>
        <v>112</v>
      </c>
      <c r="CC674" s="62">
        <f t="shared" si="604"/>
        <v>8.9285714285714281E-3</v>
      </c>
      <c r="CD674" s="13">
        <f t="shared" si="605"/>
        <v>18.932655654383737</v>
      </c>
      <c r="CE674" s="13">
        <f t="shared" si="606"/>
        <v>18</v>
      </c>
      <c r="CF674" s="13">
        <f t="shared" si="607"/>
        <v>6.4551422319474838</v>
      </c>
      <c r="CG674" s="13">
        <f t="shared" si="608"/>
        <v>6</v>
      </c>
      <c r="CH674" s="28">
        <f t="shared" si="609"/>
        <v>108</v>
      </c>
      <c r="CI674" s="62">
        <f t="shared" si="610"/>
        <v>9.2592592592592587E-3</v>
      </c>
      <c r="CJ674" s="59">
        <f t="shared" si="611"/>
        <v>8.9285714285714281E-3</v>
      </c>
      <c r="CL674" s="63">
        <v>6000</v>
      </c>
      <c r="CM674" s="63">
        <f t="shared" si="612"/>
        <v>177.79999999999998</v>
      </c>
      <c r="CN674" s="63">
        <f t="shared" si="613"/>
        <v>182.79999999999998</v>
      </c>
      <c r="CO674" s="63">
        <f t="shared" si="614"/>
        <v>32.822757111597376</v>
      </c>
      <c r="CP674" s="13">
        <f t="shared" si="615"/>
        <v>32</v>
      </c>
      <c r="CQ674" s="70">
        <f t="shared" si="616"/>
        <v>3.125E-2</v>
      </c>
      <c r="CR674" s="69">
        <f t="shared" si="581"/>
        <v>3.1250000000000001E-4</v>
      </c>
    </row>
    <row r="675" spans="1:96" hidden="1" x14ac:dyDescent="0.25">
      <c r="A675" s="36">
        <v>2</v>
      </c>
      <c r="B675" s="37" t="s">
        <v>37</v>
      </c>
      <c r="C675" s="36" t="s">
        <v>1630</v>
      </c>
      <c r="D675" s="36" t="s">
        <v>1632</v>
      </c>
      <c r="E675" s="36" t="s">
        <v>52</v>
      </c>
      <c r="F675" s="38">
        <f t="shared" si="585"/>
        <v>1</v>
      </c>
      <c r="G675" s="36">
        <v>16</v>
      </c>
      <c r="H675" s="36">
        <f t="shared" si="635"/>
        <v>16</v>
      </c>
      <c r="I675" s="36">
        <v>192</v>
      </c>
      <c r="J675" s="37" t="s">
        <v>1631</v>
      </c>
      <c r="K675" s="37" t="s">
        <v>34</v>
      </c>
      <c r="L675" s="36">
        <v>0</v>
      </c>
      <c r="M675" s="37" t="s">
        <v>35</v>
      </c>
      <c r="N675" s="36" t="s">
        <v>1632</v>
      </c>
      <c r="O675" s="28" t="s">
        <v>41</v>
      </c>
      <c r="P675" s="28" t="s">
        <v>41</v>
      </c>
      <c r="Q675" s="28" t="s">
        <v>1632</v>
      </c>
      <c r="R675" s="30"/>
      <c r="S675" s="30"/>
      <c r="T675" s="30"/>
      <c r="U675" s="30"/>
      <c r="V675" s="8">
        <f t="shared" si="586"/>
        <v>0</v>
      </c>
      <c r="W675" s="8">
        <f t="shared" si="587"/>
        <v>0</v>
      </c>
      <c r="X675" s="8">
        <f t="shared" si="588"/>
        <v>0</v>
      </c>
      <c r="Y675" s="33">
        <f t="shared" si="589"/>
        <v>0</v>
      </c>
      <c r="Z675" s="28"/>
      <c r="AA675" s="28"/>
      <c r="AB675" s="61" t="s">
        <v>1632</v>
      </c>
      <c r="AC675" s="31" t="s">
        <v>1633</v>
      </c>
      <c r="AD675" s="50">
        <f t="shared" si="590"/>
        <v>16</v>
      </c>
      <c r="AE675" s="31"/>
      <c r="AF675" s="51">
        <v>14</v>
      </c>
      <c r="AG675" s="51">
        <f t="shared" si="617"/>
        <v>8.4</v>
      </c>
      <c r="AH675" s="51">
        <f t="shared" si="584"/>
        <v>42</v>
      </c>
      <c r="AI675" s="52" t="s">
        <v>2497</v>
      </c>
      <c r="AJ675" s="52" t="s">
        <v>2498</v>
      </c>
      <c r="AK675" s="53">
        <f t="shared" si="618"/>
        <v>0</v>
      </c>
      <c r="AL675" s="54">
        <f t="shared" si="619"/>
        <v>0.11904761904761904</v>
      </c>
      <c r="AM675" s="54">
        <f t="shared" si="620"/>
        <v>2.3809523809523808E-2</v>
      </c>
      <c r="AN675" s="55">
        <f t="shared" si="621"/>
        <v>0</v>
      </c>
      <c r="AO675" s="55">
        <f t="shared" si="622"/>
        <v>0</v>
      </c>
      <c r="AP675" s="53">
        <v>7.1</v>
      </c>
      <c r="AQ675" s="53">
        <f t="shared" si="591"/>
        <v>4.26</v>
      </c>
      <c r="AR675" s="53">
        <f t="shared" si="592"/>
        <v>21.299999999999997</v>
      </c>
      <c r="AS675" s="56">
        <f t="shared" si="593"/>
        <v>4.6948356807511742E-2</v>
      </c>
      <c r="AT675" s="56">
        <f t="shared" si="623"/>
        <v>0.23474178403755869</v>
      </c>
      <c r="AU675" s="56">
        <f t="shared" si="594"/>
        <v>0.176056338028169</v>
      </c>
      <c r="AV675" s="56">
        <f t="shared" si="624"/>
        <v>5.8685446009389672E-2</v>
      </c>
      <c r="AW675" s="57" t="s">
        <v>2511</v>
      </c>
      <c r="AX675" s="57" t="s">
        <v>2512</v>
      </c>
      <c r="AY675" s="57" t="s">
        <v>2513</v>
      </c>
      <c r="AZ675" s="58">
        <f t="shared" si="625"/>
        <v>0</v>
      </c>
      <c r="BA675" s="59">
        <f t="shared" si="628"/>
        <v>0</v>
      </c>
      <c r="BB675" s="59">
        <f t="shared" si="629"/>
        <v>0</v>
      </c>
      <c r="BC675" s="59">
        <f t="shared" si="630"/>
        <v>0</v>
      </c>
      <c r="BD675" s="60">
        <f t="shared" si="626"/>
        <v>7.1095438516664771E-6</v>
      </c>
      <c r="BE675" s="59">
        <f t="shared" si="627"/>
        <v>1.1375270162666363E-4</v>
      </c>
      <c r="BQ675" s="61">
        <v>3000</v>
      </c>
      <c r="BR675" s="61">
        <v>1200</v>
      </c>
      <c r="BS675" s="28">
        <f t="shared" si="595"/>
        <v>2980</v>
      </c>
      <c r="BT675" s="28">
        <f t="shared" si="596"/>
        <v>1180</v>
      </c>
      <c r="BU675" s="28" t="s">
        <v>2541</v>
      </c>
      <c r="BV675" s="28">
        <f t="shared" si="597"/>
        <v>5</v>
      </c>
      <c r="BW675" s="28">
        <f t="shared" si="598"/>
        <v>5</v>
      </c>
      <c r="BX675" s="13">
        <f t="shared" si="599"/>
        <v>596</v>
      </c>
      <c r="BY675" s="13">
        <f t="shared" si="600"/>
        <v>596</v>
      </c>
      <c r="BZ675" s="13">
        <f t="shared" si="601"/>
        <v>236</v>
      </c>
      <c r="CA675" s="13">
        <f t="shared" si="602"/>
        <v>236</v>
      </c>
      <c r="CB675" s="13">
        <f t="shared" si="603"/>
        <v>140656</v>
      </c>
      <c r="CC675" s="62">
        <f t="shared" si="604"/>
        <v>7.1095438516664771E-6</v>
      </c>
      <c r="CD675" s="13">
        <f t="shared" si="605"/>
        <v>596</v>
      </c>
      <c r="CE675" s="13">
        <f t="shared" si="606"/>
        <v>596</v>
      </c>
      <c r="CF675" s="13">
        <f t="shared" si="607"/>
        <v>236</v>
      </c>
      <c r="CG675" s="13">
        <f t="shared" si="608"/>
        <v>236</v>
      </c>
      <c r="CH675" s="28">
        <f t="shared" si="609"/>
        <v>140656</v>
      </c>
      <c r="CI675" s="62">
        <f t="shared" si="610"/>
        <v>7.1095438516664771E-6</v>
      </c>
      <c r="CJ675" s="59">
        <f t="shared" si="611"/>
        <v>7.1095438516664771E-6</v>
      </c>
      <c r="CL675" s="63">
        <v>6000</v>
      </c>
      <c r="CM675" s="63">
        <f t="shared" si="612"/>
        <v>0</v>
      </c>
      <c r="CN675" s="63">
        <f t="shared" si="613"/>
        <v>5</v>
      </c>
      <c r="CO675" s="63">
        <f t="shared" si="614"/>
        <v>1200</v>
      </c>
      <c r="CP675" s="13">
        <f t="shared" si="615"/>
        <v>1200</v>
      </c>
      <c r="CQ675" s="70">
        <f t="shared" si="616"/>
        <v>8.3333333333333339E-4</v>
      </c>
      <c r="CR675" s="69">
        <f t="shared" si="581"/>
        <v>1.3333333333333334E-2</v>
      </c>
    </row>
    <row r="676" spans="1:96" hidden="1" x14ac:dyDescent="0.25">
      <c r="A676" s="36">
        <v>2</v>
      </c>
      <c r="B676" s="37" t="s">
        <v>37</v>
      </c>
      <c r="C676" s="36" t="s">
        <v>1634</v>
      </c>
      <c r="D676" s="36" t="s">
        <v>2270</v>
      </c>
      <c r="E676" s="36" t="s">
        <v>52</v>
      </c>
      <c r="F676" s="38">
        <f t="shared" si="585"/>
        <v>1</v>
      </c>
      <c r="G676" s="36">
        <v>2</v>
      </c>
      <c r="H676" s="36">
        <f t="shared" si="635"/>
        <v>2</v>
      </c>
      <c r="I676" s="36">
        <v>193</v>
      </c>
      <c r="J676" s="37" t="s">
        <v>964</v>
      </c>
      <c r="K676" s="37" t="s">
        <v>34</v>
      </c>
      <c r="L676" s="36">
        <v>0</v>
      </c>
      <c r="M676" s="37" t="s">
        <v>35</v>
      </c>
      <c r="N676" s="36" t="s">
        <v>1635</v>
      </c>
      <c r="O676" s="28" t="s">
        <v>41</v>
      </c>
      <c r="P676" s="28" t="s">
        <v>41</v>
      </c>
      <c r="Q676" s="28" t="s">
        <v>1635</v>
      </c>
      <c r="R676" s="30">
        <v>1.97</v>
      </c>
      <c r="S676" s="30">
        <v>1.63</v>
      </c>
      <c r="T676" s="30"/>
      <c r="U676" s="30">
        <v>1.5</v>
      </c>
      <c r="V676" s="8">
        <f t="shared" si="586"/>
        <v>50.037999999999997</v>
      </c>
      <c r="W676" s="8">
        <f t="shared" si="587"/>
        <v>41.401999999999994</v>
      </c>
      <c r="X676" s="8">
        <f t="shared" si="588"/>
        <v>0</v>
      </c>
      <c r="Y676" s="33">
        <f t="shared" si="589"/>
        <v>38.099999999999994</v>
      </c>
      <c r="Z676" s="28" t="s">
        <v>80</v>
      </c>
      <c r="AA676" s="28" t="s">
        <v>173</v>
      </c>
      <c r="AB676" s="61" t="s">
        <v>1635</v>
      </c>
      <c r="AC676" s="31" t="s">
        <v>1636</v>
      </c>
      <c r="AD676" s="50">
        <f t="shared" si="590"/>
        <v>2</v>
      </c>
      <c r="AE676" s="31"/>
      <c r="AF676" s="51">
        <v>14</v>
      </c>
      <c r="AG676" s="51">
        <f t="shared" si="617"/>
        <v>8.4</v>
      </c>
      <c r="AH676" s="51">
        <f t="shared" si="584"/>
        <v>42</v>
      </c>
      <c r="AI676" s="52" t="s">
        <v>2497</v>
      </c>
      <c r="AJ676" s="52" t="s">
        <v>2498</v>
      </c>
      <c r="AK676" s="53">
        <f t="shared" si="618"/>
        <v>4.1433465519999987E-3</v>
      </c>
      <c r="AL676" s="54">
        <f t="shared" si="619"/>
        <v>0.11904761904761904</v>
      </c>
      <c r="AM676" s="54">
        <f t="shared" si="620"/>
        <v>2.3809523809523808E-2</v>
      </c>
      <c r="AN676" s="55">
        <f t="shared" si="621"/>
        <v>9.8651108380952337E-4</v>
      </c>
      <c r="AO676" s="55">
        <f t="shared" si="622"/>
        <v>1.9730221676190468E-4</v>
      </c>
      <c r="AP676" s="53">
        <v>7.1</v>
      </c>
      <c r="AQ676" s="53">
        <f t="shared" si="591"/>
        <v>4.26</v>
      </c>
      <c r="AR676" s="53">
        <f t="shared" si="592"/>
        <v>21.299999999999997</v>
      </c>
      <c r="AS676" s="56">
        <f t="shared" si="593"/>
        <v>4.6948356807511742E-2</v>
      </c>
      <c r="AT676" s="56">
        <f t="shared" si="623"/>
        <v>0.23474178403755869</v>
      </c>
      <c r="AU676" s="56">
        <f t="shared" si="594"/>
        <v>0.176056338028169</v>
      </c>
      <c r="AV676" s="56">
        <f t="shared" si="624"/>
        <v>5.8685446009389672E-2</v>
      </c>
      <c r="AW676" s="57" t="s">
        <v>2511</v>
      </c>
      <c r="AX676" s="57" t="s">
        <v>2512</v>
      </c>
      <c r="AY676" s="57" t="s">
        <v>2513</v>
      </c>
      <c r="AZ676" s="58">
        <f t="shared" si="625"/>
        <v>4.1433465519999987E-3</v>
      </c>
      <c r="BA676" s="59">
        <f t="shared" si="628"/>
        <v>2.4315414037558679E-4</v>
      </c>
      <c r="BB676" s="59">
        <f t="shared" si="629"/>
        <v>7.2946242112676026E-4</v>
      </c>
      <c r="BC676" s="59">
        <f t="shared" si="630"/>
        <v>1.9452331230046944E-4</v>
      </c>
      <c r="BD676" s="60">
        <f t="shared" si="626"/>
        <v>7.407407407407407E-4</v>
      </c>
      <c r="BE676" s="59">
        <f t="shared" si="627"/>
        <v>1.4814814814814814E-3</v>
      </c>
      <c r="BQ676" s="61">
        <v>3000</v>
      </c>
      <c r="BR676" s="61">
        <v>1200</v>
      </c>
      <c r="BS676" s="28">
        <f t="shared" si="595"/>
        <v>2980</v>
      </c>
      <c r="BT676" s="28">
        <f t="shared" si="596"/>
        <v>1180</v>
      </c>
      <c r="BU676" s="28" t="s">
        <v>2541</v>
      </c>
      <c r="BV676" s="28">
        <f t="shared" si="597"/>
        <v>55.037999999999997</v>
      </c>
      <c r="BW676" s="28">
        <f t="shared" si="598"/>
        <v>46.401999999999994</v>
      </c>
      <c r="BX676" s="13">
        <f t="shared" si="599"/>
        <v>54.144409317199027</v>
      </c>
      <c r="BY676" s="13">
        <f t="shared" si="600"/>
        <v>54</v>
      </c>
      <c r="BZ676" s="13">
        <f t="shared" si="601"/>
        <v>25.429938364725661</v>
      </c>
      <c r="CA676" s="13">
        <f t="shared" si="602"/>
        <v>25</v>
      </c>
      <c r="CB676" s="13">
        <f t="shared" si="603"/>
        <v>1350</v>
      </c>
      <c r="CC676" s="62">
        <f t="shared" si="604"/>
        <v>7.407407407407407E-4</v>
      </c>
      <c r="CD676" s="13">
        <f t="shared" si="605"/>
        <v>64.221369768544463</v>
      </c>
      <c r="CE676" s="13">
        <f t="shared" si="606"/>
        <v>64</v>
      </c>
      <c r="CF676" s="13">
        <f t="shared" si="607"/>
        <v>21.439732548421091</v>
      </c>
      <c r="CG676" s="13">
        <f t="shared" si="608"/>
        <v>21</v>
      </c>
      <c r="CH676" s="28">
        <f t="shared" si="609"/>
        <v>1344</v>
      </c>
      <c r="CI676" s="62">
        <f t="shared" si="610"/>
        <v>7.4404761904761901E-4</v>
      </c>
      <c r="CJ676" s="59">
        <f t="shared" si="611"/>
        <v>7.407407407407407E-4</v>
      </c>
      <c r="CL676" s="63">
        <v>6000</v>
      </c>
      <c r="CM676" s="63">
        <f t="shared" si="612"/>
        <v>50.037999999999997</v>
      </c>
      <c r="CN676" s="63">
        <f t="shared" si="613"/>
        <v>55.037999999999997</v>
      </c>
      <c r="CO676" s="63">
        <f t="shared" si="614"/>
        <v>109.01558922925979</v>
      </c>
      <c r="CP676" s="13">
        <f t="shared" si="615"/>
        <v>109</v>
      </c>
      <c r="CQ676" s="70">
        <f t="shared" si="616"/>
        <v>9.1743119266055051E-3</v>
      </c>
      <c r="CR676" s="69">
        <f t="shared" ref="CR676:CR739" si="636">CQ676*AD676</f>
        <v>1.834862385321101E-2</v>
      </c>
    </row>
    <row r="677" spans="1:96" hidden="1" x14ac:dyDescent="0.25">
      <c r="A677" s="36">
        <v>2</v>
      </c>
      <c r="B677" s="37" t="s">
        <v>37</v>
      </c>
      <c r="C677" s="36" t="s">
        <v>1637</v>
      </c>
      <c r="D677" s="36" t="s">
        <v>2270</v>
      </c>
      <c r="E677" s="36" t="s">
        <v>52</v>
      </c>
      <c r="F677" s="38">
        <f t="shared" si="585"/>
        <v>1</v>
      </c>
      <c r="G677" s="36">
        <v>1</v>
      </c>
      <c r="H677" s="36">
        <f t="shared" si="635"/>
        <v>1</v>
      </c>
      <c r="I677" s="36">
        <v>194</v>
      </c>
      <c r="J677" s="37" t="s">
        <v>964</v>
      </c>
      <c r="K677" s="37" t="s">
        <v>34</v>
      </c>
      <c r="L677" s="36" t="s">
        <v>194</v>
      </c>
      <c r="M677" s="37" t="s">
        <v>35</v>
      </c>
      <c r="N677" s="36" t="s">
        <v>1638</v>
      </c>
      <c r="O677" s="28" t="s">
        <v>41</v>
      </c>
      <c r="P677" s="28" t="s">
        <v>41</v>
      </c>
      <c r="Q677" s="28" t="s">
        <v>1638</v>
      </c>
      <c r="R677" s="30">
        <v>5</v>
      </c>
      <c r="S677" s="30">
        <v>1.97</v>
      </c>
      <c r="T677" s="30"/>
      <c r="U677" s="30">
        <v>1.75</v>
      </c>
      <c r="V677" s="8">
        <f t="shared" si="586"/>
        <v>127</v>
      </c>
      <c r="W677" s="8">
        <f t="shared" si="587"/>
        <v>50.037999999999997</v>
      </c>
      <c r="X677" s="8">
        <f t="shared" si="588"/>
        <v>0</v>
      </c>
      <c r="Y677" s="33">
        <f t="shared" si="589"/>
        <v>44.449999999999996</v>
      </c>
      <c r="Z677" s="28" t="s">
        <v>80</v>
      </c>
      <c r="AA677" s="28" t="s">
        <v>173</v>
      </c>
      <c r="AB677" s="61" t="s">
        <v>1638</v>
      </c>
      <c r="AC677" s="31" t="s">
        <v>1636</v>
      </c>
      <c r="AD677" s="50">
        <f t="shared" si="590"/>
        <v>1</v>
      </c>
      <c r="AE677" s="48"/>
      <c r="AF677" s="51">
        <v>14</v>
      </c>
      <c r="AG677" s="51">
        <f t="shared" si="617"/>
        <v>8.4</v>
      </c>
      <c r="AH677" s="51">
        <f t="shared" si="584"/>
        <v>42</v>
      </c>
      <c r="AI677" s="52" t="s">
        <v>2497</v>
      </c>
      <c r="AJ677" s="52" t="s">
        <v>2498</v>
      </c>
      <c r="AK677" s="53">
        <f t="shared" si="618"/>
        <v>1.2709652E-2</v>
      </c>
      <c r="AL677" s="54">
        <f t="shared" si="619"/>
        <v>0.11904761904761904</v>
      </c>
      <c r="AM677" s="54">
        <f t="shared" si="620"/>
        <v>2.3809523809523808E-2</v>
      </c>
      <c r="AN677" s="55">
        <f t="shared" si="621"/>
        <v>1.5130538095238094E-3</v>
      </c>
      <c r="AO677" s="55">
        <f t="shared" si="622"/>
        <v>3.0261076190476191E-4</v>
      </c>
      <c r="AP677" s="53">
        <v>7.1</v>
      </c>
      <c r="AQ677" s="53">
        <f t="shared" si="591"/>
        <v>4.26</v>
      </c>
      <c r="AR677" s="53">
        <f t="shared" si="592"/>
        <v>21.299999999999997</v>
      </c>
      <c r="AS677" s="56">
        <f t="shared" si="593"/>
        <v>4.6948356807511742E-2</v>
      </c>
      <c r="AT677" s="56">
        <f t="shared" si="623"/>
        <v>0.23474178403755869</v>
      </c>
      <c r="AU677" s="56">
        <f t="shared" si="594"/>
        <v>0.176056338028169</v>
      </c>
      <c r="AV677" s="56">
        <f t="shared" si="624"/>
        <v>5.8685446009389672E-2</v>
      </c>
      <c r="AW677" s="57" t="s">
        <v>2511</v>
      </c>
      <c r="AX677" s="57" t="s">
        <v>2512</v>
      </c>
      <c r="AY677" s="57" t="s">
        <v>2513</v>
      </c>
      <c r="AZ677" s="58">
        <f t="shared" si="625"/>
        <v>1.2709652E-2</v>
      </c>
      <c r="BA677" s="59">
        <f t="shared" si="628"/>
        <v>3.7293579812206574E-4</v>
      </c>
      <c r="BB677" s="59">
        <f t="shared" si="629"/>
        <v>1.1188073943661971E-3</v>
      </c>
      <c r="BC677" s="59">
        <f t="shared" si="630"/>
        <v>2.9834863849765263E-4</v>
      </c>
      <c r="BD677" s="60">
        <f t="shared" si="626"/>
        <v>2.1645021645021645E-3</v>
      </c>
      <c r="BE677" s="59">
        <f t="shared" si="627"/>
        <v>2.1645021645021645E-3</v>
      </c>
      <c r="BQ677" s="61">
        <v>3000</v>
      </c>
      <c r="BR677" s="61">
        <v>1200</v>
      </c>
      <c r="BS677" s="28">
        <f t="shared" si="595"/>
        <v>2980</v>
      </c>
      <c r="BT677" s="28">
        <f t="shared" si="596"/>
        <v>1180</v>
      </c>
      <c r="BU677" s="28" t="s">
        <v>2541</v>
      </c>
      <c r="BV677" s="28">
        <f t="shared" si="597"/>
        <v>132</v>
      </c>
      <c r="BW677" s="28">
        <f t="shared" si="598"/>
        <v>55.037999999999997</v>
      </c>
      <c r="BX677" s="13">
        <f t="shared" si="599"/>
        <v>22.575757575757574</v>
      </c>
      <c r="BY677" s="13">
        <f t="shared" si="600"/>
        <v>22</v>
      </c>
      <c r="BZ677" s="13">
        <f t="shared" si="601"/>
        <v>21.439732548421091</v>
      </c>
      <c r="CA677" s="13">
        <f t="shared" si="602"/>
        <v>21</v>
      </c>
      <c r="CB677" s="13">
        <f t="shared" si="603"/>
        <v>462</v>
      </c>
      <c r="CC677" s="62">
        <f t="shared" si="604"/>
        <v>2.1645021645021645E-3</v>
      </c>
      <c r="CD677" s="13">
        <f t="shared" si="605"/>
        <v>54.144409317199027</v>
      </c>
      <c r="CE677" s="13">
        <f t="shared" si="606"/>
        <v>54</v>
      </c>
      <c r="CF677" s="13">
        <f t="shared" si="607"/>
        <v>8.9393939393939394</v>
      </c>
      <c r="CG677" s="13">
        <f t="shared" si="608"/>
        <v>8</v>
      </c>
      <c r="CH677" s="28">
        <f t="shared" si="609"/>
        <v>432</v>
      </c>
      <c r="CI677" s="62">
        <f t="shared" si="610"/>
        <v>2.3148148148148147E-3</v>
      </c>
      <c r="CJ677" s="59">
        <f t="shared" si="611"/>
        <v>2.1645021645021645E-3</v>
      </c>
      <c r="CL677" s="63">
        <v>6000</v>
      </c>
      <c r="CM677" s="63">
        <f t="shared" si="612"/>
        <v>127</v>
      </c>
      <c r="CN677" s="63">
        <f t="shared" si="613"/>
        <v>132</v>
      </c>
      <c r="CO677" s="63">
        <f t="shared" si="614"/>
        <v>45.454545454545453</v>
      </c>
      <c r="CP677" s="13">
        <f t="shared" si="615"/>
        <v>45</v>
      </c>
      <c r="CQ677" s="70">
        <f t="shared" si="616"/>
        <v>2.2222222222222223E-2</v>
      </c>
      <c r="CR677" s="69">
        <f t="shared" si="636"/>
        <v>2.2222222222222223E-2</v>
      </c>
    </row>
    <row r="678" spans="1:96" hidden="1" x14ac:dyDescent="0.25">
      <c r="A678" s="36">
        <v>2</v>
      </c>
      <c r="B678" s="37" t="s">
        <v>37</v>
      </c>
      <c r="C678" s="36" t="s">
        <v>1639</v>
      </c>
      <c r="D678" s="36" t="s">
        <v>2270</v>
      </c>
      <c r="E678" s="36" t="s">
        <v>52</v>
      </c>
      <c r="F678" s="38">
        <f t="shared" si="585"/>
        <v>1</v>
      </c>
      <c r="G678" s="36">
        <v>1</v>
      </c>
      <c r="H678" s="36">
        <f t="shared" si="635"/>
        <v>1</v>
      </c>
      <c r="I678" s="36">
        <v>195</v>
      </c>
      <c r="J678" s="37" t="s">
        <v>119</v>
      </c>
      <c r="K678" s="37" t="s">
        <v>34</v>
      </c>
      <c r="L678" s="36" t="s">
        <v>110</v>
      </c>
      <c r="M678" s="37" t="s">
        <v>35</v>
      </c>
      <c r="N678" s="36" t="s">
        <v>1640</v>
      </c>
      <c r="O678" s="28" t="s">
        <v>41</v>
      </c>
      <c r="P678" s="28" t="s">
        <v>41</v>
      </c>
      <c r="Q678" s="28" t="s">
        <v>124</v>
      </c>
      <c r="R678" s="30">
        <v>5.0149999999999997</v>
      </c>
      <c r="S678" s="30">
        <v>4.5</v>
      </c>
      <c r="T678" s="30"/>
      <c r="U678" s="30">
        <v>9.8000000000000004E-2</v>
      </c>
      <c r="V678" s="8">
        <f t="shared" si="586"/>
        <v>127.38099999999999</v>
      </c>
      <c r="W678" s="8">
        <f t="shared" si="587"/>
        <v>114.3</v>
      </c>
      <c r="X678" s="8">
        <f t="shared" si="588"/>
        <v>0</v>
      </c>
      <c r="Y678" s="33">
        <f t="shared" si="589"/>
        <v>2.4891999999999999</v>
      </c>
      <c r="Z678" s="28" t="s">
        <v>56</v>
      </c>
      <c r="AA678" s="28" t="s">
        <v>57</v>
      </c>
      <c r="AB678" s="61" t="s">
        <v>124</v>
      </c>
      <c r="AC678" s="31" t="s">
        <v>125</v>
      </c>
      <c r="AD678" s="50">
        <f t="shared" si="590"/>
        <v>1</v>
      </c>
      <c r="AE678" s="31"/>
      <c r="AF678" s="51">
        <v>14</v>
      </c>
      <c r="AG678" s="51">
        <f t="shared" si="617"/>
        <v>8.4</v>
      </c>
      <c r="AH678" s="51">
        <f t="shared" si="584"/>
        <v>42</v>
      </c>
      <c r="AI678" s="52" t="s">
        <v>2497</v>
      </c>
      <c r="AJ678" s="52" t="s">
        <v>2498</v>
      </c>
      <c r="AK678" s="53">
        <f t="shared" si="618"/>
        <v>2.9119296599999997E-2</v>
      </c>
      <c r="AL678" s="54">
        <f t="shared" si="619"/>
        <v>0.11904761904761904</v>
      </c>
      <c r="AM678" s="54">
        <f t="shared" si="620"/>
        <v>2.3809523809523808E-2</v>
      </c>
      <c r="AN678" s="55">
        <f t="shared" si="621"/>
        <v>3.4665829285714278E-3</v>
      </c>
      <c r="AO678" s="55">
        <f t="shared" si="622"/>
        <v>6.9331658571428559E-4</v>
      </c>
      <c r="AP678" s="53">
        <v>7.1</v>
      </c>
      <c r="AQ678" s="53">
        <f t="shared" si="591"/>
        <v>4.26</v>
      </c>
      <c r="AR678" s="53">
        <f t="shared" si="592"/>
        <v>21.299999999999997</v>
      </c>
      <c r="AS678" s="56">
        <f t="shared" si="593"/>
        <v>4.6948356807511742E-2</v>
      </c>
      <c r="AT678" s="56">
        <f t="shared" si="623"/>
        <v>0.23474178403755869</v>
      </c>
      <c r="AU678" s="56">
        <f t="shared" si="594"/>
        <v>0.176056338028169</v>
      </c>
      <c r="AV678" s="56">
        <f t="shared" si="624"/>
        <v>5.8685446009389672E-2</v>
      </c>
      <c r="AW678" s="57" t="s">
        <v>2511</v>
      </c>
      <c r="AX678" s="57" t="s">
        <v>2512</v>
      </c>
      <c r="AY678" s="57" t="s">
        <v>2513</v>
      </c>
      <c r="AZ678" s="58">
        <f t="shared" si="625"/>
        <v>2.9119296599999997E-2</v>
      </c>
      <c r="BA678" s="59">
        <f t="shared" si="628"/>
        <v>8.5443945422535202E-4</v>
      </c>
      <c r="BB678" s="59">
        <f t="shared" si="629"/>
        <v>2.563318362676056E-3</v>
      </c>
      <c r="BC678" s="59">
        <f t="shared" si="630"/>
        <v>6.8355156338028168E-4</v>
      </c>
      <c r="BD678" s="60">
        <f t="shared" si="626"/>
        <v>5.0505050505050509E-3</v>
      </c>
      <c r="BE678" s="59">
        <f t="shared" si="627"/>
        <v>5.0505050505050509E-3</v>
      </c>
      <c r="BQ678" s="61">
        <v>3000</v>
      </c>
      <c r="BR678" s="61">
        <v>1200</v>
      </c>
      <c r="BS678" s="28">
        <f t="shared" si="595"/>
        <v>2980</v>
      </c>
      <c r="BT678" s="28">
        <f t="shared" si="596"/>
        <v>1180</v>
      </c>
      <c r="BU678" s="28" t="s">
        <v>2541</v>
      </c>
      <c r="BV678" s="28">
        <f t="shared" si="597"/>
        <v>132.38099999999997</v>
      </c>
      <c r="BW678" s="28">
        <f t="shared" si="598"/>
        <v>119.3</v>
      </c>
      <c r="BX678" s="13">
        <f t="shared" si="599"/>
        <v>22.510783269502426</v>
      </c>
      <c r="BY678" s="13">
        <f t="shared" si="600"/>
        <v>22</v>
      </c>
      <c r="BZ678" s="13">
        <f t="shared" si="601"/>
        <v>9.8910310142497906</v>
      </c>
      <c r="CA678" s="13">
        <f t="shared" si="602"/>
        <v>9</v>
      </c>
      <c r="CB678" s="13">
        <f t="shared" si="603"/>
        <v>198</v>
      </c>
      <c r="CC678" s="62">
        <f t="shared" si="604"/>
        <v>5.0505050505050509E-3</v>
      </c>
      <c r="CD678" s="13">
        <f t="shared" si="605"/>
        <v>24.979044425817268</v>
      </c>
      <c r="CE678" s="13">
        <f t="shared" si="606"/>
        <v>24</v>
      </c>
      <c r="CF678" s="13">
        <f t="shared" si="607"/>
        <v>8.9136658583935784</v>
      </c>
      <c r="CG678" s="13">
        <f t="shared" si="608"/>
        <v>8</v>
      </c>
      <c r="CH678" s="28">
        <f t="shared" si="609"/>
        <v>192</v>
      </c>
      <c r="CI678" s="62">
        <f t="shared" si="610"/>
        <v>5.208333333333333E-3</v>
      </c>
      <c r="CJ678" s="59">
        <f t="shared" si="611"/>
        <v>5.0505050505050509E-3</v>
      </c>
      <c r="CL678" s="63">
        <v>6000</v>
      </c>
      <c r="CM678" s="63">
        <f t="shared" si="612"/>
        <v>127.38099999999999</v>
      </c>
      <c r="CN678" s="63">
        <f t="shared" si="613"/>
        <v>132.38099999999997</v>
      </c>
      <c r="CO678" s="63">
        <f t="shared" si="614"/>
        <v>45.323724703696158</v>
      </c>
      <c r="CP678" s="13">
        <f t="shared" si="615"/>
        <v>45</v>
      </c>
      <c r="CQ678" s="70">
        <f t="shared" si="616"/>
        <v>2.2222222222222223E-2</v>
      </c>
      <c r="CR678" s="69">
        <f t="shared" si="636"/>
        <v>2.2222222222222223E-2</v>
      </c>
    </row>
    <row r="679" spans="1:96" hidden="1" x14ac:dyDescent="0.25">
      <c r="A679" s="36">
        <v>2</v>
      </c>
      <c r="B679" s="37" t="s">
        <v>37</v>
      </c>
      <c r="C679" s="36" t="s">
        <v>1641</v>
      </c>
      <c r="D679" s="36" t="s">
        <v>2270</v>
      </c>
      <c r="E679" s="36" t="s">
        <v>32</v>
      </c>
      <c r="F679" s="38">
        <f t="shared" si="585"/>
        <v>1</v>
      </c>
      <c r="G679" s="36">
        <v>1</v>
      </c>
      <c r="H679" s="36">
        <f t="shared" si="635"/>
        <v>1</v>
      </c>
      <c r="I679" s="36">
        <v>197</v>
      </c>
      <c r="J679" s="37" t="s">
        <v>722</v>
      </c>
      <c r="K679" s="37" t="s">
        <v>34</v>
      </c>
      <c r="L679" s="36">
        <v>0</v>
      </c>
      <c r="M679" s="37" t="s">
        <v>35</v>
      </c>
      <c r="N679" s="36" t="s">
        <v>1642</v>
      </c>
      <c r="O679" s="28" t="s">
        <v>41</v>
      </c>
      <c r="P679" s="28" t="s">
        <v>41</v>
      </c>
      <c r="Q679" s="28"/>
      <c r="R679" s="30"/>
      <c r="S679" s="30"/>
      <c r="T679" s="30"/>
      <c r="U679" s="30"/>
      <c r="V679" s="8">
        <f t="shared" si="586"/>
        <v>0</v>
      </c>
      <c r="W679" s="8">
        <f t="shared" si="587"/>
        <v>0</v>
      </c>
      <c r="X679" s="8">
        <f t="shared" si="588"/>
        <v>0</v>
      </c>
      <c r="Y679" s="33">
        <f t="shared" si="589"/>
        <v>0</v>
      </c>
      <c r="Z679" s="28"/>
      <c r="AA679" s="28"/>
      <c r="AB679" s="28">
        <v>0</v>
      </c>
      <c r="AC679" s="31"/>
      <c r="AD679" s="50">
        <f t="shared" si="590"/>
        <v>1</v>
      </c>
      <c r="AE679" s="31"/>
      <c r="AF679" s="51">
        <v>14</v>
      </c>
      <c r="AG679" s="51">
        <f t="shared" si="617"/>
        <v>8.4</v>
      </c>
      <c r="AH679" s="51">
        <f t="shared" si="584"/>
        <v>42</v>
      </c>
      <c r="AI679" s="52" t="s">
        <v>2497</v>
      </c>
      <c r="AJ679" s="52" t="s">
        <v>2498</v>
      </c>
      <c r="AK679" s="53">
        <f t="shared" si="618"/>
        <v>0</v>
      </c>
      <c r="AL679" s="54">
        <f t="shared" si="619"/>
        <v>0.11904761904761904</v>
      </c>
      <c r="AM679" s="54">
        <f t="shared" si="620"/>
        <v>2.3809523809523808E-2</v>
      </c>
      <c r="AN679" s="55">
        <f t="shared" si="621"/>
        <v>0</v>
      </c>
      <c r="AO679" s="55">
        <f t="shared" si="622"/>
        <v>0</v>
      </c>
      <c r="AP679" s="53">
        <v>7.1</v>
      </c>
      <c r="AQ679" s="53">
        <f t="shared" si="591"/>
        <v>4.26</v>
      </c>
      <c r="AR679" s="53">
        <f t="shared" si="592"/>
        <v>21.299999999999997</v>
      </c>
      <c r="AS679" s="56">
        <f t="shared" si="593"/>
        <v>4.6948356807511742E-2</v>
      </c>
      <c r="AT679" s="56">
        <f t="shared" si="623"/>
        <v>0.23474178403755869</v>
      </c>
      <c r="AU679" s="56">
        <f t="shared" si="594"/>
        <v>0.176056338028169</v>
      </c>
      <c r="AV679" s="56">
        <f t="shared" si="624"/>
        <v>5.8685446009389672E-2</v>
      </c>
      <c r="AW679" s="57" t="s">
        <v>2511</v>
      </c>
      <c r="AX679" s="57" t="s">
        <v>2512</v>
      </c>
      <c r="AY679" s="57" t="s">
        <v>2513</v>
      </c>
      <c r="AZ679" s="58">
        <f t="shared" si="625"/>
        <v>0</v>
      </c>
      <c r="BA679" s="59">
        <f t="shared" si="628"/>
        <v>0</v>
      </c>
      <c r="BB679" s="59">
        <f t="shared" si="629"/>
        <v>0</v>
      </c>
      <c r="BC679" s="59">
        <f t="shared" si="630"/>
        <v>0</v>
      </c>
      <c r="BD679" s="60">
        <f t="shared" si="626"/>
        <v>0</v>
      </c>
      <c r="BE679" s="59">
        <f t="shared" si="627"/>
        <v>0</v>
      </c>
      <c r="BQ679" s="61">
        <v>3000</v>
      </c>
      <c r="BR679" s="61">
        <v>1200</v>
      </c>
      <c r="BS679" s="28">
        <f t="shared" si="595"/>
        <v>2980</v>
      </c>
      <c r="BT679" s="28">
        <f t="shared" si="596"/>
        <v>1180</v>
      </c>
      <c r="BU679" s="28" t="s">
        <v>2541</v>
      </c>
      <c r="BV679" s="28">
        <f t="shared" si="597"/>
        <v>5</v>
      </c>
      <c r="BW679" s="28">
        <f t="shared" si="598"/>
        <v>5</v>
      </c>
      <c r="BX679" s="13">
        <f t="shared" si="599"/>
        <v>596</v>
      </c>
      <c r="BY679" s="13">
        <f t="shared" si="600"/>
        <v>596</v>
      </c>
      <c r="BZ679" s="13">
        <f t="shared" si="601"/>
        <v>236</v>
      </c>
      <c r="CA679" s="13">
        <f t="shared" si="602"/>
        <v>236</v>
      </c>
      <c r="CB679" s="13">
        <f t="shared" si="603"/>
        <v>140656</v>
      </c>
      <c r="CC679" s="62" t="str">
        <f t="shared" si="604"/>
        <v/>
      </c>
      <c r="CD679" s="13">
        <f t="shared" si="605"/>
        <v>596</v>
      </c>
      <c r="CE679" s="13">
        <f t="shared" si="606"/>
        <v>596</v>
      </c>
      <c r="CF679" s="13">
        <f t="shared" si="607"/>
        <v>236</v>
      </c>
      <c r="CG679" s="13">
        <f t="shared" si="608"/>
        <v>236</v>
      </c>
      <c r="CH679" s="28">
        <f t="shared" si="609"/>
        <v>140656</v>
      </c>
      <c r="CI679" s="62" t="str">
        <f t="shared" si="610"/>
        <v/>
      </c>
      <c r="CJ679" s="59">
        <f t="shared" si="611"/>
        <v>0</v>
      </c>
      <c r="CL679" s="63">
        <v>6000</v>
      </c>
      <c r="CM679" s="63">
        <f t="shared" si="612"/>
        <v>0</v>
      </c>
      <c r="CN679" s="63">
        <f t="shared" si="613"/>
        <v>5</v>
      </c>
      <c r="CO679" s="63">
        <f t="shared" si="614"/>
        <v>1200</v>
      </c>
      <c r="CP679" s="13">
        <f t="shared" si="615"/>
        <v>1200</v>
      </c>
      <c r="CQ679" s="70">
        <f t="shared" si="616"/>
        <v>8.3333333333333339E-4</v>
      </c>
      <c r="CR679" s="69">
        <f t="shared" si="636"/>
        <v>8.3333333333333339E-4</v>
      </c>
    </row>
    <row r="680" spans="1:96" hidden="1" x14ac:dyDescent="0.25">
      <c r="A680" s="10">
        <v>3</v>
      </c>
      <c r="B680" s="8" t="s">
        <v>1643</v>
      </c>
      <c r="C680" s="10" t="s">
        <v>1644</v>
      </c>
      <c r="D680" s="10" t="s">
        <v>2270</v>
      </c>
      <c r="E680" s="10" t="s">
        <v>32</v>
      </c>
      <c r="F680" s="12">
        <f t="shared" si="585"/>
        <v>1</v>
      </c>
      <c r="G680" s="10">
        <v>1</v>
      </c>
      <c r="H680" s="10">
        <f>G680*$H$679</f>
        <v>1</v>
      </c>
      <c r="I680" s="10">
        <v>10</v>
      </c>
      <c r="J680" s="8" t="s">
        <v>722</v>
      </c>
      <c r="K680" s="8" t="s">
        <v>34</v>
      </c>
      <c r="L680" s="10">
        <v>0</v>
      </c>
      <c r="M680" s="8" t="s">
        <v>35</v>
      </c>
      <c r="N680" s="10" t="s">
        <v>1645</v>
      </c>
      <c r="O680" s="28" t="s">
        <v>41</v>
      </c>
      <c r="P680" s="28" t="s">
        <v>41</v>
      </c>
      <c r="Q680" s="28"/>
      <c r="R680" s="30"/>
      <c r="S680" s="30"/>
      <c r="T680" s="30"/>
      <c r="U680" s="30"/>
      <c r="V680" s="8">
        <f t="shared" si="586"/>
        <v>0</v>
      </c>
      <c r="W680" s="8">
        <f t="shared" si="587"/>
        <v>0</v>
      </c>
      <c r="X680" s="8">
        <f t="shared" si="588"/>
        <v>0</v>
      </c>
      <c r="Y680" s="33">
        <f t="shared" si="589"/>
        <v>0</v>
      </c>
      <c r="Z680" s="28"/>
      <c r="AA680" s="28"/>
      <c r="AB680" s="28">
        <v>0</v>
      </c>
      <c r="AC680" s="31"/>
      <c r="AD680" s="50">
        <f t="shared" si="590"/>
        <v>1</v>
      </c>
      <c r="AE680" s="31"/>
      <c r="AF680" s="51">
        <v>14</v>
      </c>
      <c r="AG680" s="51">
        <f t="shared" si="617"/>
        <v>8.4</v>
      </c>
      <c r="AH680" s="51">
        <f t="shared" si="584"/>
        <v>42</v>
      </c>
      <c r="AI680" s="52" t="s">
        <v>2497</v>
      </c>
      <c r="AJ680" s="52" t="s">
        <v>2498</v>
      </c>
      <c r="AK680" s="53">
        <f t="shared" si="618"/>
        <v>0</v>
      </c>
      <c r="AL680" s="54">
        <f t="shared" si="619"/>
        <v>0.11904761904761904</v>
      </c>
      <c r="AM680" s="54">
        <f t="shared" si="620"/>
        <v>2.3809523809523808E-2</v>
      </c>
      <c r="AN680" s="55">
        <f t="shared" si="621"/>
        <v>0</v>
      </c>
      <c r="AO680" s="55">
        <f t="shared" si="622"/>
        <v>0</v>
      </c>
      <c r="AP680" s="53">
        <v>7.1</v>
      </c>
      <c r="AQ680" s="53">
        <f t="shared" si="591"/>
        <v>4.26</v>
      </c>
      <c r="AR680" s="53">
        <f t="shared" si="592"/>
        <v>21.299999999999997</v>
      </c>
      <c r="AS680" s="56">
        <f t="shared" si="593"/>
        <v>4.6948356807511742E-2</v>
      </c>
      <c r="AT680" s="56">
        <f t="shared" si="623"/>
        <v>0.23474178403755869</v>
      </c>
      <c r="AU680" s="56">
        <f t="shared" si="594"/>
        <v>0.176056338028169</v>
      </c>
      <c r="AV680" s="56">
        <f t="shared" si="624"/>
        <v>5.8685446009389672E-2</v>
      </c>
      <c r="AW680" s="57" t="s">
        <v>2511</v>
      </c>
      <c r="AX680" s="57" t="s">
        <v>2512</v>
      </c>
      <c r="AY680" s="57" t="s">
        <v>2513</v>
      </c>
      <c r="AZ680" s="58">
        <f t="shared" si="625"/>
        <v>0</v>
      </c>
      <c r="BA680" s="59">
        <f t="shared" si="628"/>
        <v>0</v>
      </c>
      <c r="BB680" s="59">
        <f t="shared" si="629"/>
        <v>0</v>
      </c>
      <c r="BC680" s="59">
        <f t="shared" si="630"/>
        <v>0</v>
      </c>
      <c r="BD680" s="60">
        <f t="shared" si="626"/>
        <v>0</v>
      </c>
      <c r="BE680" s="59">
        <f t="shared" si="627"/>
        <v>0</v>
      </c>
      <c r="BQ680" s="61">
        <v>3000</v>
      </c>
      <c r="BR680" s="61">
        <v>1200</v>
      </c>
      <c r="BS680" s="28">
        <f t="shared" si="595"/>
        <v>2980</v>
      </c>
      <c r="BT680" s="28">
        <f t="shared" si="596"/>
        <v>1180</v>
      </c>
      <c r="BU680" s="28" t="s">
        <v>2541</v>
      </c>
      <c r="BV680" s="28">
        <f t="shared" si="597"/>
        <v>5</v>
      </c>
      <c r="BW680" s="28">
        <f t="shared" si="598"/>
        <v>5</v>
      </c>
      <c r="BX680" s="13">
        <f t="shared" si="599"/>
        <v>596</v>
      </c>
      <c r="BY680" s="13">
        <f t="shared" si="600"/>
        <v>596</v>
      </c>
      <c r="BZ680" s="13">
        <f t="shared" si="601"/>
        <v>236</v>
      </c>
      <c r="CA680" s="13">
        <f t="shared" si="602"/>
        <v>236</v>
      </c>
      <c r="CB680" s="13">
        <f t="shared" si="603"/>
        <v>140656</v>
      </c>
      <c r="CC680" s="62" t="str">
        <f t="shared" si="604"/>
        <v/>
      </c>
      <c r="CD680" s="13">
        <f t="shared" si="605"/>
        <v>596</v>
      </c>
      <c r="CE680" s="13">
        <f t="shared" si="606"/>
        <v>596</v>
      </c>
      <c r="CF680" s="13">
        <f t="shared" si="607"/>
        <v>236</v>
      </c>
      <c r="CG680" s="13">
        <f t="shared" si="608"/>
        <v>236</v>
      </c>
      <c r="CH680" s="28">
        <f t="shared" si="609"/>
        <v>140656</v>
      </c>
      <c r="CI680" s="62" t="str">
        <f t="shared" si="610"/>
        <v/>
      </c>
      <c r="CJ680" s="59">
        <f t="shared" si="611"/>
        <v>0</v>
      </c>
      <c r="CL680" s="63">
        <v>6000</v>
      </c>
      <c r="CM680" s="63">
        <f t="shared" si="612"/>
        <v>0</v>
      </c>
      <c r="CN680" s="63">
        <f t="shared" si="613"/>
        <v>5</v>
      </c>
      <c r="CO680" s="63">
        <f t="shared" si="614"/>
        <v>1200</v>
      </c>
      <c r="CP680" s="13">
        <f t="shared" si="615"/>
        <v>1200</v>
      </c>
      <c r="CQ680" s="70">
        <f t="shared" si="616"/>
        <v>8.3333333333333339E-4</v>
      </c>
      <c r="CR680" s="69">
        <f t="shared" si="636"/>
        <v>8.3333333333333339E-4</v>
      </c>
    </row>
    <row r="681" spans="1:96" hidden="1" x14ac:dyDescent="0.25">
      <c r="A681" s="13">
        <v>4</v>
      </c>
      <c r="B681" s="14" t="s">
        <v>1646</v>
      </c>
      <c r="C681" s="13" t="s">
        <v>1647</v>
      </c>
      <c r="D681" s="13" t="s">
        <v>2270</v>
      </c>
      <c r="E681" s="13" t="s">
        <v>52</v>
      </c>
      <c r="F681" s="15">
        <f t="shared" si="585"/>
        <v>1</v>
      </c>
      <c r="G681" s="13">
        <v>1</v>
      </c>
      <c r="H681" s="13">
        <f>G681*$H$680</f>
        <v>1</v>
      </c>
      <c r="I681" s="13">
        <v>1</v>
      </c>
      <c r="J681" s="14" t="s">
        <v>503</v>
      </c>
      <c r="K681" s="14" t="s">
        <v>34</v>
      </c>
      <c r="L681" s="13">
        <v>0</v>
      </c>
      <c r="M681" s="14" t="s">
        <v>35</v>
      </c>
      <c r="N681" s="13" t="s">
        <v>1648</v>
      </c>
      <c r="O681" s="28" t="s">
        <v>41</v>
      </c>
      <c r="P681" s="28" t="s">
        <v>41</v>
      </c>
      <c r="Q681" s="28" t="s">
        <v>249</v>
      </c>
      <c r="R681" s="30">
        <v>42.354999999999997</v>
      </c>
      <c r="S681" s="30">
        <v>34.581000000000003</v>
      </c>
      <c r="T681" s="30"/>
      <c r="U681" s="30">
        <v>0.19700000000000001</v>
      </c>
      <c r="V681" s="8">
        <f t="shared" si="586"/>
        <v>1075.8169999999998</v>
      </c>
      <c r="W681" s="8">
        <f t="shared" si="587"/>
        <v>878.35739999999998</v>
      </c>
      <c r="X681" s="8">
        <f t="shared" si="588"/>
        <v>0</v>
      </c>
      <c r="Y681" s="33">
        <f t="shared" si="589"/>
        <v>5.0038</v>
      </c>
      <c r="Z681" s="28" t="s">
        <v>250</v>
      </c>
      <c r="AA681" s="28" t="s">
        <v>251</v>
      </c>
      <c r="AB681" s="61" t="s">
        <v>249</v>
      </c>
      <c r="AC681" s="31" t="s">
        <v>252</v>
      </c>
      <c r="AD681" s="50">
        <f t="shared" si="590"/>
        <v>1</v>
      </c>
      <c r="AE681" s="31"/>
      <c r="AF681" s="51">
        <v>14</v>
      </c>
      <c r="AG681" s="51">
        <f t="shared" si="617"/>
        <v>8.4</v>
      </c>
      <c r="AH681" s="51">
        <f t="shared" si="584"/>
        <v>42</v>
      </c>
      <c r="AI681" s="52" t="s">
        <v>2497</v>
      </c>
      <c r="AJ681" s="52" t="s">
        <v>2498</v>
      </c>
      <c r="AK681" s="53">
        <f t="shared" si="618"/>
        <v>1.8899036459915997</v>
      </c>
      <c r="AL681" s="54">
        <f t="shared" si="619"/>
        <v>0.11904761904761904</v>
      </c>
      <c r="AM681" s="54">
        <f t="shared" si="620"/>
        <v>2.3809523809523808E-2</v>
      </c>
      <c r="AN681" s="55">
        <f t="shared" si="621"/>
        <v>0.22498852928471424</v>
      </c>
      <c r="AO681" s="55">
        <f t="shared" si="622"/>
        <v>4.4997705856942849E-2</v>
      </c>
      <c r="AP681" s="53">
        <v>7.1</v>
      </c>
      <c r="AQ681" s="53">
        <f t="shared" si="591"/>
        <v>4.26</v>
      </c>
      <c r="AR681" s="53">
        <f t="shared" si="592"/>
        <v>21.299999999999997</v>
      </c>
      <c r="AS681" s="56">
        <f t="shared" si="593"/>
        <v>4.6948356807511742E-2</v>
      </c>
      <c r="AT681" s="56">
        <f t="shared" si="623"/>
        <v>0.23474178403755869</v>
      </c>
      <c r="AU681" s="56">
        <f t="shared" si="594"/>
        <v>0.176056338028169</v>
      </c>
      <c r="AV681" s="56">
        <f t="shared" si="624"/>
        <v>5.8685446009389672E-2</v>
      </c>
      <c r="AW681" s="57" t="s">
        <v>2511</v>
      </c>
      <c r="AX681" s="57" t="s">
        <v>2512</v>
      </c>
      <c r="AY681" s="57" t="s">
        <v>2513</v>
      </c>
      <c r="AZ681" s="58">
        <f t="shared" si="625"/>
        <v>1.8899036459915997</v>
      </c>
      <c r="BA681" s="59">
        <f t="shared" si="628"/>
        <v>5.5454919189894356E-2</v>
      </c>
      <c r="BB681" s="59">
        <f t="shared" si="629"/>
        <v>0.16636475756968305</v>
      </c>
      <c r="BC681" s="59">
        <f t="shared" si="630"/>
        <v>4.436393535191549E-2</v>
      </c>
      <c r="BD681" s="60">
        <f t="shared" si="626"/>
        <v>0.33333333333333331</v>
      </c>
      <c r="BE681" s="59">
        <f t="shared" si="627"/>
        <v>0.33333333333333331</v>
      </c>
      <c r="BQ681" s="61">
        <v>3000</v>
      </c>
      <c r="BR681" s="61">
        <v>1200</v>
      </c>
      <c r="BS681" s="28">
        <f t="shared" si="595"/>
        <v>2980</v>
      </c>
      <c r="BT681" s="28">
        <f t="shared" si="596"/>
        <v>1180</v>
      </c>
      <c r="BU681" s="28" t="s">
        <v>2541</v>
      </c>
      <c r="BV681" s="28">
        <f t="shared" si="597"/>
        <v>1080.8169999999998</v>
      </c>
      <c r="BW681" s="28">
        <f t="shared" si="598"/>
        <v>883.35739999999998</v>
      </c>
      <c r="BX681" s="13">
        <f t="shared" si="599"/>
        <v>2.7571735085588038</v>
      </c>
      <c r="BY681" s="13">
        <f t="shared" si="600"/>
        <v>2</v>
      </c>
      <c r="BZ681" s="13">
        <f t="shared" si="601"/>
        <v>1.335812662009737</v>
      </c>
      <c r="CA681" s="13">
        <f t="shared" si="602"/>
        <v>1</v>
      </c>
      <c r="CB681" s="13">
        <f t="shared" si="603"/>
        <v>2</v>
      </c>
      <c r="CC681" s="62">
        <f t="shared" si="604"/>
        <v>0.5</v>
      </c>
      <c r="CD681" s="13">
        <f t="shared" si="605"/>
        <v>3.3734929938889966</v>
      </c>
      <c r="CE681" s="13">
        <f t="shared" si="606"/>
        <v>3</v>
      </c>
      <c r="CF681" s="13">
        <f t="shared" si="607"/>
        <v>1.0917666913085196</v>
      </c>
      <c r="CG681" s="13">
        <f t="shared" si="608"/>
        <v>1</v>
      </c>
      <c r="CH681" s="28">
        <f t="shared" si="609"/>
        <v>3</v>
      </c>
      <c r="CI681" s="62">
        <f t="shared" si="610"/>
        <v>0.33333333333333331</v>
      </c>
      <c r="CJ681" s="59">
        <f t="shared" si="611"/>
        <v>0.33333333333333331</v>
      </c>
      <c r="CL681" s="63">
        <v>6000</v>
      </c>
      <c r="CM681" s="63">
        <f t="shared" si="612"/>
        <v>1075.8169999999998</v>
      </c>
      <c r="CN681" s="63">
        <f t="shared" si="613"/>
        <v>1080.8169999999998</v>
      </c>
      <c r="CO681" s="63">
        <f t="shared" si="614"/>
        <v>5.5513560575009473</v>
      </c>
      <c r="CP681" s="13">
        <f t="shared" si="615"/>
        <v>5</v>
      </c>
      <c r="CQ681" s="70">
        <f t="shared" si="616"/>
        <v>0.2</v>
      </c>
      <c r="CR681" s="69">
        <f t="shared" si="636"/>
        <v>0.2</v>
      </c>
    </row>
    <row r="682" spans="1:96" hidden="1" x14ac:dyDescent="0.25">
      <c r="A682" s="13">
        <v>4</v>
      </c>
      <c r="B682" s="14" t="s">
        <v>1646</v>
      </c>
      <c r="C682" s="13" t="s">
        <v>59</v>
      </c>
      <c r="D682" s="13" t="s">
        <v>61</v>
      </c>
      <c r="E682" s="13" t="s">
        <v>52</v>
      </c>
      <c r="F682" s="15">
        <f t="shared" si="585"/>
        <v>19</v>
      </c>
      <c r="G682" s="13">
        <v>4</v>
      </c>
      <c r="H682" s="13">
        <f t="shared" ref="H682:H683" si="637">G682*$H$680</f>
        <v>4</v>
      </c>
      <c r="I682" s="13">
        <v>2</v>
      </c>
      <c r="J682" s="14" t="s">
        <v>60</v>
      </c>
      <c r="K682" s="14" t="s">
        <v>34</v>
      </c>
      <c r="L682" s="13">
        <v>0</v>
      </c>
      <c r="M682" s="14" t="s">
        <v>35</v>
      </c>
      <c r="N682" s="13" t="s">
        <v>61</v>
      </c>
      <c r="O682" s="28" t="s">
        <v>41</v>
      </c>
      <c r="P682" s="28" t="s">
        <v>41</v>
      </c>
      <c r="Q682" s="28" t="s">
        <v>61</v>
      </c>
      <c r="R682" s="30"/>
      <c r="S682" s="30"/>
      <c r="T682" s="30"/>
      <c r="U682" s="30"/>
      <c r="V682" s="8">
        <f t="shared" si="586"/>
        <v>0</v>
      </c>
      <c r="W682" s="8">
        <f t="shared" si="587"/>
        <v>0</v>
      </c>
      <c r="X682" s="8">
        <f t="shared" si="588"/>
        <v>0</v>
      </c>
      <c r="Y682" s="33">
        <f t="shared" si="589"/>
        <v>0</v>
      </c>
      <c r="Z682" s="28"/>
      <c r="AA682" s="28"/>
      <c r="AB682" s="61" t="s">
        <v>61</v>
      </c>
      <c r="AC682" s="31" t="s">
        <v>62</v>
      </c>
      <c r="AD682" s="50">
        <f t="shared" si="590"/>
        <v>4</v>
      </c>
      <c r="AE682" s="31"/>
      <c r="AF682" s="51">
        <v>14</v>
      </c>
      <c r="AG682" s="51">
        <f t="shared" si="617"/>
        <v>8.4</v>
      </c>
      <c r="AH682" s="51">
        <f t="shared" si="584"/>
        <v>42</v>
      </c>
      <c r="AI682" s="52" t="s">
        <v>2497</v>
      </c>
      <c r="AJ682" s="52" t="s">
        <v>2498</v>
      </c>
      <c r="AK682" s="53">
        <f t="shared" si="618"/>
        <v>0</v>
      </c>
      <c r="AL682" s="54">
        <f t="shared" si="619"/>
        <v>0.11904761904761904</v>
      </c>
      <c r="AM682" s="54">
        <f t="shared" si="620"/>
        <v>2.3809523809523808E-2</v>
      </c>
      <c r="AN682" s="55">
        <f t="shared" si="621"/>
        <v>0</v>
      </c>
      <c r="AO682" s="55">
        <f t="shared" si="622"/>
        <v>0</v>
      </c>
      <c r="AP682" s="53">
        <v>7.1</v>
      </c>
      <c r="AQ682" s="53">
        <f t="shared" si="591"/>
        <v>4.26</v>
      </c>
      <c r="AR682" s="53">
        <f t="shared" si="592"/>
        <v>21.299999999999997</v>
      </c>
      <c r="AS682" s="56">
        <f t="shared" si="593"/>
        <v>4.6948356807511742E-2</v>
      </c>
      <c r="AT682" s="56">
        <f t="shared" si="623"/>
        <v>0.23474178403755869</v>
      </c>
      <c r="AU682" s="56">
        <f t="shared" si="594"/>
        <v>0.176056338028169</v>
      </c>
      <c r="AV682" s="56">
        <f t="shared" si="624"/>
        <v>5.8685446009389672E-2</v>
      </c>
      <c r="AW682" s="57" t="s">
        <v>2511</v>
      </c>
      <c r="AX682" s="57" t="s">
        <v>2512</v>
      </c>
      <c r="AY682" s="57" t="s">
        <v>2513</v>
      </c>
      <c r="AZ682" s="58">
        <f t="shared" si="625"/>
        <v>0</v>
      </c>
      <c r="BA682" s="59">
        <f t="shared" si="628"/>
        <v>0</v>
      </c>
      <c r="BB682" s="59">
        <f t="shared" si="629"/>
        <v>0</v>
      </c>
      <c r="BC682" s="59">
        <f t="shared" si="630"/>
        <v>0</v>
      </c>
      <c r="BD682" s="60">
        <f t="shared" si="626"/>
        <v>7.1095438516664771E-6</v>
      </c>
      <c r="BE682" s="59">
        <f t="shared" si="627"/>
        <v>2.8438175406665908E-5</v>
      </c>
      <c r="BQ682" s="61">
        <v>3000</v>
      </c>
      <c r="BR682" s="61">
        <v>1200</v>
      </c>
      <c r="BS682" s="28">
        <f t="shared" si="595"/>
        <v>2980</v>
      </c>
      <c r="BT682" s="28">
        <f t="shared" si="596"/>
        <v>1180</v>
      </c>
      <c r="BU682" s="28" t="s">
        <v>2541</v>
      </c>
      <c r="BV682" s="28">
        <f t="shared" si="597"/>
        <v>5</v>
      </c>
      <c r="BW682" s="28">
        <f t="shared" si="598"/>
        <v>5</v>
      </c>
      <c r="BX682" s="13">
        <f t="shared" si="599"/>
        <v>596</v>
      </c>
      <c r="BY682" s="13">
        <f t="shared" si="600"/>
        <v>596</v>
      </c>
      <c r="BZ682" s="13">
        <f t="shared" si="601"/>
        <v>236</v>
      </c>
      <c r="CA682" s="13">
        <f t="shared" si="602"/>
        <v>236</v>
      </c>
      <c r="CB682" s="13">
        <f t="shared" si="603"/>
        <v>140656</v>
      </c>
      <c r="CC682" s="62">
        <f t="shared" si="604"/>
        <v>7.1095438516664771E-6</v>
      </c>
      <c r="CD682" s="13">
        <f t="shared" si="605"/>
        <v>596</v>
      </c>
      <c r="CE682" s="13">
        <f t="shared" si="606"/>
        <v>596</v>
      </c>
      <c r="CF682" s="13">
        <f t="shared" si="607"/>
        <v>236</v>
      </c>
      <c r="CG682" s="13">
        <f t="shared" si="608"/>
        <v>236</v>
      </c>
      <c r="CH682" s="28">
        <f t="shared" si="609"/>
        <v>140656</v>
      </c>
      <c r="CI682" s="62">
        <f t="shared" si="610"/>
        <v>7.1095438516664771E-6</v>
      </c>
      <c r="CJ682" s="59">
        <f t="shared" si="611"/>
        <v>7.1095438516664771E-6</v>
      </c>
      <c r="CL682" s="63">
        <v>6000</v>
      </c>
      <c r="CM682" s="63">
        <f t="shared" si="612"/>
        <v>0</v>
      </c>
      <c r="CN682" s="63">
        <f t="shared" si="613"/>
        <v>5</v>
      </c>
      <c r="CO682" s="63">
        <f t="shared" si="614"/>
        <v>1200</v>
      </c>
      <c r="CP682" s="13">
        <f t="shared" si="615"/>
        <v>1200</v>
      </c>
      <c r="CQ682" s="70">
        <f t="shared" si="616"/>
        <v>8.3333333333333339E-4</v>
      </c>
      <c r="CR682" s="69">
        <f t="shared" si="636"/>
        <v>3.3333333333333335E-3</v>
      </c>
    </row>
    <row r="683" spans="1:96" hidden="1" x14ac:dyDescent="0.25">
      <c r="A683" s="13">
        <v>4</v>
      </c>
      <c r="B683" s="14" t="s">
        <v>1646</v>
      </c>
      <c r="C683" s="13" t="s">
        <v>67</v>
      </c>
      <c r="D683" s="13" t="s">
        <v>69</v>
      </c>
      <c r="E683" s="13" t="s">
        <v>52</v>
      </c>
      <c r="F683" s="15">
        <f t="shared" si="585"/>
        <v>4</v>
      </c>
      <c r="G683" s="13">
        <v>4</v>
      </c>
      <c r="H683" s="13">
        <f t="shared" si="637"/>
        <v>4</v>
      </c>
      <c r="I683" s="13">
        <v>3</v>
      </c>
      <c r="J683" s="14" t="s">
        <v>68</v>
      </c>
      <c r="K683" s="14" t="s">
        <v>34</v>
      </c>
      <c r="L683" s="13">
        <v>0</v>
      </c>
      <c r="M683" s="14" t="s">
        <v>35</v>
      </c>
      <c r="N683" s="13" t="s">
        <v>69</v>
      </c>
      <c r="O683" s="28" t="s">
        <v>41</v>
      </c>
      <c r="P683" s="28" t="s">
        <v>41</v>
      </c>
      <c r="Q683" s="28" t="s">
        <v>69</v>
      </c>
      <c r="R683" s="30"/>
      <c r="S683" s="30"/>
      <c r="T683" s="30"/>
      <c r="U683" s="30"/>
      <c r="V683" s="8">
        <f t="shared" si="586"/>
        <v>0</v>
      </c>
      <c r="W683" s="8">
        <f t="shared" si="587"/>
        <v>0</v>
      </c>
      <c r="X683" s="8">
        <f t="shared" si="588"/>
        <v>0</v>
      </c>
      <c r="Y683" s="33">
        <f t="shared" si="589"/>
        <v>0</v>
      </c>
      <c r="Z683" s="28"/>
      <c r="AA683" s="28"/>
      <c r="AB683" s="61" t="s">
        <v>69</v>
      </c>
      <c r="AC683" s="31" t="s">
        <v>70</v>
      </c>
      <c r="AD683" s="50">
        <f t="shared" si="590"/>
        <v>4</v>
      </c>
      <c r="AE683" s="31"/>
      <c r="AF683" s="51">
        <v>14</v>
      </c>
      <c r="AG683" s="51">
        <f t="shared" si="617"/>
        <v>8.4</v>
      </c>
      <c r="AH683" s="51">
        <f t="shared" si="584"/>
        <v>42</v>
      </c>
      <c r="AI683" s="52" t="s">
        <v>2497</v>
      </c>
      <c r="AJ683" s="52" t="s">
        <v>2498</v>
      </c>
      <c r="AK683" s="53">
        <f t="shared" si="618"/>
        <v>0</v>
      </c>
      <c r="AL683" s="54">
        <f t="shared" si="619"/>
        <v>0.11904761904761904</v>
      </c>
      <c r="AM683" s="54">
        <f t="shared" si="620"/>
        <v>2.3809523809523808E-2</v>
      </c>
      <c r="AN683" s="55">
        <f t="shared" si="621"/>
        <v>0</v>
      </c>
      <c r="AO683" s="55">
        <f t="shared" si="622"/>
        <v>0</v>
      </c>
      <c r="AP683" s="53">
        <v>7.1</v>
      </c>
      <c r="AQ683" s="53">
        <f t="shared" si="591"/>
        <v>4.26</v>
      </c>
      <c r="AR683" s="53">
        <f t="shared" si="592"/>
        <v>21.299999999999997</v>
      </c>
      <c r="AS683" s="56">
        <f t="shared" si="593"/>
        <v>4.6948356807511742E-2</v>
      </c>
      <c r="AT683" s="56">
        <f t="shared" si="623"/>
        <v>0.23474178403755869</v>
      </c>
      <c r="AU683" s="56">
        <f t="shared" si="594"/>
        <v>0.176056338028169</v>
      </c>
      <c r="AV683" s="56">
        <f t="shared" si="624"/>
        <v>5.8685446009389672E-2</v>
      </c>
      <c r="AW683" s="57" t="s">
        <v>2511</v>
      </c>
      <c r="AX683" s="57" t="s">
        <v>2512</v>
      </c>
      <c r="AY683" s="57" t="s">
        <v>2513</v>
      </c>
      <c r="AZ683" s="58">
        <f t="shared" si="625"/>
        <v>0</v>
      </c>
      <c r="BA683" s="59">
        <f t="shared" si="628"/>
        <v>0</v>
      </c>
      <c r="BB683" s="59">
        <f t="shared" si="629"/>
        <v>0</v>
      </c>
      <c r="BC683" s="59">
        <f t="shared" si="630"/>
        <v>0</v>
      </c>
      <c r="BD683" s="60">
        <f t="shared" si="626"/>
        <v>7.1095438516664771E-6</v>
      </c>
      <c r="BE683" s="59">
        <f t="shared" si="627"/>
        <v>2.8438175406665908E-5</v>
      </c>
      <c r="BQ683" s="61">
        <v>3000</v>
      </c>
      <c r="BR683" s="61">
        <v>1200</v>
      </c>
      <c r="BS683" s="28">
        <f t="shared" si="595"/>
        <v>2980</v>
      </c>
      <c r="BT683" s="28">
        <f t="shared" si="596"/>
        <v>1180</v>
      </c>
      <c r="BU683" s="28" t="s">
        <v>2541</v>
      </c>
      <c r="BV683" s="28">
        <f t="shared" si="597"/>
        <v>5</v>
      </c>
      <c r="BW683" s="28">
        <f t="shared" si="598"/>
        <v>5</v>
      </c>
      <c r="BX683" s="13">
        <f t="shared" si="599"/>
        <v>596</v>
      </c>
      <c r="BY683" s="13">
        <f t="shared" si="600"/>
        <v>596</v>
      </c>
      <c r="BZ683" s="13">
        <f t="shared" si="601"/>
        <v>236</v>
      </c>
      <c r="CA683" s="13">
        <f t="shared" si="602"/>
        <v>236</v>
      </c>
      <c r="CB683" s="13">
        <f t="shared" si="603"/>
        <v>140656</v>
      </c>
      <c r="CC683" s="62">
        <f t="shared" si="604"/>
        <v>7.1095438516664771E-6</v>
      </c>
      <c r="CD683" s="13">
        <f t="shared" si="605"/>
        <v>596</v>
      </c>
      <c r="CE683" s="13">
        <f t="shared" si="606"/>
        <v>596</v>
      </c>
      <c r="CF683" s="13">
        <f t="shared" si="607"/>
        <v>236</v>
      </c>
      <c r="CG683" s="13">
        <f t="shared" si="608"/>
        <v>236</v>
      </c>
      <c r="CH683" s="28">
        <f t="shared" si="609"/>
        <v>140656</v>
      </c>
      <c r="CI683" s="62">
        <f t="shared" si="610"/>
        <v>7.1095438516664771E-6</v>
      </c>
      <c r="CJ683" s="59">
        <f t="shared" si="611"/>
        <v>7.1095438516664771E-6</v>
      </c>
      <c r="CL683" s="63">
        <v>6000</v>
      </c>
      <c r="CM683" s="63">
        <f t="shared" si="612"/>
        <v>0</v>
      </c>
      <c r="CN683" s="63">
        <f t="shared" si="613"/>
        <v>5</v>
      </c>
      <c r="CO683" s="63">
        <f t="shared" si="614"/>
        <v>1200</v>
      </c>
      <c r="CP683" s="13">
        <f t="shared" si="615"/>
        <v>1200</v>
      </c>
      <c r="CQ683" s="70">
        <f t="shared" si="616"/>
        <v>8.3333333333333339E-4</v>
      </c>
      <c r="CR683" s="69">
        <f t="shared" si="636"/>
        <v>3.3333333333333335E-3</v>
      </c>
    </row>
    <row r="684" spans="1:96" hidden="1" x14ac:dyDescent="0.25">
      <c r="A684" s="10">
        <v>3</v>
      </c>
      <c r="B684" s="8" t="s">
        <v>1643</v>
      </c>
      <c r="C684" s="10" t="s">
        <v>391</v>
      </c>
      <c r="D684" s="10" t="s">
        <v>829</v>
      </c>
      <c r="E684" s="10" t="s">
        <v>52</v>
      </c>
      <c r="F684" s="12">
        <f t="shared" si="585"/>
        <v>4</v>
      </c>
      <c r="G684" s="10">
        <v>2</v>
      </c>
      <c r="H684" s="10">
        <f t="shared" ref="H684:H687" si="638">G684*$H$679</f>
        <v>2</v>
      </c>
      <c r="I684" s="10">
        <v>5</v>
      </c>
      <c r="J684" s="8" t="s">
        <v>76</v>
      </c>
      <c r="K684" s="8" t="s">
        <v>34</v>
      </c>
      <c r="L684" s="10" t="s">
        <v>77</v>
      </c>
      <c r="M684" s="8" t="s">
        <v>35</v>
      </c>
      <c r="N684" s="10" t="s">
        <v>829</v>
      </c>
      <c r="O684" s="28" t="s">
        <v>41</v>
      </c>
      <c r="P684" s="28" t="s">
        <v>41</v>
      </c>
      <c r="Q684" s="28" t="s">
        <v>79</v>
      </c>
      <c r="R684" s="30">
        <v>19.094488188976378</v>
      </c>
      <c r="S684" s="30">
        <v>0.3125</v>
      </c>
      <c r="T684" s="30"/>
      <c r="U684" s="30">
        <v>0.3125</v>
      </c>
      <c r="V684" s="8">
        <f t="shared" si="586"/>
        <v>484.99999999999994</v>
      </c>
      <c r="W684" s="8">
        <f t="shared" si="587"/>
        <v>7.9375</v>
      </c>
      <c r="X684" s="8">
        <f t="shared" si="588"/>
        <v>0</v>
      </c>
      <c r="Y684" s="33">
        <f t="shared" si="589"/>
        <v>7.9375</v>
      </c>
      <c r="Z684" s="28" t="s">
        <v>80</v>
      </c>
      <c r="AA684" s="28" t="s">
        <v>81</v>
      </c>
      <c r="AB684" s="61" t="s">
        <v>79</v>
      </c>
      <c r="AC684" s="31" t="s">
        <v>82</v>
      </c>
      <c r="AD684" s="50">
        <f t="shared" si="590"/>
        <v>2</v>
      </c>
      <c r="AE684" s="31"/>
      <c r="AF684" s="51">
        <v>14</v>
      </c>
      <c r="AG684" s="51">
        <f t="shared" si="617"/>
        <v>8.4</v>
      </c>
      <c r="AH684" s="51">
        <f t="shared" si="584"/>
        <v>42</v>
      </c>
      <c r="AI684" s="52" t="s">
        <v>2497</v>
      </c>
      <c r="AJ684" s="52" t="s">
        <v>2498</v>
      </c>
      <c r="AK684" s="53">
        <f t="shared" si="618"/>
        <v>7.6993749999999988E-3</v>
      </c>
      <c r="AL684" s="54">
        <f t="shared" si="619"/>
        <v>0.11904761904761904</v>
      </c>
      <c r="AM684" s="54">
        <f t="shared" si="620"/>
        <v>2.3809523809523808E-2</v>
      </c>
      <c r="AN684" s="55">
        <f t="shared" si="621"/>
        <v>1.8331845238095234E-3</v>
      </c>
      <c r="AO684" s="55">
        <f t="shared" si="622"/>
        <v>3.6663690476190466E-4</v>
      </c>
      <c r="AP684" s="53">
        <v>7.1</v>
      </c>
      <c r="AQ684" s="53">
        <f t="shared" si="591"/>
        <v>4.26</v>
      </c>
      <c r="AR684" s="53">
        <f t="shared" si="592"/>
        <v>21.299999999999997</v>
      </c>
      <c r="AS684" s="56">
        <f t="shared" si="593"/>
        <v>4.6948356807511742E-2</v>
      </c>
      <c r="AT684" s="56">
        <f t="shared" si="623"/>
        <v>0.23474178403755869</v>
      </c>
      <c r="AU684" s="56">
        <f t="shared" si="594"/>
        <v>0.176056338028169</v>
      </c>
      <c r="AV684" s="56">
        <f t="shared" si="624"/>
        <v>5.8685446009389672E-2</v>
      </c>
      <c r="AW684" s="57" t="s">
        <v>2511</v>
      </c>
      <c r="AX684" s="57" t="s">
        <v>2512</v>
      </c>
      <c r="AY684" s="57" t="s">
        <v>2513</v>
      </c>
      <c r="AZ684" s="58">
        <f t="shared" si="625"/>
        <v>7.6993749999999988E-3</v>
      </c>
      <c r="BA684" s="59">
        <f t="shared" si="628"/>
        <v>4.5184125586854453E-4</v>
      </c>
      <c r="BB684" s="59">
        <f t="shared" si="629"/>
        <v>1.3555237676056335E-3</v>
      </c>
      <c r="BC684" s="59">
        <f t="shared" si="630"/>
        <v>3.6147300469483568E-4</v>
      </c>
      <c r="BD684" s="60">
        <f t="shared" si="626"/>
        <v>1.8315018315018315E-3</v>
      </c>
      <c r="BE684" s="59">
        <f t="shared" si="627"/>
        <v>3.663003663003663E-3</v>
      </c>
      <c r="BQ684" s="61">
        <v>3000</v>
      </c>
      <c r="BR684" s="61">
        <v>1200</v>
      </c>
      <c r="BS684" s="28">
        <f t="shared" si="595"/>
        <v>2980</v>
      </c>
      <c r="BT684" s="28">
        <f t="shared" si="596"/>
        <v>1180</v>
      </c>
      <c r="BU684" s="28" t="s">
        <v>2541</v>
      </c>
      <c r="BV684" s="28">
        <f t="shared" si="597"/>
        <v>489.99999999999994</v>
      </c>
      <c r="BW684" s="28">
        <f t="shared" si="598"/>
        <v>12.9375</v>
      </c>
      <c r="BX684" s="13">
        <f t="shared" si="599"/>
        <v>6.0816326530612255</v>
      </c>
      <c r="BY684" s="13">
        <f t="shared" si="600"/>
        <v>6</v>
      </c>
      <c r="BZ684" s="13">
        <f t="shared" si="601"/>
        <v>91.207729468599027</v>
      </c>
      <c r="CA684" s="13">
        <f t="shared" si="602"/>
        <v>91</v>
      </c>
      <c r="CB684" s="13">
        <f t="shared" si="603"/>
        <v>546</v>
      </c>
      <c r="CC684" s="62">
        <f t="shared" si="604"/>
        <v>1.8315018315018315E-3</v>
      </c>
      <c r="CD684" s="13">
        <f t="shared" si="605"/>
        <v>230.33816425120773</v>
      </c>
      <c r="CE684" s="13">
        <f t="shared" si="606"/>
        <v>230</v>
      </c>
      <c r="CF684" s="13">
        <f t="shared" si="607"/>
        <v>2.4081632653061229</v>
      </c>
      <c r="CG684" s="13">
        <f t="shared" si="608"/>
        <v>2</v>
      </c>
      <c r="CH684" s="28">
        <f t="shared" si="609"/>
        <v>460</v>
      </c>
      <c r="CI684" s="62">
        <f t="shared" si="610"/>
        <v>2.1739130434782609E-3</v>
      </c>
      <c r="CJ684" s="59">
        <f t="shared" si="611"/>
        <v>1.8315018315018315E-3</v>
      </c>
      <c r="CL684" s="63">
        <v>6000</v>
      </c>
      <c r="CM684" s="63">
        <f t="shared" si="612"/>
        <v>484.99999999999994</v>
      </c>
      <c r="CN684" s="63">
        <f t="shared" si="613"/>
        <v>489.99999999999994</v>
      </c>
      <c r="CO684" s="63">
        <f t="shared" si="614"/>
        <v>12.244897959183675</v>
      </c>
      <c r="CP684" s="13">
        <f t="shared" si="615"/>
        <v>12</v>
      </c>
      <c r="CQ684" s="70">
        <f t="shared" si="616"/>
        <v>8.3333333333333329E-2</v>
      </c>
      <c r="CR684" s="69">
        <f t="shared" si="636"/>
        <v>0.16666666666666666</v>
      </c>
    </row>
    <row r="685" spans="1:96" hidden="1" x14ac:dyDescent="0.25">
      <c r="A685" s="10">
        <v>3</v>
      </c>
      <c r="B685" s="8" t="s">
        <v>1643</v>
      </c>
      <c r="C685" s="10" t="s">
        <v>707</v>
      </c>
      <c r="D685" s="10" t="s">
        <v>708</v>
      </c>
      <c r="E685" s="10" t="s">
        <v>52</v>
      </c>
      <c r="F685" s="12">
        <f t="shared" si="585"/>
        <v>4</v>
      </c>
      <c r="G685" s="10">
        <v>6</v>
      </c>
      <c r="H685" s="10">
        <f t="shared" si="638"/>
        <v>6</v>
      </c>
      <c r="I685" s="10">
        <v>6</v>
      </c>
      <c r="J685" s="8" t="s">
        <v>76</v>
      </c>
      <c r="K685" s="8" t="s">
        <v>34</v>
      </c>
      <c r="L685" s="10" t="s">
        <v>77</v>
      </c>
      <c r="M685" s="8" t="s">
        <v>35</v>
      </c>
      <c r="N685" s="10" t="s">
        <v>708</v>
      </c>
      <c r="O685" s="28" t="s">
        <v>41</v>
      </c>
      <c r="P685" s="28" t="s">
        <v>41</v>
      </c>
      <c r="Q685" s="28" t="s">
        <v>79</v>
      </c>
      <c r="R685" s="30">
        <v>12.992125984251969</v>
      </c>
      <c r="S685" s="30">
        <v>0.3125</v>
      </c>
      <c r="T685" s="30"/>
      <c r="U685" s="30">
        <v>0.3125</v>
      </c>
      <c r="V685" s="8">
        <f t="shared" si="586"/>
        <v>330</v>
      </c>
      <c r="W685" s="8">
        <f t="shared" si="587"/>
        <v>7.9375</v>
      </c>
      <c r="X685" s="8">
        <f t="shared" si="588"/>
        <v>0</v>
      </c>
      <c r="Y685" s="33">
        <f t="shared" si="589"/>
        <v>7.9375</v>
      </c>
      <c r="Z685" s="28" t="s">
        <v>80</v>
      </c>
      <c r="AA685" s="28" t="s">
        <v>81</v>
      </c>
      <c r="AB685" s="61" t="s">
        <v>79</v>
      </c>
      <c r="AC685" s="31" t="s">
        <v>82</v>
      </c>
      <c r="AD685" s="50">
        <f t="shared" si="590"/>
        <v>6</v>
      </c>
      <c r="AE685" s="31"/>
      <c r="AF685" s="51">
        <v>14</v>
      </c>
      <c r="AG685" s="51">
        <f t="shared" si="617"/>
        <v>8.4</v>
      </c>
      <c r="AH685" s="51">
        <f t="shared" si="584"/>
        <v>42</v>
      </c>
      <c r="AI685" s="52" t="s">
        <v>2497</v>
      </c>
      <c r="AJ685" s="52" t="s">
        <v>2498</v>
      </c>
      <c r="AK685" s="53">
        <f t="shared" si="618"/>
        <v>5.2387500000000004E-3</v>
      </c>
      <c r="AL685" s="54">
        <f t="shared" si="619"/>
        <v>0.11904761904761904</v>
      </c>
      <c r="AM685" s="54">
        <f t="shared" si="620"/>
        <v>2.3809523809523808E-2</v>
      </c>
      <c r="AN685" s="55">
        <f t="shared" si="621"/>
        <v>3.741964285714286E-3</v>
      </c>
      <c r="AO685" s="55">
        <f t="shared" si="622"/>
        <v>7.4839285714285708E-4</v>
      </c>
      <c r="AP685" s="53">
        <v>7.1</v>
      </c>
      <c r="AQ685" s="53">
        <f t="shared" si="591"/>
        <v>4.26</v>
      </c>
      <c r="AR685" s="53">
        <f t="shared" si="592"/>
        <v>21.299999999999997</v>
      </c>
      <c r="AS685" s="56">
        <f t="shared" si="593"/>
        <v>4.6948356807511742E-2</v>
      </c>
      <c r="AT685" s="56">
        <f t="shared" si="623"/>
        <v>0.23474178403755869</v>
      </c>
      <c r="AU685" s="56">
        <f t="shared" si="594"/>
        <v>0.176056338028169</v>
      </c>
      <c r="AV685" s="56">
        <f t="shared" si="624"/>
        <v>5.8685446009389672E-2</v>
      </c>
      <c r="AW685" s="57" t="s">
        <v>2511</v>
      </c>
      <c r="AX685" s="57" t="s">
        <v>2512</v>
      </c>
      <c r="AY685" s="57" t="s">
        <v>2513</v>
      </c>
      <c r="AZ685" s="58">
        <f t="shared" si="625"/>
        <v>5.2387500000000004E-3</v>
      </c>
      <c r="BA685" s="59">
        <f t="shared" si="628"/>
        <v>9.2231514084507046E-4</v>
      </c>
      <c r="BB685" s="59">
        <f t="shared" si="629"/>
        <v>2.7669454225352111E-3</v>
      </c>
      <c r="BC685" s="59">
        <f t="shared" si="630"/>
        <v>7.3785211267605641E-4</v>
      </c>
      <c r="BD685" s="60">
        <f t="shared" si="626"/>
        <v>1.3736263736263737E-3</v>
      </c>
      <c r="BE685" s="59">
        <f t="shared" si="627"/>
        <v>8.241758241758242E-3</v>
      </c>
      <c r="BQ685" s="61">
        <v>3000</v>
      </c>
      <c r="BR685" s="61">
        <v>1200</v>
      </c>
      <c r="BS685" s="28">
        <f t="shared" si="595"/>
        <v>2980</v>
      </c>
      <c r="BT685" s="28">
        <f t="shared" si="596"/>
        <v>1180</v>
      </c>
      <c r="BU685" s="28" t="s">
        <v>2541</v>
      </c>
      <c r="BV685" s="28">
        <f t="shared" si="597"/>
        <v>335</v>
      </c>
      <c r="BW685" s="28">
        <f t="shared" si="598"/>
        <v>12.9375</v>
      </c>
      <c r="BX685" s="13">
        <f t="shared" si="599"/>
        <v>8.8955223880597014</v>
      </c>
      <c r="BY685" s="13">
        <f t="shared" si="600"/>
        <v>8</v>
      </c>
      <c r="BZ685" s="13">
        <f t="shared" si="601"/>
        <v>91.207729468599027</v>
      </c>
      <c r="CA685" s="13">
        <f t="shared" si="602"/>
        <v>91</v>
      </c>
      <c r="CB685" s="13">
        <f t="shared" si="603"/>
        <v>728</v>
      </c>
      <c r="CC685" s="62">
        <f t="shared" si="604"/>
        <v>1.3736263736263737E-3</v>
      </c>
      <c r="CD685" s="13">
        <f t="shared" si="605"/>
        <v>230.33816425120773</v>
      </c>
      <c r="CE685" s="13">
        <f t="shared" si="606"/>
        <v>230</v>
      </c>
      <c r="CF685" s="13">
        <f t="shared" si="607"/>
        <v>3.5223880597014925</v>
      </c>
      <c r="CG685" s="13">
        <f t="shared" si="608"/>
        <v>3</v>
      </c>
      <c r="CH685" s="28">
        <f t="shared" si="609"/>
        <v>690</v>
      </c>
      <c r="CI685" s="62">
        <f t="shared" si="610"/>
        <v>1.4492753623188406E-3</v>
      </c>
      <c r="CJ685" s="59">
        <f t="shared" si="611"/>
        <v>1.3736263736263737E-3</v>
      </c>
      <c r="CL685" s="63">
        <v>6000</v>
      </c>
      <c r="CM685" s="63">
        <f t="shared" si="612"/>
        <v>330</v>
      </c>
      <c r="CN685" s="63">
        <f t="shared" si="613"/>
        <v>335</v>
      </c>
      <c r="CO685" s="63">
        <f t="shared" si="614"/>
        <v>17.910447761194028</v>
      </c>
      <c r="CP685" s="13">
        <f t="shared" si="615"/>
        <v>17</v>
      </c>
      <c r="CQ685" s="70">
        <f t="shared" si="616"/>
        <v>5.8823529411764705E-2</v>
      </c>
      <c r="CR685" s="69">
        <f t="shared" si="636"/>
        <v>0.3529411764705882</v>
      </c>
    </row>
    <row r="686" spans="1:96" hidden="1" x14ac:dyDescent="0.25">
      <c r="A686" s="10">
        <v>3</v>
      </c>
      <c r="B686" s="8" t="s">
        <v>1643</v>
      </c>
      <c r="C686" s="10" t="s">
        <v>188</v>
      </c>
      <c r="D686" s="10" t="s">
        <v>189</v>
      </c>
      <c r="E686" s="10" t="s">
        <v>52</v>
      </c>
      <c r="F686" s="12">
        <f t="shared" si="585"/>
        <v>5</v>
      </c>
      <c r="G686" s="10">
        <v>6</v>
      </c>
      <c r="H686" s="10">
        <f t="shared" si="638"/>
        <v>6</v>
      </c>
      <c r="I686" s="10">
        <v>7</v>
      </c>
      <c r="J686" s="8" t="s">
        <v>76</v>
      </c>
      <c r="K686" s="8" t="s">
        <v>34</v>
      </c>
      <c r="L686" s="10" t="s">
        <v>77</v>
      </c>
      <c r="M686" s="8" t="s">
        <v>35</v>
      </c>
      <c r="N686" s="10" t="s">
        <v>189</v>
      </c>
      <c r="O686" s="28" t="s">
        <v>41</v>
      </c>
      <c r="P686" s="28" t="s">
        <v>41</v>
      </c>
      <c r="Q686" s="28" t="s">
        <v>79</v>
      </c>
      <c r="R686" s="30">
        <v>15.039370078740159</v>
      </c>
      <c r="S686" s="30">
        <v>0.3125</v>
      </c>
      <c r="T686" s="30"/>
      <c r="U686" s="30">
        <v>0.3125</v>
      </c>
      <c r="V686" s="8">
        <f t="shared" si="586"/>
        <v>382</v>
      </c>
      <c r="W686" s="8">
        <f t="shared" si="587"/>
        <v>7.9375</v>
      </c>
      <c r="X686" s="8">
        <f t="shared" si="588"/>
        <v>0</v>
      </c>
      <c r="Y686" s="33">
        <f t="shared" si="589"/>
        <v>7.9375</v>
      </c>
      <c r="Z686" s="28" t="s">
        <v>80</v>
      </c>
      <c r="AA686" s="28" t="s">
        <v>81</v>
      </c>
      <c r="AB686" s="61" t="s">
        <v>79</v>
      </c>
      <c r="AC686" s="31" t="s">
        <v>82</v>
      </c>
      <c r="AD686" s="50">
        <f t="shared" si="590"/>
        <v>6</v>
      </c>
      <c r="AE686" s="31"/>
      <c r="AF686" s="51">
        <v>14</v>
      </c>
      <c r="AG686" s="51">
        <f t="shared" si="617"/>
        <v>8.4</v>
      </c>
      <c r="AH686" s="51">
        <f t="shared" si="584"/>
        <v>42</v>
      </c>
      <c r="AI686" s="52" t="s">
        <v>2497</v>
      </c>
      <c r="AJ686" s="52" t="s">
        <v>2498</v>
      </c>
      <c r="AK686" s="53">
        <f t="shared" si="618"/>
        <v>6.0642500000000002E-3</v>
      </c>
      <c r="AL686" s="54">
        <f t="shared" si="619"/>
        <v>0.11904761904761904</v>
      </c>
      <c r="AM686" s="54">
        <f t="shared" si="620"/>
        <v>2.3809523809523808E-2</v>
      </c>
      <c r="AN686" s="55">
        <f t="shared" si="621"/>
        <v>4.3316071428571423E-3</v>
      </c>
      <c r="AO686" s="55">
        <f t="shared" si="622"/>
        <v>8.6632142857142854E-4</v>
      </c>
      <c r="AP686" s="53">
        <v>7.1</v>
      </c>
      <c r="AQ686" s="53">
        <f t="shared" si="591"/>
        <v>4.26</v>
      </c>
      <c r="AR686" s="53">
        <f t="shared" si="592"/>
        <v>21.299999999999997</v>
      </c>
      <c r="AS686" s="56">
        <f t="shared" si="593"/>
        <v>4.6948356807511742E-2</v>
      </c>
      <c r="AT686" s="56">
        <f t="shared" si="623"/>
        <v>0.23474178403755869</v>
      </c>
      <c r="AU686" s="56">
        <f t="shared" si="594"/>
        <v>0.176056338028169</v>
      </c>
      <c r="AV686" s="56">
        <f t="shared" si="624"/>
        <v>5.8685446009389672E-2</v>
      </c>
      <c r="AW686" s="57" t="s">
        <v>2511</v>
      </c>
      <c r="AX686" s="57" t="s">
        <v>2512</v>
      </c>
      <c r="AY686" s="57" t="s">
        <v>2513</v>
      </c>
      <c r="AZ686" s="58">
        <f t="shared" si="625"/>
        <v>6.0642500000000002E-3</v>
      </c>
      <c r="BA686" s="59">
        <f t="shared" si="628"/>
        <v>1.0676496478873238E-3</v>
      </c>
      <c r="BB686" s="59">
        <f t="shared" si="629"/>
        <v>3.2029489436619716E-3</v>
      </c>
      <c r="BC686" s="59">
        <f t="shared" si="630"/>
        <v>8.5411971830985926E-4</v>
      </c>
      <c r="BD686" s="60">
        <f t="shared" si="626"/>
        <v>1.4492753623188406E-3</v>
      </c>
      <c r="BE686" s="59">
        <f t="shared" si="627"/>
        <v>8.6956521739130436E-3</v>
      </c>
      <c r="BQ686" s="61">
        <v>3000</v>
      </c>
      <c r="BR686" s="61">
        <v>1200</v>
      </c>
      <c r="BS686" s="28">
        <f t="shared" si="595"/>
        <v>2980</v>
      </c>
      <c r="BT686" s="28">
        <f t="shared" si="596"/>
        <v>1180</v>
      </c>
      <c r="BU686" s="28" t="s">
        <v>2541</v>
      </c>
      <c r="BV686" s="28">
        <f t="shared" si="597"/>
        <v>387</v>
      </c>
      <c r="BW686" s="28">
        <f t="shared" si="598"/>
        <v>12.9375</v>
      </c>
      <c r="BX686" s="13">
        <f t="shared" si="599"/>
        <v>7.7002583979328163</v>
      </c>
      <c r="BY686" s="13">
        <f t="shared" si="600"/>
        <v>7</v>
      </c>
      <c r="BZ686" s="13">
        <f t="shared" si="601"/>
        <v>91.207729468599027</v>
      </c>
      <c r="CA686" s="13">
        <f t="shared" si="602"/>
        <v>91</v>
      </c>
      <c r="CB686" s="13">
        <f t="shared" si="603"/>
        <v>637</v>
      </c>
      <c r="CC686" s="62">
        <f t="shared" si="604"/>
        <v>1.5698587127158557E-3</v>
      </c>
      <c r="CD686" s="13">
        <f t="shared" si="605"/>
        <v>230.33816425120773</v>
      </c>
      <c r="CE686" s="13">
        <f t="shared" si="606"/>
        <v>230</v>
      </c>
      <c r="CF686" s="13">
        <f t="shared" si="607"/>
        <v>3.0490956072351421</v>
      </c>
      <c r="CG686" s="13">
        <f t="shared" si="608"/>
        <v>3</v>
      </c>
      <c r="CH686" s="28">
        <f t="shared" si="609"/>
        <v>690</v>
      </c>
      <c r="CI686" s="62">
        <f t="shared" si="610"/>
        <v>1.4492753623188406E-3</v>
      </c>
      <c r="CJ686" s="59">
        <f t="shared" si="611"/>
        <v>1.4492753623188406E-3</v>
      </c>
      <c r="CL686" s="63">
        <v>6000</v>
      </c>
      <c r="CM686" s="63">
        <f t="shared" si="612"/>
        <v>382</v>
      </c>
      <c r="CN686" s="63">
        <f t="shared" si="613"/>
        <v>387</v>
      </c>
      <c r="CO686" s="63">
        <f t="shared" si="614"/>
        <v>15.503875968992247</v>
      </c>
      <c r="CP686" s="13">
        <f t="shared" si="615"/>
        <v>15</v>
      </c>
      <c r="CQ686" s="70">
        <f t="shared" si="616"/>
        <v>6.6666666666666666E-2</v>
      </c>
      <c r="CR686" s="69">
        <f t="shared" si="636"/>
        <v>0.4</v>
      </c>
    </row>
    <row r="687" spans="1:96" hidden="1" x14ac:dyDescent="0.25">
      <c r="A687" s="10">
        <v>3</v>
      </c>
      <c r="B687" s="8" t="s">
        <v>1643</v>
      </c>
      <c r="C687" s="10" t="s">
        <v>1649</v>
      </c>
      <c r="D687" s="10" t="s">
        <v>1650</v>
      </c>
      <c r="E687" s="10" t="s">
        <v>52</v>
      </c>
      <c r="F687" s="12">
        <f t="shared" si="585"/>
        <v>1</v>
      </c>
      <c r="G687" s="10">
        <v>1</v>
      </c>
      <c r="H687" s="10">
        <f t="shared" si="638"/>
        <v>1</v>
      </c>
      <c r="I687" s="10">
        <v>8</v>
      </c>
      <c r="J687" s="8" t="s">
        <v>76</v>
      </c>
      <c r="K687" s="8" t="s">
        <v>34</v>
      </c>
      <c r="L687" s="10" t="s">
        <v>77</v>
      </c>
      <c r="M687" s="8" t="s">
        <v>35</v>
      </c>
      <c r="N687" s="10" t="s">
        <v>1650</v>
      </c>
      <c r="O687" s="28" t="s">
        <v>41</v>
      </c>
      <c r="P687" s="28" t="s">
        <v>41</v>
      </c>
      <c r="Q687" s="28" t="s">
        <v>79</v>
      </c>
      <c r="R687" s="30">
        <v>5.984251968503937</v>
      </c>
      <c r="S687" s="30">
        <v>0.3125</v>
      </c>
      <c r="T687" s="30"/>
      <c r="U687" s="30">
        <v>0.3125</v>
      </c>
      <c r="V687" s="8">
        <f t="shared" si="586"/>
        <v>152</v>
      </c>
      <c r="W687" s="8">
        <f t="shared" si="587"/>
        <v>7.9375</v>
      </c>
      <c r="X687" s="8">
        <f t="shared" si="588"/>
        <v>0</v>
      </c>
      <c r="Y687" s="33">
        <f t="shared" si="589"/>
        <v>7.9375</v>
      </c>
      <c r="Z687" s="28" t="s">
        <v>80</v>
      </c>
      <c r="AA687" s="28" t="s">
        <v>81</v>
      </c>
      <c r="AB687" s="61" t="s">
        <v>79</v>
      </c>
      <c r="AC687" s="31" t="s">
        <v>82</v>
      </c>
      <c r="AD687" s="50">
        <f t="shared" si="590"/>
        <v>1</v>
      </c>
      <c r="AE687" s="31"/>
      <c r="AF687" s="51">
        <v>14</v>
      </c>
      <c r="AG687" s="51">
        <f t="shared" si="617"/>
        <v>8.4</v>
      </c>
      <c r="AH687" s="51">
        <f t="shared" si="584"/>
        <v>42</v>
      </c>
      <c r="AI687" s="52" t="s">
        <v>2497</v>
      </c>
      <c r="AJ687" s="52" t="s">
        <v>2498</v>
      </c>
      <c r="AK687" s="53">
        <f t="shared" si="618"/>
        <v>2.4130000000000002E-3</v>
      </c>
      <c r="AL687" s="54">
        <f t="shared" si="619"/>
        <v>0.11904761904761904</v>
      </c>
      <c r="AM687" s="54">
        <f t="shared" si="620"/>
        <v>2.3809523809523808E-2</v>
      </c>
      <c r="AN687" s="55">
        <f t="shared" si="621"/>
        <v>2.8726190476190475E-4</v>
      </c>
      <c r="AO687" s="55">
        <f t="shared" si="622"/>
        <v>5.7452380952380953E-5</v>
      </c>
      <c r="AP687" s="53">
        <v>7.1</v>
      </c>
      <c r="AQ687" s="53">
        <f t="shared" si="591"/>
        <v>4.26</v>
      </c>
      <c r="AR687" s="53">
        <f t="shared" si="592"/>
        <v>21.299999999999997</v>
      </c>
      <c r="AS687" s="56">
        <f t="shared" si="593"/>
        <v>4.6948356807511742E-2</v>
      </c>
      <c r="AT687" s="56">
        <f t="shared" si="623"/>
        <v>0.23474178403755869</v>
      </c>
      <c r="AU687" s="56">
        <f t="shared" si="594"/>
        <v>0.176056338028169</v>
      </c>
      <c r="AV687" s="56">
        <f t="shared" si="624"/>
        <v>5.8685446009389672E-2</v>
      </c>
      <c r="AW687" s="57" t="s">
        <v>2511</v>
      </c>
      <c r="AX687" s="57" t="s">
        <v>2512</v>
      </c>
      <c r="AY687" s="57" t="s">
        <v>2513</v>
      </c>
      <c r="AZ687" s="58">
        <f t="shared" si="625"/>
        <v>2.4130000000000002E-3</v>
      </c>
      <c r="BA687" s="59">
        <f t="shared" si="628"/>
        <v>7.0803990610328649E-5</v>
      </c>
      <c r="BB687" s="59">
        <f t="shared" si="629"/>
        <v>2.1241197183098591E-4</v>
      </c>
      <c r="BC687" s="59">
        <f t="shared" si="630"/>
        <v>5.6643192488262918E-5</v>
      </c>
      <c r="BD687" s="60">
        <f t="shared" si="626"/>
        <v>6.105006105006105E-4</v>
      </c>
      <c r="BE687" s="59">
        <f t="shared" si="627"/>
        <v>6.105006105006105E-4</v>
      </c>
      <c r="BQ687" s="61">
        <v>3000</v>
      </c>
      <c r="BR687" s="61">
        <v>1200</v>
      </c>
      <c r="BS687" s="28">
        <f t="shared" si="595"/>
        <v>2980</v>
      </c>
      <c r="BT687" s="28">
        <f t="shared" si="596"/>
        <v>1180</v>
      </c>
      <c r="BU687" s="28" t="s">
        <v>2541</v>
      </c>
      <c r="BV687" s="28">
        <f t="shared" si="597"/>
        <v>157</v>
      </c>
      <c r="BW687" s="28">
        <f t="shared" si="598"/>
        <v>12.9375</v>
      </c>
      <c r="BX687" s="13">
        <f t="shared" si="599"/>
        <v>18.980891719745223</v>
      </c>
      <c r="BY687" s="13">
        <f t="shared" si="600"/>
        <v>18</v>
      </c>
      <c r="BZ687" s="13">
        <f t="shared" si="601"/>
        <v>91.207729468599027</v>
      </c>
      <c r="CA687" s="13">
        <f t="shared" si="602"/>
        <v>91</v>
      </c>
      <c r="CB687" s="13">
        <f t="shared" si="603"/>
        <v>1638</v>
      </c>
      <c r="CC687" s="62">
        <f t="shared" si="604"/>
        <v>6.105006105006105E-4</v>
      </c>
      <c r="CD687" s="13">
        <f t="shared" si="605"/>
        <v>230.33816425120773</v>
      </c>
      <c r="CE687" s="13">
        <f t="shared" si="606"/>
        <v>230</v>
      </c>
      <c r="CF687" s="13">
        <f t="shared" si="607"/>
        <v>7.515923566878981</v>
      </c>
      <c r="CG687" s="13">
        <f t="shared" si="608"/>
        <v>7</v>
      </c>
      <c r="CH687" s="28">
        <f t="shared" si="609"/>
        <v>1610</v>
      </c>
      <c r="CI687" s="62">
        <f t="shared" si="610"/>
        <v>6.2111801242236027E-4</v>
      </c>
      <c r="CJ687" s="59">
        <f t="shared" si="611"/>
        <v>6.105006105006105E-4</v>
      </c>
      <c r="CL687" s="63">
        <v>6000</v>
      </c>
      <c r="CM687" s="63">
        <f t="shared" si="612"/>
        <v>152</v>
      </c>
      <c r="CN687" s="63">
        <f t="shared" si="613"/>
        <v>157</v>
      </c>
      <c r="CO687" s="63">
        <f t="shared" si="614"/>
        <v>38.216560509554142</v>
      </c>
      <c r="CP687" s="13">
        <f t="shared" si="615"/>
        <v>38</v>
      </c>
      <c r="CQ687" s="70">
        <f t="shared" si="616"/>
        <v>2.6315789473684209E-2</v>
      </c>
      <c r="CR687" s="69">
        <f t="shared" si="636"/>
        <v>2.6315789473684209E-2</v>
      </c>
    </row>
    <row r="688" spans="1:96" hidden="1" x14ac:dyDescent="0.25">
      <c r="A688" s="36">
        <v>2</v>
      </c>
      <c r="B688" s="37" t="s">
        <v>37</v>
      </c>
      <c r="C688" s="36" t="s">
        <v>1651</v>
      </c>
      <c r="D688" s="36" t="s">
        <v>2270</v>
      </c>
      <c r="E688" s="36" t="s">
        <v>52</v>
      </c>
      <c r="F688" s="38">
        <f t="shared" si="585"/>
        <v>1</v>
      </c>
      <c r="G688" s="36">
        <v>1</v>
      </c>
      <c r="H688" s="36">
        <f t="shared" ref="H688:H691" si="639">G688*$H$3</f>
        <v>1</v>
      </c>
      <c r="I688" s="36">
        <v>198</v>
      </c>
      <c r="J688" s="37" t="s">
        <v>964</v>
      </c>
      <c r="K688" s="37" t="s">
        <v>34</v>
      </c>
      <c r="L688" s="36" t="s">
        <v>110</v>
      </c>
      <c r="M688" s="37" t="s">
        <v>35</v>
      </c>
      <c r="N688" s="36" t="s">
        <v>1652</v>
      </c>
      <c r="O688" s="28" t="s">
        <v>41</v>
      </c>
      <c r="P688" s="28" t="s">
        <v>41</v>
      </c>
      <c r="Q688" s="28" t="s">
        <v>1652</v>
      </c>
      <c r="R688" s="30">
        <v>12.37</v>
      </c>
      <c r="S688" s="30">
        <v>1.97</v>
      </c>
      <c r="T688" s="30">
        <v>1.77</v>
      </c>
      <c r="U688" s="30" t="s">
        <v>2477</v>
      </c>
      <c r="V688" s="8">
        <f t="shared" si="586"/>
        <v>314.19799999999998</v>
      </c>
      <c r="W688" s="8">
        <f t="shared" si="587"/>
        <v>50.037999999999997</v>
      </c>
      <c r="X688" s="8">
        <f t="shared" si="588"/>
        <v>44.957999999999998</v>
      </c>
      <c r="Y688" s="33" t="e">
        <f t="shared" si="589"/>
        <v>#VALUE!</v>
      </c>
      <c r="Z688" s="28" t="s">
        <v>646</v>
      </c>
      <c r="AA688" s="28" t="s">
        <v>173</v>
      </c>
      <c r="AB688" s="61" t="s">
        <v>1652</v>
      </c>
      <c r="AC688" s="31" t="s">
        <v>1653</v>
      </c>
      <c r="AD688" s="50">
        <f t="shared" si="590"/>
        <v>1</v>
      </c>
      <c r="AE688" s="47" t="s">
        <v>107</v>
      </c>
      <c r="AF688" s="51">
        <v>14</v>
      </c>
      <c r="AG688" s="51">
        <f t="shared" si="617"/>
        <v>8.4</v>
      </c>
      <c r="AH688" s="51">
        <f t="shared" si="584"/>
        <v>42</v>
      </c>
      <c r="AI688" s="52" t="s">
        <v>2497</v>
      </c>
      <c r="AJ688" s="52" t="s">
        <v>2498</v>
      </c>
      <c r="AK688" s="53">
        <f t="shared" si="618"/>
        <v>3.1443679047999995E-2</v>
      </c>
      <c r="AL688" s="54">
        <f t="shared" si="619"/>
        <v>0.11904761904761904</v>
      </c>
      <c r="AM688" s="54">
        <f t="shared" si="620"/>
        <v>2.3809523809523808E-2</v>
      </c>
      <c r="AN688" s="55">
        <f t="shared" si="621"/>
        <v>3.7432951247619041E-3</v>
      </c>
      <c r="AO688" s="55">
        <f t="shared" si="622"/>
        <v>7.4865902495238081E-4</v>
      </c>
      <c r="AP688" s="53">
        <v>7.1</v>
      </c>
      <c r="AQ688" s="53">
        <f t="shared" si="591"/>
        <v>4.26</v>
      </c>
      <c r="AR688" s="53">
        <f t="shared" si="592"/>
        <v>21.299999999999997</v>
      </c>
      <c r="AS688" s="56">
        <f t="shared" si="593"/>
        <v>4.6948356807511742E-2</v>
      </c>
      <c r="AT688" s="56">
        <f t="shared" si="623"/>
        <v>0.23474178403755869</v>
      </c>
      <c r="AU688" s="56">
        <f t="shared" si="594"/>
        <v>0.176056338028169</v>
      </c>
      <c r="AV688" s="56">
        <f t="shared" si="624"/>
        <v>5.8685446009389672E-2</v>
      </c>
      <c r="AW688" s="57" t="s">
        <v>2511</v>
      </c>
      <c r="AX688" s="57" t="s">
        <v>2512</v>
      </c>
      <c r="AY688" s="57" t="s">
        <v>2513</v>
      </c>
      <c r="AZ688" s="58">
        <f t="shared" si="625"/>
        <v>3.1443679047999995E-2</v>
      </c>
      <c r="BA688" s="59">
        <f t="shared" si="628"/>
        <v>9.2264316455399045E-4</v>
      </c>
      <c r="BB688" s="59">
        <f t="shared" si="629"/>
        <v>2.7679294936619712E-3</v>
      </c>
      <c r="BC688" s="59">
        <f t="shared" si="630"/>
        <v>7.3811453164319247E-4</v>
      </c>
      <c r="BD688" s="60">
        <f t="shared" si="626"/>
        <v>5.2910052910052907E-3</v>
      </c>
      <c r="BE688" s="59">
        <f t="shared" si="627"/>
        <v>5.2910052910052907E-3</v>
      </c>
      <c r="BQ688" s="61">
        <v>3000</v>
      </c>
      <c r="BR688" s="61">
        <v>1200</v>
      </c>
      <c r="BS688" s="28">
        <f t="shared" si="595"/>
        <v>2980</v>
      </c>
      <c r="BT688" s="28">
        <f t="shared" si="596"/>
        <v>1180</v>
      </c>
      <c r="BU688" s="28" t="s">
        <v>2541</v>
      </c>
      <c r="BV688" s="28">
        <f t="shared" si="597"/>
        <v>319.19799999999998</v>
      </c>
      <c r="BW688" s="28">
        <f t="shared" si="598"/>
        <v>55.037999999999997</v>
      </c>
      <c r="BX688" s="13">
        <f t="shared" si="599"/>
        <v>9.3358980945995906</v>
      </c>
      <c r="BY688" s="13">
        <f t="shared" si="600"/>
        <v>9</v>
      </c>
      <c r="BZ688" s="13">
        <f t="shared" si="601"/>
        <v>21.439732548421091</v>
      </c>
      <c r="CA688" s="13">
        <f t="shared" si="602"/>
        <v>21</v>
      </c>
      <c r="CB688" s="13">
        <f t="shared" si="603"/>
        <v>189</v>
      </c>
      <c r="CC688" s="62">
        <f t="shared" si="604"/>
        <v>5.2910052910052907E-3</v>
      </c>
      <c r="CD688" s="13">
        <f t="shared" si="605"/>
        <v>54.144409317199027</v>
      </c>
      <c r="CE688" s="13">
        <f t="shared" si="606"/>
        <v>54</v>
      </c>
      <c r="CF688" s="13">
        <f t="shared" si="607"/>
        <v>3.6967650173246702</v>
      </c>
      <c r="CG688" s="13">
        <f t="shared" si="608"/>
        <v>3</v>
      </c>
      <c r="CH688" s="28">
        <f t="shared" si="609"/>
        <v>162</v>
      </c>
      <c r="CI688" s="62">
        <f t="shared" si="610"/>
        <v>6.1728395061728392E-3</v>
      </c>
      <c r="CJ688" s="59">
        <f t="shared" si="611"/>
        <v>5.2910052910052907E-3</v>
      </c>
      <c r="CL688" s="63">
        <v>6000</v>
      </c>
      <c r="CM688" s="63">
        <f t="shared" si="612"/>
        <v>314.19799999999998</v>
      </c>
      <c r="CN688" s="63">
        <f t="shared" si="613"/>
        <v>319.19799999999998</v>
      </c>
      <c r="CO688" s="63">
        <f t="shared" si="614"/>
        <v>18.797110257583068</v>
      </c>
      <c r="CP688" s="13">
        <f t="shared" si="615"/>
        <v>18</v>
      </c>
      <c r="CQ688" s="70">
        <f t="shared" si="616"/>
        <v>5.5555555555555552E-2</v>
      </c>
      <c r="CR688" s="69">
        <f t="shared" si="636"/>
        <v>5.5555555555555552E-2</v>
      </c>
    </row>
    <row r="689" spans="1:96" hidden="1" x14ac:dyDescent="0.25">
      <c r="A689" s="36">
        <v>2</v>
      </c>
      <c r="B689" s="37" t="s">
        <v>37</v>
      </c>
      <c r="C689" s="36" t="s">
        <v>707</v>
      </c>
      <c r="D689" s="36" t="s">
        <v>708</v>
      </c>
      <c r="E689" s="36" t="s">
        <v>52</v>
      </c>
      <c r="F689" s="38">
        <f t="shared" si="585"/>
        <v>4</v>
      </c>
      <c r="G689" s="36">
        <v>1</v>
      </c>
      <c r="H689" s="36">
        <f t="shared" si="639"/>
        <v>1</v>
      </c>
      <c r="I689" s="36">
        <v>201</v>
      </c>
      <c r="J689" s="37" t="s">
        <v>76</v>
      </c>
      <c r="K689" s="37" t="s">
        <v>34</v>
      </c>
      <c r="L689" s="36" t="s">
        <v>77</v>
      </c>
      <c r="M689" s="37" t="s">
        <v>35</v>
      </c>
      <c r="N689" s="36" t="s">
        <v>708</v>
      </c>
      <c r="O689" s="28" t="s">
        <v>41</v>
      </c>
      <c r="P689" s="28" t="s">
        <v>41</v>
      </c>
      <c r="Q689" s="28" t="s">
        <v>79</v>
      </c>
      <c r="R689" s="30">
        <v>12.992125984251969</v>
      </c>
      <c r="S689" s="30">
        <v>0.3125</v>
      </c>
      <c r="T689" s="30"/>
      <c r="U689" s="30">
        <v>0.3125</v>
      </c>
      <c r="V689" s="8">
        <f t="shared" si="586"/>
        <v>330</v>
      </c>
      <c r="W689" s="8">
        <f t="shared" si="587"/>
        <v>7.9375</v>
      </c>
      <c r="X689" s="8">
        <f t="shared" si="588"/>
        <v>0</v>
      </c>
      <c r="Y689" s="33">
        <f t="shared" si="589"/>
        <v>7.9375</v>
      </c>
      <c r="Z689" s="28" t="s">
        <v>80</v>
      </c>
      <c r="AA689" s="28" t="s">
        <v>81</v>
      </c>
      <c r="AB689" s="61" t="s">
        <v>79</v>
      </c>
      <c r="AC689" s="31" t="s">
        <v>82</v>
      </c>
      <c r="AD689" s="50">
        <f t="shared" si="590"/>
        <v>1</v>
      </c>
      <c r="AE689" s="31"/>
      <c r="AF689" s="51">
        <v>14</v>
      </c>
      <c r="AG689" s="51">
        <f t="shared" si="617"/>
        <v>8.4</v>
      </c>
      <c r="AH689" s="51">
        <f t="shared" si="584"/>
        <v>42</v>
      </c>
      <c r="AI689" s="52" t="s">
        <v>2497</v>
      </c>
      <c r="AJ689" s="52" t="s">
        <v>2498</v>
      </c>
      <c r="AK689" s="53">
        <f t="shared" si="618"/>
        <v>5.2387500000000004E-3</v>
      </c>
      <c r="AL689" s="54">
        <f t="shared" si="619"/>
        <v>0.11904761904761904</v>
      </c>
      <c r="AM689" s="54">
        <f t="shared" si="620"/>
        <v>2.3809523809523808E-2</v>
      </c>
      <c r="AN689" s="55">
        <f t="shared" si="621"/>
        <v>6.2366071428571429E-4</v>
      </c>
      <c r="AO689" s="55">
        <f t="shared" si="622"/>
        <v>1.2473214285714285E-4</v>
      </c>
      <c r="AP689" s="53">
        <v>7.1</v>
      </c>
      <c r="AQ689" s="53">
        <f t="shared" si="591"/>
        <v>4.26</v>
      </c>
      <c r="AR689" s="53">
        <f t="shared" si="592"/>
        <v>21.299999999999997</v>
      </c>
      <c r="AS689" s="56">
        <f t="shared" si="593"/>
        <v>4.6948356807511742E-2</v>
      </c>
      <c r="AT689" s="56">
        <f t="shared" si="623"/>
        <v>0.23474178403755869</v>
      </c>
      <c r="AU689" s="56">
        <f t="shared" si="594"/>
        <v>0.176056338028169</v>
      </c>
      <c r="AV689" s="56">
        <f t="shared" si="624"/>
        <v>5.8685446009389672E-2</v>
      </c>
      <c r="AW689" s="57" t="s">
        <v>2511</v>
      </c>
      <c r="AX689" s="57" t="s">
        <v>2512</v>
      </c>
      <c r="AY689" s="57" t="s">
        <v>2513</v>
      </c>
      <c r="AZ689" s="58">
        <f t="shared" si="625"/>
        <v>5.2387500000000004E-3</v>
      </c>
      <c r="BA689" s="59">
        <f t="shared" si="628"/>
        <v>1.5371919014084507E-4</v>
      </c>
      <c r="BB689" s="59">
        <f t="shared" si="629"/>
        <v>4.6115757042253523E-4</v>
      </c>
      <c r="BC689" s="59">
        <f t="shared" si="630"/>
        <v>1.2297535211267609E-4</v>
      </c>
      <c r="BD689" s="60">
        <f t="shared" si="626"/>
        <v>1.3736263736263737E-3</v>
      </c>
      <c r="BE689" s="59">
        <f t="shared" si="627"/>
        <v>1.3736263736263737E-3</v>
      </c>
      <c r="BQ689" s="61">
        <v>3000</v>
      </c>
      <c r="BR689" s="61">
        <v>1200</v>
      </c>
      <c r="BS689" s="28">
        <f t="shared" si="595"/>
        <v>2980</v>
      </c>
      <c r="BT689" s="28">
        <f t="shared" si="596"/>
        <v>1180</v>
      </c>
      <c r="BU689" s="28" t="s">
        <v>2541</v>
      </c>
      <c r="BV689" s="28">
        <f t="shared" si="597"/>
        <v>335</v>
      </c>
      <c r="BW689" s="28">
        <f t="shared" si="598"/>
        <v>12.9375</v>
      </c>
      <c r="BX689" s="13">
        <f t="shared" si="599"/>
        <v>8.8955223880597014</v>
      </c>
      <c r="BY689" s="13">
        <f t="shared" si="600"/>
        <v>8</v>
      </c>
      <c r="BZ689" s="13">
        <f t="shared" si="601"/>
        <v>91.207729468599027</v>
      </c>
      <c r="CA689" s="13">
        <f t="shared" si="602"/>
        <v>91</v>
      </c>
      <c r="CB689" s="13">
        <f t="shared" si="603"/>
        <v>728</v>
      </c>
      <c r="CC689" s="62">
        <f t="shared" si="604"/>
        <v>1.3736263736263737E-3</v>
      </c>
      <c r="CD689" s="13">
        <f t="shared" si="605"/>
        <v>230.33816425120773</v>
      </c>
      <c r="CE689" s="13">
        <f t="shared" si="606"/>
        <v>230</v>
      </c>
      <c r="CF689" s="13">
        <f t="shared" si="607"/>
        <v>3.5223880597014925</v>
      </c>
      <c r="CG689" s="13">
        <f t="shared" si="608"/>
        <v>3</v>
      </c>
      <c r="CH689" s="28">
        <f t="shared" si="609"/>
        <v>690</v>
      </c>
      <c r="CI689" s="62">
        <f t="shared" si="610"/>
        <v>1.4492753623188406E-3</v>
      </c>
      <c r="CJ689" s="59">
        <f t="shared" si="611"/>
        <v>1.3736263736263737E-3</v>
      </c>
      <c r="CL689" s="63">
        <v>6000</v>
      </c>
      <c r="CM689" s="63">
        <f t="shared" si="612"/>
        <v>330</v>
      </c>
      <c r="CN689" s="63">
        <f t="shared" si="613"/>
        <v>335</v>
      </c>
      <c r="CO689" s="63">
        <f t="shared" si="614"/>
        <v>17.910447761194028</v>
      </c>
      <c r="CP689" s="13">
        <f t="shared" si="615"/>
        <v>17</v>
      </c>
      <c r="CQ689" s="70">
        <f t="shared" si="616"/>
        <v>5.8823529411764705E-2</v>
      </c>
      <c r="CR689" s="69">
        <f t="shared" si="636"/>
        <v>5.8823529411764705E-2</v>
      </c>
    </row>
    <row r="690" spans="1:96" hidden="1" x14ac:dyDescent="0.25">
      <c r="A690" s="36">
        <v>2</v>
      </c>
      <c r="B690" s="37" t="s">
        <v>37</v>
      </c>
      <c r="C690" s="36" t="s">
        <v>1654</v>
      </c>
      <c r="D690" s="36" t="s">
        <v>2270</v>
      </c>
      <c r="E690" s="36" t="s">
        <v>52</v>
      </c>
      <c r="F690" s="38">
        <f t="shared" si="585"/>
        <v>1</v>
      </c>
      <c r="G690" s="36">
        <v>1</v>
      </c>
      <c r="H690" s="36">
        <f t="shared" si="639"/>
        <v>1</v>
      </c>
      <c r="I690" s="36">
        <v>203</v>
      </c>
      <c r="J690" s="37" t="s">
        <v>396</v>
      </c>
      <c r="K690" s="37" t="s">
        <v>34</v>
      </c>
      <c r="L690" s="36">
        <v>0</v>
      </c>
      <c r="M690" s="37" t="s">
        <v>35</v>
      </c>
      <c r="N690" s="36" t="s">
        <v>1655</v>
      </c>
      <c r="O690" s="28" t="s">
        <v>41</v>
      </c>
      <c r="P690" s="28" t="s">
        <v>41</v>
      </c>
      <c r="Q690" s="28" t="s">
        <v>1655</v>
      </c>
      <c r="R690" s="30">
        <v>13.503937007874017</v>
      </c>
      <c r="S690" s="30">
        <v>2.9527559055118111</v>
      </c>
      <c r="T690" s="30"/>
      <c r="U690" s="30">
        <v>0.98425196850393704</v>
      </c>
      <c r="V690" s="8">
        <f t="shared" si="586"/>
        <v>343</v>
      </c>
      <c r="W690" s="8">
        <f t="shared" si="587"/>
        <v>75</v>
      </c>
      <c r="X690" s="8">
        <f t="shared" si="588"/>
        <v>0</v>
      </c>
      <c r="Y690" s="33">
        <f t="shared" si="589"/>
        <v>25</v>
      </c>
      <c r="Z690" s="28" t="s">
        <v>731</v>
      </c>
      <c r="AA690" s="28" t="s">
        <v>251</v>
      </c>
      <c r="AB690" s="61" t="s">
        <v>1655</v>
      </c>
      <c r="AC690" s="31" t="s">
        <v>911</v>
      </c>
      <c r="AD690" s="50">
        <f t="shared" si="590"/>
        <v>1</v>
      </c>
      <c r="AE690" s="31"/>
      <c r="AF690" s="51">
        <v>14</v>
      </c>
      <c r="AG690" s="51">
        <f t="shared" si="617"/>
        <v>8.4</v>
      </c>
      <c r="AH690" s="51">
        <f t="shared" si="584"/>
        <v>42</v>
      </c>
      <c r="AI690" s="52" t="s">
        <v>2497</v>
      </c>
      <c r="AJ690" s="52" t="s">
        <v>2498</v>
      </c>
      <c r="AK690" s="53">
        <f t="shared" si="618"/>
        <v>5.1450000000000003E-2</v>
      </c>
      <c r="AL690" s="54">
        <f t="shared" si="619"/>
        <v>0.11904761904761904</v>
      </c>
      <c r="AM690" s="54">
        <f t="shared" si="620"/>
        <v>2.3809523809523808E-2</v>
      </c>
      <c r="AN690" s="55">
        <f t="shared" si="621"/>
        <v>6.1250000000000002E-3</v>
      </c>
      <c r="AO690" s="55">
        <f t="shared" si="622"/>
        <v>1.225E-3</v>
      </c>
      <c r="AP690" s="53">
        <v>7.1</v>
      </c>
      <c r="AQ690" s="53">
        <f t="shared" si="591"/>
        <v>4.26</v>
      </c>
      <c r="AR690" s="53">
        <f t="shared" si="592"/>
        <v>21.299999999999997</v>
      </c>
      <c r="AS690" s="56">
        <f t="shared" si="593"/>
        <v>4.6948356807511742E-2</v>
      </c>
      <c r="AT690" s="56">
        <f t="shared" si="623"/>
        <v>0.23474178403755869</v>
      </c>
      <c r="AU690" s="56">
        <f t="shared" si="594"/>
        <v>0.176056338028169</v>
      </c>
      <c r="AV690" s="56">
        <f t="shared" si="624"/>
        <v>5.8685446009389672E-2</v>
      </c>
      <c r="AW690" s="57" t="s">
        <v>2511</v>
      </c>
      <c r="AX690" s="57" t="s">
        <v>2512</v>
      </c>
      <c r="AY690" s="57" t="s">
        <v>2513</v>
      </c>
      <c r="AZ690" s="58">
        <f t="shared" si="625"/>
        <v>5.1450000000000003E-2</v>
      </c>
      <c r="BA690" s="59">
        <f t="shared" si="628"/>
        <v>1.5096830985915494E-3</v>
      </c>
      <c r="BB690" s="59">
        <f t="shared" si="629"/>
        <v>4.5290492957746481E-3</v>
      </c>
      <c r="BC690" s="59">
        <f t="shared" si="630"/>
        <v>1.2077464788732397E-3</v>
      </c>
      <c r="BD690" s="60">
        <f t="shared" si="626"/>
        <v>8.9285714285714281E-3</v>
      </c>
      <c r="BE690" s="59">
        <f t="shared" si="627"/>
        <v>8.9285714285714281E-3</v>
      </c>
      <c r="BQ690" s="61">
        <v>3000</v>
      </c>
      <c r="BR690" s="61">
        <v>1200</v>
      </c>
      <c r="BS690" s="28">
        <f t="shared" si="595"/>
        <v>2980</v>
      </c>
      <c r="BT690" s="28">
        <f t="shared" si="596"/>
        <v>1180</v>
      </c>
      <c r="BU690" s="28" t="s">
        <v>2541</v>
      </c>
      <c r="BV690" s="28">
        <f t="shared" si="597"/>
        <v>348</v>
      </c>
      <c r="BW690" s="28">
        <f t="shared" si="598"/>
        <v>80</v>
      </c>
      <c r="BX690" s="13">
        <f t="shared" si="599"/>
        <v>8.5632183908045985</v>
      </c>
      <c r="BY690" s="13">
        <f t="shared" si="600"/>
        <v>8</v>
      </c>
      <c r="BZ690" s="13">
        <f t="shared" si="601"/>
        <v>14.75</v>
      </c>
      <c r="CA690" s="13">
        <f t="shared" si="602"/>
        <v>14</v>
      </c>
      <c r="CB690" s="13">
        <f t="shared" si="603"/>
        <v>112</v>
      </c>
      <c r="CC690" s="62">
        <f t="shared" si="604"/>
        <v>8.9285714285714281E-3</v>
      </c>
      <c r="CD690" s="13">
        <f t="shared" si="605"/>
        <v>37.25</v>
      </c>
      <c r="CE690" s="13">
        <f t="shared" si="606"/>
        <v>37</v>
      </c>
      <c r="CF690" s="13">
        <f t="shared" si="607"/>
        <v>3.3908045977011496</v>
      </c>
      <c r="CG690" s="13">
        <f t="shared" si="608"/>
        <v>3</v>
      </c>
      <c r="CH690" s="28">
        <f t="shared" si="609"/>
        <v>111</v>
      </c>
      <c r="CI690" s="62">
        <f t="shared" si="610"/>
        <v>9.0090090090090089E-3</v>
      </c>
      <c r="CJ690" s="59">
        <f t="shared" si="611"/>
        <v>8.9285714285714281E-3</v>
      </c>
      <c r="CL690" s="63">
        <v>6000</v>
      </c>
      <c r="CM690" s="63">
        <f t="shared" si="612"/>
        <v>343</v>
      </c>
      <c r="CN690" s="63">
        <f t="shared" si="613"/>
        <v>348</v>
      </c>
      <c r="CO690" s="63">
        <f t="shared" si="614"/>
        <v>17.241379310344829</v>
      </c>
      <c r="CP690" s="13">
        <f t="shared" si="615"/>
        <v>17</v>
      </c>
      <c r="CQ690" s="70">
        <f t="shared" si="616"/>
        <v>5.8823529411764705E-2</v>
      </c>
      <c r="CR690" s="69">
        <f t="shared" si="636"/>
        <v>5.8823529411764705E-2</v>
      </c>
    </row>
    <row r="691" spans="1:96" hidden="1" x14ac:dyDescent="0.25">
      <c r="A691" s="36">
        <v>2</v>
      </c>
      <c r="B691" s="37" t="s">
        <v>37</v>
      </c>
      <c r="C691" s="36" t="s">
        <v>1656</v>
      </c>
      <c r="D691" s="36" t="s">
        <v>2270</v>
      </c>
      <c r="E691" s="36" t="s">
        <v>32</v>
      </c>
      <c r="F691" s="38">
        <f t="shared" si="585"/>
        <v>1</v>
      </c>
      <c r="G691" s="36">
        <v>1</v>
      </c>
      <c r="H691" s="36">
        <f t="shared" si="639"/>
        <v>1</v>
      </c>
      <c r="I691" s="36">
        <v>208</v>
      </c>
      <c r="J691" s="37" t="s">
        <v>1657</v>
      </c>
      <c r="K691" s="37" t="s">
        <v>34</v>
      </c>
      <c r="L691" s="36">
        <v>0</v>
      </c>
      <c r="M691" s="37" t="s">
        <v>35</v>
      </c>
      <c r="N691" s="36" t="s">
        <v>1658</v>
      </c>
      <c r="O691" s="28" t="s">
        <v>41</v>
      </c>
      <c r="P691" s="28" t="s">
        <v>41</v>
      </c>
      <c r="Q691" s="28"/>
      <c r="R691" s="30"/>
      <c r="S691" s="30"/>
      <c r="T691" s="30"/>
      <c r="U691" s="30"/>
      <c r="V691" s="8">
        <f t="shared" si="586"/>
        <v>0</v>
      </c>
      <c r="W691" s="8">
        <f t="shared" si="587"/>
        <v>0</v>
      </c>
      <c r="X691" s="8">
        <f t="shared" si="588"/>
        <v>0</v>
      </c>
      <c r="Y691" s="33">
        <f t="shared" si="589"/>
        <v>0</v>
      </c>
      <c r="Z691" s="28"/>
      <c r="AA691" s="28"/>
      <c r="AB691" s="28">
        <v>0</v>
      </c>
      <c r="AC691" s="31"/>
      <c r="AD691" s="50">
        <f t="shared" si="590"/>
        <v>1</v>
      </c>
      <c r="AE691" s="47" t="s">
        <v>107</v>
      </c>
      <c r="AF691" s="51">
        <v>14</v>
      </c>
      <c r="AG691" s="51">
        <f t="shared" si="617"/>
        <v>8.4</v>
      </c>
      <c r="AH691" s="51">
        <f t="shared" si="584"/>
        <v>42</v>
      </c>
      <c r="AI691" s="52" t="s">
        <v>2497</v>
      </c>
      <c r="AJ691" s="52" t="s">
        <v>2498</v>
      </c>
      <c r="AK691" s="53">
        <f t="shared" si="618"/>
        <v>0</v>
      </c>
      <c r="AL691" s="54">
        <f t="shared" si="619"/>
        <v>0.11904761904761904</v>
      </c>
      <c r="AM691" s="54">
        <f t="shared" si="620"/>
        <v>2.3809523809523808E-2</v>
      </c>
      <c r="AN691" s="55">
        <f t="shared" si="621"/>
        <v>0</v>
      </c>
      <c r="AO691" s="55">
        <f t="shared" si="622"/>
        <v>0</v>
      </c>
      <c r="AP691" s="53">
        <v>7.1</v>
      </c>
      <c r="AQ691" s="53">
        <f t="shared" si="591"/>
        <v>4.26</v>
      </c>
      <c r="AR691" s="53">
        <f t="shared" si="592"/>
        <v>21.299999999999997</v>
      </c>
      <c r="AS691" s="56">
        <f t="shared" si="593"/>
        <v>4.6948356807511742E-2</v>
      </c>
      <c r="AT691" s="56">
        <f t="shared" si="623"/>
        <v>0.23474178403755869</v>
      </c>
      <c r="AU691" s="56">
        <f t="shared" si="594"/>
        <v>0.176056338028169</v>
      </c>
      <c r="AV691" s="56">
        <f t="shared" si="624"/>
        <v>5.8685446009389672E-2</v>
      </c>
      <c r="AW691" s="57" t="s">
        <v>2511</v>
      </c>
      <c r="AX691" s="57" t="s">
        <v>2512</v>
      </c>
      <c r="AY691" s="57" t="s">
        <v>2513</v>
      </c>
      <c r="AZ691" s="58">
        <f t="shared" si="625"/>
        <v>0</v>
      </c>
      <c r="BA691" s="59">
        <f t="shared" si="628"/>
        <v>0</v>
      </c>
      <c r="BB691" s="59">
        <f t="shared" si="629"/>
        <v>0</v>
      </c>
      <c r="BC691" s="59">
        <f t="shared" si="630"/>
        <v>0</v>
      </c>
      <c r="BD691" s="60">
        <f t="shared" si="626"/>
        <v>0</v>
      </c>
      <c r="BE691" s="59">
        <f t="shared" si="627"/>
        <v>0</v>
      </c>
      <c r="BQ691" s="61">
        <v>3000</v>
      </c>
      <c r="BR691" s="61">
        <v>1200</v>
      </c>
      <c r="BS691" s="28">
        <f t="shared" si="595"/>
        <v>2980</v>
      </c>
      <c r="BT691" s="28">
        <f t="shared" si="596"/>
        <v>1180</v>
      </c>
      <c r="BU691" s="28" t="s">
        <v>2541</v>
      </c>
      <c r="BV691" s="28">
        <f t="shared" si="597"/>
        <v>5</v>
      </c>
      <c r="BW691" s="28">
        <f t="shared" si="598"/>
        <v>5</v>
      </c>
      <c r="BX691" s="13">
        <f t="shared" si="599"/>
        <v>596</v>
      </c>
      <c r="BY691" s="13">
        <f t="shared" si="600"/>
        <v>596</v>
      </c>
      <c r="BZ691" s="13">
        <f t="shared" si="601"/>
        <v>236</v>
      </c>
      <c r="CA691" s="13">
        <f t="shared" si="602"/>
        <v>236</v>
      </c>
      <c r="CB691" s="13">
        <f t="shared" si="603"/>
        <v>140656</v>
      </c>
      <c r="CC691" s="62" t="str">
        <f t="shared" si="604"/>
        <v/>
      </c>
      <c r="CD691" s="13">
        <f t="shared" si="605"/>
        <v>596</v>
      </c>
      <c r="CE691" s="13">
        <f t="shared" si="606"/>
        <v>596</v>
      </c>
      <c r="CF691" s="13">
        <f t="shared" si="607"/>
        <v>236</v>
      </c>
      <c r="CG691" s="13">
        <f t="shared" si="608"/>
        <v>236</v>
      </c>
      <c r="CH691" s="28">
        <f t="shared" si="609"/>
        <v>140656</v>
      </c>
      <c r="CI691" s="62" t="str">
        <f t="shared" si="610"/>
        <v/>
      </c>
      <c r="CJ691" s="59">
        <f t="shared" si="611"/>
        <v>0</v>
      </c>
      <c r="CL691" s="63">
        <v>6000</v>
      </c>
      <c r="CM691" s="63">
        <f t="shared" si="612"/>
        <v>0</v>
      </c>
      <c r="CN691" s="63">
        <f t="shared" si="613"/>
        <v>5</v>
      </c>
      <c r="CO691" s="63">
        <f t="shared" si="614"/>
        <v>1200</v>
      </c>
      <c r="CP691" s="13">
        <f t="shared" si="615"/>
        <v>1200</v>
      </c>
      <c r="CQ691" s="70">
        <f t="shared" si="616"/>
        <v>8.3333333333333339E-4</v>
      </c>
      <c r="CR691" s="69">
        <f t="shared" si="636"/>
        <v>8.3333333333333339E-4</v>
      </c>
    </row>
    <row r="692" spans="1:96" hidden="1" x14ac:dyDescent="0.25">
      <c r="A692" s="10">
        <v>3</v>
      </c>
      <c r="B692" s="8" t="s">
        <v>1659</v>
      </c>
      <c r="C692" s="10" t="s">
        <v>1660</v>
      </c>
      <c r="D692" s="10" t="s">
        <v>2270</v>
      </c>
      <c r="E692" s="10" t="s">
        <v>32</v>
      </c>
      <c r="F692" s="12">
        <f t="shared" si="585"/>
        <v>1</v>
      </c>
      <c r="G692" s="10">
        <v>1</v>
      </c>
      <c r="H692" s="10">
        <f>G692*$H$691</f>
        <v>1</v>
      </c>
      <c r="I692" s="10">
        <v>4</v>
      </c>
      <c r="J692" s="8" t="s">
        <v>1661</v>
      </c>
      <c r="K692" s="8" t="s">
        <v>34</v>
      </c>
      <c r="L692" s="10">
        <v>0</v>
      </c>
      <c r="M692" s="8" t="s">
        <v>35</v>
      </c>
      <c r="N692" s="10" t="s">
        <v>1662</v>
      </c>
      <c r="O692" s="28" t="s">
        <v>41</v>
      </c>
      <c r="P692" s="28" t="s">
        <v>41</v>
      </c>
      <c r="Q692" s="28"/>
      <c r="R692" s="30"/>
      <c r="S692" s="30"/>
      <c r="T692" s="30"/>
      <c r="U692" s="30"/>
      <c r="V692" s="8">
        <f t="shared" si="586"/>
        <v>0</v>
      </c>
      <c r="W692" s="8">
        <f t="shared" si="587"/>
        <v>0</v>
      </c>
      <c r="X692" s="8">
        <f t="shared" si="588"/>
        <v>0</v>
      </c>
      <c r="Y692" s="33">
        <f t="shared" si="589"/>
        <v>0</v>
      </c>
      <c r="Z692" s="28"/>
      <c r="AA692" s="28"/>
      <c r="AB692" s="28">
        <v>0</v>
      </c>
      <c r="AC692" s="31"/>
      <c r="AD692" s="50">
        <f t="shared" si="590"/>
        <v>1</v>
      </c>
      <c r="AE692" s="31"/>
      <c r="AF692" s="51">
        <v>14</v>
      </c>
      <c r="AG692" s="51">
        <f t="shared" si="617"/>
        <v>8.4</v>
      </c>
      <c r="AH692" s="51">
        <f t="shared" si="584"/>
        <v>42</v>
      </c>
      <c r="AI692" s="52" t="s">
        <v>2497</v>
      </c>
      <c r="AJ692" s="52" t="s">
        <v>2498</v>
      </c>
      <c r="AK692" s="53">
        <f t="shared" si="618"/>
        <v>0</v>
      </c>
      <c r="AL692" s="54">
        <f t="shared" si="619"/>
        <v>0.11904761904761904</v>
      </c>
      <c r="AM692" s="54">
        <f t="shared" si="620"/>
        <v>2.3809523809523808E-2</v>
      </c>
      <c r="AN692" s="55">
        <f t="shared" si="621"/>
        <v>0</v>
      </c>
      <c r="AO692" s="55">
        <f t="shared" si="622"/>
        <v>0</v>
      </c>
      <c r="AP692" s="53">
        <v>7.1</v>
      </c>
      <c r="AQ692" s="53">
        <f t="shared" si="591"/>
        <v>4.26</v>
      </c>
      <c r="AR692" s="53">
        <f t="shared" si="592"/>
        <v>21.299999999999997</v>
      </c>
      <c r="AS692" s="56">
        <f t="shared" si="593"/>
        <v>4.6948356807511742E-2</v>
      </c>
      <c r="AT692" s="56">
        <f t="shared" si="623"/>
        <v>0.23474178403755869</v>
      </c>
      <c r="AU692" s="56">
        <f t="shared" si="594"/>
        <v>0.176056338028169</v>
      </c>
      <c r="AV692" s="56">
        <f t="shared" si="624"/>
        <v>5.8685446009389672E-2</v>
      </c>
      <c r="AW692" s="57" t="s">
        <v>2511</v>
      </c>
      <c r="AX692" s="57" t="s">
        <v>2512</v>
      </c>
      <c r="AY692" s="57" t="s">
        <v>2513</v>
      </c>
      <c r="AZ692" s="58">
        <f t="shared" si="625"/>
        <v>0</v>
      </c>
      <c r="BA692" s="59">
        <f t="shared" si="628"/>
        <v>0</v>
      </c>
      <c r="BB692" s="59">
        <f t="shared" si="629"/>
        <v>0</v>
      </c>
      <c r="BC692" s="59">
        <f t="shared" si="630"/>
        <v>0</v>
      </c>
      <c r="BD692" s="60">
        <f t="shared" si="626"/>
        <v>0</v>
      </c>
      <c r="BE692" s="59">
        <f t="shared" si="627"/>
        <v>0</v>
      </c>
      <c r="BQ692" s="61">
        <v>3000</v>
      </c>
      <c r="BR692" s="61">
        <v>1200</v>
      </c>
      <c r="BS692" s="28">
        <f t="shared" si="595"/>
        <v>2980</v>
      </c>
      <c r="BT692" s="28">
        <f t="shared" si="596"/>
        <v>1180</v>
      </c>
      <c r="BU692" s="28" t="s">
        <v>2541</v>
      </c>
      <c r="BV692" s="28">
        <f t="shared" si="597"/>
        <v>5</v>
      </c>
      <c r="BW692" s="28">
        <f t="shared" si="598"/>
        <v>5</v>
      </c>
      <c r="BX692" s="13">
        <f t="shared" si="599"/>
        <v>596</v>
      </c>
      <c r="BY692" s="13">
        <f t="shared" si="600"/>
        <v>596</v>
      </c>
      <c r="BZ692" s="13">
        <f t="shared" si="601"/>
        <v>236</v>
      </c>
      <c r="CA692" s="13">
        <f t="shared" si="602"/>
        <v>236</v>
      </c>
      <c r="CB692" s="13">
        <f t="shared" si="603"/>
        <v>140656</v>
      </c>
      <c r="CC692" s="62" t="str">
        <f t="shared" si="604"/>
        <v/>
      </c>
      <c r="CD692" s="13">
        <f t="shared" si="605"/>
        <v>596</v>
      </c>
      <c r="CE692" s="13">
        <f t="shared" si="606"/>
        <v>596</v>
      </c>
      <c r="CF692" s="13">
        <f t="shared" si="607"/>
        <v>236</v>
      </c>
      <c r="CG692" s="13">
        <f t="shared" si="608"/>
        <v>236</v>
      </c>
      <c r="CH692" s="28">
        <f t="shared" si="609"/>
        <v>140656</v>
      </c>
      <c r="CI692" s="62" t="str">
        <f t="shared" si="610"/>
        <v/>
      </c>
      <c r="CJ692" s="59">
        <f t="shared" si="611"/>
        <v>0</v>
      </c>
      <c r="CL692" s="63">
        <v>6000</v>
      </c>
      <c r="CM692" s="63">
        <f t="shared" si="612"/>
        <v>0</v>
      </c>
      <c r="CN692" s="63">
        <f t="shared" si="613"/>
        <v>5</v>
      </c>
      <c r="CO692" s="63">
        <f t="shared" si="614"/>
        <v>1200</v>
      </c>
      <c r="CP692" s="13">
        <f t="shared" si="615"/>
        <v>1200</v>
      </c>
      <c r="CQ692" s="70">
        <f t="shared" si="616"/>
        <v>8.3333333333333339E-4</v>
      </c>
      <c r="CR692" s="69">
        <f t="shared" si="636"/>
        <v>8.3333333333333339E-4</v>
      </c>
    </row>
    <row r="693" spans="1:96" hidden="1" x14ac:dyDescent="0.25">
      <c r="A693" s="13">
        <v>4</v>
      </c>
      <c r="B693" s="14" t="s">
        <v>1663</v>
      </c>
      <c r="C693" s="13" t="s">
        <v>1664</v>
      </c>
      <c r="D693" s="13" t="s">
        <v>2270</v>
      </c>
      <c r="E693" s="13" t="s">
        <v>52</v>
      </c>
      <c r="F693" s="15">
        <f t="shared" si="585"/>
        <v>1</v>
      </c>
      <c r="G693" s="13">
        <v>1</v>
      </c>
      <c r="H693" s="13">
        <f>G693*$H$692</f>
        <v>1</v>
      </c>
      <c r="I693" s="13">
        <v>1</v>
      </c>
      <c r="J693" s="14" t="s">
        <v>1665</v>
      </c>
      <c r="K693" s="14" t="s">
        <v>34</v>
      </c>
      <c r="L693" s="13">
        <v>0</v>
      </c>
      <c r="M693" s="14" t="s">
        <v>35</v>
      </c>
      <c r="N693" s="13" t="s">
        <v>1666</v>
      </c>
      <c r="O693" s="28" t="s">
        <v>41</v>
      </c>
      <c r="P693" s="28" t="s">
        <v>41</v>
      </c>
      <c r="Q693" s="28" t="s">
        <v>116</v>
      </c>
      <c r="R693" s="30">
        <v>52.435000000000002</v>
      </c>
      <c r="S693" s="30">
        <v>29.567</v>
      </c>
      <c r="T693" s="30"/>
      <c r="U693" s="30">
        <v>0.11799999999999999</v>
      </c>
      <c r="V693" s="8">
        <f t="shared" si="586"/>
        <v>1331.8489999999999</v>
      </c>
      <c r="W693" s="8">
        <f t="shared" si="587"/>
        <v>751.0018</v>
      </c>
      <c r="X693" s="8">
        <f t="shared" si="588"/>
        <v>0</v>
      </c>
      <c r="Y693" s="33">
        <f t="shared" si="589"/>
        <v>2.9971999999999999</v>
      </c>
      <c r="Z693" s="28" t="s">
        <v>56</v>
      </c>
      <c r="AA693" s="28" t="s">
        <v>57</v>
      </c>
      <c r="AB693" s="28" t="s">
        <v>116</v>
      </c>
      <c r="AC693" s="31" t="s">
        <v>117</v>
      </c>
      <c r="AD693" s="50">
        <f t="shared" si="590"/>
        <v>1</v>
      </c>
      <c r="AE693" s="31"/>
      <c r="AF693" s="51">
        <v>14</v>
      </c>
      <c r="AG693" s="51">
        <f t="shared" si="617"/>
        <v>8.4</v>
      </c>
      <c r="AH693" s="51">
        <f t="shared" si="584"/>
        <v>42</v>
      </c>
      <c r="AI693" s="52" t="s">
        <v>2497</v>
      </c>
      <c r="AJ693" s="52" t="s">
        <v>2498</v>
      </c>
      <c r="AK693" s="53">
        <f t="shared" si="618"/>
        <v>2.0004419926564001</v>
      </c>
      <c r="AL693" s="54">
        <f t="shared" si="619"/>
        <v>0.11904761904761904</v>
      </c>
      <c r="AM693" s="54">
        <f t="shared" si="620"/>
        <v>2.3809523809523808E-2</v>
      </c>
      <c r="AN693" s="55">
        <f t="shared" si="621"/>
        <v>0.23814785626861903</v>
      </c>
      <c r="AO693" s="55">
        <f t="shared" si="622"/>
        <v>4.7629571253723808E-2</v>
      </c>
      <c r="AP693" s="53">
        <v>7.1</v>
      </c>
      <c r="AQ693" s="53">
        <f t="shared" si="591"/>
        <v>4.26</v>
      </c>
      <c r="AR693" s="53">
        <f t="shared" si="592"/>
        <v>21.299999999999997</v>
      </c>
      <c r="AS693" s="56">
        <f t="shared" si="593"/>
        <v>4.6948356807511742E-2</v>
      </c>
      <c r="AT693" s="56">
        <f t="shared" si="623"/>
        <v>0.23474178403755869</v>
      </c>
      <c r="AU693" s="56">
        <f t="shared" si="594"/>
        <v>0.176056338028169</v>
      </c>
      <c r="AV693" s="56">
        <f t="shared" si="624"/>
        <v>5.8685446009389672E-2</v>
      </c>
      <c r="AW693" s="57" t="s">
        <v>2511</v>
      </c>
      <c r="AX693" s="57" t="s">
        <v>2512</v>
      </c>
      <c r="AY693" s="57" t="s">
        <v>2513</v>
      </c>
      <c r="AZ693" s="58">
        <f t="shared" si="625"/>
        <v>2.0004419926564001</v>
      </c>
      <c r="BA693" s="59">
        <f t="shared" si="628"/>
        <v>5.8698415277476532E-2</v>
      </c>
      <c r="BB693" s="59">
        <f t="shared" si="629"/>
        <v>0.17609524583242958</v>
      </c>
      <c r="BC693" s="59">
        <f t="shared" si="630"/>
        <v>4.6958732221981228E-2</v>
      </c>
      <c r="BD693" s="60">
        <f t="shared" si="626"/>
        <v>0.5</v>
      </c>
      <c r="BE693" s="59">
        <f t="shared" si="627"/>
        <v>0.5</v>
      </c>
      <c r="BQ693" s="61">
        <v>3000</v>
      </c>
      <c r="BR693" s="61">
        <v>1200</v>
      </c>
      <c r="BS693" s="28">
        <f t="shared" si="595"/>
        <v>2980</v>
      </c>
      <c r="BT693" s="28">
        <f t="shared" si="596"/>
        <v>1180</v>
      </c>
      <c r="BU693" s="28" t="s">
        <v>2541</v>
      </c>
      <c r="BV693" s="28">
        <f t="shared" si="597"/>
        <v>1336.8489999999999</v>
      </c>
      <c r="BW693" s="28">
        <f t="shared" si="598"/>
        <v>756.0018</v>
      </c>
      <c r="BX693" s="13">
        <f t="shared" si="599"/>
        <v>2.2291223616130171</v>
      </c>
      <c r="BY693" s="13">
        <f t="shared" si="600"/>
        <v>2</v>
      </c>
      <c r="BZ693" s="13">
        <f t="shared" si="601"/>
        <v>1.5608428445540738</v>
      </c>
      <c r="CA693" s="13">
        <f t="shared" si="602"/>
        <v>1</v>
      </c>
      <c r="CB693" s="13">
        <f t="shared" si="603"/>
        <v>2</v>
      </c>
      <c r="CC693" s="62">
        <f t="shared" si="604"/>
        <v>0.5</v>
      </c>
      <c r="CD693" s="13">
        <f t="shared" si="605"/>
        <v>3.9417895565857117</v>
      </c>
      <c r="CE693" s="13">
        <f t="shared" si="606"/>
        <v>3</v>
      </c>
      <c r="CF693" s="13">
        <f t="shared" si="607"/>
        <v>0.88267261298770472</v>
      </c>
      <c r="CG693" s="13">
        <f t="shared" si="608"/>
        <v>0</v>
      </c>
      <c r="CH693" s="28">
        <f t="shared" si="609"/>
        <v>0</v>
      </c>
      <c r="CI693" s="62">
        <f t="shared" si="610"/>
        <v>1</v>
      </c>
      <c r="CJ693" s="59">
        <f t="shared" si="611"/>
        <v>0.5</v>
      </c>
      <c r="CL693" s="63">
        <v>6000</v>
      </c>
      <c r="CM693" s="63">
        <f t="shared" si="612"/>
        <v>1331.8489999999999</v>
      </c>
      <c r="CN693" s="63">
        <f t="shared" si="613"/>
        <v>1336.8489999999999</v>
      </c>
      <c r="CO693" s="63">
        <f t="shared" si="614"/>
        <v>4.4881658287510406</v>
      </c>
      <c r="CP693" s="13">
        <f t="shared" si="615"/>
        <v>4</v>
      </c>
      <c r="CQ693" s="70">
        <f t="shared" si="616"/>
        <v>0.25</v>
      </c>
      <c r="CR693" s="69">
        <f t="shared" si="636"/>
        <v>0.25</v>
      </c>
    </row>
    <row r="694" spans="1:96" hidden="1" x14ac:dyDescent="0.25">
      <c r="A694" s="13">
        <v>4</v>
      </c>
      <c r="B694" s="14" t="s">
        <v>1663</v>
      </c>
      <c r="C694" s="13" t="s">
        <v>59</v>
      </c>
      <c r="D694" s="13" t="s">
        <v>61</v>
      </c>
      <c r="E694" s="13" t="s">
        <v>52</v>
      </c>
      <c r="F694" s="15">
        <f t="shared" si="585"/>
        <v>19</v>
      </c>
      <c r="G694" s="13">
        <v>9</v>
      </c>
      <c r="H694" s="13">
        <f t="shared" ref="H694:H695" si="640">G694*$H$692</f>
        <v>9</v>
      </c>
      <c r="I694" s="13">
        <v>2</v>
      </c>
      <c r="J694" s="14" t="s">
        <v>60</v>
      </c>
      <c r="K694" s="14" t="s">
        <v>34</v>
      </c>
      <c r="L694" s="13">
        <v>0</v>
      </c>
      <c r="M694" s="14" t="s">
        <v>35</v>
      </c>
      <c r="N694" s="13" t="s">
        <v>61</v>
      </c>
      <c r="O694" s="28" t="s">
        <v>41</v>
      </c>
      <c r="P694" s="28" t="s">
        <v>41</v>
      </c>
      <c r="Q694" s="28" t="s">
        <v>61</v>
      </c>
      <c r="R694" s="30"/>
      <c r="S694" s="30"/>
      <c r="T694" s="30"/>
      <c r="U694" s="30"/>
      <c r="V694" s="8">
        <f t="shared" si="586"/>
        <v>0</v>
      </c>
      <c r="W694" s="8">
        <f t="shared" si="587"/>
        <v>0</v>
      </c>
      <c r="X694" s="8">
        <f t="shared" si="588"/>
        <v>0</v>
      </c>
      <c r="Y694" s="33">
        <f t="shared" si="589"/>
        <v>0</v>
      </c>
      <c r="Z694" s="28"/>
      <c r="AA694" s="28"/>
      <c r="AB694" s="61" t="s">
        <v>61</v>
      </c>
      <c r="AC694" s="31" t="s">
        <v>62</v>
      </c>
      <c r="AD694" s="50">
        <f t="shared" si="590"/>
        <v>9</v>
      </c>
      <c r="AE694" s="31"/>
      <c r="AF694" s="51">
        <v>14</v>
      </c>
      <c r="AG694" s="51">
        <f t="shared" si="617"/>
        <v>8.4</v>
      </c>
      <c r="AH694" s="51">
        <f t="shared" si="584"/>
        <v>42</v>
      </c>
      <c r="AI694" s="52" t="s">
        <v>2497</v>
      </c>
      <c r="AJ694" s="52" t="s">
        <v>2498</v>
      </c>
      <c r="AK694" s="53">
        <f t="shared" si="618"/>
        <v>0</v>
      </c>
      <c r="AL694" s="54">
        <f t="shared" si="619"/>
        <v>0.11904761904761904</v>
      </c>
      <c r="AM694" s="54">
        <f t="shared" si="620"/>
        <v>2.3809523809523808E-2</v>
      </c>
      <c r="AN694" s="55">
        <f t="shared" si="621"/>
        <v>0</v>
      </c>
      <c r="AO694" s="55">
        <f t="shared" si="622"/>
        <v>0</v>
      </c>
      <c r="AP694" s="53">
        <v>7.1</v>
      </c>
      <c r="AQ694" s="53">
        <f t="shared" si="591"/>
        <v>4.26</v>
      </c>
      <c r="AR694" s="53">
        <f t="shared" si="592"/>
        <v>21.299999999999997</v>
      </c>
      <c r="AS694" s="56">
        <f t="shared" si="593"/>
        <v>4.6948356807511742E-2</v>
      </c>
      <c r="AT694" s="56">
        <f t="shared" si="623"/>
        <v>0.23474178403755869</v>
      </c>
      <c r="AU694" s="56">
        <f t="shared" si="594"/>
        <v>0.176056338028169</v>
      </c>
      <c r="AV694" s="56">
        <f t="shared" si="624"/>
        <v>5.8685446009389672E-2</v>
      </c>
      <c r="AW694" s="57" t="s">
        <v>2511</v>
      </c>
      <c r="AX694" s="57" t="s">
        <v>2512</v>
      </c>
      <c r="AY694" s="57" t="s">
        <v>2513</v>
      </c>
      <c r="AZ694" s="58">
        <f t="shared" si="625"/>
        <v>0</v>
      </c>
      <c r="BA694" s="59">
        <f t="shared" si="628"/>
        <v>0</v>
      </c>
      <c r="BB694" s="59">
        <f t="shared" si="629"/>
        <v>0</v>
      </c>
      <c r="BC694" s="59">
        <f t="shared" si="630"/>
        <v>0</v>
      </c>
      <c r="BD694" s="60">
        <f t="shared" si="626"/>
        <v>7.1095438516664771E-6</v>
      </c>
      <c r="BE694" s="59">
        <f t="shared" si="627"/>
        <v>6.39858946649983E-5</v>
      </c>
      <c r="BQ694" s="61">
        <v>3000</v>
      </c>
      <c r="BR694" s="61">
        <v>1200</v>
      </c>
      <c r="BS694" s="28">
        <f t="shared" si="595"/>
        <v>2980</v>
      </c>
      <c r="BT694" s="28">
        <f t="shared" si="596"/>
        <v>1180</v>
      </c>
      <c r="BU694" s="28" t="s">
        <v>2541</v>
      </c>
      <c r="BV694" s="28">
        <f t="shared" si="597"/>
        <v>5</v>
      </c>
      <c r="BW694" s="28">
        <f t="shared" si="598"/>
        <v>5</v>
      </c>
      <c r="BX694" s="13">
        <f t="shared" si="599"/>
        <v>596</v>
      </c>
      <c r="BY694" s="13">
        <f t="shared" si="600"/>
        <v>596</v>
      </c>
      <c r="BZ694" s="13">
        <f t="shared" si="601"/>
        <v>236</v>
      </c>
      <c r="CA694" s="13">
        <f t="shared" si="602"/>
        <v>236</v>
      </c>
      <c r="CB694" s="13">
        <f t="shared" si="603"/>
        <v>140656</v>
      </c>
      <c r="CC694" s="62">
        <f t="shared" si="604"/>
        <v>7.1095438516664771E-6</v>
      </c>
      <c r="CD694" s="13">
        <f t="shared" si="605"/>
        <v>596</v>
      </c>
      <c r="CE694" s="13">
        <f t="shared" si="606"/>
        <v>596</v>
      </c>
      <c r="CF694" s="13">
        <f t="shared" si="607"/>
        <v>236</v>
      </c>
      <c r="CG694" s="13">
        <f t="shared" si="608"/>
        <v>236</v>
      </c>
      <c r="CH694" s="28">
        <f t="shared" si="609"/>
        <v>140656</v>
      </c>
      <c r="CI694" s="62">
        <f t="shared" si="610"/>
        <v>7.1095438516664771E-6</v>
      </c>
      <c r="CJ694" s="59">
        <f t="shared" si="611"/>
        <v>7.1095438516664771E-6</v>
      </c>
      <c r="CL694" s="63">
        <v>6000</v>
      </c>
      <c r="CM694" s="63">
        <f t="shared" si="612"/>
        <v>0</v>
      </c>
      <c r="CN694" s="63">
        <f t="shared" si="613"/>
        <v>5</v>
      </c>
      <c r="CO694" s="63">
        <f t="shared" si="614"/>
        <v>1200</v>
      </c>
      <c r="CP694" s="13">
        <f t="shared" si="615"/>
        <v>1200</v>
      </c>
      <c r="CQ694" s="70">
        <f t="shared" si="616"/>
        <v>8.3333333333333339E-4</v>
      </c>
      <c r="CR694" s="69">
        <f t="shared" si="636"/>
        <v>7.5000000000000006E-3</v>
      </c>
    </row>
    <row r="695" spans="1:96" hidden="1" x14ac:dyDescent="0.25">
      <c r="A695" s="13">
        <v>4</v>
      </c>
      <c r="B695" s="14" t="s">
        <v>1663</v>
      </c>
      <c r="C695" s="13" t="s">
        <v>1667</v>
      </c>
      <c r="D695" s="13" t="s">
        <v>1959</v>
      </c>
      <c r="E695" s="13" t="s">
        <v>52</v>
      </c>
      <c r="F695" s="15">
        <f t="shared" si="585"/>
        <v>8</v>
      </c>
      <c r="G695" s="13">
        <v>3</v>
      </c>
      <c r="H695" s="13">
        <f t="shared" si="640"/>
        <v>3</v>
      </c>
      <c r="I695" s="13">
        <v>3</v>
      </c>
      <c r="J695" s="14" t="s">
        <v>1668</v>
      </c>
      <c r="K695" s="14" t="s">
        <v>34</v>
      </c>
      <c r="L695" s="13">
        <v>0</v>
      </c>
      <c r="M695" s="14" t="s">
        <v>35</v>
      </c>
      <c r="N695" s="13" t="s">
        <v>1959</v>
      </c>
      <c r="O695" s="28" t="s">
        <v>41</v>
      </c>
      <c r="P695" s="28" t="s">
        <v>41</v>
      </c>
      <c r="Q695" s="28" t="s">
        <v>1959</v>
      </c>
      <c r="R695" s="30"/>
      <c r="S695" s="30"/>
      <c r="T695" s="30"/>
      <c r="U695" s="30"/>
      <c r="V695" s="8">
        <f t="shared" si="586"/>
        <v>0</v>
      </c>
      <c r="W695" s="8">
        <f t="shared" si="587"/>
        <v>0</v>
      </c>
      <c r="X695" s="8">
        <f t="shared" si="588"/>
        <v>0</v>
      </c>
      <c r="Y695" s="33">
        <f t="shared" si="589"/>
        <v>0</v>
      </c>
      <c r="Z695" s="28"/>
      <c r="AA695" s="28"/>
      <c r="AB695" s="61" t="s">
        <v>1959</v>
      </c>
      <c r="AC695" s="31" t="s">
        <v>1669</v>
      </c>
      <c r="AD695" s="50">
        <f t="shared" si="590"/>
        <v>3</v>
      </c>
      <c r="AE695" s="31"/>
      <c r="AF695" s="51">
        <v>14</v>
      </c>
      <c r="AG695" s="51">
        <f t="shared" si="617"/>
        <v>8.4</v>
      </c>
      <c r="AH695" s="51">
        <f t="shared" si="584"/>
        <v>42</v>
      </c>
      <c r="AI695" s="52" t="s">
        <v>2497</v>
      </c>
      <c r="AJ695" s="52" t="s">
        <v>2498</v>
      </c>
      <c r="AK695" s="53">
        <f t="shared" si="618"/>
        <v>0</v>
      </c>
      <c r="AL695" s="54">
        <f t="shared" si="619"/>
        <v>0.11904761904761904</v>
      </c>
      <c r="AM695" s="54">
        <f t="shared" si="620"/>
        <v>2.3809523809523808E-2</v>
      </c>
      <c r="AN695" s="55">
        <f t="shared" si="621"/>
        <v>0</v>
      </c>
      <c r="AO695" s="55">
        <f t="shared" si="622"/>
        <v>0</v>
      </c>
      <c r="AP695" s="53">
        <v>7.1</v>
      </c>
      <c r="AQ695" s="53">
        <f t="shared" si="591"/>
        <v>4.26</v>
      </c>
      <c r="AR695" s="53">
        <f t="shared" si="592"/>
        <v>21.299999999999997</v>
      </c>
      <c r="AS695" s="56">
        <f t="shared" si="593"/>
        <v>4.6948356807511742E-2</v>
      </c>
      <c r="AT695" s="56">
        <f t="shared" si="623"/>
        <v>0.23474178403755869</v>
      </c>
      <c r="AU695" s="56">
        <f t="shared" si="594"/>
        <v>0.176056338028169</v>
      </c>
      <c r="AV695" s="56">
        <f t="shared" si="624"/>
        <v>5.8685446009389672E-2</v>
      </c>
      <c r="AW695" s="57" t="s">
        <v>2511</v>
      </c>
      <c r="AX695" s="57" t="s">
        <v>2512</v>
      </c>
      <c r="AY695" s="57" t="s">
        <v>2513</v>
      </c>
      <c r="AZ695" s="58">
        <f t="shared" si="625"/>
        <v>0</v>
      </c>
      <c r="BA695" s="59">
        <f t="shared" si="628"/>
        <v>0</v>
      </c>
      <c r="BB695" s="59">
        <f t="shared" si="629"/>
        <v>0</v>
      </c>
      <c r="BC695" s="59">
        <f t="shared" si="630"/>
        <v>0</v>
      </c>
      <c r="BD695" s="60">
        <f t="shared" si="626"/>
        <v>7.1095438516664771E-6</v>
      </c>
      <c r="BE695" s="59">
        <f t="shared" si="627"/>
        <v>2.1328631554999432E-5</v>
      </c>
      <c r="BQ695" s="61">
        <v>3000</v>
      </c>
      <c r="BR695" s="61">
        <v>1200</v>
      </c>
      <c r="BS695" s="28">
        <f t="shared" si="595"/>
        <v>2980</v>
      </c>
      <c r="BT695" s="28">
        <f t="shared" si="596"/>
        <v>1180</v>
      </c>
      <c r="BU695" s="28" t="s">
        <v>2541</v>
      </c>
      <c r="BV695" s="28">
        <f t="shared" si="597"/>
        <v>5</v>
      </c>
      <c r="BW695" s="28">
        <f t="shared" si="598"/>
        <v>5</v>
      </c>
      <c r="BX695" s="13">
        <f t="shared" si="599"/>
        <v>596</v>
      </c>
      <c r="BY695" s="13">
        <f t="shared" si="600"/>
        <v>596</v>
      </c>
      <c r="BZ695" s="13">
        <f t="shared" si="601"/>
        <v>236</v>
      </c>
      <c r="CA695" s="13">
        <f t="shared" si="602"/>
        <v>236</v>
      </c>
      <c r="CB695" s="13">
        <f t="shared" si="603"/>
        <v>140656</v>
      </c>
      <c r="CC695" s="62">
        <f t="shared" si="604"/>
        <v>7.1095438516664771E-6</v>
      </c>
      <c r="CD695" s="13">
        <f t="shared" si="605"/>
        <v>596</v>
      </c>
      <c r="CE695" s="13">
        <f t="shared" si="606"/>
        <v>596</v>
      </c>
      <c r="CF695" s="13">
        <f t="shared" si="607"/>
        <v>236</v>
      </c>
      <c r="CG695" s="13">
        <f t="shared" si="608"/>
        <v>236</v>
      </c>
      <c r="CH695" s="28">
        <f t="shared" si="609"/>
        <v>140656</v>
      </c>
      <c r="CI695" s="62">
        <f t="shared" si="610"/>
        <v>7.1095438516664771E-6</v>
      </c>
      <c r="CJ695" s="59">
        <f t="shared" si="611"/>
        <v>7.1095438516664771E-6</v>
      </c>
      <c r="CL695" s="63">
        <v>6000</v>
      </c>
      <c r="CM695" s="63">
        <f t="shared" si="612"/>
        <v>0</v>
      </c>
      <c r="CN695" s="63">
        <f t="shared" si="613"/>
        <v>5</v>
      </c>
      <c r="CO695" s="63">
        <f t="shared" si="614"/>
        <v>1200</v>
      </c>
      <c r="CP695" s="13">
        <f t="shared" si="615"/>
        <v>1200</v>
      </c>
      <c r="CQ695" s="70">
        <f t="shared" si="616"/>
        <v>8.3333333333333339E-4</v>
      </c>
      <c r="CR695" s="69">
        <f t="shared" si="636"/>
        <v>2.5000000000000001E-3</v>
      </c>
    </row>
    <row r="696" spans="1:96" hidden="1" x14ac:dyDescent="0.25">
      <c r="A696" s="10">
        <v>3</v>
      </c>
      <c r="B696" s="8" t="s">
        <v>1659</v>
      </c>
      <c r="C696" s="10" t="s">
        <v>1670</v>
      </c>
      <c r="D696" s="10" t="s">
        <v>2270</v>
      </c>
      <c r="E696" s="10" t="s">
        <v>52</v>
      </c>
      <c r="F696" s="12">
        <f t="shared" si="585"/>
        <v>1</v>
      </c>
      <c r="G696" s="10">
        <v>4</v>
      </c>
      <c r="H696" s="10">
        <f>G696*$H$691</f>
        <v>4</v>
      </c>
      <c r="I696" s="10">
        <v>5</v>
      </c>
      <c r="J696" s="8" t="s">
        <v>1671</v>
      </c>
      <c r="K696" s="8" t="s">
        <v>34</v>
      </c>
      <c r="L696" s="10">
        <v>0</v>
      </c>
      <c r="M696" s="8" t="s">
        <v>35</v>
      </c>
      <c r="N696" s="10" t="s">
        <v>1672</v>
      </c>
      <c r="O696" s="28" t="s">
        <v>41</v>
      </c>
      <c r="P696" s="28" t="s">
        <v>41</v>
      </c>
      <c r="Q696" s="28" t="s">
        <v>116</v>
      </c>
      <c r="R696" s="30">
        <v>1.9685039370078741</v>
      </c>
      <c r="S696" s="30">
        <v>0.82677165354330717</v>
      </c>
      <c r="T696" s="30"/>
      <c r="U696" s="30">
        <v>0.11799999999999999</v>
      </c>
      <c r="V696" s="8">
        <f t="shared" si="586"/>
        <v>50</v>
      </c>
      <c r="W696" s="8">
        <f t="shared" si="587"/>
        <v>21</v>
      </c>
      <c r="X696" s="8">
        <f t="shared" si="588"/>
        <v>0</v>
      </c>
      <c r="Y696" s="33">
        <f t="shared" si="589"/>
        <v>2.9971999999999999</v>
      </c>
      <c r="Z696" s="28" t="s">
        <v>56</v>
      </c>
      <c r="AA696" s="28" t="s">
        <v>57</v>
      </c>
      <c r="AB696" s="28" t="s">
        <v>116</v>
      </c>
      <c r="AC696" s="31" t="s">
        <v>117</v>
      </c>
      <c r="AD696" s="50">
        <f t="shared" si="590"/>
        <v>4</v>
      </c>
      <c r="AE696" s="31"/>
      <c r="AF696" s="51">
        <v>14</v>
      </c>
      <c r="AG696" s="51">
        <f t="shared" si="617"/>
        <v>8.4</v>
      </c>
      <c r="AH696" s="51">
        <f t="shared" si="584"/>
        <v>42</v>
      </c>
      <c r="AI696" s="52" t="s">
        <v>2497</v>
      </c>
      <c r="AJ696" s="52" t="s">
        <v>2498</v>
      </c>
      <c r="AK696" s="53">
        <f t="shared" si="618"/>
        <v>2.0999999999999999E-3</v>
      </c>
      <c r="AL696" s="54">
        <f t="shared" si="619"/>
        <v>0.11904761904761904</v>
      </c>
      <c r="AM696" s="54">
        <f t="shared" si="620"/>
        <v>2.3809523809523808E-2</v>
      </c>
      <c r="AN696" s="55">
        <f t="shared" si="621"/>
        <v>9.999999999999998E-4</v>
      </c>
      <c r="AO696" s="55">
        <f t="shared" si="622"/>
        <v>1.9999999999999998E-4</v>
      </c>
      <c r="AP696" s="53">
        <v>7.1</v>
      </c>
      <c r="AQ696" s="53">
        <f t="shared" si="591"/>
        <v>4.26</v>
      </c>
      <c r="AR696" s="53">
        <f t="shared" si="592"/>
        <v>21.299999999999997</v>
      </c>
      <c r="AS696" s="56">
        <f t="shared" si="593"/>
        <v>4.6948356807511742E-2</v>
      </c>
      <c r="AT696" s="56">
        <f t="shared" si="623"/>
        <v>0.23474178403755869</v>
      </c>
      <c r="AU696" s="56">
        <f t="shared" si="594"/>
        <v>0.176056338028169</v>
      </c>
      <c r="AV696" s="56">
        <f t="shared" si="624"/>
        <v>5.8685446009389672E-2</v>
      </c>
      <c r="AW696" s="57" t="s">
        <v>2511</v>
      </c>
      <c r="AX696" s="57" t="s">
        <v>2512</v>
      </c>
      <c r="AY696" s="57" t="s">
        <v>2513</v>
      </c>
      <c r="AZ696" s="58">
        <f t="shared" si="625"/>
        <v>2.0999999999999999E-3</v>
      </c>
      <c r="BA696" s="59">
        <f t="shared" si="628"/>
        <v>2.4647887323943661E-4</v>
      </c>
      <c r="BB696" s="59">
        <f t="shared" si="629"/>
        <v>7.3943661971830976E-4</v>
      </c>
      <c r="BC696" s="59">
        <f t="shared" si="630"/>
        <v>1.9718309859154931E-4</v>
      </c>
      <c r="BD696" s="60">
        <f t="shared" si="626"/>
        <v>4.1152263374485596E-4</v>
      </c>
      <c r="BE696" s="59">
        <f t="shared" si="627"/>
        <v>1.6460905349794238E-3</v>
      </c>
      <c r="BQ696" s="61">
        <v>3000</v>
      </c>
      <c r="BR696" s="61">
        <v>1200</v>
      </c>
      <c r="BS696" s="28">
        <f t="shared" si="595"/>
        <v>2980</v>
      </c>
      <c r="BT696" s="28">
        <f t="shared" si="596"/>
        <v>1180</v>
      </c>
      <c r="BU696" s="28" t="s">
        <v>2541</v>
      </c>
      <c r="BV696" s="28">
        <f t="shared" si="597"/>
        <v>55</v>
      </c>
      <c r="BW696" s="28">
        <f t="shared" si="598"/>
        <v>26</v>
      </c>
      <c r="BX696" s="13">
        <f t="shared" si="599"/>
        <v>54.18181818181818</v>
      </c>
      <c r="BY696" s="13">
        <f t="shared" si="600"/>
        <v>54</v>
      </c>
      <c r="BZ696" s="13">
        <f t="shared" si="601"/>
        <v>45.384615384615387</v>
      </c>
      <c r="CA696" s="13">
        <f t="shared" si="602"/>
        <v>45</v>
      </c>
      <c r="CB696" s="13">
        <f t="shared" si="603"/>
        <v>2430</v>
      </c>
      <c r="CC696" s="62">
        <f t="shared" si="604"/>
        <v>4.1152263374485596E-4</v>
      </c>
      <c r="CD696" s="13">
        <f t="shared" si="605"/>
        <v>114.61538461538461</v>
      </c>
      <c r="CE696" s="13">
        <f t="shared" si="606"/>
        <v>114</v>
      </c>
      <c r="CF696" s="13">
        <f t="shared" si="607"/>
        <v>21.454545454545453</v>
      </c>
      <c r="CG696" s="13">
        <f t="shared" si="608"/>
        <v>21</v>
      </c>
      <c r="CH696" s="28">
        <f t="shared" si="609"/>
        <v>2394</v>
      </c>
      <c r="CI696" s="62">
        <f t="shared" si="610"/>
        <v>4.1771094402673348E-4</v>
      </c>
      <c r="CJ696" s="59">
        <f t="shared" si="611"/>
        <v>4.1152263374485596E-4</v>
      </c>
      <c r="CL696" s="63">
        <v>6000</v>
      </c>
      <c r="CM696" s="63">
        <f t="shared" si="612"/>
        <v>50</v>
      </c>
      <c r="CN696" s="63">
        <f t="shared" si="613"/>
        <v>55</v>
      </c>
      <c r="CO696" s="63">
        <f t="shared" si="614"/>
        <v>109.09090909090909</v>
      </c>
      <c r="CP696" s="13">
        <f t="shared" si="615"/>
        <v>109</v>
      </c>
      <c r="CQ696" s="70">
        <f t="shared" si="616"/>
        <v>9.1743119266055051E-3</v>
      </c>
      <c r="CR696" s="69">
        <f t="shared" si="636"/>
        <v>3.669724770642202E-2</v>
      </c>
    </row>
    <row r="697" spans="1:96" hidden="1" x14ac:dyDescent="0.25">
      <c r="A697" s="36">
        <v>2</v>
      </c>
      <c r="B697" s="37" t="s">
        <v>37</v>
      </c>
      <c r="C697" s="36" t="s">
        <v>188</v>
      </c>
      <c r="D697" s="36" t="s">
        <v>189</v>
      </c>
      <c r="E697" s="36" t="s">
        <v>52</v>
      </c>
      <c r="F697" s="38">
        <f t="shared" si="585"/>
        <v>5</v>
      </c>
      <c r="G697" s="36">
        <v>1</v>
      </c>
      <c r="H697" s="36">
        <f t="shared" ref="H697:H699" si="641">G697*$H$3</f>
        <v>1</v>
      </c>
      <c r="I697" s="36">
        <v>212</v>
      </c>
      <c r="J697" s="37" t="s">
        <v>76</v>
      </c>
      <c r="K697" s="37" t="s">
        <v>34</v>
      </c>
      <c r="L697" s="36" t="s">
        <v>77</v>
      </c>
      <c r="M697" s="37" t="s">
        <v>35</v>
      </c>
      <c r="N697" s="36" t="s">
        <v>189</v>
      </c>
      <c r="O697" s="28" t="s">
        <v>41</v>
      </c>
      <c r="P697" s="28" t="s">
        <v>41</v>
      </c>
      <c r="Q697" s="28" t="s">
        <v>79</v>
      </c>
      <c r="R697" s="30">
        <v>15.039370078740159</v>
      </c>
      <c r="S697" s="30">
        <v>0.3125</v>
      </c>
      <c r="T697" s="30"/>
      <c r="U697" s="30">
        <v>0.3125</v>
      </c>
      <c r="V697" s="8">
        <f t="shared" si="586"/>
        <v>382</v>
      </c>
      <c r="W697" s="8">
        <f t="shared" si="587"/>
        <v>7.9375</v>
      </c>
      <c r="X697" s="8">
        <f t="shared" si="588"/>
        <v>0</v>
      </c>
      <c r="Y697" s="33">
        <f t="shared" si="589"/>
        <v>7.9375</v>
      </c>
      <c r="Z697" s="28" t="s">
        <v>80</v>
      </c>
      <c r="AA697" s="28" t="s">
        <v>81</v>
      </c>
      <c r="AB697" s="61" t="s">
        <v>79</v>
      </c>
      <c r="AC697" s="31" t="s">
        <v>82</v>
      </c>
      <c r="AD697" s="50">
        <f t="shared" si="590"/>
        <v>1</v>
      </c>
      <c r="AE697" s="47" t="s">
        <v>107</v>
      </c>
      <c r="AF697" s="51">
        <v>14</v>
      </c>
      <c r="AG697" s="51">
        <f t="shared" si="617"/>
        <v>8.4</v>
      </c>
      <c r="AH697" s="51">
        <f t="shared" si="584"/>
        <v>42</v>
      </c>
      <c r="AI697" s="52" t="s">
        <v>2497</v>
      </c>
      <c r="AJ697" s="52" t="s">
        <v>2498</v>
      </c>
      <c r="AK697" s="53">
        <f t="shared" si="618"/>
        <v>6.0642500000000002E-3</v>
      </c>
      <c r="AL697" s="54">
        <f t="shared" si="619"/>
        <v>0.11904761904761904</v>
      </c>
      <c r="AM697" s="54">
        <f t="shared" si="620"/>
        <v>2.3809523809523808E-2</v>
      </c>
      <c r="AN697" s="55">
        <f t="shared" si="621"/>
        <v>7.2193452380952378E-4</v>
      </c>
      <c r="AO697" s="55">
        <f t="shared" si="622"/>
        <v>1.4438690476190476E-4</v>
      </c>
      <c r="AP697" s="53">
        <v>7.1</v>
      </c>
      <c r="AQ697" s="53">
        <f t="shared" si="591"/>
        <v>4.26</v>
      </c>
      <c r="AR697" s="53">
        <f t="shared" si="592"/>
        <v>21.299999999999997</v>
      </c>
      <c r="AS697" s="56">
        <f t="shared" si="593"/>
        <v>4.6948356807511742E-2</v>
      </c>
      <c r="AT697" s="56">
        <f t="shared" si="623"/>
        <v>0.23474178403755869</v>
      </c>
      <c r="AU697" s="56">
        <f t="shared" si="594"/>
        <v>0.176056338028169</v>
      </c>
      <c r="AV697" s="56">
        <f t="shared" si="624"/>
        <v>5.8685446009389672E-2</v>
      </c>
      <c r="AW697" s="57" t="s">
        <v>2511</v>
      </c>
      <c r="AX697" s="57" t="s">
        <v>2512</v>
      </c>
      <c r="AY697" s="57" t="s">
        <v>2513</v>
      </c>
      <c r="AZ697" s="58">
        <f t="shared" si="625"/>
        <v>6.0642500000000002E-3</v>
      </c>
      <c r="BA697" s="59">
        <f t="shared" si="628"/>
        <v>1.7794160798122066E-4</v>
      </c>
      <c r="BB697" s="59">
        <f t="shared" si="629"/>
        <v>5.3382482394366191E-4</v>
      </c>
      <c r="BC697" s="59">
        <f t="shared" si="630"/>
        <v>1.4235328638497654E-4</v>
      </c>
      <c r="BD697" s="60">
        <f t="shared" si="626"/>
        <v>1.4492753623188406E-3</v>
      </c>
      <c r="BE697" s="59">
        <f t="shared" si="627"/>
        <v>1.4492753623188406E-3</v>
      </c>
      <c r="BQ697" s="61">
        <v>3000</v>
      </c>
      <c r="BR697" s="61">
        <v>1200</v>
      </c>
      <c r="BS697" s="28">
        <f t="shared" si="595"/>
        <v>2980</v>
      </c>
      <c r="BT697" s="28">
        <f t="shared" si="596"/>
        <v>1180</v>
      </c>
      <c r="BU697" s="28" t="s">
        <v>2541</v>
      </c>
      <c r="BV697" s="28">
        <f t="shared" si="597"/>
        <v>387</v>
      </c>
      <c r="BW697" s="28">
        <f t="shared" si="598"/>
        <v>12.9375</v>
      </c>
      <c r="BX697" s="13">
        <f t="shared" si="599"/>
        <v>7.7002583979328163</v>
      </c>
      <c r="BY697" s="13">
        <f t="shared" si="600"/>
        <v>7</v>
      </c>
      <c r="BZ697" s="13">
        <f t="shared" si="601"/>
        <v>91.207729468599027</v>
      </c>
      <c r="CA697" s="13">
        <f t="shared" si="602"/>
        <v>91</v>
      </c>
      <c r="CB697" s="13">
        <f t="shared" si="603"/>
        <v>637</v>
      </c>
      <c r="CC697" s="62">
        <f t="shared" si="604"/>
        <v>1.5698587127158557E-3</v>
      </c>
      <c r="CD697" s="13">
        <f t="shared" si="605"/>
        <v>230.33816425120773</v>
      </c>
      <c r="CE697" s="13">
        <f t="shared" si="606"/>
        <v>230</v>
      </c>
      <c r="CF697" s="13">
        <f t="shared" si="607"/>
        <v>3.0490956072351421</v>
      </c>
      <c r="CG697" s="13">
        <f t="shared" si="608"/>
        <v>3</v>
      </c>
      <c r="CH697" s="28">
        <f t="shared" si="609"/>
        <v>690</v>
      </c>
      <c r="CI697" s="62">
        <f t="shared" si="610"/>
        <v>1.4492753623188406E-3</v>
      </c>
      <c r="CJ697" s="59">
        <f t="shared" si="611"/>
        <v>1.4492753623188406E-3</v>
      </c>
      <c r="CL697" s="63">
        <v>6000</v>
      </c>
      <c r="CM697" s="63">
        <f t="shared" si="612"/>
        <v>382</v>
      </c>
      <c r="CN697" s="63">
        <f t="shared" si="613"/>
        <v>387</v>
      </c>
      <c r="CO697" s="63">
        <f t="shared" si="614"/>
        <v>15.503875968992247</v>
      </c>
      <c r="CP697" s="13">
        <f t="shared" si="615"/>
        <v>15</v>
      </c>
      <c r="CQ697" s="70">
        <f t="shared" si="616"/>
        <v>6.6666666666666666E-2</v>
      </c>
      <c r="CR697" s="69">
        <f t="shared" si="636"/>
        <v>6.6666666666666666E-2</v>
      </c>
    </row>
    <row r="698" spans="1:96" hidden="1" x14ac:dyDescent="0.25">
      <c r="A698" s="36">
        <v>2</v>
      </c>
      <c r="B698" s="37" t="s">
        <v>37</v>
      </c>
      <c r="C698" s="36" t="s">
        <v>1673</v>
      </c>
      <c r="D698" s="36" t="s">
        <v>2270</v>
      </c>
      <c r="E698" s="36" t="s">
        <v>52</v>
      </c>
      <c r="F698" s="38">
        <f t="shared" si="585"/>
        <v>1</v>
      </c>
      <c r="G698" s="36" t="s">
        <v>385</v>
      </c>
      <c r="H698" s="36" t="s">
        <v>385</v>
      </c>
      <c r="I698" s="36">
        <v>214</v>
      </c>
      <c r="J698" s="37" t="s">
        <v>911</v>
      </c>
      <c r="K698" s="37" t="s">
        <v>34</v>
      </c>
      <c r="L698" s="36">
        <v>0</v>
      </c>
      <c r="M698" s="37" t="s">
        <v>35</v>
      </c>
      <c r="N698" s="36" t="s">
        <v>1674</v>
      </c>
      <c r="O698" s="28" t="s">
        <v>41</v>
      </c>
      <c r="P698" s="28" t="s">
        <v>41</v>
      </c>
      <c r="Q698" s="28" t="s">
        <v>124</v>
      </c>
      <c r="R698" s="30">
        <v>2.9921259842519685</v>
      </c>
      <c r="S698" s="30">
        <v>1.5354330708661419</v>
      </c>
      <c r="T698" s="30"/>
      <c r="U698" s="30">
        <v>9.8000000000000004E-2</v>
      </c>
      <c r="V698" s="8">
        <f t="shared" si="586"/>
        <v>76</v>
      </c>
      <c r="W698" s="8">
        <f t="shared" si="587"/>
        <v>39</v>
      </c>
      <c r="X698" s="8">
        <f t="shared" si="588"/>
        <v>0</v>
      </c>
      <c r="Y698" s="33">
        <f t="shared" si="589"/>
        <v>2.4891999999999999</v>
      </c>
      <c r="Z698" s="28" t="s">
        <v>56</v>
      </c>
      <c r="AA698" s="28" t="s">
        <v>57</v>
      </c>
      <c r="AB698" s="61" t="s">
        <v>124</v>
      </c>
      <c r="AC698" s="31" t="s">
        <v>125</v>
      </c>
      <c r="AD698" s="72">
        <v>0.01</v>
      </c>
      <c r="AE698" s="47" t="s">
        <v>2557</v>
      </c>
      <c r="AF698" s="51">
        <v>14</v>
      </c>
      <c r="AG698" s="51">
        <f t="shared" si="617"/>
        <v>8.4</v>
      </c>
      <c r="AH698" s="51">
        <f t="shared" si="584"/>
        <v>42</v>
      </c>
      <c r="AI698" s="52" t="s">
        <v>2497</v>
      </c>
      <c r="AJ698" s="52" t="s">
        <v>2498</v>
      </c>
      <c r="AK698" s="53">
        <f t="shared" si="618"/>
        <v>5.9280000000000001E-3</v>
      </c>
      <c r="AL698" s="54">
        <f t="shared" si="619"/>
        <v>0.11904761904761904</v>
      </c>
      <c r="AM698" s="54">
        <f t="shared" si="620"/>
        <v>2.3809523809523808E-2</v>
      </c>
      <c r="AN698" s="55">
        <f t="shared" si="621"/>
        <v>7.0571428571428569E-6</v>
      </c>
      <c r="AO698" s="55">
        <f t="shared" si="622"/>
        <v>1.4114285714285715E-6</v>
      </c>
      <c r="AP698" s="53">
        <v>7.1</v>
      </c>
      <c r="AQ698" s="53">
        <f t="shared" si="591"/>
        <v>4.26</v>
      </c>
      <c r="AR698" s="53">
        <f t="shared" si="592"/>
        <v>21.299999999999997</v>
      </c>
      <c r="AS698" s="56">
        <f t="shared" si="593"/>
        <v>4.6948356807511742E-2</v>
      </c>
      <c r="AT698" s="56">
        <f t="shared" si="623"/>
        <v>0.23474178403755869</v>
      </c>
      <c r="AU698" s="56">
        <f t="shared" si="594"/>
        <v>0.176056338028169</v>
      </c>
      <c r="AV698" s="56">
        <f t="shared" si="624"/>
        <v>5.8685446009389672E-2</v>
      </c>
      <c r="AW698" s="57" t="s">
        <v>2511</v>
      </c>
      <c r="AX698" s="57" t="s">
        <v>2512</v>
      </c>
      <c r="AY698" s="57" t="s">
        <v>2513</v>
      </c>
      <c r="AZ698" s="58">
        <f t="shared" si="625"/>
        <v>5.9280000000000001E-3</v>
      </c>
      <c r="BA698" s="59">
        <f t="shared" si="628"/>
        <v>1.73943661971831E-6</v>
      </c>
      <c r="BB698" s="59">
        <f t="shared" si="629"/>
        <v>5.2183098591549291E-6</v>
      </c>
      <c r="BC698" s="59">
        <f t="shared" si="630"/>
        <v>1.391549295774648E-6</v>
      </c>
      <c r="BD698" s="60">
        <f t="shared" si="626"/>
        <v>1.0660980810234541E-3</v>
      </c>
      <c r="BE698" s="59">
        <f t="shared" si="627"/>
        <v>1.0660980810234541E-5</v>
      </c>
      <c r="BQ698" s="61">
        <v>3000</v>
      </c>
      <c r="BR698" s="61">
        <v>1200</v>
      </c>
      <c r="BS698" s="28">
        <f t="shared" si="595"/>
        <v>2980</v>
      </c>
      <c r="BT698" s="28">
        <f t="shared" si="596"/>
        <v>1180</v>
      </c>
      <c r="BU698" s="28" t="s">
        <v>2541</v>
      </c>
      <c r="BV698" s="28">
        <f t="shared" si="597"/>
        <v>81</v>
      </c>
      <c r="BW698" s="28">
        <f t="shared" si="598"/>
        <v>44</v>
      </c>
      <c r="BX698" s="13">
        <f t="shared" si="599"/>
        <v>36.790123456790127</v>
      </c>
      <c r="BY698" s="13">
        <f t="shared" si="600"/>
        <v>36</v>
      </c>
      <c r="BZ698" s="13">
        <f t="shared" si="601"/>
        <v>26.818181818181817</v>
      </c>
      <c r="CA698" s="13">
        <f t="shared" si="602"/>
        <v>26</v>
      </c>
      <c r="CB698" s="13">
        <f t="shared" si="603"/>
        <v>936</v>
      </c>
      <c r="CC698" s="62">
        <f t="shared" si="604"/>
        <v>1.0683760683760685E-3</v>
      </c>
      <c r="CD698" s="13">
        <f t="shared" si="605"/>
        <v>67.727272727272734</v>
      </c>
      <c r="CE698" s="13">
        <f t="shared" si="606"/>
        <v>67</v>
      </c>
      <c r="CF698" s="13">
        <f t="shared" si="607"/>
        <v>14.567901234567902</v>
      </c>
      <c r="CG698" s="13">
        <f t="shared" si="608"/>
        <v>14</v>
      </c>
      <c r="CH698" s="28">
        <f t="shared" si="609"/>
        <v>938</v>
      </c>
      <c r="CI698" s="62">
        <f t="shared" si="610"/>
        <v>1.0660980810234541E-3</v>
      </c>
      <c r="CJ698" s="59">
        <f t="shared" si="611"/>
        <v>1.0660980810234541E-3</v>
      </c>
      <c r="CL698" s="63">
        <v>6000</v>
      </c>
      <c r="CM698" s="63">
        <f t="shared" si="612"/>
        <v>76</v>
      </c>
      <c r="CN698" s="63">
        <f t="shared" si="613"/>
        <v>81</v>
      </c>
      <c r="CO698" s="63">
        <f t="shared" si="614"/>
        <v>74.074074074074076</v>
      </c>
      <c r="CP698" s="13">
        <f t="shared" si="615"/>
        <v>74</v>
      </c>
      <c r="CQ698" s="70">
        <f t="shared" si="616"/>
        <v>1.3513513513513514E-2</v>
      </c>
      <c r="CR698" s="69">
        <f t="shared" si="636"/>
        <v>1.3513513513513514E-4</v>
      </c>
    </row>
    <row r="699" spans="1:96" hidden="1" x14ac:dyDescent="0.25">
      <c r="A699" s="36">
        <v>2</v>
      </c>
      <c r="B699" s="37" t="s">
        <v>37</v>
      </c>
      <c r="C699" s="36" t="s">
        <v>1675</v>
      </c>
      <c r="D699" s="36" t="s">
        <v>2270</v>
      </c>
      <c r="E699" s="36" t="s">
        <v>32</v>
      </c>
      <c r="F699" s="38">
        <f t="shared" si="585"/>
        <v>1</v>
      </c>
      <c r="G699" s="36">
        <v>2</v>
      </c>
      <c r="H699" s="36">
        <f t="shared" si="641"/>
        <v>2</v>
      </c>
      <c r="I699" s="36">
        <v>224</v>
      </c>
      <c r="J699" s="37" t="s">
        <v>1676</v>
      </c>
      <c r="K699" s="37" t="s">
        <v>34</v>
      </c>
      <c r="L699" s="36" t="s">
        <v>110</v>
      </c>
      <c r="M699" s="37" t="s">
        <v>35</v>
      </c>
      <c r="N699" s="36" t="s">
        <v>1677</v>
      </c>
      <c r="O699" s="28" t="s">
        <v>41</v>
      </c>
      <c r="P699" s="28" t="s">
        <v>41</v>
      </c>
      <c r="Q699" s="28"/>
      <c r="R699" s="30"/>
      <c r="S699" s="30"/>
      <c r="T699" s="30"/>
      <c r="U699" s="30"/>
      <c r="V699" s="8">
        <f t="shared" si="586"/>
        <v>0</v>
      </c>
      <c r="W699" s="8">
        <f t="shared" si="587"/>
        <v>0</v>
      </c>
      <c r="X699" s="8">
        <f t="shared" si="588"/>
        <v>0</v>
      </c>
      <c r="Y699" s="33">
        <f t="shared" si="589"/>
        <v>0</v>
      </c>
      <c r="Z699" s="28"/>
      <c r="AA699" s="28"/>
      <c r="AB699" s="28">
        <v>0</v>
      </c>
      <c r="AC699" s="31"/>
      <c r="AD699" s="50">
        <f t="shared" si="590"/>
        <v>2</v>
      </c>
      <c r="AE699" s="31"/>
      <c r="AF699" s="51">
        <v>14</v>
      </c>
      <c r="AG699" s="51">
        <f t="shared" si="617"/>
        <v>8.4</v>
      </c>
      <c r="AH699" s="51">
        <f t="shared" si="584"/>
        <v>42</v>
      </c>
      <c r="AI699" s="52" t="s">
        <v>2497</v>
      </c>
      <c r="AJ699" s="52" t="s">
        <v>2498</v>
      </c>
      <c r="AK699" s="53">
        <f t="shared" si="618"/>
        <v>0</v>
      </c>
      <c r="AL699" s="54">
        <f t="shared" si="619"/>
        <v>0.11904761904761904</v>
      </c>
      <c r="AM699" s="54">
        <f t="shared" si="620"/>
        <v>2.3809523809523808E-2</v>
      </c>
      <c r="AN699" s="55">
        <f t="shared" si="621"/>
        <v>0</v>
      </c>
      <c r="AO699" s="55">
        <f t="shared" si="622"/>
        <v>0</v>
      </c>
      <c r="AP699" s="53">
        <v>7.1</v>
      </c>
      <c r="AQ699" s="53">
        <f t="shared" si="591"/>
        <v>4.26</v>
      </c>
      <c r="AR699" s="53">
        <f t="shared" si="592"/>
        <v>21.299999999999997</v>
      </c>
      <c r="AS699" s="56">
        <f t="shared" si="593"/>
        <v>4.6948356807511742E-2</v>
      </c>
      <c r="AT699" s="56">
        <f t="shared" si="623"/>
        <v>0.23474178403755869</v>
      </c>
      <c r="AU699" s="56">
        <f t="shared" si="594"/>
        <v>0.176056338028169</v>
      </c>
      <c r="AV699" s="56">
        <f t="shared" si="624"/>
        <v>5.8685446009389672E-2</v>
      </c>
      <c r="AW699" s="57" t="s">
        <v>2511</v>
      </c>
      <c r="AX699" s="57" t="s">
        <v>2512</v>
      </c>
      <c r="AY699" s="57" t="s">
        <v>2513</v>
      </c>
      <c r="AZ699" s="58">
        <f t="shared" si="625"/>
        <v>0</v>
      </c>
      <c r="BA699" s="59">
        <f t="shared" si="628"/>
        <v>0</v>
      </c>
      <c r="BB699" s="59">
        <f t="shared" si="629"/>
        <v>0</v>
      </c>
      <c r="BC699" s="59">
        <f t="shared" si="630"/>
        <v>0</v>
      </c>
      <c r="BD699" s="60">
        <f t="shared" si="626"/>
        <v>0</v>
      </c>
      <c r="BE699" s="59">
        <f t="shared" si="627"/>
        <v>0</v>
      </c>
      <c r="BQ699" s="61">
        <v>3000</v>
      </c>
      <c r="BR699" s="61">
        <v>1200</v>
      </c>
      <c r="BS699" s="28">
        <f t="shared" si="595"/>
        <v>2980</v>
      </c>
      <c r="BT699" s="28">
        <f t="shared" si="596"/>
        <v>1180</v>
      </c>
      <c r="BU699" s="28" t="s">
        <v>2541</v>
      </c>
      <c r="BV699" s="28">
        <f t="shared" si="597"/>
        <v>5</v>
      </c>
      <c r="BW699" s="28">
        <f t="shared" si="598"/>
        <v>5</v>
      </c>
      <c r="BX699" s="13">
        <f t="shared" si="599"/>
        <v>596</v>
      </c>
      <c r="BY699" s="13">
        <f t="shared" si="600"/>
        <v>596</v>
      </c>
      <c r="BZ699" s="13">
        <f t="shared" si="601"/>
        <v>236</v>
      </c>
      <c r="CA699" s="13">
        <f t="shared" si="602"/>
        <v>236</v>
      </c>
      <c r="CB699" s="13">
        <f t="shared" si="603"/>
        <v>140656</v>
      </c>
      <c r="CC699" s="62" t="str">
        <f t="shared" si="604"/>
        <v/>
      </c>
      <c r="CD699" s="13">
        <f t="shared" si="605"/>
        <v>596</v>
      </c>
      <c r="CE699" s="13">
        <f t="shared" si="606"/>
        <v>596</v>
      </c>
      <c r="CF699" s="13">
        <f t="shared" si="607"/>
        <v>236</v>
      </c>
      <c r="CG699" s="13">
        <f t="shared" si="608"/>
        <v>236</v>
      </c>
      <c r="CH699" s="28">
        <f t="shared" si="609"/>
        <v>140656</v>
      </c>
      <c r="CI699" s="62" t="str">
        <f t="shared" si="610"/>
        <v/>
      </c>
      <c r="CJ699" s="59">
        <f t="shared" si="611"/>
        <v>0</v>
      </c>
      <c r="CL699" s="63">
        <v>6000</v>
      </c>
      <c r="CM699" s="63">
        <f t="shared" si="612"/>
        <v>0</v>
      </c>
      <c r="CN699" s="63">
        <f t="shared" si="613"/>
        <v>5</v>
      </c>
      <c r="CO699" s="63">
        <f t="shared" si="614"/>
        <v>1200</v>
      </c>
      <c r="CP699" s="13">
        <f t="shared" si="615"/>
        <v>1200</v>
      </c>
      <c r="CQ699" s="70">
        <f t="shared" si="616"/>
        <v>8.3333333333333339E-4</v>
      </c>
      <c r="CR699" s="69">
        <f t="shared" si="636"/>
        <v>1.6666666666666668E-3</v>
      </c>
    </row>
    <row r="700" spans="1:96" hidden="1" x14ac:dyDescent="0.25">
      <c r="A700" s="10">
        <v>3</v>
      </c>
      <c r="B700" s="8" t="s">
        <v>1678</v>
      </c>
      <c r="C700" s="10" t="s">
        <v>1679</v>
      </c>
      <c r="D700" s="10" t="s">
        <v>2270</v>
      </c>
      <c r="E700" s="10" t="s">
        <v>52</v>
      </c>
      <c r="F700" s="12">
        <f t="shared" si="585"/>
        <v>1</v>
      </c>
      <c r="G700" s="10">
        <v>1</v>
      </c>
      <c r="H700" s="10">
        <f>G700*$H$699</f>
        <v>2</v>
      </c>
      <c r="I700" s="10">
        <v>1</v>
      </c>
      <c r="J700" s="8" t="s">
        <v>1676</v>
      </c>
      <c r="K700" s="8" t="s">
        <v>34</v>
      </c>
      <c r="L700" s="10" t="s">
        <v>110</v>
      </c>
      <c r="M700" s="8" t="s">
        <v>35</v>
      </c>
      <c r="N700" s="10" t="s">
        <v>1680</v>
      </c>
      <c r="O700" s="28" t="s">
        <v>41</v>
      </c>
      <c r="P700" s="28" t="s">
        <v>41</v>
      </c>
      <c r="Q700" s="28" t="s">
        <v>124</v>
      </c>
      <c r="R700" s="30">
        <v>53.095999999999997</v>
      </c>
      <c r="S700" s="30">
        <v>5.09</v>
      </c>
      <c r="T700" s="30"/>
      <c r="U700" s="30">
        <v>9.8000000000000004E-2</v>
      </c>
      <c r="V700" s="8">
        <f t="shared" si="586"/>
        <v>1348.6383999999998</v>
      </c>
      <c r="W700" s="8">
        <f t="shared" si="587"/>
        <v>129.286</v>
      </c>
      <c r="X700" s="8">
        <f t="shared" si="588"/>
        <v>0</v>
      </c>
      <c r="Y700" s="33">
        <f t="shared" si="589"/>
        <v>2.4891999999999999</v>
      </c>
      <c r="Z700" s="28" t="s">
        <v>56</v>
      </c>
      <c r="AA700" s="28" t="s">
        <v>57</v>
      </c>
      <c r="AB700" s="61" t="s">
        <v>124</v>
      </c>
      <c r="AC700" s="31" t="s">
        <v>125</v>
      </c>
      <c r="AD700" s="50">
        <f t="shared" si="590"/>
        <v>2</v>
      </c>
      <c r="AE700" s="31"/>
      <c r="AF700" s="51">
        <v>14</v>
      </c>
      <c r="AG700" s="51">
        <f t="shared" si="617"/>
        <v>8.4</v>
      </c>
      <c r="AH700" s="51">
        <f t="shared" si="584"/>
        <v>42</v>
      </c>
      <c r="AI700" s="52" t="s">
        <v>2497</v>
      </c>
      <c r="AJ700" s="52" t="s">
        <v>2498</v>
      </c>
      <c r="AK700" s="53">
        <f t="shared" si="618"/>
        <v>0.34872012836479993</v>
      </c>
      <c r="AL700" s="54">
        <f t="shared" si="619"/>
        <v>0.11904761904761904</v>
      </c>
      <c r="AM700" s="54">
        <f t="shared" si="620"/>
        <v>2.3809523809523808E-2</v>
      </c>
      <c r="AN700" s="55">
        <f t="shared" si="621"/>
        <v>8.302860199161903E-2</v>
      </c>
      <c r="AO700" s="55">
        <f t="shared" si="622"/>
        <v>1.6605720398323805E-2</v>
      </c>
      <c r="AP700" s="53">
        <v>7.1</v>
      </c>
      <c r="AQ700" s="53">
        <f t="shared" si="591"/>
        <v>4.26</v>
      </c>
      <c r="AR700" s="53">
        <f t="shared" si="592"/>
        <v>21.299999999999997</v>
      </c>
      <c r="AS700" s="56">
        <f t="shared" si="593"/>
        <v>4.6948356807511742E-2</v>
      </c>
      <c r="AT700" s="56">
        <f t="shared" si="623"/>
        <v>0.23474178403755869</v>
      </c>
      <c r="AU700" s="56">
        <f t="shared" si="594"/>
        <v>0.176056338028169</v>
      </c>
      <c r="AV700" s="56">
        <f t="shared" si="624"/>
        <v>5.8685446009389672E-2</v>
      </c>
      <c r="AW700" s="57" t="s">
        <v>2511</v>
      </c>
      <c r="AX700" s="57" t="s">
        <v>2512</v>
      </c>
      <c r="AY700" s="57" t="s">
        <v>2513</v>
      </c>
      <c r="AZ700" s="58">
        <f t="shared" si="625"/>
        <v>0.34872012836479993</v>
      </c>
      <c r="BA700" s="59">
        <f t="shared" si="628"/>
        <v>2.0464796265539903E-2</v>
      </c>
      <c r="BB700" s="59">
        <f t="shared" si="629"/>
        <v>6.1394388796619702E-2</v>
      </c>
      <c r="BC700" s="59">
        <f t="shared" si="630"/>
        <v>1.6371837012431924E-2</v>
      </c>
      <c r="BD700" s="60">
        <f t="shared" si="626"/>
        <v>6.25E-2</v>
      </c>
      <c r="BE700" s="59">
        <f t="shared" si="627"/>
        <v>0.125</v>
      </c>
      <c r="BQ700" s="61">
        <v>3000</v>
      </c>
      <c r="BR700" s="61">
        <v>1200</v>
      </c>
      <c r="BS700" s="28">
        <f t="shared" si="595"/>
        <v>2980</v>
      </c>
      <c r="BT700" s="28">
        <f t="shared" si="596"/>
        <v>1180</v>
      </c>
      <c r="BU700" s="28" t="s">
        <v>2541</v>
      </c>
      <c r="BV700" s="28">
        <f t="shared" si="597"/>
        <v>1353.6383999999998</v>
      </c>
      <c r="BW700" s="28">
        <f t="shared" si="598"/>
        <v>134.286</v>
      </c>
      <c r="BX700" s="13">
        <f t="shared" si="599"/>
        <v>2.2014741898574983</v>
      </c>
      <c r="BY700" s="13">
        <f t="shared" si="600"/>
        <v>2</v>
      </c>
      <c r="BZ700" s="13">
        <f t="shared" si="601"/>
        <v>8.787215346350326</v>
      </c>
      <c r="CA700" s="13">
        <f t="shared" si="602"/>
        <v>8</v>
      </c>
      <c r="CB700" s="13">
        <f t="shared" si="603"/>
        <v>16</v>
      </c>
      <c r="CC700" s="62">
        <f t="shared" si="604"/>
        <v>6.25E-2</v>
      </c>
      <c r="CD700" s="13">
        <f t="shared" si="605"/>
        <v>22.191442145867775</v>
      </c>
      <c r="CE700" s="13">
        <f t="shared" si="606"/>
        <v>22</v>
      </c>
      <c r="CF700" s="13">
        <f t="shared" si="607"/>
        <v>0.87172467920531815</v>
      </c>
      <c r="CG700" s="13">
        <f t="shared" si="608"/>
        <v>0</v>
      </c>
      <c r="CH700" s="28">
        <f t="shared" si="609"/>
        <v>0</v>
      </c>
      <c r="CI700" s="62">
        <f t="shared" si="610"/>
        <v>1</v>
      </c>
      <c r="CJ700" s="59">
        <f t="shared" si="611"/>
        <v>6.25E-2</v>
      </c>
      <c r="CL700" s="63">
        <v>6000</v>
      </c>
      <c r="CM700" s="63">
        <f t="shared" si="612"/>
        <v>1348.6383999999998</v>
      </c>
      <c r="CN700" s="63">
        <f t="shared" si="613"/>
        <v>1353.6383999999998</v>
      </c>
      <c r="CO700" s="63">
        <f t="shared" si="614"/>
        <v>4.4324983688406006</v>
      </c>
      <c r="CP700" s="13">
        <f t="shared" si="615"/>
        <v>4</v>
      </c>
      <c r="CQ700" s="70">
        <f t="shared" si="616"/>
        <v>0.25</v>
      </c>
      <c r="CR700" s="69">
        <f t="shared" si="636"/>
        <v>0.5</v>
      </c>
    </row>
    <row r="701" spans="1:96" hidden="1" x14ac:dyDescent="0.25">
      <c r="A701" s="10">
        <v>3</v>
      </c>
      <c r="B701" s="8" t="s">
        <v>1678</v>
      </c>
      <c r="C701" s="10" t="s">
        <v>817</v>
      </c>
      <c r="D701" s="10" t="s">
        <v>819</v>
      </c>
      <c r="E701" s="10" t="s">
        <v>52</v>
      </c>
      <c r="F701" s="12">
        <f t="shared" si="585"/>
        <v>5</v>
      </c>
      <c r="G701" s="10">
        <v>3</v>
      </c>
      <c r="H701" s="10">
        <f>G701*$H$699</f>
        <v>6</v>
      </c>
      <c r="I701" s="10">
        <v>2</v>
      </c>
      <c r="J701" s="8" t="s">
        <v>818</v>
      </c>
      <c r="K701" s="8" t="s">
        <v>34</v>
      </c>
      <c r="L701" s="10" t="s">
        <v>89</v>
      </c>
      <c r="M701" s="8" t="s">
        <v>35</v>
      </c>
      <c r="N701" s="10" t="s">
        <v>819</v>
      </c>
      <c r="O701" s="28" t="s">
        <v>41</v>
      </c>
      <c r="P701" s="28" t="s">
        <v>41</v>
      </c>
      <c r="Q701" s="28" t="s">
        <v>79</v>
      </c>
      <c r="R701" s="30">
        <v>16.023622047244096</v>
      </c>
      <c r="S701" s="30">
        <v>0.3125</v>
      </c>
      <c r="T701" s="30"/>
      <c r="U701" s="30">
        <v>0.3125</v>
      </c>
      <c r="V701" s="8">
        <f t="shared" si="586"/>
        <v>407</v>
      </c>
      <c r="W701" s="8">
        <f t="shared" si="587"/>
        <v>7.9375</v>
      </c>
      <c r="X701" s="8">
        <f t="shared" si="588"/>
        <v>0</v>
      </c>
      <c r="Y701" s="33">
        <f t="shared" si="589"/>
        <v>7.9375</v>
      </c>
      <c r="Z701" s="28" t="s">
        <v>80</v>
      </c>
      <c r="AA701" s="28" t="s">
        <v>81</v>
      </c>
      <c r="AB701" s="61" t="s">
        <v>79</v>
      </c>
      <c r="AC701" s="31" t="s">
        <v>82</v>
      </c>
      <c r="AD701" s="50">
        <f t="shared" si="590"/>
        <v>6</v>
      </c>
      <c r="AE701" s="31"/>
      <c r="AF701" s="51">
        <v>14</v>
      </c>
      <c r="AG701" s="51">
        <f t="shared" si="617"/>
        <v>8.4</v>
      </c>
      <c r="AH701" s="51">
        <f t="shared" si="584"/>
        <v>42</v>
      </c>
      <c r="AI701" s="52" t="s">
        <v>2497</v>
      </c>
      <c r="AJ701" s="52" t="s">
        <v>2498</v>
      </c>
      <c r="AK701" s="53">
        <f t="shared" si="618"/>
        <v>6.4611249999999999E-3</v>
      </c>
      <c r="AL701" s="54">
        <f t="shared" si="619"/>
        <v>0.11904761904761904</v>
      </c>
      <c r="AM701" s="54">
        <f t="shared" si="620"/>
        <v>2.3809523809523808E-2</v>
      </c>
      <c r="AN701" s="55">
        <f t="shared" si="621"/>
        <v>4.6150892857142849E-3</v>
      </c>
      <c r="AO701" s="55">
        <f t="shared" si="622"/>
        <v>9.2301785714285706E-4</v>
      </c>
      <c r="AP701" s="53">
        <v>7.1</v>
      </c>
      <c r="AQ701" s="53">
        <f t="shared" si="591"/>
        <v>4.26</v>
      </c>
      <c r="AR701" s="53">
        <f t="shared" si="592"/>
        <v>21.299999999999997</v>
      </c>
      <c r="AS701" s="56">
        <f t="shared" si="593"/>
        <v>4.6948356807511742E-2</v>
      </c>
      <c r="AT701" s="56">
        <f t="shared" si="623"/>
        <v>0.23474178403755869</v>
      </c>
      <c r="AU701" s="56">
        <f t="shared" si="594"/>
        <v>0.176056338028169</v>
      </c>
      <c r="AV701" s="56">
        <f t="shared" si="624"/>
        <v>5.8685446009389672E-2</v>
      </c>
      <c r="AW701" s="57" t="s">
        <v>2511</v>
      </c>
      <c r="AX701" s="57" t="s">
        <v>2512</v>
      </c>
      <c r="AY701" s="57" t="s">
        <v>2513</v>
      </c>
      <c r="AZ701" s="58">
        <f t="shared" si="625"/>
        <v>6.4611249999999999E-3</v>
      </c>
      <c r="BA701" s="59">
        <f t="shared" si="628"/>
        <v>1.1375220070422535E-3</v>
      </c>
      <c r="BB701" s="59">
        <f t="shared" si="629"/>
        <v>3.4125660211267602E-3</v>
      </c>
      <c r="BC701" s="59">
        <f t="shared" si="630"/>
        <v>9.1001760563380282E-4</v>
      </c>
      <c r="BD701" s="60">
        <f t="shared" si="626"/>
        <v>1.5698587127158557E-3</v>
      </c>
      <c r="BE701" s="59">
        <f t="shared" si="627"/>
        <v>9.4191522762951344E-3</v>
      </c>
      <c r="BQ701" s="61">
        <v>3000</v>
      </c>
      <c r="BR701" s="61">
        <v>1200</v>
      </c>
      <c r="BS701" s="28">
        <f t="shared" si="595"/>
        <v>2980</v>
      </c>
      <c r="BT701" s="28">
        <f t="shared" si="596"/>
        <v>1180</v>
      </c>
      <c r="BU701" s="28" t="s">
        <v>2541</v>
      </c>
      <c r="BV701" s="28">
        <f t="shared" si="597"/>
        <v>412</v>
      </c>
      <c r="BW701" s="28">
        <f t="shared" si="598"/>
        <v>12.9375</v>
      </c>
      <c r="BX701" s="13">
        <f t="shared" si="599"/>
        <v>7.233009708737864</v>
      </c>
      <c r="BY701" s="13">
        <f t="shared" si="600"/>
        <v>7</v>
      </c>
      <c r="BZ701" s="13">
        <f t="shared" si="601"/>
        <v>91.207729468599027</v>
      </c>
      <c r="CA701" s="13">
        <f t="shared" si="602"/>
        <v>91</v>
      </c>
      <c r="CB701" s="13">
        <f t="shared" si="603"/>
        <v>637</v>
      </c>
      <c r="CC701" s="62">
        <f t="shared" si="604"/>
        <v>1.5698587127158557E-3</v>
      </c>
      <c r="CD701" s="13">
        <f t="shared" si="605"/>
        <v>230.33816425120773</v>
      </c>
      <c r="CE701" s="13">
        <f t="shared" si="606"/>
        <v>230</v>
      </c>
      <c r="CF701" s="13">
        <f t="shared" si="607"/>
        <v>2.8640776699029127</v>
      </c>
      <c r="CG701" s="13">
        <f t="shared" si="608"/>
        <v>2</v>
      </c>
      <c r="CH701" s="28">
        <f t="shared" si="609"/>
        <v>460</v>
      </c>
      <c r="CI701" s="62">
        <f t="shared" si="610"/>
        <v>2.1739130434782609E-3</v>
      </c>
      <c r="CJ701" s="59">
        <f t="shared" si="611"/>
        <v>1.5698587127158557E-3</v>
      </c>
      <c r="CL701" s="63">
        <v>6000</v>
      </c>
      <c r="CM701" s="63">
        <f t="shared" si="612"/>
        <v>407</v>
      </c>
      <c r="CN701" s="63">
        <f t="shared" si="613"/>
        <v>412</v>
      </c>
      <c r="CO701" s="63">
        <f t="shared" si="614"/>
        <v>14.563106796116505</v>
      </c>
      <c r="CP701" s="13">
        <f t="shared" si="615"/>
        <v>14</v>
      </c>
      <c r="CQ701" s="70">
        <f t="shared" si="616"/>
        <v>7.1428571428571425E-2</v>
      </c>
      <c r="CR701" s="69">
        <f t="shared" si="636"/>
        <v>0.42857142857142855</v>
      </c>
    </row>
    <row r="702" spans="1:96" x14ac:dyDescent="0.25">
      <c r="A702" s="36">
        <v>2</v>
      </c>
      <c r="B702" s="37" t="s">
        <v>37</v>
      </c>
      <c r="C702" s="36" t="s">
        <v>1681</v>
      </c>
      <c r="D702" s="36" t="s">
        <v>2270</v>
      </c>
      <c r="E702" s="36" t="s">
        <v>52</v>
      </c>
      <c r="F702" s="38">
        <f t="shared" si="585"/>
        <v>1</v>
      </c>
      <c r="G702" s="36">
        <v>2</v>
      </c>
      <c r="H702" s="36">
        <f t="shared" ref="H702:H704" si="642">G702*$H$3</f>
        <v>2</v>
      </c>
      <c r="I702" s="36">
        <v>225</v>
      </c>
      <c r="J702" s="37" t="s">
        <v>1682</v>
      </c>
      <c r="K702" s="37" t="s">
        <v>34</v>
      </c>
      <c r="L702" s="36">
        <v>0</v>
      </c>
      <c r="M702" s="37" t="s">
        <v>35</v>
      </c>
      <c r="N702" s="36" t="s">
        <v>1683</v>
      </c>
      <c r="O702" s="28" t="s">
        <v>41</v>
      </c>
      <c r="P702" s="28" t="s">
        <v>41</v>
      </c>
      <c r="Q702" s="28" t="s">
        <v>2585</v>
      </c>
      <c r="R702" s="30">
        <v>62.31</v>
      </c>
      <c r="S702" s="30">
        <v>2.593</v>
      </c>
      <c r="T702" s="30"/>
      <c r="U702" s="30">
        <v>5.8999999999999997E-2</v>
      </c>
      <c r="V702" s="8">
        <f t="shared" si="586"/>
        <v>1582.674</v>
      </c>
      <c r="W702" s="8">
        <f t="shared" si="587"/>
        <v>65.862200000000001</v>
      </c>
      <c r="X702" s="8">
        <f t="shared" si="588"/>
        <v>0</v>
      </c>
      <c r="Y702" s="33">
        <f t="shared" si="589"/>
        <v>1.4985999999999999</v>
      </c>
      <c r="Z702" s="28" t="s">
        <v>56</v>
      </c>
      <c r="AA702" s="28" t="s">
        <v>1765</v>
      </c>
      <c r="AB702" s="61" t="s">
        <v>2585</v>
      </c>
      <c r="AC702" s="31" t="s">
        <v>2586</v>
      </c>
      <c r="AD702" s="50">
        <f t="shared" si="590"/>
        <v>2</v>
      </c>
      <c r="AE702" s="31"/>
      <c r="AF702" s="51">
        <v>14</v>
      </c>
      <c r="AG702" s="51">
        <f t="shared" si="617"/>
        <v>8.4</v>
      </c>
      <c r="AH702" s="51">
        <f t="shared" si="584"/>
        <v>42</v>
      </c>
      <c r="AI702" s="52" t="s">
        <v>2497</v>
      </c>
      <c r="AJ702" s="52" t="s">
        <v>2498</v>
      </c>
      <c r="AK702" s="53">
        <f t="shared" si="618"/>
        <v>0.20847678304559999</v>
      </c>
      <c r="AL702" s="54">
        <f t="shared" si="619"/>
        <v>0.11904761904761904</v>
      </c>
      <c r="AM702" s="54">
        <f t="shared" si="620"/>
        <v>2.3809523809523808E-2</v>
      </c>
      <c r="AN702" s="55">
        <f t="shared" si="621"/>
        <v>4.9637329296571428E-2</v>
      </c>
      <c r="AO702" s="55">
        <f t="shared" si="622"/>
        <v>9.9274658593142846E-3</v>
      </c>
      <c r="AP702" s="53">
        <v>7.1</v>
      </c>
      <c r="AQ702" s="53">
        <f t="shared" si="591"/>
        <v>4.26</v>
      </c>
      <c r="AR702" s="53">
        <f t="shared" si="592"/>
        <v>21.299999999999997</v>
      </c>
      <c r="AS702" s="56">
        <f t="shared" si="593"/>
        <v>4.6948356807511742E-2</v>
      </c>
      <c r="AT702" s="56">
        <f t="shared" si="623"/>
        <v>0.23474178403755869</v>
      </c>
      <c r="AU702" s="56">
        <f t="shared" si="594"/>
        <v>0.176056338028169</v>
      </c>
      <c r="AV702" s="56">
        <f t="shared" si="624"/>
        <v>5.8685446009389672E-2</v>
      </c>
      <c r="AW702" s="57" t="s">
        <v>2511</v>
      </c>
      <c r="AX702" s="57" t="s">
        <v>2512</v>
      </c>
      <c r="AY702" s="57" t="s">
        <v>2513</v>
      </c>
      <c r="AZ702" s="58">
        <f t="shared" si="625"/>
        <v>0.20847678304559999</v>
      </c>
      <c r="BA702" s="59">
        <f t="shared" si="628"/>
        <v>1.2234552995633802E-2</v>
      </c>
      <c r="BB702" s="59">
        <f t="shared" si="629"/>
        <v>3.6703658986901408E-2</v>
      </c>
      <c r="BC702" s="59">
        <f t="shared" si="630"/>
        <v>9.7876423965070434E-3</v>
      </c>
      <c r="BD702" s="60">
        <f t="shared" si="626"/>
        <v>6.25E-2</v>
      </c>
      <c r="BE702" s="59">
        <f t="shared" si="627"/>
        <v>0.125</v>
      </c>
      <c r="BQ702" s="61">
        <v>3000</v>
      </c>
      <c r="BR702" s="61">
        <v>1200</v>
      </c>
      <c r="BS702" s="28">
        <f t="shared" si="595"/>
        <v>2980</v>
      </c>
      <c r="BT702" s="28">
        <f t="shared" si="596"/>
        <v>1180</v>
      </c>
      <c r="BU702" s="28" t="s">
        <v>2541</v>
      </c>
      <c r="BV702" s="28">
        <f t="shared" si="597"/>
        <v>1587.674</v>
      </c>
      <c r="BW702" s="28">
        <f t="shared" si="598"/>
        <v>70.862200000000001</v>
      </c>
      <c r="BX702" s="13">
        <f t="shared" si="599"/>
        <v>1.8769596277321414</v>
      </c>
      <c r="BY702" s="13">
        <f t="shared" si="600"/>
        <v>1</v>
      </c>
      <c r="BZ702" s="13">
        <f t="shared" si="601"/>
        <v>16.65203733443218</v>
      </c>
      <c r="CA702" s="13">
        <f t="shared" si="602"/>
        <v>16</v>
      </c>
      <c r="CB702" s="13">
        <f t="shared" si="603"/>
        <v>16</v>
      </c>
      <c r="CC702" s="62">
        <f t="shared" si="604"/>
        <v>6.25E-2</v>
      </c>
      <c r="CD702" s="13">
        <f t="shared" si="605"/>
        <v>42.053450217464317</v>
      </c>
      <c r="CE702" s="13">
        <f t="shared" si="606"/>
        <v>42</v>
      </c>
      <c r="CF702" s="13">
        <f t="shared" si="607"/>
        <v>0.74322562440400231</v>
      </c>
      <c r="CG702" s="13">
        <f t="shared" si="608"/>
        <v>0</v>
      </c>
      <c r="CH702" s="28">
        <f t="shared" si="609"/>
        <v>0</v>
      </c>
      <c r="CI702" s="62">
        <f t="shared" si="610"/>
        <v>1</v>
      </c>
      <c r="CJ702" s="59">
        <f t="shared" si="611"/>
        <v>6.25E-2</v>
      </c>
      <c r="CL702" s="63">
        <v>6000</v>
      </c>
      <c r="CM702" s="63">
        <f t="shared" si="612"/>
        <v>1582.674</v>
      </c>
      <c r="CN702" s="63">
        <f t="shared" si="613"/>
        <v>1587.674</v>
      </c>
      <c r="CO702" s="63">
        <f t="shared" si="614"/>
        <v>3.7791133444271305</v>
      </c>
      <c r="CP702" s="13">
        <f t="shared" si="615"/>
        <v>3</v>
      </c>
      <c r="CQ702" s="70">
        <f t="shared" si="616"/>
        <v>0.33333333333333331</v>
      </c>
      <c r="CR702" s="69">
        <f t="shared" si="636"/>
        <v>0.66666666666666663</v>
      </c>
    </row>
    <row r="703" spans="1:96" x14ac:dyDescent="0.25">
      <c r="A703" s="36">
        <v>2</v>
      </c>
      <c r="B703" s="37" t="s">
        <v>37</v>
      </c>
      <c r="C703" s="36" t="s">
        <v>1684</v>
      </c>
      <c r="D703" s="36" t="s">
        <v>2270</v>
      </c>
      <c r="E703" s="36" t="s">
        <v>52</v>
      </c>
      <c r="F703" s="38">
        <f t="shared" si="585"/>
        <v>1</v>
      </c>
      <c r="G703" s="36">
        <v>2</v>
      </c>
      <c r="H703" s="36">
        <f t="shared" si="642"/>
        <v>2</v>
      </c>
      <c r="I703" s="36">
        <v>226</v>
      </c>
      <c r="J703" s="37" t="s">
        <v>1682</v>
      </c>
      <c r="K703" s="37" t="s">
        <v>34</v>
      </c>
      <c r="L703" s="36">
        <v>0</v>
      </c>
      <c r="M703" s="37" t="s">
        <v>35</v>
      </c>
      <c r="N703" s="36" t="s">
        <v>1685</v>
      </c>
      <c r="O703" s="28" t="s">
        <v>41</v>
      </c>
      <c r="P703" s="28" t="s">
        <v>41</v>
      </c>
      <c r="Q703" s="28" t="s">
        <v>2585</v>
      </c>
      <c r="R703" s="30">
        <v>62.98</v>
      </c>
      <c r="S703" s="30">
        <v>2.593</v>
      </c>
      <c r="T703" s="30"/>
      <c r="U703" s="30">
        <v>5.8999999999999997E-2</v>
      </c>
      <c r="V703" s="8">
        <f t="shared" si="586"/>
        <v>1599.6919999999998</v>
      </c>
      <c r="W703" s="8">
        <f t="shared" si="587"/>
        <v>65.862200000000001</v>
      </c>
      <c r="X703" s="8">
        <f t="shared" si="588"/>
        <v>0</v>
      </c>
      <c r="Y703" s="33">
        <f t="shared" si="589"/>
        <v>1.4985999999999999</v>
      </c>
      <c r="Z703" s="28" t="s">
        <v>56</v>
      </c>
      <c r="AA703" s="28" t="s">
        <v>1765</v>
      </c>
      <c r="AB703" s="61" t="s">
        <v>2585</v>
      </c>
      <c r="AC703" s="31" t="s">
        <v>2586</v>
      </c>
      <c r="AD703" s="50">
        <f t="shared" si="590"/>
        <v>2</v>
      </c>
      <c r="AE703" s="31"/>
      <c r="AF703" s="51">
        <v>14</v>
      </c>
      <c r="AG703" s="51">
        <f t="shared" si="617"/>
        <v>8.4</v>
      </c>
      <c r="AH703" s="51">
        <f t="shared" si="584"/>
        <v>42</v>
      </c>
      <c r="AI703" s="52" t="s">
        <v>2497</v>
      </c>
      <c r="AJ703" s="52" t="s">
        <v>2498</v>
      </c>
      <c r="AK703" s="53">
        <f t="shared" si="618"/>
        <v>0.21071846888479998</v>
      </c>
      <c r="AL703" s="54">
        <f t="shared" si="619"/>
        <v>0.11904761904761904</v>
      </c>
      <c r="AM703" s="54">
        <f t="shared" si="620"/>
        <v>2.3809523809523808E-2</v>
      </c>
      <c r="AN703" s="55">
        <f t="shared" si="621"/>
        <v>5.0171064020190469E-2</v>
      </c>
      <c r="AO703" s="55">
        <f t="shared" si="622"/>
        <v>1.0034212804038094E-2</v>
      </c>
      <c r="AP703" s="53">
        <v>7.1</v>
      </c>
      <c r="AQ703" s="53">
        <f t="shared" si="591"/>
        <v>4.26</v>
      </c>
      <c r="AR703" s="53">
        <f t="shared" si="592"/>
        <v>21.299999999999997</v>
      </c>
      <c r="AS703" s="56">
        <f t="shared" si="593"/>
        <v>4.6948356807511742E-2</v>
      </c>
      <c r="AT703" s="56">
        <f t="shared" si="623"/>
        <v>0.23474178403755869</v>
      </c>
      <c r="AU703" s="56">
        <f t="shared" si="594"/>
        <v>0.176056338028169</v>
      </c>
      <c r="AV703" s="56">
        <f t="shared" si="624"/>
        <v>5.8685446009389672E-2</v>
      </c>
      <c r="AW703" s="57" t="s">
        <v>2511</v>
      </c>
      <c r="AX703" s="57" t="s">
        <v>2512</v>
      </c>
      <c r="AY703" s="57" t="s">
        <v>2513</v>
      </c>
      <c r="AZ703" s="58">
        <f t="shared" si="625"/>
        <v>0.21071846888479998</v>
      </c>
      <c r="BA703" s="59">
        <f t="shared" si="628"/>
        <v>1.2366107328920186E-2</v>
      </c>
      <c r="BB703" s="59">
        <f t="shared" si="629"/>
        <v>3.7098321986760559E-2</v>
      </c>
      <c r="BC703" s="59">
        <f t="shared" si="630"/>
        <v>9.8928858631361499E-3</v>
      </c>
      <c r="BD703" s="60">
        <f t="shared" si="626"/>
        <v>6.25E-2</v>
      </c>
      <c r="BE703" s="59">
        <f t="shared" si="627"/>
        <v>0.125</v>
      </c>
      <c r="BQ703" s="61">
        <v>3000</v>
      </c>
      <c r="BR703" s="61">
        <v>1200</v>
      </c>
      <c r="BS703" s="28">
        <f t="shared" si="595"/>
        <v>2980</v>
      </c>
      <c r="BT703" s="28">
        <f t="shared" si="596"/>
        <v>1180</v>
      </c>
      <c r="BU703" s="28" t="s">
        <v>2541</v>
      </c>
      <c r="BV703" s="28">
        <f t="shared" si="597"/>
        <v>1604.6919999999998</v>
      </c>
      <c r="BW703" s="28">
        <f t="shared" si="598"/>
        <v>70.862200000000001</v>
      </c>
      <c r="BX703" s="13">
        <f t="shared" si="599"/>
        <v>1.8570541885919543</v>
      </c>
      <c r="BY703" s="13">
        <f t="shared" si="600"/>
        <v>1</v>
      </c>
      <c r="BZ703" s="13">
        <f t="shared" si="601"/>
        <v>16.65203733443218</v>
      </c>
      <c r="CA703" s="13">
        <f t="shared" si="602"/>
        <v>16</v>
      </c>
      <c r="CB703" s="13">
        <f t="shared" si="603"/>
        <v>16</v>
      </c>
      <c r="CC703" s="62">
        <f t="shared" si="604"/>
        <v>6.25E-2</v>
      </c>
      <c r="CD703" s="13">
        <f t="shared" si="605"/>
        <v>42.053450217464317</v>
      </c>
      <c r="CE703" s="13">
        <f t="shared" si="606"/>
        <v>42</v>
      </c>
      <c r="CF703" s="13">
        <f t="shared" si="607"/>
        <v>0.73534360487869332</v>
      </c>
      <c r="CG703" s="13">
        <f t="shared" si="608"/>
        <v>0</v>
      </c>
      <c r="CH703" s="28">
        <f t="shared" si="609"/>
        <v>0</v>
      </c>
      <c r="CI703" s="62">
        <f t="shared" si="610"/>
        <v>1</v>
      </c>
      <c r="CJ703" s="59">
        <f t="shared" si="611"/>
        <v>6.25E-2</v>
      </c>
      <c r="CL703" s="63">
        <v>6000</v>
      </c>
      <c r="CM703" s="63">
        <f t="shared" si="612"/>
        <v>1599.6919999999998</v>
      </c>
      <c r="CN703" s="63">
        <f t="shared" si="613"/>
        <v>1604.6919999999998</v>
      </c>
      <c r="CO703" s="63">
        <f t="shared" si="614"/>
        <v>3.7390352790442032</v>
      </c>
      <c r="CP703" s="13">
        <f t="shared" si="615"/>
        <v>3</v>
      </c>
      <c r="CQ703" s="70">
        <f t="shared" si="616"/>
        <v>0.33333333333333331</v>
      </c>
      <c r="CR703" s="69">
        <f t="shared" si="636"/>
        <v>0.66666666666666663</v>
      </c>
    </row>
    <row r="704" spans="1:96" hidden="1" x14ac:dyDescent="0.25">
      <c r="A704" s="36">
        <v>2</v>
      </c>
      <c r="B704" s="37" t="s">
        <v>37</v>
      </c>
      <c r="C704" s="36" t="s">
        <v>1686</v>
      </c>
      <c r="D704" s="36" t="s">
        <v>2270</v>
      </c>
      <c r="E704" s="36" t="s">
        <v>32</v>
      </c>
      <c r="F704" s="38">
        <f t="shared" si="585"/>
        <v>1</v>
      </c>
      <c r="G704" s="36">
        <v>1</v>
      </c>
      <c r="H704" s="36">
        <f t="shared" si="642"/>
        <v>1</v>
      </c>
      <c r="I704" s="36">
        <v>227</v>
      </c>
      <c r="J704" s="37" t="s">
        <v>1687</v>
      </c>
      <c r="K704" s="37" t="s">
        <v>34</v>
      </c>
      <c r="L704" s="36">
        <v>0</v>
      </c>
      <c r="M704" s="37" t="s">
        <v>35</v>
      </c>
      <c r="N704" s="36" t="s">
        <v>1688</v>
      </c>
      <c r="O704" s="28" t="s">
        <v>41</v>
      </c>
      <c r="P704" s="28" t="s">
        <v>41</v>
      </c>
      <c r="Q704" s="28"/>
      <c r="R704" s="30"/>
      <c r="S704" s="30"/>
      <c r="T704" s="30"/>
      <c r="U704" s="30"/>
      <c r="V704" s="8">
        <f t="shared" si="586"/>
        <v>0</v>
      </c>
      <c r="W704" s="8">
        <f t="shared" si="587"/>
        <v>0</v>
      </c>
      <c r="X704" s="8">
        <f t="shared" si="588"/>
        <v>0</v>
      </c>
      <c r="Y704" s="33">
        <f t="shared" si="589"/>
        <v>0</v>
      </c>
      <c r="Z704" s="28"/>
      <c r="AA704" s="28"/>
      <c r="AB704" s="28">
        <v>0</v>
      </c>
      <c r="AC704" s="31"/>
      <c r="AD704" s="50">
        <f t="shared" si="590"/>
        <v>1</v>
      </c>
      <c r="AE704" s="47" t="s">
        <v>107</v>
      </c>
      <c r="AF704" s="51">
        <v>14</v>
      </c>
      <c r="AG704" s="51">
        <f t="shared" si="617"/>
        <v>8.4</v>
      </c>
      <c r="AH704" s="51">
        <f t="shared" si="584"/>
        <v>42</v>
      </c>
      <c r="AI704" s="52" t="s">
        <v>2497</v>
      </c>
      <c r="AJ704" s="52" t="s">
        <v>2498</v>
      </c>
      <c r="AK704" s="53">
        <f t="shared" si="618"/>
        <v>0</v>
      </c>
      <c r="AL704" s="54">
        <f t="shared" si="619"/>
        <v>0.11904761904761904</v>
      </c>
      <c r="AM704" s="54">
        <f t="shared" si="620"/>
        <v>2.3809523809523808E-2</v>
      </c>
      <c r="AN704" s="55">
        <f t="shared" si="621"/>
        <v>0</v>
      </c>
      <c r="AO704" s="55">
        <f t="shared" si="622"/>
        <v>0</v>
      </c>
      <c r="AP704" s="53">
        <v>7.1</v>
      </c>
      <c r="AQ704" s="53">
        <f t="shared" si="591"/>
        <v>4.26</v>
      </c>
      <c r="AR704" s="53">
        <f t="shared" si="592"/>
        <v>21.299999999999997</v>
      </c>
      <c r="AS704" s="56">
        <f t="shared" si="593"/>
        <v>4.6948356807511742E-2</v>
      </c>
      <c r="AT704" s="56">
        <f t="shared" si="623"/>
        <v>0.23474178403755869</v>
      </c>
      <c r="AU704" s="56">
        <f t="shared" si="594"/>
        <v>0.176056338028169</v>
      </c>
      <c r="AV704" s="56">
        <f t="shared" si="624"/>
        <v>5.8685446009389672E-2</v>
      </c>
      <c r="AW704" s="57" t="s">
        <v>2511</v>
      </c>
      <c r="AX704" s="57" t="s">
        <v>2512</v>
      </c>
      <c r="AY704" s="57" t="s">
        <v>2513</v>
      </c>
      <c r="AZ704" s="58">
        <f t="shared" si="625"/>
        <v>0</v>
      </c>
      <c r="BA704" s="59">
        <f t="shared" si="628"/>
        <v>0</v>
      </c>
      <c r="BB704" s="59">
        <f t="shared" si="629"/>
        <v>0</v>
      </c>
      <c r="BC704" s="59">
        <f t="shared" si="630"/>
        <v>0</v>
      </c>
      <c r="BD704" s="60">
        <f t="shared" si="626"/>
        <v>0</v>
      </c>
      <c r="BE704" s="59">
        <f t="shared" si="627"/>
        <v>0</v>
      </c>
      <c r="BQ704" s="61">
        <v>3000</v>
      </c>
      <c r="BR704" s="61">
        <v>1200</v>
      </c>
      <c r="BS704" s="28">
        <f t="shared" si="595"/>
        <v>2980</v>
      </c>
      <c r="BT704" s="28">
        <f t="shared" si="596"/>
        <v>1180</v>
      </c>
      <c r="BU704" s="28" t="s">
        <v>2541</v>
      </c>
      <c r="BV704" s="28">
        <f t="shared" si="597"/>
        <v>5</v>
      </c>
      <c r="BW704" s="28">
        <f t="shared" si="598"/>
        <v>5</v>
      </c>
      <c r="BX704" s="13">
        <f t="shared" si="599"/>
        <v>596</v>
      </c>
      <c r="BY704" s="13">
        <f t="shared" si="600"/>
        <v>596</v>
      </c>
      <c r="BZ704" s="13">
        <f t="shared" si="601"/>
        <v>236</v>
      </c>
      <c r="CA704" s="13">
        <f t="shared" si="602"/>
        <v>236</v>
      </c>
      <c r="CB704" s="13">
        <f t="shared" si="603"/>
        <v>140656</v>
      </c>
      <c r="CC704" s="62" t="str">
        <f t="shared" si="604"/>
        <v/>
      </c>
      <c r="CD704" s="13">
        <f t="shared" si="605"/>
        <v>596</v>
      </c>
      <c r="CE704" s="13">
        <f t="shared" si="606"/>
        <v>596</v>
      </c>
      <c r="CF704" s="13">
        <f t="shared" si="607"/>
        <v>236</v>
      </c>
      <c r="CG704" s="13">
        <f t="shared" si="608"/>
        <v>236</v>
      </c>
      <c r="CH704" s="28">
        <f t="shared" si="609"/>
        <v>140656</v>
      </c>
      <c r="CI704" s="62" t="str">
        <f t="shared" si="610"/>
        <v/>
      </c>
      <c r="CJ704" s="59">
        <f t="shared" si="611"/>
        <v>0</v>
      </c>
      <c r="CL704" s="63">
        <v>6000</v>
      </c>
      <c r="CM704" s="63">
        <f t="shared" si="612"/>
        <v>0</v>
      </c>
      <c r="CN704" s="63">
        <f t="shared" si="613"/>
        <v>5</v>
      </c>
      <c r="CO704" s="63">
        <f t="shared" si="614"/>
        <v>1200</v>
      </c>
      <c r="CP704" s="13">
        <f t="shared" si="615"/>
        <v>1200</v>
      </c>
      <c r="CQ704" s="70">
        <f t="shared" si="616"/>
        <v>8.3333333333333339E-4</v>
      </c>
      <c r="CR704" s="69">
        <f t="shared" si="636"/>
        <v>8.3333333333333339E-4</v>
      </c>
    </row>
    <row r="705" spans="1:96" hidden="1" x14ac:dyDescent="0.25">
      <c r="A705" s="10">
        <v>3</v>
      </c>
      <c r="B705" s="8" t="s">
        <v>1689</v>
      </c>
      <c r="C705" s="10" t="s">
        <v>1690</v>
      </c>
      <c r="D705" s="10" t="s">
        <v>2270</v>
      </c>
      <c r="E705" s="10" t="s">
        <v>32</v>
      </c>
      <c r="F705" s="12">
        <f t="shared" si="585"/>
        <v>1</v>
      </c>
      <c r="G705" s="10">
        <v>1</v>
      </c>
      <c r="H705" s="10">
        <f>G705*$H$704</f>
        <v>1</v>
      </c>
      <c r="I705" s="10">
        <v>10</v>
      </c>
      <c r="J705" s="8" t="s">
        <v>1687</v>
      </c>
      <c r="K705" s="8" t="s">
        <v>34</v>
      </c>
      <c r="L705" s="10">
        <v>0</v>
      </c>
      <c r="M705" s="8" t="s">
        <v>35</v>
      </c>
      <c r="N705" s="10" t="s">
        <v>1691</v>
      </c>
      <c r="O705" s="28" t="s">
        <v>41</v>
      </c>
      <c r="P705" s="28" t="s">
        <v>41</v>
      </c>
      <c r="Q705" s="28"/>
      <c r="R705" s="30"/>
      <c r="S705" s="30"/>
      <c r="T705" s="30"/>
      <c r="U705" s="30"/>
      <c r="V705" s="8">
        <f t="shared" si="586"/>
        <v>0</v>
      </c>
      <c r="W705" s="8">
        <f t="shared" si="587"/>
        <v>0</v>
      </c>
      <c r="X705" s="8">
        <f t="shared" si="588"/>
        <v>0</v>
      </c>
      <c r="Y705" s="33">
        <f t="shared" si="589"/>
        <v>0</v>
      </c>
      <c r="Z705" s="28"/>
      <c r="AA705" s="28"/>
      <c r="AB705" s="28">
        <v>0</v>
      </c>
      <c r="AC705" s="31"/>
      <c r="AD705" s="50">
        <f t="shared" si="590"/>
        <v>1</v>
      </c>
      <c r="AE705" s="31"/>
      <c r="AF705" s="51">
        <v>14</v>
      </c>
      <c r="AG705" s="51">
        <f t="shared" si="617"/>
        <v>8.4</v>
      </c>
      <c r="AH705" s="51">
        <f t="shared" si="584"/>
        <v>42</v>
      </c>
      <c r="AI705" s="52" t="s">
        <v>2497</v>
      </c>
      <c r="AJ705" s="52" t="s">
        <v>2498</v>
      </c>
      <c r="AK705" s="53">
        <f t="shared" si="618"/>
        <v>0</v>
      </c>
      <c r="AL705" s="54">
        <f t="shared" si="619"/>
        <v>0.11904761904761904</v>
      </c>
      <c r="AM705" s="54">
        <f t="shared" si="620"/>
        <v>2.3809523809523808E-2</v>
      </c>
      <c r="AN705" s="55">
        <f t="shared" si="621"/>
        <v>0</v>
      </c>
      <c r="AO705" s="55">
        <f t="shared" si="622"/>
        <v>0</v>
      </c>
      <c r="AP705" s="53">
        <v>7.1</v>
      </c>
      <c r="AQ705" s="53">
        <f t="shared" si="591"/>
        <v>4.26</v>
      </c>
      <c r="AR705" s="53">
        <f t="shared" si="592"/>
        <v>21.299999999999997</v>
      </c>
      <c r="AS705" s="56">
        <f t="shared" si="593"/>
        <v>4.6948356807511742E-2</v>
      </c>
      <c r="AT705" s="56">
        <f t="shared" si="623"/>
        <v>0.23474178403755869</v>
      </c>
      <c r="AU705" s="56">
        <f t="shared" si="594"/>
        <v>0.176056338028169</v>
      </c>
      <c r="AV705" s="56">
        <f t="shared" si="624"/>
        <v>5.8685446009389672E-2</v>
      </c>
      <c r="AW705" s="57" t="s">
        <v>2511</v>
      </c>
      <c r="AX705" s="57" t="s">
        <v>2512</v>
      </c>
      <c r="AY705" s="57" t="s">
        <v>2513</v>
      </c>
      <c r="AZ705" s="58">
        <f t="shared" si="625"/>
        <v>0</v>
      </c>
      <c r="BA705" s="59">
        <f t="shared" si="628"/>
        <v>0</v>
      </c>
      <c r="BB705" s="59">
        <f t="shared" si="629"/>
        <v>0</v>
      </c>
      <c r="BC705" s="59">
        <f t="shared" si="630"/>
        <v>0</v>
      </c>
      <c r="BD705" s="60">
        <f t="shared" si="626"/>
        <v>0</v>
      </c>
      <c r="BE705" s="59">
        <f t="shared" si="627"/>
        <v>0</v>
      </c>
      <c r="BQ705" s="61">
        <v>3000</v>
      </c>
      <c r="BR705" s="61">
        <v>1200</v>
      </c>
      <c r="BS705" s="28">
        <f t="shared" si="595"/>
        <v>2980</v>
      </c>
      <c r="BT705" s="28">
        <f t="shared" si="596"/>
        <v>1180</v>
      </c>
      <c r="BU705" s="28" t="s">
        <v>2541</v>
      </c>
      <c r="BV705" s="28">
        <f t="shared" si="597"/>
        <v>5</v>
      </c>
      <c r="BW705" s="28">
        <f t="shared" si="598"/>
        <v>5</v>
      </c>
      <c r="BX705" s="13">
        <f t="shared" si="599"/>
        <v>596</v>
      </c>
      <c r="BY705" s="13">
        <f t="shared" si="600"/>
        <v>596</v>
      </c>
      <c r="BZ705" s="13">
        <f t="shared" si="601"/>
        <v>236</v>
      </c>
      <c r="CA705" s="13">
        <f t="shared" si="602"/>
        <v>236</v>
      </c>
      <c r="CB705" s="13">
        <f t="shared" si="603"/>
        <v>140656</v>
      </c>
      <c r="CC705" s="62" t="str">
        <f t="shared" si="604"/>
        <v/>
      </c>
      <c r="CD705" s="13">
        <f t="shared" si="605"/>
        <v>596</v>
      </c>
      <c r="CE705" s="13">
        <f t="shared" si="606"/>
        <v>596</v>
      </c>
      <c r="CF705" s="13">
        <f t="shared" si="607"/>
        <v>236</v>
      </c>
      <c r="CG705" s="13">
        <f t="shared" si="608"/>
        <v>236</v>
      </c>
      <c r="CH705" s="28">
        <f t="shared" si="609"/>
        <v>140656</v>
      </c>
      <c r="CI705" s="62" t="str">
        <f t="shared" si="610"/>
        <v/>
      </c>
      <c r="CJ705" s="59">
        <f t="shared" si="611"/>
        <v>0</v>
      </c>
      <c r="CL705" s="63">
        <v>6000</v>
      </c>
      <c r="CM705" s="63">
        <f t="shared" si="612"/>
        <v>0</v>
      </c>
      <c r="CN705" s="63">
        <f t="shared" si="613"/>
        <v>5</v>
      </c>
      <c r="CO705" s="63">
        <f t="shared" si="614"/>
        <v>1200</v>
      </c>
      <c r="CP705" s="13">
        <f t="shared" si="615"/>
        <v>1200</v>
      </c>
      <c r="CQ705" s="70">
        <f t="shared" si="616"/>
        <v>8.3333333333333339E-4</v>
      </c>
      <c r="CR705" s="69">
        <f t="shared" si="636"/>
        <v>8.3333333333333339E-4</v>
      </c>
    </row>
    <row r="706" spans="1:96" hidden="1" x14ac:dyDescent="0.25">
      <c r="A706" s="13">
        <v>4</v>
      </c>
      <c r="B706" s="14" t="s">
        <v>1692</v>
      </c>
      <c r="C706" s="13" t="s">
        <v>1693</v>
      </c>
      <c r="D706" s="13" t="s">
        <v>2270</v>
      </c>
      <c r="E706" s="13" t="s">
        <v>52</v>
      </c>
      <c r="F706" s="15">
        <f t="shared" si="585"/>
        <v>1</v>
      </c>
      <c r="G706" s="13">
        <v>1</v>
      </c>
      <c r="H706" s="13">
        <f>G706*$H$705</f>
        <v>1</v>
      </c>
      <c r="I706" s="13">
        <v>1</v>
      </c>
      <c r="J706" s="14" t="s">
        <v>1694</v>
      </c>
      <c r="K706" s="14" t="s">
        <v>34</v>
      </c>
      <c r="L706" s="13">
        <v>0</v>
      </c>
      <c r="M706" s="14" t="s">
        <v>35</v>
      </c>
      <c r="N706" s="13" t="s">
        <v>1695</v>
      </c>
      <c r="O706" s="28" t="s">
        <v>41</v>
      </c>
      <c r="P706" s="28" t="s">
        <v>41</v>
      </c>
      <c r="Q706" s="28" t="s">
        <v>1178</v>
      </c>
      <c r="R706" s="30">
        <v>57.94</v>
      </c>
      <c r="S706" s="30">
        <v>6.0419999999999998</v>
      </c>
      <c r="T706" s="30"/>
      <c r="U706" s="30">
        <v>0.17699999999999999</v>
      </c>
      <c r="V706" s="8">
        <f t="shared" si="586"/>
        <v>1471.6759999999999</v>
      </c>
      <c r="W706" s="8">
        <f t="shared" si="587"/>
        <v>153.46679999999998</v>
      </c>
      <c r="X706" s="8">
        <f t="shared" si="588"/>
        <v>0</v>
      </c>
      <c r="Y706" s="33">
        <f t="shared" si="589"/>
        <v>4.4957999999999991</v>
      </c>
      <c r="Z706" s="28" t="s">
        <v>56</v>
      </c>
      <c r="AA706" s="28" t="s">
        <v>57</v>
      </c>
      <c r="AB706" s="61" t="s">
        <v>1178</v>
      </c>
      <c r="AC706" s="31" t="s">
        <v>1179</v>
      </c>
      <c r="AD706" s="50">
        <f t="shared" si="590"/>
        <v>1</v>
      </c>
      <c r="AE706" s="31"/>
      <c r="AF706" s="51">
        <v>14</v>
      </c>
      <c r="AG706" s="51">
        <f t="shared" si="617"/>
        <v>8.4</v>
      </c>
      <c r="AH706" s="51">
        <f t="shared" ref="AH706:AH769" si="643">AG706/0.2</f>
        <v>42</v>
      </c>
      <c r="AI706" s="52" t="s">
        <v>2497</v>
      </c>
      <c r="AJ706" s="52" t="s">
        <v>2498</v>
      </c>
      <c r="AK706" s="53">
        <f t="shared" si="618"/>
        <v>0.45170681271359991</v>
      </c>
      <c r="AL706" s="54">
        <f t="shared" si="619"/>
        <v>0.11904761904761904</v>
      </c>
      <c r="AM706" s="54">
        <f t="shared" si="620"/>
        <v>2.3809523809523808E-2</v>
      </c>
      <c r="AN706" s="55">
        <f t="shared" si="621"/>
        <v>5.3774620561142843E-2</v>
      </c>
      <c r="AO706" s="55">
        <f t="shared" si="622"/>
        <v>1.0754924112228569E-2</v>
      </c>
      <c r="AP706" s="53">
        <v>7.1</v>
      </c>
      <c r="AQ706" s="53">
        <f t="shared" si="591"/>
        <v>4.26</v>
      </c>
      <c r="AR706" s="53">
        <f t="shared" si="592"/>
        <v>21.299999999999997</v>
      </c>
      <c r="AS706" s="56">
        <f t="shared" si="593"/>
        <v>4.6948356807511742E-2</v>
      </c>
      <c r="AT706" s="56">
        <f t="shared" si="623"/>
        <v>0.23474178403755869</v>
      </c>
      <c r="AU706" s="56">
        <f t="shared" si="594"/>
        <v>0.176056338028169</v>
      </c>
      <c r="AV706" s="56">
        <f t="shared" si="624"/>
        <v>5.8685446009389672E-2</v>
      </c>
      <c r="AW706" s="57" t="s">
        <v>2511</v>
      </c>
      <c r="AX706" s="57" t="s">
        <v>2512</v>
      </c>
      <c r="AY706" s="57" t="s">
        <v>2513</v>
      </c>
      <c r="AZ706" s="58">
        <f t="shared" si="625"/>
        <v>0.45170681271359991</v>
      </c>
      <c r="BA706" s="59">
        <f t="shared" si="628"/>
        <v>1.325430788478873E-2</v>
      </c>
      <c r="BB706" s="59">
        <f t="shared" si="629"/>
        <v>3.9762923654366185E-2</v>
      </c>
      <c r="BC706" s="59">
        <f t="shared" si="630"/>
        <v>1.0603446307830985E-2</v>
      </c>
      <c r="BD706" s="60">
        <f t="shared" si="626"/>
        <v>7.1428571428571425E-2</v>
      </c>
      <c r="BE706" s="59">
        <f t="shared" si="627"/>
        <v>7.1428571428571425E-2</v>
      </c>
      <c r="BQ706" s="61">
        <v>3000</v>
      </c>
      <c r="BR706" s="61">
        <v>1200</v>
      </c>
      <c r="BS706" s="28">
        <f t="shared" si="595"/>
        <v>2980</v>
      </c>
      <c r="BT706" s="28">
        <f t="shared" si="596"/>
        <v>1180</v>
      </c>
      <c r="BU706" s="28" t="s">
        <v>2541</v>
      </c>
      <c r="BV706" s="28">
        <f t="shared" si="597"/>
        <v>1476.6759999999999</v>
      </c>
      <c r="BW706" s="28">
        <f t="shared" si="598"/>
        <v>158.46679999999998</v>
      </c>
      <c r="BX706" s="13">
        <f t="shared" si="599"/>
        <v>2.0180459356013101</v>
      </c>
      <c r="BY706" s="13">
        <f t="shared" si="600"/>
        <v>2</v>
      </c>
      <c r="BZ706" s="13">
        <f t="shared" si="601"/>
        <v>7.4463546938538556</v>
      </c>
      <c r="CA706" s="13">
        <f t="shared" si="602"/>
        <v>7</v>
      </c>
      <c r="CB706" s="13">
        <f t="shared" si="603"/>
        <v>14</v>
      </c>
      <c r="CC706" s="62">
        <f t="shared" si="604"/>
        <v>7.1428571428571425E-2</v>
      </c>
      <c r="CD706" s="13">
        <f t="shared" si="605"/>
        <v>18.805200837020752</v>
      </c>
      <c r="CE706" s="13">
        <f t="shared" si="606"/>
        <v>18</v>
      </c>
      <c r="CF706" s="13">
        <f t="shared" si="607"/>
        <v>0.79909201476830394</v>
      </c>
      <c r="CG706" s="13">
        <f t="shared" si="608"/>
        <v>0</v>
      </c>
      <c r="CH706" s="28">
        <f t="shared" si="609"/>
        <v>0</v>
      </c>
      <c r="CI706" s="62">
        <f t="shared" si="610"/>
        <v>1</v>
      </c>
      <c r="CJ706" s="59">
        <f t="shared" si="611"/>
        <v>7.1428571428571425E-2</v>
      </c>
      <c r="CL706" s="63">
        <v>6000</v>
      </c>
      <c r="CM706" s="63">
        <f t="shared" si="612"/>
        <v>1471.6759999999999</v>
      </c>
      <c r="CN706" s="63">
        <f t="shared" si="613"/>
        <v>1476.6759999999999</v>
      </c>
      <c r="CO706" s="63">
        <f t="shared" si="614"/>
        <v>4.0631797361100199</v>
      </c>
      <c r="CP706" s="13">
        <f t="shared" si="615"/>
        <v>4</v>
      </c>
      <c r="CQ706" s="70">
        <f t="shared" si="616"/>
        <v>0.25</v>
      </c>
      <c r="CR706" s="69">
        <f t="shared" si="636"/>
        <v>0.25</v>
      </c>
    </row>
    <row r="707" spans="1:96" hidden="1" x14ac:dyDescent="0.25">
      <c r="A707" s="13">
        <v>4</v>
      </c>
      <c r="B707" s="14" t="s">
        <v>1692</v>
      </c>
      <c r="C707" s="13" t="s">
        <v>448</v>
      </c>
      <c r="D707" s="13" t="s">
        <v>450</v>
      </c>
      <c r="E707" s="13" t="s">
        <v>52</v>
      </c>
      <c r="F707" s="15">
        <f t="shared" ref="F707:F770" si="644">COUNTIF($C$2:$C$1202,C707)</f>
        <v>23</v>
      </c>
      <c r="G707" s="13">
        <v>6</v>
      </c>
      <c r="H707" s="13">
        <f>G707*$H$705</f>
        <v>6</v>
      </c>
      <c r="I707" s="13">
        <v>2</v>
      </c>
      <c r="J707" s="14" t="s">
        <v>449</v>
      </c>
      <c r="K707" s="14" t="s">
        <v>34</v>
      </c>
      <c r="L707" s="13">
        <v>0</v>
      </c>
      <c r="M707" s="14" t="s">
        <v>35</v>
      </c>
      <c r="N707" s="13" t="s">
        <v>450</v>
      </c>
      <c r="O707" s="28" t="s">
        <v>41</v>
      </c>
      <c r="P707" s="28" t="s">
        <v>41</v>
      </c>
      <c r="Q707" s="28" t="s">
        <v>450</v>
      </c>
      <c r="R707" s="30"/>
      <c r="S707" s="30"/>
      <c r="T707" s="30"/>
      <c r="U707" s="30"/>
      <c r="V707" s="8">
        <f t="shared" ref="V707:V770" si="645">R707*25.4</f>
        <v>0</v>
      </c>
      <c r="W707" s="8">
        <f t="shared" ref="W707:W770" si="646">S707*25.4</f>
        <v>0</v>
      </c>
      <c r="X707" s="8">
        <f t="shared" ref="X707:X770" si="647">T707*25.4</f>
        <v>0</v>
      </c>
      <c r="Y707" s="33">
        <f t="shared" ref="Y707:Y770" si="648">U707*25.4</f>
        <v>0</v>
      </c>
      <c r="Z707" s="28"/>
      <c r="AA707" s="28"/>
      <c r="AB707" s="61" t="s">
        <v>450</v>
      </c>
      <c r="AC707" s="31" t="s">
        <v>451</v>
      </c>
      <c r="AD707" s="50">
        <f t="shared" ref="AD707:AD770" si="649">H707</f>
        <v>6</v>
      </c>
      <c r="AE707" s="31"/>
      <c r="AF707" s="51">
        <v>14</v>
      </c>
      <c r="AG707" s="51">
        <f t="shared" si="617"/>
        <v>8.4</v>
      </c>
      <c r="AH707" s="51">
        <f t="shared" si="643"/>
        <v>42</v>
      </c>
      <c r="AI707" s="52" t="s">
        <v>2497</v>
      </c>
      <c r="AJ707" s="52" t="s">
        <v>2498</v>
      </c>
      <c r="AK707" s="53">
        <f t="shared" si="618"/>
        <v>0</v>
      </c>
      <c r="AL707" s="54">
        <f t="shared" si="619"/>
        <v>0.11904761904761904</v>
      </c>
      <c r="AM707" s="54">
        <f t="shared" si="620"/>
        <v>2.3809523809523808E-2</v>
      </c>
      <c r="AN707" s="55">
        <f t="shared" si="621"/>
        <v>0</v>
      </c>
      <c r="AO707" s="55">
        <f t="shared" si="622"/>
        <v>0</v>
      </c>
      <c r="AP707" s="53">
        <v>7.1</v>
      </c>
      <c r="AQ707" s="53">
        <f t="shared" ref="AQ707:AQ770" si="650">AP707*0.6</f>
        <v>4.26</v>
      </c>
      <c r="AR707" s="53">
        <f t="shared" ref="AR707:AR770" si="651">AQ707*5</f>
        <v>21.299999999999997</v>
      </c>
      <c r="AS707" s="56">
        <f t="shared" ref="AS707:AS770" si="652">1/AR707</f>
        <v>4.6948356807511742E-2</v>
      </c>
      <c r="AT707" s="56">
        <f t="shared" si="623"/>
        <v>0.23474178403755869</v>
      </c>
      <c r="AU707" s="56">
        <f t="shared" ref="AU707:AU770" si="653">AT707*0.75</f>
        <v>0.176056338028169</v>
      </c>
      <c r="AV707" s="56">
        <f t="shared" si="624"/>
        <v>5.8685446009389672E-2</v>
      </c>
      <c r="AW707" s="57" t="s">
        <v>2511</v>
      </c>
      <c r="AX707" s="57" t="s">
        <v>2512</v>
      </c>
      <c r="AY707" s="57" t="s">
        <v>2513</v>
      </c>
      <c r="AZ707" s="58">
        <f t="shared" si="625"/>
        <v>0</v>
      </c>
      <c r="BA707" s="59">
        <f t="shared" si="628"/>
        <v>0</v>
      </c>
      <c r="BB707" s="59">
        <f t="shared" si="629"/>
        <v>0</v>
      </c>
      <c r="BC707" s="59">
        <f t="shared" si="630"/>
        <v>0</v>
      </c>
      <c r="BD707" s="60">
        <f t="shared" si="626"/>
        <v>7.1095438516664771E-6</v>
      </c>
      <c r="BE707" s="59">
        <f t="shared" si="627"/>
        <v>4.2657263109998864E-5</v>
      </c>
      <c r="BQ707" s="61">
        <v>3000</v>
      </c>
      <c r="BR707" s="61">
        <v>1200</v>
      </c>
      <c r="BS707" s="28">
        <f t="shared" ref="BS707:BS770" si="654">BQ707-20</f>
        <v>2980</v>
      </c>
      <c r="BT707" s="28">
        <f t="shared" ref="BT707:BT770" si="655">BR707-20</f>
        <v>1180</v>
      </c>
      <c r="BU707" s="28" t="s">
        <v>2541</v>
      </c>
      <c r="BV707" s="28">
        <f t="shared" ref="BV707:BV770" si="656">V707+5</f>
        <v>5</v>
      </c>
      <c r="BW707" s="28">
        <f t="shared" ref="BW707:BW770" si="657">W707+5</f>
        <v>5</v>
      </c>
      <c r="BX707" s="13">
        <f t="shared" ref="BX707:BX770" si="658">BS707/BV707</f>
        <v>596</v>
      </c>
      <c r="BY707" s="13">
        <f t="shared" ref="BY707:BY770" si="659">ROUNDDOWN(BX707,0)</f>
        <v>596</v>
      </c>
      <c r="BZ707" s="13">
        <f t="shared" ref="BZ707:BZ770" si="660">BT707/BW707</f>
        <v>236</v>
      </c>
      <c r="CA707" s="13">
        <f t="shared" ref="CA707:CA770" si="661">ROUNDDOWN(BZ707,0)</f>
        <v>236</v>
      </c>
      <c r="CB707" s="13">
        <f t="shared" ref="CB707:CB770" si="662">BY707*CA707</f>
        <v>140656</v>
      </c>
      <c r="CC707" s="62">
        <f t="shared" ref="CC707:CC770" si="663">IF(E707="CJ","",IFERROR((1/CB707),1))</f>
        <v>7.1095438516664771E-6</v>
      </c>
      <c r="CD707" s="13">
        <f t="shared" ref="CD707:CD770" si="664">BS707/BW707</f>
        <v>596</v>
      </c>
      <c r="CE707" s="13">
        <f t="shared" ref="CE707:CE770" si="665">ROUNDDOWN(CD707,0)</f>
        <v>596</v>
      </c>
      <c r="CF707" s="13">
        <f t="shared" ref="CF707:CF770" si="666">BT707/BV707</f>
        <v>236</v>
      </c>
      <c r="CG707" s="13">
        <f t="shared" ref="CG707:CG770" si="667">ROUNDDOWN(CF707,0)</f>
        <v>236</v>
      </c>
      <c r="CH707" s="28">
        <f t="shared" ref="CH707:CH770" si="668">CE707*CG707</f>
        <v>140656</v>
      </c>
      <c r="CI707" s="62">
        <f t="shared" ref="CI707:CI770" si="669">IF(E707="CJ","",IFERROR((1/CH707),1))</f>
        <v>7.1095438516664771E-6</v>
      </c>
      <c r="CJ707" s="59">
        <f t="shared" ref="CJ707:CJ770" si="670">MIN(CC707,CI707)</f>
        <v>7.1095438516664771E-6</v>
      </c>
      <c r="CL707" s="63">
        <v>6000</v>
      </c>
      <c r="CM707" s="63">
        <f t="shared" ref="CM707:CM770" si="671">V707</f>
        <v>0</v>
      </c>
      <c r="CN707" s="63">
        <f t="shared" ref="CN707:CN770" si="672">CM707+5</f>
        <v>5</v>
      </c>
      <c r="CO707" s="63">
        <f t="shared" ref="CO707:CO770" si="673">CL707/CN707</f>
        <v>1200</v>
      </c>
      <c r="CP707" s="13">
        <f t="shared" ref="CP707:CP770" si="674">ROUNDDOWN(CO707,0)</f>
        <v>1200</v>
      </c>
      <c r="CQ707" s="70">
        <f t="shared" ref="CQ707:CQ770" si="675">1/CP707</f>
        <v>8.3333333333333339E-4</v>
      </c>
      <c r="CR707" s="69">
        <f t="shared" si="636"/>
        <v>5.0000000000000001E-3</v>
      </c>
    </row>
    <row r="708" spans="1:96" hidden="1" x14ac:dyDescent="0.25">
      <c r="A708" s="10">
        <v>3</v>
      </c>
      <c r="B708" s="8" t="s">
        <v>1689</v>
      </c>
      <c r="C708" s="10" t="s">
        <v>1696</v>
      </c>
      <c r="D708" s="10" t="s">
        <v>1698</v>
      </c>
      <c r="E708" s="10" t="s">
        <v>52</v>
      </c>
      <c r="F708" s="12">
        <f t="shared" si="644"/>
        <v>1</v>
      </c>
      <c r="G708" s="10">
        <v>1</v>
      </c>
      <c r="H708" s="10">
        <f t="shared" ref="H708:H710" si="676">G708*$H$704</f>
        <v>1</v>
      </c>
      <c r="I708" s="10">
        <v>3</v>
      </c>
      <c r="J708" s="8" t="s">
        <v>1697</v>
      </c>
      <c r="K708" s="8" t="s">
        <v>34</v>
      </c>
      <c r="L708" s="10" t="s">
        <v>259</v>
      </c>
      <c r="M708" s="8" t="s">
        <v>35</v>
      </c>
      <c r="N708" s="10" t="s">
        <v>1698</v>
      </c>
      <c r="O708" s="28" t="s">
        <v>41</v>
      </c>
      <c r="P708" s="28" t="s">
        <v>41</v>
      </c>
      <c r="Q708" s="28" t="s">
        <v>79</v>
      </c>
      <c r="R708" s="30">
        <v>21.968503937007874</v>
      </c>
      <c r="S708" s="30">
        <v>0.3125</v>
      </c>
      <c r="T708" s="30"/>
      <c r="U708" s="30">
        <v>0.3125</v>
      </c>
      <c r="V708" s="8">
        <f t="shared" si="645"/>
        <v>558</v>
      </c>
      <c r="W708" s="8">
        <f t="shared" si="646"/>
        <v>7.9375</v>
      </c>
      <c r="X708" s="8">
        <f t="shared" si="647"/>
        <v>0</v>
      </c>
      <c r="Y708" s="33">
        <f t="shared" si="648"/>
        <v>7.9375</v>
      </c>
      <c r="Z708" s="28" t="s">
        <v>80</v>
      </c>
      <c r="AA708" s="28" t="s">
        <v>81</v>
      </c>
      <c r="AB708" s="61" t="s">
        <v>79</v>
      </c>
      <c r="AC708" s="31" t="s">
        <v>82</v>
      </c>
      <c r="AD708" s="50">
        <f t="shared" si="649"/>
        <v>1</v>
      </c>
      <c r="AE708" s="31"/>
      <c r="AF708" s="51">
        <v>14</v>
      </c>
      <c r="AG708" s="51">
        <f t="shared" si="617"/>
        <v>8.4</v>
      </c>
      <c r="AH708" s="51">
        <f t="shared" si="643"/>
        <v>42</v>
      </c>
      <c r="AI708" s="52" t="s">
        <v>2497</v>
      </c>
      <c r="AJ708" s="52" t="s">
        <v>2498</v>
      </c>
      <c r="AK708" s="53">
        <f t="shared" si="618"/>
        <v>8.8582499999999998E-3</v>
      </c>
      <c r="AL708" s="54">
        <f t="shared" si="619"/>
        <v>0.11904761904761904</v>
      </c>
      <c r="AM708" s="54">
        <f t="shared" si="620"/>
        <v>2.3809523809523808E-2</v>
      </c>
      <c r="AN708" s="55">
        <f t="shared" si="621"/>
        <v>1.0545535714285713E-3</v>
      </c>
      <c r="AO708" s="55">
        <f t="shared" si="622"/>
        <v>2.1091071428571426E-4</v>
      </c>
      <c r="AP708" s="53">
        <v>7.1</v>
      </c>
      <c r="AQ708" s="53">
        <f t="shared" si="650"/>
        <v>4.26</v>
      </c>
      <c r="AR708" s="53">
        <f t="shared" si="651"/>
        <v>21.299999999999997</v>
      </c>
      <c r="AS708" s="56">
        <f t="shared" si="652"/>
        <v>4.6948356807511742E-2</v>
      </c>
      <c r="AT708" s="56">
        <f t="shared" si="623"/>
        <v>0.23474178403755869</v>
      </c>
      <c r="AU708" s="56">
        <f t="shared" si="653"/>
        <v>0.176056338028169</v>
      </c>
      <c r="AV708" s="56">
        <f t="shared" si="624"/>
        <v>5.8685446009389672E-2</v>
      </c>
      <c r="AW708" s="57" t="s">
        <v>2511</v>
      </c>
      <c r="AX708" s="57" t="s">
        <v>2512</v>
      </c>
      <c r="AY708" s="57" t="s">
        <v>2513</v>
      </c>
      <c r="AZ708" s="58">
        <f t="shared" si="625"/>
        <v>8.8582499999999998E-3</v>
      </c>
      <c r="BA708" s="59">
        <f t="shared" si="628"/>
        <v>2.5992517605633801E-4</v>
      </c>
      <c r="BB708" s="59">
        <f t="shared" si="629"/>
        <v>7.7977552816901397E-4</v>
      </c>
      <c r="BC708" s="59">
        <f t="shared" si="630"/>
        <v>2.0794014084507043E-4</v>
      </c>
      <c r="BD708" s="60">
        <f t="shared" si="626"/>
        <v>2.1739130434782609E-3</v>
      </c>
      <c r="BE708" s="59">
        <f t="shared" si="627"/>
        <v>2.1739130434782609E-3</v>
      </c>
      <c r="BQ708" s="61">
        <v>3000</v>
      </c>
      <c r="BR708" s="61">
        <v>1200</v>
      </c>
      <c r="BS708" s="28">
        <f t="shared" si="654"/>
        <v>2980</v>
      </c>
      <c r="BT708" s="28">
        <f t="shared" si="655"/>
        <v>1180</v>
      </c>
      <c r="BU708" s="28" t="s">
        <v>2541</v>
      </c>
      <c r="BV708" s="28">
        <f t="shared" si="656"/>
        <v>563</v>
      </c>
      <c r="BW708" s="28">
        <f t="shared" si="657"/>
        <v>12.9375</v>
      </c>
      <c r="BX708" s="13">
        <f t="shared" si="658"/>
        <v>5.2930728241563054</v>
      </c>
      <c r="BY708" s="13">
        <f t="shared" si="659"/>
        <v>5</v>
      </c>
      <c r="BZ708" s="13">
        <f t="shared" si="660"/>
        <v>91.207729468599027</v>
      </c>
      <c r="CA708" s="13">
        <f t="shared" si="661"/>
        <v>91</v>
      </c>
      <c r="CB708" s="13">
        <f t="shared" si="662"/>
        <v>455</v>
      </c>
      <c r="CC708" s="62">
        <f t="shared" si="663"/>
        <v>2.1978021978021978E-3</v>
      </c>
      <c r="CD708" s="13">
        <f t="shared" si="664"/>
        <v>230.33816425120773</v>
      </c>
      <c r="CE708" s="13">
        <f t="shared" si="665"/>
        <v>230</v>
      </c>
      <c r="CF708" s="13">
        <f t="shared" si="666"/>
        <v>2.0959147424511544</v>
      </c>
      <c r="CG708" s="13">
        <f t="shared" si="667"/>
        <v>2</v>
      </c>
      <c r="CH708" s="28">
        <f t="shared" si="668"/>
        <v>460</v>
      </c>
      <c r="CI708" s="62">
        <f t="shared" si="669"/>
        <v>2.1739130434782609E-3</v>
      </c>
      <c r="CJ708" s="59">
        <f t="shared" si="670"/>
        <v>2.1739130434782609E-3</v>
      </c>
      <c r="CL708" s="63">
        <v>6000</v>
      </c>
      <c r="CM708" s="63">
        <f t="shared" si="671"/>
        <v>558</v>
      </c>
      <c r="CN708" s="63">
        <f t="shared" si="672"/>
        <v>563</v>
      </c>
      <c r="CO708" s="63">
        <f t="shared" si="673"/>
        <v>10.657193605683837</v>
      </c>
      <c r="CP708" s="13">
        <f t="shared" si="674"/>
        <v>10</v>
      </c>
      <c r="CQ708" s="70">
        <f t="shared" si="675"/>
        <v>0.1</v>
      </c>
      <c r="CR708" s="69">
        <f t="shared" si="636"/>
        <v>0.1</v>
      </c>
    </row>
    <row r="709" spans="1:96" hidden="1" x14ac:dyDescent="0.25">
      <c r="A709" s="10">
        <v>3</v>
      </c>
      <c r="B709" s="8" t="s">
        <v>1689</v>
      </c>
      <c r="C709" s="10" t="s">
        <v>91</v>
      </c>
      <c r="D709" s="10" t="s">
        <v>93</v>
      </c>
      <c r="E709" s="10" t="s">
        <v>52</v>
      </c>
      <c r="F709" s="12">
        <f t="shared" si="644"/>
        <v>3</v>
      </c>
      <c r="G709" s="10">
        <v>1</v>
      </c>
      <c r="H709" s="10">
        <f t="shared" si="676"/>
        <v>1</v>
      </c>
      <c r="I709" s="10">
        <v>4</v>
      </c>
      <c r="J709" s="8" t="s">
        <v>92</v>
      </c>
      <c r="K709" s="8" t="s">
        <v>34</v>
      </c>
      <c r="L709" s="10" t="s">
        <v>89</v>
      </c>
      <c r="M709" s="8" t="s">
        <v>35</v>
      </c>
      <c r="N709" s="10" t="s">
        <v>93</v>
      </c>
      <c r="O709" s="28" t="s">
        <v>41</v>
      </c>
      <c r="P709" s="28" t="s">
        <v>41</v>
      </c>
      <c r="Q709" s="28" t="s">
        <v>79</v>
      </c>
      <c r="R709" s="30">
        <v>19.980314960629922</v>
      </c>
      <c r="S709" s="30">
        <v>0.3125</v>
      </c>
      <c r="T709" s="30"/>
      <c r="U709" s="30">
        <v>0.3125</v>
      </c>
      <c r="V709" s="8">
        <f t="shared" si="645"/>
        <v>507.5</v>
      </c>
      <c r="W709" s="8">
        <f t="shared" si="646"/>
        <v>7.9375</v>
      </c>
      <c r="X709" s="8">
        <f t="shared" si="647"/>
        <v>0</v>
      </c>
      <c r="Y709" s="33">
        <f t="shared" si="648"/>
        <v>7.9375</v>
      </c>
      <c r="Z709" s="28" t="s">
        <v>80</v>
      </c>
      <c r="AA709" s="28" t="s">
        <v>81</v>
      </c>
      <c r="AB709" s="61" t="s">
        <v>79</v>
      </c>
      <c r="AC709" s="31" t="s">
        <v>82</v>
      </c>
      <c r="AD709" s="50">
        <f t="shared" si="649"/>
        <v>1</v>
      </c>
      <c r="AE709" s="31"/>
      <c r="AF709" s="51">
        <v>14</v>
      </c>
      <c r="AG709" s="51">
        <f t="shared" si="617"/>
        <v>8.4</v>
      </c>
      <c r="AH709" s="51">
        <f t="shared" si="643"/>
        <v>42</v>
      </c>
      <c r="AI709" s="52" t="s">
        <v>2497</v>
      </c>
      <c r="AJ709" s="52" t="s">
        <v>2498</v>
      </c>
      <c r="AK709" s="53">
        <f t="shared" si="618"/>
        <v>8.0565624999999995E-3</v>
      </c>
      <c r="AL709" s="54">
        <f t="shared" si="619"/>
        <v>0.11904761904761904</v>
      </c>
      <c r="AM709" s="54">
        <f t="shared" si="620"/>
        <v>2.3809523809523808E-2</v>
      </c>
      <c r="AN709" s="55">
        <f t="shared" si="621"/>
        <v>9.5911458333333319E-4</v>
      </c>
      <c r="AO709" s="55">
        <f t="shared" si="622"/>
        <v>1.9182291666666664E-4</v>
      </c>
      <c r="AP709" s="53">
        <v>7.1</v>
      </c>
      <c r="AQ709" s="53">
        <f t="shared" si="650"/>
        <v>4.26</v>
      </c>
      <c r="AR709" s="53">
        <f t="shared" si="651"/>
        <v>21.299999999999997</v>
      </c>
      <c r="AS709" s="56">
        <f t="shared" si="652"/>
        <v>4.6948356807511742E-2</v>
      </c>
      <c r="AT709" s="56">
        <f t="shared" si="623"/>
        <v>0.23474178403755869</v>
      </c>
      <c r="AU709" s="56">
        <f t="shared" si="653"/>
        <v>0.176056338028169</v>
      </c>
      <c r="AV709" s="56">
        <f t="shared" si="624"/>
        <v>5.8685446009389672E-2</v>
      </c>
      <c r="AW709" s="57" t="s">
        <v>2511</v>
      </c>
      <c r="AX709" s="57" t="s">
        <v>2512</v>
      </c>
      <c r="AY709" s="57" t="s">
        <v>2513</v>
      </c>
      <c r="AZ709" s="58">
        <f t="shared" si="625"/>
        <v>8.0565624999999995E-3</v>
      </c>
      <c r="BA709" s="59">
        <f t="shared" si="628"/>
        <v>2.3640148180751174E-4</v>
      </c>
      <c r="BB709" s="59">
        <f t="shared" si="629"/>
        <v>7.0920444542253507E-4</v>
      </c>
      <c r="BC709" s="59">
        <f t="shared" si="630"/>
        <v>1.891211854460094E-4</v>
      </c>
      <c r="BD709" s="60">
        <f t="shared" si="626"/>
        <v>2.1739130434782609E-3</v>
      </c>
      <c r="BE709" s="59">
        <f t="shared" si="627"/>
        <v>2.1739130434782609E-3</v>
      </c>
      <c r="BQ709" s="61">
        <v>3000</v>
      </c>
      <c r="BR709" s="61">
        <v>1200</v>
      </c>
      <c r="BS709" s="28">
        <f t="shared" si="654"/>
        <v>2980</v>
      </c>
      <c r="BT709" s="28">
        <f t="shared" si="655"/>
        <v>1180</v>
      </c>
      <c r="BU709" s="28" t="s">
        <v>2541</v>
      </c>
      <c r="BV709" s="28">
        <f t="shared" si="656"/>
        <v>512.5</v>
      </c>
      <c r="BW709" s="28">
        <f t="shared" si="657"/>
        <v>12.9375</v>
      </c>
      <c r="BX709" s="13">
        <f t="shared" si="658"/>
        <v>5.8146341463414632</v>
      </c>
      <c r="BY709" s="13">
        <f t="shared" si="659"/>
        <v>5</v>
      </c>
      <c r="BZ709" s="13">
        <f t="shared" si="660"/>
        <v>91.207729468599027</v>
      </c>
      <c r="CA709" s="13">
        <f t="shared" si="661"/>
        <v>91</v>
      </c>
      <c r="CB709" s="13">
        <f t="shared" si="662"/>
        <v>455</v>
      </c>
      <c r="CC709" s="62">
        <f t="shared" si="663"/>
        <v>2.1978021978021978E-3</v>
      </c>
      <c r="CD709" s="13">
        <f t="shared" si="664"/>
        <v>230.33816425120773</v>
      </c>
      <c r="CE709" s="13">
        <f t="shared" si="665"/>
        <v>230</v>
      </c>
      <c r="CF709" s="13">
        <f t="shared" si="666"/>
        <v>2.3024390243902437</v>
      </c>
      <c r="CG709" s="13">
        <f t="shared" si="667"/>
        <v>2</v>
      </c>
      <c r="CH709" s="28">
        <f t="shared" si="668"/>
        <v>460</v>
      </c>
      <c r="CI709" s="62">
        <f t="shared" si="669"/>
        <v>2.1739130434782609E-3</v>
      </c>
      <c r="CJ709" s="59">
        <f t="shared" si="670"/>
        <v>2.1739130434782609E-3</v>
      </c>
      <c r="CL709" s="63">
        <v>6000</v>
      </c>
      <c r="CM709" s="63">
        <f t="shared" si="671"/>
        <v>507.5</v>
      </c>
      <c r="CN709" s="63">
        <f t="shared" si="672"/>
        <v>512.5</v>
      </c>
      <c r="CO709" s="63">
        <f t="shared" si="673"/>
        <v>11.707317073170731</v>
      </c>
      <c r="CP709" s="13">
        <f t="shared" si="674"/>
        <v>11</v>
      </c>
      <c r="CQ709" s="70">
        <f t="shared" si="675"/>
        <v>9.0909090909090912E-2</v>
      </c>
      <c r="CR709" s="69">
        <f t="shared" si="636"/>
        <v>9.0909090909090912E-2</v>
      </c>
    </row>
    <row r="710" spans="1:96" hidden="1" x14ac:dyDescent="0.25">
      <c r="A710" s="10">
        <v>3</v>
      </c>
      <c r="B710" s="8" t="s">
        <v>1689</v>
      </c>
      <c r="C710" s="10" t="s">
        <v>710</v>
      </c>
      <c r="D710" s="10" t="s">
        <v>711</v>
      </c>
      <c r="E710" s="10" t="s">
        <v>52</v>
      </c>
      <c r="F710" s="12">
        <f t="shared" si="644"/>
        <v>4</v>
      </c>
      <c r="G710" s="10">
        <v>1</v>
      </c>
      <c r="H710" s="10">
        <f t="shared" si="676"/>
        <v>1</v>
      </c>
      <c r="I710" s="10">
        <v>5</v>
      </c>
      <c r="J710" s="8" t="s">
        <v>76</v>
      </c>
      <c r="K710" s="8" t="s">
        <v>34</v>
      </c>
      <c r="L710" s="10" t="s">
        <v>77</v>
      </c>
      <c r="M710" s="8" t="s">
        <v>35</v>
      </c>
      <c r="N710" s="10" t="s">
        <v>711</v>
      </c>
      <c r="O710" s="28" t="s">
        <v>41</v>
      </c>
      <c r="P710" s="28" t="s">
        <v>41</v>
      </c>
      <c r="Q710" s="28" t="s">
        <v>79</v>
      </c>
      <c r="R710" s="30">
        <v>25.098425196850396</v>
      </c>
      <c r="S710" s="30">
        <v>0.3125</v>
      </c>
      <c r="T710" s="30"/>
      <c r="U710" s="30">
        <v>0.3125</v>
      </c>
      <c r="V710" s="8">
        <f t="shared" si="645"/>
        <v>637.5</v>
      </c>
      <c r="W710" s="8">
        <f t="shared" si="646"/>
        <v>7.9375</v>
      </c>
      <c r="X710" s="8">
        <f t="shared" si="647"/>
        <v>0</v>
      </c>
      <c r="Y710" s="33">
        <f t="shared" si="648"/>
        <v>7.9375</v>
      </c>
      <c r="Z710" s="28" t="s">
        <v>80</v>
      </c>
      <c r="AA710" s="28" t="s">
        <v>81</v>
      </c>
      <c r="AB710" s="61" t="s">
        <v>79</v>
      </c>
      <c r="AC710" s="31" t="s">
        <v>82</v>
      </c>
      <c r="AD710" s="50">
        <f t="shared" si="649"/>
        <v>1</v>
      </c>
      <c r="AE710" s="31"/>
      <c r="AF710" s="51">
        <v>14</v>
      </c>
      <c r="AG710" s="51">
        <f t="shared" ref="AG710:AG773" si="677">AF710*0.6</f>
        <v>8.4</v>
      </c>
      <c r="AH710" s="51">
        <f t="shared" si="643"/>
        <v>42</v>
      </c>
      <c r="AI710" s="52" t="s">
        <v>2497</v>
      </c>
      <c r="AJ710" s="52" t="s">
        <v>2498</v>
      </c>
      <c r="AK710" s="53">
        <f t="shared" ref="AK710:AK773" si="678">(V710*W710)*2/1000000</f>
        <v>1.0120312500000001E-2</v>
      </c>
      <c r="AL710" s="54">
        <f t="shared" ref="AL710:AL773" si="679">1/(AF710*0.6)</f>
        <v>0.11904761904761904</v>
      </c>
      <c r="AM710" s="54">
        <f t="shared" ref="AM710:AM773" si="680">1/AG710*(20/100)</f>
        <v>2.3809523809523808E-2</v>
      </c>
      <c r="AN710" s="55">
        <f t="shared" ref="AN710:AN773" si="681">IF(AI710&lt;&gt;0,(AK710*AL710*AD710),0)</f>
        <v>1.2047991071428572E-3</v>
      </c>
      <c r="AO710" s="55">
        <f t="shared" ref="AO710:AO773" si="682">IF(AJ710&lt;&gt;0,(AK710*AM710*AD710),0)</f>
        <v>2.4095982142857144E-4</v>
      </c>
      <c r="AP710" s="53">
        <v>7.1</v>
      </c>
      <c r="AQ710" s="53">
        <f t="shared" si="650"/>
        <v>4.26</v>
      </c>
      <c r="AR710" s="53">
        <f t="shared" si="651"/>
        <v>21.299999999999997</v>
      </c>
      <c r="AS710" s="56">
        <f t="shared" si="652"/>
        <v>4.6948356807511742E-2</v>
      </c>
      <c r="AT710" s="56">
        <f t="shared" ref="AT710:AT773" si="683">1/AQ710</f>
        <v>0.23474178403755869</v>
      </c>
      <c r="AU710" s="56">
        <f t="shared" si="653"/>
        <v>0.176056338028169</v>
      </c>
      <c r="AV710" s="56">
        <f t="shared" ref="AV710:AV773" si="684">AT710*0.25</f>
        <v>5.8685446009389672E-2</v>
      </c>
      <c r="AW710" s="57" t="s">
        <v>2511</v>
      </c>
      <c r="AX710" s="57" t="s">
        <v>2512</v>
      </c>
      <c r="AY710" s="57" t="s">
        <v>2513</v>
      </c>
      <c r="AZ710" s="58">
        <f t="shared" ref="AZ710:AZ773" si="685">(V710*W710)*2/1000000</f>
        <v>1.0120312500000001E-2</v>
      </c>
      <c r="BA710" s="59">
        <f t="shared" si="628"/>
        <v>2.9695752640845072E-4</v>
      </c>
      <c r="BB710" s="59">
        <f t="shared" si="629"/>
        <v>8.9087257922535216E-4</v>
      </c>
      <c r="BC710" s="59">
        <f t="shared" si="630"/>
        <v>2.3756602112676061E-4</v>
      </c>
      <c r="BD710" s="60">
        <f t="shared" ref="BD710:BD773" si="686">CJ710</f>
        <v>2.7472527472527475E-3</v>
      </c>
      <c r="BE710" s="59">
        <f t="shared" ref="BE710:BE773" si="687">BD710*AD710</f>
        <v>2.7472527472527475E-3</v>
      </c>
      <c r="BQ710" s="61">
        <v>3000</v>
      </c>
      <c r="BR710" s="61">
        <v>1200</v>
      </c>
      <c r="BS710" s="28">
        <f t="shared" si="654"/>
        <v>2980</v>
      </c>
      <c r="BT710" s="28">
        <f t="shared" si="655"/>
        <v>1180</v>
      </c>
      <c r="BU710" s="28" t="s">
        <v>2541</v>
      </c>
      <c r="BV710" s="28">
        <f t="shared" si="656"/>
        <v>642.5</v>
      </c>
      <c r="BW710" s="28">
        <f t="shared" si="657"/>
        <v>12.9375</v>
      </c>
      <c r="BX710" s="13">
        <f t="shared" si="658"/>
        <v>4.6381322957198448</v>
      </c>
      <c r="BY710" s="13">
        <f t="shared" si="659"/>
        <v>4</v>
      </c>
      <c r="BZ710" s="13">
        <f t="shared" si="660"/>
        <v>91.207729468599027</v>
      </c>
      <c r="CA710" s="13">
        <f t="shared" si="661"/>
        <v>91</v>
      </c>
      <c r="CB710" s="13">
        <f t="shared" si="662"/>
        <v>364</v>
      </c>
      <c r="CC710" s="62">
        <f t="shared" si="663"/>
        <v>2.7472527472527475E-3</v>
      </c>
      <c r="CD710" s="13">
        <f t="shared" si="664"/>
        <v>230.33816425120773</v>
      </c>
      <c r="CE710" s="13">
        <f t="shared" si="665"/>
        <v>230</v>
      </c>
      <c r="CF710" s="13">
        <f t="shared" si="666"/>
        <v>1.8365758754863812</v>
      </c>
      <c r="CG710" s="13">
        <f t="shared" si="667"/>
        <v>1</v>
      </c>
      <c r="CH710" s="28">
        <f t="shared" si="668"/>
        <v>230</v>
      </c>
      <c r="CI710" s="62">
        <f t="shared" si="669"/>
        <v>4.3478260869565218E-3</v>
      </c>
      <c r="CJ710" s="59">
        <f t="shared" si="670"/>
        <v>2.7472527472527475E-3</v>
      </c>
      <c r="CL710" s="63">
        <v>6000</v>
      </c>
      <c r="CM710" s="63">
        <f t="shared" si="671"/>
        <v>637.5</v>
      </c>
      <c r="CN710" s="63">
        <f t="shared" si="672"/>
        <v>642.5</v>
      </c>
      <c r="CO710" s="63">
        <f t="shared" si="673"/>
        <v>9.3385214007782107</v>
      </c>
      <c r="CP710" s="13">
        <f t="shared" si="674"/>
        <v>9</v>
      </c>
      <c r="CQ710" s="70">
        <f t="shared" si="675"/>
        <v>0.1111111111111111</v>
      </c>
      <c r="CR710" s="69">
        <f t="shared" si="636"/>
        <v>0.1111111111111111</v>
      </c>
    </row>
    <row r="711" spans="1:96" hidden="1" x14ac:dyDescent="0.25">
      <c r="A711" s="36">
        <v>2</v>
      </c>
      <c r="B711" s="37" t="s">
        <v>37</v>
      </c>
      <c r="C711" s="36" t="s">
        <v>1699</v>
      </c>
      <c r="D711" s="36" t="s">
        <v>2270</v>
      </c>
      <c r="E711" s="36" t="s">
        <v>32</v>
      </c>
      <c r="F711" s="38">
        <f t="shared" si="644"/>
        <v>1</v>
      </c>
      <c r="G711" s="36">
        <v>2</v>
      </c>
      <c r="H711" s="36">
        <f t="shared" ref="H711" si="688">G711*$H$3</f>
        <v>2</v>
      </c>
      <c r="I711" s="36">
        <v>228</v>
      </c>
      <c r="J711" s="37" t="s">
        <v>1676</v>
      </c>
      <c r="K711" s="37" t="s">
        <v>34</v>
      </c>
      <c r="L711" s="36" t="s">
        <v>110</v>
      </c>
      <c r="M711" s="37" t="s">
        <v>35</v>
      </c>
      <c r="N711" s="36" t="s">
        <v>1700</v>
      </c>
      <c r="O711" s="28" t="s">
        <v>41</v>
      </c>
      <c r="P711" s="28" t="s">
        <v>41</v>
      </c>
      <c r="Q711" s="28"/>
      <c r="R711" s="30"/>
      <c r="S711" s="30"/>
      <c r="T711" s="30"/>
      <c r="U711" s="30"/>
      <c r="V711" s="8">
        <f t="shared" si="645"/>
        <v>0</v>
      </c>
      <c r="W711" s="8">
        <f t="shared" si="646"/>
        <v>0</v>
      </c>
      <c r="X711" s="8">
        <f t="shared" si="647"/>
        <v>0</v>
      </c>
      <c r="Y711" s="33">
        <f t="shared" si="648"/>
        <v>0</v>
      </c>
      <c r="Z711" s="28"/>
      <c r="AA711" s="28"/>
      <c r="AB711" s="28">
        <v>0</v>
      </c>
      <c r="AC711" s="31"/>
      <c r="AD711" s="50">
        <f t="shared" si="649"/>
        <v>2</v>
      </c>
      <c r="AE711" s="47" t="s">
        <v>107</v>
      </c>
      <c r="AF711" s="51">
        <v>14</v>
      </c>
      <c r="AG711" s="51">
        <f t="shared" si="677"/>
        <v>8.4</v>
      </c>
      <c r="AH711" s="51">
        <f t="shared" si="643"/>
        <v>42</v>
      </c>
      <c r="AI711" s="52" t="s">
        <v>2497</v>
      </c>
      <c r="AJ711" s="52" t="s">
        <v>2498</v>
      </c>
      <c r="AK711" s="53">
        <f t="shared" si="678"/>
        <v>0</v>
      </c>
      <c r="AL711" s="54">
        <f t="shared" si="679"/>
        <v>0.11904761904761904</v>
      </c>
      <c r="AM711" s="54">
        <f t="shared" si="680"/>
        <v>2.3809523809523808E-2</v>
      </c>
      <c r="AN711" s="55">
        <f t="shared" si="681"/>
        <v>0</v>
      </c>
      <c r="AO711" s="55">
        <f t="shared" si="682"/>
        <v>0</v>
      </c>
      <c r="AP711" s="53">
        <v>7.1</v>
      </c>
      <c r="AQ711" s="53">
        <f t="shared" si="650"/>
        <v>4.26</v>
      </c>
      <c r="AR711" s="53">
        <f t="shared" si="651"/>
        <v>21.299999999999997</v>
      </c>
      <c r="AS711" s="56">
        <f t="shared" si="652"/>
        <v>4.6948356807511742E-2</v>
      </c>
      <c r="AT711" s="56">
        <f t="shared" si="683"/>
        <v>0.23474178403755869</v>
      </c>
      <c r="AU711" s="56">
        <f t="shared" si="653"/>
        <v>0.176056338028169</v>
      </c>
      <c r="AV711" s="56">
        <f t="shared" si="684"/>
        <v>5.8685446009389672E-2</v>
      </c>
      <c r="AW711" s="57" t="s">
        <v>2511</v>
      </c>
      <c r="AX711" s="57" t="s">
        <v>2512</v>
      </c>
      <c r="AY711" s="57" t="s">
        <v>2513</v>
      </c>
      <c r="AZ711" s="58">
        <f t="shared" si="685"/>
        <v>0</v>
      </c>
      <c r="BA711" s="59">
        <f t="shared" si="628"/>
        <v>0</v>
      </c>
      <c r="BB711" s="59">
        <f t="shared" si="629"/>
        <v>0</v>
      </c>
      <c r="BC711" s="59">
        <f t="shared" si="630"/>
        <v>0</v>
      </c>
      <c r="BD711" s="60">
        <f t="shared" si="686"/>
        <v>0</v>
      </c>
      <c r="BE711" s="59">
        <f t="shared" si="687"/>
        <v>0</v>
      </c>
      <c r="BQ711" s="61">
        <v>3000</v>
      </c>
      <c r="BR711" s="61">
        <v>1200</v>
      </c>
      <c r="BS711" s="28">
        <f t="shared" si="654"/>
        <v>2980</v>
      </c>
      <c r="BT711" s="28">
        <f t="shared" si="655"/>
        <v>1180</v>
      </c>
      <c r="BU711" s="28" t="s">
        <v>2541</v>
      </c>
      <c r="BV711" s="28">
        <f t="shared" si="656"/>
        <v>5</v>
      </c>
      <c r="BW711" s="28">
        <f t="shared" si="657"/>
        <v>5</v>
      </c>
      <c r="BX711" s="13">
        <f t="shared" si="658"/>
        <v>596</v>
      </c>
      <c r="BY711" s="13">
        <f t="shared" si="659"/>
        <v>596</v>
      </c>
      <c r="BZ711" s="13">
        <f t="shared" si="660"/>
        <v>236</v>
      </c>
      <c r="CA711" s="13">
        <f t="shared" si="661"/>
        <v>236</v>
      </c>
      <c r="CB711" s="13">
        <f t="shared" si="662"/>
        <v>140656</v>
      </c>
      <c r="CC711" s="62" t="str">
        <f t="shared" si="663"/>
        <v/>
      </c>
      <c r="CD711" s="13">
        <f t="shared" si="664"/>
        <v>596</v>
      </c>
      <c r="CE711" s="13">
        <f t="shared" si="665"/>
        <v>596</v>
      </c>
      <c r="CF711" s="13">
        <f t="shared" si="666"/>
        <v>236</v>
      </c>
      <c r="CG711" s="13">
        <f t="shared" si="667"/>
        <v>236</v>
      </c>
      <c r="CH711" s="28">
        <f t="shared" si="668"/>
        <v>140656</v>
      </c>
      <c r="CI711" s="62" t="str">
        <f t="shared" si="669"/>
        <v/>
      </c>
      <c r="CJ711" s="59">
        <f t="shared" si="670"/>
        <v>0</v>
      </c>
      <c r="CL711" s="63">
        <v>6000</v>
      </c>
      <c r="CM711" s="63">
        <f t="shared" si="671"/>
        <v>0</v>
      </c>
      <c r="CN711" s="63">
        <f t="shared" si="672"/>
        <v>5</v>
      </c>
      <c r="CO711" s="63">
        <f t="shared" si="673"/>
        <v>1200</v>
      </c>
      <c r="CP711" s="13">
        <f t="shared" si="674"/>
        <v>1200</v>
      </c>
      <c r="CQ711" s="70">
        <f t="shared" si="675"/>
        <v>8.3333333333333339E-4</v>
      </c>
      <c r="CR711" s="69">
        <f t="shared" si="636"/>
        <v>1.6666666666666668E-3</v>
      </c>
    </row>
    <row r="712" spans="1:96" hidden="1" x14ac:dyDescent="0.25">
      <c r="A712" s="10">
        <v>3</v>
      </c>
      <c r="B712" s="8" t="s">
        <v>1701</v>
      </c>
      <c r="C712" s="10" t="s">
        <v>1702</v>
      </c>
      <c r="D712" s="10" t="s">
        <v>2270</v>
      </c>
      <c r="E712" s="10" t="s">
        <v>52</v>
      </c>
      <c r="F712" s="12">
        <f t="shared" si="644"/>
        <v>1</v>
      </c>
      <c r="G712" s="10">
        <v>1</v>
      </c>
      <c r="H712" s="10">
        <f>G712*$H$711</f>
        <v>2</v>
      </c>
      <c r="I712" s="10">
        <v>1</v>
      </c>
      <c r="J712" s="8" t="s">
        <v>1676</v>
      </c>
      <c r="K712" s="8" t="s">
        <v>34</v>
      </c>
      <c r="L712" s="10" t="s">
        <v>110</v>
      </c>
      <c r="M712" s="8" t="s">
        <v>35</v>
      </c>
      <c r="N712" s="10" t="s">
        <v>1703</v>
      </c>
      <c r="O712" s="28" t="s">
        <v>41</v>
      </c>
      <c r="P712" s="28" t="s">
        <v>41</v>
      </c>
      <c r="Q712" s="28" t="s">
        <v>124</v>
      </c>
      <c r="R712" s="30">
        <v>66.501000000000005</v>
      </c>
      <c r="S712" s="30">
        <v>5.09</v>
      </c>
      <c r="T712" s="30"/>
      <c r="U712" s="30">
        <v>9.8000000000000004E-2</v>
      </c>
      <c r="V712" s="8">
        <f t="shared" si="645"/>
        <v>1689.1254000000001</v>
      </c>
      <c r="W712" s="8">
        <f t="shared" si="646"/>
        <v>129.286</v>
      </c>
      <c r="X712" s="8">
        <f t="shared" si="647"/>
        <v>0</v>
      </c>
      <c r="Y712" s="33">
        <f t="shared" si="648"/>
        <v>2.4891999999999999</v>
      </c>
      <c r="Z712" s="28" t="s">
        <v>56</v>
      </c>
      <c r="AA712" s="28" t="s">
        <v>57</v>
      </c>
      <c r="AB712" s="61" t="s">
        <v>124</v>
      </c>
      <c r="AC712" s="31" t="s">
        <v>125</v>
      </c>
      <c r="AD712" s="50">
        <f t="shared" si="649"/>
        <v>2</v>
      </c>
      <c r="AE712" s="31"/>
      <c r="AF712" s="51">
        <v>14</v>
      </c>
      <c r="AG712" s="51">
        <f t="shared" si="677"/>
        <v>8.4</v>
      </c>
      <c r="AH712" s="51">
        <f t="shared" si="643"/>
        <v>42</v>
      </c>
      <c r="AI712" s="52" t="s">
        <v>2497</v>
      </c>
      <c r="AJ712" s="52" t="s">
        <v>2498</v>
      </c>
      <c r="AK712" s="53">
        <f t="shared" si="678"/>
        <v>0.43676053292880002</v>
      </c>
      <c r="AL712" s="54">
        <f t="shared" si="679"/>
        <v>0.11904761904761904</v>
      </c>
      <c r="AM712" s="54">
        <f t="shared" si="680"/>
        <v>2.3809523809523808E-2</v>
      </c>
      <c r="AN712" s="55">
        <f t="shared" si="681"/>
        <v>0.10399060307828571</v>
      </c>
      <c r="AO712" s="55">
        <f t="shared" si="682"/>
        <v>2.0798120615657143E-2</v>
      </c>
      <c r="AP712" s="53">
        <v>7.1</v>
      </c>
      <c r="AQ712" s="53">
        <f t="shared" si="650"/>
        <v>4.26</v>
      </c>
      <c r="AR712" s="53">
        <f t="shared" si="651"/>
        <v>21.299999999999997</v>
      </c>
      <c r="AS712" s="56">
        <f t="shared" si="652"/>
        <v>4.6948356807511742E-2</v>
      </c>
      <c r="AT712" s="56">
        <f t="shared" si="683"/>
        <v>0.23474178403755869</v>
      </c>
      <c r="AU712" s="56">
        <f t="shared" si="653"/>
        <v>0.176056338028169</v>
      </c>
      <c r="AV712" s="56">
        <f t="shared" si="684"/>
        <v>5.8685446009389672E-2</v>
      </c>
      <c r="AW712" s="57" t="s">
        <v>2511</v>
      </c>
      <c r="AX712" s="57" t="s">
        <v>2512</v>
      </c>
      <c r="AY712" s="57" t="s">
        <v>2513</v>
      </c>
      <c r="AZ712" s="58">
        <f t="shared" si="685"/>
        <v>0.43676053292880002</v>
      </c>
      <c r="BA712" s="59">
        <f t="shared" ref="BA712:BA775" si="689">IF(AW712&lt;&gt;0,((AV712*AD712*AK712)/2),0)</f>
        <v>2.5631486674225355E-2</v>
      </c>
      <c r="BB712" s="59">
        <f t="shared" ref="BB712:BB775" si="690">IF(AX712&lt;&gt;0,((AD712*AU712*AZ712)/2),0)</f>
        <v>7.6894460022676053E-2</v>
      </c>
      <c r="BC712" s="59">
        <f t="shared" ref="BC712:BC775" si="691">IF(AY712&lt;&gt;0,((AD712*AS712*AZ712)/2),0)</f>
        <v>2.0505189339380284E-2</v>
      </c>
      <c r="BD712" s="60">
        <f t="shared" si="686"/>
        <v>0.125</v>
      </c>
      <c r="BE712" s="59">
        <f t="shared" si="687"/>
        <v>0.25</v>
      </c>
      <c r="BQ712" s="61">
        <v>3000</v>
      </c>
      <c r="BR712" s="61">
        <v>1200</v>
      </c>
      <c r="BS712" s="28">
        <f t="shared" si="654"/>
        <v>2980</v>
      </c>
      <c r="BT712" s="28">
        <f t="shared" si="655"/>
        <v>1180</v>
      </c>
      <c r="BU712" s="28" t="s">
        <v>2541</v>
      </c>
      <c r="BV712" s="28">
        <f t="shared" si="656"/>
        <v>1694.1254000000001</v>
      </c>
      <c r="BW712" s="28">
        <f t="shared" si="657"/>
        <v>134.286</v>
      </c>
      <c r="BX712" s="13">
        <f t="shared" si="658"/>
        <v>1.7590197278194399</v>
      </c>
      <c r="BY712" s="13">
        <f t="shared" si="659"/>
        <v>1</v>
      </c>
      <c r="BZ712" s="13">
        <f t="shared" si="660"/>
        <v>8.787215346350326</v>
      </c>
      <c r="CA712" s="13">
        <f t="shared" si="661"/>
        <v>8</v>
      </c>
      <c r="CB712" s="13">
        <f t="shared" si="662"/>
        <v>8</v>
      </c>
      <c r="CC712" s="62">
        <f t="shared" si="663"/>
        <v>0.125</v>
      </c>
      <c r="CD712" s="13">
        <f t="shared" si="664"/>
        <v>22.191442145867775</v>
      </c>
      <c r="CE712" s="13">
        <f t="shared" si="665"/>
        <v>22</v>
      </c>
      <c r="CF712" s="13">
        <f t="shared" si="666"/>
        <v>0.69652459021038227</v>
      </c>
      <c r="CG712" s="13">
        <f t="shared" si="667"/>
        <v>0</v>
      </c>
      <c r="CH712" s="28">
        <f t="shared" si="668"/>
        <v>0</v>
      </c>
      <c r="CI712" s="62">
        <f t="shared" si="669"/>
        <v>1</v>
      </c>
      <c r="CJ712" s="59">
        <f t="shared" si="670"/>
        <v>0.125</v>
      </c>
      <c r="CL712" s="63">
        <v>6000</v>
      </c>
      <c r="CM712" s="63">
        <f t="shared" si="671"/>
        <v>1689.1254000000001</v>
      </c>
      <c r="CN712" s="63">
        <f t="shared" si="672"/>
        <v>1694.1254000000001</v>
      </c>
      <c r="CO712" s="63">
        <f t="shared" si="673"/>
        <v>3.5416504586968589</v>
      </c>
      <c r="CP712" s="13">
        <f t="shared" si="674"/>
        <v>3</v>
      </c>
      <c r="CQ712" s="70">
        <f t="shared" si="675"/>
        <v>0.33333333333333331</v>
      </c>
      <c r="CR712" s="69">
        <f t="shared" si="636"/>
        <v>0.66666666666666663</v>
      </c>
    </row>
    <row r="713" spans="1:96" hidden="1" x14ac:dyDescent="0.25">
      <c r="A713" s="10">
        <v>3</v>
      </c>
      <c r="B713" s="8" t="s">
        <v>1701</v>
      </c>
      <c r="C713" s="10" t="s">
        <v>712</v>
      </c>
      <c r="D713" s="10" t="s">
        <v>714</v>
      </c>
      <c r="E713" s="10" t="s">
        <v>52</v>
      </c>
      <c r="F713" s="12">
        <f t="shared" si="644"/>
        <v>3</v>
      </c>
      <c r="G713" s="10">
        <v>3</v>
      </c>
      <c r="H713" s="10">
        <f t="shared" ref="H713:H715" si="692">G713*$H$711</f>
        <v>6</v>
      </c>
      <c r="I713" s="10">
        <v>2</v>
      </c>
      <c r="J713" s="8" t="s">
        <v>713</v>
      </c>
      <c r="K713" s="8" t="s">
        <v>34</v>
      </c>
      <c r="L713" s="10" t="s">
        <v>89</v>
      </c>
      <c r="M713" s="8" t="s">
        <v>35</v>
      </c>
      <c r="N713" s="10" t="s">
        <v>714</v>
      </c>
      <c r="O713" s="28" t="s">
        <v>41</v>
      </c>
      <c r="P713" s="28" t="s">
        <v>41</v>
      </c>
      <c r="Q713" s="28" t="s">
        <v>79</v>
      </c>
      <c r="R713" s="30">
        <v>17.984251968503937</v>
      </c>
      <c r="S713" s="30">
        <v>0.3125</v>
      </c>
      <c r="T713" s="30"/>
      <c r="U713" s="30">
        <v>0.3125</v>
      </c>
      <c r="V713" s="8">
        <f t="shared" si="645"/>
        <v>456.79999999999995</v>
      </c>
      <c r="W713" s="8">
        <f t="shared" si="646"/>
        <v>7.9375</v>
      </c>
      <c r="X713" s="8">
        <f t="shared" si="647"/>
        <v>0</v>
      </c>
      <c r="Y713" s="33">
        <f t="shared" si="648"/>
        <v>7.9375</v>
      </c>
      <c r="Z713" s="28" t="s">
        <v>80</v>
      </c>
      <c r="AA713" s="28" t="s">
        <v>81</v>
      </c>
      <c r="AB713" s="61" t="s">
        <v>79</v>
      </c>
      <c r="AC713" s="31" t="s">
        <v>82</v>
      </c>
      <c r="AD713" s="50">
        <f t="shared" si="649"/>
        <v>6</v>
      </c>
      <c r="AE713" s="31"/>
      <c r="AF713" s="51">
        <v>14</v>
      </c>
      <c r="AG713" s="51">
        <f t="shared" si="677"/>
        <v>8.4</v>
      </c>
      <c r="AH713" s="51">
        <f t="shared" si="643"/>
        <v>42</v>
      </c>
      <c r="AI713" s="52" t="s">
        <v>2497</v>
      </c>
      <c r="AJ713" s="52" t="s">
        <v>2498</v>
      </c>
      <c r="AK713" s="53">
        <f t="shared" si="678"/>
        <v>7.2516999999999989E-3</v>
      </c>
      <c r="AL713" s="54">
        <f t="shared" si="679"/>
        <v>0.11904761904761904</v>
      </c>
      <c r="AM713" s="54">
        <f t="shared" si="680"/>
        <v>2.3809523809523808E-2</v>
      </c>
      <c r="AN713" s="55">
        <f t="shared" si="681"/>
        <v>5.1797857142857132E-3</v>
      </c>
      <c r="AO713" s="55">
        <f t="shared" si="682"/>
        <v>1.0359571428571427E-3</v>
      </c>
      <c r="AP713" s="53">
        <v>7.1</v>
      </c>
      <c r="AQ713" s="53">
        <f t="shared" si="650"/>
        <v>4.26</v>
      </c>
      <c r="AR713" s="53">
        <f t="shared" si="651"/>
        <v>21.299999999999997</v>
      </c>
      <c r="AS713" s="56">
        <f t="shared" si="652"/>
        <v>4.6948356807511742E-2</v>
      </c>
      <c r="AT713" s="56">
        <f t="shared" si="683"/>
        <v>0.23474178403755869</v>
      </c>
      <c r="AU713" s="56">
        <f t="shared" si="653"/>
        <v>0.176056338028169</v>
      </c>
      <c r="AV713" s="56">
        <f t="shared" si="684"/>
        <v>5.8685446009389672E-2</v>
      </c>
      <c r="AW713" s="57" t="s">
        <v>2511</v>
      </c>
      <c r="AX713" s="57" t="s">
        <v>2512</v>
      </c>
      <c r="AY713" s="57" t="s">
        <v>2513</v>
      </c>
      <c r="AZ713" s="58">
        <f t="shared" si="685"/>
        <v>7.2516999999999989E-3</v>
      </c>
      <c r="BA713" s="59">
        <f t="shared" si="689"/>
        <v>1.276707746478873E-3</v>
      </c>
      <c r="BB713" s="59">
        <f t="shared" si="690"/>
        <v>3.8301232394366189E-3</v>
      </c>
      <c r="BC713" s="59">
        <f t="shared" si="691"/>
        <v>1.0213661971830985E-3</v>
      </c>
      <c r="BD713" s="60">
        <f t="shared" si="686"/>
        <v>1.8315018315018315E-3</v>
      </c>
      <c r="BE713" s="59">
        <f t="shared" si="687"/>
        <v>1.0989010989010988E-2</v>
      </c>
      <c r="BQ713" s="61">
        <v>3000</v>
      </c>
      <c r="BR713" s="61">
        <v>1200</v>
      </c>
      <c r="BS713" s="28">
        <f t="shared" si="654"/>
        <v>2980</v>
      </c>
      <c r="BT713" s="28">
        <f t="shared" si="655"/>
        <v>1180</v>
      </c>
      <c r="BU713" s="28" t="s">
        <v>2541</v>
      </c>
      <c r="BV713" s="28">
        <f t="shared" si="656"/>
        <v>461.79999999999995</v>
      </c>
      <c r="BW713" s="28">
        <f t="shared" si="657"/>
        <v>12.9375</v>
      </c>
      <c r="BX713" s="13">
        <f t="shared" si="658"/>
        <v>6.4530099610220883</v>
      </c>
      <c r="BY713" s="13">
        <f t="shared" si="659"/>
        <v>6</v>
      </c>
      <c r="BZ713" s="13">
        <f t="shared" si="660"/>
        <v>91.207729468599027</v>
      </c>
      <c r="CA713" s="13">
        <f t="shared" si="661"/>
        <v>91</v>
      </c>
      <c r="CB713" s="13">
        <f t="shared" si="662"/>
        <v>546</v>
      </c>
      <c r="CC713" s="62">
        <f t="shared" si="663"/>
        <v>1.8315018315018315E-3</v>
      </c>
      <c r="CD713" s="13">
        <f t="shared" si="664"/>
        <v>230.33816425120773</v>
      </c>
      <c r="CE713" s="13">
        <f t="shared" si="665"/>
        <v>230</v>
      </c>
      <c r="CF713" s="13">
        <f t="shared" si="666"/>
        <v>2.5552187093980079</v>
      </c>
      <c r="CG713" s="13">
        <f t="shared" si="667"/>
        <v>2</v>
      </c>
      <c r="CH713" s="28">
        <f t="shared" si="668"/>
        <v>460</v>
      </c>
      <c r="CI713" s="62">
        <f t="shared" si="669"/>
        <v>2.1739130434782609E-3</v>
      </c>
      <c r="CJ713" s="59">
        <f t="shared" si="670"/>
        <v>1.8315018315018315E-3</v>
      </c>
      <c r="CL713" s="63">
        <v>6000</v>
      </c>
      <c r="CM713" s="63">
        <f t="shared" si="671"/>
        <v>456.79999999999995</v>
      </c>
      <c r="CN713" s="63">
        <f t="shared" si="672"/>
        <v>461.79999999999995</v>
      </c>
      <c r="CO713" s="63">
        <f t="shared" si="673"/>
        <v>12.992637505413601</v>
      </c>
      <c r="CP713" s="13">
        <f t="shared" si="674"/>
        <v>12</v>
      </c>
      <c r="CQ713" s="70">
        <f t="shared" si="675"/>
        <v>8.3333333333333329E-2</v>
      </c>
      <c r="CR713" s="69">
        <f t="shared" si="636"/>
        <v>0.5</v>
      </c>
    </row>
    <row r="714" spans="1:96" hidden="1" x14ac:dyDescent="0.25">
      <c r="A714" s="10">
        <v>3</v>
      </c>
      <c r="B714" s="8" t="s">
        <v>1701</v>
      </c>
      <c r="C714" s="10" t="s">
        <v>817</v>
      </c>
      <c r="D714" s="10" t="s">
        <v>819</v>
      </c>
      <c r="E714" s="10" t="s">
        <v>52</v>
      </c>
      <c r="F714" s="12">
        <f t="shared" si="644"/>
        <v>5</v>
      </c>
      <c r="G714" s="10">
        <v>2</v>
      </c>
      <c r="H714" s="10">
        <f t="shared" si="692"/>
        <v>4</v>
      </c>
      <c r="I714" s="10">
        <v>3</v>
      </c>
      <c r="J714" s="8" t="s">
        <v>818</v>
      </c>
      <c r="K714" s="8" t="s">
        <v>34</v>
      </c>
      <c r="L714" s="10" t="s">
        <v>89</v>
      </c>
      <c r="M714" s="8" t="s">
        <v>35</v>
      </c>
      <c r="N714" s="10" t="s">
        <v>819</v>
      </c>
      <c r="O714" s="28" t="s">
        <v>41</v>
      </c>
      <c r="P714" s="28" t="s">
        <v>41</v>
      </c>
      <c r="Q714" s="28" t="s">
        <v>79</v>
      </c>
      <c r="R714" s="30">
        <v>16.023622047244096</v>
      </c>
      <c r="S714" s="30">
        <v>0.3125</v>
      </c>
      <c r="T714" s="30"/>
      <c r="U714" s="30">
        <v>0.3125</v>
      </c>
      <c r="V714" s="8">
        <f t="shared" si="645"/>
        <v>407</v>
      </c>
      <c r="W714" s="8">
        <f t="shared" si="646"/>
        <v>7.9375</v>
      </c>
      <c r="X714" s="8">
        <f t="shared" si="647"/>
        <v>0</v>
      </c>
      <c r="Y714" s="33">
        <f t="shared" si="648"/>
        <v>7.9375</v>
      </c>
      <c r="Z714" s="28" t="s">
        <v>80</v>
      </c>
      <c r="AA714" s="28" t="s">
        <v>81</v>
      </c>
      <c r="AB714" s="61" t="s">
        <v>79</v>
      </c>
      <c r="AC714" s="31" t="s">
        <v>82</v>
      </c>
      <c r="AD714" s="50">
        <f t="shared" si="649"/>
        <v>4</v>
      </c>
      <c r="AE714" s="31"/>
      <c r="AF714" s="51">
        <v>14</v>
      </c>
      <c r="AG714" s="51">
        <f t="shared" si="677"/>
        <v>8.4</v>
      </c>
      <c r="AH714" s="51">
        <f t="shared" si="643"/>
        <v>42</v>
      </c>
      <c r="AI714" s="52" t="s">
        <v>2497</v>
      </c>
      <c r="AJ714" s="52" t="s">
        <v>2498</v>
      </c>
      <c r="AK714" s="53">
        <f t="shared" si="678"/>
        <v>6.4611249999999999E-3</v>
      </c>
      <c r="AL714" s="54">
        <f t="shared" si="679"/>
        <v>0.11904761904761904</v>
      </c>
      <c r="AM714" s="54">
        <f t="shared" si="680"/>
        <v>2.3809523809523808E-2</v>
      </c>
      <c r="AN714" s="55">
        <f t="shared" si="681"/>
        <v>3.0767261904761901E-3</v>
      </c>
      <c r="AO714" s="55">
        <f t="shared" si="682"/>
        <v>6.1534523809523808E-4</v>
      </c>
      <c r="AP714" s="53">
        <v>7.1</v>
      </c>
      <c r="AQ714" s="53">
        <f t="shared" si="650"/>
        <v>4.26</v>
      </c>
      <c r="AR714" s="53">
        <f t="shared" si="651"/>
        <v>21.299999999999997</v>
      </c>
      <c r="AS714" s="56">
        <f t="shared" si="652"/>
        <v>4.6948356807511742E-2</v>
      </c>
      <c r="AT714" s="56">
        <f t="shared" si="683"/>
        <v>0.23474178403755869</v>
      </c>
      <c r="AU714" s="56">
        <f t="shared" si="653"/>
        <v>0.176056338028169</v>
      </c>
      <c r="AV714" s="56">
        <f t="shared" si="684"/>
        <v>5.8685446009389672E-2</v>
      </c>
      <c r="AW714" s="57" t="s">
        <v>2511</v>
      </c>
      <c r="AX714" s="57" t="s">
        <v>2512</v>
      </c>
      <c r="AY714" s="57" t="s">
        <v>2513</v>
      </c>
      <c r="AZ714" s="58">
        <f t="shared" si="685"/>
        <v>6.4611249999999999E-3</v>
      </c>
      <c r="BA714" s="59">
        <f t="shared" si="689"/>
        <v>7.5834800469483572E-4</v>
      </c>
      <c r="BB714" s="59">
        <f t="shared" si="690"/>
        <v>2.2750440140845069E-3</v>
      </c>
      <c r="BC714" s="59">
        <f t="shared" si="691"/>
        <v>6.0667840375586862E-4</v>
      </c>
      <c r="BD714" s="60">
        <f t="shared" si="686"/>
        <v>1.5698587127158557E-3</v>
      </c>
      <c r="BE714" s="59">
        <f t="shared" si="687"/>
        <v>6.2794348508634227E-3</v>
      </c>
      <c r="BQ714" s="61">
        <v>3000</v>
      </c>
      <c r="BR714" s="61">
        <v>1200</v>
      </c>
      <c r="BS714" s="28">
        <f t="shared" si="654"/>
        <v>2980</v>
      </c>
      <c r="BT714" s="28">
        <f t="shared" si="655"/>
        <v>1180</v>
      </c>
      <c r="BU714" s="28" t="s">
        <v>2541</v>
      </c>
      <c r="BV714" s="28">
        <f t="shared" si="656"/>
        <v>412</v>
      </c>
      <c r="BW714" s="28">
        <f t="shared" si="657"/>
        <v>12.9375</v>
      </c>
      <c r="BX714" s="13">
        <f t="shared" si="658"/>
        <v>7.233009708737864</v>
      </c>
      <c r="BY714" s="13">
        <f t="shared" si="659"/>
        <v>7</v>
      </c>
      <c r="BZ714" s="13">
        <f t="shared" si="660"/>
        <v>91.207729468599027</v>
      </c>
      <c r="CA714" s="13">
        <f t="shared" si="661"/>
        <v>91</v>
      </c>
      <c r="CB714" s="13">
        <f t="shared" si="662"/>
        <v>637</v>
      </c>
      <c r="CC714" s="62">
        <f t="shared" si="663"/>
        <v>1.5698587127158557E-3</v>
      </c>
      <c r="CD714" s="13">
        <f t="shared" si="664"/>
        <v>230.33816425120773</v>
      </c>
      <c r="CE714" s="13">
        <f t="shared" si="665"/>
        <v>230</v>
      </c>
      <c r="CF714" s="13">
        <f t="shared" si="666"/>
        <v>2.8640776699029127</v>
      </c>
      <c r="CG714" s="13">
        <f t="shared" si="667"/>
        <v>2</v>
      </c>
      <c r="CH714" s="28">
        <f t="shared" si="668"/>
        <v>460</v>
      </c>
      <c r="CI714" s="62">
        <f t="shared" si="669"/>
        <v>2.1739130434782609E-3</v>
      </c>
      <c r="CJ714" s="59">
        <f t="shared" si="670"/>
        <v>1.5698587127158557E-3</v>
      </c>
      <c r="CL714" s="63">
        <v>6000</v>
      </c>
      <c r="CM714" s="63">
        <f t="shared" si="671"/>
        <v>407</v>
      </c>
      <c r="CN714" s="63">
        <f t="shared" si="672"/>
        <v>412</v>
      </c>
      <c r="CO714" s="63">
        <f t="shared" si="673"/>
        <v>14.563106796116505</v>
      </c>
      <c r="CP714" s="13">
        <f t="shared" si="674"/>
        <v>14</v>
      </c>
      <c r="CQ714" s="70">
        <f t="shared" si="675"/>
        <v>7.1428571428571425E-2</v>
      </c>
      <c r="CR714" s="69">
        <f t="shared" si="636"/>
        <v>0.2857142857142857</v>
      </c>
    </row>
    <row r="715" spans="1:96" hidden="1" x14ac:dyDescent="0.25">
      <c r="A715" s="10">
        <v>3</v>
      </c>
      <c r="B715" s="8" t="s">
        <v>1701</v>
      </c>
      <c r="C715" s="10" t="s">
        <v>703</v>
      </c>
      <c r="D715" s="10" t="s">
        <v>705</v>
      </c>
      <c r="E715" s="10" t="s">
        <v>52</v>
      </c>
      <c r="F715" s="12">
        <f t="shared" si="644"/>
        <v>7</v>
      </c>
      <c r="G715" s="10">
        <v>2</v>
      </c>
      <c r="H715" s="10">
        <f t="shared" si="692"/>
        <v>4</v>
      </c>
      <c r="I715" s="10">
        <v>4</v>
      </c>
      <c r="J715" s="8" t="s">
        <v>704</v>
      </c>
      <c r="K715" s="8" t="s">
        <v>34</v>
      </c>
      <c r="L715" s="10" t="s">
        <v>89</v>
      </c>
      <c r="M715" s="8" t="s">
        <v>35</v>
      </c>
      <c r="N715" s="10" t="s">
        <v>705</v>
      </c>
      <c r="O715" s="28" t="s">
        <v>41</v>
      </c>
      <c r="P715" s="28" t="s">
        <v>41</v>
      </c>
      <c r="Q715" s="28" t="s">
        <v>79</v>
      </c>
      <c r="R715" s="30">
        <v>7.9921259842519685</v>
      </c>
      <c r="S715" s="30">
        <v>0.3125</v>
      </c>
      <c r="T715" s="30"/>
      <c r="U715" s="30">
        <v>0.3125</v>
      </c>
      <c r="V715" s="8">
        <f t="shared" si="645"/>
        <v>203</v>
      </c>
      <c r="W715" s="8">
        <f t="shared" si="646"/>
        <v>7.9375</v>
      </c>
      <c r="X715" s="8">
        <f t="shared" si="647"/>
        <v>0</v>
      </c>
      <c r="Y715" s="33">
        <f t="shared" si="648"/>
        <v>7.9375</v>
      </c>
      <c r="Z715" s="28" t="s">
        <v>80</v>
      </c>
      <c r="AA715" s="28" t="s">
        <v>81</v>
      </c>
      <c r="AB715" s="61" t="s">
        <v>79</v>
      </c>
      <c r="AC715" s="31" t="s">
        <v>82</v>
      </c>
      <c r="AD715" s="50">
        <f t="shared" si="649"/>
        <v>4</v>
      </c>
      <c r="AE715" s="5" t="s">
        <v>1576</v>
      </c>
      <c r="AF715" s="51">
        <v>14</v>
      </c>
      <c r="AG715" s="51">
        <f t="shared" si="677"/>
        <v>8.4</v>
      </c>
      <c r="AH715" s="51">
        <f t="shared" si="643"/>
        <v>42</v>
      </c>
      <c r="AI715" s="52" t="s">
        <v>2497</v>
      </c>
      <c r="AJ715" s="52" t="s">
        <v>2498</v>
      </c>
      <c r="AK715" s="53">
        <f t="shared" si="678"/>
        <v>3.2226249999999998E-3</v>
      </c>
      <c r="AL715" s="54">
        <f t="shared" si="679"/>
        <v>0.11904761904761904</v>
      </c>
      <c r="AM715" s="54">
        <f t="shared" si="680"/>
        <v>2.3809523809523808E-2</v>
      </c>
      <c r="AN715" s="55">
        <f t="shared" si="681"/>
        <v>1.5345833333333331E-3</v>
      </c>
      <c r="AO715" s="55">
        <f t="shared" si="682"/>
        <v>3.0691666666666665E-4</v>
      </c>
      <c r="AP715" s="53">
        <v>7.1</v>
      </c>
      <c r="AQ715" s="53">
        <f t="shared" si="650"/>
        <v>4.26</v>
      </c>
      <c r="AR715" s="53">
        <f t="shared" si="651"/>
        <v>21.299999999999997</v>
      </c>
      <c r="AS715" s="56">
        <f t="shared" si="652"/>
        <v>4.6948356807511742E-2</v>
      </c>
      <c r="AT715" s="56">
        <f t="shared" si="683"/>
        <v>0.23474178403755869</v>
      </c>
      <c r="AU715" s="56">
        <f t="shared" si="653"/>
        <v>0.176056338028169</v>
      </c>
      <c r="AV715" s="56">
        <f t="shared" si="684"/>
        <v>5.8685446009389672E-2</v>
      </c>
      <c r="AW715" s="57" t="s">
        <v>2511</v>
      </c>
      <c r="AX715" s="57" t="s">
        <v>2512</v>
      </c>
      <c r="AY715" s="57" t="s">
        <v>2513</v>
      </c>
      <c r="AZ715" s="58">
        <f t="shared" si="685"/>
        <v>3.2226249999999998E-3</v>
      </c>
      <c r="BA715" s="59">
        <f t="shared" si="689"/>
        <v>3.7824237089201875E-4</v>
      </c>
      <c r="BB715" s="59">
        <f t="shared" si="690"/>
        <v>1.1347271126760563E-3</v>
      </c>
      <c r="BC715" s="59">
        <f t="shared" si="691"/>
        <v>3.0259389671361502E-4</v>
      </c>
      <c r="BD715" s="60">
        <f t="shared" si="686"/>
        <v>7.8492935635792783E-4</v>
      </c>
      <c r="BE715" s="59">
        <f t="shared" si="687"/>
        <v>3.1397174254317113E-3</v>
      </c>
      <c r="BQ715" s="61">
        <v>3000</v>
      </c>
      <c r="BR715" s="61">
        <v>1200</v>
      </c>
      <c r="BS715" s="28">
        <f t="shared" si="654"/>
        <v>2980</v>
      </c>
      <c r="BT715" s="28">
        <f t="shared" si="655"/>
        <v>1180</v>
      </c>
      <c r="BU715" s="28" t="s">
        <v>2541</v>
      </c>
      <c r="BV715" s="28">
        <f t="shared" si="656"/>
        <v>208</v>
      </c>
      <c r="BW715" s="28">
        <f t="shared" si="657"/>
        <v>12.9375</v>
      </c>
      <c r="BX715" s="13">
        <f t="shared" si="658"/>
        <v>14.326923076923077</v>
      </c>
      <c r="BY715" s="13">
        <f t="shared" si="659"/>
        <v>14</v>
      </c>
      <c r="BZ715" s="13">
        <f t="shared" si="660"/>
        <v>91.207729468599027</v>
      </c>
      <c r="CA715" s="13">
        <f t="shared" si="661"/>
        <v>91</v>
      </c>
      <c r="CB715" s="13">
        <f t="shared" si="662"/>
        <v>1274</v>
      </c>
      <c r="CC715" s="62">
        <f t="shared" si="663"/>
        <v>7.8492935635792783E-4</v>
      </c>
      <c r="CD715" s="13">
        <f t="shared" si="664"/>
        <v>230.33816425120773</v>
      </c>
      <c r="CE715" s="13">
        <f t="shared" si="665"/>
        <v>230</v>
      </c>
      <c r="CF715" s="13">
        <f t="shared" si="666"/>
        <v>5.6730769230769234</v>
      </c>
      <c r="CG715" s="13">
        <f t="shared" si="667"/>
        <v>5</v>
      </c>
      <c r="CH715" s="28">
        <f t="shared" si="668"/>
        <v>1150</v>
      </c>
      <c r="CI715" s="62">
        <f t="shared" si="669"/>
        <v>8.6956521739130438E-4</v>
      </c>
      <c r="CJ715" s="59">
        <f t="shared" si="670"/>
        <v>7.8492935635792783E-4</v>
      </c>
      <c r="CL715" s="63">
        <v>6000</v>
      </c>
      <c r="CM715" s="63">
        <f t="shared" si="671"/>
        <v>203</v>
      </c>
      <c r="CN715" s="63">
        <f t="shared" si="672"/>
        <v>208</v>
      </c>
      <c r="CO715" s="63">
        <f t="shared" si="673"/>
        <v>28.846153846153847</v>
      </c>
      <c r="CP715" s="13">
        <f t="shared" si="674"/>
        <v>28</v>
      </c>
      <c r="CQ715" s="70">
        <f t="shared" si="675"/>
        <v>3.5714285714285712E-2</v>
      </c>
      <c r="CR715" s="69">
        <f t="shared" si="636"/>
        <v>0.14285714285714285</v>
      </c>
    </row>
    <row r="716" spans="1:96" hidden="1" x14ac:dyDescent="0.25">
      <c r="A716" s="36">
        <v>2</v>
      </c>
      <c r="B716" s="37" t="s">
        <v>37</v>
      </c>
      <c r="C716" s="36" t="s">
        <v>1704</v>
      </c>
      <c r="D716" s="36" t="s">
        <v>2270</v>
      </c>
      <c r="E716" s="36" t="s">
        <v>32</v>
      </c>
      <c r="F716" s="38">
        <f t="shared" si="644"/>
        <v>1</v>
      </c>
      <c r="G716" s="36">
        <v>1</v>
      </c>
      <c r="H716" s="36">
        <f t="shared" ref="H716" si="693">G716*$H$3</f>
        <v>1</v>
      </c>
      <c r="I716" s="36">
        <v>230</v>
      </c>
      <c r="J716" s="37" t="s">
        <v>1687</v>
      </c>
      <c r="K716" s="37" t="s">
        <v>34</v>
      </c>
      <c r="L716" s="36">
        <v>0</v>
      </c>
      <c r="M716" s="37" t="s">
        <v>35</v>
      </c>
      <c r="N716" s="36" t="s">
        <v>1705</v>
      </c>
      <c r="O716" s="28" t="s">
        <v>41</v>
      </c>
      <c r="P716" s="28" t="s">
        <v>41</v>
      </c>
      <c r="Q716" s="28"/>
      <c r="R716" s="30"/>
      <c r="S716" s="30"/>
      <c r="T716" s="30"/>
      <c r="U716" s="30"/>
      <c r="V716" s="8">
        <f t="shared" si="645"/>
        <v>0</v>
      </c>
      <c r="W716" s="8">
        <f t="shared" si="646"/>
        <v>0</v>
      </c>
      <c r="X716" s="8">
        <f t="shared" si="647"/>
        <v>0</v>
      </c>
      <c r="Y716" s="33">
        <f t="shared" si="648"/>
        <v>0</v>
      </c>
      <c r="Z716" s="28"/>
      <c r="AA716" s="28"/>
      <c r="AB716" s="28">
        <v>0</v>
      </c>
      <c r="AC716" s="31"/>
      <c r="AD716" s="50">
        <f t="shared" si="649"/>
        <v>1</v>
      </c>
      <c r="AE716" s="31"/>
      <c r="AF716" s="51">
        <v>14</v>
      </c>
      <c r="AG716" s="51">
        <f t="shared" si="677"/>
        <v>8.4</v>
      </c>
      <c r="AH716" s="51">
        <f t="shared" si="643"/>
        <v>42</v>
      </c>
      <c r="AI716" s="52" t="s">
        <v>2497</v>
      </c>
      <c r="AJ716" s="52" t="s">
        <v>2498</v>
      </c>
      <c r="AK716" s="53">
        <f t="shared" si="678"/>
        <v>0</v>
      </c>
      <c r="AL716" s="54">
        <f t="shared" si="679"/>
        <v>0.11904761904761904</v>
      </c>
      <c r="AM716" s="54">
        <f t="shared" si="680"/>
        <v>2.3809523809523808E-2</v>
      </c>
      <c r="AN716" s="55">
        <f t="shared" si="681"/>
        <v>0</v>
      </c>
      <c r="AO716" s="55">
        <f t="shared" si="682"/>
        <v>0</v>
      </c>
      <c r="AP716" s="53">
        <v>7.1</v>
      </c>
      <c r="AQ716" s="53">
        <f t="shared" si="650"/>
        <v>4.26</v>
      </c>
      <c r="AR716" s="53">
        <f t="shared" si="651"/>
        <v>21.299999999999997</v>
      </c>
      <c r="AS716" s="56">
        <f t="shared" si="652"/>
        <v>4.6948356807511742E-2</v>
      </c>
      <c r="AT716" s="56">
        <f t="shared" si="683"/>
        <v>0.23474178403755869</v>
      </c>
      <c r="AU716" s="56">
        <f t="shared" si="653"/>
        <v>0.176056338028169</v>
      </c>
      <c r="AV716" s="56">
        <f t="shared" si="684"/>
        <v>5.8685446009389672E-2</v>
      </c>
      <c r="AW716" s="57" t="s">
        <v>2511</v>
      </c>
      <c r="AX716" s="57" t="s">
        <v>2512</v>
      </c>
      <c r="AY716" s="57" t="s">
        <v>2513</v>
      </c>
      <c r="AZ716" s="58">
        <f t="shared" si="685"/>
        <v>0</v>
      </c>
      <c r="BA716" s="59">
        <f t="shared" si="689"/>
        <v>0</v>
      </c>
      <c r="BB716" s="59">
        <f t="shared" si="690"/>
        <v>0</v>
      </c>
      <c r="BC716" s="59">
        <f t="shared" si="691"/>
        <v>0</v>
      </c>
      <c r="BD716" s="60">
        <f t="shared" si="686"/>
        <v>0</v>
      </c>
      <c r="BE716" s="59">
        <f t="shared" si="687"/>
        <v>0</v>
      </c>
      <c r="BQ716" s="61">
        <v>3000</v>
      </c>
      <c r="BR716" s="61">
        <v>1200</v>
      </c>
      <c r="BS716" s="28">
        <f t="shared" si="654"/>
        <v>2980</v>
      </c>
      <c r="BT716" s="28">
        <f t="shared" si="655"/>
        <v>1180</v>
      </c>
      <c r="BU716" s="28" t="s">
        <v>2541</v>
      </c>
      <c r="BV716" s="28">
        <f t="shared" si="656"/>
        <v>5</v>
      </c>
      <c r="BW716" s="28">
        <f t="shared" si="657"/>
        <v>5</v>
      </c>
      <c r="BX716" s="13">
        <f t="shared" si="658"/>
        <v>596</v>
      </c>
      <c r="BY716" s="13">
        <f t="shared" si="659"/>
        <v>596</v>
      </c>
      <c r="BZ716" s="13">
        <f t="shared" si="660"/>
        <v>236</v>
      </c>
      <c r="CA716" s="13">
        <f t="shared" si="661"/>
        <v>236</v>
      </c>
      <c r="CB716" s="13">
        <f t="shared" si="662"/>
        <v>140656</v>
      </c>
      <c r="CC716" s="62" t="str">
        <f t="shared" si="663"/>
        <v/>
      </c>
      <c r="CD716" s="13">
        <f t="shared" si="664"/>
        <v>596</v>
      </c>
      <c r="CE716" s="13">
        <f t="shared" si="665"/>
        <v>596</v>
      </c>
      <c r="CF716" s="13">
        <f t="shared" si="666"/>
        <v>236</v>
      </c>
      <c r="CG716" s="13">
        <f t="shared" si="667"/>
        <v>236</v>
      </c>
      <c r="CH716" s="28">
        <f t="shared" si="668"/>
        <v>140656</v>
      </c>
      <c r="CI716" s="62" t="str">
        <f t="shared" si="669"/>
        <v/>
      </c>
      <c r="CJ716" s="59">
        <f t="shared" si="670"/>
        <v>0</v>
      </c>
      <c r="CL716" s="63">
        <v>6000</v>
      </c>
      <c r="CM716" s="63">
        <f t="shared" si="671"/>
        <v>0</v>
      </c>
      <c r="CN716" s="63">
        <f t="shared" si="672"/>
        <v>5</v>
      </c>
      <c r="CO716" s="63">
        <f t="shared" si="673"/>
        <v>1200</v>
      </c>
      <c r="CP716" s="13">
        <f t="shared" si="674"/>
        <v>1200</v>
      </c>
      <c r="CQ716" s="70">
        <f t="shared" si="675"/>
        <v>8.3333333333333339E-4</v>
      </c>
      <c r="CR716" s="69">
        <f t="shared" si="636"/>
        <v>8.3333333333333339E-4</v>
      </c>
    </row>
    <row r="717" spans="1:96" hidden="1" x14ac:dyDescent="0.25">
      <c r="A717" s="10">
        <v>3</v>
      </c>
      <c r="B717" s="8" t="s">
        <v>1706</v>
      </c>
      <c r="C717" s="10" t="s">
        <v>1707</v>
      </c>
      <c r="D717" s="10" t="s">
        <v>2270</v>
      </c>
      <c r="E717" s="10" t="s">
        <v>32</v>
      </c>
      <c r="F717" s="12">
        <f t="shared" si="644"/>
        <v>1</v>
      </c>
      <c r="G717" s="10">
        <v>1</v>
      </c>
      <c r="H717" s="10">
        <f>G717*$H$716</f>
        <v>1</v>
      </c>
      <c r="I717" s="10">
        <v>10</v>
      </c>
      <c r="J717" s="8" t="s">
        <v>1687</v>
      </c>
      <c r="K717" s="8" t="s">
        <v>34</v>
      </c>
      <c r="L717" s="10">
        <v>0</v>
      </c>
      <c r="M717" s="8" t="s">
        <v>35</v>
      </c>
      <c r="N717" s="10" t="s">
        <v>1708</v>
      </c>
      <c r="O717" s="28" t="s">
        <v>41</v>
      </c>
      <c r="P717" s="28" t="s">
        <v>41</v>
      </c>
      <c r="Q717" s="28"/>
      <c r="R717" s="30"/>
      <c r="S717" s="30"/>
      <c r="T717" s="30"/>
      <c r="U717" s="30"/>
      <c r="V717" s="8">
        <f t="shared" si="645"/>
        <v>0</v>
      </c>
      <c r="W717" s="8">
        <f t="shared" si="646"/>
        <v>0</v>
      </c>
      <c r="X717" s="8">
        <f t="shared" si="647"/>
        <v>0</v>
      </c>
      <c r="Y717" s="33">
        <f t="shared" si="648"/>
        <v>0</v>
      </c>
      <c r="Z717" s="28"/>
      <c r="AA717" s="28"/>
      <c r="AB717" s="28">
        <v>0</v>
      </c>
      <c r="AC717" s="31"/>
      <c r="AD717" s="50">
        <f t="shared" si="649"/>
        <v>1</v>
      </c>
      <c r="AE717" s="31"/>
      <c r="AF717" s="51">
        <v>14</v>
      </c>
      <c r="AG717" s="51">
        <f t="shared" si="677"/>
        <v>8.4</v>
      </c>
      <c r="AH717" s="51">
        <f t="shared" si="643"/>
        <v>42</v>
      </c>
      <c r="AI717" s="52" t="s">
        <v>2497</v>
      </c>
      <c r="AJ717" s="52" t="s">
        <v>2498</v>
      </c>
      <c r="AK717" s="53">
        <f t="shared" si="678"/>
        <v>0</v>
      </c>
      <c r="AL717" s="54">
        <f t="shared" si="679"/>
        <v>0.11904761904761904</v>
      </c>
      <c r="AM717" s="54">
        <f t="shared" si="680"/>
        <v>2.3809523809523808E-2</v>
      </c>
      <c r="AN717" s="55">
        <f t="shared" si="681"/>
        <v>0</v>
      </c>
      <c r="AO717" s="55">
        <f t="shared" si="682"/>
        <v>0</v>
      </c>
      <c r="AP717" s="53">
        <v>7.1</v>
      </c>
      <c r="AQ717" s="53">
        <f t="shared" si="650"/>
        <v>4.26</v>
      </c>
      <c r="AR717" s="53">
        <f t="shared" si="651"/>
        <v>21.299999999999997</v>
      </c>
      <c r="AS717" s="56">
        <f t="shared" si="652"/>
        <v>4.6948356807511742E-2</v>
      </c>
      <c r="AT717" s="56">
        <f t="shared" si="683"/>
        <v>0.23474178403755869</v>
      </c>
      <c r="AU717" s="56">
        <f t="shared" si="653"/>
        <v>0.176056338028169</v>
      </c>
      <c r="AV717" s="56">
        <f t="shared" si="684"/>
        <v>5.8685446009389672E-2</v>
      </c>
      <c r="AW717" s="57" t="s">
        <v>2511</v>
      </c>
      <c r="AX717" s="57" t="s">
        <v>2512</v>
      </c>
      <c r="AY717" s="57" t="s">
        <v>2513</v>
      </c>
      <c r="AZ717" s="58">
        <f t="shared" si="685"/>
        <v>0</v>
      </c>
      <c r="BA717" s="59">
        <f t="shared" si="689"/>
        <v>0</v>
      </c>
      <c r="BB717" s="59">
        <f t="shared" si="690"/>
        <v>0</v>
      </c>
      <c r="BC717" s="59">
        <f t="shared" si="691"/>
        <v>0</v>
      </c>
      <c r="BD717" s="60">
        <f t="shared" si="686"/>
        <v>0</v>
      </c>
      <c r="BE717" s="59">
        <f t="shared" si="687"/>
        <v>0</v>
      </c>
      <c r="BQ717" s="61">
        <v>3000</v>
      </c>
      <c r="BR717" s="61">
        <v>1200</v>
      </c>
      <c r="BS717" s="28">
        <f t="shared" si="654"/>
        <v>2980</v>
      </c>
      <c r="BT717" s="28">
        <f t="shared" si="655"/>
        <v>1180</v>
      </c>
      <c r="BU717" s="28" t="s">
        <v>2541</v>
      </c>
      <c r="BV717" s="28">
        <f t="shared" si="656"/>
        <v>5</v>
      </c>
      <c r="BW717" s="28">
        <f t="shared" si="657"/>
        <v>5</v>
      </c>
      <c r="BX717" s="13">
        <f t="shared" si="658"/>
        <v>596</v>
      </c>
      <c r="BY717" s="13">
        <f t="shared" si="659"/>
        <v>596</v>
      </c>
      <c r="BZ717" s="13">
        <f t="shared" si="660"/>
        <v>236</v>
      </c>
      <c r="CA717" s="13">
        <f t="shared" si="661"/>
        <v>236</v>
      </c>
      <c r="CB717" s="13">
        <f t="shared" si="662"/>
        <v>140656</v>
      </c>
      <c r="CC717" s="62" t="str">
        <f t="shared" si="663"/>
        <v/>
      </c>
      <c r="CD717" s="13">
        <f t="shared" si="664"/>
        <v>596</v>
      </c>
      <c r="CE717" s="13">
        <f t="shared" si="665"/>
        <v>596</v>
      </c>
      <c r="CF717" s="13">
        <f t="shared" si="666"/>
        <v>236</v>
      </c>
      <c r="CG717" s="13">
        <f t="shared" si="667"/>
        <v>236</v>
      </c>
      <c r="CH717" s="28">
        <f t="shared" si="668"/>
        <v>140656</v>
      </c>
      <c r="CI717" s="62" t="str">
        <f t="shared" si="669"/>
        <v/>
      </c>
      <c r="CJ717" s="59">
        <f t="shared" si="670"/>
        <v>0</v>
      </c>
      <c r="CL717" s="63">
        <v>6000</v>
      </c>
      <c r="CM717" s="63">
        <f t="shared" si="671"/>
        <v>0</v>
      </c>
      <c r="CN717" s="63">
        <f t="shared" si="672"/>
        <v>5</v>
      </c>
      <c r="CO717" s="63">
        <f t="shared" si="673"/>
        <v>1200</v>
      </c>
      <c r="CP717" s="13">
        <f t="shared" si="674"/>
        <v>1200</v>
      </c>
      <c r="CQ717" s="70">
        <f t="shared" si="675"/>
        <v>8.3333333333333339E-4</v>
      </c>
      <c r="CR717" s="69">
        <f t="shared" si="636"/>
        <v>8.3333333333333339E-4</v>
      </c>
    </row>
    <row r="718" spans="1:96" hidden="1" x14ac:dyDescent="0.25">
      <c r="A718" s="13">
        <v>4</v>
      </c>
      <c r="B718" s="14" t="s">
        <v>1709</v>
      </c>
      <c r="C718" s="13" t="s">
        <v>1710</v>
      </c>
      <c r="D718" s="13" t="s">
        <v>2270</v>
      </c>
      <c r="E718" s="13" t="s">
        <v>52</v>
      </c>
      <c r="F718" s="15">
        <f t="shared" si="644"/>
        <v>1</v>
      </c>
      <c r="G718" s="13">
        <v>1</v>
      </c>
      <c r="H718" s="13">
        <f>G718*$H$717</f>
        <v>1</v>
      </c>
      <c r="I718" s="13">
        <v>1</v>
      </c>
      <c r="J718" s="14" t="s">
        <v>1694</v>
      </c>
      <c r="K718" s="14" t="s">
        <v>34</v>
      </c>
      <c r="L718" s="13">
        <v>0</v>
      </c>
      <c r="M718" s="14" t="s">
        <v>35</v>
      </c>
      <c r="N718" s="13" t="s">
        <v>1711</v>
      </c>
      <c r="O718" s="28" t="s">
        <v>41</v>
      </c>
      <c r="P718" s="28" t="s">
        <v>41</v>
      </c>
      <c r="Q718" s="28" t="s">
        <v>1178</v>
      </c>
      <c r="R718" s="30">
        <v>57.94</v>
      </c>
      <c r="S718" s="30">
        <v>6.2960000000000003</v>
      </c>
      <c r="T718" s="30"/>
      <c r="U718" s="30">
        <v>0.17699999999999999</v>
      </c>
      <c r="V718" s="8">
        <f t="shared" si="645"/>
        <v>1471.6759999999999</v>
      </c>
      <c r="W718" s="8">
        <f t="shared" si="646"/>
        <v>159.91839999999999</v>
      </c>
      <c r="X718" s="8">
        <f t="shared" si="647"/>
        <v>0</v>
      </c>
      <c r="Y718" s="33">
        <f t="shared" si="648"/>
        <v>4.4957999999999991</v>
      </c>
      <c r="Z718" s="28" t="s">
        <v>56</v>
      </c>
      <c r="AA718" s="28" t="s">
        <v>57</v>
      </c>
      <c r="AB718" s="61" t="s">
        <v>1178</v>
      </c>
      <c r="AC718" s="31" t="s">
        <v>1179</v>
      </c>
      <c r="AD718" s="50">
        <f t="shared" si="649"/>
        <v>1</v>
      </c>
      <c r="AE718" s="31"/>
      <c r="AF718" s="51">
        <v>14</v>
      </c>
      <c r="AG718" s="51">
        <f t="shared" si="677"/>
        <v>8.4</v>
      </c>
      <c r="AH718" s="51">
        <f t="shared" si="643"/>
        <v>42</v>
      </c>
      <c r="AI718" s="52" t="s">
        <v>2497</v>
      </c>
      <c r="AJ718" s="52" t="s">
        <v>2498</v>
      </c>
      <c r="AK718" s="53">
        <f t="shared" si="678"/>
        <v>0.47069614247679997</v>
      </c>
      <c r="AL718" s="54">
        <f t="shared" si="679"/>
        <v>0.11904761904761904</v>
      </c>
      <c r="AM718" s="54">
        <f t="shared" si="680"/>
        <v>2.3809523809523808E-2</v>
      </c>
      <c r="AN718" s="55">
        <f t="shared" si="681"/>
        <v>5.60352550567619E-2</v>
      </c>
      <c r="AO718" s="55">
        <f t="shared" si="682"/>
        <v>1.120705101135238E-2</v>
      </c>
      <c r="AP718" s="53">
        <v>7.1</v>
      </c>
      <c r="AQ718" s="53">
        <f t="shared" si="650"/>
        <v>4.26</v>
      </c>
      <c r="AR718" s="53">
        <f t="shared" si="651"/>
        <v>21.299999999999997</v>
      </c>
      <c r="AS718" s="56">
        <f t="shared" si="652"/>
        <v>4.6948356807511742E-2</v>
      </c>
      <c r="AT718" s="56">
        <f t="shared" si="683"/>
        <v>0.23474178403755869</v>
      </c>
      <c r="AU718" s="56">
        <f t="shared" si="653"/>
        <v>0.176056338028169</v>
      </c>
      <c r="AV718" s="56">
        <f t="shared" si="684"/>
        <v>5.8685446009389672E-2</v>
      </c>
      <c r="AW718" s="57" t="s">
        <v>2511</v>
      </c>
      <c r="AX718" s="57" t="s">
        <v>2512</v>
      </c>
      <c r="AY718" s="57" t="s">
        <v>2513</v>
      </c>
      <c r="AZ718" s="58">
        <f t="shared" si="685"/>
        <v>0.47069614247679997</v>
      </c>
      <c r="BA718" s="59">
        <f t="shared" si="689"/>
        <v>1.3811506528075116E-2</v>
      </c>
      <c r="BB718" s="59">
        <f t="shared" si="690"/>
        <v>4.1434519584225345E-2</v>
      </c>
      <c r="BC718" s="59">
        <f t="shared" si="691"/>
        <v>1.1049205222460095E-2</v>
      </c>
      <c r="BD718" s="60">
        <f t="shared" si="686"/>
        <v>7.1428571428571425E-2</v>
      </c>
      <c r="BE718" s="59">
        <f t="shared" si="687"/>
        <v>7.1428571428571425E-2</v>
      </c>
      <c r="BQ718" s="61">
        <v>3000</v>
      </c>
      <c r="BR718" s="61">
        <v>1200</v>
      </c>
      <c r="BS718" s="28">
        <f t="shared" si="654"/>
        <v>2980</v>
      </c>
      <c r="BT718" s="28">
        <f t="shared" si="655"/>
        <v>1180</v>
      </c>
      <c r="BU718" s="28" t="s">
        <v>2541</v>
      </c>
      <c r="BV718" s="28">
        <f t="shared" si="656"/>
        <v>1476.6759999999999</v>
      </c>
      <c r="BW718" s="28">
        <f t="shared" si="657"/>
        <v>164.91839999999999</v>
      </c>
      <c r="BX718" s="13">
        <f t="shared" si="658"/>
        <v>2.0180459356013101</v>
      </c>
      <c r="BY718" s="13">
        <f t="shared" si="659"/>
        <v>2</v>
      </c>
      <c r="BZ718" s="13">
        <f t="shared" si="660"/>
        <v>7.1550536507751712</v>
      </c>
      <c r="CA718" s="13">
        <f t="shared" si="661"/>
        <v>7</v>
      </c>
      <c r="CB718" s="13">
        <f t="shared" si="662"/>
        <v>14</v>
      </c>
      <c r="CC718" s="62">
        <f t="shared" si="663"/>
        <v>7.1428571428571425E-2</v>
      </c>
      <c r="CD718" s="13">
        <f t="shared" si="664"/>
        <v>18.069542270601705</v>
      </c>
      <c r="CE718" s="13">
        <f t="shared" si="665"/>
        <v>18</v>
      </c>
      <c r="CF718" s="13">
        <f t="shared" si="666"/>
        <v>0.79909201476830394</v>
      </c>
      <c r="CG718" s="13">
        <f t="shared" si="667"/>
        <v>0</v>
      </c>
      <c r="CH718" s="28">
        <f t="shared" si="668"/>
        <v>0</v>
      </c>
      <c r="CI718" s="62">
        <f t="shared" si="669"/>
        <v>1</v>
      </c>
      <c r="CJ718" s="59">
        <f t="shared" si="670"/>
        <v>7.1428571428571425E-2</v>
      </c>
      <c r="CL718" s="63">
        <v>6000</v>
      </c>
      <c r="CM718" s="63">
        <f t="shared" si="671"/>
        <v>1471.6759999999999</v>
      </c>
      <c r="CN718" s="63">
        <f t="shared" si="672"/>
        <v>1476.6759999999999</v>
      </c>
      <c r="CO718" s="63">
        <f t="shared" si="673"/>
        <v>4.0631797361100199</v>
      </c>
      <c r="CP718" s="13">
        <f t="shared" si="674"/>
        <v>4</v>
      </c>
      <c r="CQ718" s="70">
        <f t="shared" si="675"/>
        <v>0.25</v>
      </c>
      <c r="CR718" s="69">
        <f t="shared" si="636"/>
        <v>0.25</v>
      </c>
    </row>
    <row r="719" spans="1:96" hidden="1" x14ac:dyDescent="0.25">
      <c r="A719" s="13">
        <v>4</v>
      </c>
      <c r="B719" s="14" t="s">
        <v>1709</v>
      </c>
      <c r="C719" s="13" t="s">
        <v>448</v>
      </c>
      <c r="D719" s="13" t="s">
        <v>450</v>
      </c>
      <c r="E719" s="13" t="s">
        <v>52</v>
      </c>
      <c r="F719" s="15">
        <f t="shared" si="644"/>
        <v>23</v>
      </c>
      <c r="G719" s="13">
        <v>6</v>
      </c>
      <c r="H719" s="13">
        <f>G719*$H$717</f>
        <v>6</v>
      </c>
      <c r="I719" s="13">
        <v>2</v>
      </c>
      <c r="J719" s="14" t="s">
        <v>449</v>
      </c>
      <c r="K719" s="14" t="s">
        <v>34</v>
      </c>
      <c r="L719" s="13">
        <v>0</v>
      </c>
      <c r="M719" s="14" t="s">
        <v>35</v>
      </c>
      <c r="N719" s="13" t="s">
        <v>450</v>
      </c>
      <c r="O719" s="28" t="s">
        <v>41</v>
      </c>
      <c r="P719" s="28" t="s">
        <v>41</v>
      </c>
      <c r="Q719" s="28" t="s">
        <v>450</v>
      </c>
      <c r="R719" s="30"/>
      <c r="S719" s="30"/>
      <c r="T719" s="30"/>
      <c r="U719" s="30"/>
      <c r="V719" s="8">
        <f t="shared" si="645"/>
        <v>0</v>
      </c>
      <c r="W719" s="8">
        <f t="shared" si="646"/>
        <v>0</v>
      </c>
      <c r="X719" s="8">
        <f t="shared" si="647"/>
        <v>0</v>
      </c>
      <c r="Y719" s="33">
        <f t="shared" si="648"/>
        <v>0</v>
      </c>
      <c r="Z719" s="28"/>
      <c r="AA719" s="28"/>
      <c r="AB719" s="61" t="s">
        <v>450</v>
      </c>
      <c r="AC719" s="31" t="s">
        <v>451</v>
      </c>
      <c r="AD719" s="50">
        <f t="shared" si="649"/>
        <v>6</v>
      </c>
      <c r="AE719" s="31"/>
      <c r="AF719" s="51">
        <v>14</v>
      </c>
      <c r="AG719" s="51">
        <f t="shared" si="677"/>
        <v>8.4</v>
      </c>
      <c r="AH719" s="51">
        <f t="shared" si="643"/>
        <v>42</v>
      </c>
      <c r="AI719" s="52" t="s">
        <v>2497</v>
      </c>
      <c r="AJ719" s="52" t="s">
        <v>2498</v>
      </c>
      <c r="AK719" s="53">
        <f t="shared" si="678"/>
        <v>0</v>
      </c>
      <c r="AL719" s="54">
        <f t="shared" si="679"/>
        <v>0.11904761904761904</v>
      </c>
      <c r="AM719" s="54">
        <f t="shared" si="680"/>
        <v>2.3809523809523808E-2</v>
      </c>
      <c r="AN719" s="55">
        <f t="shared" si="681"/>
        <v>0</v>
      </c>
      <c r="AO719" s="55">
        <f t="shared" si="682"/>
        <v>0</v>
      </c>
      <c r="AP719" s="53">
        <v>7.1</v>
      </c>
      <c r="AQ719" s="53">
        <f t="shared" si="650"/>
        <v>4.26</v>
      </c>
      <c r="AR719" s="53">
        <f t="shared" si="651"/>
        <v>21.299999999999997</v>
      </c>
      <c r="AS719" s="56">
        <f t="shared" si="652"/>
        <v>4.6948356807511742E-2</v>
      </c>
      <c r="AT719" s="56">
        <f t="shared" si="683"/>
        <v>0.23474178403755869</v>
      </c>
      <c r="AU719" s="56">
        <f t="shared" si="653"/>
        <v>0.176056338028169</v>
      </c>
      <c r="AV719" s="56">
        <f t="shared" si="684"/>
        <v>5.8685446009389672E-2</v>
      </c>
      <c r="AW719" s="57" t="s">
        <v>2511</v>
      </c>
      <c r="AX719" s="57" t="s">
        <v>2512</v>
      </c>
      <c r="AY719" s="57" t="s">
        <v>2513</v>
      </c>
      <c r="AZ719" s="58">
        <f t="shared" si="685"/>
        <v>0</v>
      </c>
      <c r="BA719" s="59">
        <f t="shared" si="689"/>
        <v>0</v>
      </c>
      <c r="BB719" s="59">
        <f t="shared" si="690"/>
        <v>0</v>
      </c>
      <c r="BC719" s="59">
        <f t="shared" si="691"/>
        <v>0</v>
      </c>
      <c r="BD719" s="60">
        <f t="shared" si="686"/>
        <v>7.1095438516664771E-6</v>
      </c>
      <c r="BE719" s="59">
        <f t="shared" si="687"/>
        <v>4.2657263109998864E-5</v>
      </c>
      <c r="BQ719" s="61">
        <v>3000</v>
      </c>
      <c r="BR719" s="61">
        <v>1200</v>
      </c>
      <c r="BS719" s="28">
        <f t="shared" si="654"/>
        <v>2980</v>
      </c>
      <c r="BT719" s="28">
        <f t="shared" si="655"/>
        <v>1180</v>
      </c>
      <c r="BU719" s="28" t="s">
        <v>2541</v>
      </c>
      <c r="BV719" s="28">
        <f t="shared" si="656"/>
        <v>5</v>
      </c>
      <c r="BW719" s="28">
        <f t="shared" si="657"/>
        <v>5</v>
      </c>
      <c r="BX719" s="13">
        <f t="shared" si="658"/>
        <v>596</v>
      </c>
      <c r="BY719" s="13">
        <f t="shared" si="659"/>
        <v>596</v>
      </c>
      <c r="BZ719" s="13">
        <f t="shared" si="660"/>
        <v>236</v>
      </c>
      <c r="CA719" s="13">
        <f t="shared" si="661"/>
        <v>236</v>
      </c>
      <c r="CB719" s="13">
        <f t="shared" si="662"/>
        <v>140656</v>
      </c>
      <c r="CC719" s="62">
        <f t="shared" si="663"/>
        <v>7.1095438516664771E-6</v>
      </c>
      <c r="CD719" s="13">
        <f t="shared" si="664"/>
        <v>596</v>
      </c>
      <c r="CE719" s="13">
        <f t="shared" si="665"/>
        <v>596</v>
      </c>
      <c r="CF719" s="13">
        <f t="shared" si="666"/>
        <v>236</v>
      </c>
      <c r="CG719" s="13">
        <f t="shared" si="667"/>
        <v>236</v>
      </c>
      <c r="CH719" s="28">
        <f t="shared" si="668"/>
        <v>140656</v>
      </c>
      <c r="CI719" s="62">
        <f t="shared" si="669"/>
        <v>7.1095438516664771E-6</v>
      </c>
      <c r="CJ719" s="59">
        <f t="shared" si="670"/>
        <v>7.1095438516664771E-6</v>
      </c>
      <c r="CL719" s="63">
        <v>6000</v>
      </c>
      <c r="CM719" s="63">
        <f t="shared" si="671"/>
        <v>0</v>
      </c>
      <c r="CN719" s="63">
        <f t="shared" si="672"/>
        <v>5</v>
      </c>
      <c r="CO719" s="63">
        <f t="shared" si="673"/>
        <v>1200</v>
      </c>
      <c r="CP719" s="13">
        <f t="shared" si="674"/>
        <v>1200</v>
      </c>
      <c r="CQ719" s="70">
        <f t="shared" si="675"/>
        <v>8.3333333333333339E-4</v>
      </c>
      <c r="CR719" s="69">
        <f t="shared" si="636"/>
        <v>5.0000000000000001E-3</v>
      </c>
    </row>
    <row r="720" spans="1:96" hidden="1" x14ac:dyDescent="0.25">
      <c r="A720" s="10">
        <v>3</v>
      </c>
      <c r="B720" s="8" t="s">
        <v>1706</v>
      </c>
      <c r="C720" s="10" t="s">
        <v>226</v>
      </c>
      <c r="D720" s="10" t="s">
        <v>228</v>
      </c>
      <c r="E720" s="10" t="s">
        <v>52</v>
      </c>
      <c r="F720" s="12">
        <f t="shared" si="644"/>
        <v>5</v>
      </c>
      <c r="G720" s="10">
        <v>1</v>
      </c>
      <c r="H720" s="10">
        <f t="shared" ref="H720:H722" si="694">G720*$H$716</f>
        <v>1</v>
      </c>
      <c r="I720" s="10">
        <v>3</v>
      </c>
      <c r="J720" s="8" t="s">
        <v>227</v>
      </c>
      <c r="K720" s="8" t="s">
        <v>34</v>
      </c>
      <c r="L720" s="10" t="s">
        <v>89</v>
      </c>
      <c r="M720" s="8" t="s">
        <v>35</v>
      </c>
      <c r="N720" s="10" t="s">
        <v>228</v>
      </c>
      <c r="O720" s="28" t="s">
        <v>41</v>
      </c>
      <c r="P720" s="28" t="s">
        <v>41</v>
      </c>
      <c r="Q720" s="28" t="s">
        <v>79</v>
      </c>
      <c r="R720" s="30">
        <v>10</v>
      </c>
      <c r="S720" s="30">
        <v>0.3125</v>
      </c>
      <c r="T720" s="30"/>
      <c r="U720" s="30">
        <v>0.3125</v>
      </c>
      <c r="V720" s="8">
        <f t="shared" si="645"/>
        <v>254</v>
      </c>
      <c r="W720" s="8">
        <f t="shared" si="646"/>
        <v>7.9375</v>
      </c>
      <c r="X720" s="8">
        <f t="shared" si="647"/>
        <v>0</v>
      </c>
      <c r="Y720" s="33">
        <f t="shared" si="648"/>
        <v>7.9375</v>
      </c>
      <c r="Z720" s="28" t="s">
        <v>80</v>
      </c>
      <c r="AA720" s="28" t="s">
        <v>81</v>
      </c>
      <c r="AB720" s="61" t="s">
        <v>79</v>
      </c>
      <c r="AC720" s="31" t="s">
        <v>82</v>
      </c>
      <c r="AD720" s="50">
        <f t="shared" si="649"/>
        <v>1</v>
      </c>
      <c r="AE720" s="31"/>
      <c r="AF720" s="51">
        <v>14</v>
      </c>
      <c r="AG720" s="51">
        <f t="shared" si="677"/>
        <v>8.4</v>
      </c>
      <c r="AH720" s="51">
        <f t="shared" si="643"/>
        <v>42</v>
      </c>
      <c r="AI720" s="52" t="s">
        <v>2497</v>
      </c>
      <c r="AJ720" s="52" t="s">
        <v>2498</v>
      </c>
      <c r="AK720" s="53">
        <f t="shared" si="678"/>
        <v>4.0322500000000002E-3</v>
      </c>
      <c r="AL720" s="54">
        <f t="shared" si="679"/>
        <v>0.11904761904761904</v>
      </c>
      <c r="AM720" s="54">
        <f t="shared" si="680"/>
        <v>2.3809523809523808E-2</v>
      </c>
      <c r="AN720" s="55">
        <f t="shared" si="681"/>
        <v>4.8002976190476192E-4</v>
      </c>
      <c r="AO720" s="55">
        <f t="shared" si="682"/>
        <v>9.6005952380952381E-5</v>
      </c>
      <c r="AP720" s="53">
        <v>7.1</v>
      </c>
      <c r="AQ720" s="53">
        <f t="shared" si="650"/>
        <v>4.26</v>
      </c>
      <c r="AR720" s="53">
        <f t="shared" si="651"/>
        <v>21.299999999999997</v>
      </c>
      <c r="AS720" s="56">
        <f t="shared" si="652"/>
        <v>4.6948356807511742E-2</v>
      </c>
      <c r="AT720" s="56">
        <f t="shared" si="683"/>
        <v>0.23474178403755869</v>
      </c>
      <c r="AU720" s="56">
        <f t="shared" si="653"/>
        <v>0.176056338028169</v>
      </c>
      <c r="AV720" s="56">
        <f t="shared" si="684"/>
        <v>5.8685446009389672E-2</v>
      </c>
      <c r="AW720" s="57" t="s">
        <v>2511</v>
      </c>
      <c r="AX720" s="57" t="s">
        <v>2512</v>
      </c>
      <c r="AY720" s="57" t="s">
        <v>2513</v>
      </c>
      <c r="AZ720" s="58">
        <f t="shared" si="685"/>
        <v>4.0322500000000002E-3</v>
      </c>
      <c r="BA720" s="59">
        <f t="shared" si="689"/>
        <v>1.1831719483568076E-4</v>
      </c>
      <c r="BB720" s="59">
        <f t="shared" si="690"/>
        <v>3.5495158450704227E-4</v>
      </c>
      <c r="BC720" s="59">
        <f t="shared" si="691"/>
        <v>9.4653755868544611E-5</v>
      </c>
      <c r="BD720" s="60">
        <f t="shared" si="686"/>
        <v>9.99000999000999E-4</v>
      </c>
      <c r="BE720" s="59">
        <f t="shared" si="687"/>
        <v>9.99000999000999E-4</v>
      </c>
      <c r="BQ720" s="61">
        <v>3000</v>
      </c>
      <c r="BR720" s="61">
        <v>1200</v>
      </c>
      <c r="BS720" s="28">
        <f t="shared" si="654"/>
        <v>2980</v>
      </c>
      <c r="BT720" s="28">
        <f t="shared" si="655"/>
        <v>1180</v>
      </c>
      <c r="BU720" s="28" t="s">
        <v>2541</v>
      </c>
      <c r="BV720" s="28">
        <f t="shared" si="656"/>
        <v>259</v>
      </c>
      <c r="BW720" s="28">
        <f t="shared" si="657"/>
        <v>12.9375</v>
      </c>
      <c r="BX720" s="13">
        <f t="shared" si="658"/>
        <v>11.505791505791505</v>
      </c>
      <c r="BY720" s="13">
        <f t="shared" si="659"/>
        <v>11</v>
      </c>
      <c r="BZ720" s="13">
        <f t="shared" si="660"/>
        <v>91.207729468599027</v>
      </c>
      <c r="CA720" s="13">
        <f t="shared" si="661"/>
        <v>91</v>
      </c>
      <c r="CB720" s="13">
        <f t="shared" si="662"/>
        <v>1001</v>
      </c>
      <c r="CC720" s="62">
        <f t="shared" si="663"/>
        <v>9.99000999000999E-4</v>
      </c>
      <c r="CD720" s="13">
        <f t="shared" si="664"/>
        <v>230.33816425120773</v>
      </c>
      <c r="CE720" s="13">
        <f t="shared" si="665"/>
        <v>230</v>
      </c>
      <c r="CF720" s="13">
        <f t="shared" si="666"/>
        <v>4.5559845559845558</v>
      </c>
      <c r="CG720" s="13">
        <f t="shared" si="667"/>
        <v>4</v>
      </c>
      <c r="CH720" s="28">
        <f t="shared" si="668"/>
        <v>920</v>
      </c>
      <c r="CI720" s="62">
        <f t="shared" si="669"/>
        <v>1.0869565217391304E-3</v>
      </c>
      <c r="CJ720" s="59">
        <f t="shared" si="670"/>
        <v>9.99000999000999E-4</v>
      </c>
      <c r="CL720" s="63">
        <v>6000</v>
      </c>
      <c r="CM720" s="63">
        <f t="shared" si="671"/>
        <v>254</v>
      </c>
      <c r="CN720" s="63">
        <f t="shared" si="672"/>
        <v>259</v>
      </c>
      <c r="CO720" s="63">
        <f t="shared" si="673"/>
        <v>23.166023166023166</v>
      </c>
      <c r="CP720" s="13">
        <f t="shared" si="674"/>
        <v>23</v>
      </c>
      <c r="CQ720" s="70">
        <f t="shared" si="675"/>
        <v>4.3478260869565216E-2</v>
      </c>
      <c r="CR720" s="69">
        <f t="shared" si="636"/>
        <v>4.3478260869565216E-2</v>
      </c>
    </row>
    <row r="721" spans="1:96" hidden="1" x14ac:dyDescent="0.25">
      <c r="A721" s="10">
        <v>3</v>
      </c>
      <c r="B721" s="8" t="s">
        <v>1706</v>
      </c>
      <c r="C721" s="10" t="s">
        <v>382</v>
      </c>
      <c r="D721" s="10" t="s">
        <v>709</v>
      </c>
      <c r="E721" s="10" t="s">
        <v>52</v>
      </c>
      <c r="F721" s="12">
        <f t="shared" si="644"/>
        <v>6</v>
      </c>
      <c r="G721" s="10">
        <v>1</v>
      </c>
      <c r="H721" s="10">
        <f t="shared" si="694"/>
        <v>1</v>
      </c>
      <c r="I721" s="10">
        <v>4</v>
      </c>
      <c r="J721" s="8" t="s">
        <v>76</v>
      </c>
      <c r="K721" s="8" t="s">
        <v>34</v>
      </c>
      <c r="L721" s="10" t="s">
        <v>77</v>
      </c>
      <c r="M721" s="8" t="s">
        <v>35</v>
      </c>
      <c r="N721" s="10" t="s">
        <v>709</v>
      </c>
      <c r="O721" s="28" t="s">
        <v>41</v>
      </c>
      <c r="P721" s="28" t="s">
        <v>41</v>
      </c>
      <c r="Q721" s="28" t="s">
        <v>79</v>
      </c>
      <c r="R721" s="30">
        <v>21.023622047244096</v>
      </c>
      <c r="S721" s="30">
        <v>0.3125</v>
      </c>
      <c r="T721" s="30"/>
      <c r="U721" s="30">
        <v>0.3125</v>
      </c>
      <c r="V721" s="8">
        <f t="shared" si="645"/>
        <v>534</v>
      </c>
      <c r="W721" s="8">
        <f t="shared" si="646"/>
        <v>7.9375</v>
      </c>
      <c r="X721" s="8">
        <f t="shared" si="647"/>
        <v>0</v>
      </c>
      <c r="Y721" s="33">
        <f t="shared" si="648"/>
        <v>7.9375</v>
      </c>
      <c r="Z721" s="28" t="s">
        <v>80</v>
      </c>
      <c r="AA721" s="28" t="s">
        <v>81</v>
      </c>
      <c r="AB721" s="61" t="s">
        <v>79</v>
      </c>
      <c r="AC721" s="31" t="s">
        <v>82</v>
      </c>
      <c r="AD721" s="50">
        <f t="shared" si="649"/>
        <v>1</v>
      </c>
      <c r="AE721" s="31"/>
      <c r="AF721" s="51">
        <v>14</v>
      </c>
      <c r="AG721" s="51">
        <f t="shared" si="677"/>
        <v>8.4</v>
      </c>
      <c r="AH721" s="51">
        <f t="shared" si="643"/>
        <v>42</v>
      </c>
      <c r="AI721" s="52" t="s">
        <v>2497</v>
      </c>
      <c r="AJ721" s="52" t="s">
        <v>2498</v>
      </c>
      <c r="AK721" s="53">
        <f t="shared" si="678"/>
        <v>8.4772500000000004E-3</v>
      </c>
      <c r="AL721" s="54">
        <f t="shared" si="679"/>
        <v>0.11904761904761904</v>
      </c>
      <c r="AM721" s="54">
        <f t="shared" si="680"/>
        <v>2.3809523809523808E-2</v>
      </c>
      <c r="AN721" s="55">
        <f t="shared" si="681"/>
        <v>1.0091964285714285E-3</v>
      </c>
      <c r="AO721" s="55">
        <f t="shared" si="682"/>
        <v>2.0183928571428572E-4</v>
      </c>
      <c r="AP721" s="53">
        <v>7.1</v>
      </c>
      <c r="AQ721" s="53">
        <f t="shared" si="650"/>
        <v>4.26</v>
      </c>
      <c r="AR721" s="53">
        <f t="shared" si="651"/>
        <v>21.299999999999997</v>
      </c>
      <c r="AS721" s="56">
        <f t="shared" si="652"/>
        <v>4.6948356807511742E-2</v>
      </c>
      <c r="AT721" s="56">
        <f t="shared" si="683"/>
        <v>0.23474178403755869</v>
      </c>
      <c r="AU721" s="56">
        <f t="shared" si="653"/>
        <v>0.176056338028169</v>
      </c>
      <c r="AV721" s="56">
        <f t="shared" si="684"/>
        <v>5.8685446009389672E-2</v>
      </c>
      <c r="AW721" s="57" t="s">
        <v>2511</v>
      </c>
      <c r="AX721" s="57" t="s">
        <v>2512</v>
      </c>
      <c r="AY721" s="57" t="s">
        <v>2513</v>
      </c>
      <c r="AZ721" s="58">
        <f t="shared" si="685"/>
        <v>8.4772500000000004E-3</v>
      </c>
      <c r="BA721" s="59">
        <f t="shared" si="689"/>
        <v>2.487455985915493E-4</v>
      </c>
      <c r="BB721" s="59">
        <f t="shared" si="690"/>
        <v>7.4623679577464784E-4</v>
      </c>
      <c r="BC721" s="59">
        <f t="shared" si="691"/>
        <v>1.9899647887323946E-4</v>
      </c>
      <c r="BD721" s="60">
        <f t="shared" si="686"/>
        <v>2.1739130434782609E-3</v>
      </c>
      <c r="BE721" s="59">
        <f t="shared" si="687"/>
        <v>2.1739130434782609E-3</v>
      </c>
      <c r="BQ721" s="61">
        <v>3000</v>
      </c>
      <c r="BR721" s="61">
        <v>1200</v>
      </c>
      <c r="BS721" s="28">
        <f t="shared" si="654"/>
        <v>2980</v>
      </c>
      <c r="BT721" s="28">
        <f t="shared" si="655"/>
        <v>1180</v>
      </c>
      <c r="BU721" s="28" t="s">
        <v>2541</v>
      </c>
      <c r="BV721" s="28">
        <f t="shared" si="656"/>
        <v>539</v>
      </c>
      <c r="BW721" s="28">
        <f t="shared" si="657"/>
        <v>12.9375</v>
      </c>
      <c r="BX721" s="13">
        <f t="shared" si="658"/>
        <v>5.5287569573283859</v>
      </c>
      <c r="BY721" s="13">
        <f t="shared" si="659"/>
        <v>5</v>
      </c>
      <c r="BZ721" s="13">
        <f t="shared" si="660"/>
        <v>91.207729468599027</v>
      </c>
      <c r="CA721" s="13">
        <f t="shared" si="661"/>
        <v>91</v>
      </c>
      <c r="CB721" s="13">
        <f t="shared" si="662"/>
        <v>455</v>
      </c>
      <c r="CC721" s="62">
        <f t="shared" si="663"/>
        <v>2.1978021978021978E-3</v>
      </c>
      <c r="CD721" s="13">
        <f t="shared" si="664"/>
        <v>230.33816425120773</v>
      </c>
      <c r="CE721" s="13">
        <f t="shared" si="665"/>
        <v>230</v>
      </c>
      <c r="CF721" s="13">
        <f t="shared" si="666"/>
        <v>2.1892393320964749</v>
      </c>
      <c r="CG721" s="13">
        <f t="shared" si="667"/>
        <v>2</v>
      </c>
      <c r="CH721" s="28">
        <f t="shared" si="668"/>
        <v>460</v>
      </c>
      <c r="CI721" s="62">
        <f t="shared" si="669"/>
        <v>2.1739130434782609E-3</v>
      </c>
      <c r="CJ721" s="59">
        <f t="shared" si="670"/>
        <v>2.1739130434782609E-3</v>
      </c>
      <c r="CL721" s="63">
        <v>6000</v>
      </c>
      <c r="CM721" s="63">
        <f t="shared" si="671"/>
        <v>534</v>
      </c>
      <c r="CN721" s="63">
        <f t="shared" si="672"/>
        <v>539</v>
      </c>
      <c r="CO721" s="63">
        <f t="shared" si="673"/>
        <v>11.131725417439704</v>
      </c>
      <c r="CP721" s="13">
        <f t="shared" si="674"/>
        <v>11</v>
      </c>
      <c r="CQ721" s="70">
        <f t="shared" si="675"/>
        <v>9.0909090909090912E-2</v>
      </c>
      <c r="CR721" s="69">
        <f t="shared" si="636"/>
        <v>9.0909090909090912E-2</v>
      </c>
    </row>
    <row r="722" spans="1:96" hidden="1" x14ac:dyDescent="0.25">
      <c r="A722" s="10">
        <v>3</v>
      </c>
      <c r="B722" s="8" t="s">
        <v>1706</v>
      </c>
      <c r="C722" s="10" t="s">
        <v>1712</v>
      </c>
      <c r="D722" s="10" t="s">
        <v>2270</v>
      </c>
      <c r="E722" s="10" t="s">
        <v>52</v>
      </c>
      <c r="F722" s="12">
        <f t="shared" si="644"/>
        <v>1</v>
      </c>
      <c r="G722" s="10">
        <v>2</v>
      </c>
      <c r="H722" s="10">
        <f t="shared" si="694"/>
        <v>2</v>
      </c>
      <c r="I722" s="10">
        <v>5</v>
      </c>
      <c r="J722" s="8" t="s">
        <v>76</v>
      </c>
      <c r="K722" s="8" t="s">
        <v>34</v>
      </c>
      <c r="L722" s="10" t="s">
        <v>89</v>
      </c>
      <c r="M722" s="8" t="s">
        <v>35</v>
      </c>
      <c r="N722" s="10" t="s">
        <v>1713</v>
      </c>
      <c r="O722" s="28" t="s">
        <v>41</v>
      </c>
      <c r="P722" s="28" t="s">
        <v>41</v>
      </c>
      <c r="Q722" s="28" t="s">
        <v>79</v>
      </c>
      <c r="R722" s="30">
        <v>16.173228346456693</v>
      </c>
      <c r="S722" s="30">
        <v>0.3125</v>
      </c>
      <c r="T722" s="30"/>
      <c r="U722" s="30">
        <v>0.3125</v>
      </c>
      <c r="V722" s="8">
        <f t="shared" si="645"/>
        <v>410.79999999999995</v>
      </c>
      <c r="W722" s="8">
        <f t="shared" si="646"/>
        <v>7.9375</v>
      </c>
      <c r="X722" s="8">
        <f t="shared" si="647"/>
        <v>0</v>
      </c>
      <c r="Y722" s="33">
        <f t="shared" si="648"/>
        <v>7.9375</v>
      </c>
      <c r="Z722" s="28" t="s">
        <v>80</v>
      </c>
      <c r="AA722" s="28" t="s">
        <v>81</v>
      </c>
      <c r="AB722" s="61" t="s">
        <v>79</v>
      </c>
      <c r="AC722" s="31" t="s">
        <v>82</v>
      </c>
      <c r="AD722" s="50">
        <f t="shared" si="649"/>
        <v>2</v>
      </c>
      <c r="AE722" s="31"/>
      <c r="AF722" s="51">
        <v>14</v>
      </c>
      <c r="AG722" s="51">
        <f t="shared" si="677"/>
        <v>8.4</v>
      </c>
      <c r="AH722" s="51">
        <f t="shared" si="643"/>
        <v>42</v>
      </c>
      <c r="AI722" s="52" t="s">
        <v>2497</v>
      </c>
      <c r="AJ722" s="52" t="s">
        <v>2498</v>
      </c>
      <c r="AK722" s="53">
        <f t="shared" si="678"/>
        <v>6.5214499999999989E-3</v>
      </c>
      <c r="AL722" s="54">
        <f t="shared" si="679"/>
        <v>0.11904761904761904</v>
      </c>
      <c r="AM722" s="54">
        <f t="shared" si="680"/>
        <v>2.3809523809523808E-2</v>
      </c>
      <c r="AN722" s="55">
        <f t="shared" si="681"/>
        <v>1.5527261904761901E-3</v>
      </c>
      <c r="AO722" s="55">
        <f t="shared" si="682"/>
        <v>3.1054523809523804E-4</v>
      </c>
      <c r="AP722" s="53">
        <v>7.1</v>
      </c>
      <c r="AQ722" s="53">
        <f t="shared" si="650"/>
        <v>4.26</v>
      </c>
      <c r="AR722" s="53">
        <f t="shared" si="651"/>
        <v>21.299999999999997</v>
      </c>
      <c r="AS722" s="56">
        <f t="shared" si="652"/>
        <v>4.6948356807511742E-2</v>
      </c>
      <c r="AT722" s="56">
        <f t="shared" si="683"/>
        <v>0.23474178403755869</v>
      </c>
      <c r="AU722" s="56">
        <f t="shared" si="653"/>
        <v>0.176056338028169</v>
      </c>
      <c r="AV722" s="56">
        <f t="shared" si="684"/>
        <v>5.8685446009389672E-2</v>
      </c>
      <c r="AW722" s="57" t="s">
        <v>2511</v>
      </c>
      <c r="AX722" s="57" t="s">
        <v>2512</v>
      </c>
      <c r="AY722" s="57" t="s">
        <v>2513</v>
      </c>
      <c r="AZ722" s="58">
        <f t="shared" si="685"/>
        <v>6.5214499999999989E-3</v>
      </c>
      <c r="BA722" s="59">
        <f t="shared" si="689"/>
        <v>3.8271420187793422E-4</v>
      </c>
      <c r="BB722" s="59">
        <f t="shared" si="690"/>
        <v>1.1481426056338027E-3</v>
      </c>
      <c r="BC722" s="59">
        <f t="shared" si="691"/>
        <v>3.0617136150234742E-4</v>
      </c>
      <c r="BD722" s="60">
        <f t="shared" si="686"/>
        <v>1.5698587127158557E-3</v>
      </c>
      <c r="BE722" s="59">
        <f t="shared" si="687"/>
        <v>3.1397174254317113E-3</v>
      </c>
      <c r="BQ722" s="61">
        <v>3000</v>
      </c>
      <c r="BR722" s="61">
        <v>1200</v>
      </c>
      <c r="BS722" s="28">
        <f t="shared" si="654"/>
        <v>2980</v>
      </c>
      <c r="BT722" s="28">
        <f t="shared" si="655"/>
        <v>1180</v>
      </c>
      <c r="BU722" s="28" t="s">
        <v>2541</v>
      </c>
      <c r="BV722" s="28">
        <f t="shared" si="656"/>
        <v>415.79999999999995</v>
      </c>
      <c r="BW722" s="28">
        <f t="shared" si="657"/>
        <v>12.9375</v>
      </c>
      <c r="BX722" s="13">
        <f t="shared" si="658"/>
        <v>7.1669071669071673</v>
      </c>
      <c r="BY722" s="13">
        <f t="shared" si="659"/>
        <v>7</v>
      </c>
      <c r="BZ722" s="13">
        <f t="shared" si="660"/>
        <v>91.207729468599027</v>
      </c>
      <c r="CA722" s="13">
        <f t="shared" si="661"/>
        <v>91</v>
      </c>
      <c r="CB722" s="13">
        <f t="shared" si="662"/>
        <v>637</v>
      </c>
      <c r="CC722" s="62">
        <f t="shared" si="663"/>
        <v>1.5698587127158557E-3</v>
      </c>
      <c r="CD722" s="13">
        <f t="shared" si="664"/>
        <v>230.33816425120773</v>
      </c>
      <c r="CE722" s="13">
        <f t="shared" si="665"/>
        <v>230</v>
      </c>
      <c r="CF722" s="13">
        <f t="shared" si="666"/>
        <v>2.8379028379028384</v>
      </c>
      <c r="CG722" s="13">
        <f t="shared" si="667"/>
        <v>2</v>
      </c>
      <c r="CH722" s="28">
        <f t="shared" si="668"/>
        <v>460</v>
      </c>
      <c r="CI722" s="62">
        <f t="shared" si="669"/>
        <v>2.1739130434782609E-3</v>
      </c>
      <c r="CJ722" s="59">
        <f t="shared" si="670"/>
        <v>1.5698587127158557E-3</v>
      </c>
      <c r="CL722" s="63">
        <v>6000</v>
      </c>
      <c r="CM722" s="63">
        <f t="shared" si="671"/>
        <v>410.79999999999995</v>
      </c>
      <c r="CN722" s="63">
        <f t="shared" si="672"/>
        <v>415.79999999999995</v>
      </c>
      <c r="CO722" s="63">
        <f t="shared" si="673"/>
        <v>14.430014430014431</v>
      </c>
      <c r="CP722" s="13">
        <f t="shared" si="674"/>
        <v>14</v>
      </c>
      <c r="CQ722" s="70">
        <f t="shared" si="675"/>
        <v>7.1428571428571425E-2</v>
      </c>
      <c r="CR722" s="69">
        <f t="shared" si="636"/>
        <v>0.14285714285714285</v>
      </c>
    </row>
    <row r="723" spans="1:96" hidden="1" x14ac:dyDescent="0.25">
      <c r="A723" s="36">
        <v>2</v>
      </c>
      <c r="B723" s="37" t="s">
        <v>37</v>
      </c>
      <c r="C723" s="36" t="s">
        <v>1714</v>
      </c>
      <c r="D723" s="36" t="s">
        <v>2270</v>
      </c>
      <c r="E723" s="36" t="s">
        <v>52</v>
      </c>
      <c r="F723" s="38">
        <f t="shared" si="644"/>
        <v>1</v>
      </c>
      <c r="G723" s="36">
        <v>1</v>
      </c>
      <c r="H723" s="36">
        <f t="shared" ref="H723:H724" si="695">G723*$H$3</f>
        <v>1</v>
      </c>
      <c r="I723" s="36">
        <v>232</v>
      </c>
      <c r="J723" s="37" t="s">
        <v>1485</v>
      </c>
      <c r="K723" s="37" t="s">
        <v>34</v>
      </c>
      <c r="L723" s="36" t="s">
        <v>110</v>
      </c>
      <c r="M723" s="37" t="s">
        <v>35</v>
      </c>
      <c r="N723" s="36" t="s">
        <v>1715</v>
      </c>
      <c r="O723" s="28" t="s">
        <v>41</v>
      </c>
      <c r="P723" s="28" t="s">
        <v>41</v>
      </c>
      <c r="Q723" s="28" t="s">
        <v>116</v>
      </c>
      <c r="R723" s="30">
        <v>12.916</v>
      </c>
      <c r="S723" s="30">
        <v>7.0759999999999996</v>
      </c>
      <c r="T723" s="30"/>
      <c r="U723" s="30">
        <v>0.11799999999999999</v>
      </c>
      <c r="V723" s="8">
        <f t="shared" si="645"/>
        <v>328.06639999999999</v>
      </c>
      <c r="W723" s="8">
        <f t="shared" si="646"/>
        <v>179.73039999999997</v>
      </c>
      <c r="X723" s="8">
        <f t="shared" si="647"/>
        <v>0</v>
      </c>
      <c r="Y723" s="33">
        <f t="shared" si="648"/>
        <v>2.9971999999999999</v>
      </c>
      <c r="Z723" s="28" t="s">
        <v>56</v>
      </c>
      <c r="AA723" s="28" t="s">
        <v>57</v>
      </c>
      <c r="AB723" s="28" t="s">
        <v>116</v>
      </c>
      <c r="AC723" s="31" t="s">
        <v>117</v>
      </c>
      <c r="AD723" s="50">
        <f t="shared" si="649"/>
        <v>1</v>
      </c>
      <c r="AE723" s="31"/>
      <c r="AF723" s="51">
        <v>14</v>
      </c>
      <c r="AG723" s="51">
        <f t="shared" si="677"/>
        <v>8.4</v>
      </c>
      <c r="AH723" s="51">
        <f t="shared" si="643"/>
        <v>42</v>
      </c>
      <c r="AI723" s="52" t="s">
        <v>2497</v>
      </c>
      <c r="AJ723" s="52" t="s">
        <v>2498</v>
      </c>
      <c r="AK723" s="53">
        <f t="shared" si="678"/>
        <v>0.11792701059711998</v>
      </c>
      <c r="AL723" s="54">
        <f t="shared" si="679"/>
        <v>0.11904761904761904</v>
      </c>
      <c r="AM723" s="54">
        <f t="shared" si="680"/>
        <v>2.3809523809523808E-2</v>
      </c>
      <c r="AN723" s="55">
        <f t="shared" si="681"/>
        <v>1.4038929832990472E-2</v>
      </c>
      <c r="AO723" s="55">
        <f t="shared" si="682"/>
        <v>2.8077859665980947E-3</v>
      </c>
      <c r="AP723" s="53">
        <v>7.1</v>
      </c>
      <c r="AQ723" s="53">
        <f t="shared" si="650"/>
        <v>4.26</v>
      </c>
      <c r="AR723" s="53">
        <f t="shared" si="651"/>
        <v>21.299999999999997</v>
      </c>
      <c r="AS723" s="56">
        <f t="shared" si="652"/>
        <v>4.6948356807511742E-2</v>
      </c>
      <c r="AT723" s="56">
        <f t="shared" si="683"/>
        <v>0.23474178403755869</v>
      </c>
      <c r="AU723" s="56">
        <f t="shared" si="653"/>
        <v>0.176056338028169</v>
      </c>
      <c r="AV723" s="56">
        <f t="shared" si="684"/>
        <v>5.8685446009389672E-2</v>
      </c>
      <c r="AW723" s="57" t="s">
        <v>2511</v>
      </c>
      <c r="AX723" s="57" t="s">
        <v>2512</v>
      </c>
      <c r="AY723" s="57" t="s">
        <v>2513</v>
      </c>
      <c r="AZ723" s="58">
        <f t="shared" si="685"/>
        <v>0.11792701059711998</v>
      </c>
      <c r="BA723" s="59">
        <f t="shared" si="689"/>
        <v>3.4602996067230039E-3</v>
      </c>
      <c r="BB723" s="59">
        <f t="shared" si="690"/>
        <v>1.0380898820169012E-2</v>
      </c>
      <c r="BC723" s="59">
        <f t="shared" si="691"/>
        <v>2.7682396853784034E-3</v>
      </c>
      <c r="BD723" s="60">
        <f t="shared" si="686"/>
        <v>2.0833333333333332E-2</v>
      </c>
      <c r="BE723" s="59">
        <f t="shared" si="687"/>
        <v>2.0833333333333332E-2</v>
      </c>
      <c r="BQ723" s="61">
        <v>3000</v>
      </c>
      <c r="BR723" s="61">
        <v>1200</v>
      </c>
      <c r="BS723" s="28">
        <f t="shared" si="654"/>
        <v>2980</v>
      </c>
      <c r="BT723" s="28">
        <f t="shared" si="655"/>
        <v>1180</v>
      </c>
      <c r="BU723" s="28" t="s">
        <v>2541</v>
      </c>
      <c r="BV723" s="28">
        <f t="shared" si="656"/>
        <v>333.06639999999999</v>
      </c>
      <c r="BW723" s="28">
        <f t="shared" si="657"/>
        <v>184.73039999999997</v>
      </c>
      <c r="BX723" s="13">
        <f t="shared" si="658"/>
        <v>8.9471648896436271</v>
      </c>
      <c r="BY723" s="13">
        <f t="shared" si="659"/>
        <v>8</v>
      </c>
      <c r="BZ723" s="13">
        <f t="shared" si="660"/>
        <v>6.3876871375799551</v>
      </c>
      <c r="CA723" s="13">
        <f t="shared" si="661"/>
        <v>6</v>
      </c>
      <c r="CB723" s="13">
        <f t="shared" si="662"/>
        <v>48</v>
      </c>
      <c r="CC723" s="62">
        <f t="shared" si="663"/>
        <v>2.0833333333333332E-2</v>
      </c>
      <c r="CD723" s="13">
        <f t="shared" si="664"/>
        <v>16.131616669481581</v>
      </c>
      <c r="CE723" s="13">
        <f t="shared" si="665"/>
        <v>16</v>
      </c>
      <c r="CF723" s="13">
        <f t="shared" si="666"/>
        <v>3.5428371039528455</v>
      </c>
      <c r="CG723" s="13">
        <f t="shared" si="667"/>
        <v>3</v>
      </c>
      <c r="CH723" s="28">
        <f t="shared" si="668"/>
        <v>48</v>
      </c>
      <c r="CI723" s="62">
        <f t="shared" si="669"/>
        <v>2.0833333333333332E-2</v>
      </c>
      <c r="CJ723" s="59">
        <f t="shared" si="670"/>
        <v>2.0833333333333332E-2</v>
      </c>
      <c r="CL723" s="63">
        <v>6000</v>
      </c>
      <c r="CM723" s="63">
        <f t="shared" si="671"/>
        <v>328.06639999999999</v>
      </c>
      <c r="CN723" s="63">
        <f t="shared" si="672"/>
        <v>333.06639999999999</v>
      </c>
      <c r="CO723" s="63">
        <f t="shared" si="673"/>
        <v>18.014425952302606</v>
      </c>
      <c r="CP723" s="13">
        <f t="shared" si="674"/>
        <v>18</v>
      </c>
      <c r="CQ723" s="70">
        <f t="shared" si="675"/>
        <v>5.5555555555555552E-2</v>
      </c>
      <c r="CR723" s="69">
        <f t="shared" si="636"/>
        <v>5.5555555555555552E-2</v>
      </c>
    </row>
    <row r="724" spans="1:96" hidden="1" x14ac:dyDescent="0.25">
      <c r="A724" s="36">
        <v>2</v>
      </c>
      <c r="B724" s="37" t="s">
        <v>37</v>
      </c>
      <c r="C724" s="36" t="s">
        <v>1716</v>
      </c>
      <c r="D724" s="36" t="s">
        <v>2270</v>
      </c>
      <c r="E724" s="36" t="s">
        <v>32</v>
      </c>
      <c r="F724" s="38">
        <f t="shared" si="644"/>
        <v>1</v>
      </c>
      <c r="G724" s="36">
        <v>1</v>
      </c>
      <c r="H724" s="36">
        <f t="shared" si="695"/>
        <v>1</v>
      </c>
      <c r="I724" s="36">
        <v>233</v>
      </c>
      <c r="J724" s="37" t="s">
        <v>508</v>
      </c>
      <c r="K724" s="37" t="s">
        <v>34</v>
      </c>
      <c r="L724" s="36" t="s">
        <v>259</v>
      </c>
      <c r="M724" s="37" t="s">
        <v>35</v>
      </c>
      <c r="N724" s="36" t="s">
        <v>1717</v>
      </c>
      <c r="O724" s="28" t="s">
        <v>41</v>
      </c>
      <c r="P724" s="28" t="s">
        <v>41</v>
      </c>
      <c r="Q724" s="28"/>
      <c r="R724" s="30"/>
      <c r="S724" s="30"/>
      <c r="T724" s="30"/>
      <c r="U724" s="30"/>
      <c r="V724" s="8">
        <f t="shared" si="645"/>
        <v>0</v>
      </c>
      <c r="W724" s="8">
        <f t="shared" si="646"/>
        <v>0</v>
      </c>
      <c r="X724" s="8">
        <f t="shared" si="647"/>
        <v>0</v>
      </c>
      <c r="Y724" s="33">
        <f t="shared" si="648"/>
        <v>0</v>
      </c>
      <c r="Z724" s="28"/>
      <c r="AA724" s="28"/>
      <c r="AB724" s="28">
        <v>0</v>
      </c>
      <c r="AC724" s="31"/>
      <c r="AD724" s="50">
        <f t="shared" si="649"/>
        <v>1</v>
      </c>
      <c r="AE724" s="31"/>
      <c r="AF724" s="51">
        <v>14</v>
      </c>
      <c r="AG724" s="51">
        <f t="shared" si="677"/>
        <v>8.4</v>
      </c>
      <c r="AH724" s="51">
        <f t="shared" si="643"/>
        <v>42</v>
      </c>
      <c r="AI724" s="52" t="s">
        <v>2497</v>
      </c>
      <c r="AJ724" s="52" t="s">
        <v>2498</v>
      </c>
      <c r="AK724" s="53">
        <f t="shared" si="678"/>
        <v>0</v>
      </c>
      <c r="AL724" s="54">
        <f t="shared" si="679"/>
        <v>0.11904761904761904</v>
      </c>
      <c r="AM724" s="54">
        <f t="shared" si="680"/>
        <v>2.3809523809523808E-2</v>
      </c>
      <c r="AN724" s="55">
        <f t="shared" si="681"/>
        <v>0</v>
      </c>
      <c r="AO724" s="55">
        <f t="shared" si="682"/>
        <v>0</v>
      </c>
      <c r="AP724" s="53">
        <v>7.1</v>
      </c>
      <c r="AQ724" s="53">
        <f t="shared" si="650"/>
        <v>4.26</v>
      </c>
      <c r="AR724" s="53">
        <f t="shared" si="651"/>
        <v>21.299999999999997</v>
      </c>
      <c r="AS724" s="56">
        <f t="shared" si="652"/>
        <v>4.6948356807511742E-2</v>
      </c>
      <c r="AT724" s="56">
        <f t="shared" si="683"/>
        <v>0.23474178403755869</v>
      </c>
      <c r="AU724" s="56">
        <f t="shared" si="653"/>
        <v>0.176056338028169</v>
      </c>
      <c r="AV724" s="56">
        <f t="shared" si="684"/>
        <v>5.8685446009389672E-2</v>
      </c>
      <c r="AW724" s="57" t="s">
        <v>2511</v>
      </c>
      <c r="AX724" s="57" t="s">
        <v>2512</v>
      </c>
      <c r="AY724" s="57" t="s">
        <v>2513</v>
      </c>
      <c r="AZ724" s="58">
        <f t="shared" si="685"/>
        <v>0</v>
      </c>
      <c r="BA724" s="59">
        <f t="shared" si="689"/>
        <v>0</v>
      </c>
      <c r="BB724" s="59">
        <f t="shared" si="690"/>
        <v>0</v>
      </c>
      <c r="BC724" s="59">
        <f t="shared" si="691"/>
        <v>0</v>
      </c>
      <c r="BD724" s="60">
        <f t="shared" si="686"/>
        <v>0</v>
      </c>
      <c r="BE724" s="59">
        <f t="shared" si="687"/>
        <v>0</v>
      </c>
      <c r="BQ724" s="61">
        <v>3000</v>
      </c>
      <c r="BR724" s="61">
        <v>1200</v>
      </c>
      <c r="BS724" s="28">
        <f t="shared" si="654"/>
        <v>2980</v>
      </c>
      <c r="BT724" s="28">
        <f t="shared" si="655"/>
        <v>1180</v>
      </c>
      <c r="BU724" s="28" t="s">
        <v>2541</v>
      </c>
      <c r="BV724" s="28">
        <f t="shared" si="656"/>
        <v>5</v>
      </c>
      <c r="BW724" s="28">
        <f t="shared" si="657"/>
        <v>5</v>
      </c>
      <c r="BX724" s="13">
        <f t="shared" si="658"/>
        <v>596</v>
      </c>
      <c r="BY724" s="13">
        <f t="shared" si="659"/>
        <v>596</v>
      </c>
      <c r="BZ724" s="13">
        <f t="shared" si="660"/>
        <v>236</v>
      </c>
      <c r="CA724" s="13">
        <f t="shared" si="661"/>
        <v>236</v>
      </c>
      <c r="CB724" s="13">
        <f t="shared" si="662"/>
        <v>140656</v>
      </c>
      <c r="CC724" s="62" t="str">
        <f t="shared" si="663"/>
        <v/>
      </c>
      <c r="CD724" s="13">
        <f t="shared" si="664"/>
        <v>596</v>
      </c>
      <c r="CE724" s="13">
        <f t="shared" si="665"/>
        <v>596</v>
      </c>
      <c r="CF724" s="13">
        <f t="shared" si="666"/>
        <v>236</v>
      </c>
      <c r="CG724" s="13">
        <f t="shared" si="667"/>
        <v>236</v>
      </c>
      <c r="CH724" s="28">
        <f t="shared" si="668"/>
        <v>140656</v>
      </c>
      <c r="CI724" s="62" t="str">
        <f t="shared" si="669"/>
        <v/>
      </c>
      <c r="CJ724" s="59">
        <f t="shared" si="670"/>
        <v>0</v>
      </c>
      <c r="CL724" s="63">
        <v>6000</v>
      </c>
      <c r="CM724" s="63">
        <f t="shared" si="671"/>
        <v>0</v>
      </c>
      <c r="CN724" s="63">
        <f t="shared" si="672"/>
        <v>5</v>
      </c>
      <c r="CO724" s="63">
        <f t="shared" si="673"/>
        <v>1200</v>
      </c>
      <c r="CP724" s="13">
        <f t="shared" si="674"/>
        <v>1200</v>
      </c>
      <c r="CQ724" s="70">
        <f t="shared" si="675"/>
        <v>8.3333333333333339E-4</v>
      </c>
      <c r="CR724" s="69">
        <f t="shared" si="636"/>
        <v>8.3333333333333339E-4</v>
      </c>
    </row>
    <row r="725" spans="1:96" hidden="1" x14ac:dyDescent="0.25">
      <c r="A725" s="10">
        <v>3</v>
      </c>
      <c r="B725" s="8" t="s">
        <v>1718</v>
      </c>
      <c r="C725" s="10" t="s">
        <v>1719</v>
      </c>
      <c r="D725" s="10" t="s">
        <v>2270</v>
      </c>
      <c r="E725" s="10" t="s">
        <v>52</v>
      </c>
      <c r="F725" s="12">
        <f t="shared" si="644"/>
        <v>1</v>
      </c>
      <c r="G725" s="10">
        <v>1</v>
      </c>
      <c r="H725" s="10">
        <f>G725*$H$724</f>
        <v>1</v>
      </c>
      <c r="I725" s="10">
        <v>1</v>
      </c>
      <c r="J725" s="8" t="s">
        <v>508</v>
      </c>
      <c r="K725" s="8" t="s">
        <v>34</v>
      </c>
      <c r="L725" s="10" t="s">
        <v>194</v>
      </c>
      <c r="M725" s="8" t="s">
        <v>35</v>
      </c>
      <c r="N725" s="10" t="s">
        <v>1720</v>
      </c>
      <c r="O725" s="28" t="s">
        <v>41</v>
      </c>
      <c r="P725" s="28" t="s">
        <v>41</v>
      </c>
      <c r="Q725" s="28" t="s">
        <v>103</v>
      </c>
      <c r="R725" s="30">
        <v>45.951000000000001</v>
      </c>
      <c r="S725" s="30">
        <v>23.491</v>
      </c>
      <c r="T725" s="30"/>
      <c r="U725" s="30">
        <v>0.23622047244094491</v>
      </c>
      <c r="V725" s="8">
        <f t="shared" si="645"/>
        <v>1167.1553999999999</v>
      </c>
      <c r="W725" s="8">
        <f t="shared" si="646"/>
        <v>596.67139999999995</v>
      </c>
      <c r="X725" s="8">
        <f t="shared" si="647"/>
        <v>0</v>
      </c>
      <c r="Y725" s="33">
        <f t="shared" si="648"/>
        <v>6</v>
      </c>
      <c r="Z725" s="28" t="s">
        <v>56</v>
      </c>
      <c r="AA725" s="28" t="s">
        <v>57</v>
      </c>
      <c r="AB725" s="28" t="s">
        <v>103</v>
      </c>
      <c r="AC725" s="31" t="s">
        <v>104</v>
      </c>
      <c r="AD725" s="50">
        <f t="shared" si="649"/>
        <v>1</v>
      </c>
      <c r="AE725" s="31"/>
      <c r="AF725" s="51">
        <v>14</v>
      </c>
      <c r="AG725" s="51">
        <f t="shared" si="677"/>
        <v>8.4</v>
      </c>
      <c r="AH725" s="51">
        <f t="shared" si="643"/>
        <v>42</v>
      </c>
      <c r="AI725" s="52" t="s">
        <v>2497</v>
      </c>
      <c r="AJ725" s="52" t="s">
        <v>2498</v>
      </c>
      <c r="AK725" s="53">
        <f t="shared" si="678"/>
        <v>1.3928164930711198</v>
      </c>
      <c r="AL725" s="54">
        <f t="shared" si="679"/>
        <v>0.11904761904761904</v>
      </c>
      <c r="AM725" s="54">
        <f t="shared" si="680"/>
        <v>2.3809523809523808E-2</v>
      </c>
      <c r="AN725" s="55">
        <f t="shared" si="681"/>
        <v>0.1658114872703714</v>
      </c>
      <c r="AO725" s="55">
        <f t="shared" si="682"/>
        <v>3.3162297454074278E-2</v>
      </c>
      <c r="AP725" s="53">
        <v>7.1</v>
      </c>
      <c r="AQ725" s="53">
        <f t="shared" si="650"/>
        <v>4.26</v>
      </c>
      <c r="AR725" s="53">
        <f t="shared" si="651"/>
        <v>21.299999999999997</v>
      </c>
      <c r="AS725" s="56">
        <f t="shared" si="652"/>
        <v>4.6948356807511742E-2</v>
      </c>
      <c r="AT725" s="56">
        <f t="shared" si="683"/>
        <v>0.23474178403755869</v>
      </c>
      <c r="AU725" s="56">
        <f t="shared" si="653"/>
        <v>0.176056338028169</v>
      </c>
      <c r="AV725" s="56">
        <f t="shared" si="684"/>
        <v>5.8685446009389672E-2</v>
      </c>
      <c r="AW725" s="57" t="s">
        <v>2511</v>
      </c>
      <c r="AX725" s="57" t="s">
        <v>2512</v>
      </c>
      <c r="AY725" s="57" t="s">
        <v>2513</v>
      </c>
      <c r="AZ725" s="58">
        <f t="shared" si="685"/>
        <v>1.3928164930711198</v>
      </c>
      <c r="BA725" s="59">
        <f t="shared" si="689"/>
        <v>4.0869028552556329E-2</v>
      </c>
      <c r="BB725" s="59">
        <f t="shared" si="690"/>
        <v>0.12260708565766898</v>
      </c>
      <c r="BC725" s="59">
        <f t="shared" si="691"/>
        <v>3.2695222842045069E-2</v>
      </c>
      <c r="BD725" s="60">
        <f t="shared" si="686"/>
        <v>0.25</v>
      </c>
      <c r="BE725" s="59">
        <f t="shared" si="687"/>
        <v>0.25</v>
      </c>
      <c r="BQ725" s="61">
        <v>3000</v>
      </c>
      <c r="BR725" s="61">
        <v>1200</v>
      </c>
      <c r="BS725" s="28">
        <f t="shared" si="654"/>
        <v>2980</v>
      </c>
      <c r="BT725" s="28">
        <f t="shared" si="655"/>
        <v>1180</v>
      </c>
      <c r="BU725" s="28" t="s">
        <v>2541</v>
      </c>
      <c r="BV725" s="28">
        <f t="shared" si="656"/>
        <v>1172.1553999999999</v>
      </c>
      <c r="BW725" s="28">
        <f t="shared" si="657"/>
        <v>601.67139999999995</v>
      </c>
      <c r="BX725" s="13">
        <f t="shared" si="658"/>
        <v>2.5423250193617677</v>
      </c>
      <c r="BY725" s="13">
        <f t="shared" si="659"/>
        <v>2</v>
      </c>
      <c r="BZ725" s="13">
        <f t="shared" si="660"/>
        <v>1.9612034077072635</v>
      </c>
      <c r="CA725" s="13">
        <f t="shared" si="661"/>
        <v>1</v>
      </c>
      <c r="CB725" s="13">
        <f t="shared" si="662"/>
        <v>2</v>
      </c>
      <c r="CC725" s="62">
        <f t="shared" si="663"/>
        <v>0.5</v>
      </c>
      <c r="CD725" s="13">
        <f t="shared" si="664"/>
        <v>4.9528696228539371</v>
      </c>
      <c r="CE725" s="13">
        <f t="shared" si="665"/>
        <v>4</v>
      </c>
      <c r="CF725" s="13">
        <f t="shared" si="666"/>
        <v>1.0066924573311697</v>
      </c>
      <c r="CG725" s="13">
        <f t="shared" si="667"/>
        <v>1</v>
      </c>
      <c r="CH725" s="28">
        <f t="shared" si="668"/>
        <v>4</v>
      </c>
      <c r="CI725" s="62">
        <f t="shared" si="669"/>
        <v>0.25</v>
      </c>
      <c r="CJ725" s="59">
        <f t="shared" si="670"/>
        <v>0.25</v>
      </c>
      <c r="CL725" s="63">
        <v>6000</v>
      </c>
      <c r="CM725" s="63">
        <f t="shared" si="671"/>
        <v>1167.1553999999999</v>
      </c>
      <c r="CN725" s="63">
        <f t="shared" si="672"/>
        <v>1172.1553999999999</v>
      </c>
      <c r="CO725" s="63">
        <f t="shared" si="673"/>
        <v>5.1187752067686594</v>
      </c>
      <c r="CP725" s="13">
        <f t="shared" si="674"/>
        <v>5</v>
      </c>
      <c r="CQ725" s="70">
        <f t="shared" si="675"/>
        <v>0.2</v>
      </c>
      <c r="CR725" s="69">
        <f t="shared" si="636"/>
        <v>0.2</v>
      </c>
    </row>
    <row r="726" spans="1:96" hidden="1" x14ac:dyDescent="0.25">
      <c r="A726" s="10">
        <v>3</v>
      </c>
      <c r="B726" s="8" t="s">
        <v>1718</v>
      </c>
      <c r="C726" s="10" t="s">
        <v>1490</v>
      </c>
      <c r="D726" s="10" t="s">
        <v>1492</v>
      </c>
      <c r="E726" s="10" t="s">
        <v>52</v>
      </c>
      <c r="F726" s="12">
        <f t="shared" si="644"/>
        <v>2</v>
      </c>
      <c r="G726" s="10">
        <v>6</v>
      </c>
      <c r="H726" s="10">
        <f>G726*$H$724</f>
        <v>6</v>
      </c>
      <c r="I726" s="10">
        <v>2</v>
      </c>
      <c r="J726" s="8" t="s">
        <v>1491</v>
      </c>
      <c r="K726" s="8" t="s">
        <v>34</v>
      </c>
      <c r="L726" s="10">
        <v>0</v>
      </c>
      <c r="M726" s="8" t="s">
        <v>35</v>
      </c>
      <c r="N726" s="10" t="s">
        <v>1492</v>
      </c>
      <c r="O726" s="28" t="s">
        <v>41</v>
      </c>
      <c r="P726" s="28" t="s">
        <v>41</v>
      </c>
      <c r="Q726" s="28" t="s">
        <v>1492</v>
      </c>
      <c r="R726" s="30"/>
      <c r="S726" s="30"/>
      <c r="T726" s="30"/>
      <c r="U726" s="30"/>
      <c r="V726" s="8">
        <f t="shared" si="645"/>
        <v>0</v>
      </c>
      <c r="W726" s="8">
        <f t="shared" si="646"/>
        <v>0</v>
      </c>
      <c r="X726" s="8">
        <f t="shared" si="647"/>
        <v>0</v>
      </c>
      <c r="Y726" s="33">
        <f t="shared" si="648"/>
        <v>0</v>
      </c>
      <c r="Z726" s="28"/>
      <c r="AA726" s="28"/>
      <c r="AB726" s="61" t="s">
        <v>1492</v>
      </c>
      <c r="AC726" s="31" t="s">
        <v>1493</v>
      </c>
      <c r="AD726" s="50">
        <f t="shared" si="649"/>
        <v>6</v>
      </c>
      <c r="AE726" s="31"/>
      <c r="AF726" s="51">
        <v>14</v>
      </c>
      <c r="AG726" s="51">
        <f t="shared" si="677"/>
        <v>8.4</v>
      </c>
      <c r="AH726" s="51">
        <f t="shared" si="643"/>
        <v>42</v>
      </c>
      <c r="AI726" s="52" t="s">
        <v>2497</v>
      </c>
      <c r="AJ726" s="52" t="s">
        <v>2498</v>
      </c>
      <c r="AK726" s="53">
        <f t="shared" si="678"/>
        <v>0</v>
      </c>
      <c r="AL726" s="54">
        <f t="shared" si="679"/>
        <v>0.11904761904761904</v>
      </c>
      <c r="AM726" s="54">
        <f t="shared" si="680"/>
        <v>2.3809523809523808E-2</v>
      </c>
      <c r="AN726" s="55">
        <f t="shared" si="681"/>
        <v>0</v>
      </c>
      <c r="AO726" s="55">
        <f t="shared" si="682"/>
        <v>0</v>
      </c>
      <c r="AP726" s="53">
        <v>7.1</v>
      </c>
      <c r="AQ726" s="53">
        <f t="shared" si="650"/>
        <v>4.26</v>
      </c>
      <c r="AR726" s="53">
        <f t="shared" si="651"/>
        <v>21.299999999999997</v>
      </c>
      <c r="AS726" s="56">
        <f t="shared" si="652"/>
        <v>4.6948356807511742E-2</v>
      </c>
      <c r="AT726" s="56">
        <f t="shared" si="683"/>
        <v>0.23474178403755869</v>
      </c>
      <c r="AU726" s="56">
        <f t="shared" si="653"/>
        <v>0.176056338028169</v>
      </c>
      <c r="AV726" s="56">
        <f t="shared" si="684"/>
        <v>5.8685446009389672E-2</v>
      </c>
      <c r="AW726" s="57" t="s">
        <v>2511</v>
      </c>
      <c r="AX726" s="57" t="s">
        <v>2512</v>
      </c>
      <c r="AY726" s="57" t="s">
        <v>2513</v>
      </c>
      <c r="AZ726" s="58">
        <f t="shared" si="685"/>
        <v>0</v>
      </c>
      <c r="BA726" s="59">
        <f t="shared" si="689"/>
        <v>0</v>
      </c>
      <c r="BB726" s="59">
        <f t="shared" si="690"/>
        <v>0</v>
      </c>
      <c r="BC726" s="59">
        <f t="shared" si="691"/>
        <v>0</v>
      </c>
      <c r="BD726" s="60">
        <f t="shared" si="686"/>
        <v>7.1095438516664771E-6</v>
      </c>
      <c r="BE726" s="59">
        <f t="shared" si="687"/>
        <v>4.2657263109998864E-5</v>
      </c>
      <c r="BQ726" s="61">
        <v>3000</v>
      </c>
      <c r="BR726" s="61">
        <v>1200</v>
      </c>
      <c r="BS726" s="28">
        <f t="shared" si="654"/>
        <v>2980</v>
      </c>
      <c r="BT726" s="28">
        <f t="shared" si="655"/>
        <v>1180</v>
      </c>
      <c r="BU726" s="28" t="s">
        <v>2541</v>
      </c>
      <c r="BV726" s="28">
        <f t="shared" si="656"/>
        <v>5</v>
      </c>
      <c r="BW726" s="28">
        <f t="shared" si="657"/>
        <v>5</v>
      </c>
      <c r="BX726" s="13">
        <f t="shared" si="658"/>
        <v>596</v>
      </c>
      <c r="BY726" s="13">
        <f t="shared" si="659"/>
        <v>596</v>
      </c>
      <c r="BZ726" s="13">
        <f t="shared" si="660"/>
        <v>236</v>
      </c>
      <c r="CA726" s="13">
        <f t="shared" si="661"/>
        <v>236</v>
      </c>
      <c r="CB726" s="13">
        <f t="shared" si="662"/>
        <v>140656</v>
      </c>
      <c r="CC726" s="62">
        <f t="shared" si="663"/>
        <v>7.1095438516664771E-6</v>
      </c>
      <c r="CD726" s="13">
        <f t="shared" si="664"/>
        <v>596</v>
      </c>
      <c r="CE726" s="13">
        <f t="shared" si="665"/>
        <v>596</v>
      </c>
      <c r="CF726" s="13">
        <f t="shared" si="666"/>
        <v>236</v>
      </c>
      <c r="CG726" s="13">
        <f t="shared" si="667"/>
        <v>236</v>
      </c>
      <c r="CH726" s="28">
        <f t="shared" si="668"/>
        <v>140656</v>
      </c>
      <c r="CI726" s="62">
        <f t="shared" si="669"/>
        <v>7.1095438516664771E-6</v>
      </c>
      <c r="CJ726" s="59">
        <f t="shared" si="670"/>
        <v>7.1095438516664771E-6</v>
      </c>
      <c r="CL726" s="63">
        <v>6000</v>
      </c>
      <c r="CM726" s="63">
        <f t="shared" si="671"/>
        <v>0</v>
      </c>
      <c r="CN726" s="63">
        <f t="shared" si="672"/>
        <v>5</v>
      </c>
      <c r="CO726" s="63">
        <f t="shared" si="673"/>
        <v>1200</v>
      </c>
      <c r="CP726" s="13">
        <f t="shared" si="674"/>
        <v>1200</v>
      </c>
      <c r="CQ726" s="70">
        <f t="shared" si="675"/>
        <v>8.3333333333333339E-4</v>
      </c>
      <c r="CR726" s="69">
        <f t="shared" si="636"/>
        <v>5.0000000000000001E-3</v>
      </c>
    </row>
    <row r="727" spans="1:96" hidden="1" x14ac:dyDescent="0.25">
      <c r="A727" s="36">
        <v>2</v>
      </c>
      <c r="B727" s="37" t="s">
        <v>37</v>
      </c>
      <c r="C727" s="36" t="s">
        <v>1721</v>
      </c>
      <c r="D727" s="36" t="s">
        <v>2270</v>
      </c>
      <c r="E727" s="36" t="s">
        <v>52</v>
      </c>
      <c r="F727" s="38">
        <f t="shared" si="644"/>
        <v>1</v>
      </c>
      <c r="G727" s="36">
        <v>2</v>
      </c>
      <c r="H727" s="36">
        <f t="shared" ref="H727:H738" si="696">G727*$H$3</f>
        <v>2</v>
      </c>
      <c r="I727" s="36">
        <v>243</v>
      </c>
      <c r="J727" s="37" t="s">
        <v>1722</v>
      </c>
      <c r="K727" s="37" t="s">
        <v>34</v>
      </c>
      <c r="L727" s="36" t="s">
        <v>110</v>
      </c>
      <c r="M727" s="37" t="s">
        <v>35</v>
      </c>
      <c r="N727" s="36" t="s">
        <v>1723</v>
      </c>
      <c r="O727" s="28" t="s">
        <v>41</v>
      </c>
      <c r="P727" s="28" t="s">
        <v>41</v>
      </c>
      <c r="Q727" s="28" t="s">
        <v>249</v>
      </c>
      <c r="R727" s="30">
        <v>8.1750000000000007</v>
      </c>
      <c r="S727" s="30">
        <v>5.9379999999999997</v>
      </c>
      <c r="T727" s="30"/>
      <c r="U727" s="30">
        <v>0.19700000000000001</v>
      </c>
      <c r="V727" s="8">
        <f t="shared" si="645"/>
        <v>207.64500000000001</v>
      </c>
      <c r="W727" s="8">
        <f t="shared" si="646"/>
        <v>150.8252</v>
      </c>
      <c r="X727" s="8">
        <f t="shared" si="647"/>
        <v>0</v>
      </c>
      <c r="Y727" s="33">
        <f t="shared" si="648"/>
        <v>5.0038</v>
      </c>
      <c r="Z727" s="28" t="s">
        <v>250</v>
      </c>
      <c r="AA727" s="28" t="s">
        <v>251</v>
      </c>
      <c r="AB727" s="61" t="s">
        <v>249</v>
      </c>
      <c r="AC727" s="31" t="s">
        <v>252</v>
      </c>
      <c r="AD727" s="50">
        <f t="shared" si="649"/>
        <v>2</v>
      </c>
      <c r="AE727" s="31"/>
      <c r="AF727" s="51">
        <v>14</v>
      </c>
      <c r="AG727" s="51">
        <f t="shared" si="677"/>
        <v>8.4</v>
      </c>
      <c r="AH727" s="51">
        <f t="shared" si="643"/>
        <v>42</v>
      </c>
      <c r="AI727" s="52" t="s">
        <v>2497</v>
      </c>
      <c r="AJ727" s="52" t="s">
        <v>2498</v>
      </c>
      <c r="AK727" s="53">
        <f t="shared" si="678"/>
        <v>6.2636197308000005E-2</v>
      </c>
      <c r="AL727" s="54">
        <f t="shared" si="679"/>
        <v>0.11904761904761904</v>
      </c>
      <c r="AM727" s="54">
        <f t="shared" si="680"/>
        <v>2.3809523809523808E-2</v>
      </c>
      <c r="AN727" s="55">
        <f t="shared" si="681"/>
        <v>1.4913380311428573E-2</v>
      </c>
      <c r="AO727" s="55">
        <f t="shared" si="682"/>
        <v>2.9826760622857144E-3</v>
      </c>
      <c r="AP727" s="53">
        <v>7.1</v>
      </c>
      <c r="AQ727" s="53">
        <f t="shared" si="650"/>
        <v>4.26</v>
      </c>
      <c r="AR727" s="53">
        <f t="shared" si="651"/>
        <v>21.299999999999997</v>
      </c>
      <c r="AS727" s="56">
        <f t="shared" si="652"/>
        <v>4.6948356807511742E-2</v>
      </c>
      <c r="AT727" s="56">
        <f t="shared" si="683"/>
        <v>0.23474178403755869</v>
      </c>
      <c r="AU727" s="56">
        <f t="shared" si="653"/>
        <v>0.176056338028169</v>
      </c>
      <c r="AV727" s="56">
        <f t="shared" si="684"/>
        <v>5.8685446009389672E-2</v>
      </c>
      <c r="AW727" s="57" t="s">
        <v>2511</v>
      </c>
      <c r="AX727" s="57" t="s">
        <v>2512</v>
      </c>
      <c r="AY727" s="57" t="s">
        <v>2513</v>
      </c>
      <c r="AZ727" s="58">
        <f t="shared" si="685"/>
        <v>6.2636197308000005E-2</v>
      </c>
      <c r="BA727" s="59">
        <f t="shared" si="689"/>
        <v>3.6758331753521129E-3</v>
      </c>
      <c r="BB727" s="59">
        <f t="shared" si="690"/>
        <v>1.1027499526056339E-2</v>
      </c>
      <c r="BC727" s="59">
        <f t="shared" si="691"/>
        <v>2.9406665402816907E-3</v>
      </c>
      <c r="BD727" s="60">
        <f t="shared" si="686"/>
        <v>1.020408163265306E-2</v>
      </c>
      <c r="BE727" s="59">
        <f t="shared" si="687"/>
        <v>2.0408163265306121E-2</v>
      </c>
      <c r="BQ727" s="61">
        <v>3000</v>
      </c>
      <c r="BR727" s="61">
        <v>1200</v>
      </c>
      <c r="BS727" s="28">
        <f t="shared" si="654"/>
        <v>2980</v>
      </c>
      <c r="BT727" s="28">
        <f t="shared" si="655"/>
        <v>1180</v>
      </c>
      <c r="BU727" s="28" t="s">
        <v>2541</v>
      </c>
      <c r="BV727" s="28">
        <f t="shared" si="656"/>
        <v>212.64500000000001</v>
      </c>
      <c r="BW727" s="28">
        <f t="shared" si="657"/>
        <v>155.8252</v>
      </c>
      <c r="BX727" s="13">
        <f t="shared" si="658"/>
        <v>14.013966940205506</v>
      </c>
      <c r="BY727" s="13">
        <f t="shared" si="659"/>
        <v>14</v>
      </c>
      <c r="BZ727" s="13">
        <f t="shared" si="660"/>
        <v>7.5725877457561426</v>
      </c>
      <c r="CA727" s="13">
        <f t="shared" si="661"/>
        <v>7</v>
      </c>
      <c r="CB727" s="13">
        <f t="shared" si="662"/>
        <v>98</v>
      </c>
      <c r="CC727" s="62">
        <f t="shared" si="663"/>
        <v>1.020408163265306E-2</v>
      </c>
      <c r="CD727" s="13">
        <f t="shared" si="664"/>
        <v>19.123992781655343</v>
      </c>
      <c r="CE727" s="13">
        <f t="shared" si="665"/>
        <v>19</v>
      </c>
      <c r="CF727" s="13">
        <f t="shared" si="666"/>
        <v>5.5491546944437911</v>
      </c>
      <c r="CG727" s="13">
        <f t="shared" si="667"/>
        <v>5</v>
      </c>
      <c r="CH727" s="28">
        <f t="shared" si="668"/>
        <v>95</v>
      </c>
      <c r="CI727" s="62">
        <f t="shared" si="669"/>
        <v>1.0526315789473684E-2</v>
      </c>
      <c r="CJ727" s="59">
        <f t="shared" si="670"/>
        <v>1.020408163265306E-2</v>
      </c>
      <c r="CL727" s="63">
        <v>6000</v>
      </c>
      <c r="CM727" s="63">
        <f t="shared" si="671"/>
        <v>207.64500000000001</v>
      </c>
      <c r="CN727" s="63">
        <f t="shared" si="672"/>
        <v>212.64500000000001</v>
      </c>
      <c r="CO727" s="63">
        <f t="shared" si="673"/>
        <v>28.216040819205716</v>
      </c>
      <c r="CP727" s="13">
        <f t="shared" si="674"/>
        <v>28</v>
      </c>
      <c r="CQ727" s="70">
        <f t="shared" si="675"/>
        <v>3.5714285714285712E-2</v>
      </c>
      <c r="CR727" s="69">
        <f t="shared" si="636"/>
        <v>7.1428571428571425E-2</v>
      </c>
    </row>
    <row r="728" spans="1:96" hidden="1" x14ac:dyDescent="0.25">
      <c r="A728" s="36">
        <v>2</v>
      </c>
      <c r="B728" s="37" t="s">
        <v>37</v>
      </c>
      <c r="C728" s="36" t="s">
        <v>1724</v>
      </c>
      <c r="D728" s="36" t="s">
        <v>2270</v>
      </c>
      <c r="E728" s="36" t="s">
        <v>52</v>
      </c>
      <c r="F728" s="38">
        <f t="shared" si="644"/>
        <v>1</v>
      </c>
      <c r="G728" s="36">
        <v>1</v>
      </c>
      <c r="H728" s="36">
        <f t="shared" si="696"/>
        <v>1</v>
      </c>
      <c r="I728" s="36">
        <v>244</v>
      </c>
      <c r="J728" s="37" t="s">
        <v>1725</v>
      </c>
      <c r="K728" s="37" t="s">
        <v>34</v>
      </c>
      <c r="L728" s="36" t="s">
        <v>110</v>
      </c>
      <c r="M728" s="37" t="s">
        <v>35</v>
      </c>
      <c r="N728" s="36" t="s">
        <v>1726</v>
      </c>
      <c r="O728" s="28" t="s">
        <v>41</v>
      </c>
      <c r="P728" s="28" t="s">
        <v>41</v>
      </c>
      <c r="Q728" s="28" t="s">
        <v>79</v>
      </c>
      <c r="R728" s="30">
        <v>4.125</v>
      </c>
      <c r="S728" s="30">
        <v>0.3125</v>
      </c>
      <c r="T728" s="30"/>
      <c r="U728" s="30">
        <v>0.3125</v>
      </c>
      <c r="V728" s="8">
        <f t="shared" si="645"/>
        <v>104.77499999999999</v>
      </c>
      <c r="W728" s="8">
        <f t="shared" si="646"/>
        <v>7.9375</v>
      </c>
      <c r="X728" s="8">
        <f t="shared" si="647"/>
        <v>0</v>
      </c>
      <c r="Y728" s="33">
        <f t="shared" si="648"/>
        <v>7.9375</v>
      </c>
      <c r="Z728" s="28" t="s">
        <v>80</v>
      </c>
      <c r="AA728" s="28" t="s">
        <v>81</v>
      </c>
      <c r="AB728" s="61" t="s">
        <v>79</v>
      </c>
      <c r="AC728" s="31" t="s">
        <v>82</v>
      </c>
      <c r="AD728" s="50">
        <f t="shared" si="649"/>
        <v>1</v>
      </c>
      <c r="AE728" s="31"/>
      <c r="AF728" s="51">
        <v>14</v>
      </c>
      <c r="AG728" s="51">
        <f t="shared" si="677"/>
        <v>8.4</v>
      </c>
      <c r="AH728" s="51">
        <f t="shared" si="643"/>
        <v>42</v>
      </c>
      <c r="AI728" s="52" t="s">
        <v>2497</v>
      </c>
      <c r="AJ728" s="52" t="s">
        <v>2498</v>
      </c>
      <c r="AK728" s="53">
        <f t="shared" si="678"/>
        <v>1.6633031249999998E-3</v>
      </c>
      <c r="AL728" s="54">
        <f t="shared" si="679"/>
        <v>0.11904761904761904</v>
      </c>
      <c r="AM728" s="54">
        <f t="shared" si="680"/>
        <v>2.3809523809523808E-2</v>
      </c>
      <c r="AN728" s="55">
        <f t="shared" si="681"/>
        <v>1.9801227678571426E-4</v>
      </c>
      <c r="AO728" s="55">
        <f t="shared" si="682"/>
        <v>3.9602455357142853E-5</v>
      </c>
      <c r="AP728" s="53">
        <v>7.1</v>
      </c>
      <c r="AQ728" s="53">
        <f t="shared" si="650"/>
        <v>4.26</v>
      </c>
      <c r="AR728" s="53">
        <f t="shared" si="651"/>
        <v>21.299999999999997</v>
      </c>
      <c r="AS728" s="56">
        <f t="shared" si="652"/>
        <v>4.6948356807511742E-2</v>
      </c>
      <c r="AT728" s="56">
        <f t="shared" si="683"/>
        <v>0.23474178403755869</v>
      </c>
      <c r="AU728" s="56">
        <f t="shared" si="653"/>
        <v>0.176056338028169</v>
      </c>
      <c r="AV728" s="56">
        <f t="shared" si="684"/>
        <v>5.8685446009389672E-2</v>
      </c>
      <c r="AW728" s="57" t="s">
        <v>2511</v>
      </c>
      <c r="AX728" s="57" t="s">
        <v>2512</v>
      </c>
      <c r="AY728" s="57" t="s">
        <v>2513</v>
      </c>
      <c r="AZ728" s="58">
        <f t="shared" si="685"/>
        <v>1.6633031249999998E-3</v>
      </c>
      <c r="BA728" s="59">
        <f t="shared" si="689"/>
        <v>4.8805842869718307E-5</v>
      </c>
      <c r="BB728" s="59">
        <f t="shared" si="690"/>
        <v>1.4641752860915491E-4</v>
      </c>
      <c r="BC728" s="59">
        <f t="shared" si="691"/>
        <v>3.9044674295774647E-5</v>
      </c>
      <c r="BD728" s="60">
        <f t="shared" si="686"/>
        <v>4.0700040700040698E-4</v>
      </c>
      <c r="BE728" s="59">
        <f t="shared" si="687"/>
        <v>4.0700040700040698E-4</v>
      </c>
      <c r="BQ728" s="61">
        <v>3000</v>
      </c>
      <c r="BR728" s="61">
        <v>1200</v>
      </c>
      <c r="BS728" s="28">
        <f t="shared" si="654"/>
        <v>2980</v>
      </c>
      <c r="BT728" s="28">
        <f t="shared" si="655"/>
        <v>1180</v>
      </c>
      <c r="BU728" s="28" t="s">
        <v>2541</v>
      </c>
      <c r="BV728" s="28">
        <f t="shared" si="656"/>
        <v>109.77499999999999</v>
      </c>
      <c r="BW728" s="28">
        <f t="shared" si="657"/>
        <v>12.9375</v>
      </c>
      <c r="BX728" s="13">
        <f t="shared" si="658"/>
        <v>27.14643589159645</v>
      </c>
      <c r="BY728" s="13">
        <f t="shared" si="659"/>
        <v>27</v>
      </c>
      <c r="BZ728" s="13">
        <f t="shared" si="660"/>
        <v>91.207729468599027</v>
      </c>
      <c r="CA728" s="13">
        <f t="shared" si="661"/>
        <v>91</v>
      </c>
      <c r="CB728" s="13">
        <f t="shared" si="662"/>
        <v>2457</v>
      </c>
      <c r="CC728" s="62">
        <f t="shared" si="663"/>
        <v>4.0700040700040698E-4</v>
      </c>
      <c r="CD728" s="13">
        <f t="shared" si="664"/>
        <v>230.33816425120773</v>
      </c>
      <c r="CE728" s="13">
        <f t="shared" si="665"/>
        <v>230</v>
      </c>
      <c r="CF728" s="13">
        <f t="shared" si="666"/>
        <v>10.749259849692553</v>
      </c>
      <c r="CG728" s="13">
        <f t="shared" si="667"/>
        <v>10</v>
      </c>
      <c r="CH728" s="28">
        <f t="shared" si="668"/>
        <v>2300</v>
      </c>
      <c r="CI728" s="62">
        <f t="shared" si="669"/>
        <v>4.3478260869565219E-4</v>
      </c>
      <c r="CJ728" s="59">
        <f t="shared" si="670"/>
        <v>4.0700040700040698E-4</v>
      </c>
      <c r="CL728" s="63">
        <v>6000</v>
      </c>
      <c r="CM728" s="63">
        <f t="shared" si="671"/>
        <v>104.77499999999999</v>
      </c>
      <c r="CN728" s="63">
        <f t="shared" si="672"/>
        <v>109.77499999999999</v>
      </c>
      <c r="CO728" s="63">
        <f t="shared" si="673"/>
        <v>54.657253473012986</v>
      </c>
      <c r="CP728" s="13">
        <f t="shared" si="674"/>
        <v>54</v>
      </c>
      <c r="CQ728" s="70">
        <f t="shared" si="675"/>
        <v>1.8518518518518517E-2</v>
      </c>
      <c r="CR728" s="69">
        <f t="shared" si="636"/>
        <v>1.8518518518518517E-2</v>
      </c>
    </row>
    <row r="729" spans="1:96" hidden="1" x14ac:dyDescent="0.25">
      <c r="A729" s="36">
        <v>2</v>
      </c>
      <c r="B729" s="37" t="s">
        <v>37</v>
      </c>
      <c r="C729" s="36" t="s">
        <v>1727</v>
      </c>
      <c r="D729" s="36" t="s">
        <v>2270</v>
      </c>
      <c r="E729" s="36" t="s">
        <v>52</v>
      </c>
      <c r="F729" s="38">
        <f t="shared" si="644"/>
        <v>1</v>
      </c>
      <c r="G729" s="36">
        <v>1</v>
      </c>
      <c r="H729" s="36">
        <f t="shared" si="696"/>
        <v>1</v>
      </c>
      <c r="I729" s="36">
        <v>247</v>
      </c>
      <c r="J729" s="37" t="s">
        <v>1728</v>
      </c>
      <c r="K729" s="37" t="s">
        <v>34</v>
      </c>
      <c r="L729" s="36">
        <v>0</v>
      </c>
      <c r="M729" s="37" t="s">
        <v>35</v>
      </c>
      <c r="N729" s="36" t="s">
        <v>1729</v>
      </c>
      <c r="O729" s="28" t="s">
        <v>41</v>
      </c>
      <c r="P729" s="28" t="s">
        <v>41</v>
      </c>
      <c r="Q729" s="28" t="s">
        <v>116</v>
      </c>
      <c r="R729" s="30">
        <v>24.994</v>
      </c>
      <c r="S729" s="30">
        <v>3.81</v>
      </c>
      <c r="T729" s="30"/>
      <c r="U729" s="30">
        <v>0.11799999999999999</v>
      </c>
      <c r="V729" s="8">
        <f t="shared" si="645"/>
        <v>634.84759999999994</v>
      </c>
      <c r="W729" s="8">
        <f t="shared" si="646"/>
        <v>96.774000000000001</v>
      </c>
      <c r="X729" s="8">
        <f t="shared" si="647"/>
        <v>0</v>
      </c>
      <c r="Y729" s="33">
        <f t="shared" si="648"/>
        <v>2.9971999999999999</v>
      </c>
      <c r="Z729" s="28" t="s">
        <v>56</v>
      </c>
      <c r="AA729" s="28" t="s">
        <v>57</v>
      </c>
      <c r="AB729" s="28" t="s">
        <v>116</v>
      </c>
      <c r="AC729" s="31" t="s">
        <v>117</v>
      </c>
      <c r="AD729" s="50">
        <f t="shared" si="649"/>
        <v>1</v>
      </c>
      <c r="AE729" s="31"/>
      <c r="AF729" s="51">
        <v>14</v>
      </c>
      <c r="AG729" s="51">
        <f t="shared" si="677"/>
        <v>8.4</v>
      </c>
      <c r="AH729" s="51">
        <f t="shared" si="643"/>
        <v>42</v>
      </c>
      <c r="AI729" s="52" t="s">
        <v>2497</v>
      </c>
      <c r="AJ729" s="52" t="s">
        <v>2498</v>
      </c>
      <c r="AK729" s="53">
        <f t="shared" si="678"/>
        <v>0.12287348328479999</v>
      </c>
      <c r="AL729" s="54">
        <f t="shared" si="679"/>
        <v>0.11904761904761904</v>
      </c>
      <c r="AM729" s="54">
        <f t="shared" si="680"/>
        <v>2.3809523809523808E-2</v>
      </c>
      <c r="AN729" s="55">
        <f t="shared" si="681"/>
        <v>1.4627795629142855E-2</v>
      </c>
      <c r="AO729" s="55">
        <f t="shared" si="682"/>
        <v>2.925559125828571E-3</v>
      </c>
      <c r="AP729" s="53">
        <v>7.1</v>
      </c>
      <c r="AQ729" s="53">
        <f t="shared" si="650"/>
        <v>4.26</v>
      </c>
      <c r="AR729" s="53">
        <f t="shared" si="651"/>
        <v>21.299999999999997</v>
      </c>
      <c r="AS729" s="56">
        <f t="shared" si="652"/>
        <v>4.6948356807511742E-2</v>
      </c>
      <c r="AT729" s="56">
        <f t="shared" si="683"/>
        <v>0.23474178403755869</v>
      </c>
      <c r="AU729" s="56">
        <f t="shared" si="653"/>
        <v>0.176056338028169</v>
      </c>
      <c r="AV729" s="56">
        <f t="shared" si="684"/>
        <v>5.8685446009389672E-2</v>
      </c>
      <c r="AW729" s="57" t="s">
        <v>2511</v>
      </c>
      <c r="AX729" s="57" t="s">
        <v>2512</v>
      </c>
      <c r="AY729" s="57" t="s">
        <v>2513</v>
      </c>
      <c r="AZ729" s="58">
        <f t="shared" si="685"/>
        <v>0.12287348328479999</v>
      </c>
      <c r="BA729" s="59">
        <f t="shared" si="689"/>
        <v>3.6054425846478873E-3</v>
      </c>
      <c r="BB729" s="59">
        <f t="shared" si="690"/>
        <v>1.0816327753943662E-2</v>
      </c>
      <c r="BC729" s="59">
        <f t="shared" si="691"/>
        <v>2.8843540677183101E-3</v>
      </c>
      <c r="BD729" s="60">
        <f t="shared" si="686"/>
        <v>2.2727272727272728E-2</v>
      </c>
      <c r="BE729" s="59">
        <f t="shared" si="687"/>
        <v>2.2727272727272728E-2</v>
      </c>
      <c r="BQ729" s="61">
        <v>3000</v>
      </c>
      <c r="BR729" s="61">
        <v>1200</v>
      </c>
      <c r="BS729" s="28">
        <f t="shared" si="654"/>
        <v>2980</v>
      </c>
      <c r="BT729" s="28">
        <f t="shared" si="655"/>
        <v>1180</v>
      </c>
      <c r="BU729" s="28" t="s">
        <v>2541</v>
      </c>
      <c r="BV729" s="28">
        <f t="shared" si="656"/>
        <v>639.84759999999994</v>
      </c>
      <c r="BW729" s="28">
        <f t="shared" si="657"/>
        <v>101.774</v>
      </c>
      <c r="BX729" s="13">
        <f t="shared" si="658"/>
        <v>4.6573590336198816</v>
      </c>
      <c r="BY729" s="13">
        <f t="shared" si="659"/>
        <v>4</v>
      </c>
      <c r="BZ729" s="13">
        <f t="shared" si="660"/>
        <v>11.594316819619943</v>
      </c>
      <c r="CA729" s="13">
        <f t="shared" si="661"/>
        <v>11</v>
      </c>
      <c r="CB729" s="13">
        <f t="shared" si="662"/>
        <v>44</v>
      </c>
      <c r="CC729" s="62">
        <f t="shared" si="663"/>
        <v>2.2727272727272728E-2</v>
      </c>
      <c r="CD729" s="13">
        <f t="shared" si="664"/>
        <v>29.280562815650363</v>
      </c>
      <c r="CE729" s="13">
        <f t="shared" si="665"/>
        <v>29</v>
      </c>
      <c r="CF729" s="13">
        <f t="shared" si="666"/>
        <v>1.8441891475407584</v>
      </c>
      <c r="CG729" s="13">
        <f t="shared" si="667"/>
        <v>1</v>
      </c>
      <c r="CH729" s="28">
        <f t="shared" si="668"/>
        <v>29</v>
      </c>
      <c r="CI729" s="62">
        <f t="shared" si="669"/>
        <v>3.4482758620689655E-2</v>
      </c>
      <c r="CJ729" s="59">
        <f t="shared" si="670"/>
        <v>2.2727272727272728E-2</v>
      </c>
      <c r="CL729" s="63">
        <v>6000</v>
      </c>
      <c r="CM729" s="63">
        <f t="shared" si="671"/>
        <v>634.84759999999994</v>
      </c>
      <c r="CN729" s="63">
        <f t="shared" si="672"/>
        <v>639.84759999999994</v>
      </c>
      <c r="CO729" s="63">
        <f t="shared" si="673"/>
        <v>9.3772329535970762</v>
      </c>
      <c r="CP729" s="13">
        <f t="shared" si="674"/>
        <v>9</v>
      </c>
      <c r="CQ729" s="70">
        <f t="shared" si="675"/>
        <v>0.1111111111111111</v>
      </c>
      <c r="CR729" s="69">
        <f t="shared" si="636"/>
        <v>0.1111111111111111</v>
      </c>
    </row>
    <row r="730" spans="1:96" hidden="1" x14ac:dyDescent="0.25">
      <c r="A730" s="36">
        <v>2</v>
      </c>
      <c r="B730" s="37" t="s">
        <v>37</v>
      </c>
      <c r="C730" s="36" t="s">
        <v>1730</v>
      </c>
      <c r="D730" s="36" t="s">
        <v>2270</v>
      </c>
      <c r="E730" s="36" t="s">
        <v>52</v>
      </c>
      <c r="F730" s="38">
        <f t="shared" si="644"/>
        <v>1</v>
      </c>
      <c r="G730" s="36">
        <v>1</v>
      </c>
      <c r="H730" s="36">
        <f t="shared" si="696"/>
        <v>1</v>
      </c>
      <c r="I730" s="36">
        <v>248</v>
      </c>
      <c r="J730" s="37" t="s">
        <v>1728</v>
      </c>
      <c r="K730" s="37" t="s">
        <v>34</v>
      </c>
      <c r="L730" s="36">
        <v>0</v>
      </c>
      <c r="M730" s="37" t="s">
        <v>35</v>
      </c>
      <c r="N730" s="36" t="s">
        <v>1731</v>
      </c>
      <c r="O730" s="28" t="s">
        <v>41</v>
      </c>
      <c r="P730" s="28" t="s">
        <v>41</v>
      </c>
      <c r="Q730" s="28" t="s">
        <v>116</v>
      </c>
      <c r="R730" s="30">
        <v>24.962</v>
      </c>
      <c r="S730" s="30">
        <v>6.952</v>
      </c>
      <c r="T730" s="30"/>
      <c r="U730" s="30">
        <v>0.11799999999999999</v>
      </c>
      <c r="V730" s="8">
        <f t="shared" si="645"/>
        <v>634.0347999999999</v>
      </c>
      <c r="W730" s="8">
        <f t="shared" si="646"/>
        <v>176.58079999999998</v>
      </c>
      <c r="X730" s="8">
        <f t="shared" si="647"/>
        <v>0</v>
      </c>
      <c r="Y730" s="33">
        <f t="shared" si="648"/>
        <v>2.9971999999999999</v>
      </c>
      <c r="Z730" s="28" t="s">
        <v>56</v>
      </c>
      <c r="AA730" s="28" t="s">
        <v>57</v>
      </c>
      <c r="AB730" s="28" t="s">
        <v>116</v>
      </c>
      <c r="AC730" s="31" t="s">
        <v>117</v>
      </c>
      <c r="AD730" s="50">
        <f t="shared" si="649"/>
        <v>1</v>
      </c>
      <c r="AE730" s="31"/>
      <c r="AF730" s="51">
        <v>14</v>
      </c>
      <c r="AG730" s="51">
        <f t="shared" si="677"/>
        <v>8.4</v>
      </c>
      <c r="AH730" s="51">
        <f t="shared" si="643"/>
        <v>42</v>
      </c>
      <c r="AI730" s="52" t="s">
        <v>2497</v>
      </c>
      <c r="AJ730" s="52" t="s">
        <v>2498</v>
      </c>
      <c r="AK730" s="53">
        <f t="shared" si="678"/>
        <v>0.22391674442367995</v>
      </c>
      <c r="AL730" s="54">
        <f t="shared" si="679"/>
        <v>0.11904761904761904</v>
      </c>
      <c r="AM730" s="54">
        <f t="shared" si="680"/>
        <v>2.3809523809523808E-2</v>
      </c>
      <c r="AN730" s="55">
        <f t="shared" si="681"/>
        <v>2.6656755288533326E-2</v>
      </c>
      <c r="AO730" s="55">
        <f t="shared" si="682"/>
        <v>5.3313510577066656E-3</v>
      </c>
      <c r="AP730" s="53">
        <v>7.1</v>
      </c>
      <c r="AQ730" s="53">
        <f t="shared" si="650"/>
        <v>4.26</v>
      </c>
      <c r="AR730" s="53">
        <f t="shared" si="651"/>
        <v>21.299999999999997</v>
      </c>
      <c r="AS730" s="56">
        <f t="shared" si="652"/>
        <v>4.6948356807511742E-2</v>
      </c>
      <c r="AT730" s="56">
        <f t="shared" si="683"/>
        <v>0.23474178403755869</v>
      </c>
      <c r="AU730" s="56">
        <f t="shared" si="653"/>
        <v>0.176056338028169</v>
      </c>
      <c r="AV730" s="56">
        <f t="shared" si="684"/>
        <v>5.8685446009389672E-2</v>
      </c>
      <c r="AW730" s="57" t="s">
        <v>2511</v>
      </c>
      <c r="AX730" s="57" t="s">
        <v>2512</v>
      </c>
      <c r="AY730" s="57" t="s">
        <v>2513</v>
      </c>
      <c r="AZ730" s="58">
        <f t="shared" si="685"/>
        <v>0.22391674442367995</v>
      </c>
      <c r="BA730" s="59">
        <f t="shared" si="689"/>
        <v>6.5703270077370878E-3</v>
      </c>
      <c r="BB730" s="59">
        <f t="shared" si="690"/>
        <v>1.9710981023211262E-2</v>
      </c>
      <c r="BC730" s="59">
        <f t="shared" si="691"/>
        <v>5.2562616061896704E-3</v>
      </c>
      <c r="BD730" s="60">
        <f t="shared" si="686"/>
        <v>4.1666666666666664E-2</v>
      </c>
      <c r="BE730" s="59">
        <f t="shared" si="687"/>
        <v>4.1666666666666664E-2</v>
      </c>
      <c r="BQ730" s="61">
        <v>3000</v>
      </c>
      <c r="BR730" s="61">
        <v>1200</v>
      </c>
      <c r="BS730" s="28">
        <f t="shared" si="654"/>
        <v>2980</v>
      </c>
      <c r="BT730" s="28">
        <f t="shared" si="655"/>
        <v>1180</v>
      </c>
      <c r="BU730" s="28" t="s">
        <v>2541</v>
      </c>
      <c r="BV730" s="28">
        <f t="shared" si="656"/>
        <v>639.0347999999999</v>
      </c>
      <c r="BW730" s="28">
        <f t="shared" si="657"/>
        <v>181.58079999999998</v>
      </c>
      <c r="BX730" s="13">
        <f t="shared" si="658"/>
        <v>4.6632828133929491</v>
      </c>
      <c r="BY730" s="13">
        <f t="shared" si="659"/>
        <v>4</v>
      </c>
      <c r="BZ730" s="13">
        <f t="shared" si="660"/>
        <v>6.4984844212603985</v>
      </c>
      <c r="CA730" s="13">
        <f t="shared" si="661"/>
        <v>6</v>
      </c>
      <c r="CB730" s="13">
        <f t="shared" si="662"/>
        <v>24</v>
      </c>
      <c r="CC730" s="62">
        <f t="shared" si="663"/>
        <v>4.1666666666666664E-2</v>
      </c>
      <c r="CD730" s="13">
        <f t="shared" si="664"/>
        <v>16.411426758776258</v>
      </c>
      <c r="CE730" s="13">
        <f t="shared" si="665"/>
        <v>16</v>
      </c>
      <c r="CF730" s="13">
        <f t="shared" si="666"/>
        <v>1.8465348053032482</v>
      </c>
      <c r="CG730" s="13">
        <f t="shared" si="667"/>
        <v>1</v>
      </c>
      <c r="CH730" s="28">
        <f t="shared" si="668"/>
        <v>16</v>
      </c>
      <c r="CI730" s="62">
        <f t="shared" si="669"/>
        <v>6.25E-2</v>
      </c>
      <c r="CJ730" s="59">
        <f t="shared" si="670"/>
        <v>4.1666666666666664E-2</v>
      </c>
      <c r="CL730" s="63">
        <v>6000</v>
      </c>
      <c r="CM730" s="63">
        <f t="shared" si="671"/>
        <v>634.0347999999999</v>
      </c>
      <c r="CN730" s="63">
        <f t="shared" si="672"/>
        <v>639.0347999999999</v>
      </c>
      <c r="CO730" s="63">
        <f t="shared" si="673"/>
        <v>9.3891600269656692</v>
      </c>
      <c r="CP730" s="13">
        <f t="shared" si="674"/>
        <v>9</v>
      </c>
      <c r="CQ730" s="70">
        <f t="shared" si="675"/>
        <v>0.1111111111111111</v>
      </c>
      <c r="CR730" s="69">
        <f t="shared" si="636"/>
        <v>0.1111111111111111</v>
      </c>
    </row>
    <row r="731" spans="1:96" hidden="1" x14ac:dyDescent="0.25">
      <c r="A731" s="36">
        <v>2</v>
      </c>
      <c r="B731" s="37" t="s">
        <v>37</v>
      </c>
      <c r="C731" s="36" t="s">
        <v>1732</v>
      </c>
      <c r="D731" s="36" t="s">
        <v>2270</v>
      </c>
      <c r="E731" s="36" t="s">
        <v>52</v>
      </c>
      <c r="F731" s="38">
        <f t="shared" si="644"/>
        <v>1</v>
      </c>
      <c r="G731" s="36">
        <v>1</v>
      </c>
      <c r="H731" s="36">
        <f t="shared" si="696"/>
        <v>1</v>
      </c>
      <c r="I731" s="36">
        <v>249</v>
      </c>
      <c r="J731" s="37" t="s">
        <v>1733</v>
      </c>
      <c r="K731" s="37" t="s">
        <v>34</v>
      </c>
      <c r="L731" s="36">
        <v>0</v>
      </c>
      <c r="M731" s="37" t="s">
        <v>35</v>
      </c>
      <c r="N731" s="36" t="s">
        <v>1734</v>
      </c>
      <c r="O731" s="28" t="s">
        <v>41</v>
      </c>
      <c r="P731" s="28" t="s">
        <v>41</v>
      </c>
      <c r="Q731" s="28" t="s">
        <v>116</v>
      </c>
      <c r="R731" s="30">
        <v>11.317</v>
      </c>
      <c r="S731" s="30">
        <v>7.7850000000000001</v>
      </c>
      <c r="T731" s="30"/>
      <c r="U731" s="30">
        <v>0.11799999999999999</v>
      </c>
      <c r="V731" s="8">
        <f t="shared" si="645"/>
        <v>287.45179999999999</v>
      </c>
      <c r="W731" s="8">
        <f t="shared" si="646"/>
        <v>197.739</v>
      </c>
      <c r="X731" s="8">
        <f t="shared" si="647"/>
        <v>0</v>
      </c>
      <c r="Y731" s="33">
        <f t="shared" si="648"/>
        <v>2.9971999999999999</v>
      </c>
      <c r="Z731" s="28" t="s">
        <v>56</v>
      </c>
      <c r="AA731" s="28" t="s">
        <v>57</v>
      </c>
      <c r="AB731" s="28" t="s">
        <v>116</v>
      </c>
      <c r="AC731" s="31" t="s">
        <v>117</v>
      </c>
      <c r="AD731" s="50">
        <f t="shared" si="649"/>
        <v>1</v>
      </c>
      <c r="AE731" s="47" t="s">
        <v>107</v>
      </c>
      <c r="AF731" s="51">
        <v>14</v>
      </c>
      <c r="AG731" s="51">
        <f t="shared" si="677"/>
        <v>8.4</v>
      </c>
      <c r="AH731" s="51">
        <f t="shared" si="643"/>
        <v>42</v>
      </c>
      <c r="AI731" s="52" t="s">
        <v>2497</v>
      </c>
      <c r="AJ731" s="52" t="s">
        <v>2498</v>
      </c>
      <c r="AK731" s="53">
        <f t="shared" si="678"/>
        <v>0.1136808629604</v>
      </c>
      <c r="AL731" s="54">
        <f t="shared" si="679"/>
        <v>0.11904761904761904</v>
      </c>
      <c r="AM731" s="54">
        <f t="shared" si="680"/>
        <v>2.3809523809523808E-2</v>
      </c>
      <c r="AN731" s="55">
        <f t="shared" si="681"/>
        <v>1.3533436066714285E-2</v>
      </c>
      <c r="AO731" s="55">
        <f t="shared" si="682"/>
        <v>2.706687213342857E-3</v>
      </c>
      <c r="AP731" s="53">
        <v>7.1</v>
      </c>
      <c r="AQ731" s="53">
        <f t="shared" si="650"/>
        <v>4.26</v>
      </c>
      <c r="AR731" s="53">
        <f t="shared" si="651"/>
        <v>21.299999999999997</v>
      </c>
      <c r="AS731" s="56">
        <f t="shared" si="652"/>
        <v>4.6948356807511742E-2</v>
      </c>
      <c r="AT731" s="56">
        <f t="shared" si="683"/>
        <v>0.23474178403755869</v>
      </c>
      <c r="AU731" s="56">
        <f t="shared" si="653"/>
        <v>0.176056338028169</v>
      </c>
      <c r="AV731" s="56">
        <f t="shared" si="684"/>
        <v>5.8685446009389672E-2</v>
      </c>
      <c r="AW731" s="57" t="s">
        <v>2511</v>
      </c>
      <c r="AX731" s="57" t="s">
        <v>2512</v>
      </c>
      <c r="AY731" s="57" t="s">
        <v>2513</v>
      </c>
      <c r="AZ731" s="58">
        <f t="shared" si="685"/>
        <v>0.1136808629604</v>
      </c>
      <c r="BA731" s="59">
        <f t="shared" si="689"/>
        <v>3.3357060727816903E-3</v>
      </c>
      <c r="BB731" s="59">
        <f t="shared" si="690"/>
        <v>1.000711821834507E-2</v>
      </c>
      <c r="BC731" s="59">
        <f t="shared" si="691"/>
        <v>2.6685648582253523E-3</v>
      </c>
      <c r="BD731" s="60">
        <f t="shared" si="686"/>
        <v>1.7857142857142856E-2</v>
      </c>
      <c r="BE731" s="59">
        <f t="shared" si="687"/>
        <v>1.7857142857142856E-2</v>
      </c>
      <c r="BQ731" s="61">
        <v>3000</v>
      </c>
      <c r="BR731" s="61">
        <v>1200</v>
      </c>
      <c r="BS731" s="28">
        <f t="shared" si="654"/>
        <v>2980</v>
      </c>
      <c r="BT731" s="28">
        <f t="shared" si="655"/>
        <v>1180</v>
      </c>
      <c r="BU731" s="28" t="s">
        <v>2541</v>
      </c>
      <c r="BV731" s="28">
        <f t="shared" si="656"/>
        <v>292.45179999999999</v>
      </c>
      <c r="BW731" s="28">
        <f t="shared" si="657"/>
        <v>202.739</v>
      </c>
      <c r="BX731" s="13">
        <f t="shared" si="658"/>
        <v>10.189713313441736</v>
      </c>
      <c r="BY731" s="13">
        <f t="shared" si="659"/>
        <v>10</v>
      </c>
      <c r="BZ731" s="13">
        <f t="shared" si="660"/>
        <v>5.8202911132046617</v>
      </c>
      <c r="CA731" s="13">
        <f t="shared" si="661"/>
        <v>5</v>
      </c>
      <c r="CB731" s="13">
        <f t="shared" si="662"/>
        <v>50</v>
      </c>
      <c r="CC731" s="62">
        <f t="shared" si="663"/>
        <v>0.02</v>
      </c>
      <c r="CD731" s="13">
        <f t="shared" si="664"/>
        <v>14.69870128588974</v>
      </c>
      <c r="CE731" s="13">
        <f t="shared" si="665"/>
        <v>14</v>
      </c>
      <c r="CF731" s="13">
        <f t="shared" si="666"/>
        <v>4.034852922772231</v>
      </c>
      <c r="CG731" s="13">
        <f t="shared" si="667"/>
        <v>4</v>
      </c>
      <c r="CH731" s="28">
        <f t="shared" si="668"/>
        <v>56</v>
      </c>
      <c r="CI731" s="62">
        <f t="shared" si="669"/>
        <v>1.7857142857142856E-2</v>
      </c>
      <c r="CJ731" s="59">
        <f t="shared" si="670"/>
        <v>1.7857142857142856E-2</v>
      </c>
      <c r="CL731" s="63">
        <v>6000</v>
      </c>
      <c r="CM731" s="63">
        <f t="shared" si="671"/>
        <v>287.45179999999999</v>
      </c>
      <c r="CN731" s="63">
        <f t="shared" si="672"/>
        <v>292.45179999999999</v>
      </c>
      <c r="CO731" s="63">
        <f t="shared" si="673"/>
        <v>20.516201302231686</v>
      </c>
      <c r="CP731" s="13">
        <f t="shared" si="674"/>
        <v>20</v>
      </c>
      <c r="CQ731" s="70">
        <f t="shared" si="675"/>
        <v>0.05</v>
      </c>
      <c r="CR731" s="69">
        <f t="shared" si="636"/>
        <v>0.05</v>
      </c>
    </row>
    <row r="732" spans="1:96" hidden="1" x14ac:dyDescent="0.25">
      <c r="A732" s="36">
        <v>2</v>
      </c>
      <c r="B732" s="37" t="s">
        <v>37</v>
      </c>
      <c r="C732" s="36" t="s">
        <v>1735</v>
      </c>
      <c r="D732" s="36" t="s">
        <v>2270</v>
      </c>
      <c r="E732" s="36" t="s">
        <v>52</v>
      </c>
      <c r="F732" s="38">
        <f t="shared" si="644"/>
        <v>1</v>
      </c>
      <c r="G732" s="36">
        <v>1</v>
      </c>
      <c r="H732" s="36">
        <f t="shared" si="696"/>
        <v>1</v>
      </c>
      <c r="I732" s="36">
        <v>250</v>
      </c>
      <c r="J732" s="37" t="s">
        <v>1736</v>
      </c>
      <c r="K732" s="37" t="s">
        <v>34</v>
      </c>
      <c r="L732" s="36">
        <v>0</v>
      </c>
      <c r="M732" s="37" t="s">
        <v>35</v>
      </c>
      <c r="N732" s="36" t="s">
        <v>1737</v>
      </c>
      <c r="O732" s="28" t="s">
        <v>41</v>
      </c>
      <c r="P732" s="28" t="s">
        <v>41</v>
      </c>
      <c r="Q732" s="28" t="s">
        <v>116</v>
      </c>
      <c r="R732" s="30">
        <v>11.317</v>
      </c>
      <c r="S732" s="30">
        <v>7.7850000000000001</v>
      </c>
      <c r="T732" s="30"/>
      <c r="U732" s="30">
        <v>0.11799999999999999</v>
      </c>
      <c r="V732" s="8">
        <f t="shared" si="645"/>
        <v>287.45179999999999</v>
      </c>
      <c r="W732" s="8">
        <f t="shared" si="646"/>
        <v>197.739</v>
      </c>
      <c r="X732" s="8">
        <f t="shared" si="647"/>
        <v>0</v>
      </c>
      <c r="Y732" s="33">
        <f t="shared" si="648"/>
        <v>2.9971999999999999</v>
      </c>
      <c r="Z732" s="28" t="s">
        <v>56</v>
      </c>
      <c r="AA732" s="28" t="s">
        <v>57</v>
      </c>
      <c r="AB732" s="28" t="s">
        <v>116</v>
      </c>
      <c r="AC732" s="31" t="s">
        <v>117</v>
      </c>
      <c r="AD732" s="50">
        <f t="shared" si="649"/>
        <v>1</v>
      </c>
      <c r="AE732" s="31"/>
      <c r="AF732" s="51">
        <v>14</v>
      </c>
      <c r="AG732" s="51">
        <f t="shared" si="677"/>
        <v>8.4</v>
      </c>
      <c r="AH732" s="51">
        <f t="shared" si="643"/>
        <v>42</v>
      </c>
      <c r="AI732" s="52" t="s">
        <v>2497</v>
      </c>
      <c r="AJ732" s="52" t="s">
        <v>2498</v>
      </c>
      <c r="AK732" s="53">
        <f t="shared" si="678"/>
        <v>0.1136808629604</v>
      </c>
      <c r="AL732" s="54">
        <f t="shared" si="679"/>
        <v>0.11904761904761904</v>
      </c>
      <c r="AM732" s="54">
        <f t="shared" si="680"/>
        <v>2.3809523809523808E-2</v>
      </c>
      <c r="AN732" s="55">
        <f t="shared" si="681"/>
        <v>1.3533436066714285E-2</v>
      </c>
      <c r="AO732" s="55">
        <f t="shared" si="682"/>
        <v>2.706687213342857E-3</v>
      </c>
      <c r="AP732" s="53">
        <v>7.1</v>
      </c>
      <c r="AQ732" s="53">
        <f t="shared" si="650"/>
        <v>4.26</v>
      </c>
      <c r="AR732" s="53">
        <f t="shared" si="651"/>
        <v>21.299999999999997</v>
      </c>
      <c r="AS732" s="56">
        <f t="shared" si="652"/>
        <v>4.6948356807511742E-2</v>
      </c>
      <c r="AT732" s="56">
        <f t="shared" si="683"/>
        <v>0.23474178403755869</v>
      </c>
      <c r="AU732" s="56">
        <f t="shared" si="653"/>
        <v>0.176056338028169</v>
      </c>
      <c r="AV732" s="56">
        <f t="shared" si="684"/>
        <v>5.8685446009389672E-2</v>
      </c>
      <c r="AW732" s="57" t="s">
        <v>2511</v>
      </c>
      <c r="AX732" s="57" t="s">
        <v>2512</v>
      </c>
      <c r="AY732" s="57" t="s">
        <v>2513</v>
      </c>
      <c r="AZ732" s="58">
        <f t="shared" si="685"/>
        <v>0.1136808629604</v>
      </c>
      <c r="BA732" s="59">
        <f t="shared" si="689"/>
        <v>3.3357060727816903E-3</v>
      </c>
      <c r="BB732" s="59">
        <f t="shared" si="690"/>
        <v>1.000711821834507E-2</v>
      </c>
      <c r="BC732" s="59">
        <f t="shared" si="691"/>
        <v>2.6685648582253523E-3</v>
      </c>
      <c r="BD732" s="60">
        <f t="shared" si="686"/>
        <v>1.7857142857142856E-2</v>
      </c>
      <c r="BE732" s="59">
        <f t="shared" si="687"/>
        <v>1.7857142857142856E-2</v>
      </c>
      <c r="BQ732" s="61">
        <v>3000</v>
      </c>
      <c r="BR732" s="61">
        <v>1200</v>
      </c>
      <c r="BS732" s="28">
        <f t="shared" si="654"/>
        <v>2980</v>
      </c>
      <c r="BT732" s="28">
        <f t="shared" si="655"/>
        <v>1180</v>
      </c>
      <c r="BU732" s="28" t="s">
        <v>2541</v>
      </c>
      <c r="BV732" s="28">
        <f t="shared" si="656"/>
        <v>292.45179999999999</v>
      </c>
      <c r="BW732" s="28">
        <f t="shared" si="657"/>
        <v>202.739</v>
      </c>
      <c r="BX732" s="13">
        <f t="shared" si="658"/>
        <v>10.189713313441736</v>
      </c>
      <c r="BY732" s="13">
        <f t="shared" si="659"/>
        <v>10</v>
      </c>
      <c r="BZ732" s="13">
        <f t="shared" si="660"/>
        <v>5.8202911132046617</v>
      </c>
      <c r="CA732" s="13">
        <f t="shared" si="661"/>
        <v>5</v>
      </c>
      <c r="CB732" s="13">
        <f t="shared" si="662"/>
        <v>50</v>
      </c>
      <c r="CC732" s="62">
        <f t="shared" si="663"/>
        <v>0.02</v>
      </c>
      <c r="CD732" s="13">
        <f t="shared" si="664"/>
        <v>14.69870128588974</v>
      </c>
      <c r="CE732" s="13">
        <f t="shared" si="665"/>
        <v>14</v>
      </c>
      <c r="CF732" s="13">
        <f t="shared" si="666"/>
        <v>4.034852922772231</v>
      </c>
      <c r="CG732" s="13">
        <f t="shared" si="667"/>
        <v>4</v>
      </c>
      <c r="CH732" s="28">
        <f t="shared" si="668"/>
        <v>56</v>
      </c>
      <c r="CI732" s="62">
        <f t="shared" si="669"/>
        <v>1.7857142857142856E-2</v>
      </c>
      <c r="CJ732" s="59">
        <f t="shared" si="670"/>
        <v>1.7857142857142856E-2</v>
      </c>
      <c r="CL732" s="63">
        <v>6000</v>
      </c>
      <c r="CM732" s="63">
        <f t="shared" si="671"/>
        <v>287.45179999999999</v>
      </c>
      <c r="CN732" s="63">
        <f t="shared" si="672"/>
        <v>292.45179999999999</v>
      </c>
      <c r="CO732" s="63">
        <f t="shared" si="673"/>
        <v>20.516201302231686</v>
      </c>
      <c r="CP732" s="13">
        <f t="shared" si="674"/>
        <v>20</v>
      </c>
      <c r="CQ732" s="70">
        <f t="shared" si="675"/>
        <v>0.05</v>
      </c>
      <c r="CR732" s="69">
        <f t="shared" si="636"/>
        <v>0.05</v>
      </c>
    </row>
    <row r="733" spans="1:96" hidden="1" x14ac:dyDescent="0.25">
      <c r="A733" s="36">
        <v>2</v>
      </c>
      <c r="B733" s="37" t="s">
        <v>37</v>
      </c>
      <c r="C733" s="36" t="s">
        <v>1738</v>
      </c>
      <c r="D733" s="36" t="s">
        <v>2270</v>
      </c>
      <c r="E733" s="36" t="s">
        <v>52</v>
      </c>
      <c r="F733" s="38">
        <f t="shared" si="644"/>
        <v>1</v>
      </c>
      <c r="G733" s="36">
        <v>1</v>
      </c>
      <c r="H733" s="36">
        <f t="shared" si="696"/>
        <v>1</v>
      </c>
      <c r="I733" s="36">
        <v>252</v>
      </c>
      <c r="J733" s="37" t="s">
        <v>122</v>
      </c>
      <c r="K733" s="37" t="s">
        <v>34</v>
      </c>
      <c r="L733" s="36">
        <v>0</v>
      </c>
      <c r="M733" s="37" t="s">
        <v>35</v>
      </c>
      <c r="N733" s="36" t="s">
        <v>1739</v>
      </c>
      <c r="O733" s="28" t="s">
        <v>41</v>
      </c>
      <c r="P733" s="28" t="s">
        <v>41</v>
      </c>
      <c r="Q733" s="28" t="s">
        <v>124</v>
      </c>
      <c r="R733" s="30">
        <v>56.9</v>
      </c>
      <c r="S733" s="30">
        <v>6.1980000000000004</v>
      </c>
      <c r="T733" s="30"/>
      <c r="U733" s="30">
        <v>9.8000000000000004E-2</v>
      </c>
      <c r="V733" s="8">
        <f t="shared" si="645"/>
        <v>1445.26</v>
      </c>
      <c r="W733" s="8">
        <f t="shared" si="646"/>
        <v>157.42920000000001</v>
      </c>
      <c r="X733" s="8">
        <f t="shared" si="647"/>
        <v>0</v>
      </c>
      <c r="Y733" s="33">
        <f t="shared" si="648"/>
        <v>2.4891999999999999</v>
      </c>
      <c r="Z733" s="28" t="s">
        <v>56</v>
      </c>
      <c r="AA733" s="28" t="s">
        <v>57</v>
      </c>
      <c r="AB733" s="61" t="s">
        <v>124</v>
      </c>
      <c r="AC733" s="31" t="s">
        <v>125</v>
      </c>
      <c r="AD733" s="50">
        <f t="shared" si="649"/>
        <v>1</v>
      </c>
      <c r="AE733" s="31"/>
      <c r="AF733" s="51">
        <v>14</v>
      </c>
      <c r="AG733" s="51">
        <f t="shared" si="677"/>
        <v>8.4</v>
      </c>
      <c r="AH733" s="51">
        <f t="shared" si="643"/>
        <v>42</v>
      </c>
      <c r="AI733" s="52" t="s">
        <v>2497</v>
      </c>
      <c r="AJ733" s="52" t="s">
        <v>2498</v>
      </c>
      <c r="AK733" s="53">
        <f t="shared" si="678"/>
        <v>0.455052251184</v>
      </c>
      <c r="AL733" s="54">
        <f t="shared" si="679"/>
        <v>0.11904761904761904</v>
      </c>
      <c r="AM733" s="54">
        <f t="shared" si="680"/>
        <v>2.3809523809523808E-2</v>
      </c>
      <c r="AN733" s="55">
        <f t="shared" si="681"/>
        <v>5.4172887045714282E-2</v>
      </c>
      <c r="AO733" s="55">
        <f t="shared" si="682"/>
        <v>1.0834577409142856E-2</v>
      </c>
      <c r="AP733" s="53">
        <v>7.1</v>
      </c>
      <c r="AQ733" s="53">
        <f t="shared" si="650"/>
        <v>4.26</v>
      </c>
      <c r="AR733" s="53">
        <f t="shared" si="651"/>
        <v>21.299999999999997</v>
      </c>
      <c r="AS733" s="56">
        <f t="shared" si="652"/>
        <v>4.6948356807511742E-2</v>
      </c>
      <c r="AT733" s="56">
        <f t="shared" si="683"/>
        <v>0.23474178403755869</v>
      </c>
      <c r="AU733" s="56">
        <f t="shared" si="653"/>
        <v>0.176056338028169</v>
      </c>
      <c r="AV733" s="56">
        <f t="shared" si="684"/>
        <v>5.8685446009389672E-2</v>
      </c>
      <c r="AW733" s="57" t="s">
        <v>2511</v>
      </c>
      <c r="AX733" s="57" t="s">
        <v>2512</v>
      </c>
      <c r="AY733" s="57" t="s">
        <v>2513</v>
      </c>
      <c r="AZ733" s="58">
        <f t="shared" si="685"/>
        <v>0.455052251184</v>
      </c>
      <c r="BA733" s="59">
        <f t="shared" si="689"/>
        <v>1.3352472159154929E-2</v>
      </c>
      <c r="BB733" s="59">
        <f t="shared" si="690"/>
        <v>4.0057416477464788E-2</v>
      </c>
      <c r="BC733" s="59">
        <f t="shared" si="691"/>
        <v>1.0681977727323945E-2</v>
      </c>
      <c r="BD733" s="60">
        <f t="shared" si="686"/>
        <v>7.1428571428571425E-2</v>
      </c>
      <c r="BE733" s="59">
        <f t="shared" si="687"/>
        <v>7.1428571428571425E-2</v>
      </c>
      <c r="BQ733" s="61">
        <v>3000</v>
      </c>
      <c r="BR733" s="61">
        <v>1200</v>
      </c>
      <c r="BS733" s="28">
        <f t="shared" si="654"/>
        <v>2980</v>
      </c>
      <c r="BT733" s="28">
        <f t="shared" si="655"/>
        <v>1180</v>
      </c>
      <c r="BU733" s="28" t="s">
        <v>2541</v>
      </c>
      <c r="BV733" s="28">
        <f t="shared" si="656"/>
        <v>1450.26</v>
      </c>
      <c r="BW733" s="28">
        <f t="shared" si="657"/>
        <v>162.42920000000001</v>
      </c>
      <c r="BX733" s="13">
        <f t="shared" si="658"/>
        <v>2.0548039661853736</v>
      </c>
      <c r="BY733" s="13">
        <f t="shared" si="659"/>
        <v>2</v>
      </c>
      <c r="BZ733" s="13">
        <f t="shared" si="660"/>
        <v>7.26470363703078</v>
      </c>
      <c r="CA733" s="13">
        <f t="shared" si="661"/>
        <v>7</v>
      </c>
      <c r="CB733" s="13">
        <f t="shared" si="662"/>
        <v>14</v>
      </c>
      <c r="CC733" s="62">
        <f t="shared" si="663"/>
        <v>7.1428571428571425E-2</v>
      </c>
      <c r="CD733" s="13">
        <f t="shared" si="664"/>
        <v>18.346454947755699</v>
      </c>
      <c r="CE733" s="13">
        <f t="shared" si="665"/>
        <v>18</v>
      </c>
      <c r="CF733" s="13">
        <f t="shared" si="666"/>
        <v>0.81364720808682578</v>
      </c>
      <c r="CG733" s="13">
        <f t="shared" si="667"/>
        <v>0</v>
      </c>
      <c r="CH733" s="28">
        <f t="shared" si="668"/>
        <v>0</v>
      </c>
      <c r="CI733" s="62">
        <f t="shared" si="669"/>
        <v>1</v>
      </c>
      <c r="CJ733" s="59">
        <f t="shared" si="670"/>
        <v>7.1428571428571425E-2</v>
      </c>
      <c r="CL733" s="63">
        <v>6000</v>
      </c>
      <c r="CM733" s="63">
        <f t="shared" si="671"/>
        <v>1445.26</v>
      </c>
      <c r="CN733" s="63">
        <f t="shared" si="672"/>
        <v>1450.26</v>
      </c>
      <c r="CO733" s="63">
        <f t="shared" si="673"/>
        <v>4.1371891936618264</v>
      </c>
      <c r="CP733" s="13">
        <f t="shared" si="674"/>
        <v>4</v>
      </c>
      <c r="CQ733" s="70">
        <f t="shared" si="675"/>
        <v>0.25</v>
      </c>
      <c r="CR733" s="69">
        <f t="shared" si="636"/>
        <v>0.25</v>
      </c>
    </row>
    <row r="734" spans="1:96" hidden="1" x14ac:dyDescent="0.25">
      <c r="A734" s="36">
        <v>2</v>
      </c>
      <c r="B734" s="37" t="s">
        <v>37</v>
      </c>
      <c r="C734" s="36" t="s">
        <v>1740</v>
      </c>
      <c r="D734" s="36" t="s">
        <v>2270</v>
      </c>
      <c r="E734" s="36" t="s">
        <v>52</v>
      </c>
      <c r="F734" s="38">
        <f t="shared" si="644"/>
        <v>1</v>
      </c>
      <c r="G734" s="36">
        <v>1</v>
      </c>
      <c r="H734" s="36">
        <f t="shared" si="696"/>
        <v>1</v>
      </c>
      <c r="I734" s="36">
        <v>253</v>
      </c>
      <c r="J734" s="37" t="s">
        <v>122</v>
      </c>
      <c r="K734" s="37" t="s">
        <v>34</v>
      </c>
      <c r="L734" s="36">
        <v>0</v>
      </c>
      <c r="M734" s="37" t="s">
        <v>35</v>
      </c>
      <c r="N734" s="36" t="s">
        <v>1741</v>
      </c>
      <c r="O734" s="28" t="s">
        <v>41</v>
      </c>
      <c r="P734" s="28" t="s">
        <v>41</v>
      </c>
      <c r="Q734" s="28" t="s">
        <v>124</v>
      </c>
      <c r="R734" s="30">
        <v>56.9</v>
      </c>
      <c r="S734" s="30">
        <v>6.2069999999999999</v>
      </c>
      <c r="T734" s="30"/>
      <c r="U734" s="30">
        <v>9.8000000000000004E-2</v>
      </c>
      <c r="V734" s="8">
        <f t="shared" si="645"/>
        <v>1445.26</v>
      </c>
      <c r="W734" s="8">
        <f t="shared" si="646"/>
        <v>157.65779999999998</v>
      </c>
      <c r="X734" s="8">
        <f t="shared" si="647"/>
        <v>0</v>
      </c>
      <c r="Y734" s="33">
        <f t="shared" si="648"/>
        <v>2.4891999999999999</v>
      </c>
      <c r="Z734" s="28" t="s">
        <v>56</v>
      </c>
      <c r="AA734" s="28" t="s">
        <v>57</v>
      </c>
      <c r="AB734" s="61" t="s">
        <v>124</v>
      </c>
      <c r="AC734" s="31" t="s">
        <v>125</v>
      </c>
      <c r="AD734" s="50">
        <f t="shared" si="649"/>
        <v>1</v>
      </c>
      <c r="AE734" s="31"/>
      <c r="AF734" s="51">
        <v>14</v>
      </c>
      <c r="AG734" s="51">
        <f t="shared" si="677"/>
        <v>8.4</v>
      </c>
      <c r="AH734" s="51">
        <f t="shared" si="643"/>
        <v>42</v>
      </c>
      <c r="AI734" s="52" t="s">
        <v>2497</v>
      </c>
      <c r="AJ734" s="52" t="s">
        <v>2498</v>
      </c>
      <c r="AK734" s="53">
        <f t="shared" si="678"/>
        <v>0.45571302405599995</v>
      </c>
      <c r="AL734" s="54">
        <f t="shared" si="679"/>
        <v>0.11904761904761904</v>
      </c>
      <c r="AM734" s="54">
        <f t="shared" si="680"/>
        <v>2.3809523809523808E-2</v>
      </c>
      <c r="AN734" s="55">
        <f t="shared" si="681"/>
        <v>5.4251550482857132E-2</v>
      </c>
      <c r="AO734" s="55">
        <f t="shared" si="682"/>
        <v>1.0850310096571426E-2</v>
      </c>
      <c r="AP734" s="53">
        <v>7.1</v>
      </c>
      <c r="AQ734" s="53">
        <f t="shared" si="650"/>
        <v>4.26</v>
      </c>
      <c r="AR734" s="53">
        <f t="shared" si="651"/>
        <v>21.299999999999997</v>
      </c>
      <c r="AS734" s="56">
        <f t="shared" si="652"/>
        <v>4.6948356807511742E-2</v>
      </c>
      <c r="AT734" s="56">
        <f t="shared" si="683"/>
        <v>0.23474178403755869</v>
      </c>
      <c r="AU734" s="56">
        <f t="shared" si="653"/>
        <v>0.176056338028169</v>
      </c>
      <c r="AV734" s="56">
        <f t="shared" si="684"/>
        <v>5.8685446009389672E-2</v>
      </c>
      <c r="AW734" s="57" t="s">
        <v>2511</v>
      </c>
      <c r="AX734" s="57" t="s">
        <v>2512</v>
      </c>
      <c r="AY734" s="57" t="s">
        <v>2513</v>
      </c>
      <c r="AZ734" s="58">
        <f t="shared" si="685"/>
        <v>0.45571302405599995</v>
      </c>
      <c r="BA734" s="59">
        <f t="shared" si="689"/>
        <v>1.337186103450704E-2</v>
      </c>
      <c r="BB734" s="59">
        <f t="shared" si="690"/>
        <v>4.0115583103521119E-2</v>
      </c>
      <c r="BC734" s="59">
        <f t="shared" si="691"/>
        <v>1.0697488827605633E-2</v>
      </c>
      <c r="BD734" s="60">
        <f t="shared" si="686"/>
        <v>7.1428571428571425E-2</v>
      </c>
      <c r="BE734" s="59">
        <f t="shared" si="687"/>
        <v>7.1428571428571425E-2</v>
      </c>
      <c r="BQ734" s="61">
        <v>3000</v>
      </c>
      <c r="BR734" s="61">
        <v>1200</v>
      </c>
      <c r="BS734" s="28">
        <f t="shared" si="654"/>
        <v>2980</v>
      </c>
      <c r="BT734" s="28">
        <f t="shared" si="655"/>
        <v>1180</v>
      </c>
      <c r="BU734" s="28" t="s">
        <v>2541</v>
      </c>
      <c r="BV734" s="28">
        <f t="shared" si="656"/>
        <v>1450.26</v>
      </c>
      <c r="BW734" s="28">
        <f t="shared" si="657"/>
        <v>162.65779999999998</v>
      </c>
      <c r="BX734" s="13">
        <f t="shared" si="658"/>
        <v>2.0548039661853736</v>
      </c>
      <c r="BY734" s="13">
        <f t="shared" si="659"/>
        <v>2</v>
      </c>
      <c r="BZ734" s="13">
        <f t="shared" si="660"/>
        <v>7.2544937900303594</v>
      </c>
      <c r="CA734" s="13">
        <f t="shared" si="661"/>
        <v>7</v>
      </c>
      <c r="CB734" s="13">
        <f t="shared" si="662"/>
        <v>14</v>
      </c>
      <c r="CC734" s="62">
        <f t="shared" si="663"/>
        <v>7.1428571428571425E-2</v>
      </c>
      <c r="CD734" s="13">
        <f t="shared" si="664"/>
        <v>18.32067075787328</v>
      </c>
      <c r="CE734" s="13">
        <f t="shared" si="665"/>
        <v>18</v>
      </c>
      <c r="CF734" s="13">
        <f t="shared" si="666"/>
        <v>0.81364720808682578</v>
      </c>
      <c r="CG734" s="13">
        <f t="shared" si="667"/>
        <v>0</v>
      </c>
      <c r="CH734" s="28">
        <f t="shared" si="668"/>
        <v>0</v>
      </c>
      <c r="CI734" s="62">
        <f t="shared" si="669"/>
        <v>1</v>
      </c>
      <c r="CJ734" s="59">
        <f t="shared" si="670"/>
        <v>7.1428571428571425E-2</v>
      </c>
      <c r="CL734" s="63">
        <v>6000</v>
      </c>
      <c r="CM734" s="63">
        <f t="shared" si="671"/>
        <v>1445.26</v>
      </c>
      <c r="CN734" s="63">
        <f t="shared" si="672"/>
        <v>1450.26</v>
      </c>
      <c r="CO734" s="63">
        <f t="shared" si="673"/>
        <v>4.1371891936618264</v>
      </c>
      <c r="CP734" s="13">
        <f t="shared" si="674"/>
        <v>4</v>
      </c>
      <c r="CQ734" s="70">
        <f t="shared" si="675"/>
        <v>0.25</v>
      </c>
      <c r="CR734" s="69">
        <f t="shared" si="636"/>
        <v>0.25</v>
      </c>
    </row>
    <row r="735" spans="1:96" hidden="1" x14ac:dyDescent="0.25">
      <c r="A735" s="36">
        <v>2</v>
      </c>
      <c r="B735" s="37" t="s">
        <v>37</v>
      </c>
      <c r="C735" s="36" t="s">
        <v>1742</v>
      </c>
      <c r="D735" s="36" t="s">
        <v>2270</v>
      </c>
      <c r="E735" s="36" t="s">
        <v>52</v>
      </c>
      <c r="F735" s="38">
        <f t="shared" si="644"/>
        <v>1</v>
      </c>
      <c r="G735" s="36">
        <v>1</v>
      </c>
      <c r="H735" s="36">
        <f t="shared" si="696"/>
        <v>1</v>
      </c>
      <c r="I735" s="36">
        <v>255</v>
      </c>
      <c r="J735" s="37" t="s">
        <v>851</v>
      </c>
      <c r="K735" s="37" t="s">
        <v>34</v>
      </c>
      <c r="L735" s="36">
        <v>0</v>
      </c>
      <c r="M735" s="37" t="s">
        <v>35</v>
      </c>
      <c r="N735" s="36" t="s">
        <v>1743</v>
      </c>
      <c r="O735" s="28" t="s">
        <v>41</v>
      </c>
      <c r="P735" s="28" t="s">
        <v>41</v>
      </c>
      <c r="Q735" s="28" t="s">
        <v>124</v>
      </c>
      <c r="R735" s="30">
        <v>46.610999999999997</v>
      </c>
      <c r="S735" s="30">
        <v>3.1150000000000002</v>
      </c>
      <c r="T735" s="30"/>
      <c r="U735" s="30">
        <v>9.8000000000000004E-2</v>
      </c>
      <c r="V735" s="8">
        <f t="shared" si="645"/>
        <v>1183.9193999999998</v>
      </c>
      <c r="W735" s="8">
        <f t="shared" si="646"/>
        <v>79.120999999999995</v>
      </c>
      <c r="X735" s="8">
        <f t="shared" si="647"/>
        <v>0</v>
      </c>
      <c r="Y735" s="33">
        <f t="shared" si="648"/>
        <v>2.4891999999999999</v>
      </c>
      <c r="Z735" s="28" t="s">
        <v>56</v>
      </c>
      <c r="AA735" s="28" t="s">
        <v>57</v>
      </c>
      <c r="AB735" s="61" t="s">
        <v>124</v>
      </c>
      <c r="AC735" s="31" t="s">
        <v>125</v>
      </c>
      <c r="AD735" s="50">
        <f t="shared" si="649"/>
        <v>1</v>
      </c>
      <c r="AE735" s="31"/>
      <c r="AF735" s="51">
        <v>14</v>
      </c>
      <c r="AG735" s="51">
        <f t="shared" si="677"/>
        <v>8.4</v>
      </c>
      <c r="AH735" s="51">
        <f t="shared" si="643"/>
        <v>42</v>
      </c>
      <c r="AI735" s="52" t="s">
        <v>2497</v>
      </c>
      <c r="AJ735" s="52" t="s">
        <v>2498</v>
      </c>
      <c r="AK735" s="53">
        <f t="shared" si="678"/>
        <v>0.18734577369479996</v>
      </c>
      <c r="AL735" s="54">
        <f t="shared" si="679"/>
        <v>0.11904761904761904</v>
      </c>
      <c r="AM735" s="54">
        <f t="shared" si="680"/>
        <v>2.3809523809523808E-2</v>
      </c>
      <c r="AN735" s="55">
        <f t="shared" si="681"/>
        <v>2.2303068296999993E-2</v>
      </c>
      <c r="AO735" s="55">
        <f t="shared" si="682"/>
        <v>4.4606136593999986E-3</v>
      </c>
      <c r="AP735" s="53">
        <v>7.1</v>
      </c>
      <c r="AQ735" s="53">
        <f t="shared" si="650"/>
        <v>4.26</v>
      </c>
      <c r="AR735" s="53">
        <f t="shared" si="651"/>
        <v>21.299999999999997</v>
      </c>
      <c r="AS735" s="56">
        <f t="shared" si="652"/>
        <v>4.6948356807511742E-2</v>
      </c>
      <c r="AT735" s="56">
        <f t="shared" si="683"/>
        <v>0.23474178403755869</v>
      </c>
      <c r="AU735" s="56">
        <f t="shared" si="653"/>
        <v>0.176056338028169</v>
      </c>
      <c r="AV735" s="56">
        <f t="shared" si="684"/>
        <v>5.8685446009389672E-2</v>
      </c>
      <c r="AW735" s="57" t="s">
        <v>2511</v>
      </c>
      <c r="AX735" s="57" t="s">
        <v>2512</v>
      </c>
      <c r="AY735" s="57" t="s">
        <v>2513</v>
      </c>
      <c r="AZ735" s="58">
        <f t="shared" si="685"/>
        <v>0.18734577369479996</v>
      </c>
      <c r="BA735" s="59">
        <f t="shared" si="689"/>
        <v>5.4972351436267594E-3</v>
      </c>
      <c r="BB735" s="59">
        <f t="shared" si="690"/>
        <v>1.6491705430880278E-2</v>
      </c>
      <c r="BC735" s="59">
        <f t="shared" si="691"/>
        <v>4.3977881149014075E-3</v>
      </c>
      <c r="BD735" s="60">
        <f t="shared" si="686"/>
        <v>3.5714285714285712E-2</v>
      </c>
      <c r="BE735" s="59">
        <f t="shared" si="687"/>
        <v>3.5714285714285712E-2</v>
      </c>
      <c r="BQ735" s="61">
        <v>3000</v>
      </c>
      <c r="BR735" s="61">
        <v>1200</v>
      </c>
      <c r="BS735" s="28">
        <f t="shared" si="654"/>
        <v>2980</v>
      </c>
      <c r="BT735" s="28">
        <f t="shared" si="655"/>
        <v>1180</v>
      </c>
      <c r="BU735" s="28" t="s">
        <v>2541</v>
      </c>
      <c r="BV735" s="28">
        <f t="shared" si="656"/>
        <v>1188.9193999999998</v>
      </c>
      <c r="BW735" s="28">
        <f t="shared" si="657"/>
        <v>84.120999999999995</v>
      </c>
      <c r="BX735" s="13">
        <f t="shared" si="658"/>
        <v>2.5064777309546806</v>
      </c>
      <c r="BY735" s="13">
        <f t="shared" si="659"/>
        <v>2</v>
      </c>
      <c r="BZ735" s="13">
        <f t="shared" si="660"/>
        <v>14.027412893332224</v>
      </c>
      <c r="CA735" s="13">
        <f t="shared" si="661"/>
        <v>14</v>
      </c>
      <c r="CB735" s="13">
        <f t="shared" si="662"/>
        <v>28</v>
      </c>
      <c r="CC735" s="62">
        <f t="shared" si="663"/>
        <v>3.5714285714285712E-2</v>
      </c>
      <c r="CD735" s="13">
        <f t="shared" si="664"/>
        <v>35.425161374686468</v>
      </c>
      <c r="CE735" s="13">
        <f t="shared" si="665"/>
        <v>35</v>
      </c>
      <c r="CF735" s="13">
        <f t="shared" si="666"/>
        <v>0.99249789346527628</v>
      </c>
      <c r="CG735" s="13">
        <f t="shared" si="667"/>
        <v>0</v>
      </c>
      <c r="CH735" s="28">
        <f t="shared" si="668"/>
        <v>0</v>
      </c>
      <c r="CI735" s="62">
        <f t="shared" si="669"/>
        <v>1</v>
      </c>
      <c r="CJ735" s="59">
        <f t="shared" si="670"/>
        <v>3.5714285714285712E-2</v>
      </c>
      <c r="CL735" s="63">
        <v>6000</v>
      </c>
      <c r="CM735" s="63">
        <f t="shared" si="671"/>
        <v>1183.9193999999998</v>
      </c>
      <c r="CN735" s="63">
        <f t="shared" si="672"/>
        <v>1188.9193999999998</v>
      </c>
      <c r="CO735" s="63">
        <f t="shared" si="673"/>
        <v>5.0465994582980152</v>
      </c>
      <c r="CP735" s="13">
        <f t="shared" si="674"/>
        <v>5</v>
      </c>
      <c r="CQ735" s="70">
        <f t="shared" si="675"/>
        <v>0.2</v>
      </c>
      <c r="CR735" s="69">
        <f t="shared" si="636"/>
        <v>0.2</v>
      </c>
    </row>
    <row r="736" spans="1:96" hidden="1" x14ac:dyDescent="0.25">
      <c r="A736" s="36">
        <v>2</v>
      </c>
      <c r="B736" s="37" t="s">
        <v>37</v>
      </c>
      <c r="C736" s="36" t="s">
        <v>1744</v>
      </c>
      <c r="D736" s="36" t="s">
        <v>2270</v>
      </c>
      <c r="E736" s="36" t="s">
        <v>52</v>
      </c>
      <c r="F736" s="38">
        <f t="shared" si="644"/>
        <v>1</v>
      </c>
      <c r="G736" s="36">
        <v>3</v>
      </c>
      <c r="H736" s="36">
        <f t="shared" si="696"/>
        <v>3</v>
      </c>
      <c r="I736" s="36">
        <v>260</v>
      </c>
      <c r="J736" s="37" t="s">
        <v>1745</v>
      </c>
      <c r="K736" s="37" t="s">
        <v>34</v>
      </c>
      <c r="L736" s="36" t="s">
        <v>259</v>
      </c>
      <c r="M736" s="37" t="s">
        <v>35</v>
      </c>
      <c r="N736" s="36" t="s">
        <v>1746</v>
      </c>
      <c r="O736" s="28" t="s">
        <v>41</v>
      </c>
      <c r="P736" s="28" t="s">
        <v>41</v>
      </c>
      <c r="Q736" s="28" t="s">
        <v>79</v>
      </c>
      <c r="R736" s="30">
        <v>18.984251968503937</v>
      </c>
      <c r="S736" s="30">
        <v>0.3125</v>
      </c>
      <c r="T736" s="30"/>
      <c r="U736" s="30">
        <v>0.3125</v>
      </c>
      <c r="V736" s="8">
        <f t="shared" si="645"/>
        <v>482.2</v>
      </c>
      <c r="W736" s="8">
        <f t="shared" si="646"/>
        <v>7.9375</v>
      </c>
      <c r="X736" s="8">
        <f t="shared" si="647"/>
        <v>0</v>
      </c>
      <c r="Y736" s="33">
        <f t="shared" si="648"/>
        <v>7.9375</v>
      </c>
      <c r="Z736" s="28" t="s">
        <v>80</v>
      </c>
      <c r="AA736" s="28" t="s">
        <v>81</v>
      </c>
      <c r="AB736" s="61" t="s">
        <v>79</v>
      </c>
      <c r="AC736" s="31" t="s">
        <v>82</v>
      </c>
      <c r="AD736" s="50">
        <f t="shared" si="649"/>
        <v>3</v>
      </c>
      <c r="AE736" s="31"/>
      <c r="AF736" s="51">
        <v>14</v>
      </c>
      <c r="AG736" s="51">
        <f t="shared" si="677"/>
        <v>8.4</v>
      </c>
      <c r="AH736" s="51">
        <f t="shared" si="643"/>
        <v>42</v>
      </c>
      <c r="AI736" s="52" t="s">
        <v>2497</v>
      </c>
      <c r="AJ736" s="52" t="s">
        <v>2498</v>
      </c>
      <c r="AK736" s="53">
        <f t="shared" si="678"/>
        <v>7.6549249999999999E-3</v>
      </c>
      <c r="AL736" s="54">
        <f t="shared" si="679"/>
        <v>0.11904761904761904</v>
      </c>
      <c r="AM736" s="54">
        <f t="shared" si="680"/>
        <v>2.3809523809523808E-2</v>
      </c>
      <c r="AN736" s="55">
        <f t="shared" si="681"/>
        <v>2.7339017857142857E-3</v>
      </c>
      <c r="AO736" s="55">
        <f t="shared" si="682"/>
        <v>5.4678035714285714E-4</v>
      </c>
      <c r="AP736" s="53">
        <v>7.1</v>
      </c>
      <c r="AQ736" s="53">
        <f t="shared" si="650"/>
        <v>4.26</v>
      </c>
      <c r="AR736" s="53">
        <f t="shared" si="651"/>
        <v>21.299999999999997</v>
      </c>
      <c r="AS736" s="56">
        <f t="shared" si="652"/>
        <v>4.6948356807511742E-2</v>
      </c>
      <c r="AT736" s="56">
        <f t="shared" si="683"/>
        <v>0.23474178403755869</v>
      </c>
      <c r="AU736" s="56">
        <f t="shared" si="653"/>
        <v>0.176056338028169</v>
      </c>
      <c r="AV736" s="56">
        <f t="shared" si="684"/>
        <v>5.8685446009389672E-2</v>
      </c>
      <c r="AW736" s="57" t="s">
        <v>2511</v>
      </c>
      <c r="AX736" s="57" t="s">
        <v>2512</v>
      </c>
      <c r="AY736" s="57" t="s">
        <v>2513</v>
      </c>
      <c r="AZ736" s="58">
        <f t="shared" si="685"/>
        <v>7.6549249999999999E-3</v>
      </c>
      <c r="BA736" s="59">
        <f t="shared" si="689"/>
        <v>6.7384903169014077E-4</v>
      </c>
      <c r="BB736" s="59">
        <f t="shared" si="690"/>
        <v>2.0215470950704223E-3</v>
      </c>
      <c r="BC736" s="59">
        <f t="shared" si="691"/>
        <v>5.3907922535211266E-4</v>
      </c>
      <c r="BD736" s="60">
        <f t="shared" si="686"/>
        <v>1.8315018315018315E-3</v>
      </c>
      <c r="BE736" s="59">
        <f t="shared" si="687"/>
        <v>5.4945054945054941E-3</v>
      </c>
      <c r="BQ736" s="61">
        <v>3000</v>
      </c>
      <c r="BR736" s="61">
        <v>1200</v>
      </c>
      <c r="BS736" s="28">
        <f t="shared" si="654"/>
        <v>2980</v>
      </c>
      <c r="BT736" s="28">
        <f t="shared" si="655"/>
        <v>1180</v>
      </c>
      <c r="BU736" s="28" t="s">
        <v>2541</v>
      </c>
      <c r="BV736" s="28">
        <f t="shared" si="656"/>
        <v>487.2</v>
      </c>
      <c r="BW736" s="28">
        <f t="shared" si="657"/>
        <v>12.9375</v>
      </c>
      <c r="BX736" s="13">
        <f t="shared" si="658"/>
        <v>6.1165845648604273</v>
      </c>
      <c r="BY736" s="13">
        <f t="shared" si="659"/>
        <v>6</v>
      </c>
      <c r="BZ736" s="13">
        <f t="shared" si="660"/>
        <v>91.207729468599027</v>
      </c>
      <c r="CA736" s="13">
        <f t="shared" si="661"/>
        <v>91</v>
      </c>
      <c r="CB736" s="13">
        <f t="shared" si="662"/>
        <v>546</v>
      </c>
      <c r="CC736" s="62">
        <f t="shared" si="663"/>
        <v>1.8315018315018315E-3</v>
      </c>
      <c r="CD736" s="13">
        <f t="shared" si="664"/>
        <v>230.33816425120773</v>
      </c>
      <c r="CE736" s="13">
        <f t="shared" si="665"/>
        <v>230</v>
      </c>
      <c r="CF736" s="13">
        <f t="shared" si="666"/>
        <v>2.4220032840722499</v>
      </c>
      <c r="CG736" s="13">
        <f t="shared" si="667"/>
        <v>2</v>
      </c>
      <c r="CH736" s="28">
        <f t="shared" si="668"/>
        <v>460</v>
      </c>
      <c r="CI736" s="62">
        <f t="shared" si="669"/>
        <v>2.1739130434782609E-3</v>
      </c>
      <c r="CJ736" s="59">
        <f t="shared" si="670"/>
        <v>1.8315018315018315E-3</v>
      </c>
      <c r="CL736" s="63">
        <v>6000</v>
      </c>
      <c r="CM736" s="63">
        <f t="shared" si="671"/>
        <v>482.2</v>
      </c>
      <c r="CN736" s="63">
        <f t="shared" si="672"/>
        <v>487.2</v>
      </c>
      <c r="CO736" s="63">
        <f t="shared" si="673"/>
        <v>12.315270935960591</v>
      </c>
      <c r="CP736" s="13">
        <f t="shared" si="674"/>
        <v>12</v>
      </c>
      <c r="CQ736" s="70">
        <f t="shared" si="675"/>
        <v>8.3333333333333329E-2</v>
      </c>
      <c r="CR736" s="69">
        <f t="shared" si="636"/>
        <v>0.25</v>
      </c>
    </row>
    <row r="737" spans="1:96" hidden="1" x14ac:dyDescent="0.25">
      <c r="A737" s="36">
        <v>2</v>
      </c>
      <c r="B737" s="37" t="s">
        <v>37</v>
      </c>
      <c r="C737" s="36" t="s">
        <v>1747</v>
      </c>
      <c r="D737" s="36" t="s">
        <v>2270</v>
      </c>
      <c r="E737" s="36" t="s">
        <v>52</v>
      </c>
      <c r="F737" s="38">
        <f t="shared" si="644"/>
        <v>1</v>
      </c>
      <c r="G737" s="36">
        <v>2</v>
      </c>
      <c r="H737" s="36">
        <f t="shared" si="696"/>
        <v>2</v>
      </c>
      <c r="I737" s="36">
        <v>263</v>
      </c>
      <c r="J737" s="37" t="s">
        <v>736</v>
      </c>
      <c r="K737" s="37" t="s">
        <v>34</v>
      </c>
      <c r="L737" s="36" t="s">
        <v>223</v>
      </c>
      <c r="M737" s="37" t="s">
        <v>35</v>
      </c>
      <c r="N737" s="36" t="s">
        <v>1748</v>
      </c>
      <c r="O737" s="28"/>
      <c r="P737" s="28"/>
      <c r="Q737" s="28" t="s">
        <v>116</v>
      </c>
      <c r="R737" s="30">
        <v>5</v>
      </c>
      <c r="S737" s="30">
        <v>1.5</v>
      </c>
      <c r="T737" s="30"/>
      <c r="U737" s="30">
        <v>0.12</v>
      </c>
      <c r="V737" s="8">
        <f t="shared" si="645"/>
        <v>127</v>
      </c>
      <c r="W737" s="8">
        <f t="shared" si="646"/>
        <v>38.099999999999994</v>
      </c>
      <c r="X737" s="8">
        <f t="shared" si="647"/>
        <v>0</v>
      </c>
      <c r="Y737" s="33">
        <f t="shared" si="648"/>
        <v>3.0479999999999996</v>
      </c>
      <c r="Z737" s="28" t="s">
        <v>56</v>
      </c>
      <c r="AA737" s="28" t="s">
        <v>57</v>
      </c>
      <c r="AB737" s="28" t="s">
        <v>116</v>
      </c>
      <c r="AC737" s="31" t="s">
        <v>117</v>
      </c>
      <c r="AD737" s="50">
        <f t="shared" si="649"/>
        <v>2</v>
      </c>
      <c r="AE737" s="31"/>
      <c r="AF737" s="51">
        <v>14</v>
      </c>
      <c r="AG737" s="51">
        <f t="shared" si="677"/>
        <v>8.4</v>
      </c>
      <c r="AH737" s="51">
        <f t="shared" si="643"/>
        <v>42</v>
      </c>
      <c r="AI737" s="52" t="s">
        <v>2497</v>
      </c>
      <c r="AJ737" s="52" t="s">
        <v>2498</v>
      </c>
      <c r="AK737" s="53">
        <f t="shared" si="678"/>
        <v>9.6773999999999975E-3</v>
      </c>
      <c r="AL737" s="54">
        <f t="shared" si="679"/>
        <v>0.11904761904761904</v>
      </c>
      <c r="AM737" s="54">
        <f t="shared" si="680"/>
        <v>2.3809523809523808E-2</v>
      </c>
      <c r="AN737" s="55">
        <f t="shared" si="681"/>
        <v>2.3041428571428566E-3</v>
      </c>
      <c r="AO737" s="55">
        <f t="shared" si="682"/>
        <v>4.6082857142857128E-4</v>
      </c>
      <c r="AP737" s="53">
        <v>7.1</v>
      </c>
      <c r="AQ737" s="53">
        <f t="shared" si="650"/>
        <v>4.26</v>
      </c>
      <c r="AR737" s="53">
        <f t="shared" si="651"/>
        <v>21.299999999999997</v>
      </c>
      <c r="AS737" s="56">
        <f t="shared" si="652"/>
        <v>4.6948356807511742E-2</v>
      </c>
      <c r="AT737" s="56">
        <f t="shared" si="683"/>
        <v>0.23474178403755869</v>
      </c>
      <c r="AU737" s="56">
        <f t="shared" si="653"/>
        <v>0.176056338028169</v>
      </c>
      <c r="AV737" s="56">
        <f t="shared" si="684"/>
        <v>5.8685446009389672E-2</v>
      </c>
      <c r="AW737" s="57" t="s">
        <v>2511</v>
      </c>
      <c r="AX737" s="57" t="s">
        <v>2512</v>
      </c>
      <c r="AY737" s="57" t="s">
        <v>2513</v>
      </c>
      <c r="AZ737" s="58">
        <f t="shared" si="685"/>
        <v>9.6773999999999975E-3</v>
      </c>
      <c r="BA737" s="59">
        <f t="shared" si="689"/>
        <v>5.6792253521126745E-4</v>
      </c>
      <c r="BB737" s="59">
        <f t="shared" si="690"/>
        <v>1.7037676056338024E-3</v>
      </c>
      <c r="BC737" s="59">
        <f t="shared" si="691"/>
        <v>4.5433802816901398E-4</v>
      </c>
      <c r="BD737" s="60">
        <f t="shared" si="686"/>
        <v>1.6835016835016834E-3</v>
      </c>
      <c r="BE737" s="59">
        <f t="shared" si="687"/>
        <v>3.3670033670033669E-3</v>
      </c>
      <c r="BQ737" s="61">
        <v>3000</v>
      </c>
      <c r="BR737" s="61">
        <v>1200</v>
      </c>
      <c r="BS737" s="28">
        <f t="shared" si="654"/>
        <v>2980</v>
      </c>
      <c r="BT737" s="28">
        <f t="shared" si="655"/>
        <v>1180</v>
      </c>
      <c r="BU737" s="28" t="s">
        <v>2541</v>
      </c>
      <c r="BV737" s="28">
        <f t="shared" si="656"/>
        <v>132</v>
      </c>
      <c r="BW737" s="28">
        <f t="shared" si="657"/>
        <v>43.099999999999994</v>
      </c>
      <c r="BX737" s="13">
        <f t="shared" si="658"/>
        <v>22.575757575757574</v>
      </c>
      <c r="BY737" s="13">
        <f t="shared" si="659"/>
        <v>22</v>
      </c>
      <c r="BZ737" s="13">
        <f t="shared" si="660"/>
        <v>27.378190255220421</v>
      </c>
      <c r="CA737" s="13">
        <f t="shared" si="661"/>
        <v>27</v>
      </c>
      <c r="CB737" s="13">
        <f t="shared" si="662"/>
        <v>594</v>
      </c>
      <c r="CC737" s="62">
        <f t="shared" si="663"/>
        <v>1.6835016835016834E-3</v>
      </c>
      <c r="CD737" s="13">
        <f t="shared" si="664"/>
        <v>69.141531322505813</v>
      </c>
      <c r="CE737" s="13">
        <f t="shared" si="665"/>
        <v>69</v>
      </c>
      <c r="CF737" s="13">
        <f t="shared" si="666"/>
        <v>8.9393939393939394</v>
      </c>
      <c r="CG737" s="13">
        <f t="shared" si="667"/>
        <v>8</v>
      </c>
      <c r="CH737" s="28">
        <f t="shared" si="668"/>
        <v>552</v>
      </c>
      <c r="CI737" s="62">
        <f t="shared" si="669"/>
        <v>1.8115942028985507E-3</v>
      </c>
      <c r="CJ737" s="59">
        <f t="shared" si="670"/>
        <v>1.6835016835016834E-3</v>
      </c>
      <c r="CL737" s="63">
        <v>6000</v>
      </c>
      <c r="CM737" s="63">
        <f t="shared" si="671"/>
        <v>127</v>
      </c>
      <c r="CN737" s="63">
        <f t="shared" si="672"/>
        <v>132</v>
      </c>
      <c r="CO737" s="63">
        <f t="shared" si="673"/>
        <v>45.454545454545453</v>
      </c>
      <c r="CP737" s="13">
        <f t="shared" si="674"/>
        <v>45</v>
      </c>
      <c r="CQ737" s="70">
        <f t="shared" si="675"/>
        <v>2.2222222222222223E-2</v>
      </c>
      <c r="CR737" s="69">
        <f t="shared" si="636"/>
        <v>4.4444444444444446E-2</v>
      </c>
    </row>
    <row r="738" spans="1:96" hidden="1" x14ac:dyDescent="0.25">
      <c r="A738" s="36">
        <v>2</v>
      </c>
      <c r="B738" s="37" t="s">
        <v>37</v>
      </c>
      <c r="C738" s="36" t="s">
        <v>1749</v>
      </c>
      <c r="D738" s="36" t="s">
        <v>2270</v>
      </c>
      <c r="E738" s="36" t="s">
        <v>32</v>
      </c>
      <c r="F738" s="38">
        <f t="shared" si="644"/>
        <v>1</v>
      </c>
      <c r="G738" s="36">
        <v>6</v>
      </c>
      <c r="H738" s="36">
        <f t="shared" si="696"/>
        <v>6</v>
      </c>
      <c r="I738" s="36">
        <v>264</v>
      </c>
      <c r="J738" s="37" t="s">
        <v>1750</v>
      </c>
      <c r="K738" s="37" t="s">
        <v>34</v>
      </c>
      <c r="L738" s="36">
        <v>0</v>
      </c>
      <c r="M738" s="37" t="s">
        <v>35</v>
      </c>
      <c r="N738" s="36" t="s">
        <v>1751</v>
      </c>
      <c r="O738" s="28" t="s">
        <v>41</v>
      </c>
      <c r="P738" s="28" t="s">
        <v>41</v>
      </c>
      <c r="Q738" s="28"/>
      <c r="R738" s="30"/>
      <c r="S738" s="30"/>
      <c r="T738" s="30"/>
      <c r="U738" s="30"/>
      <c r="V738" s="8">
        <f t="shared" si="645"/>
        <v>0</v>
      </c>
      <c r="W738" s="8">
        <f t="shared" si="646"/>
        <v>0</v>
      </c>
      <c r="X738" s="8">
        <f t="shared" si="647"/>
        <v>0</v>
      </c>
      <c r="Y738" s="33">
        <f t="shared" si="648"/>
        <v>0</v>
      </c>
      <c r="Z738" s="28"/>
      <c r="AA738" s="28"/>
      <c r="AB738" s="28">
        <v>0</v>
      </c>
      <c r="AC738" s="31"/>
      <c r="AD738" s="50">
        <f t="shared" si="649"/>
        <v>6</v>
      </c>
      <c r="AE738" s="31"/>
      <c r="AF738" s="51">
        <v>14</v>
      </c>
      <c r="AG738" s="51">
        <f t="shared" si="677"/>
        <v>8.4</v>
      </c>
      <c r="AH738" s="51">
        <f t="shared" si="643"/>
        <v>42</v>
      </c>
      <c r="AI738" s="52" t="s">
        <v>2497</v>
      </c>
      <c r="AJ738" s="52" t="s">
        <v>2498</v>
      </c>
      <c r="AK738" s="53">
        <f t="shared" si="678"/>
        <v>0</v>
      </c>
      <c r="AL738" s="54">
        <f t="shared" si="679"/>
        <v>0.11904761904761904</v>
      </c>
      <c r="AM738" s="54">
        <f t="shared" si="680"/>
        <v>2.3809523809523808E-2</v>
      </c>
      <c r="AN738" s="55">
        <f t="shared" si="681"/>
        <v>0</v>
      </c>
      <c r="AO738" s="55">
        <f t="shared" si="682"/>
        <v>0</v>
      </c>
      <c r="AP738" s="53">
        <v>7.1</v>
      </c>
      <c r="AQ738" s="53">
        <f t="shared" si="650"/>
        <v>4.26</v>
      </c>
      <c r="AR738" s="53">
        <f t="shared" si="651"/>
        <v>21.299999999999997</v>
      </c>
      <c r="AS738" s="56">
        <f t="shared" si="652"/>
        <v>4.6948356807511742E-2</v>
      </c>
      <c r="AT738" s="56">
        <f t="shared" si="683"/>
        <v>0.23474178403755869</v>
      </c>
      <c r="AU738" s="56">
        <f t="shared" si="653"/>
        <v>0.176056338028169</v>
      </c>
      <c r="AV738" s="56">
        <f t="shared" si="684"/>
        <v>5.8685446009389672E-2</v>
      </c>
      <c r="AW738" s="57" t="s">
        <v>2511</v>
      </c>
      <c r="AX738" s="57" t="s">
        <v>2512</v>
      </c>
      <c r="AY738" s="57" t="s">
        <v>2513</v>
      </c>
      <c r="AZ738" s="58">
        <f t="shared" si="685"/>
        <v>0</v>
      </c>
      <c r="BA738" s="59">
        <f t="shared" si="689"/>
        <v>0</v>
      </c>
      <c r="BB738" s="59">
        <f t="shared" si="690"/>
        <v>0</v>
      </c>
      <c r="BC738" s="59">
        <f t="shared" si="691"/>
        <v>0</v>
      </c>
      <c r="BD738" s="60">
        <f t="shared" si="686"/>
        <v>0</v>
      </c>
      <c r="BE738" s="59">
        <f t="shared" si="687"/>
        <v>0</v>
      </c>
      <c r="BQ738" s="61">
        <v>3000</v>
      </c>
      <c r="BR738" s="61">
        <v>1200</v>
      </c>
      <c r="BS738" s="28">
        <f t="shared" si="654"/>
        <v>2980</v>
      </c>
      <c r="BT738" s="28">
        <f t="shared" si="655"/>
        <v>1180</v>
      </c>
      <c r="BU738" s="28" t="s">
        <v>2541</v>
      </c>
      <c r="BV738" s="28">
        <f t="shared" si="656"/>
        <v>5</v>
      </c>
      <c r="BW738" s="28">
        <f t="shared" si="657"/>
        <v>5</v>
      </c>
      <c r="BX738" s="13">
        <f t="shared" si="658"/>
        <v>596</v>
      </c>
      <c r="BY738" s="13">
        <f t="shared" si="659"/>
        <v>596</v>
      </c>
      <c r="BZ738" s="13">
        <f t="shared" si="660"/>
        <v>236</v>
      </c>
      <c r="CA738" s="13">
        <f t="shared" si="661"/>
        <v>236</v>
      </c>
      <c r="CB738" s="13">
        <f t="shared" si="662"/>
        <v>140656</v>
      </c>
      <c r="CC738" s="62" t="str">
        <f t="shared" si="663"/>
        <v/>
      </c>
      <c r="CD738" s="13">
        <f t="shared" si="664"/>
        <v>596</v>
      </c>
      <c r="CE738" s="13">
        <f t="shared" si="665"/>
        <v>596</v>
      </c>
      <c r="CF738" s="13">
        <f t="shared" si="666"/>
        <v>236</v>
      </c>
      <c r="CG738" s="13">
        <f t="shared" si="667"/>
        <v>236</v>
      </c>
      <c r="CH738" s="28">
        <f t="shared" si="668"/>
        <v>140656</v>
      </c>
      <c r="CI738" s="62" t="str">
        <f t="shared" si="669"/>
        <v/>
      </c>
      <c r="CJ738" s="59">
        <f t="shared" si="670"/>
        <v>0</v>
      </c>
      <c r="CL738" s="63">
        <v>6000</v>
      </c>
      <c r="CM738" s="63">
        <f t="shared" si="671"/>
        <v>0</v>
      </c>
      <c r="CN738" s="63">
        <f t="shared" si="672"/>
        <v>5</v>
      </c>
      <c r="CO738" s="63">
        <f t="shared" si="673"/>
        <v>1200</v>
      </c>
      <c r="CP738" s="13">
        <f t="shared" si="674"/>
        <v>1200</v>
      </c>
      <c r="CQ738" s="70">
        <f t="shared" si="675"/>
        <v>8.3333333333333339E-4</v>
      </c>
      <c r="CR738" s="69">
        <f t="shared" si="636"/>
        <v>5.0000000000000001E-3</v>
      </c>
    </row>
    <row r="739" spans="1:96" hidden="1" x14ac:dyDescent="0.25">
      <c r="A739" s="10">
        <v>3</v>
      </c>
      <c r="B739" s="8" t="s">
        <v>1752</v>
      </c>
      <c r="C739" s="10" t="s">
        <v>1753</v>
      </c>
      <c r="D739" s="10" t="s">
        <v>2270</v>
      </c>
      <c r="E739" s="10" t="s">
        <v>52</v>
      </c>
      <c r="F739" s="12">
        <f t="shared" si="644"/>
        <v>1</v>
      </c>
      <c r="G739" s="10">
        <v>1</v>
      </c>
      <c r="H739" s="10">
        <f>G739*$H$738</f>
        <v>6</v>
      </c>
      <c r="I739" s="10">
        <v>1</v>
      </c>
      <c r="J739" s="8" t="s">
        <v>966</v>
      </c>
      <c r="K739" s="8" t="s">
        <v>34</v>
      </c>
      <c r="L739" s="10">
        <v>0</v>
      </c>
      <c r="M739" s="8" t="s">
        <v>35</v>
      </c>
      <c r="N739" s="10" t="s">
        <v>1754</v>
      </c>
      <c r="O739" s="28" t="s">
        <v>41</v>
      </c>
      <c r="P739" s="28" t="s">
        <v>41</v>
      </c>
      <c r="Q739" s="28" t="s">
        <v>116</v>
      </c>
      <c r="R739" s="30">
        <v>6.3529999999999998</v>
      </c>
      <c r="S739" s="30">
        <v>2.6070000000000002</v>
      </c>
      <c r="T739" s="30"/>
      <c r="U739" s="30">
        <v>0.11799999999999999</v>
      </c>
      <c r="V739" s="8">
        <f t="shared" si="645"/>
        <v>161.36619999999999</v>
      </c>
      <c r="W739" s="8">
        <f t="shared" si="646"/>
        <v>66.217799999999997</v>
      </c>
      <c r="X739" s="8">
        <f t="shared" si="647"/>
        <v>0</v>
      </c>
      <c r="Y739" s="33">
        <f t="shared" si="648"/>
        <v>2.9971999999999999</v>
      </c>
      <c r="Z739" s="28" t="s">
        <v>56</v>
      </c>
      <c r="AA739" s="28" t="s">
        <v>57</v>
      </c>
      <c r="AB739" s="28" t="s">
        <v>116</v>
      </c>
      <c r="AC739" s="31" t="s">
        <v>117</v>
      </c>
      <c r="AD739" s="50">
        <f t="shared" si="649"/>
        <v>6</v>
      </c>
      <c r="AE739" s="31"/>
      <c r="AF739" s="51">
        <v>14</v>
      </c>
      <c r="AG739" s="51">
        <f t="shared" si="677"/>
        <v>8.4</v>
      </c>
      <c r="AH739" s="51">
        <f t="shared" si="643"/>
        <v>42</v>
      </c>
      <c r="AI739" s="52" t="s">
        <v>2497</v>
      </c>
      <c r="AJ739" s="52" t="s">
        <v>2498</v>
      </c>
      <c r="AK739" s="53">
        <f t="shared" si="678"/>
        <v>2.1370629516719995E-2</v>
      </c>
      <c r="AL739" s="54">
        <f t="shared" si="679"/>
        <v>0.11904761904761904</v>
      </c>
      <c r="AM739" s="54">
        <f t="shared" si="680"/>
        <v>2.3809523809523808E-2</v>
      </c>
      <c r="AN739" s="55">
        <f t="shared" si="681"/>
        <v>1.526473536908571E-2</v>
      </c>
      <c r="AO739" s="55">
        <f t="shared" si="682"/>
        <v>3.0529470738171419E-3</v>
      </c>
      <c r="AP739" s="53">
        <v>7.1</v>
      </c>
      <c r="AQ739" s="53">
        <f t="shared" si="650"/>
        <v>4.26</v>
      </c>
      <c r="AR739" s="53">
        <f t="shared" si="651"/>
        <v>21.299999999999997</v>
      </c>
      <c r="AS739" s="56">
        <f t="shared" si="652"/>
        <v>4.6948356807511742E-2</v>
      </c>
      <c r="AT739" s="56">
        <f t="shared" si="683"/>
        <v>0.23474178403755869</v>
      </c>
      <c r="AU739" s="56">
        <f t="shared" si="653"/>
        <v>0.176056338028169</v>
      </c>
      <c r="AV739" s="56">
        <f t="shared" si="684"/>
        <v>5.8685446009389672E-2</v>
      </c>
      <c r="AW739" s="57" t="s">
        <v>2511</v>
      </c>
      <c r="AX739" s="57" t="s">
        <v>2512</v>
      </c>
      <c r="AY739" s="57" t="s">
        <v>2513</v>
      </c>
      <c r="AZ739" s="58">
        <f t="shared" si="685"/>
        <v>2.1370629516719995E-2</v>
      </c>
      <c r="BA739" s="59">
        <f t="shared" si="689"/>
        <v>3.7624347740704213E-3</v>
      </c>
      <c r="BB739" s="59">
        <f t="shared" si="690"/>
        <v>1.1287304322211264E-2</v>
      </c>
      <c r="BC739" s="59">
        <f t="shared" si="691"/>
        <v>3.0099478192563375E-3</v>
      </c>
      <c r="BD739" s="60">
        <f t="shared" si="686"/>
        <v>3.4843205574912892E-3</v>
      </c>
      <c r="BE739" s="59">
        <f t="shared" si="687"/>
        <v>2.0905923344947737E-2</v>
      </c>
      <c r="BQ739" s="61">
        <v>3000</v>
      </c>
      <c r="BR739" s="61">
        <v>1200</v>
      </c>
      <c r="BS739" s="28">
        <f t="shared" si="654"/>
        <v>2980</v>
      </c>
      <c r="BT739" s="28">
        <f t="shared" si="655"/>
        <v>1180</v>
      </c>
      <c r="BU739" s="28" t="s">
        <v>2541</v>
      </c>
      <c r="BV739" s="28">
        <f t="shared" si="656"/>
        <v>166.36619999999999</v>
      </c>
      <c r="BW739" s="28">
        <f t="shared" si="657"/>
        <v>71.217799999999997</v>
      </c>
      <c r="BX739" s="13">
        <f t="shared" si="658"/>
        <v>17.912292280523328</v>
      </c>
      <c r="BY739" s="13">
        <f t="shared" si="659"/>
        <v>17</v>
      </c>
      <c r="BZ739" s="13">
        <f t="shared" si="660"/>
        <v>16.56889148499392</v>
      </c>
      <c r="CA739" s="13">
        <f t="shared" si="661"/>
        <v>16</v>
      </c>
      <c r="CB739" s="13">
        <f t="shared" si="662"/>
        <v>272</v>
      </c>
      <c r="CC739" s="62">
        <f t="shared" si="663"/>
        <v>3.6764705882352941E-3</v>
      </c>
      <c r="CD739" s="13">
        <f t="shared" si="664"/>
        <v>41.843471716340581</v>
      </c>
      <c r="CE739" s="13">
        <f t="shared" si="665"/>
        <v>41</v>
      </c>
      <c r="CF739" s="13">
        <f t="shared" si="666"/>
        <v>7.0927868761803783</v>
      </c>
      <c r="CG739" s="13">
        <f t="shared" si="667"/>
        <v>7</v>
      </c>
      <c r="CH739" s="28">
        <f t="shared" si="668"/>
        <v>287</v>
      </c>
      <c r="CI739" s="62">
        <f t="shared" si="669"/>
        <v>3.4843205574912892E-3</v>
      </c>
      <c r="CJ739" s="59">
        <f t="shared" si="670"/>
        <v>3.4843205574912892E-3</v>
      </c>
      <c r="CL739" s="63">
        <v>6000</v>
      </c>
      <c r="CM739" s="63">
        <f t="shared" si="671"/>
        <v>161.36619999999999</v>
      </c>
      <c r="CN739" s="63">
        <f t="shared" si="672"/>
        <v>166.36619999999999</v>
      </c>
      <c r="CO739" s="63">
        <f t="shared" si="673"/>
        <v>36.0650180144765</v>
      </c>
      <c r="CP739" s="13">
        <f t="shared" si="674"/>
        <v>36</v>
      </c>
      <c r="CQ739" s="70">
        <f t="shared" si="675"/>
        <v>2.7777777777777776E-2</v>
      </c>
      <c r="CR739" s="69">
        <f t="shared" si="636"/>
        <v>0.16666666666666666</v>
      </c>
    </row>
    <row r="740" spans="1:96" hidden="1" x14ac:dyDescent="0.25">
      <c r="A740" s="10">
        <v>3</v>
      </c>
      <c r="B740" s="8" t="s">
        <v>1752</v>
      </c>
      <c r="C740" s="10" t="s">
        <v>448</v>
      </c>
      <c r="D740" s="10" t="s">
        <v>450</v>
      </c>
      <c r="E740" s="10" t="s">
        <v>52</v>
      </c>
      <c r="F740" s="12">
        <f t="shared" si="644"/>
        <v>23</v>
      </c>
      <c r="G740" s="10">
        <v>2</v>
      </c>
      <c r="H740" s="10">
        <f>G740*$H$738</f>
        <v>12</v>
      </c>
      <c r="I740" s="10">
        <v>2</v>
      </c>
      <c r="J740" s="8" t="s">
        <v>449</v>
      </c>
      <c r="K740" s="8" t="s">
        <v>34</v>
      </c>
      <c r="L740" s="10">
        <v>0</v>
      </c>
      <c r="M740" s="8" t="s">
        <v>35</v>
      </c>
      <c r="N740" s="10" t="s">
        <v>450</v>
      </c>
      <c r="O740" s="28" t="s">
        <v>41</v>
      </c>
      <c r="P740" s="28" t="s">
        <v>41</v>
      </c>
      <c r="Q740" s="28" t="s">
        <v>450</v>
      </c>
      <c r="R740" s="30"/>
      <c r="S740" s="30"/>
      <c r="T740" s="30"/>
      <c r="U740" s="30"/>
      <c r="V740" s="8">
        <f t="shared" si="645"/>
        <v>0</v>
      </c>
      <c r="W740" s="8">
        <f t="shared" si="646"/>
        <v>0</v>
      </c>
      <c r="X740" s="8">
        <f t="shared" si="647"/>
        <v>0</v>
      </c>
      <c r="Y740" s="33">
        <f t="shared" si="648"/>
        <v>0</v>
      </c>
      <c r="Z740" s="28"/>
      <c r="AA740" s="28"/>
      <c r="AB740" s="61" t="s">
        <v>450</v>
      </c>
      <c r="AC740" s="31" t="s">
        <v>451</v>
      </c>
      <c r="AD740" s="50">
        <f t="shared" si="649"/>
        <v>12</v>
      </c>
      <c r="AE740" s="31"/>
      <c r="AF740" s="51">
        <v>14</v>
      </c>
      <c r="AG740" s="51">
        <f t="shared" si="677"/>
        <v>8.4</v>
      </c>
      <c r="AH740" s="51">
        <f t="shared" si="643"/>
        <v>42</v>
      </c>
      <c r="AI740" s="52" t="s">
        <v>2497</v>
      </c>
      <c r="AJ740" s="52" t="s">
        <v>2498</v>
      </c>
      <c r="AK740" s="53">
        <f t="shared" si="678"/>
        <v>0</v>
      </c>
      <c r="AL740" s="54">
        <f t="shared" si="679"/>
        <v>0.11904761904761904</v>
      </c>
      <c r="AM740" s="54">
        <f t="shared" si="680"/>
        <v>2.3809523809523808E-2</v>
      </c>
      <c r="AN740" s="55">
        <f t="shared" si="681"/>
        <v>0</v>
      </c>
      <c r="AO740" s="55">
        <f t="shared" si="682"/>
        <v>0</v>
      </c>
      <c r="AP740" s="53">
        <v>7.1</v>
      </c>
      <c r="AQ740" s="53">
        <f t="shared" si="650"/>
        <v>4.26</v>
      </c>
      <c r="AR740" s="53">
        <f t="shared" si="651"/>
        <v>21.299999999999997</v>
      </c>
      <c r="AS740" s="56">
        <f t="shared" si="652"/>
        <v>4.6948356807511742E-2</v>
      </c>
      <c r="AT740" s="56">
        <f t="shared" si="683"/>
        <v>0.23474178403755869</v>
      </c>
      <c r="AU740" s="56">
        <f t="shared" si="653"/>
        <v>0.176056338028169</v>
      </c>
      <c r="AV740" s="56">
        <f t="shared" si="684"/>
        <v>5.8685446009389672E-2</v>
      </c>
      <c r="AW740" s="57" t="s">
        <v>2511</v>
      </c>
      <c r="AX740" s="57" t="s">
        <v>2512</v>
      </c>
      <c r="AY740" s="57" t="s">
        <v>2513</v>
      </c>
      <c r="AZ740" s="58">
        <f t="shared" si="685"/>
        <v>0</v>
      </c>
      <c r="BA740" s="59">
        <f t="shared" si="689"/>
        <v>0</v>
      </c>
      <c r="BB740" s="59">
        <f t="shared" si="690"/>
        <v>0</v>
      </c>
      <c r="BC740" s="59">
        <f t="shared" si="691"/>
        <v>0</v>
      </c>
      <c r="BD740" s="60">
        <f t="shared" si="686"/>
        <v>7.1095438516664771E-6</v>
      </c>
      <c r="BE740" s="59">
        <f t="shared" si="687"/>
        <v>8.5314526219997728E-5</v>
      </c>
      <c r="BQ740" s="61">
        <v>3000</v>
      </c>
      <c r="BR740" s="61">
        <v>1200</v>
      </c>
      <c r="BS740" s="28">
        <f t="shared" si="654"/>
        <v>2980</v>
      </c>
      <c r="BT740" s="28">
        <f t="shared" si="655"/>
        <v>1180</v>
      </c>
      <c r="BU740" s="28" t="s">
        <v>2541</v>
      </c>
      <c r="BV740" s="28">
        <f t="shared" si="656"/>
        <v>5</v>
      </c>
      <c r="BW740" s="28">
        <f t="shared" si="657"/>
        <v>5</v>
      </c>
      <c r="BX740" s="13">
        <f t="shared" si="658"/>
        <v>596</v>
      </c>
      <c r="BY740" s="13">
        <f t="shared" si="659"/>
        <v>596</v>
      </c>
      <c r="BZ740" s="13">
        <f t="shared" si="660"/>
        <v>236</v>
      </c>
      <c r="CA740" s="13">
        <f t="shared" si="661"/>
        <v>236</v>
      </c>
      <c r="CB740" s="13">
        <f t="shared" si="662"/>
        <v>140656</v>
      </c>
      <c r="CC740" s="62">
        <f t="shared" si="663"/>
        <v>7.1095438516664771E-6</v>
      </c>
      <c r="CD740" s="13">
        <f t="shared" si="664"/>
        <v>596</v>
      </c>
      <c r="CE740" s="13">
        <f t="shared" si="665"/>
        <v>596</v>
      </c>
      <c r="CF740" s="13">
        <f t="shared" si="666"/>
        <v>236</v>
      </c>
      <c r="CG740" s="13">
        <f t="shared" si="667"/>
        <v>236</v>
      </c>
      <c r="CH740" s="28">
        <f t="shared" si="668"/>
        <v>140656</v>
      </c>
      <c r="CI740" s="62">
        <f t="shared" si="669"/>
        <v>7.1095438516664771E-6</v>
      </c>
      <c r="CJ740" s="59">
        <f t="shared" si="670"/>
        <v>7.1095438516664771E-6</v>
      </c>
      <c r="CL740" s="63">
        <v>6000</v>
      </c>
      <c r="CM740" s="63">
        <f t="shared" si="671"/>
        <v>0</v>
      </c>
      <c r="CN740" s="63">
        <f t="shared" si="672"/>
        <v>5</v>
      </c>
      <c r="CO740" s="63">
        <f t="shared" si="673"/>
        <v>1200</v>
      </c>
      <c r="CP740" s="13">
        <f t="shared" si="674"/>
        <v>1200</v>
      </c>
      <c r="CQ740" s="70">
        <f t="shared" si="675"/>
        <v>8.3333333333333339E-4</v>
      </c>
      <c r="CR740" s="69">
        <f t="shared" ref="CR740:CR803" si="697">CQ740*AD740</f>
        <v>0.01</v>
      </c>
    </row>
    <row r="741" spans="1:96" hidden="1" x14ac:dyDescent="0.25">
      <c r="A741" s="36">
        <v>2</v>
      </c>
      <c r="B741" s="37" t="s">
        <v>37</v>
      </c>
      <c r="C741" s="36" t="s">
        <v>1755</v>
      </c>
      <c r="D741" s="36" t="s">
        <v>2270</v>
      </c>
      <c r="E741" s="36" t="s">
        <v>32</v>
      </c>
      <c r="F741" s="38">
        <f t="shared" si="644"/>
        <v>1</v>
      </c>
      <c r="G741" s="36">
        <v>1</v>
      </c>
      <c r="H741" s="36">
        <f t="shared" ref="H741" si="698">G741*$H$3</f>
        <v>1</v>
      </c>
      <c r="I741" s="36">
        <v>265</v>
      </c>
      <c r="J741" s="37" t="s">
        <v>1756</v>
      </c>
      <c r="K741" s="37" t="s">
        <v>34</v>
      </c>
      <c r="L741" s="36">
        <v>0</v>
      </c>
      <c r="M741" s="37" t="s">
        <v>340</v>
      </c>
      <c r="N741" s="36" t="s">
        <v>1757</v>
      </c>
      <c r="O741" s="28" t="s">
        <v>41</v>
      </c>
      <c r="P741" s="28" t="s">
        <v>41</v>
      </c>
      <c r="Q741" s="28" t="s">
        <v>1757</v>
      </c>
      <c r="R741" s="30"/>
      <c r="S741" s="30"/>
      <c r="T741" s="30"/>
      <c r="U741" s="30"/>
      <c r="V741" s="8">
        <f t="shared" si="645"/>
        <v>0</v>
      </c>
      <c r="W741" s="8">
        <f t="shared" si="646"/>
        <v>0</v>
      </c>
      <c r="X741" s="8">
        <f t="shared" si="647"/>
        <v>0</v>
      </c>
      <c r="Y741" s="33">
        <f t="shared" si="648"/>
        <v>0</v>
      </c>
      <c r="Z741" s="28"/>
      <c r="AA741" s="28"/>
      <c r="AB741" s="61" t="s">
        <v>1757</v>
      </c>
      <c r="AC741" s="31" t="s">
        <v>1758</v>
      </c>
      <c r="AD741" s="50">
        <f t="shared" si="649"/>
        <v>1</v>
      </c>
      <c r="AE741" s="31"/>
      <c r="AF741" s="51">
        <v>14</v>
      </c>
      <c r="AG741" s="51">
        <f t="shared" si="677"/>
        <v>8.4</v>
      </c>
      <c r="AH741" s="51">
        <f t="shared" si="643"/>
        <v>42</v>
      </c>
      <c r="AI741" s="52" t="s">
        <v>2497</v>
      </c>
      <c r="AJ741" s="52" t="s">
        <v>2498</v>
      </c>
      <c r="AK741" s="53">
        <f t="shared" si="678"/>
        <v>0</v>
      </c>
      <c r="AL741" s="54">
        <f t="shared" si="679"/>
        <v>0.11904761904761904</v>
      </c>
      <c r="AM741" s="54">
        <f t="shared" si="680"/>
        <v>2.3809523809523808E-2</v>
      </c>
      <c r="AN741" s="55">
        <f t="shared" si="681"/>
        <v>0</v>
      </c>
      <c r="AO741" s="55">
        <f t="shared" si="682"/>
        <v>0</v>
      </c>
      <c r="AP741" s="53">
        <v>7.1</v>
      </c>
      <c r="AQ741" s="53">
        <f t="shared" si="650"/>
        <v>4.26</v>
      </c>
      <c r="AR741" s="53">
        <f t="shared" si="651"/>
        <v>21.299999999999997</v>
      </c>
      <c r="AS741" s="56">
        <f t="shared" si="652"/>
        <v>4.6948356807511742E-2</v>
      </c>
      <c r="AT741" s="56">
        <f t="shared" si="683"/>
        <v>0.23474178403755869</v>
      </c>
      <c r="AU741" s="56">
        <f t="shared" si="653"/>
        <v>0.176056338028169</v>
      </c>
      <c r="AV741" s="56">
        <f t="shared" si="684"/>
        <v>5.8685446009389672E-2</v>
      </c>
      <c r="AW741" s="57" t="s">
        <v>2511</v>
      </c>
      <c r="AX741" s="57" t="s">
        <v>2512</v>
      </c>
      <c r="AY741" s="57" t="s">
        <v>2513</v>
      </c>
      <c r="AZ741" s="58">
        <f t="shared" si="685"/>
        <v>0</v>
      </c>
      <c r="BA741" s="59">
        <f t="shared" si="689"/>
        <v>0</v>
      </c>
      <c r="BB741" s="59">
        <f t="shared" si="690"/>
        <v>0</v>
      </c>
      <c r="BC741" s="59">
        <f t="shared" si="691"/>
        <v>0</v>
      </c>
      <c r="BD741" s="60">
        <f t="shared" si="686"/>
        <v>0</v>
      </c>
      <c r="BE741" s="59">
        <f t="shared" si="687"/>
        <v>0</v>
      </c>
      <c r="BQ741" s="61">
        <v>3000</v>
      </c>
      <c r="BR741" s="61">
        <v>1200</v>
      </c>
      <c r="BS741" s="28">
        <f t="shared" si="654"/>
        <v>2980</v>
      </c>
      <c r="BT741" s="28">
        <f t="shared" si="655"/>
        <v>1180</v>
      </c>
      <c r="BU741" s="28" t="s">
        <v>2541</v>
      </c>
      <c r="BV741" s="28">
        <f t="shared" si="656"/>
        <v>5</v>
      </c>
      <c r="BW741" s="28">
        <f t="shared" si="657"/>
        <v>5</v>
      </c>
      <c r="BX741" s="13">
        <f t="shared" si="658"/>
        <v>596</v>
      </c>
      <c r="BY741" s="13">
        <f t="shared" si="659"/>
        <v>596</v>
      </c>
      <c r="BZ741" s="13">
        <f t="shared" si="660"/>
        <v>236</v>
      </c>
      <c r="CA741" s="13">
        <f t="shared" si="661"/>
        <v>236</v>
      </c>
      <c r="CB741" s="13">
        <f t="shared" si="662"/>
        <v>140656</v>
      </c>
      <c r="CC741" s="62" t="str">
        <f t="shared" si="663"/>
        <v/>
      </c>
      <c r="CD741" s="13">
        <f t="shared" si="664"/>
        <v>596</v>
      </c>
      <c r="CE741" s="13">
        <f t="shared" si="665"/>
        <v>596</v>
      </c>
      <c r="CF741" s="13">
        <f t="shared" si="666"/>
        <v>236</v>
      </c>
      <c r="CG741" s="13">
        <f t="shared" si="667"/>
        <v>236</v>
      </c>
      <c r="CH741" s="28">
        <f t="shared" si="668"/>
        <v>140656</v>
      </c>
      <c r="CI741" s="62" t="str">
        <f t="shared" si="669"/>
        <v/>
      </c>
      <c r="CJ741" s="59">
        <f t="shared" si="670"/>
        <v>0</v>
      </c>
      <c r="CL741" s="63">
        <v>6000</v>
      </c>
      <c r="CM741" s="63">
        <f t="shared" si="671"/>
        <v>0</v>
      </c>
      <c r="CN741" s="63">
        <f t="shared" si="672"/>
        <v>5</v>
      </c>
      <c r="CO741" s="63">
        <f t="shared" si="673"/>
        <v>1200</v>
      </c>
      <c r="CP741" s="13">
        <f t="shared" si="674"/>
        <v>1200</v>
      </c>
      <c r="CQ741" s="70">
        <f t="shared" si="675"/>
        <v>8.3333333333333339E-4</v>
      </c>
      <c r="CR741" s="69">
        <f t="shared" si="697"/>
        <v>8.3333333333333339E-4</v>
      </c>
    </row>
    <row r="742" spans="1:96" hidden="1" x14ac:dyDescent="0.25">
      <c r="A742" s="10">
        <v>3</v>
      </c>
      <c r="B742" s="8" t="s">
        <v>1759</v>
      </c>
      <c r="C742" s="10" t="s">
        <v>1760</v>
      </c>
      <c r="D742" s="10" t="s">
        <v>2270</v>
      </c>
      <c r="E742" s="10" t="s">
        <v>52</v>
      </c>
      <c r="F742" s="12">
        <f t="shared" si="644"/>
        <v>2</v>
      </c>
      <c r="G742" s="10">
        <v>1</v>
      </c>
      <c r="H742" s="10">
        <f>G742*$H$741</f>
        <v>1</v>
      </c>
      <c r="I742" s="10">
        <v>1</v>
      </c>
      <c r="J742" s="8" t="s">
        <v>1761</v>
      </c>
      <c r="K742" s="8" t="s">
        <v>34</v>
      </c>
      <c r="L742" s="10">
        <v>0</v>
      </c>
      <c r="M742" s="8" t="s">
        <v>340</v>
      </c>
      <c r="N742" s="10" t="s">
        <v>1762</v>
      </c>
      <c r="O742" s="28"/>
      <c r="P742" s="28"/>
      <c r="Q742" s="28" t="s">
        <v>1763</v>
      </c>
      <c r="R742" s="30">
        <v>40.811</v>
      </c>
      <c r="S742" s="30">
        <v>21.75</v>
      </c>
      <c r="T742" s="30"/>
      <c r="U742" s="30">
        <v>6.2E-2</v>
      </c>
      <c r="V742" s="8">
        <f t="shared" si="645"/>
        <v>1036.5993999999998</v>
      </c>
      <c r="W742" s="8">
        <f t="shared" si="646"/>
        <v>552.44999999999993</v>
      </c>
      <c r="X742" s="8">
        <f t="shared" si="647"/>
        <v>0</v>
      </c>
      <c r="Y742" s="33">
        <f t="shared" si="648"/>
        <v>1.5748</v>
      </c>
      <c r="Z742" s="28" t="s">
        <v>1764</v>
      </c>
      <c r="AA742" s="28" t="s">
        <v>1765</v>
      </c>
      <c r="AB742" s="28" t="s">
        <v>1763</v>
      </c>
      <c r="AC742" s="31" t="s">
        <v>1766</v>
      </c>
      <c r="AD742" s="50">
        <f t="shared" si="649"/>
        <v>1</v>
      </c>
      <c r="AE742" s="31"/>
      <c r="AF742" s="51">
        <v>14</v>
      </c>
      <c r="AG742" s="51">
        <f t="shared" si="677"/>
        <v>8.4</v>
      </c>
      <c r="AH742" s="51">
        <f t="shared" si="643"/>
        <v>42</v>
      </c>
      <c r="AI742" s="52" t="s">
        <v>2497</v>
      </c>
      <c r="AJ742" s="52" t="s">
        <v>2498</v>
      </c>
      <c r="AK742" s="53">
        <f t="shared" si="678"/>
        <v>1.1453386770599996</v>
      </c>
      <c r="AL742" s="54">
        <f t="shared" si="679"/>
        <v>0.11904761904761904</v>
      </c>
      <c r="AM742" s="54">
        <f t="shared" si="680"/>
        <v>2.3809523809523808E-2</v>
      </c>
      <c r="AN742" s="55">
        <f t="shared" si="681"/>
        <v>0.1363498425071428</v>
      </c>
      <c r="AO742" s="55">
        <f t="shared" si="682"/>
        <v>2.726996850142856E-2</v>
      </c>
      <c r="AP742" s="53">
        <v>7.1</v>
      </c>
      <c r="AQ742" s="53">
        <f t="shared" si="650"/>
        <v>4.26</v>
      </c>
      <c r="AR742" s="53">
        <f t="shared" si="651"/>
        <v>21.299999999999997</v>
      </c>
      <c r="AS742" s="56">
        <f t="shared" si="652"/>
        <v>4.6948356807511742E-2</v>
      </c>
      <c r="AT742" s="56">
        <f t="shared" si="683"/>
        <v>0.23474178403755869</v>
      </c>
      <c r="AU742" s="56">
        <f t="shared" si="653"/>
        <v>0.176056338028169</v>
      </c>
      <c r="AV742" s="56">
        <f t="shared" si="684"/>
        <v>5.8685446009389672E-2</v>
      </c>
      <c r="AW742" s="57" t="s">
        <v>2511</v>
      </c>
      <c r="AX742" s="57" t="s">
        <v>2512</v>
      </c>
      <c r="AY742" s="57" t="s">
        <v>2513</v>
      </c>
      <c r="AZ742" s="58">
        <f t="shared" si="685"/>
        <v>1.1453386770599996</v>
      </c>
      <c r="BA742" s="59">
        <f t="shared" si="689"/>
        <v>3.3607355547535196E-2</v>
      </c>
      <c r="BB742" s="59">
        <f t="shared" si="690"/>
        <v>0.1008220666426056</v>
      </c>
      <c r="BC742" s="59">
        <f t="shared" si="691"/>
        <v>2.6885884438028161E-2</v>
      </c>
      <c r="BD742" s="60">
        <f t="shared" si="686"/>
        <v>0.2</v>
      </c>
      <c r="BE742" s="59">
        <f t="shared" si="687"/>
        <v>0.2</v>
      </c>
      <c r="BQ742" s="61">
        <v>3000</v>
      </c>
      <c r="BR742" s="61">
        <v>1200</v>
      </c>
      <c r="BS742" s="28">
        <f t="shared" si="654"/>
        <v>2980</v>
      </c>
      <c r="BT742" s="28">
        <f t="shared" si="655"/>
        <v>1180</v>
      </c>
      <c r="BU742" s="28" t="s">
        <v>2541</v>
      </c>
      <c r="BV742" s="28">
        <f t="shared" si="656"/>
        <v>1041.5993999999998</v>
      </c>
      <c r="BW742" s="28">
        <f t="shared" si="657"/>
        <v>557.44999999999993</v>
      </c>
      <c r="BX742" s="13">
        <f t="shared" si="658"/>
        <v>2.8609847509512778</v>
      </c>
      <c r="BY742" s="13">
        <f t="shared" si="659"/>
        <v>2</v>
      </c>
      <c r="BZ742" s="13">
        <f t="shared" si="660"/>
        <v>2.1167817741501485</v>
      </c>
      <c r="CA742" s="13">
        <f t="shared" si="661"/>
        <v>2</v>
      </c>
      <c r="CB742" s="13">
        <f t="shared" si="662"/>
        <v>4</v>
      </c>
      <c r="CC742" s="62">
        <f t="shared" si="663"/>
        <v>0.25</v>
      </c>
      <c r="CD742" s="13">
        <f t="shared" si="664"/>
        <v>5.3457709211588487</v>
      </c>
      <c r="CE742" s="13">
        <f t="shared" si="665"/>
        <v>5</v>
      </c>
      <c r="CF742" s="13">
        <f t="shared" si="666"/>
        <v>1.132873156416949</v>
      </c>
      <c r="CG742" s="13">
        <f t="shared" si="667"/>
        <v>1</v>
      </c>
      <c r="CH742" s="28">
        <f t="shared" si="668"/>
        <v>5</v>
      </c>
      <c r="CI742" s="62">
        <f t="shared" si="669"/>
        <v>0.2</v>
      </c>
      <c r="CJ742" s="59">
        <f t="shared" si="670"/>
        <v>0.2</v>
      </c>
      <c r="CL742" s="63">
        <v>6000</v>
      </c>
      <c r="CM742" s="63">
        <f t="shared" si="671"/>
        <v>1036.5993999999998</v>
      </c>
      <c r="CN742" s="63">
        <f t="shared" si="672"/>
        <v>1041.5993999999998</v>
      </c>
      <c r="CO742" s="63">
        <f t="shared" si="673"/>
        <v>5.7603719817810966</v>
      </c>
      <c r="CP742" s="13">
        <f t="shared" si="674"/>
        <v>5</v>
      </c>
      <c r="CQ742" s="70">
        <f t="shared" si="675"/>
        <v>0.2</v>
      </c>
      <c r="CR742" s="69">
        <f t="shared" si="697"/>
        <v>0.2</v>
      </c>
    </row>
    <row r="743" spans="1:96" hidden="1" x14ac:dyDescent="0.25">
      <c r="A743" s="10">
        <v>3</v>
      </c>
      <c r="B743" s="8" t="s">
        <v>1759</v>
      </c>
      <c r="C743" s="10" t="s">
        <v>1767</v>
      </c>
      <c r="D743" s="10" t="s">
        <v>2270</v>
      </c>
      <c r="E743" s="10" t="s">
        <v>52</v>
      </c>
      <c r="F743" s="12">
        <f t="shared" si="644"/>
        <v>2</v>
      </c>
      <c r="G743" s="10">
        <v>1</v>
      </c>
      <c r="H743" s="10">
        <f t="shared" ref="H743:H744" si="699">G743*$H$741</f>
        <v>1</v>
      </c>
      <c r="I743" s="10">
        <v>2</v>
      </c>
      <c r="J743" s="8" t="s">
        <v>1768</v>
      </c>
      <c r="K743" s="8" t="s">
        <v>34</v>
      </c>
      <c r="L743" s="10">
        <v>0</v>
      </c>
      <c r="M743" s="8" t="s">
        <v>340</v>
      </c>
      <c r="N743" s="10" t="s">
        <v>1763</v>
      </c>
      <c r="O743" s="28"/>
      <c r="P743" s="28"/>
      <c r="Q743" s="28" t="s">
        <v>1763</v>
      </c>
      <c r="R743" s="30">
        <v>19.82</v>
      </c>
      <c r="S743" s="30">
        <v>18.75</v>
      </c>
      <c r="T743" s="30"/>
      <c r="U743" s="30">
        <v>2</v>
      </c>
      <c r="V743" s="8">
        <f t="shared" si="645"/>
        <v>503.428</v>
      </c>
      <c r="W743" s="8">
        <f t="shared" si="646"/>
        <v>476.25</v>
      </c>
      <c r="X743" s="8">
        <f t="shared" si="647"/>
        <v>0</v>
      </c>
      <c r="Y743" s="33">
        <f t="shared" si="648"/>
        <v>50.8</v>
      </c>
      <c r="Z743" s="28" t="s">
        <v>1769</v>
      </c>
      <c r="AA743" s="28" t="s">
        <v>2477</v>
      </c>
      <c r="AB743" s="28" t="s">
        <v>1763</v>
      </c>
      <c r="AC743" s="31" t="s">
        <v>1770</v>
      </c>
      <c r="AD743" s="50">
        <f t="shared" si="649"/>
        <v>1</v>
      </c>
      <c r="AE743" s="31"/>
      <c r="AF743" s="51">
        <v>14</v>
      </c>
      <c r="AG743" s="51">
        <f t="shared" si="677"/>
        <v>8.4</v>
      </c>
      <c r="AH743" s="51">
        <f t="shared" si="643"/>
        <v>42</v>
      </c>
      <c r="AI743" s="52" t="s">
        <v>2497</v>
      </c>
      <c r="AJ743" s="52" t="s">
        <v>2498</v>
      </c>
      <c r="AK743" s="53">
        <f t="shared" si="678"/>
        <v>0.47951516999999999</v>
      </c>
      <c r="AL743" s="54">
        <f t="shared" si="679"/>
        <v>0.11904761904761904</v>
      </c>
      <c r="AM743" s="54">
        <f t="shared" si="680"/>
        <v>2.3809523809523808E-2</v>
      </c>
      <c r="AN743" s="55">
        <f t="shared" si="681"/>
        <v>5.7085139285714279E-2</v>
      </c>
      <c r="AO743" s="55">
        <f t="shared" si="682"/>
        <v>1.1417027857142856E-2</v>
      </c>
      <c r="AP743" s="53">
        <v>7.1</v>
      </c>
      <c r="AQ743" s="53">
        <f t="shared" si="650"/>
        <v>4.26</v>
      </c>
      <c r="AR743" s="53">
        <f t="shared" si="651"/>
        <v>21.299999999999997</v>
      </c>
      <c r="AS743" s="56">
        <f t="shared" si="652"/>
        <v>4.6948356807511742E-2</v>
      </c>
      <c r="AT743" s="56">
        <f t="shared" si="683"/>
        <v>0.23474178403755869</v>
      </c>
      <c r="AU743" s="56">
        <f t="shared" si="653"/>
        <v>0.176056338028169</v>
      </c>
      <c r="AV743" s="56">
        <f t="shared" si="684"/>
        <v>5.8685446009389672E-2</v>
      </c>
      <c r="AW743" s="57" t="s">
        <v>2511</v>
      </c>
      <c r="AX743" s="57" t="s">
        <v>2512</v>
      </c>
      <c r="AY743" s="57" t="s">
        <v>2513</v>
      </c>
      <c r="AZ743" s="58">
        <f t="shared" si="685"/>
        <v>0.47951516999999999</v>
      </c>
      <c r="BA743" s="59">
        <f t="shared" si="689"/>
        <v>1.4070280809859155E-2</v>
      </c>
      <c r="BB743" s="59">
        <f t="shared" si="690"/>
        <v>4.2210842429577462E-2</v>
      </c>
      <c r="BC743" s="59">
        <f t="shared" si="691"/>
        <v>1.1256224647887324E-2</v>
      </c>
      <c r="BD743" s="60">
        <f t="shared" si="686"/>
        <v>8.3333333333333329E-2</v>
      </c>
      <c r="BE743" s="59">
        <f t="shared" si="687"/>
        <v>8.3333333333333329E-2</v>
      </c>
      <c r="BQ743" s="61">
        <v>3000</v>
      </c>
      <c r="BR743" s="61">
        <v>1200</v>
      </c>
      <c r="BS743" s="28">
        <f t="shared" si="654"/>
        <v>2980</v>
      </c>
      <c r="BT743" s="28">
        <f t="shared" si="655"/>
        <v>1180</v>
      </c>
      <c r="BU743" s="28" t="s">
        <v>2541</v>
      </c>
      <c r="BV743" s="28">
        <f t="shared" si="656"/>
        <v>508.428</v>
      </c>
      <c r="BW743" s="28">
        <f t="shared" si="657"/>
        <v>481.25</v>
      </c>
      <c r="BX743" s="13">
        <f t="shared" si="658"/>
        <v>5.8612035529121131</v>
      </c>
      <c r="BY743" s="13">
        <f t="shared" si="659"/>
        <v>5</v>
      </c>
      <c r="BZ743" s="13">
        <f t="shared" si="660"/>
        <v>2.4519480519480519</v>
      </c>
      <c r="CA743" s="13">
        <f t="shared" si="661"/>
        <v>2</v>
      </c>
      <c r="CB743" s="13">
        <f t="shared" si="662"/>
        <v>10</v>
      </c>
      <c r="CC743" s="62">
        <f t="shared" si="663"/>
        <v>0.1</v>
      </c>
      <c r="CD743" s="13">
        <f t="shared" si="664"/>
        <v>6.1922077922077925</v>
      </c>
      <c r="CE743" s="13">
        <f t="shared" si="665"/>
        <v>6</v>
      </c>
      <c r="CF743" s="13">
        <f t="shared" si="666"/>
        <v>2.3208792592068099</v>
      </c>
      <c r="CG743" s="13">
        <f t="shared" si="667"/>
        <v>2</v>
      </c>
      <c r="CH743" s="28">
        <f t="shared" si="668"/>
        <v>12</v>
      </c>
      <c r="CI743" s="62">
        <f t="shared" si="669"/>
        <v>8.3333333333333329E-2</v>
      </c>
      <c r="CJ743" s="59">
        <f t="shared" si="670"/>
        <v>8.3333333333333329E-2</v>
      </c>
      <c r="CL743" s="63">
        <v>6000</v>
      </c>
      <c r="CM743" s="63">
        <f t="shared" si="671"/>
        <v>503.428</v>
      </c>
      <c r="CN743" s="63">
        <f t="shared" si="672"/>
        <v>508.428</v>
      </c>
      <c r="CO743" s="63">
        <f t="shared" si="673"/>
        <v>11.801080979017678</v>
      </c>
      <c r="CP743" s="13">
        <f t="shared" si="674"/>
        <v>11</v>
      </c>
      <c r="CQ743" s="70">
        <f t="shared" si="675"/>
        <v>9.0909090909090912E-2</v>
      </c>
      <c r="CR743" s="69">
        <f t="shared" si="697"/>
        <v>9.0909090909090912E-2</v>
      </c>
    </row>
    <row r="744" spans="1:96" hidden="1" x14ac:dyDescent="0.25">
      <c r="A744" s="10">
        <v>3</v>
      </c>
      <c r="B744" s="8" t="s">
        <v>1759</v>
      </c>
      <c r="C744" s="10" t="s">
        <v>1771</v>
      </c>
      <c r="D744" s="10" t="s">
        <v>2270</v>
      </c>
      <c r="E744" s="10" t="s">
        <v>32</v>
      </c>
      <c r="F744" s="12">
        <f t="shared" si="644"/>
        <v>2</v>
      </c>
      <c r="G744" s="10">
        <v>1</v>
      </c>
      <c r="H744" s="10">
        <f t="shared" si="699"/>
        <v>1</v>
      </c>
      <c r="I744" s="10">
        <v>3</v>
      </c>
      <c r="J744" s="8" t="s">
        <v>1772</v>
      </c>
      <c r="K744" s="8" t="s">
        <v>34</v>
      </c>
      <c r="L744" s="10">
        <v>0</v>
      </c>
      <c r="M744" s="8" t="s">
        <v>340</v>
      </c>
      <c r="N744" s="10" t="s">
        <v>1773</v>
      </c>
      <c r="O744" s="28"/>
      <c r="P744" s="28"/>
      <c r="Q744" s="28" t="s">
        <v>1763</v>
      </c>
      <c r="R744" s="30"/>
      <c r="S744" s="30"/>
      <c r="T744" s="30"/>
      <c r="U744" s="30"/>
      <c r="V744" s="8">
        <f t="shared" si="645"/>
        <v>0</v>
      </c>
      <c r="W744" s="8">
        <f t="shared" si="646"/>
        <v>0</v>
      </c>
      <c r="X744" s="8">
        <f t="shared" si="647"/>
        <v>0</v>
      </c>
      <c r="Y744" s="33">
        <f t="shared" si="648"/>
        <v>0</v>
      </c>
      <c r="Z744" s="28"/>
      <c r="AA744" s="28"/>
      <c r="AB744" s="28" t="s">
        <v>1763</v>
      </c>
      <c r="AC744" s="31"/>
      <c r="AD744" s="50">
        <f t="shared" si="649"/>
        <v>1</v>
      </c>
      <c r="AE744" s="31"/>
      <c r="AF744" s="51">
        <v>14</v>
      </c>
      <c r="AG744" s="51">
        <f t="shared" si="677"/>
        <v>8.4</v>
      </c>
      <c r="AH744" s="51">
        <f t="shared" si="643"/>
        <v>42</v>
      </c>
      <c r="AI744" s="52" t="s">
        <v>2497</v>
      </c>
      <c r="AJ744" s="52" t="s">
        <v>2498</v>
      </c>
      <c r="AK744" s="53">
        <f t="shared" si="678"/>
        <v>0</v>
      </c>
      <c r="AL744" s="54">
        <f t="shared" si="679"/>
        <v>0.11904761904761904</v>
      </c>
      <c r="AM744" s="54">
        <f t="shared" si="680"/>
        <v>2.3809523809523808E-2</v>
      </c>
      <c r="AN744" s="55">
        <f t="shared" si="681"/>
        <v>0</v>
      </c>
      <c r="AO744" s="55">
        <f t="shared" si="682"/>
        <v>0</v>
      </c>
      <c r="AP744" s="53">
        <v>7.1</v>
      </c>
      <c r="AQ744" s="53">
        <f t="shared" si="650"/>
        <v>4.26</v>
      </c>
      <c r="AR744" s="53">
        <f t="shared" si="651"/>
        <v>21.299999999999997</v>
      </c>
      <c r="AS744" s="56">
        <f t="shared" si="652"/>
        <v>4.6948356807511742E-2</v>
      </c>
      <c r="AT744" s="56">
        <f t="shared" si="683"/>
        <v>0.23474178403755869</v>
      </c>
      <c r="AU744" s="56">
        <f t="shared" si="653"/>
        <v>0.176056338028169</v>
      </c>
      <c r="AV744" s="56">
        <f t="shared" si="684"/>
        <v>5.8685446009389672E-2</v>
      </c>
      <c r="AW744" s="57" t="s">
        <v>2511</v>
      </c>
      <c r="AX744" s="57" t="s">
        <v>2512</v>
      </c>
      <c r="AY744" s="57" t="s">
        <v>2513</v>
      </c>
      <c r="AZ744" s="58">
        <f t="shared" si="685"/>
        <v>0</v>
      </c>
      <c r="BA744" s="59">
        <f t="shared" si="689"/>
        <v>0</v>
      </c>
      <c r="BB744" s="59">
        <f t="shared" si="690"/>
        <v>0</v>
      </c>
      <c r="BC744" s="59">
        <f t="shared" si="691"/>
        <v>0</v>
      </c>
      <c r="BD744" s="60">
        <f t="shared" si="686"/>
        <v>0</v>
      </c>
      <c r="BE744" s="59">
        <f t="shared" si="687"/>
        <v>0</v>
      </c>
      <c r="BQ744" s="61">
        <v>3000</v>
      </c>
      <c r="BR744" s="61">
        <v>1200</v>
      </c>
      <c r="BS744" s="28">
        <f t="shared" si="654"/>
        <v>2980</v>
      </c>
      <c r="BT744" s="28">
        <f t="shared" si="655"/>
        <v>1180</v>
      </c>
      <c r="BU744" s="28" t="s">
        <v>2541</v>
      </c>
      <c r="BV744" s="28">
        <f t="shared" si="656"/>
        <v>5</v>
      </c>
      <c r="BW744" s="28">
        <f t="shared" si="657"/>
        <v>5</v>
      </c>
      <c r="BX744" s="13">
        <f t="shared" si="658"/>
        <v>596</v>
      </c>
      <c r="BY744" s="13">
        <f t="shared" si="659"/>
        <v>596</v>
      </c>
      <c r="BZ744" s="13">
        <f t="shared" si="660"/>
        <v>236</v>
      </c>
      <c r="CA744" s="13">
        <f t="shared" si="661"/>
        <v>236</v>
      </c>
      <c r="CB744" s="13">
        <f t="shared" si="662"/>
        <v>140656</v>
      </c>
      <c r="CC744" s="62" t="str">
        <f t="shared" si="663"/>
        <v/>
      </c>
      <c r="CD744" s="13">
        <f t="shared" si="664"/>
        <v>596</v>
      </c>
      <c r="CE744" s="13">
        <f t="shared" si="665"/>
        <v>596</v>
      </c>
      <c r="CF744" s="13">
        <f t="shared" si="666"/>
        <v>236</v>
      </c>
      <c r="CG744" s="13">
        <f t="shared" si="667"/>
        <v>236</v>
      </c>
      <c r="CH744" s="28">
        <f t="shared" si="668"/>
        <v>140656</v>
      </c>
      <c r="CI744" s="62" t="str">
        <f t="shared" si="669"/>
        <v/>
      </c>
      <c r="CJ744" s="59">
        <f t="shared" si="670"/>
        <v>0</v>
      </c>
      <c r="CL744" s="63">
        <v>6000</v>
      </c>
      <c r="CM744" s="63">
        <f t="shared" si="671"/>
        <v>0</v>
      </c>
      <c r="CN744" s="63">
        <f t="shared" si="672"/>
        <v>5</v>
      </c>
      <c r="CO744" s="63">
        <f t="shared" si="673"/>
        <v>1200</v>
      </c>
      <c r="CP744" s="13">
        <f t="shared" si="674"/>
        <v>1200</v>
      </c>
      <c r="CQ744" s="70">
        <f t="shared" si="675"/>
        <v>8.3333333333333339E-4</v>
      </c>
      <c r="CR744" s="69">
        <f t="shared" si="697"/>
        <v>8.3333333333333339E-4</v>
      </c>
    </row>
    <row r="745" spans="1:96" hidden="1" x14ac:dyDescent="0.25">
      <c r="A745" s="13">
        <v>4</v>
      </c>
      <c r="B745" s="14" t="s">
        <v>1774</v>
      </c>
      <c r="C745" s="13" t="s">
        <v>1775</v>
      </c>
      <c r="D745" s="13" t="s">
        <v>2270</v>
      </c>
      <c r="E745" s="13" t="s">
        <v>52</v>
      </c>
      <c r="F745" s="15">
        <f t="shared" si="644"/>
        <v>2</v>
      </c>
      <c r="G745" s="13">
        <v>1</v>
      </c>
      <c r="H745" s="13">
        <f>G745*$H$744</f>
        <v>1</v>
      </c>
      <c r="I745" s="13">
        <v>1</v>
      </c>
      <c r="J745" s="14" t="s">
        <v>1772</v>
      </c>
      <c r="K745" s="14" t="s">
        <v>34</v>
      </c>
      <c r="L745" s="13">
        <v>0</v>
      </c>
      <c r="M745" s="14" t="s">
        <v>340</v>
      </c>
      <c r="N745" s="13" t="s">
        <v>1776</v>
      </c>
      <c r="O745" s="28"/>
      <c r="P745" s="28"/>
      <c r="Q745" s="28" t="s">
        <v>1763</v>
      </c>
      <c r="R745" s="30">
        <v>18.75</v>
      </c>
      <c r="S745" s="30">
        <v>3.472</v>
      </c>
      <c r="T745" s="30"/>
      <c r="U745" s="30">
        <v>0.09</v>
      </c>
      <c r="V745" s="8">
        <f t="shared" si="645"/>
        <v>476.25</v>
      </c>
      <c r="W745" s="8">
        <f t="shared" si="646"/>
        <v>88.188800000000001</v>
      </c>
      <c r="X745" s="8">
        <f t="shared" si="647"/>
        <v>0</v>
      </c>
      <c r="Y745" s="33">
        <f t="shared" si="648"/>
        <v>2.2859999999999996</v>
      </c>
      <c r="Z745" s="28" t="s">
        <v>56</v>
      </c>
      <c r="AA745" s="28" t="s">
        <v>57</v>
      </c>
      <c r="AB745" s="28" t="s">
        <v>1763</v>
      </c>
      <c r="AC745" s="31" t="s">
        <v>125</v>
      </c>
      <c r="AD745" s="50">
        <f t="shared" si="649"/>
        <v>1</v>
      </c>
      <c r="AE745" s="31"/>
      <c r="AF745" s="51">
        <v>14</v>
      </c>
      <c r="AG745" s="51">
        <f t="shared" si="677"/>
        <v>8.4</v>
      </c>
      <c r="AH745" s="51">
        <f t="shared" si="643"/>
        <v>42</v>
      </c>
      <c r="AI745" s="52" t="s">
        <v>2497</v>
      </c>
      <c r="AJ745" s="52" t="s">
        <v>2498</v>
      </c>
      <c r="AK745" s="53">
        <f t="shared" si="678"/>
        <v>8.3999831999999997E-2</v>
      </c>
      <c r="AL745" s="54">
        <f t="shared" si="679"/>
        <v>0.11904761904761904</v>
      </c>
      <c r="AM745" s="54">
        <f t="shared" si="680"/>
        <v>2.3809523809523808E-2</v>
      </c>
      <c r="AN745" s="55">
        <f t="shared" si="681"/>
        <v>9.9999799999999986E-3</v>
      </c>
      <c r="AO745" s="55">
        <f t="shared" si="682"/>
        <v>1.999996E-3</v>
      </c>
      <c r="AP745" s="53">
        <v>7.1</v>
      </c>
      <c r="AQ745" s="53">
        <f t="shared" si="650"/>
        <v>4.26</v>
      </c>
      <c r="AR745" s="53">
        <f t="shared" si="651"/>
        <v>21.299999999999997</v>
      </c>
      <c r="AS745" s="56">
        <f t="shared" si="652"/>
        <v>4.6948356807511742E-2</v>
      </c>
      <c r="AT745" s="56">
        <f t="shared" si="683"/>
        <v>0.23474178403755869</v>
      </c>
      <c r="AU745" s="56">
        <f t="shared" si="653"/>
        <v>0.176056338028169</v>
      </c>
      <c r="AV745" s="56">
        <f t="shared" si="684"/>
        <v>5.8685446009389672E-2</v>
      </c>
      <c r="AW745" s="57" t="s">
        <v>2511</v>
      </c>
      <c r="AX745" s="57" t="s">
        <v>2512</v>
      </c>
      <c r="AY745" s="57" t="s">
        <v>2513</v>
      </c>
      <c r="AZ745" s="58">
        <f t="shared" si="685"/>
        <v>8.3999831999999997E-2</v>
      </c>
      <c r="BA745" s="59">
        <f t="shared" si="689"/>
        <v>2.4647838028169014E-3</v>
      </c>
      <c r="BB745" s="59">
        <f t="shared" si="690"/>
        <v>7.3943514084507033E-3</v>
      </c>
      <c r="BC745" s="59">
        <f t="shared" si="691"/>
        <v>1.9718270422535212E-3</v>
      </c>
      <c r="BD745" s="60">
        <f t="shared" si="686"/>
        <v>1.3888888888888888E-2</v>
      </c>
      <c r="BE745" s="59">
        <f t="shared" si="687"/>
        <v>1.3888888888888888E-2</v>
      </c>
      <c r="BQ745" s="61">
        <v>3000</v>
      </c>
      <c r="BR745" s="61">
        <v>1200</v>
      </c>
      <c r="BS745" s="28">
        <f t="shared" si="654"/>
        <v>2980</v>
      </c>
      <c r="BT745" s="28">
        <f t="shared" si="655"/>
        <v>1180</v>
      </c>
      <c r="BU745" s="28" t="s">
        <v>2541</v>
      </c>
      <c r="BV745" s="28">
        <f t="shared" si="656"/>
        <v>481.25</v>
      </c>
      <c r="BW745" s="28">
        <f t="shared" si="657"/>
        <v>93.188800000000001</v>
      </c>
      <c r="BX745" s="13">
        <f t="shared" si="658"/>
        <v>6.1922077922077925</v>
      </c>
      <c r="BY745" s="13">
        <f t="shared" si="659"/>
        <v>6</v>
      </c>
      <c r="BZ745" s="13">
        <f t="shared" si="660"/>
        <v>12.662465875727555</v>
      </c>
      <c r="CA745" s="13">
        <f t="shared" si="661"/>
        <v>12</v>
      </c>
      <c r="CB745" s="13">
        <f t="shared" si="662"/>
        <v>72</v>
      </c>
      <c r="CC745" s="62">
        <f t="shared" si="663"/>
        <v>1.3888888888888888E-2</v>
      </c>
      <c r="CD745" s="13">
        <f t="shared" si="664"/>
        <v>31.978091787854336</v>
      </c>
      <c r="CE745" s="13">
        <f t="shared" si="665"/>
        <v>31</v>
      </c>
      <c r="CF745" s="13">
        <f t="shared" si="666"/>
        <v>2.4519480519480519</v>
      </c>
      <c r="CG745" s="13">
        <f t="shared" si="667"/>
        <v>2</v>
      </c>
      <c r="CH745" s="28">
        <f t="shared" si="668"/>
        <v>62</v>
      </c>
      <c r="CI745" s="62">
        <f t="shared" si="669"/>
        <v>1.6129032258064516E-2</v>
      </c>
      <c r="CJ745" s="59">
        <f t="shared" si="670"/>
        <v>1.3888888888888888E-2</v>
      </c>
      <c r="CL745" s="63">
        <v>6000</v>
      </c>
      <c r="CM745" s="63">
        <f t="shared" si="671"/>
        <v>476.25</v>
      </c>
      <c r="CN745" s="63">
        <f t="shared" si="672"/>
        <v>481.25</v>
      </c>
      <c r="CO745" s="63">
        <f t="shared" si="673"/>
        <v>12.467532467532468</v>
      </c>
      <c r="CP745" s="13">
        <f t="shared" si="674"/>
        <v>12</v>
      </c>
      <c r="CQ745" s="70">
        <f t="shared" si="675"/>
        <v>8.3333333333333329E-2</v>
      </c>
      <c r="CR745" s="69">
        <f t="shared" si="697"/>
        <v>8.3333333333333329E-2</v>
      </c>
    </row>
    <row r="746" spans="1:96" hidden="1" x14ac:dyDescent="0.25">
      <c r="A746" s="13">
        <v>4</v>
      </c>
      <c r="B746" s="14" t="s">
        <v>1774</v>
      </c>
      <c r="C746" s="13" t="s">
        <v>1777</v>
      </c>
      <c r="D746" s="13" t="s">
        <v>2270</v>
      </c>
      <c r="E746" s="13" t="s">
        <v>52</v>
      </c>
      <c r="F746" s="15">
        <f t="shared" si="644"/>
        <v>4</v>
      </c>
      <c r="G746" s="13">
        <v>2</v>
      </c>
      <c r="H746" s="13">
        <f>G746*$H$744</f>
        <v>2</v>
      </c>
      <c r="I746" s="13">
        <v>3</v>
      </c>
      <c r="J746" s="14" t="s">
        <v>1778</v>
      </c>
      <c r="K746" s="14" t="s">
        <v>34</v>
      </c>
      <c r="L746" s="13" t="s">
        <v>223</v>
      </c>
      <c r="M746" s="14" t="s">
        <v>340</v>
      </c>
      <c r="N746" s="13" t="s">
        <v>1763</v>
      </c>
      <c r="O746" s="28"/>
      <c r="P746" s="28"/>
      <c r="Q746" s="28" t="s">
        <v>1763</v>
      </c>
      <c r="R746" s="30"/>
      <c r="S746" s="30"/>
      <c r="T746" s="30"/>
      <c r="U746" s="30"/>
      <c r="V746" s="8">
        <f t="shared" si="645"/>
        <v>0</v>
      </c>
      <c r="W746" s="8">
        <f t="shared" si="646"/>
        <v>0</v>
      </c>
      <c r="X746" s="8">
        <f t="shared" si="647"/>
        <v>0</v>
      </c>
      <c r="Y746" s="33">
        <f t="shared" si="648"/>
        <v>0</v>
      </c>
      <c r="Z746" s="28"/>
      <c r="AA746" s="28"/>
      <c r="AB746" s="28" t="s">
        <v>1763</v>
      </c>
      <c r="AC746" s="31" t="s">
        <v>1779</v>
      </c>
      <c r="AD746" s="50">
        <f t="shared" si="649"/>
        <v>2</v>
      </c>
      <c r="AE746" s="31"/>
      <c r="AF746" s="51">
        <v>14</v>
      </c>
      <c r="AG746" s="51">
        <f t="shared" si="677"/>
        <v>8.4</v>
      </c>
      <c r="AH746" s="51">
        <f t="shared" si="643"/>
        <v>42</v>
      </c>
      <c r="AI746" s="52" t="s">
        <v>2497</v>
      </c>
      <c r="AJ746" s="52" t="s">
        <v>2498</v>
      </c>
      <c r="AK746" s="53">
        <f t="shared" si="678"/>
        <v>0</v>
      </c>
      <c r="AL746" s="54">
        <f t="shared" si="679"/>
        <v>0.11904761904761904</v>
      </c>
      <c r="AM746" s="54">
        <f t="shared" si="680"/>
        <v>2.3809523809523808E-2</v>
      </c>
      <c r="AN746" s="55">
        <f t="shared" si="681"/>
        <v>0</v>
      </c>
      <c r="AO746" s="55">
        <f t="shared" si="682"/>
        <v>0</v>
      </c>
      <c r="AP746" s="53">
        <v>7.1</v>
      </c>
      <c r="AQ746" s="53">
        <f t="shared" si="650"/>
        <v>4.26</v>
      </c>
      <c r="AR746" s="53">
        <f t="shared" si="651"/>
        <v>21.299999999999997</v>
      </c>
      <c r="AS746" s="56">
        <f t="shared" si="652"/>
        <v>4.6948356807511742E-2</v>
      </c>
      <c r="AT746" s="56">
        <f t="shared" si="683"/>
        <v>0.23474178403755869</v>
      </c>
      <c r="AU746" s="56">
        <f t="shared" si="653"/>
        <v>0.176056338028169</v>
      </c>
      <c r="AV746" s="56">
        <f t="shared" si="684"/>
        <v>5.8685446009389672E-2</v>
      </c>
      <c r="AW746" s="57" t="s">
        <v>2511</v>
      </c>
      <c r="AX746" s="57" t="s">
        <v>2512</v>
      </c>
      <c r="AY746" s="57" t="s">
        <v>2513</v>
      </c>
      <c r="AZ746" s="58">
        <f t="shared" si="685"/>
        <v>0</v>
      </c>
      <c r="BA746" s="59">
        <f t="shared" si="689"/>
        <v>0</v>
      </c>
      <c r="BB746" s="59">
        <f t="shared" si="690"/>
        <v>0</v>
      </c>
      <c r="BC746" s="59">
        <f t="shared" si="691"/>
        <v>0</v>
      </c>
      <c r="BD746" s="60">
        <f t="shared" si="686"/>
        <v>7.1095438516664771E-6</v>
      </c>
      <c r="BE746" s="59">
        <f t="shared" si="687"/>
        <v>1.4219087703332954E-5</v>
      </c>
      <c r="BQ746" s="61">
        <v>3000</v>
      </c>
      <c r="BR746" s="61">
        <v>1200</v>
      </c>
      <c r="BS746" s="28">
        <f t="shared" si="654"/>
        <v>2980</v>
      </c>
      <c r="BT746" s="28">
        <f t="shared" si="655"/>
        <v>1180</v>
      </c>
      <c r="BU746" s="28" t="s">
        <v>2541</v>
      </c>
      <c r="BV746" s="28">
        <f t="shared" si="656"/>
        <v>5</v>
      </c>
      <c r="BW746" s="28">
        <f t="shared" si="657"/>
        <v>5</v>
      </c>
      <c r="BX746" s="13">
        <f t="shared" si="658"/>
        <v>596</v>
      </c>
      <c r="BY746" s="13">
        <f t="shared" si="659"/>
        <v>596</v>
      </c>
      <c r="BZ746" s="13">
        <f t="shared" si="660"/>
        <v>236</v>
      </c>
      <c r="CA746" s="13">
        <f t="shared" si="661"/>
        <v>236</v>
      </c>
      <c r="CB746" s="13">
        <f t="shared" si="662"/>
        <v>140656</v>
      </c>
      <c r="CC746" s="62">
        <f t="shared" si="663"/>
        <v>7.1095438516664771E-6</v>
      </c>
      <c r="CD746" s="13">
        <f t="shared" si="664"/>
        <v>596</v>
      </c>
      <c r="CE746" s="13">
        <f t="shared" si="665"/>
        <v>596</v>
      </c>
      <c r="CF746" s="13">
        <f t="shared" si="666"/>
        <v>236</v>
      </c>
      <c r="CG746" s="13">
        <f t="shared" si="667"/>
        <v>236</v>
      </c>
      <c r="CH746" s="28">
        <f t="shared" si="668"/>
        <v>140656</v>
      </c>
      <c r="CI746" s="62">
        <f t="shared" si="669"/>
        <v>7.1095438516664771E-6</v>
      </c>
      <c r="CJ746" s="59">
        <f t="shared" si="670"/>
        <v>7.1095438516664771E-6</v>
      </c>
      <c r="CL746" s="63">
        <v>6000</v>
      </c>
      <c r="CM746" s="63">
        <f t="shared" si="671"/>
        <v>0</v>
      </c>
      <c r="CN746" s="63">
        <f t="shared" si="672"/>
        <v>5</v>
      </c>
      <c r="CO746" s="63">
        <f t="shared" si="673"/>
        <v>1200</v>
      </c>
      <c r="CP746" s="13">
        <f t="shared" si="674"/>
        <v>1200</v>
      </c>
      <c r="CQ746" s="70">
        <f t="shared" si="675"/>
        <v>8.3333333333333339E-4</v>
      </c>
      <c r="CR746" s="69">
        <f t="shared" si="697"/>
        <v>1.6666666666666668E-3</v>
      </c>
    </row>
    <row r="747" spans="1:96" hidden="1" x14ac:dyDescent="0.25">
      <c r="A747" s="10">
        <v>3</v>
      </c>
      <c r="B747" s="8" t="s">
        <v>1759</v>
      </c>
      <c r="C747" s="10" t="s">
        <v>1780</v>
      </c>
      <c r="D747" s="10" t="s">
        <v>2270</v>
      </c>
      <c r="E747" s="10" t="s">
        <v>32</v>
      </c>
      <c r="F747" s="12">
        <f t="shared" si="644"/>
        <v>1</v>
      </c>
      <c r="G747" s="10">
        <v>1</v>
      </c>
      <c r="H747" s="10">
        <f>G747*$H$741</f>
        <v>1</v>
      </c>
      <c r="I747" s="10">
        <v>4</v>
      </c>
      <c r="J747" s="8" t="s">
        <v>1772</v>
      </c>
      <c r="K747" s="8" t="s">
        <v>34</v>
      </c>
      <c r="L747" s="10">
        <v>0</v>
      </c>
      <c r="M747" s="8" t="s">
        <v>340</v>
      </c>
      <c r="N747" s="10" t="s">
        <v>1781</v>
      </c>
      <c r="O747" s="28"/>
      <c r="P747" s="28"/>
      <c r="Q747" s="28" t="s">
        <v>1763</v>
      </c>
      <c r="R747" s="30"/>
      <c r="S747" s="30"/>
      <c r="T747" s="30"/>
      <c r="U747" s="30"/>
      <c r="V747" s="8">
        <f t="shared" si="645"/>
        <v>0</v>
      </c>
      <c r="W747" s="8">
        <f t="shared" si="646"/>
        <v>0</v>
      </c>
      <c r="X747" s="8">
        <f t="shared" si="647"/>
        <v>0</v>
      </c>
      <c r="Y747" s="33">
        <f t="shared" si="648"/>
        <v>0</v>
      </c>
      <c r="Z747" s="28"/>
      <c r="AA747" s="28"/>
      <c r="AB747" s="28" t="s">
        <v>1763</v>
      </c>
      <c r="AC747" s="31"/>
      <c r="AD747" s="50">
        <f t="shared" si="649"/>
        <v>1</v>
      </c>
      <c r="AE747" s="31"/>
      <c r="AF747" s="51">
        <v>14</v>
      </c>
      <c r="AG747" s="51">
        <f t="shared" si="677"/>
        <v>8.4</v>
      </c>
      <c r="AH747" s="51">
        <f t="shared" si="643"/>
        <v>42</v>
      </c>
      <c r="AI747" s="52" t="s">
        <v>2497</v>
      </c>
      <c r="AJ747" s="52" t="s">
        <v>2498</v>
      </c>
      <c r="AK747" s="53">
        <f t="shared" si="678"/>
        <v>0</v>
      </c>
      <c r="AL747" s="54">
        <f t="shared" si="679"/>
        <v>0.11904761904761904</v>
      </c>
      <c r="AM747" s="54">
        <f t="shared" si="680"/>
        <v>2.3809523809523808E-2</v>
      </c>
      <c r="AN747" s="55">
        <f t="shared" si="681"/>
        <v>0</v>
      </c>
      <c r="AO747" s="55">
        <f t="shared" si="682"/>
        <v>0</v>
      </c>
      <c r="AP747" s="53">
        <v>7.1</v>
      </c>
      <c r="AQ747" s="53">
        <f t="shared" si="650"/>
        <v>4.26</v>
      </c>
      <c r="AR747" s="53">
        <f t="shared" si="651"/>
        <v>21.299999999999997</v>
      </c>
      <c r="AS747" s="56">
        <f t="shared" si="652"/>
        <v>4.6948356807511742E-2</v>
      </c>
      <c r="AT747" s="56">
        <f t="shared" si="683"/>
        <v>0.23474178403755869</v>
      </c>
      <c r="AU747" s="56">
        <f t="shared" si="653"/>
        <v>0.176056338028169</v>
      </c>
      <c r="AV747" s="56">
        <f t="shared" si="684"/>
        <v>5.8685446009389672E-2</v>
      </c>
      <c r="AW747" s="57" t="s">
        <v>2511</v>
      </c>
      <c r="AX747" s="57" t="s">
        <v>2512</v>
      </c>
      <c r="AY747" s="57" t="s">
        <v>2513</v>
      </c>
      <c r="AZ747" s="58">
        <f t="shared" si="685"/>
        <v>0</v>
      </c>
      <c r="BA747" s="59">
        <f t="shared" si="689"/>
        <v>0</v>
      </c>
      <c r="BB747" s="59">
        <f t="shared" si="690"/>
        <v>0</v>
      </c>
      <c r="BC747" s="59">
        <f t="shared" si="691"/>
        <v>0</v>
      </c>
      <c r="BD747" s="60">
        <f t="shared" si="686"/>
        <v>0</v>
      </c>
      <c r="BE747" s="59">
        <f t="shared" si="687"/>
        <v>0</v>
      </c>
      <c r="BQ747" s="61">
        <v>3000</v>
      </c>
      <c r="BR747" s="61">
        <v>1200</v>
      </c>
      <c r="BS747" s="28">
        <f t="shared" si="654"/>
        <v>2980</v>
      </c>
      <c r="BT747" s="28">
        <f t="shared" si="655"/>
        <v>1180</v>
      </c>
      <c r="BU747" s="28" t="s">
        <v>2541</v>
      </c>
      <c r="BV747" s="28">
        <f t="shared" si="656"/>
        <v>5</v>
      </c>
      <c r="BW747" s="28">
        <f t="shared" si="657"/>
        <v>5</v>
      </c>
      <c r="BX747" s="13">
        <f t="shared" si="658"/>
        <v>596</v>
      </c>
      <c r="BY747" s="13">
        <f t="shared" si="659"/>
        <v>596</v>
      </c>
      <c r="BZ747" s="13">
        <f t="shared" si="660"/>
        <v>236</v>
      </c>
      <c r="CA747" s="13">
        <f t="shared" si="661"/>
        <v>236</v>
      </c>
      <c r="CB747" s="13">
        <f t="shared" si="662"/>
        <v>140656</v>
      </c>
      <c r="CC747" s="62" t="str">
        <f t="shared" si="663"/>
        <v/>
      </c>
      <c r="CD747" s="13">
        <f t="shared" si="664"/>
        <v>596</v>
      </c>
      <c r="CE747" s="13">
        <f t="shared" si="665"/>
        <v>596</v>
      </c>
      <c r="CF747" s="13">
        <f t="shared" si="666"/>
        <v>236</v>
      </c>
      <c r="CG747" s="13">
        <f t="shared" si="667"/>
        <v>236</v>
      </c>
      <c r="CH747" s="28">
        <f t="shared" si="668"/>
        <v>140656</v>
      </c>
      <c r="CI747" s="62" t="str">
        <f t="shared" si="669"/>
        <v/>
      </c>
      <c r="CJ747" s="59">
        <f t="shared" si="670"/>
        <v>0</v>
      </c>
      <c r="CL747" s="63">
        <v>6000</v>
      </c>
      <c r="CM747" s="63">
        <f t="shared" si="671"/>
        <v>0</v>
      </c>
      <c r="CN747" s="63">
        <f t="shared" si="672"/>
        <v>5</v>
      </c>
      <c r="CO747" s="63">
        <f t="shared" si="673"/>
        <v>1200</v>
      </c>
      <c r="CP747" s="13">
        <f t="shared" si="674"/>
        <v>1200</v>
      </c>
      <c r="CQ747" s="70">
        <f t="shared" si="675"/>
        <v>8.3333333333333339E-4</v>
      </c>
      <c r="CR747" s="69">
        <f t="shared" si="697"/>
        <v>8.3333333333333339E-4</v>
      </c>
    </row>
    <row r="748" spans="1:96" hidden="1" x14ac:dyDescent="0.25">
      <c r="A748" s="13">
        <v>4</v>
      </c>
      <c r="B748" s="14" t="s">
        <v>1782</v>
      </c>
      <c r="C748" s="13" t="s">
        <v>1783</v>
      </c>
      <c r="D748" s="13" t="s">
        <v>2270</v>
      </c>
      <c r="E748" s="13" t="s">
        <v>52</v>
      </c>
      <c r="F748" s="15">
        <f t="shared" si="644"/>
        <v>1</v>
      </c>
      <c r="G748" s="13">
        <v>1</v>
      </c>
      <c r="H748" s="13">
        <f>G748*$H$747</f>
        <v>1</v>
      </c>
      <c r="I748" s="13">
        <v>2</v>
      </c>
      <c r="J748" s="14" t="s">
        <v>1772</v>
      </c>
      <c r="K748" s="14" t="s">
        <v>34</v>
      </c>
      <c r="L748" s="13">
        <v>0</v>
      </c>
      <c r="M748" s="14" t="s">
        <v>340</v>
      </c>
      <c r="N748" s="13" t="s">
        <v>1784</v>
      </c>
      <c r="O748" s="28"/>
      <c r="P748" s="28"/>
      <c r="Q748" s="28" t="s">
        <v>1763</v>
      </c>
      <c r="R748" s="30">
        <v>18.75</v>
      </c>
      <c r="S748" s="30">
        <v>3.472</v>
      </c>
      <c r="T748" s="30"/>
      <c r="U748" s="30">
        <v>0.09</v>
      </c>
      <c r="V748" s="8">
        <f t="shared" si="645"/>
        <v>476.25</v>
      </c>
      <c r="W748" s="8">
        <f t="shared" si="646"/>
        <v>88.188800000000001</v>
      </c>
      <c r="X748" s="8">
        <f t="shared" si="647"/>
        <v>0</v>
      </c>
      <c r="Y748" s="33">
        <f t="shared" si="648"/>
        <v>2.2859999999999996</v>
      </c>
      <c r="Z748" s="28" t="s">
        <v>56</v>
      </c>
      <c r="AA748" s="28" t="s">
        <v>57</v>
      </c>
      <c r="AB748" s="28" t="s">
        <v>1763</v>
      </c>
      <c r="AC748" s="31" t="s">
        <v>125</v>
      </c>
      <c r="AD748" s="50">
        <f t="shared" si="649"/>
        <v>1</v>
      </c>
      <c r="AE748" s="31"/>
      <c r="AF748" s="51">
        <v>14</v>
      </c>
      <c r="AG748" s="51">
        <f t="shared" si="677"/>
        <v>8.4</v>
      </c>
      <c r="AH748" s="51">
        <f t="shared" si="643"/>
        <v>42</v>
      </c>
      <c r="AI748" s="52" t="s">
        <v>2497</v>
      </c>
      <c r="AJ748" s="52" t="s">
        <v>2498</v>
      </c>
      <c r="AK748" s="53">
        <f t="shared" si="678"/>
        <v>8.3999831999999997E-2</v>
      </c>
      <c r="AL748" s="54">
        <f t="shared" si="679"/>
        <v>0.11904761904761904</v>
      </c>
      <c r="AM748" s="54">
        <f t="shared" si="680"/>
        <v>2.3809523809523808E-2</v>
      </c>
      <c r="AN748" s="55">
        <f t="shared" si="681"/>
        <v>9.9999799999999986E-3</v>
      </c>
      <c r="AO748" s="55">
        <f t="shared" si="682"/>
        <v>1.999996E-3</v>
      </c>
      <c r="AP748" s="53">
        <v>7.1</v>
      </c>
      <c r="AQ748" s="53">
        <f t="shared" si="650"/>
        <v>4.26</v>
      </c>
      <c r="AR748" s="53">
        <f t="shared" si="651"/>
        <v>21.299999999999997</v>
      </c>
      <c r="AS748" s="56">
        <f t="shared" si="652"/>
        <v>4.6948356807511742E-2</v>
      </c>
      <c r="AT748" s="56">
        <f t="shared" si="683"/>
        <v>0.23474178403755869</v>
      </c>
      <c r="AU748" s="56">
        <f t="shared" si="653"/>
        <v>0.176056338028169</v>
      </c>
      <c r="AV748" s="56">
        <f t="shared" si="684"/>
        <v>5.8685446009389672E-2</v>
      </c>
      <c r="AW748" s="57" t="s">
        <v>2511</v>
      </c>
      <c r="AX748" s="57" t="s">
        <v>2512</v>
      </c>
      <c r="AY748" s="57" t="s">
        <v>2513</v>
      </c>
      <c r="AZ748" s="58">
        <f t="shared" si="685"/>
        <v>8.3999831999999997E-2</v>
      </c>
      <c r="BA748" s="59">
        <f t="shared" si="689"/>
        <v>2.4647838028169014E-3</v>
      </c>
      <c r="BB748" s="59">
        <f t="shared" si="690"/>
        <v>7.3943514084507033E-3</v>
      </c>
      <c r="BC748" s="59">
        <f t="shared" si="691"/>
        <v>1.9718270422535212E-3</v>
      </c>
      <c r="BD748" s="60">
        <f t="shared" si="686"/>
        <v>1.3888888888888888E-2</v>
      </c>
      <c r="BE748" s="59">
        <f t="shared" si="687"/>
        <v>1.3888888888888888E-2</v>
      </c>
      <c r="BQ748" s="61">
        <v>3000</v>
      </c>
      <c r="BR748" s="61">
        <v>1200</v>
      </c>
      <c r="BS748" s="28">
        <f t="shared" si="654"/>
        <v>2980</v>
      </c>
      <c r="BT748" s="28">
        <f t="shared" si="655"/>
        <v>1180</v>
      </c>
      <c r="BU748" s="28" t="s">
        <v>2541</v>
      </c>
      <c r="BV748" s="28">
        <f t="shared" si="656"/>
        <v>481.25</v>
      </c>
      <c r="BW748" s="28">
        <f t="shared" si="657"/>
        <v>93.188800000000001</v>
      </c>
      <c r="BX748" s="13">
        <f t="shared" si="658"/>
        <v>6.1922077922077925</v>
      </c>
      <c r="BY748" s="13">
        <f t="shared" si="659"/>
        <v>6</v>
      </c>
      <c r="BZ748" s="13">
        <f t="shared" si="660"/>
        <v>12.662465875727555</v>
      </c>
      <c r="CA748" s="13">
        <f t="shared" si="661"/>
        <v>12</v>
      </c>
      <c r="CB748" s="13">
        <f t="shared" si="662"/>
        <v>72</v>
      </c>
      <c r="CC748" s="62">
        <f t="shared" si="663"/>
        <v>1.3888888888888888E-2</v>
      </c>
      <c r="CD748" s="13">
        <f t="shared" si="664"/>
        <v>31.978091787854336</v>
      </c>
      <c r="CE748" s="13">
        <f t="shared" si="665"/>
        <v>31</v>
      </c>
      <c r="CF748" s="13">
        <f t="shared" si="666"/>
        <v>2.4519480519480519</v>
      </c>
      <c r="CG748" s="13">
        <f t="shared" si="667"/>
        <v>2</v>
      </c>
      <c r="CH748" s="28">
        <f t="shared" si="668"/>
        <v>62</v>
      </c>
      <c r="CI748" s="62">
        <f t="shared" si="669"/>
        <v>1.6129032258064516E-2</v>
      </c>
      <c r="CJ748" s="59">
        <f t="shared" si="670"/>
        <v>1.3888888888888888E-2</v>
      </c>
      <c r="CL748" s="63">
        <v>6000</v>
      </c>
      <c r="CM748" s="63">
        <f t="shared" si="671"/>
        <v>476.25</v>
      </c>
      <c r="CN748" s="63">
        <f t="shared" si="672"/>
        <v>481.25</v>
      </c>
      <c r="CO748" s="63">
        <f t="shared" si="673"/>
        <v>12.467532467532468</v>
      </c>
      <c r="CP748" s="13">
        <f t="shared" si="674"/>
        <v>12</v>
      </c>
      <c r="CQ748" s="70">
        <f t="shared" si="675"/>
        <v>8.3333333333333329E-2</v>
      </c>
      <c r="CR748" s="69">
        <f t="shared" si="697"/>
        <v>8.3333333333333329E-2</v>
      </c>
    </row>
    <row r="749" spans="1:96" hidden="1" x14ac:dyDescent="0.25">
      <c r="A749" s="13">
        <v>4</v>
      </c>
      <c r="B749" s="14" t="s">
        <v>1782</v>
      </c>
      <c r="C749" s="13" t="s">
        <v>1777</v>
      </c>
      <c r="D749" s="13" t="s">
        <v>2270</v>
      </c>
      <c r="E749" s="13" t="s">
        <v>52</v>
      </c>
      <c r="F749" s="15">
        <f t="shared" si="644"/>
        <v>4</v>
      </c>
      <c r="G749" s="13">
        <v>2</v>
      </c>
      <c r="H749" s="13">
        <f t="shared" ref="H749:H750" si="700">G749*$H$747</f>
        <v>2</v>
      </c>
      <c r="I749" s="13">
        <v>3</v>
      </c>
      <c r="J749" s="14" t="s">
        <v>1778</v>
      </c>
      <c r="K749" s="14" t="s">
        <v>34</v>
      </c>
      <c r="L749" s="13" t="s">
        <v>223</v>
      </c>
      <c r="M749" s="14" t="s">
        <v>340</v>
      </c>
      <c r="N749" s="13" t="s">
        <v>1763</v>
      </c>
      <c r="O749" s="28"/>
      <c r="P749" s="28"/>
      <c r="Q749" s="28" t="s">
        <v>1763</v>
      </c>
      <c r="R749" s="30"/>
      <c r="S749" s="30"/>
      <c r="T749" s="30"/>
      <c r="U749" s="30"/>
      <c r="V749" s="8">
        <f t="shared" si="645"/>
        <v>0</v>
      </c>
      <c r="W749" s="8">
        <f t="shared" si="646"/>
        <v>0</v>
      </c>
      <c r="X749" s="8">
        <f t="shared" si="647"/>
        <v>0</v>
      </c>
      <c r="Y749" s="33">
        <f t="shared" si="648"/>
        <v>0</v>
      </c>
      <c r="Z749" s="28"/>
      <c r="AA749" s="28"/>
      <c r="AB749" s="28" t="s">
        <v>1763</v>
      </c>
      <c r="AC749" s="31" t="s">
        <v>1779</v>
      </c>
      <c r="AD749" s="50">
        <f t="shared" si="649"/>
        <v>2</v>
      </c>
      <c r="AE749" s="31"/>
      <c r="AF749" s="51">
        <v>14</v>
      </c>
      <c r="AG749" s="51">
        <f t="shared" si="677"/>
        <v>8.4</v>
      </c>
      <c r="AH749" s="51">
        <f t="shared" si="643"/>
        <v>42</v>
      </c>
      <c r="AI749" s="52" t="s">
        <v>2497</v>
      </c>
      <c r="AJ749" s="52" t="s">
        <v>2498</v>
      </c>
      <c r="AK749" s="53">
        <f t="shared" si="678"/>
        <v>0</v>
      </c>
      <c r="AL749" s="54">
        <f t="shared" si="679"/>
        <v>0.11904761904761904</v>
      </c>
      <c r="AM749" s="54">
        <f t="shared" si="680"/>
        <v>2.3809523809523808E-2</v>
      </c>
      <c r="AN749" s="55">
        <f t="shared" si="681"/>
        <v>0</v>
      </c>
      <c r="AO749" s="55">
        <f t="shared" si="682"/>
        <v>0</v>
      </c>
      <c r="AP749" s="53">
        <v>7.1</v>
      </c>
      <c r="AQ749" s="53">
        <f t="shared" si="650"/>
        <v>4.26</v>
      </c>
      <c r="AR749" s="53">
        <f t="shared" si="651"/>
        <v>21.299999999999997</v>
      </c>
      <c r="AS749" s="56">
        <f t="shared" si="652"/>
        <v>4.6948356807511742E-2</v>
      </c>
      <c r="AT749" s="56">
        <f t="shared" si="683"/>
        <v>0.23474178403755869</v>
      </c>
      <c r="AU749" s="56">
        <f t="shared" si="653"/>
        <v>0.176056338028169</v>
      </c>
      <c r="AV749" s="56">
        <f t="shared" si="684"/>
        <v>5.8685446009389672E-2</v>
      </c>
      <c r="AW749" s="57" t="s">
        <v>2511</v>
      </c>
      <c r="AX749" s="57" t="s">
        <v>2512</v>
      </c>
      <c r="AY749" s="57" t="s">
        <v>2513</v>
      </c>
      <c r="AZ749" s="58">
        <f t="shared" si="685"/>
        <v>0</v>
      </c>
      <c r="BA749" s="59">
        <f t="shared" si="689"/>
        <v>0</v>
      </c>
      <c r="BB749" s="59">
        <f t="shared" si="690"/>
        <v>0</v>
      </c>
      <c r="BC749" s="59">
        <f t="shared" si="691"/>
        <v>0</v>
      </c>
      <c r="BD749" s="60">
        <f t="shared" si="686"/>
        <v>7.1095438516664771E-6</v>
      </c>
      <c r="BE749" s="59">
        <f t="shared" si="687"/>
        <v>1.4219087703332954E-5</v>
      </c>
      <c r="BQ749" s="61">
        <v>3000</v>
      </c>
      <c r="BR749" s="61">
        <v>1200</v>
      </c>
      <c r="BS749" s="28">
        <f t="shared" si="654"/>
        <v>2980</v>
      </c>
      <c r="BT749" s="28">
        <f t="shared" si="655"/>
        <v>1180</v>
      </c>
      <c r="BU749" s="28" t="s">
        <v>2541</v>
      </c>
      <c r="BV749" s="28">
        <f t="shared" si="656"/>
        <v>5</v>
      </c>
      <c r="BW749" s="28">
        <f t="shared" si="657"/>
        <v>5</v>
      </c>
      <c r="BX749" s="13">
        <f t="shared" si="658"/>
        <v>596</v>
      </c>
      <c r="BY749" s="13">
        <f t="shared" si="659"/>
        <v>596</v>
      </c>
      <c r="BZ749" s="13">
        <f t="shared" si="660"/>
        <v>236</v>
      </c>
      <c r="CA749" s="13">
        <f t="shared" si="661"/>
        <v>236</v>
      </c>
      <c r="CB749" s="13">
        <f t="shared" si="662"/>
        <v>140656</v>
      </c>
      <c r="CC749" s="62">
        <f t="shared" si="663"/>
        <v>7.1095438516664771E-6</v>
      </c>
      <c r="CD749" s="13">
        <f t="shared" si="664"/>
        <v>596</v>
      </c>
      <c r="CE749" s="13">
        <f t="shared" si="665"/>
        <v>596</v>
      </c>
      <c r="CF749" s="13">
        <f t="shared" si="666"/>
        <v>236</v>
      </c>
      <c r="CG749" s="13">
        <f t="shared" si="667"/>
        <v>236</v>
      </c>
      <c r="CH749" s="28">
        <f t="shared" si="668"/>
        <v>140656</v>
      </c>
      <c r="CI749" s="62">
        <f t="shared" si="669"/>
        <v>7.1095438516664771E-6</v>
      </c>
      <c r="CJ749" s="59">
        <f t="shared" si="670"/>
        <v>7.1095438516664771E-6</v>
      </c>
      <c r="CL749" s="63">
        <v>6000</v>
      </c>
      <c r="CM749" s="63">
        <f t="shared" si="671"/>
        <v>0</v>
      </c>
      <c r="CN749" s="63">
        <f t="shared" si="672"/>
        <v>5</v>
      </c>
      <c r="CO749" s="63">
        <f t="shared" si="673"/>
        <v>1200</v>
      </c>
      <c r="CP749" s="13">
        <f t="shared" si="674"/>
        <v>1200</v>
      </c>
      <c r="CQ749" s="70">
        <f t="shared" si="675"/>
        <v>8.3333333333333339E-4</v>
      </c>
      <c r="CR749" s="69">
        <f t="shared" si="697"/>
        <v>1.6666666666666668E-3</v>
      </c>
    </row>
    <row r="750" spans="1:96" hidden="1" x14ac:dyDescent="0.25">
      <c r="A750" s="13">
        <v>4</v>
      </c>
      <c r="B750" s="14" t="s">
        <v>1785</v>
      </c>
      <c r="C750" s="13" t="s">
        <v>59</v>
      </c>
      <c r="D750" s="13" t="s">
        <v>61</v>
      </c>
      <c r="E750" s="13" t="s">
        <v>52</v>
      </c>
      <c r="F750" s="15">
        <f t="shared" si="644"/>
        <v>19</v>
      </c>
      <c r="G750" s="13">
        <v>1</v>
      </c>
      <c r="H750" s="13">
        <f t="shared" si="700"/>
        <v>1</v>
      </c>
      <c r="I750" s="13">
        <v>2</v>
      </c>
      <c r="J750" s="14" t="s">
        <v>60</v>
      </c>
      <c r="K750" s="14" t="s">
        <v>34</v>
      </c>
      <c r="L750" s="13">
        <v>0</v>
      </c>
      <c r="M750" s="14" t="s">
        <v>340</v>
      </c>
      <c r="N750" s="13" t="s">
        <v>1763</v>
      </c>
      <c r="O750" s="28"/>
      <c r="P750" s="28"/>
      <c r="Q750" s="28" t="s">
        <v>1763</v>
      </c>
      <c r="R750" s="30"/>
      <c r="S750" s="30"/>
      <c r="T750" s="30"/>
      <c r="U750" s="30"/>
      <c r="V750" s="8">
        <f t="shared" si="645"/>
        <v>0</v>
      </c>
      <c r="W750" s="8">
        <f t="shared" si="646"/>
        <v>0</v>
      </c>
      <c r="X750" s="8">
        <f t="shared" si="647"/>
        <v>0</v>
      </c>
      <c r="Y750" s="33">
        <f t="shared" si="648"/>
        <v>0</v>
      </c>
      <c r="Z750" s="28"/>
      <c r="AA750" s="28"/>
      <c r="AB750" s="28" t="s">
        <v>1763</v>
      </c>
      <c r="AC750" s="31" t="s">
        <v>62</v>
      </c>
      <c r="AD750" s="50">
        <f t="shared" si="649"/>
        <v>1</v>
      </c>
      <c r="AE750" s="31"/>
      <c r="AF750" s="51">
        <v>14</v>
      </c>
      <c r="AG750" s="51">
        <f t="shared" si="677"/>
        <v>8.4</v>
      </c>
      <c r="AH750" s="51">
        <f t="shared" si="643"/>
        <v>42</v>
      </c>
      <c r="AI750" s="52" t="s">
        <v>2497</v>
      </c>
      <c r="AJ750" s="52" t="s">
        <v>2498</v>
      </c>
      <c r="AK750" s="53">
        <f t="shared" si="678"/>
        <v>0</v>
      </c>
      <c r="AL750" s="54">
        <f t="shared" si="679"/>
        <v>0.11904761904761904</v>
      </c>
      <c r="AM750" s="54">
        <f t="shared" si="680"/>
        <v>2.3809523809523808E-2</v>
      </c>
      <c r="AN750" s="55">
        <f t="shared" si="681"/>
        <v>0</v>
      </c>
      <c r="AO750" s="55">
        <f t="shared" si="682"/>
        <v>0</v>
      </c>
      <c r="AP750" s="53">
        <v>7.1</v>
      </c>
      <c r="AQ750" s="53">
        <f t="shared" si="650"/>
        <v>4.26</v>
      </c>
      <c r="AR750" s="53">
        <f t="shared" si="651"/>
        <v>21.299999999999997</v>
      </c>
      <c r="AS750" s="56">
        <f t="shared" si="652"/>
        <v>4.6948356807511742E-2</v>
      </c>
      <c r="AT750" s="56">
        <f t="shared" si="683"/>
        <v>0.23474178403755869</v>
      </c>
      <c r="AU750" s="56">
        <f t="shared" si="653"/>
        <v>0.176056338028169</v>
      </c>
      <c r="AV750" s="56">
        <f t="shared" si="684"/>
        <v>5.8685446009389672E-2</v>
      </c>
      <c r="AW750" s="57" t="s">
        <v>2511</v>
      </c>
      <c r="AX750" s="57" t="s">
        <v>2512</v>
      </c>
      <c r="AY750" s="57" t="s">
        <v>2513</v>
      </c>
      <c r="AZ750" s="58">
        <f t="shared" si="685"/>
        <v>0</v>
      </c>
      <c r="BA750" s="59">
        <f t="shared" si="689"/>
        <v>0</v>
      </c>
      <c r="BB750" s="59">
        <f t="shared" si="690"/>
        <v>0</v>
      </c>
      <c r="BC750" s="59">
        <f t="shared" si="691"/>
        <v>0</v>
      </c>
      <c r="BD750" s="60">
        <f t="shared" si="686"/>
        <v>7.1095438516664771E-6</v>
      </c>
      <c r="BE750" s="59">
        <f t="shared" si="687"/>
        <v>7.1095438516664771E-6</v>
      </c>
      <c r="BQ750" s="61">
        <v>3000</v>
      </c>
      <c r="BR750" s="61">
        <v>1200</v>
      </c>
      <c r="BS750" s="28">
        <f t="shared" si="654"/>
        <v>2980</v>
      </c>
      <c r="BT750" s="28">
        <f t="shared" si="655"/>
        <v>1180</v>
      </c>
      <c r="BU750" s="28" t="s">
        <v>2541</v>
      </c>
      <c r="BV750" s="28">
        <f t="shared" si="656"/>
        <v>5</v>
      </c>
      <c r="BW750" s="28">
        <f t="shared" si="657"/>
        <v>5</v>
      </c>
      <c r="BX750" s="13">
        <f t="shared" si="658"/>
        <v>596</v>
      </c>
      <c r="BY750" s="13">
        <f t="shared" si="659"/>
        <v>596</v>
      </c>
      <c r="BZ750" s="13">
        <f t="shared" si="660"/>
        <v>236</v>
      </c>
      <c r="CA750" s="13">
        <f t="shared" si="661"/>
        <v>236</v>
      </c>
      <c r="CB750" s="13">
        <f t="shared" si="662"/>
        <v>140656</v>
      </c>
      <c r="CC750" s="62">
        <f t="shared" si="663"/>
        <v>7.1095438516664771E-6</v>
      </c>
      <c r="CD750" s="13">
        <f t="shared" si="664"/>
        <v>596</v>
      </c>
      <c r="CE750" s="13">
        <f t="shared" si="665"/>
        <v>596</v>
      </c>
      <c r="CF750" s="13">
        <f t="shared" si="666"/>
        <v>236</v>
      </c>
      <c r="CG750" s="13">
        <f t="shared" si="667"/>
        <v>236</v>
      </c>
      <c r="CH750" s="28">
        <f t="shared" si="668"/>
        <v>140656</v>
      </c>
      <c r="CI750" s="62">
        <f t="shared" si="669"/>
        <v>7.1095438516664771E-6</v>
      </c>
      <c r="CJ750" s="59">
        <f t="shared" si="670"/>
        <v>7.1095438516664771E-6</v>
      </c>
      <c r="CL750" s="63">
        <v>6000</v>
      </c>
      <c r="CM750" s="63">
        <f t="shared" si="671"/>
        <v>0</v>
      </c>
      <c r="CN750" s="63">
        <f t="shared" si="672"/>
        <v>5</v>
      </c>
      <c r="CO750" s="63">
        <f t="shared" si="673"/>
        <v>1200</v>
      </c>
      <c r="CP750" s="13">
        <f t="shared" si="674"/>
        <v>1200</v>
      </c>
      <c r="CQ750" s="70">
        <f t="shared" si="675"/>
        <v>8.3333333333333339E-4</v>
      </c>
      <c r="CR750" s="69">
        <f t="shared" si="697"/>
        <v>8.3333333333333339E-4</v>
      </c>
    </row>
    <row r="751" spans="1:96" hidden="1" x14ac:dyDescent="0.25">
      <c r="A751" s="10">
        <v>3</v>
      </c>
      <c r="B751" s="8" t="s">
        <v>1759</v>
      </c>
      <c r="C751" s="10" t="s">
        <v>1786</v>
      </c>
      <c r="D751" s="10" t="s">
        <v>2270</v>
      </c>
      <c r="E751" s="10" t="s">
        <v>32</v>
      </c>
      <c r="F751" s="12">
        <f t="shared" si="644"/>
        <v>3</v>
      </c>
      <c r="G751" s="10">
        <v>2</v>
      </c>
      <c r="H751" s="10">
        <f>G751*$H$741</f>
        <v>2</v>
      </c>
      <c r="I751" s="10">
        <v>5</v>
      </c>
      <c r="J751" s="8" t="s">
        <v>152</v>
      </c>
      <c r="K751" s="8" t="s">
        <v>34</v>
      </c>
      <c r="L751" s="10">
        <v>0</v>
      </c>
      <c r="M751" s="8" t="s">
        <v>340</v>
      </c>
      <c r="N751" s="10" t="s">
        <v>1787</v>
      </c>
      <c r="O751" s="28"/>
      <c r="P751" s="28"/>
      <c r="Q751" s="28" t="s">
        <v>1763</v>
      </c>
      <c r="R751" s="30"/>
      <c r="S751" s="30"/>
      <c r="T751" s="30"/>
      <c r="U751" s="30"/>
      <c r="V751" s="8">
        <f t="shared" si="645"/>
        <v>0</v>
      </c>
      <c r="W751" s="8">
        <f t="shared" si="646"/>
        <v>0</v>
      </c>
      <c r="X751" s="8">
        <f t="shared" si="647"/>
        <v>0</v>
      </c>
      <c r="Y751" s="33">
        <f t="shared" si="648"/>
        <v>0</v>
      </c>
      <c r="Z751" s="28"/>
      <c r="AA751" s="28"/>
      <c r="AB751" s="28" t="s">
        <v>1763</v>
      </c>
      <c r="AC751" s="31"/>
      <c r="AD751" s="50">
        <f t="shared" si="649"/>
        <v>2</v>
      </c>
      <c r="AE751" s="31"/>
      <c r="AF751" s="51">
        <v>14</v>
      </c>
      <c r="AG751" s="51">
        <f t="shared" si="677"/>
        <v>8.4</v>
      </c>
      <c r="AH751" s="51">
        <f t="shared" si="643"/>
        <v>42</v>
      </c>
      <c r="AI751" s="52" t="s">
        <v>2497</v>
      </c>
      <c r="AJ751" s="52" t="s">
        <v>2498</v>
      </c>
      <c r="AK751" s="53">
        <f t="shared" si="678"/>
        <v>0</v>
      </c>
      <c r="AL751" s="54">
        <f t="shared" si="679"/>
        <v>0.11904761904761904</v>
      </c>
      <c r="AM751" s="54">
        <f t="shared" si="680"/>
        <v>2.3809523809523808E-2</v>
      </c>
      <c r="AN751" s="55">
        <f t="shared" si="681"/>
        <v>0</v>
      </c>
      <c r="AO751" s="55">
        <f t="shared" si="682"/>
        <v>0</v>
      </c>
      <c r="AP751" s="53">
        <v>7.1</v>
      </c>
      <c r="AQ751" s="53">
        <f t="shared" si="650"/>
        <v>4.26</v>
      </c>
      <c r="AR751" s="53">
        <f t="shared" si="651"/>
        <v>21.299999999999997</v>
      </c>
      <c r="AS751" s="56">
        <f t="shared" si="652"/>
        <v>4.6948356807511742E-2</v>
      </c>
      <c r="AT751" s="56">
        <f t="shared" si="683"/>
        <v>0.23474178403755869</v>
      </c>
      <c r="AU751" s="56">
        <f t="shared" si="653"/>
        <v>0.176056338028169</v>
      </c>
      <c r="AV751" s="56">
        <f t="shared" si="684"/>
        <v>5.8685446009389672E-2</v>
      </c>
      <c r="AW751" s="57" t="s">
        <v>2511</v>
      </c>
      <c r="AX751" s="57" t="s">
        <v>2512</v>
      </c>
      <c r="AY751" s="57" t="s">
        <v>2513</v>
      </c>
      <c r="AZ751" s="58">
        <f t="shared" si="685"/>
        <v>0</v>
      </c>
      <c r="BA751" s="59">
        <f t="shared" si="689"/>
        <v>0</v>
      </c>
      <c r="BB751" s="59">
        <f t="shared" si="690"/>
        <v>0</v>
      </c>
      <c r="BC751" s="59">
        <f t="shared" si="691"/>
        <v>0</v>
      </c>
      <c r="BD751" s="60">
        <f t="shared" si="686"/>
        <v>0</v>
      </c>
      <c r="BE751" s="59">
        <f t="shared" si="687"/>
        <v>0</v>
      </c>
      <c r="BQ751" s="61">
        <v>3000</v>
      </c>
      <c r="BR751" s="61">
        <v>1200</v>
      </c>
      <c r="BS751" s="28">
        <f t="shared" si="654"/>
        <v>2980</v>
      </c>
      <c r="BT751" s="28">
        <f t="shared" si="655"/>
        <v>1180</v>
      </c>
      <c r="BU751" s="28" t="s">
        <v>2541</v>
      </c>
      <c r="BV751" s="28">
        <f t="shared" si="656"/>
        <v>5</v>
      </c>
      <c r="BW751" s="28">
        <f t="shared" si="657"/>
        <v>5</v>
      </c>
      <c r="BX751" s="13">
        <f t="shared" si="658"/>
        <v>596</v>
      </c>
      <c r="BY751" s="13">
        <f t="shared" si="659"/>
        <v>596</v>
      </c>
      <c r="BZ751" s="13">
        <f t="shared" si="660"/>
        <v>236</v>
      </c>
      <c r="CA751" s="13">
        <f t="shared" si="661"/>
        <v>236</v>
      </c>
      <c r="CB751" s="13">
        <f t="shared" si="662"/>
        <v>140656</v>
      </c>
      <c r="CC751" s="62" t="str">
        <f t="shared" si="663"/>
        <v/>
      </c>
      <c r="CD751" s="13">
        <f t="shared" si="664"/>
        <v>596</v>
      </c>
      <c r="CE751" s="13">
        <f t="shared" si="665"/>
        <v>596</v>
      </c>
      <c r="CF751" s="13">
        <f t="shared" si="666"/>
        <v>236</v>
      </c>
      <c r="CG751" s="13">
        <f t="shared" si="667"/>
        <v>236</v>
      </c>
      <c r="CH751" s="28">
        <f t="shared" si="668"/>
        <v>140656</v>
      </c>
      <c r="CI751" s="62" t="str">
        <f t="shared" si="669"/>
        <v/>
      </c>
      <c r="CJ751" s="59">
        <f t="shared" si="670"/>
        <v>0</v>
      </c>
      <c r="CL751" s="63">
        <v>6000</v>
      </c>
      <c r="CM751" s="63">
        <f t="shared" si="671"/>
        <v>0</v>
      </c>
      <c r="CN751" s="63">
        <f t="shared" si="672"/>
        <v>5</v>
      </c>
      <c r="CO751" s="63">
        <f t="shared" si="673"/>
        <v>1200</v>
      </c>
      <c r="CP751" s="13">
        <f t="shared" si="674"/>
        <v>1200</v>
      </c>
      <c r="CQ751" s="70">
        <f t="shared" si="675"/>
        <v>8.3333333333333339E-4</v>
      </c>
      <c r="CR751" s="69">
        <f t="shared" si="697"/>
        <v>1.6666666666666668E-3</v>
      </c>
    </row>
    <row r="752" spans="1:96" hidden="1" x14ac:dyDescent="0.25">
      <c r="A752" s="13">
        <v>4</v>
      </c>
      <c r="B752" s="14" t="s">
        <v>1785</v>
      </c>
      <c r="C752" s="13" t="s">
        <v>1788</v>
      </c>
      <c r="D752" s="13" t="s">
        <v>2270</v>
      </c>
      <c r="E752" s="13" t="s">
        <v>52</v>
      </c>
      <c r="F752" s="15">
        <f t="shared" si="644"/>
        <v>3</v>
      </c>
      <c r="G752" s="13">
        <v>1</v>
      </c>
      <c r="H752" s="13">
        <f>G752*$H$751</f>
        <v>2</v>
      </c>
      <c r="I752" s="13">
        <v>1</v>
      </c>
      <c r="J752" s="14" t="s">
        <v>152</v>
      </c>
      <c r="K752" s="14" t="s">
        <v>34</v>
      </c>
      <c r="L752" s="13">
        <v>0</v>
      </c>
      <c r="M752" s="14" t="s">
        <v>340</v>
      </c>
      <c r="N752" s="13" t="s">
        <v>1789</v>
      </c>
      <c r="O752" s="28"/>
      <c r="P752" s="28"/>
      <c r="Q752" s="28" t="s">
        <v>1763</v>
      </c>
      <c r="R752" s="30">
        <v>4.9109999999999996</v>
      </c>
      <c r="S752" s="30">
        <v>1.26</v>
      </c>
      <c r="T752" s="30"/>
      <c r="U752" s="30">
        <v>0.09</v>
      </c>
      <c r="V752" s="8">
        <f t="shared" si="645"/>
        <v>124.73939999999999</v>
      </c>
      <c r="W752" s="8">
        <f t="shared" si="646"/>
        <v>32.003999999999998</v>
      </c>
      <c r="X752" s="8">
        <f t="shared" si="647"/>
        <v>0</v>
      </c>
      <c r="Y752" s="33">
        <f t="shared" si="648"/>
        <v>2.2859999999999996</v>
      </c>
      <c r="Z752" s="28" t="s">
        <v>56</v>
      </c>
      <c r="AA752" s="28" t="s">
        <v>57</v>
      </c>
      <c r="AB752" s="28" t="s">
        <v>1763</v>
      </c>
      <c r="AC752" s="31" t="s">
        <v>125</v>
      </c>
      <c r="AD752" s="50">
        <f t="shared" si="649"/>
        <v>2</v>
      </c>
      <c r="AE752" s="31"/>
      <c r="AF752" s="51">
        <v>14</v>
      </c>
      <c r="AG752" s="51">
        <f t="shared" si="677"/>
        <v>8.4</v>
      </c>
      <c r="AH752" s="51">
        <f t="shared" si="643"/>
        <v>42</v>
      </c>
      <c r="AI752" s="52" t="s">
        <v>2497</v>
      </c>
      <c r="AJ752" s="52" t="s">
        <v>2498</v>
      </c>
      <c r="AK752" s="53">
        <f t="shared" si="678"/>
        <v>7.9843195151999991E-3</v>
      </c>
      <c r="AL752" s="54">
        <f t="shared" si="679"/>
        <v>0.11904761904761904</v>
      </c>
      <c r="AM752" s="54">
        <f t="shared" si="680"/>
        <v>2.3809523809523808E-2</v>
      </c>
      <c r="AN752" s="55">
        <f t="shared" si="681"/>
        <v>1.9010284559999996E-3</v>
      </c>
      <c r="AO752" s="55">
        <f t="shared" si="682"/>
        <v>3.8020569119999996E-4</v>
      </c>
      <c r="AP752" s="53">
        <v>7.1</v>
      </c>
      <c r="AQ752" s="53">
        <f t="shared" si="650"/>
        <v>4.26</v>
      </c>
      <c r="AR752" s="53">
        <f t="shared" si="651"/>
        <v>21.299999999999997</v>
      </c>
      <c r="AS752" s="56">
        <f t="shared" si="652"/>
        <v>4.6948356807511742E-2</v>
      </c>
      <c r="AT752" s="56">
        <f t="shared" si="683"/>
        <v>0.23474178403755869</v>
      </c>
      <c r="AU752" s="56">
        <f t="shared" si="653"/>
        <v>0.176056338028169</v>
      </c>
      <c r="AV752" s="56">
        <f t="shared" si="684"/>
        <v>5.8685446009389672E-2</v>
      </c>
      <c r="AW752" s="57" t="s">
        <v>2511</v>
      </c>
      <c r="AX752" s="57" t="s">
        <v>2512</v>
      </c>
      <c r="AY752" s="57" t="s">
        <v>2513</v>
      </c>
      <c r="AZ752" s="58">
        <f t="shared" si="685"/>
        <v>7.9843195151999991E-3</v>
      </c>
      <c r="BA752" s="59">
        <f t="shared" si="689"/>
        <v>4.6856335183098586E-4</v>
      </c>
      <c r="BB752" s="59">
        <f t="shared" si="690"/>
        <v>1.4056900554929575E-3</v>
      </c>
      <c r="BC752" s="59">
        <f t="shared" si="691"/>
        <v>3.7485068146478871E-4</v>
      </c>
      <c r="BD752" s="60">
        <f t="shared" si="686"/>
        <v>1.3888888888888889E-3</v>
      </c>
      <c r="BE752" s="59">
        <f t="shared" si="687"/>
        <v>2.7777777777777779E-3</v>
      </c>
      <c r="BQ752" s="61">
        <v>3000</v>
      </c>
      <c r="BR752" s="61">
        <v>1200</v>
      </c>
      <c r="BS752" s="28">
        <f t="shared" si="654"/>
        <v>2980</v>
      </c>
      <c r="BT752" s="28">
        <f t="shared" si="655"/>
        <v>1180</v>
      </c>
      <c r="BU752" s="28" t="s">
        <v>2541</v>
      </c>
      <c r="BV752" s="28">
        <f t="shared" si="656"/>
        <v>129.73939999999999</v>
      </c>
      <c r="BW752" s="28">
        <f t="shared" si="657"/>
        <v>37.003999999999998</v>
      </c>
      <c r="BX752" s="13">
        <f t="shared" si="658"/>
        <v>22.96912117675895</v>
      </c>
      <c r="BY752" s="13">
        <f t="shared" si="659"/>
        <v>22</v>
      </c>
      <c r="BZ752" s="13">
        <f t="shared" si="660"/>
        <v>31.888444492487302</v>
      </c>
      <c r="CA752" s="13">
        <f t="shared" si="661"/>
        <v>31</v>
      </c>
      <c r="CB752" s="13">
        <f t="shared" si="662"/>
        <v>682</v>
      </c>
      <c r="CC752" s="62">
        <f t="shared" si="663"/>
        <v>1.4662756598240469E-3</v>
      </c>
      <c r="CD752" s="13">
        <f t="shared" si="664"/>
        <v>80.531834396281482</v>
      </c>
      <c r="CE752" s="13">
        <f t="shared" si="665"/>
        <v>80</v>
      </c>
      <c r="CF752" s="13">
        <f t="shared" si="666"/>
        <v>9.0951553652938131</v>
      </c>
      <c r="CG752" s="13">
        <f t="shared" si="667"/>
        <v>9</v>
      </c>
      <c r="CH752" s="28">
        <f t="shared" si="668"/>
        <v>720</v>
      </c>
      <c r="CI752" s="62">
        <f t="shared" si="669"/>
        <v>1.3888888888888889E-3</v>
      </c>
      <c r="CJ752" s="59">
        <f t="shared" si="670"/>
        <v>1.3888888888888889E-3</v>
      </c>
      <c r="CL752" s="63">
        <v>6000</v>
      </c>
      <c r="CM752" s="63">
        <f t="shared" si="671"/>
        <v>124.73939999999999</v>
      </c>
      <c r="CN752" s="63">
        <f t="shared" si="672"/>
        <v>129.73939999999999</v>
      </c>
      <c r="CO752" s="63">
        <f t="shared" si="673"/>
        <v>46.246552704883797</v>
      </c>
      <c r="CP752" s="13">
        <f t="shared" si="674"/>
        <v>46</v>
      </c>
      <c r="CQ752" s="70">
        <f t="shared" si="675"/>
        <v>2.1739130434782608E-2</v>
      </c>
      <c r="CR752" s="69">
        <f t="shared" si="697"/>
        <v>4.3478260869565216E-2</v>
      </c>
    </row>
    <row r="753" spans="1:96" hidden="1" x14ac:dyDescent="0.25">
      <c r="A753" s="13">
        <v>4</v>
      </c>
      <c r="B753" s="14" t="s">
        <v>1785</v>
      </c>
      <c r="C753" s="13" t="s">
        <v>59</v>
      </c>
      <c r="D753" s="13" t="s">
        <v>61</v>
      </c>
      <c r="E753" s="13" t="s">
        <v>52</v>
      </c>
      <c r="F753" s="15">
        <f t="shared" si="644"/>
        <v>19</v>
      </c>
      <c r="G753" s="13">
        <v>1</v>
      </c>
      <c r="H753" s="13">
        <f>G753*$H$751</f>
        <v>2</v>
      </c>
      <c r="I753" s="13">
        <v>2</v>
      </c>
      <c r="J753" s="14" t="s">
        <v>60</v>
      </c>
      <c r="K753" s="14" t="s">
        <v>34</v>
      </c>
      <c r="L753" s="13">
        <v>0</v>
      </c>
      <c r="M753" s="14" t="s">
        <v>340</v>
      </c>
      <c r="N753" s="13" t="s">
        <v>1763</v>
      </c>
      <c r="O753" s="28"/>
      <c r="P753" s="28"/>
      <c r="Q753" s="28" t="s">
        <v>1763</v>
      </c>
      <c r="R753" s="30"/>
      <c r="S753" s="30"/>
      <c r="T753" s="30"/>
      <c r="U753" s="30"/>
      <c r="V753" s="8">
        <f t="shared" si="645"/>
        <v>0</v>
      </c>
      <c r="W753" s="8">
        <f t="shared" si="646"/>
        <v>0</v>
      </c>
      <c r="X753" s="8">
        <f t="shared" si="647"/>
        <v>0</v>
      </c>
      <c r="Y753" s="33">
        <f t="shared" si="648"/>
        <v>0</v>
      </c>
      <c r="Z753" s="28"/>
      <c r="AA753" s="28"/>
      <c r="AB753" s="28" t="s">
        <v>1763</v>
      </c>
      <c r="AC753" s="31" t="s">
        <v>62</v>
      </c>
      <c r="AD753" s="50">
        <f t="shared" si="649"/>
        <v>2</v>
      </c>
      <c r="AE753" s="31"/>
      <c r="AF753" s="51">
        <v>14</v>
      </c>
      <c r="AG753" s="51">
        <f t="shared" si="677"/>
        <v>8.4</v>
      </c>
      <c r="AH753" s="51">
        <f t="shared" si="643"/>
        <v>42</v>
      </c>
      <c r="AI753" s="52" t="s">
        <v>2497</v>
      </c>
      <c r="AJ753" s="52" t="s">
        <v>2498</v>
      </c>
      <c r="AK753" s="53">
        <f t="shared" si="678"/>
        <v>0</v>
      </c>
      <c r="AL753" s="54">
        <f t="shared" si="679"/>
        <v>0.11904761904761904</v>
      </c>
      <c r="AM753" s="54">
        <f t="shared" si="680"/>
        <v>2.3809523809523808E-2</v>
      </c>
      <c r="AN753" s="55">
        <f t="shared" si="681"/>
        <v>0</v>
      </c>
      <c r="AO753" s="55">
        <f t="shared" si="682"/>
        <v>0</v>
      </c>
      <c r="AP753" s="53">
        <v>7.1</v>
      </c>
      <c r="AQ753" s="53">
        <f t="shared" si="650"/>
        <v>4.26</v>
      </c>
      <c r="AR753" s="53">
        <f t="shared" si="651"/>
        <v>21.299999999999997</v>
      </c>
      <c r="AS753" s="56">
        <f t="shared" si="652"/>
        <v>4.6948356807511742E-2</v>
      </c>
      <c r="AT753" s="56">
        <f t="shared" si="683"/>
        <v>0.23474178403755869</v>
      </c>
      <c r="AU753" s="56">
        <f t="shared" si="653"/>
        <v>0.176056338028169</v>
      </c>
      <c r="AV753" s="56">
        <f t="shared" si="684"/>
        <v>5.8685446009389672E-2</v>
      </c>
      <c r="AW753" s="57" t="s">
        <v>2511</v>
      </c>
      <c r="AX753" s="57" t="s">
        <v>2512</v>
      </c>
      <c r="AY753" s="57" t="s">
        <v>2513</v>
      </c>
      <c r="AZ753" s="58">
        <f t="shared" si="685"/>
        <v>0</v>
      </c>
      <c r="BA753" s="59">
        <f t="shared" si="689"/>
        <v>0</v>
      </c>
      <c r="BB753" s="59">
        <f t="shared" si="690"/>
        <v>0</v>
      </c>
      <c r="BC753" s="59">
        <f t="shared" si="691"/>
        <v>0</v>
      </c>
      <c r="BD753" s="60">
        <f t="shared" si="686"/>
        <v>7.1095438516664771E-6</v>
      </c>
      <c r="BE753" s="59">
        <f t="shared" si="687"/>
        <v>1.4219087703332954E-5</v>
      </c>
      <c r="BQ753" s="61">
        <v>3000</v>
      </c>
      <c r="BR753" s="61">
        <v>1200</v>
      </c>
      <c r="BS753" s="28">
        <f t="shared" si="654"/>
        <v>2980</v>
      </c>
      <c r="BT753" s="28">
        <f t="shared" si="655"/>
        <v>1180</v>
      </c>
      <c r="BU753" s="28" t="s">
        <v>2541</v>
      </c>
      <c r="BV753" s="28">
        <f t="shared" si="656"/>
        <v>5</v>
      </c>
      <c r="BW753" s="28">
        <f t="shared" si="657"/>
        <v>5</v>
      </c>
      <c r="BX753" s="13">
        <f t="shared" si="658"/>
        <v>596</v>
      </c>
      <c r="BY753" s="13">
        <f t="shared" si="659"/>
        <v>596</v>
      </c>
      <c r="BZ753" s="13">
        <f t="shared" si="660"/>
        <v>236</v>
      </c>
      <c r="CA753" s="13">
        <f t="shared" si="661"/>
        <v>236</v>
      </c>
      <c r="CB753" s="13">
        <f t="shared" si="662"/>
        <v>140656</v>
      </c>
      <c r="CC753" s="62">
        <f t="shared" si="663"/>
        <v>7.1095438516664771E-6</v>
      </c>
      <c r="CD753" s="13">
        <f t="shared" si="664"/>
        <v>596</v>
      </c>
      <c r="CE753" s="13">
        <f t="shared" si="665"/>
        <v>596</v>
      </c>
      <c r="CF753" s="13">
        <f t="shared" si="666"/>
        <v>236</v>
      </c>
      <c r="CG753" s="13">
        <f t="shared" si="667"/>
        <v>236</v>
      </c>
      <c r="CH753" s="28">
        <f t="shared" si="668"/>
        <v>140656</v>
      </c>
      <c r="CI753" s="62">
        <f t="shared" si="669"/>
        <v>7.1095438516664771E-6</v>
      </c>
      <c r="CJ753" s="59">
        <f t="shared" si="670"/>
        <v>7.1095438516664771E-6</v>
      </c>
      <c r="CL753" s="63">
        <v>6000</v>
      </c>
      <c r="CM753" s="63">
        <f t="shared" si="671"/>
        <v>0</v>
      </c>
      <c r="CN753" s="63">
        <f t="shared" si="672"/>
        <v>5</v>
      </c>
      <c r="CO753" s="63">
        <f t="shared" si="673"/>
        <v>1200</v>
      </c>
      <c r="CP753" s="13">
        <f t="shared" si="674"/>
        <v>1200</v>
      </c>
      <c r="CQ753" s="70">
        <f t="shared" si="675"/>
        <v>8.3333333333333339E-4</v>
      </c>
      <c r="CR753" s="69">
        <f t="shared" si="697"/>
        <v>1.6666666666666668E-3</v>
      </c>
    </row>
    <row r="754" spans="1:96" hidden="1" x14ac:dyDescent="0.25">
      <c r="A754" s="10">
        <v>3</v>
      </c>
      <c r="B754" s="8" t="s">
        <v>1759</v>
      </c>
      <c r="C754" s="10" t="s">
        <v>1790</v>
      </c>
      <c r="D754" s="10" t="s">
        <v>2016</v>
      </c>
      <c r="E754" s="10" t="s">
        <v>52</v>
      </c>
      <c r="F754" s="12">
        <f t="shared" si="644"/>
        <v>5</v>
      </c>
      <c r="G754" s="10">
        <v>4</v>
      </c>
      <c r="H754" s="10">
        <f t="shared" ref="H754:H755" si="701">G754*$H$741</f>
        <v>4</v>
      </c>
      <c r="I754" s="10">
        <v>6</v>
      </c>
      <c r="J754" s="8" t="s">
        <v>1791</v>
      </c>
      <c r="K754" s="8" t="s">
        <v>34</v>
      </c>
      <c r="L754" s="10" t="s">
        <v>259</v>
      </c>
      <c r="M754" s="8" t="s">
        <v>340</v>
      </c>
      <c r="N754" s="10" t="s">
        <v>1763</v>
      </c>
      <c r="O754" s="28"/>
      <c r="P754" s="28"/>
      <c r="Q754" s="28" t="s">
        <v>1763</v>
      </c>
      <c r="R754" s="30"/>
      <c r="S754" s="30"/>
      <c r="T754" s="30"/>
      <c r="U754" s="30"/>
      <c r="V754" s="8">
        <f t="shared" si="645"/>
        <v>0</v>
      </c>
      <c r="W754" s="8">
        <f t="shared" si="646"/>
        <v>0</v>
      </c>
      <c r="X754" s="8">
        <f t="shared" si="647"/>
        <v>0</v>
      </c>
      <c r="Y754" s="33">
        <f t="shared" si="648"/>
        <v>0</v>
      </c>
      <c r="Z754" s="28"/>
      <c r="AA754" s="28"/>
      <c r="AB754" s="28" t="s">
        <v>1763</v>
      </c>
      <c r="AC754" s="31" t="s">
        <v>1792</v>
      </c>
      <c r="AD754" s="50">
        <f t="shared" si="649"/>
        <v>4</v>
      </c>
      <c r="AE754" s="31"/>
      <c r="AF754" s="51">
        <v>14</v>
      </c>
      <c r="AG754" s="51">
        <f t="shared" si="677"/>
        <v>8.4</v>
      </c>
      <c r="AH754" s="51">
        <f t="shared" si="643"/>
        <v>42</v>
      </c>
      <c r="AI754" s="52" t="s">
        <v>2497</v>
      </c>
      <c r="AJ754" s="52" t="s">
        <v>2498</v>
      </c>
      <c r="AK754" s="53">
        <f t="shared" si="678"/>
        <v>0</v>
      </c>
      <c r="AL754" s="54">
        <f t="shared" si="679"/>
        <v>0.11904761904761904</v>
      </c>
      <c r="AM754" s="54">
        <f t="shared" si="680"/>
        <v>2.3809523809523808E-2</v>
      </c>
      <c r="AN754" s="55">
        <f t="shared" si="681"/>
        <v>0</v>
      </c>
      <c r="AO754" s="55">
        <f t="shared" si="682"/>
        <v>0</v>
      </c>
      <c r="AP754" s="53">
        <v>7.1</v>
      </c>
      <c r="AQ754" s="53">
        <f t="shared" si="650"/>
        <v>4.26</v>
      </c>
      <c r="AR754" s="53">
        <f t="shared" si="651"/>
        <v>21.299999999999997</v>
      </c>
      <c r="AS754" s="56">
        <f t="shared" si="652"/>
        <v>4.6948356807511742E-2</v>
      </c>
      <c r="AT754" s="56">
        <f t="shared" si="683"/>
        <v>0.23474178403755869</v>
      </c>
      <c r="AU754" s="56">
        <f t="shared" si="653"/>
        <v>0.176056338028169</v>
      </c>
      <c r="AV754" s="56">
        <f t="shared" si="684"/>
        <v>5.8685446009389672E-2</v>
      </c>
      <c r="AW754" s="57" t="s">
        <v>2511</v>
      </c>
      <c r="AX754" s="57" t="s">
        <v>2512</v>
      </c>
      <c r="AY754" s="57" t="s">
        <v>2513</v>
      </c>
      <c r="AZ754" s="58">
        <f t="shared" si="685"/>
        <v>0</v>
      </c>
      <c r="BA754" s="59">
        <f t="shared" si="689"/>
        <v>0</v>
      </c>
      <c r="BB754" s="59">
        <f t="shared" si="690"/>
        <v>0</v>
      </c>
      <c r="BC754" s="59">
        <f t="shared" si="691"/>
        <v>0</v>
      </c>
      <c r="BD754" s="60">
        <f t="shared" si="686"/>
        <v>7.1095438516664771E-6</v>
      </c>
      <c r="BE754" s="59">
        <f t="shared" si="687"/>
        <v>2.8438175406665908E-5</v>
      </c>
      <c r="BQ754" s="61">
        <v>3000</v>
      </c>
      <c r="BR754" s="61">
        <v>1200</v>
      </c>
      <c r="BS754" s="28">
        <f t="shared" si="654"/>
        <v>2980</v>
      </c>
      <c r="BT754" s="28">
        <f t="shared" si="655"/>
        <v>1180</v>
      </c>
      <c r="BU754" s="28" t="s">
        <v>2541</v>
      </c>
      <c r="BV754" s="28">
        <f t="shared" si="656"/>
        <v>5</v>
      </c>
      <c r="BW754" s="28">
        <f t="shared" si="657"/>
        <v>5</v>
      </c>
      <c r="BX754" s="13">
        <f t="shared" si="658"/>
        <v>596</v>
      </c>
      <c r="BY754" s="13">
        <f t="shared" si="659"/>
        <v>596</v>
      </c>
      <c r="BZ754" s="13">
        <f t="shared" si="660"/>
        <v>236</v>
      </c>
      <c r="CA754" s="13">
        <f t="shared" si="661"/>
        <v>236</v>
      </c>
      <c r="CB754" s="13">
        <f t="shared" si="662"/>
        <v>140656</v>
      </c>
      <c r="CC754" s="62">
        <f t="shared" si="663"/>
        <v>7.1095438516664771E-6</v>
      </c>
      <c r="CD754" s="13">
        <f t="shared" si="664"/>
        <v>596</v>
      </c>
      <c r="CE754" s="13">
        <f t="shared" si="665"/>
        <v>596</v>
      </c>
      <c r="CF754" s="13">
        <f t="shared" si="666"/>
        <v>236</v>
      </c>
      <c r="CG754" s="13">
        <f t="shared" si="667"/>
        <v>236</v>
      </c>
      <c r="CH754" s="28">
        <f t="shared" si="668"/>
        <v>140656</v>
      </c>
      <c r="CI754" s="62">
        <f t="shared" si="669"/>
        <v>7.1095438516664771E-6</v>
      </c>
      <c r="CJ754" s="59">
        <f t="shared" si="670"/>
        <v>7.1095438516664771E-6</v>
      </c>
      <c r="CL754" s="63">
        <v>6000</v>
      </c>
      <c r="CM754" s="63">
        <f t="shared" si="671"/>
        <v>0</v>
      </c>
      <c r="CN754" s="63">
        <f t="shared" si="672"/>
        <v>5</v>
      </c>
      <c r="CO754" s="63">
        <f t="shared" si="673"/>
        <v>1200</v>
      </c>
      <c r="CP754" s="13">
        <f t="shared" si="674"/>
        <v>1200</v>
      </c>
      <c r="CQ754" s="70">
        <f t="shared" si="675"/>
        <v>8.3333333333333339E-4</v>
      </c>
      <c r="CR754" s="69">
        <f t="shared" si="697"/>
        <v>3.3333333333333335E-3</v>
      </c>
    </row>
    <row r="755" spans="1:96" hidden="1" x14ac:dyDescent="0.25">
      <c r="A755" s="10">
        <v>3</v>
      </c>
      <c r="B755" s="8" t="s">
        <v>1759</v>
      </c>
      <c r="C755" s="10" t="s">
        <v>1793</v>
      </c>
      <c r="D755" s="10" t="s">
        <v>2483</v>
      </c>
      <c r="E755" s="10" t="s">
        <v>52</v>
      </c>
      <c r="F755" s="12">
        <f t="shared" si="644"/>
        <v>3</v>
      </c>
      <c r="G755" s="10">
        <v>16</v>
      </c>
      <c r="H755" s="10">
        <f t="shared" si="701"/>
        <v>16</v>
      </c>
      <c r="I755" s="10">
        <v>7</v>
      </c>
      <c r="J755" s="8" t="s">
        <v>1794</v>
      </c>
      <c r="K755" s="8" t="s">
        <v>34</v>
      </c>
      <c r="L755" s="10" t="s">
        <v>89</v>
      </c>
      <c r="M755" s="8" t="s">
        <v>340</v>
      </c>
      <c r="N755" s="10" t="s">
        <v>1763</v>
      </c>
      <c r="O755" s="28"/>
      <c r="P755" s="28"/>
      <c r="Q755" s="28" t="s">
        <v>1763</v>
      </c>
      <c r="R755" s="30"/>
      <c r="S755" s="30"/>
      <c r="T755" s="30"/>
      <c r="U755" s="30"/>
      <c r="V755" s="8">
        <f t="shared" si="645"/>
        <v>0</v>
      </c>
      <c r="W755" s="8">
        <f t="shared" si="646"/>
        <v>0</v>
      </c>
      <c r="X755" s="8">
        <f t="shared" si="647"/>
        <v>0</v>
      </c>
      <c r="Y755" s="33">
        <f t="shared" si="648"/>
        <v>0</v>
      </c>
      <c r="Z755" s="28"/>
      <c r="AA755" s="28"/>
      <c r="AB755" s="28" t="s">
        <v>1763</v>
      </c>
      <c r="AC755" s="31" t="s">
        <v>1795</v>
      </c>
      <c r="AD755" s="50">
        <f t="shared" si="649"/>
        <v>16</v>
      </c>
      <c r="AE755" s="31"/>
      <c r="AF755" s="51">
        <v>14</v>
      </c>
      <c r="AG755" s="51">
        <f t="shared" si="677"/>
        <v>8.4</v>
      </c>
      <c r="AH755" s="51">
        <f t="shared" si="643"/>
        <v>42</v>
      </c>
      <c r="AI755" s="52" t="s">
        <v>2497</v>
      </c>
      <c r="AJ755" s="52" t="s">
        <v>2498</v>
      </c>
      <c r="AK755" s="53">
        <f t="shared" si="678"/>
        <v>0</v>
      </c>
      <c r="AL755" s="54">
        <f t="shared" si="679"/>
        <v>0.11904761904761904</v>
      </c>
      <c r="AM755" s="54">
        <f t="shared" si="680"/>
        <v>2.3809523809523808E-2</v>
      </c>
      <c r="AN755" s="55">
        <f t="shared" si="681"/>
        <v>0</v>
      </c>
      <c r="AO755" s="55">
        <f t="shared" si="682"/>
        <v>0</v>
      </c>
      <c r="AP755" s="53">
        <v>7.1</v>
      </c>
      <c r="AQ755" s="53">
        <f t="shared" si="650"/>
        <v>4.26</v>
      </c>
      <c r="AR755" s="53">
        <f t="shared" si="651"/>
        <v>21.299999999999997</v>
      </c>
      <c r="AS755" s="56">
        <f t="shared" si="652"/>
        <v>4.6948356807511742E-2</v>
      </c>
      <c r="AT755" s="56">
        <f t="shared" si="683"/>
        <v>0.23474178403755869</v>
      </c>
      <c r="AU755" s="56">
        <f t="shared" si="653"/>
        <v>0.176056338028169</v>
      </c>
      <c r="AV755" s="56">
        <f t="shared" si="684"/>
        <v>5.8685446009389672E-2</v>
      </c>
      <c r="AW755" s="57" t="s">
        <v>2511</v>
      </c>
      <c r="AX755" s="57" t="s">
        <v>2512</v>
      </c>
      <c r="AY755" s="57" t="s">
        <v>2513</v>
      </c>
      <c r="AZ755" s="58">
        <f t="shared" si="685"/>
        <v>0</v>
      </c>
      <c r="BA755" s="59">
        <f t="shared" si="689"/>
        <v>0</v>
      </c>
      <c r="BB755" s="59">
        <f t="shared" si="690"/>
        <v>0</v>
      </c>
      <c r="BC755" s="59">
        <f t="shared" si="691"/>
        <v>0</v>
      </c>
      <c r="BD755" s="60">
        <f t="shared" si="686"/>
        <v>7.1095438516664771E-6</v>
      </c>
      <c r="BE755" s="59">
        <f t="shared" si="687"/>
        <v>1.1375270162666363E-4</v>
      </c>
      <c r="BQ755" s="61">
        <v>3000</v>
      </c>
      <c r="BR755" s="61">
        <v>1200</v>
      </c>
      <c r="BS755" s="28">
        <f t="shared" si="654"/>
        <v>2980</v>
      </c>
      <c r="BT755" s="28">
        <f t="shared" si="655"/>
        <v>1180</v>
      </c>
      <c r="BU755" s="28" t="s">
        <v>2541</v>
      </c>
      <c r="BV755" s="28">
        <f t="shared" si="656"/>
        <v>5</v>
      </c>
      <c r="BW755" s="28">
        <f t="shared" si="657"/>
        <v>5</v>
      </c>
      <c r="BX755" s="13">
        <f t="shared" si="658"/>
        <v>596</v>
      </c>
      <c r="BY755" s="13">
        <f t="shared" si="659"/>
        <v>596</v>
      </c>
      <c r="BZ755" s="13">
        <f t="shared" si="660"/>
        <v>236</v>
      </c>
      <c r="CA755" s="13">
        <f t="shared" si="661"/>
        <v>236</v>
      </c>
      <c r="CB755" s="13">
        <f t="shared" si="662"/>
        <v>140656</v>
      </c>
      <c r="CC755" s="62">
        <f t="shared" si="663"/>
        <v>7.1095438516664771E-6</v>
      </c>
      <c r="CD755" s="13">
        <f t="shared" si="664"/>
        <v>596</v>
      </c>
      <c r="CE755" s="13">
        <f t="shared" si="665"/>
        <v>596</v>
      </c>
      <c r="CF755" s="13">
        <f t="shared" si="666"/>
        <v>236</v>
      </c>
      <c r="CG755" s="13">
        <f t="shared" si="667"/>
        <v>236</v>
      </c>
      <c r="CH755" s="28">
        <f t="shared" si="668"/>
        <v>140656</v>
      </c>
      <c r="CI755" s="62">
        <f t="shared" si="669"/>
        <v>7.1095438516664771E-6</v>
      </c>
      <c r="CJ755" s="59">
        <f t="shared" si="670"/>
        <v>7.1095438516664771E-6</v>
      </c>
      <c r="CL755" s="63">
        <v>6000</v>
      </c>
      <c r="CM755" s="63">
        <f t="shared" si="671"/>
        <v>0</v>
      </c>
      <c r="CN755" s="63">
        <f t="shared" si="672"/>
        <v>5</v>
      </c>
      <c r="CO755" s="63">
        <f t="shared" si="673"/>
        <v>1200</v>
      </c>
      <c r="CP755" s="13">
        <f t="shared" si="674"/>
        <v>1200</v>
      </c>
      <c r="CQ755" s="70">
        <f t="shared" si="675"/>
        <v>8.3333333333333339E-4</v>
      </c>
      <c r="CR755" s="69">
        <f t="shared" si="697"/>
        <v>1.3333333333333334E-2</v>
      </c>
    </row>
    <row r="756" spans="1:96" hidden="1" x14ac:dyDescent="0.25">
      <c r="A756" s="36">
        <v>2</v>
      </c>
      <c r="B756" s="37" t="s">
        <v>37</v>
      </c>
      <c r="C756" s="36" t="s">
        <v>1796</v>
      </c>
      <c r="D756" s="36" t="s">
        <v>2270</v>
      </c>
      <c r="E756" s="36" t="s">
        <v>32</v>
      </c>
      <c r="F756" s="38">
        <f t="shared" si="644"/>
        <v>1</v>
      </c>
      <c r="G756" s="36">
        <v>2</v>
      </c>
      <c r="H756" s="36">
        <f t="shared" ref="H756" si="702">G756*$H$3</f>
        <v>2</v>
      </c>
      <c r="I756" s="36">
        <v>266</v>
      </c>
      <c r="J756" s="37" t="s">
        <v>1756</v>
      </c>
      <c r="K756" s="37" t="s">
        <v>34</v>
      </c>
      <c r="L756" s="36">
        <v>0</v>
      </c>
      <c r="M756" s="37" t="s">
        <v>340</v>
      </c>
      <c r="N756" s="36" t="s">
        <v>1797</v>
      </c>
      <c r="O756" s="28"/>
      <c r="P756" s="28"/>
      <c r="Q756" s="28" t="s">
        <v>1797</v>
      </c>
      <c r="R756" s="30"/>
      <c r="S756" s="30"/>
      <c r="T756" s="30"/>
      <c r="U756" s="30"/>
      <c r="V756" s="8">
        <f t="shared" si="645"/>
        <v>0</v>
      </c>
      <c r="W756" s="8">
        <f t="shared" si="646"/>
        <v>0</v>
      </c>
      <c r="X756" s="8">
        <f t="shared" si="647"/>
        <v>0</v>
      </c>
      <c r="Y756" s="33">
        <f t="shared" si="648"/>
        <v>0</v>
      </c>
      <c r="Z756" s="28"/>
      <c r="AA756" s="28"/>
      <c r="AB756" s="61" t="s">
        <v>1797</v>
      </c>
      <c r="AC756" s="31" t="s">
        <v>1798</v>
      </c>
      <c r="AD756" s="50">
        <f t="shared" si="649"/>
        <v>2</v>
      </c>
      <c r="AE756" s="31"/>
      <c r="AF756" s="51">
        <v>14</v>
      </c>
      <c r="AG756" s="51">
        <f t="shared" si="677"/>
        <v>8.4</v>
      </c>
      <c r="AH756" s="51">
        <f t="shared" si="643"/>
        <v>42</v>
      </c>
      <c r="AI756" s="52" t="s">
        <v>2497</v>
      </c>
      <c r="AJ756" s="52" t="s">
        <v>2498</v>
      </c>
      <c r="AK756" s="53">
        <f t="shared" si="678"/>
        <v>0</v>
      </c>
      <c r="AL756" s="54">
        <f t="shared" si="679"/>
        <v>0.11904761904761904</v>
      </c>
      <c r="AM756" s="54">
        <f t="shared" si="680"/>
        <v>2.3809523809523808E-2</v>
      </c>
      <c r="AN756" s="55">
        <f t="shared" si="681"/>
        <v>0</v>
      </c>
      <c r="AO756" s="55">
        <f t="shared" si="682"/>
        <v>0</v>
      </c>
      <c r="AP756" s="53">
        <v>7.1</v>
      </c>
      <c r="AQ756" s="53">
        <f t="shared" si="650"/>
        <v>4.26</v>
      </c>
      <c r="AR756" s="53">
        <f t="shared" si="651"/>
        <v>21.299999999999997</v>
      </c>
      <c r="AS756" s="56">
        <f t="shared" si="652"/>
        <v>4.6948356807511742E-2</v>
      </c>
      <c r="AT756" s="56">
        <f t="shared" si="683"/>
        <v>0.23474178403755869</v>
      </c>
      <c r="AU756" s="56">
        <f t="shared" si="653"/>
        <v>0.176056338028169</v>
      </c>
      <c r="AV756" s="56">
        <f t="shared" si="684"/>
        <v>5.8685446009389672E-2</v>
      </c>
      <c r="AW756" s="57" t="s">
        <v>2511</v>
      </c>
      <c r="AX756" s="57" t="s">
        <v>2512</v>
      </c>
      <c r="AY756" s="57" t="s">
        <v>2513</v>
      </c>
      <c r="AZ756" s="58">
        <f t="shared" si="685"/>
        <v>0</v>
      </c>
      <c r="BA756" s="59">
        <f t="shared" si="689"/>
        <v>0</v>
      </c>
      <c r="BB756" s="59">
        <f t="shared" si="690"/>
        <v>0</v>
      </c>
      <c r="BC756" s="59">
        <f t="shared" si="691"/>
        <v>0</v>
      </c>
      <c r="BD756" s="60">
        <f t="shared" si="686"/>
        <v>0</v>
      </c>
      <c r="BE756" s="59">
        <f t="shared" si="687"/>
        <v>0</v>
      </c>
      <c r="BQ756" s="61">
        <v>3000</v>
      </c>
      <c r="BR756" s="61">
        <v>1200</v>
      </c>
      <c r="BS756" s="28">
        <f t="shared" si="654"/>
        <v>2980</v>
      </c>
      <c r="BT756" s="28">
        <f t="shared" si="655"/>
        <v>1180</v>
      </c>
      <c r="BU756" s="28" t="s">
        <v>2541</v>
      </c>
      <c r="BV756" s="28">
        <f t="shared" si="656"/>
        <v>5</v>
      </c>
      <c r="BW756" s="28">
        <f t="shared" si="657"/>
        <v>5</v>
      </c>
      <c r="BX756" s="13">
        <f t="shared" si="658"/>
        <v>596</v>
      </c>
      <c r="BY756" s="13">
        <f t="shared" si="659"/>
        <v>596</v>
      </c>
      <c r="BZ756" s="13">
        <f t="shared" si="660"/>
        <v>236</v>
      </c>
      <c r="CA756" s="13">
        <f t="shared" si="661"/>
        <v>236</v>
      </c>
      <c r="CB756" s="13">
        <f t="shared" si="662"/>
        <v>140656</v>
      </c>
      <c r="CC756" s="62" t="str">
        <f t="shared" si="663"/>
        <v/>
      </c>
      <c r="CD756" s="13">
        <f t="shared" si="664"/>
        <v>596</v>
      </c>
      <c r="CE756" s="13">
        <f t="shared" si="665"/>
        <v>596</v>
      </c>
      <c r="CF756" s="13">
        <f t="shared" si="666"/>
        <v>236</v>
      </c>
      <c r="CG756" s="13">
        <f t="shared" si="667"/>
        <v>236</v>
      </c>
      <c r="CH756" s="28">
        <f t="shared" si="668"/>
        <v>140656</v>
      </c>
      <c r="CI756" s="62" t="str">
        <f t="shared" si="669"/>
        <v/>
      </c>
      <c r="CJ756" s="59">
        <f t="shared" si="670"/>
        <v>0</v>
      </c>
      <c r="CL756" s="63">
        <v>6000</v>
      </c>
      <c r="CM756" s="63">
        <f t="shared" si="671"/>
        <v>0</v>
      </c>
      <c r="CN756" s="63">
        <f t="shared" si="672"/>
        <v>5</v>
      </c>
      <c r="CO756" s="63">
        <f t="shared" si="673"/>
        <v>1200</v>
      </c>
      <c r="CP756" s="13">
        <f t="shared" si="674"/>
        <v>1200</v>
      </c>
      <c r="CQ756" s="70">
        <f t="shared" si="675"/>
        <v>8.3333333333333339E-4</v>
      </c>
      <c r="CR756" s="69">
        <f t="shared" si="697"/>
        <v>1.6666666666666668E-3</v>
      </c>
    </row>
    <row r="757" spans="1:96" hidden="1" x14ac:dyDescent="0.25">
      <c r="A757" s="10">
        <v>3</v>
      </c>
      <c r="B757" s="8" t="s">
        <v>1799</v>
      </c>
      <c r="C757" s="10" t="s">
        <v>1800</v>
      </c>
      <c r="D757" s="10" t="s">
        <v>2270</v>
      </c>
      <c r="E757" s="10" t="s">
        <v>52</v>
      </c>
      <c r="F757" s="12">
        <f t="shared" si="644"/>
        <v>1</v>
      </c>
      <c r="G757" s="10">
        <v>1</v>
      </c>
      <c r="H757" s="10">
        <f>G757*$H$756</f>
        <v>2</v>
      </c>
      <c r="I757" s="10">
        <v>1</v>
      </c>
      <c r="J757" s="8" t="s">
        <v>1761</v>
      </c>
      <c r="K757" s="8" t="s">
        <v>34</v>
      </c>
      <c r="L757" s="10">
        <v>0</v>
      </c>
      <c r="M757" s="8" t="s">
        <v>340</v>
      </c>
      <c r="N757" s="10" t="s">
        <v>1801</v>
      </c>
      <c r="O757" s="28"/>
      <c r="P757" s="28"/>
      <c r="Q757" s="28" t="s">
        <v>1802</v>
      </c>
      <c r="R757" s="30">
        <v>36.311</v>
      </c>
      <c r="S757" s="30">
        <v>21.75</v>
      </c>
      <c r="T757" s="30"/>
      <c r="U757" s="30">
        <v>6.2E-2</v>
      </c>
      <c r="V757" s="8">
        <f t="shared" si="645"/>
        <v>922.29939999999999</v>
      </c>
      <c r="W757" s="8">
        <f t="shared" si="646"/>
        <v>552.44999999999993</v>
      </c>
      <c r="X757" s="8">
        <f t="shared" si="647"/>
        <v>0</v>
      </c>
      <c r="Y757" s="33">
        <f t="shared" si="648"/>
        <v>1.5748</v>
      </c>
      <c r="Z757" s="28" t="s">
        <v>1764</v>
      </c>
      <c r="AA757" s="28" t="s">
        <v>1765</v>
      </c>
      <c r="AB757" s="28" t="s">
        <v>1802</v>
      </c>
      <c r="AC757" s="31" t="s">
        <v>1766</v>
      </c>
      <c r="AD757" s="50">
        <f t="shared" si="649"/>
        <v>2</v>
      </c>
      <c r="AE757" s="31"/>
      <c r="AF757" s="51">
        <v>14</v>
      </c>
      <c r="AG757" s="51">
        <f t="shared" si="677"/>
        <v>8.4</v>
      </c>
      <c r="AH757" s="51">
        <f t="shared" si="643"/>
        <v>42</v>
      </c>
      <c r="AI757" s="52" t="s">
        <v>2497</v>
      </c>
      <c r="AJ757" s="52" t="s">
        <v>2498</v>
      </c>
      <c r="AK757" s="53">
        <f t="shared" si="678"/>
        <v>1.0190486070599998</v>
      </c>
      <c r="AL757" s="54">
        <f t="shared" si="679"/>
        <v>0.11904761904761904</v>
      </c>
      <c r="AM757" s="54">
        <f t="shared" si="680"/>
        <v>2.3809523809523808E-2</v>
      </c>
      <c r="AN757" s="55">
        <f t="shared" si="681"/>
        <v>0.24263062072857136</v>
      </c>
      <c r="AO757" s="55">
        <f t="shared" si="682"/>
        <v>4.8526124145714271E-2</v>
      </c>
      <c r="AP757" s="53">
        <v>7.1</v>
      </c>
      <c r="AQ757" s="53">
        <f t="shared" si="650"/>
        <v>4.26</v>
      </c>
      <c r="AR757" s="53">
        <f t="shared" si="651"/>
        <v>21.299999999999997</v>
      </c>
      <c r="AS757" s="56">
        <f t="shared" si="652"/>
        <v>4.6948356807511742E-2</v>
      </c>
      <c r="AT757" s="56">
        <f t="shared" si="683"/>
        <v>0.23474178403755869</v>
      </c>
      <c r="AU757" s="56">
        <f t="shared" si="653"/>
        <v>0.176056338028169</v>
      </c>
      <c r="AV757" s="56">
        <f t="shared" si="684"/>
        <v>5.8685446009389672E-2</v>
      </c>
      <c r="AW757" s="57" t="s">
        <v>2511</v>
      </c>
      <c r="AX757" s="57" t="s">
        <v>2512</v>
      </c>
      <c r="AY757" s="57" t="s">
        <v>2513</v>
      </c>
      <c r="AZ757" s="58">
        <f t="shared" si="685"/>
        <v>1.0190486070599998</v>
      </c>
      <c r="BA757" s="59">
        <f t="shared" si="689"/>
        <v>5.9803322010563369E-2</v>
      </c>
      <c r="BB757" s="59">
        <f t="shared" si="690"/>
        <v>0.1794099660316901</v>
      </c>
      <c r="BC757" s="59">
        <f t="shared" si="691"/>
        <v>4.7842657608450696E-2</v>
      </c>
      <c r="BD757" s="60">
        <f t="shared" si="686"/>
        <v>0.16666666666666666</v>
      </c>
      <c r="BE757" s="59">
        <f t="shared" si="687"/>
        <v>0.33333333333333331</v>
      </c>
      <c r="BQ757" s="61">
        <v>3000</v>
      </c>
      <c r="BR757" s="61">
        <v>1200</v>
      </c>
      <c r="BS757" s="28">
        <f t="shared" si="654"/>
        <v>2980</v>
      </c>
      <c r="BT757" s="28">
        <f t="shared" si="655"/>
        <v>1180</v>
      </c>
      <c r="BU757" s="28" t="s">
        <v>2541</v>
      </c>
      <c r="BV757" s="28">
        <f t="shared" si="656"/>
        <v>927.29939999999999</v>
      </c>
      <c r="BW757" s="28">
        <f t="shared" si="657"/>
        <v>557.44999999999993</v>
      </c>
      <c r="BX757" s="13">
        <f t="shared" si="658"/>
        <v>3.2136330509865529</v>
      </c>
      <c r="BY757" s="13">
        <f t="shared" si="659"/>
        <v>3</v>
      </c>
      <c r="BZ757" s="13">
        <f t="shared" si="660"/>
        <v>2.1167817741501485</v>
      </c>
      <c r="CA757" s="13">
        <f t="shared" si="661"/>
        <v>2</v>
      </c>
      <c r="CB757" s="13">
        <f t="shared" si="662"/>
        <v>6</v>
      </c>
      <c r="CC757" s="62">
        <f t="shared" si="663"/>
        <v>0.16666666666666666</v>
      </c>
      <c r="CD757" s="13">
        <f t="shared" si="664"/>
        <v>5.3457709211588487</v>
      </c>
      <c r="CE757" s="13">
        <f t="shared" si="665"/>
        <v>5</v>
      </c>
      <c r="CF757" s="13">
        <f t="shared" si="666"/>
        <v>1.2725124161624606</v>
      </c>
      <c r="CG757" s="13">
        <f t="shared" si="667"/>
        <v>1</v>
      </c>
      <c r="CH757" s="28">
        <f t="shared" si="668"/>
        <v>5</v>
      </c>
      <c r="CI757" s="62">
        <f t="shared" si="669"/>
        <v>0.2</v>
      </c>
      <c r="CJ757" s="59">
        <f t="shared" si="670"/>
        <v>0.16666666666666666</v>
      </c>
      <c r="CL757" s="63">
        <v>6000</v>
      </c>
      <c r="CM757" s="63">
        <f t="shared" si="671"/>
        <v>922.29939999999999</v>
      </c>
      <c r="CN757" s="63">
        <f t="shared" si="672"/>
        <v>927.29939999999999</v>
      </c>
      <c r="CO757" s="63">
        <f t="shared" si="673"/>
        <v>6.470402116080308</v>
      </c>
      <c r="CP757" s="13">
        <f t="shared" si="674"/>
        <v>6</v>
      </c>
      <c r="CQ757" s="70">
        <f t="shared" si="675"/>
        <v>0.16666666666666666</v>
      </c>
      <c r="CR757" s="69">
        <f t="shared" si="697"/>
        <v>0.33333333333333331</v>
      </c>
    </row>
    <row r="758" spans="1:96" hidden="1" x14ac:dyDescent="0.25">
      <c r="A758" s="10">
        <v>3</v>
      </c>
      <c r="B758" s="8" t="s">
        <v>1799</v>
      </c>
      <c r="C758" s="10" t="s">
        <v>1803</v>
      </c>
      <c r="D758" s="10" t="s">
        <v>2270</v>
      </c>
      <c r="E758" s="10" t="s">
        <v>52</v>
      </c>
      <c r="F758" s="12">
        <f t="shared" si="644"/>
        <v>1</v>
      </c>
      <c r="G758" s="10">
        <v>1</v>
      </c>
      <c r="H758" s="10">
        <f t="shared" ref="H758:H759" si="703">G758*$H$756</f>
        <v>2</v>
      </c>
      <c r="I758" s="10">
        <v>2</v>
      </c>
      <c r="J758" s="8" t="s">
        <v>1768</v>
      </c>
      <c r="K758" s="8" t="s">
        <v>34</v>
      </c>
      <c r="L758" s="10">
        <v>0</v>
      </c>
      <c r="M758" s="8" t="s">
        <v>340</v>
      </c>
      <c r="N758" s="10" t="s">
        <v>1802</v>
      </c>
      <c r="O758" s="28"/>
      <c r="P758" s="28"/>
      <c r="Q758" s="28" t="s">
        <v>1802</v>
      </c>
      <c r="R758" s="30">
        <v>19.82</v>
      </c>
      <c r="S758" s="30">
        <v>16.5</v>
      </c>
      <c r="T758" s="30"/>
      <c r="U758" s="30">
        <v>2</v>
      </c>
      <c r="V758" s="8">
        <f t="shared" si="645"/>
        <v>503.428</v>
      </c>
      <c r="W758" s="8">
        <f t="shared" si="646"/>
        <v>419.09999999999997</v>
      </c>
      <c r="X758" s="8">
        <f t="shared" si="647"/>
        <v>0</v>
      </c>
      <c r="Y758" s="33">
        <f t="shared" si="648"/>
        <v>50.8</v>
      </c>
      <c r="Z758" s="28" t="s">
        <v>1769</v>
      </c>
      <c r="AA758" s="28" t="s">
        <v>2477</v>
      </c>
      <c r="AB758" s="28" t="s">
        <v>1802</v>
      </c>
      <c r="AC758" s="31" t="s">
        <v>1804</v>
      </c>
      <c r="AD758" s="50">
        <f t="shared" si="649"/>
        <v>2</v>
      </c>
      <c r="AE758" s="31"/>
      <c r="AF758" s="51">
        <v>14</v>
      </c>
      <c r="AG758" s="51">
        <f t="shared" si="677"/>
        <v>8.4</v>
      </c>
      <c r="AH758" s="51">
        <f t="shared" si="643"/>
        <v>42</v>
      </c>
      <c r="AI758" s="52" t="s">
        <v>2497</v>
      </c>
      <c r="AJ758" s="52" t="s">
        <v>2498</v>
      </c>
      <c r="AK758" s="53">
        <f t="shared" si="678"/>
        <v>0.42197334959999994</v>
      </c>
      <c r="AL758" s="54">
        <f t="shared" si="679"/>
        <v>0.11904761904761904</v>
      </c>
      <c r="AM758" s="54">
        <f t="shared" si="680"/>
        <v>2.3809523809523808E-2</v>
      </c>
      <c r="AN758" s="55">
        <f t="shared" si="681"/>
        <v>0.10046984514285712</v>
      </c>
      <c r="AO758" s="55">
        <f t="shared" si="682"/>
        <v>2.0093969028571423E-2</v>
      </c>
      <c r="AP758" s="53">
        <v>7.1</v>
      </c>
      <c r="AQ758" s="53">
        <f t="shared" si="650"/>
        <v>4.26</v>
      </c>
      <c r="AR758" s="53">
        <f t="shared" si="651"/>
        <v>21.299999999999997</v>
      </c>
      <c r="AS758" s="56">
        <f t="shared" si="652"/>
        <v>4.6948356807511742E-2</v>
      </c>
      <c r="AT758" s="56">
        <f t="shared" si="683"/>
        <v>0.23474178403755869</v>
      </c>
      <c r="AU758" s="56">
        <f t="shared" si="653"/>
        <v>0.176056338028169</v>
      </c>
      <c r="AV758" s="56">
        <f t="shared" si="684"/>
        <v>5.8685446009389672E-2</v>
      </c>
      <c r="AW758" s="57" t="s">
        <v>2511</v>
      </c>
      <c r="AX758" s="57" t="s">
        <v>2512</v>
      </c>
      <c r="AY758" s="57" t="s">
        <v>2513</v>
      </c>
      <c r="AZ758" s="58">
        <f t="shared" si="685"/>
        <v>0.42197334959999994</v>
      </c>
      <c r="BA758" s="59">
        <f t="shared" si="689"/>
        <v>2.4763694225352108E-2</v>
      </c>
      <c r="BB758" s="59">
        <f t="shared" si="690"/>
        <v>7.4291082676056316E-2</v>
      </c>
      <c r="BC758" s="59">
        <f t="shared" si="691"/>
        <v>1.981095538028169E-2</v>
      </c>
      <c r="BD758" s="60">
        <f t="shared" si="686"/>
        <v>7.1428571428571425E-2</v>
      </c>
      <c r="BE758" s="59">
        <f t="shared" si="687"/>
        <v>0.14285714285714285</v>
      </c>
      <c r="BQ758" s="61">
        <v>3000</v>
      </c>
      <c r="BR758" s="61">
        <v>1200</v>
      </c>
      <c r="BS758" s="28">
        <f t="shared" si="654"/>
        <v>2980</v>
      </c>
      <c r="BT758" s="28">
        <f t="shared" si="655"/>
        <v>1180</v>
      </c>
      <c r="BU758" s="28" t="s">
        <v>2541</v>
      </c>
      <c r="BV758" s="28">
        <f t="shared" si="656"/>
        <v>508.428</v>
      </c>
      <c r="BW758" s="28">
        <f t="shared" si="657"/>
        <v>424.09999999999997</v>
      </c>
      <c r="BX758" s="13">
        <f t="shared" si="658"/>
        <v>5.8612035529121131</v>
      </c>
      <c r="BY758" s="13">
        <f t="shared" si="659"/>
        <v>5</v>
      </c>
      <c r="BZ758" s="13">
        <f t="shared" si="660"/>
        <v>2.7823626503183214</v>
      </c>
      <c r="CA758" s="13">
        <f t="shared" si="661"/>
        <v>2</v>
      </c>
      <c r="CB758" s="13">
        <f t="shared" si="662"/>
        <v>10</v>
      </c>
      <c r="CC758" s="62">
        <f t="shared" si="663"/>
        <v>0.1</v>
      </c>
      <c r="CD758" s="13">
        <f t="shared" si="664"/>
        <v>7.0266446592784728</v>
      </c>
      <c r="CE758" s="13">
        <f t="shared" si="665"/>
        <v>7</v>
      </c>
      <c r="CF758" s="13">
        <f t="shared" si="666"/>
        <v>2.3208792592068099</v>
      </c>
      <c r="CG758" s="13">
        <f t="shared" si="667"/>
        <v>2</v>
      </c>
      <c r="CH758" s="28">
        <f t="shared" si="668"/>
        <v>14</v>
      </c>
      <c r="CI758" s="62">
        <f t="shared" si="669"/>
        <v>7.1428571428571425E-2</v>
      </c>
      <c r="CJ758" s="59">
        <f t="shared" si="670"/>
        <v>7.1428571428571425E-2</v>
      </c>
      <c r="CL758" s="63">
        <v>6000</v>
      </c>
      <c r="CM758" s="63">
        <f t="shared" si="671"/>
        <v>503.428</v>
      </c>
      <c r="CN758" s="63">
        <f t="shared" si="672"/>
        <v>508.428</v>
      </c>
      <c r="CO758" s="63">
        <f t="shared" si="673"/>
        <v>11.801080979017678</v>
      </c>
      <c r="CP758" s="13">
        <f t="shared" si="674"/>
        <v>11</v>
      </c>
      <c r="CQ758" s="70">
        <f t="shared" si="675"/>
        <v>9.0909090909090912E-2</v>
      </c>
      <c r="CR758" s="69">
        <f t="shared" si="697"/>
        <v>0.18181818181818182</v>
      </c>
    </row>
    <row r="759" spans="1:96" hidden="1" x14ac:dyDescent="0.25">
      <c r="A759" s="10">
        <v>3</v>
      </c>
      <c r="B759" s="8" t="s">
        <v>1799</v>
      </c>
      <c r="C759" s="10" t="s">
        <v>1805</v>
      </c>
      <c r="D759" s="10" t="s">
        <v>2270</v>
      </c>
      <c r="E759" s="10" t="s">
        <v>32</v>
      </c>
      <c r="F759" s="12">
        <f t="shared" si="644"/>
        <v>1</v>
      </c>
      <c r="G759" s="10">
        <v>2</v>
      </c>
      <c r="H759" s="10">
        <f t="shared" si="703"/>
        <v>4</v>
      </c>
      <c r="I759" s="10">
        <v>3</v>
      </c>
      <c r="J759" s="8" t="s">
        <v>1806</v>
      </c>
      <c r="K759" s="8" t="s">
        <v>34</v>
      </c>
      <c r="L759" s="10">
        <v>0</v>
      </c>
      <c r="M759" s="8" t="s">
        <v>340</v>
      </c>
      <c r="N759" s="10" t="s">
        <v>1807</v>
      </c>
      <c r="O759" s="28"/>
      <c r="P759" s="28"/>
      <c r="Q759" s="28" t="s">
        <v>1802</v>
      </c>
      <c r="R759" s="30"/>
      <c r="S759" s="30"/>
      <c r="T759" s="30"/>
      <c r="U759" s="30"/>
      <c r="V759" s="8">
        <f t="shared" si="645"/>
        <v>0</v>
      </c>
      <c r="W759" s="8">
        <f t="shared" si="646"/>
        <v>0</v>
      </c>
      <c r="X759" s="8">
        <f t="shared" si="647"/>
        <v>0</v>
      </c>
      <c r="Y759" s="33">
        <f t="shared" si="648"/>
        <v>0</v>
      </c>
      <c r="Z759" s="28"/>
      <c r="AA759" s="28"/>
      <c r="AB759" s="28" t="s">
        <v>1802</v>
      </c>
      <c r="AC759" s="31"/>
      <c r="AD759" s="50">
        <f t="shared" si="649"/>
        <v>4</v>
      </c>
      <c r="AE759" s="31"/>
      <c r="AF759" s="51">
        <v>14</v>
      </c>
      <c r="AG759" s="51">
        <f t="shared" si="677"/>
        <v>8.4</v>
      </c>
      <c r="AH759" s="51">
        <f t="shared" si="643"/>
        <v>42</v>
      </c>
      <c r="AI759" s="52" t="s">
        <v>2497</v>
      </c>
      <c r="AJ759" s="52" t="s">
        <v>2498</v>
      </c>
      <c r="AK759" s="53">
        <f t="shared" si="678"/>
        <v>0</v>
      </c>
      <c r="AL759" s="54">
        <f t="shared" si="679"/>
        <v>0.11904761904761904</v>
      </c>
      <c r="AM759" s="54">
        <f t="shared" si="680"/>
        <v>2.3809523809523808E-2</v>
      </c>
      <c r="AN759" s="55">
        <f t="shared" si="681"/>
        <v>0</v>
      </c>
      <c r="AO759" s="55">
        <f t="shared" si="682"/>
        <v>0</v>
      </c>
      <c r="AP759" s="53">
        <v>7.1</v>
      </c>
      <c r="AQ759" s="53">
        <f t="shared" si="650"/>
        <v>4.26</v>
      </c>
      <c r="AR759" s="53">
        <f t="shared" si="651"/>
        <v>21.299999999999997</v>
      </c>
      <c r="AS759" s="56">
        <f t="shared" si="652"/>
        <v>4.6948356807511742E-2</v>
      </c>
      <c r="AT759" s="56">
        <f t="shared" si="683"/>
        <v>0.23474178403755869</v>
      </c>
      <c r="AU759" s="56">
        <f t="shared" si="653"/>
        <v>0.176056338028169</v>
      </c>
      <c r="AV759" s="56">
        <f t="shared" si="684"/>
        <v>5.8685446009389672E-2</v>
      </c>
      <c r="AW759" s="57" t="s">
        <v>2511</v>
      </c>
      <c r="AX759" s="57" t="s">
        <v>2512</v>
      </c>
      <c r="AY759" s="57" t="s">
        <v>2513</v>
      </c>
      <c r="AZ759" s="58">
        <f t="shared" si="685"/>
        <v>0</v>
      </c>
      <c r="BA759" s="59">
        <f t="shared" si="689"/>
        <v>0</v>
      </c>
      <c r="BB759" s="59">
        <f t="shared" si="690"/>
        <v>0</v>
      </c>
      <c r="BC759" s="59">
        <f t="shared" si="691"/>
        <v>0</v>
      </c>
      <c r="BD759" s="60">
        <f t="shared" si="686"/>
        <v>0</v>
      </c>
      <c r="BE759" s="59">
        <f t="shared" si="687"/>
        <v>0</v>
      </c>
      <c r="BQ759" s="61">
        <v>3000</v>
      </c>
      <c r="BR759" s="61">
        <v>1200</v>
      </c>
      <c r="BS759" s="28">
        <f t="shared" si="654"/>
        <v>2980</v>
      </c>
      <c r="BT759" s="28">
        <f t="shared" si="655"/>
        <v>1180</v>
      </c>
      <c r="BU759" s="28" t="s">
        <v>2541</v>
      </c>
      <c r="BV759" s="28">
        <f t="shared" si="656"/>
        <v>5</v>
      </c>
      <c r="BW759" s="28">
        <f t="shared" si="657"/>
        <v>5</v>
      </c>
      <c r="BX759" s="13">
        <f t="shared" si="658"/>
        <v>596</v>
      </c>
      <c r="BY759" s="13">
        <f t="shared" si="659"/>
        <v>596</v>
      </c>
      <c r="BZ759" s="13">
        <f t="shared" si="660"/>
        <v>236</v>
      </c>
      <c r="CA759" s="13">
        <f t="shared" si="661"/>
        <v>236</v>
      </c>
      <c r="CB759" s="13">
        <f t="shared" si="662"/>
        <v>140656</v>
      </c>
      <c r="CC759" s="62" t="str">
        <f t="shared" si="663"/>
        <v/>
      </c>
      <c r="CD759" s="13">
        <f t="shared" si="664"/>
        <v>596</v>
      </c>
      <c r="CE759" s="13">
        <f t="shared" si="665"/>
        <v>596</v>
      </c>
      <c r="CF759" s="13">
        <f t="shared" si="666"/>
        <v>236</v>
      </c>
      <c r="CG759" s="13">
        <f t="shared" si="667"/>
        <v>236</v>
      </c>
      <c r="CH759" s="28">
        <f t="shared" si="668"/>
        <v>140656</v>
      </c>
      <c r="CI759" s="62" t="str">
        <f t="shared" si="669"/>
        <v/>
      </c>
      <c r="CJ759" s="59">
        <f t="shared" si="670"/>
        <v>0</v>
      </c>
      <c r="CL759" s="63">
        <v>6000</v>
      </c>
      <c r="CM759" s="63">
        <f t="shared" si="671"/>
        <v>0</v>
      </c>
      <c r="CN759" s="63">
        <f t="shared" si="672"/>
        <v>5</v>
      </c>
      <c r="CO759" s="63">
        <f t="shared" si="673"/>
        <v>1200</v>
      </c>
      <c r="CP759" s="13">
        <f t="shared" si="674"/>
        <v>1200</v>
      </c>
      <c r="CQ759" s="70">
        <f t="shared" si="675"/>
        <v>8.3333333333333339E-4</v>
      </c>
      <c r="CR759" s="69">
        <f t="shared" si="697"/>
        <v>3.3333333333333335E-3</v>
      </c>
    </row>
    <row r="760" spans="1:96" hidden="1" x14ac:dyDescent="0.25">
      <c r="A760" s="13">
        <v>4</v>
      </c>
      <c r="B760" s="14" t="s">
        <v>1808</v>
      </c>
      <c r="C760" s="13" t="s">
        <v>1809</v>
      </c>
      <c r="D760" s="13" t="s">
        <v>2270</v>
      </c>
      <c r="E760" s="13" t="s">
        <v>52</v>
      </c>
      <c r="F760" s="15">
        <f t="shared" si="644"/>
        <v>1</v>
      </c>
      <c r="G760" s="13">
        <v>1</v>
      </c>
      <c r="H760" s="13">
        <f>G760*$H$759</f>
        <v>4</v>
      </c>
      <c r="I760" s="13">
        <v>1</v>
      </c>
      <c r="J760" s="14" t="s">
        <v>1806</v>
      </c>
      <c r="K760" s="14" t="s">
        <v>34</v>
      </c>
      <c r="L760" s="13">
        <v>0</v>
      </c>
      <c r="M760" s="14" t="s">
        <v>340</v>
      </c>
      <c r="N760" s="13" t="s">
        <v>1810</v>
      </c>
      <c r="O760" s="28"/>
      <c r="P760" s="28"/>
      <c r="Q760" s="28" t="s">
        <v>1802</v>
      </c>
      <c r="R760" s="30">
        <v>16.5</v>
      </c>
      <c r="S760" s="30">
        <v>3.472</v>
      </c>
      <c r="T760" s="30"/>
      <c r="U760" s="30">
        <v>0.09</v>
      </c>
      <c r="V760" s="8">
        <f t="shared" si="645"/>
        <v>419.09999999999997</v>
      </c>
      <c r="W760" s="8">
        <f t="shared" si="646"/>
        <v>88.188800000000001</v>
      </c>
      <c r="X760" s="8">
        <f t="shared" si="647"/>
        <v>0</v>
      </c>
      <c r="Y760" s="33">
        <f t="shared" si="648"/>
        <v>2.2859999999999996</v>
      </c>
      <c r="Z760" s="28" t="s">
        <v>56</v>
      </c>
      <c r="AA760" s="28" t="s">
        <v>57</v>
      </c>
      <c r="AB760" s="28" t="s">
        <v>1802</v>
      </c>
      <c r="AC760" s="31" t="s">
        <v>125</v>
      </c>
      <c r="AD760" s="50">
        <f t="shared" si="649"/>
        <v>4</v>
      </c>
      <c r="AE760" s="47" t="s">
        <v>1811</v>
      </c>
      <c r="AF760" s="51">
        <v>14</v>
      </c>
      <c r="AG760" s="51">
        <f t="shared" si="677"/>
        <v>8.4</v>
      </c>
      <c r="AH760" s="51">
        <f t="shared" si="643"/>
        <v>42</v>
      </c>
      <c r="AI760" s="52" t="s">
        <v>2497</v>
      </c>
      <c r="AJ760" s="52" t="s">
        <v>2498</v>
      </c>
      <c r="AK760" s="53">
        <f t="shared" si="678"/>
        <v>7.3919852159999994E-2</v>
      </c>
      <c r="AL760" s="54">
        <f t="shared" si="679"/>
        <v>0.11904761904761904</v>
      </c>
      <c r="AM760" s="54">
        <f t="shared" si="680"/>
        <v>2.3809523809523808E-2</v>
      </c>
      <c r="AN760" s="55">
        <f t="shared" si="681"/>
        <v>3.5199929599999992E-2</v>
      </c>
      <c r="AO760" s="55">
        <f t="shared" si="682"/>
        <v>7.0399859199999993E-3</v>
      </c>
      <c r="AP760" s="53">
        <v>7.1</v>
      </c>
      <c r="AQ760" s="53">
        <f t="shared" si="650"/>
        <v>4.26</v>
      </c>
      <c r="AR760" s="53">
        <f t="shared" si="651"/>
        <v>21.299999999999997</v>
      </c>
      <c r="AS760" s="56">
        <f t="shared" si="652"/>
        <v>4.6948356807511742E-2</v>
      </c>
      <c r="AT760" s="56">
        <f t="shared" si="683"/>
        <v>0.23474178403755869</v>
      </c>
      <c r="AU760" s="56">
        <f t="shared" si="653"/>
        <v>0.176056338028169</v>
      </c>
      <c r="AV760" s="56">
        <f t="shared" si="684"/>
        <v>5.8685446009389672E-2</v>
      </c>
      <c r="AW760" s="57" t="s">
        <v>2511</v>
      </c>
      <c r="AX760" s="57" t="s">
        <v>2512</v>
      </c>
      <c r="AY760" s="57" t="s">
        <v>2513</v>
      </c>
      <c r="AZ760" s="58">
        <f t="shared" si="685"/>
        <v>7.3919852159999994E-2</v>
      </c>
      <c r="BA760" s="59">
        <f t="shared" si="689"/>
        <v>8.6760389859154921E-3</v>
      </c>
      <c r="BB760" s="59">
        <f t="shared" si="690"/>
        <v>2.6028116957746476E-2</v>
      </c>
      <c r="BC760" s="59">
        <f t="shared" si="691"/>
        <v>6.940831188732394E-3</v>
      </c>
      <c r="BD760" s="60">
        <f t="shared" si="686"/>
        <v>1.1904761904761904E-2</v>
      </c>
      <c r="BE760" s="59">
        <f t="shared" si="687"/>
        <v>4.7619047619047616E-2</v>
      </c>
      <c r="BQ760" s="61">
        <v>3000</v>
      </c>
      <c r="BR760" s="61">
        <v>1200</v>
      </c>
      <c r="BS760" s="28">
        <f t="shared" si="654"/>
        <v>2980</v>
      </c>
      <c r="BT760" s="28">
        <f t="shared" si="655"/>
        <v>1180</v>
      </c>
      <c r="BU760" s="28" t="s">
        <v>2541</v>
      </c>
      <c r="BV760" s="28">
        <f t="shared" si="656"/>
        <v>424.09999999999997</v>
      </c>
      <c r="BW760" s="28">
        <f t="shared" si="657"/>
        <v>93.188800000000001</v>
      </c>
      <c r="BX760" s="13">
        <f t="shared" si="658"/>
        <v>7.0266446592784728</v>
      </c>
      <c r="BY760" s="13">
        <f t="shared" si="659"/>
        <v>7</v>
      </c>
      <c r="BZ760" s="13">
        <f t="shared" si="660"/>
        <v>12.662465875727555</v>
      </c>
      <c r="CA760" s="13">
        <f t="shared" si="661"/>
        <v>12</v>
      </c>
      <c r="CB760" s="13">
        <f t="shared" si="662"/>
        <v>84</v>
      </c>
      <c r="CC760" s="62">
        <f t="shared" si="663"/>
        <v>1.1904761904761904E-2</v>
      </c>
      <c r="CD760" s="13">
        <f t="shared" si="664"/>
        <v>31.978091787854336</v>
      </c>
      <c r="CE760" s="13">
        <f t="shared" si="665"/>
        <v>31</v>
      </c>
      <c r="CF760" s="13">
        <f t="shared" si="666"/>
        <v>2.7823626503183214</v>
      </c>
      <c r="CG760" s="13">
        <f t="shared" si="667"/>
        <v>2</v>
      </c>
      <c r="CH760" s="28">
        <f t="shared" si="668"/>
        <v>62</v>
      </c>
      <c r="CI760" s="62">
        <f t="shared" si="669"/>
        <v>1.6129032258064516E-2</v>
      </c>
      <c r="CJ760" s="59">
        <f t="shared" si="670"/>
        <v>1.1904761904761904E-2</v>
      </c>
      <c r="CL760" s="63">
        <v>6000</v>
      </c>
      <c r="CM760" s="63">
        <f t="shared" si="671"/>
        <v>419.09999999999997</v>
      </c>
      <c r="CN760" s="63">
        <f t="shared" si="672"/>
        <v>424.09999999999997</v>
      </c>
      <c r="CO760" s="63">
        <f t="shared" si="673"/>
        <v>14.147606696533838</v>
      </c>
      <c r="CP760" s="13">
        <f t="shared" si="674"/>
        <v>14</v>
      </c>
      <c r="CQ760" s="70">
        <f t="shared" si="675"/>
        <v>7.1428571428571425E-2</v>
      </c>
      <c r="CR760" s="69">
        <f t="shared" si="697"/>
        <v>0.2857142857142857</v>
      </c>
    </row>
    <row r="761" spans="1:96" hidden="1" x14ac:dyDescent="0.25">
      <c r="A761" s="13">
        <v>4</v>
      </c>
      <c r="B761" s="14" t="s">
        <v>1808</v>
      </c>
      <c r="C761" s="13" t="s">
        <v>1777</v>
      </c>
      <c r="D761" s="13" t="s">
        <v>2270</v>
      </c>
      <c r="E761" s="13" t="s">
        <v>52</v>
      </c>
      <c r="F761" s="15">
        <f t="shared" si="644"/>
        <v>4</v>
      </c>
      <c r="G761" s="13">
        <v>2</v>
      </c>
      <c r="H761" s="13">
        <f>G761*$H$759</f>
        <v>8</v>
      </c>
      <c r="I761" s="13">
        <v>2</v>
      </c>
      <c r="J761" s="14" t="s">
        <v>1778</v>
      </c>
      <c r="K761" s="14" t="s">
        <v>34</v>
      </c>
      <c r="L761" s="13" t="s">
        <v>223</v>
      </c>
      <c r="M761" s="14" t="s">
        <v>340</v>
      </c>
      <c r="N761" s="13" t="s">
        <v>1802</v>
      </c>
      <c r="O761" s="28"/>
      <c r="P761" s="28"/>
      <c r="Q761" s="28" t="s">
        <v>1802</v>
      </c>
      <c r="R761" s="30"/>
      <c r="S761" s="30"/>
      <c r="T761" s="30"/>
      <c r="U761" s="30"/>
      <c r="V761" s="8">
        <f t="shared" si="645"/>
        <v>0</v>
      </c>
      <c r="W761" s="8">
        <f t="shared" si="646"/>
        <v>0</v>
      </c>
      <c r="X761" s="8">
        <f t="shared" si="647"/>
        <v>0</v>
      </c>
      <c r="Y761" s="33">
        <f t="shared" si="648"/>
        <v>0</v>
      </c>
      <c r="Z761" s="28"/>
      <c r="AA761" s="28"/>
      <c r="AB761" s="28" t="s">
        <v>1802</v>
      </c>
      <c r="AC761" s="31" t="s">
        <v>1779</v>
      </c>
      <c r="AD761" s="50">
        <f t="shared" si="649"/>
        <v>8</v>
      </c>
      <c r="AE761" s="31"/>
      <c r="AF761" s="51">
        <v>14</v>
      </c>
      <c r="AG761" s="51">
        <f t="shared" si="677"/>
        <v>8.4</v>
      </c>
      <c r="AH761" s="51">
        <f t="shared" si="643"/>
        <v>42</v>
      </c>
      <c r="AI761" s="52" t="s">
        <v>2497</v>
      </c>
      <c r="AJ761" s="52" t="s">
        <v>2498</v>
      </c>
      <c r="AK761" s="53">
        <f t="shared" si="678"/>
        <v>0</v>
      </c>
      <c r="AL761" s="54">
        <f t="shared" si="679"/>
        <v>0.11904761904761904</v>
      </c>
      <c r="AM761" s="54">
        <f t="shared" si="680"/>
        <v>2.3809523809523808E-2</v>
      </c>
      <c r="AN761" s="55">
        <f t="shared" si="681"/>
        <v>0</v>
      </c>
      <c r="AO761" s="55">
        <f t="shared" si="682"/>
        <v>0</v>
      </c>
      <c r="AP761" s="53">
        <v>7.1</v>
      </c>
      <c r="AQ761" s="53">
        <f t="shared" si="650"/>
        <v>4.26</v>
      </c>
      <c r="AR761" s="53">
        <f t="shared" si="651"/>
        <v>21.299999999999997</v>
      </c>
      <c r="AS761" s="56">
        <f t="shared" si="652"/>
        <v>4.6948356807511742E-2</v>
      </c>
      <c r="AT761" s="56">
        <f t="shared" si="683"/>
        <v>0.23474178403755869</v>
      </c>
      <c r="AU761" s="56">
        <f t="shared" si="653"/>
        <v>0.176056338028169</v>
      </c>
      <c r="AV761" s="56">
        <f t="shared" si="684"/>
        <v>5.8685446009389672E-2</v>
      </c>
      <c r="AW761" s="57" t="s">
        <v>2511</v>
      </c>
      <c r="AX761" s="57" t="s">
        <v>2512</v>
      </c>
      <c r="AY761" s="57" t="s">
        <v>2513</v>
      </c>
      <c r="AZ761" s="58">
        <f t="shared" si="685"/>
        <v>0</v>
      </c>
      <c r="BA761" s="59">
        <f t="shared" si="689"/>
        <v>0</v>
      </c>
      <c r="BB761" s="59">
        <f t="shared" si="690"/>
        <v>0</v>
      </c>
      <c r="BC761" s="59">
        <f t="shared" si="691"/>
        <v>0</v>
      </c>
      <c r="BD761" s="60">
        <f t="shared" si="686"/>
        <v>7.1095438516664771E-6</v>
      </c>
      <c r="BE761" s="59">
        <f t="shared" si="687"/>
        <v>5.6876350813331817E-5</v>
      </c>
      <c r="BQ761" s="61">
        <v>3000</v>
      </c>
      <c r="BR761" s="61">
        <v>1200</v>
      </c>
      <c r="BS761" s="28">
        <f t="shared" si="654"/>
        <v>2980</v>
      </c>
      <c r="BT761" s="28">
        <f t="shared" si="655"/>
        <v>1180</v>
      </c>
      <c r="BU761" s="28" t="s">
        <v>2541</v>
      </c>
      <c r="BV761" s="28">
        <f t="shared" si="656"/>
        <v>5</v>
      </c>
      <c r="BW761" s="28">
        <f t="shared" si="657"/>
        <v>5</v>
      </c>
      <c r="BX761" s="13">
        <f t="shared" si="658"/>
        <v>596</v>
      </c>
      <c r="BY761" s="13">
        <f t="shared" si="659"/>
        <v>596</v>
      </c>
      <c r="BZ761" s="13">
        <f t="shared" si="660"/>
        <v>236</v>
      </c>
      <c r="CA761" s="13">
        <f t="shared" si="661"/>
        <v>236</v>
      </c>
      <c r="CB761" s="13">
        <f t="shared" si="662"/>
        <v>140656</v>
      </c>
      <c r="CC761" s="62">
        <f t="shared" si="663"/>
        <v>7.1095438516664771E-6</v>
      </c>
      <c r="CD761" s="13">
        <f t="shared" si="664"/>
        <v>596</v>
      </c>
      <c r="CE761" s="13">
        <f t="shared" si="665"/>
        <v>596</v>
      </c>
      <c r="CF761" s="13">
        <f t="shared" si="666"/>
        <v>236</v>
      </c>
      <c r="CG761" s="13">
        <f t="shared" si="667"/>
        <v>236</v>
      </c>
      <c r="CH761" s="28">
        <f t="shared" si="668"/>
        <v>140656</v>
      </c>
      <c r="CI761" s="62">
        <f t="shared" si="669"/>
        <v>7.1095438516664771E-6</v>
      </c>
      <c r="CJ761" s="59">
        <f t="shared" si="670"/>
        <v>7.1095438516664771E-6</v>
      </c>
      <c r="CL761" s="63">
        <v>6000</v>
      </c>
      <c r="CM761" s="63">
        <f t="shared" si="671"/>
        <v>0</v>
      </c>
      <c r="CN761" s="63">
        <f t="shared" si="672"/>
        <v>5</v>
      </c>
      <c r="CO761" s="63">
        <f t="shared" si="673"/>
        <v>1200</v>
      </c>
      <c r="CP761" s="13">
        <f t="shared" si="674"/>
        <v>1200</v>
      </c>
      <c r="CQ761" s="70">
        <f t="shared" si="675"/>
        <v>8.3333333333333339E-4</v>
      </c>
      <c r="CR761" s="69">
        <f t="shared" si="697"/>
        <v>6.6666666666666671E-3</v>
      </c>
    </row>
    <row r="762" spans="1:96" hidden="1" x14ac:dyDescent="0.25">
      <c r="A762" s="10">
        <v>3</v>
      </c>
      <c r="B762" s="8" t="s">
        <v>1799</v>
      </c>
      <c r="C762" s="10" t="s">
        <v>1786</v>
      </c>
      <c r="D762" s="10" t="s">
        <v>2270</v>
      </c>
      <c r="E762" s="10" t="s">
        <v>32</v>
      </c>
      <c r="F762" s="12">
        <f t="shared" si="644"/>
        <v>3</v>
      </c>
      <c r="G762" s="10">
        <v>2</v>
      </c>
      <c r="H762" s="10">
        <f>G762*$H$756</f>
        <v>4</v>
      </c>
      <c r="I762" s="10">
        <v>4</v>
      </c>
      <c r="J762" s="8" t="s">
        <v>152</v>
      </c>
      <c r="K762" s="8" t="s">
        <v>34</v>
      </c>
      <c r="L762" s="10">
        <v>0</v>
      </c>
      <c r="M762" s="8" t="s">
        <v>340</v>
      </c>
      <c r="N762" s="10" t="s">
        <v>1787</v>
      </c>
      <c r="O762" s="28"/>
      <c r="P762" s="28"/>
      <c r="Q762" s="28" t="s">
        <v>1802</v>
      </c>
      <c r="R762" s="30"/>
      <c r="S762" s="30"/>
      <c r="T762" s="30"/>
      <c r="U762" s="30"/>
      <c r="V762" s="8">
        <f t="shared" si="645"/>
        <v>0</v>
      </c>
      <c r="W762" s="8">
        <f t="shared" si="646"/>
        <v>0</v>
      </c>
      <c r="X762" s="8">
        <f t="shared" si="647"/>
        <v>0</v>
      </c>
      <c r="Y762" s="33">
        <f t="shared" si="648"/>
        <v>0</v>
      </c>
      <c r="Z762" s="28"/>
      <c r="AA762" s="28"/>
      <c r="AB762" s="28" t="s">
        <v>1802</v>
      </c>
      <c r="AC762" s="31"/>
      <c r="AD762" s="50">
        <f t="shared" si="649"/>
        <v>4</v>
      </c>
      <c r="AE762" s="31"/>
      <c r="AF762" s="51">
        <v>14</v>
      </c>
      <c r="AG762" s="51">
        <f t="shared" si="677"/>
        <v>8.4</v>
      </c>
      <c r="AH762" s="51">
        <f t="shared" si="643"/>
        <v>42</v>
      </c>
      <c r="AI762" s="52" t="s">
        <v>2497</v>
      </c>
      <c r="AJ762" s="52" t="s">
        <v>2498</v>
      </c>
      <c r="AK762" s="53">
        <f t="shared" si="678"/>
        <v>0</v>
      </c>
      <c r="AL762" s="54">
        <f t="shared" si="679"/>
        <v>0.11904761904761904</v>
      </c>
      <c r="AM762" s="54">
        <f t="shared" si="680"/>
        <v>2.3809523809523808E-2</v>
      </c>
      <c r="AN762" s="55">
        <f t="shared" si="681"/>
        <v>0</v>
      </c>
      <c r="AO762" s="55">
        <f t="shared" si="682"/>
        <v>0</v>
      </c>
      <c r="AP762" s="53">
        <v>7.1</v>
      </c>
      <c r="AQ762" s="53">
        <f t="shared" si="650"/>
        <v>4.26</v>
      </c>
      <c r="AR762" s="53">
        <f t="shared" si="651"/>
        <v>21.299999999999997</v>
      </c>
      <c r="AS762" s="56">
        <f t="shared" si="652"/>
        <v>4.6948356807511742E-2</v>
      </c>
      <c r="AT762" s="56">
        <f t="shared" si="683"/>
        <v>0.23474178403755869</v>
      </c>
      <c r="AU762" s="56">
        <f t="shared" si="653"/>
        <v>0.176056338028169</v>
      </c>
      <c r="AV762" s="56">
        <f t="shared" si="684"/>
        <v>5.8685446009389672E-2</v>
      </c>
      <c r="AW762" s="57" t="s">
        <v>2511</v>
      </c>
      <c r="AX762" s="57" t="s">
        <v>2512</v>
      </c>
      <c r="AY762" s="57" t="s">
        <v>2513</v>
      </c>
      <c r="AZ762" s="58">
        <f t="shared" si="685"/>
        <v>0</v>
      </c>
      <c r="BA762" s="59">
        <f t="shared" si="689"/>
        <v>0</v>
      </c>
      <c r="BB762" s="59">
        <f t="shared" si="690"/>
        <v>0</v>
      </c>
      <c r="BC762" s="59">
        <f t="shared" si="691"/>
        <v>0</v>
      </c>
      <c r="BD762" s="60">
        <f t="shared" si="686"/>
        <v>0</v>
      </c>
      <c r="BE762" s="59">
        <f t="shared" si="687"/>
        <v>0</v>
      </c>
      <c r="BQ762" s="61">
        <v>3000</v>
      </c>
      <c r="BR762" s="61">
        <v>1200</v>
      </c>
      <c r="BS762" s="28">
        <f t="shared" si="654"/>
        <v>2980</v>
      </c>
      <c r="BT762" s="28">
        <f t="shared" si="655"/>
        <v>1180</v>
      </c>
      <c r="BU762" s="28" t="s">
        <v>2541</v>
      </c>
      <c r="BV762" s="28">
        <f t="shared" si="656"/>
        <v>5</v>
      </c>
      <c r="BW762" s="28">
        <f t="shared" si="657"/>
        <v>5</v>
      </c>
      <c r="BX762" s="13">
        <f t="shared" si="658"/>
        <v>596</v>
      </c>
      <c r="BY762" s="13">
        <f t="shared" si="659"/>
        <v>596</v>
      </c>
      <c r="BZ762" s="13">
        <f t="shared" si="660"/>
        <v>236</v>
      </c>
      <c r="CA762" s="13">
        <f t="shared" si="661"/>
        <v>236</v>
      </c>
      <c r="CB762" s="13">
        <f t="shared" si="662"/>
        <v>140656</v>
      </c>
      <c r="CC762" s="62" t="str">
        <f t="shared" si="663"/>
        <v/>
      </c>
      <c r="CD762" s="13">
        <f t="shared" si="664"/>
        <v>596</v>
      </c>
      <c r="CE762" s="13">
        <f t="shared" si="665"/>
        <v>596</v>
      </c>
      <c r="CF762" s="13">
        <f t="shared" si="666"/>
        <v>236</v>
      </c>
      <c r="CG762" s="13">
        <f t="shared" si="667"/>
        <v>236</v>
      </c>
      <c r="CH762" s="28">
        <f t="shared" si="668"/>
        <v>140656</v>
      </c>
      <c r="CI762" s="62" t="str">
        <f t="shared" si="669"/>
        <v/>
      </c>
      <c r="CJ762" s="59">
        <f t="shared" si="670"/>
        <v>0</v>
      </c>
      <c r="CL762" s="63">
        <v>6000</v>
      </c>
      <c r="CM762" s="63">
        <f t="shared" si="671"/>
        <v>0</v>
      </c>
      <c r="CN762" s="63">
        <f t="shared" si="672"/>
        <v>5</v>
      </c>
      <c r="CO762" s="63">
        <f t="shared" si="673"/>
        <v>1200</v>
      </c>
      <c r="CP762" s="13">
        <f t="shared" si="674"/>
        <v>1200</v>
      </c>
      <c r="CQ762" s="70">
        <f t="shared" si="675"/>
        <v>8.3333333333333339E-4</v>
      </c>
      <c r="CR762" s="69">
        <f t="shared" si="697"/>
        <v>3.3333333333333335E-3</v>
      </c>
    </row>
    <row r="763" spans="1:96" hidden="1" x14ac:dyDescent="0.25">
      <c r="A763" s="13">
        <v>4</v>
      </c>
      <c r="B763" s="14" t="s">
        <v>1785</v>
      </c>
      <c r="C763" s="13" t="s">
        <v>1788</v>
      </c>
      <c r="D763" s="13" t="s">
        <v>2270</v>
      </c>
      <c r="E763" s="13" t="s">
        <v>52</v>
      </c>
      <c r="F763" s="15">
        <f t="shared" si="644"/>
        <v>3</v>
      </c>
      <c r="G763" s="13">
        <v>1</v>
      </c>
      <c r="H763" s="13">
        <f>G763*$H$762</f>
        <v>4</v>
      </c>
      <c r="I763" s="13">
        <v>1</v>
      </c>
      <c r="J763" s="14" t="s">
        <v>152</v>
      </c>
      <c r="K763" s="14" t="s">
        <v>34</v>
      </c>
      <c r="L763" s="13">
        <v>0</v>
      </c>
      <c r="M763" s="14" t="s">
        <v>340</v>
      </c>
      <c r="N763" s="13" t="s">
        <v>1789</v>
      </c>
      <c r="O763" s="28"/>
      <c r="P763" s="28"/>
      <c r="Q763" s="28" t="s">
        <v>1802</v>
      </c>
      <c r="R763" s="30">
        <v>4.9109999999999996</v>
      </c>
      <c r="S763" s="30">
        <v>1.26</v>
      </c>
      <c r="T763" s="30"/>
      <c r="U763" s="30">
        <v>0.09</v>
      </c>
      <c r="V763" s="8">
        <f t="shared" si="645"/>
        <v>124.73939999999999</v>
      </c>
      <c r="W763" s="8">
        <f t="shared" si="646"/>
        <v>32.003999999999998</v>
      </c>
      <c r="X763" s="8">
        <f t="shared" si="647"/>
        <v>0</v>
      </c>
      <c r="Y763" s="33">
        <f t="shared" si="648"/>
        <v>2.2859999999999996</v>
      </c>
      <c r="Z763" s="28" t="s">
        <v>56</v>
      </c>
      <c r="AA763" s="28" t="s">
        <v>57</v>
      </c>
      <c r="AB763" s="28" t="s">
        <v>1802</v>
      </c>
      <c r="AC763" s="31" t="s">
        <v>125</v>
      </c>
      <c r="AD763" s="50">
        <f t="shared" si="649"/>
        <v>4</v>
      </c>
      <c r="AE763" s="31"/>
      <c r="AF763" s="51">
        <v>14</v>
      </c>
      <c r="AG763" s="51">
        <f t="shared" si="677"/>
        <v>8.4</v>
      </c>
      <c r="AH763" s="51">
        <f t="shared" si="643"/>
        <v>42</v>
      </c>
      <c r="AI763" s="52" t="s">
        <v>2497</v>
      </c>
      <c r="AJ763" s="52" t="s">
        <v>2498</v>
      </c>
      <c r="AK763" s="53">
        <f t="shared" si="678"/>
        <v>7.9843195151999991E-3</v>
      </c>
      <c r="AL763" s="54">
        <f t="shared" si="679"/>
        <v>0.11904761904761904</v>
      </c>
      <c r="AM763" s="54">
        <f t="shared" si="680"/>
        <v>2.3809523809523808E-2</v>
      </c>
      <c r="AN763" s="55">
        <f t="shared" si="681"/>
        <v>3.8020569119999992E-3</v>
      </c>
      <c r="AO763" s="55">
        <f t="shared" si="682"/>
        <v>7.6041138239999991E-4</v>
      </c>
      <c r="AP763" s="53">
        <v>7.1</v>
      </c>
      <c r="AQ763" s="53">
        <f t="shared" si="650"/>
        <v>4.26</v>
      </c>
      <c r="AR763" s="53">
        <f t="shared" si="651"/>
        <v>21.299999999999997</v>
      </c>
      <c r="AS763" s="56">
        <f t="shared" si="652"/>
        <v>4.6948356807511742E-2</v>
      </c>
      <c r="AT763" s="56">
        <f t="shared" si="683"/>
        <v>0.23474178403755869</v>
      </c>
      <c r="AU763" s="56">
        <f t="shared" si="653"/>
        <v>0.176056338028169</v>
      </c>
      <c r="AV763" s="56">
        <f t="shared" si="684"/>
        <v>5.8685446009389672E-2</v>
      </c>
      <c r="AW763" s="57" t="s">
        <v>2511</v>
      </c>
      <c r="AX763" s="57" t="s">
        <v>2512</v>
      </c>
      <c r="AY763" s="57" t="s">
        <v>2513</v>
      </c>
      <c r="AZ763" s="58">
        <f t="shared" si="685"/>
        <v>7.9843195151999991E-3</v>
      </c>
      <c r="BA763" s="59">
        <f t="shared" si="689"/>
        <v>9.3712670366197172E-4</v>
      </c>
      <c r="BB763" s="59">
        <f t="shared" si="690"/>
        <v>2.8113801109859149E-3</v>
      </c>
      <c r="BC763" s="59">
        <f t="shared" si="691"/>
        <v>7.4970136292957742E-4</v>
      </c>
      <c r="BD763" s="60">
        <f t="shared" si="686"/>
        <v>1.3888888888888889E-3</v>
      </c>
      <c r="BE763" s="59">
        <f t="shared" si="687"/>
        <v>5.5555555555555558E-3</v>
      </c>
      <c r="BQ763" s="61">
        <v>3000</v>
      </c>
      <c r="BR763" s="61">
        <v>1200</v>
      </c>
      <c r="BS763" s="28">
        <f t="shared" si="654"/>
        <v>2980</v>
      </c>
      <c r="BT763" s="28">
        <f t="shared" si="655"/>
        <v>1180</v>
      </c>
      <c r="BU763" s="28" t="s">
        <v>2541</v>
      </c>
      <c r="BV763" s="28">
        <f t="shared" si="656"/>
        <v>129.73939999999999</v>
      </c>
      <c r="BW763" s="28">
        <f t="shared" si="657"/>
        <v>37.003999999999998</v>
      </c>
      <c r="BX763" s="13">
        <f t="shared" si="658"/>
        <v>22.96912117675895</v>
      </c>
      <c r="BY763" s="13">
        <f t="shared" si="659"/>
        <v>22</v>
      </c>
      <c r="BZ763" s="13">
        <f t="shared" si="660"/>
        <v>31.888444492487302</v>
      </c>
      <c r="CA763" s="13">
        <f t="shared" si="661"/>
        <v>31</v>
      </c>
      <c r="CB763" s="13">
        <f t="shared" si="662"/>
        <v>682</v>
      </c>
      <c r="CC763" s="62">
        <f t="shared" si="663"/>
        <v>1.4662756598240469E-3</v>
      </c>
      <c r="CD763" s="13">
        <f t="shared" si="664"/>
        <v>80.531834396281482</v>
      </c>
      <c r="CE763" s="13">
        <f t="shared" si="665"/>
        <v>80</v>
      </c>
      <c r="CF763" s="13">
        <f t="shared" si="666"/>
        <v>9.0951553652938131</v>
      </c>
      <c r="CG763" s="13">
        <f t="shared" si="667"/>
        <v>9</v>
      </c>
      <c r="CH763" s="28">
        <f t="shared" si="668"/>
        <v>720</v>
      </c>
      <c r="CI763" s="62">
        <f t="shared" si="669"/>
        <v>1.3888888888888889E-3</v>
      </c>
      <c r="CJ763" s="59">
        <f t="shared" si="670"/>
        <v>1.3888888888888889E-3</v>
      </c>
      <c r="CL763" s="63">
        <v>6000</v>
      </c>
      <c r="CM763" s="63">
        <f t="shared" si="671"/>
        <v>124.73939999999999</v>
      </c>
      <c r="CN763" s="63">
        <f t="shared" si="672"/>
        <v>129.73939999999999</v>
      </c>
      <c r="CO763" s="63">
        <f t="shared" si="673"/>
        <v>46.246552704883797</v>
      </c>
      <c r="CP763" s="13">
        <f t="shared" si="674"/>
        <v>46</v>
      </c>
      <c r="CQ763" s="70">
        <f t="shared" si="675"/>
        <v>2.1739130434782608E-2</v>
      </c>
      <c r="CR763" s="69">
        <f t="shared" si="697"/>
        <v>8.6956521739130432E-2</v>
      </c>
    </row>
    <row r="764" spans="1:96" hidden="1" x14ac:dyDescent="0.25">
      <c r="A764" s="13">
        <v>4</v>
      </c>
      <c r="B764" s="14" t="s">
        <v>1785</v>
      </c>
      <c r="C764" s="13" t="s">
        <v>59</v>
      </c>
      <c r="D764" s="13" t="s">
        <v>61</v>
      </c>
      <c r="E764" s="13" t="s">
        <v>52</v>
      </c>
      <c r="F764" s="15">
        <f t="shared" si="644"/>
        <v>19</v>
      </c>
      <c r="G764" s="13">
        <v>1</v>
      </c>
      <c r="H764" s="13">
        <f>G764*$H$762</f>
        <v>4</v>
      </c>
      <c r="I764" s="13">
        <v>2</v>
      </c>
      <c r="J764" s="14" t="s">
        <v>60</v>
      </c>
      <c r="K764" s="14" t="s">
        <v>34</v>
      </c>
      <c r="L764" s="13">
        <v>0</v>
      </c>
      <c r="M764" s="14" t="s">
        <v>340</v>
      </c>
      <c r="N764" s="13" t="s">
        <v>1802</v>
      </c>
      <c r="O764" s="28"/>
      <c r="P764" s="28"/>
      <c r="Q764" s="28" t="s">
        <v>1802</v>
      </c>
      <c r="R764" s="30"/>
      <c r="S764" s="30"/>
      <c r="T764" s="30"/>
      <c r="U764" s="30"/>
      <c r="V764" s="8">
        <f t="shared" si="645"/>
        <v>0</v>
      </c>
      <c r="W764" s="8">
        <f t="shared" si="646"/>
        <v>0</v>
      </c>
      <c r="X764" s="8">
        <f t="shared" si="647"/>
        <v>0</v>
      </c>
      <c r="Y764" s="33">
        <f t="shared" si="648"/>
        <v>0</v>
      </c>
      <c r="Z764" s="28"/>
      <c r="AA764" s="28"/>
      <c r="AB764" s="28" t="s">
        <v>1802</v>
      </c>
      <c r="AC764" s="31" t="s">
        <v>62</v>
      </c>
      <c r="AD764" s="50">
        <f t="shared" si="649"/>
        <v>4</v>
      </c>
      <c r="AE764" s="31"/>
      <c r="AF764" s="51">
        <v>14</v>
      </c>
      <c r="AG764" s="51">
        <f t="shared" si="677"/>
        <v>8.4</v>
      </c>
      <c r="AH764" s="51">
        <f t="shared" si="643"/>
        <v>42</v>
      </c>
      <c r="AI764" s="52" t="s">
        <v>2497</v>
      </c>
      <c r="AJ764" s="52" t="s">
        <v>2498</v>
      </c>
      <c r="AK764" s="53">
        <f t="shared" si="678"/>
        <v>0</v>
      </c>
      <c r="AL764" s="54">
        <f t="shared" si="679"/>
        <v>0.11904761904761904</v>
      </c>
      <c r="AM764" s="54">
        <f t="shared" si="680"/>
        <v>2.3809523809523808E-2</v>
      </c>
      <c r="AN764" s="55">
        <f t="shared" si="681"/>
        <v>0</v>
      </c>
      <c r="AO764" s="55">
        <f t="shared" si="682"/>
        <v>0</v>
      </c>
      <c r="AP764" s="53">
        <v>7.1</v>
      </c>
      <c r="AQ764" s="53">
        <f t="shared" si="650"/>
        <v>4.26</v>
      </c>
      <c r="AR764" s="53">
        <f t="shared" si="651"/>
        <v>21.299999999999997</v>
      </c>
      <c r="AS764" s="56">
        <f t="shared" si="652"/>
        <v>4.6948356807511742E-2</v>
      </c>
      <c r="AT764" s="56">
        <f t="shared" si="683"/>
        <v>0.23474178403755869</v>
      </c>
      <c r="AU764" s="56">
        <f t="shared" si="653"/>
        <v>0.176056338028169</v>
      </c>
      <c r="AV764" s="56">
        <f t="shared" si="684"/>
        <v>5.8685446009389672E-2</v>
      </c>
      <c r="AW764" s="57" t="s">
        <v>2511</v>
      </c>
      <c r="AX764" s="57" t="s">
        <v>2512</v>
      </c>
      <c r="AY764" s="57" t="s">
        <v>2513</v>
      </c>
      <c r="AZ764" s="58">
        <f t="shared" si="685"/>
        <v>0</v>
      </c>
      <c r="BA764" s="59">
        <f t="shared" si="689"/>
        <v>0</v>
      </c>
      <c r="BB764" s="59">
        <f t="shared" si="690"/>
        <v>0</v>
      </c>
      <c r="BC764" s="59">
        <f t="shared" si="691"/>
        <v>0</v>
      </c>
      <c r="BD764" s="60">
        <f t="shared" si="686"/>
        <v>7.1095438516664771E-6</v>
      </c>
      <c r="BE764" s="59">
        <f t="shared" si="687"/>
        <v>2.8438175406665908E-5</v>
      </c>
      <c r="BQ764" s="61">
        <v>3000</v>
      </c>
      <c r="BR764" s="61">
        <v>1200</v>
      </c>
      <c r="BS764" s="28">
        <f t="shared" si="654"/>
        <v>2980</v>
      </c>
      <c r="BT764" s="28">
        <f t="shared" si="655"/>
        <v>1180</v>
      </c>
      <c r="BU764" s="28" t="s">
        <v>2541</v>
      </c>
      <c r="BV764" s="28">
        <f t="shared" si="656"/>
        <v>5</v>
      </c>
      <c r="BW764" s="28">
        <f t="shared" si="657"/>
        <v>5</v>
      </c>
      <c r="BX764" s="13">
        <f t="shared" si="658"/>
        <v>596</v>
      </c>
      <c r="BY764" s="13">
        <f t="shared" si="659"/>
        <v>596</v>
      </c>
      <c r="BZ764" s="13">
        <f t="shared" si="660"/>
        <v>236</v>
      </c>
      <c r="CA764" s="13">
        <f t="shared" si="661"/>
        <v>236</v>
      </c>
      <c r="CB764" s="13">
        <f t="shared" si="662"/>
        <v>140656</v>
      </c>
      <c r="CC764" s="62">
        <f t="shared" si="663"/>
        <v>7.1095438516664771E-6</v>
      </c>
      <c r="CD764" s="13">
        <f t="shared" si="664"/>
        <v>596</v>
      </c>
      <c r="CE764" s="13">
        <f t="shared" si="665"/>
        <v>596</v>
      </c>
      <c r="CF764" s="13">
        <f t="shared" si="666"/>
        <v>236</v>
      </c>
      <c r="CG764" s="13">
        <f t="shared" si="667"/>
        <v>236</v>
      </c>
      <c r="CH764" s="28">
        <f t="shared" si="668"/>
        <v>140656</v>
      </c>
      <c r="CI764" s="62">
        <f t="shared" si="669"/>
        <v>7.1095438516664771E-6</v>
      </c>
      <c r="CJ764" s="59">
        <f t="shared" si="670"/>
        <v>7.1095438516664771E-6</v>
      </c>
      <c r="CL764" s="63">
        <v>6000</v>
      </c>
      <c r="CM764" s="63">
        <f t="shared" si="671"/>
        <v>0</v>
      </c>
      <c r="CN764" s="63">
        <f t="shared" si="672"/>
        <v>5</v>
      </c>
      <c r="CO764" s="63">
        <f t="shared" si="673"/>
        <v>1200</v>
      </c>
      <c r="CP764" s="13">
        <f t="shared" si="674"/>
        <v>1200</v>
      </c>
      <c r="CQ764" s="70">
        <f t="shared" si="675"/>
        <v>8.3333333333333339E-4</v>
      </c>
      <c r="CR764" s="69">
        <f t="shared" si="697"/>
        <v>3.3333333333333335E-3</v>
      </c>
    </row>
    <row r="765" spans="1:96" hidden="1" x14ac:dyDescent="0.25">
      <c r="A765" s="10">
        <v>3</v>
      </c>
      <c r="B765" s="8" t="s">
        <v>1799</v>
      </c>
      <c r="C765" s="10" t="s">
        <v>1790</v>
      </c>
      <c r="D765" s="10" t="s">
        <v>2016</v>
      </c>
      <c r="E765" s="10" t="s">
        <v>52</v>
      </c>
      <c r="F765" s="12">
        <f t="shared" si="644"/>
        <v>5</v>
      </c>
      <c r="G765" s="10">
        <v>4</v>
      </c>
      <c r="H765" s="10">
        <f t="shared" ref="H765:H766" si="704">G765*$H$756</f>
        <v>8</v>
      </c>
      <c r="I765" s="10">
        <v>5</v>
      </c>
      <c r="J765" s="8" t="s">
        <v>1791</v>
      </c>
      <c r="K765" s="8" t="s">
        <v>34</v>
      </c>
      <c r="L765" s="10" t="s">
        <v>259</v>
      </c>
      <c r="M765" s="8" t="s">
        <v>340</v>
      </c>
      <c r="N765" s="10" t="s">
        <v>1802</v>
      </c>
      <c r="O765" s="28"/>
      <c r="P765" s="28"/>
      <c r="Q765" s="28" t="s">
        <v>1802</v>
      </c>
      <c r="R765" s="30"/>
      <c r="S765" s="30"/>
      <c r="T765" s="30"/>
      <c r="U765" s="30"/>
      <c r="V765" s="8">
        <f t="shared" si="645"/>
        <v>0</v>
      </c>
      <c r="W765" s="8">
        <f t="shared" si="646"/>
        <v>0</v>
      </c>
      <c r="X765" s="8">
        <f t="shared" si="647"/>
        <v>0</v>
      </c>
      <c r="Y765" s="33">
        <f t="shared" si="648"/>
        <v>0</v>
      </c>
      <c r="Z765" s="28"/>
      <c r="AA765" s="28"/>
      <c r="AB765" s="28" t="s">
        <v>1802</v>
      </c>
      <c r="AC765" s="31" t="s">
        <v>1792</v>
      </c>
      <c r="AD765" s="50">
        <f t="shared" si="649"/>
        <v>8</v>
      </c>
      <c r="AE765" s="31"/>
      <c r="AF765" s="51">
        <v>14</v>
      </c>
      <c r="AG765" s="51">
        <f t="shared" si="677"/>
        <v>8.4</v>
      </c>
      <c r="AH765" s="51">
        <f t="shared" si="643"/>
        <v>42</v>
      </c>
      <c r="AI765" s="52" t="s">
        <v>2497</v>
      </c>
      <c r="AJ765" s="52" t="s">
        <v>2498</v>
      </c>
      <c r="AK765" s="53">
        <f t="shared" si="678"/>
        <v>0</v>
      </c>
      <c r="AL765" s="54">
        <f t="shared" si="679"/>
        <v>0.11904761904761904</v>
      </c>
      <c r="AM765" s="54">
        <f t="shared" si="680"/>
        <v>2.3809523809523808E-2</v>
      </c>
      <c r="AN765" s="55">
        <f t="shared" si="681"/>
        <v>0</v>
      </c>
      <c r="AO765" s="55">
        <f t="shared" si="682"/>
        <v>0</v>
      </c>
      <c r="AP765" s="53">
        <v>7.1</v>
      </c>
      <c r="AQ765" s="53">
        <f t="shared" si="650"/>
        <v>4.26</v>
      </c>
      <c r="AR765" s="53">
        <f t="shared" si="651"/>
        <v>21.299999999999997</v>
      </c>
      <c r="AS765" s="56">
        <f t="shared" si="652"/>
        <v>4.6948356807511742E-2</v>
      </c>
      <c r="AT765" s="56">
        <f t="shared" si="683"/>
        <v>0.23474178403755869</v>
      </c>
      <c r="AU765" s="56">
        <f t="shared" si="653"/>
        <v>0.176056338028169</v>
      </c>
      <c r="AV765" s="56">
        <f t="shared" si="684"/>
        <v>5.8685446009389672E-2</v>
      </c>
      <c r="AW765" s="57" t="s">
        <v>2511</v>
      </c>
      <c r="AX765" s="57" t="s">
        <v>2512</v>
      </c>
      <c r="AY765" s="57" t="s">
        <v>2513</v>
      </c>
      <c r="AZ765" s="58">
        <f t="shared" si="685"/>
        <v>0</v>
      </c>
      <c r="BA765" s="59">
        <f t="shared" si="689"/>
        <v>0</v>
      </c>
      <c r="BB765" s="59">
        <f t="shared" si="690"/>
        <v>0</v>
      </c>
      <c r="BC765" s="59">
        <f t="shared" si="691"/>
        <v>0</v>
      </c>
      <c r="BD765" s="60">
        <f t="shared" si="686"/>
        <v>7.1095438516664771E-6</v>
      </c>
      <c r="BE765" s="59">
        <f t="shared" si="687"/>
        <v>5.6876350813331817E-5</v>
      </c>
      <c r="BQ765" s="61">
        <v>3000</v>
      </c>
      <c r="BR765" s="61">
        <v>1200</v>
      </c>
      <c r="BS765" s="28">
        <f t="shared" si="654"/>
        <v>2980</v>
      </c>
      <c r="BT765" s="28">
        <f t="shared" si="655"/>
        <v>1180</v>
      </c>
      <c r="BU765" s="28" t="s">
        <v>2541</v>
      </c>
      <c r="BV765" s="28">
        <f t="shared" si="656"/>
        <v>5</v>
      </c>
      <c r="BW765" s="28">
        <f t="shared" si="657"/>
        <v>5</v>
      </c>
      <c r="BX765" s="13">
        <f t="shared" si="658"/>
        <v>596</v>
      </c>
      <c r="BY765" s="13">
        <f t="shared" si="659"/>
        <v>596</v>
      </c>
      <c r="BZ765" s="13">
        <f t="shared" si="660"/>
        <v>236</v>
      </c>
      <c r="CA765" s="13">
        <f t="shared" si="661"/>
        <v>236</v>
      </c>
      <c r="CB765" s="13">
        <f t="shared" si="662"/>
        <v>140656</v>
      </c>
      <c r="CC765" s="62">
        <f t="shared" si="663"/>
        <v>7.1095438516664771E-6</v>
      </c>
      <c r="CD765" s="13">
        <f t="shared" si="664"/>
        <v>596</v>
      </c>
      <c r="CE765" s="13">
        <f t="shared" si="665"/>
        <v>596</v>
      </c>
      <c r="CF765" s="13">
        <f t="shared" si="666"/>
        <v>236</v>
      </c>
      <c r="CG765" s="13">
        <f t="shared" si="667"/>
        <v>236</v>
      </c>
      <c r="CH765" s="28">
        <f t="shared" si="668"/>
        <v>140656</v>
      </c>
      <c r="CI765" s="62">
        <f t="shared" si="669"/>
        <v>7.1095438516664771E-6</v>
      </c>
      <c r="CJ765" s="59">
        <f t="shared" si="670"/>
        <v>7.1095438516664771E-6</v>
      </c>
      <c r="CL765" s="63">
        <v>6000</v>
      </c>
      <c r="CM765" s="63">
        <f t="shared" si="671"/>
        <v>0</v>
      </c>
      <c r="CN765" s="63">
        <f t="shared" si="672"/>
        <v>5</v>
      </c>
      <c r="CO765" s="63">
        <f t="shared" si="673"/>
        <v>1200</v>
      </c>
      <c r="CP765" s="13">
        <f t="shared" si="674"/>
        <v>1200</v>
      </c>
      <c r="CQ765" s="70">
        <f t="shared" si="675"/>
        <v>8.3333333333333339E-4</v>
      </c>
      <c r="CR765" s="69">
        <f t="shared" si="697"/>
        <v>6.6666666666666671E-3</v>
      </c>
    </row>
    <row r="766" spans="1:96" hidden="1" x14ac:dyDescent="0.25">
      <c r="A766" s="10">
        <v>3</v>
      </c>
      <c r="B766" s="8" t="s">
        <v>1799</v>
      </c>
      <c r="C766" s="10" t="s">
        <v>1793</v>
      </c>
      <c r="D766" s="10" t="s">
        <v>2483</v>
      </c>
      <c r="E766" s="10" t="s">
        <v>52</v>
      </c>
      <c r="F766" s="12">
        <f t="shared" si="644"/>
        <v>3</v>
      </c>
      <c r="G766" s="10">
        <v>16</v>
      </c>
      <c r="H766" s="10">
        <f t="shared" si="704"/>
        <v>32</v>
      </c>
      <c r="I766" s="10">
        <v>6</v>
      </c>
      <c r="J766" s="8" t="s">
        <v>1794</v>
      </c>
      <c r="K766" s="8" t="s">
        <v>34</v>
      </c>
      <c r="L766" s="10" t="s">
        <v>89</v>
      </c>
      <c r="M766" s="8" t="s">
        <v>340</v>
      </c>
      <c r="N766" s="10" t="s">
        <v>1802</v>
      </c>
      <c r="O766" s="28"/>
      <c r="P766" s="28"/>
      <c r="Q766" s="28" t="s">
        <v>1802</v>
      </c>
      <c r="R766" s="30"/>
      <c r="S766" s="30"/>
      <c r="T766" s="30"/>
      <c r="U766" s="30"/>
      <c r="V766" s="8">
        <f t="shared" si="645"/>
        <v>0</v>
      </c>
      <c r="W766" s="8">
        <f t="shared" si="646"/>
        <v>0</v>
      </c>
      <c r="X766" s="8">
        <f t="shared" si="647"/>
        <v>0</v>
      </c>
      <c r="Y766" s="33">
        <f t="shared" si="648"/>
        <v>0</v>
      </c>
      <c r="Z766" s="28"/>
      <c r="AA766" s="28"/>
      <c r="AB766" s="28" t="s">
        <v>1802</v>
      </c>
      <c r="AC766" s="31" t="s">
        <v>1795</v>
      </c>
      <c r="AD766" s="50">
        <f t="shared" si="649"/>
        <v>32</v>
      </c>
      <c r="AE766" s="31"/>
      <c r="AF766" s="51">
        <v>14</v>
      </c>
      <c r="AG766" s="51">
        <f t="shared" si="677"/>
        <v>8.4</v>
      </c>
      <c r="AH766" s="51">
        <f t="shared" si="643"/>
        <v>42</v>
      </c>
      <c r="AI766" s="52" t="s">
        <v>2497</v>
      </c>
      <c r="AJ766" s="52" t="s">
        <v>2498</v>
      </c>
      <c r="AK766" s="53">
        <f t="shared" si="678"/>
        <v>0</v>
      </c>
      <c r="AL766" s="54">
        <f t="shared" si="679"/>
        <v>0.11904761904761904</v>
      </c>
      <c r="AM766" s="54">
        <f t="shared" si="680"/>
        <v>2.3809523809523808E-2</v>
      </c>
      <c r="AN766" s="55">
        <f t="shared" si="681"/>
        <v>0</v>
      </c>
      <c r="AO766" s="55">
        <f t="shared" si="682"/>
        <v>0</v>
      </c>
      <c r="AP766" s="53">
        <v>7.1</v>
      </c>
      <c r="AQ766" s="53">
        <f t="shared" si="650"/>
        <v>4.26</v>
      </c>
      <c r="AR766" s="53">
        <f t="shared" si="651"/>
        <v>21.299999999999997</v>
      </c>
      <c r="AS766" s="56">
        <f t="shared" si="652"/>
        <v>4.6948356807511742E-2</v>
      </c>
      <c r="AT766" s="56">
        <f t="shared" si="683"/>
        <v>0.23474178403755869</v>
      </c>
      <c r="AU766" s="56">
        <f t="shared" si="653"/>
        <v>0.176056338028169</v>
      </c>
      <c r="AV766" s="56">
        <f t="shared" si="684"/>
        <v>5.8685446009389672E-2</v>
      </c>
      <c r="AW766" s="57" t="s">
        <v>2511</v>
      </c>
      <c r="AX766" s="57" t="s">
        <v>2512</v>
      </c>
      <c r="AY766" s="57" t="s">
        <v>2513</v>
      </c>
      <c r="AZ766" s="58">
        <f t="shared" si="685"/>
        <v>0</v>
      </c>
      <c r="BA766" s="59">
        <f t="shared" si="689"/>
        <v>0</v>
      </c>
      <c r="BB766" s="59">
        <f t="shared" si="690"/>
        <v>0</v>
      </c>
      <c r="BC766" s="59">
        <f t="shared" si="691"/>
        <v>0</v>
      </c>
      <c r="BD766" s="60">
        <f t="shared" si="686"/>
        <v>7.1095438516664771E-6</v>
      </c>
      <c r="BE766" s="59">
        <f t="shared" si="687"/>
        <v>2.2750540325332727E-4</v>
      </c>
      <c r="BQ766" s="61">
        <v>3000</v>
      </c>
      <c r="BR766" s="61">
        <v>1200</v>
      </c>
      <c r="BS766" s="28">
        <f t="shared" si="654"/>
        <v>2980</v>
      </c>
      <c r="BT766" s="28">
        <f t="shared" si="655"/>
        <v>1180</v>
      </c>
      <c r="BU766" s="28" t="s">
        <v>2541</v>
      </c>
      <c r="BV766" s="28">
        <f t="shared" si="656"/>
        <v>5</v>
      </c>
      <c r="BW766" s="28">
        <f t="shared" si="657"/>
        <v>5</v>
      </c>
      <c r="BX766" s="13">
        <f t="shared" si="658"/>
        <v>596</v>
      </c>
      <c r="BY766" s="13">
        <f t="shared" si="659"/>
        <v>596</v>
      </c>
      <c r="BZ766" s="13">
        <f t="shared" si="660"/>
        <v>236</v>
      </c>
      <c r="CA766" s="13">
        <f t="shared" si="661"/>
        <v>236</v>
      </c>
      <c r="CB766" s="13">
        <f t="shared" si="662"/>
        <v>140656</v>
      </c>
      <c r="CC766" s="62">
        <f t="shared" si="663"/>
        <v>7.1095438516664771E-6</v>
      </c>
      <c r="CD766" s="13">
        <f t="shared" si="664"/>
        <v>596</v>
      </c>
      <c r="CE766" s="13">
        <f t="shared" si="665"/>
        <v>596</v>
      </c>
      <c r="CF766" s="13">
        <f t="shared" si="666"/>
        <v>236</v>
      </c>
      <c r="CG766" s="13">
        <f t="shared" si="667"/>
        <v>236</v>
      </c>
      <c r="CH766" s="28">
        <f t="shared" si="668"/>
        <v>140656</v>
      </c>
      <c r="CI766" s="62">
        <f t="shared" si="669"/>
        <v>7.1095438516664771E-6</v>
      </c>
      <c r="CJ766" s="59">
        <f t="shared" si="670"/>
        <v>7.1095438516664771E-6</v>
      </c>
      <c r="CL766" s="63">
        <v>6000</v>
      </c>
      <c r="CM766" s="63">
        <f t="shared" si="671"/>
        <v>0</v>
      </c>
      <c r="CN766" s="63">
        <f t="shared" si="672"/>
        <v>5</v>
      </c>
      <c r="CO766" s="63">
        <f t="shared" si="673"/>
        <v>1200</v>
      </c>
      <c r="CP766" s="13">
        <f t="shared" si="674"/>
        <v>1200</v>
      </c>
      <c r="CQ766" s="70">
        <f t="shared" si="675"/>
        <v>8.3333333333333339E-4</v>
      </c>
      <c r="CR766" s="69">
        <f t="shared" si="697"/>
        <v>2.6666666666666668E-2</v>
      </c>
    </row>
    <row r="767" spans="1:96" hidden="1" x14ac:dyDescent="0.25">
      <c r="A767" s="36">
        <v>2</v>
      </c>
      <c r="B767" s="37" t="s">
        <v>37</v>
      </c>
      <c r="C767" s="36" t="s">
        <v>1812</v>
      </c>
      <c r="D767" s="36" t="s">
        <v>2270</v>
      </c>
      <c r="E767" s="36" t="s">
        <v>32</v>
      </c>
      <c r="F767" s="38">
        <f t="shared" si="644"/>
        <v>1</v>
      </c>
      <c r="G767" s="36">
        <v>1</v>
      </c>
      <c r="H767" s="36">
        <f t="shared" ref="H767" si="705">G767*$H$3</f>
        <v>1</v>
      </c>
      <c r="I767" s="36">
        <v>267</v>
      </c>
      <c r="J767" s="37" t="s">
        <v>1756</v>
      </c>
      <c r="K767" s="37" t="s">
        <v>34</v>
      </c>
      <c r="L767" s="36">
        <v>0</v>
      </c>
      <c r="M767" s="37" t="s">
        <v>340</v>
      </c>
      <c r="N767" s="36" t="s">
        <v>1813</v>
      </c>
      <c r="O767" s="28"/>
      <c r="P767" s="28"/>
      <c r="Q767" s="28" t="s">
        <v>1813</v>
      </c>
      <c r="R767" s="30"/>
      <c r="S767" s="30"/>
      <c r="T767" s="30"/>
      <c r="U767" s="30"/>
      <c r="V767" s="8">
        <f t="shared" si="645"/>
        <v>0</v>
      </c>
      <c r="W767" s="8">
        <f t="shared" si="646"/>
        <v>0</v>
      </c>
      <c r="X767" s="8">
        <f t="shared" si="647"/>
        <v>0</v>
      </c>
      <c r="Y767" s="33">
        <f t="shared" si="648"/>
        <v>0</v>
      </c>
      <c r="Z767" s="28"/>
      <c r="AA767" s="28"/>
      <c r="AB767" s="61" t="s">
        <v>1813</v>
      </c>
      <c r="AC767" s="31" t="s">
        <v>1814</v>
      </c>
      <c r="AD767" s="50">
        <f t="shared" si="649"/>
        <v>1</v>
      </c>
      <c r="AE767" s="31"/>
      <c r="AF767" s="51">
        <v>14</v>
      </c>
      <c r="AG767" s="51">
        <f t="shared" si="677"/>
        <v>8.4</v>
      </c>
      <c r="AH767" s="51">
        <f t="shared" si="643"/>
        <v>42</v>
      </c>
      <c r="AI767" s="52" t="s">
        <v>2497</v>
      </c>
      <c r="AJ767" s="52" t="s">
        <v>2498</v>
      </c>
      <c r="AK767" s="53">
        <f t="shared" si="678"/>
        <v>0</v>
      </c>
      <c r="AL767" s="54">
        <f t="shared" si="679"/>
        <v>0.11904761904761904</v>
      </c>
      <c r="AM767" s="54">
        <f t="shared" si="680"/>
        <v>2.3809523809523808E-2</v>
      </c>
      <c r="AN767" s="55">
        <f t="shared" si="681"/>
        <v>0</v>
      </c>
      <c r="AO767" s="55">
        <f t="shared" si="682"/>
        <v>0</v>
      </c>
      <c r="AP767" s="53">
        <v>7.1</v>
      </c>
      <c r="AQ767" s="53">
        <f t="shared" si="650"/>
        <v>4.26</v>
      </c>
      <c r="AR767" s="53">
        <f t="shared" si="651"/>
        <v>21.299999999999997</v>
      </c>
      <c r="AS767" s="56">
        <f t="shared" si="652"/>
        <v>4.6948356807511742E-2</v>
      </c>
      <c r="AT767" s="56">
        <f t="shared" si="683"/>
        <v>0.23474178403755869</v>
      </c>
      <c r="AU767" s="56">
        <f t="shared" si="653"/>
        <v>0.176056338028169</v>
      </c>
      <c r="AV767" s="56">
        <f t="shared" si="684"/>
        <v>5.8685446009389672E-2</v>
      </c>
      <c r="AW767" s="57" t="s">
        <v>2511</v>
      </c>
      <c r="AX767" s="57" t="s">
        <v>2512</v>
      </c>
      <c r="AY767" s="57" t="s">
        <v>2513</v>
      </c>
      <c r="AZ767" s="58">
        <f t="shared" si="685"/>
        <v>0</v>
      </c>
      <c r="BA767" s="59">
        <f t="shared" si="689"/>
        <v>0</v>
      </c>
      <c r="BB767" s="59">
        <f t="shared" si="690"/>
        <v>0</v>
      </c>
      <c r="BC767" s="59">
        <f t="shared" si="691"/>
        <v>0</v>
      </c>
      <c r="BD767" s="60">
        <f t="shared" si="686"/>
        <v>0</v>
      </c>
      <c r="BE767" s="59">
        <f t="shared" si="687"/>
        <v>0</v>
      </c>
      <c r="BQ767" s="61">
        <v>3000</v>
      </c>
      <c r="BR767" s="61">
        <v>1200</v>
      </c>
      <c r="BS767" s="28">
        <f t="shared" si="654"/>
        <v>2980</v>
      </c>
      <c r="BT767" s="28">
        <f t="shared" si="655"/>
        <v>1180</v>
      </c>
      <c r="BU767" s="28" t="s">
        <v>2541</v>
      </c>
      <c r="BV767" s="28">
        <f t="shared" si="656"/>
        <v>5</v>
      </c>
      <c r="BW767" s="28">
        <f t="shared" si="657"/>
        <v>5</v>
      </c>
      <c r="BX767" s="13">
        <f t="shared" si="658"/>
        <v>596</v>
      </c>
      <c r="BY767" s="13">
        <f t="shared" si="659"/>
        <v>596</v>
      </c>
      <c r="BZ767" s="13">
        <f t="shared" si="660"/>
        <v>236</v>
      </c>
      <c r="CA767" s="13">
        <f t="shared" si="661"/>
        <v>236</v>
      </c>
      <c r="CB767" s="13">
        <f t="shared" si="662"/>
        <v>140656</v>
      </c>
      <c r="CC767" s="62" t="str">
        <f t="shared" si="663"/>
        <v/>
      </c>
      <c r="CD767" s="13">
        <f t="shared" si="664"/>
        <v>596</v>
      </c>
      <c r="CE767" s="13">
        <f t="shared" si="665"/>
        <v>596</v>
      </c>
      <c r="CF767" s="13">
        <f t="shared" si="666"/>
        <v>236</v>
      </c>
      <c r="CG767" s="13">
        <f t="shared" si="667"/>
        <v>236</v>
      </c>
      <c r="CH767" s="28">
        <f t="shared" si="668"/>
        <v>140656</v>
      </c>
      <c r="CI767" s="62" t="str">
        <f t="shared" si="669"/>
        <v/>
      </c>
      <c r="CJ767" s="59">
        <f t="shared" si="670"/>
        <v>0</v>
      </c>
      <c r="CL767" s="63">
        <v>6000</v>
      </c>
      <c r="CM767" s="63">
        <f t="shared" si="671"/>
        <v>0</v>
      </c>
      <c r="CN767" s="63">
        <f t="shared" si="672"/>
        <v>5</v>
      </c>
      <c r="CO767" s="63">
        <f t="shared" si="673"/>
        <v>1200</v>
      </c>
      <c r="CP767" s="13">
        <f t="shared" si="674"/>
        <v>1200</v>
      </c>
      <c r="CQ767" s="70">
        <f t="shared" si="675"/>
        <v>8.3333333333333339E-4</v>
      </c>
      <c r="CR767" s="69">
        <f t="shared" si="697"/>
        <v>8.3333333333333339E-4</v>
      </c>
    </row>
    <row r="768" spans="1:96" hidden="1" x14ac:dyDescent="0.25">
      <c r="A768" s="10">
        <v>3</v>
      </c>
      <c r="B768" s="8" t="s">
        <v>1815</v>
      </c>
      <c r="C768" s="10" t="s">
        <v>1760</v>
      </c>
      <c r="D768" s="10" t="s">
        <v>2270</v>
      </c>
      <c r="E768" s="10" t="s">
        <v>52</v>
      </c>
      <c r="F768" s="12">
        <f t="shared" si="644"/>
        <v>2</v>
      </c>
      <c r="G768" s="10">
        <v>1</v>
      </c>
      <c r="H768" s="10">
        <f>G768*$H$767</f>
        <v>1</v>
      </c>
      <c r="I768" s="10">
        <v>1</v>
      </c>
      <c r="J768" s="8" t="s">
        <v>1761</v>
      </c>
      <c r="K768" s="8" t="s">
        <v>34</v>
      </c>
      <c r="L768" s="10">
        <v>0</v>
      </c>
      <c r="M768" s="8" t="s">
        <v>340</v>
      </c>
      <c r="N768" s="10" t="s">
        <v>1816</v>
      </c>
      <c r="O768" s="28"/>
      <c r="P768" s="28"/>
      <c r="Q768" s="28" t="s">
        <v>1816</v>
      </c>
      <c r="R768" s="30">
        <v>40.811</v>
      </c>
      <c r="S768" s="30">
        <v>21.75</v>
      </c>
      <c r="T768" s="30" t="s">
        <v>2477</v>
      </c>
      <c r="U768" s="30">
        <v>6.2E-2</v>
      </c>
      <c r="V768" s="8">
        <f t="shared" si="645"/>
        <v>1036.5993999999998</v>
      </c>
      <c r="W768" s="8">
        <f t="shared" si="646"/>
        <v>552.44999999999993</v>
      </c>
      <c r="X768" s="8" t="e">
        <f t="shared" si="647"/>
        <v>#VALUE!</v>
      </c>
      <c r="Y768" s="33">
        <f t="shared" si="648"/>
        <v>1.5748</v>
      </c>
      <c r="Z768" s="28" t="s">
        <v>1764</v>
      </c>
      <c r="AA768" s="28" t="s">
        <v>1765</v>
      </c>
      <c r="AB768" s="28" t="s">
        <v>1816</v>
      </c>
      <c r="AC768" s="31" t="s">
        <v>1766</v>
      </c>
      <c r="AD768" s="50">
        <f t="shared" si="649"/>
        <v>1</v>
      </c>
      <c r="AE768" s="31"/>
      <c r="AF768" s="51">
        <v>14</v>
      </c>
      <c r="AG768" s="51">
        <f t="shared" si="677"/>
        <v>8.4</v>
      </c>
      <c r="AH768" s="51">
        <f t="shared" si="643"/>
        <v>42</v>
      </c>
      <c r="AI768" s="52" t="s">
        <v>2497</v>
      </c>
      <c r="AJ768" s="52" t="s">
        <v>2498</v>
      </c>
      <c r="AK768" s="53">
        <f t="shared" si="678"/>
        <v>1.1453386770599996</v>
      </c>
      <c r="AL768" s="54">
        <f t="shared" si="679"/>
        <v>0.11904761904761904</v>
      </c>
      <c r="AM768" s="54">
        <f t="shared" si="680"/>
        <v>2.3809523809523808E-2</v>
      </c>
      <c r="AN768" s="55">
        <f t="shared" si="681"/>
        <v>0.1363498425071428</v>
      </c>
      <c r="AO768" s="55">
        <f t="shared" si="682"/>
        <v>2.726996850142856E-2</v>
      </c>
      <c r="AP768" s="53">
        <v>7.1</v>
      </c>
      <c r="AQ768" s="53">
        <f t="shared" si="650"/>
        <v>4.26</v>
      </c>
      <c r="AR768" s="53">
        <f t="shared" si="651"/>
        <v>21.299999999999997</v>
      </c>
      <c r="AS768" s="56">
        <f t="shared" si="652"/>
        <v>4.6948356807511742E-2</v>
      </c>
      <c r="AT768" s="56">
        <f t="shared" si="683"/>
        <v>0.23474178403755869</v>
      </c>
      <c r="AU768" s="56">
        <f t="shared" si="653"/>
        <v>0.176056338028169</v>
      </c>
      <c r="AV768" s="56">
        <f t="shared" si="684"/>
        <v>5.8685446009389672E-2</v>
      </c>
      <c r="AW768" s="57" t="s">
        <v>2511</v>
      </c>
      <c r="AX768" s="57" t="s">
        <v>2512</v>
      </c>
      <c r="AY768" s="57" t="s">
        <v>2513</v>
      </c>
      <c r="AZ768" s="58">
        <f t="shared" si="685"/>
        <v>1.1453386770599996</v>
      </c>
      <c r="BA768" s="59">
        <f t="shared" si="689"/>
        <v>3.3607355547535196E-2</v>
      </c>
      <c r="BB768" s="59">
        <f t="shared" si="690"/>
        <v>0.1008220666426056</v>
      </c>
      <c r="BC768" s="59">
        <f t="shared" si="691"/>
        <v>2.6885884438028161E-2</v>
      </c>
      <c r="BD768" s="60">
        <f t="shared" si="686"/>
        <v>0.2</v>
      </c>
      <c r="BE768" s="59">
        <f t="shared" si="687"/>
        <v>0.2</v>
      </c>
      <c r="BQ768" s="61">
        <v>3000</v>
      </c>
      <c r="BR768" s="61">
        <v>1200</v>
      </c>
      <c r="BS768" s="28">
        <f t="shared" si="654"/>
        <v>2980</v>
      </c>
      <c r="BT768" s="28">
        <f t="shared" si="655"/>
        <v>1180</v>
      </c>
      <c r="BU768" s="28" t="s">
        <v>2541</v>
      </c>
      <c r="BV768" s="28">
        <f t="shared" si="656"/>
        <v>1041.5993999999998</v>
      </c>
      <c r="BW768" s="28">
        <f t="shared" si="657"/>
        <v>557.44999999999993</v>
      </c>
      <c r="BX768" s="13">
        <f t="shared" si="658"/>
        <v>2.8609847509512778</v>
      </c>
      <c r="BY768" s="13">
        <f t="shared" si="659"/>
        <v>2</v>
      </c>
      <c r="BZ768" s="13">
        <f t="shared" si="660"/>
        <v>2.1167817741501485</v>
      </c>
      <c r="CA768" s="13">
        <f t="shared" si="661"/>
        <v>2</v>
      </c>
      <c r="CB768" s="13">
        <f t="shared" si="662"/>
        <v>4</v>
      </c>
      <c r="CC768" s="62">
        <f t="shared" si="663"/>
        <v>0.25</v>
      </c>
      <c r="CD768" s="13">
        <f t="shared" si="664"/>
        <v>5.3457709211588487</v>
      </c>
      <c r="CE768" s="13">
        <f t="shared" si="665"/>
        <v>5</v>
      </c>
      <c r="CF768" s="13">
        <f t="shared" si="666"/>
        <v>1.132873156416949</v>
      </c>
      <c r="CG768" s="13">
        <f t="shared" si="667"/>
        <v>1</v>
      </c>
      <c r="CH768" s="28">
        <f t="shared" si="668"/>
        <v>5</v>
      </c>
      <c r="CI768" s="62">
        <f t="shared" si="669"/>
        <v>0.2</v>
      </c>
      <c r="CJ768" s="59">
        <f t="shared" si="670"/>
        <v>0.2</v>
      </c>
      <c r="CL768" s="63">
        <v>6000</v>
      </c>
      <c r="CM768" s="63">
        <f t="shared" si="671"/>
        <v>1036.5993999999998</v>
      </c>
      <c r="CN768" s="63">
        <f t="shared" si="672"/>
        <v>1041.5993999999998</v>
      </c>
      <c r="CO768" s="63">
        <f t="shared" si="673"/>
        <v>5.7603719817810966</v>
      </c>
      <c r="CP768" s="13">
        <f t="shared" si="674"/>
        <v>5</v>
      </c>
      <c r="CQ768" s="70">
        <f t="shared" si="675"/>
        <v>0.2</v>
      </c>
      <c r="CR768" s="69">
        <f t="shared" si="697"/>
        <v>0.2</v>
      </c>
    </row>
    <row r="769" spans="1:96" hidden="1" x14ac:dyDescent="0.25">
      <c r="A769" s="10">
        <v>3</v>
      </c>
      <c r="B769" s="8" t="s">
        <v>1815</v>
      </c>
      <c r="C769" s="10" t="s">
        <v>1767</v>
      </c>
      <c r="D769" s="10" t="s">
        <v>2270</v>
      </c>
      <c r="E769" s="10" t="s">
        <v>52</v>
      </c>
      <c r="F769" s="12">
        <f t="shared" si="644"/>
        <v>2</v>
      </c>
      <c r="G769" s="10">
        <v>1</v>
      </c>
      <c r="H769" s="10">
        <f t="shared" ref="H769:H770" si="706">G769*$H$767</f>
        <v>1</v>
      </c>
      <c r="I769" s="10">
        <v>2</v>
      </c>
      <c r="J769" s="8" t="s">
        <v>1768</v>
      </c>
      <c r="K769" s="8" t="s">
        <v>34</v>
      </c>
      <c r="L769" s="10">
        <v>0</v>
      </c>
      <c r="M769" s="8" t="s">
        <v>340</v>
      </c>
      <c r="N769" s="10" t="s">
        <v>1816</v>
      </c>
      <c r="O769" s="28"/>
      <c r="P769" s="28"/>
      <c r="Q769" s="28" t="s">
        <v>1816</v>
      </c>
      <c r="R769" s="30">
        <v>19.82</v>
      </c>
      <c r="S769" s="30">
        <v>18.75</v>
      </c>
      <c r="T769" s="30" t="s">
        <v>2477</v>
      </c>
      <c r="U769" s="30">
        <v>2</v>
      </c>
      <c r="V769" s="8">
        <f t="shared" si="645"/>
        <v>503.428</v>
      </c>
      <c r="W769" s="8">
        <f t="shared" si="646"/>
        <v>476.25</v>
      </c>
      <c r="X769" s="8" t="e">
        <f t="shared" si="647"/>
        <v>#VALUE!</v>
      </c>
      <c r="Y769" s="33">
        <f t="shared" si="648"/>
        <v>50.8</v>
      </c>
      <c r="Z769" s="28" t="s">
        <v>1769</v>
      </c>
      <c r="AA769" s="28" t="s">
        <v>2477</v>
      </c>
      <c r="AB769" s="28" t="s">
        <v>1816</v>
      </c>
      <c r="AC769" s="31" t="s">
        <v>1770</v>
      </c>
      <c r="AD769" s="50">
        <f t="shared" si="649"/>
        <v>1</v>
      </c>
      <c r="AE769" s="31"/>
      <c r="AF769" s="51">
        <v>14</v>
      </c>
      <c r="AG769" s="51">
        <f t="shared" si="677"/>
        <v>8.4</v>
      </c>
      <c r="AH769" s="51">
        <f t="shared" si="643"/>
        <v>42</v>
      </c>
      <c r="AI769" s="52" t="s">
        <v>2497</v>
      </c>
      <c r="AJ769" s="52" t="s">
        <v>2498</v>
      </c>
      <c r="AK769" s="53">
        <f t="shared" si="678"/>
        <v>0.47951516999999999</v>
      </c>
      <c r="AL769" s="54">
        <f t="shared" si="679"/>
        <v>0.11904761904761904</v>
      </c>
      <c r="AM769" s="54">
        <f t="shared" si="680"/>
        <v>2.3809523809523808E-2</v>
      </c>
      <c r="AN769" s="55">
        <f t="shared" si="681"/>
        <v>5.7085139285714279E-2</v>
      </c>
      <c r="AO769" s="55">
        <f t="shared" si="682"/>
        <v>1.1417027857142856E-2</v>
      </c>
      <c r="AP769" s="53">
        <v>7.1</v>
      </c>
      <c r="AQ769" s="53">
        <f t="shared" si="650"/>
        <v>4.26</v>
      </c>
      <c r="AR769" s="53">
        <f t="shared" si="651"/>
        <v>21.299999999999997</v>
      </c>
      <c r="AS769" s="56">
        <f t="shared" si="652"/>
        <v>4.6948356807511742E-2</v>
      </c>
      <c r="AT769" s="56">
        <f t="shared" si="683"/>
        <v>0.23474178403755869</v>
      </c>
      <c r="AU769" s="56">
        <f t="shared" si="653"/>
        <v>0.176056338028169</v>
      </c>
      <c r="AV769" s="56">
        <f t="shared" si="684"/>
        <v>5.8685446009389672E-2</v>
      </c>
      <c r="AW769" s="57" t="s">
        <v>2511</v>
      </c>
      <c r="AX769" s="57" t="s">
        <v>2512</v>
      </c>
      <c r="AY769" s="57" t="s">
        <v>2513</v>
      </c>
      <c r="AZ769" s="58">
        <f t="shared" si="685"/>
        <v>0.47951516999999999</v>
      </c>
      <c r="BA769" s="59">
        <f t="shared" si="689"/>
        <v>1.4070280809859155E-2</v>
      </c>
      <c r="BB769" s="59">
        <f t="shared" si="690"/>
        <v>4.2210842429577462E-2</v>
      </c>
      <c r="BC769" s="59">
        <f t="shared" si="691"/>
        <v>1.1256224647887324E-2</v>
      </c>
      <c r="BD769" s="60">
        <f t="shared" si="686"/>
        <v>8.3333333333333329E-2</v>
      </c>
      <c r="BE769" s="59">
        <f t="shared" si="687"/>
        <v>8.3333333333333329E-2</v>
      </c>
      <c r="BQ769" s="61">
        <v>3000</v>
      </c>
      <c r="BR769" s="61">
        <v>1200</v>
      </c>
      <c r="BS769" s="28">
        <f t="shared" si="654"/>
        <v>2980</v>
      </c>
      <c r="BT769" s="28">
        <f t="shared" si="655"/>
        <v>1180</v>
      </c>
      <c r="BU769" s="28" t="s">
        <v>2541</v>
      </c>
      <c r="BV769" s="28">
        <f t="shared" si="656"/>
        <v>508.428</v>
      </c>
      <c r="BW769" s="28">
        <f t="shared" si="657"/>
        <v>481.25</v>
      </c>
      <c r="BX769" s="13">
        <f t="shared" si="658"/>
        <v>5.8612035529121131</v>
      </c>
      <c r="BY769" s="13">
        <f t="shared" si="659"/>
        <v>5</v>
      </c>
      <c r="BZ769" s="13">
        <f t="shared" si="660"/>
        <v>2.4519480519480519</v>
      </c>
      <c r="CA769" s="13">
        <f t="shared" si="661"/>
        <v>2</v>
      </c>
      <c r="CB769" s="13">
        <f t="shared" si="662"/>
        <v>10</v>
      </c>
      <c r="CC769" s="62">
        <f t="shared" si="663"/>
        <v>0.1</v>
      </c>
      <c r="CD769" s="13">
        <f t="shared" si="664"/>
        <v>6.1922077922077925</v>
      </c>
      <c r="CE769" s="13">
        <f t="shared" si="665"/>
        <v>6</v>
      </c>
      <c r="CF769" s="13">
        <f t="shared" si="666"/>
        <v>2.3208792592068099</v>
      </c>
      <c r="CG769" s="13">
        <f t="shared" si="667"/>
        <v>2</v>
      </c>
      <c r="CH769" s="28">
        <f t="shared" si="668"/>
        <v>12</v>
      </c>
      <c r="CI769" s="62">
        <f t="shared" si="669"/>
        <v>8.3333333333333329E-2</v>
      </c>
      <c r="CJ769" s="59">
        <f t="shared" si="670"/>
        <v>8.3333333333333329E-2</v>
      </c>
      <c r="CL769" s="63">
        <v>6000</v>
      </c>
      <c r="CM769" s="63">
        <f t="shared" si="671"/>
        <v>503.428</v>
      </c>
      <c r="CN769" s="63">
        <f t="shared" si="672"/>
        <v>508.428</v>
      </c>
      <c r="CO769" s="63">
        <f t="shared" si="673"/>
        <v>11.801080979017678</v>
      </c>
      <c r="CP769" s="13">
        <f t="shared" si="674"/>
        <v>11</v>
      </c>
      <c r="CQ769" s="70">
        <f t="shared" si="675"/>
        <v>9.0909090909090912E-2</v>
      </c>
      <c r="CR769" s="69">
        <f t="shared" si="697"/>
        <v>9.0909090909090912E-2</v>
      </c>
    </row>
    <row r="770" spans="1:96" hidden="1" x14ac:dyDescent="0.25">
      <c r="A770" s="10">
        <v>3</v>
      </c>
      <c r="B770" s="8" t="s">
        <v>1815</v>
      </c>
      <c r="C770" s="10" t="s">
        <v>1771</v>
      </c>
      <c r="D770" s="10" t="s">
        <v>2270</v>
      </c>
      <c r="E770" s="10" t="s">
        <v>32</v>
      </c>
      <c r="F770" s="12">
        <f t="shared" si="644"/>
        <v>2</v>
      </c>
      <c r="G770" s="10">
        <v>2</v>
      </c>
      <c r="H770" s="10">
        <f t="shared" si="706"/>
        <v>2</v>
      </c>
      <c r="I770" s="10">
        <v>3</v>
      </c>
      <c r="J770" s="8" t="s">
        <v>1772</v>
      </c>
      <c r="K770" s="8" t="s">
        <v>34</v>
      </c>
      <c r="L770" s="10">
        <v>0</v>
      </c>
      <c r="M770" s="8" t="s">
        <v>340</v>
      </c>
      <c r="N770" s="10" t="s">
        <v>1816</v>
      </c>
      <c r="O770" s="28"/>
      <c r="P770" s="28"/>
      <c r="Q770" s="28" t="s">
        <v>1816</v>
      </c>
      <c r="R770" s="30"/>
      <c r="S770" s="30"/>
      <c r="T770" s="30"/>
      <c r="U770" s="30"/>
      <c r="V770" s="8">
        <f t="shared" si="645"/>
        <v>0</v>
      </c>
      <c r="W770" s="8">
        <f t="shared" si="646"/>
        <v>0</v>
      </c>
      <c r="X770" s="8">
        <f t="shared" si="647"/>
        <v>0</v>
      </c>
      <c r="Y770" s="33">
        <f t="shared" si="648"/>
        <v>0</v>
      </c>
      <c r="Z770" s="28"/>
      <c r="AA770" s="28"/>
      <c r="AB770" s="28" t="s">
        <v>1816</v>
      </c>
      <c r="AC770" s="31"/>
      <c r="AD770" s="50">
        <f t="shared" si="649"/>
        <v>2</v>
      </c>
      <c r="AE770" s="31"/>
      <c r="AF770" s="51">
        <v>14</v>
      </c>
      <c r="AG770" s="51">
        <f t="shared" si="677"/>
        <v>8.4</v>
      </c>
      <c r="AH770" s="51">
        <f t="shared" ref="AH770:AH833" si="707">AG770/0.2</f>
        <v>42</v>
      </c>
      <c r="AI770" s="52" t="s">
        <v>2497</v>
      </c>
      <c r="AJ770" s="52" t="s">
        <v>2498</v>
      </c>
      <c r="AK770" s="53">
        <f t="shared" si="678"/>
        <v>0</v>
      </c>
      <c r="AL770" s="54">
        <f t="shared" si="679"/>
        <v>0.11904761904761904</v>
      </c>
      <c r="AM770" s="54">
        <f t="shared" si="680"/>
        <v>2.3809523809523808E-2</v>
      </c>
      <c r="AN770" s="55">
        <f t="shared" si="681"/>
        <v>0</v>
      </c>
      <c r="AO770" s="55">
        <f t="shared" si="682"/>
        <v>0</v>
      </c>
      <c r="AP770" s="53">
        <v>7.1</v>
      </c>
      <c r="AQ770" s="53">
        <f t="shared" si="650"/>
        <v>4.26</v>
      </c>
      <c r="AR770" s="53">
        <f t="shared" si="651"/>
        <v>21.299999999999997</v>
      </c>
      <c r="AS770" s="56">
        <f t="shared" si="652"/>
        <v>4.6948356807511742E-2</v>
      </c>
      <c r="AT770" s="56">
        <f t="shared" si="683"/>
        <v>0.23474178403755869</v>
      </c>
      <c r="AU770" s="56">
        <f t="shared" si="653"/>
        <v>0.176056338028169</v>
      </c>
      <c r="AV770" s="56">
        <f t="shared" si="684"/>
        <v>5.8685446009389672E-2</v>
      </c>
      <c r="AW770" s="57" t="s">
        <v>2511</v>
      </c>
      <c r="AX770" s="57" t="s">
        <v>2512</v>
      </c>
      <c r="AY770" s="57" t="s">
        <v>2513</v>
      </c>
      <c r="AZ770" s="58">
        <f t="shared" si="685"/>
        <v>0</v>
      </c>
      <c r="BA770" s="59">
        <f t="shared" si="689"/>
        <v>0</v>
      </c>
      <c r="BB770" s="59">
        <f t="shared" si="690"/>
        <v>0</v>
      </c>
      <c r="BC770" s="59">
        <f t="shared" si="691"/>
        <v>0</v>
      </c>
      <c r="BD770" s="60">
        <f t="shared" si="686"/>
        <v>0</v>
      </c>
      <c r="BE770" s="59">
        <f t="shared" si="687"/>
        <v>0</v>
      </c>
      <c r="BQ770" s="61">
        <v>3000</v>
      </c>
      <c r="BR770" s="61">
        <v>1200</v>
      </c>
      <c r="BS770" s="28">
        <f t="shared" si="654"/>
        <v>2980</v>
      </c>
      <c r="BT770" s="28">
        <f t="shared" si="655"/>
        <v>1180</v>
      </c>
      <c r="BU770" s="28" t="s">
        <v>2541</v>
      </c>
      <c r="BV770" s="28">
        <f t="shared" si="656"/>
        <v>5</v>
      </c>
      <c r="BW770" s="28">
        <f t="shared" si="657"/>
        <v>5</v>
      </c>
      <c r="BX770" s="13">
        <f t="shared" si="658"/>
        <v>596</v>
      </c>
      <c r="BY770" s="13">
        <f t="shared" si="659"/>
        <v>596</v>
      </c>
      <c r="BZ770" s="13">
        <f t="shared" si="660"/>
        <v>236</v>
      </c>
      <c r="CA770" s="13">
        <f t="shared" si="661"/>
        <v>236</v>
      </c>
      <c r="CB770" s="13">
        <f t="shared" si="662"/>
        <v>140656</v>
      </c>
      <c r="CC770" s="62" t="str">
        <f t="shared" si="663"/>
        <v/>
      </c>
      <c r="CD770" s="13">
        <f t="shared" si="664"/>
        <v>596</v>
      </c>
      <c r="CE770" s="13">
        <f t="shared" si="665"/>
        <v>596</v>
      </c>
      <c r="CF770" s="13">
        <f t="shared" si="666"/>
        <v>236</v>
      </c>
      <c r="CG770" s="13">
        <f t="shared" si="667"/>
        <v>236</v>
      </c>
      <c r="CH770" s="28">
        <f t="shared" si="668"/>
        <v>140656</v>
      </c>
      <c r="CI770" s="62" t="str">
        <f t="shared" si="669"/>
        <v/>
      </c>
      <c r="CJ770" s="59">
        <f t="shared" si="670"/>
        <v>0</v>
      </c>
      <c r="CL770" s="63">
        <v>6000</v>
      </c>
      <c r="CM770" s="63">
        <f t="shared" si="671"/>
        <v>0</v>
      </c>
      <c r="CN770" s="63">
        <f t="shared" si="672"/>
        <v>5</v>
      </c>
      <c r="CO770" s="63">
        <f t="shared" si="673"/>
        <v>1200</v>
      </c>
      <c r="CP770" s="13">
        <f t="shared" si="674"/>
        <v>1200</v>
      </c>
      <c r="CQ770" s="70">
        <f t="shared" si="675"/>
        <v>8.3333333333333339E-4</v>
      </c>
      <c r="CR770" s="69">
        <f t="shared" si="697"/>
        <v>1.6666666666666668E-3</v>
      </c>
    </row>
    <row r="771" spans="1:96" hidden="1" x14ac:dyDescent="0.25">
      <c r="A771" s="13">
        <v>4</v>
      </c>
      <c r="B771" s="14" t="s">
        <v>1817</v>
      </c>
      <c r="C771" s="13" t="s">
        <v>1775</v>
      </c>
      <c r="D771" s="13" t="s">
        <v>2270</v>
      </c>
      <c r="E771" s="13" t="s">
        <v>52</v>
      </c>
      <c r="F771" s="15">
        <f t="shared" ref="F771:F834" si="708">COUNTIF($C$2:$C$1202,C771)</f>
        <v>2</v>
      </c>
      <c r="G771" s="13">
        <v>1</v>
      </c>
      <c r="H771" s="13">
        <f>G771*$H$770</f>
        <v>2</v>
      </c>
      <c r="I771" s="13">
        <v>1</v>
      </c>
      <c r="J771" s="14" t="s">
        <v>1772</v>
      </c>
      <c r="K771" s="14" t="s">
        <v>34</v>
      </c>
      <c r="L771" s="13">
        <v>0</v>
      </c>
      <c r="M771" s="14" t="s">
        <v>340</v>
      </c>
      <c r="N771" s="13" t="s">
        <v>1816</v>
      </c>
      <c r="O771" s="28"/>
      <c r="P771" s="28"/>
      <c r="Q771" s="28" t="s">
        <v>1816</v>
      </c>
      <c r="R771" s="30">
        <v>18.75</v>
      </c>
      <c r="S771" s="30">
        <v>3.472</v>
      </c>
      <c r="T771" s="30"/>
      <c r="U771" s="30">
        <v>0.09</v>
      </c>
      <c r="V771" s="8">
        <f t="shared" ref="V771:V834" si="709">R771*25.4</f>
        <v>476.25</v>
      </c>
      <c r="W771" s="8">
        <f t="shared" ref="W771:W834" si="710">S771*25.4</f>
        <v>88.188800000000001</v>
      </c>
      <c r="X771" s="8">
        <f t="shared" ref="X771:X834" si="711">T771*25.4</f>
        <v>0</v>
      </c>
      <c r="Y771" s="33">
        <f t="shared" ref="Y771:Y834" si="712">U771*25.4</f>
        <v>2.2859999999999996</v>
      </c>
      <c r="Z771" s="28" t="s">
        <v>56</v>
      </c>
      <c r="AA771" s="28" t="s">
        <v>57</v>
      </c>
      <c r="AB771" s="28" t="s">
        <v>1816</v>
      </c>
      <c r="AC771" s="31" t="s">
        <v>125</v>
      </c>
      <c r="AD771" s="50">
        <f t="shared" ref="AD771:AD834" si="713">H771</f>
        <v>2</v>
      </c>
      <c r="AE771" s="47" t="s">
        <v>107</v>
      </c>
      <c r="AF771" s="51">
        <v>14</v>
      </c>
      <c r="AG771" s="51">
        <f t="shared" si="677"/>
        <v>8.4</v>
      </c>
      <c r="AH771" s="51">
        <f t="shared" si="707"/>
        <v>42</v>
      </c>
      <c r="AI771" s="52" t="s">
        <v>2497</v>
      </c>
      <c r="AJ771" s="52" t="s">
        <v>2498</v>
      </c>
      <c r="AK771" s="53">
        <f t="shared" si="678"/>
        <v>8.3999831999999997E-2</v>
      </c>
      <c r="AL771" s="54">
        <f t="shared" si="679"/>
        <v>0.11904761904761904</v>
      </c>
      <c r="AM771" s="54">
        <f t="shared" si="680"/>
        <v>2.3809523809523808E-2</v>
      </c>
      <c r="AN771" s="55">
        <f t="shared" si="681"/>
        <v>1.9999959999999997E-2</v>
      </c>
      <c r="AO771" s="55">
        <f t="shared" si="682"/>
        <v>3.999992E-3</v>
      </c>
      <c r="AP771" s="53">
        <v>7.1</v>
      </c>
      <c r="AQ771" s="53">
        <f t="shared" ref="AQ771:AQ834" si="714">AP771*0.6</f>
        <v>4.26</v>
      </c>
      <c r="AR771" s="53">
        <f t="shared" ref="AR771:AR834" si="715">AQ771*5</f>
        <v>21.299999999999997</v>
      </c>
      <c r="AS771" s="56">
        <f t="shared" ref="AS771:AS834" si="716">1/AR771</f>
        <v>4.6948356807511742E-2</v>
      </c>
      <c r="AT771" s="56">
        <f t="shared" si="683"/>
        <v>0.23474178403755869</v>
      </c>
      <c r="AU771" s="56">
        <f t="shared" ref="AU771:AU834" si="717">AT771*0.75</f>
        <v>0.176056338028169</v>
      </c>
      <c r="AV771" s="56">
        <f t="shared" si="684"/>
        <v>5.8685446009389672E-2</v>
      </c>
      <c r="AW771" s="57" t="s">
        <v>2511</v>
      </c>
      <c r="AX771" s="57" t="s">
        <v>2512</v>
      </c>
      <c r="AY771" s="57" t="s">
        <v>2513</v>
      </c>
      <c r="AZ771" s="58">
        <f t="shared" si="685"/>
        <v>8.3999831999999997E-2</v>
      </c>
      <c r="BA771" s="59">
        <f t="shared" si="689"/>
        <v>4.9295676056338028E-3</v>
      </c>
      <c r="BB771" s="59">
        <f t="shared" si="690"/>
        <v>1.4788702816901407E-2</v>
      </c>
      <c r="BC771" s="59">
        <f t="shared" si="691"/>
        <v>3.9436540845070424E-3</v>
      </c>
      <c r="BD771" s="60">
        <f t="shared" si="686"/>
        <v>1.3888888888888888E-2</v>
      </c>
      <c r="BE771" s="59">
        <f t="shared" si="687"/>
        <v>2.7777777777777776E-2</v>
      </c>
      <c r="BQ771" s="61">
        <v>3000</v>
      </c>
      <c r="BR771" s="61">
        <v>1200</v>
      </c>
      <c r="BS771" s="28">
        <f t="shared" ref="BS771:BS834" si="718">BQ771-20</f>
        <v>2980</v>
      </c>
      <c r="BT771" s="28">
        <f t="shared" ref="BT771:BT834" si="719">BR771-20</f>
        <v>1180</v>
      </c>
      <c r="BU771" s="28" t="s">
        <v>2541</v>
      </c>
      <c r="BV771" s="28">
        <f t="shared" ref="BV771:BV834" si="720">V771+5</f>
        <v>481.25</v>
      </c>
      <c r="BW771" s="28">
        <f t="shared" ref="BW771:BW834" si="721">W771+5</f>
        <v>93.188800000000001</v>
      </c>
      <c r="BX771" s="13">
        <f t="shared" ref="BX771:BX834" si="722">BS771/BV771</f>
        <v>6.1922077922077925</v>
      </c>
      <c r="BY771" s="13">
        <f t="shared" ref="BY771:BY834" si="723">ROUNDDOWN(BX771,0)</f>
        <v>6</v>
      </c>
      <c r="BZ771" s="13">
        <f t="shared" ref="BZ771:BZ834" si="724">BT771/BW771</f>
        <v>12.662465875727555</v>
      </c>
      <c r="CA771" s="13">
        <f t="shared" ref="CA771:CA834" si="725">ROUNDDOWN(BZ771,0)</f>
        <v>12</v>
      </c>
      <c r="CB771" s="13">
        <f t="shared" ref="CB771:CB834" si="726">BY771*CA771</f>
        <v>72</v>
      </c>
      <c r="CC771" s="62">
        <f t="shared" ref="CC771:CC834" si="727">IF(E771="CJ","",IFERROR((1/CB771),1))</f>
        <v>1.3888888888888888E-2</v>
      </c>
      <c r="CD771" s="13">
        <f t="shared" ref="CD771:CD834" si="728">BS771/BW771</f>
        <v>31.978091787854336</v>
      </c>
      <c r="CE771" s="13">
        <f t="shared" ref="CE771:CE834" si="729">ROUNDDOWN(CD771,0)</f>
        <v>31</v>
      </c>
      <c r="CF771" s="13">
        <f t="shared" ref="CF771:CF834" si="730">BT771/BV771</f>
        <v>2.4519480519480519</v>
      </c>
      <c r="CG771" s="13">
        <f t="shared" ref="CG771:CG834" si="731">ROUNDDOWN(CF771,0)</f>
        <v>2</v>
      </c>
      <c r="CH771" s="28">
        <f t="shared" ref="CH771:CH834" si="732">CE771*CG771</f>
        <v>62</v>
      </c>
      <c r="CI771" s="62">
        <f t="shared" ref="CI771:CI834" si="733">IF(E771="CJ","",IFERROR((1/CH771),1))</f>
        <v>1.6129032258064516E-2</v>
      </c>
      <c r="CJ771" s="59">
        <f t="shared" ref="CJ771:CJ834" si="734">MIN(CC771,CI771)</f>
        <v>1.3888888888888888E-2</v>
      </c>
      <c r="CL771" s="63">
        <v>6000</v>
      </c>
      <c r="CM771" s="63">
        <f t="shared" ref="CM771:CM834" si="735">V771</f>
        <v>476.25</v>
      </c>
      <c r="CN771" s="63">
        <f t="shared" ref="CN771:CN834" si="736">CM771+5</f>
        <v>481.25</v>
      </c>
      <c r="CO771" s="63">
        <f t="shared" ref="CO771:CO834" si="737">CL771/CN771</f>
        <v>12.467532467532468</v>
      </c>
      <c r="CP771" s="13">
        <f t="shared" ref="CP771:CP834" si="738">ROUNDDOWN(CO771,0)</f>
        <v>12</v>
      </c>
      <c r="CQ771" s="70">
        <f t="shared" ref="CQ771:CQ834" si="739">1/CP771</f>
        <v>8.3333333333333329E-2</v>
      </c>
      <c r="CR771" s="69">
        <f t="shared" si="697"/>
        <v>0.16666666666666666</v>
      </c>
    </row>
    <row r="772" spans="1:96" hidden="1" x14ac:dyDescent="0.25">
      <c r="A772" s="13">
        <v>4</v>
      </c>
      <c r="B772" s="14" t="s">
        <v>1817</v>
      </c>
      <c r="C772" s="13" t="s">
        <v>1777</v>
      </c>
      <c r="D772" s="13" t="s">
        <v>2270</v>
      </c>
      <c r="E772" s="13" t="s">
        <v>52</v>
      </c>
      <c r="F772" s="15">
        <f t="shared" si="708"/>
        <v>4</v>
      </c>
      <c r="G772" s="13">
        <v>2</v>
      </c>
      <c r="H772" s="13">
        <f>G772*$H$770</f>
        <v>4</v>
      </c>
      <c r="I772" s="13">
        <v>3</v>
      </c>
      <c r="J772" s="14" t="s">
        <v>1778</v>
      </c>
      <c r="K772" s="14" t="s">
        <v>34</v>
      </c>
      <c r="L772" s="13" t="s">
        <v>223</v>
      </c>
      <c r="M772" s="14" t="s">
        <v>340</v>
      </c>
      <c r="N772" s="13" t="s">
        <v>1816</v>
      </c>
      <c r="O772" s="28"/>
      <c r="P772" s="28"/>
      <c r="Q772" s="28" t="s">
        <v>1816</v>
      </c>
      <c r="R772" s="30"/>
      <c r="S772" s="30"/>
      <c r="T772" s="30"/>
      <c r="U772" s="30"/>
      <c r="V772" s="8">
        <f t="shared" si="709"/>
        <v>0</v>
      </c>
      <c r="W772" s="8">
        <f t="shared" si="710"/>
        <v>0</v>
      </c>
      <c r="X772" s="8">
        <f t="shared" si="711"/>
        <v>0</v>
      </c>
      <c r="Y772" s="33">
        <f t="shared" si="712"/>
        <v>0</v>
      </c>
      <c r="Z772" s="28"/>
      <c r="AA772" s="28"/>
      <c r="AB772" s="28" t="s">
        <v>1816</v>
      </c>
      <c r="AC772" s="31" t="s">
        <v>1779</v>
      </c>
      <c r="AD772" s="50">
        <f t="shared" si="713"/>
        <v>4</v>
      </c>
      <c r="AE772" s="31"/>
      <c r="AF772" s="51">
        <v>14</v>
      </c>
      <c r="AG772" s="51">
        <f t="shared" si="677"/>
        <v>8.4</v>
      </c>
      <c r="AH772" s="51">
        <f t="shared" si="707"/>
        <v>42</v>
      </c>
      <c r="AI772" s="52" t="s">
        <v>2497</v>
      </c>
      <c r="AJ772" s="52" t="s">
        <v>2498</v>
      </c>
      <c r="AK772" s="53">
        <f t="shared" si="678"/>
        <v>0</v>
      </c>
      <c r="AL772" s="54">
        <f t="shared" si="679"/>
        <v>0.11904761904761904</v>
      </c>
      <c r="AM772" s="54">
        <f t="shared" si="680"/>
        <v>2.3809523809523808E-2</v>
      </c>
      <c r="AN772" s="55">
        <f t="shared" si="681"/>
        <v>0</v>
      </c>
      <c r="AO772" s="55">
        <f t="shared" si="682"/>
        <v>0</v>
      </c>
      <c r="AP772" s="53">
        <v>7.1</v>
      </c>
      <c r="AQ772" s="53">
        <f t="shared" si="714"/>
        <v>4.26</v>
      </c>
      <c r="AR772" s="53">
        <f t="shared" si="715"/>
        <v>21.299999999999997</v>
      </c>
      <c r="AS772" s="56">
        <f t="shared" si="716"/>
        <v>4.6948356807511742E-2</v>
      </c>
      <c r="AT772" s="56">
        <f t="shared" si="683"/>
        <v>0.23474178403755869</v>
      </c>
      <c r="AU772" s="56">
        <f t="shared" si="717"/>
        <v>0.176056338028169</v>
      </c>
      <c r="AV772" s="56">
        <f t="shared" si="684"/>
        <v>5.8685446009389672E-2</v>
      </c>
      <c r="AW772" s="57" t="s">
        <v>2511</v>
      </c>
      <c r="AX772" s="57" t="s">
        <v>2512</v>
      </c>
      <c r="AY772" s="57" t="s">
        <v>2513</v>
      </c>
      <c r="AZ772" s="58">
        <f t="shared" si="685"/>
        <v>0</v>
      </c>
      <c r="BA772" s="59">
        <f t="shared" si="689"/>
        <v>0</v>
      </c>
      <c r="BB772" s="59">
        <f t="shared" si="690"/>
        <v>0</v>
      </c>
      <c r="BC772" s="59">
        <f t="shared" si="691"/>
        <v>0</v>
      </c>
      <c r="BD772" s="60">
        <f t="shared" si="686"/>
        <v>7.1095438516664771E-6</v>
      </c>
      <c r="BE772" s="59">
        <f t="shared" si="687"/>
        <v>2.8438175406665908E-5</v>
      </c>
      <c r="BQ772" s="61">
        <v>3000</v>
      </c>
      <c r="BR772" s="61">
        <v>1200</v>
      </c>
      <c r="BS772" s="28">
        <f t="shared" si="718"/>
        <v>2980</v>
      </c>
      <c r="BT772" s="28">
        <f t="shared" si="719"/>
        <v>1180</v>
      </c>
      <c r="BU772" s="28" t="s">
        <v>2541</v>
      </c>
      <c r="BV772" s="28">
        <f t="shared" si="720"/>
        <v>5</v>
      </c>
      <c r="BW772" s="28">
        <f t="shared" si="721"/>
        <v>5</v>
      </c>
      <c r="BX772" s="13">
        <f t="shared" si="722"/>
        <v>596</v>
      </c>
      <c r="BY772" s="13">
        <f t="shared" si="723"/>
        <v>596</v>
      </c>
      <c r="BZ772" s="13">
        <f t="shared" si="724"/>
        <v>236</v>
      </c>
      <c r="CA772" s="13">
        <f t="shared" si="725"/>
        <v>236</v>
      </c>
      <c r="CB772" s="13">
        <f t="shared" si="726"/>
        <v>140656</v>
      </c>
      <c r="CC772" s="62">
        <f t="shared" si="727"/>
        <v>7.1095438516664771E-6</v>
      </c>
      <c r="CD772" s="13">
        <f t="shared" si="728"/>
        <v>596</v>
      </c>
      <c r="CE772" s="13">
        <f t="shared" si="729"/>
        <v>596</v>
      </c>
      <c r="CF772" s="13">
        <f t="shared" si="730"/>
        <v>236</v>
      </c>
      <c r="CG772" s="13">
        <f t="shared" si="731"/>
        <v>236</v>
      </c>
      <c r="CH772" s="28">
        <f t="shared" si="732"/>
        <v>140656</v>
      </c>
      <c r="CI772" s="62">
        <f t="shared" si="733"/>
        <v>7.1095438516664771E-6</v>
      </c>
      <c r="CJ772" s="59">
        <f t="shared" si="734"/>
        <v>7.1095438516664771E-6</v>
      </c>
      <c r="CL772" s="63">
        <v>6000</v>
      </c>
      <c r="CM772" s="63">
        <f t="shared" si="735"/>
        <v>0</v>
      </c>
      <c r="CN772" s="63">
        <f t="shared" si="736"/>
        <v>5</v>
      </c>
      <c r="CO772" s="63">
        <f t="shared" si="737"/>
        <v>1200</v>
      </c>
      <c r="CP772" s="13">
        <f t="shared" si="738"/>
        <v>1200</v>
      </c>
      <c r="CQ772" s="70">
        <f t="shared" si="739"/>
        <v>8.3333333333333339E-4</v>
      </c>
      <c r="CR772" s="69">
        <f t="shared" si="697"/>
        <v>3.3333333333333335E-3</v>
      </c>
    </row>
    <row r="773" spans="1:96" hidden="1" x14ac:dyDescent="0.25">
      <c r="A773" s="10">
        <v>3</v>
      </c>
      <c r="B773" s="8" t="s">
        <v>1815</v>
      </c>
      <c r="C773" s="10" t="s">
        <v>1786</v>
      </c>
      <c r="D773" s="10" t="s">
        <v>2270</v>
      </c>
      <c r="E773" s="10" t="s">
        <v>32</v>
      </c>
      <c r="F773" s="12">
        <f t="shared" si="708"/>
        <v>3</v>
      </c>
      <c r="G773" s="10">
        <v>2</v>
      </c>
      <c r="H773" s="10">
        <f>G773*$H$767</f>
        <v>2</v>
      </c>
      <c r="I773" s="10">
        <v>5</v>
      </c>
      <c r="J773" s="8" t="s">
        <v>152</v>
      </c>
      <c r="K773" s="8" t="s">
        <v>34</v>
      </c>
      <c r="L773" s="10">
        <v>0</v>
      </c>
      <c r="M773" s="8" t="s">
        <v>340</v>
      </c>
      <c r="N773" s="10" t="s">
        <v>1816</v>
      </c>
      <c r="O773" s="28"/>
      <c r="P773" s="28"/>
      <c r="Q773" s="28" t="s">
        <v>1816</v>
      </c>
      <c r="R773" s="30"/>
      <c r="S773" s="30"/>
      <c r="T773" s="30"/>
      <c r="U773" s="30"/>
      <c r="V773" s="8">
        <f t="shared" si="709"/>
        <v>0</v>
      </c>
      <c r="W773" s="8">
        <f t="shared" si="710"/>
        <v>0</v>
      </c>
      <c r="X773" s="8">
        <f t="shared" si="711"/>
        <v>0</v>
      </c>
      <c r="Y773" s="33">
        <f t="shared" si="712"/>
        <v>0</v>
      </c>
      <c r="Z773" s="28"/>
      <c r="AA773" s="28"/>
      <c r="AB773" s="28" t="s">
        <v>1816</v>
      </c>
      <c r="AC773" s="31"/>
      <c r="AD773" s="50">
        <f t="shared" si="713"/>
        <v>2</v>
      </c>
      <c r="AE773" s="31"/>
      <c r="AF773" s="51">
        <v>14</v>
      </c>
      <c r="AG773" s="51">
        <f t="shared" si="677"/>
        <v>8.4</v>
      </c>
      <c r="AH773" s="51">
        <f t="shared" si="707"/>
        <v>42</v>
      </c>
      <c r="AI773" s="52" t="s">
        <v>2497</v>
      </c>
      <c r="AJ773" s="52" t="s">
        <v>2498</v>
      </c>
      <c r="AK773" s="53">
        <f t="shared" si="678"/>
        <v>0</v>
      </c>
      <c r="AL773" s="54">
        <f t="shared" si="679"/>
        <v>0.11904761904761904</v>
      </c>
      <c r="AM773" s="54">
        <f t="shared" si="680"/>
        <v>2.3809523809523808E-2</v>
      </c>
      <c r="AN773" s="55">
        <f t="shared" si="681"/>
        <v>0</v>
      </c>
      <c r="AO773" s="55">
        <f t="shared" si="682"/>
        <v>0</v>
      </c>
      <c r="AP773" s="53">
        <v>7.1</v>
      </c>
      <c r="AQ773" s="53">
        <f t="shared" si="714"/>
        <v>4.26</v>
      </c>
      <c r="AR773" s="53">
        <f t="shared" si="715"/>
        <v>21.299999999999997</v>
      </c>
      <c r="AS773" s="56">
        <f t="shared" si="716"/>
        <v>4.6948356807511742E-2</v>
      </c>
      <c r="AT773" s="56">
        <f t="shared" si="683"/>
        <v>0.23474178403755869</v>
      </c>
      <c r="AU773" s="56">
        <f t="shared" si="717"/>
        <v>0.176056338028169</v>
      </c>
      <c r="AV773" s="56">
        <f t="shared" si="684"/>
        <v>5.8685446009389672E-2</v>
      </c>
      <c r="AW773" s="57" t="s">
        <v>2511</v>
      </c>
      <c r="AX773" s="57" t="s">
        <v>2512</v>
      </c>
      <c r="AY773" s="57" t="s">
        <v>2513</v>
      </c>
      <c r="AZ773" s="58">
        <f t="shared" si="685"/>
        <v>0</v>
      </c>
      <c r="BA773" s="59">
        <f t="shared" si="689"/>
        <v>0</v>
      </c>
      <c r="BB773" s="59">
        <f t="shared" si="690"/>
        <v>0</v>
      </c>
      <c r="BC773" s="59">
        <f t="shared" si="691"/>
        <v>0</v>
      </c>
      <c r="BD773" s="60">
        <f t="shared" si="686"/>
        <v>0</v>
      </c>
      <c r="BE773" s="59">
        <f t="shared" si="687"/>
        <v>0</v>
      </c>
      <c r="BQ773" s="61">
        <v>3000</v>
      </c>
      <c r="BR773" s="61">
        <v>1200</v>
      </c>
      <c r="BS773" s="28">
        <f t="shared" si="718"/>
        <v>2980</v>
      </c>
      <c r="BT773" s="28">
        <f t="shared" si="719"/>
        <v>1180</v>
      </c>
      <c r="BU773" s="28" t="s">
        <v>2541</v>
      </c>
      <c r="BV773" s="28">
        <f t="shared" si="720"/>
        <v>5</v>
      </c>
      <c r="BW773" s="28">
        <f t="shared" si="721"/>
        <v>5</v>
      </c>
      <c r="BX773" s="13">
        <f t="shared" si="722"/>
        <v>596</v>
      </c>
      <c r="BY773" s="13">
        <f t="shared" si="723"/>
        <v>596</v>
      </c>
      <c r="BZ773" s="13">
        <f t="shared" si="724"/>
        <v>236</v>
      </c>
      <c r="CA773" s="13">
        <f t="shared" si="725"/>
        <v>236</v>
      </c>
      <c r="CB773" s="13">
        <f t="shared" si="726"/>
        <v>140656</v>
      </c>
      <c r="CC773" s="62" t="str">
        <f t="shared" si="727"/>
        <v/>
      </c>
      <c r="CD773" s="13">
        <f t="shared" si="728"/>
        <v>596</v>
      </c>
      <c r="CE773" s="13">
        <f t="shared" si="729"/>
        <v>596</v>
      </c>
      <c r="CF773" s="13">
        <f t="shared" si="730"/>
        <v>236</v>
      </c>
      <c r="CG773" s="13">
        <f t="shared" si="731"/>
        <v>236</v>
      </c>
      <c r="CH773" s="28">
        <f t="shared" si="732"/>
        <v>140656</v>
      </c>
      <c r="CI773" s="62" t="str">
        <f t="shared" si="733"/>
        <v/>
      </c>
      <c r="CJ773" s="59">
        <f t="shared" si="734"/>
        <v>0</v>
      </c>
      <c r="CL773" s="63">
        <v>6000</v>
      </c>
      <c r="CM773" s="63">
        <f t="shared" si="735"/>
        <v>0</v>
      </c>
      <c r="CN773" s="63">
        <f t="shared" si="736"/>
        <v>5</v>
      </c>
      <c r="CO773" s="63">
        <f t="shared" si="737"/>
        <v>1200</v>
      </c>
      <c r="CP773" s="13">
        <f t="shared" si="738"/>
        <v>1200</v>
      </c>
      <c r="CQ773" s="70">
        <f t="shared" si="739"/>
        <v>8.3333333333333339E-4</v>
      </c>
      <c r="CR773" s="69">
        <f t="shared" si="697"/>
        <v>1.6666666666666668E-3</v>
      </c>
    </row>
    <row r="774" spans="1:96" hidden="1" x14ac:dyDescent="0.25">
      <c r="A774" s="13">
        <v>4</v>
      </c>
      <c r="B774" s="14" t="s">
        <v>1785</v>
      </c>
      <c r="C774" s="13" t="s">
        <v>1788</v>
      </c>
      <c r="D774" s="13" t="s">
        <v>2270</v>
      </c>
      <c r="E774" s="13" t="s">
        <v>52</v>
      </c>
      <c r="F774" s="15">
        <f t="shared" si="708"/>
        <v>3</v>
      </c>
      <c r="G774" s="13">
        <v>1</v>
      </c>
      <c r="H774" s="13">
        <f>G774*$H$773</f>
        <v>2</v>
      </c>
      <c r="I774" s="13">
        <v>1</v>
      </c>
      <c r="J774" s="14" t="s">
        <v>152</v>
      </c>
      <c r="K774" s="14" t="s">
        <v>34</v>
      </c>
      <c r="L774" s="13">
        <v>0</v>
      </c>
      <c r="M774" s="14" t="s">
        <v>340</v>
      </c>
      <c r="N774" s="13" t="s">
        <v>1816</v>
      </c>
      <c r="O774" s="28"/>
      <c r="P774" s="28"/>
      <c r="Q774" s="28" t="s">
        <v>1816</v>
      </c>
      <c r="R774" s="30">
        <v>4.9109999999999996</v>
      </c>
      <c r="S774" s="30">
        <v>1.26</v>
      </c>
      <c r="T774" s="30"/>
      <c r="U774" s="30">
        <v>0.09</v>
      </c>
      <c r="V774" s="8">
        <f t="shared" si="709"/>
        <v>124.73939999999999</v>
      </c>
      <c r="W774" s="8">
        <f t="shared" si="710"/>
        <v>32.003999999999998</v>
      </c>
      <c r="X774" s="8">
        <f t="shared" si="711"/>
        <v>0</v>
      </c>
      <c r="Y774" s="33">
        <f t="shared" si="712"/>
        <v>2.2859999999999996</v>
      </c>
      <c r="Z774" s="28" t="s">
        <v>56</v>
      </c>
      <c r="AA774" s="28" t="s">
        <v>57</v>
      </c>
      <c r="AB774" s="28" t="s">
        <v>1816</v>
      </c>
      <c r="AC774" s="31" t="s">
        <v>125</v>
      </c>
      <c r="AD774" s="50">
        <f t="shared" si="713"/>
        <v>2</v>
      </c>
      <c r="AE774" s="31"/>
      <c r="AF774" s="51">
        <v>14</v>
      </c>
      <c r="AG774" s="51">
        <f t="shared" ref="AG774:AG837" si="740">AF774*0.6</f>
        <v>8.4</v>
      </c>
      <c r="AH774" s="51">
        <f t="shared" si="707"/>
        <v>42</v>
      </c>
      <c r="AI774" s="52" t="s">
        <v>2497</v>
      </c>
      <c r="AJ774" s="52" t="s">
        <v>2498</v>
      </c>
      <c r="AK774" s="53">
        <f t="shared" ref="AK774:AK837" si="741">(V774*W774)*2/1000000</f>
        <v>7.9843195151999991E-3</v>
      </c>
      <c r="AL774" s="54">
        <f t="shared" ref="AL774:AL837" si="742">1/(AF774*0.6)</f>
        <v>0.11904761904761904</v>
      </c>
      <c r="AM774" s="54">
        <f t="shared" ref="AM774:AM837" si="743">1/AG774*(20/100)</f>
        <v>2.3809523809523808E-2</v>
      </c>
      <c r="AN774" s="55">
        <f t="shared" ref="AN774:AN837" si="744">IF(AI774&lt;&gt;0,(AK774*AL774*AD774),0)</f>
        <v>1.9010284559999996E-3</v>
      </c>
      <c r="AO774" s="55">
        <f t="shared" ref="AO774:AO837" si="745">IF(AJ774&lt;&gt;0,(AK774*AM774*AD774),0)</f>
        <v>3.8020569119999996E-4</v>
      </c>
      <c r="AP774" s="53">
        <v>7.1</v>
      </c>
      <c r="AQ774" s="53">
        <f t="shared" si="714"/>
        <v>4.26</v>
      </c>
      <c r="AR774" s="53">
        <f t="shared" si="715"/>
        <v>21.299999999999997</v>
      </c>
      <c r="AS774" s="56">
        <f t="shared" si="716"/>
        <v>4.6948356807511742E-2</v>
      </c>
      <c r="AT774" s="56">
        <f t="shared" ref="AT774:AT837" si="746">1/AQ774</f>
        <v>0.23474178403755869</v>
      </c>
      <c r="AU774" s="56">
        <f t="shared" si="717"/>
        <v>0.176056338028169</v>
      </c>
      <c r="AV774" s="56">
        <f t="shared" ref="AV774:AV837" si="747">AT774*0.25</f>
        <v>5.8685446009389672E-2</v>
      </c>
      <c r="AW774" s="57" t="s">
        <v>2511</v>
      </c>
      <c r="AX774" s="57" t="s">
        <v>2512</v>
      </c>
      <c r="AY774" s="57" t="s">
        <v>2513</v>
      </c>
      <c r="AZ774" s="58">
        <f t="shared" ref="AZ774:AZ837" si="748">(V774*W774)*2/1000000</f>
        <v>7.9843195151999991E-3</v>
      </c>
      <c r="BA774" s="59">
        <f t="shared" si="689"/>
        <v>4.6856335183098586E-4</v>
      </c>
      <c r="BB774" s="59">
        <f t="shared" si="690"/>
        <v>1.4056900554929575E-3</v>
      </c>
      <c r="BC774" s="59">
        <f t="shared" si="691"/>
        <v>3.7485068146478871E-4</v>
      </c>
      <c r="BD774" s="60">
        <f t="shared" ref="BD774:BD837" si="749">CJ774</f>
        <v>1.3888888888888889E-3</v>
      </c>
      <c r="BE774" s="59">
        <f t="shared" ref="BE774:BE837" si="750">BD774*AD774</f>
        <v>2.7777777777777779E-3</v>
      </c>
      <c r="BQ774" s="61">
        <v>3000</v>
      </c>
      <c r="BR774" s="61">
        <v>1200</v>
      </c>
      <c r="BS774" s="28">
        <f t="shared" si="718"/>
        <v>2980</v>
      </c>
      <c r="BT774" s="28">
        <f t="shared" si="719"/>
        <v>1180</v>
      </c>
      <c r="BU774" s="28" t="s">
        <v>2541</v>
      </c>
      <c r="BV774" s="28">
        <f t="shared" si="720"/>
        <v>129.73939999999999</v>
      </c>
      <c r="BW774" s="28">
        <f t="shared" si="721"/>
        <v>37.003999999999998</v>
      </c>
      <c r="BX774" s="13">
        <f t="shared" si="722"/>
        <v>22.96912117675895</v>
      </c>
      <c r="BY774" s="13">
        <f t="shared" si="723"/>
        <v>22</v>
      </c>
      <c r="BZ774" s="13">
        <f t="shared" si="724"/>
        <v>31.888444492487302</v>
      </c>
      <c r="CA774" s="13">
        <f t="shared" si="725"/>
        <v>31</v>
      </c>
      <c r="CB774" s="13">
        <f t="shared" si="726"/>
        <v>682</v>
      </c>
      <c r="CC774" s="62">
        <f t="shared" si="727"/>
        <v>1.4662756598240469E-3</v>
      </c>
      <c r="CD774" s="13">
        <f t="shared" si="728"/>
        <v>80.531834396281482</v>
      </c>
      <c r="CE774" s="13">
        <f t="shared" si="729"/>
        <v>80</v>
      </c>
      <c r="CF774" s="13">
        <f t="shared" si="730"/>
        <v>9.0951553652938131</v>
      </c>
      <c r="CG774" s="13">
        <f t="shared" si="731"/>
        <v>9</v>
      </c>
      <c r="CH774" s="28">
        <f t="shared" si="732"/>
        <v>720</v>
      </c>
      <c r="CI774" s="62">
        <f t="shared" si="733"/>
        <v>1.3888888888888889E-3</v>
      </c>
      <c r="CJ774" s="59">
        <f t="shared" si="734"/>
        <v>1.3888888888888889E-3</v>
      </c>
      <c r="CL774" s="63">
        <v>6000</v>
      </c>
      <c r="CM774" s="63">
        <f t="shared" si="735"/>
        <v>124.73939999999999</v>
      </c>
      <c r="CN774" s="63">
        <f t="shared" si="736"/>
        <v>129.73939999999999</v>
      </c>
      <c r="CO774" s="63">
        <f t="shared" si="737"/>
        <v>46.246552704883797</v>
      </c>
      <c r="CP774" s="13">
        <f t="shared" si="738"/>
        <v>46</v>
      </c>
      <c r="CQ774" s="70">
        <f t="shared" si="739"/>
        <v>2.1739130434782608E-2</v>
      </c>
      <c r="CR774" s="69">
        <f t="shared" si="697"/>
        <v>4.3478260869565216E-2</v>
      </c>
    </row>
    <row r="775" spans="1:96" hidden="1" x14ac:dyDescent="0.25">
      <c r="A775" s="13">
        <v>4</v>
      </c>
      <c r="B775" s="14" t="s">
        <v>1785</v>
      </c>
      <c r="C775" s="13" t="s">
        <v>59</v>
      </c>
      <c r="D775" s="13" t="s">
        <v>61</v>
      </c>
      <c r="E775" s="13" t="s">
        <v>52</v>
      </c>
      <c r="F775" s="15">
        <f t="shared" si="708"/>
        <v>19</v>
      </c>
      <c r="G775" s="13">
        <v>1</v>
      </c>
      <c r="H775" s="13">
        <f>G775*$H$773</f>
        <v>2</v>
      </c>
      <c r="I775" s="13">
        <v>2</v>
      </c>
      <c r="J775" s="14" t="s">
        <v>60</v>
      </c>
      <c r="K775" s="14" t="s">
        <v>34</v>
      </c>
      <c r="L775" s="13">
        <v>0</v>
      </c>
      <c r="M775" s="14" t="s">
        <v>340</v>
      </c>
      <c r="N775" s="13" t="s">
        <v>1816</v>
      </c>
      <c r="O775" s="28"/>
      <c r="P775" s="28"/>
      <c r="Q775" s="28" t="s">
        <v>1816</v>
      </c>
      <c r="R775" s="30"/>
      <c r="S775" s="30"/>
      <c r="T775" s="30"/>
      <c r="U775" s="30"/>
      <c r="V775" s="8">
        <f t="shared" si="709"/>
        <v>0</v>
      </c>
      <c r="W775" s="8">
        <f t="shared" si="710"/>
        <v>0</v>
      </c>
      <c r="X775" s="8">
        <f t="shared" si="711"/>
        <v>0</v>
      </c>
      <c r="Y775" s="33">
        <f t="shared" si="712"/>
        <v>0</v>
      </c>
      <c r="Z775" s="28"/>
      <c r="AA775" s="28"/>
      <c r="AB775" s="28" t="s">
        <v>1816</v>
      </c>
      <c r="AC775" s="31" t="s">
        <v>62</v>
      </c>
      <c r="AD775" s="50">
        <f t="shared" si="713"/>
        <v>2</v>
      </c>
      <c r="AE775" s="47" t="s">
        <v>107</v>
      </c>
      <c r="AF775" s="51">
        <v>14</v>
      </c>
      <c r="AG775" s="51">
        <f t="shared" si="740"/>
        <v>8.4</v>
      </c>
      <c r="AH775" s="51">
        <f t="shared" si="707"/>
        <v>42</v>
      </c>
      <c r="AI775" s="52" t="s">
        <v>2497</v>
      </c>
      <c r="AJ775" s="52" t="s">
        <v>2498</v>
      </c>
      <c r="AK775" s="53">
        <f t="shared" si="741"/>
        <v>0</v>
      </c>
      <c r="AL775" s="54">
        <f t="shared" si="742"/>
        <v>0.11904761904761904</v>
      </c>
      <c r="AM775" s="54">
        <f t="shared" si="743"/>
        <v>2.3809523809523808E-2</v>
      </c>
      <c r="AN775" s="55">
        <f t="shared" si="744"/>
        <v>0</v>
      </c>
      <c r="AO775" s="55">
        <f t="shared" si="745"/>
        <v>0</v>
      </c>
      <c r="AP775" s="53">
        <v>7.1</v>
      </c>
      <c r="AQ775" s="53">
        <f t="shared" si="714"/>
        <v>4.26</v>
      </c>
      <c r="AR775" s="53">
        <f t="shared" si="715"/>
        <v>21.299999999999997</v>
      </c>
      <c r="AS775" s="56">
        <f t="shared" si="716"/>
        <v>4.6948356807511742E-2</v>
      </c>
      <c r="AT775" s="56">
        <f t="shared" si="746"/>
        <v>0.23474178403755869</v>
      </c>
      <c r="AU775" s="56">
        <f t="shared" si="717"/>
        <v>0.176056338028169</v>
      </c>
      <c r="AV775" s="56">
        <f t="shared" si="747"/>
        <v>5.8685446009389672E-2</v>
      </c>
      <c r="AW775" s="57" t="s">
        <v>2511</v>
      </c>
      <c r="AX775" s="57" t="s">
        <v>2512</v>
      </c>
      <c r="AY775" s="57" t="s">
        <v>2513</v>
      </c>
      <c r="AZ775" s="58">
        <f t="shared" si="748"/>
        <v>0</v>
      </c>
      <c r="BA775" s="59">
        <f t="shared" si="689"/>
        <v>0</v>
      </c>
      <c r="BB775" s="59">
        <f t="shared" si="690"/>
        <v>0</v>
      </c>
      <c r="BC775" s="59">
        <f t="shared" si="691"/>
        <v>0</v>
      </c>
      <c r="BD775" s="60">
        <f t="shared" si="749"/>
        <v>7.1095438516664771E-6</v>
      </c>
      <c r="BE775" s="59">
        <f t="shared" si="750"/>
        <v>1.4219087703332954E-5</v>
      </c>
      <c r="BQ775" s="61">
        <v>3000</v>
      </c>
      <c r="BR775" s="61">
        <v>1200</v>
      </c>
      <c r="BS775" s="28">
        <f t="shared" si="718"/>
        <v>2980</v>
      </c>
      <c r="BT775" s="28">
        <f t="shared" si="719"/>
        <v>1180</v>
      </c>
      <c r="BU775" s="28" t="s">
        <v>2541</v>
      </c>
      <c r="BV775" s="28">
        <f t="shared" si="720"/>
        <v>5</v>
      </c>
      <c r="BW775" s="28">
        <f t="shared" si="721"/>
        <v>5</v>
      </c>
      <c r="BX775" s="13">
        <f t="shared" si="722"/>
        <v>596</v>
      </c>
      <c r="BY775" s="13">
        <f t="shared" si="723"/>
        <v>596</v>
      </c>
      <c r="BZ775" s="13">
        <f t="shared" si="724"/>
        <v>236</v>
      </c>
      <c r="CA775" s="13">
        <f t="shared" si="725"/>
        <v>236</v>
      </c>
      <c r="CB775" s="13">
        <f t="shared" si="726"/>
        <v>140656</v>
      </c>
      <c r="CC775" s="62">
        <f t="shared" si="727"/>
        <v>7.1095438516664771E-6</v>
      </c>
      <c r="CD775" s="13">
        <f t="shared" si="728"/>
        <v>596</v>
      </c>
      <c r="CE775" s="13">
        <f t="shared" si="729"/>
        <v>596</v>
      </c>
      <c r="CF775" s="13">
        <f t="shared" si="730"/>
        <v>236</v>
      </c>
      <c r="CG775" s="13">
        <f t="shared" si="731"/>
        <v>236</v>
      </c>
      <c r="CH775" s="28">
        <f t="shared" si="732"/>
        <v>140656</v>
      </c>
      <c r="CI775" s="62">
        <f t="shared" si="733"/>
        <v>7.1095438516664771E-6</v>
      </c>
      <c r="CJ775" s="59">
        <f t="shared" si="734"/>
        <v>7.1095438516664771E-6</v>
      </c>
      <c r="CL775" s="63">
        <v>6000</v>
      </c>
      <c r="CM775" s="63">
        <f t="shared" si="735"/>
        <v>0</v>
      </c>
      <c r="CN775" s="63">
        <f t="shared" si="736"/>
        <v>5</v>
      </c>
      <c r="CO775" s="63">
        <f t="shared" si="737"/>
        <v>1200</v>
      </c>
      <c r="CP775" s="13">
        <f t="shared" si="738"/>
        <v>1200</v>
      </c>
      <c r="CQ775" s="70">
        <f t="shared" si="739"/>
        <v>8.3333333333333339E-4</v>
      </c>
      <c r="CR775" s="69">
        <f t="shared" si="697"/>
        <v>1.6666666666666668E-3</v>
      </c>
    </row>
    <row r="776" spans="1:96" hidden="1" x14ac:dyDescent="0.25">
      <c r="A776" s="10">
        <v>3</v>
      </c>
      <c r="B776" s="8" t="s">
        <v>1815</v>
      </c>
      <c r="C776" s="10" t="s">
        <v>1790</v>
      </c>
      <c r="D776" s="10" t="s">
        <v>2016</v>
      </c>
      <c r="E776" s="10" t="s">
        <v>52</v>
      </c>
      <c r="F776" s="12">
        <f t="shared" si="708"/>
        <v>5</v>
      </c>
      <c r="G776" s="10">
        <v>4</v>
      </c>
      <c r="H776" s="10">
        <f t="shared" ref="H776:H777" si="751">G776*$H$767</f>
        <v>4</v>
      </c>
      <c r="I776" s="10">
        <v>6</v>
      </c>
      <c r="J776" s="8" t="s">
        <v>1791</v>
      </c>
      <c r="K776" s="8" t="s">
        <v>34</v>
      </c>
      <c r="L776" s="10" t="s">
        <v>259</v>
      </c>
      <c r="M776" s="8" t="s">
        <v>340</v>
      </c>
      <c r="N776" s="10" t="s">
        <v>1816</v>
      </c>
      <c r="O776" s="28"/>
      <c r="P776" s="28"/>
      <c r="Q776" s="28" t="s">
        <v>1816</v>
      </c>
      <c r="R776" s="30"/>
      <c r="S776" s="30"/>
      <c r="T776" s="30"/>
      <c r="U776" s="30"/>
      <c r="V776" s="8">
        <f t="shared" si="709"/>
        <v>0</v>
      </c>
      <c r="W776" s="8">
        <f t="shared" si="710"/>
        <v>0</v>
      </c>
      <c r="X776" s="8">
        <f t="shared" si="711"/>
        <v>0</v>
      </c>
      <c r="Y776" s="33">
        <f t="shared" si="712"/>
        <v>0</v>
      </c>
      <c r="Z776" s="28"/>
      <c r="AA776" s="28"/>
      <c r="AB776" s="28" t="s">
        <v>1816</v>
      </c>
      <c r="AC776" s="31" t="s">
        <v>1792</v>
      </c>
      <c r="AD776" s="50">
        <f t="shared" si="713"/>
        <v>4</v>
      </c>
      <c r="AE776" s="31"/>
      <c r="AF776" s="51">
        <v>14</v>
      </c>
      <c r="AG776" s="51">
        <f t="shared" si="740"/>
        <v>8.4</v>
      </c>
      <c r="AH776" s="51">
        <f t="shared" si="707"/>
        <v>42</v>
      </c>
      <c r="AI776" s="52" t="s">
        <v>2497</v>
      </c>
      <c r="AJ776" s="52" t="s">
        <v>2498</v>
      </c>
      <c r="AK776" s="53">
        <f t="shared" si="741"/>
        <v>0</v>
      </c>
      <c r="AL776" s="54">
        <f t="shared" si="742"/>
        <v>0.11904761904761904</v>
      </c>
      <c r="AM776" s="54">
        <f t="shared" si="743"/>
        <v>2.3809523809523808E-2</v>
      </c>
      <c r="AN776" s="55">
        <f t="shared" si="744"/>
        <v>0</v>
      </c>
      <c r="AO776" s="55">
        <f t="shared" si="745"/>
        <v>0</v>
      </c>
      <c r="AP776" s="53">
        <v>7.1</v>
      </c>
      <c r="AQ776" s="53">
        <f t="shared" si="714"/>
        <v>4.26</v>
      </c>
      <c r="AR776" s="53">
        <f t="shared" si="715"/>
        <v>21.299999999999997</v>
      </c>
      <c r="AS776" s="56">
        <f t="shared" si="716"/>
        <v>4.6948356807511742E-2</v>
      </c>
      <c r="AT776" s="56">
        <f t="shared" si="746"/>
        <v>0.23474178403755869</v>
      </c>
      <c r="AU776" s="56">
        <f t="shared" si="717"/>
        <v>0.176056338028169</v>
      </c>
      <c r="AV776" s="56">
        <f t="shared" si="747"/>
        <v>5.8685446009389672E-2</v>
      </c>
      <c r="AW776" s="57" t="s">
        <v>2511</v>
      </c>
      <c r="AX776" s="57" t="s">
        <v>2512</v>
      </c>
      <c r="AY776" s="57" t="s">
        <v>2513</v>
      </c>
      <c r="AZ776" s="58">
        <f t="shared" si="748"/>
        <v>0</v>
      </c>
      <c r="BA776" s="59">
        <f t="shared" ref="BA776:BA793" si="752">IF(AW776&lt;&gt;0,((AV776*AD776*AK776)/2),0)</f>
        <v>0</v>
      </c>
      <c r="BB776" s="59">
        <f t="shared" ref="BB776:BB793" si="753">IF(AX776&lt;&gt;0,((AD776*AU776*AZ776)/2),0)</f>
        <v>0</v>
      </c>
      <c r="BC776" s="59">
        <f t="shared" ref="BC776:BC793" si="754">IF(AY776&lt;&gt;0,((AD776*AS776*AZ776)/2),0)</f>
        <v>0</v>
      </c>
      <c r="BD776" s="60">
        <f t="shared" si="749"/>
        <v>7.1095438516664771E-6</v>
      </c>
      <c r="BE776" s="59">
        <f t="shared" si="750"/>
        <v>2.8438175406665908E-5</v>
      </c>
      <c r="BQ776" s="61">
        <v>3000</v>
      </c>
      <c r="BR776" s="61">
        <v>1200</v>
      </c>
      <c r="BS776" s="28">
        <f t="shared" si="718"/>
        <v>2980</v>
      </c>
      <c r="BT776" s="28">
        <f t="shared" si="719"/>
        <v>1180</v>
      </c>
      <c r="BU776" s="28" t="s">
        <v>2541</v>
      </c>
      <c r="BV776" s="28">
        <f t="shared" si="720"/>
        <v>5</v>
      </c>
      <c r="BW776" s="28">
        <f t="shared" si="721"/>
        <v>5</v>
      </c>
      <c r="BX776" s="13">
        <f t="shared" si="722"/>
        <v>596</v>
      </c>
      <c r="BY776" s="13">
        <f t="shared" si="723"/>
        <v>596</v>
      </c>
      <c r="BZ776" s="13">
        <f t="shared" si="724"/>
        <v>236</v>
      </c>
      <c r="CA776" s="13">
        <f t="shared" si="725"/>
        <v>236</v>
      </c>
      <c r="CB776" s="13">
        <f t="shared" si="726"/>
        <v>140656</v>
      </c>
      <c r="CC776" s="62">
        <f t="shared" si="727"/>
        <v>7.1095438516664771E-6</v>
      </c>
      <c r="CD776" s="13">
        <f t="shared" si="728"/>
        <v>596</v>
      </c>
      <c r="CE776" s="13">
        <f t="shared" si="729"/>
        <v>596</v>
      </c>
      <c r="CF776" s="13">
        <f t="shared" si="730"/>
        <v>236</v>
      </c>
      <c r="CG776" s="13">
        <f t="shared" si="731"/>
        <v>236</v>
      </c>
      <c r="CH776" s="28">
        <f t="shared" si="732"/>
        <v>140656</v>
      </c>
      <c r="CI776" s="62">
        <f t="shared" si="733"/>
        <v>7.1095438516664771E-6</v>
      </c>
      <c r="CJ776" s="59">
        <f t="shared" si="734"/>
        <v>7.1095438516664771E-6</v>
      </c>
      <c r="CL776" s="63">
        <v>6000</v>
      </c>
      <c r="CM776" s="63">
        <f t="shared" si="735"/>
        <v>0</v>
      </c>
      <c r="CN776" s="63">
        <f t="shared" si="736"/>
        <v>5</v>
      </c>
      <c r="CO776" s="63">
        <f t="shared" si="737"/>
        <v>1200</v>
      </c>
      <c r="CP776" s="13">
        <f t="shared" si="738"/>
        <v>1200</v>
      </c>
      <c r="CQ776" s="70">
        <f t="shared" si="739"/>
        <v>8.3333333333333339E-4</v>
      </c>
      <c r="CR776" s="69">
        <f t="shared" si="697"/>
        <v>3.3333333333333335E-3</v>
      </c>
    </row>
    <row r="777" spans="1:96" hidden="1" x14ac:dyDescent="0.25">
      <c r="A777" s="10">
        <v>3</v>
      </c>
      <c r="B777" s="8" t="s">
        <v>1815</v>
      </c>
      <c r="C777" s="10" t="s">
        <v>1793</v>
      </c>
      <c r="D777" s="10" t="s">
        <v>2483</v>
      </c>
      <c r="E777" s="10" t="s">
        <v>52</v>
      </c>
      <c r="F777" s="12">
        <f t="shared" si="708"/>
        <v>3</v>
      </c>
      <c r="G777" s="10">
        <v>16</v>
      </c>
      <c r="H777" s="10">
        <f t="shared" si="751"/>
        <v>16</v>
      </c>
      <c r="I777" s="10">
        <v>7</v>
      </c>
      <c r="J777" s="8" t="s">
        <v>1794</v>
      </c>
      <c r="K777" s="8" t="s">
        <v>34</v>
      </c>
      <c r="L777" s="10" t="s">
        <v>89</v>
      </c>
      <c r="M777" s="8" t="s">
        <v>340</v>
      </c>
      <c r="N777" s="10" t="s">
        <v>1816</v>
      </c>
      <c r="O777" s="28"/>
      <c r="P777" s="28"/>
      <c r="Q777" s="28" t="s">
        <v>1816</v>
      </c>
      <c r="R777" s="30"/>
      <c r="S777" s="30"/>
      <c r="T777" s="30"/>
      <c r="U777" s="30"/>
      <c r="V777" s="8">
        <f t="shared" si="709"/>
        <v>0</v>
      </c>
      <c r="W777" s="8">
        <f t="shared" si="710"/>
        <v>0</v>
      </c>
      <c r="X777" s="8">
        <f t="shared" si="711"/>
        <v>0</v>
      </c>
      <c r="Y777" s="33">
        <f t="shared" si="712"/>
        <v>0</v>
      </c>
      <c r="Z777" s="28"/>
      <c r="AA777" s="28"/>
      <c r="AB777" s="28" t="s">
        <v>1816</v>
      </c>
      <c r="AC777" s="31" t="s">
        <v>1795</v>
      </c>
      <c r="AD777" s="50">
        <f t="shared" si="713"/>
        <v>16</v>
      </c>
      <c r="AE777" s="31"/>
      <c r="AF777" s="51">
        <v>14</v>
      </c>
      <c r="AG777" s="51">
        <f t="shared" si="740"/>
        <v>8.4</v>
      </c>
      <c r="AH777" s="51">
        <f t="shared" si="707"/>
        <v>42</v>
      </c>
      <c r="AI777" s="52" t="s">
        <v>2497</v>
      </c>
      <c r="AJ777" s="52" t="s">
        <v>2498</v>
      </c>
      <c r="AK777" s="53">
        <f t="shared" si="741"/>
        <v>0</v>
      </c>
      <c r="AL777" s="54">
        <f t="shared" si="742"/>
        <v>0.11904761904761904</v>
      </c>
      <c r="AM777" s="54">
        <f t="shared" si="743"/>
        <v>2.3809523809523808E-2</v>
      </c>
      <c r="AN777" s="55">
        <f t="shared" si="744"/>
        <v>0</v>
      </c>
      <c r="AO777" s="55">
        <f t="shared" si="745"/>
        <v>0</v>
      </c>
      <c r="AP777" s="53">
        <v>7.1</v>
      </c>
      <c r="AQ777" s="53">
        <f t="shared" si="714"/>
        <v>4.26</v>
      </c>
      <c r="AR777" s="53">
        <f t="shared" si="715"/>
        <v>21.299999999999997</v>
      </c>
      <c r="AS777" s="56">
        <f t="shared" si="716"/>
        <v>4.6948356807511742E-2</v>
      </c>
      <c r="AT777" s="56">
        <f t="shared" si="746"/>
        <v>0.23474178403755869</v>
      </c>
      <c r="AU777" s="56">
        <f t="shared" si="717"/>
        <v>0.176056338028169</v>
      </c>
      <c r="AV777" s="56">
        <f t="shared" si="747"/>
        <v>5.8685446009389672E-2</v>
      </c>
      <c r="AW777" s="57" t="s">
        <v>2511</v>
      </c>
      <c r="AX777" s="57" t="s">
        <v>2512</v>
      </c>
      <c r="AY777" s="57" t="s">
        <v>2513</v>
      </c>
      <c r="AZ777" s="58">
        <f t="shared" si="748"/>
        <v>0</v>
      </c>
      <c r="BA777" s="59">
        <f t="shared" si="752"/>
        <v>0</v>
      </c>
      <c r="BB777" s="59">
        <f t="shared" si="753"/>
        <v>0</v>
      </c>
      <c r="BC777" s="59">
        <f t="shared" si="754"/>
        <v>0</v>
      </c>
      <c r="BD777" s="60">
        <f t="shared" si="749"/>
        <v>7.1095438516664771E-6</v>
      </c>
      <c r="BE777" s="59">
        <f t="shared" si="750"/>
        <v>1.1375270162666363E-4</v>
      </c>
      <c r="BQ777" s="61">
        <v>3000</v>
      </c>
      <c r="BR777" s="61">
        <v>1200</v>
      </c>
      <c r="BS777" s="28">
        <f t="shared" si="718"/>
        <v>2980</v>
      </c>
      <c r="BT777" s="28">
        <f t="shared" si="719"/>
        <v>1180</v>
      </c>
      <c r="BU777" s="28" t="s">
        <v>2541</v>
      </c>
      <c r="BV777" s="28">
        <f t="shared" si="720"/>
        <v>5</v>
      </c>
      <c r="BW777" s="28">
        <f t="shared" si="721"/>
        <v>5</v>
      </c>
      <c r="BX777" s="13">
        <f t="shared" si="722"/>
        <v>596</v>
      </c>
      <c r="BY777" s="13">
        <f t="shared" si="723"/>
        <v>596</v>
      </c>
      <c r="BZ777" s="13">
        <f t="shared" si="724"/>
        <v>236</v>
      </c>
      <c r="CA777" s="13">
        <f t="shared" si="725"/>
        <v>236</v>
      </c>
      <c r="CB777" s="13">
        <f t="shared" si="726"/>
        <v>140656</v>
      </c>
      <c r="CC777" s="62">
        <f t="shared" si="727"/>
        <v>7.1095438516664771E-6</v>
      </c>
      <c r="CD777" s="13">
        <f t="shared" si="728"/>
        <v>596</v>
      </c>
      <c r="CE777" s="13">
        <f t="shared" si="729"/>
        <v>596</v>
      </c>
      <c r="CF777" s="13">
        <f t="shared" si="730"/>
        <v>236</v>
      </c>
      <c r="CG777" s="13">
        <f t="shared" si="731"/>
        <v>236</v>
      </c>
      <c r="CH777" s="28">
        <f t="shared" si="732"/>
        <v>140656</v>
      </c>
      <c r="CI777" s="62">
        <f t="shared" si="733"/>
        <v>7.1095438516664771E-6</v>
      </c>
      <c r="CJ777" s="59">
        <f t="shared" si="734"/>
        <v>7.1095438516664771E-6</v>
      </c>
      <c r="CL777" s="63">
        <v>6000</v>
      </c>
      <c r="CM777" s="63">
        <f t="shared" si="735"/>
        <v>0</v>
      </c>
      <c r="CN777" s="63">
        <f t="shared" si="736"/>
        <v>5</v>
      </c>
      <c r="CO777" s="63">
        <f t="shared" si="737"/>
        <v>1200</v>
      </c>
      <c r="CP777" s="13">
        <f t="shared" si="738"/>
        <v>1200</v>
      </c>
      <c r="CQ777" s="70">
        <f t="shared" si="739"/>
        <v>8.3333333333333339E-4</v>
      </c>
      <c r="CR777" s="69">
        <f t="shared" si="697"/>
        <v>1.3333333333333334E-2</v>
      </c>
    </row>
    <row r="778" spans="1:96" hidden="1" x14ac:dyDescent="0.25">
      <c r="A778" s="36">
        <v>2</v>
      </c>
      <c r="B778" s="37" t="s">
        <v>37</v>
      </c>
      <c r="C778" s="36" t="s">
        <v>1818</v>
      </c>
      <c r="D778" s="36" t="s">
        <v>2270</v>
      </c>
      <c r="E778" s="36" t="s">
        <v>52</v>
      </c>
      <c r="F778" s="38">
        <f t="shared" si="708"/>
        <v>1</v>
      </c>
      <c r="G778" s="36">
        <v>8</v>
      </c>
      <c r="H778" s="36">
        <f t="shared" ref="H778:H783" si="755">G778*$H$3</f>
        <v>8</v>
      </c>
      <c r="I778" s="36">
        <v>268</v>
      </c>
      <c r="J778" s="37" t="s">
        <v>1819</v>
      </c>
      <c r="K778" s="37" t="s">
        <v>34</v>
      </c>
      <c r="L778" s="36" t="s">
        <v>1820</v>
      </c>
      <c r="M778" s="37" t="s">
        <v>35</v>
      </c>
      <c r="N778" s="36" t="s">
        <v>1821</v>
      </c>
      <c r="O778" s="28" t="s">
        <v>41</v>
      </c>
      <c r="P778" s="28" t="s">
        <v>41</v>
      </c>
      <c r="Q778" s="28" t="s">
        <v>116</v>
      </c>
      <c r="R778" s="30">
        <v>6.3529999999999998</v>
      </c>
      <c r="S778" s="30">
        <v>2.6070000000000002</v>
      </c>
      <c r="T778" s="30"/>
      <c r="U778" s="30">
        <v>0.125</v>
      </c>
      <c r="V778" s="8">
        <f t="shared" si="709"/>
        <v>161.36619999999999</v>
      </c>
      <c r="W778" s="8">
        <f t="shared" si="710"/>
        <v>66.217799999999997</v>
      </c>
      <c r="X778" s="8">
        <f t="shared" si="711"/>
        <v>0</v>
      </c>
      <c r="Y778" s="33">
        <f t="shared" si="712"/>
        <v>3.1749999999999998</v>
      </c>
      <c r="Z778" s="28" t="s">
        <v>80</v>
      </c>
      <c r="AA778" s="28" t="s">
        <v>57</v>
      </c>
      <c r="AB778" s="28" t="s">
        <v>116</v>
      </c>
      <c r="AC778" s="31" t="s">
        <v>117</v>
      </c>
      <c r="AD778" s="50">
        <f t="shared" si="713"/>
        <v>8</v>
      </c>
      <c r="AE778" s="31"/>
      <c r="AF778" s="51">
        <v>14</v>
      </c>
      <c r="AG778" s="51">
        <f t="shared" si="740"/>
        <v>8.4</v>
      </c>
      <c r="AH778" s="51">
        <f t="shared" si="707"/>
        <v>42</v>
      </c>
      <c r="AI778" s="52" t="s">
        <v>2497</v>
      </c>
      <c r="AJ778" s="52" t="s">
        <v>2498</v>
      </c>
      <c r="AK778" s="53">
        <f t="shared" si="741"/>
        <v>2.1370629516719995E-2</v>
      </c>
      <c r="AL778" s="54">
        <f t="shared" si="742"/>
        <v>0.11904761904761904</v>
      </c>
      <c r="AM778" s="54">
        <f t="shared" si="743"/>
        <v>2.3809523809523808E-2</v>
      </c>
      <c r="AN778" s="55">
        <f t="shared" si="744"/>
        <v>2.035298049211428E-2</v>
      </c>
      <c r="AO778" s="55">
        <f t="shared" si="745"/>
        <v>4.0705960984228559E-3</v>
      </c>
      <c r="AP778" s="53">
        <v>7.1</v>
      </c>
      <c r="AQ778" s="53">
        <f t="shared" si="714"/>
        <v>4.26</v>
      </c>
      <c r="AR778" s="53">
        <f t="shared" si="715"/>
        <v>21.299999999999997</v>
      </c>
      <c r="AS778" s="56">
        <f t="shared" si="716"/>
        <v>4.6948356807511742E-2</v>
      </c>
      <c r="AT778" s="56">
        <f t="shared" si="746"/>
        <v>0.23474178403755869</v>
      </c>
      <c r="AU778" s="56">
        <f t="shared" si="717"/>
        <v>0.176056338028169</v>
      </c>
      <c r="AV778" s="56">
        <f t="shared" si="747"/>
        <v>5.8685446009389672E-2</v>
      </c>
      <c r="AW778" s="57" t="s">
        <v>2511</v>
      </c>
      <c r="AX778" s="57" t="s">
        <v>2512</v>
      </c>
      <c r="AY778" s="57" t="s">
        <v>2513</v>
      </c>
      <c r="AZ778" s="58">
        <f t="shared" si="748"/>
        <v>2.1370629516719995E-2</v>
      </c>
      <c r="BA778" s="59">
        <f t="shared" si="752"/>
        <v>5.0165796987605626E-3</v>
      </c>
      <c r="BB778" s="59">
        <f t="shared" si="753"/>
        <v>1.5049739096281685E-2</v>
      </c>
      <c r="BC778" s="59">
        <f t="shared" si="754"/>
        <v>4.0132637590084503E-3</v>
      </c>
      <c r="BD778" s="60">
        <f t="shared" si="749"/>
        <v>3.4843205574912892E-3</v>
      </c>
      <c r="BE778" s="59">
        <f t="shared" si="750"/>
        <v>2.7874564459930314E-2</v>
      </c>
      <c r="BQ778" s="61">
        <v>3000</v>
      </c>
      <c r="BR778" s="61">
        <v>1200</v>
      </c>
      <c r="BS778" s="28">
        <f t="shared" si="718"/>
        <v>2980</v>
      </c>
      <c r="BT778" s="28">
        <f t="shared" si="719"/>
        <v>1180</v>
      </c>
      <c r="BU778" s="28" t="s">
        <v>2541</v>
      </c>
      <c r="BV778" s="28">
        <f t="shared" si="720"/>
        <v>166.36619999999999</v>
      </c>
      <c r="BW778" s="28">
        <f t="shared" si="721"/>
        <v>71.217799999999997</v>
      </c>
      <c r="BX778" s="13">
        <f t="shared" si="722"/>
        <v>17.912292280523328</v>
      </c>
      <c r="BY778" s="13">
        <f t="shared" si="723"/>
        <v>17</v>
      </c>
      <c r="BZ778" s="13">
        <f t="shared" si="724"/>
        <v>16.56889148499392</v>
      </c>
      <c r="CA778" s="13">
        <f t="shared" si="725"/>
        <v>16</v>
      </c>
      <c r="CB778" s="13">
        <f t="shared" si="726"/>
        <v>272</v>
      </c>
      <c r="CC778" s="62">
        <f t="shared" si="727"/>
        <v>3.6764705882352941E-3</v>
      </c>
      <c r="CD778" s="13">
        <f t="shared" si="728"/>
        <v>41.843471716340581</v>
      </c>
      <c r="CE778" s="13">
        <f t="shared" si="729"/>
        <v>41</v>
      </c>
      <c r="CF778" s="13">
        <f t="shared" si="730"/>
        <v>7.0927868761803783</v>
      </c>
      <c r="CG778" s="13">
        <f t="shared" si="731"/>
        <v>7</v>
      </c>
      <c r="CH778" s="28">
        <f t="shared" si="732"/>
        <v>287</v>
      </c>
      <c r="CI778" s="62">
        <f t="shared" si="733"/>
        <v>3.4843205574912892E-3</v>
      </c>
      <c r="CJ778" s="59">
        <f t="shared" si="734"/>
        <v>3.4843205574912892E-3</v>
      </c>
      <c r="CL778" s="63">
        <v>6000</v>
      </c>
      <c r="CM778" s="63">
        <f t="shared" si="735"/>
        <v>161.36619999999999</v>
      </c>
      <c r="CN778" s="63">
        <f t="shared" si="736"/>
        <v>166.36619999999999</v>
      </c>
      <c r="CO778" s="63">
        <f t="shared" si="737"/>
        <v>36.0650180144765</v>
      </c>
      <c r="CP778" s="13">
        <f t="shared" si="738"/>
        <v>36</v>
      </c>
      <c r="CQ778" s="70">
        <f t="shared" si="739"/>
        <v>2.7777777777777776E-2</v>
      </c>
      <c r="CR778" s="69">
        <f t="shared" si="697"/>
        <v>0.22222222222222221</v>
      </c>
    </row>
    <row r="779" spans="1:96" hidden="1" x14ac:dyDescent="0.25">
      <c r="A779" s="36">
        <v>2</v>
      </c>
      <c r="B779" s="37" t="s">
        <v>37</v>
      </c>
      <c r="C779" s="36" t="s">
        <v>1822</v>
      </c>
      <c r="D779" s="36" t="s">
        <v>1824</v>
      </c>
      <c r="E779" s="36" t="s">
        <v>52</v>
      </c>
      <c r="F779" s="38">
        <f t="shared" si="708"/>
        <v>1</v>
      </c>
      <c r="G779" s="36">
        <v>8</v>
      </c>
      <c r="H779" s="36">
        <f t="shared" si="755"/>
        <v>8</v>
      </c>
      <c r="I779" s="36">
        <v>269</v>
      </c>
      <c r="J779" s="37" t="s">
        <v>1823</v>
      </c>
      <c r="K779" s="37" t="s">
        <v>34</v>
      </c>
      <c r="L779" s="36">
        <v>0</v>
      </c>
      <c r="M779" s="37" t="s">
        <v>35</v>
      </c>
      <c r="N779" s="36" t="s">
        <v>1824</v>
      </c>
      <c r="O779" s="28"/>
      <c r="P779" s="28"/>
      <c r="Q779" s="28" t="s">
        <v>1824</v>
      </c>
      <c r="R779" s="30"/>
      <c r="S779" s="30"/>
      <c r="T779" s="30"/>
      <c r="U779" s="30"/>
      <c r="V779" s="8">
        <f t="shared" si="709"/>
        <v>0</v>
      </c>
      <c r="W779" s="8">
        <f t="shared" si="710"/>
        <v>0</v>
      </c>
      <c r="X779" s="8">
        <f t="shared" si="711"/>
        <v>0</v>
      </c>
      <c r="Y779" s="33">
        <f t="shared" si="712"/>
        <v>0</v>
      </c>
      <c r="Z779" s="28"/>
      <c r="AA779" s="28"/>
      <c r="AB779" s="61" t="s">
        <v>1824</v>
      </c>
      <c r="AC779" s="31" t="s">
        <v>1825</v>
      </c>
      <c r="AD779" s="50">
        <f t="shared" si="713"/>
        <v>8</v>
      </c>
      <c r="AE779" s="31"/>
      <c r="AF779" s="51">
        <v>14</v>
      </c>
      <c r="AG779" s="51">
        <f t="shared" si="740"/>
        <v>8.4</v>
      </c>
      <c r="AH779" s="51">
        <f t="shared" si="707"/>
        <v>42</v>
      </c>
      <c r="AI779" s="52" t="s">
        <v>2497</v>
      </c>
      <c r="AJ779" s="52" t="s">
        <v>2498</v>
      </c>
      <c r="AK779" s="53">
        <f t="shared" si="741"/>
        <v>0</v>
      </c>
      <c r="AL779" s="54">
        <f t="shared" si="742"/>
        <v>0.11904761904761904</v>
      </c>
      <c r="AM779" s="54">
        <f t="shared" si="743"/>
        <v>2.3809523809523808E-2</v>
      </c>
      <c r="AN779" s="55">
        <f t="shared" si="744"/>
        <v>0</v>
      </c>
      <c r="AO779" s="55">
        <f t="shared" si="745"/>
        <v>0</v>
      </c>
      <c r="AP779" s="53">
        <v>7.1</v>
      </c>
      <c r="AQ779" s="53">
        <f t="shared" si="714"/>
        <v>4.26</v>
      </c>
      <c r="AR779" s="53">
        <f t="shared" si="715"/>
        <v>21.299999999999997</v>
      </c>
      <c r="AS779" s="56">
        <f t="shared" si="716"/>
        <v>4.6948356807511742E-2</v>
      </c>
      <c r="AT779" s="56">
        <f t="shared" si="746"/>
        <v>0.23474178403755869</v>
      </c>
      <c r="AU779" s="56">
        <f t="shared" si="717"/>
        <v>0.176056338028169</v>
      </c>
      <c r="AV779" s="56">
        <f t="shared" si="747"/>
        <v>5.8685446009389672E-2</v>
      </c>
      <c r="AW779" s="57" t="s">
        <v>2511</v>
      </c>
      <c r="AX779" s="57" t="s">
        <v>2512</v>
      </c>
      <c r="AY779" s="57" t="s">
        <v>2513</v>
      </c>
      <c r="AZ779" s="58">
        <f t="shared" si="748"/>
        <v>0</v>
      </c>
      <c r="BA779" s="59">
        <f t="shared" si="752"/>
        <v>0</v>
      </c>
      <c r="BB779" s="59">
        <f t="shared" si="753"/>
        <v>0</v>
      </c>
      <c r="BC779" s="59">
        <f t="shared" si="754"/>
        <v>0</v>
      </c>
      <c r="BD779" s="60">
        <f t="shared" si="749"/>
        <v>7.1095438516664771E-6</v>
      </c>
      <c r="BE779" s="59">
        <f t="shared" si="750"/>
        <v>5.6876350813331817E-5</v>
      </c>
      <c r="BQ779" s="61">
        <v>3000</v>
      </c>
      <c r="BR779" s="61">
        <v>1200</v>
      </c>
      <c r="BS779" s="28">
        <f t="shared" si="718"/>
        <v>2980</v>
      </c>
      <c r="BT779" s="28">
        <f t="shared" si="719"/>
        <v>1180</v>
      </c>
      <c r="BU779" s="28" t="s">
        <v>2541</v>
      </c>
      <c r="BV779" s="28">
        <f t="shared" si="720"/>
        <v>5</v>
      </c>
      <c r="BW779" s="28">
        <f t="shared" si="721"/>
        <v>5</v>
      </c>
      <c r="BX779" s="13">
        <f t="shared" si="722"/>
        <v>596</v>
      </c>
      <c r="BY779" s="13">
        <f t="shared" si="723"/>
        <v>596</v>
      </c>
      <c r="BZ779" s="13">
        <f t="shared" si="724"/>
        <v>236</v>
      </c>
      <c r="CA779" s="13">
        <f t="shared" si="725"/>
        <v>236</v>
      </c>
      <c r="CB779" s="13">
        <f t="shared" si="726"/>
        <v>140656</v>
      </c>
      <c r="CC779" s="62">
        <f t="shared" si="727"/>
        <v>7.1095438516664771E-6</v>
      </c>
      <c r="CD779" s="13">
        <f t="shared" si="728"/>
        <v>596</v>
      </c>
      <c r="CE779" s="13">
        <f t="shared" si="729"/>
        <v>596</v>
      </c>
      <c r="CF779" s="13">
        <f t="shared" si="730"/>
        <v>236</v>
      </c>
      <c r="CG779" s="13">
        <f t="shared" si="731"/>
        <v>236</v>
      </c>
      <c r="CH779" s="28">
        <f t="shared" si="732"/>
        <v>140656</v>
      </c>
      <c r="CI779" s="62">
        <f t="shared" si="733"/>
        <v>7.1095438516664771E-6</v>
      </c>
      <c r="CJ779" s="59">
        <f t="shared" si="734"/>
        <v>7.1095438516664771E-6</v>
      </c>
      <c r="CL779" s="63">
        <v>6000</v>
      </c>
      <c r="CM779" s="63">
        <f t="shared" si="735"/>
        <v>0</v>
      </c>
      <c r="CN779" s="63">
        <f t="shared" si="736"/>
        <v>5</v>
      </c>
      <c r="CO779" s="63">
        <f t="shared" si="737"/>
        <v>1200</v>
      </c>
      <c r="CP779" s="13">
        <f t="shared" si="738"/>
        <v>1200</v>
      </c>
      <c r="CQ779" s="70">
        <f t="shared" si="739"/>
        <v>8.3333333333333339E-4</v>
      </c>
      <c r="CR779" s="69">
        <f t="shared" si="697"/>
        <v>6.6666666666666671E-3</v>
      </c>
    </row>
    <row r="780" spans="1:96" hidden="1" x14ac:dyDescent="0.25">
      <c r="A780" s="36">
        <v>2</v>
      </c>
      <c r="B780" s="37" t="s">
        <v>37</v>
      </c>
      <c r="C780" s="36" t="s">
        <v>1826</v>
      </c>
      <c r="D780" s="36" t="s">
        <v>1828</v>
      </c>
      <c r="E780" s="36" t="s">
        <v>52</v>
      </c>
      <c r="F780" s="38">
        <f t="shared" si="708"/>
        <v>1</v>
      </c>
      <c r="G780" s="36">
        <v>6</v>
      </c>
      <c r="H780" s="36">
        <f t="shared" si="755"/>
        <v>6</v>
      </c>
      <c r="I780" s="36">
        <v>270</v>
      </c>
      <c r="J780" s="37" t="s">
        <v>1827</v>
      </c>
      <c r="K780" s="37" t="s">
        <v>34</v>
      </c>
      <c r="L780" s="36">
        <v>0</v>
      </c>
      <c r="M780" s="37" t="s">
        <v>35</v>
      </c>
      <c r="N780" s="36" t="s">
        <v>1828</v>
      </c>
      <c r="O780" s="28"/>
      <c r="P780" s="28"/>
      <c r="Q780" s="28" t="s">
        <v>1828</v>
      </c>
      <c r="R780" s="30"/>
      <c r="S780" s="30"/>
      <c r="T780" s="30"/>
      <c r="U780" s="30"/>
      <c r="V780" s="8">
        <f t="shared" si="709"/>
        <v>0</v>
      </c>
      <c r="W780" s="8">
        <f t="shared" si="710"/>
        <v>0</v>
      </c>
      <c r="X780" s="8">
        <f t="shared" si="711"/>
        <v>0</v>
      </c>
      <c r="Y780" s="33">
        <f t="shared" si="712"/>
        <v>0</v>
      </c>
      <c r="Z780" s="28"/>
      <c r="AA780" s="28"/>
      <c r="AB780" s="61" t="s">
        <v>1828</v>
      </c>
      <c r="AC780" s="31" t="s">
        <v>1829</v>
      </c>
      <c r="AD780" s="50">
        <f t="shared" si="713"/>
        <v>6</v>
      </c>
      <c r="AE780" s="47" t="s">
        <v>1830</v>
      </c>
      <c r="AF780" s="51">
        <v>14</v>
      </c>
      <c r="AG780" s="51">
        <f t="shared" si="740"/>
        <v>8.4</v>
      </c>
      <c r="AH780" s="51">
        <f t="shared" si="707"/>
        <v>42</v>
      </c>
      <c r="AI780" s="52" t="s">
        <v>2497</v>
      </c>
      <c r="AJ780" s="52" t="s">
        <v>2498</v>
      </c>
      <c r="AK780" s="53">
        <f t="shared" si="741"/>
        <v>0</v>
      </c>
      <c r="AL780" s="54">
        <f t="shared" si="742"/>
        <v>0.11904761904761904</v>
      </c>
      <c r="AM780" s="54">
        <f t="shared" si="743"/>
        <v>2.3809523809523808E-2</v>
      </c>
      <c r="AN780" s="55">
        <f t="shared" si="744"/>
        <v>0</v>
      </c>
      <c r="AO780" s="55">
        <f t="shared" si="745"/>
        <v>0</v>
      </c>
      <c r="AP780" s="53">
        <v>7.1</v>
      </c>
      <c r="AQ780" s="53">
        <f t="shared" si="714"/>
        <v>4.26</v>
      </c>
      <c r="AR780" s="53">
        <f t="shared" si="715"/>
        <v>21.299999999999997</v>
      </c>
      <c r="AS780" s="56">
        <f t="shared" si="716"/>
        <v>4.6948356807511742E-2</v>
      </c>
      <c r="AT780" s="56">
        <f t="shared" si="746"/>
        <v>0.23474178403755869</v>
      </c>
      <c r="AU780" s="56">
        <f t="shared" si="717"/>
        <v>0.176056338028169</v>
      </c>
      <c r="AV780" s="56">
        <f t="shared" si="747"/>
        <v>5.8685446009389672E-2</v>
      </c>
      <c r="AW780" s="57" t="s">
        <v>2511</v>
      </c>
      <c r="AX780" s="57" t="s">
        <v>2512</v>
      </c>
      <c r="AY780" s="57" t="s">
        <v>2513</v>
      </c>
      <c r="AZ780" s="58">
        <f t="shared" si="748"/>
        <v>0</v>
      </c>
      <c r="BA780" s="59">
        <f t="shared" si="752"/>
        <v>0</v>
      </c>
      <c r="BB780" s="59">
        <f t="shared" si="753"/>
        <v>0</v>
      </c>
      <c r="BC780" s="59">
        <f t="shared" si="754"/>
        <v>0</v>
      </c>
      <c r="BD780" s="60">
        <f t="shared" si="749"/>
        <v>7.1095438516664771E-6</v>
      </c>
      <c r="BE780" s="59">
        <f t="shared" si="750"/>
        <v>4.2657263109998864E-5</v>
      </c>
      <c r="BQ780" s="61">
        <v>3000</v>
      </c>
      <c r="BR780" s="61">
        <v>1200</v>
      </c>
      <c r="BS780" s="28">
        <f t="shared" si="718"/>
        <v>2980</v>
      </c>
      <c r="BT780" s="28">
        <f t="shared" si="719"/>
        <v>1180</v>
      </c>
      <c r="BU780" s="28" t="s">
        <v>2541</v>
      </c>
      <c r="BV780" s="28">
        <f t="shared" si="720"/>
        <v>5</v>
      </c>
      <c r="BW780" s="28">
        <f t="shared" si="721"/>
        <v>5</v>
      </c>
      <c r="BX780" s="13">
        <f t="shared" si="722"/>
        <v>596</v>
      </c>
      <c r="BY780" s="13">
        <f t="shared" si="723"/>
        <v>596</v>
      </c>
      <c r="BZ780" s="13">
        <f t="shared" si="724"/>
        <v>236</v>
      </c>
      <c r="CA780" s="13">
        <f t="shared" si="725"/>
        <v>236</v>
      </c>
      <c r="CB780" s="13">
        <f t="shared" si="726"/>
        <v>140656</v>
      </c>
      <c r="CC780" s="62">
        <f t="shared" si="727"/>
        <v>7.1095438516664771E-6</v>
      </c>
      <c r="CD780" s="13">
        <f t="shared" si="728"/>
        <v>596</v>
      </c>
      <c r="CE780" s="13">
        <f t="shared" si="729"/>
        <v>596</v>
      </c>
      <c r="CF780" s="13">
        <f t="shared" si="730"/>
        <v>236</v>
      </c>
      <c r="CG780" s="13">
        <f t="shared" si="731"/>
        <v>236</v>
      </c>
      <c r="CH780" s="28">
        <f t="shared" si="732"/>
        <v>140656</v>
      </c>
      <c r="CI780" s="62">
        <f t="shared" si="733"/>
        <v>7.1095438516664771E-6</v>
      </c>
      <c r="CJ780" s="59">
        <f t="shared" si="734"/>
        <v>7.1095438516664771E-6</v>
      </c>
      <c r="CL780" s="63">
        <v>6000</v>
      </c>
      <c r="CM780" s="63">
        <f t="shared" si="735"/>
        <v>0</v>
      </c>
      <c r="CN780" s="63">
        <f t="shared" si="736"/>
        <v>5</v>
      </c>
      <c r="CO780" s="63">
        <f t="shared" si="737"/>
        <v>1200</v>
      </c>
      <c r="CP780" s="13">
        <f t="shared" si="738"/>
        <v>1200</v>
      </c>
      <c r="CQ780" s="70">
        <f t="shared" si="739"/>
        <v>8.3333333333333339E-4</v>
      </c>
      <c r="CR780" s="69">
        <f t="shared" si="697"/>
        <v>5.0000000000000001E-3</v>
      </c>
    </row>
    <row r="781" spans="1:96" hidden="1" x14ac:dyDescent="0.25">
      <c r="A781" s="36">
        <v>2</v>
      </c>
      <c r="B781" s="37" t="s">
        <v>37</v>
      </c>
      <c r="C781" s="36" t="s">
        <v>765</v>
      </c>
      <c r="D781" s="36" t="s">
        <v>767</v>
      </c>
      <c r="E781" s="36" t="s">
        <v>52</v>
      </c>
      <c r="F781" s="38">
        <f t="shared" si="708"/>
        <v>2</v>
      </c>
      <c r="G781" s="36">
        <v>8</v>
      </c>
      <c r="H781" s="36">
        <f t="shared" si="755"/>
        <v>8</v>
      </c>
      <c r="I781" s="36">
        <v>271</v>
      </c>
      <c r="J781" s="37" t="s">
        <v>766</v>
      </c>
      <c r="K781" s="37" t="s">
        <v>34</v>
      </c>
      <c r="L781" s="36">
        <v>0</v>
      </c>
      <c r="M781" s="37" t="s">
        <v>35</v>
      </c>
      <c r="N781" s="36" t="s">
        <v>767</v>
      </c>
      <c r="O781" s="28"/>
      <c r="P781" s="28"/>
      <c r="Q781" s="28" t="s">
        <v>767</v>
      </c>
      <c r="R781" s="30"/>
      <c r="S781" s="30"/>
      <c r="T781" s="30"/>
      <c r="U781" s="30"/>
      <c r="V781" s="8">
        <f t="shared" si="709"/>
        <v>0</v>
      </c>
      <c r="W781" s="8">
        <f t="shared" si="710"/>
        <v>0</v>
      </c>
      <c r="X781" s="8">
        <f t="shared" si="711"/>
        <v>0</v>
      </c>
      <c r="Y781" s="33">
        <f t="shared" si="712"/>
        <v>0</v>
      </c>
      <c r="Z781" s="28"/>
      <c r="AA781" s="28"/>
      <c r="AB781" s="61" t="s">
        <v>767</v>
      </c>
      <c r="AC781" s="31" t="s">
        <v>768</v>
      </c>
      <c r="AD781" s="50">
        <f t="shared" si="713"/>
        <v>8</v>
      </c>
      <c r="AE781" s="31"/>
      <c r="AF781" s="51">
        <v>14</v>
      </c>
      <c r="AG781" s="51">
        <f t="shared" si="740"/>
        <v>8.4</v>
      </c>
      <c r="AH781" s="51">
        <f t="shared" si="707"/>
        <v>42</v>
      </c>
      <c r="AI781" s="52" t="s">
        <v>2497</v>
      </c>
      <c r="AJ781" s="52" t="s">
        <v>2498</v>
      </c>
      <c r="AK781" s="53">
        <f t="shared" si="741"/>
        <v>0</v>
      </c>
      <c r="AL781" s="54">
        <f t="shared" si="742"/>
        <v>0.11904761904761904</v>
      </c>
      <c r="AM781" s="54">
        <f t="shared" si="743"/>
        <v>2.3809523809523808E-2</v>
      </c>
      <c r="AN781" s="55">
        <f t="shared" si="744"/>
        <v>0</v>
      </c>
      <c r="AO781" s="55">
        <f t="shared" si="745"/>
        <v>0</v>
      </c>
      <c r="AP781" s="53">
        <v>7.1</v>
      </c>
      <c r="AQ781" s="53">
        <f t="shared" si="714"/>
        <v>4.26</v>
      </c>
      <c r="AR781" s="53">
        <f t="shared" si="715"/>
        <v>21.299999999999997</v>
      </c>
      <c r="AS781" s="56">
        <f t="shared" si="716"/>
        <v>4.6948356807511742E-2</v>
      </c>
      <c r="AT781" s="56">
        <f t="shared" si="746"/>
        <v>0.23474178403755869</v>
      </c>
      <c r="AU781" s="56">
        <f t="shared" si="717"/>
        <v>0.176056338028169</v>
      </c>
      <c r="AV781" s="56">
        <f t="shared" si="747"/>
        <v>5.8685446009389672E-2</v>
      </c>
      <c r="AW781" s="57" t="s">
        <v>2511</v>
      </c>
      <c r="AX781" s="57" t="s">
        <v>2512</v>
      </c>
      <c r="AY781" s="57" t="s">
        <v>2513</v>
      </c>
      <c r="AZ781" s="58">
        <f t="shared" si="748"/>
        <v>0</v>
      </c>
      <c r="BA781" s="59">
        <f t="shared" si="752"/>
        <v>0</v>
      </c>
      <c r="BB781" s="59">
        <f t="shared" si="753"/>
        <v>0</v>
      </c>
      <c r="BC781" s="59">
        <f t="shared" si="754"/>
        <v>0</v>
      </c>
      <c r="BD781" s="60">
        <f t="shared" si="749"/>
        <v>7.1095438516664771E-6</v>
      </c>
      <c r="BE781" s="59">
        <f t="shared" si="750"/>
        <v>5.6876350813331817E-5</v>
      </c>
      <c r="BQ781" s="61">
        <v>3000</v>
      </c>
      <c r="BR781" s="61">
        <v>1200</v>
      </c>
      <c r="BS781" s="28">
        <f t="shared" si="718"/>
        <v>2980</v>
      </c>
      <c r="BT781" s="28">
        <f t="shared" si="719"/>
        <v>1180</v>
      </c>
      <c r="BU781" s="28" t="s">
        <v>2541</v>
      </c>
      <c r="BV781" s="28">
        <f t="shared" si="720"/>
        <v>5</v>
      </c>
      <c r="BW781" s="28">
        <f t="shared" si="721"/>
        <v>5</v>
      </c>
      <c r="BX781" s="13">
        <f t="shared" si="722"/>
        <v>596</v>
      </c>
      <c r="BY781" s="13">
        <f t="shared" si="723"/>
        <v>596</v>
      </c>
      <c r="BZ781" s="13">
        <f t="shared" si="724"/>
        <v>236</v>
      </c>
      <c r="CA781" s="13">
        <f t="shared" si="725"/>
        <v>236</v>
      </c>
      <c r="CB781" s="13">
        <f t="shared" si="726"/>
        <v>140656</v>
      </c>
      <c r="CC781" s="62">
        <f t="shared" si="727"/>
        <v>7.1095438516664771E-6</v>
      </c>
      <c r="CD781" s="13">
        <f t="shared" si="728"/>
        <v>596</v>
      </c>
      <c r="CE781" s="13">
        <f t="shared" si="729"/>
        <v>596</v>
      </c>
      <c r="CF781" s="13">
        <f t="shared" si="730"/>
        <v>236</v>
      </c>
      <c r="CG781" s="13">
        <f t="shared" si="731"/>
        <v>236</v>
      </c>
      <c r="CH781" s="28">
        <f t="shared" si="732"/>
        <v>140656</v>
      </c>
      <c r="CI781" s="62">
        <f t="shared" si="733"/>
        <v>7.1095438516664771E-6</v>
      </c>
      <c r="CJ781" s="59">
        <f t="shared" si="734"/>
        <v>7.1095438516664771E-6</v>
      </c>
      <c r="CL781" s="63">
        <v>6000</v>
      </c>
      <c r="CM781" s="63">
        <f t="shared" si="735"/>
        <v>0</v>
      </c>
      <c r="CN781" s="63">
        <f t="shared" si="736"/>
        <v>5</v>
      </c>
      <c r="CO781" s="63">
        <f t="shared" si="737"/>
        <v>1200</v>
      </c>
      <c r="CP781" s="13">
        <f t="shared" si="738"/>
        <v>1200</v>
      </c>
      <c r="CQ781" s="70">
        <f t="shared" si="739"/>
        <v>8.3333333333333339E-4</v>
      </c>
      <c r="CR781" s="69">
        <f t="shared" si="697"/>
        <v>6.6666666666666671E-3</v>
      </c>
    </row>
    <row r="782" spans="1:96" hidden="1" x14ac:dyDescent="0.25">
      <c r="A782" s="36">
        <v>2</v>
      </c>
      <c r="B782" s="37" t="s">
        <v>37</v>
      </c>
      <c r="C782" s="36" t="s">
        <v>1334</v>
      </c>
      <c r="D782" s="36" t="s">
        <v>1336</v>
      </c>
      <c r="E782" s="36" t="s">
        <v>52</v>
      </c>
      <c r="F782" s="38">
        <f t="shared" si="708"/>
        <v>2</v>
      </c>
      <c r="G782" s="36">
        <v>6</v>
      </c>
      <c r="H782" s="36">
        <f t="shared" si="755"/>
        <v>6</v>
      </c>
      <c r="I782" s="36">
        <v>272</v>
      </c>
      <c r="J782" s="37" t="s">
        <v>1335</v>
      </c>
      <c r="K782" s="37" t="s">
        <v>34</v>
      </c>
      <c r="L782" s="36">
        <v>0</v>
      </c>
      <c r="M782" s="37" t="s">
        <v>35</v>
      </c>
      <c r="N782" s="36" t="s">
        <v>1336</v>
      </c>
      <c r="O782" s="28"/>
      <c r="P782" s="28"/>
      <c r="Q782" s="28" t="s">
        <v>1336</v>
      </c>
      <c r="R782" s="30"/>
      <c r="S782" s="30"/>
      <c r="T782" s="30"/>
      <c r="U782" s="30"/>
      <c r="V782" s="8">
        <f t="shared" si="709"/>
        <v>0</v>
      </c>
      <c r="W782" s="8">
        <f t="shared" si="710"/>
        <v>0</v>
      </c>
      <c r="X782" s="8">
        <f t="shared" si="711"/>
        <v>0</v>
      </c>
      <c r="Y782" s="33">
        <f t="shared" si="712"/>
        <v>0</v>
      </c>
      <c r="Z782" s="28"/>
      <c r="AA782" s="28"/>
      <c r="AB782" s="61" t="s">
        <v>1336</v>
      </c>
      <c r="AC782" s="31" t="s">
        <v>1337</v>
      </c>
      <c r="AD782" s="50">
        <f t="shared" si="713"/>
        <v>6</v>
      </c>
      <c r="AE782" s="31"/>
      <c r="AF782" s="51">
        <v>14</v>
      </c>
      <c r="AG782" s="51">
        <f t="shared" si="740"/>
        <v>8.4</v>
      </c>
      <c r="AH782" s="51">
        <f t="shared" si="707"/>
        <v>42</v>
      </c>
      <c r="AI782" s="52" t="s">
        <v>2497</v>
      </c>
      <c r="AJ782" s="52" t="s">
        <v>2498</v>
      </c>
      <c r="AK782" s="53">
        <f t="shared" si="741"/>
        <v>0</v>
      </c>
      <c r="AL782" s="54">
        <f t="shared" si="742"/>
        <v>0.11904761904761904</v>
      </c>
      <c r="AM782" s="54">
        <f t="shared" si="743"/>
        <v>2.3809523809523808E-2</v>
      </c>
      <c r="AN782" s="55">
        <f t="shared" si="744"/>
        <v>0</v>
      </c>
      <c r="AO782" s="55">
        <f t="shared" si="745"/>
        <v>0</v>
      </c>
      <c r="AP782" s="53">
        <v>7.1</v>
      </c>
      <c r="AQ782" s="53">
        <f t="shared" si="714"/>
        <v>4.26</v>
      </c>
      <c r="AR782" s="53">
        <f t="shared" si="715"/>
        <v>21.299999999999997</v>
      </c>
      <c r="AS782" s="56">
        <f t="shared" si="716"/>
        <v>4.6948356807511742E-2</v>
      </c>
      <c r="AT782" s="56">
        <f t="shared" si="746"/>
        <v>0.23474178403755869</v>
      </c>
      <c r="AU782" s="56">
        <f t="shared" si="717"/>
        <v>0.176056338028169</v>
      </c>
      <c r="AV782" s="56">
        <f t="shared" si="747"/>
        <v>5.8685446009389672E-2</v>
      </c>
      <c r="AW782" s="57" t="s">
        <v>2511</v>
      </c>
      <c r="AX782" s="57" t="s">
        <v>2512</v>
      </c>
      <c r="AY782" s="57" t="s">
        <v>2513</v>
      </c>
      <c r="AZ782" s="58">
        <f t="shared" si="748"/>
        <v>0</v>
      </c>
      <c r="BA782" s="59">
        <f t="shared" si="752"/>
        <v>0</v>
      </c>
      <c r="BB782" s="59">
        <f t="shared" si="753"/>
        <v>0</v>
      </c>
      <c r="BC782" s="59">
        <f t="shared" si="754"/>
        <v>0</v>
      </c>
      <c r="BD782" s="60">
        <f t="shared" si="749"/>
        <v>7.1095438516664771E-6</v>
      </c>
      <c r="BE782" s="59">
        <f t="shared" si="750"/>
        <v>4.2657263109998864E-5</v>
      </c>
      <c r="BQ782" s="61">
        <v>3000</v>
      </c>
      <c r="BR782" s="61">
        <v>1200</v>
      </c>
      <c r="BS782" s="28">
        <f t="shared" si="718"/>
        <v>2980</v>
      </c>
      <c r="BT782" s="28">
        <f t="shared" si="719"/>
        <v>1180</v>
      </c>
      <c r="BU782" s="28" t="s">
        <v>2541</v>
      </c>
      <c r="BV782" s="28">
        <f t="shared" si="720"/>
        <v>5</v>
      </c>
      <c r="BW782" s="28">
        <f t="shared" si="721"/>
        <v>5</v>
      </c>
      <c r="BX782" s="13">
        <f t="shared" si="722"/>
        <v>596</v>
      </c>
      <c r="BY782" s="13">
        <f t="shared" si="723"/>
        <v>596</v>
      </c>
      <c r="BZ782" s="13">
        <f t="shared" si="724"/>
        <v>236</v>
      </c>
      <c r="CA782" s="13">
        <f t="shared" si="725"/>
        <v>236</v>
      </c>
      <c r="CB782" s="13">
        <f t="shared" si="726"/>
        <v>140656</v>
      </c>
      <c r="CC782" s="62">
        <f t="shared" si="727"/>
        <v>7.1095438516664771E-6</v>
      </c>
      <c r="CD782" s="13">
        <f t="shared" si="728"/>
        <v>596</v>
      </c>
      <c r="CE782" s="13">
        <f t="shared" si="729"/>
        <v>596</v>
      </c>
      <c r="CF782" s="13">
        <f t="shared" si="730"/>
        <v>236</v>
      </c>
      <c r="CG782" s="13">
        <f t="shared" si="731"/>
        <v>236</v>
      </c>
      <c r="CH782" s="28">
        <f t="shared" si="732"/>
        <v>140656</v>
      </c>
      <c r="CI782" s="62">
        <f t="shared" si="733"/>
        <v>7.1095438516664771E-6</v>
      </c>
      <c r="CJ782" s="59">
        <f t="shared" si="734"/>
        <v>7.1095438516664771E-6</v>
      </c>
      <c r="CL782" s="63">
        <v>6000</v>
      </c>
      <c r="CM782" s="63">
        <f t="shared" si="735"/>
        <v>0</v>
      </c>
      <c r="CN782" s="63">
        <f t="shared" si="736"/>
        <v>5</v>
      </c>
      <c r="CO782" s="63">
        <f t="shared" si="737"/>
        <v>1200</v>
      </c>
      <c r="CP782" s="13">
        <f t="shared" si="738"/>
        <v>1200</v>
      </c>
      <c r="CQ782" s="70">
        <f t="shared" si="739"/>
        <v>8.3333333333333339E-4</v>
      </c>
      <c r="CR782" s="69">
        <f t="shared" si="697"/>
        <v>5.0000000000000001E-3</v>
      </c>
    </row>
    <row r="783" spans="1:96" hidden="1" x14ac:dyDescent="0.25">
      <c r="A783" s="36">
        <v>2</v>
      </c>
      <c r="B783" s="37" t="s">
        <v>37</v>
      </c>
      <c r="C783" s="36" t="s">
        <v>1831</v>
      </c>
      <c r="D783" s="36" t="s">
        <v>2270</v>
      </c>
      <c r="E783" s="36" t="s">
        <v>32</v>
      </c>
      <c r="F783" s="38">
        <f t="shared" si="708"/>
        <v>1</v>
      </c>
      <c r="G783" s="36">
        <v>1</v>
      </c>
      <c r="H783" s="36">
        <f t="shared" si="755"/>
        <v>1</v>
      </c>
      <c r="I783" s="36">
        <v>273</v>
      </c>
      <c r="J783" s="37" t="s">
        <v>1832</v>
      </c>
      <c r="K783" s="37" t="s">
        <v>34</v>
      </c>
      <c r="L783" s="36">
        <v>0</v>
      </c>
      <c r="M783" s="37" t="s">
        <v>35</v>
      </c>
      <c r="N783" s="36" t="s">
        <v>1833</v>
      </c>
      <c r="O783" s="28" t="s">
        <v>41</v>
      </c>
      <c r="P783" s="28" t="s">
        <v>41</v>
      </c>
      <c r="Q783" s="28"/>
      <c r="R783" s="30"/>
      <c r="S783" s="30"/>
      <c r="T783" s="30"/>
      <c r="U783" s="30"/>
      <c r="V783" s="8">
        <f t="shared" si="709"/>
        <v>0</v>
      </c>
      <c r="W783" s="8">
        <f t="shared" si="710"/>
        <v>0</v>
      </c>
      <c r="X783" s="8">
        <f t="shared" si="711"/>
        <v>0</v>
      </c>
      <c r="Y783" s="33">
        <f t="shared" si="712"/>
        <v>0</v>
      </c>
      <c r="Z783" s="28"/>
      <c r="AA783" s="28"/>
      <c r="AB783" s="28">
        <v>0</v>
      </c>
      <c r="AC783" s="31"/>
      <c r="AD783" s="50">
        <f t="shared" si="713"/>
        <v>1</v>
      </c>
      <c r="AE783" s="31"/>
      <c r="AF783" s="51">
        <v>14</v>
      </c>
      <c r="AG783" s="51">
        <f t="shared" si="740"/>
        <v>8.4</v>
      </c>
      <c r="AH783" s="51">
        <f t="shared" si="707"/>
        <v>42</v>
      </c>
      <c r="AI783" s="52" t="s">
        <v>2497</v>
      </c>
      <c r="AJ783" s="52" t="s">
        <v>2498</v>
      </c>
      <c r="AK783" s="53">
        <f t="shared" si="741"/>
        <v>0</v>
      </c>
      <c r="AL783" s="54">
        <f t="shared" si="742"/>
        <v>0.11904761904761904</v>
      </c>
      <c r="AM783" s="54">
        <f t="shared" si="743"/>
        <v>2.3809523809523808E-2</v>
      </c>
      <c r="AN783" s="55">
        <f t="shared" si="744"/>
        <v>0</v>
      </c>
      <c r="AO783" s="55">
        <f t="shared" si="745"/>
        <v>0</v>
      </c>
      <c r="AP783" s="53">
        <v>7.1</v>
      </c>
      <c r="AQ783" s="53">
        <f t="shared" si="714"/>
        <v>4.26</v>
      </c>
      <c r="AR783" s="53">
        <f t="shared" si="715"/>
        <v>21.299999999999997</v>
      </c>
      <c r="AS783" s="56">
        <f t="shared" si="716"/>
        <v>4.6948356807511742E-2</v>
      </c>
      <c r="AT783" s="56">
        <f t="shared" si="746"/>
        <v>0.23474178403755869</v>
      </c>
      <c r="AU783" s="56">
        <f t="shared" si="717"/>
        <v>0.176056338028169</v>
      </c>
      <c r="AV783" s="56">
        <f t="shared" si="747"/>
        <v>5.8685446009389672E-2</v>
      </c>
      <c r="AW783" s="57" t="s">
        <v>2511</v>
      </c>
      <c r="AX783" s="57" t="s">
        <v>2512</v>
      </c>
      <c r="AY783" s="57" t="s">
        <v>2513</v>
      </c>
      <c r="AZ783" s="58">
        <f t="shared" si="748"/>
        <v>0</v>
      </c>
      <c r="BA783" s="59">
        <f t="shared" si="752"/>
        <v>0</v>
      </c>
      <c r="BB783" s="59">
        <f t="shared" si="753"/>
        <v>0</v>
      </c>
      <c r="BC783" s="59">
        <f t="shared" si="754"/>
        <v>0</v>
      </c>
      <c r="BD783" s="60">
        <f t="shared" si="749"/>
        <v>0</v>
      </c>
      <c r="BE783" s="59">
        <f t="shared" si="750"/>
        <v>0</v>
      </c>
      <c r="BQ783" s="61">
        <v>3000</v>
      </c>
      <c r="BR783" s="61">
        <v>1200</v>
      </c>
      <c r="BS783" s="28">
        <f t="shared" si="718"/>
        <v>2980</v>
      </c>
      <c r="BT783" s="28">
        <f t="shared" si="719"/>
        <v>1180</v>
      </c>
      <c r="BU783" s="28" t="s">
        <v>2541</v>
      </c>
      <c r="BV783" s="28">
        <f t="shared" si="720"/>
        <v>5</v>
      </c>
      <c r="BW783" s="28">
        <f t="shared" si="721"/>
        <v>5</v>
      </c>
      <c r="BX783" s="13">
        <f t="shared" si="722"/>
        <v>596</v>
      </c>
      <c r="BY783" s="13">
        <f t="shared" si="723"/>
        <v>596</v>
      </c>
      <c r="BZ783" s="13">
        <f t="shared" si="724"/>
        <v>236</v>
      </c>
      <c r="CA783" s="13">
        <f t="shared" si="725"/>
        <v>236</v>
      </c>
      <c r="CB783" s="13">
        <f t="shared" si="726"/>
        <v>140656</v>
      </c>
      <c r="CC783" s="62" t="str">
        <f t="shared" si="727"/>
        <v/>
      </c>
      <c r="CD783" s="13">
        <f t="shared" si="728"/>
        <v>596</v>
      </c>
      <c r="CE783" s="13">
        <f t="shared" si="729"/>
        <v>596</v>
      </c>
      <c r="CF783" s="13">
        <f t="shared" si="730"/>
        <v>236</v>
      </c>
      <c r="CG783" s="13">
        <f t="shared" si="731"/>
        <v>236</v>
      </c>
      <c r="CH783" s="28">
        <f t="shared" si="732"/>
        <v>140656</v>
      </c>
      <c r="CI783" s="62" t="str">
        <f t="shared" si="733"/>
        <v/>
      </c>
      <c r="CJ783" s="59">
        <f t="shared" si="734"/>
        <v>0</v>
      </c>
      <c r="CL783" s="63">
        <v>6000</v>
      </c>
      <c r="CM783" s="63">
        <f t="shared" si="735"/>
        <v>0</v>
      </c>
      <c r="CN783" s="63">
        <f t="shared" si="736"/>
        <v>5</v>
      </c>
      <c r="CO783" s="63">
        <f t="shared" si="737"/>
        <v>1200</v>
      </c>
      <c r="CP783" s="13">
        <f t="shared" si="738"/>
        <v>1200</v>
      </c>
      <c r="CQ783" s="70">
        <f t="shared" si="739"/>
        <v>8.3333333333333339E-4</v>
      </c>
      <c r="CR783" s="69">
        <f t="shared" si="697"/>
        <v>8.3333333333333339E-4</v>
      </c>
    </row>
    <row r="784" spans="1:96" hidden="1" x14ac:dyDescent="0.25">
      <c r="A784" s="10">
        <v>3</v>
      </c>
      <c r="B784" s="8" t="s">
        <v>1834</v>
      </c>
      <c r="C784" s="10" t="s">
        <v>1835</v>
      </c>
      <c r="D784" s="10" t="s">
        <v>2270</v>
      </c>
      <c r="E784" s="10" t="s">
        <v>32</v>
      </c>
      <c r="F784" s="12">
        <f t="shared" si="708"/>
        <v>1</v>
      </c>
      <c r="G784" s="10">
        <v>1</v>
      </c>
      <c r="H784" s="10">
        <f>G784*$H$783</f>
        <v>1</v>
      </c>
      <c r="I784" s="10">
        <v>10</v>
      </c>
      <c r="J784" s="8" t="s">
        <v>1832</v>
      </c>
      <c r="K784" s="8" t="s">
        <v>34</v>
      </c>
      <c r="L784" s="10">
        <v>0</v>
      </c>
      <c r="M784" s="8" t="s">
        <v>35</v>
      </c>
      <c r="N784" s="10" t="s">
        <v>1836</v>
      </c>
      <c r="O784" s="28" t="s">
        <v>41</v>
      </c>
      <c r="P784" s="28" t="s">
        <v>41</v>
      </c>
      <c r="Q784" s="28"/>
      <c r="R784" s="30"/>
      <c r="S784" s="30"/>
      <c r="T784" s="30"/>
      <c r="U784" s="30"/>
      <c r="V784" s="8">
        <f t="shared" si="709"/>
        <v>0</v>
      </c>
      <c r="W784" s="8">
        <f t="shared" si="710"/>
        <v>0</v>
      </c>
      <c r="X784" s="8">
        <f t="shared" si="711"/>
        <v>0</v>
      </c>
      <c r="Y784" s="33">
        <f t="shared" si="712"/>
        <v>0</v>
      </c>
      <c r="Z784" s="28"/>
      <c r="AA784" s="28"/>
      <c r="AB784" s="28">
        <v>0</v>
      </c>
      <c r="AC784" s="31"/>
      <c r="AD784" s="50">
        <f t="shared" si="713"/>
        <v>1</v>
      </c>
      <c r="AE784" s="31"/>
      <c r="AF784" s="51">
        <v>14</v>
      </c>
      <c r="AG784" s="51">
        <f t="shared" si="740"/>
        <v>8.4</v>
      </c>
      <c r="AH784" s="51">
        <f t="shared" si="707"/>
        <v>42</v>
      </c>
      <c r="AI784" s="52" t="s">
        <v>2497</v>
      </c>
      <c r="AJ784" s="52" t="s">
        <v>2498</v>
      </c>
      <c r="AK784" s="53">
        <f t="shared" si="741"/>
        <v>0</v>
      </c>
      <c r="AL784" s="54">
        <f t="shared" si="742"/>
        <v>0.11904761904761904</v>
      </c>
      <c r="AM784" s="54">
        <f t="shared" si="743"/>
        <v>2.3809523809523808E-2</v>
      </c>
      <c r="AN784" s="55">
        <f t="shared" si="744"/>
        <v>0</v>
      </c>
      <c r="AO784" s="55">
        <f t="shared" si="745"/>
        <v>0</v>
      </c>
      <c r="AP784" s="53">
        <v>7.1</v>
      </c>
      <c r="AQ784" s="53">
        <f t="shared" si="714"/>
        <v>4.26</v>
      </c>
      <c r="AR784" s="53">
        <f t="shared" si="715"/>
        <v>21.299999999999997</v>
      </c>
      <c r="AS784" s="56">
        <f t="shared" si="716"/>
        <v>4.6948356807511742E-2</v>
      </c>
      <c r="AT784" s="56">
        <f t="shared" si="746"/>
        <v>0.23474178403755869</v>
      </c>
      <c r="AU784" s="56">
        <f t="shared" si="717"/>
        <v>0.176056338028169</v>
      </c>
      <c r="AV784" s="56">
        <f t="shared" si="747"/>
        <v>5.8685446009389672E-2</v>
      </c>
      <c r="AW784" s="57" t="s">
        <v>2511</v>
      </c>
      <c r="AX784" s="57" t="s">
        <v>2512</v>
      </c>
      <c r="AY784" s="57" t="s">
        <v>2513</v>
      </c>
      <c r="AZ784" s="58">
        <f t="shared" si="748"/>
        <v>0</v>
      </c>
      <c r="BA784" s="59">
        <f t="shared" si="752"/>
        <v>0</v>
      </c>
      <c r="BB784" s="59">
        <f t="shared" si="753"/>
        <v>0</v>
      </c>
      <c r="BC784" s="59">
        <f t="shared" si="754"/>
        <v>0</v>
      </c>
      <c r="BD784" s="60">
        <f t="shared" si="749"/>
        <v>0</v>
      </c>
      <c r="BE784" s="59">
        <f t="shared" si="750"/>
        <v>0</v>
      </c>
      <c r="BQ784" s="61">
        <v>3000</v>
      </c>
      <c r="BR784" s="61">
        <v>1200</v>
      </c>
      <c r="BS784" s="28">
        <f t="shared" si="718"/>
        <v>2980</v>
      </c>
      <c r="BT784" s="28">
        <f t="shared" si="719"/>
        <v>1180</v>
      </c>
      <c r="BU784" s="28" t="s">
        <v>2541</v>
      </c>
      <c r="BV784" s="28">
        <f t="shared" si="720"/>
        <v>5</v>
      </c>
      <c r="BW784" s="28">
        <f t="shared" si="721"/>
        <v>5</v>
      </c>
      <c r="BX784" s="13">
        <f t="shared" si="722"/>
        <v>596</v>
      </c>
      <c r="BY784" s="13">
        <f t="shared" si="723"/>
        <v>596</v>
      </c>
      <c r="BZ784" s="13">
        <f t="shared" si="724"/>
        <v>236</v>
      </c>
      <c r="CA784" s="13">
        <f t="shared" si="725"/>
        <v>236</v>
      </c>
      <c r="CB784" s="13">
        <f t="shared" si="726"/>
        <v>140656</v>
      </c>
      <c r="CC784" s="62" t="str">
        <f t="shared" si="727"/>
        <v/>
      </c>
      <c r="CD784" s="13">
        <f t="shared" si="728"/>
        <v>596</v>
      </c>
      <c r="CE784" s="13">
        <f t="shared" si="729"/>
        <v>596</v>
      </c>
      <c r="CF784" s="13">
        <f t="shared" si="730"/>
        <v>236</v>
      </c>
      <c r="CG784" s="13">
        <f t="shared" si="731"/>
        <v>236</v>
      </c>
      <c r="CH784" s="28">
        <f t="shared" si="732"/>
        <v>140656</v>
      </c>
      <c r="CI784" s="62" t="str">
        <f t="shared" si="733"/>
        <v/>
      </c>
      <c r="CJ784" s="59">
        <f t="shared" si="734"/>
        <v>0</v>
      </c>
      <c r="CL784" s="63">
        <v>6000</v>
      </c>
      <c r="CM784" s="63">
        <f t="shared" si="735"/>
        <v>0</v>
      </c>
      <c r="CN784" s="63">
        <f t="shared" si="736"/>
        <v>5</v>
      </c>
      <c r="CO784" s="63">
        <f t="shared" si="737"/>
        <v>1200</v>
      </c>
      <c r="CP784" s="13">
        <f t="shared" si="738"/>
        <v>1200</v>
      </c>
      <c r="CQ784" s="70">
        <f t="shared" si="739"/>
        <v>8.3333333333333339E-4</v>
      </c>
      <c r="CR784" s="69">
        <f t="shared" si="697"/>
        <v>8.3333333333333339E-4</v>
      </c>
    </row>
    <row r="785" spans="1:96" hidden="1" x14ac:dyDescent="0.25">
      <c r="A785" s="13">
        <v>4</v>
      </c>
      <c r="B785" s="14" t="s">
        <v>1837</v>
      </c>
      <c r="C785" s="13" t="s">
        <v>1838</v>
      </c>
      <c r="D785" s="13" t="s">
        <v>2270</v>
      </c>
      <c r="E785" s="13" t="s">
        <v>52</v>
      </c>
      <c r="F785" s="15">
        <f t="shared" si="708"/>
        <v>1</v>
      </c>
      <c r="G785" s="13">
        <v>1</v>
      </c>
      <c r="H785" s="13">
        <f>G785*$H$784</f>
        <v>1</v>
      </c>
      <c r="I785" s="13">
        <v>1</v>
      </c>
      <c r="J785" s="14" t="s">
        <v>393</v>
      </c>
      <c r="K785" s="14" t="s">
        <v>34</v>
      </c>
      <c r="L785" s="13">
        <v>0</v>
      </c>
      <c r="M785" s="14" t="s">
        <v>35</v>
      </c>
      <c r="N785" s="13" t="s">
        <v>1839</v>
      </c>
      <c r="O785" s="28"/>
      <c r="P785" s="28"/>
      <c r="Q785" s="28" t="s">
        <v>1178</v>
      </c>
      <c r="R785" s="30">
        <v>23</v>
      </c>
      <c r="S785" s="30">
        <v>18.521999999999998</v>
      </c>
      <c r="T785" s="30"/>
      <c r="U785" s="30">
        <v>0.17699999999999999</v>
      </c>
      <c r="V785" s="8">
        <f t="shared" si="709"/>
        <v>584.19999999999993</v>
      </c>
      <c r="W785" s="8">
        <f t="shared" si="710"/>
        <v>470.45879999999994</v>
      </c>
      <c r="X785" s="8">
        <f t="shared" si="711"/>
        <v>0</v>
      </c>
      <c r="Y785" s="33">
        <f t="shared" si="712"/>
        <v>4.4957999999999991</v>
      </c>
      <c r="Z785" s="28" t="s">
        <v>56</v>
      </c>
      <c r="AA785" s="28" t="s">
        <v>57</v>
      </c>
      <c r="AB785" s="61" t="s">
        <v>1178</v>
      </c>
      <c r="AC785" s="31" t="s">
        <v>1179</v>
      </c>
      <c r="AD785" s="50">
        <f t="shared" si="713"/>
        <v>1</v>
      </c>
      <c r="AE785" s="31"/>
      <c r="AF785" s="51">
        <v>14</v>
      </c>
      <c r="AG785" s="51">
        <f t="shared" si="740"/>
        <v>8.4</v>
      </c>
      <c r="AH785" s="51">
        <f t="shared" si="707"/>
        <v>42</v>
      </c>
      <c r="AI785" s="52" t="s">
        <v>2497</v>
      </c>
      <c r="AJ785" s="52" t="s">
        <v>2498</v>
      </c>
      <c r="AK785" s="53">
        <f t="shared" si="741"/>
        <v>0.54968406191999986</v>
      </c>
      <c r="AL785" s="54">
        <f t="shared" si="742"/>
        <v>0.11904761904761904</v>
      </c>
      <c r="AM785" s="54">
        <f t="shared" si="743"/>
        <v>2.3809523809523808E-2</v>
      </c>
      <c r="AN785" s="55">
        <f t="shared" si="744"/>
        <v>6.543857879999998E-2</v>
      </c>
      <c r="AO785" s="55">
        <f t="shared" si="745"/>
        <v>1.3087715759999995E-2</v>
      </c>
      <c r="AP785" s="53">
        <v>7.1</v>
      </c>
      <c r="AQ785" s="53">
        <f t="shared" si="714"/>
        <v>4.26</v>
      </c>
      <c r="AR785" s="53">
        <f t="shared" si="715"/>
        <v>21.299999999999997</v>
      </c>
      <c r="AS785" s="56">
        <f t="shared" si="716"/>
        <v>4.6948356807511742E-2</v>
      </c>
      <c r="AT785" s="56">
        <f t="shared" si="746"/>
        <v>0.23474178403755869</v>
      </c>
      <c r="AU785" s="56">
        <f t="shared" si="717"/>
        <v>0.176056338028169</v>
      </c>
      <c r="AV785" s="56">
        <f t="shared" si="747"/>
        <v>5.8685446009389672E-2</v>
      </c>
      <c r="AW785" s="57" t="s">
        <v>2511</v>
      </c>
      <c r="AX785" s="57" t="s">
        <v>2512</v>
      </c>
      <c r="AY785" s="57" t="s">
        <v>2513</v>
      </c>
      <c r="AZ785" s="58">
        <f t="shared" si="748"/>
        <v>0.54968406191999986</v>
      </c>
      <c r="BA785" s="59">
        <f t="shared" si="752"/>
        <v>1.612922716901408E-2</v>
      </c>
      <c r="BB785" s="59">
        <f t="shared" si="753"/>
        <v>4.8387681507042236E-2</v>
      </c>
      <c r="BC785" s="59">
        <f t="shared" si="754"/>
        <v>1.2903381735211265E-2</v>
      </c>
      <c r="BD785" s="60">
        <f t="shared" si="749"/>
        <v>8.3333333333333329E-2</v>
      </c>
      <c r="BE785" s="59">
        <f t="shared" si="750"/>
        <v>8.3333333333333329E-2</v>
      </c>
      <c r="BQ785" s="61">
        <v>3000</v>
      </c>
      <c r="BR785" s="61">
        <v>1200</v>
      </c>
      <c r="BS785" s="28">
        <f t="shared" si="718"/>
        <v>2980</v>
      </c>
      <c r="BT785" s="28">
        <f t="shared" si="719"/>
        <v>1180</v>
      </c>
      <c r="BU785" s="28" t="s">
        <v>2541</v>
      </c>
      <c r="BV785" s="28">
        <f t="shared" si="720"/>
        <v>589.19999999999993</v>
      </c>
      <c r="BW785" s="28">
        <f t="shared" si="721"/>
        <v>475.45879999999994</v>
      </c>
      <c r="BX785" s="13">
        <f t="shared" si="722"/>
        <v>5.0577053632043452</v>
      </c>
      <c r="BY785" s="13">
        <f t="shared" si="723"/>
        <v>5</v>
      </c>
      <c r="BZ785" s="13">
        <f t="shared" si="724"/>
        <v>2.4818133558575424</v>
      </c>
      <c r="CA785" s="13">
        <f t="shared" si="725"/>
        <v>2</v>
      </c>
      <c r="CB785" s="13">
        <f t="shared" si="726"/>
        <v>10</v>
      </c>
      <c r="CC785" s="62">
        <f t="shared" si="727"/>
        <v>0.1</v>
      </c>
      <c r="CD785" s="13">
        <f t="shared" si="728"/>
        <v>6.267630339369048</v>
      </c>
      <c r="CE785" s="13">
        <f t="shared" si="729"/>
        <v>6</v>
      </c>
      <c r="CF785" s="13">
        <f t="shared" si="730"/>
        <v>2.0027155465037341</v>
      </c>
      <c r="CG785" s="13">
        <f t="shared" si="731"/>
        <v>2</v>
      </c>
      <c r="CH785" s="28">
        <f t="shared" si="732"/>
        <v>12</v>
      </c>
      <c r="CI785" s="62">
        <f t="shared" si="733"/>
        <v>8.3333333333333329E-2</v>
      </c>
      <c r="CJ785" s="59">
        <f t="shared" si="734"/>
        <v>8.3333333333333329E-2</v>
      </c>
      <c r="CL785" s="63">
        <v>6000</v>
      </c>
      <c r="CM785" s="63">
        <f t="shared" si="735"/>
        <v>584.19999999999993</v>
      </c>
      <c r="CN785" s="63">
        <f t="shared" si="736"/>
        <v>589.19999999999993</v>
      </c>
      <c r="CO785" s="63">
        <f t="shared" si="737"/>
        <v>10.183299389002038</v>
      </c>
      <c r="CP785" s="13">
        <f t="shared" si="738"/>
        <v>10</v>
      </c>
      <c r="CQ785" s="70">
        <f t="shared" si="739"/>
        <v>0.1</v>
      </c>
      <c r="CR785" s="69">
        <f t="shared" si="697"/>
        <v>0.1</v>
      </c>
    </row>
    <row r="786" spans="1:96" hidden="1" x14ac:dyDescent="0.25">
      <c r="A786" s="13">
        <v>4</v>
      </c>
      <c r="B786" s="14" t="s">
        <v>1837</v>
      </c>
      <c r="C786" s="13" t="s">
        <v>71</v>
      </c>
      <c r="D786" s="13" t="s">
        <v>73</v>
      </c>
      <c r="E786" s="13" t="s">
        <v>52</v>
      </c>
      <c r="F786" s="15">
        <f t="shared" si="708"/>
        <v>3</v>
      </c>
      <c r="G786" s="13">
        <v>2</v>
      </c>
      <c r="H786" s="13">
        <f t="shared" ref="H786:H787" si="756">G786*$H$784</f>
        <v>2</v>
      </c>
      <c r="I786" s="13">
        <v>2</v>
      </c>
      <c r="J786" s="14" t="s">
        <v>72</v>
      </c>
      <c r="K786" s="14" t="s">
        <v>34</v>
      </c>
      <c r="L786" s="13">
        <v>0</v>
      </c>
      <c r="M786" s="14" t="s">
        <v>35</v>
      </c>
      <c r="N786" s="13" t="s">
        <v>73</v>
      </c>
      <c r="O786" s="28"/>
      <c r="P786" s="28"/>
      <c r="Q786" s="28" t="s">
        <v>73</v>
      </c>
      <c r="R786" s="30"/>
      <c r="S786" s="30"/>
      <c r="T786" s="30"/>
      <c r="U786" s="30"/>
      <c r="V786" s="8">
        <f t="shared" si="709"/>
        <v>0</v>
      </c>
      <c r="W786" s="8">
        <f t="shared" si="710"/>
        <v>0</v>
      </c>
      <c r="X786" s="8">
        <f t="shared" si="711"/>
        <v>0</v>
      </c>
      <c r="Y786" s="33">
        <f t="shared" si="712"/>
        <v>0</v>
      </c>
      <c r="Z786" s="28"/>
      <c r="AA786" s="28"/>
      <c r="AB786" s="61" t="s">
        <v>73</v>
      </c>
      <c r="AC786" s="31" t="s">
        <v>74</v>
      </c>
      <c r="AD786" s="50">
        <f t="shared" si="713"/>
        <v>2</v>
      </c>
      <c r="AE786" s="31"/>
      <c r="AF786" s="51">
        <v>14</v>
      </c>
      <c r="AG786" s="51">
        <f t="shared" si="740"/>
        <v>8.4</v>
      </c>
      <c r="AH786" s="51">
        <f t="shared" si="707"/>
        <v>42</v>
      </c>
      <c r="AI786" s="52" t="s">
        <v>2497</v>
      </c>
      <c r="AJ786" s="52" t="s">
        <v>2498</v>
      </c>
      <c r="AK786" s="53">
        <f t="shared" si="741"/>
        <v>0</v>
      </c>
      <c r="AL786" s="54">
        <f t="shared" si="742"/>
        <v>0.11904761904761904</v>
      </c>
      <c r="AM786" s="54">
        <f t="shared" si="743"/>
        <v>2.3809523809523808E-2</v>
      </c>
      <c r="AN786" s="55">
        <f t="shared" si="744"/>
        <v>0</v>
      </c>
      <c r="AO786" s="55">
        <f t="shared" si="745"/>
        <v>0</v>
      </c>
      <c r="AP786" s="53">
        <v>7.1</v>
      </c>
      <c r="AQ786" s="53">
        <f t="shared" si="714"/>
        <v>4.26</v>
      </c>
      <c r="AR786" s="53">
        <f t="shared" si="715"/>
        <v>21.299999999999997</v>
      </c>
      <c r="AS786" s="56">
        <f t="shared" si="716"/>
        <v>4.6948356807511742E-2</v>
      </c>
      <c r="AT786" s="56">
        <f t="shared" si="746"/>
        <v>0.23474178403755869</v>
      </c>
      <c r="AU786" s="56">
        <f t="shared" si="717"/>
        <v>0.176056338028169</v>
      </c>
      <c r="AV786" s="56">
        <f t="shared" si="747"/>
        <v>5.8685446009389672E-2</v>
      </c>
      <c r="AW786" s="57" t="s">
        <v>2511</v>
      </c>
      <c r="AX786" s="57" t="s">
        <v>2512</v>
      </c>
      <c r="AY786" s="57" t="s">
        <v>2513</v>
      </c>
      <c r="AZ786" s="58">
        <f t="shared" si="748"/>
        <v>0</v>
      </c>
      <c r="BA786" s="59">
        <f t="shared" si="752"/>
        <v>0</v>
      </c>
      <c r="BB786" s="59">
        <f t="shared" si="753"/>
        <v>0</v>
      </c>
      <c r="BC786" s="59">
        <f t="shared" si="754"/>
        <v>0</v>
      </c>
      <c r="BD786" s="60">
        <f t="shared" si="749"/>
        <v>7.1095438516664771E-6</v>
      </c>
      <c r="BE786" s="59">
        <f t="shared" si="750"/>
        <v>1.4219087703332954E-5</v>
      </c>
      <c r="BQ786" s="61">
        <v>3000</v>
      </c>
      <c r="BR786" s="61">
        <v>1200</v>
      </c>
      <c r="BS786" s="28">
        <f t="shared" si="718"/>
        <v>2980</v>
      </c>
      <c r="BT786" s="28">
        <f t="shared" si="719"/>
        <v>1180</v>
      </c>
      <c r="BU786" s="28" t="s">
        <v>2541</v>
      </c>
      <c r="BV786" s="28">
        <f t="shared" si="720"/>
        <v>5</v>
      </c>
      <c r="BW786" s="28">
        <f t="shared" si="721"/>
        <v>5</v>
      </c>
      <c r="BX786" s="13">
        <f t="shared" si="722"/>
        <v>596</v>
      </c>
      <c r="BY786" s="13">
        <f t="shared" si="723"/>
        <v>596</v>
      </c>
      <c r="BZ786" s="13">
        <f t="shared" si="724"/>
        <v>236</v>
      </c>
      <c r="CA786" s="13">
        <f t="shared" si="725"/>
        <v>236</v>
      </c>
      <c r="CB786" s="13">
        <f t="shared" si="726"/>
        <v>140656</v>
      </c>
      <c r="CC786" s="62">
        <f t="shared" si="727"/>
        <v>7.1095438516664771E-6</v>
      </c>
      <c r="CD786" s="13">
        <f t="shared" si="728"/>
        <v>596</v>
      </c>
      <c r="CE786" s="13">
        <f t="shared" si="729"/>
        <v>596</v>
      </c>
      <c r="CF786" s="13">
        <f t="shared" si="730"/>
        <v>236</v>
      </c>
      <c r="CG786" s="13">
        <f t="shared" si="731"/>
        <v>236</v>
      </c>
      <c r="CH786" s="28">
        <f t="shared" si="732"/>
        <v>140656</v>
      </c>
      <c r="CI786" s="62">
        <f t="shared" si="733"/>
        <v>7.1095438516664771E-6</v>
      </c>
      <c r="CJ786" s="59">
        <f t="shared" si="734"/>
        <v>7.1095438516664771E-6</v>
      </c>
      <c r="CL786" s="63">
        <v>6000</v>
      </c>
      <c r="CM786" s="63">
        <f t="shared" si="735"/>
        <v>0</v>
      </c>
      <c r="CN786" s="63">
        <f t="shared" si="736"/>
        <v>5</v>
      </c>
      <c r="CO786" s="63">
        <f t="shared" si="737"/>
        <v>1200</v>
      </c>
      <c r="CP786" s="13">
        <f t="shared" si="738"/>
        <v>1200</v>
      </c>
      <c r="CQ786" s="70">
        <f t="shared" si="739"/>
        <v>8.3333333333333339E-4</v>
      </c>
      <c r="CR786" s="69">
        <f t="shared" si="697"/>
        <v>1.6666666666666668E-3</v>
      </c>
    </row>
    <row r="787" spans="1:96" hidden="1" x14ac:dyDescent="0.25">
      <c r="A787" s="13">
        <v>4</v>
      </c>
      <c r="B787" s="14" t="s">
        <v>1837</v>
      </c>
      <c r="C787" s="13" t="s">
        <v>1840</v>
      </c>
      <c r="D787" s="13" t="s">
        <v>1842</v>
      </c>
      <c r="E787" s="13" t="s">
        <v>52</v>
      </c>
      <c r="F787" s="15">
        <f t="shared" si="708"/>
        <v>1</v>
      </c>
      <c r="G787" s="13">
        <v>2</v>
      </c>
      <c r="H787" s="13">
        <f t="shared" si="756"/>
        <v>2</v>
      </c>
      <c r="I787" s="13">
        <v>3</v>
      </c>
      <c r="J787" s="14" t="s">
        <v>1841</v>
      </c>
      <c r="K787" s="14" t="s">
        <v>34</v>
      </c>
      <c r="L787" s="13">
        <v>0</v>
      </c>
      <c r="M787" s="14" t="s">
        <v>35</v>
      </c>
      <c r="N787" s="13" t="s">
        <v>1842</v>
      </c>
      <c r="O787" s="28"/>
      <c r="P787" s="28"/>
      <c r="Q787" s="28" t="s">
        <v>1842</v>
      </c>
      <c r="R787" s="30"/>
      <c r="S787" s="30"/>
      <c r="T787" s="30"/>
      <c r="U787" s="30"/>
      <c r="V787" s="8">
        <f t="shared" si="709"/>
        <v>0</v>
      </c>
      <c r="W787" s="8">
        <f t="shared" si="710"/>
        <v>0</v>
      </c>
      <c r="X787" s="8">
        <f t="shared" si="711"/>
        <v>0</v>
      </c>
      <c r="Y787" s="33">
        <f t="shared" si="712"/>
        <v>0</v>
      </c>
      <c r="Z787" s="28"/>
      <c r="AA787" s="28"/>
      <c r="AB787" s="61" t="s">
        <v>1842</v>
      </c>
      <c r="AC787" s="31" t="s">
        <v>1843</v>
      </c>
      <c r="AD787" s="50">
        <f t="shared" si="713"/>
        <v>2</v>
      </c>
      <c r="AE787" s="31"/>
      <c r="AF787" s="51">
        <v>14</v>
      </c>
      <c r="AG787" s="51">
        <f t="shared" si="740"/>
        <v>8.4</v>
      </c>
      <c r="AH787" s="51">
        <f t="shared" si="707"/>
        <v>42</v>
      </c>
      <c r="AI787" s="52" t="s">
        <v>2497</v>
      </c>
      <c r="AJ787" s="52" t="s">
        <v>2498</v>
      </c>
      <c r="AK787" s="53">
        <f t="shared" si="741"/>
        <v>0</v>
      </c>
      <c r="AL787" s="54">
        <f t="shared" si="742"/>
        <v>0.11904761904761904</v>
      </c>
      <c r="AM787" s="54">
        <f t="shared" si="743"/>
        <v>2.3809523809523808E-2</v>
      </c>
      <c r="AN787" s="55">
        <f t="shared" si="744"/>
        <v>0</v>
      </c>
      <c r="AO787" s="55">
        <f t="shared" si="745"/>
        <v>0</v>
      </c>
      <c r="AP787" s="53">
        <v>7.1</v>
      </c>
      <c r="AQ787" s="53">
        <f t="shared" si="714"/>
        <v>4.26</v>
      </c>
      <c r="AR787" s="53">
        <f t="shared" si="715"/>
        <v>21.299999999999997</v>
      </c>
      <c r="AS787" s="56">
        <f t="shared" si="716"/>
        <v>4.6948356807511742E-2</v>
      </c>
      <c r="AT787" s="56">
        <f t="shared" si="746"/>
        <v>0.23474178403755869</v>
      </c>
      <c r="AU787" s="56">
        <f t="shared" si="717"/>
        <v>0.176056338028169</v>
      </c>
      <c r="AV787" s="56">
        <f t="shared" si="747"/>
        <v>5.8685446009389672E-2</v>
      </c>
      <c r="AW787" s="57" t="s">
        <v>2511</v>
      </c>
      <c r="AX787" s="57" t="s">
        <v>2512</v>
      </c>
      <c r="AY787" s="57" t="s">
        <v>2513</v>
      </c>
      <c r="AZ787" s="58">
        <f t="shared" si="748"/>
        <v>0</v>
      </c>
      <c r="BA787" s="59">
        <f t="shared" si="752"/>
        <v>0</v>
      </c>
      <c r="BB787" s="59">
        <f t="shared" si="753"/>
        <v>0</v>
      </c>
      <c r="BC787" s="59">
        <f t="shared" si="754"/>
        <v>0</v>
      </c>
      <c r="BD787" s="60">
        <f t="shared" si="749"/>
        <v>7.1095438516664771E-6</v>
      </c>
      <c r="BE787" s="59">
        <f t="shared" si="750"/>
        <v>1.4219087703332954E-5</v>
      </c>
      <c r="BQ787" s="61">
        <v>3000</v>
      </c>
      <c r="BR787" s="61">
        <v>1200</v>
      </c>
      <c r="BS787" s="28">
        <f t="shared" si="718"/>
        <v>2980</v>
      </c>
      <c r="BT787" s="28">
        <f t="shared" si="719"/>
        <v>1180</v>
      </c>
      <c r="BU787" s="28" t="s">
        <v>2541</v>
      </c>
      <c r="BV787" s="28">
        <f t="shared" si="720"/>
        <v>5</v>
      </c>
      <c r="BW787" s="28">
        <f t="shared" si="721"/>
        <v>5</v>
      </c>
      <c r="BX787" s="13">
        <f t="shared" si="722"/>
        <v>596</v>
      </c>
      <c r="BY787" s="13">
        <f t="shared" si="723"/>
        <v>596</v>
      </c>
      <c r="BZ787" s="13">
        <f t="shared" si="724"/>
        <v>236</v>
      </c>
      <c r="CA787" s="13">
        <f t="shared" si="725"/>
        <v>236</v>
      </c>
      <c r="CB787" s="13">
        <f t="shared" si="726"/>
        <v>140656</v>
      </c>
      <c r="CC787" s="62">
        <f t="shared" si="727"/>
        <v>7.1095438516664771E-6</v>
      </c>
      <c r="CD787" s="13">
        <f t="shared" si="728"/>
        <v>596</v>
      </c>
      <c r="CE787" s="13">
        <f t="shared" si="729"/>
        <v>596</v>
      </c>
      <c r="CF787" s="13">
        <f t="shared" si="730"/>
        <v>236</v>
      </c>
      <c r="CG787" s="13">
        <f t="shared" si="731"/>
        <v>236</v>
      </c>
      <c r="CH787" s="28">
        <f t="shared" si="732"/>
        <v>140656</v>
      </c>
      <c r="CI787" s="62">
        <f t="shared" si="733"/>
        <v>7.1095438516664771E-6</v>
      </c>
      <c r="CJ787" s="59">
        <f t="shared" si="734"/>
        <v>7.1095438516664771E-6</v>
      </c>
      <c r="CL787" s="63">
        <v>6000</v>
      </c>
      <c r="CM787" s="63">
        <f t="shared" si="735"/>
        <v>0</v>
      </c>
      <c r="CN787" s="63">
        <f t="shared" si="736"/>
        <v>5</v>
      </c>
      <c r="CO787" s="63">
        <f t="shared" si="737"/>
        <v>1200</v>
      </c>
      <c r="CP787" s="13">
        <f t="shared" si="738"/>
        <v>1200</v>
      </c>
      <c r="CQ787" s="70">
        <f t="shared" si="739"/>
        <v>8.3333333333333339E-4</v>
      </c>
      <c r="CR787" s="69">
        <f t="shared" si="697"/>
        <v>1.6666666666666668E-3</v>
      </c>
    </row>
    <row r="788" spans="1:96" hidden="1" x14ac:dyDescent="0.25">
      <c r="A788" s="10">
        <v>3</v>
      </c>
      <c r="B788" s="8" t="s">
        <v>1834</v>
      </c>
      <c r="C788" s="10" t="s">
        <v>232</v>
      </c>
      <c r="D788" s="10" t="s">
        <v>233</v>
      </c>
      <c r="E788" s="10" t="s">
        <v>52</v>
      </c>
      <c r="F788" s="12">
        <f t="shared" si="708"/>
        <v>2</v>
      </c>
      <c r="G788" s="10">
        <v>1</v>
      </c>
      <c r="H788" s="10">
        <f t="shared" ref="H788:H791" si="757">G788*$H$783</f>
        <v>1</v>
      </c>
      <c r="I788" s="10">
        <v>4</v>
      </c>
      <c r="J788" s="8" t="s">
        <v>76</v>
      </c>
      <c r="K788" s="8" t="s">
        <v>34</v>
      </c>
      <c r="L788" s="10" t="s">
        <v>77</v>
      </c>
      <c r="M788" s="8" t="s">
        <v>35</v>
      </c>
      <c r="N788" s="10" t="s">
        <v>233</v>
      </c>
      <c r="O788" s="28" t="s">
        <v>41</v>
      </c>
      <c r="P788" s="28" t="s">
        <v>41</v>
      </c>
      <c r="Q788" s="28" t="s">
        <v>79</v>
      </c>
      <c r="R788" s="30">
        <v>21.102362204724411</v>
      </c>
      <c r="S788" s="30">
        <v>0.3125</v>
      </c>
      <c r="T788" s="30"/>
      <c r="U788" s="30">
        <v>0.3125</v>
      </c>
      <c r="V788" s="8">
        <f t="shared" si="709"/>
        <v>536</v>
      </c>
      <c r="W788" s="8">
        <f t="shared" si="710"/>
        <v>7.9375</v>
      </c>
      <c r="X788" s="8">
        <f t="shared" si="711"/>
        <v>0</v>
      </c>
      <c r="Y788" s="33">
        <f t="shared" si="712"/>
        <v>7.9375</v>
      </c>
      <c r="Z788" s="28" t="s">
        <v>80</v>
      </c>
      <c r="AA788" s="28" t="s">
        <v>81</v>
      </c>
      <c r="AB788" s="61" t="s">
        <v>79</v>
      </c>
      <c r="AC788" s="31" t="s">
        <v>82</v>
      </c>
      <c r="AD788" s="50">
        <f t="shared" si="713"/>
        <v>1</v>
      </c>
      <c r="AE788" s="5" t="s">
        <v>1576</v>
      </c>
      <c r="AF788" s="51">
        <v>14</v>
      </c>
      <c r="AG788" s="51">
        <f t="shared" si="740"/>
        <v>8.4</v>
      </c>
      <c r="AH788" s="51">
        <f t="shared" si="707"/>
        <v>42</v>
      </c>
      <c r="AI788" s="52" t="s">
        <v>2497</v>
      </c>
      <c r="AJ788" s="52" t="s">
        <v>2498</v>
      </c>
      <c r="AK788" s="53">
        <f t="shared" si="741"/>
        <v>8.5089999999999992E-3</v>
      </c>
      <c r="AL788" s="54">
        <f t="shared" si="742"/>
        <v>0.11904761904761904</v>
      </c>
      <c r="AM788" s="54">
        <f t="shared" si="743"/>
        <v>2.3809523809523808E-2</v>
      </c>
      <c r="AN788" s="55">
        <f t="shared" si="744"/>
        <v>1.0129761904761902E-3</v>
      </c>
      <c r="AO788" s="55">
        <f t="shared" si="745"/>
        <v>2.0259523809523807E-4</v>
      </c>
      <c r="AP788" s="53">
        <v>7.1</v>
      </c>
      <c r="AQ788" s="53">
        <f t="shared" si="714"/>
        <v>4.26</v>
      </c>
      <c r="AR788" s="53">
        <f t="shared" si="715"/>
        <v>21.299999999999997</v>
      </c>
      <c r="AS788" s="56">
        <f t="shared" si="716"/>
        <v>4.6948356807511742E-2</v>
      </c>
      <c r="AT788" s="56">
        <f t="shared" si="746"/>
        <v>0.23474178403755869</v>
      </c>
      <c r="AU788" s="56">
        <f t="shared" si="717"/>
        <v>0.176056338028169</v>
      </c>
      <c r="AV788" s="56">
        <f t="shared" si="747"/>
        <v>5.8685446009389672E-2</v>
      </c>
      <c r="AW788" s="57" t="s">
        <v>2511</v>
      </c>
      <c r="AX788" s="57" t="s">
        <v>2512</v>
      </c>
      <c r="AY788" s="57" t="s">
        <v>2513</v>
      </c>
      <c r="AZ788" s="58">
        <f t="shared" si="748"/>
        <v>8.5089999999999992E-3</v>
      </c>
      <c r="BA788" s="59">
        <f t="shared" si="752"/>
        <v>2.4967723004694836E-4</v>
      </c>
      <c r="BB788" s="59">
        <f t="shared" si="753"/>
        <v>7.4903169014084491E-4</v>
      </c>
      <c r="BC788" s="59">
        <f t="shared" si="754"/>
        <v>1.997417840375587E-4</v>
      </c>
      <c r="BD788" s="60">
        <f t="shared" si="749"/>
        <v>2.1739130434782609E-3</v>
      </c>
      <c r="BE788" s="59">
        <f t="shared" si="750"/>
        <v>2.1739130434782609E-3</v>
      </c>
      <c r="BQ788" s="61">
        <v>3000</v>
      </c>
      <c r="BR788" s="61">
        <v>1200</v>
      </c>
      <c r="BS788" s="28">
        <f t="shared" si="718"/>
        <v>2980</v>
      </c>
      <c r="BT788" s="28">
        <f t="shared" si="719"/>
        <v>1180</v>
      </c>
      <c r="BU788" s="28" t="s">
        <v>2541</v>
      </c>
      <c r="BV788" s="28">
        <f t="shared" si="720"/>
        <v>541</v>
      </c>
      <c r="BW788" s="28">
        <f t="shared" si="721"/>
        <v>12.9375</v>
      </c>
      <c r="BX788" s="13">
        <f t="shared" si="722"/>
        <v>5.5083179297597047</v>
      </c>
      <c r="BY788" s="13">
        <f t="shared" si="723"/>
        <v>5</v>
      </c>
      <c r="BZ788" s="13">
        <f t="shared" si="724"/>
        <v>91.207729468599027</v>
      </c>
      <c r="CA788" s="13">
        <f t="shared" si="725"/>
        <v>91</v>
      </c>
      <c r="CB788" s="13">
        <f t="shared" si="726"/>
        <v>455</v>
      </c>
      <c r="CC788" s="62">
        <f t="shared" si="727"/>
        <v>2.1978021978021978E-3</v>
      </c>
      <c r="CD788" s="13">
        <f t="shared" si="728"/>
        <v>230.33816425120773</v>
      </c>
      <c r="CE788" s="13">
        <f t="shared" si="729"/>
        <v>230</v>
      </c>
      <c r="CF788" s="13">
        <f t="shared" si="730"/>
        <v>2.1811460258780038</v>
      </c>
      <c r="CG788" s="13">
        <f t="shared" si="731"/>
        <v>2</v>
      </c>
      <c r="CH788" s="28">
        <f t="shared" si="732"/>
        <v>460</v>
      </c>
      <c r="CI788" s="62">
        <f t="shared" si="733"/>
        <v>2.1739130434782609E-3</v>
      </c>
      <c r="CJ788" s="59">
        <f t="shared" si="734"/>
        <v>2.1739130434782609E-3</v>
      </c>
      <c r="CL788" s="63">
        <v>6000</v>
      </c>
      <c r="CM788" s="63">
        <f t="shared" si="735"/>
        <v>536</v>
      </c>
      <c r="CN788" s="63">
        <f t="shared" si="736"/>
        <v>541</v>
      </c>
      <c r="CO788" s="63">
        <f t="shared" si="737"/>
        <v>11.090573012939002</v>
      </c>
      <c r="CP788" s="13">
        <f t="shared" si="738"/>
        <v>11</v>
      </c>
      <c r="CQ788" s="70">
        <f t="shared" si="739"/>
        <v>9.0909090909090912E-2</v>
      </c>
      <c r="CR788" s="69">
        <f t="shared" si="697"/>
        <v>9.0909090909090912E-2</v>
      </c>
    </row>
    <row r="789" spans="1:96" hidden="1" x14ac:dyDescent="0.25">
      <c r="A789" s="10">
        <v>3</v>
      </c>
      <c r="B789" s="8" t="s">
        <v>1834</v>
      </c>
      <c r="C789" s="10" t="s">
        <v>1844</v>
      </c>
      <c r="D789" s="10" t="s">
        <v>1846</v>
      </c>
      <c r="E789" s="10" t="s">
        <v>52</v>
      </c>
      <c r="F789" s="12">
        <f t="shared" si="708"/>
        <v>1</v>
      </c>
      <c r="G789" s="10">
        <v>1</v>
      </c>
      <c r="H789" s="10">
        <f t="shared" si="757"/>
        <v>1</v>
      </c>
      <c r="I789" s="10">
        <v>5</v>
      </c>
      <c r="J789" s="8" t="s">
        <v>1845</v>
      </c>
      <c r="K789" s="8" t="s">
        <v>34</v>
      </c>
      <c r="L789" s="10" t="s">
        <v>385</v>
      </c>
      <c r="M789" s="8" t="s">
        <v>35</v>
      </c>
      <c r="N789" s="10" t="s">
        <v>1846</v>
      </c>
      <c r="O789" s="28" t="s">
        <v>41</v>
      </c>
      <c r="P789" s="28" t="s">
        <v>41</v>
      </c>
      <c r="Q789" s="28" t="s">
        <v>85</v>
      </c>
      <c r="R789" s="30">
        <v>31.259842519685041</v>
      </c>
      <c r="S789" s="30">
        <v>0.375</v>
      </c>
      <c r="T789" s="30"/>
      <c r="U789" s="30">
        <v>0.375</v>
      </c>
      <c r="V789" s="8">
        <f t="shared" si="709"/>
        <v>794</v>
      </c>
      <c r="W789" s="8">
        <f t="shared" si="710"/>
        <v>9.5249999999999986</v>
      </c>
      <c r="X789" s="8">
        <f t="shared" si="711"/>
        <v>0</v>
      </c>
      <c r="Y789" s="33">
        <f t="shared" si="712"/>
        <v>9.5249999999999986</v>
      </c>
      <c r="Z789" s="28" t="s">
        <v>80</v>
      </c>
      <c r="AA789" s="28" t="s">
        <v>81</v>
      </c>
      <c r="AB789" s="61" t="s">
        <v>85</v>
      </c>
      <c r="AC789" s="31" t="s">
        <v>86</v>
      </c>
      <c r="AD789" s="50">
        <f t="shared" si="713"/>
        <v>1</v>
      </c>
      <c r="AE789" s="31"/>
      <c r="AF789" s="51">
        <v>14</v>
      </c>
      <c r="AG789" s="51">
        <f t="shared" si="740"/>
        <v>8.4</v>
      </c>
      <c r="AH789" s="51">
        <f t="shared" si="707"/>
        <v>42</v>
      </c>
      <c r="AI789" s="52" t="s">
        <v>2497</v>
      </c>
      <c r="AJ789" s="52" t="s">
        <v>2498</v>
      </c>
      <c r="AK789" s="53">
        <f t="shared" si="741"/>
        <v>1.5125699999999997E-2</v>
      </c>
      <c r="AL789" s="54">
        <f t="shared" si="742"/>
        <v>0.11904761904761904</v>
      </c>
      <c r="AM789" s="54">
        <f t="shared" si="743"/>
        <v>2.3809523809523808E-2</v>
      </c>
      <c r="AN789" s="55">
        <f t="shared" si="744"/>
        <v>1.8006785714285709E-3</v>
      </c>
      <c r="AO789" s="55">
        <f t="shared" si="745"/>
        <v>3.6013571428571421E-4</v>
      </c>
      <c r="AP789" s="53">
        <v>7.1</v>
      </c>
      <c r="AQ789" s="53">
        <f t="shared" si="714"/>
        <v>4.26</v>
      </c>
      <c r="AR789" s="53">
        <f t="shared" si="715"/>
        <v>21.299999999999997</v>
      </c>
      <c r="AS789" s="56">
        <f t="shared" si="716"/>
        <v>4.6948356807511742E-2</v>
      </c>
      <c r="AT789" s="56">
        <f t="shared" si="746"/>
        <v>0.23474178403755869</v>
      </c>
      <c r="AU789" s="56">
        <f t="shared" si="717"/>
        <v>0.176056338028169</v>
      </c>
      <c r="AV789" s="56">
        <f t="shared" si="747"/>
        <v>5.8685446009389672E-2</v>
      </c>
      <c r="AW789" s="57" t="s">
        <v>2511</v>
      </c>
      <c r="AX789" s="57" t="s">
        <v>2512</v>
      </c>
      <c r="AY789" s="57" t="s">
        <v>2513</v>
      </c>
      <c r="AZ789" s="58">
        <f t="shared" si="748"/>
        <v>1.5125699999999997E-2</v>
      </c>
      <c r="BA789" s="59">
        <f t="shared" si="752"/>
        <v>4.4382922535211259E-4</v>
      </c>
      <c r="BB789" s="59">
        <f t="shared" si="753"/>
        <v>1.3314876760563378E-3</v>
      </c>
      <c r="BC789" s="59">
        <f t="shared" si="754"/>
        <v>3.5506338028169012E-4</v>
      </c>
      <c r="BD789" s="60">
        <f t="shared" si="749"/>
        <v>4.11522633744856E-3</v>
      </c>
      <c r="BE789" s="59">
        <f t="shared" si="750"/>
        <v>4.11522633744856E-3</v>
      </c>
      <c r="BQ789" s="61">
        <v>3000</v>
      </c>
      <c r="BR789" s="61">
        <v>1200</v>
      </c>
      <c r="BS789" s="28">
        <f t="shared" si="718"/>
        <v>2980</v>
      </c>
      <c r="BT789" s="28">
        <f t="shared" si="719"/>
        <v>1180</v>
      </c>
      <c r="BU789" s="28" t="s">
        <v>2541</v>
      </c>
      <c r="BV789" s="28">
        <f t="shared" si="720"/>
        <v>799</v>
      </c>
      <c r="BW789" s="28">
        <f t="shared" si="721"/>
        <v>14.524999999999999</v>
      </c>
      <c r="BX789" s="13">
        <f t="shared" si="722"/>
        <v>3.7296620775969962</v>
      </c>
      <c r="BY789" s="13">
        <f t="shared" si="723"/>
        <v>3</v>
      </c>
      <c r="BZ789" s="13">
        <f t="shared" si="724"/>
        <v>81.239242685025829</v>
      </c>
      <c r="CA789" s="13">
        <f t="shared" si="725"/>
        <v>81</v>
      </c>
      <c r="CB789" s="13">
        <f t="shared" si="726"/>
        <v>243</v>
      </c>
      <c r="CC789" s="62">
        <f t="shared" si="727"/>
        <v>4.11522633744856E-3</v>
      </c>
      <c r="CD789" s="13">
        <f t="shared" si="728"/>
        <v>205.16351118760758</v>
      </c>
      <c r="CE789" s="13">
        <f t="shared" si="729"/>
        <v>205</v>
      </c>
      <c r="CF789" s="13">
        <f t="shared" si="730"/>
        <v>1.4768460575719649</v>
      </c>
      <c r="CG789" s="13">
        <f t="shared" si="731"/>
        <v>1</v>
      </c>
      <c r="CH789" s="28">
        <f t="shared" si="732"/>
        <v>205</v>
      </c>
      <c r="CI789" s="62">
        <f t="shared" si="733"/>
        <v>4.8780487804878049E-3</v>
      </c>
      <c r="CJ789" s="59">
        <f t="shared" si="734"/>
        <v>4.11522633744856E-3</v>
      </c>
      <c r="CL789" s="63">
        <v>6000</v>
      </c>
      <c r="CM789" s="63">
        <f t="shared" si="735"/>
        <v>794</v>
      </c>
      <c r="CN789" s="63">
        <f t="shared" si="736"/>
        <v>799</v>
      </c>
      <c r="CO789" s="63">
        <f t="shared" si="737"/>
        <v>7.509386733416771</v>
      </c>
      <c r="CP789" s="13">
        <f t="shared" si="738"/>
        <v>7</v>
      </c>
      <c r="CQ789" s="70">
        <f t="shared" si="739"/>
        <v>0.14285714285714285</v>
      </c>
      <c r="CR789" s="69">
        <f t="shared" si="697"/>
        <v>0.14285714285714285</v>
      </c>
    </row>
    <row r="790" spans="1:96" hidden="1" x14ac:dyDescent="0.25">
      <c r="A790" s="10">
        <v>3</v>
      </c>
      <c r="B790" s="8" t="s">
        <v>1834</v>
      </c>
      <c r="C790" s="10" t="s">
        <v>1847</v>
      </c>
      <c r="D790" s="10" t="s">
        <v>2270</v>
      </c>
      <c r="E790" s="10" t="s">
        <v>52</v>
      </c>
      <c r="F790" s="12">
        <f t="shared" si="708"/>
        <v>1</v>
      </c>
      <c r="G790" s="10">
        <v>4</v>
      </c>
      <c r="H790" s="10">
        <f t="shared" si="757"/>
        <v>4</v>
      </c>
      <c r="I790" s="10">
        <v>6</v>
      </c>
      <c r="J790" s="8" t="s">
        <v>1149</v>
      </c>
      <c r="K790" s="8" t="s">
        <v>34</v>
      </c>
      <c r="L790" s="10">
        <v>0</v>
      </c>
      <c r="M790" s="8" t="s">
        <v>35</v>
      </c>
      <c r="N790" s="10" t="s">
        <v>1848</v>
      </c>
      <c r="O790" s="28" t="s">
        <v>41</v>
      </c>
      <c r="P790" s="28" t="s">
        <v>41</v>
      </c>
      <c r="Q790" s="28" t="s">
        <v>1848</v>
      </c>
      <c r="R790" s="30">
        <v>0.52</v>
      </c>
      <c r="S790" s="30">
        <v>0.875</v>
      </c>
      <c r="T790" s="30"/>
      <c r="U790" s="30">
        <v>0.875</v>
      </c>
      <c r="V790" s="8">
        <f t="shared" si="709"/>
        <v>13.208</v>
      </c>
      <c r="W790" s="8">
        <f t="shared" si="710"/>
        <v>22.224999999999998</v>
      </c>
      <c r="X790" s="8">
        <f t="shared" si="711"/>
        <v>0</v>
      </c>
      <c r="Y790" s="33">
        <f t="shared" si="712"/>
        <v>22.224999999999998</v>
      </c>
      <c r="Z790" s="28" t="s">
        <v>1849</v>
      </c>
      <c r="AA790" s="28" t="s">
        <v>81</v>
      </c>
      <c r="AB790" s="61" t="s">
        <v>1848</v>
      </c>
      <c r="AC790" s="31" t="s">
        <v>1149</v>
      </c>
      <c r="AD790" s="50">
        <f t="shared" si="713"/>
        <v>4</v>
      </c>
      <c r="AE790" s="31"/>
      <c r="AF790" s="51">
        <v>14</v>
      </c>
      <c r="AG790" s="51">
        <f t="shared" si="740"/>
        <v>8.4</v>
      </c>
      <c r="AH790" s="51">
        <f t="shared" si="707"/>
        <v>42</v>
      </c>
      <c r="AI790" s="52" t="s">
        <v>2497</v>
      </c>
      <c r="AJ790" s="52" t="s">
        <v>2498</v>
      </c>
      <c r="AK790" s="53">
        <f t="shared" si="741"/>
        <v>5.8709560000000003E-4</v>
      </c>
      <c r="AL790" s="54">
        <f t="shared" si="742"/>
        <v>0.11904761904761904</v>
      </c>
      <c r="AM790" s="54">
        <f t="shared" si="743"/>
        <v>2.3809523809523808E-2</v>
      </c>
      <c r="AN790" s="55">
        <f t="shared" si="744"/>
        <v>2.7956933333333334E-4</v>
      </c>
      <c r="AO790" s="55">
        <f t="shared" si="745"/>
        <v>5.5913866666666667E-5</v>
      </c>
      <c r="AP790" s="53">
        <v>7.1</v>
      </c>
      <c r="AQ790" s="53">
        <f t="shared" si="714"/>
        <v>4.26</v>
      </c>
      <c r="AR790" s="53">
        <f t="shared" si="715"/>
        <v>21.299999999999997</v>
      </c>
      <c r="AS790" s="56">
        <f t="shared" si="716"/>
        <v>4.6948356807511742E-2</v>
      </c>
      <c r="AT790" s="56">
        <f t="shared" si="746"/>
        <v>0.23474178403755869</v>
      </c>
      <c r="AU790" s="56">
        <f t="shared" si="717"/>
        <v>0.176056338028169</v>
      </c>
      <c r="AV790" s="56">
        <f t="shared" si="747"/>
        <v>5.8685446009389672E-2</v>
      </c>
      <c r="AW790" s="57" t="s">
        <v>2511</v>
      </c>
      <c r="AX790" s="57" t="s">
        <v>2512</v>
      </c>
      <c r="AY790" s="57" t="s">
        <v>2513</v>
      </c>
      <c r="AZ790" s="58">
        <f t="shared" si="748"/>
        <v>5.8709560000000003E-4</v>
      </c>
      <c r="BA790" s="59">
        <f t="shared" si="752"/>
        <v>6.890793427230047E-5</v>
      </c>
      <c r="BB790" s="59">
        <f t="shared" si="753"/>
        <v>2.0672380281690141E-4</v>
      </c>
      <c r="BC790" s="59">
        <f t="shared" si="754"/>
        <v>5.5126347417840387E-5</v>
      </c>
      <c r="BD790" s="60">
        <f t="shared" si="749"/>
        <v>1.4267370523612499E-4</v>
      </c>
      <c r="BE790" s="59">
        <f t="shared" si="750"/>
        <v>5.7069482094449994E-4</v>
      </c>
      <c r="BQ790" s="61">
        <v>3000</v>
      </c>
      <c r="BR790" s="61">
        <v>1200</v>
      </c>
      <c r="BS790" s="28">
        <f t="shared" si="718"/>
        <v>2980</v>
      </c>
      <c r="BT790" s="28">
        <f t="shared" si="719"/>
        <v>1180</v>
      </c>
      <c r="BU790" s="28" t="s">
        <v>2541</v>
      </c>
      <c r="BV790" s="28">
        <f t="shared" si="720"/>
        <v>18.207999999999998</v>
      </c>
      <c r="BW790" s="28">
        <f t="shared" si="721"/>
        <v>27.224999999999998</v>
      </c>
      <c r="BX790" s="13">
        <f t="shared" si="722"/>
        <v>163.66432337434097</v>
      </c>
      <c r="BY790" s="13">
        <f t="shared" si="723"/>
        <v>163</v>
      </c>
      <c r="BZ790" s="13">
        <f t="shared" si="724"/>
        <v>43.3425160697888</v>
      </c>
      <c r="CA790" s="13">
        <f t="shared" si="725"/>
        <v>43</v>
      </c>
      <c r="CB790" s="13">
        <f t="shared" si="726"/>
        <v>7009</v>
      </c>
      <c r="CC790" s="62">
        <f t="shared" si="727"/>
        <v>1.4267370523612499E-4</v>
      </c>
      <c r="CD790" s="13">
        <f t="shared" si="728"/>
        <v>109.45821854912765</v>
      </c>
      <c r="CE790" s="13">
        <f t="shared" si="729"/>
        <v>109</v>
      </c>
      <c r="CF790" s="13">
        <f t="shared" si="730"/>
        <v>64.8066783831283</v>
      </c>
      <c r="CG790" s="13">
        <f t="shared" si="731"/>
        <v>64</v>
      </c>
      <c r="CH790" s="28">
        <f t="shared" si="732"/>
        <v>6976</v>
      </c>
      <c r="CI790" s="62">
        <f t="shared" si="733"/>
        <v>1.4334862385321102E-4</v>
      </c>
      <c r="CJ790" s="59">
        <f t="shared" si="734"/>
        <v>1.4267370523612499E-4</v>
      </c>
      <c r="CL790" s="63">
        <v>6000</v>
      </c>
      <c r="CM790" s="63">
        <f t="shared" si="735"/>
        <v>13.208</v>
      </c>
      <c r="CN790" s="63">
        <f t="shared" si="736"/>
        <v>18.207999999999998</v>
      </c>
      <c r="CO790" s="63">
        <f t="shared" si="737"/>
        <v>329.52548330404221</v>
      </c>
      <c r="CP790" s="13">
        <f t="shared" si="738"/>
        <v>329</v>
      </c>
      <c r="CQ790" s="70">
        <f t="shared" si="739"/>
        <v>3.0395136778115501E-3</v>
      </c>
      <c r="CR790" s="69">
        <f t="shared" si="697"/>
        <v>1.2158054711246201E-2</v>
      </c>
    </row>
    <row r="791" spans="1:96" hidden="1" x14ac:dyDescent="0.25">
      <c r="A791" s="10">
        <v>3</v>
      </c>
      <c r="B791" s="8" t="s">
        <v>1834</v>
      </c>
      <c r="C791" s="10" t="s">
        <v>1850</v>
      </c>
      <c r="D791" s="10" t="s">
        <v>2270</v>
      </c>
      <c r="E791" s="10" t="s">
        <v>52</v>
      </c>
      <c r="F791" s="12">
        <f t="shared" si="708"/>
        <v>1</v>
      </c>
      <c r="G791" s="10">
        <v>1</v>
      </c>
      <c r="H791" s="10">
        <f t="shared" si="757"/>
        <v>1</v>
      </c>
      <c r="I791" s="10">
        <v>7</v>
      </c>
      <c r="J791" s="8" t="s">
        <v>480</v>
      </c>
      <c r="K791" s="8" t="s">
        <v>34</v>
      </c>
      <c r="L791" s="10">
        <v>0</v>
      </c>
      <c r="M791" s="8" t="s">
        <v>35</v>
      </c>
      <c r="N791" s="10" t="s">
        <v>2569</v>
      </c>
      <c r="O791" s="28"/>
      <c r="P791" s="28"/>
      <c r="Q791" s="28" t="str">
        <f>N791</f>
        <v>MMP-0331</v>
      </c>
      <c r="R791" s="30"/>
      <c r="S791" s="30"/>
      <c r="T791" s="30"/>
      <c r="U791" s="30"/>
      <c r="V791" s="8">
        <f t="shared" si="709"/>
        <v>0</v>
      </c>
      <c r="W791" s="8">
        <f t="shared" si="710"/>
        <v>0</v>
      </c>
      <c r="X791" s="8">
        <f t="shared" si="711"/>
        <v>0</v>
      </c>
      <c r="Y791" s="33">
        <f t="shared" si="712"/>
        <v>0</v>
      </c>
      <c r="Z791" s="28"/>
      <c r="AA791" s="28"/>
      <c r="AB791" s="61" t="str">
        <f>Q791</f>
        <v>MMP-0331</v>
      </c>
      <c r="AC791" s="31" t="s">
        <v>1852</v>
      </c>
      <c r="AD791" s="50">
        <f t="shared" si="713"/>
        <v>1</v>
      </c>
      <c r="AE791" s="31"/>
      <c r="AF791" s="51">
        <v>14</v>
      </c>
      <c r="AG791" s="51">
        <f t="shared" si="740"/>
        <v>8.4</v>
      </c>
      <c r="AH791" s="51">
        <f t="shared" si="707"/>
        <v>42</v>
      </c>
      <c r="AI791" s="52" t="s">
        <v>2497</v>
      </c>
      <c r="AJ791" s="52" t="s">
        <v>2498</v>
      </c>
      <c r="AK791" s="53">
        <f t="shared" si="741"/>
        <v>0</v>
      </c>
      <c r="AL791" s="54">
        <f t="shared" si="742"/>
        <v>0.11904761904761904</v>
      </c>
      <c r="AM791" s="54">
        <f t="shared" si="743"/>
        <v>2.3809523809523808E-2</v>
      </c>
      <c r="AN791" s="55">
        <f t="shared" si="744"/>
        <v>0</v>
      </c>
      <c r="AO791" s="55">
        <f t="shared" si="745"/>
        <v>0</v>
      </c>
      <c r="AP791" s="53">
        <v>7.1</v>
      </c>
      <c r="AQ791" s="53">
        <f t="shared" si="714"/>
        <v>4.26</v>
      </c>
      <c r="AR791" s="53">
        <f t="shared" si="715"/>
        <v>21.299999999999997</v>
      </c>
      <c r="AS791" s="56">
        <f t="shared" si="716"/>
        <v>4.6948356807511742E-2</v>
      </c>
      <c r="AT791" s="56">
        <f t="shared" si="746"/>
        <v>0.23474178403755869</v>
      </c>
      <c r="AU791" s="56">
        <f t="shared" si="717"/>
        <v>0.176056338028169</v>
      </c>
      <c r="AV791" s="56">
        <f t="shared" si="747"/>
        <v>5.8685446009389672E-2</v>
      </c>
      <c r="AW791" s="57" t="s">
        <v>2511</v>
      </c>
      <c r="AX791" s="57" t="s">
        <v>2512</v>
      </c>
      <c r="AY791" s="57" t="s">
        <v>2513</v>
      </c>
      <c r="AZ791" s="58">
        <f t="shared" si="748"/>
        <v>0</v>
      </c>
      <c r="BA791" s="59">
        <f t="shared" si="752"/>
        <v>0</v>
      </c>
      <c r="BB791" s="59">
        <f t="shared" si="753"/>
        <v>0</v>
      </c>
      <c r="BC791" s="59">
        <f t="shared" si="754"/>
        <v>0</v>
      </c>
      <c r="BD791" s="60">
        <f t="shared" si="749"/>
        <v>7.1095438516664771E-6</v>
      </c>
      <c r="BE791" s="59">
        <f t="shared" si="750"/>
        <v>7.1095438516664771E-6</v>
      </c>
      <c r="BQ791" s="61">
        <v>3000</v>
      </c>
      <c r="BR791" s="61">
        <v>1200</v>
      </c>
      <c r="BS791" s="28">
        <f t="shared" si="718"/>
        <v>2980</v>
      </c>
      <c r="BT791" s="28">
        <f t="shared" si="719"/>
        <v>1180</v>
      </c>
      <c r="BU791" s="28" t="s">
        <v>2541</v>
      </c>
      <c r="BV791" s="28">
        <f t="shared" si="720"/>
        <v>5</v>
      </c>
      <c r="BW791" s="28">
        <f t="shared" si="721"/>
        <v>5</v>
      </c>
      <c r="BX791" s="13">
        <f t="shared" si="722"/>
        <v>596</v>
      </c>
      <c r="BY791" s="13">
        <f t="shared" si="723"/>
        <v>596</v>
      </c>
      <c r="BZ791" s="13">
        <f t="shared" si="724"/>
        <v>236</v>
      </c>
      <c r="CA791" s="13">
        <f t="shared" si="725"/>
        <v>236</v>
      </c>
      <c r="CB791" s="13">
        <f t="shared" si="726"/>
        <v>140656</v>
      </c>
      <c r="CC791" s="62">
        <f t="shared" si="727"/>
        <v>7.1095438516664771E-6</v>
      </c>
      <c r="CD791" s="13">
        <f t="shared" si="728"/>
        <v>596</v>
      </c>
      <c r="CE791" s="13">
        <f t="shared" si="729"/>
        <v>596</v>
      </c>
      <c r="CF791" s="13">
        <f t="shared" si="730"/>
        <v>236</v>
      </c>
      <c r="CG791" s="13">
        <f t="shared" si="731"/>
        <v>236</v>
      </c>
      <c r="CH791" s="28">
        <f t="shared" si="732"/>
        <v>140656</v>
      </c>
      <c r="CI791" s="62">
        <f t="shared" si="733"/>
        <v>7.1095438516664771E-6</v>
      </c>
      <c r="CJ791" s="59">
        <f t="shared" si="734"/>
        <v>7.1095438516664771E-6</v>
      </c>
      <c r="CL791" s="63">
        <v>6000</v>
      </c>
      <c r="CM791" s="63">
        <f t="shared" si="735"/>
        <v>0</v>
      </c>
      <c r="CN791" s="63">
        <f t="shared" si="736"/>
        <v>5</v>
      </c>
      <c r="CO791" s="63">
        <f t="shared" si="737"/>
        <v>1200</v>
      </c>
      <c r="CP791" s="13">
        <f t="shared" si="738"/>
        <v>1200</v>
      </c>
      <c r="CQ791" s="70">
        <f t="shared" si="739"/>
        <v>8.3333333333333339E-4</v>
      </c>
      <c r="CR791" s="69">
        <f t="shared" si="697"/>
        <v>8.3333333333333339E-4</v>
      </c>
    </row>
    <row r="792" spans="1:96" hidden="1" x14ac:dyDescent="0.25">
      <c r="A792" s="10">
        <v>3</v>
      </c>
      <c r="B792" s="8" t="s">
        <v>1834</v>
      </c>
      <c r="C792" s="10" t="s">
        <v>1853</v>
      </c>
      <c r="D792" s="10" t="s">
        <v>2270</v>
      </c>
      <c r="E792" s="10" t="s">
        <v>52</v>
      </c>
      <c r="F792" s="12">
        <f t="shared" si="708"/>
        <v>1</v>
      </c>
      <c r="G792" s="10" t="s">
        <v>337</v>
      </c>
      <c r="H792" s="10" t="str">
        <f>G792</f>
        <v>A/R</v>
      </c>
      <c r="I792" s="10">
        <v>8</v>
      </c>
      <c r="J792" s="8" t="s">
        <v>1854</v>
      </c>
      <c r="K792" s="8" t="s">
        <v>494</v>
      </c>
      <c r="L792" s="10" t="s">
        <v>1855</v>
      </c>
      <c r="M792" s="8" t="s">
        <v>35</v>
      </c>
      <c r="N792" s="10" t="s">
        <v>1856</v>
      </c>
      <c r="O792" s="28"/>
      <c r="P792" s="28"/>
      <c r="Q792" s="28" t="s">
        <v>1856</v>
      </c>
      <c r="R792" s="30"/>
      <c r="S792" s="30"/>
      <c r="T792" s="30"/>
      <c r="U792" s="30"/>
      <c r="V792" s="8">
        <f t="shared" si="709"/>
        <v>0</v>
      </c>
      <c r="W792" s="8">
        <f t="shared" si="710"/>
        <v>0</v>
      </c>
      <c r="X792" s="8">
        <f t="shared" si="711"/>
        <v>0</v>
      </c>
      <c r="Y792" s="33">
        <f t="shared" si="712"/>
        <v>0</v>
      </c>
      <c r="Z792" s="28"/>
      <c r="AA792" s="28"/>
      <c r="AB792" s="61" t="s">
        <v>1856</v>
      </c>
      <c r="AC792" s="31" t="s">
        <v>1857</v>
      </c>
      <c r="AD792" s="50">
        <v>0</v>
      </c>
      <c r="AE792" s="45" t="s">
        <v>337</v>
      </c>
      <c r="AF792" s="51">
        <v>14</v>
      </c>
      <c r="AG792" s="51">
        <f t="shared" si="740"/>
        <v>8.4</v>
      </c>
      <c r="AH792" s="51">
        <f t="shared" si="707"/>
        <v>42</v>
      </c>
      <c r="AI792" s="52" t="s">
        <v>2497</v>
      </c>
      <c r="AJ792" s="52" t="s">
        <v>2498</v>
      </c>
      <c r="AK792" s="53">
        <f t="shared" si="741"/>
        <v>0</v>
      </c>
      <c r="AL792" s="54">
        <f t="shared" si="742"/>
        <v>0.11904761904761904</v>
      </c>
      <c r="AM792" s="54">
        <f t="shared" si="743"/>
        <v>2.3809523809523808E-2</v>
      </c>
      <c r="AN792" s="55">
        <f t="shared" si="744"/>
        <v>0</v>
      </c>
      <c r="AO792" s="55">
        <f t="shared" si="745"/>
        <v>0</v>
      </c>
      <c r="AP792" s="53">
        <v>7.1</v>
      </c>
      <c r="AQ792" s="53">
        <f t="shared" si="714"/>
        <v>4.26</v>
      </c>
      <c r="AR792" s="53">
        <f t="shared" si="715"/>
        <v>21.299999999999997</v>
      </c>
      <c r="AS792" s="56">
        <f t="shared" si="716"/>
        <v>4.6948356807511742E-2</v>
      </c>
      <c r="AT792" s="56">
        <f t="shared" si="746"/>
        <v>0.23474178403755869</v>
      </c>
      <c r="AU792" s="56">
        <f t="shared" si="717"/>
        <v>0.176056338028169</v>
      </c>
      <c r="AV792" s="56">
        <f t="shared" si="747"/>
        <v>5.8685446009389672E-2</v>
      </c>
      <c r="AW792" s="57" t="s">
        <v>2511</v>
      </c>
      <c r="AX792" s="57" t="s">
        <v>2512</v>
      </c>
      <c r="AY792" s="57" t="s">
        <v>2513</v>
      </c>
      <c r="AZ792" s="58">
        <f t="shared" si="748"/>
        <v>0</v>
      </c>
      <c r="BA792" s="59">
        <f t="shared" si="752"/>
        <v>0</v>
      </c>
      <c r="BB792" s="59">
        <f t="shared" si="753"/>
        <v>0</v>
      </c>
      <c r="BC792" s="59">
        <f t="shared" si="754"/>
        <v>0</v>
      </c>
      <c r="BD792" s="60">
        <f t="shared" si="749"/>
        <v>7.1095438516664771E-6</v>
      </c>
      <c r="BE792" s="59">
        <f t="shared" si="750"/>
        <v>0</v>
      </c>
      <c r="BQ792" s="61">
        <v>3000</v>
      </c>
      <c r="BR792" s="61">
        <v>1200</v>
      </c>
      <c r="BS792" s="28">
        <f t="shared" si="718"/>
        <v>2980</v>
      </c>
      <c r="BT792" s="28">
        <f t="shared" si="719"/>
        <v>1180</v>
      </c>
      <c r="BU792" s="28" t="s">
        <v>2541</v>
      </c>
      <c r="BV792" s="28">
        <f t="shared" si="720"/>
        <v>5</v>
      </c>
      <c r="BW792" s="28">
        <f t="shared" si="721"/>
        <v>5</v>
      </c>
      <c r="BX792" s="13">
        <f t="shared" si="722"/>
        <v>596</v>
      </c>
      <c r="BY792" s="13">
        <f t="shared" si="723"/>
        <v>596</v>
      </c>
      <c r="BZ792" s="13">
        <f t="shared" si="724"/>
        <v>236</v>
      </c>
      <c r="CA792" s="13">
        <f t="shared" si="725"/>
        <v>236</v>
      </c>
      <c r="CB792" s="13">
        <f t="shared" si="726"/>
        <v>140656</v>
      </c>
      <c r="CC792" s="62">
        <f t="shared" si="727"/>
        <v>7.1095438516664771E-6</v>
      </c>
      <c r="CD792" s="13">
        <f t="shared" si="728"/>
        <v>596</v>
      </c>
      <c r="CE792" s="13">
        <f t="shared" si="729"/>
        <v>596</v>
      </c>
      <c r="CF792" s="13">
        <f t="shared" si="730"/>
        <v>236</v>
      </c>
      <c r="CG792" s="13">
        <f t="shared" si="731"/>
        <v>236</v>
      </c>
      <c r="CH792" s="28">
        <f t="shared" si="732"/>
        <v>140656</v>
      </c>
      <c r="CI792" s="62">
        <f t="shared" si="733"/>
        <v>7.1095438516664771E-6</v>
      </c>
      <c r="CJ792" s="59">
        <f t="shared" si="734"/>
        <v>7.1095438516664771E-6</v>
      </c>
      <c r="CL792" s="63">
        <v>6000</v>
      </c>
      <c r="CM792" s="63">
        <f t="shared" si="735"/>
        <v>0</v>
      </c>
      <c r="CN792" s="63">
        <f t="shared" si="736"/>
        <v>5</v>
      </c>
      <c r="CO792" s="63">
        <f t="shared" si="737"/>
        <v>1200</v>
      </c>
      <c r="CP792" s="13">
        <f t="shared" si="738"/>
        <v>1200</v>
      </c>
      <c r="CQ792" s="70">
        <f t="shared" si="739"/>
        <v>8.3333333333333339E-4</v>
      </c>
      <c r="CR792" s="69">
        <f t="shared" si="697"/>
        <v>0</v>
      </c>
    </row>
    <row r="793" spans="1:96" hidden="1" x14ac:dyDescent="0.25">
      <c r="A793" s="36">
        <v>2</v>
      </c>
      <c r="B793" s="37" t="s">
        <v>37</v>
      </c>
      <c r="C793" s="36" t="s">
        <v>1858</v>
      </c>
      <c r="D793" s="36" t="s">
        <v>1860</v>
      </c>
      <c r="E793" s="36" t="s">
        <v>52</v>
      </c>
      <c r="F793" s="38">
        <f t="shared" si="708"/>
        <v>1</v>
      </c>
      <c r="G793" s="36">
        <v>6</v>
      </c>
      <c r="H793" s="36">
        <f t="shared" ref="H793" si="758">G793*$H$3</f>
        <v>6</v>
      </c>
      <c r="I793" s="36">
        <v>274</v>
      </c>
      <c r="J793" s="37" t="s">
        <v>1859</v>
      </c>
      <c r="K793" s="37" t="s">
        <v>34</v>
      </c>
      <c r="L793" s="36">
        <v>0</v>
      </c>
      <c r="M793" s="37" t="s">
        <v>35</v>
      </c>
      <c r="N793" s="36" t="s">
        <v>1860</v>
      </c>
      <c r="O793" s="28"/>
      <c r="P793" s="28"/>
      <c r="Q793" s="28" t="s">
        <v>1860</v>
      </c>
      <c r="R793" s="30"/>
      <c r="S793" s="30"/>
      <c r="T793" s="30"/>
      <c r="U793" s="30"/>
      <c r="V793" s="8">
        <f t="shared" si="709"/>
        <v>0</v>
      </c>
      <c r="W793" s="8">
        <f t="shared" si="710"/>
        <v>0</v>
      </c>
      <c r="X793" s="8">
        <f t="shared" si="711"/>
        <v>0</v>
      </c>
      <c r="Y793" s="33">
        <f t="shared" si="712"/>
        <v>0</v>
      </c>
      <c r="Z793" s="28"/>
      <c r="AA793" s="28"/>
      <c r="AB793" s="61" t="s">
        <v>1860</v>
      </c>
      <c r="AC793" s="31" t="s">
        <v>1861</v>
      </c>
      <c r="AD793" s="50">
        <f t="shared" si="713"/>
        <v>6</v>
      </c>
      <c r="AE793" s="45"/>
      <c r="AF793" s="51">
        <v>14</v>
      </c>
      <c r="AG793" s="51">
        <f t="shared" si="740"/>
        <v>8.4</v>
      </c>
      <c r="AH793" s="51">
        <f t="shared" si="707"/>
        <v>42</v>
      </c>
      <c r="AI793" s="52" t="s">
        <v>2497</v>
      </c>
      <c r="AJ793" s="52" t="s">
        <v>2498</v>
      </c>
      <c r="AK793" s="53">
        <f t="shared" si="741"/>
        <v>0</v>
      </c>
      <c r="AL793" s="54">
        <f t="shared" si="742"/>
        <v>0.11904761904761904</v>
      </c>
      <c r="AM793" s="54">
        <f t="shared" si="743"/>
        <v>2.3809523809523808E-2</v>
      </c>
      <c r="AN793" s="55">
        <f t="shared" si="744"/>
        <v>0</v>
      </c>
      <c r="AO793" s="55">
        <f t="shared" si="745"/>
        <v>0</v>
      </c>
      <c r="AP793" s="53">
        <v>7.1</v>
      </c>
      <c r="AQ793" s="53">
        <f t="shared" si="714"/>
        <v>4.26</v>
      </c>
      <c r="AR793" s="53">
        <f t="shared" si="715"/>
        <v>21.299999999999997</v>
      </c>
      <c r="AS793" s="56">
        <f t="shared" si="716"/>
        <v>4.6948356807511742E-2</v>
      </c>
      <c r="AT793" s="56">
        <f t="shared" si="746"/>
        <v>0.23474178403755869</v>
      </c>
      <c r="AU793" s="56">
        <f t="shared" si="717"/>
        <v>0.176056338028169</v>
      </c>
      <c r="AV793" s="56">
        <f t="shared" si="747"/>
        <v>5.8685446009389672E-2</v>
      </c>
      <c r="AW793" s="57" t="s">
        <v>2511</v>
      </c>
      <c r="AX793" s="57" t="s">
        <v>2512</v>
      </c>
      <c r="AY793" s="57" t="s">
        <v>2513</v>
      </c>
      <c r="AZ793" s="58">
        <f t="shared" si="748"/>
        <v>0</v>
      </c>
      <c r="BA793" s="59">
        <f t="shared" si="752"/>
        <v>0</v>
      </c>
      <c r="BB793" s="59">
        <f t="shared" si="753"/>
        <v>0</v>
      </c>
      <c r="BC793" s="59">
        <f t="shared" si="754"/>
        <v>0</v>
      </c>
      <c r="BD793" s="60">
        <f t="shared" si="749"/>
        <v>7.1095438516664771E-6</v>
      </c>
      <c r="BE793" s="59">
        <f t="shared" si="750"/>
        <v>4.2657263109998864E-5</v>
      </c>
      <c r="BQ793" s="61">
        <v>3000</v>
      </c>
      <c r="BR793" s="61">
        <v>1200</v>
      </c>
      <c r="BS793" s="28">
        <f t="shared" si="718"/>
        <v>2980</v>
      </c>
      <c r="BT793" s="28">
        <f t="shared" si="719"/>
        <v>1180</v>
      </c>
      <c r="BU793" s="28" t="s">
        <v>2541</v>
      </c>
      <c r="BV793" s="28">
        <f t="shared" si="720"/>
        <v>5</v>
      </c>
      <c r="BW793" s="28">
        <f t="shared" si="721"/>
        <v>5</v>
      </c>
      <c r="BX793" s="13">
        <f t="shared" si="722"/>
        <v>596</v>
      </c>
      <c r="BY793" s="13">
        <f t="shared" si="723"/>
        <v>596</v>
      </c>
      <c r="BZ793" s="13">
        <f t="shared" si="724"/>
        <v>236</v>
      </c>
      <c r="CA793" s="13">
        <f t="shared" si="725"/>
        <v>236</v>
      </c>
      <c r="CB793" s="13">
        <f t="shared" si="726"/>
        <v>140656</v>
      </c>
      <c r="CC793" s="62">
        <f t="shared" si="727"/>
        <v>7.1095438516664771E-6</v>
      </c>
      <c r="CD793" s="13">
        <f t="shared" si="728"/>
        <v>596</v>
      </c>
      <c r="CE793" s="13">
        <f t="shared" si="729"/>
        <v>596</v>
      </c>
      <c r="CF793" s="13">
        <f t="shared" si="730"/>
        <v>236</v>
      </c>
      <c r="CG793" s="13">
        <f t="shared" si="731"/>
        <v>236</v>
      </c>
      <c r="CH793" s="28">
        <f t="shared" si="732"/>
        <v>140656</v>
      </c>
      <c r="CI793" s="62">
        <f t="shared" si="733"/>
        <v>7.1095438516664771E-6</v>
      </c>
      <c r="CJ793" s="59">
        <f t="shared" si="734"/>
        <v>7.1095438516664771E-6</v>
      </c>
      <c r="CL793" s="63">
        <v>6000</v>
      </c>
      <c r="CM793" s="63">
        <f t="shared" si="735"/>
        <v>0</v>
      </c>
      <c r="CN793" s="63">
        <f t="shared" si="736"/>
        <v>5</v>
      </c>
      <c r="CO793" s="63">
        <f t="shared" si="737"/>
        <v>1200</v>
      </c>
      <c r="CP793" s="13">
        <f t="shared" si="738"/>
        <v>1200</v>
      </c>
      <c r="CQ793" s="70">
        <f t="shared" si="739"/>
        <v>8.3333333333333339E-4</v>
      </c>
      <c r="CR793" s="69">
        <f t="shared" si="697"/>
        <v>5.0000000000000001E-3</v>
      </c>
    </row>
    <row r="794" spans="1:96" hidden="1" x14ac:dyDescent="0.25">
      <c r="A794" s="3">
        <v>1</v>
      </c>
      <c r="B794" s="4" t="s">
        <v>30</v>
      </c>
      <c r="C794" s="3" t="s">
        <v>1862</v>
      </c>
      <c r="D794" s="3" t="s">
        <v>2270</v>
      </c>
      <c r="E794" s="3" t="s">
        <v>32</v>
      </c>
      <c r="F794" s="9">
        <f t="shared" si="708"/>
        <v>1</v>
      </c>
      <c r="G794" s="3">
        <v>1</v>
      </c>
      <c r="H794" s="3">
        <f>G794*$H$2</f>
        <v>1</v>
      </c>
      <c r="I794" s="3">
        <v>5</v>
      </c>
      <c r="J794" s="4" t="s">
        <v>1863</v>
      </c>
      <c r="K794" s="4" t="s">
        <v>34</v>
      </c>
      <c r="L794" s="3">
        <v>0</v>
      </c>
      <c r="M794" s="4" t="s">
        <v>35</v>
      </c>
      <c r="N794" s="3" t="s">
        <v>1864</v>
      </c>
      <c r="O794" s="28"/>
      <c r="P794" s="28"/>
      <c r="Q794" s="28"/>
      <c r="R794" s="30"/>
      <c r="S794" s="30"/>
      <c r="T794" s="30"/>
      <c r="U794" s="30"/>
      <c r="V794" s="8">
        <f t="shared" si="709"/>
        <v>0</v>
      </c>
      <c r="W794" s="8">
        <f t="shared" si="710"/>
        <v>0</v>
      </c>
      <c r="X794" s="8">
        <f t="shared" si="711"/>
        <v>0</v>
      </c>
      <c r="Y794" s="33">
        <f t="shared" si="712"/>
        <v>0</v>
      </c>
      <c r="Z794" s="28"/>
      <c r="AA794" s="28"/>
      <c r="AB794" s="28">
        <v>0</v>
      </c>
      <c r="AC794" s="31"/>
      <c r="AD794" s="50">
        <f t="shared" si="713"/>
        <v>1</v>
      </c>
      <c r="AE794" s="45"/>
      <c r="AF794" s="51">
        <v>14</v>
      </c>
      <c r="AG794" s="51">
        <f t="shared" si="740"/>
        <v>8.4</v>
      </c>
      <c r="AH794" s="51">
        <f t="shared" si="707"/>
        <v>42</v>
      </c>
      <c r="AI794" s="52"/>
      <c r="AJ794" s="52"/>
      <c r="AK794" s="53">
        <f t="shared" si="741"/>
        <v>0</v>
      </c>
      <c r="AL794" s="54">
        <f t="shared" si="742"/>
        <v>0.11904761904761904</v>
      </c>
      <c r="AM794" s="54">
        <f t="shared" si="743"/>
        <v>2.3809523809523808E-2</v>
      </c>
      <c r="AN794" s="55">
        <f t="shared" si="744"/>
        <v>0</v>
      </c>
      <c r="AO794" s="55">
        <f t="shared" si="745"/>
        <v>0</v>
      </c>
      <c r="AP794" s="53">
        <v>7.1</v>
      </c>
      <c r="AQ794" s="53">
        <f t="shared" si="714"/>
        <v>4.26</v>
      </c>
      <c r="AR794" s="53">
        <f t="shared" si="715"/>
        <v>21.299999999999997</v>
      </c>
      <c r="AS794" s="56">
        <f t="shared" si="716"/>
        <v>4.6948356807511742E-2</v>
      </c>
      <c r="AT794" s="56">
        <f t="shared" si="746"/>
        <v>0.23474178403755869</v>
      </c>
      <c r="AU794" s="56">
        <f t="shared" si="717"/>
        <v>0.176056338028169</v>
      </c>
      <c r="AV794" s="56">
        <f t="shared" si="747"/>
        <v>5.8685446009389672E-2</v>
      </c>
      <c r="AW794" s="57"/>
      <c r="AX794" s="57"/>
      <c r="AY794" s="57"/>
      <c r="AZ794" s="58">
        <f t="shared" si="748"/>
        <v>0</v>
      </c>
      <c r="BA794" s="59">
        <f t="shared" ref="BA794:BA837" si="759">IF(AW794&lt;&gt;0,(AV794*AD794*AK794),0)</f>
        <v>0</v>
      </c>
      <c r="BB794" s="59">
        <f t="shared" ref="BB794:BB837" si="760">IF(AX794&lt;&gt;0,(AD794*AU794*AZ794),0)</f>
        <v>0</v>
      </c>
      <c r="BC794" s="59">
        <f t="shared" ref="BC794:BC837" si="761">IF(AY794&lt;&gt;0,(AD794*AS794*AZ794),0)</f>
        <v>0</v>
      </c>
      <c r="BD794" s="60">
        <f t="shared" si="749"/>
        <v>0</v>
      </c>
      <c r="BE794" s="59">
        <f t="shared" si="750"/>
        <v>0</v>
      </c>
      <c r="BQ794" s="61">
        <v>3000</v>
      </c>
      <c r="BR794" s="61">
        <v>1200</v>
      </c>
      <c r="BS794" s="28">
        <f t="shared" si="718"/>
        <v>2980</v>
      </c>
      <c r="BT794" s="28">
        <f t="shared" si="719"/>
        <v>1180</v>
      </c>
      <c r="BU794" s="28" t="s">
        <v>2541</v>
      </c>
      <c r="BV794" s="28">
        <f t="shared" si="720"/>
        <v>5</v>
      </c>
      <c r="BW794" s="28">
        <f t="shared" si="721"/>
        <v>5</v>
      </c>
      <c r="BX794" s="13">
        <f t="shared" si="722"/>
        <v>596</v>
      </c>
      <c r="BY794" s="13">
        <f t="shared" si="723"/>
        <v>596</v>
      </c>
      <c r="BZ794" s="13">
        <f t="shared" si="724"/>
        <v>236</v>
      </c>
      <c r="CA794" s="13">
        <f t="shared" si="725"/>
        <v>236</v>
      </c>
      <c r="CB794" s="13">
        <f t="shared" si="726"/>
        <v>140656</v>
      </c>
      <c r="CC794" s="62" t="str">
        <f t="shared" si="727"/>
        <v/>
      </c>
      <c r="CD794" s="13">
        <f t="shared" si="728"/>
        <v>596</v>
      </c>
      <c r="CE794" s="13">
        <f t="shared" si="729"/>
        <v>596</v>
      </c>
      <c r="CF794" s="13">
        <f t="shared" si="730"/>
        <v>236</v>
      </c>
      <c r="CG794" s="13">
        <f t="shared" si="731"/>
        <v>236</v>
      </c>
      <c r="CH794" s="28">
        <f t="shared" si="732"/>
        <v>140656</v>
      </c>
      <c r="CI794" s="62" t="str">
        <f t="shared" si="733"/>
        <v/>
      </c>
      <c r="CJ794" s="59">
        <f t="shared" si="734"/>
        <v>0</v>
      </c>
      <c r="CL794" s="63">
        <v>6000</v>
      </c>
      <c r="CM794" s="63">
        <f t="shared" si="735"/>
        <v>0</v>
      </c>
      <c r="CN794" s="63">
        <f t="shared" si="736"/>
        <v>5</v>
      </c>
      <c r="CO794" s="63">
        <f t="shared" si="737"/>
        <v>1200</v>
      </c>
      <c r="CP794" s="13">
        <f t="shared" si="738"/>
        <v>1200</v>
      </c>
      <c r="CQ794" s="70">
        <f t="shared" si="739"/>
        <v>8.3333333333333339E-4</v>
      </c>
      <c r="CR794" s="69">
        <f t="shared" si="697"/>
        <v>8.3333333333333339E-4</v>
      </c>
    </row>
    <row r="795" spans="1:96" hidden="1" x14ac:dyDescent="0.25">
      <c r="A795" s="36">
        <v>2</v>
      </c>
      <c r="B795" s="37" t="s">
        <v>1865</v>
      </c>
      <c r="C795" s="36" t="s">
        <v>1866</v>
      </c>
      <c r="D795" s="36" t="s">
        <v>2270</v>
      </c>
      <c r="E795" s="36" t="s">
        <v>32</v>
      </c>
      <c r="F795" s="38">
        <f t="shared" si="708"/>
        <v>1</v>
      </c>
      <c r="G795" s="36">
        <v>1</v>
      </c>
      <c r="H795" s="36">
        <f>G795*$H$794</f>
        <v>1</v>
      </c>
      <c r="I795" s="36">
        <v>1</v>
      </c>
      <c r="J795" s="37" t="s">
        <v>1867</v>
      </c>
      <c r="K795" s="37" t="s">
        <v>34</v>
      </c>
      <c r="L795" s="36">
        <v>0</v>
      </c>
      <c r="M795" s="37" t="s">
        <v>35</v>
      </c>
      <c r="N795" s="36" t="s">
        <v>1868</v>
      </c>
      <c r="O795" s="28" t="s">
        <v>41</v>
      </c>
      <c r="P795" s="28" t="s">
        <v>41</v>
      </c>
      <c r="Q795" s="28"/>
      <c r="R795" s="30"/>
      <c r="S795" s="30"/>
      <c r="T795" s="30"/>
      <c r="U795" s="30"/>
      <c r="V795" s="8">
        <f t="shared" si="709"/>
        <v>0</v>
      </c>
      <c r="W795" s="8">
        <f t="shared" si="710"/>
        <v>0</v>
      </c>
      <c r="X795" s="8">
        <f t="shared" si="711"/>
        <v>0</v>
      </c>
      <c r="Y795" s="33">
        <f t="shared" si="712"/>
        <v>0</v>
      </c>
      <c r="Z795" s="28"/>
      <c r="AA795" s="28"/>
      <c r="AB795" s="28">
        <v>0</v>
      </c>
      <c r="AC795" s="31"/>
      <c r="AD795" s="50">
        <f t="shared" si="713"/>
        <v>1</v>
      </c>
      <c r="AE795" s="45"/>
      <c r="AF795" s="51">
        <v>14</v>
      </c>
      <c r="AG795" s="51">
        <f t="shared" si="740"/>
        <v>8.4</v>
      </c>
      <c r="AH795" s="51">
        <f t="shared" si="707"/>
        <v>42</v>
      </c>
      <c r="AI795" s="52" t="s">
        <v>2497</v>
      </c>
      <c r="AJ795" s="52" t="s">
        <v>2498</v>
      </c>
      <c r="AK795" s="53">
        <f t="shared" si="741"/>
        <v>0</v>
      </c>
      <c r="AL795" s="54">
        <f t="shared" si="742"/>
        <v>0.11904761904761904</v>
      </c>
      <c r="AM795" s="54">
        <f t="shared" si="743"/>
        <v>2.3809523809523808E-2</v>
      </c>
      <c r="AN795" s="55">
        <f t="shared" si="744"/>
        <v>0</v>
      </c>
      <c r="AO795" s="55">
        <f t="shared" si="745"/>
        <v>0</v>
      </c>
      <c r="AP795" s="53">
        <v>7.1</v>
      </c>
      <c r="AQ795" s="53">
        <f t="shared" si="714"/>
        <v>4.26</v>
      </c>
      <c r="AR795" s="53">
        <f t="shared" si="715"/>
        <v>21.299999999999997</v>
      </c>
      <c r="AS795" s="56">
        <f t="shared" si="716"/>
        <v>4.6948356807511742E-2</v>
      </c>
      <c r="AT795" s="56">
        <f t="shared" si="746"/>
        <v>0.23474178403755869</v>
      </c>
      <c r="AU795" s="56">
        <f t="shared" si="717"/>
        <v>0.176056338028169</v>
      </c>
      <c r="AV795" s="56">
        <f t="shared" si="747"/>
        <v>5.8685446009389672E-2</v>
      </c>
      <c r="AW795" s="57"/>
      <c r="AX795" s="57"/>
      <c r="AY795" s="57"/>
      <c r="AZ795" s="58">
        <f t="shared" si="748"/>
        <v>0</v>
      </c>
      <c r="BA795" s="59">
        <f t="shared" si="759"/>
        <v>0</v>
      </c>
      <c r="BB795" s="59">
        <f t="shared" si="760"/>
        <v>0</v>
      </c>
      <c r="BC795" s="59">
        <f t="shared" si="761"/>
        <v>0</v>
      </c>
      <c r="BD795" s="60">
        <f t="shared" si="749"/>
        <v>0</v>
      </c>
      <c r="BE795" s="59">
        <f t="shared" si="750"/>
        <v>0</v>
      </c>
      <c r="BQ795" s="61">
        <v>3000</v>
      </c>
      <c r="BR795" s="61">
        <v>1200</v>
      </c>
      <c r="BS795" s="28">
        <f t="shared" si="718"/>
        <v>2980</v>
      </c>
      <c r="BT795" s="28">
        <f t="shared" si="719"/>
        <v>1180</v>
      </c>
      <c r="BU795" s="28" t="s">
        <v>2541</v>
      </c>
      <c r="BV795" s="28">
        <f t="shared" si="720"/>
        <v>5</v>
      </c>
      <c r="BW795" s="28">
        <f t="shared" si="721"/>
        <v>5</v>
      </c>
      <c r="BX795" s="13">
        <f t="shared" si="722"/>
        <v>596</v>
      </c>
      <c r="BY795" s="13">
        <f t="shared" si="723"/>
        <v>596</v>
      </c>
      <c r="BZ795" s="13">
        <f t="shared" si="724"/>
        <v>236</v>
      </c>
      <c r="CA795" s="13">
        <f t="shared" si="725"/>
        <v>236</v>
      </c>
      <c r="CB795" s="13">
        <f t="shared" si="726"/>
        <v>140656</v>
      </c>
      <c r="CC795" s="62" t="str">
        <f t="shared" si="727"/>
        <v/>
      </c>
      <c r="CD795" s="13">
        <f t="shared" si="728"/>
        <v>596</v>
      </c>
      <c r="CE795" s="13">
        <f t="shared" si="729"/>
        <v>596</v>
      </c>
      <c r="CF795" s="13">
        <f t="shared" si="730"/>
        <v>236</v>
      </c>
      <c r="CG795" s="13">
        <f t="shared" si="731"/>
        <v>236</v>
      </c>
      <c r="CH795" s="28">
        <f t="shared" si="732"/>
        <v>140656</v>
      </c>
      <c r="CI795" s="62" t="str">
        <f t="shared" si="733"/>
        <v/>
      </c>
      <c r="CJ795" s="59">
        <f t="shared" si="734"/>
        <v>0</v>
      </c>
      <c r="CL795" s="63">
        <v>6000</v>
      </c>
      <c r="CM795" s="63">
        <f t="shared" si="735"/>
        <v>0</v>
      </c>
      <c r="CN795" s="63">
        <f t="shared" si="736"/>
        <v>5</v>
      </c>
      <c r="CO795" s="63">
        <f t="shared" si="737"/>
        <v>1200</v>
      </c>
      <c r="CP795" s="13">
        <f t="shared" si="738"/>
        <v>1200</v>
      </c>
      <c r="CQ795" s="70">
        <f t="shared" si="739"/>
        <v>8.3333333333333339E-4</v>
      </c>
      <c r="CR795" s="69">
        <f t="shared" si="697"/>
        <v>8.3333333333333339E-4</v>
      </c>
    </row>
    <row r="796" spans="1:96" hidden="1" x14ac:dyDescent="0.25">
      <c r="A796" s="10">
        <v>3</v>
      </c>
      <c r="B796" s="8" t="s">
        <v>1869</v>
      </c>
      <c r="C796" s="10" t="s">
        <v>1870</v>
      </c>
      <c r="D796" s="10" t="s">
        <v>2270</v>
      </c>
      <c r="E796" s="10" t="s">
        <v>32</v>
      </c>
      <c r="F796" s="12">
        <f t="shared" si="708"/>
        <v>1</v>
      </c>
      <c r="G796" s="10">
        <v>1</v>
      </c>
      <c r="H796" s="10">
        <f>G796*$H$795</f>
        <v>1</v>
      </c>
      <c r="I796" s="10">
        <v>1</v>
      </c>
      <c r="J796" s="8" t="s">
        <v>1871</v>
      </c>
      <c r="K796" s="8" t="s">
        <v>34</v>
      </c>
      <c r="L796" s="10">
        <v>0</v>
      </c>
      <c r="M796" s="8" t="s">
        <v>35</v>
      </c>
      <c r="N796" s="10" t="s">
        <v>1872</v>
      </c>
      <c r="O796" s="28" t="s">
        <v>41</v>
      </c>
      <c r="P796" s="28" t="s">
        <v>41</v>
      </c>
      <c r="Q796" s="28"/>
      <c r="R796" s="30"/>
      <c r="S796" s="30"/>
      <c r="T796" s="30"/>
      <c r="U796" s="30"/>
      <c r="V796" s="8">
        <f t="shared" si="709"/>
        <v>0</v>
      </c>
      <c r="W796" s="8">
        <f t="shared" si="710"/>
        <v>0</v>
      </c>
      <c r="X796" s="8">
        <f t="shared" si="711"/>
        <v>0</v>
      </c>
      <c r="Y796" s="33">
        <f t="shared" si="712"/>
        <v>0</v>
      </c>
      <c r="Z796" s="28"/>
      <c r="AA796" s="28"/>
      <c r="AB796" s="28">
        <v>0</v>
      </c>
      <c r="AC796" s="31"/>
      <c r="AD796" s="50">
        <f t="shared" si="713"/>
        <v>1</v>
      </c>
      <c r="AE796" s="45"/>
      <c r="AF796" s="51">
        <v>14</v>
      </c>
      <c r="AG796" s="51">
        <f t="shared" si="740"/>
        <v>8.4</v>
      </c>
      <c r="AH796" s="51">
        <f t="shared" si="707"/>
        <v>42</v>
      </c>
      <c r="AI796" s="52" t="s">
        <v>2497</v>
      </c>
      <c r="AJ796" s="52" t="s">
        <v>2498</v>
      </c>
      <c r="AK796" s="53">
        <f t="shared" si="741"/>
        <v>0</v>
      </c>
      <c r="AL796" s="54">
        <f t="shared" si="742"/>
        <v>0.11904761904761904</v>
      </c>
      <c r="AM796" s="54">
        <f t="shared" si="743"/>
        <v>2.3809523809523808E-2</v>
      </c>
      <c r="AN796" s="55">
        <f t="shared" si="744"/>
        <v>0</v>
      </c>
      <c r="AO796" s="55">
        <f t="shared" si="745"/>
        <v>0</v>
      </c>
      <c r="AP796" s="53">
        <v>7.1</v>
      </c>
      <c r="AQ796" s="53">
        <f t="shared" si="714"/>
        <v>4.26</v>
      </c>
      <c r="AR796" s="53">
        <f t="shared" si="715"/>
        <v>21.299999999999997</v>
      </c>
      <c r="AS796" s="56">
        <f t="shared" si="716"/>
        <v>4.6948356807511742E-2</v>
      </c>
      <c r="AT796" s="56">
        <f t="shared" si="746"/>
        <v>0.23474178403755869</v>
      </c>
      <c r="AU796" s="56">
        <f t="shared" si="717"/>
        <v>0.176056338028169</v>
      </c>
      <c r="AV796" s="56">
        <f t="shared" si="747"/>
        <v>5.8685446009389672E-2</v>
      </c>
      <c r="AW796" s="57"/>
      <c r="AX796" s="57"/>
      <c r="AY796" s="57"/>
      <c r="AZ796" s="58">
        <f t="shared" si="748"/>
        <v>0</v>
      </c>
      <c r="BA796" s="59">
        <f t="shared" si="759"/>
        <v>0</v>
      </c>
      <c r="BB796" s="59">
        <f t="shared" si="760"/>
        <v>0</v>
      </c>
      <c r="BC796" s="59">
        <f t="shared" si="761"/>
        <v>0</v>
      </c>
      <c r="BD796" s="60">
        <f t="shared" si="749"/>
        <v>0</v>
      </c>
      <c r="BE796" s="59">
        <f t="shared" si="750"/>
        <v>0</v>
      </c>
      <c r="BQ796" s="61">
        <v>3000</v>
      </c>
      <c r="BR796" s="61">
        <v>1200</v>
      </c>
      <c r="BS796" s="28">
        <f t="shared" si="718"/>
        <v>2980</v>
      </c>
      <c r="BT796" s="28">
        <f t="shared" si="719"/>
        <v>1180</v>
      </c>
      <c r="BU796" s="28" t="s">
        <v>2541</v>
      </c>
      <c r="BV796" s="28">
        <f t="shared" si="720"/>
        <v>5</v>
      </c>
      <c r="BW796" s="28">
        <f t="shared" si="721"/>
        <v>5</v>
      </c>
      <c r="BX796" s="13">
        <f t="shared" si="722"/>
        <v>596</v>
      </c>
      <c r="BY796" s="13">
        <f t="shared" si="723"/>
        <v>596</v>
      </c>
      <c r="BZ796" s="13">
        <f t="shared" si="724"/>
        <v>236</v>
      </c>
      <c r="CA796" s="13">
        <f t="shared" si="725"/>
        <v>236</v>
      </c>
      <c r="CB796" s="13">
        <f t="shared" si="726"/>
        <v>140656</v>
      </c>
      <c r="CC796" s="62" t="str">
        <f t="shared" si="727"/>
        <v/>
      </c>
      <c r="CD796" s="13">
        <f t="shared" si="728"/>
        <v>596</v>
      </c>
      <c r="CE796" s="13">
        <f t="shared" si="729"/>
        <v>596</v>
      </c>
      <c r="CF796" s="13">
        <f t="shared" si="730"/>
        <v>236</v>
      </c>
      <c r="CG796" s="13">
        <f t="shared" si="731"/>
        <v>236</v>
      </c>
      <c r="CH796" s="28">
        <f t="shared" si="732"/>
        <v>140656</v>
      </c>
      <c r="CI796" s="62" t="str">
        <f t="shared" si="733"/>
        <v/>
      </c>
      <c r="CJ796" s="59">
        <f t="shared" si="734"/>
        <v>0</v>
      </c>
      <c r="CL796" s="63">
        <v>6000</v>
      </c>
      <c r="CM796" s="63">
        <f t="shared" si="735"/>
        <v>0</v>
      </c>
      <c r="CN796" s="63">
        <f t="shared" si="736"/>
        <v>5</v>
      </c>
      <c r="CO796" s="63">
        <f t="shared" si="737"/>
        <v>1200</v>
      </c>
      <c r="CP796" s="13">
        <f t="shared" si="738"/>
        <v>1200</v>
      </c>
      <c r="CQ796" s="70">
        <f t="shared" si="739"/>
        <v>8.3333333333333339E-4</v>
      </c>
      <c r="CR796" s="69">
        <f t="shared" si="697"/>
        <v>8.3333333333333339E-4</v>
      </c>
    </row>
    <row r="797" spans="1:96" x14ac:dyDescent="0.25">
      <c r="A797" s="13">
        <v>4</v>
      </c>
      <c r="B797" s="14" t="s">
        <v>1873</v>
      </c>
      <c r="C797" s="13" t="s">
        <v>1874</v>
      </c>
      <c r="D797" s="13" t="s">
        <v>2270</v>
      </c>
      <c r="E797" s="13" t="s">
        <v>52</v>
      </c>
      <c r="F797" s="15">
        <f t="shared" si="708"/>
        <v>1</v>
      </c>
      <c r="G797" s="13">
        <v>1</v>
      </c>
      <c r="H797" s="13">
        <f>G797*$H$796</f>
        <v>1</v>
      </c>
      <c r="I797" s="13">
        <v>1</v>
      </c>
      <c r="J797" s="14" t="s">
        <v>1875</v>
      </c>
      <c r="K797" s="14" t="s">
        <v>34</v>
      </c>
      <c r="L797" s="13">
        <v>0</v>
      </c>
      <c r="M797" s="14" t="s">
        <v>35</v>
      </c>
      <c r="N797" s="13" t="s">
        <v>1876</v>
      </c>
      <c r="O797" s="28" t="s">
        <v>41</v>
      </c>
      <c r="P797" s="28" t="s">
        <v>41</v>
      </c>
      <c r="Q797" s="28" t="s">
        <v>2585</v>
      </c>
      <c r="R797" s="30">
        <v>56.920999999999999</v>
      </c>
      <c r="S797" s="30">
        <v>17.257000000000001</v>
      </c>
      <c r="T797" s="30"/>
      <c r="U797" s="30">
        <v>0.06</v>
      </c>
      <c r="V797" s="8">
        <f t="shared" si="709"/>
        <v>1445.7933999999998</v>
      </c>
      <c r="W797" s="8">
        <f t="shared" si="710"/>
        <v>438.32780000000002</v>
      </c>
      <c r="X797" s="8">
        <f t="shared" si="711"/>
        <v>0</v>
      </c>
      <c r="Y797" s="33">
        <f t="shared" si="712"/>
        <v>1.5239999999999998</v>
      </c>
      <c r="Z797" s="28" t="s">
        <v>56</v>
      </c>
      <c r="AA797" s="28" t="s">
        <v>1765</v>
      </c>
      <c r="AB797" s="61" t="s">
        <v>2585</v>
      </c>
      <c r="AC797" s="31" t="s">
        <v>2586</v>
      </c>
      <c r="AD797" s="50">
        <f t="shared" si="713"/>
        <v>1</v>
      </c>
      <c r="AE797" s="45"/>
      <c r="AF797" s="51">
        <v>14</v>
      </c>
      <c r="AG797" s="51">
        <f t="shared" si="740"/>
        <v>8.4</v>
      </c>
      <c r="AH797" s="51">
        <f t="shared" si="707"/>
        <v>42</v>
      </c>
      <c r="AI797" s="52" t="s">
        <v>2497</v>
      </c>
      <c r="AJ797" s="52" t="s">
        <v>2498</v>
      </c>
      <c r="AK797" s="53">
        <f t="shared" si="741"/>
        <v>1.2674628805530399</v>
      </c>
      <c r="AL797" s="54">
        <f t="shared" si="742"/>
        <v>0.11904761904761904</v>
      </c>
      <c r="AM797" s="54">
        <f t="shared" si="743"/>
        <v>2.3809523809523808E-2</v>
      </c>
      <c r="AN797" s="55">
        <f t="shared" si="744"/>
        <v>0.15088843816107617</v>
      </c>
      <c r="AO797" s="55">
        <f t="shared" si="745"/>
        <v>3.0177687632215233E-2</v>
      </c>
      <c r="AP797" s="53">
        <v>7.1</v>
      </c>
      <c r="AQ797" s="53">
        <f t="shared" si="714"/>
        <v>4.26</v>
      </c>
      <c r="AR797" s="53">
        <f t="shared" si="715"/>
        <v>21.299999999999997</v>
      </c>
      <c r="AS797" s="56">
        <f t="shared" si="716"/>
        <v>4.6948356807511742E-2</v>
      </c>
      <c r="AT797" s="56">
        <f t="shared" si="746"/>
        <v>0.23474178403755869</v>
      </c>
      <c r="AU797" s="56">
        <f t="shared" si="717"/>
        <v>0.176056338028169</v>
      </c>
      <c r="AV797" s="56">
        <f t="shared" si="747"/>
        <v>5.8685446009389672E-2</v>
      </c>
      <c r="AW797" s="57"/>
      <c r="AX797" s="57"/>
      <c r="AY797" s="57"/>
      <c r="AZ797" s="58">
        <f t="shared" si="748"/>
        <v>1.2674628805530399</v>
      </c>
      <c r="BA797" s="59">
        <f t="shared" si="759"/>
        <v>0</v>
      </c>
      <c r="BB797" s="59">
        <f t="shared" si="760"/>
        <v>0</v>
      </c>
      <c r="BC797" s="59">
        <f t="shared" si="761"/>
        <v>0</v>
      </c>
      <c r="BD797" s="60">
        <f t="shared" si="749"/>
        <v>0.25</v>
      </c>
      <c r="BE797" s="59">
        <f t="shared" si="750"/>
        <v>0.25</v>
      </c>
      <c r="BQ797" s="61">
        <v>3000</v>
      </c>
      <c r="BR797" s="61">
        <v>1200</v>
      </c>
      <c r="BS797" s="28">
        <f t="shared" si="718"/>
        <v>2980</v>
      </c>
      <c r="BT797" s="28">
        <f t="shared" si="719"/>
        <v>1180</v>
      </c>
      <c r="BU797" s="28" t="s">
        <v>2541</v>
      </c>
      <c r="BV797" s="28">
        <f t="shared" si="720"/>
        <v>1450.7933999999998</v>
      </c>
      <c r="BW797" s="28">
        <f t="shared" si="721"/>
        <v>443.32780000000002</v>
      </c>
      <c r="BX797" s="13">
        <f t="shared" si="722"/>
        <v>2.0540484951199809</v>
      </c>
      <c r="BY797" s="13">
        <f t="shared" si="723"/>
        <v>2</v>
      </c>
      <c r="BZ797" s="13">
        <f t="shared" si="724"/>
        <v>2.6616873563985837</v>
      </c>
      <c r="CA797" s="13">
        <f t="shared" si="725"/>
        <v>2</v>
      </c>
      <c r="CB797" s="13">
        <f t="shared" si="726"/>
        <v>4</v>
      </c>
      <c r="CC797" s="62">
        <f t="shared" si="727"/>
        <v>0.25</v>
      </c>
      <c r="CD797" s="13">
        <f t="shared" si="728"/>
        <v>6.7218884085320161</v>
      </c>
      <c r="CE797" s="13">
        <f t="shared" si="729"/>
        <v>6</v>
      </c>
      <c r="CF797" s="13">
        <f t="shared" si="730"/>
        <v>0.8133480618260327</v>
      </c>
      <c r="CG797" s="13">
        <f t="shared" si="731"/>
        <v>0</v>
      </c>
      <c r="CH797" s="28">
        <f t="shared" si="732"/>
        <v>0</v>
      </c>
      <c r="CI797" s="62">
        <f t="shared" si="733"/>
        <v>1</v>
      </c>
      <c r="CJ797" s="59">
        <f t="shared" si="734"/>
        <v>0.25</v>
      </c>
      <c r="CL797" s="63">
        <v>6000</v>
      </c>
      <c r="CM797" s="63">
        <f t="shared" si="735"/>
        <v>1445.7933999999998</v>
      </c>
      <c r="CN797" s="63">
        <f t="shared" si="736"/>
        <v>1450.7933999999998</v>
      </c>
      <c r="CO797" s="63">
        <f t="shared" si="737"/>
        <v>4.135668110979827</v>
      </c>
      <c r="CP797" s="13">
        <f t="shared" si="738"/>
        <v>4</v>
      </c>
      <c r="CQ797" s="70">
        <f t="shared" si="739"/>
        <v>0.25</v>
      </c>
      <c r="CR797" s="69">
        <f t="shared" si="697"/>
        <v>0.25</v>
      </c>
    </row>
    <row r="798" spans="1:96" x14ac:dyDescent="0.25">
      <c r="A798" s="13">
        <v>4</v>
      </c>
      <c r="B798" s="14" t="s">
        <v>1873</v>
      </c>
      <c r="C798" s="13" t="s">
        <v>1877</v>
      </c>
      <c r="D798" s="13" t="s">
        <v>2270</v>
      </c>
      <c r="E798" s="13" t="s">
        <v>52</v>
      </c>
      <c r="F798" s="15">
        <f t="shared" si="708"/>
        <v>2</v>
      </c>
      <c r="G798" s="13">
        <v>2</v>
      </c>
      <c r="H798" s="13">
        <f t="shared" ref="H798:H799" si="762">G798*$H$796</f>
        <v>2</v>
      </c>
      <c r="I798" s="13">
        <v>2</v>
      </c>
      <c r="J798" s="14" t="s">
        <v>119</v>
      </c>
      <c r="K798" s="14" t="s">
        <v>34</v>
      </c>
      <c r="L798" s="13" t="s">
        <v>110</v>
      </c>
      <c r="M798" s="14" t="s">
        <v>35</v>
      </c>
      <c r="N798" s="13" t="s">
        <v>1878</v>
      </c>
      <c r="O798" s="28" t="s">
        <v>41</v>
      </c>
      <c r="P798" s="28" t="s">
        <v>41</v>
      </c>
      <c r="Q798" s="28" t="s">
        <v>2585</v>
      </c>
      <c r="R798" s="30">
        <v>14.314</v>
      </c>
      <c r="S798" s="30">
        <v>1.292</v>
      </c>
      <c r="T798" s="30"/>
      <c r="U798" s="30">
        <v>0.06</v>
      </c>
      <c r="V798" s="8">
        <f t="shared" si="709"/>
        <v>363.57560000000001</v>
      </c>
      <c r="W798" s="8">
        <f t="shared" si="710"/>
        <v>32.816800000000001</v>
      </c>
      <c r="X798" s="8">
        <f t="shared" si="711"/>
        <v>0</v>
      </c>
      <c r="Y798" s="33">
        <f t="shared" si="712"/>
        <v>1.5239999999999998</v>
      </c>
      <c r="Z798" s="28" t="s">
        <v>56</v>
      </c>
      <c r="AA798" s="28" t="s">
        <v>1765</v>
      </c>
      <c r="AB798" s="61" t="s">
        <v>2585</v>
      </c>
      <c r="AC798" s="31" t="s">
        <v>2586</v>
      </c>
      <c r="AD798" s="50">
        <f t="shared" si="713"/>
        <v>2</v>
      </c>
      <c r="AE798" s="45"/>
      <c r="AF798" s="51">
        <v>14</v>
      </c>
      <c r="AG798" s="51">
        <f t="shared" si="740"/>
        <v>8.4</v>
      </c>
      <c r="AH798" s="51">
        <f t="shared" si="707"/>
        <v>42</v>
      </c>
      <c r="AI798" s="52" t="s">
        <v>2497</v>
      </c>
      <c r="AJ798" s="52" t="s">
        <v>2498</v>
      </c>
      <c r="AK798" s="53">
        <f t="shared" si="741"/>
        <v>2.3862775500160003E-2</v>
      </c>
      <c r="AL798" s="54">
        <f t="shared" si="742"/>
        <v>0.11904761904761904</v>
      </c>
      <c r="AM798" s="54">
        <f t="shared" si="743"/>
        <v>2.3809523809523808E-2</v>
      </c>
      <c r="AN798" s="55">
        <f t="shared" si="744"/>
        <v>5.6816132143238099E-3</v>
      </c>
      <c r="AO798" s="55">
        <f t="shared" si="745"/>
        <v>1.136322642864762E-3</v>
      </c>
      <c r="AP798" s="53">
        <v>7.1</v>
      </c>
      <c r="AQ798" s="53">
        <f t="shared" si="714"/>
        <v>4.26</v>
      </c>
      <c r="AR798" s="53">
        <f t="shared" si="715"/>
        <v>21.299999999999997</v>
      </c>
      <c r="AS798" s="56">
        <f t="shared" si="716"/>
        <v>4.6948356807511742E-2</v>
      </c>
      <c r="AT798" s="56">
        <f t="shared" si="746"/>
        <v>0.23474178403755869</v>
      </c>
      <c r="AU798" s="56">
        <f t="shared" si="717"/>
        <v>0.176056338028169</v>
      </c>
      <c r="AV798" s="56">
        <f t="shared" si="747"/>
        <v>5.8685446009389672E-2</v>
      </c>
      <c r="AW798" s="57"/>
      <c r="AX798" s="57"/>
      <c r="AY798" s="57"/>
      <c r="AZ798" s="58">
        <f t="shared" si="748"/>
        <v>2.3862775500160003E-2</v>
      </c>
      <c r="BA798" s="59">
        <f t="shared" si="759"/>
        <v>0</v>
      </c>
      <c r="BB798" s="59">
        <f t="shared" si="760"/>
        <v>0</v>
      </c>
      <c r="BC798" s="59">
        <f t="shared" si="761"/>
        <v>0</v>
      </c>
      <c r="BD798" s="60">
        <f t="shared" si="749"/>
        <v>4.0322580645161289E-3</v>
      </c>
      <c r="BE798" s="59">
        <f t="shared" si="750"/>
        <v>8.0645161290322578E-3</v>
      </c>
      <c r="BQ798" s="61">
        <v>3000</v>
      </c>
      <c r="BR798" s="61">
        <v>1200</v>
      </c>
      <c r="BS798" s="28">
        <f t="shared" si="718"/>
        <v>2980</v>
      </c>
      <c r="BT798" s="28">
        <f t="shared" si="719"/>
        <v>1180</v>
      </c>
      <c r="BU798" s="28" t="s">
        <v>2541</v>
      </c>
      <c r="BV798" s="28">
        <f t="shared" si="720"/>
        <v>368.57560000000001</v>
      </c>
      <c r="BW798" s="28">
        <f t="shared" si="721"/>
        <v>37.816800000000001</v>
      </c>
      <c r="BX798" s="13">
        <f t="shared" si="722"/>
        <v>8.085179811143222</v>
      </c>
      <c r="BY798" s="13">
        <f t="shared" si="723"/>
        <v>8</v>
      </c>
      <c r="BZ798" s="13">
        <f t="shared" si="724"/>
        <v>31.203063188847285</v>
      </c>
      <c r="CA798" s="13">
        <f t="shared" si="725"/>
        <v>31</v>
      </c>
      <c r="CB798" s="13">
        <f t="shared" si="726"/>
        <v>248</v>
      </c>
      <c r="CC798" s="62">
        <f t="shared" si="727"/>
        <v>4.0322580645161289E-3</v>
      </c>
      <c r="CD798" s="13">
        <f t="shared" si="728"/>
        <v>78.800956188783815</v>
      </c>
      <c r="CE798" s="13">
        <f t="shared" si="729"/>
        <v>78</v>
      </c>
      <c r="CF798" s="13">
        <f t="shared" si="730"/>
        <v>3.2015141534057054</v>
      </c>
      <c r="CG798" s="13">
        <f t="shared" si="731"/>
        <v>3</v>
      </c>
      <c r="CH798" s="28">
        <f t="shared" si="732"/>
        <v>234</v>
      </c>
      <c r="CI798" s="62">
        <f t="shared" si="733"/>
        <v>4.2735042735042739E-3</v>
      </c>
      <c r="CJ798" s="59">
        <f t="shared" si="734"/>
        <v>4.0322580645161289E-3</v>
      </c>
      <c r="CL798" s="63">
        <v>6000</v>
      </c>
      <c r="CM798" s="63">
        <f t="shared" si="735"/>
        <v>363.57560000000001</v>
      </c>
      <c r="CN798" s="63">
        <f t="shared" si="736"/>
        <v>368.57560000000001</v>
      </c>
      <c r="CO798" s="63">
        <f t="shared" si="737"/>
        <v>16.278885525791722</v>
      </c>
      <c r="CP798" s="13">
        <f t="shared" si="738"/>
        <v>16</v>
      </c>
      <c r="CQ798" s="70">
        <f t="shared" si="739"/>
        <v>6.25E-2</v>
      </c>
      <c r="CR798" s="69">
        <f t="shared" si="697"/>
        <v>0.125</v>
      </c>
    </row>
    <row r="799" spans="1:96" hidden="1" x14ac:dyDescent="0.25">
      <c r="A799" s="13">
        <v>4</v>
      </c>
      <c r="B799" s="14" t="s">
        <v>1873</v>
      </c>
      <c r="C799" s="13" t="s">
        <v>530</v>
      </c>
      <c r="D799" s="13" t="s">
        <v>532</v>
      </c>
      <c r="E799" s="13" t="s">
        <v>32</v>
      </c>
      <c r="F799" s="15">
        <f t="shared" si="708"/>
        <v>21</v>
      </c>
      <c r="G799" s="13">
        <v>1</v>
      </c>
      <c r="H799" s="13">
        <f t="shared" si="762"/>
        <v>1</v>
      </c>
      <c r="I799" s="13">
        <v>3</v>
      </c>
      <c r="J799" s="14" t="s">
        <v>531</v>
      </c>
      <c r="K799" s="14" t="s">
        <v>34</v>
      </c>
      <c r="L799" s="13" t="s">
        <v>110</v>
      </c>
      <c r="M799" s="14" t="s">
        <v>35</v>
      </c>
      <c r="N799" s="13" t="s">
        <v>532</v>
      </c>
      <c r="O799" s="28" t="s">
        <v>41</v>
      </c>
      <c r="P799" s="28" t="s">
        <v>41</v>
      </c>
      <c r="Q799" s="28"/>
      <c r="R799" s="30"/>
      <c r="S799" s="30"/>
      <c r="T799" s="30"/>
      <c r="U799" s="30"/>
      <c r="V799" s="8">
        <f t="shared" si="709"/>
        <v>0</v>
      </c>
      <c r="W799" s="8">
        <f t="shared" si="710"/>
        <v>0</v>
      </c>
      <c r="X799" s="8">
        <f t="shared" si="711"/>
        <v>0</v>
      </c>
      <c r="Y799" s="33">
        <f t="shared" si="712"/>
        <v>0</v>
      </c>
      <c r="Z799" s="28" t="s">
        <v>2477</v>
      </c>
      <c r="AA799" s="28" t="s">
        <v>2477</v>
      </c>
      <c r="AB799" s="28">
        <v>0</v>
      </c>
      <c r="AC799" s="31" t="s">
        <v>2477</v>
      </c>
      <c r="AD799" s="50">
        <f t="shared" si="713"/>
        <v>1</v>
      </c>
      <c r="AE799" s="45"/>
      <c r="AF799" s="51">
        <v>14</v>
      </c>
      <c r="AG799" s="51">
        <f t="shared" si="740"/>
        <v>8.4</v>
      </c>
      <c r="AH799" s="51">
        <f t="shared" si="707"/>
        <v>42</v>
      </c>
      <c r="AI799" s="52" t="s">
        <v>2497</v>
      </c>
      <c r="AJ799" s="52" t="s">
        <v>2498</v>
      </c>
      <c r="AK799" s="53">
        <f t="shared" si="741"/>
        <v>0</v>
      </c>
      <c r="AL799" s="54">
        <f t="shared" si="742"/>
        <v>0.11904761904761904</v>
      </c>
      <c r="AM799" s="54">
        <f t="shared" si="743"/>
        <v>2.3809523809523808E-2</v>
      </c>
      <c r="AN799" s="55">
        <f t="shared" si="744"/>
        <v>0</v>
      </c>
      <c r="AO799" s="55">
        <f t="shared" si="745"/>
        <v>0</v>
      </c>
      <c r="AP799" s="53">
        <v>7.1</v>
      </c>
      <c r="AQ799" s="53">
        <f t="shared" si="714"/>
        <v>4.26</v>
      </c>
      <c r="AR799" s="53">
        <f t="shared" si="715"/>
        <v>21.299999999999997</v>
      </c>
      <c r="AS799" s="56">
        <f t="shared" si="716"/>
        <v>4.6948356807511742E-2</v>
      </c>
      <c r="AT799" s="56">
        <f t="shared" si="746"/>
        <v>0.23474178403755869</v>
      </c>
      <c r="AU799" s="56">
        <f t="shared" si="717"/>
        <v>0.176056338028169</v>
      </c>
      <c r="AV799" s="56">
        <f t="shared" si="747"/>
        <v>5.8685446009389672E-2</v>
      </c>
      <c r="AW799" s="57"/>
      <c r="AX799" s="57"/>
      <c r="AY799" s="57"/>
      <c r="AZ799" s="58">
        <f t="shared" si="748"/>
        <v>0</v>
      </c>
      <c r="BA799" s="59">
        <f t="shared" si="759"/>
        <v>0</v>
      </c>
      <c r="BB799" s="59">
        <f t="shared" si="760"/>
        <v>0</v>
      </c>
      <c r="BC799" s="59">
        <f t="shared" si="761"/>
        <v>0</v>
      </c>
      <c r="BD799" s="60">
        <f t="shared" si="749"/>
        <v>0</v>
      </c>
      <c r="BE799" s="59">
        <f t="shared" si="750"/>
        <v>0</v>
      </c>
      <c r="BQ799" s="61">
        <v>3000</v>
      </c>
      <c r="BR799" s="61">
        <v>1200</v>
      </c>
      <c r="BS799" s="28">
        <f t="shared" si="718"/>
        <v>2980</v>
      </c>
      <c r="BT799" s="28">
        <f t="shared" si="719"/>
        <v>1180</v>
      </c>
      <c r="BU799" s="28" t="s">
        <v>2541</v>
      </c>
      <c r="BV799" s="28">
        <f t="shared" si="720"/>
        <v>5</v>
      </c>
      <c r="BW799" s="28">
        <f t="shared" si="721"/>
        <v>5</v>
      </c>
      <c r="BX799" s="13">
        <f t="shared" si="722"/>
        <v>596</v>
      </c>
      <c r="BY799" s="13">
        <f t="shared" si="723"/>
        <v>596</v>
      </c>
      <c r="BZ799" s="13">
        <f t="shared" si="724"/>
        <v>236</v>
      </c>
      <c r="CA799" s="13">
        <f t="shared" si="725"/>
        <v>236</v>
      </c>
      <c r="CB799" s="13">
        <f t="shared" si="726"/>
        <v>140656</v>
      </c>
      <c r="CC799" s="62" t="str">
        <f t="shared" si="727"/>
        <v/>
      </c>
      <c r="CD799" s="13">
        <f t="shared" si="728"/>
        <v>596</v>
      </c>
      <c r="CE799" s="13">
        <f t="shared" si="729"/>
        <v>596</v>
      </c>
      <c r="CF799" s="13">
        <f t="shared" si="730"/>
        <v>236</v>
      </c>
      <c r="CG799" s="13">
        <f t="shared" si="731"/>
        <v>236</v>
      </c>
      <c r="CH799" s="28">
        <f t="shared" si="732"/>
        <v>140656</v>
      </c>
      <c r="CI799" s="62" t="str">
        <f t="shared" si="733"/>
        <v/>
      </c>
      <c r="CJ799" s="59">
        <f t="shared" si="734"/>
        <v>0</v>
      </c>
      <c r="CL799" s="63">
        <v>6000</v>
      </c>
      <c r="CM799" s="63">
        <f t="shared" si="735"/>
        <v>0</v>
      </c>
      <c r="CN799" s="63">
        <f t="shared" si="736"/>
        <v>5</v>
      </c>
      <c r="CO799" s="63">
        <f t="shared" si="737"/>
        <v>1200</v>
      </c>
      <c r="CP799" s="13">
        <f t="shared" si="738"/>
        <v>1200</v>
      </c>
      <c r="CQ799" s="70">
        <f t="shared" si="739"/>
        <v>8.3333333333333339E-4</v>
      </c>
      <c r="CR799" s="69">
        <f t="shared" si="697"/>
        <v>8.3333333333333339E-4</v>
      </c>
    </row>
    <row r="800" spans="1:96" hidden="1" x14ac:dyDescent="0.25">
      <c r="A800" s="17">
        <v>5</v>
      </c>
      <c r="B800" s="6" t="s">
        <v>769</v>
      </c>
      <c r="C800" s="17" t="s">
        <v>534</v>
      </c>
      <c r="D800" s="17" t="s">
        <v>2270</v>
      </c>
      <c r="E800" s="17" t="s">
        <v>52</v>
      </c>
      <c r="F800" s="7">
        <f t="shared" si="708"/>
        <v>21</v>
      </c>
      <c r="G800" s="17">
        <v>1</v>
      </c>
      <c r="H800" s="17">
        <f>G800*$H$799</f>
        <v>1</v>
      </c>
      <c r="I800" s="17">
        <v>1</v>
      </c>
      <c r="J800" s="6" t="s">
        <v>101</v>
      </c>
      <c r="K800" s="6" t="s">
        <v>34</v>
      </c>
      <c r="L800" s="17" t="s">
        <v>110</v>
      </c>
      <c r="M800" s="6" t="s">
        <v>35</v>
      </c>
      <c r="N800" s="17" t="s">
        <v>535</v>
      </c>
      <c r="O800" s="28" t="s">
        <v>41</v>
      </c>
      <c r="P800" s="28" t="s">
        <v>41</v>
      </c>
      <c r="Q800" s="28" t="s">
        <v>535</v>
      </c>
      <c r="R800" s="30">
        <v>0.98</v>
      </c>
      <c r="S800" s="30">
        <v>0.98</v>
      </c>
      <c r="T800" s="30"/>
      <c r="U800" s="30">
        <v>0.11811023622047245</v>
      </c>
      <c r="V800" s="8">
        <f t="shared" si="709"/>
        <v>24.891999999999999</v>
      </c>
      <c r="W800" s="8">
        <f t="shared" si="710"/>
        <v>24.891999999999999</v>
      </c>
      <c r="X800" s="8">
        <f t="shared" si="711"/>
        <v>0</v>
      </c>
      <c r="Y800" s="33">
        <f t="shared" si="712"/>
        <v>3</v>
      </c>
      <c r="Z800" s="28" t="s">
        <v>536</v>
      </c>
      <c r="AA800" s="28" t="s">
        <v>537</v>
      </c>
      <c r="AB800" s="61" t="s">
        <v>535</v>
      </c>
      <c r="AC800" s="31" t="s">
        <v>538</v>
      </c>
      <c r="AD800" s="50">
        <f t="shared" si="713"/>
        <v>1</v>
      </c>
      <c r="AE800" s="45"/>
      <c r="AF800" s="51">
        <v>14</v>
      </c>
      <c r="AG800" s="51">
        <f t="shared" si="740"/>
        <v>8.4</v>
      </c>
      <c r="AH800" s="51">
        <f t="shared" si="707"/>
        <v>42</v>
      </c>
      <c r="AI800" s="52" t="s">
        <v>2497</v>
      </c>
      <c r="AJ800" s="52" t="s">
        <v>2498</v>
      </c>
      <c r="AK800" s="53">
        <f t="shared" si="741"/>
        <v>1.239223328E-3</v>
      </c>
      <c r="AL800" s="54">
        <f t="shared" si="742"/>
        <v>0.11904761904761904</v>
      </c>
      <c r="AM800" s="54">
        <f t="shared" si="743"/>
        <v>2.3809523809523808E-2</v>
      </c>
      <c r="AN800" s="55">
        <f t="shared" si="744"/>
        <v>1.4752658666666667E-4</v>
      </c>
      <c r="AO800" s="55">
        <f t="shared" si="745"/>
        <v>2.9505317333333333E-5</v>
      </c>
      <c r="AP800" s="53">
        <v>7.1</v>
      </c>
      <c r="AQ800" s="53">
        <f t="shared" si="714"/>
        <v>4.26</v>
      </c>
      <c r="AR800" s="53">
        <f t="shared" si="715"/>
        <v>21.299999999999997</v>
      </c>
      <c r="AS800" s="56">
        <f t="shared" si="716"/>
        <v>4.6948356807511742E-2</v>
      </c>
      <c r="AT800" s="56">
        <f t="shared" si="746"/>
        <v>0.23474178403755869</v>
      </c>
      <c r="AU800" s="56">
        <f t="shared" si="717"/>
        <v>0.176056338028169</v>
      </c>
      <c r="AV800" s="56">
        <f t="shared" si="747"/>
        <v>5.8685446009389672E-2</v>
      </c>
      <c r="AW800" s="57"/>
      <c r="AX800" s="57"/>
      <c r="AY800" s="57"/>
      <c r="AZ800" s="58">
        <f t="shared" si="748"/>
        <v>1.239223328E-3</v>
      </c>
      <c r="BA800" s="59">
        <f t="shared" si="759"/>
        <v>0</v>
      </c>
      <c r="BB800" s="59">
        <f t="shared" si="760"/>
        <v>0</v>
      </c>
      <c r="BC800" s="59">
        <f t="shared" si="761"/>
        <v>0</v>
      </c>
      <c r="BD800" s="60">
        <f t="shared" si="749"/>
        <v>2.5900025900025902E-4</v>
      </c>
      <c r="BE800" s="59">
        <f t="shared" si="750"/>
        <v>2.5900025900025902E-4</v>
      </c>
      <c r="BQ800" s="61">
        <v>3000</v>
      </c>
      <c r="BR800" s="61">
        <v>1200</v>
      </c>
      <c r="BS800" s="28">
        <f t="shared" si="718"/>
        <v>2980</v>
      </c>
      <c r="BT800" s="28">
        <f t="shared" si="719"/>
        <v>1180</v>
      </c>
      <c r="BU800" s="28" t="s">
        <v>2541</v>
      </c>
      <c r="BV800" s="28">
        <f t="shared" si="720"/>
        <v>29.891999999999999</v>
      </c>
      <c r="BW800" s="28">
        <f t="shared" si="721"/>
        <v>29.891999999999999</v>
      </c>
      <c r="BX800" s="13">
        <f t="shared" si="722"/>
        <v>99.692225344573799</v>
      </c>
      <c r="BY800" s="13">
        <f t="shared" si="723"/>
        <v>99</v>
      </c>
      <c r="BZ800" s="13">
        <f t="shared" si="724"/>
        <v>39.475444935099695</v>
      </c>
      <c r="CA800" s="13">
        <f t="shared" si="725"/>
        <v>39</v>
      </c>
      <c r="CB800" s="13">
        <f t="shared" si="726"/>
        <v>3861</v>
      </c>
      <c r="CC800" s="62">
        <f t="shared" si="727"/>
        <v>2.5900025900025902E-4</v>
      </c>
      <c r="CD800" s="13">
        <f t="shared" si="728"/>
        <v>99.692225344573799</v>
      </c>
      <c r="CE800" s="13">
        <f t="shared" si="729"/>
        <v>99</v>
      </c>
      <c r="CF800" s="13">
        <f t="shared" si="730"/>
        <v>39.475444935099695</v>
      </c>
      <c r="CG800" s="13">
        <f t="shared" si="731"/>
        <v>39</v>
      </c>
      <c r="CH800" s="28">
        <f t="shared" si="732"/>
        <v>3861</v>
      </c>
      <c r="CI800" s="62">
        <f t="shared" si="733"/>
        <v>2.5900025900025902E-4</v>
      </c>
      <c r="CJ800" s="59">
        <f t="shared" si="734"/>
        <v>2.5900025900025902E-4</v>
      </c>
      <c r="CL800" s="63">
        <v>6000</v>
      </c>
      <c r="CM800" s="63">
        <f t="shared" si="735"/>
        <v>24.891999999999999</v>
      </c>
      <c r="CN800" s="63">
        <f t="shared" si="736"/>
        <v>29.891999999999999</v>
      </c>
      <c r="CO800" s="63">
        <f t="shared" si="737"/>
        <v>200.72260136491369</v>
      </c>
      <c r="CP800" s="13">
        <f t="shared" si="738"/>
        <v>200</v>
      </c>
      <c r="CQ800" s="70">
        <f t="shared" si="739"/>
        <v>5.0000000000000001E-3</v>
      </c>
      <c r="CR800" s="69">
        <f t="shared" si="697"/>
        <v>5.0000000000000001E-3</v>
      </c>
    </row>
    <row r="801" spans="1:96" hidden="1" x14ac:dyDescent="0.25">
      <c r="A801" s="17">
        <v>5</v>
      </c>
      <c r="B801" s="6" t="s">
        <v>769</v>
      </c>
      <c r="C801" s="17" t="s">
        <v>539</v>
      </c>
      <c r="D801" s="17" t="s">
        <v>2270</v>
      </c>
      <c r="E801" s="17" t="s">
        <v>52</v>
      </c>
      <c r="F801" s="7">
        <f t="shared" si="708"/>
        <v>21</v>
      </c>
      <c r="G801" s="17">
        <v>1</v>
      </c>
      <c r="H801" s="17">
        <f>G801*$H$799</f>
        <v>1</v>
      </c>
      <c r="I801" s="17">
        <v>2</v>
      </c>
      <c r="J801" s="6" t="s">
        <v>101</v>
      </c>
      <c r="K801" s="6" t="s">
        <v>34</v>
      </c>
      <c r="L801" s="17" t="s">
        <v>110</v>
      </c>
      <c r="M801" s="6" t="s">
        <v>35</v>
      </c>
      <c r="N801" s="17" t="s">
        <v>540</v>
      </c>
      <c r="O801" s="28" t="s">
        <v>41</v>
      </c>
      <c r="P801" s="28" t="s">
        <v>41</v>
      </c>
      <c r="Q801" s="28" t="s">
        <v>540</v>
      </c>
      <c r="R801" s="30">
        <v>0.98</v>
      </c>
      <c r="S801" s="30">
        <v>0.98</v>
      </c>
      <c r="T801" s="30"/>
      <c r="U801" s="30">
        <v>0.47244094488188981</v>
      </c>
      <c r="V801" s="8">
        <f t="shared" si="709"/>
        <v>24.891999999999999</v>
      </c>
      <c r="W801" s="8">
        <f t="shared" si="710"/>
        <v>24.891999999999999</v>
      </c>
      <c r="X801" s="8">
        <f t="shared" si="711"/>
        <v>0</v>
      </c>
      <c r="Y801" s="33">
        <f t="shared" si="712"/>
        <v>12</v>
      </c>
      <c r="Z801" s="28" t="s">
        <v>2477</v>
      </c>
      <c r="AA801" s="28" t="s">
        <v>2477</v>
      </c>
      <c r="AB801" s="61" t="s">
        <v>540</v>
      </c>
      <c r="AC801" s="31" t="s">
        <v>541</v>
      </c>
      <c r="AD801" s="50">
        <f t="shared" si="713"/>
        <v>1</v>
      </c>
      <c r="AE801" s="45"/>
      <c r="AF801" s="51">
        <v>14</v>
      </c>
      <c r="AG801" s="51">
        <f t="shared" si="740"/>
        <v>8.4</v>
      </c>
      <c r="AH801" s="51">
        <f t="shared" si="707"/>
        <v>42</v>
      </c>
      <c r="AI801" s="52" t="s">
        <v>2497</v>
      </c>
      <c r="AJ801" s="52" t="s">
        <v>2498</v>
      </c>
      <c r="AK801" s="53">
        <f t="shared" si="741"/>
        <v>1.239223328E-3</v>
      </c>
      <c r="AL801" s="54">
        <f t="shared" si="742"/>
        <v>0.11904761904761904</v>
      </c>
      <c r="AM801" s="54">
        <f t="shared" si="743"/>
        <v>2.3809523809523808E-2</v>
      </c>
      <c r="AN801" s="55">
        <f t="shared" si="744"/>
        <v>1.4752658666666667E-4</v>
      </c>
      <c r="AO801" s="55">
        <f t="shared" si="745"/>
        <v>2.9505317333333333E-5</v>
      </c>
      <c r="AP801" s="53">
        <v>7.1</v>
      </c>
      <c r="AQ801" s="53">
        <f t="shared" si="714"/>
        <v>4.26</v>
      </c>
      <c r="AR801" s="53">
        <f t="shared" si="715"/>
        <v>21.299999999999997</v>
      </c>
      <c r="AS801" s="56">
        <f t="shared" si="716"/>
        <v>4.6948356807511742E-2</v>
      </c>
      <c r="AT801" s="56">
        <f t="shared" si="746"/>
        <v>0.23474178403755869</v>
      </c>
      <c r="AU801" s="56">
        <f t="shared" si="717"/>
        <v>0.176056338028169</v>
      </c>
      <c r="AV801" s="56">
        <f t="shared" si="747"/>
        <v>5.8685446009389672E-2</v>
      </c>
      <c r="AW801" s="57"/>
      <c r="AX801" s="57"/>
      <c r="AY801" s="57"/>
      <c r="AZ801" s="58">
        <f t="shared" si="748"/>
        <v>1.239223328E-3</v>
      </c>
      <c r="BA801" s="59">
        <f t="shared" si="759"/>
        <v>0</v>
      </c>
      <c r="BB801" s="59">
        <f t="shared" si="760"/>
        <v>0</v>
      </c>
      <c r="BC801" s="59">
        <f t="shared" si="761"/>
        <v>0</v>
      </c>
      <c r="BD801" s="60">
        <f t="shared" si="749"/>
        <v>2.5900025900025902E-4</v>
      </c>
      <c r="BE801" s="59">
        <f t="shared" si="750"/>
        <v>2.5900025900025902E-4</v>
      </c>
      <c r="BQ801" s="61">
        <v>3000</v>
      </c>
      <c r="BR801" s="61">
        <v>1200</v>
      </c>
      <c r="BS801" s="28">
        <f t="shared" si="718"/>
        <v>2980</v>
      </c>
      <c r="BT801" s="28">
        <f t="shared" si="719"/>
        <v>1180</v>
      </c>
      <c r="BU801" s="28" t="s">
        <v>2541</v>
      </c>
      <c r="BV801" s="28">
        <f t="shared" si="720"/>
        <v>29.891999999999999</v>
      </c>
      <c r="BW801" s="28">
        <f t="shared" si="721"/>
        <v>29.891999999999999</v>
      </c>
      <c r="BX801" s="13">
        <f t="shared" si="722"/>
        <v>99.692225344573799</v>
      </c>
      <c r="BY801" s="13">
        <f t="shared" si="723"/>
        <v>99</v>
      </c>
      <c r="BZ801" s="13">
        <f t="shared" si="724"/>
        <v>39.475444935099695</v>
      </c>
      <c r="CA801" s="13">
        <f t="shared" si="725"/>
        <v>39</v>
      </c>
      <c r="CB801" s="13">
        <f t="shared" si="726"/>
        <v>3861</v>
      </c>
      <c r="CC801" s="62">
        <f t="shared" si="727"/>
        <v>2.5900025900025902E-4</v>
      </c>
      <c r="CD801" s="13">
        <f t="shared" si="728"/>
        <v>99.692225344573799</v>
      </c>
      <c r="CE801" s="13">
        <f t="shared" si="729"/>
        <v>99</v>
      </c>
      <c r="CF801" s="13">
        <f t="shared" si="730"/>
        <v>39.475444935099695</v>
      </c>
      <c r="CG801" s="13">
        <f t="shared" si="731"/>
        <v>39</v>
      </c>
      <c r="CH801" s="28">
        <f t="shared" si="732"/>
        <v>3861</v>
      </c>
      <c r="CI801" s="62">
        <f t="shared" si="733"/>
        <v>2.5900025900025902E-4</v>
      </c>
      <c r="CJ801" s="59">
        <f t="shared" si="734"/>
        <v>2.5900025900025902E-4</v>
      </c>
      <c r="CL801" s="63">
        <v>6000</v>
      </c>
      <c r="CM801" s="63">
        <f t="shared" si="735"/>
        <v>24.891999999999999</v>
      </c>
      <c r="CN801" s="63">
        <f t="shared" si="736"/>
        <v>29.891999999999999</v>
      </c>
      <c r="CO801" s="63">
        <f t="shared" si="737"/>
        <v>200.72260136491369</v>
      </c>
      <c r="CP801" s="13">
        <f t="shared" si="738"/>
        <v>200</v>
      </c>
      <c r="CQ801" s="70">
        <f t="shared" si="739"/>
        <v>5.0000000000000001E-3</v>
      </c>
      <c r="CR801" s="69">
        <f t="shared" si="697"/>
        <v>5.0000000000000001E-3</v>
      </c>
    </row>
    <row r="802" spans="1:96" hidden="1" x14ac:dyDescent="0.25">
      <c r="A802" s="13">
        <v>4</v>
      </c>
      <c r="B802" s="14" t="s">
        <v>1873</v>
      </c>
      <c r="C802" s="13" t="s">
        <v>825</v>
      </c>
      <c r="D802" s="13" t="s">
        <v>826</v>
      </c>
      <c r="E802" s="13" t="s">
        <v>52</v>
      </c>
      <c r="F802" s="15">
        <f t="shared" si="708"/>
        <v>9</v>
      </c>
      <c r="G802" s="13">
        <v>1</v>
      </c>
      <c r="H802" s="13">
        <f>G802*$H$796</f>
        <v>1</v>
      </c>
      <c r="I802" s="13">
        <v>4</v>
      </c>
      <c r="J802" s="14" t="s">
        <v>76</v>
      </c>
      <c r="K802" s="14" t="s">
        <v>34</v>
      </c>
      <c r="L802" s="13" t="s">
        <v>77</v>
      </c>
      <c r="M802" s="14" t="s">
        <v>35</v>
      </c>
      <c r="N802" s="13" t="s">
        <v>826</v>
      </c>
      <c r="O802" s="28" t="s">
        <v>41</v>
      </c>
      <c r="P802" s="28" t="s">
        <v>41</v>
      </c>
      <c r="Q802" s="28" t="s">
        <v>79</v>
      </c>
      <c r="R802" s="30">
        <v>8.0709999999999997</v>
      </c>
      <c r="S802" s="30">
        <v>0.3125</v>
      </c>
      <c r="T802" s="30"/>
      <c r="U802" s="30">
        <v>0.3125</v>
      </c>
      <c r="V802" s="8">
        <f t="shared" si="709"/>
        <v>205.00339999999997</v>
      </c>
      <c r="W802" s="8">
        <f t="shared" si="710"/>
        <v>7.9375</v>
      </c>
      <c r="X802" s="8">
        <f t="shared" si="711"/>
        <v>0</v>
      </c>
      <c r="Y802" s="33">
        <f t="shared" si="712"/>
        <v>7.9375</v>
      </c>
      <c r="Z802" s="28" t="s">
        <v>80</v>
      </c>
      <c r="AA802" s="28" t="s">
        <v>81</v>
      </c>
      <c r="AB802" s="61" t="s">
        <v>79</v>
      </c>
      <c r="AC802" s="31" t="s">
        <v>82</v>
      </c>
      <c r="AD802" s="50">
        <f t="shared" si="713"/>
        <v>1</v>
      </c>
      <c r="AE802" s="45"/>
      <c r="AF802" s="51">
        <v>14</v>
      </c>
      <c r="AG802" s="51">
        <f t="shared" si="740"/>
        <v>8.4</v>
      </c>
      <c r="AH802" s="51">
        <f t="shared" si="707"/>
        <v>42</v>
      </c>
      <c r="AI802" s="52" t="s">
        <v>2497</v>
      </c>
      <c r="AJ802" s="52" t="s">
        <v>2498</v>
      </c>
      <c r="AK802" s="53">
        <f t="shared" si="741"/>
        <v>3.2544289749999993E-3</v>
      </c>
      <c r="AL802" s="54">
        <f t="shared" si="742"/>
        <v>0.11904761904761904</v>
      </c>
      <c r="AM802" s="54">
        <f t="shared" si="743"/>
        <v>2.3809523809523808E-2</v>
      </c>
      <c r="AN802" s="55">
        <f t="shared" si="744"/>
        <v>3.8743202083333321E-4</v>
      </c>
      <c r="AO802" s="55">
        <f t="shared" si="745"/>
        <v>7.7486404166666643E-5</v>
      </c>
      <c r="AP802" s="53">
        <v>7.1</v>
      </c>
      <c r="AQ802" s="53">
        <f t="shared" si="714"/>
        <v>4.26</v>
      </c>
      <c r="AR802" s="53">
        <f t="shared" si="715"/>
        <v>21.299999999999997</v>
      </c>
      <c r="AS802" s="56">
        <f t="shared" si="716"/>
        <v>4.6948356807511742E-2</v>
      </c>
      <c r="AT802" s="56">
        <f t="shared" si="746"/>
        <v>0.23474178403755869</v>
      </c>
      <c r="AU802" s="56">
        <f t="shared" si="717"/>
        <v>0.176056338028169</v>
      </c>
      <c r="AV802" s="56">
        <f t="shared" si="747"/>
        <v>5.8685446009389672E-2</v>
      </c>
      <c r="AW802" s="57"/>
      <c r="AX802" s="57"/>
      <c r="AY802" s="57"/>
      <c r="AZ802" s="58">
        <f t="shared" si="748"/>
        <v>3.2544289749999993E-3</v>
      </c>
      <c r="BA802" s="59">
        <f t="shared" si="759"/>
        <v>0</v>
      </c>
      <c r="BB802" s="59">
        <f t="shared" si="760"/>
        <v>0</v>
      </c>
      <c r="BC802" s="59">
        <f t="shared" si="761"/>
        <v>0</v>
      </c>
      <c r="BD802" s="60">
        <f t="shared" si="749"/>
        <v>7.8492935635792783E-4</v>
      </c>
      <c r="BE802" s="59">
        <f t="shared" si="750"/>
        <v>7.8492935635792783E-4</v>
      </c>
      <c r="BQ802" s="61">
        <v>3000</v>
      </c>
      <c r="BR802" s="61">
        <v>1200</v>
      </c>
      <c r="BS802" s="28">
        <f t="shared" si="718"/>
        <v>2980</v>
      </c>
      <c r="BT802" s="28">
        <f t="shared" si="719"/>
        <v>1180</v>
      </c>
      <c r="BU802" s="28" t="s">
        <v>2541</v>
      </c>
      <c r="BV802" s="28">
        <f t="shared" si="720"/>
        <v>210.00339999999997</v>
      </c>
      <c r="BW802" s="28">
        <f t="shared" si="721"/>
        <v>12.9375</v>
      </c>
      <c r="BX802" s="13">
        <f t="shared" si="722"/>
        <v>14.190246443629009</v>
      </c>
      <c r="BY802" s="13">
        <f t="shared" si="723"/>
        <v>14</v>
      </c>
      <c r="BZ802" s="13">
        <f t="shared" si="724"/>
        <v>91.207729468599027</v>
      </c>
      <c r="CA802" s="13">
        <f t="shared" si="725"/>
        <v>91</v>
      </c>
      <c r="CB802" s="13">
        <f t="shared" si="726"/>
        <v>1274</v>
      </c>
      <c r="CC802" s="62">
        <f t="shared" si="727"/>
        <v>7.8492935635792783E-4</v>
      </c>
      <c r="CD802" s="13">
        <f t="shared" si="728"/>
        <v>230.33816425120773</v>
      </c>
      <c r="CE802" s="13">
        <f t="shared" si="729"/>
        <v>230</v>
      </c>
      <c r="CF802" s="13">
        <f t="shared" si="730"/>
        <v>5.618956645463836</v>
      </c>
      <c r="CG802" s="13">
        <f t="shared" si="731"/>
        <v>5</v>
      </c>
      <c r="CH802" s="28">
        <f t="shared" si="732"/>
        <v>1150</v>
      </c>
      <c r="CI802" s="62">
        <f t="shared" si="733"/>
        <v>8.6956521739130438E-4</v>
      </c>
      <c r="CJ802" s="59">
        <f t="shared" si="734"/>
        <v>7.8492935635792783E-4</v>
      </c>
      <c r="CL802" s="63">
        <v>6000</v>
      </c>
      <c r="CM802" s="63">
        <f t="shared" si="735"/>
        <v>205.00339999999997</v>
      </c>
      <c r="CN802" s="63">
        <f t="shared" si="736"/>
        <v>210.00339999999997</v>
      </c>
      <c r="CO802" s="63">
        <f t="shared" si="737"/>
        <v>28.570965993883913</v>
      </c>
      <c r="CP802" s="13">
        <f t="shared" si="738"/>
        <v>28</v>
      </c>
      <c r="CQ802" s="70">
        <f t="shared" si="739"/>
        <v>3.5714285714285712E-2</v>
      </c>
      <c r="CR802" s="69">
        <f t="shared" si="697"/>
        <v>3.5714285714285712E-2</v>
      </c>
    </row>
    <row r="803" spans="1:96" hidden="1" x14ac:dyDescent="0.25">
      <c r="A803" s="10">
        <v>3</v>
      </c>
      <c r="B803" s="8" t="s">
        <v>1869</v>
      </c>
      <c r="C803" s="10" t="s">
        <v>1879</v>
      </c>
      <c r="D803" s="10" t="s">
        <v>2270</v>
      </c>
      <c r="E803" s="10" t="s">
        <v>52</v>
      </c>
      <c r="F803" s="12">
        <f t="shared" si="708"/>
        <v>1</v>
      </c>
      <c r="G803" s="10">
        <v>1</v>
      </c>
      <c r="H803" s="10">
        <f>G803*$H$795</f>
        <v>1</v>
      </c>
      <c r="I803" s="10">
        <v>2</v>
      </c>
      <c r="J803" s="8" t="s">
        <v>1867</v>
      </c>
      <c r="K803" s="8" t="s">
        <v>34</v>
      </c>
      <c r="L803" s="10">
        <v>0</v>
      </c>
      <c r="M803" s="8" t="s">
        <v>35</v>
      </c>
      <c r="N803" s="10" t="s">
        <v>1880</v>
      </c>
      <c r="O803" s="28" t="s">
        <v>41</v>
      </c>
      <c r="P803" s="28" t="s">
        <v>41</v>
      </c>
      <c r="Q803" s="28"/>
      <c r="R803" s="30"/>
      <c r="S803" s="30"/>
      <c r="T803" s="30"/>
      <c r="U803" s="30"/>
      <c r="V803" s="8">
        <f t="shared" si="709"/>
        <v>0</v>
      </c>
      <c r="W803" s="8">
        <f t="shared" si="710"/>
        <v>0</v>
      </c>
      <c r="X803" s="8">
        <f t="shared" si="711"/>
        <v>0</v>
      </c>
      <c r="Y803" s="33">
        <f t="shared" si="712"/>
        <v>0</v>
      </c>
      <c r="Z803" s="28"/>
      <c r="AA803" s="28"/>
      <c r="AB803" s="28">
        <v>0</v>
      </c>
      <c r="AC803" s="31"/>
      <c r="AD803" s="50">
        <f t="shared" si="713"/>
        <v>1</v>
      </c>
      <c r="AE803" s="45"/>
      <c r="AF803" s="51">
        <v>14</v>
      </c>
      <c r="AG803" s="51">
        <f t="shared" si="740"/>
        <v>8.4</v>
      </c>
      <c r="AH803" s="51">
        <f t="shared" si="707"/>
        <v>42</v>
      </c>
      <c r="AI803" s="52" t="s">
        <v>2497</v>
      </c>
      <c r="AJ803" s="52" t="s">
        <v>2498</v>
      </c>
      <c r="AK803" s="53">
        <f t="shared" si="741"/>
        <v>0</v>
      </c>
      <c r="AL803" s="54">
        <f t="shared" si="742"/>
        <v>0.11904761904761904</v>
      </c>
      <c r="AM803" s="54">
        <f t="shared" si="743"/>
        <v>2.3809523809523808E-2</v>
      </c>
      <c r="AN803" s="55">
        <f t="shared" si="744"/>
        <v>0</v>
      </c>
      <c r="AO803" s="55">
        <f t="shared" si="745"/>
        <v>0</v>
      </c>
      <c r="AP803" s="53">
        <v>7.1</v>
      </c>
      <c r="AQ803" s="53">
        <f t="shared" si="714"/>
        <v>4.26</v>
      </c>
      <c r="AR803" s="53">
        <f t="shared" si="715"/>
        <v>21.299999999999997</v>
      </c>
      <c r="AS803" s="56">
        <f t="shared" si="716"/>
        <v>4.6948356807511742E-2</v>
      </c>
      <c r="AT803" s="56">
        <f t="shared" si="746"/>
        <v>0.23474178403755869</v>
      </c>
      <c r="AU803" s="56">
        <f t="shared" si="717"/>
        <v>0.176056338028169</v>
      </c>
      <c r="AV803" s="56">
        <f t="shared" si="747"/>
        <v>5.8685446009389672E-2</v>
      </c>
      <c r="AW803" s="57"/>
      <c r="AX803" s="57"/>
      <c r="AY803" s="57"/>
      <c r="AZ803" s="58">
        <f t="shared" si="748"/>
        <v>0</v>
      </c>
      <c r="BA803" s="59">
        <f t="shared" si="759"/>
        <v>0</v>
      </c>
      <c r="BB803" s="59">
        <f t="shared" si="760"/>
        <v>0</v>
      </c>
      <c r="BC803" s="59">
        <f t="shared" si="761"/>
        <v>0</v>
      </c>
      <c r="BD803" s="60">
        <f t="shared" si="749"/>
        <v>7.1095438516664771E-6</v>
      </c>
      <c r="BE803" s="59">
        <f t="shared" si="750"/>
        <v>7.1095438516664771E-6</v>
      </c>
      <c r="BQ803" s="61">
        <v>3000</v>
      </c>
      <c r="BR803" s="61">
        <v>1200</v>
      </c>
      <c r="BS803" s="28">
        <f t="shared" si="718"/>
        <v>2980</v>
      </c>
      <c r="BT803" s="28">
        <f t="shared" si="719"/>
        <v>1180</v>
      </c>
      <c r="BU803" s="28" t="s">
        <v>2541</v>
      </c>
      <c r="BV803" s="28">
        <f t="shared" si="720"/>
        <v>5</v>
      </c>
      <c r="BW803" s="28">
        <f t="shared" si="721"/>
        <v>5</v>
      </c>
      <c r="BX803" s="13">
        <f t="shared" si="722"/>
        <v>596</v>
      </c>
      <c r="BY803" s="13">
        <f t="shared" si="723"/>
        <v>596</v>
      </c>
      <c r="BZ803" s="13">
        <f t="shared" si="724"/>
        <v>236</v>
      </c>
      <c r="CA803" s="13">
        <f t="shared" si="725"/>
        <v>236</v>
      </c>
      <c r="CB803" s="13">
        <f t="shared" si="726"/>
        <v>140656</v>
      </c>
      <c r="CC803" s="62">
        <f t="shared" si="727"/>
        <v>7.1095438516664771E-6</v>
      </c>
      <c r="CD803" s="13">
        <f t="shared" si="728"/>
        <v>596</v>
      </c>
      <c r="CE803" s="13">
        <f t="shared" si="729"/>
        <v>596</v>
      </c>
      <c r="CF803" s="13">
        <f t="shared" si="730"/>
        <v>236</v>
      </c>
      <c r="CG803" s="13">
        <f t="shared" si="731"/>
        <v>236</v>
      </c>
      <c r="CH803" s="28">
        <f t="shared" si="732"/>
        <v>140656</v>
      </c>
      <c r="CI803" s="62">
        <f t="shared" si="733"/>
        <v>7.1095438516664771E-6</v>
      </c>
      <c r="CJ803" s="59">
        <f t="shared" si="734"/>
        <v>7.1095438516664771E-6</v>
      </c>
      <c r="CL803" s="63">
        <v>6000</v>
      </c>
      <c r="CM803" s="63">
        <f t="shared" si="735"/>
        <v>0</v>
      </c>
      <c r="CN803" s="63">
        <f t="shared" si="736"/>
        <v>5</v>
      </c>
      <c r="CO803" s="63">
        <f t="shared" si="737"/>
        <v>1200</v>
      </c>
      <c r="CP803" s="13">
        <f t="shared" si="738"/>
        <v>1200</v>
      </c>
      <c r="CQ803" s="70">
        <f t="shared" si="739"/>
        <v>8.3333333333333339E-4</v>
      </c>
      <c r="CR803" s="69">
        <f t="shared" si="697"/>
        <v>8.3333333333333339E-4</v>
      </c>
    </row>
    <row r="804" spans="1:96" hidden="1" x14ac:dyDescent="0.25">
      <c r="A804" s="13">
        <v>4</v>
      </c>
      <c r="B804" s="14" t="s">
        <v>1881</v>
      </c>
      <c r="C804" s="13" t="s">
        <v>530</v>
      </c>
      <c r="D804" s="13" t="s">
        <v>532</v>
      </c>
      <c r="E804" s="13" t="s">
        <v>32</v>
      </c>
      <c r="F804" s="15">
        <f t="shared" si="708"/>
        <v>21</v>
      </c>
      <c r="G804" s="13">
        <v>2</v>
      </c>
      <c r="H804" s="13">
        <f>G804*$H$803</f>
        <v>2</v>
      </c>
      <c r="I804" s="13">
        <v>3</v>
      </c>
      <c r="J804" s="14" t="s">
        <v>531</v>
      </c>
      <c r="K804" s="14" t="s">
        <v>34</v>
      </c>
      <c r="L804" s="13" t="s">
        <v>110</v>
      </c>
      <c r="M804" s="14" t="s">
        <v>35</v>
      </c>
      <c r="N804" s="13" t="s">
        <v>532</v>
      </c>
      <c r="O804" s="28" t="s">
        <v>41</v>
      </c>
      <c r="P804" s="28" t="s">
        <v>41</v>
      </c>
      <c r="Q804" s="28"/>
      <c r="R804" s="30"/>
      <c r="S804" s="30"/>
      <c r="T804" s="30"/>
      <c r="U804" s="30"/>
      <c r="V804" s="8">
        <f t="shared" si="709"/>
        <v>0</v>
      </c>
      <c r="W804" s="8">
        <f t="shared" si="710"/>
        <v>0</v>
      </c>
      <c r="X804" s="8">
        <f t="shared" si="711"/>
        <v>0</v>
      </c>
      <c r="Y804" s="33">
        <f t="shared" si="712"/>
        <v>0</v>
      </c>
      <c r="Z804" s="28" t="s">
        <v>2477</v>
      </c>
      <c r="AA804" s="28" t="s">
        <v>2477</v>
      </c>
      <c r="AB804" s="28">
        <v>0</v>
      </c>
      <c r="AC804" s="31" t="s">
        <v>2477</v>
      </c>
      <c r="AD804" s="50">
        <f t="shared" si="713"/>
        <v>2</v>
      </c>
      <c r="AE804" s="45"/>
      <c r="AF804" s="51">
        <v>14</v>
      </c>
      <c r="AG804" s="51">
        <f t="shared" si="740"/>
        <v>8.4</v>
      </c>
      <c r="AH804" s="51">
        <f t="shared" si="707"/>
        <v>42</v>
      </c>
      <c r="AI804" s="52" t="s">
        <v>2497</v>
      </c>
      <c r="AJ804" s="52" t="s">
        <v>2498</v>
      </c>
      <c r="AK804" s="53">
        <f t="shared" si="741"/>
        <v>0</v>
      </c>
      <c r="AL804" s="54">
        <f t="shared" si="742"/>
        <v>0.11904761904761904</v>
      </c>
      <c r="AM804" s="54">
        <f t="shared" si="743"/>
        <v>2.3809523809523808E-2</v>
      </c>
      <c r="AN804" s="55">
        <f t="shared" si="744"/>
        <v>0</v>
      </c>
      <c r="AO804" s="55">
        <f t="shared" si="745"/>
        <v>0</v>
      </c>
      <c r="AP804" s="53">
        <v>7.1</v>
      </c>
      <c r="AQ804" s="53">
        <f t="shared" si="714"/>
        <v>4.26</v>
      </c>
      <c r="AR804" s="53">
        <f t="shared" si="715"/>
        <v>21.299999999999997</v>
      </c>
      <c r="AS804" s="56">
        <f t="shared" si="716"/>
        <v>4.6948356807511742E-2</v>
      </c>
      <c r="AT804" s="56">
        <f t="shared" si="746"/>
        <v>0.23474178403755869</v>
      </c>
      <c r="AU804" s="56">
        <f t="shared" si="717"/>
        <v>0.176056338028169</v>
      </c>
      <c r="AV804" s="56">
        <f t="shared" si="747"/>
        <v>5.8685446009389672E-2</v>
      </c>
      <c r="AW804" s="57"/>
      <c r="AX804" s="57"/>
      <c r="AY804" s="57"/>
      <c r="AZ804" s="58">
        <f t="shared" si="748"/>
        <v>0</v>
      </c>
      <c r="BA804" s="59">
        <f t="shared" si="759"/>
        <v>0</v>
      </c>
      <c r="BB804" s="59">
        <f t="shared" si="760"/>
        <v>0</v>
      </c>
      <c r="BC804" s="59">
        <f t="shared" si="761"/>
        <v>0</v>
      </c>
      <c r="BD804" s="60">
        <f t="shared" si="749"/>
        <v>0</v>
      </c>
      <c r="BE804" s="59">
        <f t="shared" si="750"/>
        <v>0</v>
      </c>
      <c r="BQ804" s="61">
        <v>3000</v>
      </c>
      <c r="BR804" s="61">
        <v>1200</v>
      </c>
      <c r="BS804" s="28">
        <f t="shared" si="718"/>
        <v>2980</v>
      </c>
      <c r="BT804" s="28">
        <f t="shared" si="719"/>
        <v>1180</v>
      </c>
      <c r="BU804" s="28" t="s">
        <v>2541</v>
      </c>
      <c r="BV804" s="28">
        <f t="shared" si="720"/>
        <v>5</v>
      </c>
      <c r="BW804" s="28">
        <f t="shared" si="721"/>
        <v>5</v>
      </c>
      <c r="BX804" s="13">
        <f t="shared" si="722"/>
        <v>596</v>
      </c>
      <c r="BY804" s="13">
        <f t="shared" si="723"/>
        <v>596</v>
      </c>
      <c r="BZ804" s="13">
        <f t="shared" si="724"/>
        <v>236</v>
      </c>
      <c r="CA804" s="13">
        <f t="shared" si="725"/>
        <v>236</v>
      </c>
      <c r="CB804" s="13">
        <f t="shared" si="726"/>
        <v>140656</v>
      </c>
      <c r="CC804" s="62" t="str">
        <f t="shared" si="727"/>
        <v/>
      </c>
      <c r="CD804" s="13">
        <f t="shared" si="728"/>
        <v>596</v>
      </c>
      <c r="CE804" s="13">
        <f t="shared" si="729"/>
        <v>596</v>
      </c>
      <c r="CF804" s="13">
        <f t="shared" si="730"/>
        <v>236</v>
      </c>
      <c r="CG804" s="13">
        <f t="shared" si="731"/>
        <v>236</v>
      </c>
      <c r="CH804" s="28">
        <f t="shared" si="732"/>
        <v>140656</v>
      </c>
      <c r="CI804" s="62" t="str">
        <f t="shared" si="733"/>
        <v/>
      </c>
      <c r="CJ804" s="59">
        <f t="shared" si="734"/>
        <v>0</v>
      </c>
      <c r="CL804" s="63">
        <v>6000</v>
      </c>
      <c r="CM804" s="63">
        <f t="shared" si="735"/>
        <v>0</v>
      </c>
      <c r="CN804" s="63">
        <f t="shared" si="736"/>
        <v>5</v>
      </c>
      <c r="CO804" s="63">
        <f t="shared" si="737"/>
        <v>1200</v>
      </c>
      <c r="CP804" s="13">
        <f t="shared" si="738"/>
        <v>1200</v>
      </c>
      <c r="CQ804" s="70">
        <f t="shared" si="739"/>
        <v>8.3333333333333339E-4</v>
      </c>
      <c r="CR804" s="69">
        <f t="shared" ref="CR804:CR867" si="763">CQ804*AD804</f>
        <v>1.6666666666666668E-3</v>
      </c>
    </row>
    <row r="805" spans="1:96" hidden="1" x14ac:dyDescent="0.25">
      <c r="A805" s="17">
        <v>5</v>
      </c>
      <c r="B805" s="6" t="s">
        <v>1882</v>
      </c>
      <c r="C805" s="17" t="s">
        <v>534</v>
      </c>
      <c r="D805" s="17" t="s">
        <v>2270</v>
      </c>
      <c r="E805" s="17" t="s">
        <v>52</v>
      </c>
      <c r="F805" s="7">
        <f t="shared" si="708"/>
        <v>21</v>
      </c>
      <c r="G805" s="17">
        <v>1</v>
      </c>
      <c r="H805" s="17">
        <f>G805*$H$804</f>
        <v>2</v>
      </c>
      <c r="I805" s="17">
        <v>1</v>
      </c>
      <c r="J805" s="6" t="s">
        <v>101</v>
      </c>
      <c r="K805" s="6" t="s">
        <v>34</v>
      </c>
      <c r="L805" s="17" t="s">
        <v>110</v>
      </c>
      <c r="M805" s="6" t="s">
        <v>35</v>
      </c>
      <c r="N805" s="17" t="s">
        <v>535</v>
      </c>
      <c r="O805" s="28" t="s">
        <v>41</v>
      </c>
      <c r="P805" s="28" t="s">
        <v>41</v>
      </c>
      <c r="Q805" s="28" t="s">
        <v>535</v>
      </c>
      <c r="R805" s="30">
        <v>0.98</v>
      </c>
      <c r="S805" s="30">
        <v>0.98</v>
      </c>
      <c r="T805" s="30"/>
      <c r="U805" s="30">
        <v>0.11811023622047245</v>
      </c>
      <c r="V805" s="8">
        <f t="shared" si="709"/>
        <v>24.891999999999999</v>
      </c>
      <c r="W805" s="8">
        <f t="shared" si="710"/>
        <v>24.891999999999999</v>
      </c>
      <c r="X805" s="8">
        <f t="shared" si="711"/>
        <v>0</v>
      </c>
      <c r="Y805" s="33">
        <f t="shared" si="712"/>
        <v>3</v>
      </c>
      <c r="Z805" s="28" t="s">
        <v>536</v>
      </c>
      <c r="AA805" s="28" t="s">
        <v>537</v>
      </c>
      <c r="AB805" s="61" t="s">
        <v>535</v>
      </c>
      <c r="AC805" s="31" t="s">
        <v>538</v>
      </c>
      <c r="AD805" s="50">
        <f t="shared" si="713"/>
        <v>2</v>
      </c>
      <c r="AE805" s="45"/>
      <c r="AF805" s="51">
        <v>14</v>
      </c>
      <c r="AG805" s="51">
        <f t="shared" si="740"/>
        <v>8.4</v>
      </c>
      <c r="AH805" s="51">
        <f t="shared" si="707"/>
        <v>42</v>
      </c>
      <c r="AI805" s="52" t="s">
        <v>2497</v>
      </c>
      <c r="AJ805" s="52" t="s">
        <v>2498</v>
      </c>
      <c r="AK805" s="53">
        <f t="shared" si="741"/>
        <v>1.239223328E-3</v>
      </c>
      <c r="AL805" s="54">
        <f t="shared" si="742"/>
        <v>0.11904761904761904</v>
      </c>
      <c r="AM805" s="54">
        <f t="shared" si="743"/>
        <v>2.3809523809523808E-2</v>
      </c>
      <c r="AN805" s="55">
        <f t="shared" si="744"/>
        <v>2.9505317333333335E-4</v>
      </c>
      <c r="AO805" s="55">
        <f t="shared" si="745"/>
        <v>5.9010634666666666E-5</v>
      </c>
      <c r="AP805" s="53">
        <v>7.1</v>
      </c>
      <c r="AQ805" s="53">
        <f t="shared" si="714"/>
        <v>4.26</v>
      </c>
      <c r="AR805" s="53">
        <f t="shared" si="715"/>
        <v>21.299999999999997</v>
      </c>
      <c r="AS805" s="56">
        <f t="shared" si="716"/>
        <v>4.6948356807511742E-2</v>
      </c>
      <c r="AT805" s="56">
        <f t="shared" si="746"/>
        <v>0.23474178403755869</v>
      </c>
      <c r="AU805" s="56">
        <f t="shared" si="717"/>
        <v>0.176056338028169</v>
      </c>
      <c r="AV805" s="56">
        <f t="shared" si="747"/>
        <v>5.8685446009389672E-2</v>
      </c>
      <c r="AW805" s="57"/>
      <c r="AX805" s="57"/>
      <c r="AY805" s="57"/>
      <c r="AZ805" s="58">
        <f t="shared" si="748"/>
        <v>1.239223328E-3</v>
      </c>
      <c r="BA805" s="59">
        <f t="shared" si="759"/>
        <v>0</v>
      </c>
      <c r="BB805" s="59">
        <f t="shared" si="760"/>
        <v>0</v>
      </c>
      <c r="BC805" s="59">
        <f t="shared" si="761"/>
        <v>0</v>
      </c>
      <c r="BD805" s="60">
        <f t="shared" si="749"/>
        <v>2.5900025900025902E-4</v>
      </c>
      <c r="BE805" s="59">
        <f t="shared" si="750"/>
        <v>5.1800051800051804E-4</v>
      </c>
      <c r="BQ805" s="61">
        <v>3000</v>
      </c>
      <c r="BR805" s="61">
        <v>1200</v>
      </c>
      <c r="BS805" s="28">
        <f t="shared" si="718"/>
        <v>2980</v>
      </c>
      <c r="BT805" s="28">
        <f t="shared" si="719"/>
        <v>1180</v>
      </c>
      <c r="BU805" s="28" t="s">
        <v>2541</v>
      </c>
      <c r="BV805" s="28">
        <f t="shared" si="720"/>
        <v>29.891999999999999</v>
      </c>
      <c r="BW805" s="28">
        <f t="shared" si="721"/>
        <v>29.891999999999999</v>
      </c>
      <c r="BX805" s="13">
        <f t="shared" si="722"/>
        <v>99.692225344573799</v>
      </c>
      <c r="BY805" s="13">
        <f t="shared" si="723"/>
        <v>99</v>
      </c>
      <c r="BZ805" s="13">
        <f t="shared" si="724"/>
        <v>39.475444935099695</v>
      </c>
      <c r="CA805" s="13">
        <f t="shared" si="725"/>
        <v>39</v>
      </c>
      <c r="CB805" s="13">
        <f t="shared" si="726"/>
        <v>3861</v>
      </c>
      <c r="CC805" s="62">
        <f t="shared" si="727"/>
        <v>2.5900025900025902E-4</v>
      </c>
      <c r="CD805" s="13">
        <f t="shared" si="728"/>
        <v>99.692225344573799</v>
      </c>
      <c r="CE805" s="13">
        <f t="shared" si="729"/>
        <v>99</v>
      </c>
      <c r="CF805" s="13">
        <f t="shared" si="730"/>
        <v>39.475444935099695</v>
      </c>
      <c r="CG805" s="13">
        <f t="shared" si="731"/>
        <v>39</v>
      </c>
      <c r="CH805" s="28">
        <f t="shared" si="732"/>
        <v>3861</v>
      </c>
      <c r="CI805" s="62">
        <f t="shared" si="733"/>
        <v>2.5900025900025902E-4</v>
      </c>
      <c r="CJ805" s="59">
        <f t="shared" si="734"/>
        <v>2.5900025900025902E-4</v>
      </c>
      <c r="CL805" s="63">
        <v>6000</v>
      </c>
      <c r="CM805" s="63">
        <f t="shared" si="735"/>
        <v>24.891999999999999</v>
      </c>
      <c r="CN805" s="63">
        <f t="shared" si="736"/>
        <v>29.891999999999999</v>
      </c>
      <c r="CO805" s="63">
        <f t="shared" si="737"/>
        <v>200.72260136491369</v>
      </c>
      <c r="CP805" s="13">
        <f t="shared" si="738"/>
        <v>200</v>
      </c>
      <c r="CQ805" s="70">
        <f t="shared" si="739"/>
        <v>5.0000000000000001E-3</v>
      </c>
      <c r="CR805" s="69">
        <f t="shared" si="763"/>
        <v>0.01</v>
      </c>
    </row>
    <row r="806" spans="1:96" hidden="1" x14ac:dyDescent="0.25">
      <c r="A806" s="17">
        <v>5</v>
      </c>
      <c r="B806" s="6" t="s">
        <v>1882</v>
      </c>
      <c r="C806" s="17" t="s">
        <v>539</v>
      </c>
      <c r="D806" s="17" t="s">
        <v>2270</v>
      </c>
      <c r="E806" s="17" t="s">
        <v>52</v>
      </c>
      <c r="F806" s="7">
        <f t="shared" si="708"/>
        <v>21</v>
      </c>
      <c r="G806" s="17">
        <v>1</v>
      </c>
      <c r="H806" s="17">
        <f>G806*$H$804</f>
        <v>2</v>
      </c>
      <c r="I806" s="17">
        <v>2</v>
      </c>
      <c r="J806" s="6" t="s">
        <v>101</v>
      </c>
      <c r="K806" s="6" t="s">
        <v>34</v>
      </c>
      <c r="L806" s="17" t="s">
        <v>110</v>
      </c>
      <c r="M806" s="6" t="s">
        <v>35</v>
      </c>
      <c r="N806" s="17" t="s">
        <v>540</v>
      </c>
      <c r="O806" s="28" t="s">
        <v>41</v>
      </c>
      <c r="P806" s="28" t="s">
        <v>41</v>
      </c>
      <c r="Q806" s="28" t="s">
        <v>540</v>
      </c>
      <c r="R806" s="30">
        <v>0.98</v>
      </c>
      <c r="S806" s="30">
        <v>0.98</v>
      </c>
      <c r="T806" s="30"/>
      <c r="U806" s="30">
        <v>0.47244094488188981</v>
      </c>
      <c r="V806" s="8">
        <f t="shared" si="709"/>
        <v>24.891999999999999</v>
      </c>
      <c r="W806" s="8">
        <f t="shared" si="710"/>
        <v>24.891999999999999</v>
      </c>
      <c r="X806" s="8">
        <f t="shared" si="711"/>
        <v>0</v>
      </c>
      <c r="Y806" s="33">
        <f t="shared" si="712"/>
        <v>12</v>
      </c>
      <c r="Z806" s="28" t="s">
        <v>731</v>
      </c>
      <c r="AA806" s="28" t="s">
        <v>251</v>
      </c>
      <c r="AB806" s="61" t="s">
        <v>540</v>
      </c>
      <c r="AC806" s="31" t="s">
        <v>541</v>
      </c>
      <c r="AD806" s="50">
        <f t="shared" si="713"/>
        <v>2</v>
      </c>
      <c r="AE806" s="45"/>
      <c r="AF806" s="51">
        <v>14</v>
      </c>
      <c r="AG806" s="51">
        <f t="shared" si="740"/>
        <v>8.4</v>
      </c>
      <c r="AH806" s="51">
        <f t="shared" si="707"/>
        <v>42</v>
      </c>
      <c r="AI806" s="52" t="s">
        <v>2497</v>
      </c>
      <c r="AJ806" s="52" t="s">
        <v>2498</v>
      </c>
      <c r="AK806" s="53">
        <f t="shared" si="741"/>
        <v>1.239223328E-3</v>
      </c>
      <c r="AL806" s="54">
        <f t="shared" si="742"/>
        <v>0.11904761904761904</v>
      </c>
      <c r="AM806" s="54">
        <f t="shared" si="743"/>
        <v>2.3809523809523808E-2</v>
      </c>
      <c r="AN806" s="55">
        <f t="shared" si="744"/>
        <v>2.9505317333333335E-4</v>
      </c>
      <c r="AO806" s="55">
        <f t="shared" si="745"/>
        <v>5.9010634666666666E-5</v>
      </c>
      <c r="AP806" s="53">
        <v>7.1</v>
      </c>
      <c r="AQ806" s="53">
        <f t="shared" si="714"/>
        <v>4.26</v>
      </c>
      <c r="AR806" s="53">
        <f t="shared" si="715"/>
        <v>21.299999999999997</v>
      </c>
      <c r="AS806" s="56">
        <f t="shared" si="716"/>
        <v>4.6948356807511742E-2</v>
      </c>
      <c r="AT806" s="56">
        <f t="shared" si="746"/>
        <v>0.23474178403755869</v>
      </c>
      <c r="AU806" s="56">
        <f t="shared" si="717"/>
        <v>0.176056338028169</v>
      </c>
      <c r="AV806" s="56">
        <f t="shared" si="747"/>
        <v>5.8685446009389672E-2</v>
      </c>
      <c r="AW806" s="57"/>
      <c r="AX806" s="57"/>
      <c r="AY806" s="57"/>
      <c r="AZ806" s="58">
        <f t="shared" si="748"/>
        <v>1.239223328E-3</v>
      </c>
      <c r="BA806" s="59">
        <f t="shared" si="759"/>
        <v>0</v>
      </c>
      <c r="BB806" s="59">
        <f t="shared" si="760"/>
        <v>0</v>
      </c>
      <c r="BC806" s="59">
        <f t="shared" si="761"/>
        <v>0</v>
      </c>
      <c r="BD806" s="60">
        <f t="shared" si="749"/>
        <v>2.5900025900025902E-4</v>
      </c>
      <c r="BE806" s="59">
        <f t="shared" si="750"/>
        <v>5.1800051800051804E-4</v>
      </c>
      <c r="BQ806" s="61">
        <v>3000</v>
      </c>
      <c r="BR806" s="61">
        <v>1200</v>
      </c>
      <c r="BS806" s="28">
        <f t="shared" si="718"/>
        <v>2980</v>
      </c>
      <c r="BT806" s="28">
        <f t="shared" si="719"/>
        <v>1180</v>
      </c>
      <c r="BU806" s="28" t="s">
        <v>2541</v>
      </c>
      <c r="BV806" s="28">
        <f t="shared" si="720"/>
        <v>29.891999999999999</v>
      </c>
      <c r="BW806" s="28">
        <f t="shared" si="721"/>
        <v>29.891999999999999</v>
      </c>
      <c r="BX806" s="13">
        <f t="shared" si="722"/>
        <v>99.692225344573799</v>
      </c>
      <c r="BY806" s="13">
        <f t="shared" si="723"/>
        <v>99</v>
      </c>
      <c r="BZ806" s="13">
        <f t="shared" si="724"/>
        <v>39.475444935099695</v>
      </c>
      <c r="CA806" s="13">
        <f t="shared" si="725"/>
        <v>39</v>
      </c>
      <c r="CB806" s="13">
        <f t="shared" si="726"/>
        <v>3861</v>
      </c>
      <c r="CC806" s="62">
        <f t="shared" si="727"/>
        <v>2.5900025900025902E-4</v>
      </c>
      <c r="CD806" s="13">
        <f t="shared" si="728"/>
        <v>99.692225344573799</v>
      </c>
      <c r="CE806" s="13">
        <f t="shared" si="729"/>
        <v>99</v>
      </c>
      <c r="CF806" s="13">
        <f t="shared" si="730"/>
        <v>39.475444935099695</v>
      </c>
      <c r="CG806" s="13">
        <f t="shared" si="731"/>
        <v>39</v>
      </c>
      <c r="CH806" s="28">
        <f t="shared" si="732"/>
        <v>3861</v>
      </c>
      <c r="CI806" s="62">
        <f t="shared" si="733"/>
        <v>2.5900025900025902E-4</v>
      </c>
      <c r="CJ806" s="59">
        <f t="shared" si="734"/>
        <v>2.5900025900025902E-4</v>
      </c>
      <c r="CL806" s="63">
        <v>6000</v>
      </c>
      <c r="CM806" s="63">
        <f t="shared" si="735"/>
        <v>24.891999999999999</v>
      </c>
      <c r="CN806" s="63">
        <f t="shared" si="736"/>
        <v>29.891999999999999</v>
      </c>
      <c r="CO806" s="63">
        <f t="shared" si="737"/>
        <v>200.72260136491369</v>
      </c>
      <c r="CP806" s="13">
        <f t="shared" si="738"/>
        <v>200</v>
      </c>
      <c r="CQ806" s="70">
        <f t="shared" si="739"/>
        <v>5.0000000000000001E-3</v>
      </c>
      <c r="CR806" s="69">
        <f t="shared" si="763"/>
        <v>0.01</v>
      </c>
    </row>
    <row r="807" spans="1:96" x14ac:dyDescent="0.25">
      <c r="A807" s="13">
        <v>4</v>
      </c>
      <c r="B807" s="14" t="s">
        <v>1881</v>
      </c>
      <c r="C807" s="13" t="s">
        <v>1883</v>
      </c>
      <c r="D807" s="13" t="s">
        <v>2270</v>
      </c>
      <c r="E807" s="13" t="s">
        <v>52</v>
      </c>
      <c r="F807" s="15">
        <f t="shared" si="708"/>
        <v>6</v>
      </c>
      <c r="G807" s="13">
        <v>2</v>
      </c>
      <c r="H807" s="13">
        <f t="shared" ref="H807:H809" si="764">G807*$H$803</f>
        <v>2</v>
      </c>
      <c r="I807" s="13">
        <v>4</v>
      </c>
      <c r="J807" s="14" t="s">
        <v>119</v>
      </c>
      <c r="K807" s="14" t="s">
        <v>34</v>
      </c>
      <c r="L807" s="13" t="s">
        <v>110</v>
      </c>
      <c r="M807" s="14" t="s">
        <v>35</v>
      </c>
      <c r="N807" s="13" t="s">
        <v>1884</v>
      </c>
      <c r="O807" s="28" t="s">
        <v>41</v>
      </c>
      <c r="P807" s="28" t="s">
        <v>41</v>
      </c>
      <c r="Q807" s="28" t="s">
        <v>2585</v>
      </c>
      <c r="R807" s="30">
        <v>16</v>
      </c>
      <c r="S807" s="30">
        <v>1.292</v>
      </c>
      <c r="T807" s="30"/>
      <c r="U807" s="30">
        <v>0.06</v>
      </c>
      <c r="V807" s="8">
        <f t="shared" si="709"/>
        <v>406.4</v>
      </c>
      <c r="W807" s="8">
        <f t="shared" si="710"/>
        <v>32.816800000000001</v>
      </c>
      <c r="X807" s="8">
        <f t="shared" si="711"/>
        <v>0</v>
      </c>
      <c r="Y807" s="33">
        <f t="shared" si="712"/>
        <v>1.5239999999999998</v>
      </c>
      <c r="Z807" s="28" t="s">
        <v>56</v>
      </c>
      <c r="AA807" s="28" t="s">
        <v>1765</v>
      </c>
      <c r="AB807" s="61" t="s">
        <v>2585</v>
      </c>
      <c r="AC807" s="31" t="s">
        <v>2586</v>
      </c>
      <c r="AD807" s="50">
        <f t="shared" si="713"/>
        <v>2</v>
      </c>
      <c r="AE807" s="45"/>
      <c r="AF807" s="51">
        <v>14</v>
      </c>
      <c r="AG807" s="51">
        <f t="shared" si="740"/>
        <v>8.4</v>
      </c>
      <c r="AH807" s="51">
        <f t="shared" si="707"/>
        <v>42</v>
      </c>
      <c r="AI807" s="52" t="s">
        <v>2497</v>
      </c>
      <c r="AJ807" s="52" t="s">
        <v>2498</v>
      </c>
      <c r="AK807" s="53">
        <f t="shared" si="741"/>
        <v>2.6673495039999998E-2</v>
      </c>
      <c r="AL807" s="54">
        <f t="shared" si="742"/>
        <v>0.11904761904761904</v>
      </c>
      <c r="AM807" s="54">
        <f t="shared" si="743"/>
        <v>2.3809523809523808E-2</v>
      </c>
      <c r="AN807" s="55">
        <f t="shared" si="744"/>
        <v>6.3508321523809514E-3</v>
      </c>
      <c r="AO807" s="55">
        <f t="shared" si="745"/>
        <v>1.2701664304761904E-3</v>
      </c>
      <c r="AP807" s="53">
        <v>7.1</v>
      </c>
      <c r="AQ807" s="53">
        <f t="shared" si="714"/>
        <v>4.26</v>
      </c>
      <c r="AR807" s="53">
        <f t="shared" si="715"/>
        <v>21.299999999999997</v>
      </c>
      <c r="AS807" s="56">
        <f t="shared" si="716"/>
        <v>4.6948356807511742E-2</v>
      </c>
      <c r="AT807" s="56">
        <f t="shared" si="746"/>
        <v>0.23474178403755869</v>
      </c>
      <c r="AU807" s="56">
        <f t="shared" si="717"/>
        <v>0.176056338028169</v>
      </c>
      <c r="AV807" s="56">
        <f t="shared" si="747"/>
        <v>5.8685446009389672E-2</v>
      </c>
      <c r="AW807" s="57"/>
      <c r="AX807" s="57"/>
      <c r="AY807" s="57"/>
      <c r="AZ807" s="58">
        <f t="shared" si="748"/>
        <v>2.6673495039999998E-2</v>
      </c>
      <c r="BA807" s="59">
        <f t="shared" si="759"/>
        <v>0</v>
      </c>
      <c r="BB807" s="59">
        <f t="shared" si="760"/>
        <v>0</v>
      </c>
      <c r="BC807" s="59">
        <f t="shared" si="761"/>
        <v>0</v>
      </c>
      <c r="BD807" s="60">
        <f t="shared" si="749"/>
        <v>4.608294930875576E-3</v>
      </c>
      <c r="BE807" s="59">
        <f t="shared" si="750"/>
        <v>9.2165898617511521E-3</v>
      </c>
      <c r="BQ807" s="61">
        <v>3000</v>
      </c>
      <c r="BR807" s="61">
        <v>1200</v>
      </c>
      <c r="BS807" s="28">
        <f t="shared" si="718"/>
        <v>2980</v>
      </c>
      <c r="BT807" s="28">
        <f t="shared" si="719"/>
        <v>1180</v>
      </c>
      <c r="BU807" s="28" t="s">
        <v>2541</v>
      </c>
      <c r="BV807" s="28">
        <f t="shared" si="720"/>
        <v>411.4</v>
      </c>
      <c r="BW807" s="28">
        <f t="shared" si="721"/>
        <v>37.816800000000001</v>
      </c>
      <c r="BX807" s="13">
        <f t="shared" si="722"/>
        <v>7.2435585804569769</v>
      </c>
      <c r="BY807" s="13">
        <f t="shared" si="723"/>
        <v>7</v>
      </c>
      <c r="BZ807" s="13">
        <f t="shared" si="724"/>
        <v>31.203063188847285</v>
      </c>
      <c r="CA807" s="13">
        <f t="shared" si="725"/>
        <v>31</v>
      </c>
      <c r="CB807" s="13">
        <f t="shared" si="726"/>
        <v>217</v>
      </c>
      <c r="CC807" s="62">
        <f t="shared" si="727"/>
        <v>4.608294930875576E-3</v>
      </c>
      <c r="CD807" s="13">
        <f t="shared" si="728"/>
        <v>78.800956188783815</v>
      </c>
      <c r="CE807" s="13">
        <f t="shared" si="729"/>
        <v>78</v>
      </c>
      <c r="CF807" s="13">
        <f t="shared" si="730"/>
        <v>2.8682547399124942</v>
      </c>
      <c r="CG807" s="13">
        <f t="shared" si="731"/>
        <v>2</v>
      </c>
      <c r="CH807" s="28">
        <f t="shared" si="732"/>
        <v>156</v>
      </c>
      <c r="CI807" s="62">
        <f t="shared" si="733"/>
        <v>6.41025641025641E-3</v>
      </c>
      <c r="CJ807" s="59">
        <f t="shared" si="734"/>
        <v>4.608294930875576E-3</v>
      </c>
      <c r="CL807" s="63">
        <v>6000</v>
      </c>
      <c r="CM807" s="63">
        <f t="shared" si="735"/>
        <v>406.4</v>
      </c>
      <c r="CN807" s="63">
        <f t="shared" si="736"/>
        <v>411.4</v>
      </c>
      <c r="CO807" s="63">
        <f t="shared" si="737"/>
        <v>14.584346135148275</v>
      </c>
      <c r="CP807" s="13">
        <f t="shared" si="738"/>
        <v>14</v>
      </c>
      <c r="CQ807" s="70">
        <f t="shared" si="739"/>
        <v>7.1428571428571425E-2</v>
      </c>
      <c r="CR807" s="69">
        <f t="shared" si="763"/>
        <v>0.14285714285714285</v>
      </c>
    </row>
    <row r="808" spans="1:96" hidden="1" x14ac:dyDescent="0.25">
      <c r="A808" s="13">
        <v>4</v>
      </c>
      <c r="B808" s="14" t="s">
        <v>1881</v>
      </c>
      <c r="C808" s="13" t="s">
        <v>1885</v>
      </c>
      <c r="D808" s="13" t="s">
        <v>2270</v>
      </c>
      <c r="E808" s="13" t="s">
        <v>52</v>
      </c>
      <c r="F808" s="15">
        <f t="shared" si="708"/>
        <v>2</v>
      </c>
      <c r="G808" s="13">
        <v>1</v>
      </c>
      <c r="H808" s="13">
        <f t="shared" si="764"/>
        <v>1</v>
      </c>
      <c r="I808" s="13">
        <v>5</v>
      </c>
      <c r="J808" s="14" t="s">
        <v>1886</v>
      </c>
      <c r="K808" s="14" t="s">
        <v>34</v>
      </c>
      <c r="L808" s="13">
        <v>0</v>
      </c>
      <c r="M808" s="14" t="s">
        <v>35</v>
      </c>
      <c r="N808" s="13" t="s">
        <v>1887</v>
      </c>
      <c r="O808" s="28" t="s">
        <v>41</v>
      </c>
      <c r="P808" s="28" t="s">
        <v>41</v>
      </c>
      <c r="Q808" s="28" t="s">
        <v>124</v>
      </c>
      <c r="R808" s="30">
        <v>52.204724409448822</v>
      </c>
      <c r="S808" s="30">
        <v>1.6535433070866143</v>
      </c>
      <c r="T808" s="30"/>
      <c r="U808" s="30">
        <v>9.8425196850393706E-2</v>
      </c>
      <c r="V808" s="8">
        <f t="shared" si="709"/>
        <v>1326</v>
      </c>
      <c r="W808" s="8">
        <f t="shared" si="710"/>
        <v>42</v>
      </c>
      <c r="X808" s="8">
        <f t="shared" si="711"/>
        <v>0</v>
      </c>
      <c r="Y808" s="33">
        <f t="shared" si="712"/>
        <v>2.5</v>
      </c>
      <c r="Z808" s="28" t="s">
        <v>56</v>
      </c>
      <c r="AA808" s="28" t="s">
        <v>57</v>
      </c>
      <c r="AB808" s="61" t="s">
        <v>124</v>
      </c>
      <c r="AC808" s="31" t="s">
        <v>125</v>
      </c>
      <c r="AD808" s="50">
        <f t="shared" si="713"/>
        <v>1</v>
      </c>
      <c r="AE808" s="45"/>
      <c r="AF808" s="51">
        <v>14</v>
      </c>
      <c r="AG808" s="51">
        <f t="shared" si="740"/>
        <v>8.4</v>
      </c>
      <c r="AH808" s="51">
        <f t="shared" si="707"/>
        <v>42</v>
      </c>
      <c r="AI808" s="52" t="s">
        <v>2497</v>
      </c>
      <c r="AJ808" s="52" t="s">
        <v>2498</v>
      </c>
      <c r="AK808" s="53">
        <f t="shared" si="741"/>
        <v>0.111384</v>
      </c>
      <c r="AL808" s="54">
        <f t="shared" si="742"/>
        <v>0.11904761904761904</v>
      </c>
      <c r="AM808" s="54">
        <f t="shared" si="743"/>
        <v>2.3809523809523808E-2</v>
      </c>
      <c r="AN808" s="55">
        <f t="shared" si="744"/>
        <v>1.3259999999999999E-2</v>
      </c>
      <c r="AO808" s="55">
        <f t="shared" si="745"/>
        <v>2.6519999999999998E-3</v>
      </c>
      <c r="AP808" s="53">
        <v>7.1</v>
      </c>
      <c r="AQ808" s="53">
        <f t="shared" si="714"/>
        <v>4.26</v>
      </c>
      <c r="AR808" s="53">
        <f t="shared" si="715"/>
        <v>21.299999999999997</v>
      </c>
      <c r="AS808" s="56">
        <f t="shared" si="716"/>
        <v>4.6948356807511742E-2</v>
      </c>
      <c r="AT808" s="56">
        <f t="shared" si="746"/>
        <v>0.23474178403755869</v>
      </c>
      <c r="AU808" s="56">
        <f t="shared" si="717"/>
        <v>0.176056338028169</v>
      </c>
      <c r="AV808" s="56">
        <f t="shared" si="747"/>
        <v>5.8685446009389672E-2</v>
      </c>
      <c r="AW808" s="57"/>
      <c r="AX808" s="57"/>
      <c r="AY808" s="57"/>
      <c r="AZ808" s="58">
        <f t="shared" si="748"/>
        <v>0.111384</v>
      </c>
      <c r="BA808" s="59">
        <f t="shared" si="759"/>
        <v>0</v>
      </c>
      <c r="BB808" s="59">
        <f t="shared" si="760"/>
        <v>0</v>
      </c>
      <c r="BC808" s="59">
        <f t="shared" si="761"/>
        <v>0</v>
      </c>
      <c r="BD808" s="60">
        <f t="shared" si="749"/>
        <v>0.02</v>
      </c>
      <c r="BE808" s="59">
        <f t="shared" si="750"/>
        <v>0.02</v>
      </c>
      <c r="BQ808" s="61">
        <v>3000</v>
      </c>
      <c r="BR808" s="61">
        <v>1200</v>
      </c>
      <c r="BS808" s="28">
        <f t="shared" si="718"/>
        <v>2980</v>
      </c>
      <c r="BT808" s="28">
        <f t="shared" si="719"/>
        <v>1180</v>
      </c>
      <c r="BU808" s="28" t="s">
        <v>2541</v>
      </c>
      <c r="BV808" s="28">
        <f t="shared" si="720"/>
        <v>1331</v>
      </c>
      <c r="BW808" s="28">
        <f t="shared" si="721"/>
        <v>47</v>
      </c>
      <c r="BX808" s="13">
        <f t="shared" si="722"/>
        <v>2.2389181066867017</v>
      </c>
      <c r="BY808" s="13">
        <f t="shared" si="723"/>
        <v>2</v>
      </c>
      <c r="BZ808" s="13">
        <f t="shared" si="724"/>
        <v>25.106382978723403</v>
      </c>
      <c r="CA808" s="13">
        <f t="shared" si="725"/>
        <v>25</v>
      </c>
      <c r="CB808" s="13">
        <f t="shared" si="726"/>
        <v>50</v>
      </c>
      <c r="CC808" s="62">
        <f t="shared" si="727"/>
        <v>0.02</v>
      </c>
      <c r="CD808" s="13">
        <f t="shared" si="728"/>
        <v>63.404255319148938</v>
      </c>
      <c r="CE808" s="13">
        <f t="shared" si="729"/>
        <v>63</v>
      </c>
      <c r="CF808" s="13">
        <f t="shared" si="730"/>
        <v>0.88655146506386173</v>
      </c>
      <c r="CG808" s="13">
        <f t="shared" si="731"/>
        <v>0</v>
      </c>
      <c r="CH808" s="28">
        <f t="shared" si="732"/>
        <v>0</v>
      </c>
      <c r="CI808" s="62">
        <f t="shared" si="733"/>
        <v>1</v>
      </c>
      <c r="CJ808" s="59">
        <f t="shared" si="734"/>
        <v>0.02</v>
      </c>
      <c r="CL808" s="63">
        <v>6000</v>
      </c>
      <c r="CM808" s="63">
        <f t="shared" si="735"/>
        <v>1326</v>
      </c>
      <c r="CN808" s="63">
        <f t="shared" si="736"/>
        <v>1331</v>
      </c>
      <c r="CO808" s="63">
        <f t="shared" si="737"/>
        <v>4.5078888054094666</v>
      </c>
      <c r="CP808" s="13">
        <f t="shared" si="738"/>
        <v>4</v>
      </c>
      <c r="CQ808" s="70">
        <f t="shared" si="739"/>
        <v>0.25</v>
      </c>
      <c r="CR808" s="69">
        <f t="shared" si="763"/>
        <v>0.25</v>
      </c>
    </row>
    <row r="809" spans="1:96" hidden="1" x14ac:dyDescent="0.25">
      <c r="A809" s="13">
        <v>4</v>
      </c>
      <c r="B809" s="14" t="s">
        <v>1881</v>
      </c>
      <c r="C809" s="13" t="s">
        <v>1888</v>
      </c>
      <c r="D809" s="13" t="s">
        <v>2270</v>
      </c>
      <c r="E809" s="13" t="s">
        <v>32</v>
      </c>
      <c r="F809" s="15">
        <f t="shared" si="708"/>
        <v>1</v>
      </c>
      <c r="G809" s="13">
        <v>1</v>
      </c>
      <c r="H809" s="13">
        <f t="shared" si="764"/>
        <v>1</v>
      </c>
      <c r="I809" s="13">
        <v>10</v>
      </c>
      <c r="J809" s="14" t="s">
        <v>1867</v>
      </c>
      <c r="K809" s="14" t="s">
        <v>34</v>
      </c>
      <c r="L809" s="13">
        <v>0</v>
      </c>
      <c r="M809" s="14" t="s">
        <v>35</v>
      </c>
      <c r="N809" s="13" t="s">
        <v>1889</v>
      </c>
      <c r="O809" s="28" t="s">
        <v>41</v>
      </c>
      <c r="P809" s="28" t="s">
        <v>41</v>
      </c>
      <c r="Q809" s="28"/>
      <c r="R809" s="30"/>
      <c r="S809" s="30"/>
      <c r="T809" s="30"/>
      <c r="U809" s="30"/>
      <c r="V809" s="8">
        <f t="shared" si="709"/>
        <v>0</v>
      </c>
      <c r="W809" s="8">
        <f t="shared" si="710"/>
        <v>0</v>
      </c>
      <c r="X809" s="8">
        <f t="shared" si="711"/>
        <v>0</v>
      </c>
      <c r="Y809" s="33">
        <f t="shared" si="712"/>
        <v>0</v>
      </c>
      <c r="Z809" s="28"/>
      <c r="AA809" s="28"/>
      <c r="AB809" s="28">
        <v>0</v>
      </c>
      <c r="AC809" s="31"/>
      <c r="AD809" s="50">
        <f t="shared" si="713"/>
        <v>1</v>
      </c>
      <c r="AE809" s="45"/>
      <c r="AF809" s="51">
        <v>14</v>
      </c>
      <c r="AG809" s="51">
        <f t="shared" si="740"/>
        <v>8.4</v>
      </c>
      <c r="AH809" s="51">
        <f t="shared" si="707"/>
        <v>42</v>
      </c>
      <c r="AI809" s="52" t="s">
        <v>2497</v>
      </c>
      <c r="AJ809" s="52" t="s">
        <v>2498</v>
      </c>
      <c r="AK809" s="53">
        <f t="shared" si="741"/>
        <v>0</v>
      </c>
      <c r="AL809" s="54">
        <f t="shared" si="742"/>
        <v>0.11904761904761904</v>
      </c>
      <c r="AM809" s="54">
        <f t="shared" si="743"/>
        <v>2.3809523809523808E-2</v>
      </c>
      <c r="AN809" s="55">
        <f t="shared" si="744"/>
        <v>0</v>
      </c>
      <c r="AO809" s="55">
        <f t="shared" si="745"/>
        <v>0</v>
      </c>
      <c r="AP809" s="53">
        <v>7.1</v>
      </c>
      <c r="AQ809" s="53">
        <f t="shared" si="714"/>
        <v>4.26</v>
      </c>
      <c r="AR809" s="53">
        <f t="shared" si="715"/>
        <v>21.299999999999997</v>
      </c>
      <c r="AS809" s="56">
        <f t="shared" si="716"/>
        <v>4.6948356807511742E-2</v>
      </c>
      <c r="AT809" s="56">
        <f t="shared" si="746"/>
        <v>0.23474178403755869</v>
      </c>
      <c r="AU809" s="56">
        <f t="shared" si="717"/>
        <v>0.176056338028169</v>
      </c>
      <c r="AV809" s="56">
        <f t="shared" si="747"/>
        <v>5.8685446009389672E-2</v>
      </c>
      <c r="AW809" s="57"/>
      <c r="AX809" s="57"/>
      <c r="AY809" s="57"/>
      <c r="AZ809" s="58">
        <f t="shared" si="748"/>
        <v>0</v>
      </c>
      <c r="BA809" s="59">
        <f t="shared" si="759"/>
        <v>0</v>
      </c>
      <c r="BB809" s="59">
        <f t="shared" si="760"/>
        <v>0</v>
      </c>
      <c r="BC809" s="59">
        <f t="shared" si="761"/>
        <v>0</v>
      </c>
      <c r="BD809" s="60">
        <f t="shared" si="749"/>
        <v>0</v>
      </c>
      <c r="BE809" s="59">
        <f t="shared" si="750"/>
        <v>0</v>
      </c>
      <c r="BQ809" s="61">
        <v>3000</v>
      </c>
      <c r="BR809" s="61">
        <v>1200</v>
      </c>
      <c r="BS809" s="28">
        <f t="shared" si="718"/>
        <v>2980</v>
      </c>
      <c r="BT809" s="28">
        <f t="shared" si="719"/>
        <v>1180</v>
      </c>
      <c r="BU809" s="28" t="s">
        <v>2541</v>
      </c>
      <c r="BV809" s="28">
        <f t="shared" si="720"/>
        <v>5</v>
      </c>
      <c r="BW809" s="28">
        <f t="shared" si="721"/>
        <v>5</v>
      </c>
      <c r="BX809" s="13">
        <f t="shared" si="722"/>
        <v>596</v>
      </c>
      <c r="BY809" s="13">
        <f t="shared" si="723"/>
        <v>596</v>
      </c>
      <c r="BZ809" s="13">
        <f t="shared" si="724"/>
        <v>236</v>
      </c>
      <c r="CA809" s="13">
        <f t="shared" si="725"/>
        <v>236</v>
      </c>
      <c r="CB809" s="13">
        <f t="shared" si="726"/>
        <v>140656</v>
      </c>
      <c r="CC809" s="62" t="str">
        <f t="shared" si="727"/>
        <v/>
      </c>
      <c r="CD809" s="13">
        <f t="shared" si="728"/>
        <v>596</v>
      </c>
      <c r="CE809" s="13">
        <f t="shared" si="729"/>
        <v>596</v>
      </c>
      <c r="CF809" s="13">
        <f t="shared" si="730"/>
        <v>236</v>
      </c>
      <c r="CG809" s="13">
        <f t="shared" si="731"/>
        <v>236</v>
      </c>
      <c r="CH809" s="28">
        <f t="shared" si="732"/>
        <v>140656</v>
      </c>
      <c r="CI809" s="62" t="str">
        <f t="shared" si="733"/>
        <v/>
      </c>
      <c r="CJ809" s="59">
        <f t="shared" si="734"/>
        <v>0</v>
      </c>
      <c r="CL809" s="63">
        <v>6000</v>
      </c>
      <c r="CM809" s="63">
        <f t="shared" si="735"/>
        <v>0</v>
      </c>
      <c r="CN809" s="63">
        <f t="shared" si="736"/>
        <v>5</v>
      </c>
      <c r="CO809" s="63">
        <f t="shared" si="737"/>
        <v>1200</v>
      </c>
      <c r="CP809" s="13">
        <f t="shared" si="738"/>
        <v>1200</v>
      </c>
      <c r="CQ809" s="70">
        <f t="shared" si="739"/>
        <v>8.3333333333333339E-4</v>
      </c>
      <c r="CR809" s="69">
        <f t="shared" si="763"/>
        <v>8.3333333333333339E-4</v>
      </c>
    </row>
    <row r="810" spans="1:96" hidden="1" x14ac:dyDescent="0.25">
      <c r="A810" s="17">
        <v>5</v>
      </c>
      <c r="B810" s="6" t="s">
        <v>1890</v>
      </c>
      <c r="C810" s="17" t="s">
        <v>1891</v>
      </c>
      <c r="D810" s="17" t="s">
        <v>2270</v>
      </c>
      <c r="E810" s="17" t="s">
        <v>52</v>
      </c>
      <c r="F810" s="7">
        <f t="shared" si="708"/>
        <v>1</v>
      </c>
      <c r="G810" s="17">
        <v>1</v>
      </c>
      <c r="H810" s="17">
        <f>G810*$H$809</f>
        <v>1</v>
      </c>
      <c r="I810" s="17">
        <v>1</v>
      </c>
      <c r="J810" s="6" t="s">
        <v>1892</v>
      </c>
      <c r="K810" s="6" t="s">
        <v>34</v>
      </c>
      <c r="L810" s="17">
        <v>0</v>
      </c>
      <c r="M810" s="6" t="s">
        <v>35</v>
      </c>
      <c r="N810" s="17" t="s">
        <v>1893</v>
      </c>
      <c r="O810" s="28"/>
      <c r="P810" s="28"/>
      <c r="Q810" s="28" t="s">
        <v>505</v>
      </c>
      <c r="R810" s="30">
        <v>56.912999999999997</v>
      </c>
      <c r="S810" s="30">
        <v>18.827999999999999</v>
      </c>
      <c r="T810" s="30"/>
      <c r="U810" s="30">
        <v>0.06</v>
      </c>
      <c r="V810" s="8">
        <f t="shared" si="709"/>
        <v>1445.5901999999999</v>
      </c>
      <c r="W810" s="8">
        <f t="shared" si="710"/>
        <v>478.23119999999994</v>
      </c>
      <c r="X810" s="8">
        <f t="shared" si="711"/>
        <v>0</v>
      </c>
      <c r="Y810" s="33">
        <f t="shared" si="712"/>
        <v>1.5239999999999998</v>
      </c>
      <c r="Z810" s="28" t="s">
        <v>56</v>
      </c>
      <c r="AA810" s="28" t="s">
        <v>57</v>
      </c>
      <c r="AB810" s="61" t="s">
        <v>505</v>
      </c>
      <c r="AC810" s="31" t="s">
        <v>506</v>
      </c>
      <c r="AD810" s="50">
        <f t="shared" si="713"/>
        <v>1</v>
      </c>
      <c r="AE810" s="45"/>
      <c r="AF810" s="51">
        <v>14</v>
      </c>
      <c r="AG810" s="51">
        <f t="shared" si="740"/>
        <v>8.4</v>
      </c>
      <c r="AH810" s="51">
        <f t="shared" si="707"/>
        <v>42</v>
      </c>
      <c r="AI810" s="52" t="s">
        <v>2497</v>
      </c>
      <c r="AJ810" s="52" t="s">
        <v>2498</v>
      </c>
      <c r="AK810" s="53">
        <f t="shared" si="741"/>
        <v>1.3826526721084798</v>
      </c>
      <c r="AL810" s="54">
        <f t="shared" si="742"/>
        <v>0.11904761904761904</v>
      </c>
      <c r="AM810" s="54">
        <f t="shared" si="743"/>
        <v>2.3809523809523808E-2</v>
      </c>
      <c r="AN810" s="55">
        <f t="shared" si="744"/>
        <v>0.16460150858434283</v>
      </c>
      <c r="AO810" s="55">
        <f t="shared" si="745"/>
        <v>3.2920301716868564E-2</v>
      </c>
      <c r="AP810" s="53">
        <v>7.1</v>
      </c>
      <c r="AQ810" s="53">
        <f t="shared" si="714"/>
        <v>4.26</v>
      </c>
      <c r="AR810" s="53">
        <f t="shared" si="715"/>
        <v>21.299999999999997</v>
      </c>
      <c r="AS810" s="56">
        <f t="shared" si="716"/>
        <v>4.6948356807511742E-2</v>
      </c>
      <c r="AT810" s="56">
        <f t="shared" si="746"/>
        <v>0.23474178403755869</v>
      </c>
      <c r="AU810" s="56">
        <f t="shared" si="717"/>
        <v>0.176056338028169</v>
      </c>
      <c r="AV810" s="56">
        <f t="shared" si="747"/>
        <v>5.8685446009389672E-2</v>
      </c>
      <c r="AW810" s="57"/>
      <c r="AX810" s="57"/>
      <c r="AY810" s="57"/>
      <c r="AZ810" s="58">
        <f t="shared" si="748"/>
        <v>1.3826526721084798</v>
      </c>
      <c r="BA810" s="59">
        <f t="shared" si="759"/>
        <v>0</v>
      </c>
      <c r="BB810" s="59">
        <f t="shared" si="760"/>
        <v>0</v>
      </c>
      <c r="BC810" s="59">
        <f t="shared" si="761"/>
        <v>0</v>
      </c>
      <c r="BD810" s="60">
        <f t="shared" si="749"/>
        <v>0.25</v>
      </c>
      <c r="BE810" s="59">
        <f t="shared" si="750"/>
        <v>0.25</v>
      </c>
      <c r="BQ810" s="61">
        <v>3000</v>
      </c>
      <c r="BR810" s="61">
        <v>1200</v>
      </c>
      <c r="BS810" s="28">
        <f t="shared" si="718"/>
        <v>2980</v>
      </c>
      <c r="BT810" s="28">
        <f t="shared" si="719"/>
        <v>1180</v>
      </c>
      <c r="BU810" s="28" t="s">
        <v>2541</v>
      </c>
      <c r="BV810" s="28">
        <f t="shared" si="720"/>
        <v>1450.5901999999999</v>
      </c>
      <c r="BW810" s="28">
        <f t="shared" si="721"/>
        <v>483.23119999999994</v>
      </c>
      <c r="BX810" s="13">
        <f t="shared" si="722"/>
        <v>2.0543362281090829</v>
      </c>
      <c r="BY810" s="13">
        <f t="shared" si="723"/>
        <v>2</v>
      </c>
      <c r="BZ810" s="13">
        <f t="shared" si="724"/>
        <v>2.4418953080844119</v>
      </c>
      <c r="CA810" s="13">
        <f t="shared" si="725"/>
        <v>2</v>
      </c>
      <c r="CB810" s="13">
        <f t="shared" si="726"/>
        <v>4</v>
      </c>
      <c r="CC810" s="62">
        <f t="shared" si="727"/>
        <v>0.25</v>
      </c>
      <c r="CD810" s="13">
        <f t="shared" si="728"/>
        <v>6.1668203543148712</v>
      </c>
      <c r="CE810" s="13">
        <f t="shared" si="729"/>
        <v>6</v>
      </c>
      <c r="CF810" s="13">
        <f t="shared" si="730"/>
        <v>0.81346199636534156</v>
      </c>
      <c r="CG810" s="13">
        <f t="shared" si="731"/>
        <v>0</v>
      </c>
      <c r="CH810" s="28">
        <f t="shared" si="732"/>
        <v>0</v>
      </c>
      <c r="CI810" s="62">
        <f t="shared" si="733"/>
        <v>1</v>
      </c>
      <c r="CJ810" s="59">
        <f t="shared" si="734"/>
        <v>0.25</v>
      </c>
      <c r="CL810" s="63">
        <v>6000</v>
      </c>
      <c r="CM810" s="63">
        <f t="shared" si="735"/>
        <v>1445.5901999999999</v>
      </c>
      <c r="CN810" s="63">
        <f t="shared" si="736"/>
        <v>1450.5901999999999</v>
      </c>
      <c r="CO810" s="63">
        <f t="shared" si="737"/>
        <v>4.1362474391458042</v>
      </c>
      <c r="CP810" s="13">
        <f t="shared" si="738"/>
        <v>4</v>
      </c>
      <c r="CQ810" s="70">
        <f t="shared" si="739"/>
        <v>0.25</v>
      </c>
      <c r="CR810" s="69">
        <f t="shared" si="763"/>
        <v>0.25</v>
      </c>
    </row>
    <row r="811" spans="1:96" hidden="1" x14ac:dyDescent="0.25">
      <c r="A811" s="17">
        <v>5</v>
      </c>
      <c r="B811" s="6" t="s">
        <v>1890</v>
      </c>
      <c r="C811" s="17" t="s">
        <v>448</v>
      </c>
      <c r="D811" s="17" t="s">
        <v>450</v>
      </c>
      <c r="E811" s="17" t="s">
        <v>52</v>
      </c>
      <c r="F811" s="7">
        <f t="shared" si="708"/>
        <v>23</v>
      </c>
      <c r="G811" s="17">
        <v>6</v>
      </c>
      <c r="H811" s="17">
        <f>G811*$H$809</f>
        <v>6</v>
      </c>
      <c r="I811" s="17">
        <v>2</v>
      </c>
      <c r="J811" s="6" t="s">
        <v>449</v>
      </c>
      <c r="K811" s="6" t="s">
        <v>34</v>
      </c>
      <c r="L811" s="17">
        <v>0</v>
      </c>
      <c r="M811" s="6" t="s">
        <v>35</v>
      </c>
      <c r="N811" s="17" t="s">
        <v>450</v>
      </c>
      <c r="O811" s="28"/>
      <c r="P811" s="28"/>
      <c r="Q811" s="28" t="s">
        <v>450</v>
      </c>
      <c r="R811" s="30"/>
      <c r="S811" s="30"/>
      <c r="T811" s="30"/>
      <c r="U811" s="30"/>
      <c r="V811" s="8">
        <f t="shared" si="709"/>
        <v>0</v>
      </c>
      <c r="W811" s="8">
        <f t="shared" si="710"/>
        <v>0</v>
      </c>
      <c r="X811" s="8">
        <f t="shared" si="711"/>
        <v>0</v>
      </c>
      <c r="Y811" s="33">
        <f t="shared" si="712"/>
        <v>0</v>
      </c>
      <c r="Z811" s="28"/>
      <c r="AA811" s="28"/>
      <c r="AB811" s="61" t="s">
        <v>450</v>
      </c>
      <c r="AC811" s="31" t="s">
        <v>451</v>
      </c>
      <c r="AD811" s="50">
        <f t="shared" si="713"/>
        <v>6</v>
      </c>
      <c r="AE811" s="45"/>
      <c r="AF811" s="51">
        <v>14</v>
      </c>
      <c r="AG811" s="51">
        <f t="shared" si="740"/>
        <v>8.4</v>
      </c>
      <c r="AH811" s="51">
        <f t="shared" si="707"/>
        <v>42</v>
      </c>
      <c r="AI811" s="52" t="s">
        <v>2497</v>
      </c>
      <c r="AJ811" s="52" t="s">
        <v>2498</v>
      </c>
      <c r="AK811" s="53">
        <f t="shared" si="741"/>
        <v>0</v>
      </c>
      <c r="AL811" s="54">
        <f t="shared" si="742"/>
        <v>0.11904761904761904</v>
      </c>
      <c r="AM811" s="54">
        <f t="shared" si="743"/>
        <v>2.3809523809523808E-2</v>
      </c>
      <c r="AN811" s="55">
        <f t="shared" si="744"/>
        <v>0</v>
      </c>
      <c r="AO811" s="55">
        <f t="shared" si="745"/>
        <v>0</v>
      </c>
      <c r="AP811" s="53">
        <v>7.1</v>
      </c>
      <c r="AQ811" s="53">
        <f t="shared" si="714"/>
        <v>4.26</v>
      </c>
      <c r="AR811" s="53">
        <f t="shared" si="715"/>
        <v>21.299999999999997</v>
      </c>
      <c r="AS811" s="56">
        <f t="shared" si="716"/>
        <v>4.6948356807511742E-2</v>
      </c>
      <c r="AT811" s="56">
        <f t="shared" si="746"/>
        <v>0.23474178403755869</v>
      </c>
      <c r="AU811" s="56">
        <f t="shared" si="717"/>
        <v>0.176056338028169</v>
      </c>
      <c r="AV811" s="56">
        <f t="shared" si="747"/>
        <v>5.8685446009389672E-2</v>
      </c>
      <c r="AW811" s="57"/>
      <c r="AX811" s="57"/>
      <c r="AY811" s="57"/>
      <c r="AZ811" s="58">
        <f t="shared" si="748"/>
        <v>0</v>
      </c>
      <c r="BA811" s="59">
        <f t="shared" si="759"/>
        <v>0</v>
      </c>
      <c r="BB811" s="59">
        <f t="shared" si="760"/>
        <v>0</v>
      </c>
      <c r="BC811" s="59">
        <f t="shared" si="761"/>
        <v>0</v>
      </c>
      <c r="BD811" s="60">
        <f t="shared" si="749"/>
        <v>7.1095438516664771E-6</v>
      </c>
      <c r="BE811" s="59">
        <f t="shared" si="750"/>
        <v>4.2657263109998864E-5</v>
      </c>
      <c r="BQ811" s="61">
        <v>3000</v>
      </c>
      <c r="BR811" s="61">
        <v>1200</v>
      </c>
      <c r="BS811" s="28">
        <f t="shared" si="718"/>
        <v>2980</v>
      </c>
      <c r="BT811" s="28">
        <f t="shared" si="719"/>
        <v>1180</v>
      </c>
      <c r="BU811" s="28" t="s">
        <v>2541</v>
      </c>
      <c r="BV811" s="28">
        <f t="shared" si="720"/>
        <v>5</v>
      </c>
      <c r="BW811" s="28">
        <f t="shared" si="721"/>
        <v>5</v>
      </c>
      <c r="BX811" s="13">
        <f t="shared" si="722"/>
        <v>596</v>
      </c>
      <c r="BY811" s="13">
        <f t="shared" si="723"/>
        <v>596</v>
      </c>
      <c r="BZ811" s="13">
        <f t="shared" si="724"/>
        <v>236</v>
      </c>
      <c r="CA811" s="13">
        <f t="shared" si="725"/>
        <v>236</v>
      </c>
      <c r="CB811" s="13">
        <f t="shared" si="726"/>
        <v>140656</v>
      </c>
      <c r="CC811" s="62">
        <f t="shared" si="727"/>
        <v>7.1095438516664771E-6</v>
      </c>
      <c r="CD811" s="13">
        <f t="shared" si="728"/>
        <v>596</v>
      </c>
      <c r="CE811" s="13">
        <f t="shared" si="729"/>
        <v>596</v>
      </c>
      <c r="CF811" s="13">
        <f t="shared" si="730"/>
        <v>236</v>
      </c>
      <c r="CG811" s="13">
        <f t="shared" si="731"/>
        <v>236</v>
      </c>
      <c r="CH811" s="28">
        <f t="shared" si="732"/>
        <v>140656</v>
      </c>
      <c r="CI811" s="62">
        <f t="shared" si="733"/>
        <v>7.1095438516664771E-6</v>
      </c>
      <c r="CJ811" s="59">
        <f t="shared" si="734"/>
        <v>7.1095438516664771E-6</v>
      </c>
      <c r="CL811" s="63">
        <v>6000</v>
      </c>
      <c r="CM811" s="63">
        <f t="shared" si="735"/>
        <v>0</v>
      </c>
      <c r="CN811" s="63">
        <f t="shared" si="736"/>
        <v>5</v>
      </c>
      <c r="CO811" s="63">
        <f t="shared" si="737"/>
        <v>1200</v>
      </c>
      <c r="CP811" s="13">
        <f t="shared" si="738"/>
        <v>1200</v>
      </c>
      <c r="CQ811" s="70">
        <f t="shared" si="739"/>
        <v>8.3333333333333339E-4</v>
      </c>
      <c r="CR811" s="69">
        <f t="shared" si="763"/>
        <v>5.0000000000000001E-3</v>
      </c>
    </row>
    <row r="812" spans="1:96" hidden="1" x14ac:dyDescent="0.25">
      <c r="A812" s="10">
        <v>3</v>
      </c>
      <c r="B812" s="8" t="s">
        <v>1869</v>
      </c>
      <c r="C812" s="10" t="s">
        <v>1894</v>
      </c>
      <c r="D812" s="10" t="s">
        <v>2270</v>
      </c>
      <c r="E812" s="10" t="s">
        <v>52</v>
      </c>
      <c r="F812" s="12">
        <f t="shared" si="708"/>
        <v>4</v>
      </c>
      <c r="G812" s="10">
        <v>1</v>
      </c>
      <c r="H812" s="10">
        <f>G812*$H$795</f>
        <v>1</v>
      </c>
      <c r="I812" s="10">
        <v>3</v>
      </c>
      <c r="J812" s="8" t="s">
        <v>469</v>
      </c>
      <c r="K812" s="8" t="s">
        <v>34</v>
      </c>
      <c r="L812" s="10">
        <v>0</v>
      </c>
      <c r="M812" s="8" t="s">
        <v>35</v>
      </c>
      <c r="N812" s="10" t="s">
        <v>1895</v>
      </c>
      <c r="O812" s="28" t="s">
        <v>41</v>
      </c>
      <c r="P812" s="28" t="s">
        <v>41</v>
      </c>
      <c r="Q812" s="28" t="s">
        <v>1896</v>
      </c>
      <c r="R812" s="30">
        <v>52.5</v>
      </c>
      <c r="S812" s="30">
        <v>1.5</v>
      </c>
      <c r="T812" s="30"/>
      <c r="U812" s="30">
        <v>7.4999999999999997E-2</v>
      </c>
      <c r="V812" s="8">
        <f t="shared" si="709"/>
        <v>1333.5</v>
      </c>
      <c r="W812" s="8">
        <f t="shared" si="710"/>
        <v>38.099999999999994</v>
      </c>
      <c r="X812" s="8">
        <f t="shared" si="711"/>
        <v>0</v>
      </c>
      <c r="Y812" s="33">
        <f t="shared" si="712"/>
        <v>1.9049999999999998</v>
      </c>
      <c r="Z812" s="28" t="s">
        <v>1897</v>
      </c>
      <c r="AA812" s="28" t="s">
        <v>1765</v>
      </c>
      <c r="AB812" s="61" t="s">
        <v>1896</v>
      </c>
      <c r="AC812" s="31" t="s">
        <v>1898</v>
      </c>
      <c r="AD812" s="50">
        <f t="shared" si="713"/>
        <v>1</v>
      </c>
      <c r="AE812" s="45"/>
      <c r="AF812" s="51">
        <v>14</v>
      </c>
      <c r="AG812" s="51">
        <f t="shared" si="740"/>
        <v>8.4</v>
      </c>
      <c r="AH812" s="51">
        <f t="shared" si="707"/>
        <v>42</v>
      </c>
      <c r="AI812" s="52" t="s">
        <v>2497</v>
      </c>
      <c r="AJ812" s="52" t="s">
        <v>2498</v>
      </c>
      <c r="AK812" s="53">
        <f t="shared" si="741"/>
        <v>0.10161269999999999</v>
      </c>
      <c r="AL812" s="54">
        <f t="shared" si="742"/>
        <v>0.11904761904761904</v>
      </c>
      <c r="AM812" s="54">
        <f t="shared" si="743"/>
        <v>2.3809523809523808E-2</v>
      </c>
      <c r="AN812" s="55">
        <f t="shared" si="744"/>
        <v>1.2096749999999998E-2</v>
      </c>
      <c r="AO812" s="55">
        <f t="shared" si="745"/>
        <v>2.4193499999999994E-3</v>
      </c>
      <c r="AP812" s="53">
        <v>7.1</v>
      </c>
      <c r="AQ812" s="53">
        <f t="shared" si="714"/>
        <v>4.26</v>
      </c>
      <c r="AR812" s="53">
        <f t="shared" si="715"/>
        <v>21.299999999999997</v>
      </c>
      <c r="AS812" s="56">
        <f t="shared" si="716"/>
        <v>4.6948356807511742E-2</v>
      </c>
      <c r="AT812" s="56">
        <f t="shared" si="746"/>
        <v>0.23474178403755869</v>
      </c>
      <c r="AU812" s="56">
        <f t="shared" si="717"/>
        <v>0.176056338028169</v>
      </c>
      <c r="AV812" s="56">
        <f t="shared" si="747"/>
        <v>5.8685446009389672E-2</v>
      </c>
      <c r="AW812" s="57"/>
      <c r="AX812" s="57"/>
      <c r="AY812" s="57"/>
      <c r="AZ812" s="58">
        <f t="shared" si="748"/>
        <v>0.10161269999999999</v>
      </c>
      <c r="BA812" s="59">
        <f t="shared" si="759"/>
        <v>0</v>
      </c>
      <c r="BB812" s="59">
        <f t="shared" si="760"/>
        <v>0</v>
      </c>
      <c r="BC812" s="59">
        <f t="shared" si="761"/>
        <v>0</v>
      </c>
      <c r="BD812" s="60">
        <f t="shared" si="749"/>
        <v>1.8518518518518517E-2</v>
      </c>
      <c r="BE812" s="59">
        <f t="shared" si="750"/>
        <v>1.8518518518518517E-2</v>
      </c>
      <c r="BQ812" s="61">
        <v>3000</v>
      </c>
      <c r="BR812" s="61">
        <v>1200</v>
      </c>
      <c r="BS812" s="28">
        <f t="shared" si="718"/>
        <v>2980</v>
      </c>
      <c r="BT812" s="28">
        <f t="shared" si="719"/>
        <v>1180</v>
      </c>
      <c r="BU812" s="28" t="s">
        <v>2541</v>
      </c>
      <c r="BV812" s="28">
        <f t="shared" si="720"/>
        <v>1338.5</v>
      </c>
      <c r="BW812" s="28">
        <f t="shared" si="721"/>
        <v>43.099999999999994</v>
      </c>
      <c r="BX812" s="13">
        <f t="shared" si="722"/>
        <v>2.2263728053791558</v>
      </c>
      <c r="BY812" s="13">
        <f t="shared" si="723"/>
        <v>2</v>
      </c>
      <c r="BZ812" s="13">
        <f t="shared" si="724"/>
        <v>27.378190255220421</v>
      </c>
      <c r="CA812" s="13">
        <f t="shared" si="725"/>
        <v>27</v>
      </c>
      <c r="CB812" s="13">
        <f t="shared" si="726"/>
        <v>54</v>
      </c>
      <c r="CC812" s="62">
        <f t="shared" si="727"/>
        <v>1.8518518518518517E-2</v>
      </c>
      <c r="CD812" s="13">
        <f t="shared" si="728"/>
        <v>69.141531322505813</v>
      </c>
      <c r="CE812" s="13">
        <f t="shared" si="729"/>
        <v>69</v>
      </c>
      <c r="CF812" s="13">
        <f t="shared" si="730"/>
        <v>0.88158386253268584</v>
      </c>
      <c r="CG812" s="13">
        <f t="shared" si="731"/>
        <v>0</v>
      </c>
      <c r="CH812" s="28">
        <f t="shared" si="732"/>
        <v>0</v>
      </c>
      <c r="CI812" s="62">
        <f t="shared" si="733"/>
        <v>1</v>
      </c>
      <c r="CJ812" s="59">
        <f t="shared" si="734"/>
        <v>1.8518518518518517E-2</v>
      </c>
      <c r="CL812" s="63">
        <v>6000</v>
      </c>
      <c r="CM812" s="63">
        <f t="shared" si="735"/>
        <v>1333.5</v>
      </c>
      <c r="CN812" s="63">
        <f t="shared" si="736"/>
        <v>1338.5</v>
      </c>
      <c r="CO812" s="63">
        <f t="shared" si="737"/>
        <v>4.4826298094882331</v>
      </c>
      <c r="CP812" s="13">
        <f t="shared" si="738"/>
        <v>4</v>
      </c>
      <c r="CQ812" s="70">
        <f t="shared" si="739"/>
        <v>0.25</v>
      </c>
      <c r="CR812" s="69">
        <f t="shared" si="763"/>
        <v>0.25</v>
      </c>
    </row>
    <row r="813" spans="1:96" hidden="1" x14ac:dyDescent="0.25">
      <c r="A813" s="13">
        <v>4</v>
      </c>
      <c r="B813" s="14" t="s">
        <v>1899</v>
      </c>
      <c r="C813" s="13" t="s">
        <v>1900</v>
      </c>
      <c r="D813" s="13" t="s">
        <v>2270</v>
      </c>
      <c r="E813" s="13" t="s">
        <v>52</v>
      </c>
      <c r="F813" s="15">
        <f t="shared" si="708"/>
        <v>8</v>
      </c>
      <c r="G813" s="13">
        <v>1</v>
      </c>
      <c r="H813" s="13">
        <f>G813*$H$812</f>
        <v>1</v>
      </c>
      <c r="I813" s="13" t="s">
        <v>485</v>
      </c>
      <c r="J813" s="14" t="s">
        <v>469</v>
      </c>
      <c r="K813" s="14" t="s">
        <v>34</v>
      </c>
      <c r="L813" s="13" t="s">
        <v>1901</v>
      </c>
      <c r="M813" s="14" t="s">
        <v>35</v>
      </c>
      <c r="N813" s="13" t="s">
        <v>1902</v>
      </c>
      <c r="O813" s="28"/>
      <c r="P813" s="28"/>
      <c r="Q813" s="28" t="s">
        <v>1902</v>
      </c>
      <c r="R813" s="30"/>
      <c r="S813" s="30"/>
      <c r="T813" s="30"/>
      <c r="U813" s="30"/>
      <c r="V813" s="8">
        <f t="shared" si="709"/>
        <v>0</v>
      </c>
      <c r="W813" s="8">
        <f t="shared" si="710"/>
        <v>0</v>
      </c>
      <c r="X813" s="8">
        <f t="shared" si="711"/>
        <v>0</v>
      </c>
      <c r="Y813" s="33">
        <f t="shared" si="712"/>
        <v>0</v>
      </c>
      <c r="Z813" s="28"/>
      <c r="AA813" s="28"/>
      <c r="AB813" s="28" t="s">
        <v>1902</v>
      </c>
      <c r="AC813" s="31"/>
      <c r="AD813" s="50">
        <f t="shared" si="713"/>
        <v>1</v>
      </c>
      <c r="AE813" s="45"/>
      <c r="AF813" s="51">
        <v>14</v>
      </c>
      <c r="AG813" s="51">
        <f t="shared" si="740"/>
        <v>8.4</v>
      </c>
      <c r="AH813" s="51">
        <f t="shared" si="707"/>
        <v>42</v>
      </c>
      <c r="AI813" s="52" t="s">
        <v>2497</v>
      </c>
      <c r="AJ813" s="52" t="s">
        <v>2498</v>
      </c>
      <c r="AK813" s="53">
        <f t="shared" si="741"/>
        <v>0</v>
      </c>
      <c r="AL813" s="54">
        <f t="shared" si="742"/>
        <v>0.11904761904761904</v>
      </c>
      <c r="AM813" s="54">
        <f t="shared" si="743"/>
        <v>2.3809523809523808E-2</v>
      </c>
      <c r="AN813" s="55">
        <f t="shared" si="744"/>
        <v>0</v>
      </c>
      <c r="AO813" s="55">
        <f t="shared" si="745"/>
        <v>0</v>
      </c>
      <c r="AP813" s="53">
        <v>7.1</v>
      </c>
      <c r="AQ813" s="53">
        <f t="shared" si="714"/>
        <v>4.26</v>
      </c>
      <c r="AR813" s="53">
        <f t="shared" si="715"/>
        <v>21.299999999999997</v>
      </c>
      <c r="AS813" s="56">
        <f t="shared" si="716"/>
        <v>4.6948356807511742E-2</v>
      </c>
      <c r="AT813" s="56">
        <f t="shared" si="746"/>
        <v>0.23474178403755869</v>
      </c>
      <c r="AU813" s="56">
        <f t="shared" si="717"/>
        <v>0.176056338028169</v>
      </c>
      <c r="AV813" s="56">
        <f t="shared" si="747"/>
        <v>5.8685446009389672E-2</v>
      </c>
      <c r="AW813" s="57"/>
      <c r="AX813" s="57"/>
      <c r="AY813" s="57"/>
      <c r="AZ813" s="58">
        <f t="shared" si="748"/>
        <v>0</v>
      </c>
      <c r="BA813" s="59">
        <f t="shared" si="759"/>
        <v>0</v>
      </c>
      <c r="BB813" s="59">
        <f t="shared" si="760"/>
        <v>0</v>
      </c>
      <c r="BC813" s="59">
        <f t="shared" si="761"/>
        <v>0</v>
      </c>
      <c r="BD813" s="60">
        <f t="shared" si="749"/>
        <v>7.1095438516664771E-6</v>
      </c>
      <c r="BE813" s="59">
        <f t="shared" si="750"/>
        <v>7.1095438516664771E-6</v>
      </c>
      <c r="BQ813" s="61">
        <v>3000</v>
      </c>
      <c r="BR813" s="61">
        <v>1200</v>
      </c>
      <c r="BS813" s="28">
        <f t="shared" si="718"/>
        <v>2980</v>
      </c>
      <c r="BT813" s="28">
        <f t="shared" si="719"/>
        <v>1180</v>
      </c>
      <c r="BU813" s="28" t="s">
        <v>2541</v>
      </c>
      <c r="BV813" s="28">
        <f t="shared" si="720"/>
        <v>5</v>
      </c>
      <c r="BW813" s="28">
        <f t="shared" si="721"/>
        <v>5</v>
      </c>
      <c r="BX813" s="13">
        <f t="shared" si="722"/>
        <v>596</v>
      </c>
      <c r="BY813" s="13">
        <f t="shared" si="723"/>
        <v>596</v>
      </c>
      <c r="BZ813" s="13">
        <f t="shared" si="724"/>
        <v>236</v>
      </c>
      <c r="CA813" s="13">
        <f t="shared" si="725"/>
        <v>236</v>
      </c>
      <c r="CB813" s="13">
        <f t="shared" si="726"/>
        <v>140656</v>
      </c>
      <c r="CC813" s="62">
        <f t="shared" si="727"/>
        <v>7.1095438516664771E-6</v>
      </c>
      <c r="CD813" s="13">
        <f t="shared" si="728"/>
        <v>596</v>
      </c>
      <c r="CE813" s="13">
        <f t="shared" si="729"/>
        <v>596</v>
      </c>
      <c r="CF813" s="13">
        <f t="shared" si="730"/>
        <v>236</v>
      </c>
      <c r="CG813" s="13">
        <f t="shared" si="731"/>
        <v>236</v>
      </c>
      <c r="CH813" s="28">
        <f t="shared" si="732"/>
        <v>140656</v>
      </c>
      <c r="CI813" s="62">
        <f t="shared" si="733"/>
        <v>7.1095438516664771E-6</v>
      </c>
      <c r="CJ813" s="59">
        <f t="shared" si="734"/>
        <v>7.1095438516664771E-6</v>
      </c>
      <c r="CL813" s="63">
        <v>6000</v>
      </c>
      <c r="CM813" s="63">
        <f t="shared" si="735"/>
        <v>0</v>
      </c>
      <c r="CN813" s="63">
        <f t="shared" si="736"/>
        <v>5</v>
      </c>
      <c r="CO813" s="63">
        <f t="shared" si="737"/>
        <v>1200</v>
      </c>
      <c r="CP813" s="13">
        <f t="shared" si="738"/>
        <v>1200</v>
      </c>
      <c r="CQ813" s="70">
        <f t="shared" si="739"/>
        <v>8.3333333333333339E-4</v>
      </c>
      <c r="CR813" s="69">
        <f t="shared" si="763"/>
        <v>8.3333333333333339E-4</v>
      </c>
    </row>
    <row r="814" spans="1:96" hidden="1" x14ac:dyDescent="0.25">
      <c r="A814" s="10">
        <v>3</v>
      </c>
      <c r="B814" s="8" t="s">
        <v>1869</v>
      </c>
      <c r="C814" s="10" t="s">
        <v>1903</v>
      </c>
      <c r="D814" s="10" t="s">
        <v>1905</v>
      </c>
      <c r="E814" s="10" t="s">
        <v>52</v>
      </c>
      <c r="F814" s="12">
        <f t="shared" si="708"/>
        <v>8</v>
      </c>
      <c r="G814" s="10">
        <v>2</v>
      </c>
      <c r="H814" s="10">
        <f t="shared" ref="H814:H817" si="765">G814*$H$795</f>
        <v>2</v>
      </c>
      <c r="I814" s="10">
        <v>4</v>
      </c>
      <c r="J814" s="8" t="s">
        <v>1904</v>
      </c>
      <c r="K814" s="8" t="s">
        <v>34</v>
      </c>
      <c r="L814" s="10">
        <v>0</v>
      </c>
      <c r="M814" s="8" t="s">
        <v>340</v>
      </c>
      <c r="N814" s="10" t="s">
        <v>1905</v>
      </c>
      <c r="O814" s="28"/>
      <c r="P814" s="28"/>
      <c r="Q814" s="28" t="s">
        <v>1905</v>
      </c>
      <c r="R814" s="30">
        <v>3.35</v>
      </c>
      <c r="S814" s="30">
        <v>1.58</v>
      </c>
      <c r="T814" s="30"/>
      <c r="U814" s="30">
        <v>2.12</v>
      </c>
      <c r="V814" s="8">
        <f t="shared" si="709"/>
        <v>85.09</v>
      </c>
      <c r="W814" s="8">
        <f t="shared" si="710"/>
        <v>40.131999999999998</v>
      </c>
      <c r="X814" s="8">
        <f t="shared" si="711"/>
        <v>0</v>
      </c>
      <c r="Y814" s="33">
        <f t="shared" si="712"/>
        <v>53.847999999999999</v>
      </c>
      <c r="Z814" s="28"/>
      <c r="AA814" s="28"/>
      <c r="AB814" s="61" t="s">
        <v>1905</v>
      </c>
      <c r="AC814" s="31" t="s">
        <v>1906</v>
      </c>
      <c r="AD814" s="50">
        <f t="shared" si="713"/>
        <v>2</v>
      </c>
      <c r="AE814" s="45"/>
      <c r="AF814" s="51">
        <v>14</v>
      </c>
      <c r="AG814" s="51">
        <f t="shared" si="740"/>
        <v>8.4</v>
      </c>
      <c r="AH814" s="51">
        <f t="shared" si="707"/>
        <v>42</v>
      </c>
      <c r="AI814" s="52" t="s">
        <v>2497</v>
      </c>
      <c r="AJ814" s="52" t="s">
        <v>2498</v>
      </c>
      <c r="AK814" s="53">
        <f t="shared" si="741"/>
        <v>6.8296637600000001E-3</v>
      </c>
      <c r="AL814" s="54">
        <f t="shared" si="742"/>
        <v>0.11904761904761904</v>
      </c>
      <c r="AM814" s="54">
        <f t="shared" si="743"/>
        <v>2.3809523809523808E-2</v>
      </c>
      <c r="AN814" s="55">
        <f t="shared" si="744"/>
        <v>1.6261104190476189E-3</v>
      </c>
      <c r="AO814" s="55">
        <f t="shared" si="745"/>
        <v>3.2522208380952379E-4</v>
      </c>
      <c r="AP814" s="53">
        <v>7.1</v>
      </c>
      <c r="AQ814" s="53">
        <f t="shared" si="714"/>
        <v>4.26</v>
      </c>
      <c r="AR814" s="53">
        <f t="shared" si="715"/>
        <v>21.299999999999997</v>
      </c>
      <c r="AS814" s="56">
        <f t="shared" si="716"/>
        <v>4.6948356807511742E-2</v>
      </c>
      <c r="AT814" s="56">
        <f t="shared" si="746"/>
        <v>0.23474178403755869</v>
      </c>
      <c r="AU814" s="56">
        <f t="shared" si="717"/>
        <v>0.176056338028169</v>
      </c>
      <c r="AV814" s="56">
        <f t="shared" si="747"/>
        <v>5.8685446009389672E-2</v>
      </c>
      <c r="AW814" s="57"/>
      <c r="AX814" s="57"/>
      <c r="AY814" s="57"/>
      <c r="AZ814" s="58">
        <f t="shared" si="748"/>
        <v>6.8296637600000001E-3</v>
      </c>
      <c r="BA814" s="59">
        <f t="shared" si="759"/>
        <v>0</v>
      </c>
      <c r="BB814" s="59">
        <f t="shared" si="760"/>
        <v>0</v>
      </c>
      <c r="BC814" s="59">
        <f t="shared" si="761"/>
        <v>0</v>
      </c>
      <c r="BD814" s="60">
        <f t="shared" si="749"/>
        <v>1.1655011655011655E-3</v>
      </c>
      <c r="BE814" s="59">
        <f t="shared" si="750"/>
        <v>2.331002331002331E-3</v>
      </c>
      <c r="BQ814" s="61">
        <v>3000</v>
      </c>
      <c r="BR814" s="61">
        <v>1200</v>
      </c>
      <c r="BS814" s="28">
        <f t="shared" si="718"/>
        <v>2980</v>
      </c>
      <c r="BT814" s="28">
        <f t="shared" si="719"/>
        <v>1180</v>
      </c>
      <c r="BU814" s="28" t="s">
        <v>2541</v>
      </c>
      <c r="BV814" s="28">
        <f t="shared" si="720"/>
        <v>90.09</v>
      </c>
      <c r="BW814" s="28">
        <f t="shared" si="721"/>
        <v>45.131999999999998</v>
      </c>
      <c r="BX814" s="13">
        <f t="shared" si="722"/>
        <v>33.07803307803308</v>
      </c>
      <c r="BY814" s="13">
        <f t="shared" si="723"/>
        <v>33</v>
      </c>
      <c r="BZ814" s="13">
        <f t="shared" si="724"/>
        <v>26.145528671452627</v>
      </c>
      <c r="CA814" s="13">
        <f t="shared" si="725"/>
        <v>26</v>
      </c>
      <c r="CB814" s="13">
        <f t="shared" si="726"/>
        <v>858</v>
      </c>
      <c r="CC814" s="62">
        <f t="shared" si="727"/>
        <v>1.1655011655011655E-3</v>
      </c>
      <c r="CD814" s="13">
        <f t="shared" si="728"/>
        <v>66.028538509261722</v>
      </c>
      <c r="CE814" s="13">
        <f t="shared" si="729"/>
        <v>66</v>
      </c>
      <c r="CF814" s="13">
        <f t="shared" si="730"/>
        <v>13.098013098013098</v>
      </c>
      <c r="CG814" s="13">
        <f t="shared" si="731"/>
        <v>13</v>
      </c>
      <c r="CH814" s="28">
        <f t="shared" si="732"/>
        <v>858</v>
      </c>
      <c r="CI814" s="62">
        <f t="shared" si="733"/>
        <v>1.1655011655011655E-3</v>
      </c>
      <c r="CJ814" s="59">
        <f t="shared" si="734"/>
        <v>1.1655011655011655E-3</v>
      </c>
      <c r="CL814" s="63">
        <v>6000</v>
      </c>
      <c r="CM814" s="63">
        <f t="shared" si="735"/>
        <v>85.09</v>
      </c>
      <c r="CN814" s="63">
        <f t="shared" si="736"/>
        <v>90.09</v>
      </c>
      <c r="CO814" s="63">
        <f t="shared" si="737"/>
        <v>66.600066600066597</v>
      </c>
      <c r="CP814" s="13">
        <f t="shared" si="738"/>
        <v>66</v>
      </c>
      <c r="CQ814" s="70">
        <f t="shared" si="739"/>
        <v>1.5151515151515152E-2</v>
      </c>
      <c r="CR814" s="69">
        <f t="shared" si="763"/>
        <v>3.0303030303030304E-2</v>
      </c>
    </row>
    <row r="815" spans="1:96" hidden="1" x14ac:dyDescent="0.25">
      <c r="A815" s="10">
        <v>3</v>
      </c>
      <c r="B815" s="8" t="s">
        <v>1869</v>
      </c>
      <c r="C815" s="10" t="s">
        <v>1907</v>
      </c>
      <c r="D815" s="10" t="s">
        <v>1908</v>
      </c>
      <c r="E815" s="10" t="s">
        <v>52</v>
      </c>
      <c r="F815" s="12">
        <f t="shared" si="708"/>
        <v>8</v>
      </c>
      <c r="G815" s="10">
        <v>2</v>
      </c>
      <c r="H815" s="10">
        <f t="shared" si="765"/>
        <v>2</v>
      </c>
      <c r="I815" s="10">
        <v>5</v>
      </c>
      <c r="J815" s="8" t="s">
        <v>1904</v>
      </c>
      <c r="K815" s="8" t="s">
        <v>34</v>
      </c>
      <c r="L815" s="10">
        <v>0</v>
      </c>
      <c r="M815" s="8" t="s">
        <v>340</v>
      </c>
      <c r="N815" s="10" t="s">
        <v>1908</v>
      </c>
      <c r="O815" s="28"/>
      <c r="P815" s="28"/>
      <c r="Q815" s="28" t="s">
        <v>1908</v>
      </c>
      <c r="R815" s="30">
        <v>5.54</v>
      </c>
      <c r="S815" s="30">
        <v>2.25</v>
      </c>
      <c r="T815" s="30"/>
      <c r="U815" s="30">
        <v>4.25</v>
      </c>
      <c r="V815" s="8">
        <f t="shared" si="709"/>
        <v>140.71599999999998</v>
      </c>
      <c r="W815" s="8">
        <f t="shared" si="710"/>
        <v>57.15</v>
      </c>
      <c r="X815" s="8">
        <f t="shared" si="711"/>
        <v>0</v>
      </c>
      <c r="Y815" s="33">
        <f t="shared" si="712"/>
        <v>107.94999999999999</v>
      </c>
      <c r="Z815" s="28"/>
      <c r="AA815" s="28"/>
      <c r="AB815" s="61" t="s">
        <v>1908</v>
      </c>
      <c r="AC815" s="31" t="s">
        <v>2553</v>
      </c>
      <c r="AD815" s="50">
        <f t="shared" si="713"/>
        <v>2</v>
      </c>
      <c r="AE815" s="45"/>
      <c r="AF815" s="51">
        <v>14</v>
      </c>
      <c r="AG815" s="51">
        <f t="shared" si="740"/>
        <v>8.4</v>
      </c>
      <c r="AH815" s="51">
        <f t="shared" si="707"/>
        <v>42</v>
      </c>
      <c r="AI815" s="52" t="s">
        <v>2497</v>
      </c>
      <c r="AJ815" s="52" t="s">
        <v>2498</v>
      </c>
      <c r="AK815" s="53">
        <f t="shared" si="741"/>
        <v>1.6083838799999996E-2</v>
      </c>
      <c r="AL815" s="54">
        <f t="shared" si="742"/>
        <v>0.11904761904761904</v>
      </c>
      <c r="AM815" s="54">
        <f t="shared" si="743"/>
        <v>2.3809523809523808E-2</v>
      </c>
      <c r="AN815" s="55">
        <f t="shared" si="744"/>
        <v>3.8294854285714276E-3</v>
      </c>
      <c r="AO815" s="55">
        <f t="shared" si="745"/>
        <v>7.6589708571428547E-4</v>
      </c>
      <c r="AP815" s="53">
        <v>7.1</v>
      </c>
      <c r="AQ815" s="53">
        <f t="shared" si="714"/>
        <v>4.26</v>
      </c>
      <c r="AR815" s="53">
        <f t="shared" si="715"/>
        <v>21.299999999999997</v>
      </c>
      <c r="AS815" s="56">
        <f t="shared" si="716"/>
        <v>4.6948356807511742E-2</v>
      </c>
      <c r="AT815" s="56">
        <f t="shared" si="746"/>
        <v>0.23474178403755869</v>
      </c>
      <c r="AU815" s="56">
        <f t="shared" si="717"/>
        <v>0.176056338028169</v>
      </c>
      <c r="AV815" s="56">
        <f t="shared" si="747"/>
        <v>5.8685446009389672E-2</v>
      </c>
      <c r="AW815" s="57"/>
      <c r="AX815" s="57"/>
      <c r="AY815" s="57"/>
      <c r="AZ815" s="58">
        <f t="shared" si="748"/>
        <v>1.6083838799999996E-2</v>
      </c>
      <c r="BA815" s="59">
        <f t="shared" si="759"/>
        <v>0</v>
      </c>
      <c r="BB815" s="59">
        <f t="shared" si="760"/>
        <v>0</v>
      </c>
      <c r="BC815" s="59">
        <f t="shared" si="761"/>
        <v>0</v>
      </c>
      <c r="BD815" s="60">
        <f t="shared" si="749"/>
        <v>2.6595744680851063E-3</v>
      </c>
      <c r="BE815" s="59">
        <f t="shared" si="750"/>
        <v>5.3191489361702126E-3</v>
      </c>
      <c r="BQ815" s="61">
        <v>3000</v>
      </c>
      <c r="BR815" s="61">
        <v>1200</v>
      </c>
      <c r="BS815" s="28">
        <f t="shared" si="718"/>
        <v>2980</v>
      </c>
      <c r="BT815" s="28">
        <f t="shared" si="719"/>
        <v>1180</v>
      </c>
      <c r="BU815" s="28" t="s">
        <v>2541</v>
      </c>
      <c r="BV815" s="28">
        <f t="shared" si="720"/>
        <v>145.71599999999998</v>
      </c>
      <c r="BW815" s="28">
        <f t="shared" si="721"/>
        <v>62.15</v>
      </c>
      <c r="BX815" s="13">
        <f t="shared" si="722"/>
        <v>20.450739795218098</v>
      </c>
      <c r="BY815" s="13">
        <f t="shared" si="723"/>
        <v>20</v>
      </c>
      <c r="BZ815" s="13">
        <f t="shared" si="724"/>
        <v>18.986323411102173</v>
      </c>
      <c r="CA815" s="13">
        <f t="shared" si="725"/>
        <v>18</v>
      </c>
      <c r="CB815" s="13">
        <f t="shared" si="726"/>
        <v>360</v>
      </c>
      <c r="CC815" s="62">
        <f t="shared" si="727"/>
        <v>2.7777777777777779E-3</v>
      </c>
      <c r="CD815" s="13">
        <f t="shared" si="728"/>
        <v>47.948511665325825</v>
      </c>
      <c r="CE815" s="13">
        <f t="shared" si="729"/>
        <v>47</v>
      </c>
      <c r="CF815" s="13">
        <f t="shared" si="730"/>
        <v>8.0979439457575015</v>
      </c>
      <c r="CG815" s="13">
        <f t="shared" si="731"/>
        <v>8</v>
      </c>
      <c r="CH815" s="28">
        <f t="shared" si="732"/>
        <v>376</v>
      </c>
      <c r="CI815" s="62">
        <f t="shared" si="733"/>
        <v>2.6595744680851063E-3</v>
      </c>
      <c r="CJ815" s="59">
        <f t="shared" si="734"/>
        <v>2.6595744680851063E-3</v>
      </c>
      <c r="CL815" s="63">
        <v>6000</v>
      </c>
      <c r="CM815" s="63">
        <f t="shared" si="735"/>
        <v>140.71599999999998</v>
      </c>
      <c r="CN815" s="63">
        <f t="shared" si="736"/>
        <v>145.71599999999998</v>
      </c>
      <c r="CO815" s="63">
        <f t="shared" si="737"/>
        <v>41.175986164868654</v>
      </c>
      <c r="CP815" s="13">
        <f t="shared" si="738"/>
        <v>41</v>
      </c>
      <c r="CQ815" s="70">
        <f t="shared" si="739"/>
        <v>2.4390243902439025E-2</v>
      </c>
      <c r="CR815" s="69">
        <f t="shared" si="763"/>
        <v>4.878048780487805E-2</v>
      </c>
    </row>
    <row r="816" spans="1:96" hidden="1" x14ac:dyDescent="0.25">
      <c r="A816" s="10">
        <v>3</v>
      </c>
      <c r="B816" s="8" t="s">
        <v>1869</v>
      </c>
      <c r="C816" s="10" t="s">
        <v>336</v>
      </c>
      <c r="D816" s="10" t="s">
        <v>341</v>
      </c>
      <c r="E816" s="10" t="s">
        <v>52</v>
      </c>
      <c r="F816" s="12">
        <f t="shared" si="708"/>
        <v>15</v>
      </c>
      <c r="G816" s="10" t="s">
        <v>337</v>
      </c>
      <c r="H816" s="10" t="str">
        <f>G816</f>
        <v>A/R</v>
      </c>
      <c r="I816" s="10">
        <v>6</v>
      </c>
      <c r="J816" s="8" t="s">
        <v>338</v>
      </c>
      <c r="K816" s="8" t="s">
        <v>34</v>
      </c>
      <c r="L816" s="10" t="s">
        <v>339</v>
      </c>
      <c r="M816" s="8" t="s">
        <v>340</v>
      </c>
      <c r="N816" s="10" t="s">
        <v>341</v>
      </c>
      <c r="O816" s="28" t="s">
        <v>2541</v>
      </c>
      <c r="P816" s="28" t="s">
        <v>2541</v>
      </c>
      <c r="Q816" s="28" t="s">
        <v>341</v>
      </c>
      <c r="R816" s="30"/>
      <c r="S816" s="30"/>
      <c r="T816" s="30"/>
      <c r="U816" s="30"/>
      <c r="V816" s="8">
        <f t="shared" si="709"/>
        <v>0</v>
      </c>
      <c r="W816" s="8">
        <f t="shared" si="710"/>
        <v>0</v>
      </c>
      <c r="X816" s="8">
        <f t="shared" si="711"/>
        <v>0</v>
      </c>
      <c r="Y816" s="33">
        <f t="shared" si="712"/>
        <v>0</v>
      </c>
      <c r="Z816" s="28"/>
      <c r="AA816" s="28"/>
      <c r="AB816" s="28" t="s">
        <v>341</v>
      </c>
      <c r="AC816" s="31" t="s">
        <v>342</v>
      </c>
      <c r="AD816" s="50">
        <v>0</v>
      </c>
      <c r="AE816" s="45" t="s">
        <v>337</v>
      </c>
      <c r="AF816" s="51">
        <v>14</v>
      </c>
      <c r="AG816" s="51">
        <f t="shared" si="740"/>
        <v>8.4</v>
      </c>
      <c r="AH816" s="51">
        <f t="shared" si="707"/>
        <v>42</v>
      </c>
      <c r="AI816" s="52" t="s">
        <v>2497</v>
      </c>
      <c r="AJ816" s="52" t="s">
        <v>2498</v>
      </c>
      <c r="AK816" s="53">
        <f t="shared" si="741"/>
        <v>0</v>
      </c>
      <c r="AL816" s="54">
        <f t="shared" si="742"/>
        <v>0.11904761904761904</v>
      </c>
      <c r="AM816" s="54">
        <f t="shared" si="743"/>
        <v>2.3809523809523808E-2</v>
      </c>
      <c r="AN816" s="55">
        <f t="shared" si="744"/>
        <v>0</v>
      </c>
      <c r="AO816" s="55">
        <f t="shared" si="745"/>
        <v>0</v>
      </c>
      <c r="AP816" s="53">
        <v>7.1</v>
      </c>
      <c r="AQ816" s="53">
        <f t="shared" si="714"/>
        <v>4.26</v>
      </c>
      <c r="AR816" s="53">
        <f t="shared" si="715"/>
        <v>21.299999999999997</v>
      </c>
      <c r="AS816" s="56">
        <f t="shared" si="716"/>
        <v>4.6948356807511742E-2</v>
      </c>
      <c r="AT816" s="56">
        <f t="shared" si="746"/>
        <v>0.23474178403755869</v>
      </c>
      <c r="AU816" s="56">
        <f t="shared" si="717"/>
        <v>0.176056338028169</v>
      </c>
      <c r="AV816" s="56">
        <f t="shared" si="747"/>
        <v>5.8685446009389672E-2</v>
      </c>
      <c r="AW816" s="57"/>
      <c r="AX816" s="57"/>
      <c r="AY816" s="57"/>
      <c r="AZ816" s="58">
        <f t="shared" si="748"/>
        <v>0</v>
      </c>
      <c r="BA816" s="59">
        <f t="shared" si="759"/>
        <v>0</v>
      </c>
      <c r="BB816" s="59">
        <f t="shared" si="760"/>
        <v>0</v>
      </c>
      <c r="BC816" s="59">
        <f t="shared" si="761"/>
        <v>0</v>
      </c>
      <c r="BD816" s="60">
        <f t="shared" si="749"/>
        <v>7.1095438516664771E-6</v>
      </c>
      <c r="BE816" s="59">
        <f t="shared" si="750"/>
        <v>0</v>
      </c>
      <c r="BQ816" s="61">
        <v>3000</v>
      </c>
      <c r="BR816" s="61">
        <v>1200</v>
      </c>
      <c r="BS816" s="28">
        <f t="shared" si="718"/>
        <v>2980</v>
      </c>
      <c r="BT816" s="28">
        <f t="shared" si="719"/>
        <v>1180</v>
      </c>
      <c r="BU816" s="28" t="s">
        <v>2541</v>
      </c>
      <c r="BV816" s="28">
        <f t="shared" si="720"/>
        <v>5</v>
      </c>
      <c r="BW816" s="28">
        <f t="shared" si="721"/>
        <v>5</v>
      </c>
      <c r="BX816" s="13">
        <f t="shared" si="722"/>
        <v>596</v>
      </c>
      <c r="BY816" s="13">
        <f t="shared" si="723"/>
        <v>596</v>
      </c>
      <c r="BZ816" s="13">
        <f t="shared" si="724"/>
        <v>236</v>
      </c>
      <c r="CA816" s="13">
        <f t="shared" si="725"/>
        <v>236</v>
      </c>
      <c r="CB816" s="13">
        <f t="shared" si="726"/>
        <v>140656</v>
      </c>
      <c r="CC816" s="62">
        <f t="shared" si="727"/>
        <v>7.1095438516664771E-6</v>
      </c>
      <c r="CD816" s="13">
        <f t="shared" si="728"/>
        <v>596</v>
      </c>
      <c r="CE816" s="13">
        <f t="shared" si="729"/>
        <v>596</v>
      </c>
      <c r="CF816" s="13">
        <f t="shared" si="730"/>
        <v>236</v>
      </c>
      <c r="CG816" s="13">
        <f t="shared" si="731"/>
        <v>236</v>
      </c>
      <c r="CH816" s="28">
        <f t="shared" si="732"/>
        <v>140656</v>
      </c>
      <c r="CI816" s="62">
        <f t="shared" si="733"/>
        <v>7.1095438516664771E-6</v>
      </c>
      <c r="CJ816" s="59">
        <f t="shared" si="734"/>
        <v>7.1095438516664771E-6</v>
      </c>
      <c r="CL816" s="63">
        <v>6000</v>
      </c>
      <c r="CM816" s="63">
        <f t="shared" si="735"/>
        <v>0</v>
      </c>
      <c r="CN816" s="63">
        <f t="shared" si="736"/>
        <v>5</v>
      </c>
      <c r="CO816" s="63">
        <f t="shared" si="737"/>
        <v>1200</v>
      </c>
      <c r="CP816" s="13">
        <f t="shared" si="738"/>
        <v>1200</v>
      </c>
      <c r="CQ816" s="70">
        <f t="shared" si="739"/>
        <v>8.3333333333333339E-4</v>
      </c>
      <c r="CR816" s="69">
        <f t="shared" si="763"/>
        <v>0</v>
      </c>
    </row>
    <row r="817" spans="1:96" hidden="1" x14ac:dyDescent="0.25">
      <c r="A817" s="10">
        <v>3</v>
      </c>
      <c r="B817" s="8" t="s">
        <v>1869</v>
      </c>
      <c r="C817" s="10" t="s">
        <v>1910</v>
      </c>
      <c r="D817" s="10" t="s">
        <v>1911</v>
      </c>
      <c r="E817" s="10" t="s">
        <v>52</v>
      </c>
      <c r="F817" s="12">
        <f t="shared" si="708"/>
        <v>8</v>
      </c>
      <c r="G817" s="10">
        <v>2</v>
      </c>
      <c r="H817" s="10">
        <f t="shared" si="765"/>
        <v>2</v>
      </c>
      <c r="I817" s="10">
        <v>7</v>
      </c>
      <c r="J817" s="8" t="s">
        <v>480</v>
      </c>
      <c r="K817" s="8" t="s">
        <v>34</v>
      </c>
      <c r="L817" s="10">
        <v>0</v>
      </c>
      <c r="M817" s="8" t="s">
        <v>35</v>
      </c>
      <c r="N817" s="10" t="s">
        <v>1911</v>
      </c>
      <c r="O817" s="28"/>
      <c r="P817" s="28"/>
      <c r="Q817" s="28" t="s">
        <v>1911</v>
      </c>
      <c r="R817" s="30">
        <v>3.1339999999999999</v>
      </c>
      <c r="S817" s="30">
        <v>1.4409999999999998</v>
      </c>
      <c r="T817" s="30"/>
      <c r="U817" s="30">
        <v>6.3E-2</v>
      </c>
      <c r="V817" s="8">
        <f t="shared" si="709"/>
        <v>79.603599999999986</v>
      </c>
      <c r="W817" s="8">
        <f t="shared" si="710"/>
        <v>36.601399999999991</v>
      </c>
      <c r="X817" s="8">
        <f t="shared" si="711"/>
        <v>0</v>
      </c>
      <c r="Y817" s="33">
        <f t="shared" si="712"/>
        <v>1.6001999999999998</v>
      </c>
      <c r="Z817" s="28" t="s">
        <v>1912</v>
      </c>
      <c r="AA817" s="28"/>
      <c r="AB817" s="61" t="s">
        <v>1911</v>
      </c>
      <c r="AC817" s="31" t="s">
        <v>1913</v>
      </c>
      <c r="AD817" s="50">
        <f t="shared" si="713"/>
        <v>2</v>
      </c>
      <c r="AE817" s="31"/>
      <c r="AF817" s="51">
        <v>14</v>
      </c>
      <c r="AG817" s="51">
        <f t="shared" si="740"/>
        <v>8.4</v>
      </c>
      <c r="AH817" s="51">
        <f t="shared" si="707"/>
        <v>42</v>
      </c>
      <c r="AI817" s="52" t="s">
        <v>2497</v>
      </c>
      <c r="AJ817" s="52" t="s">
        <v>2498</v>
      </c>
      <c r="AK817" s="53">
        <f t="shared" si="741"/>
        <v>5.8272064100799974E-3</v>
      </c>
      <c r="AL817" s="54">
        <f t="shared" si="742"/>
        <v>0.11904761904761904</v>
      </c>
      <c r="AM817" s="54">
        <f t="shared" si="743"/>
        <v>2.3809523809523808E-2</v>
      </c>
      <c r="AN817" s="55">
        <f t="shared" si="744"/>
        <v>1.3874300976380945E-3</v>
      </c>
      <c r="AO817" s="55">
        <f t="shared" si="745"/>
        <v>2.7748601952761891E-4</v>
      </c>
      <c r="AP817" s="53">
        <v>7.1</v>
      </c>
      <c r="AQ817" s="53">
        <f t="shared" si="714"/>
        <v>4.26</v>
      </c>
      <c r="AR817" s="53">
        <f t="shared" si="715"/>
        <v>21.299999999999997</v>
      </c>
      <c r="AS817" s="56">
        <f t="shared" si="716"/>
        <v>4.6948356807511742E-2</v>
      </c>
      <c r="AT817" s="56">
        <f t="shared" si="746"/>
        <v>0.23474178403755869</v>
      </c>
      <c r="AU817" s="56">
        <f t="shared" si="717"/>
        <v>0.176056338028169</v>
      </c>
      <c r="AV817" s="56">
        <f t="shared" si="747"/>
        <v>5.8685446009389672E-2</v>
      </c>
      <c r="AW817" s="57"/>
      <c r="AX817" s="57"/>
      <c r="AY817" s="57"/>
      <c r="AZ817" s="58">
        <f t="shared" si="748"/>
        <v>5.8272064100799974E-3</v>
      </c>
      <c r="BA817" s="59">
        <f t="shared" si="759"/>
        <v>0</v>
      </c>
      <c r="BB817" s="59">
        <f t="shared" si="760"/>
        <v>0</v>
      </c>
      <c r="BC817" s="59">
        <f t="shared" si="761"/>
        <v>0</v>
      </c>
      <c r="BD817" s="60">
        <f t="shared" si="749"/>
        <v>1.0204081632653062E-3</v>
      </c>
      <c r="BE817" s="59">
        <f t="shared" si="750"/>
        <v>2.0408163265306124E-3</v>
      </c>
      <c r="BQ817" s="61">
        <v>3000</v>
      </c>
      <c r="BR817" s="61">
        <v>1200</v>
      </c>
      <c r="BS817" s="28">
        <f t="shared" si="718"/>
        <v>2980</v>
      </c>
      <c r="BT817" s="28">
        <f t="shared" si="719"/>
        <v>1180</v>
      </c>
      <c r="BU817" s="28" t="s">
        <v>2541</v>
      </c>
      <c r="BV817" s="28">
        <f t="shared" si="720"/>
        <v>84.603599999999986</v>
      </c>
      <c r="BW817" s="28">
        <f t="shared" si="721"/>
        <v>41.601399999999991</v>
      </c>
      <c r="BX817" s="13">
        <f t="shared" si="722"/>
        <v>35.223087433631669</v>
      </c>
      <c r="BY817" s="13">
        <f t="shared" si="723"/>
        <v>35</v>
      </c>
      <c r="BZ817" s="13">
        <f t="shared" si="724"/>
        <v>28.364430043219706</v>
      </c>
      <c r="CA817" s="13">
        <f t="shared" si="725"/>
        <v>28</v>
      </c>
      <c r="CB817" s="13">
        <f t="shared" si="726"/>
        <v>980</v>
      </c>
      <c r="CC817" s="62">
        <f t="shared" si="727"/>
        <v>1.0204081632653062E-3</v>
      </c>
      <c r="CD817" s="13">
        <f t="shared" si="728"/>
        <v>71.632204685419254</v>
      </c>
      <c r="CE817" s="13">
        <f t="shared" si="729"/>
        <v>71</v>
      </c>
      <c r="CF817" s="13">
        <f t="shared" si="730"/>
        <v>13.947397037478312</v>
      </c>
      <c r="CG817" s="13">
        <f t="shared" si="731"/>
        <v>13</v>
      </c>
      <c r="CH817" s="28">
        <f t="shared" si="732"/>
        <v>923</v>
      </c>
      <c r="CI817" s="62">
        <f t="shared" si="733"/>
        <v>1.0834236186348862E-3</v>
      </c>
      <c r="CJ817" s="59">
        <f t="shared" si="734"/>
        <v>1.0204081632653062E-3</v>
      </c>
      <c r="CL817" s="63">
        <v>6000</v>
      </c>
      <c r="CM817" s="63">
        <f t="shared" si="735"/>
        <v>79.603599999999986</v>
      </c>
      <c r="CN817" s="63">
        <f t="shared" si="736"/>
        <v>84.603599999999986</v>
      </c>
      <c r="CO817" s="63">
        <f t="shared" si="737"/>
        <v>70.918967987177865</v>
      </c>
      <c r="CP817" s="13">
        <f t="shared" si="738"/>
        <v>70</v>
      </c>
      <c r="CQ817" s="70">
        <f t="shared" si="739"/>
        <v>1.4285714285714285E-2</v>
      </c>
      <c r="CR817" s="69">
        <f t="shared" si="763"/>
        <v>2.8571428571428571E-2</v>
      </c>
    </row>
    <row r="818" spans="1:96" hidden="1" x14ac:dyDescent="0.25">
      <c r="A818" s="36">
        <v>2</v>
      </c>
      <c r="B818" s="37" t="s">
        <v>1865</v>
      </c>
      <c r="C818" s="36" t="s">
        <v>1914</v>
      </c>
      <c r="D818" s="36" t="s">
        <v>2270</v>
      </c>
      <c r="E818" s="36" t="s">
        <v>32</v>
      </c>
      <c r="F818" s="38">
        <f t="shared" si="708"/>
        <v>1</v>
      </c>
      <c r="G818" s="36">
        <v>1</v>
      </c>
      <c r="H818" s="36">
        <f>G818*$H$794</f>
        <v>1</v>
      </c>
      <c r="I818" s="36">
        <v>2</v>
      </c>
      <c r="J818" s="37" t="s">
        <v>1867</v>
      </c>
      <c r="K818" s="37" t="s">
        <v>34</v>
      </c>
      <c r="L818" s="36">
        <v>0</v>
      </c>
      <c r="M818" s="37" t="s">
        <v>35</v>
      </c>
      <c r="N818" s="36" t="s">
        <v>1915</v>
      </c>
      <c r="O818" s="28" t="s">
        <v>41</v>
      </c>
      <c r="P818" s="28" t="s">
        <v>41</v>
      </c>
      <c r="Q818" s="28"/>
      <c r="R818" s="30"/>
      <c r="S818" s="30"/>
      <c r="T818" s="30"/>
      <c r="U818" s="30"/>
      <c r="V818" s="8">
        <f t="shared" si="709"/>
        <v>0</v>
      </c>
      <c r="W818" s="8">
        <f t="shared" si="710"/>
        <v>0</v>
      </c>
      <c r="X818" s="8">
        <f t="shared" si="711"/>
        <v>0</v>
      </c>
      <c r="Y818" s="33">
        <f t="shared" si="712"/>
        <v>0</v>
      </c>
      <c r="Z818" s="28"/>
      <c r="AA818" s="28"/>
      <c r="AB818" s="28">
        <v>0</v>
      </c>
      <c r="AC818" s="31"/>
      <c r="AD818" s="50">
        <f t="shared" si="713"/>
        <v>1</v>
      </c>
      <c r="AE818" s="31"/>
      <c r="AF818" s="51">
        <v>14</v>
      </c>
      <c r="AG818" s="51">
        <f t="shared" si="740"/>
        <v>8.4</v>
      </c>
      <c r="AH818" s="51">
        <f t="shared" si="707"/>
        <v>42</v>
      </c>
      <c r="AI818" s="52" t="s">
        <v>2497</v>
      </c>
      <c r="AJ818" s="52" t="s">
        <v>2498</v>
      </c>
      <c r="AK818" s="53">
        <f t="shared" si="741"/>
        <v>0</v>
      </c>
      <c r="AL818" s="54">
        <f t="shared" si="742"/>
        <v>0.11904761904761904</v>
      </c>
      <c r="AM818" s="54">
        <f t="shared" si="743"/>
        <v>2.3809523809523808E-2</v>
      </c>
      <c r="AN818" s="55">
        <f t="shared" si="744"/>
        <v>0</v>
      </c>
      <c r="AO818" s="55">
        <f t="shared" si="745"/>
        <v>0</v>
      </c>
      <c r="AP818" s="53">
        <v>7.1</v>
      </c>
      <c r="AQ818" s="53">
        <f t="shared" si="714"/>
        <v>4.26</v>
      </c>
      <c r="AR818" s="53">
        <f t="shared" si="715"/>
        <v>21.299999999999997</v>
      </c>
      <c r="AS818" s="56">
        <f t="shared" si="716"/>
        <v>4.6948356807511742E-2</v>
      </c>
      <c r="AT818" s="56">
        <f t="shared" si="746"/>
        <v>0.23474178403755869</v>
      </c>
      <c r="AU818" s="56">
        <f t="shared" si="717"/>
        <v>0.176056338028169</v>
      </c>
      <c r="AV818" s="56">
        <f t="shared" si="747"/>
        <v>5.8685446009389672E-2</v>
      </c>
      <c r="AW818" s="57"/>
      <c r="AX818" s="57"/>
      <c r="AY818" s="57"/>
      <c r="AZ818" s="58">
        <f t="shared" si="748"/>
        <v>0</v>
      </c>
      <c r="BA818" s="59">
        <f t="shared" si="759"/>
        <v>0</v>
      </c>
      <c r="BB818" s="59">
        <f t="shared" si="760"/>
        <v>0</v>
      </c>
      <c r="BC818" s="59">
        <f t="shared" si="761"/>
        <v>0</v>
      </c>
      <c r="BD818" s="60">
        <f t="shared" si="749"/>
        <v>0</v>
      </c>
      <c r="BE818" s="59">
        <f t="shared" si="750"/>
        <v>0</v>
      </c>
      <c r="BQ818" s="61">
        <v>3000</v>
      </c>
      <c r="BR818" s="61">
        <v>1200</v>
      </c>
      <c r="BS818" s="28">
        <f t="shared" si="718"/>
        <v>2980</v>
      </c>
      <c r="BT818" s="28">
        <f t="shared" si="719"/>
        <v>1180</v>
      </c>
      <c r="BU818" s="28" t="s">
        <v>2541</v>
      </c>
      <c r="BV818" s="28">
        <f t="shared" si="720"/>
        <v>5</v>
      </c>
      <c r="BW818" s="28">
        <f t="shared" si="721"/>
        <v>5</v>
      </c>
      <c r="BX818" s="13">
        <f t="shared" si="722"/>
        <v>596</v>
      </c>
      <c r="BY818" s="13">
        <f t="shared" si="723"/>
        <v>596</v>
      </c>
      <c r="BZ818" s="13">
        <f t="shared" si="724"/>
        <v>236</v>
      </c>
      <c r="CA818" s="13">
        <f t="shared" si="725"/>
        <v>236</v>
      </c>
      <c r="CB818" s="13">
        <f t="shared" si="726"/>
        <v>140656</v>
      </c>
      <c r="CC818" s="62" t="str">
        <f t="shared" si="727"/>
        <v/>
      </c>
      <c r="CD818" s="13">
        <f t="shared" si="728"/>
        <v>596</v>
      </c>
      <c r="CE818" s="13">
        <f t="shared" si="729"/>
        <v>596</v>
      </c>
      <c r="CF818" s="13">
        <f t="shared" si="730"/>
        <v>236</v>
      </c>
      <c r="CG818" s="13">
        <f t="shared" si="731"/>
        <v>236</v>
      </c>
      <c r="CH818" s="28">
        <f t="shared" si="732"/>
        <v>140656</v>
      </c>
      <c r="CI818" s="62" t="str">
        <f t="shared" si="733"/>
        <v/>
      </c>
      <c r="CJ818" s="59">
        <f t="shared" si="734"/>
        <v>0</v>
      </c>
      <c r="CL818" s="63">
        <v>6000</v>
      </c>
      <c r="CM818" s="63">
        <f t="shared" si="735"/>
        <v>0</v>
      </c>
      <c r="CN818" s="63">
        <f t="shared" si="736"/>
        <v>5</v>
      </c>
      <c r="CO818" s="63">
        <f t="shared" si="737"/>
        <v>1200</v>
      </c>
      <c r="CP818" s="13">
        <f t="shared" si="738"/>
        <v>1200</v>
      </c>
      <c r="CQ818" s="70">
        <f t="shared" si="739"/>
        <v>8.3333333333333339E-4</v>
      </c>
      <c r="CR818" s="69">
        <f t="shared" si="763"/>
        <v>8.3333333333333339E-4</v>
      </c>
    </row>
    <row r="819" spans="1:96" hidden="1" x14ac:dyDescent="0.25">
      <c r="A819" s="10">
        <v>3</v>
      </c>
      <c r="B819" s="8" t="s">
        <v>1916</v>
      </c>
      <c r="C819" s="10" t="s">
        <v>1917</v>
      </c>
      <c r="D819" s="10" t="s">
        <v>2270</v>
      </c>
      <c r="E819" s="10" t="s">
        <v>32</v>
      </c>
      <c r="F819" s="12">
        <f t="shared" si="708"/>
        <v>1</v>
      </c>
      <c r="G819" s="10">
        <v>1</v>
      </c>
      <c r="H819" s="10">
        <f>G819*$H$818</f>
        <v>1</v>
      </c>
      <c r="I819" s="10">
        <v>1</v>
      </c>
      <c r="J819" s="8" t="s">
        <v>455</v>
      </c>
      <c r="K819" s="8" t="s">
        <v>34</v>
      </c>
      <c r="L819" s="10" t="s">
        <v>110</v>
      </c>
      <c r="M819" s="8" t="s">
        <v>35</v>
      </c>
      <c r="N819" s="10" t="s">
        <v>1918</v>
      </c>
      <c r="O819" s="28" t="s">
        <v>41</v>
      </c>
      <c r="P819" s="28" t="s">
        <v>41</v>
      </c>
      <c r="Q819" s="28"/>
      <c r="R819" s="30"/>
      <c r="S819" s="30"/>
      <c r="T819" s="30"/>
      <c r="U819" s="30"/>
      <c r="V819" s="8">
        <f t="shared" si="709"/>
        <v>0</v>
      </c>
      <c r="W819" s="8">
        <f t="shared" si="710"/>
        <v>0</v>
      </c>
      <c r="X819" s="8">
        <f t="shared" si="711"/>
        <v>0</v>
      </c>
      <c r="Y819" s="33">
        <f t="shared" si="712"/>
        <v>0</v>
      </c>
      <c r="Z819" s="28"/>
      <c r="AA819" s="28"/>
      <c r="AB819" s="28">
        <v>0</v>
      </c>
      <c r="AC819" s="31"/>
      <c r="AD819" s="50">
        <f t="shared" si="713"/>
        <v>1</v>
      </c>
      <c r="AE819" s="31"/>
      <c r="AF819" s="51">
        <v>14</v>
      </c>
      <c r="AG819" s="51">
        <f t="shared" si="740"/>
        <v>8.4</v>
      </c>
      <c r="AH819" s="51">
        <f t="shared" si="707"/>
        <v>42</v>
      </c>
      <c r="AI819" s="52" t="s">
        <v>2497</v>
      </c>
      <c r="AJ819" s="52" t="s">
        <v>2498</v>
      </c>
      <c r="AK819" s="53">
        <f t="shared" si="741"/>
        <v>0</v>
      </c>
      <c r="AL819" s="54">
        <f t="shared" si="742"/>
        <v>0.11904761904761904</v>
      </c>
      <c r="AM819" s="54">
        <f t="shared" si="743"/>
        <v>2.3809523809523808E-2</v>
      </c>
      <c r="AN819" s="55">
        <f t="shared" si="744"/>
        <v>0</v>
      </c>
      <c r="AO819" s="55">
        <f t="shared" si="745"/>
        <v>0</v>
      </c>
      <c r="AP819" s="53">
        <v>7.1</v>
      </c>
      <c r="AQ819" s="53">
        <f t="shared" si="714"/>
        <v>4.26</v>
      </c>
      <c r="AR819" s="53">
        <f t="shared" si="715"/>
        <v>21.299999999999997</v>
      </c>
      <c r="AS819" s="56">
        <f t="shared" si="716"/>
        <v>4.6948356807511742E-2</v>
      </c>
      <c r="AT819" s="56">
        <f t="shared" si="746"/>
        <v>0.23474178403755869</v>
      </c>
      <c r="AU819" s="56">
        <f t="shared" si="717"/>
        <v>0.176056338028169</v>
      </c>
      <c r="AV819" s="56">
        <f t="shared" si="747"/>
        <v>5.8685446009389672E-2</v>
      </c>
      <c r="AW819" s="57"/>
      <c r="AX819" s="57"/>
      <c r="AY819" s="57"/>
      <c r="AZ819" s="58">
        <f t="shared" si="748"/>
        <v>0</v>
      </c>
      <c r="BA819" s="59">
        <f t="shared" si="759"/>
        <v>0</v>
      </c>
      <c r="BB819" s="59">
        <f t="shared" si="760"/>
        <v>0</v>
      </c>
      <c r="BC819" s="59">
        <f t="shared" si="761"/>
        <v>0</v>
      </c>
      <c r="BD819" s="60">
        <f t="shared" si="749"/>
        <v>0</v>
      </c>
      <c r="BE819" s="59">
        <f t="shared" si="750"/>
        <v>0</v>
      </c>
      <c r="BQ819" s="61">
        <v>3000</v>
      </c>
      <c r="BR819" s="61">
        <v>1200</v>
      </c>
      <c r="BS819" s="28">
        <f t="shared" si="718"/>
        <v>2980</v>
      </c>
      <c r="BT819" s="28">
        <f t="shared" si="719"/>
        <v>1180</v>
      </c>
      <c r="BU819" s="28" t="s">
        <v>2541</v>
      </c>
      <c r="BV819" s="28">
        <f t="shared" si="720"/>
        <v>5</v>
      </c>
      <c r="BW819" s="28">
        <f t="shared" si="721"/>
        <v>5</v>
      </c>
      <c r="BX819" s="13">
        <f t="shared" si="722"/>
        <v>596</v>
      </c>
      <c r="BY819" s="13">
        <f t="shared" si="723"/>
        <v>596</v>
      </c>
      <c r="BZ819" s="13">
        <f t="shared" si="724"/>
        <v>236</v>
      </c>
      <c r="CA819" s="13">
        <f t="shared" si="725"/>
        <v>236</v>
      </c>
      <c r="CB819" s="13">
        <f t="shared" si="726"/>
        <v>140656</v>
      </c>
      <c r="CC819" s="62" t="str">
        <f t="shared" si="727"/>
        <v/>
      </c>
      <c r="CD819" s="13">
        <f t="shared" si="728"/>
        <v>596</v>
      </c>
      <c r="CE819" s="13">
        <f t="shared" si="729"/>
        <v>596</v>
      </c>
      <c r="CF819" s="13">
        <f t="shared" si="730"/>
        <v>236</v>
      </c>
      <c r="CG819" s="13">
        <f t="shared" si="731"/>
        <v>236</v>
      </c>
      <c r="CH819" s="28">
        <f t="shared" si="732"/>
        <v>140656</v>
      </c>
      <c r="CI819" s="62" t="str">
        <f t="shared" si="733"/>
        <v/>
      </c>
      <c r="CJ819" s="59">
        <f t="shared" si="734"/>
        <v>0</v>
      </c>
      <c r="CL819" s="63">
        <v>6000</v>
      </c>
      <c r="CM819" s="63">
        <f t="shared" si="735"/>
        <v>0</v>
      </c>
      <c r="CN819" s="63">
        <f t="shared" si="736"/>
        <v>5</v>
      </c>
      <c r="CO819" s="63">
        <f t="shared" si="737"/>
        <v>1200</v>
      </c>
      <c r="CP819" s="13">
        <f t="shared" si="738"/>
        <v>1200</v>
      </c>
      <c r="CQ819" s="70">
        <f t="shared" si="739"/>
        <v>8.3333333333333339E-4</v>
      </c>
      <c r="CR819" s="69">
        <f t="shared" si="763"/>
        <v>8.3333333333333339E-4</v>
      </c>
    </row>
    <row r="820" spans="1:96" x14ac:dyDescent="0.25">
      <c r="A820" s="13">
        <v>4</v>
      </c>
      <c r="B820" s="14" t="s">
        <v>1919</v>
      </c>
      <c r="C820" s="13" t="s">
        <v>1920</v>
      </c>
      <c r="D820" s="13" t="s">
        <v>2270</v>
      </c>
      <c r="E820" s="13" t="s">
        <v>52</v>
      </c>
      <c r="F820" s="15">
        <f t="shared" si="708"/>
        <v>1</v>
      </c>
      <c r="G820" s="13">
        <v>1</v>
      </c>
      <c r="H820" s="13">
        <f>G820*$H$819</f>
        <v>1</v>
      </c>
      <c r="I820" s="13">
        <v>1</v>
      </c>
      <c r="J820" s="14" t="s">
        <v>459</v>
      </c>
      <c r="K820" s="14" t="s">
        <v>34</v>
      </c>
      <c r="L820" s="13" t="s">
        <v>110</v>
      </c>
      <c r="M820" s="14" t="s">
        <v>35</v>
      </c>
      <c r="N820" s="13" t="s">
        <v>1921</v>
      </c>
      <c r="O820" s="28" t="s">
        <v>41</v>
      </c>
      <c r="P820" s="28" t="s">
        <v>41</v>
      </c>
      <c r="Q820" s="28" t="s">
        <v>2585</v>
      </c>
      <c r="R820" s="30">
        <v>56.920999999999999</v>
      </c>
      <c r="S820" s="30">
        <v>18.832999999999998</v>
      </c>
      <c r="T820" s="30"/>
      <c r="U820" s="30">
        <v>0.06</v>
      </c>
      <c r="V820" s="8">
        <f t="shared" si="709"/>
        <v>1445.7933999999998</v>
      </c>
      <c r="W820" s="8">
        <f t="shared" si="710"/>
        <v>478.35819999999995</v>
      </c>
      <c r="X820" s="8">
        <f t="shared" si="711"/>
        <v>0</v>
      </c>
      <c r="Y820" s="33">
        <f t="shared" si="712"/>
        <v>1.5239999999999998</v>
      </c>
      <c r="Z820" s="28" t="s">
        <v>56</v>
      </c>
      <c r="AA820" s="28" t="s">
        <v>1765</v>
      </c>
      <c r="AB820" s="61" t="s">
        <v>2585</v>
      </c>
      <c r="AC820" s="31" t="s">
        <v>2586</v>
      </c>
      <c r="AD820" s="50">
        <f t="shared" si="713"/>
        <v>1</v>
      </c>
      <c r="AE820" s="31"/>
      <c r="AF820" s="51">
        <v>14</v>
      </c>
      <c r="AG820" s="51">
        <f t="shared" si="740"/>
        <v>8.4</v>
      </c>
      <c r="AH820" s="51">
        <f t="shared" si="707"/>
        <v>42</v>
      </c>
      <c r="AI820" s="52" t="s">
        <v>2497</v>
      </c>
      <c r="AJ820" s="52" t="s">
        <v>2498</v>
      </c>
      <c r="AK820" s="53">
        <f t="shared" si="741"/>
        <v>1.3832142567917598</v>
      </c>
      <c r="AL820" s="54">
        <f t="shared" si="742"/>
        <v>0.11904761904761904</v>
      </c>
      <c r="AM820" s="54">
        <f t="shared" si="743"/>
        <v>2.3809523809523808E-2</v>
      </c>
      <c r="AN820" s="55">
        <f t="shared" si="744"/>
        <v>0.16466836390378092</v>
      </c>
      <c r="AO820" s="55">
        <f t="shared" si="745"/>
        <v>3.2933672780756186E-2</v>
      </c>
      <c r="AP820" s="53">
        <v>7.1</v>
      </c>
      <c r="AQ820" s="53">
        <f t="shared" si="714"/>
        <v>4.26</v>
      </c>
      <c r="AR820" s="53">
        <f t="shared" si="715"/>
        <v>21.299999999999997</v>
      </c>
      <c r="AS820" s="56">
        <f t="shared" si="716"/>
        <v>4.6948356807511742E-2</v>
      </c>
      <c r="AT820" s="56">
        <f t="shared" si="746"/>
        <v>0.23474178403755869</v>
      </c>
      <c r="AU820" s="56">
        <f t="shared" si="717"/>
        <v>0.176056338028169</v>
      </c>
      <c r="AV820" s="56">
        <f t="shared" si="747"/>
        <v>5.8685446009389672E-2</v>
      </c>
      <c r="AW820" s="57"/>
      <c r="AX820" s="57"/>
      <c r="AY820" s="57"/>
      <c r="AZ820" s="58">
        <f t="shared" si="748"/>
        <v>1.3832142567917598</v>
      </c>
      <c r="BA820" s="59">
        <f t="shared" si="759"/>
        <v>0</v>
      </c>
      <c r="BB820" s="59">
        <f t="shared" si="760"/>
        <v>0</v>
      </c>
      <c r="BC820" s="59">
        <f t="shared" si="761"/>
        <v>0</v>
      </c>
      <c r="BD820" s="60">
        <f t="shared" si="749"/>
        <v>0.25</v>
      </c>
      <c r="BE820" s="59">
        <f t="shared" si="750"/>
        <v>0.25</v>
      </c>
      <c r="BQ820" s="61">
        <v>3000</v>
      </c>
      <c r="BR820" s="61">
        <v>1200</v>
      </c>
      <c r="BS820" s="28">
        <f t="shared" si="718"/>
        <v>2980</v>
      </c>
      <c r="BT820" s="28">
        <f t="shared" si="719"/>
        <v>1180</v>
      </c>
      <c r="BU820" s="28" t="s">
        <v>2541</v>
      </c>
      <c r="BV820" s="28">
        <f t="shared" si="720"/>
        <v>1450.7933999999998</v>
      </c>
      <c r="BW820" s="28">
        <f t="shared" si="721"/>
        <v>483.35819999999995</v>
      </c>
      <c r="BX820" s="13">
        <f t="shared" si="722"/>
        <v>2.0540484951199809</v>
      </c>
      <c r="BY820" s="13">
        <f t="shared" si="723"/>
        <v>2</v>
      </c>
      <c r="BZ820" s="13">
        <f t="shared" si="724"/>
        <v>2.441253712050401</v>
      </c>
      <c r="CA820" s="13">
        <f t="shared" si="725"/>
        <v>2</v>
      </c>
      <c r="CB820" s="13">
        <f t="shared" si="726"/>
        <v>4</v>
      </c>
      <c r="CC820" s="62">
        <f t="shared" si="727"/>
        <v>0.25</v>
      </c>
      <c r="CD820" s="13">
        <f t="shared" si="728"/>
        <v>6.1652000524662665</v>
      </c>
      <c r="CE820" s="13">
        <f t="shared" si="729"/>
        <v>6</v>
      </c>
      <c r="CF820" s="13">
        <f t="shared" si="730"/>
        <v>0.8133480618260327</v>
      </c>
      <c r="CG820" s="13">
        <f t="shared" si="731"/>
        <v>0</v>
      </c>
      <c r="CH820" s="28">
        <f t="shared" si="732"/>
        <v>0</v>
      </c>
      <c r="CI820" s="62">
        <f t="shared" si="733"/>
        <v>1</v>
      </c>
      <c r="CJ820" s="59">
        <f t="shared" si="734"/>
        <v>0.25</v>
      </c>
      <c r="CL820" s="63">
        <v>6000</v>
      </c>
      <c r="CM820" s="63">
        <f t="shared" si="735"/>
        <v>1445.7933999999998</v>
      </c>
      <c r="CN820" s="63">
        <f t="shared" si="736"/>
        <v>1450.7933999999998</v>
      </c>
      <c r="CO820" s="63">
        <f t="shared" si="737"/>
        <v>4.135668110979827</v>
      </c>
      <c r="CP820" s="13">
        <f t="shared" si="738"/>
        <v>4</v>
      </c>
      <c r="CQ820" s="70">
        <f t="shared" si="739"/>
        <v>0.25</v>
      </c>
      <c r="CR820" s="69">
        <f t="shared" si="763"/>
        <v>0.25</v>
      </c>
    </row>
    <row r="821" spans="1:96" x14ac:dyDescent="0.25">
      <c r="A821" s="13">
        <v>4</v>
      </c>
      <c r="B821" s="14" t="s">
        <v>1919</v>
      </c>
      <c r="C821" s="13" t="s">
        <v>1883</v>
      </c>
      <c r="D821" s="13" t="s">
        <v>2270</v>
      </c>
      <c r="E821" s="13" t="s">
        <v>52</v>
      </c>
      <c r="F821" s="15">
        <f t="shared" si="708"/>
        <v>6</v>
      </c>
      <c r="G821" s="13">
        <v>2</v>
      </c>
      <c r="H821" s="13">
        <f t="shared" ref="H821:H822" si="766">G821*$H$819</f>
        <v>2</v>
      </c>
      <c r="I821" s="13">
        <v>2</v>
      </c>
      <c r="J821" s="14" t="s">
        <v>119</v>
      </c>
      <c r="K821" s="14" t="s">
        <v>34</v>
      </c>
      <c r="L821" s="13" t="s">
        <v>110</v>
      </c>
      <c r="M821" s="14" t="s">
        <v>35</v>
      </c>
      <c r="N821" s="13" t="s">
        <v>1884</v>
      </c>
      <c r="O821" s="28" t="s">
        <v>41</v>
      </c>
      <c r="P821" s="28" t="s">
        <v>41</v>
      </c>
      <c r="Q821" s="28" t="s">
        <v>2585</v>
      </c>
      <c r="R821" s="30">
        <v>16</v>
      </c>
      <c r="S821" s="30">
        <v>1.292</v>
      </c>
      <c r="T821" s="30"/>
      <c r="U821" s="30">
        <v>0.06</v>
      </c>
      <c r="V821" s="8">
        <f t="shared" si="709"/>
        <v>406.4</v>
      </c>
      <c r="W821" s="8">
        <f t="shared" si="710"/>
        <v>32.816800000000001</v>
      </c>
      <c r="X821" s="8">
        <f t="shared" si="711"/>
        <v>0</v>
      </c>
      <c r="Y821" s="33">
        <f t="shared" si="712"/>
        <v>1.5239999999999998</v>
      </c>
      <c r="Z821" s="28" t="s">
        <v>56</v>
      </c>
      <c r="AA821" s="28" t="s">
        <v>1765</v>
      </c>
      <c r="AB821" s="61" t="s">
        <v>2585</v>
      </c>
      <c r="AC821" s="31" t="s">
        <v>2586</v>
      </c>
      <c r="AD821" s="50">
        <f t="shared" si="713"/>
        <v>2</v>
      </c>
      <c r="AE821" s="31"/>
      <c r="AF821" s="51">
        <v>14</v>
      </c>
      <c r="AG821" s="51">
        <f t="shared" si="740"/>
        <v>8.4</v>
      </c>
      <c r="AH821" s="51">
        <f t="shared" si="707"/>
        <v>42</v>
      </c>
      <c r="AI821" s="52" t="s">
        <v>2497</v>
      </c>
      <c r="AJ821" s="52" t="s">
        <v>2498</v>
      </c>
      <c r="AK821" s="53">
        <f t="shared" si="741"/>
        <v>2.6673495039999998E-2</v>
      </c>
      <c r="AL821" s="54">
        <f t="shared" si="742"/>
        <v>0.11904761904761904</v>
      </c>
      <c r="AM821" s="54">
        <f t="shared" si="743"/>
        <v>2.3809523809523808E-2</v>
      </c>
      <c r="AN821" s="55">
        <f t="shared" si="744"/>
        <v>6.3508321523809514E-3</v>
      </c>
      <c r="AO821" s="55">
        <f t="shared" si="745"/>
        <v>1.2701664304761904E-3</v>
      </c>
      <c r="AP821" s="53">
        <v>7.1</v>
      </c>
      <c r="AQ821" s="53">
        <f t="shared" si="714"/>
        <v>4.26</v>
      </c>
      <c r="AR821" s="53">
        <f t="shared" si="715"/>
        <v>21.299999999999997</v>
      </c>
      <c r="AS821" s="56">
        <f t="shared" si="716"/>
        <v>4.6948356807511742E-2</v>
      </c>
      <c r="AT821" s="56">
        <f t="shared" si="746"/>
        <v>0.23474178403755869</v>
      </c>
      <c r="AU821" s="56">
        <f t="shared" si="717"/>
        <v>0.176056338028169</v>
      </c>
      <c r="AV821" s="56">
        <f t="shared" si="747"/>
        <v>5.8685446009389672E-2</v>
      </c>
      <c r="AW821" s="57"/>
      <c r="AX821" s="57"/>
      <c r="AY821" s="57"/>
      <c r="AZ821" s="58">
        <f t="shared" si="748"/>
        <v>2.6673495039999998E-2</v>
      </c>
      <c r="BA821" s="59">
        <f t="shared" si="759"/>
        <v>0</v>
      </c>
      <c r="BB821" s="59">
        <f t="shared" si="760"/>
        <v>0</v>
      </c>
      <c r="BC821" s="59">
        <f t="shared" si="761"/>
        <v>0</v>
      </c>
      <c r="BD821" s="60">
        <f t="shared" si="749"/>
        <v>4.608294930875576E-3</v>
      </c>
      <c r="BE821" s="59">
        <f t="shared" si="750"/>
        <v>9.2165898617511521E-3</v>
      </c>
      <c r="BQ821" s="61">
        <v>3000</v>
      </c>
      <c r="BR821" s="61">
        <v>1200</v>
      </c>
      <c r="BS821" s="28">
        <f t="shared" si="718"/>
        <v>2980</v>
      </c>
      <c r="BT821" s="28">
        <f t="shared" si="719"/>
        <v>1180</v>
      </c>
      <c r="BU821" s="28" t="s">
        <v>2541</v>
      </c>
      <c r="BV821" s="28">
        <f t="shared" si="720"/>
        <v>411.4</v>
      </c>
      <c r="BW821" s="28">
        <f t="shared" si="721"/>
        <v>37.816800000000001</v>
      </c>
      <c r="BX821" s="13">
        <f t="shared" si="722"/>
        <v>7.2435585804569769</v>
      </c>
      <c r="BY821" s="13">
        <f t="shared" si="723"/>
        <v>7</v>
      </c>
      <c r="BZ821" s="13">
        <f t="shared" si="724"/>
        <v>31.203063188847285</v>
      </c>
      <c r="CA821" s="13">
        <f t="shared" si="725"/>
        <v>31</v>
      </c>
      <c r="CB821" s="13">
        <f t="shared" si="726"/>
        <v>217</v>
      </c>
      <c r="CC821" s="62">
        <f t="shared" si="727"/>
        <v>4.608294930875576E-3</v>
      </c>
      <c r="CD821" s="13">
        <f t="shared" si="728"/>
        <v>78.800956188783815</v>
      </c>
      <c r="CE821" s="13">
        <f t="shared" si="729"/>
        <v>78</v>
      </c>
      <c r="CF821" s="13">
        <f t="shared" si="730"/>
        <v>2.8682547399124942</v>
      </c>
      <c r="CG821" s="13">
        <f t="shared" si="731"/>
        <v>2</v>
      </c>
      <c r="CH821" s="28">
        <f t="shared" si="732"/>
        <v>156</v>
      </c>
      <c r="CI821" s="62">
        <f t="shared" si="733"/>
        <v>6.41025641025641E-3</v>
      </c>
      <c r="CJ821" s="59">
        <f t="shared" si="734"/>
        <v>4.608294930875576E-3</v>
      </c>
      <c r="CL821" s="63">
        <v>6000</v>
      </c>
      <c r="CM821" s="63">
        <f t="shared" si="735"/>
        <v>406.4</v>
      </c>
      <c r="CN821" s="63">
        <f t="shared" si="736"/>
        <v>411.4</v>
      </c>
      <c r="CO821" s="63">
        <f t="shared" si="737"/>
        <v>14.584346135148275</v>
      </c>
      <c r="CP821" s="13">
        <f t="shared" si="738"/>
        <v>14</v>
      </c>
      <c r="CQ821" s="70">
        <f t="shared" si="739"/>
        <v>7.1428571428571425E-2</v>
      </c>
      <c r="CR821" s="69">
        <f t="shared" si="763"/>
        <v>0.14285714285714285</v>
      </c>
    </row>
    <row r="822" spans="1:96" hidden="1" x14ac:dyDescent="0.25">
      <c r="A822" s="13">
        <v>4</v>
      </c>
      <c r="B822" s="14" t="s">
        <v>1919</v>
      </c>
      <c r="C822" s="13" t="s">
        <v>530</v>
      </c>
      <c r="D822" s="13" t="s">
        <v>532</v>
      </c>
      <c r="E822" s="13" t="s">
        <v>32</v>
      </c>
      <c r="F822" s="15">
        <f t="shared" si="708"/>
        <v>21</v>
      </c>
      <c r="G822" s="13">
        <v>1</v>
      </c>
      <c r="H822" s="13">
        <f t="shared" si="766"/>
        <v>1</v>
      </c>
      <c r="I822" s="13">
        <v>3</v>
      </c>
      <c r="J822" s="14" t="s">
        <v>531</v>
      </c>
      <c r="K822" s="14" t="s">
        <v>34</v>
      </c>
      <c r="L822" s="13" t="s">
        <v>110</v>
      </c>
      <c r="M822" s="14" t="s">
        <v>35</v>
      </c>
      <c r="N822" s="13" t="s">
        <v>532</v>
      </c>
      <c r="O822" s="28" t="s">
        <v>41</v>
      </c>
      <c r="P822" s="28" t="s">
        <v>41</v>
      </c>
      <c r="Q822" s="28"/>
      <c r="R822" s="30"/>
      <c r="S822" s="30"/>
      <c r="T822" s="30"/>
      <c r="U822" s="30"/>
      <c r="V822" s="8">
        <f t="shared" si="709"/>
        <v>0</v>
      </c>
      <c r="W822" s="8">
        <f t="shared" si="710"/>
        <v>0</v>
      </c>
      <c r="X822" s="8">
        <f t="shared" si="711"/>
        <v>0</v>
      </c>
      <c r="Y822" s="33">
        <f t="shared" si="712"/>
        <v>0</v>
      </c>
      <c r="Z822" s="28" t="s">
        <v>2477</v>
      </c>
      <c r="AA822" s="28" t="s">
        <v>2477</v>
      </c>
      <c r="AB822" s="28">
        <v>0</v>
      </c>
      <c r="AC822" s="31" t="s">
        <v>2477</v>
      </c>
      <c r="AD822" s="50">
        <f t="shared" si="713"/>
        <v>1</v>
      </c>
      <c r="AE822" s="31"/>
      <c r="AF822" s="51">
        <v>14</v>
      </c>
      <c r="AG822" s="51">
        <f t="shared" si="740"/>
        <v>8.4</v>
      </c>
      <c r="AH822" s="51">
        <f t="shared" si="707"/>
        <v>42</v>
      </c>
      <c r="AI822" s="52" t="s">
        <v>2497</v>
      </c>
      <c r="AJ822" s="52" t="s">
        <v>2498</v>
      </c>
      <c r="AK822" s="53">
        <f t="shared" si="741"/>
        <v>0</v>
      </c>
      <c r="AL822" s="54">
        <f t="shared" si="742"/>
        <v>0.11904761904761904</v>
      </c>
      <c r="AM822" s="54">
        <f t="shared" si="743"/>
        <v>2.3809523809523808E-2</v>
      </c>
      <c r="AN822" s="55">
        <f t="shared" si="744"/>
        <v>0</v>
      </c>
      <c r="AO822" s="55">
        <f t="shared" si="745"/>
        <v>0</v>
      </c>
      <c r="AP822" s="53">
        <v>7.1</v>
      </c>
      <c r="AQ822" s="53">
        <f t="shared" si="714"/>
        <v>4.26</v>
      </c>
      <c r="AR822" s="53">
        <f t="shared" si="715"/>
        <v>21.299999999999997</v>
      </c>
      <c r="AS822" s="56">
        <f t="shared" si="716"/>
        <v>4.6948356807511742E-2</v>
      </c>
      <c r="AT822" s="56">
        <f t="shared" si="746"/>
        <v>0.23474178403755869</v>
      </c>
      <c r="AU822" s="56">
        <f t="shared" si="717"/>
        <v>0.176056338028169</v>
      </c>
      <c r="AV822" s="56">
        <f t="shared" si="747"/>
        <v>5.8685446009389672E-2</v>
      </c>
      <c r="AW822" s="57"/>
      <c r="AX822" s="57"/>
      <c r="AY822" s="57"/>
      <c r="AZ822" s="58">
        <f t="shared" si="748"/>
        <v>0</v>
      </c>
      <c r="BA822" s="59">
        <f t="shared" si="759"/>
        <v>0</v>
      </c>
      <c r="BB822" s="59">
        <f t="shared" si="760"/>
        <v>0</v>
      </c>
      <c r="BC822" s="59">
        <f t="shared" si="761"/>
        <v>0</v>
      </c>
      <c r="BD822" s="60">
        <f t="shared" si="749"/>
        <v>0</v>
      </c>
      <c r="BE822" s="59">
        <f t="shared" si="750"/>
        <v>0</v>
      </c>
      <c r="BQ822" s="61">
        <v>3000</v>
      </c>
      <c r="BR822" s="61">
        <v>1200</v>
      </c>
      <c r="BS822" s="28">
        <f t="shared" si="718"/>
        <v>2980</v>
      </c>
      <c r="BT822" s="28">
        <f t="shared" si="719"/>
        <v>1180</v>
      </c>
      <c r="BU822" s="28" t="s">
        <v>2541</v>
      </c>
      <c r="BV822" s="28">
        <f t="shared" si="720"/>
        <v>5</v>
      </c>
      <c r="BW822" s="28">
        <f t="shared" si="721"/>
        <v>5</v>
      </c>
      <c r="BX822" s="13">
        <f t="shared" si="722"/>
        <v>596</v>
      </c>
      <c r="BY822" s="13">
        <f t="shared" si="723"/>
        <v>596</v>
      </c>
      <c r="BZ822" s="13">
        <f t="shared" si="724"/>
        <v>236</v>
      </c>
      <c r="CA822" s="13">
        <f t="shared" si="725"/>
        <v>236</v>
      </c>
      <c r="CB822" s="13">
        <f t="shared" si="726"/>
        <v>140656</v>
      </c>
      <c r="CC822" s="62" t="str">
        <f t="shared" si="727"/>
        <v/>
      </c>
      <c r="CD822" s="13">
        <f t="shared" si="728"/>
        <v>596</v>
      </c>
      <c r="CE822" s="13">
        <f t="shared" si="729"/>
        <v>596</v>
      </c>
      <c r="CF822" s="13">
        <f t="shared" si="730"/>
        <v>236</v>
      </c>
      <c r="CG822" s="13">
        <f t="shared" si="731"/>
        <v>236</v>
      </c>
      <c r="CH822" s="28">
        <f t="shared" si="732"/>
        <v>140656</v>
      </c>
      <c r="CI822" s="62" t="str">
        <f t="shared" si="733"/>
        <v/>
      </c>
      <c r="CJ822" s="59">
        <f t="shared" si="734"/>
        <v>0</v>
      </c>
      <c r="CL822" s="63">
        <v>6000</v>
      </c>
      <c r="CM822" s="63">
        <f t="shared" si="735"/>
        <v>0</v>
      </c>
      <c r="CN822" s="63">
        <f t="shared" si="736"/>
        <v>5</v>
      </c>
      <c r="CO822" s="63">
        <f t="shared" si="737"/>
        <v>1200</v>
      </c>
      <c r="CP822" s="13">
        <f t="shared" si="738"/>
        <v>1200</v>
      </c>
      <c r="CQ822" s="70">
        <f t="shared" si="739"/>
        <v>8.3333333333333339E-4</v>
      </c>
      <c r="CR822" s="69">
        <f t="shared" si="763"/>
        <v>8.3333333333333339E-4</v>
      </c>
    </row>
    <row r="823" spans="1:96" hidden="1" x14ac:dyDescent="0.25">
      <c r="A823" s="17">
        <v>5</v>
      </c>
      <c r="B823" s="6" t="s">
        <v>769</v>
      </c>
      <c r="C823" s="17" t="s">
        <v>534</v>
      </c>
      <c r="D823" s="17" t="s">
        <v>2270</v>
      </c>
      <c r="E823" s="17" t="s">
        <v>52</v>
      </c>
      <c r="F823" s="7">
        <f t="shared" si="708"/>
        <v>21</v>
      </c>
      <c r="G823" s="17">
        <v>1</v>
      </c>
      <c r="H823" s="17">
        <f>G823*$H$822</f>
        <v>1</v>
      </c>
      <c r="I823" s="17">
        <v>1</v>
      </c>
      <c r="J823" s="6" t="s">
        <v>101</v>
      </c>
      <c r="K823" s="6" t="s">
        <v>34</v>
      </c>
      <c r="L823" s="17" t="s">
        <v>110</v>
      </c>
      <c r="M823" s="6" t="s">
        <v>35</v>
      </c>
      <c r="N823" s="17" t="s">
        <v>535</v>
      </c>
      <c r="O823" s="28" t="s">
        <v>41</v>
      </c>
      <c r="P823" s="28" t="s">
        <v>41</v>
      </c>
      <c r="Q823" s="28" t="s">
        <v>535</v>
      </c>
      <c r="R823" s="30">
        <v>0.98</v>
      </c>
      <c r="S823" s="30">
        <v>0.98</v>
      </c>
      <c r="T823" s="30"/>
      <c r="U823" s="30">
        <v>0.11811023622047245</v>
      </c>
      <c r="V823" s="8">
        <f t="shared" si="709"/>
        <v>24.891999999999999</v>
      </c>
      <c r="W823" s="8">
        <f t="shared" si="710"/>
        <v>24.891999999999999</v>
      </c>
      <c r="X823" s="8">
        <f t="shared" si="711"/>
        <v>0</v>
      </c>
      <c r="Y823" s="33">
        <f t="shared" si="712"/>
        <v>3</v>
      </c>
      <c r="Z823" s="28" t="s">
        <v>536</v>
      </c>
      <c r="AA823" s="28" t="s">
        <v>537</v>
      </c>
      <c r="AB823" s="61" t="s">
        <v>535</v>
      </c>
      <c r="AC823" s="31" t="s">
        <v>538</v>
      </c>
      <c r="AD823" s="50">
        <f t="shared" si="713"/>
        <v>1</v>
      </c>
      <c r="AE823" s="31"/>
      <c r="AF823" s="51">
        <v>14</v>
      </c>
      <c r="AG823" s="51">
        <f t="shared" si="740"/>
        <v>8.4</v>
      </c>
      <c r="AH823" s="51">
        <f t="shared" si="707"/>
        <v>42</v>
      </c>
      <c r="AI823" s="52" t="s">
        <v>2497</v>
      </c>
      <c r="AJ823" s="52" t="s">
        <v>2498</v>
      </c>
      <c r="AK823" s="53">
        <f t="shared" si="741"/>
        <v>1.239223328E-3</v>
      </c>
      <c r="AL823" s="54">
        <f t="shared" si="742"/>
        <v>0.11904761904761904</v>
      </c>
      <c r="AM823" s="54">
        <f t="shared" si="743"/>
        <v>2.3809523809523808E-2</v>
      </c>
      <c r="AN823" s="55">
        <f t="shared" si="744"/>
        <v>1.4752658666666667E-4</v>
      </c>
      <c r="AO823" s="55">
        <f t="shared" si="745"/>
        <v>2.9505317333333333E-5</v>
      </c>
      <c r="AP823" s="53">
        <v>7.1</v>
      </c>
      <c r="AQ823" s="53">
        <f t="shared" si="714"/>
        <v>4.26</v>
      </c>
      <c r="AR823" s="53">
        <f t="shared" si="715"/>
        <v>21.299999999999997</v>
      </c>
      <c r="AS823" s="56">
        <f t="shared" si="716"/>
        <v>4.6948356807511742E-2</v>
      </c>
      <c r="AT823" s="56">
        <f t="shared" si="746"/>
        <v>0.23474178403755869</v>
      </c>
      <c r="AU823" s="56">
        <f t="shared" si="717"/>
        <v>0.176056338028169</v>
      </c>
      <c r="AV823" s="56">
        <f t="shared" si="747"/>
        <v>5.8685446009389672E-2</v>
      </c>
      <c r="AW823" s="57"/>
      <c r="AX823" s="57"/>
      <c r="AY823" s="57"/>
      <c r="AZ823" s="58">
        <f t="shared" si="748"/>
        <v>1.239223328E-3</v>
      </c>
      <c r="BA823" s="59">
        <f t="shared" si="759"/>
        <v>0</v>
      </c>
      <c r="BB823" s="59">
        <f t="shared" si="760"/>
        <v>0</v>
      </c>
      <c r="BC823" s="59">
        <f t="shared" si="761"/>
        <v>0</v>
      </c>
      <c r="BD823" s="60">
        <f t="shared" si="749"/>
        <v>2.5900025900025902E-4</v>
      </c>
      <c r="BE823" s="59">
        <f t="shared" si="750"/>
        <v>2.5900025900025902E-4</v>
      </c>
      <c r="BQ823" s="61">
        <v>3000</v>
      </c>
      <c r="BR823" s="61">
        <v>1200</v>
      </c>
      <c r="BS823" s="28">
        <f t="shared" si="718"/>
        <v>2980</v>
      </c>
      <c r="BT823" s="28">
        <f t="shared" si="719"/>
        <v>1180</v>
      </c>
      <c r="BU823" s="28" t="s">
        <v>2541</v>
      </c>
      <c r="BV823" s="28">
        <f t="shared" si="720"/>
        <v>29.891999999999999</v>
      </c>
      <c r="BW823" s="28">
        <f t="shared" si="721"/>
        <v>29.891999999999999</v>
      </c>
      <c r="BX823" s="13">
        <f t="shared" si="722"/>
        <v>99.692225344573799</v>
      </c>
      <c r="BY823" s="13">
        <f t="shared" si="723"/>
        <v>99</v>
      </c>
      <c r="BZ823" s="13">
        <f t="shared" si="724"/>
        <v>39.475444935099695</v>
      </c>
      <c r="CA823" s="13">
        <f t="shared" si="725"/>
        <v>39</v>
      </c>
      <c r="CB823" s="13">
        <f t="shared" si="726"/>
        <v>3861</v>
      </c>
      <c r="CC823" s="62">
        <f t="shared" si="727"/>
        <v>2.5900025900025902E-4</v>
      </c>
      <c r="CD823" s="13">
        <f t="shared" si="728"/>
        <v>99.692225344573799</v>
      </c>
      <c r="CE823" s="13">
        <f t="shared" si="729"/>
        <v>99</v>
      </c>
      <c r="CF823" s="13">
        <f t="shared" si="730"/>
        <v>39.475444935099695</v>
      </c>
      <c r="CG823" s="13">
        <f t="shared" si="731"/>
        <v>39</v>
      </c>
      <c r="CH823" s="28">
        <f t="shared" si="732"/>
        <v>3861</v>
      </c>
      <c r="CI823" s="62">
        <f t="shared" si="733"/>
        <v>2.5900025900025902E-4</v>
      </c>
      <c r="CJ823" s="59">
        <f t="shared" si="734"/>
        <v>2.5900025900025902E-4</v>
      </c>
      <c r="CL823" s="63">
        <v>6000</v>
      </c>
      <c r="CM823" s="63">
        <f t="shared" si="735"/>
        <v>24.891999999999999</v>
      </c>
      <c r="CN823" s="63">
        <f t="shared" si="736"/>
        <v>29.891999999999999</v>
      </c>
      <c r="CO823" s="63">
        <f t="shared" si="737"/>
        <v>200.72260136491369</v>
      </c>
      <c r="CP823" s="13">
        <f t="shared" si="738"/>
        <v>200</v>
      </c>
      <c r="CQ823" s="70">
        <f t="shared" si="739"/>
        <v>5.0000000000000001E-3</v>
      </c>
      <c r="CR823" s="69">
        <f t="shared" si="763"/>
        <v>5.0000000000000001E-3</v>
      </c>
    </row>
    <row r="824" spans="1:96" hidden="1" x14ac:dyDescent="0.25">
      <c r="A824" s="17">
        <v>5</v>
      </c>
      <c r="B824" s="6" t="s">
        <v>769</v>
      </c>
      <c r="C824" s="17" t="s">
        <v>539</v>
      </c>
      <c r="D824" s="17" t="s">
        <v>2270</v>
      </c>
      <c r="E824" s="17" t="s">
        <v>52</v>
      </c>
      <c r="F824" s="7">
        <f t="shared" si="708"/>
        <v>21</v>
      </c>
      <c r="G824" s="17">
        <v>1</v>
      </c>
      <c r="H824" s="17">
        <f>G824*$H$822</f>
        <v>1</v>
      </c>
      <c r="I824" s="17">
        <v>2</v>
      </c>
      <c r="J824" s="6" t="s">
        <v>101</v>
      </c>
      <c r="K824" s="6" t="s">
        <v>34</v>
      </c>
      <c r="L824" s="17" t="s">
        <v>110</v>
      </c>
      <c r="M824" s="6" t="s">
        <v>35</v>
      </c>
      <c r="N824" s="17" t="s">
        <v>540</v>
      </c>
      <c r="O824" s="28" t="s">
        <v>41</v>
      </c>
      <c r="P824" s="28" t="s">
        <v>41</v>
      </c>
      <c r="Q824" s="28" t="s">
        <v>540</v>
      </c>
      <c r="R824" s="30">
        <v>0.98</v>
      </c>
      <c r="S824" s="30">
        <v>0.98</v>
      </c>
      <c r="T824" s="30"/>
      <c r="U824" s="30">
        <v>0.47244094488188981</v>
      </c>
      <c r="V824" s="8">
        <f t="shared" si="709"/>
        <v>24.891999999999999</v>
      </c>
      <c r="W824" s="8">
        <f t="shared" si="710"/>
        <v>24.891999999999999</v>
      </c>
      <c r="X824" s="8">
        <f t="shared" si="711"/>
        <v>0</v>
      </c>
      <c r="Y824" s="33">
        <f t="shared" si="712"/>
        <v>12</v>
      </c>
      <c r="Z824" s="28" t="s">
        <v>731</v>
      </c>
      <c r="AA824" s="28" t="s">
        <v>251</v>
      </c>
      <c r="AB824" s="61" t="s">
        <v>540</v>
      </c>
      <c r="AC824" s="31" t="s">
        <v>541</v>
      </c>
      <c r="AD824" s="50">
        <f t="shared" si="713"/>
        <v>1</v>
      </c>
      <c r="AE824" s="31"/>
      <c r="AF824" s="51">
        <v>14</v>
      </c>
      <c r="AG824" s="51">
        <f t="shared" si="740"/>
        <v>8.4</v>
      </c>
      <c r="AH824" s="51">
        <f t="shared" si="707"/>
        <v>42</v>
      </c>
      <c r="AI824" s="52" t="s">
        <v>2497</v>
      </c>
      <c r="AJ824" s="52" t="s">
        <v>2498</v>
      </c>
      <c r="AK824" s="53">
        <f t="shared" si="741"/>
        <v>1.239223328E-3</v>
      </c>
      <c r="AL824" s="54">
        <f t="shared" si="742"/>
        <v>0.11904761904761904</v>
      </c>
      <c r="AM824" s="54">
        <f t="shared" si="743"/>
        <v>2.3809523809523808E-2</v>
      </c>
      <c r="AN824" s="55">
        <f t="shared" si="744"/>
        <v>1.4752658666666667E-4</v>
      </c>
      <c r="AO824" s="55">
        <f t="shared" si="745"/>
        <v>2.9505317333333333E-5</v>
      </c>
      <c r="AP824" s="53">
        <v>7.1</v>
      </c>
      <c r="AQ824" s="53">
        <f t="shared" si="714"/>
        <v>4.26</v>
      </c>
      <c r="AR824" s="53">
        <f t="shared" si="715"/>
        <v>21.299999999999997</v>
      </c>
      <c r="AS824" s="56">
        <f t="shared" si="716"/>
        <v>4.6948356807511742E-2</v>
      </c>
      <c r="AT824" s="56">
        <f t="shared" si="746"/>
        <v>0.23474178403755869</v>
      </c>
      <c r="AU824" s="56">
        <f t="shared" si="717"/>
        <v>0.176056338028169</v>
      </c>
      <c r="AV824" s="56">
        <f t="shared" si="747"/>
        <v>5.8685446009389672E-2</v>
      </c>
      <c r="AW824" s="57"/>
      <c r="AX824" s="57"/>
      <c r="AY824" s="57"/>
      <c r="AZ824" s="58">
        <f t="shared" si="748"/>
        <v>1.239223328E-3</v>
      </c>
      <c r="BA824" s="59">
        <f t="shared" si="759"/>
        <v>0</v>
      </c>
      <c r="BB824" s="59">
        <f t="shared" si="760"/>
        <v>0</v>
      </c>
      <c r="BC824" s="59">
        <f t="shared" si="761"/>
        <v>0</v>
      </c>
      <c r="BD824" s="60">
        <f t="shared" si="749"/>
        <v>2.5900025900025902E-4</v>
      </c>
      <c r="BE824" s="59">
        <f t="shared" si="750"/>
        <v>2.5900025900025902E-4</v>
      </c>
      <c r="BQ824" s="61">
        <v>3000</v>
      </c>
      <c r="BR824" s="61">
        <v>1200</v>
      </c>
      <c r="BS824" s="28">
        <f t="shared" si="718"/>
        <v>2980</v>
      </c>
      <c r="BT824" s="28">
        <f t="shared" si="719"/>
        <v>1180</v>
      </c>
      <c r="BU824" s="28" t="s">
        <v>2541</v>
      </c>
      <c r="BV824" s="28">
        <f t="shared" si="720"/>
        <v>29.891999999999999</v>
      </c>
      <c r="BW824" s="28">
        <f t="shared" si="721"/>
        <v>29.891999999999999</v>
      </c>
      <c r="BX824" s="13">
        <f t="shared" si="722"/>
        <v>99.692225344573799</v>
      </c>
      <c r="BY824" s="13">
        <f t="shared" si="723"/>
        <v>99</v>
      </c>
      <c r="BZ824" s="13">
        <f t="shared" si="724"/>
        <v>39.475444935099695</v>
      </c>
      <c r="CA824" s="13">
        <f t="shared" si="725"/>
        <v>39</v>
      </c>
      <c r="CB824" s="13">
        <f t="shared" si="726"/>
        <v>3861</v>
      </c>
      <c r="CC824" s="62">
        <f t="shared" si="727"/>
        <v>2.5900025900025902E-4</v>
      </c>
      <c r="CD824" s="13">
        <f t="shared" si="728"/>
        <v>99.692225344573799</v>
      </c>
      <c r="CE824" s="13">
        <f t="shared" si="729"/>
        <v>99</v>
      </c>
      <c r="CF824" s="13">
        <f t="shared" si="730"/>
        <v>39.475444935099695</v>
      </c>
      <c r="CG824" s="13">
        <f t="shared" si="731"/>
        <v>39</v>
      </c>
      <c r="CH824" s="28">
        <f t="shared" si="732"/>
        <v>3861</v>
      </c>
      <c r="CI824" s="62">
        <f t="shared" si="733"/>
        <v>2.5900025900025902E-4</v>
      </c>
      <c r="CJ824" s="59">
        <f t="shared" si="734"/>
        <v>2.5900025900025902E-4</v>
      </c>
      <c r="CL824" s="63">
        <v>6000</v>
      </c>
      <c r="CM824" s="63">
        <f t="shared" si="735"/>
        <v>24.891999999999999</v>
      </c>
      <c r="CN824" s="63">
        <f t="shared" si="736"/>
        <v>29.891999999999999</v>
      </c>
      <c r="CO824" s="63">
        <f t="shared" si="737"/>
        <v>200.72260136491369</v>
      </c>
      <c r="CP824" s="13">
        <f t="shared" si="738"/>
        <v>200</v>
      </c>
      <c r="CQ824" s="70">
        <f t="shared" si="739"/>
        <v>5.0000000000000001E-3</v>
      </c>
      <c r="CR824" s="69">
        <f t="shared" si="763"/>
        <v>5.0000000000000001E-3</v>
      </c>
    </row>
    <row r="825" spans="1:96" hidden="1" x14ac:dyDescent="0.25">
      <c r="A825" s="13">
        <v>4</v>
      </c>
      <c r="B825" s="14" t="s">
        <v>1919</v>
      </c>
      <c r="C825" s="13" t="s">
        <v>825</v>
      </c>
      <c r="D825" s="13" t="s">
        <v>826</v>
      </c>
      <c r="E825" s="13" t="s">
        <v>52</v>
      </c>
      <c r="F825" s="15">
        <f t="shared" si="708"/>
        <v>9</v>
      </c>
      <c r="G825" s="13">
        <v>1</v>
      </c>
      <c r="H825" s="13">
        <f>G825*$H$819</f>
        <v>1</v>
      </c>
      <c r="I825" s="13">
        <v>4</v>
      </c>
      <c r="J825" s="14" t="s">
        <v>76</v>
      </c>
      <c r="K825" s="14" t="s">
        <v>34</v>
      </c>
      <c r="L825" s="13" t="s">
        <v>77</v>
      </c>
      <c r="M825" s="14" t="s">
        <v>35</v>
      </c>
      <c r="N825" s="13" t="s">
        <v>826</v>
      </c>
      <c r="O825" s="28" t="s">
        <v>41</v>
      </c>
      <c r="P825" s="28" t="s">
        <v>41</v>
      </c>
      <c r="Q825" s="28" t="s">
        <v>79</v>
      </c>
      <c r="R825" s="30">
        <v>8.0709999999999997</v>
      </c>
      <c r="S825" s="30">
        <v>0.3125</v>
      </c>
      <c r="T825" s="30"/>
      <c r="U825" s="30">
        <v>0.3125</v>
      </c>
      <c r="V825" s="8">
        <f t="shared" si="709"/>
        <v>205.00339999999997</v>
      </c>
      <c r="W825" s="8">
        <f t="shared" si="710"/>
        <v>7.9375</v>
      </c>
      <c r="X825" s="8">
        <f t="shared" si="711"/>
        <v>0</v>
      </c>
      <c r="Y825" s="33">
        <f t="shared" si="712"/>
        <v>7.9375</v>
      </c>
      <c r="Z825" s="28" t="s">
        <v>80</v>
      </c>
      <c r="AA825" s="28" t="s">
        <v>81</v>
      </c>
      <c r="AB825" s="61" t="s">
        <v>79</v>
      </c>
      <c r="AC825" s="31" t="s">
        <v>82</v>
      </c>
      <c r="AD825" s="50">
        <f t="shared" si="713"/>
        <v>1</v>
      </c>
      <c r="AE825" s="31"/>
      <c r="AF825" s="51">
        <v>14</v>
      </c>
      <c r="AG825" s="51">
        <f t="shared" si="740"/>
        <v>8.4</v>
      </c>
      <c r="AH825" s="51">
        <f t="shared" si="707"/>
        <v>42</v>
      </c>
      <c r="AI825" s="52" t="s">
        <v>2497</v>
      </c>
      <c r="AJ825" s="52" t="s">
        <v>2498</v>
      </c>
      <c r="AK825" s="53">
        <f t="shared" si="741"/>
        <v>3.2544289749999993E-3</v>
      </c>
      <c r="AL825" s="54">
        <f t="shared" si="742"/>
        <v>0.11904761904761904</v>
      </c>
      <c r="AM825" s="54">
        <f t="shared" si="743"/>
        <v>2.3809523809523808E-2</v>
      </c>
      <c r="AN825" s="55">
        <f t="shared" si="744"/>
        <v>3.8743202083333321E-4</v>
      </c>
      <c r="AO825" s="55">
        <f t="shared" si="745"/>
        <v>7.7486404166666643E-5</v>
      </c>
      <c r="AP825" s="53">
        <v>7.1</v>
      </c>
      <c r="AQ825" s="53">
        <f t="shared" si="714"/>
        <v>4.26</v>
      </c>
      <c r="AR825" s="53">
        <f t="shared" si="715"/>
        <v>21.299999999999997</v>
      </c>
      <c r="AS825" s="56">
        <f t="shared" si="716"/>
        <v>4.6948356807511742E-2</v>
      </c>
      <c r="AT825" s="56">
        <f t="shared" si="746"/>
        <v>0.23474178403755869</v>
      </c>
      <c r="AU825" s="56">
        <f t="shared" si="717"/>
        <v>0.176056338028169</v>
      </c>
      <c r="AV825" s="56">
        <f t="shared" si="747"/>
        <v>5.8685446009389672E-2</v>
      </c>
      <c r="AW825" s="57"/>
      <c r="AX825" s="57"/>
      <c r="AY825" s="57"/>
      <c r="AZ825" s="58">
        <f t="shared" si="748"/>
        <v>3.2544289749999993E-3</v>
      </c>
      <c r="BA825" s="59">
        <f t="shared" si="759"/>
        <v>0</v>
      </c>
      <c r="BB825" s="59">
        <f t="shared" si="760"/>
        <v>0</v>
      </c>
      <c r="BC825" s="59">
        <f t="shared" si="761"/>
        <v>0</v>
      </c>
      <c r="BD825" s="60">
        <f t="shared" si="749"/>
        <v>7.8492935635792783E-4</v>
      </c>
      <c r="BE825" s="59">
        <f t="shared" si="750"/>
        <v>7.8492935635792783E-4</v>
      </c>
      <c r="BQ825" s="61">
        <v>3000</v>
      </c>
      <c r="BR825" s="61">
        <v>1200</v>
      </c>
      <c r="BS825" s="28">
        <f t="shared" si="718"/>
        <v>2980</v>
      </c>
      <c r="BT825" s="28">
        <f t="shared" si="719"/>
        <v>1180</v>
      </c>
      <c r="BU825" s="28" t="s">
        <v>2541</v>
      </c>
      <c r="BV825" s="28">
        <f t="shared" si="720"/>
        <v>210.00339999999997</v>
      </c>
      <c r="BW825" s="28">
        <f t="shared" si="721"/>
        <v>12.9375</v>
      </c>
      <c r="BX825" s="13">
        <f t="shared" si="722"/>
        <v>14.190246443629009</v>
      </c>
      <c r="BY825" s="13">
        <f t="shared" si="723"/>
        <v>14</v>
      </c>
      <c r="BZ825" s="13">
        <f t="shared" si="724"/>
        <v>91.207729468599027</v>
      </c>
      <c r="CA825" s="13">
        <f t="shared" si="725"/>
        <v>91</v>
      </c>
      <c r="CB825" s="13">
        <f t="shared" si="726"/>
        <v>1274</v>
      </c>
      <c r="CC825" s="62">
        <f t="shared" si="727"/>
        <v>7.8492935635792783E-4</v>
      </c>
      <c r="CD825" s="13">
        <f t="shared" si="728"/>
        <v>230.33816425120773</v>
      </c>
      <c r="CE825" s="13">
        <f t="shared" si="729"/>
        <v>230</v>
      </c>
      <c r="CF825" s="13">
        <f t="shared" si="730"/>
        <v>5.618956645463836</v>
      </c>
      <c r="CG825" s="13">
        <f t="shared" si="731"/>
        <v>5</v>
      </c>
      <c r="CH825" s="28">
        <f t="shared" si="732"/>
        <v>1150</v>
      </c>
      <c r="CI825" s="62">
        <f t="shared" si="733"/>
        <v>8.6956521739130438E-4</v>
      </c>
      <c r="CJ825" s="59">
        <f t="shared" si="734"/>
        <v>7.8492935635792783E-4</v>
      </c>
      <c r="CL825" s="63">
        <v>6000</v>
      </c>
      <c r="CM825" s="63">
        <f t="shared" si="735"/>
        <v>205.00339999999997</v>
      </c>
      <c r="CN825" s="63">
        <f t="shared" si="736"/>
        <v>210.00339999999997</v>
      </c>
      <c r="CO825" s="63">
        <f t="shared" si="737"/>
        <v>28.570965993883913</v>
      </c>
      <c r="CP825" s="13">
        <f t="shared" si="738"/>
        <v>28</v>
      </c>
      <c r="CQ825" s="70">
        <f t="shared" si="739"/>
        <v>3.5714285714285712E-2</v>
      </c>
      <c r="CR825" s="69">
        <f t="shared" si="763"/>
        <v>3.5714285714285712E-2</v>
      </c>
    </row>
    <row r="826" spans="1:96" hidden="1" x14ac:dyDescent="0.25">
      <c r="A826" s="10">
        <v>3</v>
      </c>
      <c r="B826" s="8" t="s">
        <v>1916</v>
      </c>
      <c r="C826" s="10" t="s">
        <v>1922</v>
      </c>
      <c r="D826" s="10" t="s">
        <v>2270</v>
      </c>
      <c r="E826" s="10" t="s">
        <v>32</v>
      </c>
      <c r="F826" s="12">
        <f t="shared" si="708"/>
        <v>1</v>
      </c>
      <c r="G826" s="10">
        <v>1</v>
      </c>
      <c r="H826" s="10">
        <f>G826*$H$818</f>
        <v>1</v>
      </c>
      <c r="I826" s="10">
        <v>2</v>
      </c>
      <c r="J826" s="8" t="s">
        <v>1867</v>
      </c>
      <c r="K826" s="8" t="s">
        <v>34</v>
      </c>
      <c r="L826" s="10">
        <v>0</v>
      </c>
      <c r="M826" s="8" t="s">
        <v>35</v>
      </c>
      <c r="N826" s="10" t="s">
        <v>1923</v>
      </c>
      <c r="O826" s="28" t="s">
        <v>41</v>
      </c>
      <c r="P826" s="28" t="s">
        <v>41</v>
      </c>
      <c r="Q826" s="28"/>
      <c r="R826" s="30"/>
      <c r="S826" s="30"/>
      <c r="T826" s="30"/>
      <c r="U826" s="30"/>
      <c r="V826" s="8">
        <f t="shared" si="709"/>
        <v>0</v>
      </c>
      <c r="W826" s="8">
        <f t="shared" si="710"/>
        <v>0</v>
      </c>
      <c r="X826" s="8">
        <f t="shared" si="711"/>
        <v>0</v>
      </c>
      <c r="Y826" s="33">
        <f t="shared" si="712"/>
        <v>0</v>
      </c>
      <c r="Z826" s="28"/>
      <c r="AA826" s="28"/>
      <c r="AB826" s="28">
        <v>0</v>
      </c>
      <c r="AC826" s="31"/>
      <c r="AD826" s="50">
        <f t="shared" si="713"/>
        <v>1</v>
      </c>
      <c r="AE826" s="31"/>
      <c r="AF826" s="51">
        <v>14</v>
      </c>
      <c r="AG826" s="51">
        <f t="shared" si="740"/>
        <v>8.4</v>
      </c>
      <c r="AH826" s="51">
        <f t="shared" si="707"/>
        <v>42</v>
      </c>
      <c r="AI826" s="52" t="s">
        <v>2497</v>
      </c>
      <c r="AJ826" s="52" t="s">
        <v>2498</v>
      </c>
      <c r="AK826" s="53">
        <f t="shared" si="741"/>
        <v>0</v>
      </c>
      <c r="AL826" s="54">
        <f t="shared" si="742"/>
        <v>0.11904761904761904</v>
      </c>
      <c r="AM826" s="54">
        <f t="shared" si="743"/>
        <v>2.3809523809523808E-2</v>
      </c>
      <c r="AN826" s="55">
        <f t="shared" si="744"/>
        <v>0</v>
      </c>
      <c r="AO826" s="55">
        <f t="shared" si="745"/>
        <v>0</v>
      </c>
      <c r="AP826" s="53">
        <v>7.1</v>
      </c>
      <c r="AQ826" s="53">
        <f t="shared" si="714"/>
        <v>4.26</v>
      </c>
      <c r="AR826" s="53">
        <f t="shared" si="715"/>
        <v>21.299999999999997</v>
      </c>
      <c r="AS826" s="56">
        <f t="shared" si="716"/>
        <v>4.6948356807511742E-2</v>
      </c>
      <c r="AT826" s="56">
        <f t="shared" si="746"/>
        <v>0.23474178403755869</v>
      </c>
      <c r="AU826" s="56">
        <f t="shared" si="717"/>
        <v>0.176056338028169</v>
      </c>
      <c r="AV826" s="56">
        <f t="shared" si="747"/>
        <v>5.8685446009389672E-2</v>
      </c>
      <c r="AW826" s="57"/>
      <c r="AX826" s="57"/>
      <c r="AY826" s="57"/>
      <c r="AZ826" s="58">
        <f t="shared" si="748"/>
        <v>0</v>
      </c>
      <c r="BA826" s="59">
        <f t="shared" si="759"/>
        <v>0</v>
      </c>
      <c r="BB826" s="59">
        <f t="shared" si="760"/>
        <v>0</v>
      </c>
      <c r="BC826" s="59">
        <f t="shared" si="761"/>
        <v>0</v>
      </c>
      <c r="BD826" s="60">
        <f t="shared" si="749"/>
        <v>0</v>
      </c>
      <c r="BE826" s="59">
        <f t="shared" si="750"/>
        <v>0</v>
      </c>
      <c r="BQ826" s="61">
        <v>3000</v>
      </c>
      <c r="BR826" s="61">
        <v>1200</v>
      </c>
      <c r="BS826" s="28">
        <f t="shared" si="718"/>
        <v>2980</v>
      </c>
      <c r="BT826" s="28">
        <f t="shared" si="719"/>
        <v>1180</v>
      </c>
      <c r="BU826" s="28" t="s">
        <v>2541</v>
      </c>
      <c r="BV826" s="28">
        <f t="shared" si="720"/>
        <v>5</v>
      </c>
      <c r="BW826" s="28">
        <f t="shared" si="721"/>
        <v>5</v>
      </c>
      <c r="BX826" s="13">
        <f t="shared" si="722"/>
        <v>596</v>
      </c>
      <c r="BY826" s="13">
        <f t="shared" si="723"/>
        <v>596</v>
      </c>
      <c r="BZ826" s="13">
        <f t="shared" si="724"/>
        <v>236</v>
      </c>
      <c r="CA826" s="13">
        <f t="shared" si="725"/>
        <v>236</v>
      </c>
      <c r="CB826" s="13">
        <f t="shared" si="726"/>
        <v>140656</v>
      </c>
      <c r="CC826" s="62" t="str">
        <f t="shared" si="727"/>
        <v/>
      </c>
      <c r="CD826" s="13">
        <f t="shared" si="728"/>
        <v>596</v>
      </c>
      <c r="CE826" s="13">
        <f t="shared" si="729"/>
        <v>596</v>
      </c>
      <c r="CF826" s="13">
        <f t="shared" si="730"/>
        <v>236</v>
      </c>
      <c r="CG826" s="13">
        <f t="shared" si="731"/>
        <v>236</v>
      </c>
      <c r="CH826" s="28">
        <f t="shared" si="732"/>
        <v>140656</v>
      </c>
      <c r="CI826" s="62" t="str">
        <f t="shared" si="733"/>
        <v/>
      </c>
      <c r="CJ826" s="59">
        <f t="shared" si="734"/>
        <v>0</v>
      </c>
      <c r="CL826" s="63">
        <v>6000</v>
      </c>
      <c r="CM826" s="63">
        <f t="shared" si="735"/>
        <v>0</v>
      </c>
      <c r="CN826" s="63">
        <f t="shared" si="736"/>
        <v>5</v>
      </c>
      <c r="CO826" s="63">
        <f t="shared" si="737"/>
        <v>1200</v>
      </c>
      <c r="CP826" s="13">
        <f t="shared" si="738"/>
        <v>1200</v>
      </c>
      <c r="CQ826" s="70">
        <f t="shared" si="739"/>
        <v>8.3333333333333339E-4</v>
      </c>
      <c r="CR826" s="69">
        <f t="shared" si="763"/>
        <v>8.3333333333333339E-4</v>
      </c>
    </row>
    <row r="827" spans="1:96" hidden="1" x14ac:dyDescent="0.25">
      <c r="A827" s="13">
        <v>4</v>
      </c>
      <c r="B827" s="14" t="s">
        <v>1924</v>
      </c>
      <c r="C827" s="13" t="s">
        <v>530</v>
      </c>
      <c r="D827" s="13" t="s">
        <v>532</v>
      </c>
      <c r="E827" s="13" t="s">
        <v>32</v>
      </c>
      <c r="F827" s="15">
        <f t="shared" si="708"/>
        <v>21</v>
      </c>
      <c r="G827" s="13">
        <v>2</v>
      </c>
      <c r="H827" s="13">
        <f>G827*$H$826</f>
        <v>2</v>
      </c>
      <c r="I827" s="13">
        <v>3</v>
      </c>
      <c r="J827" s="14" t="s">
        <v>531</v>
      </c>
      <c r="K827" s="14" t="s">
        <v>34</v>
      </c>
      <c r="L827" s="13" t="s">
        <v>110</v>
      </c>
      <c r="M827" s="14" t="s">
        <v>35</v>
      </c>
      <c r="N827" s="13" t="s">
        <v>532</v>
      </c>
      <c r="O827" s="28" t="s">
        <v>41</v>
      </c>
      <c r="P827" s="28" t="s">
        <v>41</v>
      </c>
      <c r="Q827" s="28"/>
      <c r="R827" s="30"/>
      <c r="S827" s="30"/>
      <c r="T827" s="30"/>
      <c r="U827" s="30"/>
      <c r="V827" s="8">
        <f t="shared" si="709"/>
        <v>0</v>
      </c>
      <c r="W827" s="8">
        <f t="shared" si="710"/>
        <v>0</v>
      </c>
      <c r="X827" s="8">
        <f t="shared" si="711"/>
        <v>0</v>
      </c>
      <c r="Y827" s="33">
        <f t="shared" si="712"/>
        <v>0</v>
      </c>
      <c r="Z827" s="28" t="s">
        <v>2477</v>
      </c>
      <c r="AA827" s="28" t="s">
        <v>2477</v>
      </c>
      <c r="AB827" s="28">
        <v>0</v>
      </c>
      <c r="AC827" s="31" t="s">
        <v>2477</v>
      </c>
      <c r="AD827" s="50">
        <f t="shared" si="713"/>
        <v>2</v>
      </c>
      <c r="AE827" s="31"/>
      <c r="AF827" s="51">
        <v>14</v>
      </c>
      <c r="AG827" s="51">
        <f t="shared" si="740"/>
        <v>8.4</v>
      </c>
      <c r="AH827" s="51">
        <f t="shared" si="707"/>
        <v>42</v>
      </c>
      <c r="AI827" s="52" t="s">
        <v>2497</v>
      </c>
      <c r="AJ827" s="52" t="s">
        <v>2498</v>
      </c>
      <c r="AK827" s="53">
        <f t="shared" si="741"/>
        <v>0</v>
      </c>
      <c r="AL827" s="54">
        <f t="shared" si="742"/>
        <v>0.11904761904761904</v>
      </c>
      <c r="AM827" s="54">
        <f t="shared" si="743"/>
        <v>2.3809523809523808E-2</v>
      </c>
      <c r="AN827" s="55">
        <f t="shared" si="744"/>
        <v>0</v>
      </c>
      <c r="AO827" s="55">
        <f t="shared" si="745"/>
        <v>0</v>
      </c>
      <c r="AP827" s="53">
        <v>7.1</v>
      </c>
      <c r="AQ827" s="53">
        <f t="shared" si="714"/>
        <v>4.26</v>
      </c>
      <c r="AR827" s="53">
        <f t="shared" si="715"/>
        <v>21.299999999999997</v>
      </c>
      <c r="AS827" s="56">
        <f t="shared" si="716"/>
        <v>4.6948356807511742E-2</v>
      </c>
      <c r="AT827" s="56">
        <f t="shared" si="746"/>
        <v>0.23474178403755869</v>
      </c>
      <c r="AU827" s="56">
        <f t="shared" si="717"/>
        <v>0.176056338028169</v>
      </c>
      <c r="AV827" s="56">
        <f t="shared" si="747"/>
        <v>5.8685446009389672E-2</v>
      </c>
      <c r="AW827" s="57"/>
      <c r="AX827" s="57"/>
      <c r="AY827" s="57"/>
      <c r="AZ827" s="58">
        <f t="shared" si="748"/>
        <v>0</v>
      </c>
      <c r="BA827" s="59">
        <f t="shared" si="759"/>
        <v>0</v>
      </c>
      <c r="BB827" s="59">
        <f t="shared" si="760"/>
        <v>0</v>
      </c>
      <c r="BC827" s="59">
        <f t="shared" si="761"/>
        <v>0</v>
      </c>
      <c r="BD827" s="60">
        <f t="shared" si="749"/>
        <v>0</v>
      </c>
      <c r="BE827" s="59">
        <f t="shared" si="750"/>
        <v>0</v>
      </c>
      <c r="BQ827" s="61">
        <v>3000</v>
      </c>
      <c r="BR827" s="61">
        <v>1200</v>
      </c>
      <c r="BS827" s="28">
        <f t="shared" si="718"/>
        <v>2980</v>
      </c>
      <c r="BT827" s="28">
        <f t="shared" si="719"/>
        <v>1180</v>
      </c>
      <c r="BU827" s="28" t="s">
        <v>2541</v>
      </c>
      <c r="BV827" s="28">
        <f t="shared" si="720"/>
        <v>5</v>
      </c>
      <c r="BW827" s="28">
        <f t="shared" si="721"/>
        <v>5</v>
      </c>
      <c r="BX827" s="13">
        <f t="shared" si="722"/>
        <v>596</v>
      </c>
      <c r="BY827" s="13">
        <f t="shared" si="723"/>
        <v>596</v>
      </c>
      <c r="BZ827" s="13">
        <f t="shared" si="724"/>
        <v>236</v>
      </c>
      <c r="CA827" s="13">
        <f t="shared" si="725"/>
        <v>236</v>
      </c>
      <c r="CB827" s="13">
        <f t="shared" si="726"/>
        <v>140656</v>
      </c>
      <c r="CC827" s="62" t="str">
        <f t="shared" si="727"/>
        <v/>
      </c>
      <c r="CD827" s="13">
        <f t="shared" si="728"/>
        <v>596</v>
      </c>
      <c r="CE827" s="13">
        <f t="shared" si="729"/>
        <v>596</v>
      </c>
      <c r="CF827" s="13">
        <f t="shared" si="730"/>
        <v>236</v>
      </c>
      <c r="CG827" s="13">
        <f t="shared" si="731"/>
        <v>236</v>
      </c>
      <c r="CH827" s="28">
        <f t="shared" si="732"/>
        <v>140656</v>
      </c>
      <c r="CI827" s="62" t="str">
        <f t="shared" si="733"/>
        <v/>
      </c>
      <c r="CJ827" s="59">
        <f t="shared" si="734"/>
        <v>0</v>
      </c>
      <c r="CL827" s="63">
        <v>6000</v>
      </c>
      <c r="CM827" s="63">
        <f t="shared" si="735"/>
        <v>0</v>
      </c>
      <c r="CN827" s="63">
        <f t="shared" si="736"/>
        <v>5</v>
      </c>
      <c r="CO827" s="63">
        <f t="shared" si="737"/>
        <v>1200</v>
      </c>
      <c r="CP827" s="13">
        <f t="shared" si="738"/>
        <v>1200</v>
      </c>
      <c r="CQ827" s="70">
        <f t="shared" si="739"/>
        <v>8.3333333333333339E-4</v>
      </c>
      <c r="CR827" s="69">
        <f t="shared" si="763"/>
        <v>1.6666666666666668E-3</v>
      </c>
    </row>
    <row r="828" spans="1:96" hidden="1" x14ac:dyDescent="0.25">
      <c r="A828" s="17">
        <v>5</v>
      </c>
      <c r="B828" s="6" t="s">
        <v>1882</v>
      </c>
      <c r="C828" s="17" t="s">
        <v>534</v>
      </c>
      <c r="D828" s="17" t="s">
        <v>2270</v>
      </c>
      <c r="E828" s="17" t="s">
        <v>52</v>
      </c>
      <c r="F828" s="7">
        <f t="shared" si="708"/>
        <v>21</v>
      </c>
      <c r="G828" s="17">
        <v>1</v>
      </c>
      <c r="H828" s="17">
        <f>G828*$H$827</f>
        <v>2</v>
      </c>
      <c r="I828" s="17">
        <v>1</v>
      </c>
      <c r="J828" s="6" t="s">
        <v>101</v>
      </c>
      <c r="K828" s="6" t="s">
        <v>34</v>
      </c>
      <c r="L828" s="17" t="s">
        <v>110</v>
      </c>
      <c r="M828" s="6" t="s">
        <v>35</v>
      </c>
      <c r="N828" s="17" t="s">
        <v>535</v>
      </c>
      <c r="O828" s="28" t="s">
        <v>41</v>
      </c>
      <c r="P828" s="28" t="s">
        <v>41</v>
      </c>
      <c r="Q828" s="28" t="s">
        <v>535</v>
      </c>
      <c r="R828" s="30">
        <v>0.98</v>
      </c>
      <c r="S828" s="30">
        <v>0.98</v>
      </c>
      <c r="T828" s="30"/>
      <c r="U828" s="30">
        <v>0.11811023622047245</v>
      </c>
      <c r="V828" s="8">
        <f t="shared" si="709"/>
        <v>24.891999999999999</v>
      </c>
      <c r="W828" s="8">
        <f t="shared" si="710"/>
        <v>24.891999999999999</v>
      </c>
      <c r="X828" s="8">
        <f t="shared" si="711"/>
        <v>0</v>
      </c>
      <c r="Y828" s="33">
        <f t="shared" si="712"/>
        <v>3</v>
      </c>
      <c r="Z828" s="28" t="s">
        <v>536</v>
      </c>
      <c r="AA828" s="28" t="s">
        <v>537</v>
      </c>
      <c r="AB828" s="61" t="s">
        <v>535</v>
      </c>
      <c r="AC828" s="31" t="s">
        <v>538</v>
      </c>
      <c r="AD828" s="50">
        <f t="shared" si="713"/>
        <v>2</v>
      </c>
      <c r="AE828" s="31"/>
      <c r="AF828" s="51">
        <v>14</v>
      </c>
      <c r="AG828" s="51">
        <f t="shared" si="740"/>
        <v>8.4</v>
      </c>
      <c r="AH828" s="51">
        <f t="shared" si="707"/>
        <v>42</v>
      </c>
      <c r="AI828" s="52" t="s">
        <v>2497</v>
      </c>
      <c r="AJ828" s="52" t="s">
        <v>2498</v>
      </c>
      <c r="AK828" s="53">
        <f t="shared" si="741"/>
        <v>1.239223328E-3</v>
      </c>
      <c r="AL828" s="54">
        <f t="shared" si="742"/>
        <v>0.11904761904761904</v>
      </c>
      <c r="AM828" s="54">
        <f t="shared" si="743"/>
        <v>2.3809523809523808E-2</v>
      </c>
      <c r="AN828" s="55">
        <f t="shared" si="744"/>
        <v>2.9505317333333335E-4</v>
      </c>
      <c r="AO828" s="55">
        <f t="shared" si="745"/>
        <v>5.9010634666666666E-5</v>
      </c>
      <c r="AP828" s="53">
        <v>7.1</v>
      </c>
      <c r="AQ828" s="53">
        <f t="shared" si="714"/>
        <v>4.26</v>
      </c>
      <c r="AR828" s="53">
        <f t="shared" si="715"/>
        <v>21.299999999999997</v>
      </c>
      <c r="AS828" s="56">
        <f t="shared" si="716"/>
        <v>4.6948356807511742E-2</v>
      </c>
      <c r="AT828" s="56">
        <f t="shared" si="746"/>
        <v>0.23474178403755869</v>
      </c>
      <c r="AU828" s="56">
        <f t="shared" si="717"/>
        <v>0.176056338028169</v>
      </c>
      <c r="AV828" s="56">
        <f t="shared" si="747"/>
        <v>5.8685446009389672E-2</v>
      </c>
      <c r="AW828" s="57"/>
      <c r="AX828" s="57"/>
      <c r="AY828" s="57"/>
      <c r="AZ828" s="58">
        <f t="shared" si="748"/>
        <v>1.239223328E-3</v>
      </c>
      <c r="BA828" s="59">
        <f t="shared" si="759"/>
        <v>0</v>
      </c>
      <c r="BB828" s="59">
        <f t="shared" si="760"/>
        <v>0</v>
      </c>
      <c r="BC828" s="59">
        <f t="shared" si="761"/>
        <v>0</v>
      </c>
      <c r="BD828" s="60">
        <f t="shared" si="749"/>
        <v>2.5900025900025902E-4</v>
      </c>
      <c r="BE828" s="59">
        <f t="shared" si="750"/>
        <v>5.1800051800051804E-4</v>
      </c>
      <c r="BQ828" s="61">
        <v>3000</v>
      </c>
      <c r="BR828" s="61">
        <v>1200</v>
      </c>
      <c r="BS828" s="28">
        <f t="shared" si="718"/>
        <v>2980</v>
      </c>
      <c r="BT828" s="28">
        <f t="shared" si="719"/>
        <v>1180</v>
      </c>
      <c r="BU828" s="28" t="s">
        <v>2541</v>
      </c>
      <c r="BV828" s="28">
        <f t="shared" si="720"/>
        <v>29.891999999999999</v>
      </c>
      <c r="BW828" s="28">
        <f t="shared" si="721"/>
        <v>29.891999999999999</v>
      </c>
      <c r="BX828" s="13">
        <f t="shared" si="722"/>
        <v>99.692225344573799</v>
      </c>
      <c r="BY828" s="13">
        <f t="shared" si="723"/>
        <v>99</v>
      </c>
      <c r="BZ828" s="13">
        <f t="shared" si="724"/>
        <v>39.475444935099695</v>
      </c>
      <c r="CA828" s="13">
        <f t="shared" si="725"/>
        <v>39</v>
      </c>
      <c r="CB828" s="13">
        <f t="shared" si="726"/>
        <v>3861</v>
      </c>
      <c r="CC828" s="62">
        <f t="shared" si="727"/>
        <v>2.5900025900025902E-4</v>
      </c>
      <c r="CD828" s="13">
        <f t="shared" si="728"/>
        <v>99.692225344573799</v>
      </c>
      <c r="CE828" s="13">
        <f t="shared" si="729"/>
        <v>99</v>
      </c>
      <c r="CF828" s="13">
        <f t="shared" si="730"/>
        <v>39.475444935099695</v>
      </c>
      <c r="CG828" s="13">
        <f t="shared" si="731"/>
        <v>39</v>
      </c>
      <c r="CH828" s="28">
        <f t="shared" si="732"/>
        <v>3861</v>
      </c>
      <c r="CI828" s="62">
        <f t="shared" si="733"/>
        <v>2.5900025900025902E-4</v>
      </c>
      <c r="CJ828" s="59">
        <f t="shared" si="734"/>
        <v>2.5900025900025902E-4</v>
      </c>
      <c r="CL828" s="63">
        <v>6000</v>
      </c>
      <c r="CM828" s="63">
        <f t="shared" si="735"/>
        <v>24.891999999999999</v>
      </c>
      <c r="CN828" s="63">
        <f t="shared" si="736"/>
        <v>29.891999999999999</v>
      </c>
      <c r="CO828" s="63">
        <f t="shared" si="737"/>
        <v>200.72260136491369</v>
      </c>
      <c r="CP828" s="13">
        <f t="shared" si="738"/>
        <v>200</v>
      </c>
      <c r="CQ828" s="70">
        <f t="shared" si="739"/>
        <v>5.0000000000000001E-3</v>
      </c>
      <c r="CR828" s="69">
        <f t="shared" si="763"/>
        <v>0.01</v>
      </c>
    </row>
    <row r="829" spans="1:96" hidden="1" x14ac:dyDescent="0.25">
      <c r="A829" s="17">
        <v>5</v>
      </c>
      <c r="B829" s="6" t="s">
        <v>1882</v>
      </c>
      <c r="C829" s="17" t="s">
        <v>539</v>
      </c>
      <c r="D829" s="17" t="s">
        <v>2270</v>
      </c>
      <c r="E829" s="17" t="s">
        <v>52</v>
      </c>
      <c r="F829" s="7">
        <f t="shared" si="708"/>
        <v>21</v>
      </c>
      <c r="G829" s="17">
        <v>1</v>
      </c>
      <c r="H829" s="17">
        <f>G829*$H$827</f>
        <v>2</v>
      </c>
      <c r="I829" s="17">
        <v>2</v>
      </c>
      <c r="J829" s="6" t="s">
        <v>101</v>
      </c>
      <c r="K829" s="6" t="s">
        <v>34</v>
      </c>
      <c r="L829" s="17" t="s">
        <v>110</v>
      </c>
      <c r="M829" s="6" t="s">
        <v>35</v>
      </c>
      <c r="N829" s="17" t="s">
        <v>540</v>
      </c>
      <c r="O829" s="28" t="s">
        <v>41</v>
      </c>
      <c r="P829" s="28" t="s">
        <v>41</v>
      </c>
      <c r="Q829" s="28" t="s">
        <v>540</v>
      </c>
      <c r="R829" s="30">
        <v>0.98</v>
      </c>
      <c r="S829" s="30">
        <v>0.98</v>
      </c>
      <c r="T829" s="30"/>
      <c r="U829" s="30">
        <v>0.47244094488188981</v>
      </c>
      <c r="V829" s="8">
        <f t="shared" si="709"/>
        <v>24.891999999999999</v>
      </c>
      <c r="W829" s="8">
        <f t="shared" si="710"/>
        <v>24.891999999999999</v>
      </c>
      <c r="X829" s="8">
        <f t="shared" si="711"/>
        <v>0</v>
      </c>
      <c r="Y829" s="33">
        <f t="shared" si="712"/>
        <v>12</v>
      </c>
      <c r="Z829" s="28" t="s">
        <v>731</v>
      </c>
      <c r="AA829" s="28" t="s">
        <v>251</v>
      </c>
      <c r="AB829" s="61" t="s">
        <v>540</v>
      </c>
      <c r="AC829" s="31" t="s">
        <v>541</v>
      </c>
      <c r="AD829" s="50">
        <f t="shared" si="713"/>
        <v>2</v>
      </c>
      <c r="AE829" s="31"/>
      <c r="AF829" s="51">
        <v>14</v>
      </c>
      <c r="AG829" s="51">
        <f t="shared" si="740"/>
        <v>8.4</v>
      </c>
      <c r="AH829" s="51">
        <f t="shared" si="707"/>
        <v>42</v>
      </c>
      <c r="AI829" s="52" t="s">
        <v>2497</v>
      </c>
      <c r="AJ829" s="52" t="s">
        <v>2498</v>
      </c>
      <c r="AK829" s="53">
        <f t="shared" si="741"/>
        <v>1.239223328E-3</v>
      </c>
      <c r="AL829" s="54">
        <f t="shared" si="742"/>
        <v>0.11904761904761904</v>
      </c>
      <c r="AM829" s="54">
        <f t="shared" si="743"/>
        <v>2.3809523809523808E-2</v>
      </c>
      <c r="AN829" s="55">
        <f t="shared" si="744"/>
        <v>2.9505317333333335E-4</v>
      </c>
      <c r="AO829" s="55">
        <f t="shared" si="745"/>
        <v>5.9010634666666666E-5</v>
      </c>
      <c r="AP829" s="53">
        <v>7.1</v>
      </c>
      <c r="AQ829" s="53">
        <f t="shared" si="714"/>
        <v>4.26</v>
      </c>
      <c r="AR829" s="53">
        <f t="shared" si="715"/>
        <v>21.299999999999997</v>
      </c>
      <c r="AS829" s="56">
        <f t="shared" si="716"/>
        <v>4.6948356807511742E-2</v>
      </c>
      <c r="AT829" s="56">
        <f t="shared" si="746"/>
        <v>0.23474178403755869</v>
      </c>
      <c r="AU829" s="56">
        <f t="shared" si="717"/>
        <v>0.176056338028169</v>
      </c>
      <c r="AV829" s="56">
        <f t="shared" si="747"/>
        <v>5.8685446009389672E-2</v>
      </c>
      <c r="AW829" s="57"/>
      <c r="AX829" s="57"/>
      <c r="AY829" s="57"/>
      <c r="AZ829" s="58">
        <f t="shared" si="748"/>
        <v>1.239223328E-3</v>
      </c>
      <c r="BA829" s="59">
        <f t="shared" si="759"/>
        <v>0</v>
      </c>
      <c r="BB829" s="59">
        <f t="shared" si="760"/>
        <v>0</v>
      </c>
      <c r="BC829" s="59">
        <f t="shared" si="761"/>
        <v>0</v>
      </c>
      <c r="BD829" s="60">
        <f t="shared" si="749"/>
        <v>2.5900025900025902E-4</v>
      </c>
      <c r="BE829" s="59">
        <f t="shared" si="750"/>
        <v>5.1800051800051804E-4</v>
      </c>
      <c r="BQ829" s="61">
        <v>3000</v>
      </c>
      <c r="BR829" s="61">
        <v>1200</v>
      </c>
      <c r="BS829" s="28">
        <f t="shared" si="718"/>
        <v>2980</v>
      </c>
      <c r="BT829" s="28">
        <f t="shared" si="719"/>
        <v>1180</v>
      </c>
      <c r="BU829" s="28" t="s">
        <v>2541</v>
      </c>
      <c r="BV829" s="28">
        <f t="shared" si="720"/>
        <v>29.891999999999999</v>
      </c>
      <c r="BW829" s="28">
        <f t="shared" si="721"/>
        <v>29.891999999999999</v>
      </c>
      <c r="BX829" s="13">
        <f t="shared" si="722"/>
        <v>99.692225344573799</v>
      </c>
      <c r="BY829" s="13">
        <f t="shared" si="723"/>
        <v>99</v>
      </c>
      <c r="BZ829" s="13">
        <f t="shared" si="724"/>
        <v>39.475444935099695</v>
      </c>
      <c r="CA829" s="13">
        <f t="shared" si="725"/>
        <v>39</v>
      </c>
      <c r="CB829" s="13">
        <f t="shared" si="726"/>
        <v>3861</v>
      </c>
      <c r="CC829" s="62">
        <f t="shared" si="727"/>
        <v>2.5900025900025902E-4</v>
      </c>
      <c r="CD829" s="13">
        <f t="shared" si="728"/>
        <v>99.692225344573799</v>
      </c>
      <c r="CE829" s="13">
        <f t="shared" si="729"/>
        <v>99</v>
      </c>
      <c r="CF829" s="13">
        <f t="shared" si="730"/>
        <v>39.475444935099695</v>
      </c>
      <c r="CG829" s="13">
        <f t="shared" si="731"/>
        <v>39</v>
      </c>
      <c r="CH829" s="28">
        <f t="shared" si="732"/>
        <v>3861</v>
      </c>
      <c r="CI829" s="62">
        <f t="shared" si="733"/>
        <v>2.5900025900025902E-4</v>
      </c>
      <c r="CJ829" s="59">
        <f t="shared" si="734"/>
        <v>2.5900025900025902E-4</v>
      </c>
      <c r="CL829" s="63">
        <v>6000</v>
      </c>
      <c r="CM829" s="63">
        <f t="shared" si="735"/>
        <v>24.891999999999999</v>
      </c>
      <c r="CN829" s="63">
        <f t="shared" si="736"/>
        <v>29.891999999999999</v>
      </c>
      <c r="CO829" s="63">
        <f t="shared" si="737"/>
        <v>200.72260136491369</v>
      </c>
      <c r="CP829" s="13">
        <f t="shared" si="738"/>
        <v>200</v>
      </c>
      <c r="CQ829" s="70">
        <f t="shared" si="739"/>
        <v>5.0000000000000001E-3</v>
      </c>
      <c r="CR829" s="69">
        <f t="shared" si="763"/>
        <v>0.01</v>
      </c>
    </row>
    <row r="830" spans="1:96" x14ac:dyDescent="0.25">
      <c r="A830" s="13">
        <v>4</v>
      </c>
      <c r="B830" s="14" t="s">
        <v>1924</v>
      </c>
      <c r="C830" s="13" t="s">
        <v>1883</v>
      </c>
      <c r="D830" s="13" t="s">
        <v>2270</v>
      </c>
      <c r="E830" s="13" t="s">
        <v>52</v>
      </c>
      <c r="F830" s="15">
        <f t="shared" si="708"/>
        <v>6</v>
      </c>
      <c r="G830" s="13">
        <v>2</v>
      </c>
      <c r="H830" s="13">
        <f t="shared" ref="H830:H832" si="767">G830*$H$826</f>
        <v>2</v>
      </c>
      <c r="I830" s="13">
        <v>4</v>
      </c>
      <c r="J830" s="14" t="s">
        <v>119</v>
      </c>
      <c r="K830" s="14" t="s">
        <v>34</v>
      </c>
      <c r="L830" s="13" t="s">
        <v>110</v>
      </c>
      <c r="M830" s="14" t="s">
        <v>35</v>
      </c>
      <c r="N830" s="13" t="s">
        <v>1884</v>
      </c>
      <c r="O830" s="28" t="s">
        <v>41</v>
      </c>
      <c r="P830" s="28" t="s">
        <v>41</v>
      </c>
      <c r="Q830" s="28" t="s">
        <v>2585</v>
      </c>
      <c r="R830" s="30">
        <v>16</v>
      </c>
      <c r="S830" s="30">
        <v>1.292</v>
      </c>
      <c r="T830" s="30"/>
      <c r="U830" s="30">
        <v>5.8999999999999997E-2</v>
      </c>
      <c r="V830" s="8">
        <f t="shared" si="709"/>
        <v>406.4</v>
      </c>
      <c r="W830" s="8">
        <f t="shared" si="710"/>
        <v>32.816800000000001</v>
      </c>
      <c r="X830" s="8">
        <f t="shared" si="711"/>
        <v>0</v>
      </c>
      <c r="Y830" s="33">
        <f t="shared" si="712"/>
        <v>1.4985999999999999</v>
      </c>
      <c r="Z830" s="28" t="s">
        <v>56</v>
      </c>
      <c r="AA830" s="28" t="s">
        <v>1765</v>
      </c>
      <c r="AB830" s="61" t="s">
        <v>2585</v>
      </c>
      <c r="AC830" s="31" t="s">
        <v>2586</v>
      </c>
      <c r="AD830" s="50">
        <f t="shared" si="713"/>
        <v>2</v>
      </c>
      <c r="AE830" s="31"/>
      <c r="AF830" s="51">
        <v>14</v>
      </c>
      <c r="AG830" s="51">
        <f t="shared" si="740"/>
        <v>8.4</v>
      </c>
      <c r="AH830" s="51">
        <f t="shared" si="707"/>
        <v>42</v>
      </c>
      <c r="AI830" s="52" t="s">
        <v>2497</v>
      </c>
      <c r="AJ830" s="52" t="s">
        <v>2498</v>
      </c>
      <c r="AK830" s="53">
        <f t="shared" si="741"/>
        <v>2.6673495039999998E-2</v>
      </c>
      <c r="AL830" s="54">
        <f t="shared" si="742"/>
        <v>0.11904761904761904</v>
      </c>
      <c r="AM830" s="54">
        <f t="shared" si="743"/>
        <v>2.3809523809523808E-2</v>
      </c>
      <c r="AN830" s="55">
        <f t="shared" si="744"/>
        <v>6.3508321523809514E-3</v>
      </c>
      <c r="AO830" s="55">
        <f t="shared" si="745"/>
        <v>1.2701664304761904E-3</v>
      </c>
      <c r="AP830" s="53">
        <v>7.1</v>
      </c>
      <c r="AQ830" s="53">
        <f t="shared" si="714"/>
        <v>4.26</v>
      </c>
      <c r="AR830" s="53">
        <f t="shared" si="715"/>
        <v>21.299999999999997</v>
      </c>
      <c r="AS830" s="56">
        <f t="shared" si="716"/>
        <v>4.6948356807511742E-2</v>
      </c>
      <c r="AT830" s="56">
        <f t="shared" si="746"/>
        <v>0.23474178403755869</v>
      </c>
      <c r="AU830" s="56">
        <f t="shared" si="717"/>
        <v>0.176056338028169</v>
      </c>
      <c r="AV830" s="56">
        <f t="shared" si="747"/>
        <v>5.8685446009389672E-2</v>
      </c>
      <c r="AW830" s="57"/>
      <c r="AX830" s="57"/>
      <c r="AY830" s="57"/>
      <c r="AZ830" s="58">
        <f t="shared" si="748"/>
        <v>2.6673495039999998E-2</v>
      </c>
      <c r="BA830" s="59">
        <f t="shared" si="759"/>
        <v>0</v>
      </c>
      <c r="BB830" s="59">
        <f t="shared" si="760"/>
        <v>0</v>
      </c>
      <c r="BC830" s="59">
        <f t="shared" si="761"/>
        <v>0</v>
      </c>
      <c r="BD830" s="60">
        <f t="shared" si="749"/>
        <v>4.608294930875576E-3</v>
      </c>
      <c r="BE830" s="59">
        <f t="shared" si="750"/>
        <v>9.2165898617511521E-3</v>
      </c>
      <c r="BQ830" s="61">
        <v>3000</v>
      </c>
      <c r="BR830" s="61">
        <v>1200</v>
      </c>
      <c r="BS830" s="28">
        <f t="shared" si="718"/>
        <v>2980</v>
      </c>
      <c r="BT830" s="28">
        <f t="shared" si="719"/>
        <v>1180</v>
      </c>
      <c r="BU830" s="28" t="s">
        <v>2541</v>
      </c>
      <c r="BV830" s="28">
        <f t="shared" si="720"/>
        <v>411.4</v>
      </c>
      <c r="BW830" s="28">
        <f t="shared" si="721"/>
        <v>37.816800000000001</v>
      </c>
      <c r="BX830" s="13">
        <f t="shared" si="722"/>
        <v>7.2435585804569769</v>
      </c>
      <c r="BY830" s="13">
        <f t="shared" si="723"/>
        <v>7</v>
      </c>
      <c r="BZ830" s="13">
        <f t="shared" si="724"/>
        <v>31.203063188847285</v>
      </c>
      <c r="CA830" s="13">
        <f t="shared" si="725"/>
        <v>31</v>
      </c>
      <c r="CB830" s="13">
        <f t="shared" si="726"/>
        <v>217</v>
      </c>
      <c r="CC830" s="62">
        <f t="shared" si="727"/>
        <v>4.608294930875576E-3</v>
      </c>
      <c r="CD830" s="13">
        <f t="shared" si="728"/>
        <v>78.800956188783815</v>
      </c>
      <c r="CE830" s="13">
        <f t="shared" si="729"/>
        <v>78</v>
      </c>
      <c r="CF830" s="13">
        <f t="shared" si="730"/>
        <v>2.8682547399124942</v>
      </c>
      <c r="CG830" s="13">
        <f t="shared" si="731"/>
        <v>2</v>
      </c>
      <c r="CH830" s="28">
        <f t="shared" si="732"/>
        <v>156</v>
      </c>
      <c r="CI830" s="62">
        <f t="shared" si="733"/>
        <v>6.41025641025641E-3</v>
      </c>
      <c r="CJ830" s="59">
        <f t="shared" si="734"/>
        <v>4.608294930875576E-3</v>
      </c>
      <c r="CL830" s="63">
        <v>6000</v>
      </c>
      <c r="CM830" s="63">
        <f t="shared" si="735"/>
        <v>406.4</v>
      </c>
      <c r="CN830" s="63">
        <f t="shared" si="736"/>
        <v>411.4</v>
      </c>
      <c r="CO830" s="63">
        <f t="shared" si="737"/>
        <v>14.584346135148275</v>
      </c>
      <c r="CP830" s="13">
        <f t="shared" si="738"/>
        <v>14</v>
      </c>
      <c r="CQ830" s="70">
        <f t="shared" si="739"/>
        <v>7.1428571428571425E-2</v>
      </c>
      <c r="CR830" s="69">
        <f t="shared" si="763"/>
        <v>0.14285714285714285</v>
      </c>
    </row>
    <row r="831" spans="1:96" hidden="1" x14ac:dyDescent="0.25">
      <c r="A831" s="13">
        <v>4</v>
      </c>
      <c r="B831" s="14" t="s">
        <v>1924</v>
      </c>
      <c r="C831" s="13" t="s">
        <v>1885</v>
      </c>
      <c r="D831" s="13" t="s">
        <v>2270</v>
      </c>
      <c r="E831" s="13" t="s">
        <v>52</v>
      </c>
      <c r="F831" s="15">
        <f t="shared" si="708"/>
        <v>2</v>
      </c>
      <c r="G831" s="13">
        <v>1</v>
      </c>
      <c r="H831" s="13">
        <f t="shared" si="767"/>
        <v>1</v>
      </c>
      <c r="I831" s="13">
        <v>5</v>
      </c>
      <c r="J831" s="14" t="s">
        <v>1886</v>
      </c>
      <c r="K831" s="14" t="s">
        <v>34</v>
      </c>
      <c r="L831" s="13">
        <v>0</v>
      </c>
      <c r="M831" s="14" t="s">
        <v>35</v>
      </c>
      <c r="N831" s="13" t="s">
        <v>1887</v>
      </c>
      <c r="O831" s="28" t="s">
        <v>41</v>
      </c>
      <c r="P831" s="28" t="s">
        <v>41</v>
      </c>
      <c r="Q831" s="28" t="s">
        <v>124</v>
      </c>
      <c r="R831" s="30">
        <v>52.204724409448822</v>
      </c>
      <c r="S831" s="30">
        <v>1.6535433070866143</v>
      </c>
      <c r="T831" s="30"/>
      <c r="U831" s="30">
        <v>9.8425196850393706E-2</v>
      </c>
      <c r="V831" s="8">
        <f t="shared" si="709"/>
        <v>1326</v>
      </c>
      <c r="W831" s="8">
        <f t="shared" si="710"/>
        <v>42</v>
      </c>
      <c r="X831" s="8">
        <f t="shared" si="711"/>
        <v>0</v>
      </c>
      <c r="Y831" s="33">
        <f t="shared" si="712"/>
        <v>2.5</v>
      </c>
      <c r="Z831" s="28" t="s">
        <v>56</v>
      </c>
      <c r="AA831" s="28" t="s">
        <v>57</v>
      </c>
      <c r="AB831" s="61" t="s">
        <v>124</v>
      </c>
      <c r="AC831" s="31" t="s">
        <v>125</v>
      </c>
      <c r="AD831" s="50">
        <f t="shared" si="713"/>
        <v>1</v>
      </c>
      <c r="AE831" s="31"/>
      <c r="AF831" s="51">
        <v>14</v>
      </c>
      <c r="AG831" s="51">
        <f t="shared" si="740"/>
        <v>8.4</v>
      </c>
      <c r="AH831" s="51">
        <f t="shared" si="707"/>
        <v>42</v>
      </c>
      <c r="AI831" s="52" t="s">
        <v>2497</v>
      </c>
      <c r="AJ831" s="52" t="s">
        <v>2498</v>
      </c>
      <c r="AK831" s="53">
        <f t="shared" si="741"/>
        <v>0.111384</v>
      </c>
      <c r="AL831" s="54">
        <f t="shared" si="742"/>
        <v>0.11904761904761904</v>
      </c>
      <c r="AM831" s="54">
        <f t="shared" si="743"/>
        <v>2.3809523809523808E-2</v>
      </c>
      <c r="AN831" s="55">
        <f t="shared" si="744"/>
        <v>1.3259999999999999E-2</v>
      </c>
      <c r="AO831" s="55">
        <f t="shared" si="745"/>
        <v>2.6519999999999998E-3</v>
      </c>
      <c r="AP831" s="53">
        <v>7.1</v>
      </c>
      <c r="AQ831" s="53">
        <f t="shared" si="714"/>
        <v>4.26</v>
      </c>
      <c r="AR831" s="53">
        <f t="shared" si="715"/>
        <v>21.299999999999997</v>
      </c>
      <c r="AS831" s="56">
        <f t="shared" si="716"/>
        <v>4.6948356807511742E-2</v>
      </c>
      <c r="AT831" s="56">
        <f t="shared" si="746"/>
        <v>0.23474178403755869</v>
      </c>
      <c r="AU831" s="56">
        <f t="shared" si="717"/>
        <v>0.176056338028169</v>
      </c>
      <c r="AV831" s="56">
        <f t="shared" si="747"/>
        <v>5.8685446009389672E-2</v>
      </c>
      <c r="AW831" s="57"/>
      <c r="AX831" s="57"/>
      <c r="AY831" s="57"/>
      <c r="AZ831" s="58">
        <f t="shared" si="748"/>
        <v>0.111384</v>
      </c>
      <c r="BA831" s="59">
        <f t="shared" si="759"/>
        <v>0</v>
      </c>
      <c r="BB831" s="59">
        <f t="shared" si="760"/>
        <v>0</v>
      </c>
      <c r="BC831" s="59">
        <f t="shared" si="761"/>
        <v>0</v>
      </c>
      <c r="BD831" s="60">
        <f t="shared" si="749"/>
        <v>0.02</v>
      </c>
      <c r="BE831" s="59">
        <f t="shared" si="750"/>
        <v>0.02</v>
      </c>
      <c r="BQ831" s="61">
        <v>3000</v>
      </c>
      <c r="BR831" s="61">
        <v>1200</v>
      </c>
      <c r="BS831" s="28">
        <f t="shared" si="718"/>
        <v>2980</v>
      </c>
      <c r="BT831" s="28">
        <f t="shared" si="719"/>
        <v>1180</v>
      </c>
      <c r="BU831" s="28" t="s">
        <v>2541</v>
      </c>
      <c r="BV831" s="28">
        <f t="shared" si="720"/>
        <v>1331</v>
      </c>
      <c r="BW831" s="28">
        <f t="shared" si="721"/>
        <v>47</v>
      </c>
      <c r="BX831" s="13">
        <f t="shared" si="722"/>
        <v>2.2389181066867017</v>
      </c>
      <c r="BY831" s="13">
        <f t="shared" si="723"/>
        <v>2</v>
      </c>
      <c r="BZ831" s="13">
        <f t="shared" si="724"/>
        <v>25.106382978723403</v>
      </c>
      <c r="CA831" s="13">
        <f t="shared" si="725"/>
        <v>25</v>
      </c>
      <c r="CB831" s="13">
        <f t="shared" si="726"/>
        <v>50</v>
      </c>
      <c r="CC831" s="62">
        <f t="shared" si="727"/>
        <v>0.02</v>
      </c>
      <c r="CD831" s="13">
        <f t="shared" si="728"/>
        <v>63.404255319148938</v>
      </c>
      <c r="CE831" s="13">
        <f t="shared" si="729"/>
        <v>63</v>
      </c>
      <c r="CF831" s="13">
        <f t="shared" si="730"/>
        <v>0.88655146506386173</v>
      </c>
      <c r="CG831" s="13">
        <f t="shared" si="731"/>
        <v>0</v>
      </c>
      <c r="CH831" s="28">
        <f t="shared" si="732"/>
        <v>0</v>
      </c>
      <c r="CI831" s="62">
        <f t="shared" si="733"/>
        <v>1</v>
      </c>
      <c r="CJ831" s="59">
        <f t="shared" si="734"/>
        <v>0.02</v>
      </c>
      <c r="CL831" s="63">
        <v>6000</v>
      </c>
      <c r="CM831" s="63">
        <f t="shared" si="735"/>
        <v>1326</v>
      </c>
      <c r="CN831" s="63">
        <f t="shared" si="736"/>
        <v>1331</v>
      </c>
      <c r="CO831" s="63">
        <f t="shared" si="737"/>
        <v>4.5078888054094666</v>
      </c>
      <c r="CP831" s="13">
        <f t="shared" si="738"/>
        <v>4</v>
      </c>
      <c r="CQ831" s="70">
        <f t="shared" si="739"/>
        <v>0.25</v>
      </c>
      <c r="CR831" s="69">
        <f t="shared" si="763"/>
        <v>0.25</v>
      </c>
    </row>
    <row r="832" spans="1:96" hidden="1" x14ac:dyDescent="0.25">
      <c r="A832" s="13">
        <v>4</v>
      </c>
      <c r="B832" s="14" t="s">
        <v>1924</v>
      </c>
      <c r="C832" s="13" t="s">
        <v>1925</v>
      </c>
      <c r="D832" s="13" t="s">
        <v>2270</v>
      </c>
      <c r="E832" s="13" t="s">
        <v>32</v>
      </c>
      <c r="F832" s="15">
        <f t="shared" si="708"/>
        <v>1</v>
      </c>
      <c r="G832" s="13">
        <v>1</v>
      </c>
      <c r="H832" s="13">
        <f t="shared" si="767"/>
        <v>1</v>
      </c>
      <c r="I832" s="13">
        <v>10</v>
      </c>
      <c r="J832" s="14" t="s">
        <v>1867</v>
      </c>
      <c r="K832" s="14" t="s">
        <v>34</v>
      </c>
      <c r="L832" s="13">
        <v>0</v>
      </c>
      <c r="M832" s="14" t="s">
        <v>35</v>
      </c>
      <c r="N832" s="13" t="s">
        <v>1926</v>
      </c>
      <c r="O832" s="28"/>
      <c r="P832" s="28"/>
      <c r="Q832" s="28"/>
      <c r="R832" s="30"/>
      <c r="S832" s="30"/>
      <c r="T832" s="30"/>
      <c r="U832" s="30"/>
      <c r="V832" s="8">
        <f t="shared" si="709"/>
        <v>0</v>
      </c>
      <c r="W832" s="8">
        <f t="shared" si="710"/>
        <v>0</v>
      </c>
      <c r="X832" s="8">
        <f t="shared" si="711"/>
        <v>0</v>
      </c>
      <c r="Y832" s="33">
        <f t="shared" si="712"/>
        <v>0</v>
      </c>
      <c r="Z832" s="28"/>
      <c r="AA832" s="28"/>
      <c r="AB832" s="28">
        <v>0</v>
      </c>
      <c r="AC832" s="31"/>
      <c r="AD832" s="50">
        <f t="shared" si="713"/>
        <v>1</v>
      </c>
      <c r="AE832" s="31"/>
      <c r="AF832" s="51">
        <v>14</v>
      </c>
      <c r="AG832" s="51">
        <f t="shared" si="740"/>
        <v>8.4</v>
      </c>
      <c r="AH832" s="51">
        <f t="shared" si="707"/>
        <v>42</v>
      </c>
      <c r="AI832" s="52" t="s">
        <v>2497</v>
      </c>
      <c r="AJ832" s="52" t="s">
        <v>2498</v>
      </c>
      <c r="AK832" s="53">
        <f t="shared" si="741"/>
        <v>0</v>
      </c>
      <c r="AL832" s="54">
        <f t="shared" si="742"/>
        <v>0.11904761904761904</v>
      </c>
      <c r="AM832" s="54">
        <f t="shared" si="743"/>
        <v>2.3809523809523808E-2</v>
      </c>
      <c r="AN832" s="55">
        <f t="shared" si="744"/>
        <v>0</v>
      </c>
      <c r="AO832" s="55">
        <f t="shared" si="745"/>
        <v>0</v>
      </c>
      <c r="AP832" s="53">
        <v>7.1</v>
      </c>
      <c r="AQ832" s="53">
        <f t="shared" si="714"/>
        <v>4.26</v>
      </c>
      <c r="AR832" s="53">
        <f t="shared" si="715"/>
        <v>21.299999999999997</v>
      </c>
      <c r="AS832" s="56">
        <f t="shared" si="716"/>
        <v>4.6948356807511742E-2</v>
      </c>
      <c r="AT832" s="56">
        <f t="shared" si="746"/>
        <v>0.23474178403755869</v>
      </c>
      <c r="AU832" s="56">
        <f t="shared" si="717"/>
        <v>0.176056338028169</v>
      </c>
      <c r="AV832" s="56">
        <f t="shared" si="747"/>
        <v>5.8685446009389672E-2</v>
      </c>
      <c r="AW832" s="57"/>
      <c r="AX832" s="57"/>
      <c r="AY832" s="57"/>
      <c r="AZ832" s="58">
        <f t="shared" si="748"/>
        <v>0</v>
      </c>
      <c r="BA832" s="59">
        <f t="shared" si="759"/>
        <v>0</v>
      </c>
      <c r="BB832" s="59">
        <f t="shared" si="760"/>
        <v>0</v>
      </c>
      <c r="BC832" s="59">
        <f t="shared" si="761"/>
        <v>0</v>
      </c>
      <c r="BD832" s="60">
        <f t="shared" si="749"/>
        <v>0</v>
      </c>
      <c r="BE832" s="59">
        <f t="shared" si="750"/>
        <v>0</v>
      </c>
      <c r="BQ832" s="61">
        <v>3000</v>
      </c>
      <c r="BR832" s="61">
        <v>1200</v>
      </c>
      <c r="BS832" s="28">
        <f t="shared" si="718"/>
        <v>2980</v>
      </c>
      <c r="BT832" s="28">
        <f t="shared" si="719"/>
        <v>1180</v>
      </c>
      <c r="BU832" s="28" t="s">
        <v>2541</v>
      </c>
      <c r="BV832" s="28">
        <f t="shared" si="720"/>
        <v>5</v>
      </c>
      <c r="BW832" s="28">
        <f t="shared" si="721"/>
        <v>5</v>
      </c>
      <c r="BX832" s="13">
        <f t="shared" si="722"/>
        <v>596</v>
      </c>
      <c r="BY832" s="13">
        <f t="shared" si="723"/>
        <v>596</v>
      </c>
      <c r="BZ832" s="13">
        <f t="shared" si="724"/>
        <v>236</v>
      </c>
      <c r="CA832" s="13">
        <f t="shared" si="725"/>
        <v>236</v>
      </c>
      <c r="CB832" s="13">
        <f t="shared" si="726"/>
        <v>140656</v>
      </c>
      <c r="CC832" s="62" t="str">
        <f t="shared" si="727"/>
        <v/>
      </c>
      <c r="CD832" s="13">
        <f t="shared" si="728"/>
        <v>596</v>
      </c>
      <c r="CE832" s="13">
        <f t="shared" si="729"/>
        <v>596</v>
      </c>
      <c r="CF832" s="13">
        <f t="shared" si="730"/>
        <v>236</v>
      </c>
      <c r="CG832" s="13">
        <f t="shared" si="731"/>
        <v>236</v>
      </c>
      <c r="CH832" s="28">
        <f t="shared" si="732"/>
        <v>140656</v>
      </c>
      <c r="CI832" s="62" t="str">
        <f t="shared" si="733"/>
        <v/>
      </c>
      <c r="CJ832" s="59">
        <f t="shared" si="734"/>
        <v>0</v>
      </c>
      <c r="CL832" s="63">
        <v>6000</v>
      </c>
      <c r="CM832" s="63">
        <f t="shared" si="735"/>
        <v>0</v>
      </c>
      <c r="CN832" s="63">
        <f t="shared" si="736"/>
        <v>5</v>
      </c>
      <c r="CO832" s="63">
        <f t="shared" si="737"/>
        <v>1200</v>
      </c>
      <c r="CP832" s="13">
        <f t="shared" si="738"/>
        <v>1200</v>
      </c>
      <c r="CQ832" s="70">
        <f t="shared" si="739"/>
        <v>8.3333333333333339E-4</v>
      </c>
      <c r="CR832" s="69">
        <f t="shared" si="763"/>
        <v>8.3333333333333339E-4</v>
      </c>
    </row>
    <row r="833" spans="1:96" x14ac:dyDescent="0.25">
      <c r="A833" s="17">
        <v>5</v>
      </c>
      <c r="B833" s="6" t="s">
        <v>1927</v>
      </c>
      <c r="C833" s="17" t="s">
        <v>1928</v>
      </c>
      <c r="D833" s="17" t="s">
        <v>2270</v>
      </c>
      <c r="E833" s="17" t="s">
        <v>52</v>
      </c>
      <c r="F833" s="7">
        <f t="shared" si="708"/>
        <v>1</v>
      </c>
      <c r="G833" s="17">
        <v>1</v>
      </c>
      <c r="H833" s="17">
        <f>G833*$H$832</f>
        <v>1</v>
      </c>
      <c r="I833" s="17">
        <v>1</v>
      </c>
      <c r="J833" s="6" t="s">
        <v>1892</v>
      </c>
      <c r="K833" s="6" t="s">
        <v>34</v>
      </c>
      <c r="L833" s="17">
        <v>0</v>
      </c>
      <c r="M833" s="6" t="s">
        <v>35</v>
      </c>
      <c r="N833" s="17" t="s">
        <v>1929</v>
      </c>
      <c r="O833" s="28" t="s">
        <v>41</v>
      </c>
      <c r="P833" s="28" t="s">
        <v>41</v>
      </c>
      <c r="Q833" s="28" t="s">
        <v>2585</v>
      </c>
      <c r="R833" s="30">
        <v>56.262999999999998</v>
      </c>
      <c r="S833" s="30">
        <v>18.824999999999999</v>
      </c>
      <c r="T833" s="30"/>
      <c r="U833" s="30">
        <v>0.06</v>
      </c>
      <c r="V833" s="8">
        <f t="shared" si="709"/>
        <v>1429.0801999999999</v>
      </c>
      <c r="W833" s="8">
        <f t="shared" si="710"/>
        <v>478.15499999999997</v>
      </c>
      <c r="X833" s="8">
        <f t="shared" si="711"/>
        <v>0</v>
      </c>
      <c r="Y833" s="33">
        <f t="shared" si="712"/>
        <v>1.5239999999999998</v>
      </c>
      <c r="Z833" s="28" t="s">
        <v>56</v>
      </c>
      <c r="AA833" s="28" t="s">
        <v>1765</v>
      </c>
      <c r="AB833" s="61" t="s">
        <v>2585</v>
      </c>
      <c r="AC833" s="31" t="s">
        <v>2586</v>
      </c>
      <c r="AD833" s="50">
        <f t="shared" si="713"/>
        <v>1</v>
      </c>
      <c r="AE833" s="31"/>
      <c r="AF833" s="51">
        <v>14</v>
      </c>
      <c r="AG833" s="51">
        <f t="shared" si="740"/>
        <v>8.4</v>
      </c>
      <c r="AH833" s="51">
        <f t="shared" si="707"/>
        <v>42</v>
      </c>
      <c r="AI833" s="52" t="s">
        <v>2497</v>
      </c>
      <c r="AJ833" s="52" t="s">
        <v>2498</v>
      </c>
      <c r="AK833" s="53">
        <f t="shared" si="741"/>
        <v>1.3666436860619997</v>
      </c>
      <c r="AL833" s="54">
        <f t="shared" si="742"/>
        <v>0.11904761904761904</v>
      </c>
      <c r="AM833" s="54">
        <f t="shared" si="743"/>
        <v>2.3809523809523808E-2</v>
      </c>
      <c r="AN833" s="55">
        <f t="shared" si="744"/>
        <v>0.16269567691214282</v>
      </c>
      <c r="AO833" s="55">
        <f t="shared" si="745"/>
        <v>3.2539135382428565E-2</v>
      </c>
      <c r="AP833" s="53">
        <v>7.1</v>
      </c>
      <c r="AQ833" s="53">
        <f t="shared" si="714"/>
        <v>4.26</v>
      </c>
      <c r="AR833" s="53">
        <f t="shared" si="715"/>
        <v>21.299999999999997</v>
      </c>
      <c r="AS833" s="56">
        <f t="shared" si="716"/>
        <v>4.6948356807511742E-2</v>
      </c>
      <c r="AT833" s="56">
        <f t="shared" si="746"/>
        <v>0.23474178403755869</v>
      </c>
      <c r="AU833" s="56">
        <f t="shared" si="717"/>
        <v>0.176056338028169</v>
      </c>
      <c r="AV833" s="56">
        <f t="shared" si="747"/>
        <v>5.8685446009389672E-2</v>
      </c>
      <c r="AW833" s="57"/>
      <c r="AX833" s="57"/>
      <c r="AY833" s="57"/>
      <c r="AZ833" s="58">
        <f t="shared" si="748"/>
        <v>1.3666436860619997</v>
      </c>
      <c r="BA833" s="59">
        <f t="shared" si="759"/>
        <v>0</v>
      </c>
      <c r="BB833" s="59">
        <f t="shared" si="760"/>
        <v>0</v>
      </c>
      <c r="BC833" s="59">
        <f t="shared" si="761"/>
        <v>0</v>
      </c>
      <c r="BD833" s="60">
        <f t="shared" si="749"/>
        <v>0.25</v>
      </c>
      <c r="BE833" s="59">
        <f t="shared" si="750"/>
        <v>0.25</v>
      </c>
      <c r="BQ833" s="61">
        <v>3000</v>
      </c>
      <c r="BR833" s="61">
        <v>1200</v>
      </c>
      <c r="BS833" s="28">
        <f t="shared" si="718"/>
        <v>2980</v>
      </c>
      <c r="BT833" s="28">
        <f t="shared" si="719"/>
        <v>1180</v>
      </c>
      <c r="BU833" s="28" t="s">
        <v>2541</v>
      </c>
      <c r="BV833" s="28">
        <f t="shared" si="720"/>
        <v>1434.0801999999999</v>
      </c>
      <c r="BW833" s="28">
        <f t="shared" si="721"/>
        <v>483.15499999999997</v>
      </c>
      <c r="BX833" s="13">
        <f t="shared" si="722"/>
        <v>2.077986991243586</v>
      </c>
      <c r="BY833" s="13">
        <f t="shared" si="723"/>
        <v>2</v>
      </c>
      <c r="BZ833" s="13">
        <f t="shared" si="724"/>
        <v>2.4422804276060477</v>
      </c>
      <c r="CA833" s="13">
        <f t="shared" si="725"/>
        <v>2</v>
      </c>
      <c r="CB833" s="13">
        <f t="shared" si="726"/>
        <v>4</v>
      </c>
      <c r="CC833" s="62">
        <f t="shared" si="727"/>
        <v>0.25</v>
      </c>
      <c r="CD833" s="13">
        <f t="shared" si="728"/>
        <v>6.1677929442932395</v>
      </c>
      <c r="CE833" s="13">
        <f t="shared" si="729"/>
        <v>6</v>
      </c>
      <c r="CF833" s="13">
        <f t="shared" si="730"/>
        <v>0.82282706364678915</v>
      </c>
      <c r="CG833" s="13">
        <f t="shared" si="731"/>
        <v>0</v>
      </c>
      <c r="CH833" s="28">
        <f t="shared" si="732"/>
        <v>0</v>
      </c>
      <c r="CI833" s="62">
        <f t="shared" si="733"/>
        <v>1</v>
      </c>
      <c r="CJ833" s="59">
        <f t="shared" si="734"/>
        <v>0.25</v>
      </c>
      <c r="CL833" s="63">
        <v>6000</v>
      </c>
      <c r="CM833" s="63">
        <f t="shared" si="735"/>
        <v>1429.0801999999999</v>
      </c>
      <c r="CN833" s="63">
        <f t="shared" si="736"/>
        <v>1434.0801999999999</v>
      </c>
      <c r="CO833" s="63">
        <f t="shared" si="737"/>
        <v>4.1838664253226563</v>
      </c>
      <c r="CP833" s="13">
        <f t="shared" si="738"/>
        <v>4</v>
      </c>
      <c r="CQ833" s="70">
        <f t="shared" si="739"/>
        <v>0.25</v>
      </c>
      <c r="CR833" s="69">
        <f t="shared" si="763"/>
        <v>0.25</v>
      </c>
    </row>
    <row r="834" spans="1:96" hidden="1" x14ac:dyDescent="0.25">
      <c r="A834" s="17">
        <v>5</v>
      </c>
      <c r="B834" s="6" t="s">
        <v>1927</v>
      </c>
      <c r="C834" s="17" t="s">
        <v>448</v>
      </c>
      <c r="D834" s="17" t="s">
        <v>450</v>
      </c>
      <c r="E834" s="17" t="s">
        <v>52</v>
      </c>
      <c r="F834" s="7">
        <f t="shared" si="708"/>
        <v>23</v>
      </c>
      <c r="G834" s="17">
        <v>6</v>
      </c>
      <c r="H834" s="17">
        <f>G834*$H$832</f>
        <v>6</v>
      </c>
      <c r="I834" s="17">
        <v>2</v>
      </c>
      <c r="J834" s="6" t="s">
        <v>449</v>
      </c>
      <c r="K834" s="6" t="s">
        <v>34</v>
      </c>
      <c r="L834" s="17">
        <v>0</v>
      </c>
      <c r="M834" s="6" t="s">
        <v>35</v>
      </c>
      <c r="N834" s="17" t="s">
        <v>450</v>
      </c>
      <c r="O834" s="28"/>
      <c r="P834" s="28"/>
      <c r="Q834" s="28" t="s">
        <v>450</v>
      </c>
      <c r="R834" s="30"/>
      <c r="S834" s="30"/>
      <c r="T834" s="30"/>
      <c r="U834" s="30"/>
      <c r="V834" s="8">
        <f t="shared" si="709"/>
        <v>0</v>
      </c>
      <c r="W834" s="8">
        <f t="shared" si="710"/>
        <v>0</v>
      </c>
      <c r="X834" s="8">
        <f t="shared" si="711"/>
        <v>0</v>
      </c>
      <c r="Y834" s="33">
        <f t="shared" si="712"/>
        <v>0</v>
      </c>
      <c r="Z834" s="28"/>
      <c r="AA834" s="28"/>
      <c r="AB834" s="61" t="s">
        <v>450</v>
      </c>
      <c r="AC834" s="31" t="s">
        <v>451</v>
      </c>
      <c r="AD834" s="50">
        <f t="shared" si="713"/>
        <v>6</v>
      </c>
      <c r="AE834" s="31"/>
      <c r="AF834" s="51">
        <v>14</v>
      </c>
      <c r="AG834" s="51">
        <f t="shared" si="740"/>
        <v>8.4</v>
      </c>
      <c r="AH834" s="51">
        <f t="shared" ref="AH834:AH897" si="768">AG834/0.2</f>
        <v>42</v>
      </c>
      <c r="AI834" s="52" t="s">
        <v>2497</v>
      </c>
      <c r="AJ834" s="52" t="s">
        <v>2498</v>
      </c>
      <c r="AK834" s="53">
        <f t="shared" si="741"/>
        <v>0</v>
      </c>
      <c r="AL834" s="54">
        <f t="shared" si="742"/>
        <v>0.11904761904761904</v>
      </c>
      <c r="AM834" s="54">
        <f t="shared" si="743"/>
        <v>2.3809523809523808E-2</v>
      </c>
      <c r="AN834" s="55">
        <f t="shared" si="744"/>
        <v>0</v>
      </c>
      <c r="AO834" s="55">
        <f t="shared" si="745"/>
        <v>0</v>
      </c>
      <c r="AP834" s="53">
        <v>7.1</v>
      </c>
      <c r="AQ834" s="53">
        <f t="shared" si="714"/>
        <v>4.26</v>
      </c>
      <c r="AR834" s="53">
        <f t="shared" si="715"/>
        <v>21.299999999999997</v>
      </c>
      <c r="AS834" s="56">
        <f t="shared" si="716"/>
        <v>4.6948356807511742E-2</v>
      </c>
      <c r="AT834" s="56">
        <f t="shared" si="746"/>
        <v>0.23474178403755869</v>
      </c>
      <c r="AU834" s="56">
        <f t="shared" si="717"/>
        <v>0.176056338028169</v>
      </c>
      <c r="AV834" s="56">
        <f t="shared" si="747"/>
        <v>5.8685446009389672E-2</v>
      </c>
      <c r="AW834" s="57"/>
      <c r="AX834" s="57"/>
      <c r="AY834" s="57"/>
      <c r="AZ834" s="58">
        <f t="shared" si="748"/>
        <v>0</v>
      </c>
      <c r="BA834" s="59">
        <f t="shared" si="759"/>
        <v>0</v>
      </c>
      <c r="BB834" s="59">
        <f t="shared" si="760"/>
        <v>0</v>
      </c>
      <c r="BC834" s="59">
        <f t="shared" si="761"/>
        <v>0</v>
      </c>
      <c r="BD834" s="60">
        <f t="shared" si="749"/>
        <v>7.1095438516664771E-6</v>
      </c>
      <c r="BE834" s="59">
        <f t="shared" si="750"/>
        <v>4.2657263109998864E-5</v>
      </c>
      <c r="BQ834" s="61">
        <v>3000</v>
      </c>
      <c r="BR834" s="61">
        <v>1200</v>
      </c>
      <c r="BS834" s="28">
        <f t="shared" si="718"/>
        <v>2980</v>
      </c>
      <c r="BT834" s="28">
        <f t="shared" si="719"/>
        <v>1180</v>
      </c>
      <c r="BU834" s="28" t="s">
        <v>2541</v>
      </c>
      <c r="BV834" s="28">
        <f t="shared" si="720"/>
        <v>5</v>
      </c>
      <c r="BW834" s="28">
        <f t="shared" si="721"/>
        <v>5</v>
      </c>
      <c r="BX834" s="13">
        <f t="shared" si="722"/>
        <v>596</v>
      </c>
      <c r="BY834" s="13">
        <f t="shared" si="723"/>
        <v>596</v>
      </c>
      <c r="BZ834" s="13">
        <f t="shared" si="724"/>
        <v>236</v>
      </c>
      <c r="CA834" s="13">
        <f t="shared" si="725"/>
        <v>236</v>
      </c>
      <c r="CB834" s="13">
        <f t="shared" si="726"/>
        <v>140656</v>
      </c>
      <c r="CC834" s="62">
        <f t="shared" si="727"/>
        <v>7.1095438516664771E-6</v>
      </c>
      <c r="CD834" s="13">
        <f t="shared" si="728"/>
        <v>596</v>
      </c>
      <c r="CE834" s="13">
        <f t="shared" si="729"/>
        <v>596</v>
      </c>
      <c r="CF834" s="13">
        <f t="shared" si="730"/>
        <v>236</v>
      </c>
      <c r="CG834" s="13">
        <f t="shared" si="731"/>
        <v>236</v>
      </c>
      <c r="CH834" s="28">
        <f t="shared" si="732"/>
        <v>140656</v>
      </c>
      <c r="CI834" s="62">
        <f t="shared" si="733"/>
        <v>7.1095438516664771E-6</v>
      </c>
      <c r="CJ834" s="59">
        <f t="shared" si="734"/>
        <v>7.1095438516664771E-6</v>
      </c>
      <c r="CL834" s="63">
        <v>6000</v>
      </c>
      <c r="CM834" s="63">
        <f t="shared" si="735"/>
        <v>0</v>
      </c>
      <c r="CN834" s="63">
        <f t="shared" si="736"/>
        <v>5</v>
      </c>
      <c r="CO834" s="63">
        <f t="shared" si="737"/>
        <v>1200</v>
      </c>
      <c r="CP834" s="13">
        <f t="shared" si="738"/>
        <v>1200</v>
      </c>
      <c r="CQ834" s="70">
        <f t="shared" si="739"/>
        <v>8.3333333333333339E-4</v>
      </c>
      <c r="CR834" s="69">
        <f t="shared" si="763"/>
        <v>5.0000000000000001E-3</v>
      </c>
    </row>
    <row r="835" spans="1:96" hidden="1" x14ac:dyDescent="0.25">
      <c r="A835" s="10">
        <v>3</v>
      </c>
      <c r="B835" s="8" t="s">
        <v>1916</v>
      </c>
      <c r="C835" s="10" t="s">
        <v>1894</v>
      </c>
      <c r="D835" s="10" t="s">
        <v>2270</v>
      </c>
      <c r="E835" s="10" t="s">
        <v>52</v>
      </c>
      <c r="F835" s="12">
        <f t="shared" ref="F835:F898" si="769">COUNTIF($C$2:$C$1202,C835)</f>
        <v>4</v>
      </c>
      <c r="G835" s="10">
        <v>1</v>
      </c>
      <c r="H835" s="10">
        <f>G835*$H$818</f>
        <v>1</v>
      </c>
      <c r="I835" s="10">
        <v>3</v>
      </c>
      <c r="J835" s="8" t="s">
        <v>469</v>
      </c>
      <c r="K835" s="8" t="s">
        <v>34</v>
      </c>
      <c r="L835" s="10">
        <v>0</v>
      </c>
      <c r="M835" s="8" t="s">
        <v>35</v>
      </c>
      <c r="N835" s="10" t="s">
        <v>1895</v>
      </c>
      <c r="O835" s="28" t="s">
        <v>41</v>
      </c>
      <c r="P835" s="28" t="s">
        <v>41</v>
      </c>
      <c r="Q835" s="28" t="s">
        <v>1896</v>
      </c>
      <c r="R835" s="30">
        <v>52.5</v>
      </c>
      <c r="S835" s="30">
        <v>1.5</v>
      </c>
      <c r="T835" s="30"/>
      <c r="U835" s="30">
        <v>7.4999999999999997E-2</v>
      </c>
      <c r="V835" s="8">
        <f t="shared" ref="V835:V898" si="770">R835*25.4</f>
        <v>1333.5</v>
      </c>
      <c r="W835" s="8">
        <f t="shared" ref="W835:W898" si="771">S835*25.4</f>
        <v>38.099999999999994</v>
      </c>
      <c r="X835" s="8">
        <f t="shared" ref="X835:X898" si="772">T835*25.4</f>
        <v>0</v>
      </c>
      <c r="Y835" s="33">
        <f t="shared" ref="Y835:Y898" si="773">U835*25.4</f>
        <v>1.9049999999999998</v>
      </c>
      <c r="Z835" s="28" t="s">
        <v>1897</v>
      </c>
      <c r="AA835" s="28" t="s">
        <v>1765</v>
      </c>
      <c r="AB835" s="61" t="s">
        <v>1896</v>
      </c>
      <c r="AC835" s="31" t="s">
        <v>1898</v>
      </c>
      <c r="AD835" s="50">
        <f t="shared" ref="AD835:AD898" si="774">H835</f>
        <v>1</v>
      </c>
      <c r="AE835" s="31"/>
      <c r="AF835" s="51">
        <v>14</v>
      </c>
      <c r="AG835" s="51">
        <f t="shared" si="740"/>
        <v>8.4</v>
      </c>
      <c r="AH835" s="51">
        <f t="shared" si="768"/>
        <v>42</v>
      </c>
      <c r="AI835" s="52" t="s">
        <v>2497</v>
      </c>
      <c r="AJ835" s="52" t="s">
        <v>2498</v>
      </c>
      <c r="AK835" s="53">
        <f t="shared" si="741"/>
        <v>0.10161269999999999</v>
      </c>
      <c r="AL835" s="54">
        <f t="shared" si="742"/>
        <v>0.11904761904761904</v>
      </c>
      <c r="AM835" s="54">
        <f t="shared" si="743"/>
        <v>2.3809523809523808E-2</v>
      </c>
      <c r="AN835" s="55">
        <f t="shared" si="744"/>
        <v>1.2096749999999998E-2</v>
      </c>
      <c r="AO835" s="55">
        <f t="shared" si="745"/>
        <v>2.4193499999999994E-3</v>
      </c>
      <c r="AP835" s="53">
        <v>7.1</v>
      </c>
      <c r="AQ835" s="53">
        <f t="shared" ref="AQ835:AQ898" si="775">AP835*0.6</f>
        <v>4.26</v>
      </c>
      <c r="AR835" s="53">
        <f t="shared" ref="AR835:AR898" si="776">AQ835*5</f>
        <v>21.299999999999997</v>
      </c>
      <c r="AS835" s="56">
        <f t="shared" ref="AS835:AS898" si="777">1/AR835</f>
        <v>4.6948356807511742E-2</v>
      </c>
      <c r="AT835" s="56">
        <f t="shared" si="746"/>
        <v>0.23474178403755869</v>
      </c>
      <c r="AU835" s="56">
        <f t="shared" ref="AU835:AU898" si="778">AT835*0.75</f>
        <v>0.176056338028169</v>
      </c>
      <c r="AV835" s="56">
        <f t="shared" si="747"/>
        <v>5.8685446009389672E-2</v>
      </c>
      <c r="AW835" s="57"/>
      <c r="AX835" s="57"/>
      <c r="AY835" s="57"/>
      <c r="AZ835" s="58">
        <f t="shared" si="748"/>
        <v>0.10161269999999999</v>
      </c>
      <c r="BA835" s="59">
        <f t="shared" si="759"/>
        <v>0</v>
      </c>
      <c r="BB835" s="59">
        <f t="shared" si="760"/>
        <v>0</v>
      </c>
      <c r="BC835" s="59">
        <f t="shared" si="761"/>
        <v>0</v>
      </c>
      <c r="BD835" s="60">
        <f t="shared" si="749"/>
        <v>1.8518518518518517E-2</v>
      </c>
      <c r="BE835" s="59">
        <f t="shared" si="750"/>
        <v>1.8518518518518517E-2</v>
      </c>
      <c r="BQ835" s="61">
        <v>3000</v>
      </c>
      <c r="BR835" s="61">
        <v>1200</v>
      </c>
      <c r="BS835" s="28">
        <f t="shared" ref="BS835:BS898" si="779">BQ835-20</f>
        <v>2980</v>
      </c>
      <c r="BT835" s="28">
        <f t="shared" ref="BT835:BT898" si="780">BR835-20</f>
        <v>1180</v>
      </c>
      <c r="BU835" s="28" t="s">
        <v>2541</v>
      </c>
      <c r="BV835" s="28">
        <f t="shared" ref="BV835:BV898" si="781">V835+5</f>
        <v>1338.5</v>
      </c>
      <c r="BW835" s="28">
        <f t="shared" ref="BW835:BW898" si="782">W835+5</f>
        <v>43.099999999999994</v>
      </c>
      <c r="BX835" s="13">
        <f t="shared" ref="BX835:BX898" si="783">BS835/BV835</f>
        <v>2.2263728053791558</v>
      </c>
      <c r="BY835" s="13">
        <f t="shared" ref="BY835:BY898" si="784">ROUNDDOWN(BX835,0)</f>
        <v>2</v>
      </c>
      <c r="BZ835" s="13">
        <f t="shared" ref="BZ835:BZ898" si="785">BT835/BW835</f>
        <v>27.378190255220421</v>
      </c>
      <c r="CA835" s="13">
        <f t="shared" ref="CA835:CA898" si="786">ROUNDDOWN(BZ835,0)</f>
        <v>27</v>
      </c>
      <c r="CB835" s="13">
        <f t="shared" ref="CB835:CB898" si="787">BY835*CA835</f>
        <v>54</v>
      </c>
      <c r="CC835" s="62">
        <f t="shared" ref="CC835:CC898" si="788">IF(E835="CJ","",IFERROR((1/CB835),1))</f>
        <v>1.8518518518518517E-2</v>
      </c>
      <c r="CD835" s="13">
        <f t="shared" ref="CD835:CD898" si="789">BS835/BW835</f>
        <v>69.141531322505813</v>
      </c>
      <c r="CE835" s="13">
        <f t="shared" ref="CE835:CE898" si="790">ROUNDDOWN(CD835,0)</f>
        <v>69</v>
      </c>
      <c r="CF835" s="13">
        <f t="shared" ref="CF835:CF898" si="791">BT835/BV835</f>
        <v>0.88158386253268584</v>
      </c>
      <c r="CG835" s="13">
        <f t="shared" ref="CG835:CG898" si="792">ROUNDDOWN(CF835,0)</f>
        <v>0</v>
      </c>
      <c r="CH835" s="28">
        <f t="shared" ref="CH835:CH898" si="793">CE835*CG835</f>
        <v>0</v>
      </c>
      <c r="CI835" s="62">
        <f t="shared" ref="CI835:CI898" si="794">IF(E835="CJ","",IFERROR((1/CH835),1))</f>
        <v>1</v>
      </c>
      <c r="CJ835" s="59">
        <f t="shared" ref="CJ835:CJ898" si="795">MIN(CC835,CI835)</f>
        <v>1.8518518518518517E-2</v>
      </c>
      <c r="CL835" s="63">
        <v>6000</v>
      </c>
      <c r="CM835" s="63">
        <f t="shared" ref="CM835:CM898" si="796">V835</f>
        <v>1333.5</v>
      </c>
      <c r="CN835" s="63">
        <f t="shared" ref="CN835:CN898" si="797">CM835+5</f>
        <v>1338.5</v>
      </c>
      <c r="CO835" s="63">
        <f t="shared" ref="CO835:CO898" si="798">CL835/CN835</f>
        <v>4.4826298094882331</v>
      </c>
      <c r="CP835" s="13">
        <f t="shared" ref="CP835:CP898" si="799">ROUNDDOWN(CO835,0)</f>
        <v>4</v>
      </c>
      <c r="CQ835" s="70">
        <f t="shared" ref="CQ835:CQ898" si="800">1/CP835</f>
        <v>0.25</v>
      </c>
      <c r="CR835" s="69">
        <f t="shared" si="763"/>
        <v>0.25</v>
      </c>
    </row>
    <row r="836" spans="1:96" hidden="1" x14ac:dyDescent="0.25">
      <c r="A836" s="13">
        <v>4</v>
      </c>
      <c r="B836" s="14" t="s">
        <v>1899</v>
      </c>
      <c r="C836" s="13" t="s">
        <v>1900</v>
      </c>
      <c r="D836" s="13" t="s">
        <v>2270</v>
      </c>
      <c r="E836" s="13" t="s">
        <v>52</v>
      </c>
      <c r="F836" s="15">
        <f t="shared" si="769"/>
        <v>8</v>
      </c>
      <c r="G836" s="13">
        <v>1</v>
      </c>
      <c r="H836" s="13">
        <f>G836*$H$835</f>
        <v>1</v>
      </c>
      <c r="I836" s="13" t="s">
        <v>485</v>
      </c>
      <c r="J836" s="14" t="s">
        <v>469</v>
      </c>
      <c r="K836" s="14" t="s">
        <v>34</v>
      </c>
      <c r="L836" s="13" t="s">
        <v>1901</v>
      </c>
      <c r="M836" s="14" t="s">
        <v>35</v>
      </c>
      <c r="N836" s="13" t="s">
        <v>1902</v>
      </c>
      <c r="O836" s="28"/>
      <c r="P836" s="28"/>
      <c r="Q836" s="28" t="s">
        <v>1902</v>
      </c>
      <c r="R836" s="30"/>
      <c r="S836" s="30"/>
      <c r="T836" s="30"/>
      <c r="U836" s="30"/>
      <c r="V836" s="8">
        <f t="shared" si="770"/>
        <v>0</v>
      </c>
      <c r="W836" s="8">
        <f t="shared" si="771"/>
        <v>0</v>
      </c>
      <c r="X836" s="8">
        <f t="shared" si="772"/>
        <v>0</v>
      </c>
      <c r="Y836" s="33">
        <f t="shared" si="773"/>
        <v>0</v>
      </c>
      <c r="Z836" s="28"/>
      <c r="AA836" s="28"/>
      <c r="AB836" s="28" t="s">
        <v>1902</v>
      </c>
      <c r="AC836" s="31"/>
      <c r="AD836" s="50">
        <f t="shared" si="774"/>
        <v>1</v>
      </c>
      <c r="AE836" s="5" t="s">
        <v>1576</v>
      </c>
      <c r="AF836" s="51">
        <v>14</v>
      </c>
      <c r="AG836" s="51">
        <f t="shared" si="740"/>
        <v>8.4</v>
      </c>
      <c r="AH836" s="51">
        <f t="shared" si="768"/>
        <v>42</v>
      </c>
      <c r="AI836" s="52" t="s">
        <v>2497</v>
      </c>
      <c r="AJ836" s="52" t="s">
        <v>2498</v>
      </c>
      <c r="AK836" s="53">
        <f t="shared" si="741"/>
        <v>0</v>
      </c>
      <c r="AL836" s="54">
        <f t="shared" si="742"/>
        <v>0.11904761904761904</v>
      </c>
      <c r="AM836" s="54">
        <f t="shared" si="743"/>
        <v>2.3809523809523808E-2</v>
      </c>
      <c r="AN836" s="55">
        <f t="shared" si="744"/>
        <v>0</v>
      </c>
      <c r="AO836" s="55">
        <f t="shared" si="745"/>
        <v>0</v>
      </c>
      <c r="AP836" s="53">
        <v>7.1</v>
      </c>
      <c r="AQ836" s="53">
        <f t="shared" si="775"/>
        <v>4.26</v>
      </c>
      <c r="AR836" s="53">
        <f t="shared" si="776"/>
        <v>21.299999999999997</v>
      </c>
      <c r="AS836" s="56">
        <f t="shared" si="777"/>
        <v>4.6948356807511742E-2</v>
      </c>
      <c r="AT836" s="56">
        <f t="shared" si="746"/>
        <v>0.23474178403755869</v>
      </c>
      <c r="AU836" s="56">
        <f t="shared" si="778"/>
        <v>0.176056338028169</v>
      </c>
      <c r="AV836" s="56">
        <f t="shared" si="747"/>
        <v>5.8685446009389672E-2</v>
      </c>
      <c r="AW836" s="57"/>
      <c r="AX836" s="57"/>
      <c r="AY836" s="57"/>
      <c r="AZ836" s="58">
        <f t="shared" si="748"/>
        <v>0</v>
      </c>
      <c r="BA836" s="59">
        <f t="shared" si="759"/>
        <v>0</v>
      </c>
      <c r="BB836" s="59">
        <f t="shared" si="760"/>
        <v>0</v>
      </c>
      <c r="BC836" s="59">
        <f t="shared" si="761"/>
        <v>0</v>
      </c>
      <c r="BD836" s="60">
        <f t="shared" si="749"/>
        <v>7.1095438516664771E-6</v>
      </c>
      <c r="BE836" s="59">
        <f t="shared" si="750"/>
        <v>7.1095438516664771E-6</v>
      </c>
      <c r="BQ836" s="61">
        <v>3000</v>
      </c>
      <c r="BR836" s="61">
        <v>1200</v>
      </c>
      <c r="BS836" s="28">
        <f t="shared" si="779"/>
        <v>2980</v>
      </c>
      <c r="BT836" s="28">
        <f t="shared" si="780"/>
        <v>1180</v>
      </c>
      <c r="BU836" s="28" t="s">
        <v>2541</v>
      </c>
      <c r="BV836" s="28">
        <f t="shared" si="781"/>
        <v>5</v>
      </c>
      <c r="BW836" s="28">
        <f t="shared" si="782"/>
        <v>5</v>
      </c>
      <c r="BX836" s="13">
        <f t="shared" si="783"/>
        <v>596</v>
      </c>
      <c r="BY836" s="13">
        <f t="shared" si="784"/>
        <v>596</v>
      </c>
      <c r="BZ836" s="13">
        <f t="shared" si="785"/>
        <v>236</v>
      </c>
      <c r="CA836" s="13">
        <f t="shared" si="786"/>
        <v>236</v>
      </c>
      <c r="CB836" s="13">
        <f t="shared" si="787"/>
        <v>140656</v>
      </c>
      <c r="CC836" s="62">
        <f t="shared" si="788"/>
        <v>7.1095438516664771E-6</v>
      </c>
      <c r="CD836" s="13">
        <f t="shared" si="789"/>
        <v>596</v>
      </c>
      <c r="CE836" s="13">
        <f t="shared" si="790"/>
        <v>596</v>
      </c>
      <c r="CF836" s="13">
        <f t="shared" si="791"/>
        <v>236</v>
      </c>
      <c r="CG836" s="13">
        <f t="shared" si="792"/>
        <v>236</v>
      </c>
      <c r="CH836" s="28">
        <f t="shared" si="793"/>
        <v>140656</v>
      </c>
      <c r="CI836" s="62">
        <f t="shared" si="794"/>
        <v>7.1095438516664771E-6</v>
      </c>
      <c r="CJ836" s="59">
        <f t="shared" si="795"/>
        <v>7.1095438516664771E-6</v>
      </c>
      <c r="CL836" s="63">
        <v>6000</v>
      </c>
      <c r="CM836" s="63">
        <f t="shared" si="796"/>
        <v>0</v>
      </c>
      <c r="CN836" s="63">
        <f t="shared" si="797"/>
        <v>5</v>
      </c>
      <c r="CO836" s="63">
        <f t="shared" si="798"/>
        <v>1200</v>
      </c>
      <c r="CP836" s="13">
        <f t="shared" si="799"/>
        <v>1200</v>
      </c>
      <c r="CQ836" s="70">
        <f t="shared" si="800"/>
        <v>8.3333333333333339E-4</v>
      </c>
      <c r="CR836" s="69">
        <f t="shared" si="763"/>
        <v>8.3333333333333339E-4</v>
      </c>
    </row>
    <row r="837" spans="1:96" hidden="1" x14ac:dyDescent="0.25">
      <c r="A837" s="10">
        <v>3</v>
      </c>
      <c r="B837" s="8" t="s">
        <v>1916</v>
      </c>
      <c r="C837" s="10" t="s">
        <v>336</v>
      </c>
      <c r="D837" s="10" t="s">
        <v>341</v>
      </c>
      <c r="E837" s="10" t="s">
        <v>52</v>
      </c>
      <c r="F837" s="12">
        <f t="shared" si="769"/>
        <v>15</v>
      </c>
      <c r="G837" s="10" t="s">
        <v>337</v>
      </c>
      <c r="H837" s="10" t="str">
        <f>G837</f>
        <v>A/R</v>
      </c>
      <c r="I837" s="10">
        <v>4</v>
      </c>
      <c r="J837" s="8" t="s">
        <v>338</v>
      </c>
      <c r="K837" s="8" t="s">
        <v>34</v>
      </c>
      <c r="L837" s="10" t="s">
        <v>339</v>
      </c>
      <c r="M837" s="8" t="s">
        <v>340</v>
      </c>
      <c r="N837" s="10" t="s">
        <v>341</v>
      </c>
      <c r="O837" s="28" t="s">
        <v>2541</v>
      </c>
      <c r="P837" s="28" t="s">
        <v>2541</v>
      </c>
      <c r="Q837" s="28" t="s">
        <v>341</v>
      </c>
      <c r="R837" s="30"/>
      <c r="S837" s="30"/>
      <c r="T837" s="30"/>
      <c r="U837" s="30"/>
      <c r="V837" s="8">
        <f t="shared" si="770"/>
        <v>0</v>
      </c>
      <c r="W837" s="8">
        <f t="shared" si="771"/>
        <v>0</v>
      </c>
      <c r="X837" s="8">
        <f t="shared" si="772"/>
        <v>0</v>
      </c>
      <c r="Y837" s="33">
        <f t="shared" si="773"/>
        <v>0</v>
      </c>
      <c r="Z837" s="28"/>
      <c r="AA837" s="28"/>
      <c r="AB837" s="28" t="s">
        <v>341</v>
      </c>
      <c r="AC837" s="31" t="s">
        <v>342</v>
      </c>
      <c r="AD837" s="50">
        <v>0</v>
      </c>
      <c r="AE837" s="50" t="s">
        <v>337</v>
      </c>
      <c r="AF837" s="51">
        <v>14</v>
      </c>
      <c r="AG837" s="51">
        <f t="shared" si="740"/>
        <v>8.4</v>
      </c>
      <c r="AH837" s="51">
        <f t="shared" si="768"/>
        <v>42</v>
      </c>
      <c r="AI837" s="52" t="s">
        <v>2497</v>
      </c>
      <c r="AJ837" s="52" t="s">
        <v>2498</v>
      </c>
      <c r="AK837" s="53">
        <f t="shared" si="741"/>
        <v>0</v>
      </c>
      <c r="AL837" s="54">
        <f t="shared" si="742"/>
        <v>0.11904761904761904</v>
      </c>
      <c r="AM837" s="54">
        <f t="shared" si="743"/>
        <v>2.3809523809523808E-2</v>
      </c>
      <c r="AN837" s="55">
        <f t="shared" si="744"/>
        <v>0</v>
      </c>
      <c r="AO837" s="55">
        <f t="shared" si="745"/>
        <v>0</v>
      </c>
      <c r="AP837" s="53">
        <v>7.1</v>
      </c>
      <c r="AQ837" s="53">
        <f t="shared" si="775"/>
        <v>4.26</v>
      </c>
      <c r="AR837" s="53">
        <f t="shared" si="776"/>
        <v>21.299999999999997</v>
      </c>
      <c r="AS837" s="56">
        <f t="shared" si="777"/>
        <v>4.6948356807511742E-2</v>
      </c>
      <c r="AT837" s="56">
        <f t="shared" si="746"/>
        <v>0.23474178403755869</v>
      </c>
      <c r="AU837" s="56">
        <f t="shared" si="778"/>
        <v>0.176056338028169</v>
      </c>
      <c r="AV837" s="56">
        <f t="shared" si="747"/>
        <v>5.8685446009389672E-2</v>
      </c>
      <c r="AW837" s="57"/>
      <c r="AX837" s="57"/>
      <c r="AY837" s="57"/>
      <c r="AZ837" s="58">
        <f t="shared" si="748"/>
        <v>0</v>
      </c>
      <c r="BA837" s="59">
        <f t="shared" si="759"/>
        <v>0</v>
      </c>
      <c r="BB837" s="59">
        <f t="shared" si="760"/>
        <v>0</v>
      </c>
      <c r="BC837" s="59">
        <f t="shared" si="761"/>
        <v>0</v>
      </c>
      <c r="BD837" s="60">
        <f t="shared" si="749"/>
        <v>7.1095438516664771E-6</v>
      </c>
      <c r="BE837" s="59">
        <f t="shared" si="750"/>
        <v>0</v>
      </c>
      <c r="BQ837" s="61">
        <v>3000</v>
      </c>
      <c r="BR837" s="61">
        <v>1200</v>
      </c>
      <c r="BS837" s="28">
        <f t="shared" si="779"/>
        <v>2980</v>
      </c>
      <c r="BT837" s="28">
        <f t="shared" si="780"/>
        <v>1180</v>
      </c>
      <c r="BU837" s="28" t="s">
        <v>2541</v>
      </c>
      <c r="BV837" s="28">
        <f t="shared" si="781"/>
        <v>5</v>
      </c>
      <c r="BW837" s="28">
        <f t="shared" si="782"/>
        <v>5</v>
      </c>
      <c r="BX837" s="13">
        <f t="shared" si="783"/>
        <v>596</v>
      </c>
      <c r="BY837" s="13">
        <f t="shared" si="784"/>
        <v>596</v>
      </c>
      <c r="BZ837" s="13">
        <f t="shared" si="785"/>
        <v>236</v>
      </c>
      <c r="CA837" s="13">
        <f t="shared" si="786"/>
        <v>236</v>
      </c>
      <c r="CB837" s="13">
        <f t="shared" si="787"/>
        <v>140656</v>
      </c>
      <c r="CC837" s="62">
        <f t="shared" si="788"/>
        <v>7.1095438516664771E-6</v>
      </c>
      <c r="CD837" s="13">
        <f t="shared" si="789"/>
        <v>596</v>
      </c>
      <c r="CE837" s="13">
        <f t="shared" si="790"/>
        <v>596</v>
      </c>
      <c r="CF837" s="13">
        <f t="shared" si="791"/>
        <v>236</v>
      </c>
      <c r="CG837" s="13">
        <f t="shared" si="792"/>
        <v>236</v>
      </c>
      <c r="CH837" s="28">
        <f t="shared" si="793"/>
        <v>140656</v>
      </c>
      <c r="CI837" s="62">
        <f t="shared" si="794"/>
        <v>7.1095438516664771E-6</v>
      </c>
      <c r="CJ837" s="59">
        <f t="shared" si="795"/>
        <v>7.1095438516664771E-6</v>
      </c>
      <c r="CL837" s="63">
        <v>6000</v>
      </c>
      <c r="CM837" s="63">
        <f t="shared" si="796"/>
        <v>0</v>
      </c>
      <c r="CN837" s="63">
        <f t="shared" si="797"/>
        <v>5</v>
      </c>
      <c r="CO837" s="63">
        <f t="shared" si="798"/>
        <v>1200</v>
      </c>
      <c r="CP837" s="13">
        <f t="shared" si="799"/>
        <v>1200</v>
      </c>
      <c r="CQ837" s="70">
        <f t="shared" si="800"/>
        <v>8.3333333333333339E-4</v>
      </c>
      <c r="CR837" s="69">
        <f t="shared" si="763"/>
        <v>0</v>
      </c>
    </row>
    <row r="838" spans="1:96" hidden="1" x14ac:dyDescent="0.25">
      <c r="A838" s="10">
        <v>3</v>
      </c>
      <c r="B838" s="8" t="s">
        <v>1916</v>
      </c>
      <c r="C838" s="10" t="s">
        <v>1903</v>
      </c>
      <c r="D838" s="10" t="s">
        <v>1905</v>
      </c>
      <c r="E838" s="10" t="s">
        <v>52</v>
      </c>
      <c r="F838" s="12">
        <f t="shared" si="769"/>
        <v>8</v>
      </c>
      <c r="G838" s="10">
        <v>2</v>
      </c>
      <c r="H838" s="10">
        <f t="shared" ref="H838:H840" si="801">G838*$H$818</f>
        <v>2</v>
      </c>
      <c r="I838" s="10">
        <v>5</v>
      </c>
      <c r="J838" s="8" t="s">
        <v>1904</v>
      </c>
      <c r="K838" s="8" t="s">
        <v>34</v>
      </c>
      <c r="L838" s="10">
        <v>0</v>
      </c>
      <c r="M838" s="8" t="s">
        <v>340</v>
      </c>
      <c r="N838" s="10" t="s">
        <v>1905</v>
      </c>
      <c r="O838" s="28"/>
      <c r="P838" s="28"/>
      <c r="Q838" s="28" t="s">
        <v>1905</v>
      </c>
      <c r="R838" s="30">
        <v>3.35</v>
      </c>
      <c r="S838" s="30">
        <v>1.58</v>
      </c>
      <c r="T838" s="30"/>
      <c r="U838" s="30">
        <v>2.12</v>
      </c>
      <c r="V838" s="8">
        <f t="shared" si="770"/>
        <v>85.09</v>
      </c>
      <c r="W838" s="8">
        <f t="shared" si="771"/>
        <v>40.131999999999998</v>
      </c>
      <c r="X838" s="8">
        <f t="shared" si="772"/>
        <v>0</v>
      </c>
      <c r="Y838" s="33">
        <f t="shared" si="773"/>
        <v>53.847999999999999</v>
      </c>
      <c r="Z838" s="28"/>
      <c r="AA838" s="28"/>
      <c r="AB838" s="61" t="s">
        <v>1905</v>
      </c>
      <c r="AC838" s="31" t="s">
        <v>1906</v>
      </c>
      <c r="AD838" s="50">
        <f t="shared" si="774"/>
        <v>2</v>
      </c>
      <c r="AE838" s="31"/>
      <c r="AF838" s="51">
        <v>14</v>
      </c>
      <c r="AG838" s="51">
        <f t="shared" ref="AG838:AG901" si="802">AF838*0.6</f>
        <v>8.4</v>
      </c>
      <c r="AH838" s="51">
        <f t="shared" si="768"/>
        <v>42</v>
      </c>
      <c r="AI838" s="52" t="s">
        <v>2497</v>
      </c>
      <c r="AJ838" s="52" t="s">
        <v>2498</v>
      </c>
      <c r="AK838" s="53">
        <f t="shared" ref="AK838:AK901" si="803">(V838*W838)*2/1000000</f>
        <v>6.8296637600000001E-3</v>
      </c>
      <c r="AL838" s="54">
        <f t="shared" ref="AL838:AL901" si="804">1/(AF838*0.6)</f>
        <v>0.11904761904761904</v>
      </c>
      <c r="AM838" s="54">
        <f t="shared" ref="AM838:AM901" si="805">1/AG838*(20/100)</f>
        <v>2.3809523809523808E-2</v>
      </c>
      <c r="AN838" s="55">
        <f t="shared" ref="AN838:AN901" si="806">IF(AI838&lt;&gt;0,(AK838*AL838*AD838),0)</f>
        <v>1.6261104190476189E-3</v>
      </c>
      <c r="AO838" s="55">
        <f t="shared" ref="AO838:AO901" si="807">IF(AJ838&lt;&gt;0,(AK838*AM838*AD838),0)</f>
        <v>3.2522208380952379E-4</v>
      </c>
      <c r="AP838" s="53">
        <v>7.1</v>
      </c>
      <c r="AQ838" s="53">
        <f t="shared" si="775"/>
        <v>4.26</v>
      </c>
      <c r="AR838" s="53">
        <f t="shared" si="776"/>
        <v>21.299999999999997</v>
      </c>
      <c r="AS838" s="56">
        <f t="shared" si="777"/>
        <v>4.6948356807511742E-2</v>
      </c>
      <c r="AT838" s="56">
        <f t="shared" ref="AT838:AT901" si="808">1/AQ838</f>
        <v>0.23474178403755869</v>
      </c>
      <c r="AU838" s="56">
        <f t="shared" si="778"/>
        <v>0.176056338028169</v>
      </c>
      <c r="AV838" s="56">
        <f t="shared" ref="AV838:AV901" si="809">AT838*0.25</f>
        <v>5.8685446009389672E-2</v>
      </c>
      <c r="AW838" s="57"/>
      <c r="AX838" s="57"/>
      <c r="AY838" s="57"/>
      <c r="AZ838" s="58">
        <f t="shared" ref="AZ838:AZ901" si="810">(V838*W838)*2/1000000</f>
        <v>6.8296637600000001E-3</v>
      </c>
      <c r="BA838" s="59">
        <f t="shared" ref="BA838:BA901" si="811">IF(AW838&lt;&gt;0,(AV838*AD838*AK838),0)</f>
        <v>0</v>
      </c>
      <c r="BB838" s="59">
        <f t="shared" ref="BB838:BB901" si="812">IF(AX838&lt;&gt;0,(AD838*AU838*AZ838),0)</f>
        <v>0</v>
      </c>
      <c r="BC838" s="59">
        <f t="shared" ref="BC838:BC901" si="813">IF(AY838&lt;&gt;0,(AD838*AS838*AZ838),0)</f>
        <v>0</v>
      </c>
      <c r="BD838" s="60">
        <f t="shared" ref="BD838:BD901" si="814">CJ838</f>
        <v>1.1655011655011655E-3</v>
      </c>
      <c r="BE838" s="59">
        <f t="shared" ref="BE838:BE901" si="815">BD838*AD838</f>
        <v>2.331002331002331E-3</v>
      </c>
      <c r="BQ838" s="61">
        <v>3000</v>
      </c>
      <c r="BR838" s="61">
        <v>1200</v>
      </c>
      <c r="BS838" s="28">
        <f t="shared" si="779"/>
        <v>2980</v>
      </c>
      <c r="BT838" s="28">
        <f t="shared" si="780"/>
        <v>1180</v>
      </c>
      <c r="BU838" s="28" t="s">
        <v>2541</v>
      </c>
      <c r="BV838" s="28">
        <f t="shared" si="781"/>
        <v>90.09</v>
      </c>
      <c r="BW838" s="28">
        <f t="shared" si="782"/>
        <v>45.131999999999998</v>
      </c>
      <c r="BX838" s="13">
        <f t="shared" si="783"/>
        <v>33.07803307803308</v>
      </c>
      <c r="BY838" s="13">
        <f t="shared" si="784"/>
        <v>33</v>
      </c>
      <c r="BZ838" s="13">
        <f t="shared" si="785"/>
        <v>26.145528671452627</v>
      </c>
      <c r="CA838" s="13">
        <f t="shared" si="786"/>
        <v>26</v>
      </c>
      <c r="CB838" s="13">
        <f t="shared" si="787"/>
        <v>858</v>
      </c>
      <c r="CC838" s="62">
        <f t="shared" si="788"/>
        <v>1.1655011655011655E-3</v>
      </c>
      <c r="CD838" s="13">
        <f t="shared" si="789"/>
        <v>66.028538509261722</v>
      </c>
      <c r="CE838" s="13">
        <f t="shared" si="790"/>
        <v>66</v>
      </c>
      <c r="CF838" s="13">
        <f t="shared" si="791"/>
        <v>13.098013098013098</v>
      </c>
      <c r="CG838" s="13">
        <f t="shared" si="792"/>
        <v>13</v>
      </c>
      <c r="CH838" s="28">
        <f t="shared" si="793"/>
        <v>858</v>
      </c>
      <c r="CI838" s="62">
        <f t="shared" si="794"/>
        <v>1.1655011655011655E-3</v>
      </c>
      <c r="CJ838" s="59">
        <f t="shared" si="795"/>
        <v>1.1655011655011655E-3</v>
      </c>
      <c r="CL838" s="63">
        <v>6000</v>
      </c>
      <c r="CM838" s="63">
        <f t="shared" si="796"/>
        <v>85.09</v>
      </c>
      <c r="CN838" s="63">
        <f t="shared" si="797"/>
        <v>90.09</v>
      </c>
      <c r="CO838" s="63">
        <f t="shared" si="798"/>
        <v>66.600066600066597</v>
      </c>
      <c r="CP838" s="13">
        <f t="shared" si="799"/>
        <v>66</v>
      </c>
      <c r="CQ838" s="70">
        <f t="shared" si="800"/>
        <v>1.5151515151515152E-2</v>
      </c>
      <c r="CR838" s="69">
        <f t="shared" si="763"/>
        <v>3.0303030303030304E-2</v>
      </c>
    </row>
    <row r="839" spans="1:96" hidden="1" x14ac:dyDescent="0.25">
      <c r="A839" s="10">
        <v>3</v>
      </c>
      <c r="B839" s="8" t="s">
        <v>1916</v>
      </c>
      <c r="C839" s="10" t="s">
        <v>1907</v>
      </c>
      <c r="D839" s="10" t="s">
        <v>1908</v>
      </c>
      <c r="E839" s="10" t="s">
        <v>52</v>
      </c>
      <c r="F839" s="12">
        <f t="shared" si="769"/>
        <v>8</v>
      </c>
      <c r="G839" s="10">
        <v>2</v>
      </c>
      <c r="H839" s="10">
        <f t="shared" si="801"/>
        <v>2</v>
      </c>
      <c r="I839" s="10">
        <v>6</v>
      </c>
      <c r="J839" s="8" t="s">
        <v>1904</v>
      </c>
      <c r="K839" s="8" t="s">
        <v>34</v>
      </c>
      <c r="L839" s="10">
        <v>0</v>
      </c>
      <c r="M839" s="8" t="s">
        <v>340</v>
      </c>
      <c r="N839" s="10" t="s">
        <v>1908</v>
      </c>
      <c r="O839" s="28"/>
      <c r="P839" s="28"/>
      <c r="Q839" s="28" t="s">
        <v>1908</v>
      </c>
      <c r="R839" s="30">
        <v>5.54</v>
      </c>
      <c r="S839" s="30">
        <v>2.25</v>
      </c>
      <c r="T839" s="30"/>
      <c r="U839" s="30">
        <v>4.25</v>
      </c>
      <c r="V839" s="8">
        <f t="shared" si="770"/>
        <v>140.71599999999998</v>
      </c>
      <c r="W839" s="8">
        <f t="shared" si="771"/>
        <v>57.15</v>
      </c>
      <c r="X839" s="8">
        <f t="shared" si="772"/>
        <v>0</v>
      </c>
      <c r="Y839" s="33">
        <f t="shared" si="773"/>
        <v>107.94999999999999</v>
      </c>
      <c r="Z839" s="28"/>
      <c r="AA839" s="28"/>
      <c r="AB839" s="61" t="s">
        <v>1908</v>
      </c>
      <c r="AC839" s="31" t="s">
        <v>2553</v>
      </c>
      <c r="AD839" s="50">
        <f t="shared" si="774"/>
        <v>2</v>
      </c>
      <c r="AE839" s="31"/>
      <c r="AF839" s="51">
        <v>14</v>
      </c>
      <c r="AG839" s="51">
        <f t="shared" si="802"/>
        <v>8.4</v>
      </c>
      <c r="AH839" s="51">
        <f t="shared" si="768"/>
        <v>42</v>
      </c>
      <c r="AI839" s="52" t="s">
        <v>2497</v>
      </c>
      <c r="AJ839" s="52" t="s">
        <v>2498</v>
      </c>
      <c r="AK839" s="53">
        <f t="shared" si="803"/>
        <v>1.6083838799999996E-2</v>
      </c>
      <c r="AL839" s="54">
        <f t="shared" si="804"/>
        <v>0.11904761904761904</v>
      </c>
      <c r="AM839" s="54">
        <f t="shared" si="805"/>
        <v>2.3809523809523808E-2</v>
      </c>
      <c r="AN839" s="55">
        <f t="shared" si="806"/>
        <v>3.8294854285714276E-3</v>
      </c>
      <c r="AO839" s="55">
        <f t="shared" si="807"/>
        <v>7.6589708571428547E-4</v>
      </c>
      <c r="AP839" s="53">
        <v>7.1</v>
      </c>
      <c r="AQ839" s="53">
        <f t="shared" si="775"/>
        <v>4.26</v>
      </c>
      <c r="AR839" s="53">
        <f t="shared" si="776"/>
        <v>21.299999999999997</v>
      </c>
      <c r="AS839" s="56">
        <f t="shared" si="777"/>
        <v>4.6948356807511742E-2</v>
      </c>
      <c r="AT839" s="56">
        <f t="shared" si="808"/>
        <v>0.23474178403755869</v>
      </c>
      <c r="AU839" s="56">
        <f t="shared" si="778"/>
        <v>0.176056338028169</v>
      </c>
      <c r="AV839" s="56">
        <f t="shared" si="809"/>
        <v>5.8685446009389672E-2</v>
      </c>
      <c r="AW839" s="57"/>
      <c r="AX839" s="57"/>
      <c r="AY839" s="57"/>
      <c r="AZ839" s="58">
        <f t="shared" si="810"/>
        <v>1.6083838799999996E-2</v>
      </c>
      <c r="BA839" s="59">
        <f t="shared" si="811"/>
        <v>0</v>
      </c>
      <c r="BB839" s="59">
        <f t="shared" si="812"/>
        <v>0</v>
      </c>
      <c r="BC839" s="59">
        <f t="shared" si="813"/>
        <v>0</v>
      </c>
      <c r="BD839" s="60">
        <f t="shared" si="814"/>
        <v>2.6595744680851063E-3</v>
      </c>
      <c r="BE839" s="59">
        <f t="shared" si="815"/>
        <v>5.3191489361702126E-3</v>
      </c>
      <c r="BQ839" s="61">
        <v>3000</v>
      </c>
      <c r="BR839" s="61">
        <v>1200</v>
      </c>
      <c r="BS839" s="28">
        <f t="shared" si="779"/>
        <v>2980</v>
      </c>
      <c r="BT839" s="28">
        <f t="shared" si="780"/>
        <v>1180</v>
      </c>
      <c r="BU839" s="28" t="s">
        <v>2541</v>
      </c>
      <c r="BV839" s="28">
        <f t="shared" si="781"/>
        <v>145.71599999999998</v>
      </c>
      <c r="BW839" s="28">
        <f t="shared" si="782"/>
        <v>62.15</v>
      </c>
      <c r="BX839" s="13">
        <f t="shared" si="783"/>
        <v>20.450739795218098</v>
      </c>
      <c r="BY839" s="13">
        <f t="shared" si="784"/>
        <v>20</v>
      </c>
      <c r="BZ839" s="13">
        <f t="shared" si="785"/>
        <v>18.986323411102173</v>
      </c>
      <c r="CA839" s="13">
        <f t="shared" si="786"/>
        <v>18</v>
      </c>
      <c r="CB839" s="13">
        <f t="shared" si="787"/>
        <v>360</v>
      </c>
      <c r="CC839" s="62">
        <f t="shared" si="788"/>
        <v>2.7777777777777779E-3</v>
      </c>
      <c r="CD839" s="13">
        <f t="shared" si="789"/>
        <v>47.948511665325825</v>
      </c>
      <c r="CE839" s="13">
        <f t="shared" si="790"/>
        <v>47</v>
      </c>
      <c r="CF839" s="13">
        <f t="shared" si="791"/>
        <v>8.0979439457575015</v>
      </c>
      <c r="CG839" s="13">
        <f t="shared" si="792"/>
        <v>8</v>
      </c>
      <c r="CH839" s="28">
        <f t="shared" si="793"/>
        <v>376</v>
      </c>
      <c r="CI839" s="62">
        <f t="shared" si="794"/>
        <v>2.6595744680851063E-3</v>
      </c>
      <c r="CJ839" s="59">
        <f t="shared" si="795"/>
        <v>2.6595744680851063E-3</v>
      </c>
      <c r="CL839" s="63">
        <v>6000</v>
      </c>
      <c r="CM839" s="63">
        <f t="shared" si="796"/>
        <v>140.71599999999998</v>
      </c>
      <c r="CN839" s="63">
        <f t="shared" si="797"/>
        <v>145.71599999999998</v>
      </c>
      <c r="CO839" s="63">
        <f t="shared" si="798"/>
        <v>41.175986164868654</v>
      </c>
      <c r="CP839" s="13">
        <f t="shared" si="799"/>
        <v>41</v>
      </c>
      <c r="CQ839" s="70">
        <f t="shared" si="800"/>
        <v>2.4390243902439025E-2</v>
      </c>
      <c r="CR839" s="69">
        <f t="shared" si="763"/>
        <v>4.878048780487805E-2</v>
      </c>
    </row>
    <row r="840" spans="1:96" hidden="1" x14ac:dyDescent="0.25">
      <c r="A840" s="10">
        <v>3</v>
      </c>
      <c r="B840" s="8" t="s">
        <v>1916</v>
      </c>
      <c r="C840" s="10" t="s">
        <v>1910</v>
      </c>
      <c r="D840" s="10" t="s">
        <v>1911</v>
      </c>
      <c r="E840" s="10" t="s">
        <v>52</v>
      </c>
      <c r="F840" s="12">
        <f t="shared" si="769"/>
        <v>8</v>
      </c>
      <c r="G840" s="10">
        <v>2</v>
      </c>
      <c r="H840" s="10">
        <f t="shared" si="801"/>
        <v>2</v>
      </c>
      <c r="I840" s="10">
        <v>7</v>
      </c>
      <c r="J840" s="8" t="s">
        <v>480</v>
      </c>
      <c r="K840" s="8" t="s">
        <v>34</v>
      </c>
      <c r="L840" s="10">
        <v>0</v>
      </c>
      <c r="M840" s="8" t="s">
        <v>35</v>
      </c>
      <c r="N840" s="10" t="s">
        <v>1911</v>
      </c>
      <c r="O840" s="28"/>
      <c r="P840" s="28"/>
      <c r="Q840" s="28" t="s">
        <v>1911</v>
      </c>
      <c r="R840" s="30">
        <v>3.1339999999999999</v>
      </c>
      <c r="S840" s="30">
        <v>1.4409999999999998</v>
      </c>
      <c r="T840" s="30"/>
      <c r="U840" s="30">
        <v>6.3E-2</v>
      </c>
      <c r="V840" s="8">
        <f t="shared" si="770"/>
        <v>79.603599999999986</v>
      </c>
      <c r="W840" s="8">
        <f t="shared" si="771"/>
        <v>36.601399999999991</v>
      </c>
      <c r="X840" s="8">
        <f t="shared" si="772"/>
        <v>0</v>
      </c>
      <c r="Y840" s="33">
        <f t="shared" si="773"/>
        <v>1.6001999999999998</v>
      </c>
      <c r="Z840" s="28" t="s">
        <v>1912</v>
      </c>
      <c r="AA840" s="28"/>
      <c r="AB840" s="61" t="s">
        <v>1911</v>
      </c>
      <c r="AC840" s="31" t="s">
        <v>1913</v>
      </c>
      <c r="AD840" s="50">
        <f t="shared" si="774"/>
        <v>2</v>
      </c>
      <c r="AE840" s="5" t="s">
        <v>1576</v>
      </c>
      <c r="AF840" s="51">
        <v>14</v>
      </c>
      <c r="AG840" s="51">
        <f t="shared" si="802"/>
        <v>8.4</v>
      </c>
      <c r="AH840" s="51">
        <f t="shared" si="768"/>
        <v>42</v>
      </c>
      <c r="AI840" s="52" t="s">
        <v>2497</v>
      </c>
      <c r="AJ840" s="52" t="s">
        <v>2498</v>
      </c>
      <c r="AK840" s="53">
        <f t="shared" si="803"/>
        <v>5.8272064100799974E-3</v>
      </c>
      <c r="AL840" s="54">
        <f t="shared" si="804"/>
        <v>0.11904761904761904</v>
      </c>
      <c r="AM840" s="54">
        <f t="shared" si="805"/>
        <v>2.3809523809523808E-2</v>
      </c>
      <c r="AN840" s="55">
        <f t="shared" si="806"/>
        <v>1.3874300976380945E-3</v>
      </c>
      <c r="AO840" s="55">
        <f t="shared" si="807"/>
        <v>2.7748601952761891E-4</v>
      </c>
      <c r="AP840" s="53">
        <v>7.1</v>
      </c>
      <c r="AQ840" s="53">
        <f t="shared" si="775"/>
        <v>4.26</v>
      </c>
      <c r="AR840" s="53">
        <f t="shared" si="776"/>
        <v>21.299999999999997</v>
      </c>
      <c r="AS840" s="56">
        <f t="shared" si="777"/>
        <v>4.6948356807511742E-2</v>
      </c>
      <c r="AT840" s="56">
        <f t="shared" si="808"/>
        <v>0.23474178403755869</v>
      </c>
      <c r="AU840" s="56">
        <f t="shared" si="778"/>
        <v>0.176056338028169</v>
      </c>
      <c r="AV840" s="56">
        <f t="shared" si="809"/>
        <v>5.8685446009389672E-2</v>
      </c>
      <c r="AW840" s="57"/>
      <c r="AX840" s="57"/>
      <c r="AY840" s="57"/>
      <c r="AZ840" s="58">
        <f t="shared" si="810"/>
        <v>5.8272064100799974E-3</v>
      </c>
      <c r="BA840" s="59">
        <f t="shared" si="811"/>
        <v>0</v>
      </c>
      <c r="BB840" s="59">
        <f t="shared" si="812"/>
        <v>0</v>
      </c>
      <c r="BC840" s="59">
        <f t="shared" si="813"/>
        <v>0</v>
      </c>
      <c r="BD840" s="60">
        <f t="shared" si="814"/>
        <v>1.0204081632653062E-3</v>
      </c>
      <c r="BE840" s="59">
        <f t="shared" si="815"/>
        <v>2.0408163265306124E-3</v>
      </c>
      <c r="BQ840" s="61">
        <v>3000</v>
      </c>
      <c r="BR840" s="61">
        <v>1200</v>
      </c>
      <c r="BS840" s="28">
        <f t="shared" si="779"/>
        <v>2980</v>
      </c>
      <c r="BT840" s="28">
        <f t="shared" si="780"/>
        <v>1180</v>
      </c>
      <c r="BU840" s="28" t="s">
        <v>2541</v>
      </c>
      <c r="BV840" s="28">
        <f t="shared" si="781"/>
        <v>84.603599999999986</v>
      </c>
      <c r="BW840" s="28">
        <f t="shared" si="782"/>
        <v>41.601399999999991</v>
      </c>
      <c r="BX840" s="13">
        <f t="shared" si="783"/>
        <v>35.223087433631669</v>
      </c>
      <c r="BY840" s="13">
        <f t="shared" si="784"/>
        <v>35</v>
      </c>
      <c r="BZ840" s="13">
        <f t="shared" si="785"/>
        <v>28.364430043219706</v>
      </c>
      <c r="CA840" s="13">
        <f t="shared" si="786"/>
        <v>28</v>
      </c>
      <c r="CB840" s="13">
        <f t="shared" si="787"/>
        <v>980</v>
      </c>
      <c r="CC840" s="62">
        <f t="shared" si="788"/>
        <v>1.0204081632653062E-3</v>
      </c>
      <c r="CD840" s="13">
        <f t="shared" si="789"/>
        <v>71.632204685419254</v>
      </c>
      <c r="CE840" s="13">
        <f t="shared" si="790"/>
        <v>71</v>
      </c>
      <c r="CF840" s="13">
        <f t="shared" si="791"/>
        <v>13.947397037478312</v>
      </c>
      <c r="CG840" s="13">
        <f t="shared" si="792"/>
        <v>13</v>
      </c>
      <c r="CH840" s="28">
        <f t="shared" si="793"/>
        <v>923</v>
      </c>
      <c r="CI840" s="62">
        <f t="shared" si="794"/>
        <v>1.0834236186348862E-3</v>
      </c>
      <c r="CJ840" s="59">
        <f t="shared" si="795"/>
        <v>1.0204081632653062E-3</v>
      </c>
      <c r="CL840" s="63">
        <v>6000</v>
      </c>
      <c r="CM840" s="63">
        <f t="shared" si="796"/>
        <v>79.603599999999986</v>
      </c>
      <c r="CN840" s="63">
        <f t="shared" si="797"/>
        <v>84.603599999999986</v>
      </c>
      <c r="CO840" s="63">
        <f t="shared" si="798"/>
        <v>70.918967987177865</v>
      </c>
      <c r="CP840" s="13">
        <f t="shared" si="799"/>
        <v>70</v>
      </c>
      <c r="CQ840" s="70">
        <f t="shared" si="800"/>
        <v>1.4285714285714285E-2</v>
      </c>
      <c r="CR840" s="69">
        <f t="shared" si="763"/>
        <v>2.8571428571428571E-2</v>
      </c>
    </row>
    <row r="841" spans="1:96" hidden="1" x14ac:dyDescent="0.25">
      <c r="A841" s="36">
        <v>2</v>
      </c>
      <c r="B841" s="37" t="s">
        <v>1865</v>
      </c>
      <c r="C841" s="36" t="s">
        <v>1930</v>
      </c>
      <c r="D841" s="36" t="s">
        <v>2270</v>
      </c>
      <c r="E841" s="36" t="s">
        <v>32</v>
      </c>
      <c r="F841" s="38">
        <f t="shared" si="769"/>
        <v>1</v>
      </c>
      <c r="G841" s="36">
        <v>1</v>
      </c>
      <c r="H841" s="36">
        <f>G841*$H$794</f>
        <v>1</v>
      </c>
      <c r="I841" s="36">
        <v>3</v>
      </c>
      <c r="J841" s="37" t="s">
        <v>1931</v>
      </c>
      <c r="K841" s="37" t="s">
        <v>34</v>
      </c>
      <c r="L841" s="36">
        <v>0</v>
      </c>
      <c r="M841" s="37" t="s">
        <v>35</v>
      </c>
      <c r="N841" s="36" t="s">
        <v>1932</v>
      </c>
      <c r="O841" s="28" t="s">
        <v>41</v>
      </c>
      <c r="P841" s="28" t="s">
        <v>41</v>
      </c>
      <c r="Q841" s="28"/>
      <c r="R841" s="30"/>
      <c r="S841" s="30"/>
      <c r="T841" s="30"/>
      <c r="U841" s="30"/>
      <c r="V841" s="8">
        <f t="shared" si="770"/>
        <v>0</v>
      </c>
      <c r="W841" s="8">
        <f t="shared" si="771"/>
        <v>0</v>
      </c>
      <c r="X841" s="8">
        <f t="shared" si="772"/>
        <v>0</v>
      </c>
      <c r="Y841" s="33">
        <f t="shared" si="773"/>
        <v>0</v>
      </c>
      <c r="Z841" s="28"/>
      <c r="AA841" s="28"/>
      <c r="AB841" s="28">
        <v>0</v>
      </c>
      <c r="AC841" s="31"/>
      <c r="AD841" s="50">
        <f t="shared" si="774"/>
        <v>1</v>
      </c>
      <c r="AE841" s="31"/>
      <c r="AF841" s="51">
        <v>14</v>
      </c>
      <c r="AG841" s="51">
        <f t="shared" si="802"/>
        <v>8.4</v>
      </c>
      <c r="AH841" s="51">
        <f t="shared" si="768"/>
        <v>42</v>
      </c>
      <c r="AI841" s="52" t="s">
        <v>2497</v>
      </c>
      <c r="AJ841" s="52" t="s">
        <v>2498</v>
      </c>
      <c r="AK841" s="53">
        <f t="shared" si="803"/>
        <v>0</v>
      </c>
      <c r="AL841" s="54">
        <f t="shared" si="804"/>
        <v>0.11904761904761904</v>
      </c>
      <c r="AM841" s="54">
        <f t="shared" si="805"/>
        <v>2.3809523809523808E-2</v>
      </c>
      <c r="AN841" s="55">
        <f t="shared" si="806"/>
        <v>0</v>
      </c>
      <c r="AO841" s="55">
        <f t="shared" si="807"/>
        <v>0</v>
      </c>
      <c r="AP841" s="53">
        <v>7.1</v>
      </c>
      <c r="AQ841" s="53">
        <f t="shared" si="775"/>
        <v>4.26</v>
      </c>
      <c r="AR841" s="53">
        <f t="shared" si="776"/>
        <v>21.299999999999997</v>
      </c>
      <c r="AS841" s="56">
        <f t="shared" si="777"/>
        <v>4.6948356807511742E-2</v>
      </c>
      <c r="AT841" s="56">
        <f t="shared" si="808"/>
        <v>0.23474178403755869</v>
      </c>
      <c r="AU841" s="56">
        <f t="shared" si="778"/>
        <v>0.176056338028169</v>
      </c>
      <c r="AV841" s="56">
        <f t="shared" si="809"/>
        <v>5.8685446009389672E-2</v>
      </c>
      <c r="AW841" s="57"/>
      <c r="AX841" s="57"/>
      <c r="AY841" s="57"/>
      <c r="AZ841" s="58">
        <f t="shared" si="810"/>
        <v>0</v>
      </c>
      <c r="BA841" s="59">
        <f t="shared" si="811"/>
        <v>0</v>
      </c>
      <c r="BB841" s="59">
        <f t="shared" si="812"/>
        <v>0</v>
      </c>
      <c r="BC841" s="59">
        <f t="shared" si="813"/>
        <v>0</v>
      </c>
      <c r="BD841" s="60">
        <f t="shared" si="814"/>
        <v>0</v>
      </c>
      <c r="BE841" s="59">
        <f t="shared" si="815"/>
        <v>0</v>
      </c>
      <c r="BQ841" s="61">
        <v>3000</v>
      </c>
      <c r="BR841" s="61">
        <v>1200</v>
      </c>
      <c r="BS841" s="28">
        <f t="shared" si="779"/>
        <v>2980</v>
      </c>
      <c r="BT841" s="28">
        <f t="shared" si="780"/>
        <v>1180</v>
      </c>
      <c r="BU841" s="28" t="s">
        <v>2541</v>
      </c>
      <c r="BV841" s="28">
        <f t="shared" si="781"/>
        <v>5</v>
      </c>
      <c r="BW841" s="28">
        <f t="shared" si="782"/>
        <v>5</v>
      </c>
      <c r="BX841" s="13">
        <f t="shared" si="783"/>
        <v>596</v>
      </c>
      <c r="BY841" s="13">
        <f t="shared" si="784"/>
        <v>596</v>
      </c>
      <c r="BZ841" s="13">
        <f t="shared" si="785"/>
        <v>236</v>
      </c>
      <c r="CA841" s="13">
        <f t="shared" si="786"/>
        <v>236</v>
      </c>
      <c r="CB841" s="13">
        <f t="shared" si="787"/>
        <v>140656</v>
      </c>
      <c r="CC841" s="62" t="str">
        <f t="shared" si="788"/>
        <v/>
      </c>
      <c r="CD841" s="13">
        <f t="shared" si="789"/>
        <v>596</v>
      </c>
      <c r="CE841" s="13">
        <f t="shared" si="790"/>
        <v>596</v>
      </c>
      <c r="CF841" s="13">
        <f t="shared" si="791"/>
        <v>236</v>
      </c>
      <c r="CG841" s="13">
        <f t="shared" si="792"/>
        <v>236</v>
      </c>
      <c r="CH841" s="28">
        <f t="shared" si="793"/>
        <v>140656</v>
      </c>
      <c r="CI841" s="62" t="str">
        <f t="shared" si="794"/>
        <v/>
      </c>
      <c r="CJ841" s="59">
        <f t="shared" si="795"/>
        <v>0</v>
      </c>
      <c r="CL841" s="63">
        <v>6000</v>
      </c>
      <c r="CM841" s="63">
        <f t="shared" si="796"/>
        <v>0</v>
      </c>
      <c r="CN841" s="63">
        <f t="shared" si="797"/>
        <v>5</v>
      </c>
      <c r="CO841" s="63">
        <f t="shared" si="798"/>
        <v>1200</v>
      </c>
      <c r="CP841" s="13">
        <f t="shared" si="799"/>
        <v>1200</v>
      </c>
      <c r="CQ841" s="70">
        <f t="shared" si="800"/>
        <v>8.3333333333333339E-4</v>
      </c>
      <c r="CR841" s="69">
        <f t="shared" si="763"/>
        <v>8.3333333333333339E-4</v>
      </c>
    </row>
    <row r="842" spans="1:96" hidden="1" x14ac:dyDescent="0.25">
      <c r="A842" s="10">
        <v>3</v>
      </c>
      <c r="B842" s="8" t="s">
        <v>1933</v>
      </c>
      <c r="C842" s="10" t="s">
        <v>1934</v>
      </c>
      <c r="D842" s="10" t="s">
        <v>2270</v>
      </c>
      <c r="E842" s="10" t="s">
        <v>32</v>
      </c>
      <c r="F842" s="12">
        <f t="shared" si="769"/>
        <v>1</v>
      </c>
      <c r="G842" s="10">
        <v>1</v>
      </c>
      <c r="H842" s="10">
        <f>G842*$H$841</f>
        <v>1</v>
      </c>
      <c r="I842" s="10">
        <v>1</v>
      </c>
      <c r="J842" s="8" t="s">
        <v>455</v>
      </c>
      <c r="K842" s="8" t="s">
        <v>34</v>
      </c>
      <c r="L842" s="10" t="s">
        <v>194</v>
      </c>
      <c r="M842" s="8" t="s">
        <v>35</v>
      </c>
      <c r="N842" s="10" t="s">
        <v>1935</v>
      </c>
      <c r="O842" s="28" t="s">
        <v>41</v>
      </c>
      <c r="P842" s="28" t="s">
        <v>41</v>
      </c>
      <c r="Q842" s="28"/>
      <c r="R842" s="30"/>
      <c r="S842" s="30"/>
      <c r="T842" s="30"/>
      <c r="U842" s="30"/>
      <c r="V842" s="8">
        <f t="shared" si="770"/>
        <v>0</v>
      </c>
      <c r="W842" s="8">
        <f t="shared" si="771"/>
        <v>0</v>
      </c>
      <c r="X842" s="8">
        <f t="shared" si="772"/>
        <v>0</v>
      </c>
      <c r="Y842" s="33">
        <f t="shared" si="773"/>
        <v>0</v>
      </c>
      <c r="Z842" s="28"/>
      <c r="AA842" s="28"/>
      <c r="AB842" s="28">
        <v>0</v>
      </c>
      <c r="AC842" s="31"/>
      <c r="AD842" s="50">
        <f t="shared" si="774"/>
        <v>1</v>
      </c>
      <c r="AE842" s="31"/>
      <c r="AF842" s="51">
        <v>14</v>
      </c>
      <c r="AG842" s="51">
        <f t="shared" si="802"/>
        <v>8.4</v>
      </c>
      <c r="AH842" s="51">
        <f t="shared" si="768"/>
        <v>42</v>
      </c>
      <c r="AI842" s="52" t="s">
        <v>2497</v>
      </c>
      <c r="AJ842" s="52" t="s">
        <v>2498</v>
      </c>
      <c r="AK842" s="53">
        <f t="shared" si="803"/>
        <v>0</v>
      </c>
      <c r="AL842" s="54">
        <f t="shared" si="804"/>
        <v>0.11904761904761904</v>
      </c>
      <c r="AM842" s="54">
        <f t="shared" si="805"/>
        <v>2.3809523809523808E-2</v>
      </c>
      <c r="AN842" s="55">
        <f t="shared" si="806"/>
        <v>0</v>
      </c>
      <c r="AO842" s="55">
        <f t="shared" si="807"/>
        <v>0</v>
      </c>
      <c r="AP842" s="53">
        <v>7.1</v>
      </c>
      <c r="AQ842" s="53">
        <f t="shared" si="775"/>
        <v>4.26</v>
      </c>
      <c r="AR842" s="53">
        <f t="shared" si="776"/>
        <v>21.299999999999997</v>
      </c>
      <c r="AS842" s="56">
        <f t="shared" si="777"/>
        <v>4.6948356807511742E-2</v>
      </c>
      <c r="AT842" s="56">
        <f t="shared" si="808"/>
        <v>0.23474178403755869</v>
      </c>
      <c r="AU842" s="56">
        <f t="shared" si="778"/>
        <v>0.176056338028169</v>
      </c>
      <c r="AV842" s="56">
        <f t="shared" si="809"/>
        <v>5.8685446009389672E-2</v>
      </c>
      <c r="AW842" s="57"/>
      <c r="AX842" s="57"/>
      <c r="AY842" s="57"/>
      <c r="AZ842" s="58">
        <f t="shared" si="810"/>
        <v>0</v>
      </c>
      <c r="BA842" s="59">
        <f t="shared" si="811"/>
        <v>0</v>
      </c>
      <c r="BB842" s="59">
        <f t="shared" si="812"/>
        <v>0</v>
      </c>
      <c r="BC842" s="59">
        <f t="shared" si="813"/>
        <v>0</v>
      </c>
      <c r="BD842" s="60">
        <f t="shared" si="814"/>
        <v>0</v>
      </c>
      <c r="BE842" s="59">
        <f t="shared" si="815"/>
        <v>0</v>
      </c>
      <c r="BQ842" s="61">
        <v>3000</v>
      </c>
      <c r="BR842" s="61">
        <v>1200</v>
      </c>
      <c r="BS842" s="28">
        <f t="shared" si="779"/>
        <v>2980</v>
      </c>
      <c r="BT842" s="28">
        <f t="shared" si="780"/>
        <v>1180</v>
      </c>
      <c r="BU842" s="28" t="s">
        <v>2541</v>
      </c>
      <c r="BV842" s="28">
        <f t="shared" si="781"/>
        <v>5</v>
      </c>
      <c r="BW842" s="28">
        <f t="shared" si="782"/>
        <v>5</v>
      </c>
      <c r="BX842" s="13">
        <f t="shared" si="783"/>
        <v>596</v>
      </c>
      <c r="BY842" s="13">
        <f t="shared" si="784"/>
        <v>596</v>
      </c>
      <c r="BZ842" s="13">
        <f t="shared" si="785"/>
        <v>236</v>
      </c>
      <c r="CA842" s="13">
        <f t="shared" si="786"/>
        <v>236</v>
      </c>
      <c r="CB842" s="13">
        <f t="shared" si="787"/>
        <v>140656</v>
      </c>
      <c r="CC842" s="62" t="str">
        <f t="shared" si="788"/>
        <v/>
      </c>
      <c r="CD842" s="13">
        <f t="shared" si="789"/>
        <v>596</v>
      </c>
      <c r="CE842" s="13">
        <f t="shared" si="790"/>
        <v>596</v>
      </c>
      <c r="CF842" s="13">
        <f t="shared" si="791"/>
        <v>236</v>
      </c>
      <c r="CG842" s="13">
        <f t="shared" si="792"/>
        <v>236</v>
      </c>
      <c r="CH842" s="28">
        <f t="shared" si="793"/>
        <v>140656</v>
      </c>
      <c r="CI842" s="62" t="str">
        <f t="shared" si="794"/>
        <v/>
      </c>
      <c r="CJ842" s="59">
        <f t="shared" si="795"/>
        <v>0</v>
      </c>
      <c r="CL842" s="63">
        <v>6000</v>
      </c>
      <c r="CM842" s="63">
        <f t="shared" si="796"/>
        <v>0</v>
      </c>
      <c r="CN842" s="63">
        <f t="shared" si="797"/>
        <v>5</v>
      </c>
      <c r="CO842" s="63">
        <f t="shared" si="798"/>
        <v>1200</v>
      </c>
      <c r="CP842" s="13">
        <f t="shared" si="799"/>
        <v>1200</v>
      </c>
      <c r="CQ842" s="70">
        <f t="shared" si="800"/>
        <v>8.3333333333333339E-4</v>
      </c>
      <c r="CR842" s="69">
        <f t="shared" si="763"/>
        <v>8.3333333333333339E-4</v>
      </c>
    </row>
    <row r="843" spans="1:96" x14ac:dyDescent="0.25">
      <c r="A843" s="13">
        <v>4</v>
      </c>
      <c r="B843" s="14" t="s">
        <v>1936</v>
      </c>
      <c r="C843" s="13" t="s">
        <v>1937</v>
      </c>
      <c r="D843" s="13" t="s">
        <v>2270</v>
      </c>
      <c r="E843" s="13" t="s">
        <v>52</v>
      </c>
      <c r="F843" s="15">
        <f t="shared" si="769"/>
        <v>1</v>
      </c>
      <c r="G843" s="13">
        <v>1</v>
      </c>
      <c r="H843" s="13">
        <f>G843*$H$842</f>
        <v>1</v>
      </c>
      <c r="I843" s="13">
        <v>1</v>
      </c>
      <c r="J843" s="14" t="s">
        <v>459</v>
      </c>
      <c r="K843" s="14" t="s">
        <v>34</v>
      </c>
      <c r="L843" s="13" t="s">
        <v>194</v>
      </c>
      <c r="M843" s="14" t="s">
        <v>35</v>
      </c>
      <c r="N843" s="13" t="s">
        <v>1938</v>
      </c>
      <c r="O843" s="28" t="s">
        <v>41</v>
      </c>
      <c r="P843" s="28" t="s">
        <v>41</v>
      </c>
      <c r="Q843" s="28" t="s">
        <v>2585</v>
      </c>
      <c r="R843" s="30">
        <v>56.924999999999997</v>
      </c>
      <c r="S843" s="30">
        <v>14.744</v>
      </c>
      <c r="T843" s="30"/>
      <c r="U843" s="30">
        <v>0.06</v>
      </c>
      <c r="V843" s="8">
        <f t="shared" si="770"/>
        <v>1445.8949999999998</v>
      </c>
      <c r="W843" s="8">
        <f t="shared" si="771"/>
        <v>374.49759999999998</v>
      </c>
      <c r="X843" s="8">
        <f t="shared" si="772"/>
        <v>0</v>
      </c>
      <c r="Y843" s="33">
        <f t="shared" si="773"/>
        <v>1.5239999999999998</v>
      </c>
      <c r="Z843" s="28" t="s">
        <v>56</v>
      </c>
      <c r="AA843" s="28" t="s">
        <v>1765</v>
      </c>
      <c r="AB843" s="61" t="s">
        <v>2585</v>
      </c>
      <c r="AC843" s="31" t="s">
        <v>2586</v>
      </c>
      <c r="AD843" s="50">
        <f t="shared" si="774"/>
        <v>1</v>
      </c>
      <c r="AE843" s="31"/>
      <c r="AF843" s="51">
        <v>14</v>
      </c>
      <c r="AG843" s="51">
        <f t="shared" si="802"/>
        <v>8.4</v>
      </c>
      <c r="AH843" s="51">
        <f t="shared" si="768"/>
        <v>42</v>
      </c>
      <c r="AI843" s="52" t="s">
        <v>2497</v>
      </c>
      <c r="AJ843" s="52" t="s">
        <v>2498</v>
      </c>
      <c r="AK843" s="53">
        <f t="shared" si="803"/>
        <v>1.0829684147039997</v>
      </c>
      <c r="AL843" s="54">
        <f t="shared" si="804"/>
        <v>0.11904761904761904</v>
      </c>
      <c r="AM843" s="54">
        <f t="shared" si="805"/>
        <v>2.3809523809523808E-2</v>
      </c>
      <c r="AN843" s="55">
        <f t="shared" si="806"/>
        <v>0.12892481127428568</v>
      </c>
      <c r="AO843" s="55">
        <f t="shared" si="807"/>
        <v>2.5784962254857133E-2</v>
      </c>
      <c r="AP843" s="53">
        <v>7.1</v>
      </c>
      <c r="AQ843" s="53">
        <f t="shared" si="775"/>
        <v>4.26</v>
      </c>
      <c r="AR843" s="53">
        <f t="shared" si="776"/>
        <v>21.299999999999997</v>
      </c>
      <c r="AS843" s="56">
        <f t="shared" si="777"/>
        <v>4.6948356807511742E-2</v>
      </c>
      <c r="AT843" s="56">
        <f t="shared" si="808"/>
        <v>0.23474178403755869</v>
      </c>
      <c r="AU843" s="56">
        <f t="shared" si="778"/>
        <v>0.176056338028169</v>
      </c>
      <c r="AV843" s="56">
        <f t="shared" si="809"/>
        <v>5.8685446009389672E-2</v>
      </c>
      <c r="AW843" s="57"/>
      <c r="AX843" s="57"/>
      <c r="AY843" s="57"/>
      <c r="AZ843" s="58">
        <f t="shared" si="810"/>
        <v>1.0829684147039997</v>
      </c>
      <c r="BA843" s="59">
        <f t="shared" si="811"/>
        <v>0</v>
      </c>
      <c r="BB843" s="59">
        <f t="shared" si="812"/>
        <v>0</v>
      </c>
      <c r="BC843" s="59">
        <f t="shared" si="813"/>
        <v>0</v>
      </c>
      <c r="BD843" s="60">
        <f t="shared" si="814"/>
        <v>0.16666666666666666</v>
      </c>
      <c r="BE843" s="59">
        <f t="shared" si="815"/>
        <v>0.16666666666666666</v>
      </c>
      <c r="BQ843" s="61">
        <v>3000</v>
      </c>
      <c r="BR843" s="61">
        <v>1200</v>
      </c>
      <c r="BS843" s="28">
        <f t="shared" si="779"/>
        <v>2980</v>
      </c>
      <c r="BT843" s="28">
        <f t="shared" si="780"/>
        <v>1180</v>
      </c>
      <c r="BU843" s="28" t="s">
        <v>2541</v>
      </c>
      <c r="BV843" s="28">
        <f t="shared" si="781"/>
        <v>1450.8949999999998</v>
      </c>
      <c r="BW843" s="28">
        <f t="shared" si="782"/>
        <v>379.49759999999998</v>
      </c>
      <c r="BX843" s="13">
        <f t="shared" si="783"/>
        <v>2.0539046588485044</v>
      </c>
      <c r="BY843" s="13">
        <f t="shared" si="784"/>
        <v>2</v>
      </c>
      <c r="BZ843" s="13">
        <f t="shared" si="785"/>
        <v>3.1093740777280279</v>
      </c>
      <c r="CA843" s="13">
        <f t="shared" si="786"/>
        <v>3</v>
      </c>
      <c r="CB843" s="13">
        <f t="shared" si="787"/>
        <v>6</v>
      </c>
      <c r="CC843" s="62">
        <f t="shared" si="788"/>
        <v>0.16666666666666666</v>
      </c>
      <c r="CD843" s="13">
        <f t="shared" si="789"/>
        <v>7.852487077652138</v>
      </c>
      <c r="CE843" s="13">
        <f t="shared" si="790"/>
        <v>7</v>
      </c>
      <c r="CF843" s="13">
        <f t="shared" si="791"/>
        <v>0.81329110652390435</v>
      </c>
      <c r="CG843" s="13">
        <f t="shared" si="792"/>
        <v>0</v>
      </c>
      <c r="CH843" s="28">
        <f t="shared" si="793"/>
        <v>0</v>
      </c>
      <c r="CI843" s="62">
        <f t="shared" si="794"/>
        <v>1</v>
      </c>
      <c r="CJ843" s="59">
        <f t="shared" si="795"/>
        <v>0.16666666666666666</v>
      </c>
      <c r="CL843" s="63">
        <v>6000</v>
      </c>
      <c r="CM843" s="63">
        <f t="shared" si="796"/>
        <v>1445.8949999999998</v>
      </c>
      <c r="CN843" s="63">
        <f t="shared" si="797"/>
        <v>1450.8949999999998</v>
      </c>
      <c r="CO843" s="63">
        <f t="shared" si="798"/>
        <v>4.1353785077486664</v>
      </c>
      <c r="CP843" s="13">
        <f t="shared" si="799"/>
        <v>4</v>
      </c>
      <c r="CQ843" s="70">
        <f t="shared" si="800"/>
        <v>0.25</v>
      </c>
      <c r="CR843" s="69">
        <f t="shared" si="763"/>
        <v>0.25</v>
      </c>
    </row>
    <row r="844" spans="1:96" hidden="1" x14ac:dyDescent="0.25">
      <c r="A844" s="13">
        <v>4</v>
      </c>
      <c r="B844" s="14" t="s">
        <v>1936</v>
      </c>
      <c r="C844" s="13" t="s">
        <v>1939</v>
      </c>
      <c r="D844" s="13" t="s">
        <v>2270</v>
      </c>
      <c r="E844" s="13" t="s">
        <v>52</v>
      </c>
      <c r="F844" s="15">
        <f t="shared" si="769"/>
        <v>4</v>
      </c>
      <c r="G844" s="13">
        <v>1</v>
      </c>
      <c r="H844" s="13">
        <f t="shared" ref="H844:H847" si="816">G844*$H$842</f>
        <v>1</v>
      </c>
      <c r="I844" s="13">
        <v>2</v>
      </c>
      <c r="J844" s="14" t="s">
        <v>1940</v>
      </c>
      <c r="K844" s="14" t="s">
        <v>34</v>
      </c>
      <c r="L844" s="13">
        <v>0</v>
      </c>
      <c r="M844" s="14" t="s">
        <v>35</v>
      </c>
      <c r="N844" s="13" t="s">
        <v>1941</v>
      </c>
      <c r="O844" s="28" t="s">
        <v>41</v>
      </c>
      <c r="P844" s="28" t="s">
        <v>41</v>
      </c>
      <c r="Q844" s="28" t="s">
        <v>124</v>
      </c>
      <c r="R844" s="30">
        <v>53.700787401574807</v>
      </c>
      <c r="S844" s="30">
        <v>2.7165354330708662</v>
      </c>
      <c r="T844" s="30"/>
      <c r="U844" s="30">
        <v>9.8425196850393706E-2</v>
      </c>
      <c r="V844" s="8">
        <f t="shared" si="770"/>
        <v>1364</v>
      </c>
      <c r="W844" s="8">
        <f t="shared" si="771"/>
        <v>69</v>
      </c>
      <c r="X844" s="8">
        <f t="shared" si="772"/>
        <v>0</v>
      </c>
      <c r="Y844" s="33">
        <f t="shared" si="773"/>
        <v>2.5</v>
      </c>
      <c r="Z844" s="28" t="s">
        <v>56</v>
      </c>
      <c r="AA844" s="28" t="s">
        <v>57</v>
      </c>
      <c r="AB844" s="61" t="s">
        <v>124</v>
      </c>
      <c r="AC844" s="31" t="s">
        <v>125</v>
      </c>
      <c r="AD844" s="50">
        <f t="shared" si="774"/>
        <v>1</v>
      </c>
      <c r="AE844" s="31"/>
      <c r="AF844" s="51">
        <v>14</v>
      </c>
      <c r="AG844" s="51">
        <f t="shared" si="802"/>
        <v>8.4</v>
      </c>
      <c r="AH844" s="51">
        <f t="shared" si="768"/>
        <v>42</v>
      </c>
      <c r="AI844" s="52" t="s">
        <v>2497</v>
      </c>
      <c r="AJ844" s="52" t="s">
        <v>2498</v>
      </c>
      <c r="AK844" s="53">
        <f t="shared" si="803"/>
        <v>0.18823200000000001</v>
      </c>
      <c r="AL844" s="54">
        <f t="shared" si="804"/>
        <v>0.11904761904761904</v>
      </c>
      <c r="AM844" s="54">
        <f t="shared" si="805"/>
        <v>2.3809523809523808E-2</v>
      </c>
      <c r="AN844" s="55">
        <f t="shared" si="806"/>
        <v>2.2408571428571427E-2</v>
      </c>
      <c r="AO844" s="55">
        <f t="shared" si="807"/>
        <v>4.4817142857142859E-3</v>
      </c>
      <c r="AP844" s="53">
        <v>7.1</v>
      </c>
      <c r="AQ844" s="53">
        <f t="shared" si="775"/>
        <v>4.26</v>
      </c>
      <c r="AR844" s="53">
        <f t="shared" si="776"/>
        <v>21.299999999999997</v>
      </c>
      <c r="AS844" s="56">
        <f t="shared" si="777"/>
        <v>4.6948356807511742E-2</v>
      </c>
      <c r="AT844" s="56">
        <f t="shared" si="808"/>
        <v>0.23474178403755869</v>
      </c>
      <c r="AU844" s="56">
        <f t="shared" si="778"/>
        <v>0.176056338028169</v>
      </c>
      <c r="AV844" s="56">
        <f t="shared" si="809"/>
        <v>5.8685446009389672E-2</v>
      </c>
      <c r="AW844" s="57"/>
      <c r="AX844" s="57"/>
      <c r="AY844" s="57"/>
      <c r="AZ844" s="58">
        <f t="shared" si="810"/>
        <v>0.18823200000000001</v>
      </c>
      <c r="BA844" s="59">
        <f t="shared" si="811"/>
        <v>0</v>
      </c>
      <c r="BB844" s="59">
        <f t="shared" si="812"/>
        <v>0</v>
      </c>
      <c r="BC844" s="59">
        <f t="shared" si="813"/>
        <v>0</v>
      </c>
      <c r="BD844" s="60">
        <f t="shared" si="814"/>
        <v>3.3333333333333333E-2</v>
      </c>
      <c r="BE844" s="59">
        <f t="shared" si="815"/>
        <v>3.3333333333333333E-2</v>
      </c>
      <c r="BQ844" s="61">
        <v>3000</v>
      </c>
      <c r="BR844" s="61">
        <v>1200</v>
      </c>
      <c r="BS844" s="28">
        <f t="shared" si="779"/>
        <v>2980</v>
      </c>
      <c r="BT844" s="28">
        <f t="shared" si="780"/>
        <v>1180</v>
      </c>
      <c r="BU844" s="28" t="s">
        <v>2541</v>
      </c>
      <c r="BV844" s="28">
        <f t="shared" si="781"/>
        <v>1369</v>
      </c>
      <c r="BW844" s="28">
        <f t="shared" si="782"/>
        <v>74</v>
      </c>
      <c r="BX844" s="13">
        <f t="shared" si="783"/>
        <v>2.1767713659605552</v>
      </c>
      <c r="BY844" s="13">
        <f t="shared" si="784"/>
        <v>2</v>
      </c>
      <c r="BZ844" s="13">
        <f t="shared" si="785"/>
        <v>15.945945945945946</v>
      </c>
      <c r="CA844" s="13">
        <f t="shared" si="786"/>
        <v>15</v>
      </c>
      <c r="CB844" s="13">
        <f t="shared" si="787"/>
        <v>30</v>
      </c>
      <c r="CC844" s="62">
        <f t="shared" si="788"/>
        <v>3.3333333333333333E-2</v>
      </c>
      <c r="CD844" s="13">
        <f t="shared" si="789"/>
        <v>40.270270270270274</v>
      </c>
      <c r="CE844" s="13">
        <f t="shared" si="790"/>
        <v>40</v>
      </c>
      <c r="CF844" s="13">
        <f t="shared" si="791"/>
        <v>0.86194302410518631</v>
      </c>
      <c r="CG844" s="13">
        <f t="shared" si="792"/>
        <v>0</v>
      </c>
      <c r="CH844" s="28">
        <f t="shared" si="793"/>
        <v>0</v>
      </c>
      <c r="CI844" s="62">
        <f t="shared" si="794"/>
        <v>1</v>
      </c>
      <c r="CJ844" s="59">
        <f t="shared" si="795"/>
        <v>3.3333333333333333E-2</v>
      </c>
      <c r="CL844" s="63">
        <v>6000</v>
      </c>
      <c r="CM844" s="63">
        <f t="shared" si="796"/>
        <v>1364</v>
      </c>
      <c r="CN844" s="63">
        <f t="shared" si="797"/>
        <v>1369</v>
      </c>
      <c r="CO844" s="63">
        <f t="shared" si="798"/>
        <v>4.3827611395178963</v>
      </c>
      <c r="CP844" s="13">
        <f t="shared" si="799"/>
        <v>4</v>
      </c>
      <c r="CQ844" s="70">
        <f t="shared" si="800"/>
        <v>0.25</v>
      </c>
      <c r="CR844" s="69">
        <f t="shared" si="763"/>
        <v>0.25</v>
      </c>
    </row>
    <row r="845" spans="1:96" x14ac:dyDescent="0.25">
      <c r="A845" s="13">
        <v>4</v>
      </c>
      <c r="B845" s="14" t="s">
        <v>1936</v>
      </c>
      <c r="C845" s="13" t="s">
        <v>1942</v>
      </c>
      <c r="D845" s="13" t="s">
        <v>2270</v>
      </c>
      <c r="E845" s="13" t="s">
        <v>52</v>
      </c>
      <c r="F845" s="15">
        <f t="shared" si="769"/>
        <v>4</v>
      </c>
      <c r="G845" s="13">
        <v>2</v>
      </c>
      <c r="H845" s="13">
        <f t="shared" si="816"/>
        <v>2</v>
      </c>
      <c r="I845" s="13">
        <v>3</v>
      </c>
      <c r="J845" s="14" t="s">
        <v>119</v>
      </c>
      <c r="K845" s="14" t="s">
        <v>34</v>
      </c>
      <c r="L845" s="13" t="s">
        <v>110</v>
      </c>
      <c r="M845" s="14" t="s">
        <v>35</v>
      </c>
      <c r="N845" s="13" t="s">
        <v>1943</v>
      </c>
      <c r="O845" s="28" t="s">
        <v>41</v>
      </c>
      <c r="P845" s="28" t="s">
        <v>41</v>
      </c>
      <c r="Q845" s="28" t="s">
        <v>2585</v>
      </c>
      <c r="R845" s="30">
        <v>12</v>
      </c>
      <c r="S845" s="30">
        <v>1.292</v>
      </c>
      <c r="T845" s="30"/>
      <c r="U845" s="30">
        <v>0.06</v>
      </c>
      <c r="V845" s="8">
        <f t="shared" si="770"/>
        <v>304.79999999999995</v>
      </c>
      <c r="W845" s="8">
        <f t="shared" si="771"/>
        <v>32.816800000000001</v>
      </c>
      <c r="X845" s="8">
        <f t="shared" si="772"/>
        <v>0</v>
      </c>
      <c r="Y845" s="33">
        <f t="shared" si="773"/>
        <v>1.5239999999999998</v>
      </c>
      <c r="Z845" s="28" t="s">
        <v>56</v>
      </c>
      <c r="AA845" s="28" t="s">
        <v>1765</v>
      </c>
      <c r="AB845" s="61" t="s">
        <v>2585</v>
      </c>
      <c r="AC845" s="31" t="s">
        <v>2586</v>
      </c>
      <c r="AD845" s="50">
        <f t="shared" si="774"/>
        <v>2</v>
      </c>
      <c r="AE845" s="31"/>
      <c r="AF845" s="51">
        <v>14</v>
      </c>
      <c r="AG845" s="51">
        <f t="shared" si="802"/>
        <v>8.4</v>
      </c>
      <c r="AH845" s="51">
        <f t="shared" si="768"/>
        <v>42</v>
      </c>
      <c r="AI845" s="52" t="s">
        <v>2497</v>
      </c>
      <c r="AJ845" s="52" t="s">
        <v>2498</v>
      </c>
      <c r="AK845" s="53">
        <f t="shared" si="803"/>
        <v>2.0005121279999996E-2</v>
      </c>
      <c r="AL845" s="54">
        <f t="shared" si="804"/>
        <v>0.11904761904761904</v>
      </c>
      <c r="AM845" s="54">
        <f t="shared" si="805"/>
        <v>2.3809523809523808E-2</v>
      </c>
      <c r="AN845" s="55">
        <f t="shared" si="806"/>
        <v>4.7631241142857134E-3</v>
      </c>
      <c r="AO845" s="55">
        <f t="shared" si="807"/>
        <v>9.5262482285714267E-4</v>
      </c>
      <c r="AP845" s="53">
        <v>7.1</v>
      </c>
      <c r="AQ845" s="53">
        <f t="shared" si="775"/>
        <v>4.26</v>
      </c>
      <c r="AR845" s="53">
        <f t="shared" si="776"/>
        <v>21.299999999999997</v>
      </c>
      <c r="AS845" s="56">
        <f t="shared" si="777"/>
        <v>4.6948356807511742E-2</v>
      </c>
      <c r="AT845" s="56">
        <f t="shared" si="808"/>
        <v>0.23474178403755869</v>
      </c>
      <c r="AU845" s="56">
        <f t="shared" si="778"/>
        <v>0.176056338028169</v>
      </c>
      <c r="AV845" s="56">
        <f t="shared" si="809"/>
        <v>5.8685446009389672E-2</v>
      </c>
      <c r="AW845" s="57"/>
      <c r="AX845" s="57"/>
      <c r="AY845" s="57"/>
      <c r="AZ845" s="58">
        <f t="shared" si="810"/>
        <v>2.0005121279999996E-2</v>
      </c>
      <c r="BA845" s="59">
        <f t="shared" si="811"/>
        <v>0</v>
      </c>
      <c r="BB845" s="59">
        <f t="shared" si="812"/>
        <v>0</v>
      </c>
      <c r="BC845" s="59">
        <f t="shared" si="813"/>
        <v>0</v>
      </c>
      <c r="BD845" s="60">
        <f t="shared" si="814"/>
        <v>3.5842293906810036E-3</v>
      </c>
      <c r="BE845" s="59">
        <f t="shared" si="815"/>
        <v>7.1684587813620072E-3</v>
      </c>
      <c r="BQ845" s="61">
        <v>3000</v>
      </c>
      <c r="BR845" s="61">
        <v>1200</v>
      </c>
      <c r="BS845" s="28">
        <f t="shared" si="779"/>
        <v>2980</v>
      </c>
      <c r="BT845" s="28">
        <f t="shared" si="780"/>
        <v>1180</v>
      </c>
      <c r="BU845" s="28" t="s">
        <v>2541</v>
      </c>
      <c r="BV845" s="28">
        <f t="shared" si="781"/>
        <v>309.79999999999995</v>
      </c>
      <c r="BW845" s="28">
        <f t="shared" si="782"/>
        <v>37.816800000000001</v>
      </c>
      <c r="BX845" s="13">
        <f t="shared" si="783"/>
        <v>9.6191091026468705</v>
      </c>
      <c r="BY845" s="13">
        <f t="shared" si="784"/>
        <v>9</v>
      </c>
      <c r="BZ845" s="13">
        <f t="shared" si="785"/>
        <v>31.203063188847285</v>
      </c>
      <c r="CA845" s="13">
        <f t="shared" si="786"/>
        <v>31</v>
      </c>
      <c r="CB845" s="13">
        <f t="shared" si="787"/>
        <v>279</v>
      </c>
      <c r="CC845" s="62">
        <f t="shared" si="788"/>
        <v>3.5842293906810036E-3</v>
      </c>
      <c r="CD845" s="13">
        <f t="shared" si="789"/>
        <v>78.800956188783815</v>
      </c>
      <c r="CE845" s="13">
        <f t="shared" si="790"/>
        <v>78</v>
      </c>
      <c r="CF845" s="13">
        <f t="shared" si="791"/>
        <v>3.8089089735313113</v>
      </c>
      <c r="CG845" s="13">
        <f t="shared" si="792"/>
        <v>3</v>
      </c>
      <c r="CH845" s="28">
        <f t="shared" si="793"/>
        <v>234</v>
      </c>
      <c r="CI845" s="62">
        <f t="shared" si="794"/>
        <v>4.2735042735042739E-3</v>
      </c>
      <c r="CJ845" s="59">
        <f t="shared" si="795"/>
        <v>3.5842293906810036E-3</v>
      </c>
      <c r="CL845" s="63">
        <v>6000</v>
      </c>
      <c r="CM845" s="63">
        <f t="shared" si="796"/>
        <v>304.79999999999995</v>
      </c>
      <c r="CN845" s="63">
        <f t="shared" si="797"/>
        <v>309.79999999999995</v>
      </c>
      <c r="CO845" s="63">
        <f t="shared" si="798"/>
        <v>19.367333763718531</v>
      </c>
      <c r="CP845" s="13">
        <f t="shared" si="799"/>
        <v>19</v>
      </c>
      <c r="CQ845" s="70">
        <f t="shared" si="800"/>
        <v>5.2631578947368418E-2</v>
      </c>
      <c r="CR845" s="69">
        <f t="shared" si="763"/>
        <v>0.10526315789473684</v>
      </c>
    </row>
    <row r="846" spans="1:96" hidden="1" x14ac:dyDescent="0.25">
      <c r="A846" s="13">
        <v>4</v>
      </c>
      <c r="B846" s="14" t="s">
        <v>1936</v>
      </c>
      <c r="C846" s="13" t="s">
        <v>1944</v>
      </c>
      <c r="D846" s="13" t="s">
        <v>1946</v>
      </c>
      <c r="E846" s="13" t="s">
        <v>52</v>
      </c>
      <c r="F846" s="15">
        <f t="shared" si="769"/>
        <v>4</v>
      </c>
      <c r="G846" s="13">
        <v>2</v>
      </c>
      <c r="H846" s="13">
        <f t="shared" si="816"/>
        <v>2</v>
      </c>
      <c r="I846" s="13">
        <v>4</v>
      </c>
      <c r="J846" s="14" t="s">
        <v>1945</v>
      </c>
      <c r="K846" s="14" t="s">
        <v>34</v>
      </c>
      <c r="L846" s="13">
        <v>0</v>
      </c>
      <c r="M846" s="14" t="s">
        <v>35</v>
      </c>
      <c r="N846" s="13" t="s">
        <v>1946</v>
      </c>
      <c r="O846" s="28" t="s">
        <v>41</v>
      </c>
      <c r="P846" s="28" t="s">
        <v>41</v>
      </c>
      <c r="Q846" s="28" t="s">
        <v>116</v>
      </c>
      <c r="R846" s="30">
        <v>3</v>
      </c>
      <c r="S846" s="30">
        <v>1.5433070866141734</v>
      </c>
      <c r="T846" s="30"/>
      <c r="U846" s="30">
        <v>0.11799999999999999</v>
      </c>
      <c r="V846" s="8">
        <f t="shared" si="770"/>
        <v>76.199999999999989</v>
      </c>
      <c r="W846" s="8">
        <f t="shared" si="771"/>
        <v>39.200000000000003</v>
      </c>
      <c r="X846" s="8">
        <f t="shared" si="772"/>
        <v>0</v>
      </c>
      <c r="Y846" s="33">
        <f t="shared" si="773"/>
        <v>2.9971999999999999</v>
      </c>
      <c r="Z846" s="28" t="s">
        <v>56</v>
      </c>
      <c r="AA846" s="28" t="s">
        <v>57</v>
      </c>
      <c r="AB846" s="28" t="s">
        <v>116</v>
      </c>
      <c r="AC846" s="31" t="s">
        <v>117</v>
      </c>
      <c r="AD846" s="50">
        <f t="shared" si="774"/>
        <v>2</v>
      </c>
      <c r="AE846" s="31"/>
      <c r="AF846" s="51">
        <v>14</v>
      </c>
      <c r="AG846" s="51">
        <f t="shared" si="802"/>
        <v>8.4</v>
      </c>
      <c r="AH846" s="51">
        <f t="shared" si="768"/>
        <v>42</v>
      </c>
      <c r="AI846" s="52" t="s">
        <v>2497</v>
      </c>
      <c r="AJ846" s="52" t="s">
        <v>2498</v>
      </c>
      <c r="AK846" s="53">
        <f t="shared" si="803"/>
        <v>5.9740799999999997E-3</v>
      </c>
      <c r="AL846" s="54">
        <f t="shared" si="804"/>
        <v>0.11904761904761904</v>
      </c>
      <c r="AM846" s="54">
        <f t="shared" si="805"/>
        <v>2.3809523809523808E-2</v>
      </c>
      <c r="AN846" s="55">
        <f t="shared" si="806"/>
        <v>1.4223999999999999E-3</v>
      </c>
      <c r="AO846" s="55">
        <f t="shared" si="807"/>
        <v>2.8447999999999999E-4</v>
      </c>
      <c r="AP846" s="53">
        <v>7.1</v>
      </c>
      <c r="AQ846" s="53">
        <f t="shared" si="775"/>
        <v>4.26</v>
      </c>
      <c r="AR846" s="53">
        <f t="shared" si="776"/>
        <v>21.299999999999997</v>
      </c>
      <c r="AS846" s="56">
        <f t="shared" si="777"/>
        <v>4.6948356807511742E-2</v>
      </c>
      <c r="AT846" s="56">
        <f t="shared" si="808"/>
        <v>0.23474178403755869</v>
      </c>
      <c r="AU846" s="56">
        <f t="shared" si="778"/>
        <v>0.176056338028169</v>
      </c>
      <c r="AV846" s="56">
        <f t="shared" si="809"/>
        <v>5.8685446009389672E-2</v>
      </c>
      <c r="AW846" s="57"/>
      <c r="AX846" s="57"/>
      <c r="AY846" s="57"/>
      <c r="AZ846" s="58">
        <f t="shared" si="810"/>
        <v>5.9740799999999997E-3</v>
      </c>
      <c r="BA846" s="59">
        <f t="shared" si="811"/>
        <v>0</v>
      </c>
      <c r="BB846" s="59">
        <f t="shared" si="812"/>
        <v>0</v>
      </c>
      <c r="BC846" s="59">
        <f t="shared" si="813"/>
        <v>0</v>
      </c>
      <c r="BD846" s="60">
        <f t="shared" si="814"/>
        <v>1.0660980810234541E-3</v>
      </c>
      <c r="BE846" s="59">
        <f t="shared" si="815"/>
        <v>2.1321961620469083E-3</v>
      </c>
      <c r="BQ846" s="61">
        <v>3000</v>
      </c>
      <c r="BR846" s="61">
        <v>1200</v>
      </c>
      <c r="BS846" s="28">
        <f t="shared" si="779"/>
        <v>2980</v>
      </c>
      <c r="BT846" s="28">
        <f t="shared" si="780"/>
        <v>1180</v>
      </c>
      <c r="BU846" s="28" t="s">
        <v>2541</v>
      </c>
      <c r="BV846" s="28">
        <f t="shared" si="781"/>
        <v>81.199999999999989</v>
      </c>
      <c r="BW846" s="28">
        <f t="shared" si="782"/>
        <v>44.2</v>
      </c>
      <c r="BX846" s="13">
        <f t="shared" si="783"/>
        <v>36.699507389162569</v>
      </c>
      <c r="BY846" s="13">
        <f t="shared" si="784"/>
        <v>36</v>
      </c>
      <c r="BZ846" s="13">
        <f t="shared" si="785"/>
        <v>26.696832579185518</v>
      </c>
      <c r="CA846" s="13">
        <f t="shared" si="786"/>
        <v>26</v>
      </c>
      <c r="CB846" s="13">
        <f t="shared" si="787"/>
        <v>936</v>
      </c>
      <c r="CC846" s="62">
        <f t="shared" si="788"/>
        <v>1.0683760683760685E-3</v>
      </c>
      <c r="CD846" s="13">
        <f t="shared" si="789"/>
        <v>67.420814479638011</v>
      </c>
      <c r="CE846" s="13">
        <f t="shared" si="790"/>
        <v>67</v>
      </c>
      <c r="CF846" s="13">
        <f t="shared" si="791"/>
        <v>14.5320197044335</v>
      </c>
      <c r="CG846" s="13">
        <f t="shared" si="792"/>
        <v>14</v>
      </c>
      <c r="CH846" s="28">
        <f t="shared" si="793"/>
        <v>938</v>
      </c>
      <c r="CI846" s="62">
        <f t="shared" si="794"/>
        <v>1.0660980810234541E-3</v>
      </c>
      <c r="CJ846" s="59">
        <f t="shared" si="795"/>
        <v>1.0660980810234541E-3</v>
      </c>
      <c r="CL846" s="63">
        <v>6000</v>
      </c>
      <c r="CM846" s="63">
        <f t="shared" si="796"/>
        <v>76.199999999999989</v>
      </c>
      <c r="CN846" s="63">
        <f t="shared" si="797"/>
        <v>81.199999999999989</v>
      </c>
      <c r="CO846" s="63">
        <f t="shared" si="798"/>
        <v>73.891625615763559</v>
      </c>
      <c r="CP846" s="13">
        <f t="shared" si="799"/>
        <v>73</v>
      </c>
      <c r="CQ846" s="70">
        <f t="shared" si="800"/>
        <v>1.3698630136986301E-2</v>
      </c>
      <c r="CR846" s="69">
        <f t="shared" si="763"/>
        <v>2.7397260273972601E-2</v>
      </c>
    </row>
    <row r="847" spans="1:96" hidden="1" x14ac:dyDescent="0.25">
      <c r="A847" s="13">
        <v>4</v>
      </c>
      <c r="B847" s="14" t="s">
        <v>1936</v>
      </c>
      <c r="C847" s="13" t="s">
        <v>530</v>
      </c>
      <c r="D847" s="13" t="s">
        <v>532</v>
      </c>
      <c r="E847" s="13" t="s">
        <v>32</v>
      </c>
      <c r="F847" s="15">
        <f t="shared" si="769"/>
        <v>21</v>
      </c>
      <c r="G847" s="13">
        <v>1</v>
      </c>
      <c r="H847" s="13">
        <f t="shared" si="816"/>
        <v>1</v>
      </c>
      <c r="I847" s="13">
        <v>5</v>
      </c>
      <c r="J847" s="14" t="s">
        <v>531</v>
      </c>
      <c r="K847" s="14" t="s">
        <v>34</v>
      </c>
      <c r="L847" s="13" t="s">
        <v>110</v>
      </c>
      <c r="M847" s="14" t="s">
        <v>35</v>
      </c>
      <c r="N847" s="13" t="s">
        <v>532</v>
      </c>
      <c r="O847" s="28" t="s">
        <v>41</v>
      </c>
      <c r="P847" s="28" t="s">
        <v>41</v>
      </c>
      <c r="Q847" s="28"/>
      <c r="R847" s="30"/>
      <c r="S847" s="30"/>
      <c r="T847" s="30"/>
      <c r="U847" s="30"/>
      <c r="V847" s="8">
        <f t="shared" si="770"/>
        <v>0</v>
      </c>
      <c r="W847" s="8">
        <f t="shared" si="771"/>
        <v>0</v>
      </c>
      <c r="X847" s="8">
        <f t="shared" si="772"/>
        <v>0</v>
      </c>
      <c r="Y847" s="33">
        <f t="shared" si="773"/>
        <v>0</v>
      </c>
      <c r="Z847" s="28"/>
      <c r="AA847" s="28"/>
      <c r="AB847" s="28">
        <v>0</v>
      </c>
      <c r="AC847" s="31"/>
      <c r="AD847" s="50">
        <f t="shared" si="774"/>
        <v>1</v>
      </c>
      <c r="AE847" s="31"/>
      <c r="AF847" s="51">
        <v>14</v>
      </c>
      <c r="AG847" s="51">
        <f t="shared" si="802"/>
        <v>8.4</v>
      </c>
      <c r="AH847" s="51">
        <f t="shared" si="768"/>
        <v>42</v>
      </c>
      <c r="AI847" s="52" t="s">
        <v>2497</v>
      </c>
      <c r="AJ847" s="52" t="s">
        <v>2498</v>
      </c>
      <c r="AK847" s="53">
        <f t="shared" si="803"/>
        <v>0</v>
      </c>
      <c r="AL847" s="54">
        <f t="shared" si="804"/>
        <v>0.11904761904761904</v>
      </c>
      <c r="AM847" s="54">
        <f t="shared" si="805"/>
        <v>2.3809523809523808E-2</v>
      </c>
      <c r="AN847" s="55">
        <f t="shared" si="806"/>
        <v>0</v>
      </c>
      <c r="AO847" s="55">
        <f t="shared" si="807"/>
        <v>0</v>
      </c>
      <c r="AP847" s="53">
        <v>7.1</v>
      </c>
      <c r="AQ847" s="53">
        <f t="shared" si="775"/>
        <v>4.26</v>
      </c>
      <c r="AR847" s="53">
        <f t="shared" si="776"/>
        <v>21.299999999999997</v>
      </c>
      <c r="AS847" s="56">
        <f t="shared" si="777"/>
        <v>4.6948356807511742E-2</v>
      </c>
      <c r="AT847" s="56">
        <f t="shared" si="808"/>
        <v>0.23474178403755869</v>
      </c>
      <c r="AU847" s="56">
        <f t="shared" si="778"/>
        <v>0.176056338028169</v>
      </c>
      <c r="AV847" s="56">
        <f t="shared" si="809"/>
        <v>5.8685446009389672E-2</v>
      </c>
      <c r="AW847" s="57"/>
      <c r="AX847" s="57"/>
      <c r="AY847" s="57"/>
      <c r="AZ847" s="58">
        <f t="shared" si="810"/>
        <v>0</v>
      </c>
      <c r="BA847" s="59">
        <f t="shared" si="811"/>
        <v>0</v>
      </c>
      <c r="BB847" s="59">
        <f t="shared" si="812"/>
        <v>0</v>
      </c>
      <c r="BC847" s="59">
        <f t="shared" si="813"/>
        <v>0</v>
      </c>
      <c r="BD847" s="60">
        <f t="shared" si="814"/>
        <v>0</v>
      </c>
      <c r="BE847" s="59">
        <f t="shared" si="815"/>
        <v>0</v>
      </c>
      <c r="BQ847" s="61">
        <v>3000</v>
      </c>
      <c r="BR847" s="61">
        <v>1200</v>
      </c>
      <c r="BS847" s="28">
        <f t="shared" si="779"/>
        <v>2980</v>
      </c>
      <c r="BT847" s="28">
        <f t="shared" si="780"/>
        <v>1180</v>
      </c>
      <c r="BU847" s="28" t="s">
        <v>2541</v>
      </c>
      <c r="BV847" s="28">
        <f t="shared" si="781"/>
        <v>5</v>
      </c>
      <c r="BW847" s="28">
        <f t="shared" si="782"/>
        <v>5</v>
      </c>
      <c r="BX847" s="13">
        <f t="shared" si="783"/>
        <v>596</v>
      </c>
      <c r="BY847" s="13">
        <f t="shared" si="784"/>
        <v>596</v>
      </c>
      <c r="BZ847" s="13">
        <f t="shared" si="785"/>
        <v>236</v>
      </c>
      <c r="CA847" s="13">
        <f t="shared" si="786"/>
        <v>236</v>
      </c>
      <c r="CB847" s="13">
        <f t="shared" si="787"/>
        <v>140656</v>
      </c>
      <c r="CC847" s="62" t="str">
        <f t="shared" si="788"/>
        <v/>
      </c>
      <c r="CD847" s="13">
        <f t="shared" si="789"/>
        <v>596</v>
      </c>
      <c r="CE847" s="13">
        <f t="shared" si="790"/>
        <v>596</v>
      </c>
      <c r="CF847" s="13">
        <f t="shared" si="791"/>
        <v>236</v>
      </c>
      <c r="CG847" s="13">
        <f t="shared" si="792"/>
        <v>236</v>
      </c>
      <c r="CH847" s="28">
        <f t="shared" si="793"/>
        <v>140656</v>
      </c>
      <c r="CI847" s="62" t="str">
        <f t="shared" si="794"/>
        <v/>
      </c>
      <c r="CJ847" s="59">
        <f t="shared" si="795"/>
        <v>0</v>
      </c>
      <c r="CL847" s="63">
        <v>6000</v>
      </c>
      <c r="CM847" s="63">
        <f t="shared" si="796"/>
        <v>0</v>
      </c>
      <c r="CN847" s="63">
        <f t="shared" si="797"/>
        <v>5</v>
      </c>
      <c r="CO847" s="63">
        <f t="shared" si="798"/>
        <v>1200</v>
      </c>
      <c r="CP847" s="13">
        <f t="shared" si="799"/>
        <v>1200</v>
      </c>
      <c r="CQ847" s="70">
        <f t="shared" si="800"/>
        <v>8.3333333333333339E-4</v>
      </c>
      <c r="CR847" s="69">
        <f t="shared" si="763"/>
        <v>8.3333333333333339E-4</v>
      </c>
    </row>
    <row r="848" spans="1:96" hidden="1" x14ac:dyDescent="0.25">
      <c r="A848" s="17">
        <v>5</v>
      </c>
      <c r="B848" s="6" t="s">
        <v>769</v>
      </c>
      <c r="C848" s="17" t="s">
        <v>534</v>
      </c>
      <c r="D848" s="17" t="s">
        <v>2270</v>
      </c>
      <c r="E848" s="17" t="s">
        <v>52</v>
      </c>
      <c r="F848" s="7">
        <f t="shared" si="769"/>
        <v>21</v>
      </c>
      <c r="G848" s="17">
        <v>1</v>
      </c>
      <c r="H848" s="17">
        <f>G848*$H$847</f>
        <v>1</v>
      </c>
      <c r="I848" s="17">
        <v>1</v>
      </c>
      <c r="J848" s="6" t="s">
        <v>101</v>
      </c>
      <c r="K848" s="6" t="s">
        <v>34</v>
      </c>
      <c r="L848" s="17" t="s">
        <v>110</v>
      </c>
      <c r="M848" s="6" t="s">
        <v>35</v>
      </c>
      <c r="N848" s="17" t="s">
        <v>535</v>
      </c>
      <c r="O848" s="28" t="s">
        <v>41</v>
      </c>
      <c r="P848" s="28" t="s">
        <v>41</v>
      </c>
      <c r="Q848" s="28" t="s">
        <v>535</v>
      </c>
      <c r="R848" s="30">
        <v>0.98</v>
      </c>
      <c r="S848" s="30">
        <v>0.98</v>
      </c>
      <c r="T848" s="30"/>
      <c r="U848" s="30">
        <v>0.11811023622047245</v>
      </c>
      <c r="V848" s="8">
        <f t="shared" si="770"/>
        <v>24.891999999999999</v>
      </c>
      <c r="W848" s="8">
        <f t="shared" si="771"/>
        <v>24.891999999999999</v>
      </c>
      <c r="X848" s="8">
        <f t="shared" si="772"/>
        <v>0</v>
      </c>
      <c r="Y848" s="33">
        <f t="shared" si="773"/>
        <v>3</v>
      </c>
      <c r="Z848" s="28" t="s">
        <v>536</v>
      </c>
      <c r="AA848" s="28" t="s">
        <v>537</v>
      </c>
      <c r="AB848" s="61" t="s">
        <v>535</v>
      </c>
      <c r="AC848" s="31" t="s">
        <v>538</v>
      </c>
      <c r="AD848" s="50">
        <f t="shared" si="774"/>
        <v>1</v>
      </c>
      <c r="AE848" s="31"/>
      <c r="AF848" s="51">
        <v>14</v>
      </c>
      <c r="AG848" s="51">
        <f t="shared" si="802"/>
        <v>8.4</v>
      </c>
      <c r="AH848" s="51">
        <f t="shared" si="768"/>
        <v>42</v>
      </c>
      <c r="AI848" s="52" t="s">
        <v>2497</v>
      </c>
      <c r="AJ848" s="52" t="s">
        <v>2498</v>
      </c>
      <c r="AK848" s="53">
        <f t="shared" si="803"/>
        <v>1.239223328E-3</v>
      </c>
      <c r="AL848" s="54">
        <f t="shared" si="804"/>
        <v>0.11904761904761904</v>
      </c>
      <c r="AM848" s="54">
        <f t="shared" si="805"/>
        <v>2.3809523809523808E-2</v>
      </c>
      <c r="AN848" s="55">
        <f t="shared" si="806"/>
        <v>1.4752658666666667E-4</v>
      </c>
      <c r="AO848" s="55">
        <f t="shared" si="807"/>
        <v>2.9505317333333333E-5</v>
      </c>
      <c r="AP848" s="53">
        <v>7.1</v>
      </c>
      <c r="AQ848" s="53">
        <f t="shared" si="775"/>
        <v>4.26</v>
      </c>
      <c r="AR848" s="53">
        <f t="shared" si="776"/>
        <v>21.299999999999997</v>
      </c>
      <c r="AS848" s="56">
        <f t="shared" si="777"/>
        <v>4.6948356807511742E-2</v>
      </c>
      <c r="AT848" s="56">
        <f t="shared" si="808"/>
        <v>0.23474178403755869</v>
      </c>
      <c r="AU848" s="56">
        <f t="shared" si="778"/>
        <v>0.176056338028169</v>
      </c>
      <c r="AV848" s="56">
        <f t="shared" si="809"/>
        <v>5.8685446009389672E-2</v>
      </c>
      <c r="AW848" s="57"/>
      <c r="AX848" s="57"/>
      <c r="AY848" s="57"/>
      <c r="AZ848" s="58">
        <f t="shared" si="810"/>
        <v>1.239223328E-3</v>
      </c>
      <c r="BA848" s="59">
        <f t="shared" si="811"/>
        <v>0</v>
      </c>
      <c r="BB848" s="59">
        <f t="shared" si="812"/>
        <v>0</v>
      </c>
      <c r="BC848" s="59">
        <f t="shared" si="813"/>
        <v>0</v>
      </c>
      <c r="BD848" s="60">
        <f t="shared" si="814"/>
        <v>2.5900025900025902E-4</v>
      </c>
      <c r="BE848" s="59">
        <f t="shared" si="815"/>
        <v>2.5900025900025902E-4</v>
      </c>
      <c r="BQ848" s="61">
        <v>3000</v>
      </c>
      <c r="BR848" s="61">
        <v>1200</v>
      </c>
      <c r="BS848" s="28">
        <f t="shared" si="779"/>
        <v>2980</v>
      </c>
      <c r="BT848" s="28">
        <f t="shared" si="780"/>
        <v>1180</v>
      </c>
      <c r="BU848" s="28" t="s">
        <v>2541</v>
      </c>
      <c r="BV848" s="28">
        <f t="shared" si="781"/>
        <v>29.891999999999999</v>
      </c>
      <c r="BW848" s="28">
        <f t="shared" si="782"/>
        <v>29.891999999999999</v>
      </c>
      <c r="BX848" s="13">
        <f t="shared" si="783"/>
        <v>99.692225344573799</v>
      </c>
      <c r="BY848" s="13">
        <f t="shared" si="784"/>
        <v>99</v>
      </c>
      <c r="BZ848" s="13">
        <f t="shared" si="785"/>
        <v>39.475444935099695</v>
      </c>
      <c r="CA848" s="13">
        <f t="shared" si="786"/>
        <v>39</v>
      </c>
      <c r="CB848" s="13">
        <f t="shared" si="787"/>
        <v>3861</v>
      </c>
      <c r="CC848" s="62">
        <f t="shared" si="788"/>
        <v>2.5900025900025902E-4</v>
      </c>
      <c r="CD848" s="13">
        <f t="shared" si="789"/>
        <v>99.692225344573799</v>
      </c>
      <c r="CE848" s="13">
        <f t="shared" si="790"/>
        <v>99</v>
      </c>
      <c r="CF848" s="13">
        <f t="shared" si="791"/>
        <v>39.475444935099695</v>
      </c>
      <c r="CG848" s="13">
        <f t="shared" si="792"/>
        <v>39</v>
      </c>
      <c r="CH848" s="28">
        <f t="shared" si="793"/>
        <v>3861</v>
      </c>
      <c r="CI848" s="62">
        <f t="shared" si="794"/>
        <v>2.5900025900025902E-4</v>
      </c>
      <c r="CJ848" s="59">
        <f t="shared" si="795"/>
        <v>2.5900025900025902E-4</v>
      </c>
      <c r="CL848" s="63">
        <v>6000</v>
      </c>
      <c r="CM848" s="63">
        <f t="shared" si="796"/>
        <v>24.891999999999999</v>
      </c>
      <c r="CN848" s="63">
        <f t="shared" si="797"/>
        <v>29.891999999999999</v>
      </c>
      <c r="CO848" s="63">
        <f t="shared" si="798"/>
        <v>200.72260136491369</v>
      </c>
      <c r="CP848" s="13">
        <f t="shared" si="799"/>
        <v>200</v>
      </c>
      <c r="CQ848" s="70">
        <f t="shared" si="800"/>
        <v>5.0000000000000001E-3</v>
      </c>
      <c r="CR848" s="69">
        <f t="shared" si="763"/>
        <v>5.0000000000000001E-3</v>
      </c>
    </row>
    <row r="849" spans="1:96" hidden="1" x14ac:dyDescent="0.25">
      <c r="A849" s="17">
        <v>5</v>
      </c>
      <c r="B849" s="6" t="s">
        <v>769</v>
      </c>
      <c r="C849" s="17" t="s">
        <v>539</v>
      </c>
      <c r="D849" s="17" t="s">
        <v>2270</v>
      </c>
      <c r="E849" s="17" t="s">
        <v>52</v>
      </c>
      <c r="F849" s="7">
        <f t="shared" si="769"/>
        <v>21</v>
      </c>
      <c r="G849" s="17">
        <v>1</v>
      </c>
      <c r="H849" s="17">
        <f>G849*$H$847</f>
        <v>1</v>
      </c>
      <c r="I849" s="17">
        <v>2</v>
      </c>
      <c r="J849" s="6" t="s">
        <v>101</v>
      </c>
      <c r="K849" s="6" t="s">
        <v>34</v>
      </c>
      <c r="L849" s="17" t="s">
        <v>110</v>
      </c>
      <c r="M849" s="6" t="s">
        <v>35</v>
      </c>
      <c r="N849" s="17" t="s">
        <v>540</v>
      </c>
      <c r="O849" s="28" t="s">
        <v>41</v>
      </c>
      <c r="P849" s="28" t="s">
        <v>41</v>
      </c>
      <c r="Q849" s="28" t="s">
        <v>540</v>
      </c>
      <c r="R849" s="30">
        <v>0.98</v>
      </c>
      <c r="S849" s="30">
        <v>0.98</v>
      </c>
      <c r="T849" s="30"/>
      <c r="U849" s="30">
        <v>0.47244094488188981</v>
      </c>
      <c r="V849" s="8">
        <f t="shared" si="770"/>
        <v>24.891999999999999</v>
      </c>
      <c r="W849" s="8">
        <f t="shared" si="771"/>
        <v>24.891999999999999</v>
      </c>
      <c r="X849" s="8">
        <f t="shared" si="772"/>
        <v>0</v>
      </c>
      <c r="Y849" s="33">
        <f t="shared" si="773"/>
        <v>12</v>
      </c>
      <c r="Z849" s="28" t="s">
        <v>731</v>
      </c>
      <c r="AA849" s="28" t="s">
        <v>251</v>
      </c>
      <c r="AB849" s="61" t="s">
        <v>540</v>
      </c>
      <c r="AC849" s="31" t="s">
        <v>541</v>
      </c>
      <c r="AD849" s="50">
        <f t="shared" si="774"/>
        <v>1</v>
      </c>
      <c r="AE849" s="31"/>
      <c r="AF849" s="51">
        <v>14</v>
      </c>
      <c r="AG849" s="51">
        <f t="shared" si="802"/>
        <v>8.4</v>
      </c>
      <c r="AH849" s="51">
        <f t="shared" si="768"/>
        <v>42</v>
      </c>
      <c r="AI849" s="52" t="s">
        <v>2497</v>
      </c>
      <c r="AJ849" s="52" t="s">
        <v>2498</v>
      </c>
      <c r="AK849" s="53">
        <f t="shared" si="803"/>
        <v>1.239223328E-3</v>
      </c>
      <c r="AL849" s="54">
        <f t="shared" si="804"/>
        <v>0.11904761904761904</v>
      </c>
      <c r="AM849" s="54">
        <f t="shared" si="805"/>
        <v>2.3809523809523808E-2</v>
      </c>
      <c r="AN849" s="55">
        <f t="shared" si="806"/>
        <v>1.4752658666666667E-4</v>
      </c>
      <c r="AO849" s="55">
        <f t="shared" si="807"/>
        <v>2.9505317333333333E-5</v>
      </c>
      <c r="AP849" s="53">
        <v>7.1</v>
      </c>
      <c r="AQ849" s="53">
        <f t="shared" si="775"/>
        <v>4.26</v>
      </c>
      <c r="AR849" s="53">
        <f t="shared" si="776"/>
        <v>21.299999999999997</v>
      </c>
      <c r="AS849" s="56">
        <f t="shared" si="777"/>
        <v>4.6948356807511742E-2</v>
      </c>
      <c r="AT849" s="56">
        <f t="shared" si="808"/>
        <v>0.23474178403755869</v>
      </c>
      <c r="AU849" s="56">
        <f t="shared" si="778"/>
        <v>0.176056338028169</v>
      </c>
      <c r="AV849" s="56">
        <f t="shared" si="809"/>
        <v>5.8685446009389672E-2</v>
      </c>
      <c r="AW849" s="57"/>
      <c r="AX849" s="57"/>
      <c r="AY849" s="57"/>
      <c r="AZ849" s="58">
        <f t="shared" si="810"/>
        <v>1.239223328E-3</v>
      </c>
      <c r="BA849" s="59">
        <f t="shared" si="811"/>
        <v>0</v>
      </c>
      <c r="BB849" s="59">
        <f t="shared" si="812"/>
        <v>0</v>
      </c>
      <c r="BC849" s="59">
        <f t="shared" si="813"/>
        <v>0</v>
      </c>
      <c r="BD849" s="60">
        <f t="shared" si="814"/>
        <v>2.5900025900025902E-4</v>
      </c>
      <c r="BE849" s="59">
        <f t="shared" si="815"/>
        <v>2.5900025900025902E-4</v>
      </c>
      <c r="BQ849" s="61">
        <v>3000</v>
      </c>
      <c r="BR849" s="61">
        <v>1200</v>
      </c>
      <c r="BS849" s="28">
        <f t="shared" si="779"/>
        <v>2980</v>
      </c>
      <c r="BT849" s="28">
        <f t="shared" si="780"/>
        <v>1180</v>
      </c>
      <c r="BU849" s="28" t="s">
        <v>2541</v>
      </c>
      <c r="BV849" s="28">
        <f t="shared" si="781"/>
        <v>29.891999999999999</v>
      </c>
      <c r="BW849" s="28">
        <f t="shared" si="782"/>
        <v>29.891999999999999</v>
      </c>
      <c r="BX849" s="13">
        <f t="shared" si="783"/>
        <v>99.692225344573799</v>
      </c>
      <c r="BY849" s="13">
        <f t="shared" si="784"/>
        <v>99</v>
      </c>
      <c r="BZ849" s="13">
        <f t="shared" si="785"/>
        <v>39.475444935099695</v>
      </c>
      <c r="CA849" s="13">
        <f t="shared" si="786"/>
        <v>39</v>
      </c>
      <c r="CB849" s="13">
        <f t="shared" si="787"/>
        <v>3861</v>
      </c>
      <c r="CC849" s="62">
        <f t="shared" si="788"/>
        <v>2.5900025900025902E-4</v>
      </c>
      <c r="CD849" s="13">
        <f t="shared" si="789"/>
        <v>99.692225344573799</v>
      </c>
      <c r="CE849" s="13">
        <f t="shared" si="790"/>
        <v>99</v>
      </c>
      <c r="CF849" s="13">
        <f t="shared" si="791"/>
        <v>39.475444935099695</v>
      </c>
      <c r="CG849" s="13">
        <f t="shared" si="792"/>
        <v>39</v>
      </c>
      <c r="CH849" s="28">
        <f t="shared" si="793"/>
        <v>3861</v>
      </c>
      <c r="CI849" s="62">
        <f t="shared" si="794"/>
        <v>2.5900025900025902E-4</v>
      </c>
      <c r="CJ849" s="59">
        <f t="shared" si="795"/>
        <v>2.5900025900025902E-4</v>
      </c>
      <c r="CL849" s="63">
        <v>6000</v>
      </c>
      <c r="CM849" s="63">
        <f t="shared" si="796"/>
        <v>24.891999999999999</v>
      </c>
      <c r="CN849" s="63">
        <f t="shared" si="797"/>
        <v>29.891999999999999</v>
      </c>
      <c r="CO849" s="63">
        <f t="shared" si="798"/>
        <v>200.72260136491369</v>
      </c>
      <c r="CP849" s="13">
        <f t="shared" si="799"/>
        <v>200</v>
      </c>
      <c r="CQ849" s="70">
        <f t="shared" si="800"/>
        <v>5.0000000000000001E-3</v>
      </c>
      <c r="CR849" s="69">
        <f t="shared" si="763"/>
        <v>5.0000000000000001E-3</v>
      </c>
    </row>
    <row r="850" spans="1:96" hidden="1" x14ac:dyDescent="0.25">
      <c r="A850" s="13">
        <v>4</v>
      </c>
      <c r="B850" s="14" t="s">
        <v>1936</v>
      </c>
      <c r="C850" s="13" t="s">
        <v>825</v>
      </c>
      <c r="D850" s="13" t="s">
        <v>826</v>
      </c>
      <c r="E850" s="13" t="s">
        <v>52</v>
      </c>
      <c r="F850" s="15">
        <f t="shared" si="769"/>
        <v>9</v>
      </c>
      <c r="G850" s="13">
        <v>1</v>
      </c>
      <c r="H850" s="13">
        <f>G850*$H$842</f>
        <v>1</v>
      </c>
      <c r="I850" s="13">
        <v>6</v>
      </c>
      <c r="J850" s="14" t="s">
        <v>76</v>
      </c>
      <c r="K850" s="14" t="s">
        <v>34</v>
      </c>
      <c r="L850" s="13" t="s">
        <v>77</v>
      </c>
      <c r="M850" s="14" t="s">
        <v>35</v>
      </c>
      <c r="N850" s="13" t="s">
        <v>826</v>
      </c>
      <c r="O850" s="28" t="s">
        <v>41</v>
      </c>
      <c r="P850" s="28" t="s">
        <v>41</v>
      </c>
      <c r="Q850" s="28" t="s">
        <v>79</v>
      </c>
      <c r="R850" s="30">
        <v>8.0709999999999997</v>
      </c>
      <c r="S850" s="30">
        <v>0.3125</v>
      </c>
      <c r="T850" s="30"/>
      <c r="U850" s="30">
        <v>0.3125</v>
      </c>
      <c r="V850" s="8">
        <f t="shared" si="770"/>
        <v>205.00339999999997</v>
      </c>
      <c r="W850" s="8">
        <f t="shared" si="771"/>
        <v>7.9375</v>
      </c>
      <c r="X850" s="8">
        <f t="shared" si="772"/>
        <v>0</v>
      </c>
      <c r="Y850" s="33">
        <f t="shared" si="773"/>
        <v>7.9375</v>
      </c>
      <c r="Z850" s="28" t="s">
        <v>80</v>
      </c>
      <c r="AA850" s="28" t="s">
        <v>81</v>
      </c>
      <c r="AB850" s="61" t="s">
        <v>79</v>
      </c>
      <c r="AC850" s="31" t="s">
        <v>82</v>
      </c>
      <c r="AD850" s="50">
        <f t="shared" si="774"/>
        <v>1</v>
      </c>
      <c r="AE850" s="31"/>
      <c r="AF850" s="51">
        <v>14</v>
      </c>
      <c r="AG850" s="51">
        <f t="shared" si="802"/>
        <v>8.4</v>
      </c>
      <c r="AH850" s="51">
        <f t="shared" si="768"/>
        <v>42</v>
      </c>
      <c r="AI850" s="52" t="s">
        <v>2497</v>
      </c>
      <c r="AJ850" s="52" t="s">
        <v>2498</v>
      </c>
      <c r="AK850" s="53">
        <f t="shared" si="803"/>
        <v>3.2544289749999993E-3</v>
      </c>
      <c r="AL850" s="54">
        <f t="shared" si="804"/>
        <v>0.11904761904761904</v>
      </c>
      <c r="AM850" s="54">
        <f t="shared" si="805"/>
        <v>2.3809523809523808E-2</v>
      </c>
      <c r="AN850" s="55">
        <f t="shared" si="806"/>
        <v>3.8743202083333321E-4</v>
      </c>
      <c r="AO850" s="55">
        <f t="shared" si="807"/>
        <v>7.7486404166666643E-5</v>
      </c>
      <c r="AP850" s="53">
        <v>7.1</v>
      </c>
      <c r="AQ850" s="53">
        <f t="shared" si="775"/>
        <v>4.26</v>
      </c>
      <c r="AR850" s="53">
        <f t="shared" si="776"/>
        <v>21.299999999999997</v>
      </c>
      <c r="AS850" s="56">
        <f t="shared" si="777"/>
        <v>4.6948356807511742E-2</v>
      </c>
      <c r="AT850" s="56">
        <f t="shared" si="808"/>
        <v>0.23474178403755869</v>
      </c>
      <c r="AU850" s="56">
        <f t="shared" si="778"/>
        <v>0.176056338028169</v>
      </c>
      <c r="AV850" s="56">
        <f t="shared" si="809"/>
        <v>5.8685446009389672E-2</v>
      </c>
      <c r="AW850" s="57"/>
      <c r="AX850" s="57"/>
      <c r="AY850" s="57"/>
      <c r="AZ850" s="58">
        <f t="shared" si="810"/>
        <v>3.2544289749999993E-3</v>
      </c>
      <c r="BA850" s="59">
        <f t="shared" si="811"/>
        <v>0</v>
      </c>
      <c r="BB850" s="59">
        <f t="shared" si="812"/>
        <v>0</v>
      </c>
      <c r="BC850" s="59">
        <f t="shared" si="813"/>
        <v>0</v>
      </c>
      <c r="BD850" s="60">
        <f t="shared" si="814"/>
        <v>7.8492935635792783E-4</v>
      </c>
      <c r="BE850" s="59">
        <f t="shared" si="815"/>
        <v>7.8492935635792783E-4</v>
      </c>
      <c r="BQ850" s="61">
        <v>3000</v>
      </c>
      <c r="BR850" s="61">
        <v>1200</v>
      </c>
      <c r="BS850" s="28">
        <f t="shared" si="779"/>
        <v>2980</v>
      </c>
      <c r="BT850" s="28">
        <f t="shared" si="780"/>
        <v>1180</v>
      </c>
      <c r="BU850" s="28" t="s">
        <v>2541</v>
      </c>
      <c r="BV850" s="28">
        <f t="shared" si="781"/>
        <v>210.00339999999997</v>
      </c>
      <c r="BW850" s="28">
        <f t="shared" si="782"/>
        <v>12.9375</v>
      </c>
      <c r="BX850" s="13">
        <f t="shared" si="783"/>
        <v>14.190246443629009</v>
      </c>
      <c r="BY850" s="13">
        <f t="shared" si="784"/>
        <v>14</v>
      </c>
      <c r="BZ850" s="13">
        <f t="shared" si="785"/>
        <v>91.207729468599027</v>
      </c>
      <c r="CA850" s="13">
        <f t="shared" si="786"/>
        <v>91</v>
      </c>
      <c r="CB850" s="13">
        <f t="shared" si="787"/>
        <v>1274</v>
      </c>
      <c r="CC850" s="62">
        <f t="shared" si="788"/>
        <v>7.8492935635792783E-4</v>
      </c>
      <c r="CD850" s="13">
        <f t="shared" si="789"/>
        <v>230.33816425120773</v>
      </c>
      <c r="CE850" s="13">
        <f t="shared" si="790"/>
        <v>230</v>
      </c>
      <c r="CF850" s="13">
        <f t="shared" si="791"/>
        <v>5.618956645463836</v>
      </c>
      <c r="CG850" s="13">
        <f t="shared" si="792"/>
        <v>5</v>
      </c>
      <c r="CH850" s="28">
        <f t="shared" si="793"/>
        <v>1150</v>
      </c>
      <c r="CI850" s="62">
        <f t="shared" si="794"/>
        <v>8.6956521739130438E-4</v>
      </c>
      <c r="CJ850" s="59">
        <f t="shared" si="795"/>
        <v>7.8492935635792783E-4</v>
      </c>
      <c r="CL850" s="63">
        <v>6000</v>
      </c>
      <c r="CM850" s="63">
        <f t="shared" si="796"/>
        <v>205.00339999999997</v>
      </c>
      <c r="CN850" s="63">
        <f t="shared" si="797"/>
        <v>210.00339999999997</v>
      </c>
      <c r="CO850" s="63">
        <f t="shared" si="798"/>
        <v>28.570965993883913</v>
      </c>
      <c r="CP850" s="13">
        <f t="shared" si="799"/>
        <v>28</v>
      </c>
      <c r="CQ850" s="70">
        <f t="shared" si="800"/>
        <v>3.5714285714285712E-2</v>
      </c>
      <c r="CR850" s="69">
        <f t="shared" si="763"/>
        <v>3.5714285714285712E-2</v>
      </c>
    </row>
    <row r="851" spans="1:96" hidden="1" x14ac:dyDescent="0.25">
      <c r="A851" s="10">
        <v>3</v>
      </c>
      <c r="B851" s="8" t="s">
        <v>1933</v>
      </c>
      <c r="C851" s="10" t="s">
        <v>1947</v>
      </c>
      <c r="D851" s="10" t="s">
        <v>2270</v>
      </c>
      <c r="E851" s="10" t="s">
        <v>32</v>
      </c>
      <c r="F851" s="12">
        <f t="shared" si="769"/>
        <v>1</v>
      </c>
      <c r="G851" s="10">
        <v>1</v>
      </c>
      <c r="H851" s="10">
        <f>G851*$H$841</f>
        <v>1</v>
      </c>
      <c r="I851" s="10">
        <v>2</v>
      </c>
      <c r="J851" s="8" t="s">
        <v>1867</v>
      </c>
      <c r="K851" s="8" t="s">
        <v>34</v>
      </c>
      <c r="L851" s="10">
        <v>0</v>
      </c>
      <c r="M851" s="8" t="s">
        <v>35</v>
      </c>
      <c r="N851" s="10" t="s">
        <v>1948</v>
      </c>
      <c r="O851" s="28" t="s">
        <v>41</v>
      </c>
      <c r="P851" s="28" t="s">
        <v>41</v>
      </c>
      <c r="Q851" s="28"/>
      <c r="R851" s="30"/>
      <c r="S851" s="30"/>
      <c r="T851" s="30"/>
      <c r="U851" s="30"/>
      <c r="V851" s="8">
        <f t="shared" si="770"/>
        <v>0</v>
      </c>
      <c r="W851" s="8">
        <f t="shared" si="771"/>
        <v>0</v>
      </c>
      <c r="X851" s="8">
        <f t="shared" si="772"/>
        <v>0</v>
      </c>
      <c r="Y851" s="33">
        <f t="shared" si="773"/>
        <v>0</v>
      </c>
      <c r="Z851" s="28"/>
      <c r="AA851" s="28"/>
      <c r="AB851" s="28">
        <v>0</v>
      </c>
      <c r="AC851" s="31"/>
      <c r="AD851" s="50">
        <f t="shared" si="774"/>
        <v>1</v>
      </c>
      <c r="AE851" s="31"/>
      <c r="AF851" s="51">
        <v>14</v>
      </c>
      <c r="AG851" s="51">
        <f t="shared" si="802"/>
        <v>8.4</v>
      </c>
      <c r="AH851" s="51">
        <f t="shared" si="768"/>
        <v>42</v>
      </c>
      <c r="AI851" s="52" t="s">
        <v>2497</v>
      </c>
      <c r="AJ851" s="52" t="s">
        <v>2498</v>
      </c>
      <c r="AK851" s="53">
        <f t="shared" si="803"/>
        <v>0</v>
      </c>
      <c r="AL851" s="54">
        <f t="shared" si="804"/>
        <v>0.11904761904761904</v>
      </c>
      <c r="AM851" s="54">
        <f t="shared" si="805"/>
        <v>2.3809523809523808E-2</v>
      </c>
      <c r="AN851" s="55">
        <f t="shared" si="806"/>
        <v>0</v>
      </c>
      <c r="AO851" s="55">
        <f t="shared" si="807"/>
        <v>0</v>
      </c>
      <c r="AP851" s="53">
        <v>7.1</v>
      </c>
      <c r="AQ851" s="53">
        <f t="shared" si="775"/>
        <v>4.26</v>
      </c>
      <c r="AR851" s="53">
        <f t="shared" si="776"/>
        <v>21.299999999999997</v>
      </c>
      <c r="AS851" s="56">
        <f t="shared" si="777"/>
        <v>4.6948356807511742E-2</v>
      </c>
      <c r="AT851" s="56">
        <f t="shared" si="808"/>
        <v>0.23474178403755869</v>
      </c>
      <c r="AU851" s="56">
        <f t="shared" si="778"/>
        <v>0.176056338028169</v>
      </c>
      <c r="AV851" s="56">
        <f t="shared" si="809"/>
        <v>5.8685446009389672E-2</v>
      </c>
      <c r="AW851" s="57"/>
      <c r="AX851" s="57"/>
      <c r="AY851" s="57"/>
      <c r="AZ851" s="58">
        <f t="shared" si="810"/>
        <v>0</v>
      </c>
      <c r="BA851" s="59">
        <f t="shared" si="811"/>
        <v>0</v>
      </c>
      <c r="BB851" s="59">
        <f t="shared" si="812"/>
        <v>0</v>
      </c>
      <c r="BC851" s="59">
        <f t="shared" si="813"/>
        <v>0</v>
      </c>
      <c r="BD851" s="60">
        <f t="shared" si="814"/>
        <v>0</v>
      </c>
      <c r="BE851" s="59">
        <f t="shared" si="815"/>
        <v>0</v>
      </c>
      <c r="BQ851" s="61">
        <v>3000</v>
      </c>
      <c r="BR851" s="61">
        <v>1200</v>
      </c>
      <c r="BS851" s="28">
        <f t="shared" si="779"/>
        <v>2980</v>
      </c>
      <c r="BT851" s="28">
        <f t="shared" si="780"/>
        <v>1180</v>
      </c>
      <c r="BU851" s="28" t="s">
        <v>2541</v>
      </c>
      <c r="BV851" s="28">
        <f t="shared" si="781"/>
        <v>5</v>
      </c>
      <c r="BW851" s="28">
        <f t="shared" si="782"/>
        <v>5</v>
      </c>
      <c r="BX851" s="13">
        <f t="shared" si="783"/>
        <v>596</v>
      </c>
      <c r="BY851" s="13">
        <f t="shared" si="784"/>
        <v>596</v>
      </c>
      <c r="BZ851" s="13">
        <f t="shared" si="785"/>
        <v>236</v>
      </c>
      <c r="CA851" s="13">
        <f t="shared" si="786"/>
        <v>236</v>
      </c>
      <c r="CB851" s="13">
        <f t="shared" si="787"/>
        <v>140656</v>
      </c>
      <c r="CC851" s="62" t="str">
        <f t="shared" si="788"/>
        <v/>
      </c>
      <c r="CD851" s="13">
        <f t="shared" si="789"/>
        <v>596</v>
      </c>
      <c r="CE851" s="13">
        <f t="shared" si="790"/>
        <v>596</v>
      </c>
      <c r="CF851" s="13">
        <f t="shared" si="791"/>
        <v>236</v>
      </c>
      <c r="CG851" s="13">
        <f t="shared" si="792"/>
        <v>236</v>
      </c>
      <c r="CH851" s="28">
        <f t="shared" si="793"/>
        <v>140656</v>
      </c>
      <c r="CI851" s="62" t="str">
        <f t="shared" si="794"/>
        <v/>
      </c>
      <c r="CJ851" s="59">
        <f t="shared" si="795"/>
        <v>0</v>
      </c>
      <c r="CL851" s="63">
        <v>6000</v>
      </c>
      <c r="CM851" s="63">
        <f t="shared" si="796"/>
        <v>0</v>
      </c>
      <c r="CN851" s="63">
        <f t="shared" si="797"/>
        <v>5</v>
      </c>
      <c r="CO851" s="63">
        <f t="shared" si="798"/>
        <v>1200</v>
      </c>
      <c r="CP851" s="13">
        <f t="shared" si="799"/>
        <v>1200</v>
      </c>
      <c r="CQ851" s="70">
        <f t="shared" si="800"/>
        <v>8.3333333333333339E-4</v>
      </c>
      <c r="CR851" s="69">
        <f t="shared" si="763"/>
        <v>8.3333333333333339E-4</v>
      </c>
    </row>
    <row r="852" spans="1:96" hidden="1" x14ac:dyDescent="0.25">
      <c r="A852" s="13">
        <v>4</v>
      </c>
      <c r="B852" s="14" t="s">
        <v>1949</v>
      </c>
      <c r="C852" s="13" t="s">
        <v>530</v>
      </c>
      <c r="D852" s="13" t="s">
        <v>532</v>
      </c>
      <c r="E852" s="13" t="s">
        <v>32</v>
      </c>
      <c r="F852" s="15">
        <f t="shared" si="769"/>
        <v>21</v>
      </c>
      <c r="G852" s="13">
        <v>2</v>
      </c>
      <c r="H852" s="13">
        <f>G852*$H$851</f>
        <v>2</v>
      </c>
      <c r="I852" s="13">
        <v>4</v>
      </c>
      <c r="J852" s="14" t="s">
        <v>531</v>
      </c>
      <c r="K852" s="14" t="s">
        <v>34</v>
      </c>
      <c r="L852" s="13" t="s">
        <v>110</v>
      </c>
      <c r="M852" s="14" t="s">
        <v>35</v>
      </c>
      <c r="N852" s="13" t="s">
        <v>532</v>
      </c>
      <c r="O852" s="28" t="s">
        <v>41</v>
      </c>
      <c r="P852" s="28" t="s">
        <v>41</v>
      </c>
      <c r="Q852" s="28"/>
      <c r="R852" s="30"/>
      <c r="S852" s="30"/>
      <c r="T852" s="30"/>
      <c r="U852" s="30"/>
      <c r="V852" s="8">
        <f t="shared" si="770"/>
        <v>0</v>
      </c>
      <c r="W852" s="8">
        <f t="shared" si="771"/>
        <v>0</v>
      </c>
      <c r="X852" s="8">
        <f t="shared" si="772"/>
        <v>0</v>
      </c>
      <c r="Y852" s="33">
        <f t="shared" si="773"/>
        <v>0</v>
      </c>
      <c r="Z852" s="28"/>
      <c r="AA852" s="28"/>
      <c r="AB852" s="28">
        <v>0</v>
      </c>
      <c r="AC852" s="31"/>
      <c r="AD852" s="50">
        <f t="shared" si="774"/>
        <v>2</v>
      </c>
      <c r="AE852" s="31"/>
      <c r="AF852" s="51">
        <v>14</v>
      </c>
      <c r="AG852" s="51">
        <f t="shared" si="802"/>
        <v>8.4</v>
      </c>
      <c r="AH852" s="51">
        <f t="shared" si="768"/>
        <v>42</v>
      </c>
      <c r="AI852" s="52" t="s">
        <v>2497</v>
      </c>
      <c r="AJ852" s="52" t="s">
        <v>2498</v>
      </c>
      <c r="AK852" s="53">
        <f t="shared" si="803"/>
        <v>0</v>
      </c>
      <c r="AL852" s="54">
        <f t="shared" si="804"/>
        <v>0.11904761904761904</v>
      </c>
      <c r="AM852" s="54">
        <f t="shared" si="805"/>
        <v>2.3809523809523808E-2</v>
      </c>
      <c r="AN852" s="55">
        <f t="shared" si="806"/>
        <v>0</v>
      </c>
      <c r="AO852" s="55">
        <f t="shared" si="807"/>
        <v>0</v>
      </c>
      <c r="AP852" s="53">
        <v>7.1</v>
      </c>
      <c r="AQ852" s="53">
        <f t="shared" si="775"/>
        <v>4.26</v>
      </c>
      <c r="AR852" s="53">
        <f t="shared" si="776"/>
        <v>21.299999999999997</v>
      </c>
      <c r="AS852" s="56">
        <f t="shared" si="777"/>
        <v>4.6948356807511742E-2</v>
      </c>
      <c r="AT852" s="56">
        <f t="shared" si="808"/>
        <v>0.23474178403755869</v>
      </c>
      <c r="AU852" s="56">
        <f t="shared" si="778"/>
        <v>0.176056338028169</v>
      </c>
      <c r="AV852" s="56">
        <f t="shared" si="809"/>
        <v>5.8685446009389672E-2</v>
      </c>
      <c r="AW852" s="57"/>
      <c r="AX852" s="57"/>
      <c r="AY852" s="57"/>
      <c r="AZ852" s="58">
        <f t="shared" si="810"/>
        <v>0</v>
      </c>
      <c r="BA852" s="59">
        <f t="shared" si="811"/>
        <v>0</v>
      </c>
      <c r="BB852" s="59">
        <f t="shared" si="812"/>
        <v>0</v>
      </c>
      <c r="BC852" s="59">
        <f t="shared" si="813"/>
        <v>0</v>
      </c>
      <c r="BD852" s="60">
        <f t="shared" si="814"/>
        <v>0</v>
      </c>
      <c r="BE852" s="59">
        <f t="shared" si="815"/>
        <v>0</v>
      </c>
      <c r="BQ852" s="61">
        <v>3000</v>
      </c>
      <c r="BR852" s="61">
        <v>1200</v>
      </c>
      <c r="BS852" s="28">
        <f t="shared" si="779"/>
        <v>2980</v>
      </c>
      <c r="BT852" s="28">
        <f t="shared" si="780"/>
        <v>1180</v>
      </c>
      <c r="BU852" s="28" t="s">
        <v>2541</v>
      </c>
      <c r="BV852" s="28">
        <f t="shared" si="781"/>
        <v>5</v>
      </c>
      <c r="BW852" s="28">
        <f t="shared" si="782"/>
        <v>5</v>
      </c>
      <c r="BX852" s="13">
        <f t="shared" si="783"/>
        <v>596</v>
      </c>
      <c r="BY852" s="13">
        <f t="shared" si="784"/>
        <v>596</v>
      </c>
      <c r="BZ852" s="13">
        <f t="shared" si="785"/>
        <v>236</v>
      </c>
      <c r="CA852" s="13">
        <f t="shared" si="786"/>
        <v>236</v>
      </c>
      <c r="CB852" s="13">
        <f t="shared" si="787"/>
        <v>140656</v>
      </c>
      <c r="CC852" s="62" t="str">
        <f t="shared" si="788"/>
        <v/>
      </c>
      <c r="CD852" s="13">
        <f t="shared" si="789"/>
        <v>596</v>
      </c>
      <c r="CE852" s="13">
        <f t="shared" si="790"/>
        <v>596</v>
      </c>
      <c r="CF852" s="13">
        <f t="shared" si="791"/>
        <v>236</v>
      </c>
      <c r="CG852" s="13">
        <f t="shared" si="792"/>
        <v>236</v>
      </c>
      <c r="CH852" s="28">
        <f t="shared" si="793"/>
        <v>140656</v>
      </c>
      <c r="CI852" s="62" t="str">
        <f t="shared" si="794"/>
        <v/>
      </c>
      <c r="CJ852" s="59">
        <f t="shared" si="795"/>
        <v>0</v>
      </c>
      <c r="CL852" s="63">
        <v>6000</v>
      </c>
      <c r="CM852" s="63">
        <f t="shared" si="796"/>
        <v>0</v>
      </c>
      <c r="CN852" s="63">
        <f t="shared" si="797"/>
        <v>5</v>
      </c>
      <c r="CO852" s="63">
        <f t="shared" si="798"/>
        <v>1200</v>
      </c>
      <c r="CP852" s="13">
        <f t="shared" si="799"/>
        <v>1200</v>
      </c>
      <c r="CQ852" s="70">
        <f t="shared" si="800"/>
        <v>8.3333333333333339E-4</v>
      </c>
      <c r="CR852" s="69">
        <f t="shared" si="763"/>
        <v>1.6666666666666668E-3</v>
      </c>
    </row>
    <row r="853" spans="1:96" hidden="1" x14ac:dyDescent="0.25">
      <c r="A853" s="17">
        <v>5</v>
      </c>
      <c r="B853" s="6" t="s">
        <v>1882</v>
      </c>
      <c r="C853" s="17" t="s">
        <v>534</v>
      </c>
      <c r="D853" s="17" t="s">
        <v>2270</v>
      </c>
      <c r="E853" s="17" t="s">
        <v>52</v>
      </c>
      <c r="F853" s="7">
        <f t="shared" si="769"/>
        <v>21</v>
      </c>
      <c r="G853" s="17">
        <v>1</v>
      </c>
      <c r="H853" s="17">
        <f>G853*$H$852</f>
        <v>2</v>
      </c>
      <c r="I853" s="17">
        <v>1</v>
      </c>
      <c r="J853" s="6" t="s">
        <v>101</v>
      </c>
      <c r="K853" s="6" t="s">
        <v>34</v>
      </c>
      <c r="L853" s="17" t="s">
        <v>110</v>
      </c>
      <c r="M853" s="6" t="s">
        <v>35</v>
      </c>
      <c r="N853" s="17" t="s">
        <v>535</v>
      </c>
      <c r="O853" s="28" t="s">
        <v>41</v>
      </c>
      <c r="P853" s="28" t="s">
        <v>41</v>
      </c>
      <c r="Q853" s="28" t="s">
        <v>535</v>
      </c>
      <c r="R853" s="30">
        <v>0.98</v>
      </c>
      <c r="S853" s="30">
        <v>0.98</v>
      </c>
      <c r="T853" s="30"/>
      <c r="U853" s="30">
        <v>0.11811023622047245</v>
      </c>
      <c r="V853" s="8">
        <f t="shared" si="770"/>
        <v>24.891999999999999</v>
      </c>
      <c r="W853" s="8">
        <f t="shared" si="771"/>
        <v>24.891999999999999</v>
      </c>
      <c r="X853" s="8">
        <f t="shared" si="772"/>
        <v>0</v>
      </c>
      <c r="Y853" s="33">
        <f t="shared" si="773"/>
        <v>3</v>
      </c>
      <c r="Z853" s="28" t="s">
        <v>536</v>
      </c>
      <c r="AA853" s="28" t="s">
        <v>537</v>
      </c>
      <c r="AB853" s="61" t="s">
        <v>535</v>
      </c>
      <c r="AC853" s="31" t="s">
        <v>538</v>
      </c>
      <c r="AD853" s="50">
        <f t="shared" si="774"/>
        <v>2</v>
      </c>
      <c r="AE853" s="31"/>
      <c r="AF853" s="51">
        <v>14</v>
      </c>
      <c r="AG853" s="51">
        <f t="shared" si="802"/>
        <v>8.4</v>
      </c>
      <c r="AH853" s="51">
        <f t="shared" si="768"/>
        <v>42</v>
      </c>
      <c r="AI853" s="52" t="s">
        <v>2497</v>
      </c>
      <c r="AJ853" s="52" t="s">
        <v>2498</v>
      </c>
      <c r="AK853" s="53">
        <f t="shared" si="803"/>
        <v>1.239223328E-3</v>
      </c>
      <c r="AL853" s="54">
        <f t="shared" si="804"/>
        <v>0.11904761904761904</v>
      </c>
      <c r="AM853" s="54">
        <f t="shared" si="805"/>
        <v>2.3809523809523808E-2</v>
      </c>
      <c r="AN853" s="55">
        <f t="shared" si="806"/>
        <v>2.9505317333333335E-4</v>
      </c>
      <c r="AO853" s="55">
        <f t="shared" si="807"/>
        <v>5.9010634666666666E-5</v>
      </c>
      <c r="AP853" s="53">
        <v>7.1</v>
      </c>
      <c r="AQ853" s="53">
        <f t="shared" si="775"/>
        <v>4.26</v>
      </c>
      <c r="AR853" s="53">
        <f t="shared" si="776"/>
        <v>21.299999999999997</v>
      </c>
      <c r="AS853" s="56">
        <f t="shared" si="777"/>
        <v>4.6948356807511742E-2</v>
      </c>
      <c r="AT853" s="56">
        <f t="shared" si="808"/>
        <v>0.23474178403755869</v>
      </c>
      <c r="AU853" s="56">
        <f t="shared" si="778"/>
        <v>0.176056338028169</v>
      </c>
      <c r="AV853" s="56">
        <f t="shared" si="809"/>
        <v>5.8685446009389672E-2</v>
      </c>
      <c r="AW853" s="57"/>
      <c r="AX853" s="57"/>
      <c r="AY853" s="57"/>
      <c r="AZ853" s="58">
        <f t="shared" si="810"/>
        <v>1.239223328E-3</v>
      </c>
      <c r="BA853" s="59">
        <f t="shared" si="811"/>
        <v>0</v>
      </c>
      <c r="BB853" s="59">
        <f t="shared" si="812"/>
        <v>0</v>
      </c>
      <c r="BC853" s="59">
        <f t="shared" si="813"/>
        <v>0</v>
      </c>
      <c r="BD853" s="60">
        <f t="shared" si="814"/>
        <v>2.5900025900025902E-4</v>
      </c>
      <c r="BE853" s="59">
        <f t="shared" si="815"/>
        <v>5.1800051800051804E-4</v>
      </c>
      <c r="BQ853" s="61">
        <v>3000</v>
      </c>
      <c r="BR853" s="61">
        <v>1200</v>
      </c>
      <c r="BS853" s="28">
        <f t="shared" si="779"/>
        <v>2980</v>
      </c>
      <c r="BT853" s="28">
        <f t="shared" si="780"/>
        <v>1180</v>
      </c>
      <c r="BU853" s="28" t="s">
        <v>2541</v>
      </c>
      <c r="BV853" s="28">
        <f t="shared" si="781"/>
        <v>29.891999999999999</v>
      </c>
      <c r="BW853" s="28">
        <f t="shared" si="782"/>
        <v>29.891999999999999</v>
      </c>
      <c r="BX853" s="13">
        <f t="shared" si="783"/>
        <v>99.692225344573799</v>
      </c>
      <c r="BY853" s="13">
        <f t="shared" si="784"/>
        <v>99</v>
      </c>
      <c r="BZ853" s="13">
        <f t="shared" si="785"/>
        <v>39.475444935099695</v>
      </c>
      <c r="CA853" s="13">
        <f t="shared" si="786"/>
        <v>39</v>
      </c>
      <c r="CB853" s="13">
        <f t="shared" si="787"/>
        <v>3861</v>
      </c>
      <c r="CC853" s="62">
        <f t="shared" si="788"/>
        <v>2.5900025900025902E-4</v>
      </c>
      <c r="CD853" s="13">
        <f t="shared" si="789"/>
        <v>99.692225344573799</v>
      </c>
      <c r="CE853" s="13">
        <f t="shared" si="790"/>
        <v>99</v>
      </c>
      <c r="CF853" s="13">
        <f t="shared" si="791"/>
        <v>39.475444935099695</v>
      </c>
      <c r="CG853" s="13">
        <f t="shared" si="792"/>
        <v>39</v>
      </c>
      <c r="CH853" s="28">
        <f t="shared" si="793"/>
        <v>3861</v>
      </c>
      <c r="CI853" s="62">
        <f t="shared" si="794"/>
        <v>2.5900025900025902E-4</v>
      </c>
      <c r="CJ853" s="59">
        <f t="shared" si="795"/>
        <v>2.5900025900025902E-4</v>
      </c>
      <c r="CL853" s="63">
        <v>6000</v>
      </c>
      <c r="CM853" s="63">
        <f t="shared" si="796"/>
        <v>24.891999999999999</v>
      </c>
      <c r="CN853" s="63">
        <f t="shared" si="797"/>
        <v>29.891999999999999</v>
      </c>
      <c r="CO853" s="63">
        <f t="shared" si="798"/>
        <v>200.72260136491369</v>
      </c>
      <c r="CP853" s="13">
        <f t="shared" si="799"/>
        <v>200</v>
      </c>
      <c r="CQ853" s="70">
        <f t="shared" si="800"/>
        <v>5.0000000000000001E-3</v>
      </c>
      <c r="CR853" s="69">
        <f t="shared" si="763"/>
        <v>0.01</v>
      </c>
    </row>
    <row r="854" spans="1:96" hidden="1" x14ac:dyDescent="0.25">
      <c r="A854" s="17">
        <v>5</v>
      </c>
      <c r="B854" s="6" t="s">
        <v>1882</v>
      </c>
      <c r="C854" s="17" t="s">
        <v>539</v>
      </c>
      <c r="D854" s="17" t="s">
        <v>2270</v>
      </c>
      <c r="E854" s="17" t="s">
        <v>52</v>
      </c>
      <c r="F854" s="7">
        <f t="shared" si="769"/>
        <v>21</v>
      </c>
      <c r="G854" s="17">
        <v>1</v>
      </c>
      <c r="H854" s="17">
        <f>G854*$H$852</f>
        <v>2</v>
      </c>
      <c r="I854" s="17">
        <v>2</v>
      </c>
      <c r="J854" s="6" t="s">
        <v>101</v>
      </c>
      <c r="K854" s="6" t="s">
        <v>34</v>
      </c>
      <c r="L854" s="17" t="s">
        <v>110</v>
      </c>
      <c r="M854" s="6" t="s">
        <v>35</v>
      </c>
      <c r="N854" s="17" t="s">
        <v>540</v>
      </c>
      <c r="O854" s="28" t="s">
        <v>41</v>
      </c>
      <c r="P854" s="28" t="s">
        <v>41</v>
      </c>
      <c r="Q854" s="28" t="s">
        <v>540</v>
      </c>
      <c r="R854" s="30">
        <v>0.98</v>
      </c>
      <c r="S854" s="30">
        <v>0.98</v>
      </c>
      <c r="T854" s="30"/>
      <c r="U854" s="30">
        <v>0.47244094488188981</v>
      </c>
      <c r="V854" s="8">
        <f t="shared" si="770"/>
        <v>24.891999999999999</v>
      </c>
      <c r="W854" s="8">
        <f t="shared" si="771"/>
        <v>24.891999999999999</v>
      </c>
      <c r="X854" s="8">
        <f t="shared" si="772"/>
        <v>0</v>
      </c>
      <c r="Y854" s="33">
        <f t="shared" si="773"/>
        <v>12</v>
      </c>
      <c r="Z854" s="28" t="s">
        <v>731</v>
      </c>
      <c r="AA854" s="28" t="s">
        <v>251</v>
      </c>
      <c r="AB854" s="61" t="s">
        <v>540</v>
      </c>
      <c r="AC854" s="31" t="s">
        <v>541</v>
      </c>
      <c r="AD854" s="50">
        <f t="shared" si="774"/>
        <v>2</v>
      </c>
      <c r="AE854" s="31"/>
      <c r="AF854" s="51">
        <v>14</v>
      </c>
      <c r="AG854" s="51">
        <f t="shared" si="802"/>
        <v>8.4</v>
      </c>
      <c r="AH854" s="51">
        <f t="shared" si="768"/>
        <v>42</v>
      </c>
      <c r="AI854" s="52" t="s">
        <v>2497</v>
      </c>
      <c r="AJ854" s="52" t="s">
        <v>2498</v>
      </c>
      <c r="AK854" s="53">
        <f t="shared" si="803"/>
        <v>1.239223328E-3</v>
      </c>
      <c r="AL854" s="54">
        <f t="shared" si="804"/>
        <v>0.11904761904761904</v>
      </c>
      <c r="AM854" s="54">
        <f t="shared" si="805"/>
        <v>2.3809523809523808E-2</v>
      </c>
      <c r="AN854" s="55">
        <f t="shared" si="806"/>
        <v>2.9505317333333335E-4</v>
      </c>
      <c r="AO854" s="55">
        <f t="shared" si="807"/>
        <v>5.9010634666666666E-5</v>
      </c>
      <c r="AP854" s="53">
        <v>7.1</v>
      </c>
      <c r="AQ854" s="53">
        <f t="shared" si="775"/>
        <v>4.26</v>
      </c>
      <c r="AR854" s="53">
        <f t="shared" si="776"/>
        <v>21.299999999999997</v>
      </c>
      <c r="AS854" s="56">
        <f t="shared" si="777"/>
        <v>4.6948356807511742E-2</v>
      </c>
      <c r="AT854" s="56">
        <f t="shared" si="808"/>
        <v>0.23474178403755869</v>
      </c>
      <c r="AU854" s="56">
        <f t="shared" si="778"/>
        <v>0.176056338028169</v>
      </c>
      <c r="AV854" s="56">
        <f t="shared" si="809"/>
        <v>5.8685446009389672E-2</v>
      </c>
      <c r="AW854" s="57"/>
      <c r="AX854" s="57"/>
      <c r="AY854" s="57"/>
      <c r="AZ854" s="58">
        <f t="shared" si="810"/>
        <v>1.239223328E-3</v>
      </c>
      <c r="BA854" s="59">
        <f t="shared" si="811"/>
        <v>0</v>
      </c>
      <c r="BB854" s="59">
        <f t="shared" si="812"/>
        <v>0</v>
      </c>
      <c r="BC854" s="59">
        <f t="shared" si="813"/>
        <v>0</v>
      </c>
      <c r="BD854" s="60">
        <f t="shared" si="814"/>
        <v>2.5900025900025902E-4</v>
      </c>
      <c r="BE854" s="59">
        <f t="shared" si="815"/>
        <v>5.1800051800051804E-4</v>
      </c>
      <c r="BQ854" s="61">
        <v>3000</v>
      </c>
      <c r="BR854" s="61">
        <v>1200</v>
      </c>
      <c r="BS854" s="28">
        <f t="shared" si="779"/>
        <v>2980</v>
      </c>
      <c r="BT854" s="28">
        <f t="shared" si="780"/>
        <v>1180</v>
      </c>
      <c r="BU854" s="28" t="s">
        <v>2541</v>
      </c>
      <c r="BV854" s="28">
        <f t="shared" si="781"/>
        <v>29.891999999999999</v>
      </c>
      <c r="BW854" s="28">
        <f t="shared" si="782"/>
        <v>29.891999999999999</v>
      </c>
      <c r="BX854" s="13">
        <f t="shared" si="783"/>
        <v>99.692225344573799</v>
      </c>
      <c r="BY854" s="13">
        <f t="shared" si="784"/>
        <v>99</v>
      </c>
      <c r="BZ854" s="13">
        <f t="shared" si="785"/>
        <v>39.475444935099695</v>
      </c>
      <c r="CA854" s="13">
        <f t="shared" si="786"/>
        <v>39</v>
      </c>
      <c r="CB854" s="13">
        <f t="shared" si="787"/>
        <v>3861</v>
      </c>
      <c r="CC854" s="62">
        <f t="shared" si="788"/>
        <v>2.5900025900025902E-4</v>
      </c>
      <c r="CD854" s="13">
        <f t="shared" si="789"/>
        <v>99.692225344573799</v>
      </c>
      <c r="CE854" s="13">
        <f t="shared" si="790"/>
        <v>99</v>
      </c>
      <c r="CF854" s="13">
        <f t="shared" si="791"/>
        <v>39.475444935099695</v>
      </c>
      <c r="CG854" s="13">
        <f t="shared" si="792"/>
        <v>39</v>
      </c>
      <c r="CH854" s="28">
        <f t="shared" si="793"/>
        <v>3861</v>
      </c>
      <c r="CI854" s="62">
        <f t="shared" si="794"/>
        <v>2.5900025900025902E-4</v>
      </c>
      <c r="CJ854" s="59">
        <f t="shared" si="795"/>
        <v>2.5900025900025902E-4</v>
      </c>
      <c r="CL854" s="63">
        <v>6000</v>
      </c>
      <c r="CM854" s="63">
        <f t="shared" si="796"/>
        <v>24.891999999999999</v>
      </c>
      <c r="CN854" s="63">
        <f t="shared" si="797"/>
        <v>29.891999999999999</v>
      </c>
      <c r="CO854" s="63">
        <f t="shared" si="798"/>
        <v>200.72260136491369</v>
      </c>
      <c r="CP854" s="13">
        <f t="shared" si="799"/>
        <v>200</v>
      </c>
      <c r="CQ854" s="70">
        <f t="shared" si="800"/>
        <v>5.0000000000000001E-3</v>
      </c>
      <c r="CR854" s="69">
        <f t="shared" si="763"/>
        <v>0.01</v>
      </c>
    </row>
    <row r="855" spans="1:96" x14ac:dyDescent="0.25">
      <c r="A855" s="13">
        <v>4</v>
      </c>
      <c r="B855" s="14" t="s">
        <v>1949</v>
      </c>
      <c r="C855" s="13" t="s">
        <v>1950</v>
      </c>
      <c r="D855" s="13" t="s">
        <v>2270</v>
      </c>
      <c r="E855" s="13" t="s">
        <v>52</v>
      </c>
      <c r="F855" s="15">
        <f t="shared" si="769"/>
        <v>2</v>
      </c>
      <c r="G855" s="13">
        <v>2</v>
      </c>
      <c r="H855" s="13">
        <f t="shared" ref="H855:H857" si="817">G855*$H$851</f>
        <v>2</v>
      </c>
      <c r="I855" s="13">
        <v>5</v>
      </c>
      <c r="J855" s="14" t="s">
        <v>119</v>
      </c>
      <c r="K855" s="14" t="s">
        <v>34</v>
      </c>
      <c r="L855" s="13" t="s">
        <v>110</v>
      </c>
      <c r="M855" s="14" t="s">
        <v>35</v>
      </c>
      <c r="N855" s="13" t="s">
        <v>1951</v>
      </c>
      <c r="O855" s="28" t="s">
        <v>41</v>
      </c>
      <c r="P855" s="28" t="s">
        <v>41</v>
      </c>
      <c r="Q855" s="28" t="s">
        <v>2585</v>
      </c>
      <c r="R855" s="30">
        <v>13.692</v>
      </c>
      <c r="S855" s="30">
        <v>1.292</v>
      </c>
      <c r="T855" s="30"/>
      <c r="U855" s="30">
        <v>0.06</v>
      </c>
      <c r="V855" s="8">
        <f t="shared" si="770"/>
        <v>347.77679999999998</v>
      </c>
      <c r="W855" s="8">
        <f t="shared" si="771"/>
        <v>32.816800000000001</v>
      </c>
      <c r="X855" s="8">
        <f t="shared" si="772"/>
        <v>0</v>
      </c>
      <c r="Y855" s="33">
        <f t="shared" si="773"/>
        <v>1.5239999999999998</v>
      </c>
      <c r="Z855" s="28" t="s">
        <v>56</v>
      </c>
      <c r="AA855" s="28" t="s">
        <v>1765</v>
      </c>
      <c r="AB855" s="61" t="s">
        <v>2585</v>
      </c>
      <c r="AC855" s="31" t="s">
        <v>2586</v>
      </c>
      <c r="AD855" s="50">
        <f t="shared" si="774"/>
        <v>2</v>
      </c>
      <c r="AE855" s="31"/>
      <c r="AF855" s="51">
        <v>14</v>
      </c>
      <c r="AG855" s="51">
        <f t="shared" si="802"/>
        <v>8.4</v>
      </c>
      <c r="AH855" s="51">
        <f t="shared" si="768"/>
        <v>42</v>
      </c>
      <c r="AI855" s="52" t="s">
        <v>2497</v>
      </c>
      <c r="AJ855" s="52" t="s">
        <v>2498</v>
      </c>
      <c r="AK855" s="53">
        <f t="shared" si="803"/>
        <v>2.282584338048E-2</v>
      </c>
      <c r="AL855" s="54">
        <f t="shared" si="804"/>
        <v>0.11904761904761904</v>
      </c>
      <c r="AM855" s="54">
        <f t="shared" si="805"/>
        <v>2.3809523809523808E-2</v>
      </c>
      <c r="AN855" s="55">
        <f t="shared" si="806"/>
        <v>5.4347246143999998E-3</v>
      </c>
      <c r="AO855" s="55">
        <f t="shared" si="807"/>
        <v>1.0869449228799999E-3</v>
      </c>
      <c r="AP855" s="53">
        <v>7.1</v>
      </c>
      <c r="AQ855" s="53">
        <f t="shared" si="775"/>
        <v>4.26</v>
      </c>
      <c r="AR855" s="53">
        <f t="shared" si="776"/>
        <v>21.299999999999997</v>
      </c>
      <c r="AS855" s="56">
        <f t="shared" si="777"/>
        <v>4.6948356807511742E-2</v>
      </c>
      <c r="AT855" s="56">
        <f t="shared" si="808"/>
        <v>0.23474178403755869</v>
      </c>
      <c r="AU855" s="56">
        <f t="shared" si="778"/>
        <v>0.176056338028169</v>
      </c>
      <c r="AV855" s="56">
        <f t="shared" si="809"/>
        <v>5.8685446009389672E-2</v>
      </c>
      <c r="AW855" s="57"/>
      <c r="AX855" s="57"/>
      <c r="AY855" s="57"/>
      <c r="AZ855" s="58">
        <f t="shared" si="810"/>
        <v>2.282584338048E-2</v>
      </c>
      <c r="BA855" s="59">
        <f t="shared" si="811"/>
        <v>0</v>
      </c>
      <c r="BB855" s="59">
        <f t="shared" si="812"/>
        <v>0</v>
      </c>
      <c r="BC855" s="59">
        <f t="shared" si="813"/>
        <v>0</v>
      </c>
      <c r="BD855" s="60">
        <f t="shared" si="814"/>
        <v>4.0322580645161289E-3</v>
      </c>
      <c r="BE855" s="59">
        <f t="shared" si="815"/>
        <v>8.0645161290322578E-3</v>
      </c>
      <c r="BQ855" s="61">
        <v>3000</v>
      </c>
      <c r="BR855" s="61">
        <v>1200</v>
      </c>
      <c r="BS855" s="28">
        <f t="shared" si="779"/>
        <v>2980</v>
      </c>
      <c r="BT855" s="28">
        <f t="shared" si="780"/>
        <v>1180</v>
      </c>
      <c r="BU855" s="28" t="s">
        <v>2541</v>
      </c>
      <c r="BV855" s="28">
        <f t="shared" si="781"/>
        <v>352.77679999999998</v>
      </c>
      <c r="BW855" s="28">
        <f t="shared" si="782"/>
        <v>37.816800000000001</v>
      </c>
      <c r="BX855" s="13">
        <f t="shared" si="783"/>
        <v>8.4472675073871084</v>
      </c>
      <c r="BY855" s="13">
        <f t="shared" si="784"/>
        <v>8</v>
      </c>
      <c r="BZ855" s="13">
        <f t="shared" si="785"/>
        <v>31.203063188847285</v>
      </c>
      <c r="CA855" s="13">
        <f t="shared" si="786"/>
        <v>31</v>
      </c>
      <c r="CB855" s="13">
        <f t="shared" si="787"/>
        <v>248</v>
      </c>
      <c r="CC855" s="62">
        <f t="shared" si="788"/>
        <v>4.0322580645161289E-3</v>
      </c>
      <c r="CD855" s="13">
        <f t="shared" si="789"/>
        <v>78.800956188783815</v>
      </c>
      <c r="CE855" s="13">
        <f t="shared" si="790"/>
        <v>78</v>
      </c>
      <c r="CF855" s="13">
        <f t="shared" si="791"/>
        <v>3.344891160643217</v>
      </c>
      <c r="CG855" s="13">
        <f t="shared" si="792"/>
        <v>3</v>
      </c>
      <c r="CH855" s="28">
        <f t="shared" si="793"/>
        <v>234</v>
      </c>
      <c r="CI855" s="62">
        <f t="shared" si="794"/>
        <v>4.2735042735042739E-3</v>
      </c>
      <c r="CJ855" s="59">
        <f t="shared" si="795"/>
        <v>4.0322580645161289E-3</v>
      </c>
      <c r="CL855" s="63">
        <v>6000</v>
      </c>
      <c r="CM855" s="63">
        <f t="shared" si="796"/>
        <v>347.77679999999998</v>
      </c>
      <c r="CN855" s="63">
        <f t="shared" si="797"/>
        <v>352.77679999999998</v>
      </c>
      <c r="CO855" s="63">
        <f t="shared" si="798"/>
        <v>17.007921155812969</v>
      </c>
      <c r="CP855" s="13">
        <f t="shared" si="799"/>
        <v>17</v>
      </c>
      <c r="CQ855" s="70">
        <f t="shared" si="800"/>
        <v>5.8823529411764705E-2</v>
      </c>
      <c r="CR855" s="69">
        <f t="shared" si="763"/>
        <v>0.11764705882352941</v>
      </c>
    </row>
    <row r="856" spans="1:96" hidden="1" x14ac:dyDescent="0.25">
      <c r="A856" s="13">
        <v>4</v>
      </c>
      <c r="B856" s="14" t="s">
        <v>1949</v>
      </c>
      <c r="C856" s="13" t="s">
        <v>1952</v>
      </c>
      <c r="D856" s="13" t="s">
        <v>2270</v>
      </c>
      <c r="E856" s="13" t="s">
        <v>52</v>
      </c>
      <c r="F856" s="15">
        <f t="shared" si="769"/>
        <v>4</v>
      </c>
      <c r="G856" s="13">
        <v>1</v>
      </c>
      <c r="H856" s="13">
        <f t="shared" si="817"/>
        <v>1</v>
      </c>
      <c r="I856" s="13">
        <v>6</v>
      </c>
      <c r="J856" s="14" t="s">
        <v>911</v>
      </c>
      <c r="K856" s="14" t="s">
        <v>34</v>
      </c>
      <c r="L856" s="13">
        <v>0</v>
      </c>
      <c r="M856" s="14" t="s">
        <v>35</v>
      </c>
      <c r="N856" s="13" t="s">
        <v>1953</v>
      </c>
      <c r="O856" s="28" t="s">
        <v>41</v>
      </c>
      <c r="P856" s="28" t="s">
        <v>41</v>
      </c>
      <c r="Q856" s="28" t="s">
        <v>124</v>
      </c>
      <c r="R856" s="30">
        <v>53.701000000000001</v>
      </c>
      <c r="S856" s="30">
        <v>2.48</v>
      </c>
      <c r="T856" s="30"/>
      <c r="U856" s="30">
        <v>9.8000000000000004E-2</v>
      </c>
      <c r="V856" s="8">
        <f t="shared" si="770"/>
        <v>1364.0054</v>
      </c>
      <c r="W856" s="8">
        <f t="shared" si="771"/>
        <v>62.991999999999997</v>
      </c>
      <c r="X856" s="8">
        <f t="shared" si="772"/>
        <v>0</v>
      </c>
      <c r="Y856" s="33">
        <f t="shared" si="773"/>
        <v>2.4891999999999999</v>
      </c>
      <c r="Z856" s="28" t="s">
        <v>56</v>
      </c>
      <c r="AA856" s="28" t="s">
        <v>57</v>
      </c>
      <c r="AB856" s="61" t="s">
        <v>124</v>
      </c>
      <c r="AC856" s="31" t="s">
        <v>125</v>
      </c>
      <c r="AD856" s="50">
        <f t="shared" si="774"/>
        <v>1</v>
      </c>
      <c r="AE856" s="31"/>
      <c r="AF856" s="51">
        <v>14</v>
      </c>
      <c r="AG856" s="51">
        <f t="shared" si="802"/>
        <v>8.4</v>
      </c>
      <c r="AH856" s="51">
        <f t="shared" si="768"/>
        <v>42</v>
      </c>
      <c r="AI856" s="52" t="s">
        <v>2497</v>
      </c>
      <c r="AJ856" s="52" t="s">
        <v>2498</v>
      </c>
      <c r="AK856" s="53">
        <f t="shared" si="803"/>
        <v>0.1718428563136</v>
      </c>
      <c r="AL856" s="54">
        <f t="shared" si="804"/>
        <v>0.11904761904761904</v>
      </c>
      <c r="AM856" s="54">
        <f t="shared" si="805"/>
        <v>2.3809523809523808E-2</v>
      </c>
      <c r="AN856" s="55">
        <f t="shared" si="806"/>
        <v>2.045748289447619E-2</v>
      </c>
      <c r="AO856" s="55">
        <f t="shared" si="807"/>
        <v>4.0914965788952373E-3</v>
      </c>
      <c r="AP856" s="53">
        <v>7.1</v>
      </c>
      <c r="AQ856" s="53">
        <f t="shared" si="775"/>
        <v>4.26</v>
      </c>
      <c r="AR856" s="53">
        <f t="shared" si="776"/>
        <v>21.299999999999997</v>
      </c>
      <c r="AS856" s="56">
        <f t="shared" si="777"/>
        <v>4.6948356807511742E-2</v>
      </c>
      <c r="AT856" s="56">
        <f t="shared" si="808"/>
        <v>0.23474178403755869</v>
      </c>
      <c r="AU856" s="56">
        <f t="shared" si="778"/>
        <v>0.176056338028169</v>
      </c>
      <c r="AV856" s="56">
        <f t="shared" si="809"/>
        <v>5.8685446009389672E-2</v>
      </c>
      <c r="AW856" s="57"/>
      <c r="AX856" s="57"/>
      <c r="AY856" s="57"/>
      <c r="AZ856" s="58">
        <f t="shared" si="810"/>
        <v>0.1718428563136</v>
      </c>
      <c r="BA856" s="59">
        <f t="shared" si="811"/>
        <v>0</v>
      </c>
      <c r="BB856" s="59">
        <f t="shared" si="812"/>
        <v>0</v>
      </c>
      <c r="BC856" s="59">
        <f t="shared" si="813"/>
        <v>0</v>
      </c>
      <c r="BD856" s="60">
        <f t="shared" si="814"/>
        <v>2.9411764705882353E-2</v>
      </c>
      <c r="BE856" s="59">
        <f t="shared" si="815"/>
        <v>2.9411764705882353E-2</v>
      </c>
      <c r="BQ856" s="61">
        <v>3000</v>
      </c>
      <c r="BR856" s="61">
        <v>1200</v>
      </c>
      <c r="BS856" s="28">
        <f t="shared" si="779"/>
        <v>2980</v>
      </c>
      <c r="BT856" s="28">
        <f t="shared" si="780"/>
        <v>1180</v>
      </c>
      <c r="BU856" s="28" t="s">
        <v>2541</v>
      </c>
      <c r="BV856" s="28">
        <f t="shared" si="781"/>
        <v>1369.0054</v>
      </c>
      <c r="BW856" s="28">
        <f t="shared" si="782"/>
        <v>67.99199999999999</v>
      </c>
      <c r="BX856" s="13">
        <f t="shared" si="783"/>
        <v>2.1767627797523663</v>
      </c>
      <c r="BY856" s="13">
        <f t="shared" si="784"/>
        <v>2</v>
      </c>
      <c r="BZ856" s="13">
        <f t="shared" si="785"/>
        <v>17.354982939169318</v>
      </c>
      <c r="CA856" s="13">
        <f t="shared" si="786"/>
        <v>17</v>
      </c>
      <c r="CB856" s="13">
        <f t="shared" si="787"/>
        <v>34</v>
      </c>
      <c r="CC856" s="62">
        <f t="shared" si="788"/>
        <v>2.9411764705882353E-2</v>
      </c>
      <c r="CD856" s="13">
        <f t="shared" si="789"/>
        <v>43.828685727732683</v>
      </c>
      <c r="CE856" s="13">
        <f t="shared" si="790"/>
        <v>43</v>
      </c>
      <c r="CF856" s="13">
        <f t="shared" si="791"/>
        <v>0.86193962419724568</v>
      </c>
      <c r="CG856" s="13">
        <f t="shared" si="792"/>
        <v>0</v>
      </c>
      <c r="CH856" s="28">
        <f t="shared" si="793"/>
        <v>0</v>
      </c>
      <c r="CI856" s="62">
        <f t="shared" si="794"/>
        <v>1</v>
      </c>
      <c r="CJ856" s="59">
        <f t="shared" si="795"/>
        <v>2.9411764705882353E-2</v>
      </c>
      <c r="CL856" s="63">
        <v>6000</v>
      </c>
      <c r="CM856" s="63">
        <f t="shared" si="796"/>
        <v>1364.0054</v>
      </c>
      <c r="CN856" s="63">
        <f t="shared" si="797"/>
        <v>1369.0054</v>
      </c>
      <c r="CO856" s="63">
        <f t="shared" si="798"/>
        <v>4.3827438518504014</v>
      </c>
      <c r="CP856" s="13">
        <f t="shared" si="799"/>
        <v>4</v>
      </c>
      <c r="CQ856" s="70">
        <f t="shared" si="800"/>
        <v>0.25</v>
      </c>
      <c r="CR856" s="69">
        <f t="shared" si="763"/>
        <v>0.25</v>
      </c>
    </row>
    <row r="857" spans="1:96" hidden="1" x14ac:dyDescent="0.25">
      <c r="A857" s="13">
        <v>4</v>
      </c>
      <c r="B857" s="14" t="s">
        <v>1949</v>
      </c>
      <c r="C857" s="13" t="s">
        <v>1954</v>
      </c>
      <c r="D857" s="13" t="s">
        <v>2270</v>
      </c>
      <c r="E857" s="13" t="s">
        <v>32</v>
      </c>
      <c r="F857" s="15">
        <f t="shared" si="769"/>
        <v>1</v>
      </c>
      <c r="G857" s="13">
        <v>1</v>
      </c>
      <c r="H857" s="13">
        <f t="shared" si="817"/>
        <v>1</v>
      </c>
      <c r="I857" s="13">
        <v>10</v>
      </c>
      <c r="J857" s="14" t="s">
        <v>1867</v>
      </c>
      <c r="K857" s="14" t="s">
        <v>34</v>
      </c>
      <c r="L857" s="13">
        <v>0</v>
      </c>
      <c r="M857" s="14" t="s">
        <v>35</v>
      </c>
      <c r="N857" s="13" t="s">
        <v>1955</v>
      </c>
      <c r="O857" s="28"/>
      <c r="P857" s="28"/>
      <c r="Q857" s="28"/>
      <c r="R857" s="30"/>
      <c r="S857" s="30"/>
      <c r="T857" s="30"/>
      <c r="U857" s="30"/>
      <c r="V857" s="8">
        <f t="shared" si="770"/>
        <v>0</v>
      </c>
      <c r="W857" s="8">
        <f t="shared" si="771"/>
        <v>0</v>
      </c>
      <c r="X857" s="8">
        <f t="shared" si="772"/>
        <v>0</v>
      </c>
      <c r="Y857" s="33">
        <f t="shared" si="773"/>
        <v>0</v>
      </c>
      <c r="Z857" s="28"/>
      <c r="AA857" s="28"/>
      <c r="AB857" s="28">
        <v>0</v>
      </c>
      <c r="AC857" s="31"/>
      <c r="AD857" s="50">
        <f t="shared" si="774"/>
        <v>1</v>
      </c>
      <c r="AE857" s="31"/>
      <c r="AF857" s="51">
        <v>14</v>
      </c>
      <c r="AG857" s="51">
        <f t="shared" si="802"/>
        <v>8.4</v>
      </c>
      <c r="AH857" s="51">
        <f t="shared" si="768"/>
        <v>42</v>
      </c>
      <c r="AI857" s="52" t="s">
        <v>2497</v>
      </c>
      <c r="AJ857" s="52" t="s">
        <v>2498</v>
      </c>
      <c r="AK857" s="53">
        <f t="shared" si="803"/>
        <v>0</v>
      </c>
      <c r="AL857" s="54">
        <f t="shared" si="804"/>
        <v>0.11904761904761904</v>
      </c>
      <c r="AM857" s="54">
        <f t="shared" si="805"/>
        <v>2.3809523809523808E-2</v>
      </c>
      <c r="AN857" s="55">
        <f t="shared" si="806"/>
        <v>0</v>
      </c>
      <c r="AO857" s="55">
        <f t="shared" si="807"/>
        <v>0</v>
      </c>
      <c r="AP857" s="53">
        <v>7.1</v>
      </c>
      <c r="AQ857" s="53">
        <f t="shared" si="775"/>
        <v>4.26</v>
      </c>
      <c r="AR857" s="53">
        <f t="shared" si="776"/>
        <v>21.299999999999997</v>
      </c>
      <c r="AS857" s="56">
        <f t="shared" si="777"/>
        <v>4.6948356807511742E-2</v>
      </c>
      <c r="AT857" s="56">
        <f t="shared" si="808"/>
        <v>0.23474178403755869</v>
      </c>
      <c r="AU857" s="56">
        <f t="shared" si="778"/>
        <v>0.176056338028169</v>
      </c>
      <c r="AV857" s="56">
        <f t="shared" si="809"/>
        <v>5.8685446009389672E-2</v>
      </c>
      <c r="AW857" s="57"/>
      <c r="AX857" s="57"/>
      <c r="AY857" s="57"/>
      <c r="AZ857" s="58">
        <f t="shared" si="810"/>
        <v>0</v>
      </c>
      <c r="BA857" s="59">
        <f t="shared" si="811"/>
        <v>0</v>
      </c>
      <c r="BB857" s="59">
        <f t="shared" si="812"/>
        <v>0</v>
      </c>
      <c r="BC857" s="59">
        <f t="shared" si="813"/>
        <v>0</v>
      </c>
      <c r="BD857" s="60">
        <f t="shared" si="814"/>
        <v>0</v>
      </c>
      <c r="BE857" s="59">
        <f t="shared" si="815"/>
        <v>0</v>
      </c>
      <c r="BQ857" s="61">
        <v>3000</v>
      </c>
      <c r="BR857" s="61">
        <v>1200</v>
      </c>
      <c r="BS857" s="28">
        <f t="shared" si="779"/>
        <v>2980</v>
      </c>
      <c r="BT857" s="28">
        <f t="shared" si="780"/>
        <v>1180</v>
      </c>
      <c r="BU857" s="28" t="s">
        <v>2541</v>
      </c>
      <c r="BV857" s="28">
        <f t="shared" si="781"/>
        <v>5</v>
      </c>
      <c r="BW857" s="28">
        <f t="shared" si="782"/>
        <v>5</v>
      </c>
      <c r="BX857" s="13">
        <f t="shared" si="783"/>
        <v>596</v>
      </c>
      <c r="BY857" s="13">
        <f t="shared" si="784"/>
        <v>596</v>
      </c>
      <c r="BZ857" s="13">
        <f t="shared" si="785"/>
        <v>236</v>
      </c>
      <c r="CA857" s="13">
        <f t="shared" si="786"/>
        <v>236</v>
      </c>
      <c r="CB857" s="13">
        <f t="shared" si="787"/>
        <v>140656</v>
      </c>
      <c r="CC857" s="62" t="str">
        <f t="shared" si="788"/>
        <v/>
      </c>
      <c r="CD857" s="13">
        <f t="shared" si="789"/>
        <v>596</v>
      </c>
      <c r="CE857" s="13">
        <f t="shared" si="790"/>
        <v>596</v>
      </c>
      <c r="CF857" s="13">
        <f t="shared" si="791"/>
        <v>236</v>
      </c>
      <c r="CG857" s="13">
        <f t="shared" si="792"/>
        <v>236</v>
      </c>
      <c r="CH857" s="28">
        <f t="shared" si="793"/>
        <v>140656</v>
      </c>
      <c r="CI857" s="62" t="str">
        <f t="shared" si="794"/>
        <v/>
      </c>
      <c r="CJ857" s="59">
        <f t="shared" si="795"/>
        <v>0</v>
      </c>
      <c r="CL857" s="63">
        <v>6000</v>
      </c>
      <c r="CM857" s="63">
        <f t="shared" si="796"/>
        <v>0</v>
      </c>
      <c r="CN857" s="63">
        <f t="shared" si="797"/>
        <v>5</v>
      </c>
      <c r="CO857" s="63">
        <f t="shared" si="798"/>
        <v>1200</v>
      </c>
      <c r="CP857" s="13">
        <f t="shared" si="799"/>
        <v>1200</v>
      </c>
      <c r="CQ857" s="70">
        <f t="shared" si="800"/>
        <v>8.3333333333333339E-4</v>
      </c>
      <c r="CR857" s="69">
        <f t="shared" si="763"/>
        <v>8.3333333333333339E-4</v>
      </c>
    </row>
    <row r="858" spans="1:96" x14ac:dyDescent="0.25">
      <c r="A858" s="17">
        <v>5</v>
      </c>
      <c r="B858" s="6" t="s">
        <v>1956</v>
      </c>
      <c r="C858" s="17" t="s">
        <v>1957</v>
      </c>
      <c r="D858" s="17" t="s">
        <v>2270</v>
      </c>
      <c r="E858" s="17" t="s">
        <v>52</v>
      </c>
      <c r="F858" s="7">
        <f t="shared" si="769"/>
        <v>1</v>
      </c>
      <c r="G858" s="17">
        <v>1</v>
      </c>
      <c r="H858" s="17">
        <f>G858*$H$857</f>
        <v>1</v>
      </c>
      <c r="I858" s="17">
        <v>1</v>
      </c>
      <c r="J858" s="6" t="s">
        <v>1892</v>
      </c>
      <c r="K858" s="6" t="s">
        <v>34</v>
      </c>
      <c r="L858" s="17">
        <v>0</v>
      </c>
      <c r="M858" s="6" t="s">
        <v>35</v>
      </c>
      <c r="N858" s="17" t="s">
        <v>1958</v>
      </c>
      <c r="O858" s="28" t="s">
        <v>41</v>
      </c>
      <c r="P858" s="28" t="s">
        <v>41</v>
      </c>
      <c r="Q858" s="28" t="s">
        <v>2585</v>
      </c>
      <c r="R858" s="30">
        <v>56.912999999999997</v>
      </c>
      <c r="S858" s="30">
        <v>16.698</v>
      </c>
      <c r="T858" s="30"/>
      <c r="U858" s="30">
        <v>0.06</v>
      </c>
      <c r="V858" s="8">
        <f t="shared" si="770"/>
        <v>1445.5901999999999</v>
      </c>
      <c r="W858" s="8">
        <f t="shared" si="771"/>
        <v>424.12919999999997</v>
      </c>
      <c r="X858" s="8">
        <f t="shared" si="772"/>
        <v>0</v>
      </c>
      <c r="Y858" s="33">
        <f t="shared" si="773"/>
        <v>1.5239999999999998</v>
      </c>
      <c r="Z858" s="28" t="s">
        <v>56</v>
      </c>
      <c r="AA858" s="28" t="s">
        <v>1765</v>
      </c>
      <c r="AB858" s="61" t="s">
        <v>2585</v>
      </c>
      <c r="AC858" s="31" t="s">
        <v>2586</v>
      </c>
      <c r="AD858" s="50">
        <f t="shared" si="774"/>
        <v>1</v>
      </c>
      <c r="AE858" s="31"/>
      <c r="AF858" s="51">
        <v>14</v>
      </c>
      <c r="AG858" s="51">
        <f t="shared" si="802"/>
        <v>8.4</v>
      </c>
      <c r="AH858" s="51">
        <f t="shared" si="768"/>
        <v>42</v>
      </c>
      <c r="AI858" s="52" t="s">
        <v>2497</v>
      </c>
      <c r="AJ858" s="52" t="s">
        <v>2498</v>
      </c>
      <c r="AK858" s="53">
        <f t="shared" si="803"/>
        <v>1.2262340301076797</v>
      </c>
      <c r="AL858" s="54">
        <f t="shared" si="804"/>
        <v>0.11904761904761904</v>
      </c>
      <c r="AM858" s="54">
        <f t="shared" si="805"/>
        <v>2.3809523809523808E-2</v>
      </c>
      <c r="AN858" s="55">
        <f t="shared" si="806"/>
        <v>0.14598024167948567</v>
      </c>
      <c r="AO858" s="55">
        <f t="shared" si="807"/>
        <v>2.9196048335897135E-2</v>
      </c>
      <c r="AP858" s="53">
        <v>7.1</v>
      </c>
      <c r="AQ858" s="53">
        <f t="shared" si="775"/>
        <v>4.26</v>
      </c>
      <c r="AR858" s="53">
        <f t="shared" si="776"/>
        <v>21.299999999999997</v>
      </c>
      <c r="AS858" s="56">
        <f t="shared" si="777"/>
        <v>4.6948356807511742E-2</v>
      </c>
      <c r="AT858" s="56">
        <f t="shared" si="808"/>
        <v>0.23474178403755869</v>
      </c>
      <c r="AU858" s="56">
        <f t="shared" si="778"/>
        <v>0.176056338028169</v>
      </c>
      <c r="AV858" s="56">
        <f t="shared" si="809"/>
        <v>5.8685446009389672E-2</v>
      </c>
      <c r="AW858" s="57"/>
      <c r="AX858" s="57"/>
      <c r="AY858" s="57"/>
      <c r="AZ858" s="58">
        <f t="shared" si="810"/>
        <v>1.2262340301076797</v>
      </c>
      <c r="BA858" s="59">
        <f t="shared" si="811"/>
        <v>0</v>
      </c>
      <c r="BB858" s="59">
        <f t="shared" si="812"/>
        <v>0</v>
      </c>
      <c r="BC858" s="59">
        <f t="shared" si="813"/>
        <v>0</v>
      </c>
      <c r="BD858" s="60">
        <f t="shared" si="814"/>
        <v>0.25</v>
      </c>
      <c r="BE858" s="59">
        <f t="shared" si="815"/>
        <v>0.25</v>
      </c>
      <c r="BQ858" s="61">
        <v>3000</v>
      </c>
      <c r="BR858" s="61">
        <v>1200</v>
      </c>
      <c r="BS858" s="28">
        <f t="shared" si="779"/>
        <v>2980</v>
      </c>
      <c r="BT858" s="28">
        <f t="shared" si="780"/>
        <v>1180</v>
      </c>
      <c r="BU858" s="28" t="s">
        <v>2541</v>
      </c>
      <c r="BV858" s="28">
        <f t="shared" si="781"/>
        <v>1450.5901999999999</v>
      </c>
      <c r="BW858" s="28">
        <f t="shared" si="782"/>
        <v>429.12919999999997</v>
      </c>
      <c r="BX858" s="13">
        <f t="shared" si="783"/>
        <v>2.0543362281090829</v>
      </c>
      <c r="BY858" s="13">
        <f t="shared" si="784"/>
        <v>2</v>
      </c>
      <c r="BZ858" s="13">
        <f t="shared" si="785"/>
        <v>2.7497546193547309</v>
      </c>
      <c r="CA858" s="13">
        <f t="shared" si="786"/>
        <v>2</v>
      </c>
      <c r="CB858" s="13">
        <f t="shared" si="787"/>
        <v>4</v>
      </c>
      <c r="CC858" s="62">
        <f t="shared" si="788"/>
        <v>0.25</v>
      </c>
      <c r="CD858" s="13">
        <f t="shared" si="789"/>
        <v>6.9442955641331334</v>
      </c>
      <c r="CE858" s="13">
        <f t="shared" si="790"/>
        <v>6</v>
      </c>
      <c r="CF858" s="13">
        <f t="shared" si="791"/>
        <v>0.81346199636534156</v>
      </c>
      <c r="CG858" s="13">
        <f t="shared" si="792"/>
        <v>0</v>
      </c>
      <c r="CH858" s="28">
        <f t="shared" si="793"/>
        <v>0</v>
      </c>
      <c r="CI858" s="62">
        <f t="shared" si="794"/>
        <v>1</v>
      </c>
      <c r="CJ858" s="59">
        <f t="shared" si="795"/>
        <v>0.25</v>
      </c>
      <c r="CL858" s="63">
        <v>6000</v>
      </c>
      <c r="CM858" s="63">
        <f t="shared" si="796"/>
        <v>1445.5901999999999</v>
      </c>
      <c r="CN858" s="63">
        <f t="shared" si="797"/>
        <v>1450.5901999999999</v>
      </c>
      <c r="CO858" s="63">
        <f t="shared" si="798"/>
        <v>4.1362474391458042</v>
      </c>
      <c r="CP858" s="13">
        <f t="shared" si="799"/>
        <v>4</v>
      </c>
      <c r="CQ858" s="70">
        <f t="shared" si="800"/>
        <v>0.25</v>
      </c>
      <c r="CR858" s="69">
        <f t="shared" si="763"/>
        <v>0.25</v>
      </c>
    </row>
    <row r="859" spans="1:96" hidden="1" x14ac:dyDescent="0.25">
      <c r="A859" s="17">
        <v>5</v>
      </c>
      <c r="B859" s="6" t="s">
        <v>1956</v>
      </c>
      <c r="C859" s="17" t="s">
        <v>1667</v>
      </c>
      <c r="D859" s="17" t="s">
        <v>1959</v>
      </c>
      <c r="E859" s="17" t="s">
        <v>52</v>
      </c>
      <c r="F859" s="7">
        <f t="shared" si="769"/>
        <v>8</v>
      </c>
      <c r="G859" s="17">
        <v>4</v>
      </c>
      <c r="H859" s="17">
        <f t="shared" ref="H859:H860" si="818">G859*$H$857</f>
        <v>4</v>
      </c>
      <c r="I859" s="17">
        <v>2</v>
      </c>
      <c r="J859" s="6" t="s">
        <v>1668</v>
      </c>
      <c r="K859" s="6" t="s">
        <v>34</v>
      </c>
      <c r="L859" s="17">
        <v>0</v>
      </c>
      <c r="M859" s="6" t="s">
        <v>35</v>
      </c>
      <c r="N859" s="17" t="s">
        <v>1959</v>
      </c>
      <c r="O859" s="28"/>
      <c r="P859" s="28"/>
      <c r="Q859" s="28" t="s">
        <v>1959</v>
      </c>
      <c r="R859" s="30"/>
      <c r="S859" s="30"/>
      <c r="T859" s="30"/>
      <c r="U859" s="30"/>
      <c r="V859" s="8">
        <f t="shared" si="770"/>
        <v>0</v>
      </c>
      <c r="W859" s="8">
        <f t="shared" si="771"/>
        <v>0</v>
      </c>
      <c r="X859" s="8">
        <f t="shared" si="772"/>
        <v>0</v>
      </c>
      <c r="Y859" s="33">
        <f t="shared" si="773"/>
        <v>0</v>
      </c>
      <c r="Z859" s="28"/>
      <c r="AA859" s="28"/>
      <c r="AB859" s="61" t="s">
        <v>1959</v>
      </c>
      <c r="AC859" s="31" t="s">
        <v>1669</v>
      </c>
      <c r="AD859" s="50">
        <f t="shared" si="774"/>
        <v>4</v>
      </c>
      <c r="AE859" s="31"/>
      <c r="AF859" s="51">
        <v>14</v>
      </c>
      <c r="AG859" s="51">
        <f t="shared" si="802"/>
        <v>8.4</v>
      </c>
      <c r="AH859" s="51">
        <f t="shared" si="768"/>
        <v>42</v>
      </c>
      <c r="AI859" s="52" t="s">
        <v>2497</v>
      </c>
      <c r="AJ859" s="52" t="s">
        <v>2498</v>
      </c>
      <c r="AK859" s="53">
        <f t="shared" si="803"/>
        <v>0</v>
      </c>
      <c r="AL859" s="54">
        <f t="shared" si="804"/>
        <v>0.11904761904761904</v>
      </c>
      <c r="AM859" s="54">
        <f t="shared" si="805"/>
        <v>2.3809523809523808E-2</v>
      </c>
      <c r="AN859" s="55">
        <f t="shared" si="806"/>
        <v>0</v>
      </c>
      <c r="AO859" s="55">
        <f t="shared" si="807"/>
        <v>0</v>
      </c>
      <c r="AP859" s="53">
        <v>7.1</v>
      </c>
      <c r="AQ859" s="53">
        <f t="shared" si="775"/>
        <v>4.26</v>
      </c>
      <c r="AR859" s="53">
        <f t="shared" si="776"/>
        <v>21.299999999999997</v>
      </c>
      <c r="AS859" s="56">
        <f t="shared" si="777"/>
        <v>4.6948356807511742E-2</v>
      </c>
      <c r="AT859" s="56">
        <f t="shared" si="808"/>
        <v>0.23474178403755869</v>
      </c>
      <c r="AU859" s="56">
        <f t="shared" si="778"/>
        <v>0.176056338028169</v>
      </c>
      <c r="AV859" s="56">
        <f t="shared" si="809"/>
        <v>5.8685446009389672E-2</v>
      </c>
      <c r="AW859" s="57"/>
      <c r="AX859" s="57"/>
      <c r="AY859" s="57"/>
      <c r="AZ859" s="58">
        <f t="shared" si="810"/>
        <v>0</v>
      </c>
      <c r="BA859" s="59">
        <f t="shared" si="811"/>
        <v>0</v>
      </c>
      <c r="BB859" s="59">
        <f t="shared" si="812"/>
        <v>0</v>
      </c>
      <c r="BC859" s="59">
        <f t="shared" si="813"/>
        <v>0</v>
      </c>
      <c r="BD859" s="60">
        <f t="shared" si="814"/>
        <v>7.1095438516664771E-6</v>
      </c>
      <c r="BE859" s="59">
        <f t="shared" si="815"/>
        <v>2.8438175406665908E-5</v>
      </c>
      <c r="BQ859" s="61">
        <v>3000</v>
      </c>
      <c r="BR859" s="61">
        <v>1200</v>
      </c>
      <c r="BS859" s="28">
        <f t="shared" si="779"/>
        <v>2980</v>
      </c>
      <c r="BT859" s="28">
        <f t="shared" si="780"/>
        <v>1180</v>
      </c>
      <c r="BU859" s="28" t="s">
        <v>2541</v>
      </c>
      <c r="BV859" s="28">
        <f t="shared" si="781"/>
        <v>5</v>
      </c>
      <c r="BW859" s="28">
        <f t="shared" si="782"/>
        <v>5</v>
      </c>
      <c r="BX859" s="13">
        <f t="shared" si="783"/>
        <v>596</v>
      </c>
      <c r="BY859" s="13">
        <f t="shared" si="784"/>
        <v>596</v>
      </c>
      <c r="BZ859" s="13">
        <f t="shared" si="785"/>
        <v>236</v>
      </c>
      <c r="CA859" s="13">
        <f t="shared" si="786"/>
        <v>236</v>
      </c>
      <c r="CB859" s="13">
        <f t="shared" si="787"/>
        <v>140656</v>
      </c>
      <c r="CC859" s="62">
        <f t="shared" si="788"/>
        <v>7.1095438516664771E-6</v>
      </c>
      <c r="CD859" s="13">
        <f t="shared" si="789"/>
        <v>596</v>
      </c>
      <c r="CE859" s="13">
        <f t="shared" si="790"/>
        <v>596</v>
      </c>
      <c r="CF859" s="13">
        <f t="shared" si="791"/>
        <v>236</v>
      </c>
      <c r="CG859" s="13">
        <f t="shared" si="792"/>
        <v>236</v>
      </c>
      <c r="CH859" s="28">
        <f t="shared" si="793"/>
        <v>140656</v>
      </c>
      <c r="CI859" s="62">
        <f t="shared" si="794"/>
        <v>7.1095438516664771E-6</v>
      </c>
      <c r="CJ859" s="59">
        <f t="shared" si="795"/>
        <v>7.1095438516664771E-6</v>
      </c>
      <c r="CL859" s="63">
        <v>6000</v>
      </c>
      <c r="CM859" s="63">
        <f t="shared" si="796"/>
        <v>0</v>
      </c>
      <c r="CN859" s="63">
        <f t="shared" si="797"/>
        <v>5</v>
      </c>
      <c r="CO859" s="63">
        <f t="shared" si="798"/>
        <v>1200</v>
      </c>
      <c r="CP859" s="13">
        <f t="shared" si="799"/>
        <v>1200</v>
      </c>
      <c r="CQ859" s="70">
        <f t="shared" si="800"/>
        <v>8.3333333333333339E-4</v>
      </c>
      <c r="CR859" s="69">
        <f t="shared" si="763"/>
        <v>3.3333333333333335E-3</v>
      </c>
    </row>
    <row r="860" spans="1:96" hidden="1" x14ac:dyDescent="0.25">
      <c r="A860" s="17">
        <v>5</v>
      </c>
      <c r="B860" s="6" t="s">
        <v>1956</v>
      </c>
      <c r="C860" s="17" t="s">
        <v>448</v>
      </c>
      <c r="D860" s="17" t="s">
        <v>450</v>
      </c>
      <c r="E860" s="17" t="s">
        <v>52</v>
      </c>
      <c r="F860" s="7">
        <f t="shared" si="769"/>
        <v>23</v>
      </c>
      <c r="G860" s="17">
        <v>6</v>
      </c>
      <c r="H860" s="17">
        <f t="shared" si="818"/>
        <v>6</v>
      </c>
      <c r="I860" s="17">
        <v>3</v>
      </c>
      <c r="J860" s="6" t="s">
        <v>449</v>
      </c>
      <c r="K860" s="6" t="s">
        <v>34</v>
      </c>
      <c r="L860" s="17">
        <v>0</v>
      </c>
      <c r="M860" s="6" t="s">
        <v>35</v>
      </c>
      <c r="N860" s="17" t="s">
        <v>450</v>
      </c>
      <c r="O860" s="28"/>
      <c r="P860" s="28"/>
      <c r="Q860" s="28" t="s">
        <v>450</v>
      </c>
      <c r="R860" s="30"/>
      <c r="S860" s="30"/>
      <c r="T860" s="30"/>
      <c r="U860" s="30"/>
      <c r="V860" s="8">
        <f t="shared" si="770"/>
        <v>0</v>
      </c>
      <c r="W860" s="8">
        <f t="shared" si="771"/>
        <v>0</v>
      </c>
      <c r="X860" s="8">
        <f t="shared" si="772"/>
        <v>0</v>
      </c>
      <c r="Y860" s="33">
        <f t="shared" si="773"/>
        <v>0</v>
      </c>
      <c r="Z860" s="28"/>
      <c r="AA860" s="28"/>
      <c r="AB860" s="61" t="s">
        <v>450</v>
      </c>
      <c r="AC860" s="31" t="s">
        <v>451</v>
      </c>
      <c r="AD860" s="50">
        <f t="shared" si="774"/>
        <v>6</v>
      </c>
      <c r="AE860" s="5" t="s">
        <v>1576</v>
      </c>
      <c r="AF860" s="51">
        <v>14</v>
      </c>
      <c r="AG860" s="51">
        <f t="shared" si="802"/>
        <v>8.4</v>
      </c>
      <c r="AH860" s="51">
        <f t="shared" si="768"/>
        <v>42</v>
      </c>
      <c r="AI860" s="52" t="s">
        <v>2497</v>
      </c>
      <c r="AJ860" s="52" t="s">
        <v>2498</v>
      </c>
      <c r="AK860" s="53">
        <f t="shared" si="803"/>
        <v>0</v>
      </c>
      <c r="AL860" s="54">
        <f t="shared" si="804"/>
        <v>0.11904761904761904</v>
      </c>
      <c r="AM860" s="54">
        <f t="shared" si="805"/>
        <v>2.3809523809523808E-2</v>
      </c>
      <c r="AN860" s="55">
        <f t="shared" si="806"/>
        <v>0</v>
      </c>
      <c r="AO860" s="55">
        <f t="shared" si="807"/>
        <v>0</v>
      </c>
      <c r="AP860" s="53">
        <v>7.1</v>
      </c>
      <c r="AQ860" s="53">
        <f t="shared" si="775"/>
        <v>4.26</v>
      </c>
      <c r="AR860" s="53">
        <f t="shared" si="776"/>
        <v>21.299999999999997</v>
      </c>
      <c r="AS860" s="56">
        <f t="shared" si="777"/>
        <v>4.6948356807511742E-2</v>
      </c>
      <c r="AT860" s="56">
        <f t="shared" si="808"/>
        <v>0.23474178403755869</v>
      </c>
      <c r="AU860" s="56">
        <f t="shared" si="778"/>
        <v>0.176056338028169</v>
      </c>
      <c r="AV860" s="56">
        <f t="shared" si="809"/>
        <v>5.8685446009389672E-2</v>
      </c>
      <c r="AW860" s="57"/>
      <c r="AX860" s="57"/>
      <c r="AY860" s="57"/>
      <c r="AZ860" s="58">
        <f t="shared" si="810"/>
        <v>0</v>
      </c>
      <c r="BA860" s="59">
        <f t="shared" si="811"/>
        <v>0</v>
      </c>
      <c r="BB860" s="59">
        <f t="shared" si="812"/>
        <v>0</v>
      </c>
      <c r="BC860" s="59">
        <f t="shared" si="813"/>
        <v>0</v>
      </c>
      <c r="BD860" s="60">
        <f t="shared" si="814"/>
        <v>7.1095438516664771E-6</v>
      </c>
      <c r="BE860" s="59">
        <f t="shared" si="815"/>
        <v>4.2657263109998864E-5</v>
      </c>
      <c r="BQ860" s="61">
        <v>3000</v>
      </c>
      <c r="BR860" s="61">
        <v>1200</v>
      </c>
      <c r="BS860" s="28">
        <f t="shared" si="779"/>
        <v>2980</v>
      </c>
      <c r="BT860" s="28">
        <f t="shared" si="780"/>
        <v>1180</v>
      </c>
      <c r="BU860" s="28" t="s">
        <v>2541</v>
      </c>
      <c r="BV860" s="28">
        <f t="shared" si="781"/>
        <v>5</v>
      </c>
      <c r="BW860" s="28">
        <f t="shared" si="782"/>
        <v>5</v>
      </c>
      <c r="BX860" s="13">
        <f t="shared" si="783"/>
        <v>596</v>
      </c>
      <c r="BY860" s="13">
        <f t="shared" si="784"/>
        <v>596</v>
      </c>
      <c r="BZ860" s="13">
        <f t="shared" si="785"/>
        <v>236</v>
      </c>
      <c r="CA860" s="13">
        <f t="shared" si="786"/>
        <v>236</v>
      </c>
      <c r="CB860" s="13">
        <f t="shared" si="787"/>
        <v>140656</v>
      </c>
      <c r="CC860" s="62">
        <f t="shared" si="788"/>
        <v>7.1095438516664771E-6</v>
      </c>
      <c r="CD860" s="13">
        <f t="shared" si="789"/>
        <v>596</v>
      </c>
      <c r="CE860" s="13">
        <f t="shared" si="790"/>
        <v>596</v>
      </c>
      <c r="CF860" s="13">
        <f t="shared" si="791"/>
        <v>236</v>
      </c>
      <c r="CG860" s="13">
        <f t="shared" si="792"/>
        <v>236</v>
      </c>
      <c r="CH860" s="28">
        <f t="shared" si="793"/>
        <v>140656</v>
      </c>
      <c r="CI860" s="62">
        <f t="shared" si="794"/>
        <v>7.1095438516664771E-6</v>
      </c>
      <c r="CJ860" s="59">
        <f t="shared" si="795"/>
        <v>7.1095438516664771E-6</v>
      </c>
      <c r="CL860" s="63">
        <v>6000</v>
      </c>
      <c r="CM860" s="63">
        <f t="shared" si="796"/>
        <v>0</v>
      </c>
      <c r="CN860" s="63">
        <f t="shared" si="797"/>
        <v>5</v>
      </c>
      <c r="CO860" s="63">
        <f t="shared" si="798"/>
        <v>1200</v>
      </c>
      <c r="CP860" s="13">
        <f t="shared" si="799"/>
        <v>1200</v>
      </c>
      <c r="CQ860" s="70">
        <f t="shared" si="800"/>
        <v>8.3333333333333339E-4</v>
      </c>
      <c r="CR860" s="69">
        <f t="shared" si="763"/>
        <v>5.0000000000000001E-3</v>
      </c>
    </row>
    <row r="861" spans="1:96" hidden="1" x14ac:dyDescent="0.25">
      <c r="A861" s="10">
        <v>3</v>
      </c>
      <c r="B861" s="8" t="s">
        <v>1933</v>
      </c>
      <c r="C861" s="10" t="s">
        <v>1960</v>
      </c>
      <c r="D861" s="10" t="s">
        <v>1961</v>
      </c>
      <c r="E861" s="10" t="s">
        <v>52</v>
      </c>
      <c r="F861" s="12">
        <f t="shared" si="769"/>
        <v>4</v>
      </c>
      <c r="G861" s="10">
        <v>1</v>
      </c>
      <c r="H861" s="10">
        <f>G861*$H$841</f>
        <v>1</v>
      </c>
      <c r="I861" s="10">
        <v>3</v>
      </c>
      <c r="J861" s="8" t="s">
        <v>469</v>
      </c>
      <c r="K861" s="8" t="s">
        <v>34</v>
      </c>
      <c r="L861" s="10" t="s">
        <v>110</v>
      </c>
      <c r="M861" s="8" t="s">
        <v>35</v>
      </c>
      <c r="N861" s="10" t="s">
        <v>1961</v>
      </c>
      <c r="O861" s="28" t="s">
        <v>41</v>
      </c>
      <c r="P861" s="28" t="s">
        <v>41</v>
      </c>
      <c r="Q861" s="28" t="s">
        <v>1896</v>
      </c>
      <c r="R861" s="30"/>
      <c r="S861" s="30"/>
      <c r="T861" s="30"/>
      <c r="U861" s="30"/>
      <c r="V861" s="8">
        <f t="shared" si="770"/>
        <v>0</v>
      </c>
      <c r="W861" s="8">
        <f t="shared" si="771"/>
        <v>0</v>
      </c>
      <c r="X861" s="8">
        <f t="shared" si="772"/>
        <v>0</v>
      </c>
      <c r="Y861" s="33">
        <f t="shared" si="773"/>
        <v>0</v>
      </c>
      <c r="Z861" s="28" t="s">
        <v>1897</v>
      </c>
      <c r="AA861" s="28" t="s">
        <v>1765</v>
      </c>
      <c r="AB861" s="61" t="s">
        <v>1896</v>
      </c>
      <c r="AC861" s="31" t="s">
        <v>1898</v>
      </c>
      <c r="AD861" s="50">
        <f t="shared" si="774"/>
        <v>1</v>
      </c>
      <c r="AE861" s="31"/>
      <c r="AF861" s="51">
        <v>14</v>
      </c>
      <c r="AG861" s="51">
        <f t="shared" si="802"/>
        <v>8.4</v>
      </c>
      <c r="AH861" s="51">
        <f t="shared" si="768"/>
        <v>42</v>
      </c>
      <c r="AI861" s="52" t="s">
        <v>2497</v>
      </c>
      <c r="AJ861" s="52" t="s">
        <v>2498</v>
      </c>
      <c r="AK861" s="53">
        <f t="shared" si="803"/>
        <v>0</v>
      </c>
      <c r="AL861" s="54">
        <f t="shared" si="804"/>
        <v>0.11904761904761904</v>
      </c>
      <c r="AM861" s="54">
        <f t="shared" si="805"/>
        <v>2.3809523809523808E-2</v>
      </c>
      <c r="AN861" s="55">
        <f t="shared" si="806"/>
        <v>0</v>
      </c>
      <c r="AO861" s="55">
        <f t="shared" si="807"/>
        <v>0</v>
      </c>
      <c r="AP861" s="53">
        <v>7.1</v>
      </c>
      <c r="AQ861" s="53">
        <f t="shared" si="775"/>
        <v>4.26</v>
      </c>
      <c r="AR861" s="53">
        <f t="shared" si="776"/>
        <v>21.299999999999997</v>
      </c>
      <c r="AS861" s="56">
        <f t="shared" si="777"/>
        <v>4.6948356807511742E-2</v>
      </c>
      <c r="AT861" s="56">
        <f t="shared" si="808"/>
        <v>0.23474178403755869</v>
      </c>
      <c r="AU861" s="56">
        <f t="shared" si="778"/>
        <v>0.176056338028169</v>
      </c>
      <c r="AV861" s="56">
        <f t="shared" si="809"/>
        <v>5.8685446009389672E-2</v>
      </c>
      <c r="AW861" s="57"/>
      <c r="AX861" s="57"/>
      <c r="AY861" s="57"/>
      <c r="AZ861" s="58">
        <f t="shared" si="810"/>
        <v>0</v>
      </c>
      <c r="BA861" s="59">
        <f t="shared" si="811"/>
        <v>0</v>
      </c>
      <c r="BB861" s="59">
        <f t="shared" si="812"/>
        <v>0</v>
      </c>
      <c r="BC861" s="59">
        <f t="shared" si="813"/>
        <v>0</v>
      </c>
      <c r="BD861" s="60">
        <f t="shared" si="814"/>
        <v>7.1095438516664771E-6</v>
      </c>
      <c r="BE861" s="59">
        <f t="shared" si="815"/>
        <v>7.1095438516664771E-6</v>
      </c>
      <c r="BQ861" s="61">
        <v>3000</v>
      </c>
      <c r="BR861" s="61">
        <v>1200</v>
      </c>
      <c r="BS861" s="28">
        <f t="shared" si="779"/>
        <v>2980</v>
      </c>
      <c r="BT861" s="28">
        <f t="shared" si="780"/>
        <v>1180</v>
      </c>
      <c r="BU861" s="28" t="s">
        <v>2541</v>
      </c>
      <c r="BV861" s="28">
        <f t="shared" si="781"/>
        <v>5</v>
      </c>
      <c r="BW861" s="28">
        <f t="shared" si="782"/>
        <v>5</v>
      </c>
      <c r="BX861" s="13">
        <f t="shared" si="783"/>
        <v>596</v>
      </c>
      <c r="BY861" s="13">
        <f t="shared" si="784"/>
        <v>596</v>
      </c>
      <c r="BZ861" s="13">
        <f t="shared" si="785"/>
        <v>236</v>
      </c>
      <c r="CA861" s="13">
        <f t="shared" si="786"/>
        <v>236</v>
      </c>
      <c r="CB861" s="13">
        <f t="shared" si="787"/>
        <v>140656</v>
      </c>
      <c r="CC861" s="62">
        <f t="shared" si="788"/>
        <v>7.1095438516664771E-6</v>
      </c>
      <c r="CD861" s="13">
        <f t="shared" si="789"/>
        <v>596</v>
      </c>
      <c r="CE861" s="13">
        <f t="shared" si="790"/>
        <v>596</v>
      </c>
      <c r="CF861" s="13">
        <f t="shared" si="791"/>
        <v>236</v>
      </c>
      <c r="CG861" s="13">
        <f t="shared" si="792"/>
        <v>236</v>
      </c>
      <c r="CH861" s="28">
        <f t="shared" si="793"/>
        <v>140656</v>
      </c>
      <c r="CI861" s="62">
        <f t="shared" si="794"/>
        <v>7.1095438516664771E-6</v>
      </c>
      <c r="CJ861" s="59">
        <f t="shared" si="795"/>
        <v>7.1095438516664771E-6</v>
      </c>
      <c r="CL861" s="63">
        <v>6000</v>
      </c>
      <c r="CM861" s="63">
        <f t="shared" si="796"/>
        <v>0</v>
      </c>
      <c r="CN861" s="63">
        <f t="shared" si="797"/>
        <v>5</v>
      </c>
      <c r="CO861" s="63">
        <f t="shared" si="798"/>
        <v>1200</v>
      </c>
      <c r="CP861" s="13">
        <f t="shared" si="799"/>
        <v>1200</v>
      </c>
      <c r="CQ861" s="70">
        <f t="shared" si="800"/>
        <v>8.3333333333333339E-4</v>
      </c>
      <c r="CR861" s="69">
        <f t="shared" si="763"/>
        <v>8.3333333333333339E-4</v>
      </c>
    </row>
    <row r="862" spans="1:96" hidden="1" x14ac:dyDescent="0.25">
      <c r="A862" s="13">
        <v>4</v>
      </c>
      <c r="B862" s="14" t="s">
        <v>1962</v>
      </c>
      <c r="C862" s="13" t="s">
        <v>1900</v>
      </c>
      <c r="D862" s="13" t="s">
        <v>2270</v>
      </c>
      <c r="E862" s="13" t="s">
        <v>52</v>
      </c>
      <c r="F862" s="15">
        <f t="shared" si="769"/>
        <v>8</v>
      </c>
      <c r="G862" s="13">
        <v>1</v>
      </c>
      <c r="H862" s="13">
        <f>G862*$H$861</f>
        <v>1</v>
      </c>
      <c r="I862" s="13" t="s">
        <v>485</v>
      </c>
      <c r="J862" s="14" t="s">
        <v>469</v>
      </c>
      <c r="K862" s="14" t="s">
        <v>34</v>
      </c>
      <c r="L862" s="13" t="s">
        <v>1901</v>
      </c>
      <c r="M862" s="14" t="s">
        <v>35</v>
      </c>
      <c r="N862" s="13" t="s">
        <v>1902</v>
      </c>
      <c r="O862" s="28"/>
      <c r="P862" s="28"/>
      <c r="Q862" s="28" t="s">
        <v>1902</v>
      </c>
      <c r="R862" s="30"/>
      <c r="S862" s="30"/>
      <c r="T862" s="30"/>
      <c r="U862" s="30"/>
      <c r="V862" s="8">
        <f t="shared" si="770"/>
        <v>0</v>
      </c>
      <c r="W862" s="8">
        <f t="shared" si="771"/>
        <v>0</v>
      </c>
      <c r="X862" s="8">
        <f t="shared" si="772"/>
        <v>0</v>
      </c>
      <c r="Y862" s="33">
        <f t="shared" si="773"/>
        <v>0</v>
      </c>
      <c r="Z862" s="28"/>
      <c r="AA862" s="28"/>
      <c r="AB862" s="28" t="s">
        <v>1902</v>
      </c>
      <c r="AC862" s="31"/>
      <c r="AD862" s="50">
        <f t="shared" si="774"/>
        <v>1</v>
      </c>
      <c r="AE862" s="31"/>
      <c r="AF862" s="51">
        <v>14</v>
      </c>
      <c r="AG862" s="51">
        <f t="shared" si="802"/>
        <v>8.4</v>
      </c>
      <c r="AH862" s="51">
        <f t="shared" si="768"/>
        <v>42</v>
      </c>
      <c r="AI862" s="52" t="s">
        <v>2497</v>
      </c>
      <c r="AJ862" s="52" t="s">
        <v>2498</v>
      </c>
      <c r="AK862" s="53">
        <f t="shared" si="803"/>
        <v>0</v>
      </c>
      <c r="AL862" s="54">
        <f t="shared" si="804"/>
        <v>0.11904761904761904</v>
      </c>
      <c r="AM862" s="54">
        <f t="shared" si="805"/>
        <v>2.3809523809523808E-2</v>
      </c>
      <c r="AN862" s="55">
        <f t="shared" si="806"/>
        <v>0</v>
      </c>
      <c r="AO862" s="55">
        <f t="shared" si="807"/>
        <v>0</v>
      </c>
      <c r="AP862" s="53">
        <v>7.1</v>
      </c>
      <c r="AQ862" s="53">
        <f t="shared" si="775"/>
        <v>4.26</v>
      </c>
      <c r="AR862" s="53">
        <f t="shared" si="776"/>
        <v>21.299999999999997</v>
      </c>
      <c r="AS862" s="56">
        <f t="shared" si="777"/>
        <v>4.6948356807511742E-2</v>
      </c>
      <c r="AT862" s="56">
        <f t="shared" si="808"/>
        <v>0.23474178403755869</v>
      </c>
      <c r="AU862" s="56">
        <f t="shared" si="778"/>
        <v>0.176056338028169</v>
      </c>
      <c r="AV862" s="56">
        <f t="shared" si="809"/>
        <v>5.8685446009389672E-2</v>
      </c>
      <c r="AW862" s="57"/>
      <c r="AX862" s="57"/>
      <c r="AY862" s="57"/>
      <c r="AZ862" s="58">
        <f t="shared" si="810"/>
        <v>0</v>
      </c>
      <c r="BA862" s="59">
        <f t="shared" si="811"/>
        <v>0</v>
      </c>
      <c r="BB862" s="59">
        <f t="shared" si="812"/>
        <v>0</v>
      </c>
      <c r="BC862" s="59">
        <f t="shared" si="813"/>
        <v>0</v>
      </c>
      <c r="BD862" s="60">
        <f t="shared" si="814"/>
        <v>7.1095438516664771E-6</v>
      </c>
      <c r="BE862" s="59">
        <f t="shared" si="815"/>
        <v>7.1095438516664771E-6</v>
      </c>
      <c r="BQ862" s="61">
        <v>3000</v>
      </c>
      <c r="BR862" s="61">
        <v>1200</v>
      </c>
      <c r="BS862" s="28">
        <f t="shared" si="779"/>
        <v>2980</v>
      </c>
      <c r="BT862" s="28">
        <f t="shared" si="780"/>
        <v>1180</v>
      </c>
      <c r="BU862" s="28" t="s">
        <v>2541</v>
      </c>
      <c r="BV862" s="28">
        <f t="shared" si="781"/>
        <v>5</v>
      </c>
      <c r="BW862" s="28">
        <f t="shared" si="782"/>
        <v>5</v>
      </c>
      <c r="BX862" s="13">
        <f t="shared" si="783"/>
        <v>596</v>
      </c>
      <c r="BY862" s="13">
        <f t="shared" si="784"/>
        <v>596</v>
      </c>
      <c r="BZ862" s="13">
        <f t="shared" si="785"/>
        <v>236</v>
      </c>
      <c r="CA862" s="13">
        <f t="shared" si="786"/>
        <v>236</v>
      </c>
      <c r="CB862" s="13">
        <f t="shared" si="787"/>
        <v>140656</v>
      </c>
      <c r="CC862" s="62">
        <f t="shared" si="788"/>
        <v>7.1095438516664771E-6</v>
      </c>
      <c r="CD862" s="13">
        <f t="shared" si="789"/>
        <v>596</v>
      </c>
      <c r="CE862" s="13">
        <f t="shared" si="790"/>
        <v>596</v>
      </c>
      <c r="CF862" s="13">
        <f t="shared" si="791"/>
        <v>236</v>
      </c>
      <c r="CG862" s="13">
        <f t="shared" si="792"/>
        <v>236</v>
      </c>
      <c r="CH862" s="28">
        <f t="shared" si="793"/>
        <v>140656</v>
      </c>
      <c r="CI862" s="62">
        <f t="shared" si="794"/>
        <v>7.1095438516664771E-6</v>
      </c>
      <c r="CJ862" s="59">
        <f t="shared" si="795"/>
        <v>7.1095438516664771E-6</v>
      </c>
      <c r="CL862" s="63">
        <v>6000</v>
      </c>
      <c r="CM862" s="63">
        <f t="shared" si="796"/>
        <v>0</v>
      </c>
      <c r="CN862" s="63">
        <f t="shared" si="797"/>
        <v>5</v>
      </c>
      <c r="CO862" s="63">
        <f t="shared" si="798"/>
        <v>1200</v>
      </c>
      <c r="CP862" s="13">
        <f t="shared" si="799"/>
        <v>1200</v>
      </c>
      <c r="CQ862" s="70">
        <f t="shared" si="800"/>
        <v>8.3333333333333339E-4</v>
      </c>
      <c r="CR862" s="69">
        <f t="shared" si="763"/>
        <v>8.3333333333333339E-4</v>
      </c>
    </row>
    <row r="863" spans="1:96" hidden="1" x14ac:dyDescent="0.25">
      <c r="A863" s="10">
        <v>3</v>
      </c>
      <c r="B863" s="8" t="s">
        <v>1933</v>
      </c>
      <c r="C863" s="10" t="s">
        <v>1963</v>
      </c>
      <c r="D863" s="10" t="s">
        <v>2270</v>
      </c>
      <c r="E863" s="10" t="s">
        <v>52</v>
      </c>
      <c r="F863" s="12">
        <f t="shared" si="769"/>
        <v>6</v>
      </c>
      <c r="G863" s="10">
        <v>1</v>
      </c>
      <c r="H863" s="10">
        <f t="shared" ref="H863:H870" si="819">G863*$H$841</f>
        <v>1</v>
      </c>
      <c r="I863" s="10">
        <v>4</v>
      </c>
      <c r="J863" s="8" t="s">
        <v>1964</v>
      </c>
      <c r="K863" s="8" t="s">
        <v>34</v>
      </c>
      <c r="L863" s="10">
        <v>0</v>
      </c>
      <c r="M863" s="8" t="s">
        <v>1965</v>
      </c>
      <c r="N863" s="77" t="s">
        <v>2570</v>
      </c>
      <c r="O863" s="28"/>
      <c r="P863" s="28"/>
      <c r="Q863" s="28"/>
      <c r="R863" s="30"/>
      <c r="S863" s="30"/>
      <c r="T863" s="30"/>
      <c r="U863" s="30"/>
      <c r="V863" s="8">
        <f t="shared" si="770"/>
        <v>0</v>
      </c>
      <c r="W863" s="8">
        <f t="shared" si="771"/>
        <v>0</v>
      </c>
      <c r="X863" s="8">
        <f t="shared" si="772"/>
        <v>0</v>
      </c>
      <c r="Y863" s="33">
        <f t="shared" si="773"/>
        <v>0</v>
      </c>
      <c r="Z863" s="28"/>
      <c r="AA863" s="28"/>
      <c r="AB863" s="77" t="str">
        <f>N863</f>
        <v>MTA-NOVO-1</v>
      </c>
      <c r="AC863" s="31" t="s">
        <v>1964</v>
      </c>
      <c r="AD863" s="50">
        <f t="shared" si="774"/>
        <v>1</v>
      </c>
      <c r="AE863" s="47" t="s">
        <v>1966</v>
      </c>
      <c r="AF863" s="51">
        <v>14</v>
      </c>
      <c r="AG863" s="51">
        <f t="shared" si="802"/>
        <v>8.4</v>
      </c>
      <c r="AH863" s="51">
        <f t="shared" si="768"/>
        <v>42</v>
      </c>
      <c r="AI863" s="52" t="s">
        <v>2497</v>
      </c>
      <c r="AJ863" s="52" t="s">
        <v>2498</v>
      </c>
      <c r="AK863" s="53">
        <f t="shared" si="803"/>
        <v>0</v>
      </c>
      <c r="AL863" s="54">
        <f t="shared" si="804"/>
        <v>0.11904761904761904</v>
      </c>
      <c r="AM863" s="54">
        <f t="shared" si="805"/>
        <v>2.3809523809523808E-2</v>
      </c>
      <c r="AN863" s="55">
        <f t="shared" si="806"/>
        <v>0</v>
      </c>
      <c r="AO863" s="55">
        <f t="shared" si="807"/>
        <v>0</v>
      </c>
      <c r="AP863" s="53">
        <v>7.1</v>
      </c>
      <c r="AQ863" s="53">
        <f t="shared" si="775"/>
        <v>4.26</v>
      </c>
      <c r="AR863" s="53">
        <f t="shared" si="776"/>
        <v>21.299999999999997</v>
      </c>
      <c r="AS863" s="56">
        <f t="shared" si="777"/>
        <v>4.6948356807511742E-2</v>
      </c>
      <c r="AT863" s="56">
        <f t="shared" si="808"/>
        <v>0.23474178403755869</v>
      </c>
      <c r="AU863" s="56">
        <f t="shared" si="778"/>
        <v>0.176056338028169</v>
      </c>
      <c r="AV863" s="56">
        <f t="shared" si="809"/>
        <v>5.8685446009389672E-2</v>
      </c>
      <c r="AW863" s="57"/>
      <c r="AX863" s="57"/>
      <c r="AY863" s="57"/>
      <c r="AZ863" s="58">
        <f t="shared" si="810"/>
        <v>0</v>
      </c>
      <c r="BA863" s="59">
        <f t="shared" si="811"/>
        <v>0</v>
      </c>
      <c r="BB863" s="59">
        <f t="shared" si="812"/>
        <v>0</v>
      </c>
      <c r="BC863" s="59">
        <f t="shared" si="813"/>
        <v>0</v>
      </c>
      <c r="BD863" s="60">
        <f t="shared" si="814"/>
        <v>7.1095438516664771E-6</v>
      </c>
      <c r="BE863" s="59">
        <f t="shared" si="815"/>
        <v>7.1095438516664771E-6</v>
      </c>
      <c r="BQ863" s="61">
        <v>3000</v>
      </c>
      <c r="BR863" s="61">
        <v>1200</v>
      </c>
      <c r="BS863" s="28">
        <f t="shared" si="779"/>
        <v>2980</v>
      </c>
      <c r="BT863" s="28">
        <f t="shared" si="780"/>
        <v>1180</v>
      </c>
      <c r="BU863" s="28" t="s">
        <v>2541</v>
      </c>
      <c r="BV863" s="28">
        <f t="shared" si="781"/>
        <v>5</v>
      </c>
      <c r="BW863" s="28">
        <f t="shared" si="782"/>
        <v>5</v>
      </c>
      <c r="BX863" s="13">
        <f t="shared" si="783"/>
        <v>596</v>
      </c>
      <c r="BY863" s="13">
        <f t="shared" si="784"/>
        <v>596</v>
      </c>
      <c r="BZ863" s="13">
        <f t="shared" si="785"/>
        <v>236</v>
      </c>
      <c r="CA863" s="13">
        <f t="shared" si="786"/>
        <v>236</v>
      </c>
      <c r="CB863" s="13">
        <f t="shared" si="787"/>
        <v>140656</v>
      </c>
      <c r="CC863" s="62">
        <f t="shared" si="788"/>
        <v>7.1095438516664771E-6</v>
      </c>
      <c r="CD863" s="13">
        <f t="shared" si="789"/>
        <v>596</v>
      </c>
      <c r="CE863" s="13">
        <f t="shared" si="790"/>
        <v>596</v>
      </c>
      <c r="CF863" s="13">
        <f t="shared" si="791"/>
        <v>236</v>
      </c>
      <c r="CG863" s="13">
        <f t="shared" si="792"/>
        <v>236</v>
      </c>
      <c r="CH863" s="28">
        <f t="shared" si="793"/>
        <v>140656</v>
      </c>
      <c r="CI863" s="62">
        <f t="shared" si="794"/>
        <v>7.1095438516664771E-6</v>
      </c>
      <c r="CJ863" s="59">
        <f t="shared" si="795"/>
        <v>7.1095438516664771E-6</v>
      </c>
      <c r="CL863" s="63">
        <v>6000</v>
      </c>
      <c r="CM863" s="63">
        <f t="shared" si="796"/>
        <v>0</v>
      </c>
      <c r="CN863" s="63">
        <f t="shared" si="797"/>
        <v>5</v>
      </c>
      <c r="CO863" s="63">
        <f t="shared" si="798"/>
        <v>1200</v>
      </c>
      <c r="CP863" s="13">
        <f t="shared" si="799"/>
        <v>1200</v>
      </c>
      <c r="CQ863" s="70">
        <f t="shared" si="800"/>
        <v>8.3333333333333339E-4</v>
      </c>
      <c r="CR863" s="69">
        <f t="shared" si="763"/>
        <v>8.3333333333333339E-4</v>
      </c>
    </row>
    <row r="864" spans="1:96" hidden="1" x14ac:dyDescent="0.25">
      <c r="A864" s="10">
        <v>3</v>
      </c>
      <c r="B864" s="8" t="s">
        <v>1933</v>
      </c>
      <c r="C864" s="10" t="s">
        <v>1967</v>
      </c>
      <c r="D864" s="10" t="s">
        <v>1968</v>
      </c>
      <c r="E864" s="10" t="s">
        <v>52</v>
      </c>
      <c r="F864" s="12">
        <f t="shared" si="769"/>
        <v>6</v>
      </c>
      <c r="G864" s="10">
        <v>1</v>
      </c>
      <c r="H864" s="10">
        <f t="shared" si="819"/>
        <v>1</v>
      </c>
      <c r="I864" s="10">
        <v>5</v>
      </c>
      <c r="J864" s="8" t="s">
        <v>1665</v>
      </c>
      <c r="K864" s="8" t="s">
        <v>34</v>
      </c>
      <c r="L864" s="10">
        <v>0</v>
      </c>
      <c r="M864" s="8" t="s">
        <v>35</v>
      </c>
      <c r="N864" s="10" t="s">
        <v>1968</v>
      </c>
      <c r="O864" s="28" t="s">
        <v>41</v>
      </c>
      <c r="P864" s="28" t="s">
        <v>41</v>
      </c>
      <c r="Q864" s="28" t="s">
        <v>124</v>
      </c>
      <c r="R864" s="30">
        <v>6.5</v>
      </c>
      <c r="S864" s="30">
        <v>6.5</v>
      </c>
      <c r="T864" s="30"/>
      <c r="U864" s="30">
        <v>9.8425196850393706E-2</v>
      </c>
      <c r="V864" s="8">
        <f t="shared" si="770"/>
        <v>165.1</v>
      </c>
      <c r="W864" s="8">
        <f t="shared" si="771"/>
        <v>165.1</v>
      </c>
      <c r="X864" s="8">
        <f t="shared" si="772"/>
        <v>0</v>
      </c>
      <c r="Y864" s="33">
        <f t="shared" si="773"/>
        <v>2.5</v>
      </c>
      <c r="Z864" s="28" t="s">
        <v>56</v>
      </c>
      <c r="AA864" s="28" t="s">
        <v>57</v>
      </c>
      <c r="AB864" s="61" t="s">
        <v>124</v>
      </c>
      <c r="AC864" s="31" t="s">
        <v>125</v>
      </c>
      <c r="AD864" s="50">
        <f t="shared" si="774"/>
        <v>1</v>
      </c>
      <c r="AE864" s="47" t="s">
        <v>1969</v>
      </c>
      <c r="AF864" s="51">
        <v>14</v>
      </c>
      <c r="AG864" s="51">
        <f t="shared" si="802"/>
        <v>8.4</v>
      </c>
      <c r="AH864" s="51">
        <f t="shared" si="768"/>
        <v>42</v>
      </c>
      <c r="AI864" s="52" t="s">
        <v>2497</v>
      </c>
      <c r="AJ864" s="52" t="s">
        <v>2498</v>
      </c>
      <c r="AK864" s="53">
        <f t="shared" si="803"/>
        <v>5.4516019999999998E-2</v>
      </c>
      <c r="AL864" s="54">
        <f t="shared" si="804"/>
        <v>0.11904761904761904</v>
      </c>
      <c r="AM864" s="54">
        <f t="shared" si="805"/>
        <v>2.3809523809523808E-2</v>
      </c>
      <c r="AN864" s="55">
        <f t="shared" si="806"/>
        <v>6.4900023809523807E-3</v>
      </c>
      <c r="AO864" s="55">
        <f t="shared" si="807"/>
        <v>1.298000476190476E-3</v>
      </c>
      <c r="AP864" s="53">
        <v>7.1</v>
      </c>
      <c r="AQ864" s="53">
        <f t="shared" si="775"/>
        <v>4.26</v>
      </c>
      <c r="AR864" s="53">
        <f t="shared" si="776"/>
        <v>21.299999999999997</v>
      </c>
      <c r="AS864" s="56">
        <f t="shared" si="777"/>
        <v>4.6948356807511742E-2</v>
      </c>
      <c r="AT864" s="56">
        <f t="shared" si="808"/>
        <v>0.23474178403755869</v>
      </c>
      <c r="AU864" s="56">
        <f t="shared" si="778"/>
        <v>0.176056338028169</v>
      </c>
      <c r="AV864" s="56">
        <f t="shared" si="809"/>
        <v>5.8685446009389672E-2</v>
      </c>
      <c r="AW864" s="57"/>
      <c r="AX864" s="57"/>
      <c r="AY864" s="57"/>
      <c r="AZ864" s="58">
        <f t="shared" si="810"/>
        <v>5.4516019999999998E-2</v>
      </c>
      <c r="BA864" s="59">
        <f t="shared" si="811"/>
        <v>0</v>
      </c>
      <c r="BB864" s="59">
        <f t="shared" si="812"/>
        <v>0</v>
      </c>
      <c r="BC864" s="59">
        <f t="shared" si="813"/>
        <v>0</v>
      </c>
      <c r="BD864" s="60">
        <f t="shared" si="814"/>
        <v>9.8039215686274508E-3</v>
      </c>
      <c r="BE864" s="59">
        <f t="shared" si="815"/>
        <v>9.8039215686274508E-3</v>
      </c>
      <c r="BQ864" s="61">
        <v>3000</v>
      </c>
      <c r="BR864" s="61">
        <v>1200</v>
      </c>
      <c r="BS864" s="28">
        <f t="shared" si="779"/>
        <v>2980</v>
      </c>
      <c r="BT864" s="28">
        <f t="shared" si="780"/>
        <v>1180</v>
      </c>
      <c r="BU864" s="28" t="s">
        <v>2541</v>
      </c>
      <c r="BV864" s="28">
        <f t="shared" si="781"/>
        <v>170.1</v>
      </c>
      <c r="BW864" s="28">
        <f t="shared" si="782"/>
        <v>170.1</v>
      </c>
      <c r="BX864" s="13">
        <f t="shared" si="783"/>
        <v>17.519106407995299</v>
      </c>
      <c r="BY864" s="13">
        <f t="shared" si="784"/>
        <v>17</v>
      </c>
      <c r="BZ864" s="13">
        <f t="shared" si="785"/>
        <v>6.9370958259847155</v>
      </c>
      <c r="CA864" s="13">
        <f t="shared" si="786"/>
        <v>6</v>
      </c>
      <c r="CB864" s="13">
        <f t="shared" si="787"/>
        <v>102</v>
      </c>
      <c r="CC864" s="62">
        <f t="shared" si="788"/>
        <v>9.8039215686274508E-3</v>
      </c>
      <c r="CD864" s="13">
        <f t="shared" si="789"/>
        <v>17.519106407995299</v>
      </c>
      <c r="CE864" s="13">
        <f t="shared" si="790"/>
        <v>17</v>
      </c>
      <c r="CF864" s="13">
        <f t="shared" si="791"/>
        <v>6.9370958259847155</v>
      </c>
      <c r="CG864" s="13">
        <f t="shared" si="792"/>
        <v>6</v>
      </c>
      <c r="CH864" s="28">
        <f t="shared" si="793"/>
        <v>102</v>
      </c>
      <c r="CI864" s="62">
        <f t="shared" si="794"/>
        <v>9.8039215686274508E-3</v>
      </c>
      <c r="CJ864" s="59">
        <f t="shared" si="795"/>
        <v>9.8039215686274508E-3</v>
      </c>
      <c r="CL864" s="63">
        <v>6000</v>
      </c>
      <c r="CM864" s="63">
        <f t="shared" si="796"/>
        <v>165.1</v>
      </c>
      <c r="CN864" s="63">
        <f t="shared" si="797"/>
        <v>170.1</v>
      </c>
      <c r="CO864" s="63">
        <f t="shared" si="798"/>
        <v>35.273368606701943</v>
      </c>
      <c r="CP864" s="13">
        <f t="shared" si="799"/>
        <v>35</v>
      </c>
      <c r="CQ864" s="70">
        <f t="shared" si="800"/>
        <v>2.8571428571428571E-2</v>
      </c>
      <c r="CR864" s="69">
        <f t="shared" si="763"/>
        <v>2.8571428571428571E-2</v>
      </c>
    </row>
    <row r="865" spans="1:96" hidden="1" x14ac:dyDescent="0.25">
      <c r="A865" s="10">
        <v>3</v>
      </c>
      <c r="B865" s="8" t="s">
        <v>1933</v>
      </c>
      <c r="C865" s="10" t="s">
        <v>1970</v>
      </c>
      <c r="D865" s="10" t="s">
        <v>1993</v>
      </c>
      <c r="E865" s="10" t="s">
        <v>52</v>
      </c>
      <c r="F865" s="12">
        <f t="shared" si="769"/>
        <v>6</v>
      </c>
      <c r="G865" s="10">
        <v>1</v>
      </c>
      <c r="H865" s="10">
        <f t="shared" si="819"/>
        <v>1</v>
      </c>
      <c r="I865" s="10">
        <v>6</v>
      </c>
      <c r="J865" s="8" t="s">
        <v>480</v>
      </c>
      <c r="K865" s="8" t="s">
        <v>34</v>
      </c>
      <c r="L865" s="10">
        <v>0</v>
      </c>
      <c r="M865" s="8" t="s">
        <v>35</v>
      </c>
      <c r="N865" s="10" t="s">
        <v>1993</v>
      </c>
      <c r="O865" s="28"/>
      <c r="P865" s="28"/>
      <c r="Q865" s="28" t="s">
        <v>1993</v>
      </c>
      <c r="R865" s="30">
        <v>6.5</v>
      </c>
      <c r="S865" s="30">
        <v>6.5</v>
      </c>
      <c r="T865" s="30"/>
      <c r="U865" s="30">
        <v>0.12</v>
      </c>
      <c r="V865" s="8">
        <f t="shared" si="770"/>
        <v>165.1</v>
      </c>
      <c r="W865" s="8">
        <f t="shared" si="771"/>
        <v>165.1</v>
      </c>
      <c r="X865" s="8">
        <f t="shared" si="772"/>
        <v>0</v>
      </c>
      <c r="Y865" s="33">
        <f t="shared" si="773"/>
        <v>3.0479999999999996</v>
      </c>
      <c r="Z865" s="28" t="s">
        <v>1971</v>
      </c>
      <c r="AA865" s="28" t="s">
        <v>1972</v>
      </c>
      <c r="AB865" s="61" t="s">
        <v>1993</v>
      </c>
      <c r="AC865" s="31" t="s">
        <v>1973</v>
      </c>
      <c r="AD865" s="50">
        <f t="shared" si="774"/>
        <v>1</v>
      </c>
      <c r="AE865" s="31"/>
      <c r="AF865" s="51">
        <v>14</v>
      </c>
      <c r="AG865" s="51">
        <f t="shared" si="802"/>
        <v>8.4</v>
      </c>
      <c r="AH865" s="51">
        <f t="shared" si="768"/>
        <v>42</v>
      </c>
      <c r="AI865" s="52" t="s">
        <v>2497</v>
      </c>
      <c r="AJ865" s="52" t="s">
        <v>2498</v>
      </c>
      <c r="AK865" s="53">
        <f t="shared" si="803"/>
        <v>5.4516019999999998E-2</v>
      </c>
      <c r="AL865" s="54">
        <f t="shared" si="804"/>
        <v>0.11904761904761904</v>
      </c>
      <c r="AM865" s="54">
        <f t="shared" si="805"/>
        <v>2.3809523809523808E-2</v>
      </c>
      <c r="AN865" s="55">
        <f t="shared" si="806"/>
        <v>6.4900023809523807E-3</v>
      </c>
      <c r="AO865" s="55">
        <f t="shared" si="807"/>
        <v>1.298000476190476E-3</v>
      </c>
      <c r="AP865" s="53">
        <v>7.1</v>
      </c>
      <c r="AQ865" s="53">
        <f t="shared" si="775"/>
        <v>4.26</v>
      </c>
      <c r="AR865" s="53">
        <f t="shared" si="776"/>
        <v>21.299999999999997</v>
      </c>
      <c r="AS865" s="56">
        <f t="shared" si="777"/>
        <v>4.6948356807511742E-2</v>
      </c>
      <c r="AT865" s="56">
        <f t="shared" si="808"/>
        <v>0.23474178403755869</v>
      </c>
      <c r="AU865" s="56">
        <f t="shared" si="778"/>
        <v>0.176056338028169</v>
      </c>
      <c r="AV865" s="56">
        <f t="shared" si="809"/>
        <v>5.8685446009389672E-2</v>
      </c>
      <c r="AW865" s="57"/>
      <c r="AX865" s="57"/>
      <c r="AY865" s="57"/>
      <c r="AZ865" s="58">
        <f t="shared" si="810"/>
        <v>5.4516019999999998E-2</v>
      </c>
      <c r="BA865" s="59">
        <f t="shared" si="811"/>
        <v>0</v>
      </c>
      <c r="BB865" s="59">
        <f t="shared" si="812"/>
        <v>0</v>
      </c>
      <c r="BC865" s="59">
        <f t="shared" si="813"/>
        <v>0</v>
      </c>
      <c r="BD865" s="60">
        <f t="shared" si="814"/>
        <v>9.8039215686274508E-3</v>
      </c>
      <c r="BE865" s="59">
        <f t="shared" si="815"/>
        <v>9.8039215686274508E-3</v>
      </c>
      <c r="BQ865" s="61">
        <v>3000</v>
      </c>
      <c r="BR865" s="61">
        <v>1200</v>
      </c>
      <c r="BS865" s="28">
        <f t="shared" si="779"/>
        <v>2980</v>
      </c>
      <c r="BT865" s="28">
        <f t="shared" si="780"/>
        <v>1180</v>
      </c>
      <c r="BU865" s="28" t="s">
        <v>2541</v>
      </c>
      <c r="BV865" s="28">
        <f t="shared" si="781"/>
        <v>170.1</v>
      </c>
      <c r="BW865" s="28">
        <f t="shared" si="782"/>
        <v>170.1</v>
      </c>
      <c r="BX865" s="13">
        <f t="shared" si="783"/>
        <v>17.519106407995299</v>
      </c>
      <c r="BY865" s="13">
        <f t="shared" si="784"/>
        <v>17</v>
      </c>
      <c r="BZ865" s="13">
        <f t="shared" si="785"/>
        <v>6.9370958259847155</v>
      </c>
      <c r="CA865" s="13">
        <f t="shared" si="786"/>
        <v>6</v>
      </c>
      <c r="CB865" s="13">
        <f t="shared" si="787"/>
        <v>102</v>
      </c>
      <c r="CC865" s="62">
        <f t="shared" si="788"/>
        <v>9.8039215686274508E-3</v>
      </c>
      <c r="CD865" s="13">
        <f t="shared" si="789"/>
        <v>17.519106407995299</v>
      </c>
      <c r="CE865" s="13">
        <f t="shared" si="790"/>
        <v>17</v>
      </c>
      <c r="CF865" s="13">
        <f t="shared" si="791"/>
        <v>6.9370958259847155</v>
      </c>
      <c r="CG865" s="13">
        <f t="shared" si="792"/>
        <v>6</v>
      </c>
      <c r="CH865" s="28">
        <f t="shared" si="793"/>
        <v>102</v>
      </c>
      <c r="CI865" s="62">
        <f t="shared" si="794"/>
        <v>9.8039215686274508E-3</v>
      </c>
      <c r="CJ865" s="59">
        <f t="shared" si="795"/>
        <v>9.8039215686274508E-3</v>
      </c>
      <c r="CL865" s="63">
        <v>6000</v>
      </c>
      <c r="CM865" s="63">
        <f t="shared" si="796"/>
        <v>165.1</v>
      </c>
      <c r="CN865" s="63">
        <f t="shared" si="797"/>
        <v>170.1</v>
      </c>
      <c r="CO865" s="63">
        <f t="shared" si="798"/>
        <v>35.273368606701943</v>
      </c>
      <c r="CP865" s="13">
        <f t="shared" si="799"/>
        <v>35</v>
      </c>
      <c r="CQ865" s="70">
        <f t="shared" si="800"/>
        <v>2.8571428571428571E-2</v>
      </c>
      <c r="CR865" s="69">
        <f t="shared" si="763"/>
        <v>2.8571428571428571E-2</v>
      </c>
    </row>
    <row r="866" spans="1:96" hidden="1" x14ac:dyDescent="0.25">
      <c r="A866" s="10">
        <v>3</v>
      </c>
      <c r="B866" s="8" t="s">
        <v>1933</v>
      </c>
      <c r="C866" s="10" t="s">
        <v>1903</v>
      </c>
      <c r="D866" s="10" t="s">
        <v>1905</v>
      </c>
      <c r="E866" s="10" t="s">
        <v>52</v>
      </c>
      <c r="F866" s="12">
        <f t="shared" si="769"/>
        <v>8</v>
      </c>
      <c r="G866" s="10">
        <v>2</v>
      </c>
      <c r="H866" s="10">
        <f t="shared" si="819"/>
        <v>2</v>
      </c>
      <c r="I866" s="10">
        <v>7</v>
      </c>
      <c r="J866" s="8" t="s">
        <v>1904</v>
      </c>
      <c r="K866" s="8" t="s">
        <v>34</v>
      </c>
      <c r="L866" s="10">
        <v>0</v>
      </c>
      <c r="M866" s="8" t="s">
        <v>340</v>
      </c>
      <c r="N866" s="10" t="s">
        <v>1905</v>
      </c>
      <c r="O866" s="28"/>
      <c r="P866" s="28"/>
      <c r="Q866" s="28" t="s">
        <v>1905</v>
      </c>
      <c r="R866" s="30">
        <v>3.35</v>
      </c>
      <c r="S866" s="30">
        <v>1.58</v>
      </c>
      <c r="T866" s="30"/>
      <c r="U866" s="30">
        <v>2.12</v>
      </c>
      <c r="V866" s="8">
        <f t="shared" si="770"/>
        <v>85.09</v>
      </c>
      <c r="W866" s="8">
        <f t="shared" si="771"/>
        <v>40.131999999999998</v>
      </c>
      <c r="X866" s="8">
        <f t="shared" si="772"/>
        <v>0</v>
      </c>
      <c r="Y866" s="33">
        <f t="shared" si="773"/>
        <v>53.847999999999999</v>
      </c>
      <c r="Z866" s="28"/>
      <c r="AA866" s="28"/>
      <c r="AB866" s="61" t="s">
        <v>1905</v>
      </c>
      <c r="AC866" s="31" t="s">
        <v>1906</v>
      </c>
      <c r="AD866" s="50">
        <f t="shared" si="774"/>
        <v>2</v>
      </c>
      <c r="AE866" s="31"/>
      <c r="AF866" s="51">
        <v>14</v>
      </c>
      <c r="AG866" s="51">
        <f t="shared" si="802"/>
        <v>8.4</v>
      </c>
      <c r="AH866" s="51">
        <f t="shared" si="768"/>
        <v>42</v>
      </c>
      <c r="AI866" s="52" t="s">
        <v>2497</v>
      </c>
      <c r="AJ866" s="52" t="s">
        <v>2498</v>
      </c>
      <c r="AK866" s="53">
        <f t="shared" si="803"/>
        <v>6.8296637600000001E-3</v>
      </c>
      <c r="AL866" s="54">
        <f t="shared" si="804"/>
        <v>0.11904761904761904</v>
      </c>
      <c r="AM866" s="54">
        <f t="shared" si="805"/>
        <v>2.3809523809523808E-2</v>
      </c>
      <c r="AN866" s="55">
        <f t="shared" si="806"/>
        <v>1.6261104190476189E-3</v>
      </c>
      <c r="AO866" s="55">
        <f t="shared" si="807"/>
        <v>3.2522208380952379E-4</v>
      </c>
      <c r="AP866" s="53">
        <v>7.1</v>
      </c>
      <c r="AQ866" s="53">
        <f t="shared" si="775"/>
        <v>4.26</v>
      </c>
      <c r="AR866" s="53">
        <f t="shared" si="776"/>
        <v>21.299999999999997</v>
      </c>
      <c r="AS866" s="56">
        <f t="shared" si="777"/>
        <v>4.6948356807511742E-2</v>
      </c>
      <c r="AT866" s="56">
        <f t="shared" si="808"/>
        <v>0.23474178403755869</v>
      </c>
      <c r="AU866" s="56">
        <f t="shared" si="778"/>
        <v>0.176056338028169</v>
      </c>
      <c r="AV866" s="56">
        <f t="shared" si="809"/>
        <v>5.8685446009389672E-2</v>
      </c>
      <c r="AW866" s="57"/>
      <c r="AX866" s="57"/>
      <c r="AY866" s="57"/>
      <c r="AZ866" s="58">
        <f t="shared" si="810"/>
        <v>6.8296637600000001E-3</v>
      </c>
      <c r="BA866" s="59">
        <f t="shared" si="811"/>
        <v>0</v>
      </c>
      <c r="BB866" s="59">
        <f t="shared" si="812"/>
        <v>0</v>
      </c>
      <c r="BC866" s="59">
        <f t="shared" si="813"/>
        <v>0</v>
      </c>
      <c r="BD866" s="60">
        <f t="shared" si="814"/>
        <v>1.1655011655011655E-3</v>
      </c>
      <c r="BE866" s="59">
        <f t="shared" si="815"/>
        <v>2.331002331002331E-3</v>
      </c>
      <c r="BQ866" s="61">
        <v>3000</v>
      </c>
      <c r="BR866" s="61">
        <v>1200</v>
      </c>
      <c r="BS866" s="28">
        <f t="shared" si="779"/>
        <v>2980</v>
      </c>
      <c r="BT866" s="28">
        <f t="shared" si="780"/>
        <v>1180</v>
      </c>
      <c r="BU866" s="28" t="s">
        <v>2541</v>
      </c>
      <c r="BV866" s="28">
        <f t="shared" si="781"/>
        <v>90.09</v>
      </c>
      <c r="BW866" s="28">
        <f t="shared" si="782"/>
        <v>45.131999999999998</v>
      </c>
      <c r="BX866" s="13">
        <f t="shared" si="783"/>
        <v>33.07803307803308</v>
      </c>
      <c r="BY866" s="13">
        <f t="shared" si="784"/>
        <v>33</v>
      </c>
      <c r="BZ866" s="13">
        <f t="shared" si="785"/>
        <v>26.145528671452627</v>
      </c>
      <c r="CA866" s="13">
        <f t="shared" si="786"/>
        <v>26</v>
      </c>
      <c r="CB866" s="13">
        <f t="shared" si="787"/>
        <v>858</v>
      </c>
      <c r="CC866" s="62">
        <f t="shared" si="788"/>
        <v>1.1655011655011655E-3</v>
      </c>
      <c r="CD866" s="13">
        <f t="shared" si="789"/>
        <v>66.028538509261722</v>
      </c>
      <c r="CE866" s="13">
        <f t="shared" si="790"/>
        <v>66</v>
      </c>
      <c r="CF866" s="13">
        <f t="shared" si="791"/>
        <v>13.098013098013098</v>
      </c>
      <c r="CG866" s="13">
        <f t="shared" si="792"/>
        <v>13</v>
      </c>
      <c r="CH866" s="28">
        <f t="shared" si="793"/>
        <v>858</v>
      </c>
      <c r="CI866" s="62">
        <f t="shared" si="794"/>
        <v>1.1655011655011655E-3</v>
      </c>
      <c r="CJ866" s="59">
        <f t="shared" si="795"/>
        <v>1.1655011655011655E-3</v>
      </c>
      <c r="CL866" s="63">
        <v>6000</v>
      </c>
      <c r="CM866" s="63">
        <f t="shared" si="796"/>
        <v>85.09</v>
      </c>
      <c r="CN866" s="63">
        <f t="shared" si="797"/>
        <v>90.09</v>
      </c>
      <c r="CO866" s="63">
        <f t="shared" si="798"/>
        <v>66.600066600066597</v>
      </c>
      <c r="CP866" s="13">
        <f t="shared" si="799"/>
        <v>66</v>
      </c>
      <c r="CQ866" s="70">
        <f t="shared" si="800"/>
        <v>1.5151515151515152E-2</v>
      </c>
      <c r="CR866" s="69">
        <f t="shared" si="763"/>
        <v>3.0303030303030304E-2</v>
      </c>
    </row>
    <row r="867" spans="1:96" hidden="1" x14ac:dyDescent="0.25">
      <c r="A867" s="10">
        <v>3</v>
      </c>
      <c r="B867" s="8" t="s">
        <v>1933</v>
      </c>
      <c r="C867" s="10" t="s">
        <v>1907</v>
      </c>
      <c r="D867" s="10" t="s">
        <v>1908</v>
      </c>
      <c r="E867" s="10" t="s">
        <v>52</v>
      </c>
      <c r="F867" s="12">
        <f t="shared" si="769"/>
        <v>8</v>
      </c>
      <c r="G867" s="10">
        <v>2</v>
      </c>
      <c r="H867" s="10">
        <f t="shared" si="819"/>
        <v>2</v>
      </c>
      <c r="I867" s="10">
        <v>8</v>
      </c>
      <c r="J867" s="8" t="s">
        <v>1904</v>
      </c>
      <c r="K867" s="8" t="s">
        <v>34</v>
      </c>
      <c r="L867" s="10">
        <v>0</v>
      </c>
      <c r="M867" s="8" t="s">
        <v>340</v>
      </c>
      <c r="N867" s="10" t="s">
        <v>1908</v>
      </c>
      <c r="O867" s="28"/>
      <c r="P867" s="28"/>
      <c r="Q867" s="28" t="s">
        <v>1908</v>
      </c>
      <c r="R867" s="30">
        <v>5.54</v>
      </c>
      <c r="S867" s="30">
        <v>2.25</v>
      </c>
      <c r="T867" s="30"/>
      <c r="U867" s="30">
        <v>4.25</v>
      </c>
      <c r="V867" s="8">
        <f t="shared" si="770"/>
        <v>140.71599999999998</v>
      </c>
      <c r="W867" s="8">
        <f t="shared" si="771"/>
        <v>57.15</v>
      </c>
      <c r="X867" s="8">
        <f t="shared" si="772"/>
        <v>0</v>
      </c>
      <c r="Y867" s="33">
        <f t="shared" si="773"/>
        <v>107.94999999999999</v>
      </c>
      <c r="Z867" s="28"/>
      <c r="AA867" s="28"/>
      <c r="AB867" s="61" t="s">
        <v>1908</v>
      </c>
      <c r="AC867" s="31" t="s">
        <v>2553</v>
      </c>
      <c r="AD867" s="50">
        <f t="shared" si="774"/>
        <v>2</v>
      </c>
      <c r="AE867" s="31"/>
      <c r="AF867" s="51">
        <v>14</v>
      </c>
      <c r="AG867" s="51">
        <f t="shared" si="802"/>
        <v>8.4</v>
      </c>
      <c r="AH867" s="51">
        <f t="shared" si="768"/>
        <v>42</v>
      </c>
      <c r="AI867" s="52" t="s">
        <v>2497</v>
      </c>
      <c r="AJ867" s="52" t="s">
        <v>2498</v>
      </c>
      <c r="AK867" s="53">
        <f t="shared" si="803"/>
        <v>1.6083838799999996E-2</v>
      </c>
      <c r="AL867" s="54">
        <f t="shared" si="804"/>
        <v>0.11904761904761904</v>
      </c>
      <c r="AM867" s="54">
        <f t="shared" si="805"/>
        <v>2.3809523809523808E-2</v>
      </c>
      <c r="AN867" s="55">
        <f t="shared" si="806"/>
        <v>3.8294854285714276E-3</v>
      </c>
      <c r="AO867" s="55">
        <f t="shared" si="807"/>
        <v>7.6589708571428547E-4</v>
      </c>
      <c r="AP867" s="53">
        <v>7.1</v>
      </c>
      <c r="AQ867" s="53">
        <f t="shared" si="775"/>
        <v>4.26</v>
      </c>
      <c r="AR867" s="53">
        <f t="shared" si="776"/>
        <v>21.299999999999997</v>
      </c>
      <c r="AS867" s="56">
        <f t="shared" si="777"/>
        <v>4.6948356807511742E-2</v>
      </c>
      <c r="AT867" s="56">
        <f t="shared" si="808"/>
        <v>0.23474178403755869</v>
      </c>
      <c r="AU867" s="56">
        <f t="shared" si="778"/>
        <v>0.176056338028169</v>
      </c>
      <c r="AV867" s="56">
        <f t="shared" si="809"/>
        <v>5.8685446009389672E-2</v>
      </c>
      <c r="AW867" s="57"/>
      <c r="AX867" s="57"/>
      <c r="AY867" s="57"/>
      <c r="AZ867" s="58">
        <f t="shared" si="810"/>
        <v>1.6083838799999996E-2</v>
      </c>
      <c r="BA867" s="59">
        <f t="shared" si="811"/>
        <v>0</v>
      </c>
      <c r="BB867" s="59">
        <f t="shared" si="812"/>
        <v>0</v>
      </c>
      <c r="BC867" s="59">
        <f t="shared" si="813"/>
        <v>0</v>
      </c>
      <c r="BD867" s="60">
        <f t="shared" si="814"/>
        <v>2.6595744680851063E-3</v>
      </c>
      <c r="BE867" s="59">
        <f t="shared" si="815"/>
        <v>5.3191489361702126E-3</v>
      </c>
      <c r="BQ867" s="61">
        <v>3000</v>
      </c>
      <c r="BR867" s="61">
        <v>1200</v>
      </c>
      <c r="BS867" s="28">
        <f t="shared" si="779"/>
        <v>2980</v>
      </c>
      <c r="BT867" s="28">
        <f t="shared" si="780"/>
        <v>1180</v>
      </c>
      <c r="BU867" s="28" t="s">
        <v>2541</v>
      </c>
      <c r="BV867" s="28">
        <f t="shared" si="781"/>
        <v>145.71599999999998</v>
      </c>
      <c r="BW867" s="28">
        <f t="shared" si="782"/>
        <v>62.15</v>
      </c>
      <c r="BX867" s="13">
        <f t="shared" si="783"/>
        <v>20.450739795218098</v>
      </c>
      <c r="BY867" s="13">
        <f t="shared" si="784"/>
        <v>20</v>
      </c>
      <c r="BZ867" s="13">
        <f t="shared" si="785"/>
        <v>18.986323411102173</v>
      </c>
      <c r="CA867" s="13">
        <f t="shared" si="786"/>
        <v>18</v>
      </c>
      <c r="CB867" s="13">
        <f t="shared" si="787"/>
        <v>360</v>
      </c>
      <c r="CC867" s="62">
        <f t="shared" si="788"/>
        <v>2.7777777777777779E-3</v>
      </c>
      <c r="CD867" s="13">
        <f t="shared" si="789"/>
        <v>47.948511665325825</v>
      </c>
      <c r="CE867" s="13">
        <f t="shared" si="790"/>
        <v>47</v>
      </c>
      <c r="CF867" s="13">
        <f t="shared" si="791"/>
        <v>8.0979439457575015</v>
      </c>
      <c r="CG867" s="13">
        <f t="shared" si="792"/>
        <v>8</v>
      </c>
      <c r="CH867" s="28">
        <f t="shared" si="793"/>
        <v>376</v>
      </c>
      <c r="CI867" s="62">
        <f t="shared" si="794"/>
        <v>2.6595744680851063E-3</v>
      </c>
      <c r="CJ867" s="59">
        <f t="shared" si="795"/>
        <v>2.6595744680851063E-3</v>
      </c>
      <c r="CL867" s="63">
        <v>6000</v>
      </c>
      <c r="CM867" s="63">
        <f t="shared" si="796"/>
        <v>140.71599999999998</v>
      </c>
      <c r="CN867" s="63">
        <f t="shared" si="797"/>
        <v>145.71599999999998</v>
      </c>
      <c r="CO867" s="63">
        <f t="shared" si="798"/>
        <v>41.175986164868654</v>
      </c>
      <c r="CP867" s="13">
        <f t="shared" si="799"/>
        <v>41</v>
      </c>
      <c r="CQ867" s="70">
        <f t="shared" si="800"/>
        <v>2.4390243902439025E-2</v>
      </c>
      <c r="CR867" s="69">
        <f t="shared" si="763"/>
        <v>4.878048780487805E-2</v>
      </c>
    </row>
    <row r="868" spans="1:96" hidden="1" x14ac:dyDescent="0.25">
      <c r="A868" s="10">
        <v>3</v>
      </c>
      <c r="B868" s="8" t="s">
        <v>1933</v>
      </c>
      <c r="C868" s="10" t="s">
        <v>1974</v>
      </c>
      <c r="D868" s="10" t="s">
        <v>1994</v>
      </c>
      <c r="E868" s="10" t="s">
        <v>52</v>
      </c>
      <c r="F868" s="12">
        <f t="shared" si="769"/>
        <v>6</v>
      </c>
      <c r="G868" s="10">
        <v>4</v>
      </c>
      <c r="H868" s="10">
        <f t="shared" si="819"/>
        <v>4</v>
      </c>
      <c r="I868" s="10">
        <v>9</v>
      </c>
      <c r="J868" s="8" t="s">
        <v>1975</v>
      </c>
      <c r="K868" s="8" t="s">
        <v>34</v>
      </c>
      <c r="L868" s="10" t="s">
        <v>259</v>
      </c>
      <c r="M868" s="8" t="s">
        <v>35</v>
      </c>
      <c r="N868" s="10" t="s">
        <v>1994</v>
      </c>
      <c r="O868" s="28"/>
      <c r="P868" s="28"/>
      <c r="Q868" s="28" t="s">
        <v>1994</v>
      </c>
      <c r="R868" s="30"/>
      <c r="S868" s="30"/>
      <c r="T868" s="30"/>
      <c r="U868" s="30"/>
      <c r="V868" s="8">
        <f t="shared" si="770"/>
        <v>0</v>
      </c>
      <c r="W868" s="8">
        <f t="shared" si="771"/>
        <v>0</v>
      </c>
      <c r="X868" s="8">
        <f t="shared" si="772"/>
        <v>0</v>
      </c>
      <c r="Y868" s="33">
        <f t="shared" si="773"/>
        <v>0</v>
      </c>
      <c r="Z868" s="28"/>
      <c r="AA868" s="28"/>
      <c r="AB868" s="61" t="s">
        <v>1994</v>
      </c>
      <c r="AC868" s="31" t="s">
        <v>1976</v>
      </c>
      <c r="AD868" s="50">
        <f t="shared" si="774"/>
        <v>4</v>
      </c>
      <c r="AE868" s="31"/>
      <c r="AF868" s="51">
        <v>14</v>
      </c>
      <c r="AG868" s="51">
        <f t="shared" si="802"/>
        <v>8.4</v>
      </c>
      <c r="AH868" s="51">
        <f t="shared" si="768"/>
        <v>42</v>
      </c>
      <c r="AI868" s="52" t="s">
        <v>2497</v>
      </c>
      <c r="AJ868" s="52" t="s">
        <v>2498</v>
      </c>
      <c r="AK868" s="53">
        <f t="shared" si="803"/>
        <v>0</v>
      </c>
      <c r="AL868" s="54">
        <f t="shared" si="804"/>
        <v>0.11904761904761904</v>
      </c>
      <c r="AM868" s="54">
        <f t="shared" si="805"/>
        <v>2.3809523809523808E-2</v>
      </c>
      <c r="AN868" s="55">
        <f t="shared" si="806"/>
        <v>0</v>
      </c>
      <c r="AO868" s="55">
        <f t="shared" si="807"/>
        <v>0</v>
      </c>
      <c r="AP868" s="53">
        <v>7.1</v>
      </c>
      <c r="AQ868" s="53">
        <f t="shared" si="775"/>
        <v>4.26</v>
      </c>
      <c r="AR868" s="53">
        <f t="shared" si="776"/>
        <v>21.299999999999997</v>
      </c>
      <c r="AS868" s="56">
        <f t="shared" si="777"/>
        <v>4.6948356807511742E-2</v>
      </c>
      <c r="AT868" s="56">
        <f t="shared" si="808"/>
        <v>0.23474178403755869</v>
      </c>
      <c r="AU868" s="56">
        <f t="shared" si="778"/>
        <v>0.176056338028169</v>
      </c>
      <c r="AV868" s="56">
        <f t="shared" si="809"/>
        <v>5.8685446009389672E-2</v>
      </c>
      <c r="AW868" s="57"/>
      <c r="AX868" s="57"/>
      <c r="AY868" s="57"/>
      <c r="AZ868" s="58">
        <f t="shared" si="810"/>
        <v>0</v>
      </c>
      <c r="BA868" s="59">
        <f t="shared" si="811"/>
        <v>0</v>
      </c>
      <c r="BB868" s="59">
        <f t="shared" si="812"/>
        <v>0</v>
      </c>
      <c r="BC868" s="59">
        <f t="shared" si="813"/>
        <v>0</v>
      </c>
      <c r="BD868" s="60">
        <f t="shared" si="814"/>
        <v>7.1095438516664771E-6</v>
      </c>
      <c r="BE868" s="59">
        <f t="shared" si="815"/>
        <v>2.8438175406665908E-5</v>
      </c>
      <c r="BQ868" s="61">
        <v>3000</v>
      </c>
      <c r="BR868" s="61">
        <v>1200</v>
      </c>
      <c r="BS868" s="28">
        <f t="shared" si="779"/>
        <v>2980</v>
      </c>
      <c r="BT868" s="28">
        <f t="shared" si="780"/>
        <v>1180</v>
      </c>
      <c r="BU868" s="28" t="s">
        <v>2541</v>
      </c>
      <c r="BV868" s="28">
        <f t="shared" si="781"/>
        <v>5</v>
      </c>
      <c r="BW868" s="28">
        <f t="shared" si="782"/>
        <v>5</v>
      </c>
      <c r="BX868" s="13">
        <f t="shared" si="783"/>
        <v>596</v>
      </c>
      <c r="BY868" s="13">
        <f t="shared" si="784"/>
        <v>596</v>
      </c>
      <c r="BZ868" s="13">
        <f t="shared" si="785"/>
        <v>236</v>
      </c>
      <c r="CA868" s="13">
        <f t="shared" si="786"/>
        <v>236</v>
      </c>
      <c r="CB868" s="13">
        <f t="shared" si="787"/>
        <v>140656</v>
      </c>
      <c r="CC868" s="62">
        <f t="shared" si="788"/>
        <v>7.1095438516664771E-6</v>
      </c>
      <c r="CD868" s="13">
        <f t="shared" si="789"/>
        <v>596</v>
      </c>
      <c r="CE868" s="13">
        <f t="shared" si="790"/>
        <v>596</v>
      </c>
      <c r="CF868" s="13">
        <f t="shared" si="791"/>
        <v>236</v>
      </c>
      <c r="CG868" s="13">
        <f t="shared" si="792"/>
        <v>236</v>
      </c>
      <c r="CH868" s="28">
        <f t="shared" si="793"/>
        <v>140656</v>
      </c>
      <c r="CI868" s="62">
        <f t="shared" si="794"/>
        <v>7.1095438516664771E-6</v>
      </c>
      <c r="CJ868" s="59">
        <f t="shared" si="795"/>
        <v>7.1095438516664771E-6</v>
      </c>
      <c r="CL868" s="63">
        <v>6000</v>
      </c>
      <c r="CM868" s="63">
        <f t="shared" si="796"/>
        <v>0</v>
      </c>
      <c r="CN868" s="63">
        <f t="shared" si="797"/>
        <v>5</v>
      </c>
      <c r="CO868" s="63">
        <f t="shared" si="798"/>
        <v>1200</v>
      </c>
      <c r="CP868" s="13">
        <f t="shared" si="799"/>
        <v>1200</v>
      </c>
      <c r="CQ868" s="70">
        <f t="shared" si="800"/>
        <v>8.3333333333333339E-4</v>
      </c>
      <c r="CR868" s="69">
        <f t="shared" ref="CR868:CR931" si="820">CQ868*AD868</f>
        <v>3.3333333333333335E-3</v>
      </c>
    </row>
    <row r="869" spans="1:96" hidden="1" x14ac:dyDescent="0.25">
      <c r="A869" s="10">
        <v>3</v>
      </c>
      <c r="B869" s="8" t="s">
        <v>1933</v>
      </c>
      <c r="C869" s="10" t="s">
        <v>336</v>
      </c>
      <c r="D869" s="10" t="s">
        <v>341</v>
      </c>
      <c r="E869" s="10" t="s">
        <v>52</v>
      </c>
      <c r="F869" s="12">
        <f t="shared" si="769"/>
        <v>15</v>
      </c>
      <c r="G869" s="10" t="s">
        <v>337</v>
      </c>
      <c r="H869" s="10" t="str">
        <f>G869</f>
        <v>A/R</v>
      </c>
      <c r="I869" s="10">
        <v>10</v>
      </c>
      <c r="J869" s="8" t="s">
        <v>338</v>
      </c>
      <c r="K869" s="8" t="s">
        <v>34</v>
      </c>
      <c r="L869" s="10" t="s">
        <v>339</v>
      </c>
      <c r="M869" s="8" t="s">
        <v>340</v>
      </c>
      <c r="N869" s="10" t="s">
        <v>341</v>
      </c>
      <c r="O869" s="28" t="s">
        <v>2541</v>
      </c>
      <c r="P869" s="28" t="s">
        <v>2541</v>
      </c>
      <c r="Q869" s="28" t="s">
        <v>341</v>
      </c>
      <c r="R869" s="30"/>
      <c r="S869" s="30"/>
      <c r="T869" s="30"/>
      <c r="U869" s="30"/>
      <c r="V869" s="8">
        <f t="shared" si="770"/>
        <v>0</v>
      </c>
      <c r="W869" s="8">
        <f t="shared" si="771"/>
        <v>0</v>
      </c>
      <c r="X869" s="8">
        <f t="shared" si="772"/>
        <v>0</v>
      </c>
      <c r="Y869" s="33">
        <f t="shared" si="773"/>
        <v>0</v>
      </c>
      <c r="Z869" s="28"/>
      <c r="AA869" s="28"/>
      <c r="AB869" s="28" t="s">
        <v>341</v>
      </c>
      <c r="AC869" s="31" t="s">
        <v>342</v>
      </c>
      <c r="AD869" s="50">
        <v>0</v>
      </c>
      <c r="AE869" s="45" t="s">
        <v>337</v>
      </c>
      <c r="AF869" s="51">
        <v>14</v>
      </c>
      <c r="AG869" s="51">
        <f t="shared" si="802"/>
        <v>8.4</v>
      </c>
      <c r="AH869" s="51">
        <f t="shared" si="768"/>
        <v>42</v>
      </c>
      <c r="AI869" s="52" t="s">
        <v>2497</v>
      </c>
      <c r="AJ869" s="52" t="s">
        <v>2498</v>
      </c>
      <c r="AK869" s="53">
        <f t="shared" si="803"/>
        <v>0</v>
      </c>
      <c r="AL869" s="54">
        <f t="shared" si="804"/>
        <v>0.11904761904761904</v>
      </c>
      <c r="AM869" s="54">
        <f t="shared" si="805"/>
        <v>2.3809523809523808E-2</v>
      </c>
      <c r="AN869" s="55">
        <f t="shared" si="806"/>
        <v>0</v>
      </c>
      <c r="AO869" s="55">
        <f t="shared" si="807"/>
        <v>0</v>
      </c>
      <c r="AP869" s="53">
        <v>7.1</v>
      </c>
      <c r="AQ869" s="53">
        <f t="shared" si="775"/>
        <v>4.26</v>
      </c>
      <c r="AR869" s="53">
        <f t="shared" si="776"/>
        <v>21.299999999999997</v>
      </c>
      <c r="AS869" s="56">
        <f t="shared" si="777"/>
        <v>4.6948356807511742E-2</v>
      </c>
      <c r="AT869" s="56">
        <f t="shared" si="808"/>
        <v>0.23474178403755869</v>
      </c>
      <c r="AU869" s="56">
        <f t="shared" si="778"/>
        <v>0.176056338028169</v>
      </c>
      <c r="AV869" s="56">
        <f t="shared" si="809"/>
        <v>5.8685446009389672E-2</v>
      </c>
      <c r="AW869" s="57"/>
      <c r="AX869" s="57"/>
      <c r="AY869" s="57"/>
      <c r="AZ869" s="58">
        <f t="shared" si="810"/>
        <v>0</v>
      </c>
      <c r="BA869" s="59">
        <f t="shared" si="811"/>
        <v>0</v>
      </c>
      <c r="BB869" s="59">
        <f t="shared" si="812"/>
        <v>0</v>
      </c>
      <c r="BC869" s="59">
        <f t="shared" si="813"/>
        <v>0</v>
      </c>
      <c r="BD869" s="60">
        <f t="shared" si="814"/>
        <v>7.1095438516664771E-6</v>
      </c>
      <c r="BE869" s="59">
        <f t="shared" si="815"/>
        <v>0</v>
      </c>
      <c r="BQ869" s="61">
        <v>3000</v>
      </c>
      <c r="BR869" s="61">
        <v>1200</v>
      </c>
      <c r="BS869" s="28">
        <f t="shared" si="779"/>
        <v>2980</v>
      </c>
      <c r="BT869" s="28">
        <f t="shared" si="780"/>
        <v>1180</v>
      </c>
      <c r="BU869" s="28" t="s">
        <v>2541</v>
      </c>
      <c r="BV869" s="28">
        <f t="shared" si="781"/>
        <v>5</v>
      </c>
      <c r="BW869" s="28">
        <f t="shared" si="782"/>
        <v>5</v>
      </c>
      <c r="BX869" s="13">
        <f t="shared" si="783"/>
        <v>596</v>
      </c>
      <c r="BY869" s="13">
        <f t="shared" si="784"/>
        <v>596</v>
      </c>
      <c r="BZ869" s="13">
        <f t="shared" si="785"/>
        <v>236</v>
      </c>
      <c r="CA869" s="13">
        <f t="shared" si="786"/>
        <v>236</v>
      </c>
      <c r="CB869" s="13">
        <f t="shared" si="787"/>
        <v>140656</v>
      </c>
      <c r="CC869" s="62">
        <f t="shared" si="788"/>
        <v>7.1095438516664771E-6</v>
      </c>
      <c r="CD869" s="13">
        <f t="shared" si="789"/>
        <v>596</v>
      </c>
      <c r="CE869" s="13">
        <f t="shared" si="790"/>
        <v>596</v>
      </c>
      <c r="CF869" s="13">
        <f t="shared" si="791"/>
        <v>236</v>
      </c>
      <c r="CG869" s="13">
        <f t="shared" si="792"/>
        <v>236</v>
      </c>
      <c r="CH869" s="28">
        <f t="shared" si="793"/>
        <v>140656</v>
      </c>
      <c r="CI869" s="62">
        <f t="shared" si="794"/>
        <v>7.1095438516664771E-6</v>
      </c>
      <c r="CJ869" s="59">
        <f t="shared" si="795"/>
        <v>7.1095438516664771E-6</v>
      </c>
      <c r="CL869" s="63">
        <v>6000</v>
      </c>
      <c r="CM869" s="63">
        <f t="shared" si="796"/>
        <v>0</v>
      </c>
      <c r="CN869" s="63">
        <f t="shared" si="797"/>
        <v>5</v>
      </c>
      <c r="CO869" s="63">
        <f t="shared" si="798"/>
        <v>1200</v>
      </c>
      <c r="CP869" s="13">
        <f t="shared" si="799"/>
        <v>1200</v>
      </c>
      <c r="CQ869" s="70">
        <f t="shared" si="800"/>
        <v>8.3333333333333339E-4</v>
      </c>
      <c r="CR869" s="69">
        <f t="shared" si="820"/>
        <v>0</v>
      </c>
    </row>
    <row r="870" spans="1:96" hidden="1" x14ac:dyDescent="0.25">
      <c r="A870" s="10">
        <v>3</v>
      </c>
      <c r="B870" s="8" t="s">
        <v>1933</v>
      </c>
      <c r="C870" s="10" t="s">
        <v>1910</v>
      </c>
      <c r="D870" s="10" t="s">
        <v>1911</v>
      </c>
      <c r="E870" s="10" t="s">
        <v>52</v>
      </c>
      <c r="F870" s="12">
        <f t="shared" si="769"/>
        <v>8</v>
      </c>
      <c r="G870" s="10">
        <v>2</v>
      </c>
      <c r="H870" s="10">
        <f t="shared" si="819"/>
        <v>2</v>
      </c>
      <c r="I870" s="10">
        <v>11</v>
      </c>
      <c r="J870" s="8" t="s">
        <v>480</v>
      </c>
      <c r="K870" s="8" t="s">
        <v>34</v>
      </c>
      <c r="L870" s="10">
        <v>0</v>
      </c>
      <c r="M870" s="8" t="s">
        <v>35</v>
      </c>
      <c r="N870" s="10" t="s">
        <v>1911</v>
      </c>
      <c r="O870" s="28"/>
      <c r="P870" s="28"/>
      <c r="Q870" s="28" t="s">
        <v>1911</v>
      </c>
      <c r="R870" s="30">
        <v>3.1339999999999999</v>
      </c>
      <c r="S870" s="30">
        <v>1.4409999999999998</v>
      </c>
      <c r="T870" s="30"/>
      <c r="U870" s="30">
        <v>6.3E-2</v>
      </c>
      <c r="V870" s="8">
        <f t="shared" si="770"/>
        <v>79.603599999999986</v>
      </c>
      <c r="W870" s="8">
        <f t="shared" si="771"/>
        <v>36.601399999999991</v>
      </c>
      <c r="X870" s="8">
        <f t="shared" si="772"/>
        <v>0</v>
      </c>
      <c r="Y870" s="33">
        <f t="shared" si="773"/>
        <v>1.6001999999999998</v>
      </c>
      <c r="Z870" s="28" t="s">
        <v>1912</v>
      </c>
      <c r="AA870" s="28"/>
      <c r="AB870" s="61" t="s">
        <v>1911</v>
      </c>
      <c r="AC870" s="31" t="s">
        <v>1913</v>
      </c>
      <c r="AD870" s="50">
        <f t="shared" si="774"/>
        <v>2</v>
      </c>
      <c r="AE870" s="31"/>
      <c r="AF870" s="51">
        <v>14</v>
      </c>
      <c r="AG870" s="51">
        <f t="shared" si="802"/>
        <v>8.4</v>
      </c>
      <c r="AH870" s="51">
        <f t="shared" si="768"/>
        <v>42</v>
      </c>
      <c r="AI870" s="52" t="s">
        <v>2497</v>
      </c>
      <c r="AJ870" s="52" t="s">
        <v>2498</v>
      </c>
      <c r="AK870" s="53">
        <f t="shared" si="803"/>
        <v>5.8272064100799974E-3</v>
      </c>
      <c r="AL870" s="54">
        <f t="shared" si="804"/>
        <v>0.11904761904761904</v>
      </c>
      <c r="AM870" s="54">
        <f t="shared" si="805"/>
        <v>2.3809523809523808E-2</v>
      </c>
      <c r="AN870" s="55">
        <f t="shared" si="806"/>
        <v>1.3874300976380945E-3</v>
      </c>
      <c r="AO870" s="55">
        <f t="shared" si="807"/>
        <v>2.7748601952761891E-4</v>
      </c>
      <c r="AP870" s="53">
        <v>7.1</v>
      </c>
      <c r="AQ870" s="53">
        <f t="shared" si="775"/>
        <v>4.26</v>
      </c>
      <c r="AR870" s="53">
        <f t="shared" si="776"/>
        <v>21.299999999999997</v>
      </c>
      <c r="AS870" s="56">
        <f t="shared" si="777"/>
        <v>4.6948356807511742E-2</v>
      </c>
      <c r="AT870" s="56">
        <f t="shared" si="808"/>
        <v>0.23474178403755869</v>
      </c>
      <c r="AU870" s="56">
        <f t="shared" si="778"/>
        <v>0.176056338028169</v>
      </c>
      <c r="AV870" s="56">
        <f t="shared" si="809"/>
        <v>5.8685446009389672E-2</v>
      </c>
      <c r="AW870" s="57"/>
      <c r="AX870" s="57"/>
      <c r="AY870" s="57"/>
      <c r="AZ870" s="58">
        <f t="shared" si="810"/>
        <v>5.8272064100799974E-3</v>
      </c>
      <c r="BA870" s="59">
        <f t="shared" si="811"/>
        <v>0</v>
      </c>
      <c r="BB870" s="59">
        <f t="shared" si="812"/>
        <v>0</v>
      </c>
      <c r="BC870" s="59">
        <f t="shared" si="813"/>
        <v>0</v>
      </c>
      <c r="BD870" s="60">
        <f t="shared" si="814"/>
        <v>1.0204081632653062E-3</v>
      </c>
      <c r="BE870" s="59">
        <f t="shared" si="815"/>
        <v>2.0408163265306124E-3</v>
      </c>
      <c r="BQ870" s="61">
        <v>3000</v>
      </c>
      <c r="BR870" s="61">
        <v>1200</v>
      </c>
      <c r="BS870" s="28">
        <f t="shared" si="779"/>
        <v>2980</v>
      </c>
      <c r="BT870" s="28">
        <f t="shared" si="780"/>
        <v>1180</v>
      </c>
      <c r="BU870" s="28" t="s">
        <v>2541</v>
      </c>
      <c r="BV870" s="28">
        <f t="shared" si="781"/>
        <v>84.603599999999986</v>
      </c>
      <c r="BW870" s="28">
        <f t="shared" si="782"/>
        <v>41.601399999999991</v>
      </c>
      <c r="BX870" s="13">
        <f t="shared" si="783"/>
        <v>35.223087433631669</v>
      </c>
      <c r="BY870" s="13">
        <f t="shared" si="784"/>
        <v>35</v>
      </c>
      <c r="BZ870" s="13">
        <f t="shared" si="785"/>
        <v>28.364430043219706</v>
      </c>
      <c r="CA870" s="13">
        <f t="shared" si="786"/>
        <v>28</v>
      </c>
      <c r="CB870" s="13">
        <f t="shared" si="787"/>
        <v>980</v>
      </c>
      <c r="CC870" s="62">
        <f t="shared" si="788"/>
        <v>1.0204081632653062E-3</v>
      </c>
      <c r="CD870" s="13">
        <f t="shared" si="789"/>
        <v>71.632204685419254</v>
      </c>
      <c r="CE870" s="13">
        <f t="shared" si="790"/>
        <v>71</v>
      </c>
      <c r="CF870" s="13">
        <f t="shared" si="791"/>
        <v>13.947397037478312</v>
      </c>
      <c r="CG870" s="13">
        <f t="shared" si="792"/>
        <v>13</v>
      </c>
      <c r="CH870" s="28">
        <f t="shared" si="793"/>
        <v>923</v>
      </c>
      <c r="CI870" s="62">
        <f t="shared" si="794"/>
        <v>1.0834236186348862E-3</v>
      </c>
      <c r="CJ870" s="59">
        <f t="shared" si="795"/>
        <v>1.0204081632653062E-3</v>
      </c>
      <c r="CL870" s="63">
        <v>6000</v>
      </c>
      <c r="CM870" s="63">
        <f t="shared" si="796"/>
        <v>79.603599999999986</v>
      </c>
      <c r="CN870" s="63">
        <f t="shared" si="797"/>
        <v>84.603599999999986</v>
      </c>
      <c r="CO870" s="63">
        <f t="shared" si="798"/>
        <v>70.918967987177865</v>
      </c>
      <c r="CP870" s="13">
        <f t="shared" si="799"/>
        <v>70</v>
      </c>
      <c r="CQ870" s="70">
        <f t="shared" si="800"/>
        <v>1.4285714285714285E-2</v>
      </c>
      <c r="CR870" s="69">
        <f t="shared" si="820"/>
        <v>2.8571428571428571E-2</v>
      </c>
    </row>
    <row r="871" spans="1:96" hidden="1" x14ac:dyDescent="0.25">
      <c r="A871" s="10">
        <v>3</v>
      </c>
      <c r="B871" s="8" t="s">
        <v>1933</v>
      </c>
      <c r="C871" s="10" t="s">
        <v>492</v>
      </c>
      <c r="D871" s="10" t="s">
        <v>495</v>
      </c>
      <c r="E871" s="10" t="s">
        <v>52</v>
      </c>
      <c r="F871" s="12">
        <f t="shared" si="769"/>
        <v>7</v>
      </c>
      <c r="G871" s="10" t="s">
        <v>337</v>
      </c>
      <c r="H871" s="10" t="str">
        <f>G871</f>
        <v>A/R</v>
      </c>
      <c r="I871" s="10">
        <v>12</v>
      </c>
      <c r="J871" s="8" t="s">
        <v>493</v>
      </c>
      <c r="K871" s="8" t="s">
        <v>494</v>
      </c>
      <c r="L871" s="10" t="s">
        <v>339</v>
      </c>
      <c r="M871" s="8" t="s">
        <v>35</v>
      </c>
      <c r="N871" s="10" t="s">
        <v>495</v>
      </c>
      <c r="O871" s="28"/>
      <c r="P871" s="28"/>
      <c r="Q871" s="28" t="s">
        <v>495</v>
      </c>
      <c r="R871" s="30"/>
      <c r="S871" s="30"/>
      <c r="T871" s="30"/>
      <c r="U871" s="30"/>
      <c r="V871" s="8">
        <f t="shared" si="770"/>
        <v>0</v>
      </c>
      <c r="W871" s="8">
        <f t="shared" si="771"/>
        <v>0</v>
      </c>
      <c r="X871" s="8">
        <f t="shared" si="772"/>
        <v>0</v>
      </c>
      <c r="Y871" s="33">
        <f t="shared" si="773"/>
        <v>0</v>
      </c>
      <c r="Z871" s="28"/>
      <c r="AA871" s="28"/>
      <c r="AB871" s="61" t="s">
        <v>495</v>
      </c>
      <c r="AC871" s="31" t="s">
        <v>496</v>
      </c>
      <c r="AD871" s="50">
        <v>0</v>
      </c>
      <c r="AE871" s="45" t="s">
        <v>337</v>
      </c>
      <c r="AF871" s="51">
        <v>14</v>
      </c>
      <c r="AG871" s="51">
        <f t="shared" si="802"/>
        <v>8.4</v>
      </c>
      <c r="AH871" s="51">
        <f t="shared" si="768"/>
        <v>42</v>
      </c>
      <c r="AI871" s="52" t="s">
        <v>2497</v>
      </c>
      <c r="AJ871" s="52" t="s">
        <v>2498</v>
      </c>
      <c r="AK871" s="53">
        <f t="shared" si="803"/>
        <v>0</v>
      </c>
      <c r="AL871" s="54">
        <f t="shared" si="804"/>
        <v>0.11904761904761904</v>
      </c>
      <c r="AM871" s="54">
        <f t="shared" si="805"/>
        <v>2.3809523809523808E-2</v>
      </c>
      <c r="AN871" s="55">
        <f t="shared" si="806"/>
        <v>0</v>
      </c>
      <c r="AO871" s="55">
        <f t="shared" si="807"/>
        <v>0</v>
      </c>
      <c r="AP871" s="53">
        <v>7.1</v>
      </c>
      <c r="AQ871" s="53">
        <f t="shared" si="775"/>
        <v>4.26</v>
      </c>
      <c r="AR871" s="53">
        <f t="shared" si="776"/>
        <v>21.299999999999997</v>
      </c>
      <c r="AS871" s="56">
        <f t="shared" si="777"/>
        <v>4.6948356807511742E-2</v>
      </c>
      <c r="AT871" s="56">
        <f t="shared" si="808"/>
        <v>0.23474178403755869</v>
      </c>
      <c r="AU871" s="56">
        <f t="shared" si="778"/>
        <v>0.176056338028169</v>
      </c>
      <c r="AV871" s="56">
        <f t="shared" si="809"/>
        <v>5.8685446009389672E-2</v>
      </c>
      <c r="AW871" s="57"/>
      <c r="AX871" s="57"/>
      <c r="AY871" s="57"/>
      <c r="AZ871" s="58">
        <f t="shared" si="810"/>
        <v>0</v>
      </c>
      <c r="BA871" s="59">
        <f t="shared" si="811"/>
        <v>0</v>
      </c>
      <c r="BB871" s="59">
        <f t="shared" si="812"/>
        <v>0</v>
      </c>
      <c r="BC871" s="59">
        <f t="shared" si="813"/>
        <v>0</v>
      </c>
      <c r="BD871" s="60">
        <f t="shared" si="814"/>
        <v>7.1095438516664771E-6</v>
      </c>
      <c r="BE871" s="59">
        <f t="shared" si="815"/>
        <v>0</v>
      </c>
      <c r="BQ871" s="61">
        <v>3000</v>
      </c>
      <c r="BR871" s="61">
        <v>1200</v>
      </c>
      <c r="BS871" s="28">
        <f t="shared" si="779"/>
        <v>2980</v>
      </c>
      <c r="BT871" s="28">
        <f t="shared" si="780"/>
        <v>1180</v>
      </c>
      <c r="BU871" s="28" t="s">
        <v>2541</v>
      </c>
      <c r="BV871" s="28">
        <f t="shared" si="781"/>
        <v>5</v>
      </c>
      <c r="BW871" s="28">
        <f t="shared" si="782"/>
        <v>5</v>
      </c>
      <c r="BX871" s="13">
        <f t="shared" si="783"/>
        <v>596</v>
      </c>
      <c r="BY871" s="13">
        <f t="shared" si="784"/>
        <v>596</v>
      </c>
      <c r="BZ871" s="13">
        <f t="shared" si="785"/>
        <v>236</v>
      </c>
      <c r="CA871" s="13">
        <f t="shared" si="786"/>
        <v>236</v>
      </c>
      <c r="CB871" s="13">
        <f t="shared" si="787"/>
        <v>140656</v>
      </c>
      <c r="CC871" s="62">
        <f t="shared" si="788"/>
        <v>7.1095438516664771E-6</v>
      </c>
      <c r="CD871" s="13">
        <f t="shared" si="789"/>
        <v>596</v>
      </c>
      <c r="CE871" s="13">
        <f t="shared" si="790"/>
        <v>596</v>
      </c>
      <c r="CF871" s="13">
        <f t="shared" si="791"/>
        <v>236</v>
      </c>
      <c r="CG871" s="13">
        <f t="shared" si="792"/>
        <v>236</v>
      </c>
      <c r="CH871" s="28">
        <f t="shared" si="793"/>
        <v>140656</v>
      </c>
      <c r="CI871" s="62">
        <f t="shared" si="794"/>
        <v>7.1095438516664771E-6</v>
      </c>
      <c r="CJ871" s="59">
        <f t="shared" si="795"/>
        <v>7.1095438516664771E-6</v>
      </c>
      <c r="CL871" s="63">
        <v>6000</v>
      </c>
      <c r="CM871" s="63">
        <f t="shared" si="796"/>
        <v>0</v>
      </c>
      <c r="CN871" s="63">
        <f t="shared" si="797"/>
        <v>5</v>
      </c>
      <c r="CO871" s="63">
        <f t="shared" si="798"/>
        <v>1200</v>
      </c>
      <c r="CP871" s="13">
        <f t="shared" si="799"/>
        <v>1200</v>
      </c>
      <c r="CQ871" s="70">
        <f t="shared" si="800"/>
        <v>8.3333333333333339E-4</v>
      </c>
      <c r="CR871" s="69">
        <f t="shared" si="820"/>
        <v>0</v>
      </c>
    </row>
    <row r="872" spans="1:96" hidden="1" x14ac:dyDescent="0.25">
      <c r="A872" s="36">
        <v>2</v>
      </c>
      <c r="B872" s="37" t="s">
        <v>1865</v>
      </c>
      <c r="C872" s="36" t="s">
        <v>1977</v>
      </c>
      <c r="D872" s="36" t="s">
        <v>2270</v>
      </c>
      <c r="E872" s="36" t="s">
        <v>32</v>
      </c>
      <c r="F872" s="38">
        <f t="shared" si="769"/>
        <v>1</v>
      </c>
      <c r="G872" s="36">
        <v>1</v>
      </c>
      <c r="H872" s="36">
        <f>G872*$H$794</f>
        <v>1</v>
      </c>
      <c r="I872" s="36">
        <v>4</v>
      </c>
      <c r="J872" s="37" t="s">
        <v>1867</v>
      </c>
      <c r="K872" s="37" t="s">
        <v>34</v>
      </c>
      <c r="L872" s="36">
        <v>0</v>
      </c>
      <c r="M872" s="37" t="s">
        <v>35</v>
      </c>
      <c r="N872" s="36" t="s">
        <v>1978</v>
      </c>
      <c r="O872" s="28"/>
      <c r="P872" s="28"/>
      <c r="Q872" s="28"/>
      <c r="R872" s="30"/>
      <c r="S872" s="30"/>
      <c r="T872" s="30"/>
      <c r="U872" s="30"/>
      <c r="V872" s="8">
        <f t="shared" si="770"/>
        <v>0</v>
      </c>
      <c r="W872" s="8">
        <f t="shared" si="771"/>
        <v>0</v>
      </c>
      <c r="X872" s="8">
        <f t="shared" si="772"/>
        <v>0</v>
      </c>
      <c r="Y872" s="33">
        <f t="shared" si="773"/>
        <v>0</v>
      </c>
      <c r="Z872" s="28"/>
      <c r="AA872" s="28"/>
      <c r="AB872" s="28">
        <v>0</v>
      </c>
      <c r="AC872" s="31"/>
      <c r="AD872" s="50">
        <f t="shared" si="774"/>
        <v>1</v>
      </c>
      <c r="AE872" s="31"/>
      <c r="AF872" s="51">
        <v>14</v>
      </c>
      <c r="AG872" s="51">
        <f t="shared" si="802"/>
        <v>8.4</v>
      </c>
      <c r="AH872" s="51">
        <f t="shared" si="768"/>
        <v>42</v>
      </c>
      <c r="AI872" s="52" t="s">
        <v>2497</v>
      </c>
      <c r="AJ872" s="52" t="s">
        <v>2498</v>
      </c>
      <c r="AK872" s="53">
        <f t="shared" si="803"/>
        <v>0</v>
      </c>
      <c r="AL872" s="54">
        <f t="shared" si="804"/>
        <v>0.11904761904761904</v>
      </c>
      <c r="AM872" s="54">
        <f t="shared" si="805"/>
        <v>2.3809523809523808E-2</v>
      </c>
      <c r="AN872" s="55">
        <f t="shared" si="806"/>
        <v>0</v>
      </c>
      <c r="AO872" s="55">
        <f t="shared" si="807"/>
        <v>0</v>
      </c>
      <c r="AP872" s="53">
        <v>7.1</v>
      </c>
      <c r="AQ872" s="53">
        <f t="shared" si="775"/>
        <v>4.26</v>
      </c>
      <c r="AR872" s="53">
        <f t="shared" si="776"/>
        <v>21.299999999999997</v>
      </c>
      <c r="AS872" s="56">
        <f t="shared" si="777"/>
        <v>4.6948356807511742E-2</v>
      </c>
      <c r="AT872" s="56">
        <f t="shared" si="808"/>
        <v>0.23474178403755869</v>
      </c>
      <c r="AU872" s="56">
        <f t="shared" si="778"/>
        <v>0.176056338028169</v>
      </c>
      <c r="AV872" s="56">
        <f t="shared" si="809"/>
        <v>5.8685446009389672E-2</v>
      </c>
      <c r="AW872" s="57"/>
      <c r="AX872" s="57"/>
      <c r="AY872" s="57"/>
      <c r="AZ872" s="58">
        <f t="shared" si="810"/>
        <v>0</v>
      </c>
      <c r="BA872" s="59">
        <f t="shared" si="811"/>
        <v>0</v>
      </c>
      <c r="BB872" s="59">
        <f t="shared" si="812"/>
        <v>0</v>
      </c>
      <c r="BC872" s="59">
        <f t="shared" si="813"/>
        <v>0</v>
      </c>
      <c r="BD872" s="60">
        <f t="shared" si="814"/>
        <v>0</v>
      </c>
      <c r="BE872" s="59">
        <f t="shared" si="815"/>
        <v>0</v>
      </c>
      <c r="BQ872" s="61">
        <v>3000</v>
      </c>
      <c r="BR872" s="61">
        <v>1200</v>
      </c>
      <c r="BS872" s="28">
        <f t="shared" si="779"/>
        <v>2980</v>
      </c>
      <c r="BT872" s="28">
        <f t="shared" si="780"/>
        <v>1180</v>
      </c>
      <c r="BU872" s="28" t="s">
        <v>2541</v>
      </c>
      <c r="BV872" s="28">
        <f t="shared" si="781"/>
        <v>5</v>
      </c>
      <c r="BW872" s="28">
        <f t="shared" si="782"/>
        <v>5</v>
      </c>
      <c r="BX872" s="13">
        <f t="shared" si="783"/>
        <v>596</v>
      </c>
      <c r="BY872" s="13">
        <f t="shared" si="784"/>
        <v>596</v>
      </c>
      <c r="BZ872" s="13">
        <f t="shared" si="785"/>
        <v>236</v>
      </c>
      <c r="CA872" s="13">
        <f t="shared" si="786"/>
        <v>236</v>
      </c>
      <c r="CB872" s="13">
        <f t="shared" si="787"/>
        <v>140656</v>
      </c>
      <c r="CC872" s="62" t="str">
        <f t="shared" si="788"/>
        <v/>
      </c>
      <c r="CD872" s="13">
        <f t="shared" si="789"/>
        <v>596</v>
      </c>
      <c r="CE872" s="13">
        <f t="shared" si="790"/>
        <v>596</v>
      </c>
      <c r="CF872" s="13">
        <f t="shared" si="791"/>
        <v>236</v>
      </c>
      <c r="CG872" s="13">
        <f t="shared" si="792"/>
        <v>236</v>
      </c>
      <c r="CH872" s="28">
        <f t="shared" si="793"/>
        <v>140656</v>
      </c>
      <c r="CI872" s="62" t="str">
        <f t="shared" si="794"/>
        <v/>
      </c>
      <c r="CJ872" s="59">
        <f t="shared" si="795"/>
        <v>0</v>
      </c>
      <c r="CL872" s="63">
        <v>6000</v>
      </c>
      <c r="CM872" s="63">
        <f t="shared" si="796"/>
        <v>0</v>
      </c>
      <c r="CN872" s="63">
        <f t="shared" si="797"/>
        <v>5</v>
      </c>
      <c r="CO872" s="63">
        <f t="shared" si="798"/>
        <v>1200</v>
      </c>
      <c r="CP872" s="13">
        <f t="shared" si="799"/>
        <v>1200</v>
      </c>
      <c r="CQ872" s="70">
        <f t="shared" si="800"/>
        <v>8.3333333333333339E-4</v>
      </c>
      <c r="CR872" s="69">
        <f t="shared" si="820"/>
        <v>8.3333333333333339E-4</v>
      </c>
    </row>
    <row r="873" spans="1:96" hidden="1" x14ac:dyDescent="0.25">
      <c r="A873" s="10">
        <v>3</v>
      </c>
      <c r="B873" s="8" t="s">
        <v>1979</v>
      </c>
      <c r="C873" s="10" t="s">
        <v>1980</v>
      </c>
      <c r="D873" s="10" t="s">
        <v>2270</v>
      </c>
      <c r="E873" s="10" t="s">
        <v>32</v>
      </c>
      <c r="F873" s="12">
        <f t="shared" si="769"/>
        <v>1</v>
      </c>
      <c r="G873" s="10">
        <v>1</v>
      </c>
      <c r="H873" s="10">
        <f>G873*$H$872</f>
        <v>1</v>
      </c>
      <c r="I873" s="10">
        <v>1</v>
      </c>
      <c r="J873" s="8" t="s">
        <v>455</v>
      </c>
      <c r="K873" s="8" t="s">
        <v>34</v>
      </c>
      <c r="L873" s="10" t="s">
        <v>194</v>
      </c>
      <c r="M873" s="8" t="s">
        <v>35</v>
      </c>
      <c r="N873" s="10" t="s">
        <v>1981</v>
      </c>
      <c r="O873" s="28"/>
      <c r="P873" s="28"/>
      <c r="Q873" s="28"/>
      <c r="R873" s="30"/>
      <c r="S873" s="30"/>
      <c r="T873" s="30"/>
      <c r="U873" s="30"/>
      <c r="V873" s="8">
        <f t="shared" si="770"/>
        <v>0</v>
      </c>
      <c r="W873" s="8">
        <f t="shared" si="771"/>
        <v>0</v>
      </c>
      <c r="X873" s="8">
        <f t="shared" si="772"/>
        <v>0</v>
      </c>
      <c r="Y873" s="33">
        <f t="shared" si="773"/>
        <v>0</v>
      </c>
      <c r="Z873" s="28"/>
      <c r="AA873" s="28"/>
      <c r="AB873" s="28">
        <v>0</v>
      </c>
      <c r="AC873" s="31"/>
      <c r="AD873" s="50">
        <f t="shared" si="774"/>
        <v>1</v>
      </c>
      <c r="AE873" s="31"/>
      <c r="AF873" s="51">
        <v>14</v>
      </c>
      <c r="AG873" s="51">
        <f t="shared" si="802"/>
        <v>8.4</v>
      </c>
      <c r="AH873" s="51">
        <f t="shared" si="768"/>
        <v>42</v>
      </c>
      <c r="AI873" s="52" t="s">
        <v>2497</v>
      </c>
      <c r="AJ873" s="52" t="s">
        <v>2498</v>
      </c>
      <c r="AK873" s="53">
        <f t="shared" si="803"/>
        <v>0</v>
      </c>
      <c r="AL873" s="54">
        <f t="shared" si="804"/>
        <v>0.11904761904761904</v>
      </c>
      <c r="AM873" s="54">
        <f t="shared" si="805"/>
        <v>2.3809523809523808E-2</v>
      </c>
      <c r="AN873" s="55">
        <f t="shared" si="806"/>
        <v>0</v>
      </c>
      <c r="AO873" s="55">
        <f t="shared" si="807"/>
        <v>0</v>
      </c>
      <c r="AP873" s="53">
        <v>7.1</v>
      </c>
      <c r="AQ873" s="53">
        <f t="shared" si="775"/>
        <v>4.26</v>
      </c>
      <c r="AR873" s="53">
        <f t="shared" si="776"/>
        <v>21.299999999999997</v>
      </c>
      <c r="AS873" s="56">
        <f t="shared" si="777"/>
        <v>4.6948356807511742E-2</v>
      </c>
      <c r="AT873" s="56">
        <f t="shared" si="808"/>
        <v>0.23474178403755869</v>
      </c>
      <c r="AU873" s="56">
        <f t="shared" si="778"/>
        <v>0.176056338028169</v>
      </c>
      <c r="AV873" s="56">
        <f t="shared" si="809"/>
        <v>5.8685446009389672E-2</v>
      </c>
      <c r="AW873" s="57"/>
      <c r="AX873" s="57"/>
      <c r="AY873" s="57"/>
      <c r="AZ873" s="58">
        <f t="shared" si="810"/>
        <v>0</v>
      </c>
      <c r="BA873" s="59">
        <f t="shared" si="811"/>
        <v>0</v>
      </c>
      <c r="BB873" s="59">
        <f t="shared" si="812"/>
        <v>0</v>
      </c>
      <c r="BC873" s="59">
        <f t="shared" si="813"/>
        <v>0</v>
      </c>
      <c r="BD873" s="60">
        <f t="shared" si="814"/>
        <v>0</v>
      </c>
      <c r="BE873" s="59">
        <f t="shared" si="815"/>
        <v>0</v>
      </c>
      <c r="BQ873" s="61">
        <v>3000</v>
      </c>
      <c r="BR873" s="61">
        <v>1200</v>
      </c>
      <c r="BS873" s="28">
        <f t="shared" si="779"/>
        <v>2980</v>
      </c>
      <c r="BT873" s="28">
        <f t="shared" si="780"/>
        <v>1180</v>
      </c>
      <c r="BU873" s="28" t="s">
        <v>2541</v>
      </c>
      <c r="BV873" s="28">
        <f t="shared" si="781"/>
        <v>5</v>
      </c>
      <c r="BW873" s="28">
        <f t="shared" si="782"/>
        <v>5</v>
      </c>
      <c r="BX873" s="13">
        <f t="shared" si="783"/>
        <v>596</v>
      </c>
      <c r="BY873" s="13">
        <f t="shared" si="784"/>
        <v>596</v>
      </c>
      <c r="BZ873" s="13">
        <f t="shared" si="785"/>
        <v>236</v>
      </c>
      <c r="CA873" s="13">
        <f t="shared" si="786"/>
        <v>236</v>
      </c>
      <c r="CB873" s="13">
        <f t="shared" si="787"/>
        <v>140656</v>
      </c>
      <c r="CC873" s="62" t="str">
        <f t="shared" si="788"/>
        <v/>
      </c>
      <c r="CD873" s="13">
        <f t="shared" si="789"/>
        <v>596</v>
      </c>
      <c r="CE873" s="13">
        <f t="shared" si="790"/>
        <v>596</v>
      </c>
      <c r="CF873" s="13">
        <f t="shared" si="791"/>
        <v>236</v>
      </c>
      <c r="CG873" s="13">
        <f t="shared" si="792"/>
        <v>236</v>
      </c>
      <c r="CH873" s="28">
        <f t="shared" si="793"/>
        <v>140656</v>
      </c>
      <c r="CI873" s="62" t="str">
        <f t="shared" si="794"/>
        <v/>
      </c>
      <c r="CJ873" s="59">
        <f t="shared" si="795"/>
        <v>0</v>
      </c>
      <c r="CL873" s="63">
        <v>6000</v>
      </c>
      <c r="CM873" s="63">
        <f t="shared" si="796"/>
        <v>0</v>
      </c>
      <c r="CN873" s="63">
        <f t="shared" si="797"/>
        <v>5</v>
      </c>
      <c r="CO873" s="63">
        <f t="shared" si="798"/>
        <v>1200</v>
      </c>
      <c r="CP873" s="13">
        <f t="shared" si="799"/>
        <v>1200</v>
      </c>
      <c r="CQ873" s="70">
        <f t="shared" si="800"/>
        <v>8.3333333333333339E-4</v>
      </c>
      <c r="CR873" s="69">
        <f t="shared" si="820"/>
        <v>8.3333333333333339E-4</v>
      </c>
    </row>
    <row r="874" spans="1:96" x14ac:dyDescent="0.25">
      <c r="A874" s="13">
        <v>4</v>
      </c>
      <c r="B874" s="14" t="s">
        <v>1982</v>
      </c>
      <c r="C874" s="13" t="s">
        <v>1983</v>
      </c>
      <c r="D874" s="13" t="s">
        <v>2270</v>
      </c>
      <c r="E874" s="13" t="s">
        <v>52</v>
      </c>
      <c r="F874" s="15">
        <f t="shared" si="769"/>
        <v>1</v>
      </c>
      <c r="G874" s="13">
        <v>1</v>
      </c>
      <c r="H874" s="13">
        <f>G874*$H$873</f>
        <v>1</v>
      </c>
      <c r="I874" s="13">
        <v>1</v>
      </c>
      <c r="J874" s="14" t="s">
        <v>459</v>
      </c>
      <c r="K874" s="14" t="s">
        <v>34</v>
      </c>
      <c r="L874" s="13" t="s">
        <v>194</v>
      </c>
      <c r="M874" s="14" t="s">
        <v>35</v>
      </c>
      <c r="N874" s="13" t="s">
        <v>1984</v>
      </c>
      <c r="O874" s="28"/>
      <c r="P874" s="28"/>
      <c r="Q874" s="28" t="s">
        <v>2585</v>
      </c>
      <c r="R874" s="30">
        <v>56.924999999999997</v>
      </c>
      <c r="S874" s="30">
        <v>14.744</v>
      </c>
      <c r="T874" s="30"/>
      <c r="U874" s="30">
        <v>0.06</v>
      </c>
      <c r="V874" s="8">
        <f t="shared" si="770"/>
        <v>1445.8949999999998</v>
      </c>
      <c r="W874" s="8">
        <f t="shared" si="771"/>
        <v>374.49759999999998</v>
      </c>
      <c r="X874" s="8">
        <f t="shared" si="772"/>
        <v>0</v>
      </c>
      <c r="Y874" s="33">
        <f t="shared" si="773"/>
        <v>1.5239999999999998</v>
      </c>
      <c r="Z874" s="28" t="s">
        <v>56</v>
      </c>
      <c r="AA874" s="28" t="s">
        <v>1765</v>
      </c>
      <c r="AB874" s="61" t="s">
        <v>2585</v>
      </c>
      <c r="AC874" s="31" t="s">
        <v>2586</v>
      </c>
      <c r="AD874" s="50">
        <f t="shared" si="774"/>
        <v>1</v>
      </c>
      <c r="AE874" s="31"/>
      <c r="AF874" s="51">
        <v>14</v>
      </c>
      <c r="AG874" s="51">
        <f t="shared" si="802"/>
        <v>8.4</v>
      </c>
      <c r="AH874" s="51">
        <f t="shared" si="768"/>
        <v>42</v>
      </c>
      <c r="AI874" s="52" t="s">
        <v>2497</v>
      </c>
      <c r="AJ874" s="52" t="s">
        <v>2498</v>
      </c>
      <c r="AK874" s="53">
        <f t="shared" si="803"/>
        <v>1.0829684147039997</v>
      </c>
      <c r="AL874" s="54">
        <f t="shared" si="804"/>
        <v>0.11904761904761904</v>
      </c>
      <c r="AM874" s="54">
        <f t="shared" si="805"/>
        <v>2.3809523809523808E-2</v>
      </c>
      <c r="AN874" s="55">
        <f t="shared" si="806"/>
        <v>0.12892481127428568</v>
      </c>
      <c r="AO874" s="55">
        <f t="shared" si="807"/>
        <v>2.5784962254857133E-2</v>
      </c>
      <c r="AP874" s="53">
        <v>7.1</v>
      </c>
      <c r="AQ874" s="53">
        <f t="shared" si="775"/>
        <v>4.26</v>
      </c>
      <c r="AR874" s="53">
        <f t="shared" si="776"/>
        <v>21.299999999999997</v>
      </c>
      <c r="AS874" s="56">
        <f t="shared" si="777"/>
        <v>4.6948356807511742E-2</v>
      </c>
      <c r="AT874" s="56">
        <f t="shared" si="808"/>
        <v>0.23474178403755869</v>
      </c>
      <c r="AU874" s="56">
        <f t="shared" si="778"/>
        <v>0.176056338028169</v>
      </c>
      <c r="AV874" s="56">
        <f t="shared" si="809"/>
        <v>5.8685446009389672E-2</v>
      </c>
      <c r="AW874" s="57"/>
      <c r="AX874" s="57"/>
      <c r="AY874" s="57"/>
      <c r="AZ874" s="58">
        <f t="shared" si="810"/>
        <v>1.0829684147039997</v>
      </c>
      <c r="BA874" s="59">
        <f t="shared" si="811"/>
        <v>0</v>
      </c>
      <c r="BB874" s="59">
        <f t="shared" si="812"/>
        <v>0</v>
      </c>
      <c r="BC874" s="59">
        <f t="shared" si="813"/>
        <v>0</v>
      </c>
      <c r="BD874" s="60">
        <f t="shared" si="814"/>
        <v>0.16666666666666666</v>
      </c>
      <c r="BE874" s="59">
        <f t="shared" si="815"/>
        <v>0.16666666666666666</v>
      </c>
      <c r="BQ874" s="61">
        <v>3000</v>
      </c>
      <c r="BR874" s="61">
        <v>1200</v>
      </c>
      <c r="BS874" s="28">
        <f t="shared" si="779"/>
        <v>2980</v>
      </c>
      <c r="BT874" s="28">
        <f t="shared" si="780"/>
        <v>1180</v>
      </c>
      <c r="BU874" s="28" t="s">
        <v>2541</v>
      </c>
      <c r="BV874" s="28">
        <f t="shared" si="781"/>
        <v>1450.8949999999998</v>
      </c>
      <c r="BW874" s="28">
        <f t="shared" si="782"/>
        <v>379.49759999999998</v>
      </c>
      <c r="BX874" s="13">
        <f t="shared" si="783"/>
        <v>2.0539046588485044</v>
      </c>
      <c r="BY874" s="13">
        <f t="shared" si="784"/>
        <v>2</v>
      </c>
      <c r="BZ874" s="13">
        <f t="shared" si="785"/>
        <v>3.1093740777280279</v>
      </c>
      <c r="CA874" s="13">
        <f t="shared" si="786"/>
        <v>3</v>
      </c>
      <c r="CB874" s="13">
        <f t="shared" si="787"/>
        <v>6</v>
      </c>
      <c r="CC874" s="62">
        <f t="shared" si="788"/>
        <v>0.16666666666666666</v>
      </c>
      <c r="CD874" s="13">
        <f t="shared" si="789"/>
        <v>7.852487077652138</v>
      </c>
      <c r="CE874" s="13">
        <f t="shared" si="790"/>
        <v>7</v>
      </c>
      <c r="CF874" s="13">
        <f t="shared" si="791"/>
        <v>0.81329110652390435</v>
      </c>
      <c r="CG874" s="13">
        <f t="shared" si="792"/>
        <v>0</v>
      </c>
      <c r="CH874" s="28">
        <f t="shared" si="793"/>
        <v>0</v>
      </c>
      <c r="CI874" s="62">
        <f t="shared" si="794"/>
        <v>1</v>
      </c>
      <c r="CJ874" s="59">
        <f t="shared" si="795"/>
        <v>0.16666666666666666</v>
      </c>
      <c r="CL874" s="63">
        <v>6000</v>
      </c>
      <c r="CM874" s="63">
        <f t="shared" si="796"/>
        <v>1445.8949999999998</v>
      </c>
      <c r="CN874" s="63">
        <f t="shared" si="797"/>
        <v>1450.8949999999998</v>
      </c>
      <c r="CO874" s="63">
        <f t="shared" si="798"/>
        <v>4.1353785077486664</v>
      </c>
      <c r="CP874" s="13">
        <f t="shared" si="799"/>
        <v>4</v>
      </c>
      <c r="CQ874" s="70">
        <f t="shared" si="800"/>
        <v>0.25</v>
      </c>
      <c r="CR874" s="69">
        <f t="shared" si="820"/>
        <v>0.25</v>
      </c>
    </row>
    <row r="875" spans="1:96" hidden="1" x14ac:dyDescent="0.25">
      <c r="A875" s="13">
        <v>4</v>
      </c>
      <c r="B875" s="14" t="s">
        <v>1982</v>
      </c>
      <c r="C875" s="13" t="s">
        <v>1939</v>
      </c>
      <c r="D875" s="13" t="s">
        <v>2270</v>
      </c>
      <c r="E875" s="13" t="s">
        <v>52</v>
      </c>
      <c r="F875" s="15">
        <f t="shared" si="769"/>
        <v>4</v>
      </c>
      <c r="G875" s="13">
        <v>1</v>
      </c>
      <c r="H875" s="13">
        <f t="shared" ref="H875:H878" si="821">G875*$H$873</f>
        <v>1</v>
      </c>
      <c r="I875" s="13">
        <v>2</v>
      </c>
      <c r="J875" s="14" t="s">
        <v>1940</v>
      </c>
      <c r="K875" s="14" t="s">
        <v>34</v>
      </c>
      <c r="L875" s="13">
        <v>0</v>
      </c>
      <c r="M875" s="14" t="s">
        <v>35</v>
      </c>
      <c r="N875" s="13" t="s">
        <v>1941</v>
      </c>
      <c r="O875" s="28"/>
      <c r="P875" s="28"/>
      <c r="Q875" s="28" t="s">
        <v>124</v>
      </c>
      <c r="R875" s="30">
        <v>53.700787401574807</v>
      </c>
      <c r="S875" s="30">
        <v>2.7165354330708662</v>
      </c>
      <c r="T875" s="30"/>
      <c r="U875" s="30">
        <v>9.8425196850393706E-2</v>
      </c>
      <c r="V875" s="8">
        <f t="shared" si="770"/>
        <v>1364</v>
      </c>
      <c r="W875" s="8">
        <f t="shared" si="771"/>
        <v>69</v>
      </c>
      <c r="X875" s="8">
        <f t="shared" si="772"/>
        <v>0</v>
      </c>
      <c r="Y875" s="33">
        <f t="shared" si="773"/>
        <v>2.5</v>
      </c>
      <c r="Z875" s="28" t="s">
        <v>56</v>
      </c>
      <c r="AA875" s="28" t="s">
        <v>57</v>
      </c>
      <c r="AB875" s="61" t="s">
        <v>124</v>
      </c>
      <c r="AC875" s="31" t="s">
        <v>125</v>
      </c>
      <c r="AD875" s="50">
        <f t="shared" si="774"/>
        <v>1</v>
      </c>
      <c r="AE875" s="31"/>
      <c r="AF875" s="51">
        <v>14</v>
      </c>
      <c r="AG875" s="51">
        <f t="shared" si="802"/>
        <v>8.4</v>
      </c>
      <c r="AH875" s="51">
        <f t="shared" si="768"/>
        <v>42</v>
      </c>
      <c r="AI875" s="52" t="s">
        <v>2497</v>
      </c>
      <c r="AJ875" s="52" t="s">
        <v>2498</v>
      </c>
      <c r="AK875" s="53">
        <f t="shared" si="803"/>
        <v>0.18823200000000001</v>
      </c>
      <c r="AL875" s="54">
        <f t="shared" si="804"/>
        <v>0.11904761904761904</v>
      </c>
      <c r="AM875" s="54">
        <f t="shared" si="805"/>
        <v>2.3809523809523808E-2</v>
      </c>
      <c r="AN875" s="55">
        <f t="shared" si="806"/>
        <v>2.2408571428571427E-2</v>
      </c>
      <c r="AO875" s="55">
        <f t="shared" si="807"/>
        <v>4.4817142857142859E-3</v>
      </c>
      <c r="AP875" s="53">
        <v>7.1</v>
      </c>
      <c r="AQ875" s="53">
        <f t="shared" si="775"/>
        <v>4.26</v>
      </c>
      <c r="AR875" s="53">
        <f t="shared" si="776"/>
        <v>21.299999999999997</v>
      </c>
      <c r="AS875" s="56">
        <f t="shared" si="777"/>
        <v>4.6948356807511742E-2</v>
      </c>
      <c r="AT875" s="56">
        <f t="shared" si="808"/>
        <v>0.23474178403755869</v>
      </c>
      <c r="AU875" s="56">
        <f t="shared" si="778"/>
        <v>0.176056338028169</v>
      </c>
      <c r="AV875" s="56">
        <f t="shared" si="809"/>
        <v>5.8685446009389672E-2</v>
      </c>
      <c r="AW875" s="57"/>
      <c r="AX875" s="57"/>
      <c r="AY875" s="57"/>
      <c r="AZ875" s="58">
        <f t="shared" si="810"/>
        <v>0.18823200000000001</v>
      </c>
      <c r="BA875" s="59">
        <f t="shared" si="811"/>
        <v>0</v>
      </c>
      <c r="BB875" s="59">
        <f t="shared" si="812"/>
        <v>0</v>
      </c>
      <c r="BC875" s="59">
        <f t="shared" si="813"/>
        <v>0</v>
      </c>
      <c r="BD875" s="60">
        <f t="shared" si="814"/>
        <v>3.3333333333333333E-2</v>
      </c>
      <c r="BE875" s="59">
        <f t="shared" si="815"/>
        <v>3.3333333333333333E-2</v>
      </c>
      <c r="BQ875" s="61">
        <v>3000</v>
      </c>
      <c r="BR875" s="61">
        <v>1200</v>
      </c>
      <c r="BS875" s="28">
        <f t="shared" si="779"/>
        <v>2980</v>
      </c>
      <c r="BT875" s="28">
        <f t="shared" si="780"/>
        <v>1180</v>
      </c>
      <c r="BU875" s="28" t="s">
        <v>2541</v>
      </c>
      <c r="BV875" s="28">
        <f t="shared" si="781"/>
        <v>1369</v>
      </c>
      <c r="BW875" s="28">
        <f t="shared" si="782"/>
        <v>74</v>
      </c>
      <c r="BX875" s="13">
        <f t="shared" si="783"/>
        <v>2.1767713659605552</v>
      </c>
      <c r="BY875" s="13">
        <f t="shared" si="784"/>
        <v>2</v>
      </c>
      <c r="BZ875" s="13">
        <f t="shared" si="785"/>
        <v>15.945945945945946</v>
      </c>
      <c r="CA875" s="13">
        <f t="shared" si="786"/>
        <v>15</v>
      </c>
      <c r="CB875" s="13">
        <f t="shared" si="787"/>
        <v>30</v>
      </c>
      <c r="CC875" s="62">
        <f t="shared" si="788"/>
        <v>3.3333333333333333E-2</v>
      </c>
      <c r="CD875" s="13">
        <f t="shared" si="789"/>
        <v>40.270270270270274</v>
      </c>
      <c r="CE875" s="13">
        <f t="shared" si="790"/>
        <v>40</v>
      </c>
      <c r="CF875" s="13">
        <f t="shared" si="791"/>
        <v>0.86194302410518631</v>
      </c>
      <c r="CG875" s="13">
        <f t="shared" si="792"/>
        <v>0</v>
      </c>
      <c r="CH875" s="28">
        <f t="shared" si="793"/>
        <v>0</v>
      </c>
      <c r="CI875" s="62">
        <f t="shared" si="794"/>
        <v>1</v>
      </c>
      <c r="CJ875" s="59">
        <f t="shared" si="795"/>
        <v>3.3333333333333333E-2</v>
      </c>
      <c r="CL875" s="63">
        <v>6000</v>
      </c>
      <c r="CM875" s="63">
        <f t="shared" si="796"/>
        <v>1364</v>
      </c>
      <c r="CN875" s="63">
        <f t="shared" si="797"/>
        <v>1369</v>
      </c>
      <c r="CO875" s="63">
        <f t="shared" si="798"/>
        <v>4.3827611395178963</v>
      </c>
      <c r="CP875" s="13">
        <f t="shared" si="799"/>
        <v>4</v>
      </c>
      <c r="CQ875" s="70">
        <f t="shared" si="800"/>
        <v>0.25</v>
      </c>
      <c r="CR875" s="69">
        <f t="shared" si="820"/>
        <v>0.25</v>
      </c>
    </row>
    <row r="876" spans="1:96" x14ac:dyDescent="0.25">
      <c r="A876" s="13">
        <v>4</v>
      </c>
      <c r="B876" s="14" t="s">
        <v>1982</v>
      </c>
      <c r="C876" s="13" t="s">
        <v>1942</v>
      </c>
      <c r="D876" s="13" t="s">
        <v>2270</v>
      </c>
      <c r="E876" s="13" t="s">
        <v>52</v>
      </c>
      <c r="F876" s="15">
        <f t="shared" si="769"/>
        <v>4</v>
      </c>
      <c r="G876" s="13">
        <v>2</v>
      </c>
      <c r="H876" s="13">
        <f t="shared" si="821"/>
        <v>2</v>
      </c>
      <c r="I876" s="13">
        <v>3</v>
      </c>
      <c r="J876" s="14" t="s">
        <v>119</v>
      </c>
      <c r="K876" s="14" t="s">
        <v>34</v>
      </c>
      <c r="L876" s="13" t="s">
        <v>110</v>
      </c>
      <c r="M876" s="14" t="s">
        <v>35</v>
      </c>
      <c r="N876" s="13" t="s">
        <v>1943</v>
      </c>
      <c r="O876" s="28"/>
      <c r="P876" s="28"/>
      <c r="Q876" s="28" t="s">
        <v>2585</v>
      </c>
      <c r="R876" s="30">
        <v>12</v>
      </c>
      <c r="S876" s="30">
        <v>1.292</v>
      </c>
      <c r="T876" s="30"/>
      <c r="U876" s="30">
        <v>0.06</v>
      </c>
      <c r="V876" s="8">
        <f t="shared" si="770"/>
        <v>304.79999999999995</v>
      </c>
      <c r="W876" s="8">
        <f t="shared" si="771"/>
        <v>32.816800000000001</v>
      </c>
      <c r="X876" s="8">
        <f t="shared" si="772"/>
        <v>0</v>
      </c>
      <c r="Y876" s="33">
        <f t="shared" si="773"/>
        <v>1.5239999999999998</v>
      </c>
      <c r="Z876" s="28" t="s">
        <v>56</v>
      </c>
      <c r="AA876" s="28" t="s">
        <v>1765</v>
      </c>
      <c r="AB876" s="61" t="s">
        <v>2585</v>
      </c>
      <c r="AC876" s="31" t="s">
        <v>2586</v>
      </c>
      <c r="AD876" s="50">
        <f t="shared" si="774"/>
        <v>2</v>
      </c>
      <c r="AE876" s="31"/>
      <c r="AF876" s="51">
        <v>14</v>
      </c>
      <c r="AG876" s="51">
        <f t="shared" si="802"/>
        <v>8.4</v>
      </c>
      <c r="AH876" s="51">
        <f t="shared" si="768"/>
        <v>42</v>
      </c>
      <c r="AI876" s="52" t="s">
        <v>2497</v>
      </c>
      <c r="AJ876" s="52" t="s">
        <v>2498</v>
      </c>
      <c r="AK876" s="53">
        <f t="shared" si="803"/>
        <v>2.0005121279999996E-2</v>
      </c>
      <c r="AL876" s="54">
        <f t="shared" si="804"/>
        <v>0.11904761904761904</v>
      </c>
      <c r="AM876" s="54">
        <f t="shared" si="805"/>
        <v>2.3809523809523808E-2</v>
      </c>
      <c r="AN876" s="55">
        <f t="shared" si="806"/>
        <v>4.7631241142857134E-3</v>
      </c>
      <c r="AO876" s="55">
        <f t="shared" si="807"/>
        <v>9.5262482285714267E-4</v>
      </c>
      <c r="AP876" s="53">
        <v>7.1</v>
      </c>
      <c r="AQ876" s="53">
        <f t="shared" si="775"/>
        <v>4.26</v>
      </c>
      <c r="AR876" s="53">
        <f t="shared" si="776"/>
        <v>21.299999999999997</v>
      </c>
      <c r="AS876" s="56">
        <f t="shared" si="777"/>
        <v>4.6948356807511742E-2</v>
      </c>
      <c r="AT876" s="56">
        <f t="shared" si="808"/>
        <v>0.23474178403755869</v>
      </c>
      <c r="AU876" s="56">
        <f t="shared" si="778"/>
        <v>0.176056338028169</v>
      </c>
      <c r="AV876" s="56">
        <f t="shared" si="809"/>
        <v>5.8685446009389672E-2</v>
      </c>
      <c r="AW876" s="57"/>
      <c r="AX876" s="57"/>
      <c r="AY876" s="57"/>
      <c r="AZ876" s="58">
        <f t="shared" si="810"/>
        <v>2.0005121279999996E-2</v>
      </c>
      <c r="BA876" s="59">
        <f t="shared" si="811"/>
        <v>0</v>
      </c>
      <c r="BB876" s="59">
        <f t="shared" si="812"/>
        <v>0</v>
      </c>
      <c r="BC876" s="59">
        <f t="shared" si="813"/>
        <v>0</v>
      </c>
      <c r="BD876" s="60">
        <f t="shared" si="814"/>
        <v>3.5842293906810036E-3</v>
      </c>
      <c r="BE876" s="59">
        <f t="shared" si="815"/>
        <v>7.1684587813620072E-3</v>
      </c>
      <c r="BQ876" s="61">
        <v>3000</v>
      </c>
      <c r="BR876" s="61">
        <v>1200</v>
      </c>
      <c r="BS876" s="28">
        <f t="shared" si="779"/>
        <v>2980</v>
      </c>
      <c r="BT876" s="28">
        <f t="shared" si="780"/>
        <v>1180</v>
      </c>
      <c r="BU876" s="28" t="s">
        <v>2541</v>
      </c>
      <c r="BV876" s="28">
        <f t="shared" si="781"/>
        <v>309.79999999999995</v>
      </c>
      <c r="BW876" s="28">
        <f t="shared" si="782"/>
        <v>37.816800000000001</v>
      </c>
      <c r="BX876" s="13">
        <f t="shared" si="783"/>
        <v>9.6191091026468705</v>
      </c>
      <c r="BY876" s="13">
        <f t="shared" si="784"/>
        <v>9</v>
      </c>
      <c r="BZ876" s="13">
        <f t="shared" si="785"/>
        <v>31.203063188847285</v>
      </c>
      <c r="CA876" s="13">
        <f t="shared" si="786"/>
        <v>31</v>
      </c>
      <c r="CB876" s="13">
        <f t="shared" si="787"/>
        <v>279</v>
      </c>
      <c r="CC876" s="62">
        <f t="shared" si="788"/>
        <v>3.5842293906810036E-3</v>
      </c>
      <c r="CD876" s="13">
        <f t="shared" si="789"/>
        <v>78.800956188783815</v>
      </c>
      <c r="CE876" s="13">
        <f t="shared" si="790"/>
        <v>78</v>
      </c>
      <c r="CF876" s="13">
        <f t="shared" si="791"/>
        <v>3.8089089735313113</v>
      </c>
      <c r="CG876" s="13">
        <f t="shared" si="792"/>
        <v>3</v>
      </c>
      <c r="CH876" s="28">
        <f t="shared" si="793"/>
        <v>234</v>
      </c>
      <c r="CI876" s="62">
        <f t="shared" si="794"/>
        <v>4.2735042735042739E-3</v>
      </c>
      <c r="CJ876" s="59">
        <f t="shared" si="795"/>
        <v>3.5842293906810036E-3</v>
      </c>
      <c r="CL876" s="63">
        <v>6000</v>
      </c>
      <c r="CM876" s="63">
        <f t="shared" si="796"/>
        <v>304.79999999999995</v>
      </c>
      <c r="CN876" s="63">
        <f t="shared" si="797"/>
        <v>309.79999999999995</v>
      </c>
      <c r="CO876" s="63">
        <f t="shared" si="798"/>
        <v>19.367333763718531</v>
      </c>
      <c r="CP876" s="13">
        <f t="shared" si="799"/>
        <v>19</v>
      </c>
      <c r="CQ876" s="70">
        <f t="shared" si="800"/>
        <v>5.2631578947368418E-2</v>
      </c>
      <c r="CR876" s="69">
        <f t="shared" si="820"/>
        <v>0.10526315789473684</v>
      </c>
    </row>
    <row r="877" spans="1:96" hidden="1" x14ac:dyDescent="0.25">
      <c r="A877" s="13">
        <v>4</v>
      </c>
      <c r="B877" s="14" t="s">
        <v>1982</v>
      </c>
      <c r="C877" s="13" t="s">
        <v>1944</v>
      </c>
      <c r="D877" s="13" t="s">
        <v>1946</v>
      </c>
      <c r="E877" s="13" t="s">
        <v>52</v>
      </c>
      <c r="F877" s="15">
        <f t="shared" si="769"/>
        <v>4</v>
      </c>
      <c r="G877" s="13">
        <v>2</v>
      </c>
      <c r="H877" s="13">
        <f t="shared" si="821"/>
        <v>2</v>
      </c>
      <c r="I877" s="13">
        <v>4</v>
      </c>
      <c r="J877" s="14" t="s">
        <v>1945</v>
      </c>
      <c r="K877" s="14" t="s">
        <v>34</v>
      </c>
      <c r="L877" s="13">
        <v>0</v>
      </c>
      <c r="M877" s="14" t="s">
        <v>35</v>
      </c>
      <c r="N877" s="13" t="s">
        <v>1946</v>
      </c>
      <c r="O877" s="28" t="s">
        <v>41</v>
      </c>
      <c r="P877" s="28" t="s">
        <v>41</v>
      </c>
      <c r="Q877" s="28" t="s">
        <v>116</v>
      </c>
      <c r="R877" s="30">
        <v>3</v>
      </c>
      <c r="S877" s="30">
        <v>1.5433070866141734</v>
      </c>
      <c r="T877" s="30"/>
      <c r="U877" s="30">
        <v>0.11799999999999999</v>
      </c>
      <c r="V877" s="8">
        <f t="shared" si="770"/>
        <v>76.199999999999989</v>
      </c>
      <c r="W877" s="8">
        <f t="shared" si="771"/>
        <v>39.200000000000003</v>
      </c>
      <c r="X877" s="8">
        <f t="shared" si="772"/>
        <v>0</v>
      </c>
      <c r="Y877" s="33">
        <f t="shared" si="773"/>
        <v>2.9971999999999999</v>
      </c>
      <c r="Z877" s="28" t="s">
        <v>56</v>
      </c>
      <c r="AA877" s="28" t="s">
        <v>57</v>
      </c>
      <c r="AB877" s="28" t="s">
        <v>116</v>
      </c>
      <c r="AC877" s="31" t="s">
        <v>117</v>
      </c>
      <c r="AD877" s="50">
        <f t="shared" si="774"/>
        <v>2</v>
      </c>
      <c r="AE877" s="31"/>
      <c r="AF877" s="51">
        <v>14</v>
      </c>
      <c r="AG877" s="51">
        <f t="shared" si="802"/>
        <v>8.4</v>
      </c>
      <c r="AH877" s="51">
        <f t="shared" si="768"/>
        <v>42</v>
      </c>
      <c r="AI877" s="52" t="s">
        <v>2497</v>
      </c>
      <c r="AJ877" s="52" t="s">
        <v>2498</v>
      </c>
      <c r="AK877" s="53">
        <f t="shared" si="803"/>
        <v>5.9740799999999997E-3</v>
      </c>
      <c r="AL877" s="54">
        <f t="shared" si="804"/>
        <v>0.11904761904761904</v>
      </c>
      <c r="AM877" s="54">
        <f t="shared" si="805"/>
        <v>2.3809523809523808E-2</v>
      </c>
      <c r="AN877" s="55">
        <f t="shared" si="806"/>
        <v>1.4223999999999999E-3</v>
      </c>
      <c r="AO877" s="55">
        <f t="shared" si="807"/>
        <v>2.8447999999999999E-4</v>
      </c>
      <c r="AP877" s="53">
        <v>7.1</v>
      </c>
      <c r="AQ877" s="53">
        <f t="shared" si="775"/>
        <v>4.26</v>
      </c>
      <c r="AR877" s="53">
        <f t="shared" si="776"/>
        <v>21.299999999999997</v>
      </c>
      <c r="AS877" s="56">
        <f t="shared" si="777"/>
        <v>4.6948356807511742E-2</v>
      </c>
      <c r="AT877" s="56">
        <f t="shared" si="808"/>
        <v>0.23474178403755869</v>
      </c>
      <c r="AU877" s="56">
        <f t="shared" si="778"/>
        <v>0.176056338028169</v>
      </c>
      <c r="AV877" s="56">
        <f t="shared" si="809"/>
        <v>5.8685446009389672E-2</v>
      </c>
      <c r="AW877" s="57"/>
      <c r="AX877" s="57"/>
      <c r="AY877" s="57"/>
      <c r="AZ877" s="58">
        <f t="shared" si="810"/>
        <v>5.9740799999999997E-3</v>
      </c>
      <c r="BA877" s="59">
        <f t="shared" si="811"/>
        <v>0</v>
      </c>
      <c r="BB877" s="59">
        <f t="shared" si="812"/>
        <v>0</v>
      </c>
      <c r="BC877" s="59">
        <f t="shared" si="813"/>
        <v>0</v>
      </c>
      <c r="BD877" s="60">
        <f t="shared" si="814"/>
        <v>1.0660980810234541E-3</v>
      </c>
      <c r="BE877" s="59">
        <f t="shared" si="815"/>
        <v>2.1321961620469083E-3</v>
      </c>
      <c r="BQ877" s="61">
        <v>3000</v>
      </c>
      <c r="BR877" s="61">
        <v>1200</v>
      </c>
      <c r="BS877" s="28">
        <f t="shared" si="779"/>
        <v>2980</v>
      </c>
      <c r="BT877" s="28">
        <f t="shared" si="780"/>
        <v>1180</v>
      </c>
      <c r="BU877" s="28" t="s">
        <v>2541</v>
      </c>
      <c r="BV877" s="28">
        <f t="shared" si="781"/>
        <v>81.199999999999989</v>
      </c>
      <c r="BW877" s="28">
        <f t="shared" si="782"/>
        <v>44.2</v>
      </c>
      <c r="BX877" s="13">
        <f t="shared" si="783"/>
        <v>36.699507389162569</v>
      </c>
      <c r="BY877" s="13">
        <f t="shared" si="784"/>
        <v>36</v>
      </c>
      <c r="BZ877" s="13">
        <f t="shared" si="785"/>
        <v>26.696832579185518</v>
      </c>
      <c r="CA877" s="13">
        <f t="shared" si="786"/>
        <v>26</v>
      </c>
      <c r="CB877" s="13">
        <f t="shared" si="787"/>
        <v>936</v>
      </c>
      <c r="CC877" s="62">
        <f t="shared" si="788"/>
        <v>1.0683760683760685E-3</v>
      </c>
      <c r="CD877" s="13">
        <f t="shared" si="789"/>
        <v>67.420814479638011</v>
      </c>
      <c r="CE877" s="13">
        <f t="shared" si="790"/>
        <v>67</v>
      </c>
      <c r="CF877" s="13">
        <f t="shared" si="791"/>
        <v>14.5320197044335</v>
      </c>
      <c r="CG877" s="13">
        <f t="shared" si="792"/>
        <v>14</v>
      </c>
      <c r="CH877" s="28">
        <f t="shared" si="793"/>
        <v>938</v>
      </c>
      <c r="CI877" s="62">
        <f t="shared" si="794"/>
        <v>1.0660980810234541E-3</v>
      </c>
      <c r="CJ877" s="59">
        <f t="shared" si="795"/>
        <v>1.0660980810234541E-3</v>
      </c>
      <c r="CL877" s="63">
        <v>6000</v>
      </c>
      <c r="CM877" s="63">
        <f t="shared" si="796"/>
        <v>76.199999999999989</v>
      </c>
      <c r="CN877" s="63">
        <f t="shared" si="797"/>
        <v>81.199999999999989</v>
      </c>
      <c r="CO877" s="63">
        <f t="shared" si="798"/>
        <v>73.891625615763559</v>
      </c>
      <c r="CP877" s="13">
        <f t="shared" si="799"/>
        <v>73</v>
      </c>
      <c r="CQ877" s="70">
        <f t="shared" si="800"/>
        <v>1.3698630136986301E-2</v>
      </c>
      <c r="CR877" s="69">
        <f t="shared" si="820"/>
        <v>2.7397260273972601E-2</v>
      </c>
    </row>
    <row r="878" spans="1:96" hidden="1" x14ac:dyDescent="0.25">
      <c r="A878" s="13">
        <v>4</v>
      </c>
      <c r="B878" s="14" t="s">
        <v>1982</v>
      </c>
      <c r="C878" s="13" t="s">
        <v>530</v>
      </c>
      <c r="D878" s="13" t="s">
        <v>532</v>
      </c>
      <c r="E878" s="13" t="s">
        <v>32</v>
      </c>
      <c r="F878" s="15">
        <f t="shared" si="769"/>
        <v>21</v>
      </c>
      <c r="G878" s="13">
        <v>1</v>
      </c>
      <c r="H878" s="13">
        <f t="shared" si="821"/>
        <v>1</v>
      </c>
      <c r="I878" s="13">
        <v>5</v>
      </c>
      <c r="J878" s="14" t="s">
        <v>531</v>
      </c>
      <c r="K878" s="14" t="s">
        <v>34</v>
      </c>
      <c r="L878" s="13" t="s">
        <v>110</v>
      </c>
      <c r="M878" s="14" t="s">
        <v>35</v>
      </c>
      <c r="N878" s="13" t="s">
        <v>532</v>
      </c>
      <c r="O878" s="28" t="s">
        <v>41</v>
      </c>
      <c r="P878" s="28" t="s">
        <v>41</v>
      </c>
      <c r="Q878" s="28"/>
      <c r="R878" s="30"/>
      <c r="S878" s="30"/>
      <c r="T878" s="30"/>
      <c r="U878" s="30"/>
      <c r="V878" s="8">
        <f t="shared" si="770"/>
        <v>0</v>
      </c>
      <c r="W878" s="8">
        <f t="shared" si="771"/>
        <v>0</v>
      </c>
      <c r="X878" s="8">
        <f t="shared" si="772"/>
        <v>0</v>
      </c>
      <c r="Y878" s="33">
        <f t="shared" si="773"/>
        <v>0</v>
      </c>
      <c r="Z878" s="28"/>
      <c r="AA878" s="28"/>
      <c r="AB878" s="28">
        <v>0</v>
      </c>
      <c r="AC878" s="31"/>
      <c r="AD878" s="50">
        <f t="shared" si="774"/>
        <v>1</v>
      </c>
      <c r="AE878" s="31"/>
      <c r="AF878" s="51">
        <v>14</v>
      </c>
      <c r="AG878" s="51">
        <f t="shared" si="802"/>
        <v>8.4</v>
      </c>
      <c r="AH878" s="51">
        <f t="shared" si="768"/>
        <v>42</v>
      </c>
      <c r="AI878" s="52" t="s">
        <v>2497</v>
      </c>
      <c r="AJ878" s="52" t="s">
        <v>2498</v>
      </c>
      <c r="AK878" s="53">
        <f t="shared" si="803"/>
        <v>0</v>
      </c>
      <c r="AL878" s="54">
        <f t="shared" si="804"/>
        <v>0.11904761904761904</v>
      </c>
      <c r="AM878" s="54">
        <f t="shared" si="805"/>
        <v>2.3809523809523808E-2</v>
      </c>
      <c r="AN878" s="55">
        <f t="shared" si="806"/>
        <v>0</v>
      </c>
      <c r="AO878" s="55">
        <f t="shared" si="807"/>
        <v>0</v>
      </c>
      <c r="AP878" s="53">
        <v>7.1</v>
      </c>
      <c r="AQ878" s="53">
        <f t="shared" si="775"/>
        <v>4.26</v>
      </c>
      <c r="AR878" s="53">
        <f t="shared" si="776"/>
        <v>21.299999999999997</v>
      </c>
      <c r="AS878" s="56">
        <f t="shared" si="777"/>
        <v>4.6948356807511742E-2</v>
      </c>
      <c r="AT878" s="56">
        <f t="shared" si="808"/>
        <v>0.23474178403755869</v>
      </c>
      <c r="AU878" s="56">
        <f t="shared" si="778"/>
        <v>0.176056338028169</v>
      </c>
      <c r="AV878" s="56">
        <f t="shared" si="809"/>
        <v>5.8685446009389672E-2</v>
      </c>
      <c r="AW878" s="57"/>
      <c r="AX878" s="57"/>
      <c r="AY878" s="57"/>
      <c r="AZ878" s="58">
        <f t="shared" si="810"/>
        <v>0</v>
      </c>
      <c r="BA878" s="59">
        <f t="shared" si="811"/>
        <v>0</v>
      </c>
      <c r="BB878" s="59">
        <f t="shared" si="812"/>
        <v>0</v>
      </c>
      <c r="BC878" s="59">
        <f t="shared" si="813"/>
        <v>0</v>
      </c>
      <c r="BD878" s="60">
        <f t="shared" si="814"/>
        <v>0</v>
      </c>
      <c r="BE878" s="59">
        <f t="shared" si="815"/>
        <v>0</v>
      </c>
      <c r="BQ878" s="61">
        <v>3000</v>
      </c>
      <c r="BR878" s="61">
        <v>1200</v>
      </c>
      <c r="BS878" s="28">
        <f t="shared" si="779"/>
        <v>2980</v>
      </c>
      <c r="BT878" s="28">
        <f t="shared" si="780"/>
        <v>1180</v>
      </c>
      <c r="BU878" s="28" t="s">
        <v>2541</v>
      </c>
      <c r="BV878" s="28">
        <f t="shared" si="781"/>
        <v>5</v>
      </c>
      <c r="BW878" s="28">
        <f t="shared" si="782"/>
        <v>5</v>
      </c>
      <c r="BX878" s="13">
        <f t="shared" si="783"/>
        <v>596</v>
      </c>
      <c r="BY878" s="13">
        <f t="shared" si="784"/>
        <v>596</v>
      </c>
      <c r="BZ878" s="13">
        <f t="shared" si="785"/>
        <v>236</v>
      </c>
      <c r="CA878" s="13">
        <f t="shared" si="786"/>
        <v>236</v>
      </c>
      <c r="CB878" s="13">
        <f t="shared" si="787"/>
        <v>140656</v>
      </c>
      <c r="CC878" s="62" t="str">
        <f t="shared" si="788"/>
        <v/>
      </c>
      <c r="CD878" s="13">
        <f t="shared" si="789"/>
        <v>596</v>
      </c>
      <c r="CE878" s="13">
        <f t="shared" si="790"/>
        <v>596</v>
      </c>
      <c r="CF878" s="13">
        <f t="shared" si="791"/>
        <v>236</v>
      </c>
      <c r="CG878" s="13">
        <f t="shared" si="792"/>
        <v>236</v>
      </c>
      <c r="CH878" s="28">
        <f t="shared" si="793"/>
        <v>140656</v>
      </c>
      <c r="CI878" s="62" t="str">
        <f t="shared" si="794"/>
        <v/>
      </c>
      <c r="CJ878" s="59">
        <f t="shared" si="795"/>
        <v>0</v>
      </c>
      <c r="CL878" s="63">
        <v>6000</v>
      </c>
      <c r="CM878" s="63">
        <f t="shared" si="796"/>
        <v>0</v>
      </c>
      <c r="CN878" s="63">
        <f t="shared" si="797"/>
        <v>5</v>
      </c>
      <c r="CO878" s="63">
        <f t="shared" si="798"/>
        <v>1200</v>
      </c>
      <c r="CP878" s="13">
        <f t="shared" si="799"/>
        <v>1200</v>
      </c>
      <c r="CQ878" s="70">
        <f t="shared" si="800"/>
        <v>8.3333333333333339E-4</v>
      </c>
      <c r="CR878" s="69">
        <f t="shared" si="820"/>
        <v>8.3333333333333339E-4</v>
      </c>
    </row>
    <row r="879" spans="1:96" hidden="1" x14ac:dyDescent="0.25">
      <c r="A879" s="17">
        <v>5</v>
      </c>
      <c r="B879" s="6" t="s">
        <v>769</v>
      </c>
      <c r="C879" s="17" t="s">
        <v>534</v>
      </c>
      <c r="D879" s="17" t="s">
        <v>2270</v>
      </c>
      <c r="E879" s="17" t="s">
        <v>52</v>
      </c>
      <c r="F879" s="7">
        <f t="shared" si="769"/>
        <v>21</v>
      </c>
      <c r="G879" s="17">
        <v>1</v>
      </c>
      <c r="H879" s="17">
        <f>G879*$H$878</f>
        <v>1</v>
      </c>
      <c r="I879" s="17">
        <v>1</v>
      </c>
      <c r="J879" s="6" t="s">
        <v>101</v>
      </c>
      <c r="K879" s="6" t="s">
        <v>34</v>
      </c>
      <c r="L879" s="17" t="s">
        <v>110</v>
      </c>
      <c r="M879" s="6" t="s">
        <v>35</v>
      </c>
      <c r="N879" s="17" t="s">
        <v>535</v>
      </c>
      <c r="O879" s="28" t="s">
        <v>41</v>
      </c>
      <c r="P879" s="28" t="s">
        <v>41</v>
      </c>
      <c r="Q879" s="28" t="s">
        <v>535</v>
      </c>
      <c r="R879" s="30">
        <v>0.98</v>
      </c>
      <c r="S879" s="30">
        <v>0.98</v>
      </c>
      <c r="T879" s="30"/>
      <c r="U879" s="30">
        <v>0.11811023622047245</v>
      </c>
      <c r="V879" s="8">
        <f t="shared" si="770"/>
        <v>24.891999999999999</v>
      </c>
      <c r="W879" s="8">
        <f t="shared" si="771"/>
        <v>24.891999999999999</v>
      </c>
      <c r="X879" s="8">
        <f t="shared" si="772"/>
        <v>0</v>
      </c>
      <c r="Y879" s="33">
        <f t="shared" si="773"/>
        <v>3</v>
      </c>
      <c r="Z879" s="28" t="s">
        <v>536</v>
      </c>
      <c r="AA879" s="28" t="s">
        <v>537</v>
      </c>
      <c r="AB879" s="61" t="s">
        <v>535</v>
      </c>
      <c r="AC879" s="31" t="s">
        <v>538</v>
      </c>
      <c r="AD879" s="50">
        <f t="shared" si="774"/>
        <v>1</v>
      </c>
      <c r="AE879" s="31"/>
      <c r="AF879" s="51">
        <v>14</v>
      </c>
      <c r="AG879" s="51">
        <f t="shared" si="802"/>
        <v>8.4</v>
      </c>
      <c r="AH879" s="51">
        <f t="shared" si="768"/>
        <v>42</v>
      </c>
      <c r="AI879" s="52" t="s">
        <v>2497</v>
      </c>
      <c r="AJ879" s="52" t="s">
        <v>2498</v>
      </c>
      <c r="AK879" s="53">
        <f t="shared" si="803"/>
        <v>1.239223328E-3</v>
      </c>
      <c r="AL879" s="54">
        <f t="shared" si="804"/>
        <v>0.11904761904761904</v>
      </c>
      <c r="AM879" s="54">
        <f t="shared" si="805"/>
        <v>2.3809523809523808E-2</v>
      </c>
      <c r="AN879" s="55">
        <f t="shared" si="806"/>
        <v>1.4752658666666667E-4</v>
      </c>
      <c r="AO879" s="55">
        <f t="shared" si="807"/>
        <v>2.9505317333333333E-5</v>
      </c>
      <c r="AP879" s="53">
        <v>7.1</v>
      </c>
      <c r="AQ879" s="53">
        <f t="shared" si="775"/>
        <v>4.26</v>
      </c>
      <c r="AR879" s="53">
        <f t="shared" si="776"/>
        <v>21.299999999999997</v>
      </c>
      <c r="AS879" s="56">
        <f t="shared" si="777"/>
        <v>4.6948356807511742E-2</v>
      </c>
      <c r="AT879" s="56">
        <f t="shared" si="808"/>
        <v>0.23474178403755869</v>
      </c>
      <c r="AU879" s="56">
        <f t="shared" si="778"/>
        <v>0.176056338028169</v>
      </c>
      <c r="AV879" s="56">
        <f t="shared" si="809"/>
        <v>5.8685446009389672E-2</v>
      </c>
      <c r="AW879" s="57"/>
      <c r="AX879" s="57"/>
      <c r="AY879" s="57"/>
      <c r="AZ879" s="58">
        <f t="shared" si="810"/>
        <v>1.239223328E-3</v>
      </c>
      <c r="BA879" s="59">
        <f t="shared" si="811"/>
        <v>0</v>
      </c>
      <c r="BB879" s="59">
        <f t="shared" si="812"/>
        <v>0</v>
      </c>
      <c r="BC879" s="59">
        <f t="shared" si="813"/>
        <v>0</v>
      </c>
      <c r="BD879" s="60">
        <f t="shared" si="814"/>
        <v>2.5900025900025902E-4</v>
      </c>
      <c r="BE879" s="59">
        <f t="shared" si="815"/>
        <v>2.5900025900025902E-4</v>
      </c>
      <c r="BQ879" s="61">
        <v>3000</v>
      </c>
      <c r="BR879" s="61">
        <v>1200</v>
      </c>
      <c r="BS879" s="28">
        <f t="shared" si="779"/>
        <v>2980</v>
      </c>
      <c r="BT879" s="28">
        <f t="shared" si="780"/>
        <v>1180</v>
      </c>
      <c r="BU879" s="28" t="s">
        <v>2541</v>
      </c>
      <c r="BV879" s="28">
        <f t="shared" si="781"/>
        <v>29.891999999999999</v>
      </c>
      <c r="BW879" s="28">
        <f t="shared" si="782"/>
        <v>29.891999999999999</v>
      </c>
      <c r="BX879" s="13">
        <f t="shared" si="783"/>
        <v>99.692225344573799</v>
      </c>
      <c r="BY879" s="13">
        <f t="shared" si="784"/>
        <v>99</v>
      </c>
      <c r="BZ879" s="13">
        <f t="shared" si="785"/>
        <v>39.475444935099695</v>
      </c>
      <c r="CA879" s="13">
        <f t="shared" si="786"/>
        <v>39</v>
      </c>
      <c r="CB879" s="13">
        <f t="shared" si="787"/>
        <v>3861</v>
      </c>
      <c r="CC879" s="62">
        <f t="shared" si="788"/>
        <v>2.5900025900025902E-4</v>
      </c>
      <c r="CD879" s="13">
        <f t="shared" si="789"/>
        <v>99.692225344573799</v>
      </c>
      <c r="CE879" s="13">
        <f t="shared" si="790"/>
        <v>99</v>
      </c>
      <c r="CF879" s="13">
        <f t="shared" si="791"/>
        <v>39.475444935099695</v>
      </c>
      <c r="CG879" s="13">
        <f t="shared" si="792"/>
        <v>39</v>
      </c>
      <c r="CH879" s="28">
        <f t="shared" si="793"/>
        <v>3861</v>
      </c>
      <c r="CI879" s="62">
        <f t="shared" si="794"/>
        <v>2.5900025900025902E-4</v>
      </c>
      <c r="CJ879" s="59">
        <f t="shared" si="795"/>
        <v>2.5900025900025902E-4</v>
      </c>
      <c r="CL879" s="63">
        <v>6000</v>
      </c>
      <c r="CM879" s="63">
        <f t="shared" si="796"/>
        <v>24.891999999999999</v>
      </c>
      <c r="CN879" s="63">
        <f t="shared" si="797"/>
        <v>29.891999999999999</v>
      </c>
      <c r="CO879" s="63">
        <f t="shared" si="798"/>
        <v>200.72260136491369</v>
      </c>
      <c r="CP879" s="13">
        <f t="shared" si="799"/>
        <v>200</v>
      </c>
      <c r="CQ879" s="70">
        <f t="shared" si="800"/>
        <v>5.0000000000000001E-3</v>
      </c>
      <c r="CR879" s="69">
        <f t="shared" si="820"/>
        <v>5.0000000000000001E-3</v>
      </c>
    </row>
    <row r="880" spans="1:96" hidden="1" x14ac:dyDescent="0.25">
      <c r="A880" s="17">
        <v>5</v>
      </c>
      <c r="B880" s="6" t="s">
        <v>769</v>
      </c>
      <c r="C880" s="17" t="s">
        <v>539</v>
      </c>
      <c r="D880" s="17" t="s">
        <v>2270</v>
      </c>
      <c r="E880" s="17" t="s">
        <v>52</v>
      </c>
      <c r="F880" s="7">
        <f t="shared" si="769"/>
        <v>21</v>
      </c>
      <c r="G880" s="17">
        <v>1</v>
      </c>
      <c r="H880" s="17">
        <f>G880*$H$878</f>
        <v>1</v>
      </c>
      <c r="I880" s="17">
        <v>2</v>
      </c>
      <c r="J880" s="6" t="s">
        <v>101</v>
      </c>
      <c r="K880" s="6" t="s">
        <v>34</v>
      </c>
      <c r="L880" s="17" t="s">
        <v>110</v>
      </c>
      <c r="M880" s="6" t="s">
        <v>35</v>
      </c>
      <c r="N880" s="17" t="s">
        <v>540</v>
      </c>
      <c r="O880" s="28" t="s">
        <v>41</v>
      </c>
      <c r="P880" s="28" t="s">
        <v>41</v>
      </c>
      <c r="Q880" s="28" t="s">
        <v>540</v>
      </c>
      <c r="R880" s="30">
        <v>0.98</v>
      </c>
      <c r="S880" s="30">
        <v>0.98</v>
      </c>
      <c r="T880" s="30"/>
      <c r="U880" s="30">
        <v>0.47244094488188981</v>
      </c>
      <c r="V880" s="8">
        <f t="shared" si="770"/>
        <v>24.891999999999999</v>
      </c>
      <c r="W880" s="8">
        <f t="shared" si="771"/>
        <v>24.891999999999999</v>
      </c>
      <c r="X880" s="8">
        <f t="shared" si="772"/>
        <v>0</v>
      </c>
      <c r="Y880" s="33">
        <f t="shared" si="773"/>
        <v>12</v>
      </c>
      <c r="Z880" s="28" t="s">
        <v>731</v>
      </c>
      <c r="AA880" s="28" t="s">
        <v>251</v>
      </c>
      <c r="AB880" s="61" t="s">
        <v>540</v>
      </c>
      <c r="AC880" s="31" t="s">
        <v>541</v>
      </c>
      <c r="AD880" s="50">
        <f t="shared" si="774"/>
        <v>1</v>
      </c>
      <c r="AE880" s="31"/>
      <c r="AF880" s="51">
        <v>14</v>
      </c>
      <c r="AG880" s="51">
        <f t="shared" si="802"/>
        <v>8.4</v>
      </c>
      <c r="AH880" s="51">
        <f t="shared" si="768"/>
        <v>42</v>
      </c>
      <c r="AI880" s="52" t="s">
        <v>2497</v>
      </c>
      <c r="AJ880" s="52" t="s">
        <v>2498</v>
      </c>
      <c r="AK880" s="53">
        <f t="shared" si="803"/>
        <v>1.239223328E-3</v>
      </c>
      <c r="AL880" s="54">
        <f t="shared" si="804"/>
        <v>0.11904761904761904</v>
      </c>
      <c r="AM880" s="54">
        <f t="shared" si="805"/>
        <v>2.3809523809523808E-2</v>
      </c>
      <c r="AN880" s="55">
        <f t="shared" si="806"/>
        <v>1.4752658666666667E-4</v>
      </c>
      <c r="AO880" s="55">
        <f t="shared" si="807"/>
        <v>2.9505317333333333E-5</v>
      </c>
      <c r="AP880" s="53">
        <v>7.1</v>
      </c>
      <c r="AQ880" s="53">
        <f t="shared" si="775"/>
        <v>4.26</v>
      </c>
      <c r="AR880" s="53">
        <f t="shared" si="776"/>
        <v>21.299999999999997</v>
      </c>
      <c r="AS880" s="56">
        <f t="shared" si="777"/>
        <v>4.6948356807511742E-2</v>
      </c>
      <c r="AT880" s="56">
        <f t="shared" si="808"/>
        <v>0.23474178403755869</v>
      </c>
      <c r="AU880" s="56">
        <f t="shared" si="778"/>
        <v>0.176056338028169</v>
      </c>
      <c r="AV880" s="56">
        <f t="shared" si="809"/>
        <v>5.8685446009389672E-2</v>
      </c>
      <c r="AW880" s="57"/>
      <c r="AX880" s="57"/>
      <c r="AY880" s="57"/>
      <c r="AZ880" s="58">
        <f t="shared" si="810"/>
        <v>1.239223328E-3</v>
      </c>
      <c r="BA880" s="59">
        <f t="shared" si="811"/>
        <v>0</v>
      </c>
      <c r="BB880" s="59">
        <f t="shared" si="812"/>
        <v>0</v>
      </c>
      <c r="BC880" s="59">
        <f t="shared" si="813"/>
        <v>0</v>
      </c>
      <c r="BD880" s="60">
        <f t="shared" si="814"/>
        <v>2.5900025900025902E-4</v>
      </c>
      <c r="BE880" s="59">
        <f t="shared" si="815"/>
        <v>2.5900025900025902E-4</v>
      </c>
      <c r="BQ880" s="61">
        <v>3000</v>
      </c>
      <c r="BR880" s="61">
        <v>1200</v>
      </c>
      <c r="BS880" s="28">
        <f t="shared" si="779"/>
        <v>2980</v>
      </c>
      <c r="BT880" s="28">
        <f t="shared" si="780"/>
        <v>1180</v>
      </c>
      <c r="BU880" s="28" t="s">
        <v>2541</v>
      </c>
      <c r="BV880" s="28">
        <f t="shared" si="781"/>
        <v>29.891999999999999</v>
      </c>
      <c r="BW880" s="28">
        <f t="shared" si="782"/>
        <v>29.891999999999999</v>
      </c>
      <c r="BX880" s="13">
        <f t="shared" si="783"/>
        <v>99.692225344573799</v>
      </c>
      <c r="BY880" s="13">
        <f t="shared" si="784"/>
        <v>99</v>
      </c>
      <c r="BZ880" s="13">
        <f t="shared" si="785"/>
        <v>39.475444935099695</v>
      </c>
      <c r="CA880" s="13">
        <f t="shared" si="786"/>
        <v>39</v>
      </c>
      <c r="CB880" s="13">
        <f t="shared" si="787"/>
        <v>3861</v>
      </c>
      <c r="CC880" s="62">
        <f t="shared" si="788"/>
        <v>2.5900025900025902E-4</v>
      </c>
      <c r="CD880" s="13">
        <f t="shared" si="789"/>
        <v>99.692225344573799</v>
      </c>
      <c r="CE880" s="13">
        <f t="shared" si="790"/>
        <v>99</v>
      </c>
      <c r="CF880" s="13">
        <f t="shared" si="791"/>
        <v>39.475444935099695</v>
      </c>
      <c r="CG880" s="13">
        <f t="shared" si="792"/>
        <v>39</v>
      </c>
      <c r="CH880" s="28">
        <f t="shared" si="793"/>
        <v>3861</v>
      </c>
      <c r="CI880" s="62">
        <f t="shared" si="794"/>
        <v>2.5900025900025902E-4</v>
      </c>
      <c r="CJ880" s="59">
        <f t="shared" si="795"/>
        <v>2.5900025900025902E-4</v>
      </c>
      <c r="CL880" s="63">
        <v>6000</v>
      </c>
      <c r="CM880" s="63">
        <f t="shared" si="796"/>
        <v>24.891999999999999</v>
      </c>
      <c r="CN880" s="63">
        <f t="shared" si="797"/>
        <v>29.891999999999999</v>
      </c>
      <c r="CO880" s="63">
        <f t="shared" si="798"/>
        <v>200.72260136491369</v>
      </c>
      <c r="CP880" s="13">
        <f t="shared" si="799"/>
        <v>200</v>
      </c>
      <c r="CQ880" s="70">
        <f t="shared" si="800"/>
        <v>5.0000000000000001E-3</v>
      </c>
      <c r="CR880" s="69">
        <f t="shared" si="820"/>
        <v>5.0000000000000001E-3</v>
      </c>
    </row>
    <row r="881" spans="1:96" hidden="1" x14ac:dyDescent="0.25">
      <c r="A881" s="13">
        <v>4</v>
      </c>
      <c r="B881" s="14" t="s">
        <v>1982</v>
      </c>
      <c r="C881" s="13" t="s">
        <v>825</v>
      </c>
      <c r="D881" s="13" t="s">
        <v>826</v>
      </c>
      <c r="E881" s="13" t="s">
        <v>52</v>
      </c>
      <c r="F881" s="15">
        <f t="shared" si="769"/>
        <v>9</v>
      </c>
      <c r="G881" s="13">
        <v>1</v>
      </c>
      <c r="H881" s="13">
        <f>G881*$H$873</f>
        <v>1</v>
      </c>
      <c r="I881" s="13">
        <v>6</v>
      </c>
      <c r="J881" s="14" t="s">
        <v>76</v>
      </c>
      <c r="K881" s="14" t="s">
        <v>34</v>
      </c>
      <c r="L881" s="13" t="s">
        <v>77</v>
      </c>
      <c r="M881" s="14" t="s">
        <v>35</v>
      </c>
      <c r="N881" s="13" t="s">
        <v>826</v>
      </c>
      <c r="O881" s="28" t="s">
        <v>41</v>
      </c>
      <c r="P881" s="28" t="s">
        <v>41</v>
      </c>
      <c r="Q881" s="28" t="s">
        <v>79</v>
      </c>
      <c r="R881" s="30">
        <v>8.0709999999999997</v>
      </c>
      <c r="S881" s="30">
        <v>0.3125</v>
      </c>
      <c r="T881" s="30"/>
      <c r="U881" s="30">
        <v>0.3125</v>
      </c>
      <c r="V881" s="8">
        <f t="shared" si="770"/>
        <v>205.00339999999997</v>
      </c>
      <c r="W881" s="8">
        <f t="shared" si="771"/>
        <v>7.9375</v>
      </c>
      <c r="X881" s="8">
        <f t="shared" si="772"/>
        <v>0</v>
      </c>
      <c r="Y881" s="33">
        <f t="shared" si="773"/>
        <v>7.9375</v>
      </c>
      <c r="Z881" s="28" t="s">
        <v>80</v>
      </c>
      <c r="AA881" s="28" t="s">
        <v>81</v>
      </c>
      <c r="AB881" s="61" t="s">
        <v>79</v>
      </c>
      <c r="AC881" s="31" t="s">
        <v>82</v>
      </c>
      <c r="AD881" s="50">
        <f t="shared" si="774"/>
        <v>1</v>
      </c>
      <c r="AE881" s="31"/>
      <c r="AF881" s="51">
        <v>14</v>
      </c>
      <c r="AG881" s="51">
        <f t="shared" si="802"/>
        <v>8.4</v>
      </c>
      <c r="AH881" s="51">
        <f t="shared" si="768"/>
        <v>42</v>
      </c>
      <c r="AI881" s="52" t="s">
        <v>2497</v>
      </c>
      <c r="AJ881" s="52" t="s">
        <v>2498</v>
      </c>
      <c r="AK881" s="53">
        <f t="shared" si="803"/>
        <v>3.2544289749999993E-3</v>
      </c>
      <c r="AL881" s="54">
        <f t="shared" si="804"/>
        <v>0.11904761904761904</v>
      </c>
      <c r="AM881" s="54">
        <f t="shared" si="805"/>
        <v>2.3809523809523808E-2</v>
      </c>
      <c r="AN881" s="55">
        <f t="shared" si="806"/>
        <v>3.8743202083333321E-4</v>
      </c>
      <c r="AO881" s="55">
        <f t="shared" si="807"/>
        <v>7.7486404166666643E-5</v>
      </c>
      <c r="AP881" s="53">
        <v>7.1</v>
      </c>
      <c r="AQ881" s="53">
        <f t="shared" si="775"/>
        <v>4.26</v>
      </c>
      <c r="AR881" s="53">
        <f t="shared" si="776"/>
        <v>21.299999999999997</v>
      </c>
      <c r="AS881" s="56">
        <f t="shared" si="777"/>
        <v>4.6948356807511742E-2</v>
      </c>
      <c r="AT881" s="56">
        <f t="shared" si="808"/>
        <v>0.23474178403755869</v>
      </c>
      <c r="AU881" s="56">
        <f t="shared" si="778"/>
        <v>0.176056338028169</v>
      </c>
      <c r="AV881" s="56">
        <f t="shared" si="809"/>
        <v>5.8685446009389672E-2</v>
      </c>
      <c r="AW881" s="57"/>
      <c r="AX881" s="57"/>
      <c r="AY881" s="57"/>
      <c r="AZ881" s="58">
        <f t="shared" si="810"/>
        <v>3.2544289749999993E-3</v>
      </c>
      <c r="BA881" s="59">
        <f t="shared" si="811"/>
        <v>0</v>
      </c>
      <c r="BB881" s="59">
        <f t="shared" si="812"/>
        <v>0</v>
      </c>
      <c r="BC881" s="59">
        <f t="shared" si="813"/>
        <v>0</v>
      </c>
      <c r="BD881" s="60">
        <f t="shared" si="814"/>
        <v>7.8492935635792783E-4</v>
      </c>
      <c r="BE881" s="59">
        <f t="shared" si="815"/>
        <v>7.8492935635792783E-4</v>
      </c>
      <c r="BQ881" s="61">
        <v>3000</v>
      </c>
      <c r="BR881" s="61">
        <v>1200</v>
      </c>
      <c r="BS881" s="28">
        <f t="shared" si="779"/>
        <v>2980</v>
      </c>
      <c r="BT881" s="28">
        <f t="shared" si="780"/>
        <v>1180</v>
      </c>
      <c r="BU881" s="28" t="s">
        <v>2541</v>
      </c>
      <c r="BV881" s="28">
        <f t="shared" si="781"/>
        <v>210.00339999999997</v>
      </c>
      <c r="BW881" s="28">
        <f t="shared" si="782"/>
        <v>12.9375</v>
      </c>
      <c r="BX881" s="13">
        <f t="shared" si="783"/>
        <v>14.190246443629009</v>
      </c>
      <c r="BY881" s="13">
        <f t="shared" si="784"/>
        <v>14</v>
      </c>
      <c r="BZ881" s="13">
        <f t="shared" si="785"/>
        <v>91.207729468599027</v>
      </c>
      <c r="CA881" s="13">
        <f t="shared" si="786"/>
        <v>91</v>
      </c>
      <c r="CB881" s="13">
        <f t="shared" si="787"/>
        <v>1274</v>
      </c>
      <c r="CC881" s="62">
        <f t="shared" si="788"/>
        <v>7.8492935635792783E-4</v>
      </c>
      <c r="CD881" s="13">
        <f t="shared" si="789"/>
        <v>230.33816425120773</v>
      </c>
      <c r="CE881" s="13">
        <f t="shared" si="790"/>
        <v>230</v>
      </c>
      <c r="CF881" s="13">
        <f t="shared" si="791"/>
        <v>5.618956645463836</v>
      </c>
      <c r="CG881" s="13">
        <f t="shared" si="792"/>
        <v>5</v>
      </c>
      <c r="CH881" s="28">
        <f t="shared" si="793"/>
        <v>1150</v>
      </c>
      <c r="CI881" s="62">
        <f t="shared" si="794"/>
        <v>8.6956521739130438E-4</v>
      </c>
      <c r="CJ881" s="59">
        <f t="shared" si="795"/>
        <v>7.8492935635792783E-4</v>
      </c>
      <c r="CL881" s="63">
        <v>6000</v>
      </c>
      <c r="CM881" s="63">
        <f t="shared" si="796"/>
        <v>205.00339999999997</v>
      </c>
      <c r="CN881" s="63">
        <f t="shared" si="797"/>
        <v>210.00339999999997</v>
      </c>
      <c r="CO881" s="63">
        <f t="shared" si="798"/>
        <v>28.570965993883913</v>
      </c>
      <c r="CP881" s="13">
        <f t="shared" si="799"/>
        <v>28</v>
      </c>
      <c r="CQ881" s="70">
        <f t="shared" si="800"/>
        <v>3.5714285714285712E-2</v>
      </c>
      <c r="CR881" s="69">
        <f t="shared" si="820"/>
        <v>3.5714285714285712E-2</v>
      </c>
    </row>
    <row r="882" spans="1:96" hidden="1" x14ac:dyDescent="0.25">
      <c r="A882" s="10">
        <v>3</v>
      </c>
      <c r="B882" s="8" t="s">
        <v>1979</v>
      </c>
      <c r="C882" s="10" t="s">
        <v>1985</v>
      </c>
      <c r="D882" s="10" t="s">
        <v>2270</v>
      </c>
      <c r="E882" s="10" t="s">
        <v>32</v>
      </c>
      <c r="F882" s="12">
        <f t="shared" si="769"/>
        <v>1</v>
      </c>
      <c r="G882" s="10">
        <v>1</v>
      </c>
      <c r="H882" s="10">
        <f>G882*$H$872</f>
        <v>1</v>
      </c>
      <c r="I882" s="10">
        <v>2</v>
      </c>
      <c r="J882" s="8" t="s">
        <v>1867</v>
      </c>
      <c r="K882" s="8" t="s">
        <v>34</v>
      </c>
      <c r="L882" s="10">
        <v>0</v>
      </c>
      <c r="M882" s="8" t="s">
        <v>35</v>
      </c>
      <c r="N882" s="10" t="s">
        <v>1986</v>
      </c>
      <c r="O882" s="28"/>
      <c r="P882" s="28"/>
      <c r="Q882" s="28"/>
      <c r="R882" s="30"/>
      <c r="S882" s="30"/>
      <c r="T882" s="30"/>
      <c r="U882" s="30"/>
      <c r="V882" s="8">
        <f t="shared" si="770"/>
        <v>0</v>
      </c>
      <c r="W882" s="8">
        <f t="shared" si="771"/>
        <v>0</v>
      </c>
      <c r="X882" s="8">
        <f t="shared" si="772"/>
        <v>0</v>
      </c>
      <c r="Y882" s="33">
        <f t="shared" si="773"/>
        <v>0</v>
      </c>
      <c r="Z882" s="28"/>
      <c r="AA882" s="28"/>
      <c r="AB882" s="28">
        <v>0</v>
      </c>
      <c r="AC882" s="31"/>
      <c r="AD882" s="50">
        <f t="shared" si="774"/>
        <v>1</v>
      </c>
      <c r="AE882" s="31"/>
      <c r="AF882" s="51">
        <v>14</v>
      </c>
      <c r="AG882" s="51">
        <f t="shared" si="802"/>
        <v>8.4</v>
      </c>
      <c r="AH882" s="51">
        <f t="shared" si="768"/>
        <v>42</v>
      </c>
      <c r="AI882" s="52" t="s">
        <v>2497</v>
      </c>
      <c r="AJ882" s="52" t="s">
        <v>2498</v>
      </c>
      <c r="AK882" s="53">
        <f t="shared" si="803"/>
        <v>0</v>
      </c>
      <c r="AL882" s="54">
        <f t="shared" si="804"/>
        <v>0.11904761904761904</v>
      </c>
      <c r="AM882" s="54">
        <f t="shared" si="805"/>
        <v>2.3809523809523808E-2</v>
      </c>
      <c r="AN882" s="55">
        <f t="shared" si="806"/>
        <v>0</v>
      </c>
      <c r="AO882" s="55">
        <f t="shared" si="807"/>
        <v>0</v>
      </c>
      <c r="AP882" s="53">
        <v>7.1</v>
      </c>
      <c r="AQ882" s="53">
        <f t="shared" si="775"/>
        <v>4.26</v>
      </c>
      <c r="AR882" s="53">
        <f t="shared" si="776"/>
        <v>21.299999999999997</v>
      </c>
      <c r="AS882" s="56">
        <f t="shared" si="777"/>
        <v>4.6948356807511742E-2</v>
      </c>
      <c r="AT882" s="56">
        <f t="shared" si="808"/>
        <v>0.23474178403755869</v>
      </c>
      <c r="AU882" s="56">
        <f t="shared" si="778"/>
        <v>0.176056338028169</v>
      </c>
      <c r="AV882" s="56">
        <f t="shared" si="809"/>
        <v>5.8685446009389672E-2</v>
      </c>
      <c r="AW882" s="57"/>
      <c r="AX882" s="57"/>
      <c r="AY882" s="57"/>
      <c r="AZ882" s="58">
        <f t="shared" si="810"/>
        <v>0</v>
      </c>
      <c r="BA882" s="59">
        <f t="shared" si="811"/>
        <v>0</v>
      </c>
      <c r="BB882" s="59">
        <f t="shared" si="812"/>
        <v>0</v>
      </c>
      <c r="BC882" s="59">
        <f t="shared" si="813"/>
        <v>0</v>
      </c>
      <c r="BD882" s="60">
        <f t="shared" si="814"/>
        <v>0</v>
      </c>
      <c r="BE882" s="59">
        <f t="shared" si="815"/>
        <v>0</v>
      </c>
      <c r="BQ882" s="61">
        <v>3000</v>
      </c>
      <c r="BR882" s="61">
        <v>1200</v>
      </c>
      <c r="BS882" s="28">
        <f t="shared" si="779"/>
        <v>2980</v>
      </c>
      <c r="BT882" s="28">
        <f t="shared" si="780"/>
        <v>1180</v>
      </c>
      <c r="BU882" s="28" t="s">
        <v>2541</v>
      </c>
      <c r="BV882" s="28">
        <f t="shared" si="781"/>
        <v>5</v>
      </c>
      <c r="BW882" s="28">
        <f t="shared" si="782"/>
        <v>5</v>
      </c>
      <c r="BX882" s="13">
        <f t="shared" si="783"/>
        <v>596</v>
      </c>
      <c r="BY882" s="13">
        <f t="shared" si="784"/>
        <v>596</v>
      </c>
      <c r="BZ882" s="13">
        <f t="shared" si="785"/>
        <v>236</v>
      </c>
      <c r="CA882" s="13">
        <f t="shared" si="786"/>
        <v>236</v>
      </c>
      <c r="CB882" s="13">
        <f t="shared" si="787"/>
        <v>140656</v>
      </c>
      <c r="CC882" s="62" t="str">
        <f t="shared" si="788"/>
        <v/>
      </c>
      <c r="CD882" s="13">
        <f t="shared" si="789"/>
        <v>596</v>
      </c>
      <c r="CE882" s="13">
        <f t="shared" si="790"/>
        <v>596</v>
      </c>
      <c r="CF882" s="13">
        <f t="shared" si="791"/>
        <v>236</v>
      </c>
      <c r="CG882" s="13">
        <f t="shared" si="792"/>
        <v>236</v>
      </c>
      <c r="CH882" s="28">
        <f t="shared" si="793"/>
        <v>140656</v>
      </c>
      <c r="CI882" s="62" t="str">
        <f t="shared" si="794"/>
        <v/>
      </c>
      <c r="CJ882" s="59">
        <f t="shared" si="795"/>
        <v>0</v>
      </c>
      <c r="CL882" s="63">
        <v>6000</v>
      </c>
      <c r="CM882" s="63">
        <f t="shared" si="796"/>
        <v>0</v>
      </c>
      <c r="CN882" s="63">
        <f t="shared" si="797"/>
        <v>5</v>
      </c>
      <c r="CO882" s="63">
        <f t="shared" si="798"/>
        <v>1200</v>
      </c>
      <c r="CP882" s="13">
        <f t="shared" si="799"/>
        <v>1200</v>
      </c>
      <c r="CQ882" s="70">
        <f t="shared" si="800"/>
        <v>8.3333333333333339E-4</v>
      </c>
      <c r="CR882" s="69">
        <f t="shared" si="820"/>
        <v>8.3333333333333339E-4</v>
      </c>
    </row>
    <row r="883" spans="1:96" hidden="1" x14ac:dyDescent="0.25">
      <c r="A883" s="13">
        <v>4</v>
      </c>
      <c r="B883" s="14" t="s">
        <v>1987</v>
      </c>
      <c r="C883" s="13" t="s">
        <v>530</v>
      </c>
      <c r="D883" s="13" t="s">
        <v>532</v>
      </c>
      <c r="E883" s="13" t="s">
        <v>32</v>
      </c>
      <c r="F883" s="15">
        <f t="shared" si="769"/>
        <v>21</v>
      </c>
      <c r="G883" s="13">
        <v>2</v>
      </c>
      <c r="H883" s="13">
        <f>G883*$H$882</f>
        <v>2</v>
      </c>
      <c r="I883" s="13">
        <v>4</v>
      </c>
      <c r="J883" s="14" t="s">
        <v>531</v>
      </c>
      <c r="K883" s="14" t="s">
        <v>34</v>
      </c>
      <c r="L883" s="13" t="s">
        <v>110</v>
      </c>
      <c r="M883" s="14" t="s">
        <v>35</v>
      </c>
      <c r="N883" s="13" t="s">
        <v>532</v>
      </c>
      <c r="O883" s="28" t="s">
        <v>41</v>
      </c>
      <c r="P883" s="28" t="s">
        <v>41</v>
      </c>
      <c r="Q883" s="28"/>
      <c r="R883" s="30"/>
      <c r="S883" s="30"/>
      <c r="T883" s="30"/>
      <c r="U883" s="30"/>
      <c r="V883" s="8">
        <f t="shared" si="770"/>
        <v>0</v>
      </c>
      <c r="W883" s="8">
        <f t="shared" si="771"/>
        <v>0</v>
      </c>
      <c r="X883" s="8">
        <f t="shared" si="772"/>
        <v>0</v>
      </c>
      <c r="Y883" s="33">
        <f t="shared" si="773"/>
        <v>0</v>
      </c>
      <c r="Z883" s="28"/>
      <c r="AA883" s="28"/>
      <c r="AB883" s="28">
        <v>0</v>
      </c>
      <c r="AC883" s="31"/>
      <c r="AD883" s="50">
        <f t="shared" si="774"/>
        <v>2</v>
      </c>
      <c r="AE883" s="31"/>
      <c r="AF883" s="51">
        <v>14</v>
      </c>
      <c r="AG883" s="51">
        <f t="shared" si="802"/>
        <v>8.4</v>
      </c>
      <c r="AH883" s="51">
        <f t="shared" si="768"/>
        <v>42</v>
      </c>
      <c r="AI883" s="52" t="s">
        <v>2497</v>
      </c>
      <c r="AJ883" s="52" t="s">
        <v>2498</v>
      </c>
      <c r="AK883" s="53">
        <f t="shared" si="803"/>
        <v>0</v>
      </c>
      <c r="AL883" s="54">
        <f t="shared" si="804"/>
        <v>0.11904761904761904</v>
      </c>
      <c r="AM883" s="54">
        <f t="shared" si="805"/>
        <v>2.3809523809523808E-2</v>
      </c>
      <c r="AN883" s="55">
        <f t="shared" si="806"/>
        <v>0</v>
      </c>
      <c r="AO883" s="55">
        <f t="shared" si="807"/>
        <v>0</v>
      </c>
      <c r="AP883" s="53">
        <v>7.1</v>
      </c>
      <c r="AQ883" s="53">
        <f t="shared" si="775"/>
        <v>4.26</v>
      </c>
      <c r="AR883" s="53">
        <f t="shared" si="776"/>
        <v>21.299999999999997</v>
      </c>
      <c r="AS883" s="56">
        <f t="shared" si="777"/>
        <v>4.6948356807511742E-2</v>
      </c>
      <c r="AT883" s="56">
        <f t="shared" si="808"/>
        <v>0.23474178403755869</v>
      </c>
      <c r="AU883" s="56">
        <f t="shared" si="778"/>
        <v>0.176056338028169</v>
      </c>
      <c r="AV883" s="56">
        <f t="shared" si="809"/>
        <v>5.8685446009389672E-2</v>
      </c>
      <c r="AW883" s="57"/>
      <c r="AX883" s="57"/>
      <c r="AY883" s="57"/>
      <c r="AZ883" s="58">
        <f t="shared" si="810"/>
        <v>0</v>
      </c>
      <c r="BA883" s="59">
        <f t="shared" si="811"/>
        <v>0</v>
      </c>
      <c r="BB883" s="59">
        <f t="shared" si="812"/>
        <v>0</v>
      </c>
      <c r="BC883" s="59">
        <f t="shared" si="813"/>
        <v>0</v>
      </c>
      <c r="BD883" s="60">
        <f t="shared" si="814"/>
        <v>0</v>
      </c>
      <c r="BE883" s="59">
        <f t="shared" si="815"/>
        <v>0</v>
      </c>
      <c r="BQ883" s="61">
        <v>3000</v>
      </c>
      <c r="BR883" s="61">
        <v>1200</v>
      </c>
      <c r="BS883" s="28">
        <f t="shared" si="779"/>
        <v>2980</v>
      </c>
      <c r="BT883" s="28">
        <f t="shared" si="780"/>
        <v>1180</v>
      </c>
      <c r="BU883" s="28" t="s">
        <v>2541</v>
      </c>
      <c r="BV883" s="28">
        <f t="shared" si="781"/>
        <v>5</v>
      </c>
      <c r="BW883" s="28">
        <f t="shared" si="782"/>
        <v>5</v>
      </c>
      <c r="BX883" s="13">
        <f t="shared" si="783"/>
        <v>596</v>
      </c>
      <c r="BY883" s="13">
        <f t="shared" si="784"/>
        <v>596</v>
      </c>
      <c r="BZ883" s="13">
        <f t="shared" si="785"/>
        <v>236</v>
      </c>
      <c r="CA883" s="13">
        <f t="shared" si="786"/>
        <v>236</v>
      </c>
      <c r="CB883" s="13">
        <f t="shared" si="787"/>
        <v>140656</v>
      </c>
      <c r="CC883" s="62" t="str">
        <f t="shared" si="788"/>
        <v/>
      </c>
      <c r="CD883" s="13">
        <f t="shared" si="789"/>
        <v>596</v>
      </c>
      <c r="CE883" s="13">
        <f t="shared" si="790"/>
        <v>596</v>
      </c>
      <c r="CF883" s="13">
        <f t="shared" si="791"/>
        <v>236</v>
      </c>
      <c r="CG883" s="13">
        <f t="shared" si="792"/>
        <v>236</v>
      </c>
      <c r="CH883" s="28">
        <f t="shared" si="793"/>
        <v>140656</v>
      </c>
      <c r="CI883" s="62" t="str">
        <f t="shared" si="794"/>
        <v/>
      </c>
      <c r="CJ883" s="59">
        <f t="shared" si="795"/>
        <v>0</v>
      </c>
      <c r="CL883" s="63">
        <v>6000</v>
      </c>
      <c r="CM883" s="63">
        <f t="shared" si="796"/>
        <v>0</v>
      </c>
      <c r="CN883" s="63">
        <f t="shared" si="797"/>
        <v>5</v>
      </c>
      <c r="CO883" s="63">
        <f t="shared" si="798"/>
        <v>1200</v>
      </c>
      <c r="CP883" s="13">
        <f t="shared" si="799"/>
        <v>1200</v>
      </c>
      <c r="CQ883" s="70">
        <f t="shared" si="800"/>
        <v>8.3333333333333339E-4</v>
      </c>
      <c r="CR883" s="69">
        <f t="shared" si="820"/>
        <v>1.6666666666666668E-3</v>
      </c>
    </row>
    <row r="884" spans="1:96" hidden="1" x14ac:dyDescent="0.25">
      <c r="A884" s="17">
        <v>5</v>
      </c>
      <c r="B884" s="6" t="s">
        <v>1882</v>
      </c>
      <c r="C884" s="17" t="s">
        <v>534</v>
      </c>
      <c r="D884" s="17" t="s">
        <v>2270</v>
      </c>
      <c r="E884" s="17" t="s">
        <v>52</v>
      </c>
      <c r="F884" s="7">
        <f t="shared" si="769"/>
        <v>21</v>
      </c>
      <c r="G884" s="17">
        <v>1</v>
      </c>
      <c r="H884" s="17">
        <f>G884*$H$883</f>
        <v>2</v>
      </c>
      <c r="I884" s="17">
        <v>1</v>
      </c>
      <c r="J884" s="6" t="s">
        <v>101</v>
      </c>
      <c r="K884" s="6" t="s">
        <v>34</v>
      </c>
      <c r="L884" s="17" t="s">
        <v>110</v>
      </c>
      <c r="M884" s="6" t="s">
        <v>35</v>
      </c>
      <c r="N884" s="17" t="s">
        <v>535</v>
      </c>
      <c r="O884" s="28" t="s">
        <v>41</v>
      </c>
      <c r="P884" s="28" t="s">
        <v>41</v>
      </c>
      <c r="Q884" s="28" t="s">
        <v>535</v>
      </c>
      <c r="R884" s="30">
        <v>0.98</v>
      </c>
      <c r="S884" s="30">
        <v>0.98</v>
      </c>
      <c r="T884" s="30"/>
      <c r="U884" s="30">
        <v>0.11811023622047245</v>
      </c>
      <c r="V884" s="8">
        <f t="shared" si="770"/>
        <v>24.891999999999999</v>
      </c>
      <c r="W884" s="8">
        <f t="shared" si="771"/>
        <v>24.891999999999999</v>
      </c>
      <c r="X884" s="8">
        <f t="shared" si="772"/>
        <v>0</v>
      </c>
      <c r="Y884" s="33">
        <f t="shared" si="773"/>
        <v>3</v>
      </c>
      <c r="Z884" s="28" t="s">
        <v>536</v>
      </c>
      <c r="AA884" s="28" t="s">
        <v>537</v>
      </c>
      <c r="AB884" s="61" t="s">
        <v>535</v>
      </c>
      <c r="AC884" s="31" t="s">
        <v>538</v>
      </c>
      <c r="AD884" s="50">
        <f t="shared" si="774"/>
        <v>2</v>
      </c>
      <c r="AE884" s="31"/>
      <c r="AF884" s="51">
        <v>14</v>
      </c>
      <c r="AG884" s="51">
        <f t="shared" si="802"/>
        <v>8.4</v>
      </c>
      <c r="AH884" s="51">
        <f t="shared" si="768"/>
        <v>42</v>
      </c>
      <c r="AI884" s="52" t="s">
        <v>2497</v>
      </c>
      <c r="AJ884" s="52" t="s">
        <v>2498</v>
      </c>
      <c r="AK884" s="53">
        <f t="shared" si="803"/>
        <v>1.239223328E-3</v>
      </c>
      <c r="AL884" s="54">
        <f t="shared" si="804"/>
        <v>0.11904761904761904</v>
      </c>
      <c r="AM884" s="54">
        <f t="shared" si="805"/>
        <v>2.3809523809523808E-2</v>
      </c>
      <c r="AN884" s="55">
        <f t="shared" si="806"/>
        <v>2.9505317333333335E-4</v>
      </c>
      <c r="AO884" s="55">
        <f t="shared" si="807"/>
        <v>5.9010634666666666E-5</v>
      </c>
      <c r="AP884" s="53">
        <v>7.1</v>
      </c>
      <c r="AQ884" s="53">
        <f t="shared" si="775"/>
        <v>4.26</v>
      </c>
      <c r="AR884" s="53">
        <f t="shared" si="776"/>
        <v>21.299999999999997</v>
      </c>
      <c r="AS884" s="56">
        <f t="shared" si="777"/>
        <v>4.6948356807511742E-2</v>
      </c>
      <c r="AT884" s="56">
        <f t="shared" si="808"/>
        <v>0.23474178403755869</v>
      </c>
      <c r="AU884" s="56">
        <f t="shared" si="778"/>
        <v>0.176056338028169</v>
      </c>
      <c r="AV884" s="56">
        <f t="shared" si="809"/>
        <v>5.8685446009389672E-2</v>
      </c>
      <c r="AW884" s="57"/>
      <c r="AX884" s="57"/>
      <c r="AY884" s="57"/>
      <c r="AZ884" s="58">
        <f t="shared" si="810"/>
        <v>1.239223328E-3</v>
      </c>
      <c r="BA884" s="59">
        <f t="shared" si="811"/>
        <v>0</v>
      </c>
      <c r="BB884" s="59">
        <f t="shared" si="812"/>
        <v>0</v>
      </c>
      <c r="BC884" s="59">
        <f t="shared" si="813"/>
        <v>0</v>
      </c>
      <c r="BD884" s="60">
        <f t="shared" si="814"/>
        <v>2.5900025900025902E-4</v>
      </c>
      <c r="BE884" s="59">
        <f t="shared" si="815"/>
        <v>5.1800051800051804E-4</v>
      </c>
      <c r="BQ884" s="61">
        <v>3000</v>
      </c>
      <c r="BR884" s="61">
        <v>1200</v>
      </c>
      <c r="BS884" s="28">
        <f t="shared" si="779"/>
        <v>2980</v>
      </c>
      <c r="BT884" s="28">
        <f t="shared" si="780"/>
        <v>1180</v>
      </c>
      <c r="BU884" s="28" t="s">
        <v>2541</v>
      </c>
      <c r="BV884" s="28">
        <f t="shared" si="781"/>
        <v>29.891999999999999</v>
      </c>
      <c r="BW884" s="28">
        <f t="shared" si="782"/>
        <v>29.891999999999999</v>
      </c>
      <c r="BX884" s="13">
        <f t="shared" si="783"/>
        <v>99.692225344573799</v>
      </c>
      <c r="BY884" s="13">
        <f t="shared" si="784"/>
        <v>99</v>
      </c>
      <c r="BZ884" s="13">
        <f t="shared" si="785"/>
        <v>39.475444935099695</v>
      </c>
      <c r="CA884" s="13">
        <f t="shared" si="786"/>
        <v>39</v>
      </c>
      <c r="CB884" s="13">
        <f t="shared" si="787"/>
        <v>3861</v>
      </c>
      <c r="CC884" s="62">
        <f t="shared" si="788"/>
        <v>2.5900025900025902E-4</v>
      </c>
      <c r="CD884" s="13">
        <f t="shared" si="789"/>
        <v>99.692225344573799</v>
      </c>
      <c r="CE884" s="13">
        <f t="shared" si="790"/>
        <v>99</v>
      </c>
      <c r="CF884" s="13">
        <f t="shared" si="791"/>
        <v>39.475444935099695</v>
      </c>
      <c r="CG884" s="13">
        <f t="shared" si="792"/>
        <v>39</v>
      </c>
      <c r="CH884" s="28">
        <f t="shared" si="793"/>
        <v>3861</v>
      </c>
      <c r="CI884" s="62">
        <f t="shared" si="794"/>
        <v>2.5900025900025902E-4</v>
      </c>
      <c r="CJ884" s="59">
        <f t="shared" si="795"/>
        <v>2.5900025900025902E-4</v>
      </c>
      <c r="CL884" s="63">
        <v>6000</v>
      </c>
      <c r="CM884" s="63">
        <f t="shared" si="796"/>
        <v>24.891999999999999</v>
      </c>
      <c r="CN884" s="63">
        <f t="shared" si="797"/>
        <v>29.891999999999999</v>
      </c>
      <c r="CO884" s="63">
        <f t="shared" si="798"/>
        <v>200.72260136491369</v>
      </c>
      <c r="CP884" s="13">
        <f t="shared" si="799"/>
        <v>200</v>
      </c>
      <c r="CQ884" s="70">
        <f t="shared" si="800"/>
        <v>5.0000000000000001E-3</v>
      </c>
      <c r="CR884" s="69">
        <f t="shared" si="820"/>
        <v>0.01</v>
      </c>
    </row>
    <row r="885" spans="1:96" hidden="1" x14ac:dyDescent="0.25">
      <c r="A885" s="17">
        <v>5</v>
      </c>
      <c r="B885" s="6" t="s">
        <v>1882</v>
      </c>
      <c r="C885" s="17" t="s">
        <v>539</v>
      </c>
      <c r="D885" s="17" t="s">
        <v>2270</v>
      </c>
      <c r="E885" s="17" t="s">
        <v>52</v>
      </c>
      <c r="F885" s="7">
        <f t="shared" si="769"/>
        <v>21</v>
      </c>
      <c r="G885" s="17">
        <v>1</v>
      </c>
      <c r="H885" s="17">
        <f>G885*$H$883</f>
        <v>2</v>
      </c>
      <c r="I885" s="17">
        <v>2</v>
      </c>
      <c r="J885" s="6" t="s">
        <v>101</v>
      </c>
      <c r="K885" s="6" t="s">
        <v>34</v>
      </c>
      <c r="L885" s="17" t="s">
        <v>110</v>
      </c>
      <c r="M885" s="6" t="s">
        <v>35</v>
      </c>
      <c r="N885" s="17" t="s">
        <v>540</v>
      </c>
      <c r="O885" s="28" t="s">
        <v>41</v>
      </c>
      <c r="P885" s="28" t="s">
        <v>41</v>
      </c>
      <c r="Q885" s="28" t="s">
        <v>540</v>
      </c>
      <c r="R885" s="30">
        <v>0.98</v>
      </c>
      <c r="S885" s="30">
        <v>0.98</v>
      </c>
      <c r="T885" s="30"/>
      <c r="U885" s="30">
        <v>0.47244094488188981</v>
      </c>
      <c r="V885" s="8">
        <f t="shared" si="770"/>
        <v>24.891999999999999</v>
      </c>
      <c r="W885" s="8">
        <f t="shared" si="771"/>
        <v>24.891999999999999</v>
      </c>
      <c r="X885" s="8">
        <f t="shared" si="772"/>
        <v>0</v>
      </c>
      <c r="Y885" s="33">
        <f t="shared" si="773"/>
        <v>12</v>
      </c>
      <c r="Z885" s="28" t="s">
        <v>731</v>
      </c>
      <c r="AA885" s="28" t="s">
        <v>251</v>
      </c>
      <c r="AB885" s="61" t="s">
        <v>540</v>
      </c>
      <c r="AC885" s="31" t="s">
        <v>541</v>
      </c>
      <c r="AD885" s="50">
        <f t="shared" si="774"/>
        <v>2</v>
      </c>
      <c r="AE885" s="31"/>
      <c r="AF885" s="51">
        <v>14</v>
      </c>
      <c r="AG885" s="51">
        <f t="shared" si="802"/>
        <v>8.4</v>
      </c>
      <c r="AH885" s="51">
        <f t="shared" si="768"/>
        <v>42</v>
      </c>
      <c r="AI885" s="52" t="s">
        <v>2497</v>
      </c>
      <c r="AJ885" s="52" t="s">
        <v>2498</v>
      </c>
      <c r="AK885" s="53">
        <f t="shared" si="803"/>
        <v>1.239223328E-3</v>
      </c>
      <c r="AL885" s="54">
        <f t="shared" si="804"/>
        <v>0.11904761904761904</v>
      </c>
      <c r="AM885" s="54">
        <f t="shared" si="805"/>
        <v>2.3809523809523808E-2</v>
      </c>
      <c r="AN885" s="55">
        <f t="shared" si="806"/>
        <v>2.9505317333333335E-4</v>
      </c>
      <c r="AO885" s="55">
        <f t="shared" si="807"/>
        <v>5.9010634666666666E-5</v>
      </c>
      <c r="AP885" s="53">
        <v>7.1</v>
      </c>
      <c r="AQ885" s="53">
        <f t="shared" si="775"/>
        <v>4.26</v>
      </c>
      <c r="AR885" s="53">
        <f t="shared" si="776"/>
        <v>21.299999999999997</v>
      </c>
      <c r="AS885" s="56">
        <f t="shared" si="777"/>
        <v>4.6948356807511742E-2</v>
      </c>
      <c r="AT885" s="56">
        <f t="shared" si="808"/>
        <v>0.23474178403755869</v>
      </c>
      <c r="AU885" s="56">
        <f t="shared" si="778"/>
        <v>0.176056338028169</v>
      </c>
      <c r="AV885" s="56">
        <f t="shared" si="809"/>
        <v>5.8685446009389672E-2</v>
      </c>
      <c r="AW885" s="57"/>
      <c r="AX885" s="57"/>
      <c r="AY885" s="57"/>
      <c r="AZ885" s="58">
        <f t="shared" si="810"/>
        <v>1.239223328E-3</v>
      </c>
      <c r="BA885" s="59">
        <f t="shared" si="811"/>
        <v>0</v>
      </c>
      <c r="BB885" s="59">
        <f t="shared" si="812"/>
        <v>0</v>
      </c>
      <c r="BC885" s="59">
        <f t="shared" si="813"/>
        <v>0</v>
      </c>
      <c r="BD885" s="60">
        <f t="shared" si="814"/>
        <v>2.5900025900025902E-4</v>
      </c>
      <c r="BE885" s="59">
        <f t="shared" si="815"/>
        <v>5.1800051800051804E-4</v>
      </c>
      <c r="BQ885" s="61">
        <v>3000</v>
      </c>
      <c r="BR885" s="61">
        <v>1200</v>
      </c>
      <c r="BS885" s="28">
        <f t="shared" si="779"/>
        <v>2980</v>
      </c>
      <c r="BT885" s="28">
        <f t="shared" si="780"/>
        <v>1180</v>
      </c>
      <c r="BU885" s="28" t="s">
        <v>2541</v>
      </c>
      <c r="BV885" s="28">
        <f t="shared" si="781"/>
        <v>29.891999999999999</v>
      </c>
      <c r="BW885" s="28">
        <f t="shared" si="782"/>
        <v>29.891999999999999</v>
      </c>
      <c r="BX885" s="13">
        <f t="shared" si="783"/>
        <v>99.692225344573799</v>
      </c>
      <c r="BY885" s="13">
        <f t="shared" si="784"/>
        <v>99</v>
      </c>
      <c r="BZ885" s="13">
        <f t="shared" si="785"/>
        <v>39.475444935099695</v>
      </c>
      <c r="CA885" s="13">
        <f t="shared" si="786"/>
        <v>39</v>
      </c>
      <c r="CB885" s="13">
        <f t="shared" si="787"/>
        <v>3861</v>
      </c>
      <c r="CC885" s="62">
        <f t="shared" si="788"/>
        <v>2.5900025900025902E-4</v>
      </c>
      <c r="CD885" s="13">
        <f t="shared" si="789"/>
        <v>99.692225344573799</v>
      </c>
      <c r="CE885" s="13">
        <f t="shared" si="790"/>
        <v>99</v>
      </c>
      <c r="CF885" s="13">
        <f t="shared" si="791"/>
        <v>39.475444935099695</v>
      </c>
      <c r="CG885" s="13">
        <f t="shared" si="792"/>
        <v>39</v>
      </c>
      <c r="CH885" s="28">
        <f t="shared" si="793"/>
        <v>3861</v>
      </c>
      <c r="CI885" s="62">
        <f t="shared" si="794"/>
        <v>2.5900025900025902E-4</v>
      </c>
      <c r="CJ885" s="59">
        <f t="shared" si="795"/>
        <v>2.5900025900025902E-4</v>
      </c>
      <c r="CL885" s="63">
        <v>6000</v>
      </c>
      <c r="CM885" s="63">
        <f t="shared" si="796"/>
        <v>24.891999999999999</v>
      </c>
      <c r="CN885" s="63">
        <f t="shared" si="797"/>
        <v>29.891999999999999</v>
      </c>
      <c r="CO885" s="63">
        <f t="shared" si="798"/>
        <v>200.72260136491369</v>
      </c>
      <c r="CP885" s="13">
        <f t="shared" si="799"/>
        <v>200</v>
      </c>
      <c r="CQ885" s="70">
        <f t="shared" si="800"/>
        <v>5.0000000000000001E-3</v>
      </c>
      <c r="CR885" s="69">
        <f t="shared" si="820"/>
        <v>0.01</v>
      </c>
    </row>
    <row r="886" spans="1:96" hidden="1" x14ac:dyDescent="0.25">
      <c r="A886" s="13">
        <v>4</v>
      </c>
      <c r="B886" s="14" t="s">
        <v>1987</v>
      </c>
      <c r="C886" s="13" t="s">
        <v>1952</v>
      </c>
      <c r="D886" s="13" t="s">
        <v>2270</v>
      </c>
      <c r="E886" s="13" t="s">
        <v>52</v>
      </c>
      <c r="F886" s="15">
        <f t="shared" si="769"/>
        <v>4</v>
      </c>
      <c r="G886" s="13">
        <v>1</v>
      </c>
      <c r="H886" s="13">
        <f t="shared" ref="H886:H888" si="822">G886*$H$882</f>
        <v>1</v>
      </c>
      <c r="I886" s="13">
        <v>5</v>
      </c>
      <c r="J886" s="14" t="s">
        <v>911</v>
      </c>
      <c r="K886" s="14" t="s">
        <v>34</v>
      </c>
      <c r="L886" s="13">
        <v>0</v>
      </c>
      <c r="M886" s="14" t="s">
        <v>35</v>
      </c>
      <c r="N886" s="13" t="s">
        <v>1953</v>
      </c>
      <c r="O886" s="28"/>
      <c r="P886" s="28"/>
      <c r="Q886" s="28" t="s">
        <v>124</v>
      </c>
      <c r="R886" s="30">
        <v>53.701000000000001</v>
      </c>
      <c r="S886" s="30">
        <v>2.48</v>
      </c>
      <c r="T886" s="30"/>
      <c r="U886" s="30">
        <v>9.8000000000000004E-2</v>
      </c>
      <c r="V886" s="8">
        <f t="shared" si="770"/>
        <v>1364.0054</v>
      </c>
      <c r="W886" s="8">
        <f t="shared" si="771"/>
        <v>62.991999999999997</v>
      </c>
      <c r="X886" s="8">
        <f t="shared" si="772"/>
        <v>0</v>
      </c>
      <c r="Y886" s="33">
        <f t="shared" si="773"/>
        <v>2.4891999999999999</v>
      </c>
      <c r="Z886" s="28" t="s">
        <v>56</v>
      </c>
      <c r="AA886" s="28" t="s">
        <v>57</v>
      </c>
      <c r="AB886" s="61" t="s">
        <v>124</v>
      </c>
      <c r="AC886" s="31" t="s">
        <v>125</v>
      </c>
      <c r="AD886" s="50">
        <f t="shared" si="774"/>
        <v>1</v>
      </c>
      <c r="AE886" s="31"/>
      <c r="AF886" s="51">
        <v>14</v>
      </c>
      <c r="AG886" s="51">
        <f t="shared" si="802"/>
        <v>8.4</v>
      </c>
      <c r="AH886" s="51">
        <f t="shared" si="768"/>
        <v>42</v>
      </c>
      <c r="AI886" s="52" t="s">
        <v>2497</v>
      </c>
      <c r="AJ886" s="52" t="s">
        <v>2498</v>
      </c>
      <c r="AK886" s="53">
        <f t="shared" si="803"/>
        <v>0.1718428563136</v>
      </c>
      <c r="AL886" s="54">
        <f t="shared" si="804"/>
        <v>0.11904761904761904</v>
      </c>
      <c r="AM886" s="54">
        <f t="shared" si="805"/>
        <v>2.3809523809523808E-2</v>
      </c>
      <c r="AN886" s="55">
        <f t="shared" si="806"/>
        <v>2.045748289447619E-2</v>
      </c>
      <c r="AO886" s="55">
        <f t="shared" si="807"/>
        <v>4.0914965788952373E-3</v>
      </c>
      <c r="AP886" s="53">
        <v>7.1</v>
      </c>
      <c r="AQ886" s="53">
        <f t="shared" si="775"/>
        <v>4.26</v>
      </c>
      <c r="AR886" s="53">
        <f t="shared" si="776"/>
        <v>21.299999999999997</v>
      </c>
      <c r="AS886" s="56">
        <f t="shared" si="777"/>
        <v>4.6948356807511742E-2</v>
      </c>
      <c r="AT886" s="56">
        <f t="shared" si="808"/>
        <v>0.23474178403755869</v>
      </c>
      <c r="AU886" s="56">
        <f t="shared" si="778"/>
        <v>0.176056338028169</v>
      </c>
      <c r="AV886" s="56">
        <f t="shared" si="809"/>
        <v>5.8685446009389672E-2</v>
      </c>
      <c r="AW886" s="57"/>
      <c r="AX886" s="57"/>
      <c r="AY886" s="57"/>
      <c r="AZ886" s="58">
        <f t="shared" si="810"/>
        <v>0.1718428563136</v>
      </c>
      <c r="BA886" s="59">
        <f t="shared" si="811"/>
        <v>0</v>
      </c>
      <c r="BB886" s="59">
        <f t="shared" si="812"/>
        <v>0</v>
      </c>
      <c r="BC886" s="59">
        <f t="shared" si="813"/>
        <v>0</v>
      </c>
      <c r="BD886" s="60">
        <f t="shared" si="814"/>
        <v>2.9411764705882353E-2</v>
      </c>
      <c r="BE886" s="59">
        <f t="shared" si="815"/>
        <v>2.9411764705882353E-2</v>
      </c>
      <c r="BQ886" s="61">
        <v>3000</v>
      </c>
      <c r="BR886" s="61">
        <v>1200</v>
      </c>
      <c r="BS886" s="28">
        <f t="shared" si="779"/>
        <v>2980</v>
      </c>
      <c r="BT886" s="28">
        <f t="shared" si="780"/>
        <v>1180</v>
      </c>
      <c r="BU886" s="28" t="s">
        <v>2541</v>
      </c>
      <c r="BV886" s="28">
        <f t="shared" si="781"/>
        <v>1369.0054</v>
      </c>
      <c r="BW886" s="28">
        <f t="shared" si="782"/>
        <v>67.99199999999999</v>
      </c>
      <c r="BX886" s="13">
        <f t="shared" si="783"/>
        <v>2.1767627797523663</v>
      </c>
      <c r="BY886" s="13">
        <f t="shared" si="784"/>
        <v>2</v>
      </c>
      <c r="BZ886" s="13">
        <f t="shared" si="785"/>
        <v>17.354982939169318</v>
      </c>
      <c r="CA886" s="13">
        <f t="shared" si="786"/>
        <v>17</v>
      </c>
      <c r="CB886" s="13">
        <f t="shared" si="787"/>
        <v>34</v>
      </c>
      <c r="CC886" s="62">
        <f t="shared" si="788"/>
        <v>2.9411764705882353E-2</v>
      </c>
      <c r="CD886" s="13">
        <f t="shared" si="789"/>
        <v>43.828685727732683</v>
      </c>
      <c r="CE886" s="13">
        <f t="shared" si="790"/>
        <v>43</v>
      </c>
      <c r="CF886" s="13">
        <f t="shared" si="791"/>
        <v>0.86193962419724568</v>
      </c>
      <c r="CG886" s="13">
        <f t="shared" si="792"/>
        <v>0</v>
      </c>
      <c r="CH886" s="28">
        <f t="shared" si="793"/>
        <v>0</v>
      </c>
      <c r="CI886" s="62">
        <f t="shared" si="794"/>
        <v>1</v>
      </c>
      <c r="CJ886" s="59">
        <f t="shared" si="795"/>
        <v>2.9411764705882353E-2</v>
      </c>
      <c r="CL886" s="63">
        <v>6000</v>
      </c>
      <c r="CM886" s="63">
        <f t="shared" si="796"/>
        <v>1364.0054</v>
      </c>
      <c r="CN886" s="63">
        <f t="shared" si="797"/>
        <v>1369.0054</v>
      </c>
      <c r="CO886" s="63">
        <f t="shared" si="798"/>
        <v>4.3827438518504014</v>
      </c>
      <c r="CP886" s="13">
        <f t="shared" si="799"/>
        <v>4</v>
      </c>
      <c r="CQ886" s="70">
        <f t="shared" si="800"/>
        <v>0.25</v>
      </c>
      <c r="CR886" s="69">
        <f t="shared" si="820"/>
        <v>0.25</v>
      </c>
    </row>
    <row r="887" spans="1:96" x14ac:dyDescent="0.25">
      <c r="A887" s="13">
        <v>4</v>
      </c>
      <c r="B887" s="14" t="s">
        <v>1987</v>
      </c>
      <c r="C887" s="13" t="s">
        <v>1950</v>
      </c>
      <c r="D887" s="13" t="s">
        <v>2270</v>
      </c>
      <c r="E887" s="13" t="s">
        <v>52</v>
      </c>
      <c r="F887" s="15">
        <f t="shared" si="769"/>
        <v>2</v>
      </c>
      <c r="G887" s="13">
        <v>2</v>
      </c>
      <c r="H887" s="13">
        <f t="shared" si="822"/>
        <v>2</v>
      </c>
      <c r="I887" s="13">
        <v>6</v>
      </c>
      <c r="J887" s="14" t="s">
        <v>119</v>
      </c>
      <c r="K887" s="14" t="s">
        <v>34</v>
      </c>
      <c r="L887" s="13" t="s">
        <v>110</v>
      </c>
      <c r="M887" s="14" t="s">
        <v>35</v>
      </c>
      <c r="N887" s="13" t="s">
        <v>1951</v>
      </c>
      <c r="O887" s="28"/>
      <c r="P887" s="28"/>
      <c r="Q887" s="28" t="s">
        <v>2585</v>
      </c>
      <c r="R887" s="30">
        <v>13.692</v>
      </c>
      <c r="S887" s="30">
        <v>1.292</v>
      </c>
      <c r="T887" s="30"/>
      <c r="U887" s="30">
        <v>0.06</v>
      </c>
      <c r="V887" s="8">
        <f t="shared" si="770"/>
        <v>347.77679999999998</v>
      </c>
      <c r="W887" s="8">
        <f t="shared" si="771"/>
        <v>32.816800000000001</v>
      </c>
      <c r="X887" s="8">
        <f t="shared" si="772"/>
        <v>0</v>
      </c>
      <c r="Y887" s="33">
        <f t="shared" si="773"/>
        <v>1.5239999999999998</v>
      </c>
      <c r="Z887" s="28" t="s">
        <v>56</v>
      </c>
      <c r="AA887" s="28" t="s">
        <v>1765</v>
      </c>
      <c r="AB887" s="61" t="s">
        <v>2585</v>
      </c>
      <c r="AC887" s="31" t="s">
        <v>2586</v>
      </c>
      <c r="AD887" s="50">
        <f t="shared" si="774"/>
        <v>2</v>
      </c>
      <c r="AE887" s="31"/>
      <c r="AF887" s="51">
        <v>14</v>
      </c>
      <c r="AG887" s="51">
        <f t="shared" si="802"/>
        <v>8.4</v>
      </c>
      <c r="AH887" s="51">
        <f t="shared" si="768"/>
        <v>42</v>
      </c>
      <c r="AI887" s="52" t="s">
        <v>2497</v>
      </c>
      <c r="AJ887" s="52" t="s">
        <v>2498</v>
      </c>
      <c r="AK887" s="53">
        <f t="shared" si="803"/>
        <v>2.282584338048E-2</v>
      </c>
      <c r="AL887" s="54">
        <f t="shared" si="804"/>
        <v>0.11904761904761904</v>
      </c>
      <c r="AM887" s="54">
        <f t="shared" si="805"/>
        <v>2.3809523809523808E-2</v>
      </c>
      <c r="AN887" s="55">
        <f t="shared" si="806"/>
        <v>5.4347246143999998E-3</v>
      </c>
      <c r="AO887" s="55">
        <f t="shared" si="807"/>
        <v>1.0869449228799999E-3</v>
      </c>
      <c r="AP887" s="53">
        <v>7.1</v>
      </c>
      <c r="AQ887" s="53">
        <f t="shared" si="775"/>
        <v>4.26</v>
      </c>
      <c r="AR887" s="53">
        <f t="shared" si="776"/>
        <v>21.299999999999997</v>
      </c>
      <c r="AS887" s="56">
        <f t="shared" si="777"/>
        <v>4.6948356807511742E-2</v>
      </c>
      <c r="AT887" s="56">
        <f t="shared" si="808"/>
        <v>0.23474178403755869</v>
      </c>
      <c r="AU887" s="56">
        <f t="shared" si="778"/>
        <v>0.176056338028169</v>
      </c>
      <c r="AV887" s="56">
        <f t="shared" si="809"/>
        <v>5.8685446009389672E-2</v>
      </c>
      <c r="AW887" s="57"/>
      <c r="AX887" s="57"/>
      <c r="AY887" s="57"/>
      <c r="AZ887" s="58">
        <f t="shared" si="810"/>
        <v>2.282584338048E-2</v>
      </c>
      <c r="BA887" s="59">
        <f t="shared" si="811"/>
        <v>0</v>
      </c>
      <c r="BB887" s="59">
        <f t="shared" si="812"/>
        <v>0</v>
      </c>
      <c r="BC887" s="59">
        <f t="shared" si="813"/>
        <v>0</v>
      </c>
      <c r="BD887" s="60">
        <f t="shared" si="814"/>
        <v>4.0322580645161289E-3</v>
      </c>
      <c r="BE887" s="59">
        <f t="shared" si="815"/>
        <v>8.0645161290322578E-3</v>
      </c>
      <c r="BQ887" s="61">
        <v>3000</v>
      </c>
      <c r="BR887" s="61">
        <v>1200</v>
      </c>
      <c r="BS887" s="28">
        <f t="shared" si="779"/>
        <v>2980</v>
      </c>
      <c r="BT887" s="28">
        <f t="shared" si="780"/>
        <v>1180</v>
      </c>
      <c r="BU887" s="28" t="s">
        <v>2541</v>
      </c>
      <c r="BV887" s="28">
        <f t="shared" si="781"/>
        <v>352.77679999999998</v>
      </c>
      <c r="BW887" s="28">
        <f t="shared" si="782"/>
        <v>37.816800000000001</v>
      </c>
      <c r="BX887" s="13">
        <f t="shared" si="783"/>
        <v>8.4472675073871084</v>
      </c>
      <c r="BY887" s="13">
        <f t="shared" si="784"/>
        <v>8</v>
      </c>
      <c r="BZ887" s="13">
        <f t="shared" si="785"/>
        <v>31.203063188847285</v>
      </c>
      <c r="CA887" s="13">
        <f t="shared" si="786"/>
        <v>31</v>
      </c>
      <c r="CB887" s="13">
        <f t="shared" si="787"/>
        <v>248</v>
      </c>
      <c r="CC887" s="62">
        <f t="shared" si="788"/>
        <v>4.0322580645161289E-3</v>
      </c>
      <c r="CD887" s="13">
        <f t="shared" si="789"/>
        <v>78.800956188783815</v>
      </c>
      <c r="CE887" s="13">
        <f t="shared" si="790"/>
        <v>78</v>
      </c>
      <c r="CF887" s="13">
        <f t="shared" si="791"/>
        <v>3.344891160643217</v>
      </c>
      <c r="CG887" s="13">
        <f t="shared" si="792"/>
        <v>3</v>
      </c>
      <c r="CH887" s="28">
        <f t="shared" si="793"/>
        <v>234</v>
      </c>
      <c r="CI887" s="62">
        <f t="shared" si="794"/>
        <v>4.2735042735042739E-3</v>
      </c>
      <c r="CJ887" s="59">
        <f t="shared" si="795"/>
        <v>4.0322580645161289E-3</v>
      </c>
      <c r="CL887" s="63">
        <v>6000</v>
      </c>
      <c r="CM887" s="63">
        <f t="shared" si="796"/>
        <v>347.77679999999998</v>
      </c>
      <c r="CN887" s="63">
        <f t="shared" si="797"/>
        <v>352.77679999999998</v>
      </c>
      <c r="CO887" s="63">
        <f t="shared" si="798"/>
        <v>17.007921155812969</v>
      </c>
      <c r="CP887" s="13">
        <f t="shared" si="799"/>
        <v>17</v>
      </c>
      <c r="CQ887" s="70">
        <f t="shared" si="800"/>
        <v>5.8823529411764705E-2</v>
      </c>
      <c r="CR887" s="69">
        <f t="shared" si="820"/>
        <v>0.11764705882352941</v>
      </c>
    </row>
    <row r="888" spans="1:96" hidden="1" x14ac:dyDescent="0.25">
      <c r="A888" s="13">
        <v>4</v>
      </c>
      <c r="B888" s="14" t="s">
        <v>1987</v>
      </c>
      <c r="C888" s="13" t="s">
        <v>1988</v>
      </c>
      <c r="D888" s="13" t="s">
        <v>2270</v>
      </c>
      <c r="E888" s="13" t="s">
        <v>32</v>
      </c>
      <c r="F888" s="15">
        <f t="shared" si="769"/>
        <v>1</v>
      </c>
      <c r="G888" s="13">
        <v>1</v>
      </c>
      <c r="H888" s="13">
        <f t="shared" si="822"/>
        <v>1</v>
      </c>
      <c r="I888" s="13">
        <v>7</v>
      </c>
      <c r="J888" s="14" t="s">
        <v>1867</v>
      </c>
      <c r="K888" s="14" t="s">
        <v>34</v>
      </c>
      <c r="L888" s="13">
        <v>0</v>
      </c>
      <c r="M888" s="14" t="s">
        <v>35</v>
      </c>
      <c r="N888" s="13" t="s">
        <v>1989</v>
      </c>
      <c r="O888" s="28"/>
      <c r="P888" s="28"/>
      <c r="Q888" s="28"/>
      <c r="R888" s="30"/>
      <c r="S888" s="30"/>
      <c r="T888" s="30"/>
      <c r="U888" s="30"/>
      <c r="V888" s="8">
        <f t="shared" si="770"/>
        <v>0</v>
      </c>
      <c r="W888" s="8">
        <f t="shared" si="771"/>
        <v>0</v>
      </c>
      <c r="X888" s="8">
        <f t="shared" si="772"/>
        <v>0</v>
      </c>
      <c r="Y888" s="33">
        <f t="shared" si="773"/>
        <v>0</v>
      </c>
      <c r="Z888" s="28" t="s">
        <v>2477</v>
      </c>
      <c r="AA888" s="28" t="s">
        <v>2477</v>
      </c>
      <c r="AB888" s="28">
        <v>0</v>
      </c>
      <c r="AC888" s="31" t="s">
        <v>2477</v>
      </c>
      <c r="AD888" s="50">
        <f t="shared" si="774"/>
        <v>1</v>
      </c>
      <c r="AE888" s="31"/>
      <c r="AF888" s="51">
        <v>14</v>
      </c>
      <c r="AG888" s="51">
        <f t="shared" si="802"/>
        <v>8.4</v>
      </c>
      <c r="AH888" s="51">
        <f t="shared" si="768"/>
        <v>42</v>
      </c>
      <c r="AI888" s="52" t="s">
        <v>2497</v>
      </c>
      <c r="AJ888" s="52" t="s">
        <v>2498</v>
      </c>
      <c r="AK888" s="53">
        <f t="shared" si="803"/>
        <v>0</v>
      </c>
      <c r="AL888" s="54">
        <f t="shared" si="804"/>
        <v>0.11904761904761904</v>
      </c>
      <c r="AM888" s="54">
        <f t="shared" si="805"/>
        <v>2.3809523809523808E-2</v>
      </c>
      <c r="AN888" s="55">
        <f t="shared" si="806"/>
        <v>0</v>
      </c>
      <c r="AO888" s="55">
        <f t="shared" si="807"/>
        <v>0</v>
      </c>
      <c r="AP888" s="53">
        <v>7.1</v>
      </c>
      <c r="AQ888" s="53">
        <f t="shared" si="775"/>
        <v>4.26</v>
      </c>
      <c r="AR888" s="53">
        <f t="shared" si="776"/>
        <v>21.299999999999997</v>
      </c>
      <c r="AS888" s="56">
        <f t="shared" si="777"/>
        <v>4.6948356807511742E-2</v>
      </c>
      <c r="AT888" s="56">
        <f t="shared" si="808"/>
        <v>0.23474178403755869</v>
      </c>
      <c r="AU888" s="56">
        <f t="shared" si="778"/>
        <v>0.176056338028169</v>
      </c>
      <c r="AV888" s="56">
        <f t="shared" si="809"/>
        <v>5.8685446009389672E-2</v>
      </c>
      <c r="AW888" s="57"/>
      <c r="AX888" s="57"/>
      <c r="AY888" s="57"/>
      <c r="AZ888" s="58">
        <f t="shared" si="810"/>
        <v>0</v>
      </c>
      <c r="BA888" s="59">
        <f t="shared" si="811"/>
        <v>0</v>
      </c>
      <c r="BB888" s="59">
        <f t="shared" si="812"/>
        <v>0</v>
      </c>
      <c r="BC888" s="59">
        <f t="shared" si="813"/>
        <v>0</v>
      </c>
      <c r="BD888" s="60">
        <f t="shared" si="814"/>
        <v>0</v>
      </c>
      <c r="BE888" s="59">
        <f t="shared" si="815"/>
        <v>0</v>
      </c>
      <c r="BQ888" s="61">
        <v>3000</v>
      </c>
      <c r="BR888" s="61">
        <v>1200</v>
      </c>
      <c r="BS888" s="28">
        <f t="shared" si="779"/>
        <v>2980</v>
      </c>
      <c r="BT888" s="28">
        <f t="shared" si="780"/>
        <v>1180</v>
      </c>
      <c r="BU888" s="28" t="s">
        <v>2541</v>
      </c>
      <c r="BV888" s="28">
        <f t="shared" si="781"/>
        <v>5</v>
      </c>
      <c r="BW888" s="28">
        <f t="shared" si="782"/>
        <v>5</v>
      </c>
      <c r="BX888" s="13">
        <f t="shared" si="783"/>
        <v>596</v>
      </c>
      <c r="BY888" s="13">
        <f t="shared" si="784"/>
        <v>596</v>
      </c>
      <c r="BZ888" s="13">
        <f t="shared" si="785"/>
        <v>236</v>
      </c>
      <c r="CA888" s="13">
        <f t="shared" si="786"/>
        <v>236</v>
      </c>
      <c r="CB888" s="13">
        <f t="shared" si="787"/>
        <v>140656</v>
      </c>
      <c r="CC888" s="62" t="str">
        <f t="shared" si="788"/>
        <v/>
      </c>
      <c r="CD888" s="13">
        <f t="shared" si="789"/>
        <v>596</v>
      </c>
      <c r="CE888" s="13">
        <f t="shared" si="790"/>
        <v>596</v>
      </c>
      <c r="CF888" s="13">
        <f t="shared" si="791"/>
        <v>236</v>
      </c>
      <c r="CG888" s="13">
        <f t="shared" si="792"/>
        <v>236</v>
      </c>
      <c r="CH888" s="28">
        <f t="shared" si="793"/>
        <v>140656</v>
      </c>
      <c r="CI888" s="62" t="str">
        <f t="shared" si="794"/>
        <v/>
      </c>
      <c r="CJ888" s="59">
        <f t="shared" si="795"/>
        <v>0</v>
      </c>
      <c r="CL888" s="63">
        <v>6000</v>
      </c>
      <c r="CM888" s="63">
        <f t="shared" si="796"/>
        <v>0</v>
      </c>
      <c r="CN888" s="63">
        <f t="shared" si="797"/>
        <v>5</v>
      </c>
      <c r="CO888" s="63">
        <f t="shared" si="798"/>
        <v>1200</v>
      </c>
      <c r="CP888" s="13">
        <f t="shared" si="799"/>
        <v>1200</v>
      </c>
      <c r="CQ888" s="70">
        <f t="shared" si="800"/>
        <v>8.3333333333333339E-4</v>
      </c>
      <c r="CR888" s="69">
        <f t="shared" si="820"/>
        <v>8.3333333333333339E-4</v>
      </c>
    </row>
    <row r="889" spans="1:96" hidden="1" x14ac:dyDescent="0.25">
      <c r="A889" s="17">
        <v>5</v>
      </c>
      <c r="B889" s="6" t="s">
        <v>1990</v>
      </c>
      <c r="C889" s="17" t="s">
        <v>1991</v>
      </c>
      <c r="D889" s="17" t="s">
        <v>2270</v>
      </c>
      <c r="E889" s="17" t="s">
        <v>52</v>
      </c>
      <c r="F889" s="7">
        <f t="shared" si="769"/>
        <v>1</v>
      </c>
      <c r="G889" s="17">
        <v>1</v>
      </c>
      <c r="H889" s="17">
        <f>G889*$H$888</f>
        <v>1</v>
      </c>
      <c r="I889" s="17">
        <v>1</v>
      </c>
      <c r="J889" s="6" t="s">
        <v>1892</v>
      </c>
      <c r="K889" s="6" t="s">
        <v>34</v>
      </c>
      <c r="L889" s="17">
        <v>0</v>
      </c>
      <c r="M889" s="6" t="s">
        <v>35</v>
      </c>
      <c r="N889" s="17" t="s">
        <v>1992</v>
      </c>
      <c r="O889" s="28"/>
      <c r="P889" s="28"/>
      <c r="Q889" s="28" t="s">
        <v>505</v>
      </c>
      <c r="R889" s="30">
        <v>56.912999999999997</v>
      </c>
      <c r="S889" s="30">
        <v>16.7</v>
      </c>
      <c r="T889" s="30"/>
      <c r="U889" s="30">
        <v>0.06</v>
      </c>
      <c r="V889" s="8">
        <f t="shared" si="770"/>
        <v>1445.5901999999999</v>
      </c>
      <c r="W889" s="8">
        <f t="shared" si="771"/>
        <v>424.17999999999995</v>
      </c>
      <c r="X889" s="8">
        <f t="shared" si="772"/>
        <v>0</v>
      </c>
      <c r="Y889" s="33">
        <f t="shared" si="773"/>
        <v>1.5239999999999998</v>
      </c>
      <c r="Z889" s="28" t="s">
        <v>56</v>
      </c>
      <c r="AA889" s="28" t="s">
        <v>1765</v>
      </c>
      <c r="AB889" s="61" t="s">
        <v>505</v>
      </c>
      <c r="AC889" s="31" t="s">
        <v>506</v>
      </c>
      <c r="AD889" s="50">
        <f t="shared" si="774"/>
        <v>1</v>
      </c>
      <c r="AE889" s="31"/>
      <c r="AF889" s="51">
        <v>14</v>
      </c>
      <c r="AG889" s="51">
        <f t="shared" si="802"/>
        <v>8.4</v>
      </c>
      <c r="AH889" s="51">
        <f t="shared" si="768"/>
        <v>42</v>
      </c>
      <c r="AI889" s="52" t="s">
        <v>2497</v>
      </c>
      <c r="AJ889" s="52" t="s">
        <v>2498</v>
      </c>
      <c r="AK889" s="53">
        <f t="shared" si="803"/>
        <v>1.2263809020719998</v>
      </c>
      <c r="AL889" s="54">
        <f t="shared" si="804"/>
        <v>0.11904761904761904</v>
      </c>
      <c r="AM889" s="54">
        <f t="shared" si="805"/>
        <v>2.3809523809523808E-2</v>
      </c>
      <c r="AN889" s="55">
        <f t="shared" si="806"/>
        <v>0.14599772643714282</v>
      </c>
      <c r="AO889" s="55">
        <f t="shared" si="807"/>
        <v>2.9199545287428564E-2</v>
      </c>
      <c r="AP889" s="53">
        <v>7.1</v>
      </c>
      <c r="AQ889" s="53">
        <f t="shared" si="775"/>
        <v>4.26</v>
      </c>
      <c r="AR889" s="53">
        <f t="shared" si="776"/>
        <v>21.299999999999997</v>
      </c>
      <c r="AS889" s="56">
        <f t="shared" si="777"/>
        <v>4.6948356807511742E-2</v>
      </c>
      <c r="AT889" s="56">
        <f t="shared" si="808"/>
        <v>0.23474178403755869</v>
      </c>
      <c r="AU889" s="56">
        <f t="shared" si="778"/>
        <v>0.176056338028169</v>
      </c>
      <c r="AV889" s="56">
        <f t="shared" si="809"/>
        <v>5.8685446009389672E-2</v>
      </c>
      <c r="AW889" s="57"/>
      <c r="AX889" s="57"/>
      <c r="AY889" s="57"/>
      <c r="AZ889" s="58">
        <f t="shared" si="810"/>
        <v>1.2263809020719998</v>
      </c>
      <c r="BA889" s="59">
        <f t="shared" si="811"/>
        <v>0</v>
      </c>
      <c r="BB889" s="59">
        <f t="shared" si="812"/>
        <v>0</v>
      </c>
      <c r="BC889" s="59">
        <f t="shared" si="813"/>
        <v>0</v>
      </c>
      <c r="BD889" s="60">
        <f t="shared" si="814"/>
        <v>0.25</v>
      </c>
      <c r="BE889" s="59">
        <f t="shared" si="815"/>
        <v>0.25</v>
      </c>
      <c r="BQ889" s="61">
        <v>3000</v>
      </c>
      <c r="BR889" s="61">
        <v>1200</v>
      </c>
      <c r="BS889" s="28">
        <f t="shared" si="779"/>
        <v>2980</v>
      </c>
      <c r="BT889" s="28">
        <f t="shared" si="780"/>
        <v>1180</v>
      </c>
      <c r="BU889" s="28" t="s">
        <v>2541</v>
      </c>
      <c r="BV889" s="28">
        <f t="shared" si="781"/>
        <v>1450.5901999999999</v>
      </c>
      <c r="BW889" s="28">
        <f t="shared" si="782"/>
        <v>429.17999999999995</v>
      </c>
      <c r="BX889" s="13">
        <f t="shared" si="783"/>
        <v>2.0543362281090829</v>
      </c>
      <c r="BY889" s="13">
        <f t="shared" si="784"/>
        <v>2</v>
      </c>
      <c r="BZ889" s="13">
        <f t="shared" si="785"/>
        <v>2.7494291439489262</v>
      </c>
      <c r="CA889" s="13">
        <f t="shared" si="786"/>
        <v>2</v>
      </c>
      <c r="CB889" s="13">
        <f t="shared" si="787"/>
        <v>4</v>
      </c>
      <c r="CC889" s="62">
        <f t="shared" si="788"/>
        <v>0.25</v>
      </c>
      <c r="CD889" s="13">
        <f t="shared" si="789"/>
        <v>6.9434736008201696</v>
      </c>
      <c r="CE889" s="13">
        <f t="shared" si="790"/>
        <v>6</v>
      </c>
      <c r="CF889" s="13">
        <f t="shared" si="791"/>
        <v>0.81346199636534156</v>
      </c>
      <c r="CG889" s="13">
        <f t="shared" si="792"/>
        <v>0</v>
      </c>
      <c r="CH889" s="28">
        <f t="shared" si="793"/>
        <v>0</v>
      </c>
      <c r="CI889" s="62">
        <f t="shared" si="794"/>
        <v>1</v>
      </c>
      <c r="CJ889" s="59">
        <f t="shared" si="795"/>
        <v>0.25</v>
      </c>
      <c r="CL889" s="63">
        <v>6000</v>
      </c>
      <c r="CM889" s="63">
        <f t="shared" si="796"/>
        <v>1445.5901999999999</v>
      </c>
      <c r="CN889" s="63">
        <f t="shared" si="797"/>
        <v>1450.5901999999999</v>
      </c>
      <c r="CO889" s="63">
        <f t="shared" si="798"/>
        <v>4.1362474391458042</v>
      </c>
      <c r="CP889" s="13">
        <f t="shared" si="799"/>
        <v>4</v>
      </c>
      <c r="CQ889" s="70">
        <f t="shared" si="800"/>
        <v>0.25</v>
      </c>
      <c r="CR889" s="69">
        <f t="shared" si="820"/>
        <v>0.25</v>
      </c>
    </row>
    <row r="890" spans="1:96" hidden="1" x14ac:dyDescent="0.25">
      <c r="A890" s="17">
        <v>5</v>
      </c>
      <c r="B890" s="6" t="s">
        <v>1990</v>
      </c>
      <c r="C890" s="17" t="s">
        <v>1667</v>
      </c>
      <c r="D890" s="17" t="s">
        <v>1959</v>
      </c>
      <c r="E890" s="17" t="s">
        <v>52</v>
      </c>
      <c r="F890" s="7">
        <f t="shared" si="769"/>
        <v>8</v>
      </c>
      <c r="G890" s="17">
        <v>4</v>
      </c>
      <c r="H890" s="17">
        <f t="shared" ref="H890:H891" si="823">G890*$H$888</f>
        <v>4</v>
      </c>
      <c r="I890" s="17">
        <v>2</v>
      </c>
      <c r="J890" s="6" t="s">
        <v>1668</v>
      </c>
      <c r="K890" s="6" t="s">
        <v>34</v>
      </c>
      <c r="L890" s="17">
        <v>0</v>
      </c>
      <c r="M890" s="6" t="s">
        <v>35</v>
      </c>
      <c r="N890" s="17" t="s">
        <v>1959</v>
      </c>
      <c r="O890" s="28"/>
      <c r="P890" s="28"/>
      <c r="Q890" s="28" t="s">
        <v>1959</v>
      </c>
      <c r="R890" s="30"/>
      <c r="S890" s="30"/>
      <c r="T890" s="30"/>
      <c r="U890" s="30"/>
      <c r="V890" s="8">
        <f t="shared" si="770"/>
        <v>0</v>
      </c>
      <c r="W890" s="8">
        <f t="shared" si="771"/>
        <v>0</v>
      </c>
      <c r="X890" s="8">
        <f t="shared" si="772"/>
        <v>0</v>
      </c>
      <c r="Y890" s="33">
        <f t="shared" si="773"/>
        <v>0</v>
      </c>
      <c r="Z890" s="28"/>
      <c r="AA890" s="28"/>
      <c r="AB890" s="61" t="s">
        <v>1959</v>
      </c>
      <c r="AC890" s="31" t="s">
        <v>1669</v>
      </c>
      <c r="AD890" s="50">
        <f t="shared" si="774"/>
        <v>4</v>
      </c>
      <c r="AE890" s="31"/>
      <c r="AF890" s="51">
        <v>14</v>
      </c>
      <c r="AG890" s="51">
        <f t="shared" si="802"/>
        <v>8.4</v>
      </c>
      <c r="AH890" s="51">
        <f t="shared" si="768"/>
        <v>42</v>
      </c>
      <c r="AI890" s="52" t="s">
        <v>2497</v>
      </c>
      <c r="AJ890" s="52" t="s">
        <v>2498</v>
      </c>
      <c r="AK890" s="53">
        <f t="shared" si="803"/>
        <v>0</v>
      </c>
      <c r="AL890" s="54">
        <f t="shared" si="804"/>
        <v>0.11904761904761904</v>
      </c>
      <c r="AM890" s="54">
        <f t="shared" si="805"/>
        <v>2.3809523809523808E-2</v>
      </c>
      <c r="AN890" s="55">
        <f t="shared" si="806"/>
        <v>0</v>
      </c>
      <c r="AO890" s="55">
        <f t="shared" si="807"/>
        <v>0</v>
      </c>
      <c r="AP890" s="53">
        <v>7.1</v>
      </c>
      <c r="AQ890" s="53">
        <f t="shared" si="775"/>
        <v>4.26</v>
      </c>
      <c r="AR890" s="53">
        <f t="shared" si="776"/>
        <v>21.299999999999997</v>
      </c>
      <c r="AS890" s="56">
        <f t="shared" si="777"/>
        <v>4.6948356807511742E-2</v>
      </c>
      <c r="AT890" s="56">
        <f t="shared" si="808"/>
        <v>0.23474178403755869</v>
      </c>
      <c r="AU890" s="56">
        <f t="shared" si="778"/>
        <v>0.176056338028169</v>
      </c>
      <c r="AV890" s="56">
        <f t="shared" si="809"/>
        <v>5.8685446009389672E-2</v>
      </c>
      <c r="AW890" s="57"/>
      <c r="AX890" s="57"/>
      <c r="AY890" s="57"/>
      <c r="AZ890" s="58">
        <f t="shared" si="810"/>
        <v>0</v>
      </c>
      <c r="BA890" s="59">
        <f t="shared" si="811"/>
        <v>0</v>
      </c>
      <c r="BB890" s="59">
        <f t="shared" si="812"/>
        <v>0</v>
      </c>
      <c r="BC890" s="59">
        <f t="shared" si="813"/>
        <v>0</v>
      </c>
      <c r="BD890" s="60">
        <f t="shared" si="814"/>
        <v>7.1095438516664771E-6</v>
      </c>
      <c r="BE890" s="59">
        <f t="shared" si="815"/>
        <v>2.8438175406665908E-5</v>
      </c>
      <c r="BQ890" s="61">
        <v>3000</v>
      </c>
      <c r="BR890" s="61">
        <v>1200</v>
      </c>
      <c r="BS890" s="28">
        <f t="shared" si="779"/>
        <v>2980</v>
      </c>
      <c r="BT890" s="28">
        <f t="shared" si="780"/>
        <v>1180</v>
      </c>
      <c r="BU890" s="28" t="s">
        <v>2541</v>
      </c>
      <c r="BV890" s="28">
        <f t="shared" si="781"/>
        <v>5</v>
      </c>
      <c r="BW890" s="28">
        <f t="shared" si="782"/>
        <v>5</v>
      </c>
      <c r="BX890" s="13">
        <f t="shared" si="783"/>
        <v>596</v>
      </c>
      <c r="BY890" s="13">
        <f t="shared" si="784"/>
        <v>596</v>
      </c>
      <c r="BZ890" s="13">
        <f t="shared" si="785"/>
        <v>236</v>
      </c>
      <c r="CA890" s="13">
        <f t="shared" si="786"/>
        <v>236</v>
      </c>
      <c r="CB890" s="13">
        <f t="shared" si="787"/>
        <v>140656</v>
      </c>
      <c r="CC890" s="62">
        <f t="shared" si="788"/>
        <v>7.1095438516664771E-6</v>
      </c>
      <c r="CD890" s="13">
        <f t="shared" si="789"/>
        <v>596</v>
      </c>
      <c r="CE890" s="13">
        <f t="shared" si="790"/>
        <v>596</v>
      </c>
      <c r="CF890" s="13">
        <f t="shared" si="791"/>
        <v>236</v>
      </c>
      <c r="CG890" s="13">
        <f t="shared" si="792"/>
        <v>236</v>
      </c>
      <c r="CH890" s="28">
        <f t="shared" si="793"/>
        <v>140656</v>
      </c>
      <c r="CI890" s="62">
        <f t="shared" si="794"/>
        <v>7.1095438516664771E-6</v>
      </c>
      <c r="CJ890" s="59">
        <f t="shared" si="795"/>
        <v>7.1095438516664771E-6</v>
      </c>
      <c r="CL890" s="63">
        <v>6000</v>
      </c>
      <c r="CM890" s="63">
        <f t="shared" si="796"/>
        <v>0</v>
      </c>
      <c r="CN890" s="63">
        <f t="shared" si="797"/>
        <v>5</v>
      </c>
      <c r="CO890" s="63">
        <f t="shared" si="798"/>
        <v>1200</v>
      </c>
      <c r="CP890" s="13">
        <f t="shared" si="799"/>
        <v>1200</v>
      </c>
      <c r="CQ890" s="70">
        <f t="shared" si="800"/>
        <v>8.3333333333333339E-4</v>
      </c>
      <c r="CR890" s="69">
        <f t="shared" si="820"/>
        <v>3.3333333333333335E-3</v>
      </c>
    </row>
    <row r="891" spans="1:96" hidden="1" x14ac:dyDescent="0.25">
      <c r="A891" s="17">
        <v>5</v>
      </c>
      <c r="B891" s="6" t="s">
        <v>1990</v>
      </c>
      <c r="C891" s="17" t="s">
        <v>448</v>
      </c>
      <c r="D891" s="17" t="s">
        <v>450</v>
      </c>
      <c r="E891" s="17" t="s">
        <v>52</v>
      </c>
      <c r="F891" s="7">
        <f t="shared" si="769"/>
        <v>23</v>
      </c>
      <c r="G891" s="17">
        <v>6</v>
      </c>
      <c r="H891" s="17">
        <f t="shared" si="823"/>
        <v>6</v>
      </c>
      <c r="I891" s="17">
        <v>3</v>
      </c>
      <c r="J891" s="6" t="s">
        <v>449</v>
      </c>
      <c r="K891" s="6" t="s">
        <v>34</v>
      </c>
      <c r="L891" s="17">
        <v>0</v>
      </c>
      <c r="M891" s="6" t="s">
        <v>35</v>
      </c>
      <c r="N891" s="17" t="s">
        <v>450</v>
      </c>
      <c r="O891" s="28"/>
      <c r="P891" s="28"/>
      <c r="Q891" s="28" t="s">
        <v>450</v>
      </c>
      <c r="R891" s="30"/>
      <c r="S891" s="30"/>
      <c r="T891" s="30"/>
      <c r="U891" s="30"/>
      <c r="V891" s="8">
        <f t="shared" si="770"/>
        <v>0</v>
      </c>
      <c r="W891" s="8">
        <f t="shared" si="771"/>
        <v>0</v>
      </c>
      <c r="X891" s="8">
        <f t="shared" si="772"/>
        <v>0</v>
      </c>
      <c r="Y891" s="33">
        <f t="shared" si="773"/>
        <v>0</v>
      </c>
      <c r="Z891" s="28"/>
      <c r="AA891" s="28"/>
      <c r="AB891" s="61" t="s">
        <v>450</v>
      </c>
      <c r="AC891" s="31" t="s">
        <v>451</v>
      </c>
      <c r="AD891" s="50">
        <f t="shared" si="774"/>
        <v>6</v>
      </c>
      <c r="AE891" s="31"/>
      <c r="AF891" s="51">
        <v>14</v>
      </c>
      <c r="AG891" s="51">
        <f t="shared" si="802"/>
        <v>8.4</v>
      </c>
      <c r="AH891" s="51">
        <f t="shared" si="768"/>
        <v>42</v>
      </c>
      <c r="AI891" s="52" t="s">
        <v>2497</v>
      </c>
      <c r="AJ891" s="52" t="s">
        <v>2498</v>
      </c>
      <c r="AK891" s="53">
        <f t="shared" si="803"/>
        <v>0</v>
      </c>
      <c r="AL891" s="54">
        <f t="shared" si="804"/>
        <v>0.11904761904761904</v>
      </c>
      <c r="AM891" s="54">
        <f t="shared" si="805"/>
        <v>2.3809523809523808E-2</v>
      </c>
      <c r="AN891" s="55">
        <f t="shared" si="806"/>
        <v>0</v>
      </c>
      <c r="AO891" s="55">
        <f t="shared" si="807"/>
        <v>0</v>
      </c>
      <c r="AP891" s="53">
        <v>7.1</v>
      </c>
      <c r="AQ891" s="53">
        <f t="shared" si="775"/>
        <v>4.26</v>
      </c>
      <c r="AR891" s="53">
        <f t="shared" si="776"/>
        <v>21.299999999999997</v>
      </c>
      <c r="AS891" s="56">
        <f t="shared" si="777"/>
        <v>4.6948356807511742E-2</v>
      </c>
      <c r="AT891" s="56">
        <f t="shared" si="808"/>
        <v>0.23474178403755869</v>
      </c>
      <c r="AU891" s="56">
        <f t="shared" si="778"/>
        <v>0.176056338028169</v>
      </c>
      <c r="AV891" s="56">
        <f t="shared" si="809"/>
        <v>5.8685446009389672E-2</v>
      </c>
      <c r="AW891" s="57"/>
      <c r="AX891" s="57"/>
      <c r="AY891" s="57"/>
      <c r="AZ891" s="58">
        <f t="shared" si="810"/>
        <v>0</v>
      </c>
      <c r="BA891" s="59">
        <f t="shared" si="811"/>
        <v>0</v>
      </c>
      <c r="BB891" s="59">
        <f t="shared" si="812"/>
        <v>0</v>
      </c>
      <c r="BC891" s="59">
        <f t="shared" si="813"/>
        <v>0</v>
      </c>
      <c r="BD891" s="60">
        <f t="shared" si="814"/>
        <v>7.1095438516664771E-6</v>
      </c>
      <c r="BE891" s="59">
        <f t="shared" si="815"/>
        <v>4.2657263109998864E-5</v>
      </c>
      <c r="BQ891" s="61">
        <v>3000</v>
      </c>
      <c r="BR891" s="61">
        <v>1200</v>
      </c>
      <c r="BS891" s="28">
        <f t="shared" si="779"/>
        <v>2980</v>
      </c>
      <c r="BT891" s="28">
        <f t="shared" si="780"/>
        <v>1180</v>
      </c>
      <c r="BU891" s="28" t="s">
        <v>2541</v>
      </c>
      <c r="BV891" s="28">
        <f t="shared" si="781"/>
        <v>5</v>
      </c>
      <c r="BW891" s="28">
        <f t="shared" si="782"/>
        <v>5</v>
      </c>
      <c r="BX891" s="13">
        <f t="shared" si="783"/>
        <v>596</v>
      </c>
      <c r="BY891" s="13">
        <f t="shared" si="784"/>
        <v>596</v>
      </c>
      <c r="BZ891" s="13">
        <f t="shared" si="785"/>
        <v>236</v>
      </c>
      <c r="CA891" s="13">
        <f t="shared" si="786"/>
        <v>236</v>
      </c>
      <c r="CB891" s="13">
        <f t="shared" si="787"/>
        <v>140656</v>
      </c>
      <c r="CC891" s="62">
        <f t="shared" si="788"/>
        <v>7.1095438516664771E-6</v>
      </c>
      <c r="CD891" s="13">
        <f t="shared" si="789"/>
        <v>596</v>
      </c>
      <c r="CE891" s="13">
        <f t="shared" si="790"/>
        <v>596</v>
      </c>
      <c r="CF891" s="13">
        <f t="shared" si="791"/>
        <v>236</v>
      </c>
      <c r="CG891" s="13">
        <f t="shared" si="792"/>
        <v>236</v>
      </c>
      <c r="CH891" s="28">
        <f t="shared" si="793"/>
        <v>140656</v>
      </c>
      <c r="CI891" s="62">
        <f t="shared" si="794"/>
        <v>7.1095438516664771E-6</v>
      </c>
      <c r="CJ891" s="59">
        <f t="shared" si="795"/>
        <v>7.1095438516664771E-6</v>
      </c>
      <c r="CL891" s="63">
        <v>6000</v>
      </c>
      <c r="CM891" s="63">
        <f t="shared" si="796"/>
        <v>0</v>
      </c>
      <c r="CN891" s="63">
        <f t="shared" si="797"/>
        <v>5</v>
      </c>
      <c r="CO891" s="63">
        <f t="shared" si="798"/>
        <v>1200</v>
      </c>
      <c r="CP891" s="13">
        <f t="shared" si="799"/>
        <v>1200</v>
      </c>
      <c r="CQ891" s="70">
        <f t="shared" si="800"/>
        <v>8.3333333333333339E-4</v>
      </c>
      <c r="CR891" s="69">
        <f t="shared" si="820"/>
        <v>5.0000000000000001E-3</v>
      </c>
    </row>
    <row r="892" spans="1:96" hidden="1" x14ac:dyDescent="0.25">
      <c r="A892" s="10">
        <v>3</v>
      </c>
      <c r="B892" s="8" t="s">
        <v>1979</v>
      </c>
      <c r="C892" s="10" t="s">
        <v>1960</v>
      </c>
      <c r="D892" s="10" t="s">
        <v>1961</v>
      </c>
      <c r="E892" s="10" t="s">
        <v>52</v>
      </c>
      <c r="F892" s="12">
        <f t="shared" si="769"/>
        <v>4</v>
      </c>
      <c r="G892" s="10">
        <v>1</v>
      </c>
      <c r="H892" s="10">
        <f>G892*$H$872</f>
        <v>1</v>
      </c>
      <c r="I892" s="10">
        <v>3</v>
      </c>
      <c r="J892" s="8" t="s">
        <v>469</v>
      </c>
      <c r="K892" s="8" t="s">
        <v>34</v>
      </c>
      <c r="L892" s="10" t="s">
        <v>110</v>
      </c>
      <c r="M892" s="8" t="s">
        <v>35</v>
      </c>
      <c r="N892" s="10" t="s">
        <v>1961</v>
      </c>
      <c r="O892" s="28" t="s">
        <v>41</v>
      </c>
      <c r="P892" s="28" t="s">
        <v>41</v>
      </c>
      <c r="Q892" s="28" t="s">
        <v>1896</v>
      </c>
      <c r="R892" s="30"/>
      <c r="S892" s="30"/>
      <c r="T892" s="30"/>
      <c r="U892" s="30"/>
      <c r="V892" s="8">
        <f t="shared" si="770"/>
        <v>0</v>
      </c>
      <c r="W892" s="8">
        <f t="shared" si="771"/>
        <v>0</v>
      </c>
      <c r="X892" s="8">
        <f t="shared" si="772"/>
        <v>0</v>
      </c>
      <c r="Y892" s="33">
        <f t="shared" si="773"/>
        <v>0</v>
      </c>
      <c r="Z892" s="28" t="s">
        <v>1897</v>
      </c>
      <c r="AA892" s="28" t="s">
        <v>1765</v>
      </c>
      <c r="AB892" s="61" t="s">
        <v>1896</v>
      </c>
      <c r="AC892" s="31" t="s">
        <v>1898</v>
      </c>
      <c r="AD892" s="50">
        <f t="shared" si="774"/>
        <v>1</v>
      </c>
      <c r="AE892" s="31"/>
      <c r="AF892" s="51">
        <v>14</v>
      </c>
      <c r="AG892" s="51">
        <f t="shared" si="802"/>
        <v>8.4</v>
      </c>
      <c r="AH892" s="51">
        <f t="shared" si="768"/>
        <v>42</v>
      </c>
      <c r="AI892" s="52" t="s">
        <v>2497</v>
      </c>
      <c r="AJ892" s="52" t="s">
        <v>2498</v>
      </c>
      <c r="AK892" s="53">
        <f t="shared" si="803"/>
        <v>0</v>
      </c>
      <c r="AL892" s="54">
        <f t="shared" si="804"/>
        <v>0.11904761904761904</v>
      </c>
      <c r="AM892" s="54">
        <f t="shared" si="805"/>
        <v>2.3809523809523808E-2</v>
      </c>
      <c r="AN892" s="55">
        <f t="shared" si="806"/>
        <v>0</v>
      </c>
      <c r="AO892" s="55">
        <f t="shared" si="807"/>
        <v>0</v>
      </c>
      <c r="AP892" s="53">
        <v>7.1</v>
      </c>
      <c r="AQ892" s="53">
        <f t="shared" si="775"/>
        <v>4.26</v>
      </c>
      <c r="AR892" s="53">
        <f t="shared" si="776"/>
        <v>21.299999999999997</v>
      </c>
      <c r="AS892" s="56">
        <f t="shared" si="777"/>
        <v>4.6948356807511742E-2</v>
      </c>
      <c r="AT892" s="56">
        <f t="shared" si="808"/>
        <v>0.23474178403755869</v>
      </c>
      <c r="AU892" s="56">
        <f t="shared" si="778"/>
        <v>0.176056338028169</v>
      </c>
      <c r="AV892" s="56">
        <f t="shared" si="809"/>
        <v>5.8685446009389672E-2</v>
      </c>
      <c r="AW892" s="57"/>
      <c r="AX892" s="57"/>
      <c r="AY892" s="57"/>
      <c r="AZ892" s="58">
        <f t="shared" si="810"/>
        <v>0</v>
      </c>
      <c r="BA892" s="59">
        <f t="shared" si="811"/>
        <v>0</v>
      </c>
      <c r="BB892" s="59">
        <f t="shared" si="812"/>
        <v>0</v>
      </c>
      <c r="BC892" s="59">
        <f t="shared" si="813"/>
        <v>0</v>
      </c>
      <c r="BD892" s="60">
        <f t="shared" si="814"/>
        <v>7.1095438516664771E-6</v>
      </c>
      <c r="BE892" s="59">
        <f t="shared" si="815"/>
        <v>7.1095438516664771E-6</v>
      </c>
      <c r="BQ892" s="61">
        <v>3000</v>
      </c>
      <c r="BR892" s="61">
        <v>1200</v>
      </c>
      <c r="BS892" s="28">
        <f t="shared" si="779"/>
        <v>2980</v>
      </c>
      <c r="BT892" s="28">
        <f t="shared" si="780"/>
        <v>1180</v>
      </c>
      <c r="BU892" s="28" t="s">
        <v>2541</v>
      </c>
      <c r="BV892" s="28">
        <f t="shared" si="781"/>
        <v>5</v>
      </c>
      <c r="BW892" s="28">
        <f t="shared" si="782"/>
        <v>5</v>
      </c>
      <c r="BX892" s="13">
        <f t="shared" si="783"/>
        <v>596</v>
      </c>
      <c r="BY892" s="13">
        <f t="shared" si="784"/>
        <v>596</v>
      </c>
      <c r="BZ892" s="13">
        <f t="shared" si="785"/>
        <v>236</v>
      </c>
      <c r="CA892" s="13">
        <f t="shared" si="786"/>
        <v>236</v>
      </c>
      <c r="CB892" s="13">
        <f t="shared" si="787"/>
        <v>140656</v>
      </c>
      <c r="CC892" s="62">
        <f t="shared" si="788"/>
        <v>7.1095438516664771E-6</v>
      </c>
      <c r="CD892" s="13">
        <f t="shared" si="789"/>
        <v>596</v>
      </c>
      <c r="CE892" s="13">
        <f t="shared" si="790"/>
        <v>596</v>
      </c>
      <c r="CF892" s="13">
        <f t="shared" si="791"/>
        <v>236</v>
      </c>
      <c r="CG892" s="13">
        <f t="shared" si="792"/>
        <v>236</v>
      </c>
      <c r="CH892" s="28">
        <f t="shared" si="793"/>
        <v>140656</v>
      </c>
      <c r="CI892" s="62">
        <f t="shared" si="794"/>
        <v>7.1095438516664771E-6</v>
      </c>
      <c r="CJ892" s="59">
        <f t="shared" si="795"/>
        <v>7.1095438516664771E-6</v>
      </c>
      <c r="CL892" s="63">
        <v>6000</v>
      </c>
      <c r="CM892" s="63">
        <f t="shared" si="796"/>
        <v>0</v>
      </c>
      <c r="CN892" s="63">
        <f t="shared" si="797"/>
        <v>5</v>
      </c>
      <c r="CO892" s="63">
        <f t="shared" si="798"/>
        <v>1200</v>
      </c>
      <c r="CP892" s="13">
        <f t="shared" si="799"/>
        <v>1200</v>
      </c>
      <c r="CQ892" s="70">
        <f t="shared" si="800"/>
        <v>8.3333333333333339E-4</v>
      </c>
      <c r="CR892" s="69">
        <f t="shared" si="820"/>
        <v>8.3333333333333339E-4</v>
      </c>
    </row>
    <row r="893" spans="1:96" hidden="1" x14ac:dyDescent="0.25">
      <c r="A893" s="13">
        <v>4</v>
      </c>
      <c r="B893" s="14" t="s">
        <v>1962</v>
      </c>
      <c r="C893" s="13" t="s">
        <v>1900</v>
      </c>
      <c r="D893" s="13" t="s">
        <v>2270</v>
      </c>
      <c r="E893" s="13" t="s">
        <v>52</v>
      </c>
      <c r="F893" s="15">
        <f t="shared" si="769"/>
        <v>8</v>
      </c>
      <c r="G893" s="13">
        <v>1</v>
      </c>
      <c r="H893" s="13">
        <f>G893*$H$892</f>
        <v>1</v>
      </c>
      <c r="I893" s="13" t="s">
        <v>485</v>
      </c>
      <c r="J893" s="14" t="s">
        <v>469</v>
      </c>
      <c r="K893" s="14" t="s">
        <v>34</v>
      </c>
      <c r="L893" s="13" t="s">
        <v>1901</v>
      </c>
      <c r="M893" s="14" t="s">
        <v>35</v>
      </c>
      <c r="N893" s="13" t="s">
        <v>1902</v>
      </c>
      <c r="O893" s="28"/>
      <c r="P893" s="28"/>
      <c r="Q893" s="28" t="s">
        <v>1902</v>
      </c>
      <c r="R893" s="30"/>
      <c r="S893" s="30"/>
      <c r="T893" s="30"/>
      <c r="U893" s="30"/>
      <c r="V893" s="8">
        <f t="shared" si="770"/>
        <v>0</v>
      </c>
      <c r="W893" s="8">
        <f t="shared" si="771"/>
        <v>0</v>
      </c>
      <c r="X893" s="8">
        <f t="shared" si="772"/>
        <v>0</v>
      </c>
      <c r="Y893" s="33">
        <f t="shared" si="773"/>
        <v>0</v>
      </c>
      <c r="Z893" s="28"/>
      <c r="AA893" s="28"/>
      <c r="AB893" s="28" t="s">
        <v>1902</v>
      </c>
      <c r="AC893" s="31"/>
      <c r="AD893" s="50">
        <f t="shared" si="774"/>
        <v>1</v>
      </c>
      <c r="AE893" s="31"/>
      <c r="AF893" s="51">
        <v>14</v>
      </c>
      <c r="AG893" s="51">
        <f t="shared" si="802"/>
        <v>8.4</v>
      </c>
      <c r="AH893" s="51">
        <f t="shared" si="768"/>
        <v>42</v>
      </c>
      <c r="AI893" s="52" t="s">
        <v>2497</v>
      </c>
      <c r="AJ893" s="52" t="s">
        <v>2498</v>
      </c>
      <c r="AK893" s="53">
        <f t="shared" si="803"/>
        <v>0</v>
      </c>
      <c r="AL893" s="54">
        <f t="shared" si="804"/>
        <v>0.11904761904761904</v>
      </c>
      <c r="AM893" s="54">
        <f t="shared" si="805"/>
        <v>2.3809523809523808E-2</v>
      </c>
      <c r="AN893" s="55">
        <f t="shared" si="806"/>
        <v>0</v>
      </c>
      <c r="AO893" s="55">
        <f t="shared" si="807"/>
        <v>0</v>
      </c>
      <c r="AP893" s="53">
        <v>7.1</v>
      </c>
      <c r="AQ893" s="53">
        <f t="shared" si="775"/>
        <v>4.26</v>
      </c>
      <c r="AR893" s="53">
        <f t="shared" si="776"/>
        <v>21.299999999999997</v>
      </c>
      <c r="AS893" s="56">
        <f t="shared" si="777"/>
        <v>4.6948356807511742E-2</v>
      </c>
      <c r="AT893" s="56">
        <f t="shared" si="808"/>
        <v>0.23474178403755869</v>
      </c>
      <c r="AU893" s="56">
        <f t="shared" si="778"/>
        <v>0.176056338028169</v>
      </c>
      <c r="AV893" s="56">
        <f t="shared" si="809"/>
        <v>5.8685446009389672E-2</v>
      </c>
      <c r="AW893" s="57"/>
      <c r="AX893" s="57"/>
      <c r="AY893" s="57"/>
      <c r="AZ893" s="58">
        <f t="shared" si="810"/>
        <v>0</v>
      </c>
      <c r="BA893" s="59">
        <f t="shared" si="811"/>
        <v>0</v>
      </c>
      <c r="BB893" s="59">
        <f t="shared" si="812"/>
        <v>0</v>
      </c>
      <c r="BC893" s="59">
        <f t="shared" si="813"/>
        <v>0</v>
      </c>
      <c r="BD893" s="60">
        <f t="shared" si="814"/>
        <v>7.1095438516664771E-6</v>
      </c>
      <c r="BE893" s="59">
        <f t="shared" si="815"/>
        <v>7.1095438516664771E-6</v>
      </c>
      <c r="BQ893" s="61">
        <v>3000</v>
      </c>
      <c r="BR893" s="61">
        <v>1200</v>
      </c>
      <c r="BS893" s="28">
        <f t="shared" si="779"/>
        <v>2980</v>
      </c>
      <c r="BT893" s="28">
        <f t="shared" si="780"/>
        <v>1180</v>
      </c>
      <c r="BU893" s="28" t="s">
        <v>2541</v>
      </c>
      <c r="BV893" s="28">
        <f t="shared" si="781"/>
        <v>5</v>
      </c>
      <c r="BW893" s="28">
        <f t="shared" si="782"/>
        <v>5</v>
      </c>
      <c r="BX893" s="13">
        <f t="shared" si="783"/>
        <v>596</v>
      </c>
      <c r="BY893" s="13">
        <f t="shared" si="784"/>
        <v>596</v>
      </c>
      <c r="BZ893" s="13">
        <f t="shared" si="785"/>
        <v>236</v>
      </c>
      <c r="CA893" s="13">
        <f t="shared" si="786"/>
        <v>236</v>
      </c>
      <c r="CB893" s="13">
        <f t="shared" si="787"/>
        <v>140656</v>
      </c>
      <c r="CC893" s="62">
        <f t="shared" si="788"/>
        <v>7.1095438516664771E-6</v>
      </c>
      <c r="CD893" s="13">
        <f t="shared" si="789"/>
        <v>596</v>
      </c>
      <c r="CE893" s="13">
        <f t="shared" si="790"/>
        <v>596</v>
      </c>
      <c r="CF893" s="13">
        <f t="shared" si="791"/>
        <v>236</v>
      </c>
      <c r="CG893" s="13">
        <f t="shared" si="792"/>
        <v>236</v>
      </c>
      <c r="CH893" s="28">
        <f t="shared" si="793"/>
        <v>140656</v>
      </c>
      <c r="CI893" s="62">
        <f t="shared" si="794"/>
        <v>7.1095438516664771E-6</v>
      </c>
      <c r="CJ893" s="59">
        <f t="shared" si="795"/>
        <v>7.1095438516664771E-6</v>
      </c>
      <c r="CL893" s="63">
        <v>6000</v>
      </c>
      <c r="CM893" s="63">
        <f t="shared" si="796"/>
        <v>0</v>
      </c>
      <c r="CN893" s="63">
        <f t="shared" si="797"/>
        <v>5</v>
      </c>
      <c r="CO893" s="63">
        <f t="shared" si="798"/>
        <v>1200</v>
      </c>
      <c r="CP893" s="13">
        <f t="shared" si="799"/>
        <v>1200</v>
      </c>
      <c r="CQ893" s="70">
        <f t="shared" si="800"/>
        <v>8.3333333333333339E-4</v>
      </c>
      <c r="CR893" s="69">
        <f t="shared" si="820"/>
        <v>8.3333333333333339E-4</v>
      </c>
    </row>
    <row r="894" spans="1:96" hidden="1" x14ac:dyDescent="0.25">
      <c r="A894" s="10">
        <v>3</v>
      </c>
      <c r="B894" s="8" t="s">
        <v>1979</v>
      </c>
      <c r="C894" s="10" t="s">
        <v>1963</v>
      </c>
      <c r="D894" s="10" t="s">
        <v>2270</v>
      </c>
      <c r="E894" s="10" t="s">
        <v>52</v>
      </c>
      <c r="F894" s="12">
        <f t="shared" si="769"/>
        <v>6</v>
      </c>
      <c r="G894" s="10">
        <v>1</v>
      </c>
      <c r="H894" s="10">
        <f t="shared" ref="H894:H901" si="824">G894*$H$872</f>
        <v>1</v>
      </c>
      <c r="I894" s="10">
        <v>4</v>
      </c>
      <c r="J894" s="8" t="s">
        <v>1964</v>
      </c>
      <c r="K894" s="8" t="s">
        <v>34</v>
      </c>
      <c r="L894" s="10">
        <v>0</v>
      </c>
      <c r="M894" s="8" t="s">
        <v>1965</v>
      </c>
      <c r="N894" s="77" t="s">
        <v>2570</v>
      </c>
      <c r="O894" s="28"/>
      <c r="P894" s="28"/>
      <c r="Q894" s="28"/>
      <c r="R894" s="30"/>
      <c r="S894" s="30"/>
      <c r="T894" s="30"/>
      <c r="U894" s="30"/>
      <c r="V894" s="8">
        <f t="shared" si="770"/>
        <v>0</v>
      </c>
      <c r="W894" s="8">
        <f t="shared" si="771"/>
        <v>0</v>
      </c>
      <c r="X894" s="8">
        <f t="shared" si="772"/>
        <v>0</v>
      </c>
      <c r="Y894" s="33">
        <f t="shared" si="773"/>
        <v>0</v>
      </c>
      <c r="Z894" s="28"/>
      <c r="AA894" s="28"/>
      <c r="AB894" s="77" t="str">
        <f>N894</f>
        <v>MTA-NOVO-1</v>
      </c>
      <c r="AC894" s="31" t="s">
        <v>1964</v>
      </c>
      <c r="AD894" s="50">
        <f t="shared" si="774"/>
        <v>1</v>
      </c>
      <c r="AE894" s="47" t="s">
        <v>1966</v>
      </c>
      <c r="AF894" s="51">
        <v>14</v>
      </c>
      <c r="AG894" s="51">
        <f t="shared" si="802"/>
        <v>8.4</v>
      </c>
      <c r="AH894" s="51">
        <f t="shared" si="768"/>
        <v>42</v>
      </c>
      <c r="AI894" s="52" t="s">
        <v>2497</v>
      </c>
      <c r="AJ894" s="52" t="s">
        <v>2498</v>
      </c>
      <c r="AK894" s="53">
        <f t="shared" si="803"/>
        <v>0</v>
      </c>
      <c r="AL894" s="54">
        <f t="shared" si="804"/>
        <v>0.11904761904761904</v>
      </c>
      <c r="AM894" s="54">
        <f t="shared" si="805"/>
        <v>2.3809523809523808E-2</v>
      </c>
      <c r="AN894" s="55">
        <f t="shared" si="806"/>
        <v>0</v>
      </c>
      <c r="AO894" s="55">
        <f t="shared" si="807"/>
        <v>0</v>
      </c>
      <c r="AP894" s="53">
        <v>7.1</v>
      </c>
      <c r="AQ894" s="53">
        <f t="shared" si="775"/>
        <v>4.26</v>
      </c>
      <c r="AR894" s="53">
        <f t="shared" si="776"/>
        <v>21.299999999999997</v>
      </c>
      <c r="AS894" s="56">
        <f t="shared" si="777"/>
        <v>4.6948356807511742E-2</v>
      </c>
      <c r="AT894" s="56">
        <f t="shared" si="808"/>
        <v>0.23474178403755869</v>
      </c>
      <c r="AU894" s="56">
        <f t="shared" si="778"/>
        <v>0.176056338028169</v>
      </c>
      <c r="AV894" s="56">
        <f t="shared" si="809"/>
        <v>5.8685446009389672E-2</v>
      </c>
      <c r="AW894" s="57"/>
      <c r="AX894" s="57"/>
      <c r="AY894" s="57"/>
      <c r="AZ894" s="58">
        <f t="shared" si="810"/>
        <v>0</v>
      </c>
      <c r="BA894" s="59">
        <f t="shared" si="811"/>
        <v>0</v>
      </c>
      <c r="BB894" s="59">
        <f t="shared" si="812"/>
        <v>0</v>
      </c>
      <c r="BC894" s="59">
        <f t="shared" si="813"/>
        <v>0</v>
      </c>
      <c r="BD894" s="60">
        <f t="shared" si="814"/>
        <v>7.1095438516664771E-6</v>
      </c>
      <c r="BE894" s="59">
        <f t="shared" si="815"/>
        <v>7.1095438516664771E-6</v>
      </c>
      <c r="BQ894" s="61">
        <v>3000</v>
      </c>
      <c r="BR894" s="61">
        <v>1200</v>
      </c>
      <c r="BS894" s="28">
        <f t="shared" si="779"/>
        <v>2980</v>
      </c>
      <c r="BT894" s="28">
        <f t="shared" si="780"/>
        <v>1180</v>
      </c>
      <c r="BU894" s="28" t="s">
        <v>2541</v>
      </c>
      <c r="BV894" s="28">
        <f t="shared" si="781"/>
        <v>5</v>
      </c>
      <c r="BW894" s="28">
        <f t="shared" si="782"/>
        <v>5</v>
      </c>
      <c r="BX894" s="13">
        <f t="shared" si="783"/>
        <v>596</v>
      </c>
      <c r="BY894" s="13">
        <f t="shared" si="784"/>
        <v>596</v>
      </c>
      <c r="BZ894" s="13">
        <f t="shared" si="785"/>
        <v>236</v>
      </c>
      <c r="CA894" s="13">
        <f t="shared" si="786"/>
        <v>236</v>
      </c>
      <c r="CB894" s="13">
        <f t="shared" si="787"/>
        <v>140656</v>
      </c>
      <c r="CC894" s="62">
        <f t="shared" si="788"/>
        <v>7.1095438516664771E-6</v>
      </c>
      <c r="CD894" s="13">
        <f t="shared" si="789"/>
        <v>596</v>
      </c>
      <c r="CE894" s="13">
        <f t="shared" si="790"/>
        <v>596</v>
      </c>
      <c r="CF894" s="13">
        <f t="shared" si="791"/>
        <v>236</v>
      </c>
      <c r="CG894" s="13">
        <f t="shared" si="792"/>
        <v>236</v>
      </c>
      <c r="CH894" s="28">
        <f t="shared" si="793"/>
        <v>140656</v>
      </c>
      <c r="CI894" s="62">
        <f t="shared" si="794"/>
        <v>7.1095438516664771E-6</v>
      </c>
      <c r="CJ894" s="59">
        <f t="shared" si="795"/>
        <v>7.1095438516664771E-6</v>
      </c>
      <c r="CL894" s="63">
        <v>6000</v>
      </c>
      <c r="CM894" s="63">
        <f t="shared" si="796"/>
        <v>0</v>
      </c>
      <c r="CN894" s="63">
        <f t="shared" si="797"/>
        <v>5</v>
      </c>
      <c r="CO894" s="63">
        <f t="shared" si="798"/>
        <v>1200</v>
      </c>
      <c r="CP894" s="13">
        <f t="shared" si="799"/>
        <v>1200</v>
      </c>
      <c r="CQ894" s="70">
        <f t="shared" si="800"/>
        <v>8.3333333333333339E-4</v>
      </c>
      <c r="CR894" s="69">
        <f t="shared" si="820"/>
        <v>8.3333333333333339E-4</v>
      </c>
    </row>
    <row r="895" spans="1:96" hidden="1" x14ac:dyDescent="0.25">
      <c r="A895" s="10">
        <v>3</v>
      </c>
      <c r="B895" s="8" t="s">
        <v>1979</v>
      </c>
      <c r="C895" s="10" t="s">
        <v>1967</v>
      </c>
      <c r="D895" s="10" t="s">
        <v>1968</v>
      </c>
      <c r="E895" s="10" t="s">
        <v>52</v>
      </c>
      <c r="F895" s="12">
        <f t="shared" si="769"/>
        <v>6</v>
      </c>
      <c r="G895" s="10">
        <v>1</v>
      </c>
      <c r="H895" s="10">
        <f t="shared" si="824"/>
        <v>1</v>
      </c>
      <c r="I895" s="10">
        <v>5</v>
      </c>
      <c r="J895" s="8" t="s">
        <v>1665</v>
      </c>
      <c r="K895" s="8" t="s">
        <v>34</v>
      </c>
      <c r="L895" s="10">
        <v>0</v>
      </c>
      <c r="M895" s="8" t="s">
        <v>35</v>
      </c>
      <c r="N895" s="10" t="s">
        <v>1968</v>
      </c>
      <c r="O895" s="28" t="s">
        <v>41</v>
      </c>
      <c r="P895" s="28" t="s">
        <v>41</v>
      </c>
      <c r="Q895" s="28" t="s">
        <v>124</v>
      </c>
      <c r="R895" s="30">
        <v>6.5</v>
      </c>
      <c r="S895" s="30">
        <v>6.5</v>
      </c>
      <c r="T895" s="30"/>
      <c r="U895" s="30">
        <v>9.8425196850393706E-2</v>
      </c>
      <c r="V895" s="8">
        <f t="shared" si="770"/>
        <v>165.1</v>
      </c>
      <c r="W895" s="8">
        <f t="shared" si="771"/>
        <v>165.1</v>
      </c>
      <c r="X895" s="8">
        <f t="shared" si="772"/>
        <v>0</v>
      </c>
      <c r="Y895" s="33">
        <f t="shared" si="773"/>
        <v>2.5</v>
      </c>
      <c r="Z895" s="28" t="s">
        <v>56</v>
      </c>
      <c r="AA895" s="28" t="s">
        <v>57</v>
      </c>
      <c r="AB895" s="61" t="s">
        <v>124</v>
      </c>
      <c r="AC895" s="31" t="s">
        <v>125</v>
      </c>
      <c r="AD895" s="50">
        <f t="shared" si="774"/>
        <v>1</v>
      </c>
      <c r="AE895" s="47" t="s">
        <v>1969</v>
      </c>
      <c r="AF895" s="51">
        <v>14</v>
      </c>
      <c r="AG895" s="51">
        <f t="shared" si="802"/>
        <v>8.4</v>
      </c>
      <c r="AH895" s="51">
        <f t="shared" si="768"/>
        <v>42</v>
      </c>
      <c r="AI895" s="52" t="s">
        <v>2497</v>
      </c>
      <c r="AJ895" s="52" t="s">
        <v>2498</v>
      </c>
      <c r="AK895" s="53">
        <f t="shared" si="803"/>
        <v>5.4516019999999998E-2</v>
      </c>
      <c r="AL895" s="54">
        <f t="shared" si="804"/>
        <v>0.11904761904761904</v>
      </c>
      <c r="AM895" s="54">
        <f t="shared" si="805"/>
        <v>2.3809523809523808E-2</v>
      </c>
      <c r="AN895" s="55">
        <f t="shared" si="806"/>
        <v>6.4900023809523807E-3</v>
      </c>
      <c r="AO895" s="55">
        <f t="shared" si="807"/>
        <v>1.298000476190476E-3</v>
      </c>
      <c r="AP895" s="53">
        <v>7.1</v>
      </c>
      <c r="AQ895" s="53">
        <f t="shared" si="775"/>
        <v>4.26</v>
      </c>
      <c r="AR895" s="53">
        <f t="shared" si="776"/>
        <v>21.299999999999997</v>
      </c>
      <c r="AS895" s="56">
        <f t="shared" si="777"/>
        <v>4.6948356807511742E-2</v>
      </c>
      <c r="AT895" s="56">
        <f t="shared" si="808"/>
        <v>0.23474178403755869</v>
      </c>
      <c r="AU895" s="56">
        <f t="shared" si="778"/>
        <v>0.176056338028169</v>
      </c>
      <c r="AV895" s="56">
        <f t="shared" si="809"/>
        <v>5.8685446009389672E-2</v>
      </c>
      <c r="AW895" s="57"/>
      <c r="AX895" s="57"/>
      <c r="AY895" s="57"/>
      <c r="AZ895" s="58">
        <f t="shared" si="810"/>
        <v>5.4516019999999998E-2</v>
      </c>
      <c r="BA895" s="59">
        <f t="shared" si="811"/>
        <v>0</v>
      </c>
      <c r="BB895" s="59">
        <f t="shared" si="812"/>
        <v>0</v>
      </c>
      <c r="BC895" s="59">
        <f t="shared" si="813"/>
        <v>0</v>
      </c>
      <c r="BD895" s="60">
        <f t="shared" si="814"/>
        <v>9.8039215686274508E-3</v>
      </c>
      <c r="BE895" s="59">
        <f t="shared" si="815"/>
        <v>9.8039215686274508E-3</v>
      </c>
      <c r="BQ895" s="61">
        <v>3000</v>
      </c>
      <c r="BR895" s="61">
        <v>1200</v>
      </c>
      <c r="BS895" s="28">
        <f t="shared" si="779"/>
        <v>2980</v>
      </c>
      <c r="BT895" s="28">
        <f t="shared" si="780"/>
        <v>1180</v>
      </c>
      <c r="BU895" s="28" t="s">
        <v>2541</v>
      </c>
      <c r="BV895" s="28">
        <f t="shared" si="781"/>
        <v>170.1</v>
      </c>
      <c r="BW895" s="28">
        <f t="shared" si="782"/>
        <v>170.1</v>
      </c>
      <c r="BX895" s="13">
        <f t="shared" si="783"/>
        <v>17.519106407995299</v>
      </c>
      <c r="BY895" s="13">
        <f t="shared" si="784"/>
        <v>17</v>
      </c>
      <c r="BZ895" s="13">
        <f t="shared" si="785"/>
        <v>6.9370958259847155</v>
      </c>
      <c r="CA895" s="13">
        <f t="shared" si="786"/>
        <v>6</v>
      </c>
      <c r="CB895" s="13">
        <f t="shared" si="787"/>
        <v>102</v>
      </c>
      <c r="CC895" s="62">
        <f t="shared" si="788"/>
        <v>9.8039215686274508E-3</v>
      </c>
      <c r="CD895" s="13">
        <f t="shared" si="789"/>
        <v>17.519106407995299</v>
      </c>
      <c r="CE895" s="13">
        <f t="shared" si="790"/>
        <v>17</v>
      </c>
      <c r="CF895" s="13">
        <f t="shared" si="791"/>
        <v>6.9370958259847155</v>
      </c>
      <c r="CG895" s="13">
        <f t="shared" si="792"/>
        <v>6</v>
      </c>
      <c r="CH895" s="28">
        <f t="shared" si="793"/>
        <v>102</v>
      </c>
      <c r="CI895" s="62">
        <f t="shared" si="794"/>
        <v>9.8039215686274508E-3</v>
      </c>
      <c r="CJ895" s="59">
        <f t="shared" si="795"/>
        <v>9.8039215686274508E-3</v>
      </c>
      <c r="CL895" s="63">
        <v>6000</v>
      </c>
      <c r="CM895" s="63">
        <f t="shared" si="796"/>
        <v>165.1</v>
      </c>
      <c r="CN895" s="63">
        <f t="shared" si="797"/>
        <v>170.1</v>
      </c>
      <c r="CO895" s="63">
        <f t="shared" si="798"/>
        <v>35.273368606701943</v>
      </c>
      <c r="CP895" s="13">
        <f t="shared" si="799"/>
        <v>35</v>
      </c>
      <c r="CQ895" s="70">
        <f t="shared" si="800"/>
        <v>2.8571428571428571E-2</v>
      </c>
      <c r="CR895" s="69">
        <f t="shared" si="820"/>
        <v>2.8571428571428571E-2</v>
      </c>
    </row>
    <row r="896" spans="1:96" hidden="1" x14ac:dyDescent="0.25">
      <c r="A896" s="10">
        <v>3</v>
      </c>
      <c r="B896" s="8" t="s">
        <v>1979</v>
      </c>
      <c r="C896" s="10" t="s">
        <v>1970</v>
      </c>
      <c r="D896" s="10" t="s">
        <v>1993</v>
      </c>
      <c r="E896" s="10" t="s">
        <v>52</v>
      </c>
      <c r="F896" s="12">
        <f t="shared" si="769"/>
        <v>6</v>
      </c>
      <c r="G896" s="10">
        <v>1</v>
      </c>
      <c r="H896" s="10">
        <f t="shared" si="824"/>
        <v>1</v>
      </c>
      <c r="I896" s="10">
        <v>6</v>
      </c>
      <c r="J896" s="8" t="s">
        <v>480</v>
      </c>
      <c r="K896" s="8" t="s">
        <v>34</v>
      </c>
      <c r="L896" s="10">
        <v>0</v>
      </c>
      <c r="M896" s="8" t="s">
        <v>35</v>
      </c>
      <c r="N896" s="10" t="s">
        <v>1993</v>
      </c>
      <c r="O896" s="28"/>
      <c r="P896" s="28"/>
      <c r="Q896" s="28" t="s">
        <v>1993</v>
      </c>
      <c r="R896" s="30">
        <v>6.5</v>
      </c>
      <c r="S896" s="30">
        <v>6.5</v>
      </c>
      <c r="T896" s="30"/>
      <c r="U896" s="30">
        <v>0.12</v>
      </c>
      <c r="V896" s="8">
        <f t="shared" si="770"/>
        <v>165.1</v>
      </c>
      <c r="W896" s="8">
        <f t="shared" si="771"/>
        <v>165.1</v>
      </c>
      <c r="X896" s="8">
        <f t="shared" si="772"/>
        <v>0</v>
      </c>
      <c r="Y896" s="33">
        <f t="shared" si="773"/>
        <v>3.0479999999999996</v>
      </c>
      <c r="Z896" s="28" t="s">
        <v>1971</v>
      </c>
      <c r="AA896" s="28" t="s">
        <v>1972</v>
      </c>
      <c r="AB896" s="61" t="s">
        <v>1993</v>
      </c>
      <c r="AC896" s="31" t="s">
        <v>1973</v>
      </c>
      <c r="AD896" s="50">
        <f t="shared" si="774"/>
        <v>1</v>
      </c>
      <c r="AE896" s="31"/>
      <c r="AF896" s="51">
        <v>14</v>
      </c>
      <c r="AG896" s="51">
        <f t="shared" si="802"/>
        <v>8.4</v>
      </c>
      <c r="AH896" s="51">
        <f t="shared" si="768"/>
        <v>42</v>
      </c>
      <c r="AI896" s="52" t="s">
        <v>2497</v>
      </c>
      <c r="AJ896" s="52" t="s">
        <v>2498</v>
      </c>
      <c r="AK896" s="53">
        <f t="shared" si="803"/>
        <v>5.4516019999999998E-2</v>
      </c>
      <c r="AL896" s="54">
        <f t="shared" si="804"/>
        <v>0.11904761904761904</v>
      </c>
      <c r="AM896" s="54">
        <f t="shared" si="805"/>
        <v>2.3809523809523808E-2</v>
      </c>
      <c r="AN896" s="55">
        <f t="shared" si="806"/>
        <v>6.4900023809523807E-3</v>
      </c>
      <c r="AO896" s="55">
        <f t="shared" si="807"/>
        <v>1.298000476190476E-3</v>
      </c>
      <c r="AP896" s="53">
        <v>7.1</v>
      </c>
      <c r="AQ896" s="53">
        <f t="shared" si="775"/>
        <v>4.26</v>
      </c>
      <c r="AR896" s="53">
        <f t="shared" si="776"/>
        <v>21.299999999999997</v>
      </c>
      <c r="AS896" s="56">
        <f t="shared" si="777"/>
        <v>4.6948356807511742E-2</v>
      </c>
      <c r="AT896" s="56">
        <f t="shared" si="808"/>
        <v>0.23474178403755869</v>
      </c>
      <c r="AU896" s="56">
        <f t="shared" si="778"/>
        <v>0.176056338028169</v>
      </c>
      <c r="AV896" s="56">
        <f t="shared" si="809"/>
        <v>5.8685446009389672E-2</v>
      </c>
      <c r="AW896" s="57"/>
      <c r="AX896" s="57"/>
      <c r="AY896" s="57"/>
      <c r="AZ896" s="58">
        <f t="shared" si="810"/>
        <v>5.4516019999999998E-2</v>
      </c>
      <c r="BA896" s="59">
        <f t="shared" si="811"/>
        <v>0</v>
      </c>
      <c r="BB896" s="59">
        <f t="shared" si="812"/>
        <v>0</v>
      </c>
      <c r="BC896" s="59">
        <f t="shared" si="813"/>
        <v>0</v>
      </c>
      <c r="BD896" s="60">
        <f t="shared" si="814"/>
        <v>9.8039215686274508E-3</v>
      </c>
      <c r="BE896" s="59">
        <f t="shared" si="815"/>
        <v>9.8039215686274508E-3</v>
      </c>
      <c r="BQ896" s="61">
        <v>3000</v>
      </c>
      <c r="BR896" s="61">
        <v>1200</v>
      </c>
      <c r="BS896" s="28">
        <f t="shared" si="779"/>
        <v>2980</v>
      </c>
      <c r="BT896" s="28">
        <f t="shared" si="780"/>
        <v>1180</v>
      </c>
      <c r="BU896" s="28" t="s">
        <v>2541</v>
      </c>
      <c r="BV896" s="28">
        <f t="shared" si="781"/>
        <v>170.1</v>
      </c>
      <c r="BW896" s="28">
        <f t="shared" si="782"/>
        <v>170.1</v>
      </c>
      <c r="BX896" s="13">
        <f t="shared" si="783"/>
        <v>17.519106407995299</v>
      </c>
      <c r="BY896" s="13">
        <f t="shared" si="784"/>
        <v>17</v>
      </c>
      <c r="BZ896" s="13">
        <f t="shared" si="785"/>
        <v>6.9370958259847155</v>
      </c>
      <c r="CA896" s="13">
        <f t="shared" si="786"/>
        <v>6</v>
      </c>
      <c r="CB896" s="13">
        <f t="shared" si="787"/>
        <v>102</v>
      </c>
      <c r="CC896" s="62">
        <f t="shared" si="788"/>
        <v>9.8039215686274508E-3</v>
      </c>
      <c r="CD896" s="13">
        <f t="shared" si="789"/>
        <v>17.519106407995299</v>
      </c>
      <c r="CE896" s="13">
        <f t="shared" si="790"/>
        <v>17</v>
      </c>
      <c r="CF896" s="13">
        <f t="shared" si="791"/>
        <v>6.9370958259847155</v>
      </c>
      <c r="CG896" s="13">
        <f t="shared" si="792"/>
        <v>6</v>
      </c>
      <c r="CH896" s="28">
        <f t="shared" si="793"/>
        <v>102</v>
      </c>
      <c r="CI896" s="62">
        <f t="shared" si="794"/>
        <v>9.8039215686274508E-3</v>
      </c>
      <c r="CJ896" s="59">
        <f t="shared" si="795"/>
        <v>9.8039215686274508E-3</v>
      </c>
      <c r="CL896" s="63">
        <v>6000</v>
      </c>
      <c r="CM896" s="63">
        <f t="shared" si="796"/>
        <v>165.1</v>
      </c>
      <c r="CN896" s="63">
        <f t="shared" si="797"/>
        <v>170.1</v>
      </c>
      <c r="CO896" s="63">
        <f t="shared" si="798"/>
        <v>35.273368606701943</v>
      </c>
      <c r="CP896" s="13">
        <f t="shared" si="799"/>
        <v>35</v>
      </c>
      <c r="CQ896" s="70">
        <f t="shared" si="800"/>
        <v>2.8571428571428571E-2</v>
      </c>
      <c r="CR896" s="69">
        <f t="shared" si="820"/>
        <v>2.8571428571428571E-2</v>
      </c>
    </row>
    <row r="897" spans="1:96" hidden="1" x14ac:dyDescent="0.25">
      <c r="A897" s="10">
        <v>3</v>
      </c>
      <c r="B897" s="8" t="s">
        <v>1979</v>
      </c>
      <c r="C897" s="10" t="s">
        <v>1903</v>
      </c>
      <c r="D897" s="10" t="s">
        <v>1905</v>
      </c>
      <c r="E897" s="10" t="s">
        <v>52</v>
      </c>
      <c r="F897" s="12">
        <f t="shared" si="769"/>
        <v>8</v>
      </c>
      <c r="G897" s="10">
        <v>2</v>
      </c>
      <c r="H897" s="10">
        <f t="shared" si="824"/>
        <v>2</v>
      </c>
      <c r="I897" s="10">
        <v>7</v>
      </c>
      <c r="J897" s="8" t="s">
        <v>1904</v>
      </c>
      <c r="K897" s="8" t="s">
        <v>34</v>
      </c>
      <c r="L897" s="10">
        <v>0</v>
      </c>
      <c r="M897" s="8" t="s">
        <v>340</v>
      </c>
      <c r="N897" s="10" t="s">
        <v>1905</v>
      </c>
      <c r="O897" s="28"/>
      <c r="P897" s="28"/>
      <c r="Q897" s="28" t="s">
        <v>1905</v>
      </c>
      <c r="R897" s="30">
        <v>3.35</v>
      </c>
      <c r="S897" s="30">
        <v>1.58</v>
      </c>
      <c r="T897" s="30"/>
      <c r="U897" s="30">
        <v>2.12</v>
      </c>
      <c r="V897" s="8">
        <f t="shared" si="770"/>
        <v>85.09</v>
      </c>
      <c r="W897" s="8">
        <f t="shared" si="771"/>
        <v>40.131999999999998</v>
      </c>
      <c r="X897" s="8">
        <f t="shared" si="772"/>
        <v>0</v>
      </c>
      <c r="Y897" s="33">
        <f t="shared" si="773"/>
        <v>53.847999999999999</v>
      </c>
      <c r="Z897" s="28"/>
      <c r="AA897" s="28"/>
      <c r="AB897" s="61" t="s">
        <v>1905</v>
      </c>
      <c r="AC897" s="31" t="s">
        <v>1906</v>
      </c>
      <c r="AD897" s="50">
        <f t="shared" si="774"/>
        <v>2</v>
      </c>
      <c r="AE897" s="31"/>
      <c r="AF897" s="51">
        <v>14</v>
      </c>
      <c r="AG897" s="51">
        <f t="shared" si="802"/>
        <v>8.4</v>
      </c>
      <c r="AH897" s="51">
        <f t="shared" si="768"/>
        <v>42</v>
      </c>
      <c r="AI897" s="52" t="s">
        <v>2497</v>
      </c>
      <c r="AJ897" s="52" t="s">
        <v>2498</v>
      </c>
      <c r="AK897" s="53">
        <f t="shared" si="803"/>
        <v>6.8296637600000001E-3</v>
      </c>
      <c r="AL897" s="54">
        <f t="shared" si="804"/>
        <v>0.11904761904761904</v>
      </c>
      <c r="AM897" s="54">
        <f t="shared" si="805"/>
        <v>2.3809523809523808E-2</v>
      </c>
      <c r="AN897" s="55">
        <f t="shared" si="806"/>
        <v>1.6261104190476189E-3</v>
      </c>
      <c r="AO897" s="55">
        <f t="shared" si="807"/>
        <v>3.2522208380952379E-4</v>
      </c>
      <c r="AP897" s="53">
        <v>7.1</v>
      </c>
      <c r="AQ897" s="53">
        <f t="shared" si="775"/>
        <v>4.26</v>
      </c>
      <c r="AR897" s="53">
        <f t="shared" si="776"/>
        <v>21.299999999999997</v>
      </c>
      <c r="AS897" s="56">
        <f t="shared" si="777"/>
        <v>4.6948356807511742E-2</v>
      </c>
      <c r="AT897" s="56">
        <f t="shared" si="808"/>
        <v>0.23474178403755869</v>
      </c>
      <c r="AU897" s="56">
        <f t="shared" si="778"/>
        <v>0.176056338028169</v>
      </c>
      <c r="AV897" s="56">
        <f t="shared" si="809"/>
        <v>5.8685446009389672E-2</v>
      </c>
      <c r="AW897" s="57"/>
      <c r="AX897" s="57"/>
      <c r="AY897" s="57"/>
      <c r="AZ897" s="58">
        <f t="shared" si="810"/>
        <v>6.8296637600000001E-3</v>
      </c>
      <c r="BA897" s="59">
        <f t="shared" si="811"/>
        <v>0</v>
      </c>
      <c r="BB897" s="59">
        <f t="shared" si="812"/>
        <v>0</v>
      </c>
      <c r="BC897" s="59">
        <f t="shared" si="813"/>
        <v>0</v>
      </c>
      <c r="BD897" s="60">
        <f t="shared" si="814"/>
        <v>1.1655011655011655E-3</v>
      </c>
      <c r="BE897" s="59">
        <f t="shared" si="815"/>
        <v>2.331002331002331E-3</v>
      </c>
      <c r="BQ897" s="61">
        <v>3000</v>
      </c>
      <c r="BR897" s="61">
        <v>1200</v>
      </c>
      <c r="BS897" s="28">
        <f t="shared" si="779"/>
        <v>2980</v>
      </c>
      <c r="BT897" s="28">
        <f t="shared" si="780"/>
        <v>1180</v>
      </c>
      <c r="BU897" s="28" t="s">
        <v>2541</v>
      </c>
      <c r="BV897" s="28">
        <f t="shared" si="781"/>
        <v>90.09</v>
      </c>
      <c r="BW897" s="28">
        <f t="shared" si="782"/>
        <v>45.131999999999998</v>
      </c>
      <c r="BX897" s="13">
        <f t="shared" si="783"/>
        <v>33.07803307803308</v>
      </c>
      <c r="BY897" s="13">
        <f t="shared" si="784"/>
        <v>33</v>
      </c>
      <c r="BZ897" s="13">
        <f t="shared" si="785"/>
        <v>26.145528671452627</v>
      </c>
      <c r="CA897" s="13">
        <f t="shared" si="786"/>
        <v>26</v>
      </c>
      <c r="CB897" s="13">
        <f t="shared" si="787"/>
        <v>858</v>
      </c>
      <c r="CC897" s="62">
        <f t="shared" si="788"/>
        <v>1.1655011655011655E-3</v>
      </c>
      <c r="CD897" s="13">
        <f t="shared" si="789"/>
        <v>66.028538509261722</v>
      </c>
      <c r="CE897" s="13">
        <f t="shared" si="790"/>
        <v>66</v>
      </c>
      <c r="CF897" s="13">
        <f t="shared" si="791"/>
        <v>13.098013098013098</v>
      </c>
      <c r="CG897" s="13">
        <f t="shared" si="792"/>
        <v>13</v>
      </c>
      <c r="CH897" s="28">
        <f t="shared" si="793"/>
        <v>858</v>
      </c>
      <c r="CI897" s="62">
        <f t="shared" si="794"/>
        <v>1.1655011655011655E-3</v>
      </c>
      <c r="CJ897" s="59">
        <f t="shared" si="795"/>
        <v>1.1655011655011655E-3</v>
      </c>
      <c r="CL897" s="63">
        <v>6000</v>
      </c>
      <c r="CM897" s="63">
        <f t="shared" si="796"/>
        <v>85.09</v>
      </c>
      <c r="CN897" s="63">
        <f t="shared" si="797"/>
        <v>90.09</v>
      </c>
      <c r="CO897" s="63">
        <f t="shared" si="798"/>
        <v>66.600066600066597</v>
      </c>
      <c r="CP897" s="13">
        <f t="shared" si="799"/>
        <v>66</v>
      </c>
      <c r="CQ897" s="70">
        <f t="shared" si="800"/>
        <v>1.5151515151515152E-2</v>
      </c>
      <c r="CR897" s="69">
        <f t="shared" si="820"/>
        <v>3.0303030303030304E-2</v>
      </c>
    </row>
    <row r="898" spans="1:96" hidden="1" x14ac:dyDescent="0.25">
      <c r="A898" s="10">
        <v>3</v>
      </c>
      <c r="B898" s="8" t="s">
        <v>1979</v>
      </c>
      <c r="C898" s="10" t="s">
        <v>1907</v>
      </c>
      <c r="D898" s="10" t="s">
        <v>1908</v>
      </c>
      <c r="E898" s="10" t="s">
        <v>52</v>
      </c>
      <c r="F898" s="12">
        <f t="shared" si="769"/>
        <v>8</v>
      </c>
      <c r="G898" s="10">
        <v>2</v>
      </c>
      <c r="H898" s="10">
        <f t="shared" si="824"/>
        <v>2</v>
      </c>
      <c r="I898" s="10">
        <v>8</v>
      </c>
      <c r="J898" s="8" t="s">
        <v>1904</v>
      </c>
      <c r="K898" s="8" t="s">
        <v>34</v>
      </c>
      <c r="L898" s="10">
        <v>0</v>
      </c>
      <c r="M898" s="8" t="s">
        <v>340</v>
      </c>
      <c r="N898" s="10" t="s">
        <v>1908</v>
      </c>
      <c r="O898" s="28"/>
      <c r="P898" s="28"/>
      <c r="Q898" s="28" t="s">
        <v>1908</v>
      </c>
      <c r="R898" s="30">
        <v>5.54</v>
      </c>
      <c r="S898" s="30">
        <v>2.25</v>
      </c>
      <c r="T898" s="30"/>
      <c r="U898" s="30">
        <v>4.25</v>
      </c>
      <c r="V898" s="8">
        <f t="shared" si="770"/>
        <v>140.71599999999998</v>
      </c>
      <c r="W898" s="8">
        <f t="shared" si="771"/>
        <v>57.15</v>
      </c>
      <c r="X898" s="8">
        <f t="shared" si="772"/>
        <v>0</v>
      </c>
      <c r="Y898" s="33">
        <f t="shared" si="773"/>
        <v>107.94999999999999</v>
      </c>
      <c r="Z898" s="28"/>
      <c r="AA898" s="28"/>
      <c r="AB898" s="61" t="s">
        <v>1908</v>
      </c>
      <c r="AC898" s="31" t="s">
        <v>2553</v>
      </c>
      <c r="AD898" s="50">
        <f t="shared" si="774"/>
        <v>2</v>
      </c>
      <c r="AE898" s="31"/>
      <c r="AF898" s="51">
        <v>14</v>
      </c>
      <c r="AG898" s="51">
        <f t="shared" si="802"/>
        <v>8.4</v>
      </c>
      <c r="AH898" s="51">
        <f t="shared" ref="AH898:AH961" si="825">AG898/0.2</f>
        <v>42</v>
      </c>
      <c r="AI898" s="52" t="s">
        <v>2497</v>
      </c>
      <c r="AJ898" s="52" t="s">
        <v>2498</v>
      </c>
      <c r="AK898" s="53">
        <f t="shared" si="803"/>
        <v>1.6083838799999996E-2</v>
      </c>
      <c r="AL898" s="54">
        <f t="shared" si="804"/>
        <v>0.11904761904761904</v>
      </c>
      <c r="AM898" s="54">
        <f t="shared" si="805"/>
        <v>2.3809523809523808E-2</v>
      </c>
      <c r="AN898" s="55">
        <f t="shared" si="806"/>
        <v>3.8294854285714276E-3</v>
      </c>
      <c r="AO898" s="55">
        <f t="shared" si="807"/>
        <v>7.6589708571428547E-4</v>
      </c>
      <c r="AP898" s="53">
        <v>7.1</v>
      </c>
      <c r="AQ898" s="53">
        <f t="shared" si="775"/>
        <v>4.26</v>
      </c>
      <c r="AR898" s="53">
        <f t="shared" si="776"/>
        <v>21.299999999999997</v>
      </c>
      <c r="AS898" s="56">
        <f t="shared" si="777"/>
        <v>4.6948356807511742E-2</v>
      </c>
      <c r="AT898" s="56">
        <f t="shared" si="808"/>
        <v>0.23474178403755869</v>
      </c>
      <c r="AU898" s="56">
        <f t="shared" si="778"/>
        <v>0.176056338028169</v>
      </c>
      <c r="AV898" s="56">
        <f t="shared" si="809"/>
        <v>5.8685446009389672E-2</v>
      </c>
      <c r="AW898" s="57"/>
      <c r="AX898" s="57"/>
      <c r="AY898" s="57"/>
      <c r="AZ898" s="58">
        <f t="shared" si="810"/>
        <v>1.6083838799999996E-2</v>
      </c>
      <c r="BA898" s="59">
        <f t="shared" si="811"/>
        <v>0</v>
      </c>
      <c r="BB898" s="59">
        <f t="shared" si="812"/>
        <v>0</v>
      </c>
      <c r="BC898" s="59">
        <f t="shared" si="813"/>
        <v>0</v>
      </c>
      <c r="BD898" s="60">
        <f t="shared" si="814"/>
        <v>2.6595744680851063E-3</v>
      </c>
      <c r="BE898" s="59">
        <f t="shared" si="815"/>
        <v>5.3191489361702126E-3</v>
      </c>
      <c r="BQ898" s="61">
        <v>3000</v>
      </c>
      <c r="BR898" s="61">
        <v>1200</v>
      </c>
      <c r="BS898" s="28">
        <f t="shared" si="779"/>
        <v>2980</v>
      </c>
      <c r="BT898" s="28">
        <f t="shared" si="780"/>
        <v>1180</v>
      </c>
      <c r="BU898" s="28" t="s">
        <v>2541</v>
      </c>
      <c r="BV898" s="28">
        <f t="shared" si="781"/>
        <v>145.71599999999998</v>
      </c>
      <c r="BW898" s="28">
        <f t="shared" si="782"/>
        <v>62.15</v>
      </c>
      <c r="BX898" s="13">
        <f t="shared" si="783"/>
        <v>20.450739795218098</v>
      </c>
      <c r="BY898" s="13">
        <f t="shared" si="784"/>
        <v>20</v>
      </c>
      <c r="BZ898" s="13">
        <f t="shared" si="785"/>
        <v>18.986323411102173</v>
      </c>
      <c r="CA898" s="13">
        <f t="shared" si="786"/>
        <v>18</v>
      </c>
      <c r="CB898" s="13">
        <f t="shared" si="787"/>
        <v>360</v>
      </c>
      <c r="CC898" s="62">
        <f t="shared" si="788"/>
        <v>2.7777777777777779E-3</v>
      </c>
      <c r="CD898" s="13">
        <f t="shared" si="789"/>
        <v>47.948511665325825</v>
      </c>
      <c r="CE898" s="13">
        <f t="shared" si="790"/>
        <v>47</v>
      </c>
      <c r="CF898" s="13">
        <f t="shared" si="791"/>
        <v>8.0979439457575015</v>
      </c>
      <c r="CG898" s="13">
        <f t="shared" si="792"/>
        <v>8</v>
      </c>
      <c r="CH898" s="28">
        <f t="shared" si="793"/>
        <v>376</v>
      </c>
      <c r="CI898" s="62">
        <f t="shared" si="794"/>
        <v>2.6595744680851063E-3</v>
      </c>
      <c r="CJ898" s="59">
        <f t="shared" si="795"/>
        <v>2.6595744680851063E-3</v>
      </c>
      <c r="CL898" s="63">
        <v>6000</v>
      </c>
      <c r="CM898" s="63">
        <f t="shared" si="796"/>
        <v>140.71599999999998</v>
      </c>
      <c r="CN898" s="63">
        <f t="shared" si="797"/>
        <v>145.71599999999998</v>
      </c>
      <c r="CO898" s="63">
        <f t="shared" si="798"/>
        <v>41.175986164868654</v>
      </c>
      <c r="CP898" s="13">
        <f t="shared" si="799"/>
        <v>41</v>
      </c>
      <c r="CQ898" s="70">
        <f t="shared" si="800"/>
        <v>2.4390243902439025E-2</v>
      </c>
      <c r="CR898" s="69">
        <f t="shared" si="820"/>
        <v>4.878048780487805E-2</v>
      </c>
    </row>
    <row r="899" spans="1:96" hidden="1" x14ac:dyDescent="0.25">
      <c r="A899" s="10">
        <v>3</v>
      </c>
      <c r="B899" s="8" t="s">
        <v>1979</v>
      </c>
      <c r="C899" s="10" t="s">
        <v>1974</v>
      </c>
      <c r="D899" s="10" t="s">
        <v>1994</v>
      </c>
      <c r="E899" s="10" t="s">
        <v>52</v>
      </c>
      <c r="F899" s="12">
        <f t="shared" ref="F899:F962" si="826">COUNTIF($C$2:$C$1202,C899)</f>
        <v>6</v>
      </c>
      <c r="G899" s="10">
        <v>4</v>
      </c>
      <c r="H899" s="10">
        <f t="shared" si="824"/>
        <v>4</v>
      </c>
      <c r="I899" s="10">
        <v>9</v>
      </c>
      <c r="J899" s="8" t="s">
        <v>1975</v>
      </c>
      <c r="K899" s="8" t="s">
        <v>34</v>
      </c>
      <c r="L899" s="10" t="s">
        <v>259</v>
      </c>
      <c r="M899" s="8" t="s">
        <v>35</v>
      </c>
      <c r="N899" s="10" t="s">
        <v>1994</v>
      </c>
      <c r="O899" s="28"/>
      <c r="P899" s="28"/>
      <c r="Q899" s="28" t="s">
        <v>1994</v>
      </c>
      <c r="R899" s="30"/>
      <c r="S899" s="30"/>
      <c r="T899" s="30"/>
      <c r="U899" s="30"/>
      <c r="V899" s="8">
        <f t="shared" ref="V899:V962" si="827">R899*25.4</f>
        <v>0</v>
      </c>
      <c r="W899" s="8">
        <f t="shared" ref="W899:W962" si="828">S899*25.4</f>
        <v>0</v>
      </c>
      <c r="X899" s="8">
        <f t="shared" ref="X899:X962" si="829">T899*25.4</f>
        <v>0</v>
      </c>
      <c r="Y899" s="33">
        <f t="shared" ref="Y899:Y962" si="830">U899*25.4</f>
        <v>0</v>
      </c>
      <c r="Z899" s="28"/>
      <c r="AA899" s="28"/>
      <c r="AB899" s="61" t="s">
        <v>1994</v>
      </c>
      <c r="AC899" s="31" t="s">
        <v>1976</v>
      </c>
      <c r="AD899" s="50">
        <f t="shared" ref="AD899:AD962" si="831">H899</f>
        <v>4</v>
      </c>
      <c r="AE899" s="31"/>
      <c r="AF899" s="51">
        <v>14</v>
      </c>
      <c r="AG899" s="51">
        <f t="shared" si="802"/>
        <v>8.4</v>
      </c>
      <c r="AH899" s="51">
        <f t="shared" si="825"/>
        <v>42</v>
      </c>
      <c r="AI899" s="52" t="s">
        <v>2497</v>
      </c>
      <c r="AJ899" s="52" t="s">
        <v>2498</v>
      </c>
      <c r="AK899" s="53">
        <f t="shared" si="803"/>
        <v>0</v>
      </c>
      <c r="AL899" s="54">
        <f t="shared" si="804"/>
        <v>0.11904761904761904</v>
      </c>
      <c r="AM899" s="54">
        <f t="shared" si="805"/>
        <v>2.3809523809523808E-2</v>
      </c>
      <c r="AN899" s="55">
        <f t="shared" si="806"/>
        <v>0</v>
      </c>
      <c r="AO899" s="55">
        <f t="shared" si="807"/>
        <v>0</v>
      </c>
      <c r="AP899" s="53">
        <v>7.1</v>
      </c>
      <c r="AQ899" s="53">
        <f t="shared" ref="AQ899:AQ962" si="832">AP899*0.6</f>
        <v>4.26</v>
      </c>
      <c r="AR899" s="53">
        <f t="shared" ref="AR899:AR962" si="833">AQ899*5</f>
        <v>21.299999999999997</v>
      </c>
      <c r="AS899" s="56">
        <f t="shared" ref="AS899:AS962" si="834">1/AR899</f>
        <v>4.6948356807511742E-2</v>
      </c>
      <c r="AT899" s="56">
        <f t="shared" si="808"/>
        <v>0.23474178403755869</v>
      </c>
      <c r="AU899" s="56">
        <f t="shared" ref="AU899:AU962" si="835">AT899*0.75</f>
        <v>0.176056338028169</v>
      </c>
      <c r="AV899" s="56">
        <f t="shared" si="809"/>
        <v>5.8685446009389672E-2</v>
      </c>
      <c r="AW899" s="57"/>
      <c r="AX899" s="57"/>
      <c r="AY899" s="57"/>
      <c r="AZ899" s="58">
        <f t="shared" si="810"/>
        <v>0</v>
      </c>
      <c r="BA899" s="59">
        <f t="shared" si="811"/>
        <v>0</v>
      </c>
      <c r="BB899" s="59">
        <f t="shared" si="812"/>
        <v>0</v>
      </c>
      <c r="BC899" s="59">
        <f t="shared" si="813"/>
        <v>0</v>
      </c>
      <c r="BD899" s="60">
        <f t="shared" si="814"/>
        <v>7.1095438516664771E-6</v>
      </c>
      <c r="BE899" s="59">
        <f t="shared" si="815"/>
        <v>2.8438175406665908E-5</v>
      </c>
      <c r="BQ899" s="61">
        <v>3000</v>
      </c>
      <c r="BR899" s="61">
        <v>1200</v>
      </c>
      <c r="BS899" s="28">
        <f t="shared" ref="BS899:BS962" si="836">BQ899-20</f>
        <v>2980</v>
      </c>
      <c r="BT899" s="28">
        <f t="shared" ref="BT899:BT962" si="837">BR899-20</f>
        <v>1180</v>
      </c>
      <c r="BU899" s="28" t="s">
        <v>2541</v>
      </c>
      <c r="BV899" s="28">
        <f t="shared" ref="BV899:BV962" si="838">V899+5</f>
        <v>5</v>
      </c>
      <c r="BW899" s="28">
        <f t="shared" ref="BW899:BW962" si="839">W899+5</f>
        <v>5</v>
      </c>
      <c r="BX899" s="13">
        <f t="shared" ref="BX899:BX962" si="840">BS899/BV899</f>
        <v>596</v>
      </c>
      <c r="BY899" s="13">
        <f t="shared" ref="BY899:BY962" si="841">ROUNDDOWN(BX899,0)</f>
        <v>596</v>
      </c>
      <c r="BZ899" s="13">
        <f t="shared" ref="BZ899:BZ962" si="842">BT899/BW899</f>
        <v>236</v>
      </c>
      <c r="CA899" s="13">
        <f t="shared" ref="CA899:CA962" si="843">ROUNDDOWN(BZ899,0)</f>
        <v>236</v>
      </c>
      <c r="CB899" s="13">
        <f t="shared" ref="CB899:CB962" si="844">BY899*CA899</f>
        <v>140656</v>
      </c>
      <c r="CC899" s="62">
        <f t="shared" ref="CC899:CC962" si="845">IF(E899="CJ","",IFERROR((1/CB899),1))</f>
        <v>7.1095438516664771E-6</v>
      </c>
      <c r="CD899" s="13">
        <f t="shared" ref="CD899:CD962" si="846">BS899/BW899</f>
        <v>596</v>
      </c>
      <c r="CE899" s="13">
        <f t="shared" ref="CE899:CE962" si="847">ROUNDDOWN(CD899,0)</f>
        <v>596</v>
      </c>
      <c r="CF899" s="13">
        <f t="shared" ref="CF899:CF962" si="848">BT899/BV899</f>
        <v>236</v>
      </c>
      <c r="CG899" s="13">
        <f t="shared" ref="CG899:CG962" si="849">ROUNDDOWN(CF899,0)</f>
        <v>236</v>
      </c>
      <c r="CH899" s="28">
        <f t="shared" ref="CH899:CH962" si="850">CE899*CG899</f>
        <v>140656</v>
      </c>
      <c r="CI899" s="62">
        <f t="shared" ref="CI899:CI962" si="851">IF(E899="CJ","",IFERROR((1/CH899),1))</f>
        <v>7.1095438516664771E-6</v>
      </c>
      <c r="CJ899" s="59">
        <f t="shared" ref="CJ899:CJ962" si="852">MIN(CC899,CI899)</f>
        <v>7.1095438516664771E-6</v>
      </c>
      <c r="CL899" s="63">
        <v>6000</v>
      </c>
      <c r="CM899" s="63">
        <f t="shared" ref="CM899:CM962" si="853">V899</f>
        <v>0</v>
      </c>
      <c r="CN899" s="63">
        <f t="shared" ref="CN899:CN962" si="854">CM899+5</f>
        <v>5</v>
      </c>
      <c r="CO899" s="63">
        <f t="shared" ref="CO899:CO962" si="855">CL899/CN899</f>
        <v>1200</v>
      </c>
      <c r="CP899" s="13">
        <f t="shared" ref="CP899:CP962" si="856">ROUNDDOWN(CO899,0)</f>
        <v>1200</v>
      </c>
      <c r="CQ899" s="70">
        <f t="shared" ref="CQ899:CQ962" si="857">1/CP899</f>
        <v>8.3333333333333339E-4</v>
      </c>
      <c r="CR899" s="69">
        <f t="shared" si="820"/>
        <v>3.3333333333333335E-3</v>
      </c>
    </row>
    <row r="900" spans="1:96" hidden="1" x14ac:dyDescent="0.25">
      <c r="A900" s="10">
        <v>3</v>
      </c>
      <c r="B900" s="8" t="s">
        <v>1979</v>
      </c>
      <c r="C900" s="10" t="s">
        <v>336</v>
      </c>
      <c r="D900" s="10" t="s">
        <v>341</v>
      </c>
      <c r="E900" s="10" t="s">
        <v>52</v>
      </c>
      <c r="F900" s="12">
        <f t="shared" si="826"/>
        <v>15</v>
      </c>
      <c r="G900" s="10" t="s">
        <v>337</v>
      </c>
      <c r="H900" s="10" t="str">
        <f>G900</f>
        <v>A/R</v>
      </c>
      <c r="I900" s="10">
        <v>10</v>
      </c>
      <c r="J900" s="8" t="s">
        <v>338</v>
      </c>
      <c r="K900" s="8" t="s">
        <v>34</v>
      </c>
      <c r="L900" s="10" t="s">
        <v>339</v>
      </c>
      <c r="M900" s="8" t="s">
        <v>340</v>
      </c>
      <c r="N900" s="10" t="s">
        <v>341</v>
      </c>
      <c r="O900" s="28" t="s">
        <v>2541</v>
      </c>
      <c r="P900" s="28" t="s">
        <v>2541</v>
      </c>
      <c r="Q900" s="28" t="s">
        <v>341</v>
      </c>
      <c r="R900" s="30"/>
      <c r="S900" s="30"/>
      <c r="T900" s="30"/>
      <c r="U900" s="30"/>
      <c r="V900" s="8">
        <f t="shared" si="827"/>
        <v>0</v>
      </c>
      <c r="W900" s="8">
        <f t="shared" si="828"/>
        <v>0</v>
      </c>
      <c r="X900" s="8">
        <f t="shared" si="829"/>
        <v>0</v>
      </c>
      <c r="Y900" s="33">
        <f t="shared" si="830"/>
        <v>0</v>
      </c>
      <c r="Z900" s="28"/>
      <c r="AA900" s="28"/>
      <c r="AB900" s="28" t="s">
        <v>341</v>
      </c>
      <c r="AC900" s="31" t="s">
        <v>342</v>
      </c>
      <c r="AD900" s="50">
        <v>0.01</v>
      </c>
      <c r="AE900" s="50" t="s">
        <v>337</v>
      </c>
      <c r="AF900" s="51">
        <v>14</v>
      </c>
      <c r="AG900" s="51">
        <f t="shared" si="802"/>
        <v>8.4</v>
      </c>
      <c r="AH900" s="51">
        <f t="shared" si="825"/>
        <v>42</v>
      </c>
      <c r="AI900" s="52" t="s">
        <v>2497</v>
      </c>
      <c r="AJ900" s="52" t="s">
        <v>2498</v>
      </c>
      <c r="AK900" s="53">
        <f t="shared" si="803"/>
        <v>0</v>
      </c>
      <c r="AL900" s="54">
        <f t="shared" si="804"/>
        <v>0.11904761904761904</v>
      </c>
      <c r="AM900" s="54">
        <f t="shared" si="805"/>
        <v>2.3809523809523808E-2</v>
      </c>
      <c r="AN900" s="55">
        <f t="shared" si="806"/>
        <v>0</v>
      </c>
      <c r="AO900" s="55">
        <f t="shared" si="807"/>
        <v>0</v>
      </c>
      <c r="AP900" s="53">
        <v>7.1</v>
      </c>
      <c r="AQ900" s="53">
        <f t="shared" si="832"/>
        <v>4.26</v>
      </c>
      <c r="AR900" s="53">
        <f t="shared" si="833"/>
        <v>21.299999999999997</v>
      </c>
      <c r="AS900" s="56">
        <f t="shared" si="834"/>
        <v>4.6948356807511742E-2</v>
      </c>
      <c r="AT900" s="56">
        <f t="shared" si="808"/>
        <v>0.23474178403755869</v>
      </c>
      <c r="AU900" s="56">
        <f t="shared" si="835"/>
        <v>0.176056338028169</v>
      </c>
      <c r="AV900" s="56">
        <f t="shared" si="809"/>
        <v>5.8685446009389672E-2</v>
      </c>
      <c r="AW900" s="57"/>
      <c r="AX900" s="57"/>
      <c r="AY900" s="57"/>
      <c r="AZ900" s="58">
        <f t="shared" si="810"/>
        <v>0</v>
      </c>
      <c r="BA900" s="59">
        <f t="shared" si="811"/>
        <v>0</v>
      </c>
      <c r="BB900" s="59">
        <f t="shared" si="812"/>
        <v>0</v>
      </c>
      <c r="BC900" s="59">
        <f t="shared" si="813"/>
        <v>0</v>
      </c>
      <c r="BD900" s="60">
        <f t="shared" si="814"/>
        <v>7.1095438516664771E-6</v>
      </c>
      <c r="BE900" s="59">
        <f t="shared" si="815"/>
        <v>7.1095438516664769E-8</v>
      </c>
      <c r="BQ900" s="61">
        <v>3000</v>
      </c>
      <c r="BR900" s="61">
        <v>1200</v>
      </c>
      <c r="BS900" s="28">
        <f t="shared" si="836"/>
        <v>2980</v>
      </c>
      <c r="BT900" s="28">
        <f t="shared" si="837"/>
        <v>1180</v>
      </c>
      <c r="BU900" s="28" t="s">
        <v>2541</v>
      </c>
      <c r="BV900" s="28">
        <f t="shared" si="838"/>
        <v>5</v>
      </c>
      <c r="BW900" s="28">
        <f t="shared" si="839"/>
        <v>5</v>
      </c>
      <c r="BX900" s="13">
        <f t="shared" si="840"/>
        <v>596</v>
      </c>
      <c r="BY900" s="13">
        <f t="shared" si="841"/>
        <v>596</v>
      </c>
      <c r="BZ900" s="13">
        <f t="shared" si="842"/>
        <v>236</v>
      </c>
      <c r="CA900" s="13">
        <f t="shared" si="843"/>
        <v>236</v>
      </c>
      <c r="CB900" s="13">
        <f t="shared" si="844"/>
        <v>140656</v>
      </c>
      <c r="CC900" s="62">
        <f t="shared" si="845"/>
        <v>7.1095438516664771E-6</v>
      </c>
      <c r="CD900" s="13">
        <f t="shared" si="846"/>
        <v>596</v>
      </c>
      <c r="CE900" s="13">
        <f t="shared" si="847"/>
        <v>596</v>
      </c>
      <c r="CF900" s="13">
        <f t="shared" si="848"/>
        <v>236</v>
      </c>
      <c r="CG900" s="13">
        <f t="shared" si="849"/>
        <v>236</v>
      </c>
      <c r="CH900" s="28">
        <f t="shared" si="850"/>
        <v>140656</v>
      </c>
      <c r="CI900" s="62">
        <f t="shared" si="851"/>
        <v>7.1095438516664771E-6</v>
      </c>
      <c r="CJ900" s="59">
        <f t="shared" si="852"/>
        <v>7.1095438516664771E-6</v>
      </c>
      <c r="CL900" s="63">
        <v>6000</v>
      </c>
      <c r="CM900" s="63">
        <f t="shared" si="853"/>
        <v>0</v>
      </c>
      <c r="CN900" s="63">
        <f t="shared" si="854"/>
        <v>5</v>
      </c>
      <c r="CO900" s="63">
        <f t="shared" si="855"/>
        <v>1200</v>
      </c>
      <c r="CP900" s="13">
        <f t="shared" si="856"/>
        <v>1200</v>
      </c>
      <c r="CQ900" s="70">
        <f t="shared" si="857"/>
        <v>8.3333333333333339E-4</v>
      </c>
      <c r="CR900" s="69">
        <f t="shared" si="820"/>
        <v>8.3333333333333337E-6</v>
      </c>
    </row>
    <row r="901" spans="1:96" hidden="1" x14ac:dyDescent="0.25">
      <c r="A901" s="10">
        <v>3</v>
      </c>
      <c r="B901" s="8" t="s">
        <v>1979</v>
      </c>
      <c r="C901" s="10" t="s">
        <v>1910</v>
      </c>
      <c r="D901" s="10" t="s">
        <v>1911</v>
      </c>
      <c r="E901" s="10" t="s">
        <v>52</v>
      </c>
      <c r="F901" s="12">
        <f t="shared" si="826"/>
        <v>8</v>
      </c>
      <c r="G901" s="10">
        <v>2</v>
      </c>
      <c r="H901" s="10">
        <f t="shared" si="824"/>
        <v>2</v>
      </c>
      <c r="I901" s="10">
        <v>11</v>
      </c>
      <c r="J901" s="8" t="s">
        <v>480</v>
      </c>
      <c r="K901" s="8" t="s">
        <v>34</v>
      </c>
      <c r="L901" s="10">
        <v>0</v>
      </c>
      <c r="M901" s="8" t="s">
        <v>35</v>
      </c>
      <c r="N901" s="10" t="s">
        <v>1911</v>
      </c>
      <c r="O901" s="28"/>
      <c r="P901" s="28"/>
      <c r="Q901" s="28" t="s">
        <v>1911</v>
      </c>
      <c r="R901" s="30">
        <v>3.1339999999999999</v>
      </c>
      <c r="S901" s="30">
        <v>1.4409999999999998</v>
      </c>
      <c r="T901" s="30"/>
      <c r="U901" s="30">
        <v>6.3E-2</v>
      </c>
      <c r="V901" s="8">
        <f t="shared" si="827"/>
        <v>79.603599999999986</v>
      </c>
      <c r="W901" s="8">
        <f t="shared" si="828"/>
        <v>36.601399999999991</v>
      </c>
      <c r="X901" s="8">
        <f t="shared" si="829"/>
        <v>0</v>
      </c>
      <c r="Y901" s="33">
        <f t="shared" si="830"/>
        <v>1.6001999999999998</v>
      </c>
      <c r="Z901" s="28" t="s">
        <v>1912</v>
      </c>
      <c r="AA901" s="28"/>
      <c r="AB901" s="61" t="s">
        <v>1911</v>
      </c>
      <c r="AC901" s="31" t="s">
        <v>1913</v>
      </c>
      <c r="AD901" s="50">
        <f t="shared" si="831"/>
        <v>2</v>
      </c>
      <c r="AE901" s="31"/>
      <c r="AF901" s="51">
        <v>14</v>
      </c>
      <c r="AG901" s="51">
        <f t="shared" si="802"/>
        <v>8.4</v>
      </c>
      <c r="AH901" s="51">
        <f t="shared" si="825"/>
        <v>42</v>
      </c>
      <c r="AI901" s="52" t="s">
        <v>2497</v>
      </c>
      <c r="AJ901" s="52" t="s">
        <v>2498</v>
      </c>
      <c r="AK901" s="53">
        <f t="shared" si="803"/>
        <v>5.8272064100799974E-3</v>
      </c>
      <c r="AL901" s="54">
        <f t="shared" si="804"/>
        <v>0.11904761904761904</v>
      </c>
      <c r="AM901" s="54">
        <f t="shared" si="805"/>
        <v>2.3809523809523808E-2</v>
      </c>
      <c r="AN901" s="55">
        <f t="shared" si="806"/>
        <v>1.3874300976380945E-3</v>
      </c>
      <c r="AO901" s="55">
        <f t="shared" si="807"/>
        <v>2.7748601952761891E-4</v>
      </c>
      <c r="AP901" s="53">
        <v>7.1</v>
      </c>
      <c r="AQ901" s="53">
        <f t="shared" si="832"/>
        <v>4.26</v>
      </c>
      <c r="AR901" s="53">
        <f t="shared" si="833"/>
        <v>21.299999999999997</v>
      </c>
      <c r="AS901" s="56">
        <f t="shared" si="834"/>
        <v>4.6948356807511742E-2</v>
      </c>
      <c r="AT901" s="56">
        <f t="shared" si="808"/>
        <v>0.23474178403755869</v>
      </c>
      <c r="AU901" s="56">
        <f t="shared" si="835"/>
        <v>0.176056338028169</v>
      </c>
      <c r="AV901" s="56">
        <f t="shared" si="809"/>
        <v>5.8685446009389672E-2</v>
      </c>
      <c r="AW901" s="57"/>
      <c r="AX901" s="57"/>
      <c r="AY901" s="57"/>
      <c r="AZ901" s="58">
        <f t="shared" si="810"/>
        <v>5.8272064100799974E-3</v>
      </c>
      <c r="BA901" s="59">
        <f t="shared" si="811"/>
        <v>0</v>
      </c>
      <c r="BB901" s="59">
        <f t="shared" si="812"/>
        <v>0</v>
      </c>
      <c r="BC901" s="59">
        <f t="shared" si="813"/>
        <v>0</v>
      </c>
      <c r="BD901" s="60">
        <f t="shared" si="814"/>
        <v>1.0204081632653062E-3</v>
      </c>
      <c r="BE901" s="59">
        <f t="shared" si="815"/>
        <v>2.0408163265306124E-3</v>
      </c>
      <c r="BQ901" s="61">
        <v>3000</v>
      </c>
      <c r="BR901" s="61">
        <v>1200</v>
      </c>
      <c r="BS901" s="28">
        <f t="shared" si="836"/>
        <v>2980</v>
      </c>
      <c r="BT901" s="28">
        <f t="shared" si="837"/>
        <v>1180</v>
      </c>
      <c r="BU901" s="28" t="s">
        <v>2541</v>
      </c>
      <c r="BV901" s="28">
        <f t="shared" si="838"/>
        <v>84.603599999999986</v>
      </c>
      <c r="BW901" s="28">
        <f t="shared" si="839"/>
        <v>41.601399999999991</v>
      </c>
      <c r="BX901" s="13">
        <f t="shared" si="840"/>
        <v>35.223087433631669</v>
      </c>
      <c r="BY901" s="13">
        <f t="shared" si="841"/>
        <v>35</v>
      </c>
      <c r="BZ901" s="13">
        <f t="shared" si="842"/>
        <v>28.364430043219706</v>
      </c>
      <c r="CA901" s="13">
        <f t="shared" si="843"/>
        <v>28</v>
      </c>
      <c r="CB901" s="13">
        <f t="shared" si="844"/>
        <v>980</v>
      </c>
      <c r="CC901" s="62">
        <f t="shared" si="845"/>
        <v>1.0204081632653062E-3</v>
      </c>
      <c r="CD901" s="13">
        <f t="shared" si="846"/>
        <v>71.632204685419254</v>
      </c>
      <c r="CE901" s="13">
        <f t="shared" si="847"/>
        <v>71</v>
      </c>
      <c r="CF901" s="13">
        <f t="shared" si="848"/>
        <v>13.947397037478312</v>
      </c>
      <c r="CG901" s="13">
        <f t="shared" si="849"/>
        <v>13</v>
      </c>
      <c r="CH901" s="28">
        <f t="shared" si="850"/>
        <v>923</v>
      </c>
      <c r="CI901" s="62">
        <f t="shared" si="851"/>
        <v>1.0834236186348862E-3</v>
      </c>
      <c r="CJ901" s="59">
        <f t="shared" si="852"/>
        <v>1.0204081632653062E-3</v>
      </c>
      <c r="CL901" s="63">
        <v>6000</v>
      </c>
      <c r="CM901" s="63">
        <f t="shared" si="853"/>
        <v>79.603599999999986</v>
      </c>
      <c r="CN901" s="63">
        <f t="shared" si="854"/>
        <v>84.603599999999986</v>
      </c>
      <c r="CO901" s="63">
        <f t="shared" si="855"/>
        <v>70.918967987177865</v>
      </c>
      <c r="CP901" s="13">
        <f t="shared" si="856"/>
        <v>70</v>
      </c>
      <c r="CQ901" s="70">
        <f t="shared" si="857"/>
        <v>1.4285714285714285E-2</v>
      </c>
      <c r="CR901" s="69">
        <f t="shared" si="820"/>
        <v>2.8571428571428571E-2</v>
      </c>
    </row>
    <row r="902" spans="1:96" hidden="1" x14ac:dyDescent="0.25">
      <c r="A902" s="10">
        <v>3</v>
      </c>
      <c r="B902" s="8" t="s">
        <v>1979</v>
      </c>
      <c r="C902" s="10" t="s">
        <v>492</v>
      </c>
      <c r="D902" s="10" t="s">
        <v>495</v>
      </c>
      <c r="E902" s="10" t="s">
        <v>52</v>
      </c>
      <c r="F902" s="12">
        <f t="shared" si="826"/>
        <v>7</v>
      </c>
      <c r="G902" s="10" t="s">
        <v>337</v>
      </c>
      <c r="H902" s="10" t="str">
        <f>G902</f>
        <v>A/R</v>
      </c>
      <c r="I902" s="10">
        <v>12</v>
      </c>
      <c r="J902" s="8" t="s">
        <v>493</v>
      </c>
      <c r="K902" s="8" t="s">
        <v>494</v>
      </c>
      <c r="L902" s="10" t="s">
        <v>339</v>
      </c>
      <c r="M902" s="8" t="s">
        <v>35</v>
      </c>
      <c r="N902" s="10" t="s">
        <v>495</v>
      </c>
      <c r="O902" s="28"/>
      <c r="P902" s="28"/>
      <c r="Q902" s="28" t="s">
        <v>495</v>
      </c>
      <c r="R902" s="30"/>
      <c r="S902" s="30"/>
      <c r="T902" s="30"/>
      <c r="U902" s="30"/>
      <c r="V902" s="8">
        <f t="shared" si="827"/>
        <v>0</v>
      </c>
      <c r="W902" s="8">
        <f t="shared" si="828"/>
        <v>0</v>
      </c>
      <c r="X902" s="8">
        <f t="shared" si="829"/>
        <v>0</v>
      </c>
      <c r="Y902" s="33">
        <f t="shared" si="830"/>
        <v>0</v>
      </c>
      <c r="Z902" s="28"/>
      <c r="AA902" s="28"/>
      <c r="AB902" s="61" t="s">
        <v>495</v>
      </c>
      <c r="AC902" s="31" t="s">
        <v>496</v>
      </c>
      <c r="AD902" s="50">
        <v>0</v>
      </c>
      <c r="AE902" s="50" t="s">
        <v>337</v>
      </c>
      <c r="AF902" s="51">
        <v>14</v>
      </c>
      <c r="AG902" s="51">
        <f t="shared" ref="AG902:AG965" si="858">AF902*0.6</f>
        <v>8.4</v>
      </c>
      <c r="AH902" s="51">
        <f t="shared" si="825"/>
        <v>42</v>
      </c>
      <c r="AI902" s="52" t="s">
        <v>2497</v>
      </c>
      <c r="AJ902" s="52" t="s">
        <v>2498</v>
      </c>
      <c r="AK902" s="53">
        <f t="shared" ref="AK902:AK965" si="859">(V902*W902)*2/1000000</f>
        <v>0</v>
      </c>
      <c r="AL902" s="54">
        <f t="shared" ref="AL902:AL965" si="860">1/(AF902*0.6)</f>
        <v>0.11904761904761904</v>
      </c>
      <c r="AM902" s="54">
        <f t="shared" ref="AM902:AM965" si="861">1/AG902*(20/100)</f>
        <v>2.3809523809523808E-2</v>
      </c>
      <c r="AN902" s="55">
        <f t="shared" ref="AN902:AN965" si="862">IF(AI902&lt;&gt;0,(AK902*AL902*AD902),0)</f>
        <v>0</v>
      </c>
      <c r="AO902" s="55">
        <f t="shared" ref="AO902:AO965" si="863">IF(AJ902&lt;&gt;0,(AK902*AM902*AD902),0)</f>
        <v>0</v>
      </c>
      <c r="AP902" s="53">
        <v>7.1</v>
      </c>
      <c r="AQ902" s="53">
        <f t="shared" si="832"/>
        <v>4.26</v>
      </c>
      <c r="AR902" s="53">
        <f t="shared" si="833"/>
        <v>21.299999999999997</v>
      </c>
      <c r="AS902" s="56">
        <f t="shared" si="834"/>
        <v>4.6948356807511742E-2</v>
      </c>
      <c r="AT902" s="56">
        <f t="shared" ref="AT902:AT965" si="864">1/AQ902</f>
        <v>0.23474178403755869</v>
      </c>
      <c r="AU902" s="56">
        <f t="shared" si="835"/>
        <v>0.176056338028169</v>
      </c>
      <c r="AV902" s="56">
        <f t="shared" ref="AV902:AV965" si="865">AT902*0.25</f>
        <v>5.8685446009389672E-2</v>
      </c>
      <c r="AW902" s="57"/>
      <c r="AX902" s="57"/>
      <c r="AY902" s="57"/>
      <c r="AZ902" s="58">
        <f t="shared" ref="AZ902:AZ965" si="866">(V902*W902)*2/1000000</f>
        <v>0</v>
      </c>
      <c r="BA902" s="59">
        <f t="shared" ref="BA902:BA965" si="867">IF(AW902&lt;&gt;0,(AV902*AD902*AK902),0)</f>
        <v>0</v>
      </c>
      <c r="BB902" s="59">
        <f t="shared" ref="BB902:BB965" si="868">IF(AX902&lt;&gt;0,(AD902*AU902*AZ902),0)</f>
        <v>0</v>
      </c>
      <c r="BC902" s="59">
        <f t="shared" ref="BC902:BC965" si="869">IF(AY902&lt;&gt;0,(AD902*AS902*AZ902),0)</f>
        <v>0</v>
      </c>
      <c r="BD902" s="60">
        <f t="shared" ref="BD902:BD965" si="870">CJ902</f>
        <v>7.1095438516664771E-6</v>
      </c>
      <c r="BE902" s="59">
        <f t="shared" ref="BE902:BE965" si="871">BD902*AD902</f>
        <v>0</v>
      </c>
      <c r="BQ902" s="61">
        <v>3000</v>
      </c>
      <c r="BR902" s="61">
        <v>1200</v>
      </c>
      <c r="BS902" s="28">
        <f t="shared" si="836"/>
        <v>2980</v>
      </c>
      <c r="BT902" s="28">
        <f t="shared" si="837"/>
        <v>1180</v>
      </c>
      <c r="BU902" s="28" t="s">
        <v>2541</v>
      </c>
      <c r="BV902" s="28">
        <f t="shared" si="838"/>
        <v>5</v>
      </c>
      <c r="BW902" s="28">
        <f t="shared" si="839"/>
        <v>5</v>
      </c>
      <c r="BX902" s="13">
        <f t="shared" si="840"/>
        <v>596</v>
      </c>
      <c r="BY902" s="13">
        <f t="shared" si="841"/>
        <v>596</v>
      </c>
      <c r="BZ902" s="13">
        <f t="shared" si="842"/>
        <v>236</v>
      </c>
      <c r="CA902" s="13">
        <f t="shared" si="843"/>
        <v>236</v>
      </c>
      <c r="CB902" s="13">
        <f t="shared" si="844"/>
        <v>140656</v>
      </c>
      <c r="CC902" s="62">
        <f t="shared" si="845"/>
        <v>7.1095438516664771E-6</v>
      </c>
      <c r="CD902" s="13">
        <f t="shared" si="846"/>
        <v>596</v>
      </c>
      <c r="CE902" s="13">
        <f t="shared" si="847"/>
        <v>596</v>
      </c>
      <c r="CF902" s="13">
        <f t="shared" si="848"/>
        <v>236</v>
      </c>
      <c r="CG902" s="13">
        <f t="shared" si="849"/>
        <v>236</v>
      </c>
      <c r="CH902" s="28">
        <f t="shared" si="850"/>
        <v>140656</v>
      </c>
      <c r="CI902" s="62">
        <f t="shared" si="851"/>
        <v>7.1095438516664771E-6</v>
      </c>
      <c r="CJ902" s="59">
        <f t="shared" si="852"/>
        <v>7.1095438516664771E-6</v>
      </c>
      <c r="CL902" s="63">
        <v>6000</v>
      </c>
      <c r="CM902" s="63">
        <f t="shared" si="853"/>
        <v>0</v>
      </c>
      <c r="CN902" s="63">
        <f t="shared" si="854"/>
        <v>5</v>
      </c>
      <c r="CO902" s="63">
        <f t="shared" si="855"/>
        <v>1200</v>
      </c>
      <c r="CP902" s="13">
        <f t="shared" si="856"/>
        <v>1200</v>
      </c>
      <c r="CQ902" s="70">
        <f t="shared" si="857"/>
        <v>8.3333333333333339E-4</v>
      </c>
      <c r="CR902" s="69">
        <f t="shared" si="820"/>
        <v>0</v>
      </c>
    </row>
    <row r="903" spans="1:96" hidden="1" x14ac:dyDescent="0.25">
      <c r="A903" s="36">
        <v>2</v>
      </c>
      <c r="B903" s="37" t="s">
        <v>1865</v>
      </c>
      <c r="C903" s="36" t="s">
        <v>1995</v>
      </c>
      <c r="D903" s="36" t="s">
        <v>2270</v>
      </c>
      <c r="E903" s="36" t="s">
        <v>32</v>
      </c>
      <c r="F903" s="38">
        <f t="shared" si="826"/>
        <v>1</v>
      </c>
      <c r="G903" s="36">
        <v>1</v>
      </c>
      <c r="H903" s="36">
        <f>G903*$H$794</f>
        <v>1</v>
      </c>
      <c r="I903" s="36">
        <v>5</v>
      </c>
      <c r="J903" s="37" t="s">
        <v>1867</v>
      </c>
      <c r="K903" s="37" t="s">
        <v>34</v>
      </c>
      <c r="L903" s="36">
        <v>0</v>
      </c>
      <c r="M903" s="37" t="s">
        <v>35</v>
      </c>
      <c r="N903" s="36" t="s">
        <v>1996</v>
      </c>
      <c r="O903" s="28" t="s">
        <v>41</v>
      </c>
      <c r="P903" s="28" t="s">
        <v>41</v>
      </c>
      <c r="Q903" s="28"/>
      <c r="R903" s="30"/>
      <c r="S903" s="30"/>
      <c r="T903" s="30"/>
      <c r="U903" s="30"/>
      <c r="V903" s="8">
        <f t="shared" si="827"/>
        <v>0</v>
      </c>
      <c r="W903" s="8">
        <f t="shared" si="828"/>
        <v>0</v>
      </c>
      <c r="X903" s="8">
        <f t="shared" si="829"/>
        <v>0</v>
      </c>
      <c r="Y903" s="33">
        <f t="shared" si="830"/>
        <v>0</v>
      </c>
      <c r="Z903" s="28"/>
      <c r="AA903" s="28"/>
      <c r="AB903" s="28">
        <v>0</v>
      </c>
      <c r="AC903" s="31"/>
      <c r="AD903" s="50">
        <f t="shared" si="831"/>
        <v>1</v>
      </c>
      <c r="AE903" s="31"/>
      <c r="AF903" s="51">
        <v>14</v>
      </c>
      <c r="AG903" s="51">
        <f t="shared" si="858"/>
        <v>8.4</v>
      </c>
      <c r="AH903" s="51">
        <f t="shared" si="825"/>
        <v>42</v>
      </c>
      <c r="AI903" s="52" t="s">
        <v>2497</v>
      </c>
      <c r="AJ903" s="52" t="s">
        <v>2498</v>
      </c>
      <c r="AK903" s="53">
        <f t="shared" si="859"/>
        <v>0</v>
      </c>
      <c r="AL903" s="54">
        <f t="shared" si="860"/>
        <v>0.11904761904761904</v>
      </c>
      <c r="AM903" s="54">
        <f t="shared" si="861"/>
        <v>2.3809523809523808E-2</v>
      </c>
      <c r="AN903" s="55">
        <f t="shared" si="862"/>
        <v>0</v>
      </c>
      <c r="AO903" s="55">
        <f t="shared" si="863"/>
        <v>0</v>
      </c>
      <c r="AP903" s="53">
        <v>7.1</v>
      </c>
      <c r="AQ903" s="53">
        <f t="shared" si="832"/>
        <v>4.26</v>
      </c>
      <c r="AR903" s="53">
        <f t="shared" si="833"/>
        <v>21.299999999999997</v>
      </c>
      <c r="AS903" s="56">
        <f t="shared" si="834"/>
        <v>4.6948356807511742E-2</v>
      </c>
      <c r="AT903" s="56">
        <f t="shared" si="864"/>
        <v>0.23474178403755869</v>
      </c>
      <c r="AU903" s="56">
        <f t="shared" si="835"/>
        <v>0.176056338028169</v>
      </c>
      <c r="AV903" s="56">
        <f t="shared" si="865"/>
        <v>5.8685446009389672E-2</v>
      </c>
      <c r="AW903" s="57"/>
      <c r="AX903" s="57"/>
      <c r="AY903" s="57"/>
      <c r="AZ903" s="58">
        <f t="shared" si="866"/>
        <v>0</v>
      </c>
      <c r="BA903" s="59">
        <f t="shared" si="867"/>
        <v>0</v>
      </c>
      <c r="BB903" s="59">
        <f t="shared" si="868"/>
        <v>0</v>
      </c>
      <c r="BC903" s="59">
        <f t="shared" si="869"/>
        <v>0</v>
      </c>
      <c r="BD903" s="60">
        <f t="shared" si="870"/>
        <v>0</v>
      </c>
      <c r="BE903" s="59">
        <f t="shared" si="871"/>
        <v>0</v>
      </c>
      <c r="BQ903" s="61">
        <v>3000</v>
      </c>
      <c r="BR903" s="61">
        <v>1200</v>
      </c>
      <c r="BS903" s="28">
        <f t="shared" si="836"/>
        <v>2980</v>
      </c>
      <c r="BT903" s="28">
        <f t="shared" si="837"/>
        <v>1180</v>
      </c>
      <c r="BU903" s="28" t="s">
        <v>2541</v>
      </c>
      <c r="BV903" s="28">
        <f t="shared" si="838"/>
        <v>5</v>
      </c>
      <c r="BW903" s="28">
        <f t="shared" si="839"/>
        <v>5</v>
      </c>
      <c r="BX903" s="13">
        <f t="shared" si="840"/>
        <v>596</v>
      </c>
      <c r="BY903" s="13">
        <f t="shared" si="841"/>
        <v>596</v>
      </c>
      <c r="BZ903" s="13">
        <f t="shared" si="842"/>
        <v>236</v>
      </c>
      <c r="CA903" s="13">
        <f t="shared" si="843"/>
        <v>236</v>
      </c>
      <c r="CB903" s="13">
        <f t="shared" si="844"/>
        <v>140656</v>
      </c>
      <c r="CC903" s="62" t="str">
        <f t="shared" si="845"/>
        <v/>
      </c>
      <c r="CD903" s="13">
        <f t="shared" si="846"/>
        <v>596</v>
      </c>
      <c r="CE903" s="13">
        <f t="shared" si="847"/>
        <v>596</v>
      </c>
      <c r="CF903" s="13">
        <f t="shared" si="848"/>
        <v>236</v>
      </c>
      <c r="CG903" s="13">
        <f t="shared" si="849"/>
        <v>236</v>
      </c>
      <c r="CH903" s="28">
        <f t="shared" si="850"/>
        <v>140656</v>
      </c>
      <c r="CI903" s="62" t="str">
        <f t="shared" si="851"/>
        <v/>
      </c>
      <c r="CJ903" s="59">
        <f t="shared" si="852"/>
        <v>0</v>
      </c>
      <c r="CL903" s="63">
        <v>6000</v>
      </c>
      <c r="CM903" s="63">
        <f t="shared" si="853"/>
        <v>0</v>
      </c>
      <c r="CN903" s="63">
        <f t="shared" si="854"/>
        <v>5</v>
      </c>
      <c r="CO903" s="63">
        <f t="shared" si="855"/>
        <v>1200</v>
      </c>
      <c r="CP903" s="13">
        <f t="shared" si="856"/>
        <v>1200</v>
      </c>
      <c r="CQ903" s="70">
        <f t="shared" si="857"/>
        <v>8.3333333333333339E-4</v>
      </c>
      <c r="CR903" s="69">
        <f t="shared" si="820"/>
        <v>8.3333333333333339E-4</v>
      </c>
    </row>
    <row r="904" spans="1:96" hidden="1" x14ac:dyDescent="0.25">
      <c r="A904" s="10">
        <v>3</v>
      </c>
      <c r="B904" s="8" t="s">
        <v>1997</v>
      </c>
      <c r="C904" s="10" t="s">
        <v>1998</v>
      </c>
      <c r="D904" s="10" t="s">
        <v>2270</v>
      </c>
      <c r="E904" s="10" t="s">
        <v>32</v>
      </c>
      <c r="F904" s="12">
        <f t="shared" si="826"/>
        <v>1</v>
      </c>
      <c r="G904" s="10">
        <v>1</v>
      </c>
      <c r="H904" s="10">
        <f>G904*$H$903</f>
        <v>1</v>
      </c>
      <c r="I904" s="10">
        <v>1</v>
      </c>
      <c r="J904" s="8" t="s">
        <v>455</v>
      </c>
      <c r="K904" s="8" t="s">
        <v>34</v>
      </c>
      <c r="L904" s="10" t="s">
        <v>110</v>
      </c>
      <c r="M904" s="8" t="s">
        <v>35</v>
      </c>
      <c r="N904" s="10" t="s">
        <v>1999</v>
      </c>
      <c r="O904" s="28" t="s">
        <v>41</v>
      </c>
      <c r="P904" s="28" t="s">
        <v>41</v>
      </c>
      <c r="Q904" s="28"/>
      <c r="R904" s="30"/>
      <c r="S904" s="30"/>
      <c r="T904" s="30"/>
      <c r="U904" s="30"/>
      <c r="V904" s="8">
        <f t="shared" si="827"/>
        <v>0</v>
      </c>
      <c r="W904" s="8">
        <f t="shared" si="828"/>
        <v>0</v>
      </c>
      <c r="X904" s="8">
        <f t="shared" si="829"/>
        <v>0</v>
      </c>
      <c r="Y904" s="33">
        <f t="shared" si="830"/>
        <v>0</v>
      </c>
      <c r="Z904" s="28"/>
      <c r="AA904" s="28"/>
      <c r="AB904" s="28">
        <v>0</v>
      </c>
      <c r="AC904" s="31"/>
      <c r="AD904" s="50">
        <f t="shared" si="831"/>
        <v>1</v>
      </c>
      <c r="AE904" s="47" t="s">
        <v>107</v>
      </c>
      <c r="AF904" s="51">
        <v>14</v>
      </c>
      <c r="AG904" s="51">
        <f t="shared" si="858"/>
        <v>8.4</v>
      </c>
      <c r="AH904" s="51">
        <f t="shared" si="825"/>
        <v>42</v>
      </c>
      <c r="AI904" s="52" t="s">
        <v>2497</v>
      </c>
      <c r="AJ904" s="52" t="s">
        <v>2498</v>
      </c>
      <c r="AK904" s="53">
        <f t="shared" si="859"/>
        <v>0</v>
      </c>
      <c r="AL904" s="54">
        <f t="shared" si="860"/>
        <v>0.11904761904761904</v>
      </c>
      <c r="AM904" s="54">
        <f t="shared" si="861"/>
        <v>2.3809523809523808E-2</v>
      </c>
      <c r="AN904" s="55">
        <f t="shared" si="862"/>
        <v>0</v>
      </c>
      <c r="AO904" s="55">
        <f t="shared" si="863"/>
        <v>0</v>
      </c>
      <c r="AP904" s="53">
        <v>7.1</v>
      </c>
      <c r="AQ904" s="53">
        <f t="shared" si="832"/>
        <v>4.26</v>
      </c>
      <c r="AR904" s="53">
        <f t="shared" si="833"/>
        <v>21.299999999999997</v>
      </c>
      <c r="AS904" s="56">
        <f t="shared" si="834"/>
        <v>4.6948356807511742E-2</v>
      </c>
      <c r="AT904" s="56">
        <f t="shared" si="864"/>
        <v>0.23474178403755869</v>
      </c>
      <c r="AU904" s="56">
        <f t="shared" si="835"/>
        <v>0.176056338028169</v>
      </c>
      <c r="AV904" s="56">
        <f t="shared" si="865"/>
        <v>5.8685446009389672E-2</v>
      </c>
      <c r="AW904" s="57"/>
      <c r="AX904" s="57"/>
      <c r="AY904" s="57"/>
      <c r="AZ904" s="58">
        <f t="shared" si="866"/>
        <v>0</v>
      </c>
      <c r="BA904" s="59">
        <f t="shared" si="867"/>
        <v>0</v>
      </c>
      <c r="BB904" s="59">
        <f t="shared" si="868"/>
        <v>0</v>
      </c>
      <c r="BC904" s="59">
        <f t="shared" si="869"/>
        <v>0</v>
      </c>
      <c r="BD904" s="60">
        <f t="shared" si="870"/>
        <v>0</v>
      </c>
      <c r="BE904" s="59">
        <f t="shared" si="871"/>
        <v>0</v>
      </c>
      <c r="BQ904" s="61">
        <v>3000</v>
      </c>
      <c r="BR904" s="61">
        <v>1200</v>
      </c>
      <c r="BS904" s="28">
        <f t="shared" si="836"/>
        <v>2980</v>
      </c>
      <c r="BT904" s="28">
        <f t="shared" si="837"/>
        <v>1180</v>
      </c>
      <c r="BU904" s="28" t="s">
        <v>2541</v>
      </c>
      <c r="BV904" s="28">
        <f t="shared" si="838"/>
        <v>5</v>
      </c>
      <c r="BW904" s="28">
        <f t="shared" si="839"/>
        <v>5</v>
      </c>
      <c r="BX904" s="13">
        <f t="shared" si="840"/>
        <v>596</v>
      </c>
      <c r="BY904" s="13">
        <f t="shared" si="841"/>
        <v>596</v>
      </c>
      <c r="BZ904" s="13">
        <f t="shared" si="842"/>
        <v>236</v>
      </c>
      <c r="CA904" s="13">
        <f t="shared" si="843"/>
        <v>236</v>
      </c>
      <c r="CB904" s="13">
        <f t="shared" si="844"/>
        <v>140656</v>
      </c>
      <c r="CC904" s="62" t="str">
        <f t="shared" si="845"/>
        <v/>
      </c>
      <c r="CD904" s="13">
        <f t="shared" si="846"/>
        <v>596</v>
      </c>
      <c r="CE904" s="13">
        <f t="shared" si="847"/>
        <v>596</v>
      </c>
      <c r="CF904" s="13">
        <f t="shared" si="848"/>
        <v>236</v>
      </c>
      <c r="CG904" s="13">
        <f t="shared" si="849"/>
        <v>236</v>
      </c>
      <c r="CH904" s="28">
        <f t="shared" si="850"/>
        <v>140656</v>
      </c>
      <c r="CI904" s="62" t="str">
        <f t="shared" si="851"/>
        <v/>
      </c>
      <c r="CJ904" s="59">
        <f t="shared" si="852"/>
        <v>0</v>
      </c>
      <c r="CL904" s="63">
        <v>6000</v>
      </c>
      <c r="CM904" s="63">
        <f t="shared" si="853"/>
        <v>0</v>
      </c>
      <c r="CN904" s="63">
        <f t="shared" si="854"/>
        <v>5</v>
      </c>
      <c r="CO904" s="63">
        <f t="shared" si="855"/>
        <v>1200</v>
      </c>
      <c r="CP904" s="13">
        <f t="shared" si="856"/>
        <v>1200</v>
      </c>
      <c r="CQ904" s="70">
        <f t="shared" si="857"/>
        <v>8.3333333333333339E-4</v>
      </c>
      <c r="CR904" s="69">
        <f t="shared" si="820"/>
        <v>8.3333333333333339E-4</v>
      </c>
    </row>
    <row r="905" spans="1:96" x14ac:dyDescent="0.25">
      <c r="A905" s="13">
        <v>4</v>
      </c>
      <c r="B905" s="14" t="s">
        <v>2000</v>
      </c>
      <c r="C905" s="13" t="s">
        <v>2001</v>
      </c>
      <c r="D905" s="13" t="s">
        <v>2270</v>
      </c>
      <c r="E905" s="13" t="s">
        <v>52</v>
      </c>
      <c r="F905" s="15">
        <f t="shared" si="826"/>
        <v>1</v>
      </c>
      <c r="G905" s="13">
        <v>1</v>
      </c>
      <c r="H905" s="13">
        <f>G905*$H$904</f>
        <v>1</v>
      </c>
      <c r="I905" s="13">
        <v>1</v>
      </c>
      <c r="J905" s="14" t="s">
        <v>459</v>
      </c>
      <c r="K905" s="14" t="s">
        <v>34</v>
      </c>
      <c r="L905" s="13" t="s">
        <v>110</v>
      </c>
      <c r="M905" s="14" t="s">
        <v>35</v>
      </c>
      <c r="N905" s="13" t="s">
        <v>2002</v>
      </c>
      <c r="O905" s="28" t="s">
        <v>41</v>
      </c>
      <c r="P905" s="28" t="s">
        <v>41</v>
      </c>
      <c r="Q905" s="28" t="s">
        <v>2585</v>
      </c>
      <c r="R905" s="30">
        <v>56.917999999999999</v>
      </c>
      <c r="S905" s="30">
        <v>14.686999999999999</v>
      </c>
      <c r="T905" s="30"/>
      <c r="U905" s="30">
        <v>0.06</v>
      </c>
      <c r="V905" s="8">
        <f t="shared" si="827"/>
        <v>1445.7171999999998</v>
      </c>
      <c r="W905" s="8">
        <f t="shared" si="828"/>
        <v>373.04979999999995</v>
      </c>
      <c r="X905" s="8">
        <f t="shared" si="829"/>
        <v>0</v>
      </c>
      <c r="Y905" s="33">
        <f t="shared" si="830"/>
        <v>1.5239999999999998</v>
      </c>
      <c r="Z905" s="28" t="s">
        <v>56</v>
      </c>
      <c r="AA905" s="28" t="s">
        <v>1765</v>
      </c>
      <c r="AB905" s="61" t="s">
        <v>2585</v>
      </c>
      <c r="AC905" s="31" t="s">
        <v>2586</v>
      </c>
      <c r="AD905" s="50">
        <f t="shared" si="831"/>
        <v>1</v>
      </c>
      <c r="AE905" s="31"/>
      <c r="AF905" s="51">
        <v>14</v>
      </c>
      <c r="AG905" s="51">
        <f t="shared" si="858"/>
        <v>8.4</v>
      </c>
      <c r="AH905" s="51">
        <f t="shared" si="825"/>
        <v>42</v>
      </c>
      <c r="AI905" s="52" t="s">
        <v>2497</v>
      </c>
      <c r="AJ905" s="52" t="s">
        <v>2498</v>
      </c>
      <c r="AK905" s="53">
        <f t="shared" si="859"/>
        <v>1.0786490246331197</v>
      </c>
      <c r="AL905" s="54">
        <f t="shared" si="860"/>
        <v>0.11904761904761904</v>
      </c>
      <c r="AM905" s="54">
        <f t="shared" si="861"/>
        <v>2.3809523809523808E-2</v>
      </c>
      <c r="AN905" s="55">
        <f t="shared" si="862"/>
        <v>0.12841059817060949</v>
      </c>
      <c r="AO905" s="55">
        <f t="shared" si="863"/>
        <v>2.5682119634121897E-2</v>
      </c>
      <c r="AP905" s="53">
        <v>7.1</v>
      </c>
      <c r="AQ905" s="53">
        <f t="shared" si="832"/>
        <v>4.26</v>
      </c>
      <c r="AR905" s="53">
        <f t="shared" si="833"/>
        <v>21.299999999999997</v>
      </c>
      <c r="AS905" s="56">
        <f t="shared" si="834"/>
        <v>4.6948356807511742E-2</v>
      </c>
      <c r="AT905" s="56">
        <f t="shared" si="864"/>
        <v>0.23474178403755869</v>
      </c>
      <c r="AU905" s="56">
        <f t="shared" si="835"/>
        <v>0.176056338028169</v>
      </c>
      <c r="AV905" s="56">
        <f t="shared" si="865"/>
        <v>5.8685446009389672E-2</v>
      </c>
      <c r="AW905" s="57"/>
      <c r="AX905" s="57"/>
      <c r="AY905" s="57"/>
      <c r="AZ905" s="58">
        <f t="shared" si="866"/>
        <v>1.0786490246331197</v>
      </c>
      <c r="BA905" s="59">
        <f t="shared" si="867"/>
        <v>0</v>
      </c>
      <c r="BB905" s="59">
        <f t="shared" si="868"/>
        <v>0</v>
      </c>
      <c r="BC905" s="59">
        <f t="shared" si="869"/>
        <v>0</v>
      </c>
      <c r="BD905" s="60">
        <f t="shared" si="870"/>
        <v>0.16666666666666666</v>
      </c>
      <c r="BE905" s="59">
        <f t="shared" si="871"/>
        <v>0.16666666666666666</v>
      </c>
      <c r="BQ905" s="61">
        <v>3000</v>
      </c>
      <c r="BR905" s="61">
        <v>1200</v>
      </c>
      <c r="BS905" s="28">
        <f t="shared" si="836"/>
        <v>2980</v>
      </c>
      <c r="BT905" s="28">
        <f t="shared" si="837"/>
        <v>1180</v>
      </c>
      <c r="BU905" s="28" t="s">
        <v>2541</v>
      </c>
      <c r="BV905" s="28">
        <f t="shared" si="838"/>
        <v>1450.7171999999998</v>
      </c>
      <c r="BW905" s="28">
        <f t="shared" si="839"/>
        <v>378.04979999999995</v>
      </c>
      <c r="BX905" s="13">
        <f t="shared" si="840"/>
        <v>2.054156385545026</v>
      </c>
      <c r="BY905" s="13">
        <f t="shared" si="841"/>
        <v>2</v>
      </c>
      <c r="BZ905" s="13">
        <f t="shared" si="842"/>
        <v>3.1212819051881531</v>
      </c>
      <c r="CA905" s="13">
        <f t="shared" si="843"/>
        <v>3</v>
      </c>
      <c r="CB905" s="13">
        <f t="shared" si="844"/>
        <v>6</v>
      </c>
      <c r="CC905" s="62">
        <f t="shared" si="845"/>
        <v>0.16666666666666666</v>
      </c>
      <c r="CD905" s="13">
        <f t="shared" si="846"/>
        <v>7.8825593876785556</v>
      </c>
      <c r="CE905" s="13">
        <f t="shared" si="847"/>
        <v>7</v>
      </c>
      <c r="CF905" s="13">
        <f t="shared" si="848"/>
        <v>0.81339078353796324</v>
      </c>
      <c r="CG905" s="13">
        <f t="shared" si="849"/>
        <v>0</v>
      </c>
      <c r="CH905" s="28">
        <f t="shared" si="850"/>
        <v>0</v>
      </c>
      <c r="CI905" s="62">
        <f t="shared" si="851"/>
        <v>1</v>
      </c>
      <c r="CJ905" s="59">
        <f t="shared" si="852"/>
        <v>0.16666666666666666</v>
      </c>
      <c r="CL905" s="63">
        <v>6000</v>
      </c>
      <c r="CM905" s="63">
        <f t="shared" si="853"/>
        <v>1445.7171999999998</v>
      </c>
      <c r="CN905" s="63">
        <f t="shared" si="854"/>
        <v>1450.7171999999998</v>
      </c>
      <c r="CO905" s="63">
        <f t="shared" si="855"/>
        <v>4.1358853400235418</v>
      </c>
      <c r="CP905" s="13">
        <f t="shared" si="856"/>
        <v>4</v>
      </c>
      <c r="CQ905" s="70">
        <f t="shared" si="857"/>
        <v>0.25</v>
      </c>
      <c r="CR905" s="69">
        <f t="shared" si="820"/>
        <v>0.25</v>
      </c>
    </row>
    <row r="906" spans="1:96" hidden="1" x14ac:dyDescent="0.25">
      <c r="A906" s="13">
        <v>4</v>
      </c>
      <c r="B906" s="14" t="s">
        <v>2000</v>
      </c>
      <c r="C906" s="13" t="s">
        <v>530</v>
      </c>
      <c r="D906" s="13" t="s">
        <v>532</v>
      </c>
      <c r="E906" s="13" t="s">
        <v>32</v>
      </c>
      <c r="F906" s="15">
        <f t="shared" si="826"/>
        <v>21</v>
      </c>
      <c r="G906" s="13">
        <v>1</v>
      </c>
      <c r="H906" s="13">
        <f>G906*$H$904</f>
        <v>1</v>
      </c>
      <c r="I906" s="13">
        <v>2</v>
      </c>
      <c r="J906" s="14" t="s">
        <v>531</v>
      </c>
      <c r="K906" s="14" t="s">
        <v>34</v>
      </c>
      <c r="L906" s="13" t="s">
        <v>110</v>
      </c>
      <c r="M906" s="14" t="s">
        <v>35</v>
      </c>
      <c r="N906" s="13" t="s">
        <v>532</v>
      </c>
      <c r="O906" s="28" t="s">
        <v>41</v>
      </c>
      <c r="P906" s="28" t="s">
        <v>41</v>
      </c>
      <c r="Q906" s="28"/>
      <c r="R906" s="30"/>
      <c r="S906" s="30"/>
      <c r="T906" s="30"/>
      <c r="U906" s="30"/>
      <c r="V906" s="8">
        <f t="shared" si="827"/>
        <v>0</v>
      </c>
      <c r="W906" s="8">
        <f t="shared" si="828"/>
        <v>0</v>
      </c>
      <c r="X906" s="8">
        <f t="shared" si="829"/>
        <v>0</v>
      </c>
      <c r="Y906" s="33">
        <f t="shared" si="830"/>
        <v>0</v>
      </c>
      <c r="Z906" s="28" t="s">
        <v>2477</v>
      </c>
      <c r="AA906" s="28" t="s">
        <v>2477</v>
      </c>
      <c r="AB906" s="28">
        <v>0</v>
      </c>
      <c r="AC906" s="31" t="s">
        <v>2477</v>
      </c>
      <c r="AD906" s="50">
        <f t="shared" si="831"/>
        <v>1</v>
      </c>
      <c r="AE906" s="31"/>
      <c r="AF906" s="51">
        <v>14</v>
      </c>
      <c r="AG906" s="51">
        <f t="shared" si="858"/>
        <v>8.4</v>
      </c>
      <c r="AH906" s="51">
        <f t="shared" si="825"/>
        <v>42</v>
      </c>
      <c r="AI906" s="52" t="s">
        <v>2497</v>
      </c>
      <c r="AJ906" s="52" t="s">
        <v>2498</v>
      </c>
      <c r="AK906" s="53">
        <f t="shared" si="859"/>
        <v>0</v>
      </c>
      <c r="AL906" s="54">
        <f t="shared" si="860"/>
        <v>0.11904761904761904</v>
      </c>
      <c r="AM906" s="54">
        <f t="shared" si="861"/>
        <v>2.3809523809523808E-2</v>
      </c>
      <c r="AN906" s="55">
        <f t="shared" si="862"/>
        <v>0</v>
      </c>
      <c r="AO906" s="55">
        <f t="shared" si="863"/>
        <v>0</v>
      </c>
      <c r="AP906" s="53">
        <v>7.1</v>
      </c>
      <c r="AQ906" s="53">
        <f t="shared" si="832"/>
        <v>4.26</v>
      </c>
      <c r="AR906" s="53">
        <f t="shared" si="833"/>
        <v>21.299999999999997</v>
      </c>
      <c r="AS906" s="56">
        <f t="shared" si="834"/>
        <v>4.6948356807511742E-2</v>
      </c>
      <c r="AT906" s="56">
        <f t="shared" si="864"/>
        <v>0.23474178403755869</v>
      </c>
      <c r="AU906" s="56">
        <f t="shared" si="835"/>
        <v>0.176056338028169</v>
      </c>
      <c r="AV906" s="56">
        <f t="shared" si="865"/>
        <v>5.8685446009389672E-2</v>
      </c>
      <c r="AW906" s="57"/>
      <c r="AX906" s="57"/>
      <c r="AY906" s="57"/>
      <c r="AZ906" s="58">
        <f t="shared" si="866"/>
        <v>0</v>
      </c>
      <c r="BA906" s="59">
        <f t="shared" si="867"/>
        <v>0</v>
      </c>
      <c r="BB906" s="59">
        <f t="shared" si="868"/>
        <v>0</v>
      </c>
      <c r="BC906" s="59">
        <f t="shared" si="869"/>
        <v>0</v>
      </c>
      <c r="BD906" s="60">
        <f t="shared" si="870"/>
        <v>0</v>
      </c>
      <c r="BE906" s="59">
        <f t="shared" si="871"/>
        <v>0</v>
      </c>
      <c r="BQ906" s="61">
        <v>3000</v>
      </c>
      <c r="BR906" s="61">
        <v>1200</v>
      </c>
      <c r="BS906" s="28">
        <f t="shared" si="836"/>
        <v>2980</v>
      </c>
      <c r="BT906" s="28">
        <f t="shared" si="837"/>
        <v>1180</v>
      </c>
      <c r="BU906" s="28" t="s">
        <v>2541</v>
      </c>
      <c r="BV906" s="28">
        <f t="shared" si="838"/>
        <v>5</v>
      </c>
      <c r="BW906" s="28">
        <f t="shared" si="839"/>
        <v>5</v>
      </c>
      <c r="BX906" s="13">
        <f t="shared" si="840"/>
        <v>596</v>
      </c>
      <c r="BY906" s="13">
        <f t="shared" si="841"/>
        <v>596</v>
      </c>
      <c r="BZ906" s="13">
        <f t="shared" si="842"/>
        <v>236</v>
      </c>
      <c r="CA906" s="13">
        <f t="shared" si="843"/>
        <v>236</v>
      </c>
      <c r="CB906" s="13">
        <f t="shared" si="844"/>
        <v>140656</v>
      </c>
      <c r="CC906" s="62" t="str">
        <f t="shared" si="845"/>
        <v/>
      </c>
      <c r="CD906" s="13">
        <f t="shared" si="846"/>
        <v>596</v>
      </c>
      <c r="CE906" s="13">
        <f t="shared" si="847"/>
        <v>596</v>
      </c>
      <c r="CF906" s="13">
        <f t="shared" si="848"/>
        <v>236</v>
      </c>
      <c r="CG906" s="13">
        <f t="shared" si="849"/>
        <v>236</v>
      </c>
      <c r="CH906" s="28">
        <f t="shared" si="850"/>
        <v>140656</v>
      </c>
      <c r="CI906" s="62" t="str">
        <f t="shared" si="851"/>
        <v/>
      </c>
      <c r="CJ906" s="59">
        <f t="shared" si="852"/>
        <v>0</v>
      </c>
      <c r="CL906" s="63">
        <v>6000</v>
      </c>
      <c r="CM906" s="63">
        <f t="shared" si="853"/>
        <v>0</v>
      </c>
      <c r="CN906" s="63">
        <f t="shared" si="854"/>
        <v>5</v>
      </c>
      <c r="CO906" s="63">
        <f t="shared" si="855"/>
        <v>1200</v>
      </c>
      <c r="CP906" s="13">
        <f t="shared" si="856"/>
        <v>1200</v>
      </c>
      <c r="CQ906" s="70">
        <f t="shared" si="857"/>
        <v>8.3333333333333339E-4</v>
      </c>
      <c r="CR906" s="69">
        <f t="shared" si="820"/>
        <v>8.3333333333333339E-4</v>
      </c>
    </row>
    <row r="907" spans="1:96" hidden="1" x14ac:dyDescent="0.25">
      <c r="A907" s="17">
        <v>5</v>
      </c>
      <c r="B907" s="6" t="s">
        <v>769</v>
      </c>
      <c r="C907" s="17" t="s">
        <v>534</v>
      </c>
      <c r="D907" s="17" t="s">
        <v>2270</v>
      </c>
      <c r="E907" s="17" t="s">
        <v>52</v>
      </c>
      <c r="F907" s="7">
        <f t="shared" si="826"/>
        <v>21</v>
      </c>
      <c r="G907" s="17">
        <v>1</v>
      </c>
      <c r="H907" s="17">
        <f>G907*$H$906</f>
        <v>1</v>
      </c>
      <c r="I907" s="17">
        <v>1</v>
      </c>
      <c r="J907" s="6" t="s">
        <v>101</v>
      </c>
      <c r="K907" s="6" t="s">
        <v>34</v>
      </c>
      <c r="L907" s="17" t="s">
        <v>110</v>
      </c>
      <c r="M907" s="6" t="s">
        <v>35</v>
      </c>
      <c r="N907" s="17" t="s">
        <v>535</v>
      </c>
      <c r="O907" s="28" t="s">
        <v>41</v>
      </c>
      <c r="P907" s="28" t="s">
        <v>41</v>
      </c>
      <c r="Q907" s="28" t="s">
        <v>535</v>
      </c>
      <c r="R907" s="30">
        <v>0.98</v>
      </c>
      <c r="S907" s="30">
        <v>0.98</v>
      </c>
      <c r="T907" s="30"/>
      <c r="U907" s="30">
        <v>0.11811023622047245</v>
      </c>
      <c r="V907" s="8">
        <f t="shared" si="827"/>
        <v>24.891999999999999</v>
      </c>
      <c r="W907" s="8">
        <f t="shared" si="828"/>
        <v>24.891999999999999</v>
      </c>
      <c r="X907" s="8">
        <f t="shared" si="829"/>
        <v>0</v>
      </c>
      <c r="Y907" s="33">
        <f t="shared" si="830"/>
        <v>3</v>
      </c>
      <c r="Z907" s="28" t="s">
        <v>536</v>
      </c>
      <c r="AA907" s="28" t="s">
        <v>537</v>
      </c>
      <c r="AB907" s="61" t="s">
        <v>535</v>
      </c>
      <c r="AC907" s="31" t="s">
        <v>538</v>
      </c>
      <c r="AD907" s="50">
        <f t="shared" si="831"/>
        <v>1</v>
      </c>
      <c r="AE907" s="31"/>
      <c r="AF907" s="51">
        <v>14</v>
      </c>
      <c r="AG907" s="51">
        <f t="shared" si="858"/>
        <v>8.4</v>
      </c>
      <c r="AH907" s="51">
        <f t="shared" si="825"/>
        <v>42</v>
      </c>
      <c r="AI907" s="52" t="s">
        <v>2497</v>
      </c>
      <c r="AJ907" s="52" t="s">
        <v>2498</v>
      </c>
      <c r="AK907" s="53">
        <f t="shared" si="859"/>
        <v>1.239223328E-3</v>
      </c>
      <c r="AL907" s="54">
        <f t="shared" si="860"/>
        <v>0.11904761904761904</v>
      </c>
      <c r="AM907" s="54">
        <f t="shared" si="861"/>
        <v>2.3809523809523808E-2</v>
      </c>
      <c r="AN907" s="55">
        <f t="shared" si="862"/>
        <v>1.4752658666666667E-4</v>
      </c>
      <c r="AO907" s="55">
        <f t="shared" si="863"/>
        <v>2.9505317333333333E-5</v>
      </c>
      <c r="AP907" s="53">
        <v>7.1</v>
      </c>
      <c r="AQ907" s="53">
        <f t="shared" si="832"/>
        <v>4.26</v>
      </c>
      <c r="AR907" s="53">
        <f t="shared" si="833"/>
        <v>21.299999999999997</v>
      </c>
      <c r="AS907" s="56">
        <f t="shared" si="834"/>
        <v>4.6948356807511742E-2</v>
      </c>
      <c r="AT907" s="56">
        <f t="shared" si="864"/>
        <v>0.23474178403755869</v>
      </c>
      <c r="AU907" s="56">
        <f t="shared" si="835"/>
        <v>0.176056338028169</v>
      </c>
      <c r="AV907" s="56">
        <f t="shared" si="865"/>
        <v>5.8685446009389672E-2</v>
      </c>
      <c r="AW907" s="57"/>
      <c r="AX907" s="57"/>
      <c r="AY907" s="57"/>
      <c r="AZ907" s="58">
        <f t="shared" si="866"/>
        <v>1.239223328E-3</v>
      </c>
      <c r="BA907" s="59">
        <f t="shared" si="867"/>
        <v>0</v>
      </c>
      <c r="BB907" s="59">
        <f t="shared" si="868"/>
        <v>0</v>
      </c>
      <c r="BC907" s="59">
        <f t="shared" si="869"/>
        <v>0</v>
      </c>
      <c r="BD907" s="60">
        <f t="shared" si="870"/>
        <v>2.5900025900025902E-4</v>
      </c>
      <c r="BE907" s="59">
        <f t="shared" si="871"/>
        <v>2.5900025900025902E-4</v>
      </c>
      <c r="BQ907" s="61">
        <v>3000</v>
      </c>
      <c r="BR907" s="61">
        <v>1200</v>
      </c>
      <c r="BS907" s="28">
        <f t="shared" si="836"/>
        <v>2980</v>
      </c>
      <c r="BT907" s="28">
        <f t="shared" si="837"/>
        <v>1180</v>
      </c>
      <c r="BU907" s="28" t="s">
        <v>2541</v>
      </c>
      <c r="BV907" s="28">
        <f t="shared" si="838"/>
        <v>29.891999999999999</v>
      </c>
      <c r="BW907" s="28">
        <f t="shared" si="839"/>
        <v>29.891999999999999</v>
      </c>
      <c r="BX907" s="13">
        <f t="shared" si="840"/>
        <v>99.692225344573799</v>
      </c>
      <c r="BY907" s="13">
        <f t="shared" si="841"/>
        <v>99</v>
      </c>
      <c r="BZ907" s="13">
        <f t="shared" si="842"/>
        <v>39.475444935099695</v>
      </c>
      <c r="CA907" s="13">
        <f t="shared" si="843"/>
        <v>39</v>
      </c>
      <c r="CB907" s="13">
        <f t="shared" si="844"/>
        <v>3861</v>
      </c>
      <c r="CC907" s="62">
        <f t="shared" si="845"/>
        <v>2.5900025900025902E-4</v>
      </c>
      <c r="CD907" s="13">
        <f t="shared" si="846"/>
        <v>99.692225344573799</v>
      </c>
      <c r="CE907" s="13">
        <f t="shared" si="847"/>
        <v>99</v>
      </c>
      <c r="CF907" s="13">
        <f t="shared" si="848"/>
        <v>39.475444935099695</v>
      </c>
      <c r="CG907" s="13">
        <f t="shared" si="849"/>
        <v>39</v>
      </c>
      <c r="CH907" s="28">
        <f t="shared" si="850"/>
        <v>3861</v>
      </c>
      <c r="CI907" s="62">
        <f t="shared" si="851"/>
        <v>2.5900025900025902E-4</v>
      </c>
      <c r="CJ907" s="59">
        <f t="shared" si="852"/>
        <v>2.5900025900025902E-4</v>
      </c>
      <c r="CL907" s="63">
        <v>6000</v>
      </c>
      <c r="CM907" s="63">
        <f t="shared" si="853"/>
        <v>24.891999999999999</v>
      </c>
      <c r="CN907" s="63">
        <f t="shared" si="854"/>
        <v>29.891999999999999</v>
      </c>
      <c r="CO907" s="63">
        <f t="shared" si="855"/>
        <v>200.72260136491369</v>
      </c>
      <c r="CP907" s="13">
        <f t="shared" si="856"/>
        <v>200</v>
      </c>
      <c r="CQ907" s="70">
        <f t="shared" si="857"/>
        <v>5.0000000000000001E-3</v>
      </c>
      <c r="CR907" s="69">
        <f t="shared" si="820"/>
        <v>5.0000000000000001E-3</v>
      </c>
    </row>
    <row r="908" spans="1:96" hidden="1" x14ac:dyDescent="0.25">
      <c r="A908" s="17">
        <v>5</v>
      </c>
      <c r="B908" s="6" t="s">
        <v>769</v>
      </c>
      <c r="C908" s="17" t="s">
        <v>539</v>
      </c>
      <c r="D908" s="17" t="s">
        <v>2270</v>
      </c>
      <c r="E908" s="17" t="s">
        <v>52</v>
      </c>
      <c r="F908" s="7">
        <f t="shared" si="826"/>
        <v>21</v>
      </c>
      <c r="G908" s="17">
        <v>1</v>
      </c>
      <c r="H908" s="17">
        <f>G908*$H$906</f>
        <v>1</v>
      </c>
      <c r="I908" s="17">
        <v>2</v>
      </c>
      <c r="J908" s="6" t="s">
        <v>101</v>
      </c>
      <c r="K908" s="6" t="s">
        <v>34</v>
      </c>
      <c r="L908" s="17" t="s">
        <v>110</v>
      </c>
      <c r="M908" s="6" t="s">
        <v>35</v>
      </c>
      <c r="N908" s="17" t="s">
        <v>540</v>
      </c>
      <c r="O908" s="28" t="s">
        <v>41</v>
      </c>
      <c r="P908" s="28" t="s">
        <v>41</v>
      </c>
      <c r="Q908" s="28" t="s">
        <v>540</v>
      </c>
      <c r="R908" s="30">
        <v>0.98</v>
      </c>
      <c r="S908" s="30">
        <v>0.98</v>
      </c>
      <c r="T908" s="30"/>
      <c r="U908" s="30">
        <v>0.47244094488188981</v>
      </c>
      <c r="V908" s="8">
        <f t="shared" si="827"/>
        <v>24.891999999999999</v>
      </c>
      <c r="W908" s="8">
        <f t="shared" si="828"/>
        <v>24.891999999999999</v>
      </c>
      <c r="X908" s="8">
        <f t="shared" si="829"/>
        <v>0</v>
      </c>
      <c r="Y908" s="33">
        <f t="shared" si="830"/>
        <v>12</v>
      </c>
      <c r="Z908" s="28" t="s">
        <v>731</v>
      </c>
      <c r="AA908" s="28" t="s">
        <v>251</v>
      </c>
      <c r="AB908" s="61" t="s">
        <v>540</v>
      </c>
      <c r="AC908" s="31" t="s">
        <v>541</v>
      </c>
      <c r="AD908" s="50">
        <f t="shared" si="831"/>
        <v>1</v>
      </c>
      <c r="AE908" s="31"/>
      <c r="AF908" s="51">
        <v>14</v>
      </c>
      <c r="AG908" s="51">
        <f t="shared" si="858"/>
        <v>8.4</v>
      </c>
      <c r="AH908" s="51">
        <f t="shared" si="825"/>
        <v>42</v>
      </c>
      <c r="AI908" s="52" t="s">
        <v>2497</v>
      </c>
      <c r="AJ908" s="52" t="s">
        <v>2498</v>
      </c>
      <c r="AK908" s="53">
        <f t="shared" si="859"/>
        <v>1.239223328E-3</v>
      </c>
      <c r="AL908" s="54">
        <f t="shared" si="860"/>
        <v>0.11904761904761904</v>
      </c>
      <c r="AM908" s="54">
        <f t="shared" si="861"/>
        <v>2.3809523809523808E-2</v>
      </c>
      <c r="AN908" s="55">
        <f t="shared" si="862"/>
        <v>1.4752658666666667E-4</v>
      </c>
      <c r="AO908" s="55">
        <f t="shared" si="863"/>
        <v>2.9505317333333333E-5</v>
      </c>
      <c r="AP908" s="53">
        <v>7.1</v>
      </c>
      <c r="AQ908" s="53">
        <f t="shared" si="832"/>
        <v>4.26</v>
      </c>
      <c r="AR908" s="53">
        <f t="shared" si="833"/>
        <v>21.299999999999997</v>
      </c>
      <c r="AS908" s="56">
        <f t="shared" si="834"/>
        <v>4.6948356807511742E-2</v>
      </c>
      <c r="AT908" s="56">
        <f t="shared" si="864"/>
        <v>0.23474178403755869</v>
      </c>
      <c r="AU908" s="56">
        <f t="shared" si="835"/>
        <v>0.176056338028169</v>
      </c>
      <c r="AV908" s="56">
        <f t="shared" si="865"/>
        <v>5.8685446009389672E-2</v>
      </c>
      <c r="AW908" s="57"/>
      <c r="AX908" s="57"/>
      <c r="AY908" s="57"/>
      <c r="AZ908" s="58">
        <f t="shared" si="866"/>
        <v>1.239223328E-3</v>
      </c>
      <c r="BA908" s="59">
        <f t="shared" si="867"/>
        <v>0</v>
      </c>
      <c r="BB908" s="59">
        <f t="shared" si="868"/>
        <v>0</v>
      </c>
      <c r="BC908" s="59">
        <f t="shared" si="869"/>
        <v>0</v>
      </c>
      <c r="BD908" s="60">
        <f t="shared" si="870"/>
        <v>2.5900025900025902E-4</v>
      </c>
      <c r="BE908" s="59">
        <f t="shared" si="871"/>
        <v>2.5900025900025902E-4</v>
      </c>
      <c r="BQ908" s="61">
        <v>3000</v>
      </c>
      <c r="BR908" s="61">
        <v>1200</v>
      </c>
      <c r="BS908" s="28">
        <f t="shared" si="836"/>
        <v>2980</v>
      </c>
      <c r="BT908" s="28">
        <f t="shared" si="837"/>
        <v>1180</v>
      </c>
      <c r="BU908" s="28" t="s">
        <v>2541</v>
      </c>
      <c r="BV908" s="28">
        <f t="shared" si="838"/>
        <v>29.891999999999999</v>
      </c>
      <c r="BW908" s="28">
        <f t="shared" si="839"/>
        <v>29.891999999999999</v>
      </c>
      <c r="BX908" s="13">
        <f t="shared" si="840"/>
        <v>99.692225344573799</v>
      </c>
      <c r="BY908" s="13">
        <f t="shared" si="841"/>
        <v>99</v>
      </c>
      <c r="BZ908" s="13">
        <f t="shared" si="842"/>
        <v>39.475444935099695</v>
      </c>
      <c r="CA908" s="13">
        <f t="shared" si="843"/>
        <v>39</v>
      </c>
      <c r="CB908" s="13">
        <f t="shared" si="844"/>
        <v>3861</v>
      </c>
      <c r="CC908" s="62">
        <f t="shared" si="845"/>
        <v>2.5900025900025902E-4</v>
      </c>
      <c r="CD908" s="13">
        <f t="shared" si="846"/>
        <v>99.692225344573799</v>
      </c>
      <c r="CE908" s="13">
        <f t="shared" si="847"/>
        <v>99</v>
      </c>
      <c r="CF908" s="13">
        <f t="shared" si="848"/>
        <v>39.475444935099695</v>
      </c>
      <c r="CG908" s="13">
        <f t="shared" si="849"/>
        <v>39</v>
      </c>
      <c r="CH908" s="28">
        <f t="shared" si="850"/>
        <v>3861</v>
      </c>
      <c r="CI908" s="62">
        <f t="shared" si="851"/>
        <v>2.5900025900025902E-4</v>
      </c>
      <c r="CJ908" s="59">
        <f t="shared" si="852"/>
        <v>2.5900025900025902E-4</v>
      </c>
      <c r="CL908" s="63">
        <v>6000</v>
      </c>
      <c r="CM908" s="63">
        <f t="shared" si="853"/>
        <v>24.891999999999999</v>
      </c>
      <c r="CN908" s="63">
        <f t="shared" si="854"/>
        <v>29.891999999999999</v>
      </c>
      <c r="CO908" s="63">
        <f t="shared" si="855"/>
        <v>200.72260136491369</v>
      </c>
      <c r="CP908" s="13">
        <f t="shared" si="856"/>
        <v>200</v>
      </c>
      <c r="CQ908" s="70">
        <f t="shared" si="857"/>
        <v>5.0000000000000001E-3</v>
      </c>
      <c r="CR908" s="69">
        <f t="shared" si="820"/>
        <v>5.0000000000000001E-3</v>
      </c>
    </row>
    <row r="909" spans="1:96" hidden="1" x14ac:dyDescent="0.25">
      <c r="A909" s="13">
        <v>4</v>
      </c>
      <c r="B909" s="14" t="s">
        <v>2000</v>
      </c>
      <c r="C909" s="13" t="s">
        <v>825</v>
      </c>
      <c r="D909" s="13" t="s">
        <v>826</v>
      </c>
      <c r="E909" s="13" t="s">
        <v>52</v>
      </c>
      <c r="F909" s="15">
        <f t="shared" si="826"/>
        <v>9</v>
      </c>
      <c r="G909" s="13">
        <v>1</v>
      </c>
      <c r="H909" s="13">
        <f>G909*$H$904</f>
        <v>1</v>
      </c>
      <c r="I909" s="13">
        <v>3</v>
      </c>
      <c r="J909" s="14" t="s">
        <v>76</v>
      </c>
      <c r="K909" s="14" t="s">
        <v>34</v>
      </c>
      <c r="L909" s="13" t="s">
        <v>77</v>
      </c>
      <c r="M909" s="14" t="s">
        <v>35</v>
      </c>
      <c r="N909" s="13" t="s">
        <v>826</v>
      </c>
      <c r="O909" s="28" t="s">
        <v>41</v>
      </c>
      <c r="P909" s="28" t="s">
        <v>41</v>
      </c>
      <c r="Q909" s="28" t="s">
        <v>79</v>
      </c>
      <c r="R909" s="30">
        <v>8.0709999999999997</v>
      </c>
      <c r="S909" s="30">
        <v>0.3125</v>
      </c>
      <c r="T909" s="30"/>
      <c r="U909" s="30">
        <v>0.3125</v>
      </c>
      <c r="V909" s="8">
        <f t="shared" si="827"/>
        <v>205.00339999999997</v>
      </c>
      <c r="W909" s="8">
        <f t="shared" si="828"/>
        <v>7.9375</v>
      </c>
      <c r="X909" s="8">
        <f t="shared" si="829"/>
        <v>0</v>
      </c>
      <c r="Y909" s="33">
        <f t="shared" si="830"/>
        <v>7.9375</v>
      </c>
      <c r="Z909" s="28" t="s">
        <v>80</v>
      </c>
      <c r="AA909" s="28" t="s">
        <v>81</v>
      </c>
      <c r="AB909" s="61" t="s">
        <v>79</v>
      </c>
      <c r="AC909" s="31" t="s">
        <v>82</v>
      </c>
      <c r="AD909" s="50">
        <f t="shared" si="831"/>
        <v>1</v>
      </c>
      <c r="AE909" s="5" t="s">
        <v>1576</v>
      </c>
      <c r="AF909" s="51">
        <v>14</v>
      </c>
      <c r="AG909" s="51">
        <f t="shared" si="858"/>
        <v>8.4</v>
      </c>
      <c r="AH909" s="51">
        <f t="shared" si="825"/>
        <v>42</v>
      </c>
      <c r="AI909" s="52" t="s">
        <v>2497</v>
      </c>
      <c r="AJ909" s="52" t="s">
        <v>2498</v>
      </c>
      <c r="AK909" s="53">
        <f t="shared" si="859"/>
        <v>3.2544289749999993E-3</v>
      </c>
      <c r="AL909" s="54">
        <f t="shared" si="860"/>
        <v>0.11904761904761904</v>
      </c>
      <c r="AM909" s="54">
        <f t="shared" si="861"/>
        <v>2.3809523809523808E-2</v>
      </c>
      <c r="AN909" s="55">
        <f t="shared" si="862"/>
        <v>3.8743202083333321E-4</v>
      </c>
      <c r="AO909" s="55">
        <f t="shared" si="863"/>
        <v>7.7486404166666643E-5</v>
      </c>
      <c r="AP909" s="53">
        <v>7.1</v>
      </c>
      <c r="AQ909" s="53">
        <f t="shared" si="832"/>
        <v>4.26</v>
      </c>
      <c r="AR909" s="53">
        <f t="shared" si="833"/>
        <v>21.299999999999997</v>
      </c>
      <c r="AS909" s="56">
        <f t="shared" si="834"/>
        <v>4.6948356807511742E-2</v>
      </c>
      <c r="AT909" s="56">
        <f t="shared" si="864"/>
        <v>0.23474178403755869</v>
      </c>
      <c r="AU909" s="56">
        <f t="shared" si="835"/>
        <v>0.176056338028169</v>
      </c>
      <c r="AV909" s="56">
        <f t="shared" si="865"/>
        <v>5.8685446009389672E-2</v>
      </c>
      <c r="AW909" s="57"/>
      <c r="AX909" s="57"/>
      <c r="AY909" s="57"/>
      <c r="AZ909" s="58">
        <f t="shared" si="866"/>
        <v>3.2544289749999993E-3</v>
      </c>
      <c r="BA909" s="59">
        <f t="shared" si="867"/>
        <v>0</v>
      </c>
      <c r="BB909" s="59">
        <f t="shared" si="868"/>
        <v>0</v>
      </c>
      <c r="BC909" s="59">
        <f t="shared" si="869"/>
        <v>0</v>
      </c>
      <c r="BD909" s="60">
        <f t="shared" si="870"/>
        <v>7.8492935635792783E-4</v>
      </c>
      <c r="BE909" s="59">
        <f t="shared" si="871"/>
        <v>7.8492935635792783E-4</v>
      </c>
      <c r="BQ909" s="61">
        <v>3000</v>
      </c>
      <c r="BR909" s="61">
        <v>1200</v>
      </c>
      <c r="BS909" s="28">
        <f t="shared" si="836"/>
        <v>2980</v>
      </c>
      <c r="BT909" s="28">
        <f t="shared" si="837"/>
        <v>1180</v>
      </c>
      <c r="BU909" s="28" t="s">
        <v>2541</v>
      </c>
      <c r="BV909" s="28">
        <f t="shared" si="838"/>
        <v>210.00339999999997</v>
      </c>
      <c r="BW909" s="28">
        <f t="shared" si="839"/>
        <v>12.9375</v>
      </c>
      <c r="BX909" s="13">
        <f t="shared" si="840"/>
        <v>14.190246443629009</v>
      </c>
      <c r="BY909" s="13">
        <f t="shared" si="841"/>
        <v>14</v>
      </c>
      <c r="BZ909" s="13">
        <f t="shared" si="842"/>
        <v>91.207729468599027</v>
      </c>
      <c r="CA909" s="13">
        <f t="shared" si="843"/>
        <v>91</v>
      </c>
      <c r="CB909" s="13">
        <f t="shared" si="844"/>
        <v>1274</v>
      </c>
      <c r="CC909" s="62">
        <f t="shared" si="845"/>
        <v>7.8492935635792783E-4</v>
      </c>
      <c r="CD909" s="13">
        <f t="shared" si="846"/>
        <v>230.33816425120773</v>
      </c>
      <c r="CE909" s="13">
        <f t="shared" si="847"/>
        <v>230</v>
      </c>
      <c r="CF909" s="13">
        <f t="shared" si="848"/>
        <v>5.618956645463836</v>
      </c>
      <c r="CG909" s="13">
        <f t="shared" si="849"/>
        <v>5</v>
      </c>
      <c r="CH909" s="28">
        <f t="shared" si="850"/>
        <v>1150</v>
      </c>
      <c r="CI909" s="62">
        <f t="shared" si="851"/>
        <v>8.6956521739130438E-4</v>
      </c>
      <c r="CJ909" s="59">
        <f t="shared" si="852"/>
        <v>7.8492935635792783E-4</v>
      </c>
      <c r="CL909" s="63">
        <v>6000</v>
      </c>
      <c r="CM909" s="63">
        <f t="shared" si="853"/>
        <v>205.00339999999997</v>
      </c>
      <c r="CN909" s="63">
        <f t="shared" si="854"/>
        <v>210.00339999999997</v>
      </c>
      <c r="CO909" s="63">
        <f t="shared" si="855"/>
        <v>28.570965993883913</v>
      </c>
      <c r="CP909" s="13">
        <f t="shared" si="856"/>
        <v>28</v>
      </c>
      <c r="CQ909" s="70">
        <f t="shared" si="857"/>
        <v>3.5714285714285712E-2</v>
      </c>
      <c r="CR909" s="69">
        <f t="shared" si="820"/>
        <v>3.5714285714285712E-2</v>
      </c>
    </row>
    <row r="910" spans="1:96" hidden="1" x14ac:dyDescent="0.25">
      <c r="A910" s="10">
        <v>3</v>
      </c>
      <c r="B910" s="8" t="s">
        <v>1997</v>
      </c>
      <c r="C910" s="10" t="s">
        <v>2003</v>
      </c>
      <c r="D910" s="10" t="s">
        <v>2270</v>
      </c>
      <c r="E910" s="10" t="s">
        <v>32</v>
      </c>
      <c r="F910" s="12">
        <f t="shared" si="826"/>
        <v>1</v>
      </c>
      <c r="G910" s="10">
        <v>1</v>
      </c>
      <c r="H910" s="10">
        <f>G910*$H$903</f>
        <v>1</v>
      </c>
      <c r="I910" s="10">
        <v>2</v>
      </c>
      <c r="J910" s="8" t="s">
        <v>1867</v>
      </c>
      <c r="K910" s="8" t="s">
        <v>34</v>
      </c>
      <c r="L910" s="10">
        <v>0</v>
      </c>
      <c r="M910" s="8" t="s">
        <v>35</v>
      </c>
      <c r="N910" s="10" t="s">
        <v>2004</v>
      </c>
      <c r="O910" s="28" t="s">
        <v>41</v>
      </c>
      <c r="P910" s="28" t="s">
        <v>41</v>
      </c>
      <c r="Q910" s="28"/>
      <c r="R910" s="30"/>
      <c r="S910" s="30"/>
      <c r="T910" s="30"/>
      <c r="U910" s="30"/>
      <c r="V910" s="8">
        <f t="shared" si="827"/>
        <v>0</v>
      </c>
      <c r="W910" s="8">
        <f t="shared" si="828"/>
        <v>0</v>
      </c>
      <c r="X910" s="8">
        <f t="shared" si="829"/>
        <v>0</v>
      </c>
      <c r="Y910" s="33">
        <f t="shared" si="830"/>
        <v>0</v>
      </c>
      <c r="Z910" s="28"/>
      <c r="AA910" s="28"/>
      <c r="AB910" s="28">
        <v>0</v>
      </c>
      <c r="AC910" s="31"/>
      <c r="AD910" s="50">
        <f t="shared" si="831"/>
        <v>1</v>
      </c>
      <c r="AE910" s="31"/>
      <c r="AF910" s="51">
        <v>14</v>
      </c>
      <c r="AG910" s="51">
        <f t="shared" si="858"/>
        <v>8.4</v>
      </c>
      <c r="AH910" s="51">
        <f t="shared" si="825"/>
        <v>42</v>
      </c>
      <c r="AI910" s="52" t="s">
        <v>2497</v>
      </c>
      <c r="AJ910" s="52" t="s">
        <v>2498</v>
      </c>
      <c r="AK910" s="53">
        <f t="shared" si="859"/>
        <v>0</v>
      </c>
      <c r="AL910" s="54">
        <f t="shared" si="860"/>
        <v>0.11904761904761904</v>
      </c>
      <c r="AM910" s="54">
        <f t="shared" si="861"/>
        <v>2.3809523809523808E-2</v>
      </c>
      <c r="AN910" s="55">
        <f t="shared" si="862"/>
        <v>0</v>
      </c>
      <c r="AO910" s="55">
        <f t="shared" si="863"/>
        <v>0</v>
      </c>
      <c r="AP910" s="53">
        <v>7.1</v>
      </c>
      <c r="AQ910" s="53">
        <f t="shared" si="832"/>
        <v>4.26</v>
      </c>
      <c r="AR910" s="53">
        <f t="shared" si="833"/>
        <v>21.299999999999997</v>
      </c>
      <c r="AS910" s="56">
        <f t="shared" si="834"/>
        <v>4.6948356807511742E-2</v>
      </c>
      <c r="AT910" s="56">
        <f t="shared" si="864"/>
        <v>0.23474178403755869</v>
      </c>
      <c r="AU910" s="56">
        <f t="shared" si="835"/>
        <v>0.176056338028169</v>
      </c>
      <c r="AV910" s="56">
        <f t="shared" si="865"/>
        <v>5.8685446009389672E-2</v>
      </c>
      <c r="AW910" s="57"/>
      <c r="AX910" s="57"/>
      <c r="AY910" s="57"/>
      <c r="AZ910" s="58">
        <f t="shared" si="866"/>
        <v>0</v>
      </c>
      <c r="BA910" s="59">
        <f t="shared" si="867"/>
        <v>0</v>
      </c>
      <c r="BB910" s="59">
        <f t="shared" si="868"/>
        <v>0</v>
      </c>
      <c r="BC910" s="59">
        <f t="shared" si="869"/>
        <v>0</v>
      </c>
      <c r="BD910" s="60">
        <f t="shared" si="870"/>
        <v>0</v>
      </c>
      <c r="BE910" s="59">
        <f t="shared" si="871"/>
        <v>0</v>
      </c>
      <c r="BQ910" s="61">
        <v>3000</v>
      </c>
      <c r="BR910" s="61">
        <v>1200</v>
      </c>
      <c r="BS910" s="28">
        <f t="shared" si="836"/>
        <v>2980</v>
      </c>
      <c r="BT910" s="28">
        <f t="shared" si="837"/>
        <v>1180</v>
      </c>
      <c r="BU910" s="28" t="s">
        <v>2541</v>
      </c>
      <c r="BV910" s="28">
        <f t="shared" si="838"/>
        <v>5</v>
      </c>
      <c r="BW910" s="28">
        <f t="shared" si="839"/>
        <v>5</v>
      </c>
      <c r="BX910" s="13">
        <f t="shared" si="840"/>
        <v>596</v>
      </c>
      <c r="BY910" s="13">
        <f t="shared" si="841"/>
        <v>596</v>
      </c>
      <c r="BZ910" s="13">
        <f t="shared" si="842"/>
        <v>236</v>
      </c>
      <c r="CA910" s="13">
        <f t="shared" si="843"/>
        <v>236</v>
      </c>
      <c r="CB910" s="13">
        <f t="shared" si="844"/>
        <v>140656</v>
      </c>
      <c r="CC910" s="62" t="str">
        <f t="shared" si="845"/>
        <v/>
      </c>
      <c r="CD910" s="13">
        <f t="shared" si="846"/>
        <v>596</v>
      </c>
      <c r="CE910" s="13">
        <f t="shared" si="847"/>
        <v>596</v>
      </c>
      <c r="CF910" s="13">
        <f t="shared" si="848"/>
        <v>236</v>
      </c>
      <c r="CG910" s="13">
        <f t="shared" si="849"/>
        <v>236</v>
      </c>
      <c r="CH910" s="28">
        <f t="shared" si="850"/>
        <v>140656</v>
      </c>
      <c r="CI910" s="62" t="str">
        <f t="shared" si="851"/>
        <v/>
      </c>
      <c r="CJ910" s="59">
        <f t="shared" si="852"/>
        <v>0</v>
      </c>
      <c r="CL910" s="63">
        <v>6000</v>
      </c>
      <c r="CM910" s="63">
        <f t="shared" si="853"/>
        <v>0</v>
      </c>
      <c r="CN910" s="63">
        <f t="shared" si="854"/>
        <v>5</v>
      </c>
      <c r="CO910" s="63">
        <f t="shared" si="855"/>
        <v>1200</v>
      </c>
      <c r="CP910" s="13">
        <f t="shared" si="856"/>
        <v>1200</v>
      </c>
      <c r="CQ910" s="70">
        <f t="shared" si="857"/>
        <v>8.3333333333333339E-4</v>
      </c>
      <c r="CR910" s="69">
        <f t="shared" si="820"/>
        <v>8.3333333333333339E-4</v>
      </c>
    </row>
    <row r="911" spans="1:96" x14ac:dyDescent="0.25">
      <c r="A911" s="13">
        <v>4</v>
      </c>
      <c r="B911" s="14" t="s">
        <v>2005</v>
      </c>
      <c r="C911" s="13" t="s">
        <v>1942</v>
      </c>
      <c r="D911" s="13" t="s">
        <v>2270</v>
      </c>
      <c r="E911" s="13" t="s">
        <v>52</v>
      </c>
      <c r="F911" s="15">
        <f t="shared" si="826"/>
        <v>4</v>
      </c>
      <c r="G911" s="13">
        <v>1</v>
      </c>
      <c r="H911" s="13">
        <f>G911*$H$910</f>
        <v>1</v>
      </c>
      <c r="I911" s="13">
        <v>4</v>
      </c>
      <c r="J911" s="14" t="s">
        <v>119</v>
      </c>
      <c r="K911" s="14" t="s">
        <v>34</v>
      </c>
      <c r="L911" s="13" t="s">
        <v>110</v>
      </c>
      <c r="M911" s="14" t="s">
        <v>35</v>
      </c>
      <c r="N911" s="13" t="s">
        <v>1943</v>
      </c>
      <c r="O911" s="28" t="s">
        <v>41</v>
      </c>
      <c r="P911" s="28" t="s">
        <v>41</v>
      </c>
      <c r="Q911" s="28" t="s">
        <v>2585</v>
      </c>
      <c r="R911" s="30">
        <v>12</v>
      </c>
      <c r="S911" s="30">
        <v>1.292</v>
      </c>
      <c r="T911" s="30"/>
      <c r="U911" s="30">
        <v>0.06</v>
      </c>
      <c r="V911" s="8">
        <f t="shared" si="827"/>
        <v>304.79999999999995</v>
      </c>
      <c r="W911" s="8">
        <f t="shared" si="828"/>
        <v>32.816800000000001</v>
      </c>
      <c r="X911" s="8">
        <f t="shared" si="829"/>
        <v>0</v>
      </c>
      <c r="Y911" s="33">
        <f t="shared" si="830"/>
        <v>1.5239999999999998</v>
      </c>
      <c r="Z911" s="28" t="s">
        <v>56</v>
      </c>
      <c r="AA911" s="28" t="s">
        <v>1765</v>
      </c>
      <c r="AB911" s="61" t="s">
        <v>2585</v>
      </c>
      <c r="AC911" s="31" t="s">
        <v>2586</v>
      </c>
      <c r="AD911" s="50">
        <f t="shared" si="831"/>
        <v>1</v>
      </c>
      <c r="AE911" s="31"/>
      <c r="AF911" s="51">
        <v>14</v>
      </c>
      <c r="AG911" s="51">
        <f t="shared" si="858"/>
        <v>8.4</v>
      </c>
      <c r="AH911" s="51">
        <f t="shared" si="825"/>
        <v>42</v>
      </c>
      <c r="AI911" s="52" t="s">
        <v>2497</v>
      </c>
      <c r="AJ911" s="52" t="s">
        <v>2498</v>
      </c>
      <c r="AK911" s="53">
        <f t="shared" si="859"/>
        <v>2.0005121279999996E-2</v>
      </c>
      <c r="AL911" s="54">
        <f t="shared" si="860"/>
        <v>0.11904761904761904</v>
      </c>
      <c r="AM911" s="54">
        <f t="shared" si="861"/>
        <v>2.3809523809523808E-2</v>
      </c>
      <c r="AN911" s="55">
        <f t="shared" si="862"/>
        <v>2.3815620571428567E-3</v>
      </c>
      <c r="AO911" s="55">
        <f t="shared" si="863"/>
        <v>4.7631241142857134E-4</v>
      </c>
      <c r="AP911" s="53">
        <v>7.1</v>
      </c>
      <c r="AQ911" s="53">
        <f t="shared" si="832"/>
        <v>4.26</v>
      </c>
      <c r="AR911" s="53">
        <f t="shared" si="833"/>
        <v>21.299999999999997</v>
      </c>
      <c r="AS911" s="56">
        <f t="shared" si="834"/>
        <v>4.6948356807511742E-2</v>
      </c>
      <c r="AT911" s="56">
        <f t="shared" si="864"/>
        <v>0.23474178403755869</v>
      </c>
      <c r="AU911" s="56">
        <f t="shared" si="835"/>
        <v>0.176056338028169</v>
      </c>
      <c r="AV911" s="56">
        <f t="shared" si="865"/>
        <v>5.8685446009389672E-2</v>
      </c>
      <c r="AW911" s="57"/>
      <c r="AX911" s="57"/>
      <c r="AY911" s="57"/>
      <c r="AZ911" s="58">
        <f t="shared" si="866"/>
        <v>2.0005121279999996E-2</v>
      </c>
      <c r="BA911" s="59">
        <f t="shared" si="867"/>
        <v>0</v>
      </c>
      <c r="BB911" s="59">
        <f t="shared" si="868"/>
        <v>0</v>
      </c>
      <c r="BC911" s="59">
        <f t="shared" si="869"/>
        <v>0</v>
      </c>
      <c r="BD911" s="60">
        <f t="shared" si="870"/>
        <v>3.5842293906810036E-3</v>
      </c>
      <c r="BE911" s="59">
        <f t="shared" si="871"/>
        <v>3.5842293906810036E-3</v>
      </c>
      <c r="BQ911" s="61">
        <v>3000</v>
      </c>
      <c r="BR911" s="61">
        <v>1200</v>
      </c>
      <c r="BS911" s="28">
        <f t="shared" si="836"/>
        <v>2980</v>
      </c>
      <c r="BT911" s="28">
        <f t="shared" si="837"/>
        <v>1180</v>
      </c>
      <c r="BU911" s="28" t="s">
        <v>2541</v>
      </c>
      <c r="BV911" s="28">
        <f t="shared" si="838"/>
        <v>309.79999999999995</v>
      </c>
      <c r="BW911" s="28">
        <f t="shared" si="839"/>
        <v>37.816800000000001</v>
      </c>
      <c r="BX911" s="13">
        <f t="shared" si="840"/>
        <v>9.6191091026468705</v>
      </c>
      <c r="BY911" s="13">
        <f t="shared" si="841"/>
        <v>9</v>
      </c>
      <c r="BZ911" s="13">
        <f t="shared" si="842"/>
        <v>31.203063188847285</v>
      </c>
      <c r="CA911" s="13">
        <f t="shared" si="843"/>
        <v>31</v>
      </c>
      <c r="CB911" s="13">
        <f t="shared" si="844"/>
        <v>279</v>
      </c>
      <c r="CC911" s="62">
        <f t="shared" si="845"/>
        <v>3.5842293906810036E-3</v>
      </c>
      <c r="CD911" s="13">
        <f t="shared" si="846"/>
        <v>78.800956188783815</v>
      </c>
      <c r="CE911" s="13">
        <f t="shared" si="847"/>
        <v>78</v>
      </c>
      <c r="CF911" s="13">
        <f t="shared" si="848"/>
        <v>3.8089089735313113</v>
      </c>
      <c r="CG911" s="13">
        <f t="shared" si="849"/>
        <v>3</v>
      </c>
      <c r="CH911" s="28">
        <f t="shared" si="850"/>
        <v>234</v>
      </c>
      <c r="CI911" s="62">
        <f t="shared" si="851"/>
        <v>4.2735042735042739E-3</v>
      </c>
      <c r="CJ911" s="59">
        <f t="shared" si="852"/>
        <v>3.5842293906810036E-3</v>
      </c>
      <c r="CL911" s="63">
        <v>6000</v>
      </c>
      <c r="CM911" s="63">
        <f t="shared" si="853"/>
        <v>304.79999999999995</v>
      </c>
      <c r="CN911" s="63">
        <f t="shared" si="854"/>
        <v>309.79999999999995</v>
      </c>
      <c r="CO911" s="63">
        <f t="shared" si="855"/>
        <v>19.367333763718531</v>
      </c>
      <c r="CP911" s="13">
        <f t="shared" si="856"/>
        <v>19</v>
      </c>
      <c r="CQ911" s="70">
        <f t="shared" si="857"/>
        <v>5.2631578947368418E-2</v>
      </c>
      <c r="CR911" s="69">
        <f t="shared" si="820"/>
        <v>5.2631578947368418E-2</v>
      </c>
    </row>
    <row r="912" spans="1:96" hidden="1" x14ac:dyDescent="0.25">
      <c r="A912" s="13">
        <v>4</v>
      </c>
      <c r="B912" s="14" t="s">
        <v>2005</v>
      </c>
      <c r="C912" s="13" t="s">
        <v>2006</v>
      </c>
      <c r="D912" s="13" t="s">
        <v>2270</v>
      </c>
      <c r="E912" s="13" t="s">
        <v>52</v>
      </c>
      <c r="F912" s="15">
        <f t="shared" si="826"/>
        <v>2</v>
      </c>
      <c r="G912" s="13">
        <v>1</v>
      </c>
      <c r="H912" s="13">
        <f t="shared" ref="H912:H913" si="872">G912*$H$910</f>
        <v>1</v>
      </c>
      <c r="I912" s="13">
        <v>5</v>
      </c>
      <c r="J912" s="14" t="s">
        <v>2007</v>
      </c>
      <c r="K912" s="14" t="s">
        <v>34</v>
      </c>
      <c r="L912" s="13">
        <v>0</v>
      </c>
      <c r="M912" s="14" t="s">
        <v>35</v>
      </c>
      <c r="N912" s="13" t="s">
        <v>2008</v>
      </c>
      <c r="O912" s="28" t="s">
        <v>41</v>
      </c>
      <c r="P912" s="28" t="s">
        <v>41</v>
      </c>
      <c r="Q912" s="28" t="s">
        <v>2009</v>
      </c>
      <c r="R912" s="30">
        <v>52.204724409448822</v>
      </c>
      <c r="S912" s="30">
        <v>1.0629921259842521</v>
      </c>
      <c r="T912" s="30"/>
      <c r="U912" s="30">
        <v>9.8000000000000004E-2</v>
      </c>
      <c r="V912" s="8">
        <f t="shared" si="827"/>
        <v>1326</v>
      </c>
      <c r="W912" s="8">
        <f t="shared" si="828"/>
        <v>27</v>
      </c>
      <c r="X912" s="8">
        <f t="shared" si="829"/>
        <v>0</v>
      </c>
      <c r="Y912" s="33">
        <f t="shared" si="830"/>
        <v>2.4891999999999999</v>
      </c>
      <c r="Z912" s="28" t="s">
        <v>56</v>
      </c>
      <c r="AA912" s="28" t="s">
        <v>57</v>
      </c>
      <c r="AB912" s="61" t="s">
        <v>124</v>
      </c>
      <c r="AC912" s="31" t="s">
        <v>125</v>
      </c>
      <c r="AD912" s="50">
        <f t="shared" si="831"/>
        <v>1</v>
      </c>
      <c r="AE912" s="31"/>
      <c r="AF912" s="51">
        <v>14</v>
      </c>
      <c r="AG912" s="51">
        <f t="shared" si="858"/>
        <v>8.4</v>
      </c>
      <c r="AH912" s="51">
        <f t="shared" si="825"/>
        <v>42</v>
      </c>
      <c r="AI912" s="52" t="s">
        <v>2497</v>
      </c>
      <c r="AJ912" s="52" t="s">
        <v>2498</v>
      </c>
      <c r="AK912" s="53">
        <f t="shared" si="859"/>
        <v>7.1604000000000001E-2</v>
      </c>
      <c r="AL912" s="54">
        <f t="shared" si="860"/>
        <v>0.11904761904761904</v>
      </c>
      <c r="AM912" s="54">
        <f t="shared" si="861"/>
        <v>2.3809523809523808E-2</v>
      </c>
      <c r="AN912" s="55">
        <f t="shared" si="862"/>
        <v>8.5242857142857134E-3</v>
      </c>
      <c r="AO912" s="55">
        <f t="shared" si="863"/>
        <v>1.7048571428571427E-3</v>
      </c>
      <c r="AP912" s="53">
        <v>7.1</v>
      </c>
      <c r="AQ912" s="53">
        <f t="shared" si="832"/>
        <v>4.26</v>
      </c>
      <c r="AR912" s="53">
        <f t="shared" si="833"/>
        <v>21.299999999999997</v>
      </c>
      <c r="AS912" s="56">
        <f t="shared" si="834"/>
        <v>4.6948356807511742E-2</v>
      </c>
      <c r="AT912" s="56">
        <f t="shared" si="864"/>
        <v>0.23474178403755869</v>
      </c>
      <c r="AU912" s="56">
        <f t="shared" si="835"/>
        <v>0.176056338028169</v>
      </c>
      <c r="AV912" s="56">
        <f t="shared" si="865"/>
        <v>5.8685446009389672E-2</v>
      </c>
      <c r="AW912" s="57"/>
      <c r="AX912" s="57"/>
      <c r="AY912" s="57"/>
      <c r="AZ912" s="58">
        <f t="shared" si="866"/>
        <v>7.1604000000000001E-2</v>
      </c>
      <c r="BA912" s="59">
        <f t="shared" si="867"/>
        <v>0</v>
      </c>
      <c r="BB912" s="59">
        <f t="shared" si="868"/>
        <v>0</v>
      </c>
      <c r="BC912" s="59">
        <f t="shared" si="869"/>
        <v>0</v>
      </c>
      <c r="BD912" s="60">
        <f t="shared" si="870"/>
        <v>1.3888888888888888E-2</v>
      </c>
      <c r="BE912" s="59">
        <f t="shared" si="871"/>
        <v>1.3888888888888888E-2</v>
      </c>
      <c r="BQ912" s="61">
        <v>3000</v>
      </c>
      <c r="BR912" s="61">
        <v>1200</v>
      </c>
      <c r="BS912" s="28">
        <f t="shared" si="836"/>
        <v>2980</v>
      </c>
      <c r="BT912" s="28">
        <f t="shared" si="837"/>
        <v>1180</v>
      </c>
      <c r="BU912" s="28" t="s">
        <v>2541</v>
      </c>
      <c r="BV912" s="28">
        <f t="shared" si="838"/>
        <v>1331</v>
      </c>
      <c r="BW912" s="28">
        <f t="shared" si="839"/>
        <v>32</v>
      </c>
      <c r="BX912" s="13">
        <f t="shared" si="840"/>
        <v>2.2389181066867017</v>
      </c>
      <c r="BY912" s="13">
        <f t="shared" si="841"/>
        <v>2</v>
      </c>
      <c r="BZ912" s="13">
        <f t="shared" si="842"/>
        <v>36.875</v>
      </c>
      <c r="CA912" s="13">
        <f t="shared" si="843"/>
        <v>36</v>
      </c>
      <c r="CB912" s="13">
        <f t="shared" si="844"/>
        <v>72</v>
      </c>
      <c r="CC912" s="62">
        <f t="shared" si="845"/>
        <v>1.3888888888888888E-2</v>
      </c>
      <c r="CD912" s="13">
        <f t="shared" si="846"/>
        <v>93.125</v>
      </c>
      <c r="CE912" s="13">
        <f t="shared" si="847"/>
        <v>93</v>
      </c>
      <c r="CF912" s="13">
        <f t="shared" si="848"/>
        <v>0.88655146506386173</v>
      </c>
      <c r="CG912" s="13">
        <f t="shared" si="849"/>
        <v>0</v>
      </c>
      <c r="CH912" s="28">
        <f t="shared" si="850"/>
        <v>0</v>
      </c>
      <c r="CI912" s="62">
        <f t="shared" si="851"/>
        <v>1</v>
      </c>
      <c r="CJ912" s="59">
        <f t="shared" si="852"/>
        <v>1.3888888888888888E-2</v>
      </c>
      <c r="CL912" s="63">
        <v>6000</v>
      </c>
      <c r="CM912" s="63">
        <f t="shared" si="853"/>
        <v>1326</v>
      </c>
      <c r="CN912" s="63">
        <f t="shared" si="854"/>
        <v>1331</v>
      </c>
      <c r="CO912" s="63">
        <f t="shared" si="855"/>
        <v>4.5078888054094666</v>
      </c>
      <c r="CP912" s="13">
        <f t="shared" si="856"/>
        <v>4</v>
      </c>
      <c r="CQ912" s="70">
        <f t="shared" si="857"/>
        <v>0.25</v>
      </c>
      <c r="CR912" s="69">
        <f t="shared" si="820"/>
        <v>0.25</v>
      </c>
    </row>
    <row r="913" spans="1:96" hidden="1" x14ac:dyDescent="0.25">
      <c r="A913" s="13">
        <v>4</v>
      </c>
      <c r="B913" s="14" t="s">
        <v>2005</v>
      </c>
      <c r="C913" s="13" t="s">
        <v>530</v>
      </c>
      <c r="D913" s="13" t="s">
        <v>532</v>
      </c>
      <c r="E913" s="13" t="s">
        <v>32</v>
      </c>
      <c r="F913" s="15">
        <f t="shared" si="826"/>
        <v>21</v>
      </c>
      <c r="G913" s="13">
        <v>2</v>
      </c>
      <c r="H913" s="13">
        <f t="shared" si="872"/>
        <v>2</v>
      </c>
      <c r="I913" s="13">
        <v>6</v>
      </c>
      <c r="J913" s="14" t="s">
        <v>531</v>
      </c>
      <c r="K913" s="14" t="s">
        <v>34</v>
      </c>
      <c r="L913" s="13" t="s">
        <v>110</v>
      </c>
      <c r="M913" s="14" t="s">
        <v>35</v>
      </c>
      <c r="N913" s="13" t="s">
        <v>532</v>
      </c>
      <c r="O913" s="28" t="s">
        <v>41</v>
      </c>
      <c r="P913" s="28" t="s">
        <v>41</v>
      </c>
      <c r="Q913" s="28"/>
      <c r="R913" s="30"/>
      <c r="S913" s="30"/>
      <c r="T913" s="30"/>
      <c r="U913" s="30"/>
      <c r="V913" s="8">
        <f t="shared" si="827"/>
        <v>0</v>
      </c>
      <c r="W913" s="8">
        <f t="shared" si="828"/>
        <v>0</v>
      </c>
      <c r="X913" s="8">
        <f t="shared" si="829"/>
        <v>0</v>
      </c>
      <c r="Y913" s="33">
        <f t="shared" si="830"/>
        <v>0</v>
      </c>
      <c r="Z913" s="28"/>
      <c r="AA913" s="28"/>
      <c r="AB913" s="28">
        <v>0</v>
      </c>
      <c r="AC913" s="31"/>
      <c r="AD913" s="50">
        <f t="shared" si="831"/>
        <v>2</v>
      </c>
      <c r="AE913" s="31"/>
      <c r="AF913" s="51">
        <v>14</v>
      </c>
      <c r="AG913" s="51">
        <f t="shared" si="858"/>
        <v>8.4</v>
      </c>
      <c r="AH913" s="51">
        <f t="shared" si="825"/>
        <v>42</v>
      </c>
      <c r="AI913" s="52" t="s">
        <v>2497</v>
      </c>
      <c r="AJ913" s="52" t="s">
        <v>2498</v>
      </c>
      <c r="AK913" s="53">
        <f t="shared" si="859"/>
        <v>0</v>
      </c>
      <c r="AL913" s="54">
        <f t="shared" si="860"/>
        <v>0.11904761904761904</v>
      </c>
      <c r="AM913" s="54">
        <f t="shared" si="861"/>
        <v>2.3809523809523808E-2</v>
      </c>
      <c r="AN913" s="55">
        <f t="shared" si="862"/>
        <v>0</v>
      </c>
      <c r="AO913" s="55">
        <f t="shared" si="863"/>
        <v>0</v>
      </c>
      <c r="AP913" s="53">
        <v>7.1</v>
      </c>
      <c r="AQ913" s="53">
        <f t="shared" si="832"/>
        <v>4.26</v>
      </c>
      <c r="AR913" s="53">
        <f t="shared" si="833"/>
        <v>21.299999999999997</v>
      </c>
      <c r="AS913" s="56">
        <f t="shared" si="834"/>
        <v>4.6948356807511742E-2</v>
      </c>
      <c r="AT913" s="56">
        <f t="shared" si="864"/>
        <v>0.23474178403755869</v>
      </c>
      <c r="AU913" s="56">
        <f t="shared" si="835"/>
        <v>0.176056338028169</v>
      </c>
      <c r="AV913" s="56">
        <f t="shared" si="865"/>
        <v>5.8685446009389672E-2</v>
      </c>
      <c r="AW913" s="57"/>
      <c r="AX913" s="57"/>
      <c r="AY913" s="57"/>
      <c r="AZ913" s="58">
        <f t="shared" si="866"/>
        <v>0</v>
      </c>
      <c r="BA913" s="59">
        <f t="shared" si="867"/>
        <v>0</v>
      </c>
      <c r="BB913" s="59">
        <f t="shared" si="868"/>
        <v>0</v>
      </c>
      <c r="BC913" s="59">
        <f t="shared" si="869"/>
        <v>0</v>
      </c>
      <c r="BD913" s="60">
        <f t="shared" si="870"/>
        <v>0</v>
      </c>
      <c r="BE913" s="59">
        <f t="shared" si="871"/>
        <v>0</v>
      </c>
      <c r="BQ913" s="61">
        <v>3000</v>
      </c>
      <c r="BR913" s="61">
        <v>1200</v>
      </c>
      <c r="BS913" s="28">
        <f t="shared" si="836"/>
        <v>2980</v>
      </c>
      <c r="BT913" s="28">
        <f t="shared" si="837"/>
        <v>1180</v>
      </c>
      <c r="BU913" s="28" t="s">
        <v>2541</v>
      </c>
      <c r="BV913" s="28">
        <f t="shared" si="838"/>
        <v>5</v>
      </c>
      <c r="BW913" s="28">
        <f t="shared" si="839"/>
        <v>5</v>
      </c>
      <c r="BX913" s="13">
        <f t="shared" si="840"/>
        <v>596</v>
      </c>
      <c r="BY913" s="13">
        <f t="shared" si="841"/>
        <v>596</v>
      </c>
      <c r="BZ913" s="13">
        <f t="shared" si="842"/>
        <v>236</v>
      </c>
      <c r="CA913" s="13">
        <f t="shared" si="843"/>
        <v>236</v>
      </c>
      <c r="CB913" s="13">
        <f t="shared" si="844"/>
        <v>140656</v>
      </c>
      <c r="CC913" s="62" t="str">
        <f t="shared" si="845"/>
        <v/>
      </c>
      <c r="CD913" s="13">
        <f t="shared" si="846"/>
        <v>596</v>
      </c>
      <c r="CE913" s="13">
        <f t="shared" si="847"/>
        <v>596</v>
      </c>
      <c r="CF913" s="13">
        <f t="shared" si="848"/>
        <v>236</v>
      </c>
      <c r="CG913" s="13">
        <f t="shared" si="849"/>
        <v>236</v>
      </c>
      <c r="CH913" s="28">
        <f t="shared" si="850"/>
        <v>140656</v>
      </c>
      <c r="CI913" s="62" t="str">
        <f t="shared" si="851"/>
        <v/>
      </c>
      <c r="CJ913" s="59">
        <f t="shared" si="852"/>
        <v>0</v>
      </c>
      <c r="CL913" s="63">
        <v>6000</v>
      </c>
      <c r="CM913" s="63">
        <f t="shared" si="853"/>
        <v>0</v>
      </c>
      <c r="CN913" s="63">
        <f t="shared" si="854"/>
        <v>5</v>
      </c>
      <c r="CO913" s="63">
        <f t="shared" si="855"/>
        <v>1200</v>
      </c>
      <c r="CP913" s="13">
        <f t="shared" si="856"/>
        <v>1200</v>
      </c>
      <c r="CQ913" s="70">
        <f t="shared" si="857"/>
        <v>8.3333333333333339E-4</v>
      </c>
      <c r="CR913" s="69">
        <f t="shared" si="820"/>
        <v>1.6666666666666668E-3</v>
      </c>
    </row>
    <row r="914" spans="1:96" hidden="1" x14ac:dyDescent="0.25">
      <c r="A914" s="17">
        <v>5</v>
      </c>
      <c r="B914" s="6" t="s">
        <v>1882</v>
      </c>
      <c r="C914" s="17" t="s">
        <v>534</v>
      </c>
      <c r="D914" s="17" t="s">
        <v>2270</v>
      </c>
      <c r="E914" s="17" t="s">
        <v>52</v>
      </c>
      <c r="F914" s="7">
        <f t="shared" si="826"/>
        <v>21</v>
      </c>
      <c r="G914" s="17">
        <v>1</v>
      </c>
      <c r="H914" s="17">
        <f>G914*$H$913</f>
        <v>2</v>
      </c>
      <c r="I914" s="17">
        <v>1</v>
      </c>
      <c r="J914" s="6" t="s">
        <v>101</v>
      </c>
      <c r="K914" s="6" t="s">
        <v>34</v>
      </c>
      <c r="L914" s="17" t="s">
        <v>110</v>
      </c>
      <c r="M914" s="6" t="s">
        <v>35</v>
      </c>
      <c r="N914" s="17" t="s">
        <v>535</v>
      </c>
      <c r="O914" s="28" t="s">
        <v>41</v>
      </c>
      <c r="P914" s="28" t="s">
        <v>41</v>
      </c>
      <c r="Q914" s="28" t="s">
        <v>535</v>
      </c>
      <c r="R914" s="30">
        <v>0.98</v>
      </c>
      <c r="S914" s="30">
        <v>0.98</v>
      </c>
      <c r="T914" s="30"/>
      <c r="U914" s="30">
        <v>0.11811023622047245</v>
      </c>
      <c r="V914" s="8">
        <f t="shared" si="827"/>
        <v>24.891999999999999</v>
      </c>
      <c r="W914" s="8">
        <f t="shared" si="828"/>
        <v>24.891999999999999</v>
      </c>
      <c r="X914" s="8">
        <f t="shared" si="829"/>
        <v>0</v>
      </c>
      <c r="Y914" s="33">
        <f t="shared" si="830"/>
        <v>3</v>
      </c>
      <c r="Z914" s="28" t="s">
        <v>536</v>
      </c>
      <c r="AA914" s="28" t="s">
        <v>537</v>
      </c>
      <c r="AB914" s="61" t="s">
        <v>535</v>
      </c>
      <c r="AC914" s="31" t="s">
        <v>538</v>
      </c>
      <c r="AD914" s="50">
        <f t="shared" si="831"/>
        <v>2</v>
      </c>
      <c r="AE914" s="31"/>
      <c r="AF914" s="51">
        <v>14</v>
      </c>
      <c r="AG914" s="51">
        <f t="shared" si="858"/>
        <v>8.4</v>
      </c>
      <c r="AH914" s="51">
        <f t="shared" si="825"/>
        <v>42</v>
      </c>
      <c r="AI914" s="52" t="s">
        <v>2497</v>
      </c>
      <c r="AJ914" s="52" t="s">
        <v>2498</v>
      </c>
      <c r="AK914" s="53">
        <f t="shared" si="859"/>
        <v>1.239223328E-3</v>
      </c>
      <c r="AL914" s="54">
        <f t="shared" si="860"/>
        <v>0.11904761904761904</v>
      </c>
      <c r="AM914" s="54">
        <f t="shared" si="861"/>
        <v>2.3809523809523808E-2</v>
      </c>
      <c r="AN914" s="55">
        <f t="shared" si="862"/>
        <v>2.9505317333333335E-4</v>
      </c>
      <c r="AO914" s="55">
        <f t="shared" si="863"/>
        <v>5.9010634666666666E-5</v>
      </c>
      <c r="AP914" s="53">
        <v>7.1</v>
      </c>
      <c r="AQ914" s="53">
        <f t="shared" si="832"/>
        <v>4.26</v>
      </c>
      <c r="AR914" s="53">
        <f t="shared" si="833"/>
        <v>21.299999999999997</v>
      </c>
      <c r="AS914" s="56">
        <f t="shared" si="834"/>
        <v>4.6948356807511742E-2</v>
      </c>
      <c r="AT914" s="56">
        <f t="shared" si="864"/>
        <v>0.23474178403755869</v>
      </c>
      <c r="AU914" s="56">
        <f t="shared" si="835"/>
        <v>0.176056338028169</v>
      </c>
      <c r="AV914" s="56">
        <f t="shared" si="865"/>
        <v>5.8685446009389672E-2</v>
      </c>
      <c r="AW914" s="57"/>
      <c r="AX914" s="57"/>
      <c r="AY914" s="57"/>
      <c r="AZ914" s="58">
        <f t="shared" si="866"/>
        <v>1.239223328E-3</v>
      </c>
      <c r="BA914" s="59">
        <f t="shared" si="867"/>
        <v>0</v>
      </c>
      <c r="BB914" s="59">
        <f t="shared" si="868"/>
        <v>0</v>
      </c>
      <c r="BC914" s="59">
        <f t="shared" si="869"/>
        <v>0</v>
      </c>
      <c r="BD914" s="60">
        <f t="shared" si="870"/>
        <v>2.5900025900025902E-4</v>
      </c>
      <c r="BE914" s="59">
        <f t="shared" si="871"/>
        <v>5.1800051800051804E-4</v>
      </c>
      <c r="BQ914" s="61">
        <v>3000</v>
      </c>
      <c r="BR914" s="61">
        <v>1200</v>
      </c>
      <c r="BS914" s="28">
        <f t="shared" si="836"/>
        <v>2980</v>
      </c>
      <c r="BT914" s="28">
        <f t="shared" si="837"/>
        <v>1180</v>
      </c>
      <c r="BU914" s="28" t="s">
        <v>2541</v>
      </c>
      <c r="BV914" s="28">
        <f t="shared" si="838"/>
        <v>29.891999999999999</v>
      </c>
      <c r="BW914" s="28">
        <f t="shared" si="839"/>
        <v>29.891999999999999</v>
      </c>
      <c r="BX914" s="13">
        <f t="shared" si="840"/>
        <v>99.692225344573799</v>
      </c>
      <c r="BY914" s="13">
        <f t="shared" si="841"/>
        <v>99</v>
      </c>
      <c r="BZ914" s="13">
        <f t="shared" si="842"/>
        <v>39.475444935099695</v>
      </c>
      <c r="CA914" s="13">
        <f t="shared" si="843"/>
        <v>39</v>
      </c>
      <c r="CB914" s="13">
        <f t="shared" si="844"/>
        <v>3861</v>
      </c>
      <c r="CC914" s="62">
        <f t="shared" si="845"/>
        <v>2.5900025900025902E-4</v>
      </c>
      <c r="CD914" s="13">
        <f t="shared" si="846"/>
        <v>99.692225344573799</v>
      </c>
      <c r="CE914" s="13">
        <f t="shared" si="847"/>
        <v>99</v>
      </c>
      <c r="CF914" s="13">
        <f t="shared" si="848"/>
        <v>39.475444935099695</v>
      </c>
      <c r="CG914" s="13">
        <f t="shared" si="849"/>
        <v>39</v>
      </c>
      <c r="CH914" s="28">
        <f t="shared" si="850"/>
        <v>3861</v>
      </c>
      <c r="CI914" s="62">
        <f t="shared" si="851"/>
        <v>2.5900025900025902E-4</v>
      </c>
      <c r="CJ914" s="59">
        <f t="shared" si="852"/>
        <v>2.5900025900025902E-4</v>
      </c>
      <c r="CL914" s="63">
        <v>6000</v>
      </c>
      <c r="CM914" s="63">
        <f t="shared" si="853"/>
        <v>24.891999999999999</v>
      </c>
      <c r="CN914" s="63">
        <f t="shared" si="854"/>
        <v>29.891999999999999</v>
      </c>
      <c r="CO914" s="63">
        <f t="shared" si="855"/>
        <v>200.72260136491369</v>
      </c>
      <c r="CP914" s="13">
        <f t="shared" si="856"/>
        <v>200</v>
      </c>
      <c r="CQ914" s="70">
        <f t="shared" si="857"/>
        <v>5.0000000000000001E-3</v>
      </c>
      <c r="CR914" s="69">
        <f t="shared" si="820"/>
        <v>0.01</v>
      </c>
    </row>
    <row r="915" spans="1:96" hidden="1" x14ac:dyDescent="0.25">
      <c r="A915" s="17">
        <v>5</v>
      </c>
      <c r="B915" s="6" t="s">
        <v>1882</v>
      </c>
      <c r="C915" s="17" t="s">
        <v>539</v>
      </c>
      <c r="D915" s="17" t="s">
        <v>2270</v>
      </c>
      <c r="E915" s="17" t="s">
        <v>52</v>
      </c>
      <c r="F915" s="7">
        <f t="shared" si="826"/>
        <v>21</v>
      </c>
      <c r="G915" s="17">
        <v>1</v>
      </c>
      <c r="H915" s="17">
        <f>G915*$H$913</f>
        <v>2</v>
      </c>
      <c r="I915" s="17">
        <v>2</v>
      </c>
      <c r="J915" s="6" t="s">
        <v>101</v>
      </c>
      <c r="K915" s="6" t="s">
        <v>34</v>
      </c>
      <c r="L915" s="17" t="s">
        <v>110</v>
      </c>
      <c r="M915" s="6" t="s">
        <v>35</v>
      </c>
      <c r="N915" s="17" t="s">
        <v>540</v>
      </c>
      <c r="O915" s="28" t="s">
        <v>41</v>
      </c>
      <c r="P915" s="28" t="s">
        <v>41</v>
      </c>
      <c r="Q915" s="28" t="s">
        <v>540</v>
      </c>
      <c r="R915" s="30">
        <v>0.98</v>
      </c>
      <c r="S915" s="30">
        <v>0.98</v>
      </c>
      <c r="T915" s="30"/>
      <c r="U915" s="30">
        <v>0.47244094488188981</v>
      </c>
      <c r="V915" s="8">
        <f t="shared" si="827"/>
        <v>24.891999999999999</v>
      </c>
      <c r="W915" s="8">
        <f t="shared" si="828"/>
        <v>24.891999999999999</v>
      </c>
      <c r="X915" s="8">
        <f t="shared" si="829"/>
        <v>0</v>
      </c>
      <c r="Y915" s="33">
        <f t="shared" si="830"/>
        <v>12</v>
      </c>
      <c r="Z915" s="28" t="s">
        <v>731</v>
      </c>
      <c r="AA915" s="28" t="s">
        <v>251</v>
      </c>
      <c r="AB915" s="61" t="s">
        <v>540</v>
      </c>
      <c r="AC915" s="31" t="s">
        <v>541</v>
      </c>
      <c r="AD915" s="50">
        <f t="shared" si="831"/>
        <v>2</v>
      </c>
      <c r="AE915" s="31"/>
      <c r="AF915" s="51">
        <v>14</v>
      </c>
      <c r="AG915" s="51">
        <f t="shared" si="858"/>
        <v>8.4</v>
      </c>
      <c r="AH915" s="51">
        <f t="shared" si="825"/>
        <v>42</v>
      </c>
      <c r="AI915" s="52" t="s">
        <v>2497</v>
      </c>
      <c r="AJ915" s="52" t="s">
        <v>2498</v>
      </c>
      <c r="AK915" s="53">
        <f t="shared" si="859"/>
        <v>1.239223328E-3</v>
      </c>
      <c r="AL915" s="54">
        <f t="shared" si="860"/>
        <v>0.11904761904761904</v>
      </c>
      <c r="AM915" s="54">
        <f t="shared" si="861"/>
        <v>2.3809523809523808E-2</v>
      </c>
      <c r="AN915" s="55">
        <f t="shared" si="862"/>
        <v>2.9505317333333335E-4</v>
      </c>
      <c r="AO915" s="55">
        <f t="shared" si="863"/>
        <v>5.9010634666666666E-5</v>
      </c>
      <c r="AP915" s="53">
        <v>7.1</v>
      </c>
      <c r="AQ915" s="53">
        <f t="shared" si="832"/>
        <v>4.26</v>
      </c>
      <c r="AR915" s="53">
        <f t="shared" si="833"/>
        <v>21.299999999999997</v>
      </c>
      <c r="AS915" s="56">
        <f t="shared" si="834"/>
        <v>4.6948356807511742E-2</v>
      </c>
      <c r="AT915" s="56">
        <f t="shared" si="864"/>
        <v>0.23474178403755869</v>
      </c>
      <c r="AU915" s="56">
        <f t="shared" si="835"/>
        <v>0.176056338028169</v>
      </c>
      <c r="AV915" s="56">
        <f t="shared" si="865"/>
        <v>5.8685446009389672E-2</v>
      </c>
      <c r="AW915" s="57"/>
      <c r="AX915" s="57"/>
      <c r="AY915" s="57"/>
      <c r="AZ915" s="58">
        <f t="shared" si="866"/>
        <v>1.239223328E-3</v>
      </c>
      <c r="BA915" s="59">
        <f t="shared" si="867"/>
        <v>0</v>
      </c>
      <c r="BB915" s="59">
        <f t="shared" si="868"/>
        <v>0</v>
      </c>
      <c r="BC915" s="59">
        <f t="shared" si="869"/>
        <v>0</v>
      </c>
      <c r="BD915" s="60">
        <f t="shared" si="870"/>
        <v>2.5900025900025902E-4</v>
      </c>
      <c r="BE915" s="59">
        <f t="shared" si="871"/>
        <v>5.1800051800051804E-4</v>
      </c>
      <c r="BQ915" s="61">
        <v>3000</v>
      </c>
      <c r="BR915" s="61">
        <v>1200</v>
      </c>
      <c r="BS915" s="28">
        <f t="shared" si="836"/>
        <v>2980</v>
      </c>
      <c r="BT915" s="28">
        <f t="shared" si="837"/>
        <v>1180</v>
      </c>
      <c r="BU915" s="28" t="s">
        <v>2541</v>
      </c>
      <c r="BV915" s="28">
        <f t="shared" si="838"/>
        <v>29.891999999999999</v>
      </c>
      <c r="BW915" s="28">
        <f t="shared" si="839"/>
        <v>29.891999999999999</v>
      </c>
      <c r="BX915" s="13">
        <f t="shared" si="840"/>
        <v>99.692225344573799</v>
      </c>
      <c r="BY915" s="13">
        <f t="shared" si="841"/>
        <v>99</v>
      </c>
      <c r="BZ915" s="13">
        <f t="shared" si="842"/>
        <v>39.475444935099695</v>
      </c>
      <c r="CA915" s="13">
        <f t="shared" si="843"/>
        <v>39</v>
      </c>
      <c r="CB915" s="13">
        <f t="shared" si="844"/>
        <v>3861</v>
      </c>
      <c r="CC915" s="62">
        <f t="shared" si="845"/>
        <v>2.5900025900025902E-4</v>
      </c>
      <c r="CD915" s="13">
        <f t="shared" si="846"/>
        <v>99.692225344573799</v>
      </c>
      <c r="CE915" s="13">
        <f t="shared" si="847"/>
        <v>99</v>
      </c>
      <c r="CF915" s="13">
        <f t="shared" si="848"/>
        <v>39.475444935099695</v>
      </c>
      <c r="CG915" s="13">
        <f t="shared" si="849"/>
        <v>39</v>
      </c>
      <c r="CH915" s="28">
        <f t="shared" si="850"/>
        <v>3861</v>
      </c>
      <c r="CI915" s="62">
        <f t="shared" si="851"/>
        <v>2.5900025900025902E-4</v>
      </c>
      <c r="CJ915" s="59">
        <f t="shared" si="852"/>
        <v>2.5900025900025902E-4</v>
      </c>
      <c r="CL915" s="63">
        <v>6000</v>
      </c>
      <c r="CM915" s="63">
        <f t="shared" si="853"/>
        <v>24.891999999999999</v>
      </c>
      <c r="CN915" s="63">
        <f t="shared" si="854"/>
        <v>29.891999999999999</v>
      </c>
      <c r="CO915" s="63">
        <f t="shared" si="855"/>
        <v>200.72260136491369</v>
      </c>
      <c r="CP915" s="13">
        <f t="shared" si="856"/>
        <v>200</v>
      </c>
      <c r="CQ915" s="70">
        <f t="shared" si="857"/>
        <v>5.0000000000000001E-3</v>
      </c>
      <c r="CR915" s="69">
        <f t="shared" si="820"/>
        <v>0.01</v>
      </c>
    </row>
    <row r="916" spans="1:96" hidden="1" x14ac:dyDescent="0.25">
      <c r="A916" s="13">
        <v>4</v>
      </c>
      <c r="B916" s="14" t="s">
        <v>2005</v>
      </c>
      <c r="C916" s="13" t="s">
        <v>2010</v>
      </c>
      <c r="D916" s="13" t="s">
        <v>2270</v>
      </c>
      <c r="E916" s="13" t="s">
        <v>32</v>
      </c>
      <c r="F916" s="15">
        <f t="shared" si="826"/>
        <v>1</v>
      </c>
      <c r="G916" s="13">
        <v>1</v>
      </c>
      <c r="H916" s="13">
        <f>G916*$H$910</f>
        <v>1</v>
      </c>
      <c r="I916" s="13">
        <v>7</v>
      </c>
      <c r="J916" s="14" t="s">
        <v>1867</v>
      </c>
      <c r="K916" s="14" t="s">
        <v>34</v>
      </c>
      <c r="L916" s="13">
        <v>0</v>
      </c>
      <c r="M916" s="14" t="s">
        <v>35</v>
      </c>
      <c r="N916" s="13" t="s">
        <v>2011</v>
      </c>
      <c r="O916" s="28" t="s">
        <v>41</v>
      </c>
      <c r="P916" s="28" t="s">
        <v>41</v>
      </c>
      <c r="Q916" s="28"/>
      <c r="R916" s="30"/>
      <c r="S916" s="30"/>
      <c r="T916" s="30"/>
      <c r="U916" s="30"/>
      <c r="V916" s="8">
        <f t="shared" si="827"/>
        <v>0</v>
      </c>
      <c r="W916" s="8">
        <f t="shared" si="828"/>
        <v>0</v>
      </c>
      <c r="X916" s="8">
        <f t="shared" si="829"/>
        <v>0</v>
      </c>
      <c r="Y916" s="33">
        <f t="shared" si="830"/>
        <v>0</v>
      </c>
      <c r="Z916" s="28"/>
      <c r="AA916" s="28"/>
      <c r="AB916" s="28">
        <v>0</v>
      </c>
      <c r="AC916" s="31"/>
      <c r="AD916" s="50">
        <f t="shared" si="831"/>
        <v>1</v>
      </c>
      <c r="AE916" s="31"/>
      <c r="AF916" s="51">
        <v>14</v>
      </c>
      <c r="AG916" s="51">
        <f t="shared" si="858"/>
        <v>8.4</v>
      </c>
      <c r="AH916" s="51">
        <f t="shared" si="825"/>
        <v>42</v>
      </c>
      <c r="AI916" s="52" t="s">
        <v>2497</v>
      </c>
      <c r="AJ916" s="52" t="s">
        <v>2498</v>
      </c>
      <c r="AK916" s="53">
        <f t="shared" si="859"/>
        <v>0</v>
      </c>
      <c r="AL916" s="54">
        <f t="shared" si="860"/>
        <v>0.11904761904761904</v>
      </c>
      <c r="AM916" s="54">
        <f t="shared" si="861"/>
        <v>2.3809523809523808E-2</v>
      </c>
      <c r="AN916" s="55">
        <f t="shared" si="862"/>
        <v>0</v>
      </c>
      <c r="AO916" s="55">
        <f t="shared" si="863"/>
        <v>0</v>
      </c>
      <c r="AP916" s="53">
        <v>7.1</v>
      </c>
      <c r="AQ916" s="53">
        <f t="shared" si="832"/>
        <v>4.26</v>
      </c>
      <c r="AR916" s="53">
        <f t="shared" si="833"/>
        <v>21.299999999999997</v>
      </c>
      <c r="AS916" s="56">
        <f t="shared" si="834"/>
        <v>4.6948356807511742E-2</v>
      </c>
      <c r="AT916" s="56">
        <f t="shared" si="864"/>
        <v>0.23474178403755869</v>
      </c>
      <c r="AU916" s="56">
        <f t="shared" si="835"/>
        <v>0.176056338028169</v>
      </c>
      <c r="AV916" s="56">
        <f t="shared" si="865"/>
        <v>5.8685446009389672E-2</v>
      </c>
      <c r="AW916" s="57"/>
      <c r="AX916" s="57"/>
      <c r="AY916" s="57"/>
      <c r="AZ916" s="58">
        <f t="shared" si="866"/>
        <v>0</v>
      </c>
      <c r="BA916" s="59">
        <f t="shared" si="867"/>
        <v>0</v>
      </c>
      <c r="BB916" s="59">
        <f t="shared" si="868"/>
        <v>0</v>
      </c>
      <c r="BC916" s="59">
        <f t="shared" si="869"/>
        <v>0</v>
      </c>
      <c r="BD916" s="60">
        <f t="shared" si="870"/>
        <v>0</v>
      </c>
      <c r="BE916" s="59">
        <f t="shared" si="871"/>
        <v>0</v>
      </c>
      <c r="BQ916" s="61">
        <v>3000</v>
      </c>
      <c r="BR916" s="61">
        <v>1200</v>
      </c>
      <c r="BS916" s="28">
        <f t="shared" si="836"/>
        <v>2980</v>
      </c>
      <c r="BT916" s="28">
        <f t="shared" si="837"/>
        <v>1180</v>
      </c>
      <c r="BU916" s="28" t="s">
        <v>2541</v>
      </c>
      <c r="BV916" s="28">
        <f t="shared" si="838"/>
        <v>5</v>
      </c>
      <c r="BW916" s="28">
        <f t="shared" si="839"/>
        <v>5</v>
      </c>
      <c r="BX916" s="13">
        <f t="shared" si="840"/>
        <v>596</v>
      </c>
      <c r="BY916" s="13">
        <f t="shared" si="841"/>
        <v>596</v>
      </c>
      <c r="BZ916" s="13">
        <f t="shared" si="842"/>
        <v>236</v>
      </c>
      <c r="CA916" s="13">
        <f t="shared" si="843"/>
        <v>236</v>
      </c>
      <c r="CB916" s="13">
        <f t="shared" si="844"/>
        <v>140656</v>
      </c>
      <c r="CC916" s="62" t="str">
        <f t="shared" si="845"/>
        <v/>
      </c>
      <c r="CD916" s="13">
        <f t="shared" si="846"/>
        <v>596</v>
      </c>
      <c r="CE916" s="13">
        <f t="shared" si="847"/>
        <v>596</v>
      </c>
      <c r="CF916" s="13">
        <f t="shared" si="848"/>
        <v>236</v>
      </c>
      <c r="CG916" s="13">
        <f t="shared" si="849"/>
        <v>236</v>
      </c>
      <c r="CH916" s="28">
        <f t="shared" si="850"/>
        <v>140656</v>
      </c>
      <c r="CI916" s="62" t="str">
        <f t="shared" si="851"/>
        <v/>
      </c>
      <c r="CJ916" s="59">
        <f t="shared" si="852"/>
        <v>0</v>
      </c>
      <c r="CL916" s="63">
        <v>6000</v>
      </c>
      <c r="CM916" s="63">
        <f t="shared" si="853"/>
        <v>0</v>
      </c>
      <c r="CN916" s="63">
        <f t="shared" si="854"/>
        <v>5</v>
      </c>
      <c r="CO916" s="63">
        <f t="shared" si="855"/>
        <v>1200</v>
      </c>
      <c r="CP916" s="13">
        <f t="shared" si="856"/>
        <v>1200</v>
      </c>
      <c r="CQ916" s="70">
        <f t="shared" si="857"/>
        <v>8.3333333333333339E-4</v>
      </c>
      <c r="CR916" s="69">
        <f t="shared" si="820"/>
        <v>8.3333333333333339E-4</v>
      </c>
    </row>
    <row r="917" spans="1:96" hidden="1" x14ac:dyDescent="0.25">
      <c r="A917" s="17">
        <v>5</v>
      </c>
      <c r="B917" s="6" t="s">
        <v>2012</v>
      </c>
      <c r="C917" s="17" t="s">
        <v>2013</v>
      </c>
      <c r="D917" s="17" t="s">
        <v>2270</v>
      </c>
      <c r="E917" s="17" t="s">
        <v>52</v>
      </c>
      <c r="F917" s="7">
        <f t="shared" si="826"/>
        <v>1</v>
      </c>
      <c r="G917" s="17">
        <v>1</v>
      </c>
      <c r="H917" s="17">
        <f>G917*$H$916</f>
        <v>1</v>
      </c>
      <c r="I917" s="17">
        <v>1</v>
      </c>
      <c r="J917" s="6" t="s">
        <v>1892</v>
      </c>
      <c r="K917" s="6" t="s">
        <v>34</v>
      </c>
      <c r="L917" s="17">
        <v>0</v>
      </c>
      <c r="M917" s="6" t="s">
        <v>35</v>
      </c>
      <c r="N917" s="17" t="s">
        <v>2014</v>
      </c>
      <c r="O917" s="28"/>
      <c r="P917" s="28"/>
      <c r="Q917" s="28" t="s">
        <v>505</v>
      </c>
      <c r="R917" s="30">
        <v>56.912999999999997</v>
      </c>
      <c r="S917" s="30">
        <v>14.682</v>
      </c>
      <c r="T917" s="30"/>
      <c r="U917" s="30">
        <v>0.06</v>
      </c>
      <c r="V917" s="8">
        <f t="shared" si="827"/>
        <v>1445.5901999999999</v>
      </c>
      <c r="W917" s="8">
        <f t="shared" si="828"/>
        <v>372.9228</v>
      </c>
      <c r="X917" s="8">
        <f t="shared" si="829"/>
        <v>0</v>
      </c>
      <c r="Y917" s="33">
        <f t="shared" si="830"/>
        <v>1.5239999999999998</v>
      </c>
      <c r="Z917" s="28" t="s">
        <v>56</v>
      </c>
      <c r="AA917" s="28" t="s">
        <v>1765</v>
      </c>
      <c r="AB917" s="61" t="s">
        <v>505</v>
      </c>
      <c r="AC917" s="31" t="s">
        <v>506</v>
      </c>
      <c r="AD917" s="50">
        <f t="shared" si="831"/>
        <v>1</v>
      </c>
      <c r="AE917" s="31"/>
      <c r="AF917" s="51">
        <v>14</v>
      </c>
      <c r="AG917" s="51">
        <f t="shared" si="858"/>
        <v>8.4</v>
      </c>
      <c r="AH917" s="51">
        <f t="shared" si="825"/>
        <v>42</v>
      </c>
      <c r="AI917" s="52" t="s">
        <v>2497</v>
      </c>
      <c r="AJ917" s="52" t="s">
        <v>2498</v>
      </c>
      <c r="AK917" s="53">
        <f t="shared" si="859"/>
        <v>1.0781870900731199</v>
      </c>
      <c r="AL917" s="54">
        <f t="shared" si="860"/>
        <v>0.11904761904761904</v>
      </c>
      <c r="AM917" s="54">
        <f t="shared" si="861"/>
        <v>2.3809523809523808E-2</v>
      </c>
      <c r="AN917" s="55">
        <f t="shared" si="862"/>
        <v>0.12835560596108569</v>
      </c>
      <c r="AO917" s="55">
        <f t="shared" si="863"/>
        <v>2.567112119221714E-2</v>
      </c>
      <c r="AP917" s="53">
        <v>7.1</v>
      </c>
      <c r="AQ917" s="53">
        <f t="shared" si="832"/>
        <v>4.26</v>
      </c>
      <c r="AR917" s="53">
        <f t="shared" si="833"/>
        <v>21.299999999999997</v>
      </c>
      <c r="AS917" s="56">
        <f t="shared" si="834"/>
        <v>4.6948356807511742E-2</v>
      </c>
      <c r="AT917" s="56">
        <f t="shared" si="864"/>
        <v>0.23474178403755869</v>
      </c>
      <c r="AU917" s="56">
        <f t="shared" si="835"/>
        <v>0.176056338028169</v>
      </c>
      <c r="AV917" s="56">
        <f t="shared" si="865"/>
        <v>5.8685446009389672E-2</v>
      </c>
      <c r="AW917" s="57"/>
      <c r="AX917" s="57"/>
      <c r="AY917" s="57"/>
      <c r="AZ917" s="58">
        <f t="shared" si="866"/>
        <v>1.0781870900731199</v>
      </c>
      <c r="BA917" s="59">
        <f t="shared" si="867"/>
        <v>0</v>
      </c>
      <c r="BB917" s="59">
        <f t="shared" si="868"/>
        <v>0</v>
      </c>
      <c r="BC917" s="59">
        <f t="shared" si="869"/>
        <v>0</v>
      </c>
      <c r="BD917" s="60">
        <f t="shared" si="870"/>
        <v>0.16666666666666666</v>
      </c>
      <c r="BE917" s="59">
        <f t="shared" si="871"/>
        <v>0.16666666666666666</v>
      </c>
      <c r="BQ917" s="61">
        <v>3000</v>
      </c>
      <c r="BR917" s="61">
        <v>1200</v>
      </c>
      <c r="BS917" s="28">
        <f t="shared" si="836"/>
        <v>2980</v>
      </c>
      <c r="BT917" s="28">
        <f t="shared" si="837"/>
        <v>1180</v>
      </c>
      <c r="BU917" s="28" t="s">
        <v>2541</v>
      </c>
      <c r="BV917" s="28">
        <f t="shared" si="838"/>
        <v>1450.5901999999999</v>
      </c>
      <c r="BW917" s="28">
        <f t="shared" si="839"/>
        <v>377.9228</v>
      </c>
      <c r="BX917" s="13">
        <f t="shared" si="840"/>
        <v>2.0543362281090829</v>
      </c>
      <c r="BY917" s="13">
        <f t="shared" si="841"/>
        <v>2</v>
      </c>
      <c r="BZ917" s="13">
        <f t="shared" si="842"/>
        <v>3.1223308040689792</v>
      </c>
      <c r="CA917" s="13">
        <f t="shared" si="843"/>
        <v>3</v>
      </c>
      <c r="CB917" s="13">
        <f t="shared" si="844"/>
        <v>6</v>
      </c>
      <c r="CC917" s="62">
        <f t="shared" si="845"/>
        <v>0.16666666666666666</v>
      </c>
      <c r="CD917" s="13">
        <f t="shared" si="846"/>
        <v>7.8852083018013204</v>
      </c>
      <c r="CE917" s="13">
        <f t="shared" si="847"/>
        <v>7</v>
      </c>
      <c r="CF917" s="13">
        <f t="shared" si="848"/>
        <v>0.81346199636534156</v>
      </c>
      <c r="CG917" s="13">
        <f t="shared" si="849"/>
        <v>0</v>
      </c>
      <c r="CH917" s="28">
        <f t="shared" si="850"/>
        <v>0</v>
      </c>
      <c r="CI917" s="62">
        <f t="shared" si="851"/>
        <v>1</v>
      </c>
      <c r="CJ917" s="59">
        <f t="shared" si="852"/>
        <v>0.16666666666666666</v>
      </c>
      <c r="CL917" s="63">
        <v>6000</v>
      </c>
      <c r="CM917" s="63">
        <f t="shared" si="853"/>
        <v>1445.5901999999999</v>
      </c>
      <c r="CN917" s="63">
        <f t="shared" si="854"/>
        <v>1450.5901999999999</v>
      </c>
      <c r="CO917" s="63">
        <f t="shared" si="855"/>
        <v>4.1362474391458042</v>
      </c>
      <c r="CP917" s="13">
        <f t="shared" si="856"/>
        <v>4</v>
      </c>
      <c r="CQ917" s="70">
        <f t="shared" si="857"/>
        <v>0.25</v>
      </c>
      <c r="CR917" s="69">
        <f t="shared" si="820"/>
        <v>0.25</v>
      </c>
    </row>
    <row r="918" spans="1:96" hidden="1" x14ac:dyDescent="0.25">
      <c r="A918" s="17">
        <v>5</v>
      </c>
      <c r="B918" s="6" t="s">
        <v>2012</v>
      </c>
      <c r="C918" s="17" t="s">
        <v>1667</v>
      </c>
      <c r="D918" s="17" t="s">
        <v>1959</v>
      </c>
      <c r="E918" s="17" t="s">
        <v>52</v>
      </c>
      <c r="F918" s="7">
        <f t="shared" si="826"/>
        <v>8</v>
      </c>
      <c r="G918" s="17">
        <v>4</v>
      </c>
      <c r="H918" s="17">
        <f t="shared" ref="H918:H919" si="873">G918*$H$916</f>
        <v>4</v>
      </c>
      <c r="I918" s="17">
        <v>2</v>
      </c>
      <c r="J918" s="6" t="s">
        <v>1668</v>
      </c>
      <c r="K918" s="6" t="s">
        <v>34</v>
      </c>
      <c r="L918" s="17">
        <v>0</v>
      </c>
      <c r="M918" s="6" t="s">
        <v>35</v>
      </c>
      <c r="N918" s="17" t="s">
        <v>1959</v>
      </c>
      <c r="O918" s="28"/>
      <c r="P918" s="28"/>
      <c r="Q918" s="28" t="s">
        <v>1959</v>
      </c>
      <c r="R918" s="30"/>
      <c r="S918" s="30"/>
      <c r="T918" s="30"/>
      <c r="U918" s="30"/>
      <c r="V918" s="8">
        <f t="shared" si="827"/>
        <v>0</v>
      </c>
      <c r="W918" s="8">
        <f t="shared" si="828"/>
        <v>0</v>
      </c>
      <c r="X918" s="8">
        <f t="shared" si="829"/>
        <v>0</v>
      </c>
      <c r="Y918" s="33">
        <f t="shared" si="830"/>
        <v>0</v>
      </c>
      <c r="Z918" s="28"/>
      <c r="AA918" s="28"/>
      <c r="AB918" s="61" t="s">
        <v>1959</v>
      </c>
      <c r="AC918" s="31" t="s">
        <v>1669</v>
      </c>
      <c r="AD918" s="50">
        <f t="shared" si="831"/>
        <v>4</v>
      </c>
      <c r="AE918" s="31"/>
      <c r="AF918" s="51">
        <v>14</v>
      </c>
      <c r="AG918" s="51">
        <f t="shared" si="858"/>
        <v>8.4</v>
      </c>
      <c r="AH918" s="51">
        <f t="shared" si="825"/>
        <v>42</v>
      </c>
      <c r="AI918" s="52" t="s">
        <v>2497</v>
      </c>
      <c r="AJ918" s="52" t="s">
        <v>2498</v>
      </c>
      <c r="AK918" s="53">
        <f t="shared" si="859"/>
        <v>0</v>
      </c>
      <c r="AL918" s="54">
        <f t="shared" si="860"/>
        <v>0.11904761904761904</v>
      </c>
      <c r="AM918" s="54">
        <f t="shared" si="861"/>
        <v>2.3809523809523808E-2</v>
      </c>
      <c r="AN918" s="55">
        <f t="shared" si="862"/>
        <v>0</v>
      </c>
      <c r="AO918" s="55">
        <f t="shared" si="863"/>
        <v>0</v>
      </c>
      <c r="AP918" s="53">
        <v>7.1</v>
      </c>
      <c r="AQ918" s="53">
        <f t="shared" si="832"/>
        <v>4.26</v>
      </c>
      <c r="AR918" s="53">
        <f t="shared" si="833"/>
        <v>21.299999999999997</v>
      </c>
      <c r="AS918" s="56">
        <f t="shared" si="834"/>
        <v>4.6948356807511742E-2</v>
      </c>
      <c r="AT918" s="56">
        <f t="shared" si="864"/>
        <v>0.23474178403755869</v>
      </c>
      <c r="AU918" s="56">
        <f t="shared" si="835"/>
        <v>0.176056338028169</v>
      </c>
      <c r="AV918" s="56">
        <f t="shared" si="865"/>
        <v>5.8685446009389672E-2</v>
      </c>
      <c r="AW918" s="57"/>
      <c r="AX918" s="57"/>
      <c r="AY918" s="57"/>
      <c r="AZ918" s="58">
        <f t="shared" si="866"/>
        <v>0</v>
      </c>
      <c r="BA918" s="59">
        <f t="shared" si="867"/>
        <v>0</v>
      </c>
      <c r="BB918" s="59">
        <f t="shared" si="868"/>
        <v>0</v>
      </c>
      <c r="BC918" s="59">
        <f t="shared" si="869"/>
        <v>0</v>
      </c>
      <c r="BD918" s="60">
        <f t="shared" si="870"/>
        <v>7.1095438516664771E-6</v>
      </c>
      <c r="BE918" s="59">
        <f t="shared" si="871"/>
        <v>2.8438175406665908E-5</v>
      </c>
      <c r="BQ918" s="61">
        <v>3000</v>
      </c>
      <c r="BR918" s="61">
        <v>1200</v>
      </c>
      <c r="BS918" s="28">
        <f t="shared" si="836"/>
        <v>2980</v>
      </c>
      <c r="BT918" s="28">
        <f t="shared" si="837"/>
        <v>1180</v>
      </c>
      <c r="BU918" s="28" t="s">
        <v>2541</v>
      </c>
      <c r="BV918" s="28">
        <f t="shared" si="838"/>
        <v>5</v>
      </c>
      <c r="BW918" s="28">
        <f t="shared" si="839"/>
        <v>5</v>
      </c>
      <c r="BX918" s="13">
        <f t="shared" si="840"/>
        <v>596</v>
      </c>
      <c r="BY918" s="13">
        <f t="shared" si="841"/>
        <v>596</v>
      </c>
      <c r="BZ918" s="13">
        <f t="shared" si="842"/>
        <v>236</v>
      </c>
      <c r="CA918" s="13">
        <f t="shared" si="843"/>
        <v>236</v>
      </c>
      <c r="CB918" s="13">
        <f t="shared" si="844"/>
        <v>140656</v>
      </c>
      <c r="CC918" s="62">
        <f t="shared" si="845"/>
        <v>7.1095438516664771E-6</v>
      </c>
      <c r="CD918" s="13">
        <f t="shared" si="846"/>
        <v>596</v>
      </c>
      <c r="CE918" s="13">
        <f t="shared" si="847"/>
        <v>596</v>
      </c>
      <c r="CF918" s="13">
        <f t="shared" si="848"/>
        <v>236</v>
      </c>
      <c r="CG918" s="13">
        <f t="shared" si="849"/>
        <v>236</v>
      </c>
      <c r="CH918" s="28">
        <f t="shared" si="850"/>
        <v>140656</v>
      </c>
      <c r="CI918" s="62">
        <f t="shared" si="851"/>
        <v>7.1095438516664771E-6</v>
      </c>
      <c r="CJ918" s="59">
        <f t="shared" si="852"/>
        <v>7.1095438516664771E-6</v>
      </c>
      <c r="CL918" s="63">
        <v>6000</v>
      </c>
      <c r="CM918" s="63">
        <f t="shared" si="853"/>
        <v>0</v>
      </c>
      <c r="CN918" s="63">
        <f t="shared" si="854"/>
        <v>5</v>
      </c>
      <c r="CO918" s="63">
        <f t="shared" si="855"/>
        <v>1200</v>
      </c>
      <c r="CP918" s="13">
        <f t="shared" si="856"/>
        <v>1200</v>
      </c>
      <c r="CQ918" s="70">
        <f t="shared" si="857"/>
        <v>8.3333333333333339E-4</v>
      </c>
      <c r="CR918" s="69">
        <f t="shared" si="820"/>
        <v>3.3333333333333335E-3</v>
      </c>
    </row>
    <row r="919" spans="1:96" hidden="1" x14ac:dyDescent="0.25">
      <c r="A919" s="17">
        <v>5</v>
      </c>
      <c r="B919" s="6" t="s">
        <v>2012</v>
      </c>
      <c r="C919" s="17" t="s">
        <v>448</v>
      </c>
      <c r="D919" s="17" t="s">
        <v>450</v>
      </c>
      <c r="E919" s="17" t="s">
        <v>52</v>
      </c>
      <c r="F919" s="7">
        <f t="shared" si="826"/>
        <v>23</v>
      </c>
      <c r="G919" s="17">
        <v>6</v>
      </c>
      <c r="H919" s="17">
        <f t="shared" si="873"/>
        <v>6</v>
      </c>
      <c r="I919" s="17">
        <v>3</v>
      </c>
      <c r="J919" s="6" t="s">
        <v>449</v>
      </c>
      <c r="K919" s="6" t="s">
        <v>34</v>
      </c>
      <c r="L919" s="17">
        <v>0</v>
      </c>
      <c r="M919" s="6" t="s">
        <v>35</v>
      </c>
      <c r="N919" s="17" t="s">
        <v>450</v>
      </c>
      <c r="O919" s="28"/>
      <c r="P919" s="28"/>
      <c r="Q919" s="28" t="s">
        <v>450</v>
      </c>
      <c r="R919" s="30"/>
      <c r="S919" s="30"/>
      <c r="T919" s="30"/>
      <c r="U919" s="30"/>
      <c r="V919" s="8">
        <f t="shared" si="827"/>
        <v>0</v>
      </c>
      <c r="W919" s="8">
        <f t="shared" si="828"/>
        <v>0</v>
      </c>
      <c r="X919" s="8">
        <f t="shared" si="829"/>
        <v>0</v>
      </c>
      <c r="Y919" s="33">
        <f t="shared" si="830"/>
        <v>0</v>
      </c>
      <c r="Z919" s="28"/>
      <c r="AA919" s="28"/>
      <c r="AB919" s="61" t="s">
        <v>450</v>
      </c>
      <c r="AC919" s="31" t="s">
        <v>451</v>
      </c>
      <c r="AD919" s="50">
        <f t="shared" si="831"/>
        <v>6</v>
      </c>
      <c r="AE919" s="31"/>
      <c r="AF919" s="51">
        <v>14</v>
      </c>
      <c r="AG919" s="51">
        <f t="shared" si="858"/>
        <v>8.4</v>
      </c>
      <c r="AH919" s="51">
        <f t="shared" si="825"/>
        <v>42</v>
      </c>
      <c r="AI919" s="52" t="s">
        <v>2497</v>
      </c>
      <c r="AJ919" s="52" t="s">
        <v>2498</v>
      </c>
      <c r="AK919" s="53">
        <f t="shared" si="859"/>
        <v>0</v>
      </c>
      <c r="AL919" s="54">
        <f t="shared" si="860"/>
        <v>0.11904761904761904</v>
      </c>
      <c r="AM919" s="54">
        <f t="shared" si="861"/>
        <v>2.3809523809523808E-2</v>
      </c>
      <c r="AN919" s="55">
        <f t="shared" si="862"/>
        <v>0</v>
      </c>
      <c r="AO919" s="55">
        <f t="shared" si="863"/>
        <v>0</v>
      </c>
      <c r="AP919" s="53">
        <v>7.1</v>
      </c>
      <c r="AQ919" s="53">
        <f t="shared" si="832"/>
        <v>4.26</v>
      </c>
      <c r="AR919" s="53">
        <f t="shared" si="833"/>
        <v>21.299999999999997</v>
      </c>
      <c r="AS919" s="56">
        <f t="shared" si="834"/>
        <v>4.6948356807511742E-2</v>
      </c>
      <c r="AT919" s="56">
        <f t="shared" si="864"/>
        <v>0.23474178403755869</v>
      </c>
      <c r="AU919" s="56">
        <f t="shared" si="835"/>
        <v>0.176056338028169</v>
      </c>
      <c r="AV919" s="56">
        <f t="shared" si="865"/>
        <v>5.8685446009389672E-2</v>
      </c>
      <c r="AW919" s="57"/>
      <c r="AX919" s="57"/>
      <c r="AY919" s="57"/>
      <c r="AZ919" s="58">
        <f t="shared" si="866"/>
        <v>0</v>
      </c>
      <c r="BA919" s="59">
        <f t="shared" si="867"/>
        <v>0</v>
      </c>
      <c r="BB919" s="59">
        <f t="shared" si="868"/>
        <v>0</v>
      </c>
      <c r="BC919" s="59">
        <f t="shared" si="869"/>
        <v>0</v>
      </c>
      <c r="BD919" s="60">
        <f t="shared" si="870"/>
        <v>7.1095438516664771E-6</v>
      </c>
      <c r="BE919" s="59">
        <f t="shared" si="871"/>
        <v>4.2657263109998864E-5</v>
      </c>
      <c r="BQ919" s="61">
        <v>3000</v>
      </c>
      <c r="BR919" s="61">
        <v>1200</v>
      </c>
      <c r="BS919" s="28">
        <f t="shared" si="836"/>
        <v>2980</v>
      </c>
      <c r="BT919" s="28">
        <f t="shared" si="837"/>
        <v>1180</v>
      </c>
      <c r="BU919" s="28" t="s">
        <v>2541</v>
      </c>
      <c r="BV919" s="28">
        <f t="shared" si="838"/>
        <v>5</v>
      </c>
      <c r="BW919" s="28">
        <f t="shared" si="839"/>
        <v>5</v>
      </c>
      <c r="BX919" s="13">
        <f t="shared" si="840"/>
        <v>596</v>
      </c>
      <c r="BY919" s="13">
        <f t="shared" si="841"/>
        <v>596</v>
      </c>
      <c r="BZ919" s="13">
        <f t="shared" si="842"/>
        <v>236</v>
      </c>
      <c r="CA919" s="13">
        <f t="shared" si="843"/>
        <v>236</v>
      </c>
      <c r="CB919" s="13">
        <f t="shared" si="844"/>
        <v>140656</v>
      </c>
      <c r="CC919" s="62">
        <f t="shared" si="845"/>
        <v>7.1095438516664771E-6</v>
      </c>
      <c r="CD919" s="13">
        <f t="shared" si="846"/>
        <v>596</v>
      </c>
      <c r="CE919" s="13">
        <f t="shared" si="847"/>
        <v>596</v>
      </c>
      <c r="CF919" s="13">
        <f t="shared" si="848"/>
        <v>236</v>
      </c>
      <c r="CG919" s="13">
        <f t="shared" si="849"/>
        <v>236</v>
      </c>
      <c r="CH919" s="28">
        <f t="shared" si="850"/>
        <v>140656</v>
      </c>
      <c r="CI919" s="62">
        <f t="shared" si="851"/>
        <v>7.1095438516664771E-6</v>
      </c>
      <c r="CJ919" s="59">
        <f t="shared" si="852"/>
        <v>7.1095438516664771E-6</v>
      </c>
      <c r="CL919" s="63">
        <v>6000</v>
      </c>
      <c r="CM919" s="63">
        <f t="shared" si="853"/>
        <v>0</v>
      </c>
      <c r="CN919" s="63">
        <f t="shared" si="854"/>
        <v>5</v>
      </c>
      <c r="CO919" s="63">
        <f t="shared" si="855"/>
        <v>1200</v>
      </c>
      <c r="CP919" s="13">
        <f t="shared" si="856"/>
        <v>1200</v>
      </c>
      <c r="CQ919" s="70">
        <f t="shared" si="857"/>
        <v>8.3333333333333339E-4</v>
      </c>
      <c r="CR919" s="69">
        <f t="shared" si="820"/>
        <v>5.0000000000000001E-3</v>
      </c>
    </row>
    <row r="920" spans="1:96" hidden="1" x14ac:dyDescent="0.25">
      <c r="A920" s="10">
        <v>3</v>
      </c>
      <c r="B920" s="8" t="s">
        <v>1997</v>
      </c>
      <c r="C920" s="10" t="s">
        <v>1894</v>
      </c>
      <c r="D920" s="10" t="s">
        <v>2270</v>
      </c>
      <c r="E920" s="10" t="s">
        <v>52</v>
      </c>
      <c r="F920" s="12">
        <f t="shared" si="826"/>
        <v>4</v>
      </c>
      <c r="G920" s="10">
        <v>1</v>
      </c>
      <c r="H920" s="10">
        <f>G920*$H$903</f>
        <v>1</v>
      </c>
      <c r="I920" s="10">
        <v>3</v>
      </c>
      <c r="J920" s="8" t="s">
        <v>469</v>
      </c>
      <c r="K920" s="8" t="s">
        <v>34</v>
      </c>
      <c r="L920" s="10">
        <v>0</v>
      </c>
      <c r="M920" s="8" t="s">
        <v>35</v>
      </c>
      <c r="N920" s="10" t="s">
        <v>1895</v>
      </c>
      <c r="O920" s="28" t="s">
        <v>41</v>
      </c>
      <c r="P920" s="28" t="s">
        <v>41</v>
      </c>
      <c r="Q920" s="28" t="s">
        <v>1896</v>
      </c>
      <c r="R920" s="30">
        <v>52.5</v>
      </c>
      <c r="S920" s="30">
        <v>1.5</v>
      </c>
      <c r="T920" s="30"/>
      <c r="U920" s="30">
        <v>7.4999999999999997E-2</v>
      </c>
      <c r="V920" s="8">
        <f t="shared" si="827"/>
        <v>1333.5</v>
      </c>
      <c r="W920" s="8">
        <f t="shared" si="828"/>
        <v>38.099999999999994</v>
      </c>
      <c r="X920" s="8">
        <f t="shared" si="829"/>
        <v>0</v>
      </c>
      <c r="Y920" s="33">
        <f t="shared" si="830"/>
        <v>1.9049999999999998</v>
      </c>
      <c r="Z920" s="28" t="s">
        <v>1897</v>
      </c>
      <c r="AA920" s="28" t="s">
        <v>1765</v>
      </c>
      <c r="AB920" s="61" t="s">
        <v>1896</v>
      </c>
      <c r="AC920" s="31" t="s">
        <v>1898</v>
      </c>
      <c r="AD920" s="50">
        <f t="shared" si="831"/>
        <v>1</v>
      </c>
      <c r="AE920" s="31"/>
      <c r="AF920" s="51">
        <v>14</v>
      </c>
      <c r="AG920" s="51">
        <f t="shared" si="858"/>
        <v>8.4</v>
      </c>
      <c r="AH920" s="51">
        <f t="shared" si="825"/>
        <v>42</v>
      </c>
      <c r="AI920" s="52" t="s">
        <v>2497</v>
      </c>
      <c r="AJ920" s="52" t="s">
        <v>2498</v>
      </c>
      <c r="AK920" s="53">
        <f t="shared" si="859"/>
        <v>0.10161269999999999</v>
      </c>
      <c r="AL920" s="54">
        <f t="shared" si="860"/>
        <v>0.11904761904761904</v>
      </c>
      <c r="AM920" s="54">
        <f t="shared" si="861"/>
        <v>2.3809523809523808E-2</v>
      </c>
      <c r="AN920" s="55">
        <f t="shared" si="862"/>
        <v>1.2096749999999998E-2</v>
      </c>
      <c r="AO920" s="55">
        <f t="shared" si="863"/>
        <v>2.4193499999999994E-3</v>
      </c>
      <c r="AP920" s="53">
        <v>7.1</v>
      </c>
      <c r="AQ920" s="53">
        <f t="shared" si="832"/>
        <v>4.26</v>
      </c>
      <c r="AR920" s="53">
        <f t="shared" si="833"/>
        <v>21.299999999999997</v>
      </c>
      <c r="AS920" s="56">
        <f t="shared" si="834"/>
        <v>4.6948356807511742E-2</v>
      </c>
      <c r="AT920" s="56">
        <f t="shared" si="864"/>
        <v>0.23474178403755869</v>
      </c>
      <c r="AU920" s="56">
        <f t="shared" si="835"/>
        <v>0.176056338028169</v>
      </c>
      <c r="AV920" s="56">
        <f t="shared" si="865"/>
        <v>5.8685446009389672E-2</v>
      </c>
      <c r="AW920" s="57"/>
      <c r="AX920" s="57"/>
      <c r="AY920" s="57"/>
      <c r="AZ920" s="58">
        <f t="shared" si="866"/>
        <v>0.10161269999999999</v>
      </c>
      <c r="BA920" s="59">
        <f t="shared" si="867"/>
        <v>0</v>
      </c>
      <c r="BB920" s="59">
        <f t="shared" si="868"/>
        <v>0</v>
      </c>
      <c r="BC920" s="59">
        <f t="shared" si="869"/>
        <v>0</v>
      </c>
      <c r="BD920" s="60">
        <f t="shared" si="870"/>
        <v>1.8518518518518517E-2</v>
      </c>
      <c r="BE920" s="59">
        <f t="shared" si="871"/>
        <v>1.8518518518518517E-2</v>
      </c>
      <c r="BQ920" s="61">
        <v>3000</v>
      </c>
      <c r="BR920" s="61">
        <v>1200</v>
      </c>
      <c r="BS920" s="28">
        <f t="shared" si="836"/>
        <v>2980</v>
      </c>
      <c r="BT920" s="28">
        <f t="shared" si="837"/>
        <v>1180</v>
      </c>
      <c r="BU920" s="28" t="s">
        <v>2541</v>
      </c>
      <c r="BV920" s="28">
        <f t="shared" si="838"/>
        <v>1338.5</v>
      </c>
      <c r="BW920" s="28">
        <f t="shared" si="839"/>
        <v>43.099999999999994</v>
      </c>
      <c r="BX920" s="13">
        <f t="shared" si="840"/>
        <v>2.2263728053791558</v>
      </c>
      <c r="BY920" s="13">
        <f t="shared" si="841"/>
        <v>2</v>
      </c>
      <c r="BZ920" s="13">
        <f t="shared" si="842"/>
        <v>27.378190255220421</v>
      </c>
      <c r="CA920" s="13">
        <f t="shared" si="843"/>
        <v>27</v>
      </c>
      <c r="CB920" s="13">
        <f t="shared" si="844"/>
        <v>54</v>
      </c>
      <c r="CC920" s="62">
        <f t="shared" si="845"/>
        <v>1.8518518518518517E-2</v>
      </c>
      <c r="CD920" s="13">
        <f t="shared" si="846"/>
        <v>69.141531322505813</v>
      </c>
      <c r="CE920" s="13">
        <f t="shared" si="847"/>
        <v>69</v>
      </c>
      <c r="CF920" s="13">
        <f t="shared" si="848"/>
        <v>0.88158386253268584</v>
      </c>
      <c r="CG920" s="13">
        <f t="shared" si="849"/>
        <v>0</v>
      </c>
      <c r="CH920" s="28">
        <f t="shared" si="850"/>
        <v>0</v>
      </c>
      <c r="CI920" s="62">
        <f t="shared" si="851"/>
        <v>1</v>
      </c>
      <c r="CJ920" s="59">
        <f t="shared" si="852"/>
        <v>1.8518518518518517E-2</v>
      </c>
      <c r="CL920" s="63">
        <v>6000</v>
      </c>
      <c r="CM920" s="63">
        <f t="shared" si="853"/>
        <v>1333.5</v>
      </c>
      <c r="CN920" s="63">
        <f t="shared" si="854"/>
        <v>1338.5</v>
      </c>
      <c r="CO920" s="63">
        <f t="shared" si="855"/>
        <v>4.4826298094882331</v>
      </c>
      <c r="CP920" s="13">
        <f t="shared" si="856"/>
        <v>4</v>
      </c>
      <c r="CQ920" s="70">
        <f t="shared" si="857"/>
        <v>0.25</v>
      </c>
      <c r="CR920" s="69">
        <f t="shared" si="820"/>
        <v>0.25</v>
      </c>
    </row>
    <row r="921" spans="1:96" hidden="1" x14ac:dyDescent="0.25">
      <c r="A921" s="13">
        <v>4</v>
      </c>
      <c r="B921" s="14" t="s">
        <v>1899</v>
      </c>
      <c r="C921" s="13" t="s">
        <v>1900</v>
      </c>
      <c r="D921" s="13" t="s">
        <v>2270</v>
      </c>
      <c r="E921" s="13" t="s">
        <v>52</v>
      </c>
      <c r="F921" s="15">
        <f t="shared" si="826"/>
        <v>8</v>
      </c>
      <c r="G921" s="13">
        <v>1</v>
      </c>
      <c r="H921" s="13">
        <f>G921*$H$920</f>
        <v>1</v>
      </c>
      <c r="I921" s="13" t="s">
        <v>485</v>
      </c>
      <c r="J921" s="14" t="s">
        <v>469</v>
      </c>
      <c r="K921" s="14" t="s">
        <v>34</v>
      </c>
      <c r="L921" s="13" t="s">
        <v>1901</v>
      </c>
      <c r="M921" s="14" t="s">
        <v>35</v>
      </c>
      <c r="N921" s="13" t="s">
        <v>1902</v>
      </c>
      <c r="O921" s="28"/>
      <c r="P921" s="28"/>
      <c r="Q921" s="28" t="s">
        <v>1902</v>
      </c>
      <c r="R921" s="30"/>
      <c r="S921" s="30"/>
      <c r="T921" s="30"/>
      <c r="U921" s="30"/>
      <c r="V921" s="8">
        <f t="shared" si="827"/>
        <v>0</v>
      </c>
      <c r="W921" s="8">
        <f t="shared" si="828"/>
        <v>0</v>
      </c>
      <c r="X921" s="8">
        <f t="shared" si="829"/>
        <v>0</v>
      </c>
      <c r="Y921" s="33">
        <f t="shared" si="830"/>
        <v>0</v>
      </c>
      <c r="Z921" s="28"/>
      <c r="AA921" s="28"/>
      <c r="AB921" s="28" t="s">
        <v>1902</v>
      </c>
      <c r="AC921" s="31"/>
      <c r="AD921" s="50">
        <f t="shared" si="831"/>
        <v>1</v>
      </c>
      <c r="AE921" s="31"/>
      <c r="AF921" s="51">
        <v>14</v>
      </c>
      <c r="AG921" s="51">
        <f t="shared" si="858"/>
        <v>8.4</v>
      </c>
      <c r="AH921" s="51">
        <f t="shared" si="825"/>
        <v>42</v>
      </c>
      <c r="AI921" s="52" t="s">
        <v>2497</v>
      </c>
      <c r="AJ921" s="52" t="s">
        <v>2498</v>
      </c>
      <c r="AK921" s="53">
        <f t="shared" si="859"/>
        <v>0</v>
      </c>
      <c r="AL921" s="54">
        <f t="shared" si="860"/>
        <v>0.11904761904761904</v>
      </c>
      <c r="AM921" s="54">
        <f t="shared" si="861"/>
        <v>2.3809523809523808E-2</v>
      </c>
      <c r="AN921" s="55">
        <f t="shared" si="862"/>
        <v>0</v>
      </c>
      <c r="AO921" s="55">
        <f t="shared" si="863"/>
        <v>0</v>
      </c>
      <c r="AP921" s="53">
        <v>7.1</v>
      </c>
      <c r="AQ921" s="53">
        <f t="shared" si="832"/>
        <v>4.26</v>
      </c>
      <c r="AR921" s="53">
        <f t="shared" si="833"/>
        <v>21.299999999999997</v>
      </c>
      <c r="AS921" s="56">
        <f t="shared" si="834"/>
        <v>4.6948356807511742E-2</v>
      </c>
      <c r="AT921" s="56">
        <f t="shared" si="864"/>
        <v>0.23474178403755869</v>
      </c>
      <c r="AU921" s="56">
        <f t="shared" si="835"/>
        <v>0.176056338028169</v>
      </c>
      <c r="AV921" s="56">
        <f t="shared" si="865"/>
        <v>5.8685446009389672E-2</v>
      </c>
      <c r="AW921" s="57"/>
      <c r="AX921" s="57"/>
      <c r="AY921" s="57"/>
      <c r="AZ921" s="58">
        <f t="shared" si="866"/>
        <v>0</v>
      </c>
      <c r="BA921" s="59">
        <f t="shared" si="867"/>
        <v>0</v>
      </c>
      <c r="BB921" s="59">
        <f t="shared" si="868"/>
        <v>0</v>
      </c>
      <c r="BC921" s="59">
        <f t="shared" si="869"/>
        <v>0</v>
      </c>
      <c r="BD921" s="60">
        <f t="shared" si="870"/>
        <v>7.1095438516664771E-6</v>
      </c>
      <c r="BE921" s="59">
        <f t="shared" si="871"/>
        <v>7.1095438516664771E-6</v>
      </c>
      <c r="BQ921" s="61">
        <v>3000</v>
      </c>
      <c r="BR921" s="61">
        <v>1200</v>
      </c>
      <c r="BS921" s="28">
        <f t="shared" si="836"/>
        <v>2980</v>
      </c>
      <c r="BT921" s="28">
        <f t="shared" si="837"/>
        <v>1180</v>
      </c>
      <c r="BU921" s="28" t="s">
        <v>2541</v>
      </c>
      <c r="BV921" s="28">
        <f t="shared" si="838"/>
        <v>5</v>
      </c>
      <c r="BW921" s="28">
        <f t="shared" si="839"/>
        <v>5</v>
      </c>
      <c r="BX921" s="13">
        <f t="shared" si="840"/>
        <v>596</v>
      </c>
      <c r="BY921" s="13">
        <f t="shared" si="841"/>
        <v>596</v>
      </c>
      <c r="BZ921" s="13">
        <f t="shared" si="842"/>
        <v>236</v>
      </c>
      <c r="CA921" s="13">
        <f t="shared" si="843"/>
        <v>236</v>
      </c>
      <c r="CB921" s="13">
        <f t="shared" si="844"/>
        <v>140656</v>
      </c>
      <c r="CC921" s="62">
        <f t="shared" si="845"/>
        <v>7.1095438516664771E-6</v>
      </c>
      <c r="CD921" s="13">
        <f t="shared" si="846"/>
        <v>596</v>
      </c>
      <c r="CE921" s="13">
        <f t="shared" si="847"/>
        <v>596</v>
      </c>
      <c r="CF921" s="13">
        <f t="shared" si="848"/>
        <v>236</v>
      </c>
      <c r="CG921" s="13">
        <f t="shared" si="849"/>
        <v>236</v>
      </c>
      <c r="CH921" s="28">
        <f t="shared" si="850"/>
        <v>140656</v>
      </c>
      <c r="CI921" s="62">
        <f t="shared" si="851"/>
        <v>7.1095438516664771E-6</v>
      </c>
      <c r="CJ921" s="59">
        <f t="shared" si="852"/>
        <v>7.1095438516664771E-6</v>
      </c>
      <c r="CL921" s="63">
        <v>6000</v>
      </c>
      <c r="CM921" s="63">
        <f t="shared" si="853"/>
        <v>0</v>
      </c>
      <c r="CN921" s="63">
        <f t="shared" si="854"/>
        <v>5</v>
      </c>
      <c r="CO921" s="63">
        <f t="shared" si="855"/>
        <v>1200</v>
      </c>
      <c r="CP921" s="13">
        <f t="shared" si="856"/>
        <v>1200</v>
      </c>
      <c r="CQ921" s="70">
        <f t="shared" si="857"/>
        <v>8.3333333333333339E-4</v>
      </c>
      <c r="CR921" s="69">
        <f t="shared" si="820"/>
        <v>8.3333333333333339E-4</v>
      </c>
    </row>
    <row r="922" spans="1:96" hidden="1" x14ac:dyDescent="0.25">
      <c r="A922" s="10">
        <v>3</v>
      </c>
      <c r="B922" s="8" t="s">
        <v>1997</v>
      </c>
      <c r="C922" s="10" t="s">
        <v>1963</v>
      </c>
      <c r="D922" s="10" t="s">
        <v>2270</v>
      </c>
      <c r="E922" s="10" t="s">
        <v>52</v>
      </c>
      <c r="F922" s="12">
        <f t="shared" si="826"/>
        <v>6</v>
      </c>
      <c r="G922" s="10">
        <v>1</v>
      </c>
      <c r="H922" s="10">
        <f t="shared" ref="H922:H940" si="874">G922*$H$903</f>
        <v>1</v>
      </c>
      <c r="I922" s="10">
        <v>4</v>
      </c>
      <c r="J922" s="8" t="s">
        <v>1964</v>
      </c>
      <c r="K922" s="8" t="s">
        <v>34</v>
      </c>
      <c r="L922" s="10">
        <v>0</v>
      </c>
      <c r="M922" s="8" t="s">
        <v>1965</v>
      </c>
      <c r="N922" s="77" t="s">
        <v>2570</v>
      </c>
      <c r="O922" s="28"/>
      <c r="P922" s="28"/>
      <c r="Q922" s="28"/>
      <c r="R922" s="30"/>
      <c r="S922" s="30"/>
      <c r="T922" s="30"/>
      <c r="U922" s="30"/>
      <c r="V922" s="8">
        <f t="shared" si="827"/>
        <v>0</v>
      </c>
      <c r="W922" s="8">
        <f t="shared" si="828"/>
        <v>0</v>
      </c>
      <c r="X922" s="8">
        <f t="shared" si="829"/>
        <v>0</v>
      </c>
      <c r="Y922" s="33">
        <f t="shared" si="830"/>
        <v>0</v>
      </c>
      <c r="Z922" s="28"/>
      <c r="AA922" s="28"/>
      <c r="AB922" s="77" t="str">
        <f>N922</f>
        <v>MTA-NOVO-1</v>
      </c>
      <c r="AC922" s="31" t="s">
        <v>1964</v>
      </c>
      <c r="AD922" s="50">
        <f t="shared" si="831"/>
        <v>1</v>
      </c>
      <c r="AE922" s="47" t="s">
        <v>1966</v>
      </c>
      <c r="AF922" s="51">
        <v>14</v>
      </c>
      <c r="AG922" s="51">
        <f t="shared" si="858"/>
        <v>8.4</v>
      </c>
      <c r="AH922" s="51">
        <f t="shared" si="825"/>
        <v>42</v>
      </c>
      <c r="AI922" s="52" t="s">
        <v>2497</v>
      </c>
      <c r="AJ922" s="52" t="s">
        <v>2498</v>
      </c>
      <c r="AK922" s="53">
        <f t="shared" si="859"/>
        <v>0</v>
      </c>
      <c r="AL922" s="54">
        <f t="shared" si="860"/>
        <v>0.11904761904761904</v>
      </c>
      <c r="AM922" s="54">
        <f t="shared" si="861"/>
        <v>2.3809523809523808E-2</v>
      </c>
      <c r="AN922" s="55">
        <f t="shared" si="862"/>
        <v>0</v>
      </c>
      <c r="AO922" s="55">
        <f t="shared" si="863"/>
        <v>0</v>
      </c>
      <c r="AP922" s="53">
        <v>7.1</v>
      </c>
      <c r="AQ922" s="53">
        <f t="shared" si="832"/>
        <v>4.26</v>
      </c>
      <c r="AR922" s="53">
        <f t="shared" si="833"/>
        <v>21.299999999999997</v>
      </c>
      <c r="AS922" s="56">
        <f t="shared" si="834"/>
        <v>4.6948356807511742E-2</v>
      </c>
      <c r="AT922" s="56">
        <f t="shared" si="864"/>
        <v>0.23474178403755869</v>
      </c>
      <c r="AU922" s="56">
        <f t="shared" si="835"/>
        <v>0.176056338028169</v>
      </c>
      <c r="AV922" s="56">
        <f t="shared" si="865"/>
        <v>5.8685446009389672E-2</v>
      </c>
      <c r="AW922" s="57"/>
      <c r="AX922" s="57"/>
      <c r="AY922" s="57"/>
      <c r="AZ922" s="58">
        <f t="shared" si="866"/>
        <v>0</v>
      </c>
      <c r="BA922" s="59">
        <f t="shared" si="867"/>
        <v>0</v>
      </c>
      <c r="BB922" s="59">
        <f t="shared" si="868"/>
        <v>0</v>
      </c>
      <c r="BC922" s="59">
        <f t="shared" si="869"/>
        <v>0</v>
      </c>
      <c r="BD922" s="60">
        <f t="shared" si="870"/>
        <v>7.1095438516664771E-6</v>
      </c>
      <c r="BE922" s="59">
        <f t="shared" si="871"/>
        <v>7.1095438516664771E-6</v>
      </c>
      <c r="BQ922" s="61">
        <v>3000</v>
      </c>
      <c r="BR922" s="61">
        <v>1200</v>
      </c>
      <c r="BS922" s="28">
        <f t="shared" si="836"/>
        <v>2980</v>
      </c>
      <c r="BT922" s="28">
        <f t="shared" si="837"/>
        <v>1180</v>
      </c>
      <c r="BU922" s="28" t="s">
        <v>2541</v>
      </c>
      <c r="BV922" s="28">
        <f t="shared" si="838"/>
        <v>5</v>
      </c>
      <c r="BW922" s="28">
        <f t="shared" si="839"/>
        <v>5</v>
      </c>
      <c r="BX922" s="13">
        <f t="shared" si="840"/>
        <v>596</v>
      </c>
      <c r="BY922" s="13">
        <f t="shared" si="841"/>
        <v>596</v>
      </c>
      <c r="BZ922" s="13">
        <f t="shared" si="842"/>
        <v>236</v>
      </c>
      <c r="CA922" s="13">
        <f t="shared" si="843"/>
        <v>236</v>
      </c>
      <c r="CB922" s="13">
        <f t="shared" si="844"/>
        <v>140656</v>
      </c>
      <c r="CC922" s="62">
        <f t="shared" si="845"/>
        <v>7.1095438516664771E-6</v>
      </c>
      <c r="CD922" s="13">
        <f t="shared" si="846"/>
        <v>596</v>
      </c>
      <c r="CE922" s="13">
        <f t="shared" si="847"/>
        <v>596</v>
      </c>
      <c r="CF922" s="13">
        <f t="shared" si="848"/>
        <v>236</v>
      </c>
      <c r="CG922" s="13">
        <f t="shared" si="849"/>
        <v>236</v>
      </c>
      <c r="CH922" s="28">
        <f t="shared" si="850"/>
        <v>140656</v>
      </c>
      <c r="CI922" s="62">
        <f t="shared" si="851"/>
        <v>7.1095438516664771E-6</v>
      </c>
      <c r="CJ922" s="59">
        <f t="shared" si="852"/>
        <v>7.1095438516664771E-6</v>
      </c>
      <c r="CL922" s="63">
        <v>6000</v>
      </c>
      <c r="CM922" s="63">
        <f t="shared" si="853"/>
        <v>0</v>
      </c>
      <c r="CN922" s="63">
        <f t="shared" si="854"/>
        <v>5</v>
      </c>
      <c r="CO922" s="63">
        <f t="shared" si="855"/>
        <v>1200</v>
      </c>
      <c r="CP922" s="13">
        <f t="shared" si="856"/>
        <v>1200</v>
      </c>
      <c r="CQ922" s="70">
        <f t="shared" si="857"/>
        <v>8.3333333333333339E-4</v>
      </c>
      <c r="CR922" s="69">
        <f t="shared" si="820"/>
        <v>8.3333333333333339E-4</v>
      </c>
    </row>
    <row r="923" spans="1:96" hidden="1" x14ac:dyDescent="0.25">
      <c r="A923" s="10">
        <v>3</v>
      </c>
      <c r="B923" s="8" t="s">
        <v>1997</v>
      </c>
      <c r="C923" s="10" t="s">
        <v>1967</v>
      </c>
      <c r="D923" s="10" t="s">
        <v>1968</v>
      </c>
      <c r="E923" s="10" t="s">
        <v>52</v>
      </c>
      <c r="F923" s="12">
        <f t="shared" si="826"/>
        <v>6</v>
      </c>
      <c r="G923" s="10">
        <v>1</v>
      </c>
      <c r="H923" s="10">
        <f t="shared" si="874"/>
        <v>1</v>
      </c>
      <c r="I923" s="10">
        <v>5</v>
      </c>
      <c r="J923" s="8" t="s">
        <v>1665</v>
      </c>
      <c r="K923" s="8" t="s">
        <v>34</v>
      </c>
      <c r="L923" s="10">
        <v>0</v>
      </c>
      <c r="M923" s="8" t="s">
        <v>35</v>
      </c>
      <c r="N923" s="10" t="s">
        <v>1968</v>
      </c>
      <c r="O923" s="28" t="s">
        <v>41</v>
      </c>
      <c r="P923" s="28" t="s">
        <v>41</v>
      </c>
      <c r="Q923" s="28" t="s">
        <v>124</v>
      </c>
      <c r="R923" s="30">
        <v>6.5</v>
      </c>
      <c r="S923" s="30">
        <v>6.5</v>
      </c>
      <c r="T923" s="30"/>
      <c r="U923" s="30">
        <v>9.8425196850393706E-2</v>
      </c>
      <c r="V923" s="8">
        <f t="shared" si="827"/>
        <v>165.1</v>
      </c>
      <c r="W923" s="8">
        <f t="shared" si="828"/>
        <v>165.1</v>
      </c>
      <c r="X923" s="8">
        <f t="shared" si="829"/>
        <v>0</v>
      </c>
      <c r="Y923" s="33">
        <f t="shared" si="830"/>
        <v>2.5</v>
      </c>
      <c r="Z923" s="28" t="s">
        <v>56</v>
      </c>
      <c r="AA923" s="28" t="s">
        <v>57</v>
      </c>
      <c r="AB923" s="61" t="s">
        <v>124</v>
      </c>
      <c r="AC923" s="31" t="s">
        <v>125</v>
      </c>
      <c r="AD923" s="50">
        <f t="shared" si="831"/>
        <v>1</v>
      </c>
      <c r="AE923" s="47" t="s">
        <v>1969</v>
      </c>
      <c r="AF923" s="51">
        <v>14</v>
      </c>
      <c r="AG923" s="51">
        <f t="shared" si="858"/>
        <v>8.4</v>
      </c>
      <c r="AH923" s="51">
        <f t="shared" si="825"/>
        <v>42</v>
      </c>
      <c r="AI923" s="52" t="s">
        <v>2497</v>
      </c>
      <c r="AJ923" s="52" t="s">
        <v>2498</v>
      </c>
      <c r="AK923" s="53">
        <f t="shared" si="859"/>
        <v>5.4516019999999998E-2</v>
      </c>
      <c r="AL923" s="54">
        <f t="shared" si="860"/>
        <v>0.11904761904761904</v>
      </c>
      <c r="AM923" s="54">
        <f t="shared" si="861"/>
        <v>2.3809523809523808E-2</v>
      </c>
      <c r="AN923" s="55">
        <f t="shared" si="862"/>
        <v>6.4900023809523807E-3</v>
      </c>
      <c r="AO923" s="55">
        <f t="shared" si="863"/>
        <v>1.298000476190476E-3</v>
      </c>
      <c r="AP923" s="53">
        <v>7.1</v>
      </c>
      <c r="AQ923" s="53">
        <f t="shared" si="832"/>
        <v>4.26</v>
      </c>
      <c r="AR923" s="53">
        <f t="shared" si="833"/>
        <v>21.299999999999997</v>
      </c>
      <c r="AS923" s="56">
        <f t="shared" si="834"/>
        <v>4.6948356807511742E-2</v>
      </c>
      <c r="AT923" s="56">
        <f t="shared" si="864"/>
        <v>0.23474178403755869</v>
      </c>
      <c r="AU923" s="56">
        <f t="shared" si="835"/>
        <v>0.176056338028169</v>
      </c>
      <c r="AV923" s="56">
        <f t="shared" si="865"/>
        <v>5.8685446009389672E-2</v>
      </c>
      <c r="AW923" s="57"/>
      <c r="AX923" s="57"/>
      <c r="AY923" s="57"/>
      <c r="AZ923" s="58">
        <f t="shared" si="866"/>
        <v>5.4516019999999998E-2</v>
      </c>
      <c r="BA923" s="59">
        <f t="shared" si="867"/>
        <v>0</v>
      </c>
      <c r="BB923" s="59">
        <f t="shared" si="868"/>
        <v>0</v>
      </c>
      <c r="BC923" s="59">
        <f t="shared" si="869"/>
        <v>0</v>
      </c>
      <c r="BD923" s="60">
        <f t="shared" si="870"/>
        <v>9.8039215686274508E-3</v>
      </c>
      <c r="BE923" s="59">
        <f t="shared" si="871"/>
        <v>9.8039215686274508E-3</v>
      </c>
      <c r="BQ923" s="61">
        <v>3000</v>
      </c>
      <c r="BR923" s="61">
        <v>1200</v>
      </c>
      <c r="BS923" s="28">
        <f t="shared" si="836"/>
        <v>2980</v>
      </c>
      <c r="BT923" s="28">
        <f t="shared" si="837"/>
        <v>1180</v>
      </c>
      <c r="BU923" s="28" t="s">
        <v>2541</v>
      </c>
      <c r="BV923" s="28">
        <f t="shared" si="838"/>
        <v>170.1</v>
      </c>
      <c r="BW923" s="28">
        <f t="shared" si="839"/>
        <v>170.1</v>
      </c>
      <c r="BX923" s="13">
        <f t="shared" si="840"/>
        <v>17.519106407995299</v>
      </c>
      <c r="BY923" s="13">
        <f t="shared" si="841"/>
        <v>17</v>
      </c>
      <c r="BZ923" s="13">
        <f t="shared" si="842"/>
        <v>6.9370958259847155</v>
      </c>
      <c r="CA923" s="13">
        <f t="shared" si="843"/>
        <v>6</v>
      </c>
      <c r="CB923" s="13">
        <f t="shared" si="844"/>
        <v>102</v>
      </c>
      <c r="CC923" s="62">
        <f t="shared" si="845"/>
        <v>9.8039215686274508E-3</v>
      </c>
      <c r="CD923" s="13">
        <f t="shared" si="846"/>
        <v>17.519106407995299</v>
      </c>
      <c r="CE923" s="13">
        <f t="shared" si="847"/>
        <v>17</v>
      </c>
      <c r="CF923" s="13">
        <f t="shared" si="848"/>
        <v>6.9370958259847155</v>
      </c>
      <c r="CG923" s="13">
        <f t="shared" si="849"/>
        <v>6</v>
      </c>
      <c r="CH923" s="28">
        <f t="shared" si="850"/>
        <v>102</v>
      </c>
      <c r="CI923" s="62">
        <f t="shared" si="851"/>
        <v>9.8039215686274508E-3</v>
      </c>
      <c r="CJ923" s="59">
        <f t="shared" si="852"/>
        <v>9.8039215686274508E-3</v>
      </c>
      <c r="CL923" s="63">
        <v>6000</v>
      </c>
      <c r="CM923" s="63">
        <f t="shared" si="853"/>
        <v>165.1</v>
      </c>
      <c r="CN923" s="63">
        <f t="shared" si="854"/>
        <v>170.1</v>
      </c>
      <c r="CO923" s="63">
        <f t="shared" si="855"/>
        <v>35.273368606701943</v>
      </c>
      <c r="CP923" s="13">
        <f t="shared" si="856"/>
        <v>35</v>
      </c>
      <c r="CQ923" s="70">
        <f t="shared" si="857"/>
        <v>2.8571428571428571E-2</v>
      </c>
      <c r="CR923" s="69">
        <f t="shared" si="820"/>
        <v>2.8571428571428571E-2</v>
      </c>
    </row>
    <row r="924" spans="1:96" hidden="1" x14ac:dyDescent="0.25">
      <c r="A924" s="10">
        <v>3</v>
      </c>
      <c r="B924" s="8" t="s">
        <v>1997</v>
      </c>
      <c r="C924" s="10" t="s">
        <v>1970</v>
      </c>
      <c r="D924" s="10" t="s">
        <v>1993</v>
      </c>
      <c r="E924" s="10" t="s">
        <v>52</v>
      </c>
      <c r="F924" s="12">
        <f t="shared" si="826"/>
        <v>6</v>
      </c>
      <c r="G924" s="10">
        <v>1</v>
      </c>
      <c r="H924" s="10">
        <f t="shared" si="874"/>
        <v>1</v>
      </c>
      <c r="I924" s="10">
        <v>6</v>
      </c>
      <c r="J924" s="8" t="s">
        <v>480</v>
      </c>
      <c r="K924" s="8" t="s">
        <v>34</v>
      </c>
      <c r="L924" s="10">
        <v>0</v>
      </c>
      <c r="M924" s="8" t="s">
        <v>35</v>
      </c>
      <c r="N924" s="10" t="s">
        <v>1993</v>
      </c>
      <c r="O924" s="28"/>
      <c r="P924" s="28"/>
      <c r="Q924" s="28" t="s">
        <v>1993</v>
      </c>
      <c r="R924" s="30">
        <v>6.5</v>
      </c>
      <c r="S924" s="30">
        <v>6.5</v>
      </c>
      <c r="T924" s="30"/>
      <c r="U924" s="30">
        <v>0.12</v>
      </c>
      <c r="V924" s="8">
        <f t="shared" si="827"/>
        <v>165.1</v>
      </c>
      <c r="W924" s="8">
        <f t="shared" si="828"/>
        <v>165.1</v>
      </c>
      <c r="X924" s="8">
        <f t="shared" si="829"/>
        <v>0</v>
      </c>
      <c r="Y924" s="33">
        <f t="shared" si="830"/>
        <v>3.0479999999999996</v>
      </c>
      <c r="Z924" s="28" t="s">
        <v>1971</v>
      </c>
      <c r="AA924" s="28" t="s">
        <v>1972</v>
      </c>
      <c r="AB924" s="61" t="s">
        <v>1993</v>
      </c>
      <c r="AC924" s="31" t="s">
        <v>1973</v>
      </c>
      <c r="AD924" s="50">
        <f t="shared" si="831"/>
        <v>1</v>
      </c>
      <c r="AE924" s="31"/>
      <c r="AF924" s="51">
        <v>14</v>
      </c>
      <c r="AG924" s="51">
        <f t="shared" si="858"/>
        <v>8.4</v>
      </c>
      <c r="AH924" s="51">
        <f t="shared" si="825"/>
        <v>42</v>
      </c>
      <c r="AI924" s="52" t="s">
        <v>2497</v>
      </c>
      <c r="AJ924" s="52" t="s">
        <v>2498</v>
      </c>
      <c r="AK924" s="53">
        <f t="shared" si="859"/>
        <v>5.4516019999999998E-2</v>
      </c>
      <c r="AL924" s="54">
        <f t="shared" si="860"/>
        <v>0.11904761904761904</v>
      </c>
      <c r="AM924" s="54">
        <f t="shared" si="861"/>
        <v>2.3809523809523808E-2</v>
      </c>
      <c r="AN924" s="55">
        <f t="shared" si="862"/>
        <v>6.4900023809523807E-3</v>
      </c>
      <c r="AO924" s="55">
        <f t="shared" si="863"/>
        <v>1.298000476190476E-3</v>
      </c>
      <c r="AP924" s="53">
        <v>7.1</v>
      </c>
      <c r="AQ924" s="53">
        <f t="shared" si="832"/>
        <v>4.26</v>
      </c>
      <c r="AR924" s="53">
        <f t="shared" si="833"/>
        <v>21.299999999999997</v>
      </c>
      <c r="AS924" s="56">
        <f t="shared" si="834"/>
        <v>4.6948356807511742E-2</v>
      </c>
      <c r="AT924" s="56">
        <f t="shared" si="864"/>
        <v>0.23474178403755869</v>
      </c>
      <c r="AU924" s="56">
        <f t="shared" si="835"/>
        <v>0.176056338028169</v>
      </c>
      <c r="AV924" s="56">
        <f t="shared" si="865"/>
        <v>5.8685446009389672E-2</v>
      </c>
      <c r="AW924" s="57"/>
      <c r="AX924" s="57"/>
      <c r="AY924" s="57"/>
      <c r="AZ924" s="58">
        <f t="shared" si="866"/>
        <v>5.4516019999999998E-2</v>
      </c>
      <c r="BA924" s="59">
        <f t="shared" si="867"/>
        <v>0</v>
      </c>
      <c r="BB924" s="59">
        <f t="shared" si="868"/>
        <v>0</v>
      </c>
      <c r="BC924" s="59">
        <f t="shared" si="869"/>
        <v>0</v>
      </c>
      <c r="BD924" s="60">
        <f t="shared" si="870"/>
        <v>9.8039215686274508E-3</v>
      </c>
      <c r="BE924" s="59">
        <f t="shared" si="871"/>
        <v>9.8039215686274508E-3</v>
      </c>
      <c r="BQ924" s="61">
        <v>3000</v>
      </c>
      <c r="BR924" s="61">
        <v>1200</v>
      </c>
      <c r="BS924" s="28">
        <f t="shared" si="836"/>
        <v>2980</v>
      </c>
      <c r="BT924" s="28">
        <f t="shared" si="837"/>
        <v>1180</v>
      </c>
      <c r="BU924" s="28" t="s">
        <v>2541</v>
      </c>
      <c r="BV924" s="28">
        <f t="shared" si="838"/>
        <v>170.1</v>
      </c>
      <c r="BW924" s="28">
        <f t="shared" si="839"/>
        <v>170.1</v>
      </c>
      <c r="BX924" s="13">
        <f t="shared" si="840"/>
        <v>17.519106407995299</v>
      </c>
      <c r="BY924" s="13">
        <f t="shared" si="841"/>
        <v>17</v>
      </c>
      <c r="BZ924" s="13">
        <f t="shared" si="842"/>
        <v>6.9370958259847155</v>
      </c>
      <c r="CA924" s="13">
        <f t="shared" si="843"/>
        <v>6</v>
      </c>
      <c r="CB924" s="13">
        <f t="shared" si="844"/>
        <v>102</v>
      </c>
      <c r="CC924" s="62">
        <f t="shared" si="845"/>
        <v>9.8039215686274508E-3</v>
      </c>
      <c r="CD924" s="13">
        <f t="shared" si="846"/>
        <v>17.519106407995299</v>
      </c>
      <c r="CE924" s="13">
        <f t="shared" si="847"/>
        <v>17</v>
      </c>
      <c r="CF924" s="13">
        <f t="shared" si="848"/>
        <v>6.9370958259847155</v>
      </c>
      <c r="CG924" s="13">
        <f t="shared" si="849"/>
        <v>6</v>
      </c>
      <c r="CH924" s="28">
        <f t="shared" si="850"/>
        <v>102</v>
      </c>
      <c r="CI924" s="62">
        <f t="shared" si="851"/>
        <v>9.8039215686274508E-3</v>
      </c>
      <c r="CJ924" s="59">
        <f t="shared" si="852"/>
        <v>9.8039215686274508E-3</v>
      </c>
      <c r="CL924" s="63">
        <v>6000</v>
      </c>
      <c r="CM924" s="63">
        <f t="shared" si="853"/>
        <v>165.1</v>
      </c>
      <c r="CN924" s="63">
        <f t="shared" si="854"/>
        <v>170.1</v>
      </c>
      <c r="CO924" s="63">
        <f t="shared" si="855"/>
        <v>35.273368606701943</v>
      </c>
      <c r="CP924" s="13">
        <f t="shared" si="856"/>
        <v>35</v>
      </c>
      <c r="CQ924" s="70">
        <f t="shared" si="857"/>
        <v>2.8571428571428571E-2</v>
      </c>
      <c r="CR924" s="69">
        <f t="shared" si="820"/>
        <v>2.8571428571428571E-2</v>
      </c>
    </row>
    <row r="925" spans="1:96" hidden="1" x14ac:dyDescent="0.25">
      <c r="A925" s="10">
        <v>3</v>
      </c>
      <c r="B925" s="8" t="s">
        <v>1997</v>
      </c>
      <c r="C925" s="10" t="s">
        <v>1903</v>
      </c>
      <c r="D925" s="10" t="s">
        <v>1905</v>
      </c>
      <c r="E925" s="10" t="s">
        <v>52</v>
      </c>
      <c r="F925" s="12">
        <f t="shared" si="826"/>
        <v>8</v>
      </c>
      <c r="G925" s="10">
        <v>2</v>
      </c>
      <c r="H925" s="10">
        <f t="shared" si="874"/>
        <v>2</v>
      </c>
      <c r="I925" s="10">
        <v>7</v>
      </c>
      <c r="J925" s="8" t="s">
        <v>1904</v>
      </c>
      <c r="K925" s="8" t="s">
        <v>34</v>
      </c>
      <c r="L925" s="10">
        <v>0</v>
      </c>
      <c r="M925" s="8" t="s">
        <v>340</v>
      </c>
      <c r="N925" s="10" t="s">
        <v>1905</v>
      </c>
      <c r="O925" s="28"/>
      <c r="P925" s="28"/>
      <c r="Q925" s="28" t="s">
        <v>1905</v>
      </c>
      <c r="R925" s="30">
        <v>3.35</v>
      </c>
      <c r="S925" s="30">
        <v>1.58</v>
      </c>
      <c r="T925" s="30"/>
      <c r="U925" s="30">
        <v>2.12</v>
      </c>
      <c r="V925" s="8">
        <f t="shared" si="827"/>
        <v>85.09</v>
      </c>
      <c r="W925" s="8">
        <f t="shared" si="828"/>
        <v>40.131999999999998</v>
      </c>
      <c r="X925" s="8">
        <f t="shared" si="829"/>
        <v>0</v>
      </c>
      <c r="Y925" s="33">
        <f t="shared" si="830"/>
        <v>53.847999999999999</v>
      </c>
      <c r="Z925" s="28"/>
      <c r="AA925" s="28"/>
      <c r="AB925" s="61" t="s">
        <v>1905</v>
      </c>
      <c r="AC925" s="31" t="s">
        <v>1906</v>
      </c>
      <c r="AD925" s="50">
        <f t="shared" si="831"/>
        <v>2</v>
      </c>
      <c r="AE925" s="31"/>
      <c r="AF925" s="51">
        <v>14</v>
      </c>
      <c r="AG925" s="51">
        <f t="shared" si="858"/>
        <v>8.4</v>
      </c>
      <c r="AH925" s="51">
        <f t="shared" si="825"/>
        <v>42</v>
      </c>
      <c r="AI925" s="52" t="s">
        <v>2497</v>
      </c>
      <c r="AJ925" s="52" t="s">
        <v>2498</v>
      </c>
      <c r="AK925" s="53">
        <f t="shared" si="859"/>
        <v>6.8296637600000001E-3</v>
      </c>
      <c r="AL925" s="54">
        <f t="shared" si="860"/>
        <v>0.11904761904761904</v>
      </c>
      <c r="AM925" s="54">
        <f t="shared" si="861"/>
        <v>2.3809523809523808E-2</v>
      </c>
      <c r="AN925" s="55">
        <f t="shared" si="862"/>
        <v>1.6261104190476189E-3</v>
      </c>
      <c r="AO925" s="55">
        <f t="shared" si="863"/>
        <v>3.2522208380952379E-4</v>
      </c>
      <c r="AP925" s="53">
        <v>7.1</v>
      </c>
      <c r="AQ925" s="53">
        <f t="shared" si="832"/>
        <v>4.26</v>
      </c>
      <c r="AR925" s="53">
        <f t="shared" si="833"/>
        <v>21.299999999999997</v>
      </c>
      <c r="AS925" s="56">
        <f t="shared" si="834"/>
        <v>4.6948356807511742E-2</v>
      </c>
      <c r="AT925" s="56">
        <f t="shared" si="864"/>
        <v>0.23474178403755869</v>
      </c>
      <c r="AU925" s="56">
        <f t="shared" si="835"/>
        <v>0.176056338028169</v>
      </c>
      <c r="AV925" s="56">
        <f t="shared" si="865"/>
        <v>5.8685446009389672E-2</v>
      </c>
      <c r="AW925" s="57"/>
      <c r="AX925" s="57"/>
      <c r="AY925" s="57"/>
      <c r="AZ925" s="58">
        <f t="shared" si="866"/>
        <v>6.8296637600000001E-3</v>
      </c>
      <c r="BA925" s="59">
        <f t="shared" si="867"/>
        <v>0</v>
      </c>
      <c r="BB925" s="59">
        <f t="shared" si="868"/>
        <v>0</v>
      </c>
      <c r="BC925" s="59">
        <f t="shared" si="869"/>
        <v>0</v>
      </c>
      <c r="BD925" s="60">
        <f t="shared" si="870"/>
        <v>1.1655011655011655E-3</v>
      </c>
      <c r="BE925" s="59">
        <f t="shared" si="871"/>
        <v>2.331002331002331E-3</v>
      </c>
      <c r="BQ925" s="61">
        <v>3000</v>
      </c>
      <c r="BR925" s="61">
        <v>1200</v>
      </c>
      <c r="BS925" s="28">
        <f t="shared" si="836"/>
        <v>2980</v>
      </c>
      <c r="BT925" s="28">
        <f t="shared" si="837"/>
        <v>1180</v>
      </c>
      <c r="BU925" s="28" t="s">
        <v>2541</v>
      </c>
      <c r="BV925" s="28">
        <f t="shared" si="838"/>
        <v>90.09</v>
      </c>
      <c r="BW925" s="28">
        <f t="shared" si="839"/>
        <v>45.131999999999998</v>
      </c>
      <c r="BX925" s="13">
        <f t="shared" si="840"/>
        <v>33.07803307803308</v>
      </c>
      <c r="BY925" s="13">
        <f t="shared" si="841"/>
        <v>33</v>
      </c>
      <c r="BZ925" s="13">
        <f t="shared" si="842"/>
        <v>26.145528671452627</v>
      </c>
      <c r="CA925" s="13">
        <f t="shared" si="843"/>
        <v>26</v>
      </c>
      <c r="CB925" s="13">
        <f t="shared" si="844"/>
        <v>858</v>
      </c>
      <c r="CC925" s="62">
        <f t="shared" si="845"/>
        <v>1.1655011655011655E-3</v>
      </c>
      <c r="CD925" s="13">
        <f t="shared" si="846"/>
        <v>66.028538509261722</v>
      </c>
      <c r="CE925" s="13">
        <f t="shared" si="847"/>
        <v>66</v>
      </c>
      <c r="CF925" s="13">
        <f t="shared" si="848"/>
        <v>13.098013098013098</v>
      </c>
      <c r="CG925" s="13">
        <f t="shared" si="849"/>
        <v>13</v>
      </c>
      <c r="CH925" s="28">
        <f t="shared" si="850"/>
        <v>858</v>
      </c>
      <c r="CI925" s="62">
        <f t="shared" si="851"/>
        <v>1.1655011655011655E-3</v>
      </c>
      <c r="CJ925" s="59">
        <f t="shared" si="852"/>
        <v>1.1655011655011655E-3</v>
      </c>
      <c r="CL925" s="63">
        <v>6000</v>
      </c>
      <c r="CM925" s="63">
        <f t="shared" si="853"/>
        <v>85.09</v>
      </c>
      <c r="CN925" s="63">
        <f t="shared" si="854"/>
        <v>90.09</v>
      </c>
      <c r="CO925" s="63">
        <f t="shared" si="855"/>
        <v>66.600066600066597</v>
      </c>
      <c r="CP925" s="13">
        <f t="shared" si="856"/>
        <v>66</v>
      </c>
      <c r="CQ925" s="70">
        <f t="shared" si="857"/>
        <v>1.5151515151515152E-2</v>
      </c>
      <c r="CR925" s="69">
        <f t="shared" si="820"/>
        <v>3.0303030303030304E-2</v>
      </c>
    </row>
    <row r="926" spans="1:96" hidden="1" x14ac:dyDescent="0.25">
      <c r="A926" s="10">
        <v>3</v>
      </c>
      <c r="B926" s="8" t="s">
        <v>1997</v>
      </c>
      <c r="C926" s="10" t="s">
        <v>1907</v>
      </c>
      <c r="D926" s="10" t="s">
        <v>1908</v>
      </c>
      <c r="E926" s="10" t="s">
        <v>52</v>
      </c>
      <c r="F926" s="12">
        <f t="shared" si="826"/>
        <v>8</v>
      </c>
      <c r="G926" s="10">
        <v>2</v>
      </c>
      <c r="H926" s="10">
        <f t="shared" si="874"/>
        <v>2</v>
      </c>
      <c r="I926" s="10">
        <v>8</v>
      </c>
      <c r="J926" s="8" t="s">
        <v>1904</v>
      </c>
      <c r="K926" s="8" t="s">
        <v>34</v>
      </c>
      <c r="L926" s="10">
        <v>0</v>
      </c>
      <c r="M926" s="8" t="s">
        <v>340</v>
      </c>
      <c r="N926" s="10" t="s">
        <v>1908</v>
      </c>
      <c r="O926" s="28"/>
      <c r="P926" s="28"/>
      <c r="Q926" s="28" t="s">
        <v>1908</v>
      </c>
      <c r="R926" s="30">
        <v>5.54</v>
      </c>
      <c r="S926" s="30">
        <v>2.25</v>
      </c>
      <c r="T926" s="30"/>
      <c r="U926" s="30">
        <v>4.25</v>
      </c>
      <c r="V926" s="8">
        <f t="shared" si="827"/>
        <v>140.71599999999998</v>
      </c>
      <c r="W926" s="8">
        <f t="shared" si="828"/>
        <v>57.15</v>
      </c>
      <c r="X926" s="8">
        <f t="shared" si="829"/>
        <v>0</v>
      </c>
      <c r="Y926" s="33">
        <f t="shared" si="830"/>
        <v>107.94999999999999</v>
      </c>
      <c r="Z926" s="28"/>
      <c r="AA926" s="28"/>
      <c r="AB926" s="61" t="s">
        <v>1908</v>
      </c>
      <c r="AC926" s="31" t="s">
        <v>2553</v>
      </c>
      <c r="AD926" s="50">
        <f t="shared" si="831"/>
        <v>2</v>
      </c>
      <c r="AE926" s="47" t="s">
        <v>2015</v>
      </c>
      <c r="AF926" s="51">
        <v>14</v>
      </c>
      <c r="AG926" s="51">
        <f t="shared" si="858"/>
        <v>8.4</v>
      </c>
      <c r="AH926" s="51">
        <f t="shared" si="825"/>
        <v>42</v>
      </c>
      <c r="AI926" s="52" t="s">
        <v>2497</v>
      </c>
      <c r="AJ926" s="52" t="s">
        <v>2498</v>
      </c>
      <c r="AK926" s="53">
        <f t="shared" si="859"/>
        <v>1.6083838799999996E-2</v>
      </c>
      <c r="AL926" s="54">
        <f t="shared" si="860"/>
        <v>0.11904761904761904</v>
      </c>
      <c r="AM926" s="54">
        <f t="shared" si="861"/>
        <v>2.3809523809523808E-2</v>
      </c>
      <c r="AN926" s="55">
        <f t="shared" si="862"/>
        <v>3.8294854285714276E-3</v>
      </c>
      <c r="AO926" s="55">
        <f t="shared" si="863"/>
        <v>7.6589708571428547E-4</v>
      </c>
      <c r="AP926" s="53">
        <v>7.1</v>
      </c>
      <c r="AQ926" s="53">
        <f t="shared" si="832"/>
        <v>4.26</v>
      </c>
      <c r="AR926" s="53">
        <f t="shared" si="833"/>
        <v>21.299999999999997</v>
      </c>
      <c r="AS926" s="56">
        <f t="shared" si="834"/>
        <v>4.6948356807511742E-2</v>
      </c>
      <c r="AT926" s="56">
        <f t="shared" si="864"/>
        <v>0.23474178403755869</v>
      </c>
      <c r="AU926" s="56">
        <f t="shared" si="835"/>
        <v>0.176056338028169</v>
      </c>
      <c r="AV926" s="56">
        <f t="shared" si="865"/>
        <v>5.8685446009389672E-2</v>
      </c>
      <c r="AW926" s="57"/>
      <c r="AX926" s="57"/>
      <c r="AY926" s="57"/>
      <c r="AZ926" s="58">
        <f t="shared" si="866"/>
        <v>1.6083838799999996E-2</v>
      </c>
      <c r="BA926" s="59">
        <f t="shared" si="867"/>
        <v>0</v>
      </c>
      <c r="BB926" s="59">
        <f t="shared" si="868"/>
        <v>0</v>
      </c>
      <c r="BC926" s="59">
        <f t="shared" si="869"/>
        <v>0</v>
      </c>
      <c r="BD926" s="60">
        <f t="shared" si="870"/>
        <v>2.6595744680851063E-3</v>
      </c>
      <c r="BE926" s="59">
        <f t="shared" si="871"/>
        <v>5.3191489361702126E-3</v>
      </c>
      <c r="BQ926" s="61">
        <v>3000</v>
      </c>
      <c r="BR926" s="61">
        <v>1200</v>
      </c>
      <c r="BS926" s="28">
        <f t="shared" si="836"/>
        <v>2980</v>
      </c>
      <c r="BT926" s="28">
        <f t="shared" si="837"/>
        <v>1180</v>
      </c>
      <c r="BU926" s="28" t="s">
        <v>2541</v>
      </c>
      <c r="BV926" s="28">
        <f t="shared" si="838"/>
        <v>145.71599999999998</v>
      </c>
      <c r="BW926" s="28">
        <f t="shared" si="839"/>
        <v>62.15</v>
      </c>
      <c r="BX926" s="13">
        <f t="shared" si="840"/>
        <v>20.450739795218098</v>
      </c>
      <c r="BY926" s="13">
        <f t="shared" si="841"/>
        <v>20</v>
      </c>
      <c r="BZ926" s="13">
        <f t="shared" si="842"/>
        <v>18.986323411102173</v>
      </c>
      <c r="CA926" s="13">
        <f t="shared" si="843"/>
        <v>18</v>
      </c>
      <c r="CB926" s="13">
        <f t="shared" si="844"/>
        <v>360</v>
      </c>
      <c r="CC926" s="62">
        <f t="shared" si="845"/>
        <v>2.7777777777777779E-3</v>
      </c>
      <c r="CD926" s="13">
        <f t="shared" si="846"/>
        <v>47.948511665325825</v>
      </c>
      <c r="CE926" s="13">
        <f t="shared" si="847"/>
        <v>47</v>
      </c>
      <c r="CF926" s="13">
        <f t="shared" si="848"/>
        <v>8.0979439457575015</v>
      </c>
      <c r="CG926" s="13">
        <f t="shared" si="849"/>
        <v>8</v>
      </c>
      <c r="CH926" s="28">
        <f t="shared" si="850"/>
        <v>376</v>
      </c>
      <c r="CI926" s="62">
        <f t="shared" si="851"/>
        <v>2.6595744680851063E-3</v>
      </c>
      <c r="CJ926" s="59">
        <f t="shared" si="852"/>
        <v>2.6595744680851063E-3</v>
      </c>
      <c r="CL926" s="63">
        <v>6000</v>
      </c>
      <c r="CM926" s="63">
        <f t="shared" si="853"/>
        <v>140.71599999999998</v>
      </c>
      <c r="CN926" s="63">
        <f t="shared" si="854"/>
        <v>145.71599999999998</v>
      </c>
      <c r="CO926" s="63">
        <f t="shared" si="855"/>
        <v>41.175986164868654</v>
      </c>
      <c r="CP926" s="13">
        <f t="shared" si="856"/>
        <v>41</v>
      </c>
      <c r="CQ926" s="70">
        <f t="shared" si="857"/>
        <v>2.4390243902439025E-2</v>
      </c>
      <c r="CR926" s="69">
        <f t="shared" si="820"/>
        <v>4.878048780487805E-2</v>
      </c>
    </row>
    <row r="927" spans="1:96" hidden="1" x14ac:dyDescent="0.25">
      <c r="A927" s="10">
        <v>3</v>
      </c>
      <c r="B927" s="8" t="s">
        <v>1997</v>
      </c>
      <c r="C927" s="10" t="s">
        <v>1974</v>
      </c>
      <c r="D927" s="10" t="s">
        <v>1994</v>
      </c>
      <c r="E927" s="10" t="s">
        <v>52</v>
      </c>
      <c r="F927" s="12">
        <f t="shared" si="826"/>
        <v>6</v>
      </c>
      <c r="G927" s="10">
        <v>4</v>
      </c>
      <c r="H927" s="10">
        <f t="shared" si="874"/>
        <v>4</v>
      </c>
      <c r="I927" s="10">
        <v>9</v>
      </c>
      <c r="J927" s="8" t="s">
        <v>1975</v>
      </c>
      <c r="K927" s="8" t="s">
        <v>34</v>
      </c>
      <c r="L927" s="10" t="s">
        <v>259</v>
      </c>
      <c r="M927" s="8" t="s">
        <v>35</v>
      </c>
      <c r="N927" s="10" t="s">
        <v>1994</v>
      </c>
      <c r="O927" s="28"/>
      <c r="P927" s="28"/>
      <c r="Q927" s="28" t="s">
        <v>1994</v>
      </c>
      <c r="R927" s="30"/>
      <c r="S927" s="30"/>
      <c r="T927" s="30"/>
      <c r="U927" s="30"/>
      <c r="V927" s="8">
        <f t="shared" si="827"/>
        <v>0</v>
      </c>
      <c r="W927" s="8">
        <f t="shared" si="828"/>
        <v>0</v>
      </c>
      <c r="X927" s="8">
        <f t="shared" si="829"/>
        <v>0</v>
      </c>
      <c r="Y927" s="33">
        <f t="shared" si="830"/>
        <v>0</v>
      </c>
      <c r="Z927" s="28"/>
      <c r="AA927" s="28"/>
      <c r="AB927" s="61" t="s">
        <v>1994</v>
      </c>
      <c r="AC927" s="31" t="s">
        <v>1976</v>
      </c>
      <c r="AD927" s="50">
        <f t="shared" si="831"/>
        <v>4</v>
      </c>
      <c r="AE927" s="47" t="s">
        <v>2015</v>
      </c>
      <c r="AF927" s="51">
        <v>14</v>
      </c>
      <c r="AG927" s="51">
        <f t="shared" si="858"/>
        <v>8.4</v>
      </c>
      <c r="AH927" s="51">
        <f t="shared" si="825"/>
        <v>42</v>
      </c>
      <c r="AI927" s="52" t="s">
        <v>2497</v>
      </c>
      <c r="AJ927" s="52" t="s">
        <v>2498</v>
      </c>
      <c r="AK927" s="53">
        <f t="shared" si="859"/>
        <v>0</v>
      </c>
      <c r="AL927" s="54">
        <f t="shared" si="860"/>
        <v>0.11904761904761904</v>
      </c>
      <c r="AM927" s="54">
        <f t="shared" si="861"/>
        <v>2.3809523809523808E-2</v>
      </c>
      <c r="AN927" s="55">
        <f t="shared" si="862"/>
        <v>0</v>
      </c>
      <c r="AO927" s="55">
        <f t="shared" si="863"/>
        <v>0</v>
      </c>
      <c r="AP927" s="53">
        <v>7.1</v>
      </c>
      <c r="AQ927" s="53">
        <f t="shared" si="832"/>
        <v>4.26</v>
      </c>
      <c r="AR927" s="53">
        <f t="shared" si="833"/>
        <v>21.299999999999997</v>
      </c>
      <c r="AS927" s="56">
        <f t="shared" si="834"/>
        <v>4.6948356807511742E-2</v>
      </c>
      <c r="AT927" s="56">
        <f t="shared" si="864"/>
        <v>0.23474178403755869</v>
      </c>
      <c r="AU927" s="56">
        <f t="shared" si="835"/>
        <v>0.176056338028169</v>
      </c>
      <c r="AV927" s="56">
        <f t="shared" si="865"/>
        <v>5.8685446009389672E-2</v>
      </c>
      <c r="AW927" s="57"/>
      <c r="AX927" s="57"/>
      <c r="AY927" s="57"/>
      <c r="AZ927" s="58">
        <f t="shared" si="866"/>
        <v>0</v>
      </c>
      <c r="BA927" s="59">
        <f t="shared" si="867"/>
        <v>0</v>
      </c>
      <c r="BB927" s="59">
        <f t="shared" si="868"/>
        <v>0</v>
      </c>
      <c r="BC927" s="59">
        <f t="shared" si="869"/>
        <v>0</v>
      </c>
      <c r="BD927" s="60">
        <f t="shared" si="870"/>
        <v>7.1095438516664771E-6</v>
      </c>
      <c r="BE927" s="59">
        <f t="shared" si="871"/>
        <v>2.8438175406665908E-5</v>
      </c>
      <c r="BQ927" s="61">
        <v>3000</v>
      </c>
      <c r="BR927" s="61">
        <v>1200</v>
      </c>
      <c r="BS927" s="28">
        <f t="shared" si="836"/>
        <v>2980</v>
      </c>
      <c r="BT927" s="28">
        <f t="shared" si="837"/>
        <v>1180</v>
      </c>
      <c r="BU927" s="28" t="s">
        <v>2541</v>
      </c>
      <c r="BV927" s="28">
        <f t="shared" si="838"/>
        <v>5</v>
      </c>
      <c r="BW927" s="28">
        <f t="shared" si="839"/>
        <v>5</v>
      </c>
      <c r="BX927" s="13">
        <f t="shared" si="840"/>
        <v>596</v>
      </c>
      <c r="BY927" s="13">
        <f t="shared" si="841"/>
        <v>596</v>
      </c>
      <c r="BZ927" s="13">
        <f t="shared" si="842"/>
        <v>236</v>
      </c>
      <c r="CA927" s="13">
        <f t="shared" si="843"/>
        <v>236</v>
      </c>
      <c r="CB927" s="13">
        <f t="shared" si="844"/>
        <v>140656</v>
      </c>
      <c r="CC927" s="62">
        <f t="shared" si="845"/>
        <v>7.1095438516664771E-6</v>
      </c>
      <c r="CD927" s="13">
        <f t="shared" si="846"/>
        <v>596</v>
      </c>
      <c r="CE927" s="13">
        <f t="shared" si="847"/>
        <v>596</v>
      </c>
      <c r="CF927" s="13">
        <f t="shared" si="848"/>
        <v>236</v>
      </c>
      <c r="CG927" s="13">
        <f t="shared" si="849"/>
        <v>236</v>
      </c>
      <c r="CH927" s="28">
        <f t="shared" si="850"/>
        <v>140656</v>
      </c>
      <c r="CI927" s="62">
        <f t="shared" si="851"/>
        <v>7.1095438516664771E-6</v>
      </c>
      <c r="CJ927" s="59">
        <f t="shared" si="852"/>
        <v>7.1095438516664771E-6</v>
      </c>
      <c r="CL927" s="63">
        <v>6000</v>
      </c>
      <c r="CM927" s="63">
        <f t="shared" si="853"/>
        <v>0</v>
      </c>
      <c r="CN927" s="63">
        <f t="shared" si="854"/>
        <v>5</v>
      </c>
      <c r="CO927" s="63">
        <f t="shared" si="855"/>
        <v>1200</v>
      </c>
      <c r="CP927" s="13">
        <f t="shared" si="856"/>
        <v>1200</v>
      </c>
      <c r="CQ927" s="70">
        <f t="shared" si="857"/>
        <v>8.3333333333333339E-4</v>
      </c>
      <c r="CR927" s="69">
        <f t="shared" si="820"/>
        <v>3.3333333333333335E-3</v>
      </c>
    </row>
    <row r="928" spans="1:96" hidden="1" x14ac:dyDescent="0.25">
      <c r="A928" s="10">
        <v>3</v>
      </c>
      <c r="B928" s="8" t="s">
        <v>1997</v>
      </c>
      <c r="C928" s="10" t="s">
        <v>1790</v>
      </c>
      <c r="D928" s="10" t="s">
        <v>2016</v>
      </c>
      <c r="E928" s="10" t="s">
        <v>52</v>
      </c>
      <c r="F928" s="12">
        <f t="shared" si="826"/>
        <v>5</v>
      </c>
      <c r="G928" s="10">
        <v>7</v>
      </c>
      <c r="H928" s="10">
        <f t="shared" si="874"/>
        <v>7</v>
      </c>
      <c r="I928" s="10">
        <v>10</v>
      </c>
      <c r="J928" s="8" t="s">
        <v>1791</v>
      </c>
      <c r="K928" s="8" t="s">
        <v>34</v>
      </c>
      <c r="L928" s="10" t="s">
        <v>259</v>
      </c>
      <c r="M928" s="8" t="s">
        <v>35</v>
      </c>
      <c r="N928" s="10" t="s">
        <v>2016</v>
      </c>
      <c r="O928" s="28"/>
      <c r="P928" s="28"/>
      <c r="Q928" s="28" t="s">
        <v>2016</v>
      </c>
      <c r="R928" s="30"/>
      <c r="S928" s="30"/>
      <c r="T928" s="30"/>
      <c r="U928" s="30"/>
      <c r="V928" s="8">
        <f t="shared" si="827"/>
        <v>0</v>
      </c>
      <c r="W928" s="8">
        <f t="shared" si="828"/>
        <v>0</v>
      </c>
      <c r="X928" s="8">
        <f t="shared" si="829"/>
        <v>0</v>
      </c>
      <c r="Y928" s="33">
        <f t="shared" si="830"/>
        <v>0</v>
      </c>
      <c r="Z928" s="28"/>
      <c r="AA928" s="28"/>
      <c r="AB928" s="61" t="s">
        <v>2016</v>
      </c>
      <c r="AC928" s="31" t="s">
        <v>1792</v>
      </c>
      <c r="AD928" s="50">
        <f t="shared" si="831"/>
        <v>7</v>
      </c>
      <c r="AE928" s="47" t="s">
        <v>2015</v>
      </c>
      <c r="AF928" s="51">
        <v>14</v>
      </c>
      <c r="AG928" s="51">
        <f t="shared" si="858"/>
        <v>8.4</v>
      </c>
      <c r="AH928" s="51">
        <f t="shared" si="825"/>
        <v>42</v>
      </c>
      <c r="AI928" s="52" t="s">
        <v>2497</v>
      </c>
      <c r="AJ928" s="52" t="s">
        <v>2498</v>
      </c>
      <c r="AK928" s="53">
        <f t="shared" si="859"/>
        <v>0</v>
      </c>
      <c r="AL928" s="54">
        <f t="shared" si="860"/>
        <v>0.11904761904761904</v>
      </c>
      <c r="AM928" s="54">
        <f t="shared" si="861"/>
        <v>2.3809523809523808E-2</v>
      </c>
      <c r="AN928" s="55">
        <f t="shared" si="862"/>
        <v>0</v>
      </c>
      <c r="AO928" s="55">
        <f t="shared" si="863"/>
        <v>0</v>
      </c>
      <c r="AP928" s="53">
        <v>7.1</v>
      </c>
      <c r="AQ928" s="53">
        <f t="shared" si="832"/>
        <v>4.26</v>
      </c>
      <c r="AR928" s="53">
        <f t="shared" si="833"/>
        <v>21.299999999999997</v>
      </c>
      <c r="AS928" s="56">
        <f t="shared" si="834"/>
        <v>4.6948356807511742E-2</v>
      </c>
      <c r="AT928" s="56">
        <f t="shared" si="864"/>
        <v>0.23474178403755869</v>
      </c>
      <c r="AU928" s="56">
        <f t="shared" si="835"/>
        <v>0.176056338028169</v>
      </c>
      <c r="AV928" s="56">
        <f t="shared" si="865"/>
        <v>5.8685446009389672E-2</v>
      </c>
      <c r="AW928" s="57"/>
      <c r="AX928" s="57"/>
      <c r="AY928" s="57"/>
      <c r="AZ928" s="58">
        <f t="shared" si="866"/>
        <v>0</v>
      </c>
      <c r="BA928" s="59">
        <f t="shared" si="867"/>
        <v>0</v>
      </c>
      <c r="BB928" s="59">
        <f t="shared" si="868"/>
        <v>0</v>
      </c>
      <c r="BC928" s="59">
        <f t="shared" si="869"/>
        <v>0</v>
      </c>
      <c r="BD928" s="60">
        <f t="shared" si="870"/>
        <v>7.1095438516664771E-6</v>
      </c>
      <c r="BE928" s="59">
        <f t="shared" si="871"/>
        <v>4.976680696166534E-5</v>
      </c>
      <c r="BQ928" s="61">
        <v>3000</v>
      </c>
      <c r="BR928" s="61">
        <v>1200</v>
      </c>
      <c r="BS928" s="28">
        <f t="shared" si="836"/>
        <v>2980</v>
      </c>
      <c r="BT928" s="28">
        <f t="shared" si="837"/>
        <v>1180</v>
      </c>
      <c r="BU928" s="28" t="s">
        <v>2541</v>
      </c>
      <c r="BV928" s="28">
        <f t="shared" si="838"/>
        <v>5</v>
      </c>
      <c r="BW928" s="28">
        <f t="shared" si="839"/>
        <v>5</v>
      </c>
      <c r="BX928" s="13">
        <f t="shared" si="840"/>
        <v>596</v>
      </c>
      <c r="BY928" s="13">
        <f t="shared" si="841"/>
        <v>596</v>
      </c>
      <c r="BZ928" s="13">
        <f t="shared" si="842"/>
        <v>236</v>
      </c>
      <c r="CA928" s="13">
        <f t="shared" si="843"/>
        <v>236</v>
      </c>
      <c r="CB928" s="13">
        <f t="shared" si="844"/>
        <v>140656</v>
      </c>
      <c r="CC928" s="62">
        <f t="shared" si="845"/>
        <v>7.1095438516664771E-6</v>
      </c>
      <c r="CD928" s="13">
        <f t="shared" si="846"/>
        <v>596</v>
      </c>
      <c r="CE928" s="13">
        <f t="shared" si="847"/>
        <v>596</v>
      </c>
      <c r="CF928" s="13">
        <f t="shared" si="848"/>
        <v>236</v>
      </c>
      <c r="CG928" s="13">
        <f t="shared" si="849"/>
        <v>236</v>
      </c>
      <c r="CH928" s="28">
        <f t="shared" si="850"/>
        <v>140656</v>
      </c>
      <c r="CI928" s="62">
        <f t="shared" si="851"/>
        <v>7.1095438516664771E-6</v>
      </c>
      <c r="CJ928" s="59">
        <f t="shared" si="852"/>
        <v>7.1095438516664771E-6</v>
      </c>
      <c r="CL928" s="63">
        <v>6000</v>
      </c>
      <c r="CM928" s="63">
        <f t="shared" si="853"/>
        <v>0</v>
      </c>
      <c r="CN928" s="63">
        <f t="shared" si="854"/>
        <v>5</v>
      </c>
      <c r="CO928" s="63">
        <f t="shared" si="855"/>
        <v>1200</v>
      </c>
      <c r="CP928" s="13">
        <f t="shared" si="856"/>
        <v>1200</v>
      </c>
      <c r="CQ928" s="70">
        <f t="shared" si="857"/>
        <v>8.3333333333333339E-4</v>
      </c>
      <c r="CR928" s="69">
        <f t="shared" si="820"/>
        <v>5.8333333333333336E-3</v>
      </c>
    </row>
    <row r="929" spans="1:96" hidden="1" x14ac:dyDescent="0.25">
      <c r="A929" s="10">
        <v>3</v>
      </c>
      <c r="B929" s="8" t="s">
        <v>1997</v>
      </c>
      <c r="C929" s="10" t="s">
        <v>2017</v>
      </c>
      <c r="D929" s="10" t="s">
        <v>2019</v>
      </c>
      <c r="E929" s="10" t="s">
        <v>52</v>
      </c>
      <c r="F929" s="12">
        <f t="shared" si="826"/>
        <v>2</v>
      </c>
      <c r="G929" s="10">
        <v>14</v>
      </c>
      <c r="H929" s="10">
        <f t="shared" si="874"/>
        <v>14</v>
      </c>
      <c r="I929" s="10">
        <v>11</v>
      </c>
      <c r="J929" s="8" t="s">
        <v>2018</v>
      </c>
      <c r="K929" s="8" t="s">
        <v>34</v>
      </c>
      <c r="L929" s="10">
        <v>0</v>
      </c>
      <c r="M929" s="8" t="s">
        <v>35</v>
      </c>
      <c r="N929" s="10" t="s">
        <v>2019</v>
      </c>
      <c r="O929" s="28"/>
      <c r="P929" s="28"/>
      <c r="Q929" s="28" t="s">
        <v>2019</v>
      </c>
      <c r="R929" s="30"/>
      <c r="S929" s="30"/>
      <c r="T929" s="30"/>
      <c r="U929" s="30"/>
      <c r="V929" s="8">
        <f t="shared" si="827"/>
        <v>0</v>
      </c>
      <c r="W929" s="8">
        <f t="shared" si="828"/>
        <v>0</v>
      </c>
      <c r="X929" s="8">
        <f t="shared" si="829"/>
        <v>0</v>
      </c>
      <c r="Y929" s="33">
        <f t="shared" si="830"/>
        <v>0</v>
      </c>
      <c r="Z929" s="28"/>
      <c r="AA929" s="28"/>
      <c r="AB929" s="61" t="s">
        <v>2019</v>
      </c>
      <c r="AC929" s="31" t="s">
        <v>2020</v>
      </c>
      <c r="AD929" s="50">
        <f t="shared" si="831"/>
        <v>14</v>
      </c>
      <c r="AE929" s="47" t="s">
        <v>2015</v>
      </c>
      <c r="AF929" s="51">
        <v>14</v>
      </c>
      <c r="AG929" s="51">
        <f t="shared" si="858"/>
        <v>8.4</v>
      </c>
      <c r="AH929" s="51">
        <f t="shared" si="825"/>
        <v>42</v>
      </c>
      <c r="AI929" s="52" t="s">
        <v>2497</v>
      </c>
      <c r="AJ929" s="52" t="s">
        <v>2498</v>
      </c>
      <c r="AK929" s="53">
        <f t="shared" si="859"/>
        <v>0</v>
      </c>
      <c r="AL929" s="54">
        <f t="shared" si="860"/>
        <v>0.11904761904761904</v>
      </c>
      <c r="AM929" s="54">
        <f t="shared" si="861"/>
        <v>2.3809523809523808E-2</v>
      </c>
      <c r="AN929" s="55">
        <f t="shared" si="862"/>
        <v>0</v>
      </c>
      <c r="AO929" s="55">
        <f t="shared" si="863"/>
        <v>0</v>
      </c>
      <c r="AP929" s="53">
        <v>7.1</v>
      </c>
      <c r="AQ929" s="53">
        <f t="shared" si="832"/>
        <v>4.26</v>
      </c>
      <c r="AR929" s="53">
        <f t="shared" si="833"/>
        <v>21.299999999999997</v>
      </c>
      <c r="AS929" s="56">
        <f t="shared" si="834"/>
        <v>4.6948356807511742E-2</v>
      </c>
      <c r="AT929" s="56">
        <f t="shared" si="864"/>
        <v>0.23474178403755869</v>
      </c>
      <c r="AU929" s="56">
        <f t="shared" si="835"/>
        <v>0.176056338028169</v>
      </c>
      <c r="AV929" s="56">
        <f t="shared" si="865"/>
        <v>5.8685446009389672E-2</v>
      </c>
      <c r="AW929" s="57"/>
      <c r="AX929" s="57"/>
      <c r="AY929" s="57"/>
      <c r="AZ929" s="58">
        <f t="shared" si="866"/>
        <v>0</v>
      </c>
      <c r="BA929" s="59">
        <f t="shared" si="867"/>
        <v>0</v>
      </c>
      <c r="BB929" s="59">
        <f t="shared" si="868"/>
        <v>0</v>
      </c>
      <c r="BC929" s="59">
        <f t="shared" si="869"/>
        <v>0</v>
      </c>
      <c r="BD929" s="60">
        <f t="shared" si="870"/>
        <v>7.1095438516664771E-6</v>
      </c>
      <c r="BE929" s="59">
        <f t="shared" si="871"/>
        <v>9.9533613923330681E-5</v>
      </c>
      <c r="BQ929" s="61">
        <v>3000</v>
      </c>
      <c r="BR929" s="61">
        <v>1200</v>
      </c>
      <c r="BS929" s="28">
        <f t="shared" si="836"/>
        <v>2980</v>
      </c>
      <c r="BT929" s="28">
        <f t="shared" si="837"/>
        <v>1180</v>
      </c>
      <c r="BU929" s="28" t="s">
        <v>2541</v>
      </c>
      <c r="BV929" s="28">
        <f t="shared" si="838"/>
        <v>5</v>
      </c>
      <c r="BW929" s="28">
        <f t="shared" si="839"/>
        <v>5</v>
      </c>
      <c r="BX929" s="13">
        <f t="shared" si="840"/>
        <v>596</v>
      </c>
      <c r="BY929" s="13">
        <f t="shared" si="841"/>
        <v>596</v>
      </c>
      <c r="BZ929" s="13">
        <f t="shared" si="842"/>
        <v>236</v>
      </c>
      <c r="CA929" s="13">
        <f t="shared" si="843"/>
        <v>236</v>
      </c>
      <c r="CB929" s="13">
        <f t="shared" si="844"/>
        <v>140656</v>
      </c>
      <c r="CC929" s="62">
        <f t="shared" si="845"/>
        <v>7.1095438516664771E-6</v>
      </c>
      <c r="CD929" s="13">
        <f t="shared" si="846"/>
        <v>596</v>
      </c>
      <c r="CE929" s="13">
        <f t="shared" si="847"/>
        <v>596</v>
      </c>
      <c r="CF929" s="13">
        <f t="shared" si="848"/>
        <v>236</v>
      </c>
      <c r="CG929" s="13">
        <f t="shared" si="849"/>
        <v>236</v>
      </c>
      <c r="CH929" s="28">
        <f t="shared" si="850"/>
        <v>140656</v>
      </c>
      <c r="CI929" s="62">
        <f t="shared" si="851"/>
        <v>7.1095438516664771E-6</v>
      </c>
      <c r="CJ929" s="59">
        <f t="shared" si="852"/>
        <v>7.1095438516664771E-6</v>
      </c>
      <c r="CL929" s="63">
        <v>6000</v>
      </c>
      <c r="CM929" s="63">
        <f t="shared" si="853"/>
        <v>0</v>
      </c>
      <c r="CN929" s="63">
        <f t="shared" si="854"/>
        <v>5</v>
      </c>
      <c r="CO929" s="63">
        <f t="shared" si="855"/>
        <v>1200</v>
      </c>
      <c r="CP929" s="13">
        <f t="shared" si="856"/>
        <v>1200</v>
      </c>
      <c r="CQ929" s="70">
        <f t="shared" si="857"/>
        <v>8.3333333333333339E-4</v>
      </c>
      <c r="CR929" s="69">
        <f t="shared" si="820"/>
        <v>1.1666666666666667E-2</v>
      </c>
    </row>
    <row r="930" spans="1:96" hidden="1" x14ac:dyDescent="0.25">
      <c r="A930" s="10">
        <v>3</v>
      </c>
      <c r="B930" s="8" t="s">
        <v>1997</v>
      </c>
      <c r="C930" s="10" t="s">
        <v>2021</v>
      </c>
      <c r="D930" s="10" t="s">
        <v>2023</v>
      </c>
      <c r="E930" s="10" t="s">
        <v>52</v>
      </c>
      <c r="F930" s="12">
        <f t="shared" si="826"/>
        <v>2</v>
      </c>
      <c r="G930" s="10">
        <v>7</v>
      </c>
      <c r="H930" s="10">
        <f t="shared" si="874"/>
        <v>7</v>
      </c>
      <c r="I930" s="10">
        <v>12</v>
      </c>
      <c r="J930" s="8" t="s">
        <v>2022</v>
      </c>
      <c r="K930" s="8" t="s">
        <v>34</v>
      </c>
      <c r="L930" s="10">
        <v>0</v>
      </c>
      <c r="M930" s="8" t="s">
        <v>35</v>
      </c>
      <c r="N930" s="10" t="s">
        <v>2023</v>
      </c>
      <c r="O930" s="28"/>
      <c r="P930" s="28"/>
      <c r="Q930" s="28" t="s">
        <v>2023</v>
      </c>
      <c r="R930" s="30"/>
      <c r="S930" s="30"/>
      <c r="T930" s="30"/>
      <c r="U930" s="30"/>
      <c r="V930" s="8">
        <f t="shared" si="827"/>
        <v>0</v>
      </c>
      <c r="W930" s="8">
        <f t="shared" si="828"/>
        <v>0</v>
      </c>
      <c r="X930" s="8">
        <f t="shared" si="829"/>
        <v>0</v>
      </c>
      <c r="Y930" s="33">
        <f t="shared" si="830"/>
        <v>0</v>
      </c>
      <c r="Z930" s="28"/>
      <c r="AA930" s="28"/>
      <c r="AB930" s="61" t="s">
        <v>2023</v>
      </c>
      <c r="AC930" s="31" t="s">
        <v>2024</v>
      </c>
      <c r="AD930" s="50">
        <f t="shared" si="831"/>
        <v>7</v>
      </c>
      <c r="AE930" s="47" t="s">
        <v>2015</v>
      </c>
      <c r="AF930" s="51">
        <v>14</v>
      </c>
      <c r="AG930" s="51">
        <f t="shared" si="858"/>
        <v>8.4</v>
      </c>
      <c r="AH930" s="51">
        <f t="shared" si="825"/>
        <v>42</v>
      </c>
      <c r="AI930" s="52" t="s">
        <v>2497</v>
      </c>
      <c r="AJ930" s="52" t="s">
        <v>2498</v>
      </c>
      <c r="AK930" s="53">
        <f t="shared" si="859"/>
        <v>0</v>
      </c>
      <c r="AL930" s="54">
        <f t="shared" si="860"/>
        <v>0.11904761904761904</v>
      </c>
      <c r="AM930" s="54">
        <f t="shared" si="861"/>
        <v>2.3809523809523808E-2</v>
      </c>
      <c r="AN930" s="55">
        <f t="shared" si="862"/>
        <v>0</v>
      </c>
      <c r="AO930" s="55">
        <f t="shared" si="863"/>
        <v>0</v>
      </c>
      <c r="AP930" s="53">
        <v>7.1</v>
      </c>
      <c r="AQ930" s="53">
        <f t="shared" si="832"/>
        <v>4.26</v>
      </c>
      <c r="AR930" s="53">
        <f t="shared" si="833"/>
        <v>21.299999999999997</v>
      </c>
      <c r="AS930" s="56">
        <f t="shared" si="834"/>
        <v>4.6948356807511742E-2</v>
      </c>
      <c r="AT930" s="56">
        <f t="shared" si="864"/>
        <v>0.23474178403755869</v>
      </c>
      <c r="AU930" s="56">
        <f t="shared" si="835"/>
        <v>0.176056338028169</v>
      </c>
      <c r="AV930" s="56">
        <f t="shared" si="865"/>
        <v>5.8685446009389672E-2</v>
      </c>
      <c r="AW930" s="57"/>
      <c r="AX930" s="57"/>
      <c r="AY930" s="57"/>
      <c r="AZ930" s="58">
        <f t="shared" si="866"/>
        <v>0</v>
      </c>
      <c r="BA930" s="59">
        <f t="shared" si="867"/>
        <v>0</v>
      </c>
      <c r="BB930" s="59">
        <f t="shared" si="868"/>
        <v>0</v>
      </c>
      <c r="BC930" s="59">
        <f t="shared" si="869"/>
        <v>0</v>
      </c>
      <c r="BD930" s="60">
        <f t="shared" si="870"/>
        <v>7.1095438516664771E-6</v>
      </c>
      <c r="BE930" s="59">
        <f t="shared" si="871"/>
        <v>4.976680696166534E-5</v>
      </c>
      <c r="BQ930" s="61">
        <v>3000</v>
      </c>
      <c r="BR930" s="61">
        <v>1200</v>
      </c>
      <c r="BS930" s="28">
        <f t="shared" si="836"/>
        <v>2980</v>
      </c>
      <c r="BT930" s="28">
        <f t="shared" si="837"/>
        <v>1180</v>
      </c>
      <c r="BU930" s="28" t="s">
        <v>2541</v>
      </c>
      <c r="BV930" s="28">
        <f t="shared" si="838"/>
        <v>5</v>
      </c>
      <c r="BW930" s="28">
        <f t="shared" si="839"/>
        <v>5</v>
      </c>
      <c r="BX930" s="13">
        <f t="shared" si="840"/>
        <v>596</v>
      </c>
      <c r="BY930" s="13">
        <f t="shared" si="841"/>
        <v>596</v>
      </c>
      <c r="BZ930" s="13">
        <f t="shared" si="842"/>
        <v>236</v>
      </c>
      <c r="CA930" s="13">
        <f t="shared" si="843"/>
        <v>236</v>
      </c>
      <c r="CB930" s="13">
        <f t="shared" si="844"/>
        <v>140656</v>
      </c>
      <c r="CC930" s="62">
        <f t="shared" si="845"/>
        <v>7.1095438516664771E-6</v>
      </c>
      <c r="CD930" s="13">
        <f t="shared" si="846"/>
        <v>596</v>
      </c>
      <c r="CE930" s="13">
        <f t="shared" si="847"/>
        <v>596</v>
      </c>
      <c r="CF930" s="13">
        <f t="shared" si="848"/>
        <v>236</v>
      </c>
      <c r="CG930" s="13">
        <f t="shared" si="849"/>
        <v>236</v>
      </c>
      <c r="CH930" s="28">
        <f t="shared" si="850"/>
        <v>140656</v>
      </c>
      <c r="CI930" s="62">
        <f t="shared" si="851"/>
        <v>7.1095438516664771E-6</v>
      </c>
      <c r="CJ930" s="59">
        <f t="shared" si="852"/>
        <v>7.1095438516664771E-6</v>
      </c>
      <c r="CL930" s="63">
        <v>6000</v>
      </c>
      <c r="CM930" s="63">
        <f t="shared" si="853"/>
        <v>0</v>
      </c>
      <c r="CN930" s="63">
        <f t="shared" si="854"/>
        <v>5</v>
      </c>
      <c r="CO930" s="63">
        <f t="shared" si="855"/>
        <v>1200</v>
      </c>
      <c r="CP930" s="13">
        <f t="shared" si="856"/>
        <v>1200</v>
      </c>
      <c r="CQ930" s="70">
        <f t="shared" si="857"/>
        <v>8.3333333333333339E-4</v>
      </c>
      <c r="CR930" s="69">
        <f t="shared" si="820"/>
        <v>5.8333333333333336E-3</v>
      </c>
    </row>
    <row r="931" spans="1:96" hidden="1" x14ac:dyDescent="0.25">
      <c r="A931" s="10">
        <v>3</v>
      </c>
      <c r="B931" s="8" t="s">
        <v>1997</v>
      </c>
      <c r="C931" s="10" t="s">
        <v>2025</v>
      </c>
      <c r="D931" s="10" t="s">
        <v>2270</v>
      </c>
      <c r="E931" s="10" t="s">
        <v>52</v>
      </c>
      <c r="F931" s="12">
        <f t="shared" si="826"/>
        <v>1</v>
      </c>
      <c r="G931" s="10">
        <v>1</v>
      </c>
      <c r="H931" s="10">
        <f t="shared" si="874"/>
        <v>1</v>
      </c>
      <c r="I931" s="10">
        <v>13</v>
      </c>
      <c r="J931" s="8" t="s">
        <v>560</v>
      </c>
      <c r="K931" s="8" t="s">
        <v>34</v>
      </c>
      <c r="L931" s="10">
        <v>0</v>
      </c>
      <c r="M931" s="8" t="s">
        <v>35</v>
      </c>
      <c r="N931" s="10" t="s">
        <v>2026</v>
      </c>
      <c r="O931" s="28" t="s">
        <v>41</v>
      </c>
      <c r="P931" s="28" t="s">
        <v>41</v>
      </c>
      <c r="Q931" s="28" t="s">
        <v>124</v>
      </c>
      <c r="R931" s="30">
        <v>33.110999999999997</v>
      </c>
      <c r="S931" s="30">
        <v>16.27</v>
      </c>
      <c r="T931" s="30"/>
      <c r="U931" s="30">
        <v>9.8000000000000004E-2</v>
      </c>
      <c r="V931" s="8">
        <f t="shared" si="827"/>
        <v>841.01939999999991</v>
      </c>
      <c r="W931" s="8">
        <f t="shared" si="828"/>
        <v>413.25799999999998</v>
      </c>
      <c r="X931" s="8">
        <f t="shared" si="829"/>
        <v>0</v>
      </c>
      <c r="Y931" s="33">
        <f t="shared" si="830"/>
        <v>2.4891999999999999</v>
      </c>
      <c r="Z931" s="28" t="s">
        <v>56</v>
      </c>
      <c r="AA931" s="28" t="s">
        <v>57</v>
      </c>
      <c r="AB931" s="61" t="s">
        <v>124</v>
      </c>
      <c r="AC931" s="31" t="s">
        <v>125</v>
      </c>
      <c r="AD931" s="50">
        <f t="shared" si="831"/>
        <v>1</v>
      </c>
      <c r="AE931" s="31"/>
      <c r="AF931" s="51">
        <v>14</v>
      </c>
      <c r="AG931" s="51">
        <f t="shared" si="858"/>
        <v>8.4</v>
      </c>
      <c r="AH931" s="51">
        <f t="shared" si="825"/>
        <v>42</v>
      </c>
      <c r="AI931" s="52" t="s">
        <v>2497</v>
      </c>
      <c r="AJ931" s="52" t="s">
        <v>2498</v>
      </c>
      <c r="AK931" s="53">
        <f t="shared" si="859"/>
        <v>0.69511599041039984</v>
      </c>
      <c r="AL931" s="54">
        <f t="shared" si="860"/>
        <v>0.11904761904761904</v>
      </c>
      <c r="AM931" s="54">
        <f t="shared" si="861"/>
        <v>2.3809523809523808E-2</v>
      </c>
      <c r="AN931" s="55">
        <f t="shared" si="862"/>
        <v>8.2751903620285686E-2</v>
      </c>
      <c r="AO931" s="55">
        <f t="shared" si="863"/>
        <v>1.6550380724057137E-2</v>
      </c>
      <c r="AP931" s="53">
        <v>7.1</v>
      </c>
      <c r="AQ931" s="53">
        <f t="shared" si="832"/>
        <v>4.26</v>
      </c>
      <c r="AR931" s="53">
        <f t="shared" si="833"/>
        <v>21.299999999999997</v>
      </c>
      <c r="AS931" s="56">
        <f t="shared" si="834"/>
        <v>4.6948356807511742E-2</v>
      </c>
      <c r="AT931" s="56">
        <f t="shared" si="864"/>
        <v>0.23474178403755869</v>
      </c>
      <c r="AU931" s="56">
        <f t="shared" si="835"/>
        <v>0.176056338028169</v>
      </c>
      <c r="AV931" s="56">
        <f t="shared" si="865"/>
        <v>5.8685446009389672E-2</v>
      </c>
      <c r="AW931" s="57"/>
      <c r="AX931" s="57"/>
      <c r="AY931" s="57"/>
      <c r="AZ931" s="58">
        <f t="shared" si="866"/>
        <v>0.69511599041039984</v>
      </c>
      <c r="BA931" s="59">
        <f t="shared" si="867"/>
        <v>0</v>
      </c>
      <c r="BB931" s="59">
        <f t="shared" si="868"/>
        <v>0</v>
      </c>
      <c r="BC931" s="59">
        <f t="shared" si="869"/>
        <v>0</v>
      </c>
      <c r="BD931" s="60">
        <f t="shared" si="870"/>
        <v>0.14285714285714285</v>
      </c>
      <c r="BE931" s="59">
        <f t="shared" si="871"/>
        <v>0.14285714285714285</v>
      </c>
      <c r="BQ931" s="61">
        <v>3000</v>
      </c>
      <c r="BR931" s="61">
        <v>1200</v>
      </c>
      <c r="BS931" s="28">
        <f t="shared" si="836"/>
        <v>2980</v>
      </c>
      <c r="BT931" s="28">
        <f t="shared" si="837"/>
        <v>1180</v>
      </c>
      <c r="BU931" s="28" t="s">
        <v>2541</v>
      </c>
      <c r="BV931" s="28">
        <f t="shared" si="838"/>
        <v>846.01939999999991</v>
      </c>
      <c r="BW931" s="28">
        <f t="shared" si="839"/>
        <v>418.25799999999998</v>
      </c>
      <c r="BX931" s="13">
        <f t="shared" si="840"/>
        <v>3.522377855637826</v>
      </c>
      <c r="BY931" s="13">
        <f t="shared" si="841"/>
        <v>3</v>
      </c>
      <c r="BZ931" s="13">
        <f t="shared" si="842"/>
        <v>2.8212251768047474</v>
      </c>
      <c r="CA931" s="13">
        <f t="shared" si="843"/>
        <v>2</v>
      </c>
      <c r="CB931" s="13">
        <f t="shared" si="844"/>
        <v>6</v>
      </c>
      <c r="CC931" s="62">
        <f t="shared" si="845"/>
        <v>0.16666666666666666</v>
      </c>
      <c r="CD931" s="13">
        <f t="shared" si="846"/>
        <v>7.124789005828938</v>
      </c>
      <c r="CE931" s="13">
        <f t="shared" si="847"/>
        <v>7</v>
      </c>
      <c r="CF931" s="13">
        <f t="shared" si="848"/>
        <v>1.3947670703532331</v>
      </c>
      <c r="CG931" s="13">
        <f t="shared" si="849"/>
        <v>1</v>
      </c>
      <c r="CH931" s="28">
        <f t="shared" si="850"/>
        <v>7</v>
      </c>
      <c r="CI931" s="62">
        <f t="shared" si="851"/>
        <v>0.14285714285714285</v>
      </c>
      <c r="CJ931" s="59">
        <f t="shared" si="852"/>
        <v>0.14285714285714285</v>
      </c>
      <c r="CL931" s="63">
        <v>6000</v>
      </c>
      <c r="CM931" s="63">
        <f t="shared" si="853"/>
        <v>841.01939999999991</v>
      </c>
      <c r="CN931" s="63">
        <f t="shared" si="854"/>
        <v>846.01939999999991</v>
      </c>
      <c r="CO931" s="63">
        <f t="shared" si="855"/>
        <v>7.0920359509486435</v>
      </c>
      <c r="CP931" s="13">
        <f t="shared" si="856"/>
        <v>7</v>
      </c>
      <c r="CQ931" s="70">
        <f t="shared" si="857"/>
        <v>0.14285714285714285</v>
      </c>
      <c r="CR931" s="69">
        <f t="shared" si="820"/>
        <v>0.14285714285714285</v>
      </c>
    </row>
    <row r="932" spans="1:96" hidden="1" x14ac:dyDescent="0.25">
      <c r="A932" s="10">
        <v>3</v>
      </c>
      <c r="B932" s="8" t="s">
        <v>1997</v>
      </c>
      <c r="C932" s="10" t="s">
        <v>2027</v>
      </c>
      <c r="D932" s="10" t="s">
        <v>2484</v>
      </c>
      <c r="E932" s="10" t="s">
        <v>52</v>
      </c>
      <c r="F932" s="12">
        <f t="shared" si="826"/>
        <v>2</v>
      </c>
      <c r="G932" s="10">
        <v>1</v>
      </c>
      <c r="H932" s="10">
        <f t="shared" si="874"/>
        <v>1</v>
      </c>
      <c r="I932" s="10">
        <v>14</v>
      </c>
      <c r="J932" s="8" t="s">
        <v>560</v>
      </c>
      <c r="K932" s="8" t="s">
        <v>34</v>
      </c>
      <c r="L932" s="10">
        <v>0</v>
      </c>
      <c r="M932" s="8" t="s">
        <v>35</v>
      </c>
      <c r="N932" s="10" t="s">
        <v>2484</v>
      </c>
      <c r="O932" s="28" t="s">
        <v>41</v>
      </c>
      <c r="P932" s="28" t="s">
        <v>41</v>
      </c>
      <c r="Q932" s="28" t="s">
        <v>124</v>
      </c>
      <c r="R932" s="30">
        <v>26.823</v>
      </c>
      <c r="S932" s="30">
        <v>15.145</v>
      </c>
      <c r="T932" s="30"/>
      <c r="U932" s="30">
        <v>9.8000000000000004E-2</v>
      </c>
      <c r="V932" s="8">
        <f t="shared" si="827"/>
        <v>681.30419999999992</v>
      </c>
      <c r="W932" s="8">
        <f t="shared" si="828"/>
        <v>384.68299999999999</v>
      </c>
      <c r="X932" s="8">
        <f t="shared" si="829"/>
        <v>0</v>
      </c>
      <c r="Y932" s="33">
        <f t="shared" si="830"/>
        <v>2.4891999999999999</v>
      </c>
      <c r="Z932" s="28" t="s">
        <v>56</v>
      </c>
      <c r="AA932" s="28" t="s">
        <v>57</v>
      </c>
      <c r="AB932" s="61" t="s">
        <v>124</v>
      </c>
      <c r="AC932" s="31" t="s">
        <v>125</v>
      </c>
      <c r="AD932" s="50">
        <f t="shared" si="831"/>
        <v>1</v>
      </c>
      <c r="AE932" s="47" t="s">
        <v>1969</v>
      </c>
      <c r="AF932" s="51">
        <v>14</v>
      </c>
      <c r="AG932" s="51">
        <f t="shared" si="858"/>
        <v>8.4</v>
      </c>
      <c r="AH932" s="51">
        <f t="shared" si="825"/>
        <v>42</v>
      </c>
      <c r="AI932" s="52" t="s">
        <v>2497</v>
      </c>
      <c r="AJ932" s="52" t="s">
        <v>2498</v>
      </c>
      <c r="AK932" s="53">
        <f t="shared" si="859"/>
        <v>0.52417228713719999</v>
      </c>
      <c r="AL932" s="54">
        <f t="shared" si="860"/>
        <v>0.11904761904761904</v>
      </c>
      <c r="AM932" s="54">
        <f t="shared" si="861"/>
        <v>2.3809523809523808E-2</v>
      </c>
      <c r="AN932" s="55">
        <f t="shared" si="862"/>
        <v>6.2401462754428566E-2</v>
      </c>
      <c r="AO932" s="55">
        <f t="shared" si="863"/>
        <v>1.2480292550885713E-2</v>
      </c>
      <c r="AP932" s="53">
        <v>7.1</v>
      </c>
      <c r="AQ932" s="53">
        <f t="shared" si="832"/>
        <v>4.26</v>
      </c>
      <c r="AR932" s="53">
        <f t="shared" si="833"/>
        <v>21.299999999999997</v>
      </c>
      <c r="AS932" s="56">
        <f t="shared" si="834"/>
        <v>4.6948356807511742E-2</v>
      </c>
      <c r="AT932" s="56">
        <f t="shared" si="864"/>
        <v>0.23474178403755869</v>
      </c>
      <c r="AU932" s="56">
        <f t="shared" si="835"/>
        <v>0.176056338028169</v>
      </c>
      <c r="AV932" s="56">
        <f t="shared" si="865"/>
        <v>5.8685446009389672E-2</v>
      </c>
      <c r="AW932" s="57"/>
      <c r="AX932" s="57"/>
      <c r="AY932" s="57"/>
      <c r="AZ932" s="58">
        <f t="shared" si="866"/>
        <v>0.52417228713719999</v>
      </c>
      <c r="BA932" s="59">
        <f t="shared" si="867"/>
        <v>0</v>
      </c>
      <c r="BB932" s="59">
        <f t="shared" si="868"/>
        <v>0</v>
      </c>
      <c r="BC932" s="59">
        <f t="shared" si="869"/>
        <v>0</v>
      </c>
      <c r="BD932" s="60">
        <f t="shared" si="870"/>
        <v>8.3333333333333329E-2</v>
      </c>
      <c r="BE932" s="59">
        <f t="shared" si="871"/>
        <v>8.3333333333333329E-2</v>
      </c>
      <c r="BQ932" s="61">
        <v>3000</v>
      </c>
      <c r="BR932" s="61">
        <v>1200</v>
      </c>
      <c r="BS932" s="28">
        <f t="shared" si="836"/>
        <v>2980</v>
      </c>
      <c r="BT932" s="28">
        <f t="shared" si="837"/>
        <v>1180</v>
      </c>
      <c r="BU932" s="28" t="s">
        <v>2541</v>
      </c>
      <c r="BV932" s="28">
        <f t="shared" si="838"/>
        <v>686.30419999999992</v>
      </c>
      <c r="BW932" s="28">
        <f t="shared" si="839"/>
        <v>389.68299999999999</v>
      </c>
      <c r="BX932" s="13">
        <f t="shared" si="840"/>
        <v>4.3420978627261793</v>
      </c>
      <c r="BY932" s="13">
        <f t="shared" si="841"/>
        <v>4</v>
      </c>
      <c r="BZ932" s="13">
        <f t="shared" si="842"/>
        <v>3.028102329329224</v>
      </c>
      <c r="CA932" s="13">
        <f t="shared" si="843"/>
        <v>3</v>
      </c>
      <c r="CB932" s="13">
        <f t="shared" si="844"/>
        <v>12</v>
      </c>
      <c r="CC932" s="62">
        <f t="shared" si="845"/>
        <v>8.3333333333333329E-2</v>
      </c>
      <c r="CD932" s="13">
        <f t="shared" si="846"/>
        <v>7.647241475763634</v>
      </c>
      <c r="CE932" s="13">
        <f t="shared" si="847"/>
        <v>7</v>
      </c>
      <c r="CF932" s="13">
        <f t="shared" si="848"/>
        <v>1.7193541872539906</v>
      </c>
      <c r="CG932" s="13">
        <f t="shared" si="849"/>
        <v>1</v>
      </c>
      <c r="CH932" s="28">
        <f t="shared" si="850"/>
        <v>7</v>
      </c>
      <c r="CI932" s="62">
        <f t="shared" si="851"/>
        <v>0.14285714285714285</v>
      </c>
      <c r="CJ932" s="59">
        <f t="shared" si="852"/>
        <v>8.3333333333333329E-2</v>
      </c>
      <c r="CL932" s="63">
        <v>6000</v>
      </c>
      <c r="CM932" s="63">
        <f t="shared" si="853"/>
        <v>681.30419999999992</v>
      </c>
      <c r="CN932" s="63">
        <f t="shared" si="854"/>
        <v>686.30419999999992</v>
      </c>
      <c r="CO932" s="63">
        <f t="shared" si="855"/>
        <v>8.7424789182406304</v>
      </c>
      <c r="CP932" s="13">
        <f t="shared" si="856"/>
        <v>8</v>
      </c>
      <c r="CQ932" s="70">
        <f t="shared" si="857"/>
        <v>0.125</v>
      </c>
      <c r="CR932" s="69">
        <f t="shared" ref="CR932:CR995" si="875">CQ932*AD932</f>
        <v>0.125</v>
      </c>
    </row>
    <row r="933" spans="1:96" hidden="1" x14ac:dyDescent="0.25">
      <c r="A933" s="10">
        <v>3</v>
      </c>
      <c r="B933" s="8" t="s">
        <v>1997</v>
      </c>
      <c r="C933" s="10" t="s">
        <v>2028</v>
      </c>
      <c r="D933" s="10" t="s">
        <v>2485</v>
      </c>
      <c r="E933" s="10" t="s">
        <v>52</v>
      </c>
      <c r="F933" s="12">
        <f t="shared" si="826"/>
        <v>2</v>
      </c>
      <c r="G933" s="10">
        <v>1</v>
      </c>
      <c r="H933" s="10">
        <f t="shared" si="874"/>
        <v>1</v>
      </c>
      <c r="I933" s="10">
        <v>15</v>
      </c>
      <c r="J933" s="8" t="s">
        <v>560</v>
      </c>
      <c r="K933" s="8" t="s">
        <v>34</v>
      </c>
      <c r="L933" s="10">
        <v>0</v>
      </c>
      <c r="M933" s="8" t="s">
        <v>35</v>
      </c>
      <c r="N933" s="10" t="s">
        <v>2485</v>
      </c>
      <c r="O933" s="28" t="s">
        <v>41</v>
      </c>
      <c r="P933" s="28" t="s">
        <v>41</v>
      </c>
      <c r="Q933" s="28" t="s">
        <v>124</v>
      </c>
      <c r="R933" s="30">
        <v>11.823</v>
      </c>
      <c r="S933" s="30">
        <v>9.6449999999999996</v>
      </c>
      <c r="T933" s="30"/>
      <c r="U933" s="30">
        <v>9.8000000000000004E-2</v>
      </c>
      <c r="V933" s="8">
        <f t="shared" si="827"/>
        <v>300.30419999999998</v>
      </c>
      <c r="W933" s="8">
        <f t="shared" si="828"/>
        <v>244.98299999999998</v>
      </c>
      <c r="X933" s="8">
        <f t="shared" si="829"/>
        <v>0</v>
      </c>
      <c r="Y933" s="33">
        <f t="shared" si="830"/>
        <v>2.4891999999999999</v>
      </c>
      <c r="Z933" s="28" t="s">
        <v>56</v>
      </c>
      <c r="AA933" s="28" t="s">
        <v>57</v>
      </c>
      <c r="AB933" s="61" t="s">
        <v>124</v>
      </c>
      <c r="AC933" s="31" t="s">
        <v>125</v>
      </c>
      <c r="AD933" s="50">
        <f t="shared" si="831"/>
        <v>1</v>
      </c>
      <c r="AE933" s="47" t="s">
        <v>1969</v>
      </c>
      <c r="AF933" s="51">
        <v>14</v>
      </c>
      <c r="AG933" s="51">
        <f t="shared" si="858"/>
        <v>8.4</v>
      </c>
      <c r="AH933" s="51">
        <f t="shared" si="825"/>
        <v>42</v>
      </c>
      <c r="AI933" s="52" t="s">
        <v>2497</v>
      </c>
      <c r="AJ933" s="52" t="s">
        <v>2498</v>
      </c>
      <c r="AK933" s="53">
        <f t="shared" si="859"/>
        <v>0.14713884765719998</v>
      </c>
      <c r="AL933" s="54">
        <f t="shared" si="860"/>
        <v>0.11904761904761904</v>
      </c>
      <c r="AM933" s="54">
        <f t="shared" si="861"/>
        <v>2.3809523809523808E-2</v>
      </c>
      <c r="AN933" s="55">
        <f t="shared" si="862"/>
        <v>1.7516529482999997E-2</v>
      </c>
      <c r="AO933" s="55">
        <f t="shared" si="863"/>
        <v>3.5033058965999995E-3</v>
      </c>
      <c r="AP933" s="53">
        <v>7.1</v>
      </c>
      <c r="AQ933" s="53">
        <f t="shared" si="832"/>
        <v>4.26</v>
      </c>
      <c r="AR933" s="53">
        <f t="shared" si="833"/>
        <v>21.299999999999997</v>
      </c>
      <c r="AS933" s="56">
        <f t="shared" si="834"/>
        <v>4.6948356807511742E-2</v>
      </c>
      <c r="AT933" s="56">
        <f t="shared" si="864"/>
        <v>0.23474178403755869</v>
      </c>
      <c r="AU933" s="56">
        <f t="shared" si="835"/>
        <v>0.176056338028169</v>
      </c>
      <c r="AV933" s="56">
        <f t="shared" si="865"/>
        <v>5.8685446009389672E-2</v>
      </c>
      <c r="AW933" s="57"/>
      <c r="AX933" s="57"/>
      <c r="AY933" s="57"/>
      <c r="AZ933" s="58">
        <f t="shared" si="866"/>
        <v>0.14713884765719998</v>
      </c>
      <c r="BA933" s="59">
        <f t="shared" si="867"/>
        <v>0</v>
      </c>
      <c r="BB933" s="59">
        <f t="shared" si="868"/>
        <v>0</v>
      </c>
      <c r="BC933" s="59">
        <f t="shared" si="869"/>
        <v>0</v>
      </c>
      <c r="BD933" s="60">
        <f t="shared" si="870"/>
        <v>2.7777777777777776E-2</v>
      </c>
      <c r="BE933" s="59">
        <f t="shared" si="871"/>
        <v>2.7777777777777776E-2</v>
      </c>
      <c r="BQ933" s="61">
        <v>3000</v>
      </c>
      <c r="BR933" s="61">
        <v>1200</v>
      </c>
      <c r="BS933" s="28">
        <f t="shared" si="836"/>
        <v>2980</v>
      </c>
      <c r="BT933" s="28">
        <f t="shared" si="837"/>
        <v>1180</v>
      </c>
      <c r="BU933" s="28" t="s">
        <v>2541</v>
      </c>
      <c r="BV933" s="28">
        <f t="shared" si="838"/>
        <v>305.30419999999998</v>
      </c>
      <c r="BW933" s="28">
        <f t="shared" si="839"/>
        <v>249.98299999999998</v>
      </c>
      <c r="BX933" s="13">
        <f t="shared" si="840"/>
        <v>9.760756648614727</v>
      </c>
      <c r="BY933" s="13">
        <f t="shared" si="841"/>
        <v>9</v>
      </c>
      <c r="BZ933" s="13">
        <f t="shared" si="842"/>
        <v>4.7203209818267649</v>
      </c>
      <c r="CA933" s="13">
        <f t="shared" si="843"/>
        <v>4</v>
      </c>
      <c r="CB933" s="13">
        <f t="shared" si="844"/>
        <v>36</v>
      </c>
      <c r="CC933" s="62">
        <f t="shared" si="845"/>
        <v>2.7777777777777776E-2</v>
      </c>
      <c r="CD933" s="13">
        <f t="shared" si="846"/>
        <v>11.92081061512183</v>
      </c>
      <c r="CE933" s="13">
        <f t="shared" si="847"/>
        <v>11</v>
      </c>
      <c r="CF933" s="13">
        <f t="shared" si="848"/>
        <v>3.8649975991158985</v>
      </c>
      <c r="CG933" s="13">
        <f t="shared" si="849"/>
        <v>3</v>
      </c>
      <c r="CH933" s="28">
        <f t="shared" si="850"/>
        <v>33</v>
      </c>
      <c r="CI933" s="62">
        <f t="shared" si="851"/>
        <v>3.0303030303030304E-2</v>
      </c>
      <c r="CJ933" s="59">
        <f t="shared" si="852"/>
        <v>2.7777777777777776E-2</v>
      </c>
      <c r="CL933" s="63">
        <v>6000</v>
      </c>
      <c r="CM933" s="63">
        <f t="shared" si="853"/>
        <v>300.30419999999998</v>
      </c>
      <c r="CN933" s="63">
        <f t="shared" si="854"/>
        <v>305.30419999999998</v>
      </c>
      <c r="CO933" s="63">
        <f t="shared" si="855"/>
        <v>19.652530164996094</v>
      </c>
      <c r="CP933" s="13">
        <f t="shared" si="856"/>
        <v>19</v>
      </c>
      <c r="CQ933" s="70">
        <f t="shared" si="857"/>
        <v>5.2631578947368418E-2</v>
      </c>
      <c r="CR933" s="69">
        <f t="shared" si="875"/>
        <v>5.2631578947368418E-2</v>
      </c>
    </row>
    <row r="934" spans="1:96" hidden="1" x14ac:dyDescent="0.25">
      <c r="A934" s="10">
        <v>3</v>
      </c>
      <c r="B934" s="8" t="s">
        <v>1997</v>
      </c>
      <c r="C934" s="10" t="s">
        <v>2029</v>
      </c>
      <c r="D934" s="10" t="s">
        <v>2486</v>
      </c>
      <c r="E934" s="10" t="s">
        <v>52</v>
      </c>
      <c r="F934" s="12">
        <f t="shared" si="826"/>
        <v>2</v>
      </c>
      <c r="G934" s="10">
        <v>1</v>
      </c>
      <c r="H934" s="10">
        <f t="shared" si="874"/>
        <v>1</v>
      </c>
      <c r="I934" s="10">
        <v>16</v>
      </c>
      <c r="J934" s="8" t="s">
        <v>2030</v>
      </c>
      <c r="K934" s="8" t="s">
        <v>34</v>
      </c>
      <c r="L934" s="10">
        <v>0</v>
      </c>
      <c r="M934" s="8" t="s">
        <v>35</v>
      </c>
      <c r="N934" s="10" t="s">
        <v>2486</v>
      </c>
      <c r="O934" s="28" t="s">
        <v>41</v>
      </c>
      <c r="P934" s="28" t="s">
        <v>41</v>
      </c>
      <c r="Q934" s="28" t="s">
        <v>124</v>
      </c>
      <c r="R934" s="30">
        <v>5.9550000000000001</v>
      </c>
      <c r="S934" s="30">
        <v>0.75</v>
      </c>
      <c r="T934" s="30"/>
      <c r="U934" s="30">
        <v>9.8000000000000004E-2</v>
      </c>
      <c r="V934" s="8">
        <f t="shared" si="827"/>
        <v>151.25700000000001</v>
      </c>
      <c r="W934" s="8">
        <f t="shared" si="828"/>
        <v>19.049999999999997</v>
      </c>
      <c r="X934" s="8">
        <f t="shared" si="829"/>
        <v>0</v>
      </c>
      <c r="Y934" s="33">
        <f t="shared" si="830"/>
        <v>2.4891999999999999</v>
      </c>
      <c r="Z934" s="28" t="s">
        <v>56</v>
      </c>
      <c r="AA934" s="28" t="s">
        <v>57</v>
      </c>
      <c r="AB934" s="61" t="s">
        <v>124</v>
      </c>
      <c r="AC934" s="31" t="s">
        <v>125</v>
      </c>
      <c r="AD934" s="50">
        <f t="shared" si="831"/>
        <v>1</v>
      </c>
      <c r="AE934" s="47" t="s">
        <v>1969</v>
      </c>
      <c r="AF934" s="51">
        <v>14</v>
      </c>
      <c r="AG934" s="51">
        <f t="shared" si="858"/>
        <v>8.4</v>
      </c>
      <c r="AH934" s="51">
        <f t="shared" si="825"/>
        <v>42</v>
      </c>
      <c r="AI934" s="52" t="s">
        <v>2497</v>
      </c>
      <c r="AJ934" s="52" t="s">
        <v>2498</v>
      </c>
      <c r="AK934" s="53">
        <f t="shared" si="859"/>
        <v>5.762891699999999E-3</v>
      </c>
      <c r="AL934" s="54">
        <f t="shared" si="860"/>
        <v>0.11904761904761904</v>
      </c>
      <c r="AM934" s="54">
        <f t="shared" si="861"/>
        <v>2.3809523809523808E-2</v>
      </c>
      <c r="AN934" s="55">
        <f t="shared" si="862"/>
        <v>6.8605853571428556E-4</v>
      </c>
      <c r="AO934" s="55">
        <f t="shared" si="863"/>
        <v>1.3721170714285711E-4</v>
      </c>
      <c r="AP934" s="53">
        <v>7.1</v>
      </c>
      <c r="AQ934" s="53">
        <f t="shared" si="832"/>
        <v>4.26</v>
      </c>
      <c r="AR934" s="53">
        <f t="shared" si="833"/>
        <v>21.299999999999997</v>
      </c>
      <c r="AS934" s="56">
        <f t="shared" si="834"/>
        <v>4.6948356807511742E-2</v>
      </c>
      <c r="AT934" s="56">
        <f t="shared" si="864"/>
        <v>0.23474178403755869</v>
      </c>
      <c r="AU934" s="56">
        <f t="shared" si="835"/>
        <v>0.176056338028169</v>
      </c>
      <c r="AV934" s="56">
        <f t="shared" si="865"/>
        <v>5.8685446009389672E-2</v>
      </c>
      <c r="AW934" s="57"/>
      <c r="AX934" s="57"/>
      <c r="AY934" s="57"/>
      <c r="AZ934" s="58">
        <f t="shared" si="866"/>
        <v>5.762891699999999E-3</v>
      </c>
      <c r="BA934" s="59">
        <f t="shared" si="867"/>
        <v>0</v>
      </c>
      <c r="BB934" s="59">
        <f t="shared" si="868"/>
        <v>0</v>
      </c>
      <c r="BC934" s="59">
        <f t="shared" si="869"/>
        <v>0</v>
      </c>
      <c r="BD934" s="60">
        <f t="shared" si="870"/>
        <v>1.0741138560687433E-3</v>
      </c>
      <c r="BE934" s="59">
        <f t="shared" si="871"/>
        <v>1.0741138560687433E-3</v>
      </c>
      <c r="BQ934" s="61">
        <v>3000</v>
      </c>
      <c r="BR934" s="61">
        <v>1200</v>
      </c>
      <c r="BS934" s="28">
        <f t="shared" si="836"/>
        <v>2980</v>
      </c>
      <c r="BT934" s="28">
        <f t="shared" si="837"/>
        <v>1180</v>
      </c>
      <c r="BU934" s="28" t="s">
        <v>2541</v>
      </c>
      <c r="BV934" s="28">
        <f t="shared" si="838"/>
        <v>156.25700000000001</v>
      </c>
      <c r="BW934" s="28">
        <f t="shared" si="839"/>
        <v>24.049999999999997</v>
      </c>
      <c r="BX934" s="13">
        <f t="shared" si="840"/>
        <v>19.071145612676553</v>
      </c>
      <c r="BY934" s="13">
        <f t="shared" si="841"/>
        <v>19</v>
      </c>
      <c r="BZ934" s="13">
        <f t="shared" si="842"/>
        <v>49.064449064449072</v>
      </c>
      <c r="CA934" s="13">
        <f t="shared" si="843"/>
        <v>49</v>
      </c>
      <c r="CB934" s="13">
        <f t="shared" si="844"/>
        <v>931</v>
      </c>
      <c r="CC934" s="62">
        <f t="shared" si="845"/>
        <v>1.0741138560687433E-3</v>
      </c>
      <c r="CD934" s="13">
        <f t="shared" si="846"/>
        <v>123.90852390852392</v>
      </c>
      <c r="CE934" s="13">
        <f t="shared" si="847"/>
        <v>123</v>
      </c>
      <c r="CF934" s="13">
        <f t="shared" si="848"/>
        <v>7.5516616855564864</v>
      </c>
      <c r="CG934" s="13">
        <f t="shared" si="849"/>
        <v>7</v>
      </c>
      <c r="CH934" s="28">
        <f t="shared" si="850"/>
        <v>861</v>
      </c>
      <c r="CI934" s="62">
        <f t="shared" si="851"/>
        <v>1.1614401858304297E-3</v>
      </c>
      <c r="CJ934" s="59">
        <f t="shared" si="852"/>
        <v>1.0741138560687433E-3</v>
      </c>
      <c r="CL934" s="63">
        <v>6000</v>
      </c>
      <c r="CM934" s="63">
        <f t="shared" si="853"/>
        <v>151.25700000000001</v>
      </c>
      <c r="CN934" s="63">
        <f t="shared" si="854"/>
        <v>156.25700000000001</v>
      </c>
      <c r="CO934" s="63">
        <f t="shared" si="855"/>
        <v>38.398279757066881</v>
      </c>
      <c r="CP934" s="13">
        <f t="shared" si="856"/>
        <v>38</v>
      </c>
      <c r="CQ934" s="70">
        <f t="shared" si="857"/>
        <v>2.6315789473684209E-2</v>
      </c>
      <c r="CR934" s="69">
        <f t="shared" si="875"/>
        <v>2.6315789473684209E-2</v>
      </c>
    </row>
    <row r="935" spans="1:96" hidden="1" x14ac:dyDescent="0.25">
      <c r="A935" s="10">
        <v>3</v>
      </c>
      <c r="B935" s="8" t="s">
        <v>1997</v>
      </c>
      <c r="C935" s="10" t="s">
        <v>2031</v>
      </c>
      <c r="D935" s="10" t="s">
        <v>2487</v>
      </c>
      <c r="E935" s="10" t="s">
        <v>52</v>
      </c>
      <c r="F935" s="12">
        <f t="shared" si="826"/>
        <v>2</v>
      </c>
      <c r="G935" s="10">
        <v>2</v>
      </c>
      <c r="H935" s="10">
        <f t="shared" si="874"/>
        <v>2</v>
      </c>
      <c r="I935" s="10">
        <v>17</v>
      </c>
      <c r="J935" s="8" t="s">
        <v>2030</v>
      </c>
      <c r="K935" s="8" t="s">
        <v>34</v>
      </c>
      <c r="L935" s="10">
        <v>0</v>
      </c>
      <c r="M935" s="8" t="s">
        <v>35</v>
      </c>
      <c r="N935" s="10" t="s">
        <v>2487</v>
      </c>
      <c r="O935" s="28" t="s">
        <v>41</v>
      </c>
      <c r="P935" s="28" t="s">
        <v>41</v>
      </c>
      <c r="Q935" s="28" t="s">
        <v>124</v>
      </c>
      <c r="R935" s="30">
        <v>4.6289999999999996</v>
      </c>
      <c r="S935" s="30">
        <v>0.75</v>
      </c>
      <c r="T935" s="30"/>
      <c r="U935" s="30">
        <v>9.8000000000000004E-2</v>
      </c>
      <c r="V935" s="8">
        <f t="shared" si="827"/>
        <v>117.57659999999998</v>
      </c>
      <c r="W935" s="8">
        <f t="shared" si="828"/>
        <v>19.049999999999997</v>
      </c>
      <c r="X935" s="8">
        <f t="shared" si="829"/>
        <v>0</v>
      </c>
      <c r="Y935" s="33">
        <f t="shared" si="830"/>
        <v>2.4891999999999999</v>
      </c>
      <c r="Z935" s="28" t="s">
        <v>56</v>
      </c>
      <c r="AA935" s="28" t="s">
        <v>57</v>
      </c>
      <c r="AB935" s="61" t="s">
        <v>124</v>
      </c>
      <c r="AC935" s="31" t="s">
        <v>125</v>
      </c>
      <c r="AD935" s="50">
        <f t="shared" si="831"/>
        <v>2</v>
      </c>
      <c r="AE935" s="47" t="s">
        <v>1969</v>
      </c>
      <c r="AF935" s="51">
        <v>14</v>
      </c>
      <c r="AG935" s="51">
        <f t="shared" si="858"/>
        <v>8.4</v>
      </c>
      <c r="AH935" s="51">
        <f t="shared" si="825"/>
        <v>42</v>
      </c>
      <c r="AI935" s="52" t="s">
        <v>2497</v>
      </c>
      <c r="AJ935" s="52" t="s">
        <v>2498</v>
      </c>
      <c r="AK935" s="53">
        <f t="shared" si="859"/>
        <v>4.479668459999999E-3</v>
      </c>
      <c r="AL935" s="54">
        <f t="shared" si="860"/>
        <v>0.11904761904761904</v>
      </c>
      <c r="AM935" s="54">
        <f t="shared" si="861"/>
        <v>2.3809523809523808E-2</v>
      </c>
      <c r="AN935" s="55">
        <f t="shared" si="862"/>
        <v>1.0665877285714284E-3</v>
      </c>
      <c r="AO935" s="55">
        <f t="shared" si="863"/>
        <v>2.1331754571428567E-4</v>
      </c>
      <c r="AP935" s="53">
        <v>7.1</v>
      </c>
      <c r="AQ935" s="53">
        <f t="shared" si="832"/>
        <v>4.26</v>
      </c>
      <c r="AR935" s="53">
        <f t="shared" si="833"/>
        <v>21.299999999999997</v>
      </c>
      <c r="AS935" s="56">
        <f t="shared" si="834"/>
        <v>4.6948356807511742E-2</v>
      </c>
      <c r="AT935" s="56">
        <f t="shared" si="864"/>
        <v>0.23474178403755869</v>
      </c>
      <c r="AU935" s="56">
        <f t="shared" si="835"/>
        <v>0.176056338028169</v>
      </c>
      <c r="AV935" s="56">
        <f t="shared" si="865"/>
        <v>5.8685446009389672E-2</v>
      </c>
      <c r="AW935" s="57"/>
      <c r="AX935" s="57"/>
      <c r="AY935" s="57"/>
      <c r="AZ935" s="58">
        <f t="shared" si="866"/>
        <v>4.479668459999999E-3</v>
      </c>
      <c r="BA935" s="59">
        <f t="shared" si="867"/>
        <v>0</v>
      </c>
      <c r="BB935" s="59">
        <f t="shared" si="868"/>
        <v>0</v>
      </c>
      <c r="BC935" s="59">
        <f t="shared" si="869"/>
        <v>0</v>
      </c>
      <c r="BD935" s="60">
        <f t="shared" si="870"/>
        <v>8.5034013605442174E-4</v>
      </c>
      <c r="BE935" s="59">
        <f t="shared" si="871"/>
        <v>1.7006802721088435E-3</v>
      </c>
      <c r="BQ935" s="61">
        <v>3000</v>
      </c>
      <c r="BR935" s="61">
        <v>1200</v>
      </c>
      <c r="BS935" s="28">
        <f t="shared" si="836"/>
        <v>2980</v>
      </c>
      <c r="BT935" s="28">
        <f t="shared" si="837"/>
        <v>1180</v>
      </c>
      <c r="BU935" s="28" t="s">
        <v>2541</v>
      </c>
      <c r="BV935" s="28">
        <f t="shared" si="838"/>
        <v>122.57659999999998</v>
      </c>
      <c r="BW935" s="28">
        <f t="shared" si="839"/>
        <v>24.049999999999997</v>
      </c>
      <c r="BX935" s="13">
        <f t="shared" si="840"/>
        <v>24.311328589632936</v>
      </c>
      <c r="BY935" s="13">
        <f t="shared" si="841"/>
        <v>24</v>
      </c>
      <c r="BZ935" s="13">
        <f t="shared" si="842"/>
        <v>49.064449064449072</v>
      </c>
      <c r="CA935" s="13">
        <f t="shared" si="843"/>
        <v>49</v>
      </c>
      <c r="CB935" s="13">
        <f t="shared" si="844"/>
        <v>1176</v>
      </c>
      <c r="CC935" s="62">
        <f t="shared" si="845"/>
        <v>8.5034013605442174E-4</v>
      </c>
      <c r="CD935" s="13">
        <f t="shared" si="846"/>
        <v>123.90852390852392</v>
      </c>
      <c r="CE935" s="13">
        <f t="shared" si="847"/>
        <v>123</v>
      </c>
      <c r="CF935" s="13">
        <f t="shared" si="848"/>
        <v>9.6266334683781416</v>
      </c>
      <c r="CG935" s="13">
        <f t="shared" si="849"/>
        <v>9</v>
      </c>
      <c r="CH935" s="28">
        <f t="shared" si="850"/>
        <v>1107</v>
      </c>
      <c r="CI935" s="62">
        <f t="shared" si="851"/>
        <v>9.0334236675700087E-4</v>
      </c>
      <c r="CJ935" s="59">
        <f t="shared" si="852"/>
        <v>8.5034013605442174E-4</v>
      </c>
      <c r="CL935" s="63">
        <v>6000</v>
      </c>
      <c r="CM935" s="63">
        <f t="shared" si="853"/>
        <v>117.57659999999998</v>
      </c>
      <c r="CN935" s="63">
        <f t="shared" si="854"/>
        <v>122.57659999999998</v>
      </c>
      <c r="CO935" s="63">
        <f t="shared" si="855"/>
        <v>48.948983737515974</v>
      </c>
      <c r="CP935" s="13">
        <f t="shared" si="856"/>
        <v>48</v>
      </c>
      <c r="CQ935" s="70">
        <f t="shared" si="857"/>
        <v>2.0833333333333332E-2</v>
      </c>
      <c r="CR935" s="69">
        <f t="shared" si="875"/>
        <v>4.1666666666666664E-2</v>
      </c>
    </row>
    <row r="936" spans="1:96" hidden="1" x14ac:dyDescent="0.25">
      <c r="A936" s="10">
        <v>3</v>
      </c>
      <c r="B936" s="8" t="s">
        <v>1997</v>
      </c>
      <c r="C936" s="10" t="s">
        <v>2032</v>
      </c>
      <c r="D936" s="10" t="s">
        <v>2488</v>
      </c>
      <c r="E936" s="10" t="s">
        <v>52</v>
      </c>
      <c r="F936" s="12">
        <f t="shared" si="826"/>
        <v>2</v>
      </c>
      <c r="G936" s="10">
        <v>3</v>
      </c>
      <c r="H936" s="10">
        <f t="shared" si="874"/>
        <v>3</v>
      </c>
      <c r="I936" s="10">
        <v>18</v>
      </c>
      <c r="J936" s="8" t="s">
        <v>2030</v>
      </c>
      <c r="K936" s="8" t="s">
        <v>34</v>
      </c>
      <c r="L936" s="10">
        <v>0</v>
      </c>
      <c r="M936" s="8" t="s">
        <v>35</v>
      </c>
      <c r="N936" s="10" t="s">
        <v>2488</v>
      </c>
      <c r="O936" s="28" t="s">
        <v>41</v>
      </c>
      <c r="P936" s="28" t="s">
        <v>41</v>
      </c>
      <c r="Q936" s="28" t="s">
        <v>124</v>
      </c>
      <c r="R936" s="30">
        <v>6.577</v>
      </c>
      <c r="S936" s="30">
        <v>1.1200000000000001</v>
      </c>
      <c r="T936" s="30"/>
      <c r="U936" s="30">
        <v>9.8000000000000004E-2</v>
      </c>
      <c r="V936" s="8">
        <f t="shared" si="827"/>
        <v>167.05579999999998</v>
      </c>
      <c r="W936" s="8">
        <f t="shared" si="828"/>
        <v>28.448</v>
      </c>
      <c r="X936" s="8">
        <f t="shared" si="829"/>
        <v>0</v>
      </c>
      <c r="Y936" s="33">
        <f t="shared" si="830"/>
        <v>2.4891999999999999</v>
      </c>
      <c r="Z936" s="28" t="s">
        <v>56</v>
      </c>
      <c r="AA936" s="28" t="s">
        <v>57</v>
      </c>
      <c r="AB936" s="61" t="s">
        <v>124</v>
      </c>
      <c r="AC936" s="31" t="s">
        <v>125</v>
      </c>
      <c r="AD936" s="50">
        <f t="shared" si="831"/>
        <v>3</v>
      </c>
      <c r="AE936" s="47" t="s">
        <v>1969</v>
      </c>
      <c r="AF936" s="51">
        <v>14</v>
      </c>
      <c r="AG936" s="51">
        <f t="shared" si="858"/>
        <v>8.4</v>
      </c>
      <c r="AH936" s="51">
        <f t="shared" si="825"/>
        <v>42</v>
      </c>
      <c r="AI936" s="52" t="s">
        <v>2497</v>
      </c>
      <c r="AJ936" s="52" t="s">
        <v>2498</v>
      </c>
      <c r="AK936" s="53">
        <f t="shared" si="859"/>
        <v>9.5048067968000003E-3</v>
      </c>
      <c r="AL936" s="54">
        <f t="shared" si="860"/>
        <v>0.11904761904761904</v>
      </c>
      <c r="AM936" s="54">
        <f t="shared" si="861"/>
        <v>2.3809523809523808E-2</v>
      </c>
      <c r="AN936" s="55">
        <f t="shared" si="862"/>
        <v>3.3945738559999997E-3</v>
      </c>
      <c r="AO936" s="55">
        <f t="shared" si="863"/>
        <v>6.7891477119999999E-4</v>
      </c>
      <c r="AP936" s="53">
        <v>7.1</v>
      </c>
      <c r="AQ936" s="53">
        <f t="shared" si="832"/>
        <v>4.26</v>
      </c>
      <c r="AR936" s="53">
        <f t="shared" si="833"/>
        <v>21.299999999999997</v>
      </c>
      <c r="AS936" s="56">
        <f t="shared" si="834"/>
        <v>4.6948356807511742E-2</v>
      </c>
      <c r="AT936" s="56">
        <f t="shared" si="864"/>
        <v>0.23474178403755869</v>
      </c>
      <c r="AU936" s="56">
        <f t="shared" si="835"/>
        <v>0.176056338028169</v>
      </c>
      <c r="AV936" s="56">
        <f t="shared" si="865"/>
        <v>5.8685446009389672E-2</v>
      </c>
      <c r="AW936" s="57"/>
      <c r="AX936" s="57"/>
      <c r="AY936" s="57"/>
      <c r="AZ936" s="58">
        <f t="shared" si="866"/>
        <v>9.5048067968000003E-3</v>
      </c>
      <c r="BA936" s="59">
        <f t="shared" si="867"/>
        <v>0</v>
      </c>
      <c r="BB936" s="59">
        <f t="shared" si="868"/>
        <v>0</v>
      </c>
      <c r="BC936" s="59">
        <f t="shared" si="869"/>
        <v>0</v>
      </c>
      <c r="BD936" s="60">
        <f t="shared" si="870"/>
        <v>1.6806722689075631E-3</v>
      </c>
      <c r="BE936" s="59">
        <f t="shared" si="871"/>
        <v>5.0420168067226894E-3</v>
      </c>
      <c r="BQ936" s="61">
        <v>3000</v>
      </c>
      <c r="BR936" s="61">
        <v>1200</v>
      </c>
      <c r="BS936" s="28">
        <f t="shared" si="836"/>
        <v>2980</v>
      </c>
      <c r="BT936" s="28">
        <f t="shared" si="837"/>
        <v>1180</v>
      </c>
      <c r="BU936" s="28" t="s">
        <v>2541</v>
      </c>
      <c r="BV936" s="28">
        <f t="shared" si="838"/>
        <v>172.05579999999998</v>
      </c>
      <c r="BW936" s="28">
        <f t="shared" si="839"/>
        <v>33.448</v>
      </c>
      <c r="BX936" s="13">
        <f t="shared" si="840"/>
        <v>17.319962477289348</v>
      </c>
      <c r="BY936" s="13">
        <f t="shared" si="841"/>
        <v>17</v>
      </c>
      <c r="BZ936" s="13">
        <f t="shared" si="842"/>
        <v>35.278641473331739</v>
      </c>
      <c r="CA936" s="13">
        <f t="shared" si="843"/>
        <v>35</v>
      </c>
      <c r="CB936" s="13">
        <f t="shared" si="844"/>
        <v>595</v>
      </c>
      <c r="CC936" s="62">
        <f t="shared" si="845"/>
        <v>1.6806722689075631E-3</v>
      </c>
      <c r="CD936" s="13">
        <f t="shared" si="846"/>
        <v>89.093518297058125</v>
      </c>
      <c r="CE936" s="13">
        <f t="shared" si="847"/>
        <v>89</v>
      </c>
      <c r="CF936" s="13">
        <f t="shared" si="848"/>
        <v>6.8582401755709492</v>
      </c>
      <c r="CG936" s="13">
        <f t="shared" si="849"/>
        <v>6</v>
      </c>
      <c r="CH936" s="28">
        <f t="shared" si="850"/>
        <v>534</v>
      </c>
      <c r="CI936" s="62">
        <f t="shared" si="851"/>
        <v>1.8726591760299626E-3</v>
      </c>
      <c r="CJ936" s="59">
        <f t="shared" si="852"/>
        <v>1.6806722689075631E-3</v>
      </c>
      <c r="CL936" s="63">
        <v>6000</v>
      </c>
      <c r="CM936" s="63">
        <f t="shared" si="853"/>
        <v>167.05579999999998</v>
      </c>
      <c r="CN936" s="63">
        <f t="shared" si="854"/>
        <v>172.05579999999998</v>
      </c>
      <c r="CO936" s="63">
        <f t="shared" si="855"/>
        <v>34.872407672394658</v>
      </c>
      <c r="CP936" s="13">
        <f t="shared" si="856"/>
        <v>34</v>
      </c>
      <c r="CQ936" s="70">
        <f t="shared" si="857"/>
        <v>2.9411764705882353E-2</v>
      </c>
      <c r="CR936" s="69">
        <f t="shared" si="875"/>
        <v>8.8235294117647051E-2</v>
      </c>
    </row>
    <row r="937" spans="1:96" hidden="1" x14ac:dyDescent="0.25">
      <c r="A937" s="10">
        <v>3</v>
      </c>
      <c r="B937" s="8" t="s">
        <v>1997</v>
      </c>
      <c r="C937" s="10" t="s">
        <v>2033</v>
      </c>
      <c r="D937" s="10" t="s">
        <v>2035</v>
      </c>
      <c r="E937" s="10" t="s">
        <v>52</v>
      </c>
      <c r="F937" s="12">
        <f t="shared" si="826"/>
        <v>2</v>
      </c>
      <c r="G937" s="10">
        <v>1</v>
      </c>
      <c r="H937" s="10">
        <f t="shared" si="874"/>
        <v>1</v>
      </c>
      <c r="I937" s="10">
        <v>19</v>
      </c>
      <c r="J937" s="8" t="s">
        <v>2034</v>
      </c>
      <c r="K937" s="8" t="s">
        <v>34</v>
      </c>
      <c r="L937" s="10">
        <v>0</v>
      </c>
      <c r="M937" s="8" t="s">
        <v>35</v>
      </c>
      <c r="N937" s="10" t="s">
        <v>2035</v>
      </c>
      <c r="O937" s="28" t="s">
        <v>41</v>
      </c>
      <c r="P937" s="28" t="s">
        <v>41</v>
      </c>
      <c r="Q937" s="28" t="s">
        <v>2036</v>
      </c>
      <c r="R937" s="30">
        <v>15.5</v>
      </c>
      <c r="S937" s="30">
        <v>7</v>
      </c>
      <c r="T937" s="30"/>
      <c r="U937" s="30">
        <v>0.06</v>
      </c>
      <c r="V937" s="8">
        <f t="shared" si="827"/>
        <v>393.7</v>
      </c>
      <c r="W937" s="8">
        <f t="shared" si="828"/>
        <v>177.79999999999998</v>
      </c>
      <c r="X937" s="8">
        <f t="shared" si="829"/>
        <v>0</v>
      </c>
      <c r="Y937" s="33">
        <f t="shared" si="830"/>
        <v>1.5239999999999998</v>
      </c>
      <c r="Z937" s="28" t="s">
        <v>2037</v>
      </c>
      <c r="AA937" s="28" t="s">
        <v>2038</v>
      </c>
      <c r="AB937" s="61" t="s">
        <v>2036</v>
      </c>
      <c r="AC937" s="31" t="s">
        <v>2039</v>
      </c>
      <c r="AD937" s="50">
        <f t="shared" si="831"/>
        <v>1</v>
      </c>
      <c r="AE937" s="31"/>
      <c r="AF937" s="51">
        <v>14</v>
      </c>
      <c r="AG937" s="51">
        <f t="shared" si="858"/>
        <v>8.4</v>
      </c>
      <c r="AH937" s="51">
        <f t="shared" si="825"/>
        <v>42</v>
      </c>
      <c r="AI937" s="52" t="s">
        <v>2497</v>
      </c>
      <c r="AJ937" s="52" t="s">
        <v>2498</v>
      </c>
      <c r="AK937" s="53">
        <f t="shared" si="859"/>
        <v>0.13999971999999997</v>
      </c>
      <c r="AL937" s="54">
        <f t="shared" si="860"/>
        <v>0.11904761904761904</v>
      </c>
      <c r="AM937" s="54">
        <f t="shared" si="861"/>
        <v>2.3809523809523808E-2</v>
      </c>
      <c r="AN937" s="55">
        <f t="shared" si="862"/>
        <v>1.666663333333333E-2</v>
      </c>
      <c r="AO937" s="55">
        <f t="shared" si="863"/>
        <v>3.3333266666666656E-3</v>
      </c>
      <c r="AP937" s="53">
        <v>7.1</v>
      </c>
      <c r="AQ937" s="53">
        <f t="shared" si="832"/>
        <v>4.26</v>
      </c>
      <c r="AR937" s="53">
        <f t="shared" si="833"/>
        <v>21.299999999999997</v>
      </c>
      <c r="AS937" s="56">
        <f t="shared" si="834"/>
        <v>4.6948356807511742E-2</v>
      </c>
      <c r="AT937" s="56">
        <f t="shared" si="864"/>
        <v>0.23474178403755869</v>
      </c>
      <c r="AU937" s="56">
        <f t="shared" si="835"/>
        <v>0.176056338028169</v>
      </c>
      <c r="AV937" s="56">
        <f t="shared" si="865"/>
        <v>5.8685446009389672E-2</v>
      </c>
      <c r="AW937" s="57"/>
      <c r="AX937" s="57"/>
      <c r="AY937" s="57"/>
      <c r="AZ937" s="58">
        <f t="shared" si="866"/>
        <v>0.13999971999999997</v>
      </c>
      <c r="BA937" s="59">
        <f t="shared" si="867"/>
        <v>0</v>
      </c>
      <c r="BB937" s="59">
        <f t="shared" si="868"/>
        <v>0</v>
      </c>
      <c r="BC937" s="59">
        <f t="shared" si="869"/>
        <v>0</v>
      </c>
      <c r="BD937" s="60">
        <f t="shared" si="870"/>
        <v>2.3809523809523808E-2</v>
      </c>
      <c r="BE937" s="59">
        <f t="shared" si="871"/>
        <v>2.3809523809523808E-2</v>
      </c>
      <c r="BQ937" s="61">
        <v>3000</v>
      </c>
      <c r="BR937" s="61">
        <v>1200</v>
      </c>
      <c r="BS937" s="28">
        <f t="shared" si="836"/>
        <v>2980</v>
      </c>
      <c r="BT937" s="28">
        <f t="shared" si="837"/>
        <v>1180</v>
      </c>
      <c r="BU937" s="28" t="s">
        <v>2541</v>
      </c>
      <c r="BV937" s="28">
        <f t="shared" si="838"/>
        <v>398.7</v>
      </c>
      <c r="BW937" s="28">
        <f t="shared" si="839"/>
        <v>182.79999999999998</v>
      </c>
      <c r="BX937" s="13">
        <f t="shared" si="840"/>
        <v>7.4742914472034112</v>
      </c>
      <c r="BY937" s="13">
        <f t="shared" si="841"/>
        <v>7</v>
      </c>
      <c r="BZ937" s="13">
        <f t="shared" si="842"/>
        <v>6.4551422319474838</v>
      </c>
      <c r="CA937" s="13">
        <f t="shared" si="843"/>
        <v>6</v>
      </c>
      <c r="CB937" s="13">
        <f t="shared" si="844"/>
        <v>42</v>
      </c>
      <c r="CC937" s="62">
        <f t="shared" si="845"/>
        <v>2.3809523809523808E-2</v>
      </c>
      <c r="CD937" s="13">
        <f t="shared" si="846"/>
        <v>16.301969365426697</v>
      </c>
      <c r="CE937" s="13">
        <f t="shared" si="847"/>
        <v>16</v>
      </c>
      <c r="CF937" s="13">
        <f t="shared" si="848"/>
        <v>2.959618760973163</v>
      </c>
      <c r="CG937" s="13">
        <f t="shared" si="849"/>
        <v>2</v>
      </c>
      <c r="CH937" s="28">
        <f t="shared" si="850"/>
        <v>32</v>
      </c>
      <c r="CI937" s="62">
        <f t="shared" si="851"/>
        <v>3.125E-2</v>
      </c>
      <c r="CJ937" s="59">
        <f t="shared" si="852"/>
        <v>2.3809523809523808E-2</v>
      </c>
      <c r="CL937" s="63">
        <v>6000</v>
      </c>
      <c r="CM937" s="63">
        <f t="shared" si="853"/>
        <v>393.7</v>
      </c>
      <c r="CN937" s="63">
        <f t="shared" si="854"/>
        <v>398.7</v>
      </c>
      <c r="CO937" s="63">
        <f t="shared" si="855"/>
        <v>15.048908954100828</v>
      </c>
      <c r="CP937" s="13">
        <f t="shared" si="856"/>
        <v>15</v>
      </c>
      <c r="CQ937" s="70">
        <f t="shared" si="857"/>
        <v>6.6666666666666666E-2</v>
      </c>
      <c r="CR937" s="69">
        <f t="shared" si="875"/>
        <v>6.6666666666666666E-2</v>
      </c>
    </row>
    <row r="938" spans="1:96" hidden="1" x14ac:dyDescent="0.25">
      <c r="A938" s="10">
        <v>3</v>
      </c>
      <c r="B938" s="8" t="s">
        <v>1997</v>
      </c>
      <c r="C938" s="10" t="s">
        <v>2040</v>
      </c>
      <c r="D938" s="10" t="s">
        <v>2041</v>
      </c>
      <c r="E938" s="10" t="s">
        <v>52</v>
      </c>
      <c r="F938" s="12">
        <f t="shared" si="826"/>
        <v>2</v>
      </c>
      <c r="G938" s="10">
        <v>1</v>
      </c>
      <c r="H938" s="10">
        <f t="shared" si="874"/>
        <v>1</v>
      </c>
      <c r="I938" s="10">
        <v>20</v>
      </c>
      <c r="J938" s="8" t="s">
        <v>2034</v>
      </c>
      <c r="K938" s="8" t="s">
        <v>34</v>
      </c>
      <c r="L938" s="10">
        <v>0</v>
      </c>
      <c r="M938" s="8" t="s">
        <v>35</v>
      </c>
      <c r="N938" s="10" t="s">
        <v>2041</v>
      </c>
      <c r="O938" s="28" t="s">
        <v>41</v>
      </c>
      <c r="P938" s="28" t="s">
        <v>41</v>
      </c>
      <c r="Q938" s="28" t="s">
        <v>2036</v>
      </c>
      <c r="R938" s="30">
        <v>16.25</v>
      </c>
      <c r="S938" s="30">
        <v>10</v>
      </c>
      <c r="T938" s="30"/>
      <c r="U938" s="30">
        <v>0.06</v>
      </c>
      <c r="V938" s="8">
        <f t="shared" si="827"/>
        <v>412.75</v>
      </c>
      <c r="W938" s="8">
        <f t="shared" si="828"/>
        <v>254</v>
      </c>
      <c r="X938" s="8">
        <f t="shared" si="829"/>
        <v>0</v>
      </c>
      <c r="Y938" s="33">
        <f t="shared" si="830"/>
        <v>1.5239999999999998</v>
      </c>
      <c r="Z938" s="28" t="s">
        <v>2037</v>
      </c>
      <c r="AA938" s="28" t="s">
        <v>2038</v>
      </c>
      <c r="AB938" s="61" t="s">
        <v>2036</v>
      </c>
      <c r="AC938" s="31" t="s">
        <v>2039</v>
      </c>
      <c r="AD938" s="50">
        <f t="shared" si="831"/>
        <v>1</v>
      </c>
      <c r="AE938" s="31"/>
      <c r="AF938" s="51">
        <v>14</v>
      </c>
      <c r="AG938" s="51">
        <f t="shared" si="858"/>
        <v>8.4</v>
      </c>
      <c r="AH938" s="51">
        <f t="shared" si="825"/>
        <v>42</v>
      </c>
      <c r="AI938" s="52" t="s">
        <v>2497</v>
      </c>
      <c r="AJ938" s="52" t="s">
        <v>2498</v>
      </c>
      <c r="AK938" s="53">
        <f t="shared" si="859"/>
        <v>0.209677</v>
      </c>
      <c r="AL938" s="54">
        <f t="shared" si="860"/>
        <v>0.11904761904761904</v>
      </c>
      <c r="AM938" s="54">
        <f t="shared" si="861"/>
        <v>2.3809523809523808E-2</v>
      </c>
      <c r="AN938" s="55">
        <f t="shared" si="862"/>
        <v>2.4961547619047619E-2</v>
      </c>
      <c r="AO938" s="55">
        <f t="shared" si="863"/>
        <v>4.9923095238095239E-3</v>
      </c>
      <c r="AP938" s="53">
        <v>7.1</v>
      </c>
      <c r="AQ938" s="53">
        <f t="shared" si="832"/>
        <v>4.26</v>
      </c>
      <c r="AR938" s="53">
        <f t="shared" si="833"/>
        <v>21.299999999999997</v>
      </c>
      <c r="AS938" s="56">
        <f t="shared" si="834"/>
        <v>4.6948356807511742E-2</v>
      </c>
      <c r="AT938" s="56">
        <f t="shared" si="864"/>
        <v>0.23474178403755869</v>
      </c>
      <c r="AU938" s="56">
        <f t="shared" si="835"/>
        <v>0.176056338028169</v>
      </c>
      <c r="AV938" s="56">
        <f t="shared" si="865"/>
        <v>5.8685446009389672E-2</v>
      </c>
      <c r="AW938" s="57"/>
      <c r="AX938" s="57"/>
      <c r="AY938" s="57"/>
      <c r="AZ938" s="58">
        <f t="shared" si="866"/>
        <v>0.209677</v>
      </c>
      <c r="BA938" s="59">
        <f t="shared" si="867"/>
        <v>0</v>
      </c>
      <c r="BB938" s="59">
        <f t="shared" si="868"/>
        <v>0</v>
      </c>
      <c r="BC938" s="59">
        <f t="shared" si="869"/>
        <v>0</v>
      </c>
      <c r="BD938" s="60">
        <f t="shared" si="870"/>
        <v>3.5714285714285712E-2</v>
      </c>
      <c r="BE938" s="59">
        <f t="shared" si="871"/>
        <v>3.5714285714285712E-2</v>
      </c>
      <c r="BQ938" s="61">
        <v>3000</v>
      </c>
      <c r="BR938" s="61">
        <v>1200</v>
      </c>
      <c r="BS938" s="28">
        <f t="shared" si="836"/>
        <v>2980</v>
      </c>
      <c r="BT938" s="28">
        <f t="shared" si="837"/>
        <v>1180</v>
      </c>
      <c r="BU938" s="28" t="s">
        <v>2541</v>
      </c>
      <c r="BV938" s="28">
        <f t="shared" si="838"/>
        <v>417.75</v>
      </c>
      <c r="BW938" s="28">
        <f t="shared" si="839"/>
        <v>259</v>
      </c>
      <c r="BX938" s="13">
        <f t="shared" si="840"/>
        <v>7.1334530221424295</v>
      </c>
      <c r="BY938" s="13">
        <f t="shared" si="841"/>
        <v>7</v>
      </c>
      <c r="BZ938" s="13">
        <f t="shared" si="842"/>
        <v>4.5559845559845558</v>
      </c>
      <c r="CA938" s="13">
        <f t="shared" si="843"/>
        <v>4</v>
      </c>
      <c r="CB938" s="13">
        <f t="shared" si="844"/>
        <v>28</v>
      </c>
      <c r="CC938" s="62">
        <f t="shared" si="845"/>
        <v>3.5714285714285712E-2</v>
      </c>
      <c r="CD938" s="13">
        <f t="shared" si="846"/>
        <v>11.505791505791505</v>
      </c>
      <c r="CE938" s="13">
        <f t="shared" si="847"/>
        <v>11</v>
      </c>
      <c r="CF938" s="13">
        <f t="shared" si="848"/>
        <v>2.8246558946738478</v>
      </c>
      <c r="CG938" s="13">
        <f t="shared" si="849"/>
        <v>2</v>
      </c>
      <c r="CH938" s="28">
        <f t="shared" si="850"/>
        <v>22</v>
      </c>
      <c r="CI938" s="62">
        <f t="shared" si="851"/>
        <v>4.5454545454545456E-2</v>
      </c>
      <c r="CJ938" s="59">
        <f t="shared" si="852"/>
        <v>3.5714285714285712E-2</v>
      </c>
      <c r="CL938" s="63">
        <v>6000</v>
      </c>
      <c r="CM938" s="63">
        <f t="shared" si="853"/>
        <v>412.75</v>
      </c>
      <c r="CN938" s="63">
        <f t="shared" si="854"/>
        <v>417.75</v>
      </c>
      <c r="CO938" s="63">
        <f t="shared" si="855"/>
        <v>14.362657091561939</v>
      </c>
      <c r="CP938" s="13">
        <f t="shared" si="856"/>
        <v>14</v>
      </c>
      <c r="CQ938" s="70">
        <f t="shared" si="857"/>
        <v>7.1428571428571425E-2</v>
      </c>
      <c r="CR938" s="69">
        <f t="shared" si="875"/>
        <v>7.1428571428571425E-2</v>
      </c>
    </row>
    <row r="939" spans="1:96" hidden="1" x14ac:dyDescent="0.25">
      <c r="A939" s="10">
        <v>3</v>
      </c>
      <c r="B939" s="8" t="s">
        <v>1997</v>
      </c>
      <c r="C939" s="10" t="s">
        <v>336</v>
      </c>
      <c r="D939" s="10" t="s">
        <v>341</v>
      </c>
      <c r="E939" s="10" t="s">
        <v>52</v>
      </c>
      <c r="F939" s="12">
        <f t="shared" si="826"/>
        <v>15</v>
      </c>
      <c r="G939" s="10" t="s">
        <v>337</v>
      </c>
      <c r="H939" s="10" t="str">
        <f>G939</f>
        <v>A/R</v>
      </c>
      <c r="I939" s="10">
        <v>21</v>
      </c>
      <c r="J939" s="8" t="s">
        <v>338</v>
      </c>
      <c r="K939" s="8" t="s">
        <v>34</v>
      </c>
      <c r="L939" s="10" t="s">
        <v>339</v>
      </c>
      <c r="M939" s="8" t="s">
        <v>340</v>
      </c>
      <c r="N939" s="10" t="s">
        <v>341</v>
      </c>
      <c r="O939" s="28" t="s">
        <v>2541</v>
      </c>
      <c r="P939" s="28" t="s">
        <v>2541</v>
      </c>
      <c r="Q939" s="28" t="s">
        <v>341</v>
      </c>
      <c r="R939" s="30"/>
      <c r="S939" s="30"/>
      <c r="T939" s="30"/>
      <c r="U939" s="30"/>
      <c r="V939" s="8">
        <f t="shared" si="827"/>
        <v>0</v>
      </c>
      <c r="W939" s="8">
        <f t="shared" si="828"/>
        <v>0</v>
      </c>
      <c r="X939" s="8">
        <f t="shared" si="829"/>
        <v>0</v>
      </c>
      <c r="Y939" s="33">
        <f t="shared" si="830"/>
        <v>0</v>
      </c>
      <c r="Z939" s="28"/>
      <c r="AA939" s="28"/>
      <c r="AB939" s="28" t="s">
        <v>341</v>
      </c>
      <c r="AC939" s="31" t="s">
        <v>342</v>
      </c>
      <c r="AD939" s="50">
        <v>0</v>
      </c>
      <c r="AE939" s="50" t="s">
        <v>337</v>
      </c>
      <c r="AF939" s="51">
        <v>14</v>
      </c>
      <c r="AG939" s="51">
        <f t="shared" si="858"/>
        <v>8.4</v>
      </c>
      <c r="AH939" s="51">
        <f t="shared" si="825"/>
        <v>42</v>
      </c>
      <c r="AI939" s="52" t="s">
        <v>2497</v>
      </c>
      <c r="AJ939" s="52" t="s">
        <v>2498</v>
      </c>
      <c r="AK939" s="53">
        <f t="shared" si="859"/>
        <v>0</v>
      </c>
      <c r="AL939" s="54">
        <f t="shared" si="860"/>
        <v>0.11904761904761904</v>
      </c>
      <c r="AM939" s="54">
        <f t="shared" si="861"/>
        <v>2.3809523809523808E-2</v>
      </c>
      <c r="AN939" s="55">
        <f t="shared" si="862"/>
        <v>0</v>
      </c>
      <c r="AO939" s="55">
        <f t="shared" si="863"/>
        <v>0</v>
      </c>
      <c r="AP939" s="53">
        <v>7.1</v>
      </c>
      <c r="AQ939" s="53">
        <f t="shared" si="832"/>
        <v>4.26</v>
      </c>
      <c r="AR939" s="53">
        <f t="shared" si="833"/>
        <v>21.299999999999997</v>
      </c>
      <c r="AS939" s="56">
        <f t="shared" si="834"/>
        <v>4.6948356807511742E-2</v>
      </c>
      <c r="AT939" s="56">
        <f t="shared" si="864"/>
        <v>0.23474178403755869</v>
      </c>
      <c r="AU939" s="56">
        <f t="shared" si="835"/>
        <v>0.176056338028169</v>
      </c>
      <c r="AV939" s="56">
        <f t="shared" si="865"/>
        <v>5.8685446009389672E-2</v>
      </c>
      <c r="AW939" s="57"/>
      <c r="AX939" s="57"/>
      <c r="AY939" s="57"/>
      <c r="AZ939" s="58">
        <f t="shared" si="866"/>
        <v>0</v>
      </c>
      <c r="BA939" s="59">
        <f t="shared" si="867"/>
        <v>0</v>
      </c>
      <c r="BB939" s="59">
        <f t="shared" si="868"/>
        <v>0</v>
      </c>
      <c r="BC939" s="59">
        <f t="shared" si="869"/>
        <v>0</v>
      </c>
      <c r="BD939" s="60">
        <f t="shared" si="870"/>
        <v>7.1095438516664771E-6</v>
      </c>
      <c r="BE939" s="59">
        <f t="shared" si="871"/>
        <v>0</v>
      </c>
      <c r="BQ939" s="61">
        <v>3000</v>
      </c>
      <c r="BR939" s="61">
        <v>1200</v>
      </c>
      <c r="BS939" s="28">
        <f t="shared" si="836"/>
        <v>2980</v>
      </c>
      <c r="BT939" s="28">
        <f t="shared" si="837"/>
        <v>1180</v>
      </c>
      <c r="BU939" s="28" t="s">
        <v>2541</v>
      </c>
      <c r="BV939" s="28">
        <f t="shared" si="838"/>
        <v>5</v>
      </c>
      <c r="BW939" s="28">
        <f t="shared" si="839"/>
        <v>5</v>
      </c>
      <c r="BX939" s="13">
        <f t="shared" si="840"/>
        <v>596</v>
      </c>
      <c r="BY939" s="13">
        <f t="shared" si="841"/>
        <v>596</v>
      </c>
      <c r="BZ939" s="13">
        <f t="shared" si="842"/>
        <v>236</v>
      </c>
      <c r="CA939" s="13">
        <f t="shared" si="843"/>
        <v>236</v>
      </c>
      <c r="CB939" s="13">
        <f t="shared" si="844"/>
        <v>140656</v>
      </c>
      <c r="CC939" s="62">
        <f t="shared" si="845"/>
        <v>7.1095438516664771E-6</v>
      </c>
      <c r="CD939" s="13">
        <f t="shared" si="846"/>
        <v>596</v>
      </c>
      <c r="CE939" s="13">
        <f t="shared" si="847"/>
        <v>596</v>
      </c>
      <c r="CF939" s="13">
        <f t="shared" si="848"/>
        <v>236</v>
      </c>
      <c r="CG939" s="13">
        <f t="shared" si="849"/>
        <v>236</v>
      </c>
      <c r="CH939" s="28">
        <f t="shared" si="850"/>
        <v>140656</v>
      </c>
      <c r="CI939" s="62">
        <f t="shared" si="851"/>
        <v>7.1095438516664771E-6</v>
      </c>
      <c r="CJ939" s="59">
        <f t="shared" si="852"/>
        <v>7.1095438516664771E-6</v>
      </c>
      <c r="CL939" s="63">
        <v>6000</v>
      </c>
      <c r="CM939" s="63">
        <f t="shared" si="853"/>
        <v>0</v>
      </c>
      <c r="CN939" s="63">
        <f t="shared" si="854"/>
        <v>5</v>
      </c>
      <c r="CO939" s="63">
        <f t="shared" si="855"/>
        <v>1200</v>
      </c>
      <c r="CP939" s="13">
        <f t="shared" si="856"/>
        <v>1200</v>
      </c>
      <c r="CQ939" s="70">
        <f t="shared" si="857"/>
        <v>8.3333333333333339E-4</v>
      </c>
      <c r="CR939" s="69">
        <f t="shared" si="875"/>
        <v>0</v>
      </c>
    </row>
    <row r="940" spans="1:96" hidden="1" x14ac:dyDescent="0.25">
      <c r="A940" s="10">
        <v>3</v>
      </c>
      <c r="B940" s="8" t="s">
        <v>1997</v>
      </c>
      <c r="C940" s="10" t="s">
        <v>2042</v>
      </c>
      <c r="D940" s="10" t="s">
        <v>2044</v>
      </c>
      <c r="E940" s="10" t="s">
        <v>52</v>
      </c>
      <c r="F940" s="12">
        <f t="shared" si="826"/>
        <v>2</v>
      </c>
      <c r="G940" s="10">
        <v>2</v>
      </c>
      <c r="H940" s="10">
        <f t="shared" si="874"/>
        <v>2</v>
      </c>
      <c r="I940" s="10">
        <v>22</v>
      </c>
      <c r="J940" s="8" t="s">
        <v>2043</v>
      </c>
      <c r="K940" s="8" t="s">
        <v>34</v>
      </c>
      <c r="L940" s="10">
        <v>0</v>
      </c>
      <c r="M940" s="8" t="s">
        <v>35</v>
      </c>
      <c r="N940" s="10" t="s">
        <v>2044</v>
      </c>
      <c r="O940" s="28" t="s">
        <v>41</v>
      </c>
      <c r="P940" s="28" t="s">
        <v>41</v>
      </c>
      <c r="Q940" s="28"/>
      <c r="R940" s="30"/>
      <c r="S940" s="30"/>
      <c r="T940" s="30"/>
      <c r="U940" s="30"/>
      <c r="V940" s="8">
        <f t="shared" si="827"/>
        <v>0</v>
      </c>
      <c r="W940" s="8">
        <f t="shared" si="828"/>
        <v>0</v>
      </c>
      <c r="X940" s="8">
        <f t="shared" si="829"/>
        <v>0</v>
      </c>
      <c r="Y940" s="33">
        <f t="shared" si="830"/>
        <v>0</v>
      </c>
      <c r="Z940" s="28"/>
      <c r="AA940" s="28"/>
      <c r="AB940" s="28">
        <v>0</v>
      </c>
      <c r="AC940" s="31"/>
      <c r="AD940" s="50">
        <f t="shared" si="831"/>
        <v>2</v>
      </c>
      <c r="AE940" s="31"/>
      <c r="AF940" s="51">
        <v>14</v>
      </c>
      <c r="AG940" s="51">
        <f t="shared" si="858"/>
        <v>8.4</v>
      </c>
      <c r="AH940" s="51">
        <f t="shared" si="825"/>
        <v>42</v>
      </c>
      <c r="AI940" s="52" t="s">
        <v>2497</v>
      </c>
      <c r="AJ940" s="52" t="s">
        <v>2498</v>
      </c>
      <c r="AK940" s="53">
        <f t="shared" si="859"/>
        <v>0</v>
      </c>
      <c r="AL940" s="54">
        <f t="shared" si="860"/>
        <v>0.11904761904761904</v>
      </c>
      <c r="AM940" s="54">
        <f t="shared" si="861"/>
        <v>2.3809523809523808E-2</v>
      </c>
      <c r="AN940" s="55">
        <f t="shared" si="862"/>
        <v>0</v>
      </c>
      <c r="AO940" s="55">
        <f t="shared" si="863"/>
        <v>0</v>
      </c>
      <c r="AP940" s="53">
        <v>7.1</v>
      </c>
      <c r="AQ940" s="53">
        <f t="shared" si="832"/>
        <v>4.26</v>
      </c>
      <c r="AR940" s="53">
        <f t="shared" si="833"/>
        <v>21.299999999999997</v>
      </c>
      <c r="AS940" s="56">
        <f t="shared" si="834"/>
        <v>4.6948356807511742E-2</v>
      </c>
      <c r="AT940" s="56">
        <f t="shared" si="864"/>
        <v>0.23474178403755869</v>
      </c>
      <c r="AU940" s="56">
        <f t="shared" si="835"/>
        <v>0.176056338028169</v>
      </c>
      <c r="AV940" s="56">
        <f t="shared" si="865"/>
        <v>5.8685446009389672E-2</v>
      </c>
      <c r="AW940" s="57"/>
      <c r="AX940" s="57"/>
      <c r="AY940" s="57"/>
      <c r="AZ940" s="58">
        <f t="shared" si="866"/>
        <v>0</v>
      </c>
      <c r="BA940" s="59">
        <f t="shared" si="867"/>
        <v>0</v>
      </c>
      <c r="BB940" s="59">
        <f t="shared" si="868"/>
        <v>0</v>
      </c>
      <c r="BC940" s="59">
        <f t="shared" si="869"/>
        <v>0</v>
      </c>
      <c r="BD940" s="60">
        <f t="shared" si="870"/>
        <v>7.1095438516664771E-6</v>
      </c>
      <c r="BE940" s="59">
        <f t="shared" si="871"/>
        <v>1.4219087703332954E-5</v>
      </c>
      <c r="BQ940" s="61">
        <v>3000</v>
      </c>
      <c r="BR940" s="61">
        <v>1200</v>
      </c>
      <c r="BS940" s="28">
        <f t="shared" si="836"/>
        <v>2980</v>
      </c>
      <c r="BT940" s="28">
        <f t="shared" si="837"/>
        <v>1180</v>
      </c>
      <c r="BU940" s="28" t="s">
        <v>2541</v>
      </c>
      <c r="BV940" s="28">
        <f t="shared" si="838"/>
        <v>5</v>
      </c>
      <c r="BW940" s="28">
        <f t="shared" si="839"/>
        <v>5</v>
      </c>
      <c r="BX940" s="13">
        <f t="shared" si="840"/>
        <v>596</v>
      </c>
      <c r="BY940" s="13">
        <f t="shared" si="841"/>
        <v>596</v>
      </c>
      <c r="BZ940" s="13">
        <f t="shared" si="842"/>
        <v>236</v>
      </c>
      <c r="CA940" s="13">
        <f t="shared" si="843"/>
        <v>236</v>
      </c>
      <c r="CB940" s="13">
        <f t="shared" si="844"/>
        <v>140656</v>
      </c>
      <c r="CC940" s="62">
        <f t="shared" si="845"/>
        <v>7.1095438516664771E-6</v>
      </c>
      <c r="CD940" s="13">
        <f t="shared" si="846"/>
        <v>596</v>
      </c>
      <c r="CE940" s="13">
        <f t="shared" si="847"/>
        <v>596</v>
      </c>
      <c r="CF940" s="13">
        <f t="shared" si="848"/>
        <v>236</v>
      </c>
      <c r="CG940" s="13">
        <f t="shared" si="849"/>
        <v>236</v>
      </c>
      <c r="CH940" s="28">
        <f t="shared" si="850"/>
        <v>140656</v>
      </c>
      <c r="CI940" s="62">
        <f t="shared" si="851"/>
        <v>7.1095438516664771E-6</v>
      </c>
      <c r="CJ940" s="59">
        <f t="shared" si="852"/>
        <v>7.1095438516664771E-6</v>
      </c>
      <c r="CL940" s="63">
        <v>6000</v>
      </c>
      <c r="CM940" s="63">
        <f t="shared" si="853"/>
        <v>0</v>
      </c>
      <c r="CN940" s="63">
        <f t="shared" si="854"/>
        <v>5</v>
      </c>
      <c r="CO940" s="63">
        <f t="shared" si="855"/>
        <v>1200</v>
      </c>
      <c r="CP940" s="13">
        <f t="shared" si="856"/>
        <v>1200</v>
      </c>
      <c r="CQ940" s="70">
        <f t="shared" si="857"/>
        <v>8.3333333333333339E-4</v>
      </c>
      <c r="CR940" s="69">
        <f t="shared" si="875"/>
        <v>1.6666666666666668E-3</v>
      </c>
    </row>
    <row r="941" spans="1:96" hidden="1" x14ac:dyDescent="0.25">
      <c r="A941" s="13">
        <v>4</v>
      </c>
      <c r="B941" s="14" t="s">
        <v>2045</v>
      </c>
      <c r="C941" s="13" t="s">
        <v>2046</v>
      </c>
      <c r="D941" s="13" t="s">
        <v>2048</v>
      </c>
      <c r="E941" s="13" t="s">
        <v>52</v>
      </c>
      <c r="F941" s="15">
        <f t="shared" si="826"/>
        <v>2</v>
      </c>
      <c r="G941" s="13">
        <v>1</v>
      </c>
      <c r="H941" s="13">
        <f>G941*$H$940</f>
        <v>2</v>
      </c>
      <c r="I941" s="13">
        <v>1</v>
      </c>
      <c r="J941" s="14" t="s">
        <v>2047</v>
      </c>
      <c r="K941" s="14" t="s">
        <v>34</v>
      </c>
      <c r="L941" s="13">
        <v>0</v>
      </c>
      <c r="M941" s="14" t="s">
        <v>35</v>
      </c>
      <c r="N941" s="13" t="s">
        <v>2048</v>
      </c>
      <c r="O941" s="28" t="s">
        <v>41</v>
      </c>
      <c r="P941" s="28" t="s">
        <v>41</v>
      </c>
      <c r="Q941" s="28" t="s">
        <v>2049</v>
      </c>
      <c r="R941" s="30">
        <v>6.73</v>
      </c>
      <c r="S941" s="30">
        <v>5.26</v>
      </c>
      <c r="T941" s="30"/>
      <c r="U941" s="30">
        <v>4.4999999999999998E-2</v>
      </c>
      <c r="V941" s="8">
        <f t="shared" si="827"/>
        <v>170.94200000000001</v>
      </c>
      <c r="W941" s="8">
        <f t="shared" si="828"/>
        <v>133.60399999999998</v>
      </c>
      <c r="X941" s="8">
        <f t="shared" si="829"/>
        <v>0</v>
      </c>
      <c r="Y941" s="33">
        <f t="shared" si="830"/>
        <v>1.1429999999999998</v>
      </c>
      <c r="Z941" s="28" t="s">
        <v>2037</v>
      </c>
      <c r="AA941" s="28" t="s">
        <v>2038</v>
      </c>
      <c r="AB941" s="61" t="s">
        <v>2049</v>
      </c>
      <c r="AC941" s="31" t="s">
        <v>2050</v>
      </c>
      <c r="AD941" s="50">
        <f t="shared" si="831"/>
        <v>2</v>
      </c>
      <c r="AE941" s="5" t="s">
        <v>2051</v>
      </c>
      <c r="AF941" s="51">
        <v>14</v>
      </c>
      <c r="AG941" s="51">
        <f t="shared" si="858"/>
        <v>8.4</v>
      </c>
      <c r="AH941" s="51">
        <f t="shared" si="825"/>
        <v>42</v>
      </c>
      <c r="AI941" s="52" t="s">
        <v>2497</v>
      </c>
      <c r="AJ941" s="52" t="s">
        <v>2498</v>
      </c>
      <c r="AK941" s="53">
        <f t="shared" si="859"/>
        <v>4.5677069936E-2</v>
      </c>
      <c r="AL941" s="54">
        <f t="shared" si="860"/>
        <v>0.11904761904761904</v>
      </c>
      <c r="AM941" s="54">
        <f t="shared" si="861"/>
        <v>2.3809523809523808E-2</v>
      </c>
      <c r="AN941" s="55">
        <f t="shared" si="862"/>
        <v>1.0875492841904762E-2</v>
      </c>
      <c r="AO941" s="55">
        <f t="shared" si="863"/>
        <v>2.1750985683809524E-3</v>
      </c>
      <c r="AP941" s="53">
        <v>7.1</v>
      </c>
      <c r="AQ941" s="53">
        <f t="shared" si="832"/>
        <v>4.26</v>
      </c>
      <c r="AR941" s="53">
        <f t="shared" si="833"/>
        <v>21.299999999999997</v>
      </c>
      <c r="AS941" s="56">
        <f t="shared" si="834"/>
        <v>4.6948356807511742E-2</v>
      </c>
      <c r="AT941" s="56">
        <f t="shared" si="864"/>
        <v>0.23474178403755869</v>
      </c>
      <c r="AU941" s="56">
        <f t="shared" si="835"/>
        <v>0.176056338028169</v>
      </c>
      <c r="AV941" s="56">
        <f t="shared" si="865"/>
        <v>5.8685446009389672E-2</v>
      </c>
      <c r="AW941" s="57"/>
      <c r="AX941" s="57"/>
      <c r="AY941" s="57"/>
      <c r="AZ941" s="58">
        <f t="shared" si="866"/>
        <v>4.5677069936E-2</v>
      </c>
      <c r="BA941" s="59">
        <f t="shared" si="867"/>
        <v>0</v>
      </c>
      <c r="BB941" s="59">
        <f t="shared" si="868"/>
        <v>0</v>
      </c>
      <c r="BC941" s="59">
        <f t="shared" si="869"/>
        <v>0</v>
      </c>
      <c r="BD941" s="60">
        <f t="shared" si="870"/>
        <v>7.8125E-3</v>
      </c>
      <c r="BE941" s="59">
        <f t="shared" si="871"/>
        <v>1.5625E-2</v>
      </c>
      <c r="BQ941" s="61">
        <v>3000</v>
      </c>
      <c r="BR941" s="61">
        <v>1200</v>
      </c>
      <c r="BS941" s="28">
        <f t="shared" si="836"/>
        <v>2980</v>
      </c>
      <c r="BT941" s="28">
        <f t="shared" si="837"/>
        <v>1180</v>
      </c>
      <c r="BU941" s="28" t="s">
        <v>2541</v>
      </c>
      <c r="BV941" s="28">
        <f t="shared" si="838"/>
        <v>175.94200000000001</v>
      </c>
      <c r="BW941" s="28">
        <f t="shared" si="839"/>
        <v>138.60399999999998</v>
      </c>
      <c r="BX941" s="13">
        <f t="shared" si="840"/>
        <v>16.937399824942311</v>
      </c>
      <c r="BY941" s="13">
        <f t="shared" si="841"/>
        <v>16</v>
      </c>
      <c r="BZ941" s="13">
        <f t="shared" si="842"/>
        <v>8.5134628149259779</v>
      </c>
      <c r="CA941" s="13">
        <f t="shared" si="843"/>
        <v>8</v>
      </c>
      <c r="CB941" s="13">
        <f t="shared" si="844"/>
        <v>128</v>
      </c>
      <c r="CC941" s="62">
        <f t="shared" si="845"/>
        <v>7.8125E-3</v>
      </c>
      <c r="CD941" s="13">
        <f t="shared" si="846"/>
        <v>21.500101007185943</v>
      </c>
      <c r="CE941" s="13">
        <f t="shared" si="847"/>
        <v>21</v>
      </c>
      <c r="CF941" s="13">
        <f t="shared" si="848"/>
        <v>6.7067556353798405</v>
      </c>
      <c r="CG941" s="13">
        <f t="shared" si="849"/>
        <v>6</v>
      </c>
      <c r="CH941" s="28">
        <f t="shared" si="850"/>
        <v>126</v>
      </c>
      <c r="CI941" s="62">
        <f t="shared" si="851"/>
        <v>7.9365079365079361E-3</v>
      </c>
      <c r="CJ941" s="59">
        <f t="shared" si="852"/>
        <v>7.8125E-3</v>
      </c>
      <c r="CL941" s="63">
        <v>6000</v>
      </c>
      <c r="CM941" s="63">
        <f t="shared" si="853"/>
        <v>170.94200000000001</v>
      </c>
      <c r="CN941" s="63">
        <f t="shared" si="854"/>
        <v>175.94200000000001</v>
      </c>
      <c r="CO941" s="63">
        <f t="shared" si="855"/>
        <v>34.10214729854156</v>
      </c>
      <c r="CP941" s="13">
        <f t="shared" si="856"/>
        <v>34</v>
      </c>
      <c r="CQ941" s="70">
        <f t="shared" si="857"/>
        <v>2.9411764705882353E-2</v>
      </c>
      <c r="CR941" s="69">
        <f t="shared" si="875"/>
        <v>5.8823529411764705E-2</v>
      </c>
    </row>
    <row r="942" spans="1:96" hidden="1" x14ac:dyDescent="0.25">
      <c r="A942" s="13">
        <v>4</v>
      </c>
      <c r="B942" s="14" t="s">
        <v>2045</v>
      </c>
      <c r="C942" s="13" t="s">
        <v>2052</v>
      </c>
      <c r="D942" s="13" t="s">
        <v>2054</v>
      </c>
      <c r="E942" s="13" t="s">
        <v>52</v>
      </c>
      <c r="F942" s="15">
        <f t="shared" si="826"/>
        <v>2</v>
      </c>
      <c r="G942" s="13">
        <v>1</v>
      </c>
      <c r="H942" s="13">
        <f>G942*$H$940</f>
        <v>2</v>
      </c>
      <c r="I942" s="13">
        <v>2</v>
      </c>
      <c r="J942" s="14" t="s">
        <v>2053</v>
      </c>
      <c r="K942" s="14" t="s">
        <v>34</v>
      </c>
      <c r="L942" s="13" t="s">
        <v>110</v>
      </c>
      <c r="M942" s="14" t="s">
        <v>340</v>
      </c>
      <c r="N942" s="13" t="s">
        <v>2054</v>
      </c>
      <c r="O942" s="28" t="s">
        <v>41</v>
      </c>
      <c r="P942" s="28" t="s">
        <v>41</v>
      </c>
      <c r="Q942" s="28" t="s">
        <v>2055</v>
      </c>
      <c r="R942" s="30">
        <v>4.3499999999999996</v>
      </c>
      <c r="S942" s="30">
        <v>3.6</v>
      </c>
      <c r="T942" s="30"/>
      <c r="U942" s="30">
        <v>1</v>
      </c>
      <c r="V942" s="8">
        <f t="shared" si="827"/>
        <v>110.48999999999998</v>
      </c>
      <c r="W942" s="8">
        <f t="shared" si="828"/>
        <v>91.44</v>
      </c>
      <c r="X942" s="8">
        <f t="shared" si="829"/>
        <v>0</v>
      </c>
      <c r="Y942" s="33">
        <f t="shared" si="830"/>
        <v>25.4</v>
      </c>
      <c r="Z942" s="28" t="s">
        <v>2056</v>
      </c>
      <c r="AA942" s="28" t="s">
        <v>2057</v>
      </c>
      <c r="AB942" s="61" t="s">
        <v>2055</v>
      </c>
      <c r="AC942" s="31" t="s">
        <v>2058</v>
      </c>
      <c r="AD942" s="50">
        <f t="shared" si="831"/>
        <v>2</v>
      </c>
      <c r="AE942" s="31"/>
      <c r="AF942" s="51">
        <v>14</v>
      </c>
      <c r="AG942" s="51">
        <f t="shared" si="858"/>
        <v>8.4</v>
      </c>
      <c r="AH942" s="51">
        <f t="shared" si="825"/>
        <v>42</v>
      </c>
      <c r="AI942" s="52" t="s">
        <v>2497</v>
      </c>
      <c r="AJ942" s="52" t="s">
        <v>2498</v>
      </c>
      <c r="AK942" s="53">
        <f t="shared" si="859"/>
        <v>2.0206411199999996E-2</v>
      </c>
      <c r="AL942" s="54">
        <f t="shared" si="860"/>
        <v>0.11904761904761904</v>
      </c>
      <c r="AM942" s="54">
        <f t="shared" si="861"/>
        <v>2.3809523809523808E-2</v>
      </c>
      <c r="AN942" s="55">
        <f t="shared" si="862"/>
        <v>4.8110502857142846E-3</v>
      </c>
      <c r="AO942" s="55">
        <f t="shared" si="863"/>
        <v>9.6221005714285687E-4</v>
      </c>
      <c r="AP942" s="53">
        <v>7.1</v>
      </c>
      <c r="AQ942" s="53">
        <f t="shared" si="832"/>
        <v>4.26</v>
      </c>
      <c r="AR942" s="53">
        <f t="shared" si="833"/>
        <v>21.299999999999997</v>
      </c>
      <c r="AS942" s="56">
        <f t="shared" si="834"/>
        <v>4.6948356807511742E-2</v>
      </c>
      <c r="AT942" s="56">
        <f t="shared" si="864"/>
        <v>0.23474178403755869</v>
      </c>
      <c r="AU942" s="56">
        <f t="shared" si="835"/>
        <v>0.176056338028169</v>
      </c>
      <c r="AV942" s="56">
        <f t="shared" si="865"/>
        <v>5.8685446009389672E-2</v>
      </c>
      <c r="AW942" s="57"/>
      <c r="AX942" s="57"/>
      <c r="AY942" s="57"/>
      <c r="AZ942" s="58">
        <f t="shared" si="866"/>
        <v>2.0206411199999996E-2</v>
      </c>
      <c r="BA942" s="59">
        <f t="shared" si="867"/>
        <v>0</v>
      </c>
      <c r="BB942" s="59">
        <f t="shared" si="868"/>
        <v>0</v>
      </c>
      <c r="BC942" s="59">
        <f t="shared" si="869"/>
        <v>0</v>
      </c>
      <c r="BD942" s="60">
        <f t="shared" si="870"/>
        <v>3.3333333333333335E-3</v>
      </c>
      <c r="BE942" s="59">
        <f t="shared" si="871"/>
        <v>6.6666666666666671E-3</v>
      </c>
      <c r="BQ942" s="61">
        <v>3000</v>
      </c>
      <c r="BR942" s="61">
        <v>1200</v>
      </c>
      <c r="BS942" s="28">
        <f t="shared" si="836"/>
        <v>2980</v>
      </c>
      <c r="BT942" s="28">
        <f t="shared" si="837"/>
        <v>1180</v>
      </c>
      <c r="BU942" s="28" t="s">
        <v>2541</v>
      </c>
      <c r="BV942" s="28">
        <f t="shared" si="838"/>
        <v>115.48999999999998</v>
      </c>
      <c r="BW942" s="28">
        <f t="shared" si="839"/>
        <v>96.44</v>
      </c>
      <c r="BX942" s="13">
        <f t="shared" si="840"/>
        <v>25.803099835483597</v>
      </c>
      <c r="BY942" s="13">
        <f t="shared" si="841"/>
        <v>25</v>
      </c>
      <c r="BZ942" s="13">
        <f t="shared" si="842"/>
        <v>12.235586893405227</v>
      </c>
      <c r="CA942" s="13">
        <f t="shared" si="843"/>
        <v>12</v>
      </c>
      <c r="CB942" s="13">
        <f t="shared" si="844"/>
        <v>300</v>
      </c>
      <c r="CC942" s="62">
        <f t="shared" si="845"/>
        <v>3.3333333333333335E-3</v>
      </c>
      <c r="CD942" s="13">
        <f t="shared" si="846"/>
        <v>30.90004147656574</v>
      </c>
      <c r="CE942" s="13">
        <f t="shared" si="847"/>
        <v>30</v>
      </c>
      <c r="CF942" s="13">
        <f t="shared" si="848"/>
        <v>10.217334834184779</v>
      </c>
      <c r="CG942" s="13">
        <f t="shared" si="849"/>
        <v>10</v>
      </c>
      <c r="CH942" s="28">
        <f t="shared" si="850"/>
        <v>300</v>
      </c>
      <c r="CI942" s="62">
        <f t="shared" si="851"/>
        <v>3.3333333333333335E-3</v>
      </c>
      <c r="CJ942" s="59">
        <f t="shared" si="852"/>
        <v>3.3333333333333335E-3</v>
      </c>
      <c r="CL942" s="63">
        <v>6000</v>
      </c>
      <c r="CM942" s="63">
        <f t="shared" si="853"/>
        <v>110.48999999999998</v>
      </c>
      <c r="CN942" s="63">
        <f t="shared" si="854"/>
        <v>115.48999999999998</v>
      </c>
      <c r="CO942" s="63">
        <f t="shared" si="855"/>
        <v>51.952550004329389</v>
      </c>
      <c r="CP942" s="13">
        <f t="shared" si="856"/>
        <v>51</v>
      </c>
      <c r="CQ942" s="70">
        <f t="shared" si="857"/>
        <v>1.9607843137254902E-2</v>
      </c>
      <c r="CR942" s="69">
        <f t="shared" si="875"/>
        <v>3.9215686274509803E-2</v>
      </c>
    </row>
    <row r="943" spans="1:96" hidden="1" x14ac:dyDescent="0.25">
      <c r="A943" s="17">
        <v>5</v>
      </c>
      <c r="B943" s="6" t="s">
        <v>2059</v>
      </c>
      <c r="C943" s="17" t="s">
        <v>2056</v>
      </c>
      <c r="D943" s="17" t="s">
        <v>2055</v>
      </c>
      <c r="E943" s="17" t="s">
        <v>52</v>
      </c>
      <c r="F943" s="7">
        <f t="shared" si="826"/>
        <v>6</v>
      </c>
      <c r="G943" s="17">
        <v>0.10875</v>
      </c>
      <c r="H943" s="17">
        <f>G943*$H$942</f>
        <v>0.2175</v>
      </c>
      <c r="I943" s="17" t="s">
        <v>485</v>
      </c>
      <c r="J943" s="6" t="s">
        <v>2060</v>
      </c>
      <c r="K943" s="6" t="s">
        <v>2061</v>
      </c>
      <c r="L943" s="17" t="s">
        <v>89</v>
      </c>
      <c r="M943" s="6" t="s">
        <v>35</v>
      </c>
      <c r="N943" s="17" t="s">
        <v>2062</v>
      </c>
      <c r="O943" s="28"/>
      <c r="P943" s="28"/>
      <c r="Q943" s="28"/>
      <c r="R943" s="30"/>
      <c r="S943" s="30"/>
      <c r="T943" s="30"/>
      <c r="U943" s="30"/>
      <c r="V943" s="8">
        <f t="shared" si="827"/>
        <v>0</v>
      </c>
      <c r="W943" s="8">
        <f t="shared" si="828"/>
        <v>0</v>
      </c>
      <c r="X943" s="8">
        <f t="shared" si="829"/>
        <v>0</v>
      </c>
      <c r="Y943" s="33">
        <f t="shared" si="830"/>
        <v>0</v>
      </c>
      <c r="Z943" s="28"/>
      <c r="AA943" s="28"/>
      <c r="AB943" s="28">
        <v>0</v>
      </c>
      <c r="AC943" s="31"/>
      <c r="AD943" s="50">
        <f t="shared" si="831"/>
        <v>0.2175</v>
      </c>
      <c r="AE943" s="31"/>
      <c r="AF943" s="51">
        <v>14</v>
      </c>
      <c r="AG943" s="51">
        <f t="shared" si="858"/>
        <v>8.4</v>
      </c>
      <c r="AH943" s="51">
        <f t="shared" si="825"/>
        <v>42</v>
      </c>
      <c r="AI943" s="52" t="s">
        <v>2497</v>
      </c>
      <c r="AJ943" s="52" t="s">
        <v>2498</v>
      </c>
      <c r="AK943" s="53">
        <f t="shared" si="859"/>
        <v>0</v>
      </c>
      <c r="AL943" s="54">
        <f t="shared" si="860"/>
        <v>0.11904761904761904</v>
      </c>
      <c r="AM943" s="54">
        <f t="shared" si="861"/>
        <v>2.3809523809523808E-2</v>
      </c>
      <c r="AN943" s="55">
        <f t="shared" si="862"/>
        <v>0</v>
      </c>
      <c r="AO943" s="55">
        <f t="shared" si="863"/>
        <v>0</v>
      </c>
      <c r="AP943" s="53">
        <v>7.1</v>
      </c>
      <c r="AQ943" s="53">
        <f t="shared" si="832"/>
        <v>4.26</v>
      </c>
      <c r="AR943" s="53">
        <f t="shared" si="833"/>
        <v>21.299999999999997</v>
      </c>
      <c r="AS943" s="56">
        <f t="shared" si="834"/>
        <v>4.6948356807511742E-2</v>
      </c>
      <c r="AT943" s="56">
        <f t="shared" si="864"/>
        <v>0.23474178403755869</v>
      </c>
      <c r="AU943" s="56">
        <f t="shared" si="835"/>
        <v>0.176056338028169</v>
      </c>
      <c r="AV943" s="56">
        <f t="shared" si="865"/>
        <v>5.8685446009389672E-2</v>
      </c>
      <c r="AW943" s="57"/>
      <c r="AX943" s="57"/>
      <c r="AY943" s="57"/>
      <c r="AZ943" s="58">
        <f t="shared" si="866"/>
        <v>0</v>
      </c>
      <c r="BA943" s="59">
        <f t="shared" si="867"/>
        <v>0</v>
      </c>
      <c r="BB943" s="59">
        <f t="shared" si="868"/>
        <v>0</v>
      </c>
      <c r="BC943" s="59">
        <f t="shared" si="869"/>
        <v>0</v>
      </c>
      <c r="BD943" s="60">
        <f t="shared" si="870"/>
        <v>7.1095438516664771E-6</v>
      </c>
      <c r="BE943" s="59">
        <f t="shared" si="871"/>
        <v>1.5463257877374588E-6</v>
      </c>
      <c r="BQ943" s="61">
        <v>3000</v>
      </c>
      <c r="BR943" s="61">
        <v>1200</v>
      </c>
      <c r="BS943" s="28">
        <f t="shared" si="836"/>
        <v>2980</v>
      </c>
      <c r="BT943" s="28">
        <f t="shared" si="837"/>
        <v>1180</v>
      </c>
      <c r="BU943" s="28" t="s">
        <v>2541</v>
      </c>
      <c r="BV943" s="28">
        <f t="shared" si="838"/>
        <v>5</v>
      </c>
      <c r="BW943" s="28">
        <f t="shared" si="839"/>
        <v>5</v>
      </c>
      <c r="BX943" s="13">
        <f t="shared" si="840"/>
        <v>596</v>
      </c>
      <c r="BY943" s="13">
        <f t="shared" si="841"/>
        <v>596</v>
      </c>
      <c r="BZ943" s="13">
        <f t="shared" si="842"/>
        <v>236</v>
      </c>
      <c r="CA943" s="13">
        <f t="shared" si="843"/>
        <v>236</v>
      </c>
      <c r="CB943" s="13">
        <f t="shared" si="844"/>
        <v>140656</v>
      </c>
      <c r="CC943" s="62">
        <f t="shared" si="845"/>
        <v>7.1095438516664771E-6</v>
      </c>
      <c r="CD943" s="13">
        <f t="shared" si="846"/>
        <v>596</v>
      </c>
      <c r="CE943" s="13">
        <f t="shared" si="847"/>
        <v>596</v>
      </c>
      <c r="CF943" s="13">
        <f t="shared" si="848"/>
        <v>236</v>
      </c>
      <c r="CG943" s="13">
        <f t="shared" si="849"/>
        <v>236</v>
      </c>
      <c r="CH943" s="28">
        <f t="shared" si="850"/>
        <v>140656</v>
      </c>
      <c r="CI943" s="62">
        <f t="shared" si="851"/>
        <v>7.1095438516664771E-6</v>
      </c>
      <c r="CJ943" s="59">
        <f t="shared" si="852"/>
        <v>7.1095438516664771E-6</v>
      </c>
      <c r="CL943" s="63">
        <v>6000</v>
      </c>
      <c r="CM943" s="63">
        <f t="shared" si="853"/>
        <v>0</v>
      </c>
      <c r="CN943" s="63">
        <f t="shared" si="854"/>
        <v>5</v>
      </c>
      <c r="CO943" s="63">
        <f t="shared" si="855"/>
        <v>1200</v>
      </c>
      <c r="CP943" s="13">
        <f t="shared" si="856"/>
        <v>1200</v>
      </c>
      <c r="CQ943" s="70">
        <f t="shared" si="857"/>
        <v>8.3333333333333339E-4</v>
      </c>
      <c r="CR943" s="69">
        <f t="shared" si="875"/>
        <v>1.8125000000000001E-4</v>
      </c>
    </row>
    <row r="944" spans="1:96" hidden="1" x14ac:dyDescent="0.25">
      <c r="A944" s="10">
        <v>3</v>
      </c>
      <c r="B944" s="8" t="s">
        <v>1997</v>
      </c>
      <c r="C944" s="10" t="s">
        <v>2063</v>
      </c>
      <c r="D944" s="10" t="s">
        <v>2064</v>
      </c>
      <c r="E944" s="10" t="s">
        <v>32</v>
      </c>
      <c r="F944" s="12">
        <f t="shared" si="826"/>
        <v>2</v>
      </c>
      <c r="G944" s="10">
        <v>1</v>
      </c>
      <c r="H944" s="10">
        <f t="shared" ref="H944" si="876">G944*$H$903</f>
        <v>1</v>
      </c>
      <c r="I944" s="10">
        <v>23</v>
      </c>
      <c r="J944" s="8" t="s">
        <v>2043</v>
      </c>
      <c r="K944" s="8" t="s">
        <v>34</v>
      </c>
      <c r="L944" s="10">
        <v>0</v>
      </c>
      <c r="M944" s="8" t="s">
        <v>35</v>
      </c>
      <c r="N944" s="10" t="s">
        <v>2064</v>
      </c>
      <c r="O944" s="28" t="s">
        <v>41</v>
      </c>
      <c r="P944" s="28" t="s">
        <v>41</v>
      </c>
      <c r="Q944" s="28"/>
      <c r="R944" s="30"/>
      <c r="S944" s="30"/>
      <c r="T944" s="30"/>
      <c r="U944" s="30"/>
      <c r="V944" s="8">
        <f t="shared" si="827"/>
        <v>0</v>
      </c>
      <c r="W944" s="8">
        <f t="shared" si="828"/>
        <v>0</v>
      </c>
      <c r="X944" s="8">
        <f t="shared" si="829"/>
        <v>0</v>
      </c>
      <c r="Y944" s="33">
        <f t="shared" si="830"/>
        <v>0</v>
      </c>
      <c r="Z944" s="28"/>
      <c r="AA944" s="28"/>
      <c r="AB944" s="28">
        <v>0</v>
      </c>
      <c r="AC944" s="31"/>
      <c r="AD944" s="50">
        <f t="shared" si="831"/>
        <v>1</v>
      </c>
      <c r="AE944" s="31"/>
      <c r="AF944" s="51">
        <v>14</v>
      </c>
      <c r="AG944" s="51">
        <f t="shared" si="858"/>
        <v>8.4</v>
      </c>
      <c r="AH944" s="51">
        <f t="shared" si="825"/>
        <v>42</v>
      </c>
      <c r="AI944" s="52" t="s">
        <v>2497</v>
      </c>
      <c r="AJ944" s="52" t="s">
        <v>2498</v>
      </c>
      <c r="AK944" s="53">
        <f t="shared" si="859"/>
        <v>0</v>
      </c>
      <c r="AL944" s="54">
        <f t="shared" si="860"/>
        <v>0.11904761904761904</v>
      </c>
      <c r="AM944" s="54">
        <f t="shared" si="861"/>
        <v>2.3809523809523808E-2</v>
      </c>
      <c r="AN944" s="55">
        <f t="shared" si="862"/>
        <v>0</v>
      </c>
      <c r="AO944" s="55">
        <f t="shared" si="863"/>
        <v>0</v>
      </c>
      <c r="AP944" s="53">
        <v>7.1</v>
      </c>
      <c r="AQ944" s="53">
        <f t="shared" si="832"/>
        <v>4.26</v>
      </c>
      <c r="AR944" s="53">
        <f t="shared" si="833"/>
        <v>21.299999999999997</v>
      </c>
      <c r="AS944" s="56">
        <f t="shared" si="834"/>
        <v>4.6948356807511742E-2</v>
      </c>
      <c r="AT944" s="56">
        <f t="shared" si="864"/>
        <v>0.23474178403755869</v>
      </c>
      <c r="AU944" s="56">
        <f t="shared" si="835"/>
        <v>0.176056338028169</v>
      </c>
      <c r="AV944" s="56">
        <f t="shared" si="865"/>
        <v>5.8685446009389672E-2</v>
      </c>
      <c r="AW944" s="57"/>
      <c r="AX944" s="57"/>
      <c r="AY944" s="57"/>
      <c r="AZ944" s="58">
        <f t="shared" si="866"/>
        <v>0</v>
      </c>
      <c r="BA944" s="59">
        <f t="shared" si="867"/>
        <v>0</v>
      </c>
      <c r="BB944" s="59">
        <f t="shared" si="868"/>
        <v>0</v>
      </c>
      <c r="BC944" s="59">
        <f t="shared" si="869"/>
        <v>0</v>
      </c>
      <c r="BD944" s="60">
        <f t="shared" si="870"/>
        <v>0</v>
      </c>
      <c r="BE944" s="59">
        <f t="shared" si="871"/>
        <v>0</v>
      </c>
      <c r="BQ944" s="61">
        <v>3000</v>
      </c>
      <c r="BR944" s="61">
        <v>1200</v>
      </c>
      <c r="BS944" s="28">
        <f t="shared" si="836"/>
        <v>2980</v>
      </c>
      <c r="BT944" s="28">
        <f t="shared" si="837"/>
        <v>1180</v>
      </c>
      <c r="BU944" s="28" t="s">
        <v>2541</v>
      </c>
      <c r="BV944" s="28">
        <f t="shared" si="838"/>
        <v>5</v>
      </c>
      <c r="BW944" s="28">
        <f t="shared" si="839"/>
        <v>5</v>
      </c>
      <c r="BX944" s="13">
        <f t="shared" si="840"/>
        <v>596</v>
      </c>
      <c r="BY944" s="13">
        <f t="shared" si="841"/>
        <v>596</v>
      </c>
      <c r="BZ944" s="13">
        <f t="shared" si="842"/>
        <v>236</v>
      </c>
      <c r="CA944" s="13">
        <f t="shared" si="843"/>
        <v>236</v>
      </c>
      <c r="CB944" s="13">
        <f t="shared" si="844"/>
        <v>140656</v>
      </c>
      <c r="CC944" s="62" t="str">
        <f t="shared" si="845"/>
        <v/>
      </c>
      <c r="CD944" s="13">
        <f t="shared" si="846"/>
        <v>596</v>
      </c>
      <c r="CE944" s="13">
        <f t="shared" si="847"/>
        <v>596</v>
      </c>
      <c r="CF944" s="13">
        <f t="shared" si="848"/>
        <v>236</v>
      </c>
      <c r="CG944" s="13">
        <f t="shared" si="849"/>
        <v>236</v>
      </c>
      <c r="CH944" s="28">
        <f t="shared" si="850"/>
        <v>140656</v>
      </c>
      <c r="CI944" s="62" t="str">
        <f t="shared" si="851"/>
        <v/>
      </c>
      <c r="CJ944" s="59">
        <f t="shared" si="852"/>
        <v>0</v>
      </c>
      <c r="CL944" s="63">
        <v>6000</v>
      </c>
      <c r="CM944" s="63">
        <f t="shared" si="853"/>
        <v>0</v>
      </c>
      <c r="CN944" s="63">
        <f t="shared" si="854"/>
        <v>5</v>
      </c>
      <c r="CO944" s="63">
        <f t="shared" si="855"/>
        <v>1200</v>
      </c>
      <c r="CP944" s="13">
        <f t="shared" si="856"/>
        <v>1200</v>
      </c>
      <c r="CQ944" s="70">
        <f t="shared" si="857"/>
        <v>8.3333333333333339E-4</v>
      </c>
      <c r="CR944" s="69">
        <f t="shared" si="875"/>
        <v>8.3333333333333339E-4</v>
      </c>
    </row>
    <row r="945" spans="1:96" hidden="1" x14ac:dyDescent="0.25">
      <c r="A945" s="13">
        <v>4</v>
      </c>
      <c r="B945" s="14" t="s">
        <v>2065</v>
      </c>
      <c r="C945" s="13" t="s">
        <v>2066</v>
      </c>
      <c r="D945" s="13" t="s">
        <v>2067</v>
      </c>
      <c r="E945" s="13" t="s">
        <v>52</v>
      </c>
      <c r="F945" s="15">
        <f t="shared" si="826"/>
        <v>2</v>
      </c>
      <c r="G945" s="13">
        <v>1</v>
      </c>
      <c r="H945" s="13">
        <f>G945*$H$944</f>
        <v>1</v>
      </c>
      <c r="I945" s="13">
        <v>1</v>
      </c>
      <c r="J945" s="14" t="s">
        <v>2047</v>
      </c>
      <c r="K945" s="14" t="s">
        <v>34</v>
      </c>
      <c r="L945" s="13">
        <v>0</v>
      </c>
      <c r="M945" s="14" t="s">
        <v>35</v>
      </c>
      <c r="N945" s="13" t="s">
        <v>2067</v>
      </c>
      <c r="O945" s="28" t="s">
        <v>41</v>
      </c>
      <c r="P945" s="28" t="s">
        <v>41</v>
      </c>
      <c r="Q945" s="28" t="s">
        <v>2049</v>
      </c>
      <c r="R945" s="30">
        <v>25.09</v>
      </c>
      <c r="S945" s="30">
        <v>8.76</v>
      </c>
      <c r="T945" s="30"/>
      <c r="U945" s="30">
        <v>4.4999999999999998E-2</v>
      </c>
      <c r="V945" s="8">
        <f t="shared" si="827"/>
        <v>637.28599999999994</v>
      </c>
      <c r="W945" s="8">
        <f t="shared" si="828"/>
        <v>222.50399999999999</v>
      </c>
      <c r="X945" s="8">
        <f t="shared" si="829"/>
        <v>0</v>
      </c>
      <c r="Y945" s="33">
        <f t="shared" si="830"/>
        <v>1.1429999999999998</v>
      </c>
      <c r="Z945" s="28" t="s">
        <v>2037</v>
      </c>
      <c r="AA945" s="28" t="s">
        <v>2038</v>
      </c>
      <c r="AB945" s="61" t="s">
        <v>2049</v>
      </c>
      <c r="AC945" s="31" t="s">
        <v>2050</v>
      </c>
      <c r="AD945" s="50">
        <f t="shared" si="831"/>
        <v>1</v>
      </c>
      <c r="AE945" s="5" t="s">
        <v>2051</v>
      </c>
      <c r="AF945" s="51">
        <v>14</v>
      </c>
      <c r="AG945" s="51">
        <f t="shared" si="858"/>
        <v>8.4</v>
      </c>
      <c r="AH945" s="51">
        <f t="shared" si="825"/>
        <v>42</v>
      </c>
      <c r="AI945" s="52" t="s">
        <v>2497</v>
      </c>
      <c r="AJ945" s="52" t="s">
        <v>2498</v>
      </c>
      <c r="AK945" s="53">
        <f t="shared" si="859"/>
        <v>0.28359736828799992</v>
      </c>
      <c r="AL945" s="54">
        <f t="shared" si="860"/>
        <v>0.11904761904761904</v>
      </c>
      <c r="AM945" s="54">
        <f t="shared" si="861"/>
        <v>2.3809523809523808E-2</v>
      </c>
      <c r="AN945" s="55">
        <f t="shared" si="862"/>
        <v>3.3761591462857128E-2</v>
      </c>
      <c r="AO945" s="55">
        <f t="shared" si="863"/>
        <v>6.7523182925714265E-3</v>
      </c>
      <c r="AP945" s="53">
        <v>7.1</v>
      </c>
      <c r="AQ945" s="53">
        <f t="shared" si="832"/>
        <v>4.26</v>
      </c>
      <c r="AR945" s="53">
        <f t="shared" si="833"/>
        <v>21.299999999999997</v>
      </c>
      <c r="AS945" s="56">
        <f t="shared" si="834"/>
        <v>4.6948356807511742E-2</v>
      </c>
      <c r="AT945" s="56">
        <f t="shared" si="864"/>
        <v>0.23474178403755869</v>
      </c>
      <c r="AU945" s="56">
        <f t="shared" si="835"/>
        <v>0.176056338028169</v>
      </c>
      <c r="AV945" s="56">
        <f t="shared" si="865"/>
        <v>5.8685446009389672E-2</v>
      </c>
      <c r="AW945" s="57"/>
      <c r="AX945" s="57"/>
      <c r="AY945" s="57"/>
      <c r="AZ945" s="58">
        <f t="shared" si="866"/>
        <v>0.28359736828799992</v>
      </c>
      <c r="BA945" s="59">
        <f t="shared" si="867"/>
        <v>0</v>
      </c>
      <c r="BB945" s="59">
        <f t="shared" si="868"/>
        <v>0</v>
      </c>
      <c r="BC945" s="59">
        <f t="shared" si="869"/>
        <v>0</v>
      </c>
      <c r="BD945" s="60">
        <f t="shared" si="870"/>
        <v>0.05</v>
      </c>
      <c r="BE945" s="59">
        <f t="shared" si="871"/>
        <v>0.05</v>
      </c>
      <c r="BQ945" s="61">
        <v>3000</v>
      </c>
      <c r="BR945" s="61">
        <v>1200</v>
      </c>
      <c r="BS945" s="28">
        <f t="shared" si="836"/>
        <v>2980</v>
      </c>
      <c r="BT945" s="28">
        <f t="shared" si="837"/>
        <v>1180</v>
      </c>
      <c r="BU945" s="28" t="s">
        <v>2541</v>
      </c>
      <c r="BV945" s="28">
        <f t="shared" si="838"/>
        <v>642.28599999999994</v>
      </c>
      <c r="BW945" s="28">
        <f t="shared" si="839"/>
        <v>227.50399999999999</v>
      </c>
      <c r="BX945" s="13">
        <f t="shared" si="840"/>
        <v>4.6396776513889453</v>
      </c>
      <c r="BY945" s="13">
        <f t="shared" si="841"/>
        <v>4</v>
      </c>
      <c r="BZ945" s="13">
        <f t="shared" si="842"/>
        <v>5.186721991701245</v>
      </c>
      <c r="CA945" s="13">
        <f t="shared" si="843"/>
        <v>5</v>
      </c>
      <c r="CB945" s="13">
        <f t="shared" si="844"/>
        <v>20</v>
      </c>
      <c r="CC945" s="62">
        <f t="shared" si="845"/>
        <v>0.05</v>
      </c>
      <c r="CD945" s="13">
        <f t="shared" si="846"/>
        <v>13.09867079260145</v>
      </c>
      <c r="CE945" s="13">
        <f t="shared" si="847"/>
        <v>13</v>
      </c>
      <c r="CF945" s="13">
        <f t="shared" si="848"/>
        <v>1.837187794845287</v>
      </c>
      <c r="CG945" s="13">
        <f t="shared" si="849"/>
        <v>1</v>
      </c>
      <c r="CH945" s="28">
        <f t="shared" si="850"/>
        <v>13</v>
      </c>
      <c r="CI945" s="62">
        <f t="shared" si="851"/>
        <v>7.6923076923076927E-2</v>
      </c>
      <c r="CJ945" s="59">
        <f t="shared" si="852"/>
        <v>0.05</v>
      </c>
      <c r="CL945" s="63">
        <v>6000</v>
      </c>
      <c r="CM945" s="63">
        <f t="shared" si="853"/>
        <v>637.28599999999994</v>
      </c>
      <c r="CN945" s="63">
        <f t="shared" si="854"/>
        <v>642.28599999999994</v>
      </c>
      <c r="CO945" s="63">
        <f t="shared" si="855"/>
        <v>9.3416328551455283</v>
      </c>
      <c r="CP945" s="13">
        <f t="shared" si="856"/>
        <v>9</v>
      </c>
      <c r="CQ945" s="70">
        <f t="shared" si="857"/>
        <v>0.1111111111111111</v>
      </c>
      <c r="CR945" s="69">
        <f t="shared" si="875"/>
        <v>0.1111111111111111</v>
      </c>
    </row>
    <row r="946" spans="1:96" hidden="1" x14ac:dyDescent="0.25">
      <c r="A946" s="13">
        <v>4</v>
      </c>
      <c r="B946" s="14" t="s">
        <v>2065</v>
      </c>
      <c r="C946" s="13" t="s">
        <v>2068</v>
      </c>
      <c r="D946" s="13" t="s">
        <v>2069</v>
      </c>
      <c r="E946" s="13" t="s">
        <v>52</v>
      </c>
      <c r="F946" s="15">
        <f t="shared" si="826"/>
        <v>2</v>
      </c>
      <c r="G946" s="13">
        <v>1</v>
      </c>
      <c r="H946" s="13">
        <f>G946*$H$944</f>
        <v>1</v>
      </c>
      <c r="I946" s="13">
        <v>2</v>
      </c>
      <c r="J946" s="14" t="s">
        <v>2053</v>
      </c>
      <c r="K946" s="14" t="s">
        <v>34</v>
      </c>
      <c r="L946" s="13">
        <v>0</v>
      </c>
      <c r="M946" s="14" t="s">
        <v>340</v>
      </c>
      <c r="N946" s="13" t="s">
        <v>2069</v>
      </c>
      <c r="O946" s="28"/>
      <c r="P946" s="28"/>
      <c r="Q946" s="28" t="s">
        <v>2069</v>
      </c>
      <c r="R946" s="30">
        <v>22.72</v>
      </c>
      <c r="S946" s="30">
        <v>7.1</v>
      </c>
      <c r="T946" s="30"/>
      <c r="U946" s="30">
        <v>1</v>
      </c>
      <c r="V946" s="8">
        <f t="shared" si="827"/>
        <v>577.08799999999997</v>
      </c>
      <c r="W946" s="8">
        <f t="shared" si="828"/>
        <v>180.33999999999997</v>
      </c>
      <c r="X946" s="8">
        <f t="shared" si="829"/>
        <v>0</v>
      </c>
      <c r="Y946" s="33">
        <f t="shared" si="830"/>
        <v>25.4</v>
      </c>
      <c r="Z946" s="28" t="s">
        <v>2056</v>
      </c>
      <c r="AA946" s="28" t="s">
        <v>2057</v>
      </c>
      <c r="AB946" s="61" t="s">
        <v>2069</v>
      </c>
      <c r="AC946" s="31" t="s">
        <v>2070</v>
      </c>
      <c r="AD946" s="50">
        <f t="shared" si="831"/>
        <v>1</v>
      </c>
      <c r="AE946" s="31"/>
      <c r="AF946" s="51">
        <v>14</v>
      </c>
      <c r="AG946" s="51">
        <f t="shared" si="858"/>
        <v>8.4</v>
      </c>
      <c r="AH946" s="51">
        <f t="shared" si="825"/>
        <v>42</v>
      </c>
      <c r="AI946" s="52" t="s">
        <v>2497</v>
      </c>
      <c r="AJ946" s="52" t="s">
        <v>2498</v>
      </c>
      <c r="AK946" s="53">
        <f t="shared" si="859"/>
        <v>0.20814409983999996</v>
      </c>
      <c r="AL946" s="54">
        <f t="shared" si="860"/>
        <v>0.11904761904761904</v>
      </c>
      <c r="AM946" s="54">
        <f t="shared" si="861"/>
        <v>2.3809523809523808E-2</v>
      </c>
      <c r="AN946" s="55">
        <f t="shared" si="862"/>
        <v>2.4779059504761898E-2</v>
      </c>
      <c r="AO946" s="55">
        <f t="shared" si="863"/>
        <v>4.9558119009523796E-3</v>
      </c>
      <c r="AP946" s="53">
        <v>7.1</v>
      </c>
      <c r="AQ946" s="53">
        <f t="shared" si="832"/>
        <v>4.26</v>
      </c>
      <c r="AR946" s="53">
        <f t="shared" si="833"/>
        <v>21.299999999999997</v>
      </c>
      <c r="AS946" s="56">
        <f t="shared" si="834"/>
        <v>4.6948356807511742E-2</v>
      </c>
      <c r="AT946" s="56">
        <f t="shared" si="864"/>
        <v>0.23474178403755869</v>
      </c>
      <c r="AU946" s="56">
        <f t="shared" si="835"/>
        <v>0.176056338028169</v>
      </c>
      <c r="AV946" s="56">
        <f t="shared" si="865"/>
        <v>5.8685446009389672E-2</v>
      </c>
      <c r="AW946" s="57"/>
      <c r="AX946" s="57"/>
      <c r="AY946" s="57"/>
      <c r="AZ946" s="58">
        <f t="shared" si="866"/>
        <v>0.20814409983999996</v>
      </c>
      <c r="BA946" s="59">
        <f t="shared" si="867"/>
        <v>0</v>
      </c>
      <c r="BB946" s="59">
        <f t="shared" si="868"/>
        <v>0</v>
      </c>
      <c r="BC946" s="59">
        <f t="shared" si="869"/>
        <v>0</v>
      </c>
      <c r="BD946" s="60">
        <f t="shared" si="870"/>
        <v>3.125E-2</v>
      </c>
      <c r="BE946" s="59">
        <f t="shared" si="871"/>
        <v>3.125E-2</v>
      </c>
      <c r="BQ946" s="61">
        <v>3000</v>
      </c>
      <c r="BR946" s="61">
        <v>1200</v>
      </c>
      <c r="BS946" s="28">
        <f t="shared" si="836"/>
        <v>2980</v>
      </c>
      <c r="BT946" s="28">
        <f t="shared" si="837"/>
        <v>1180</v>
      </c>
      <c r="BU946" s="28" t="s">
        <v>2541</v>
      </c>
      <c r="BV946" s="28">
        <f t="shared" si="838"/>
        <v>582.08799999999997</v>
      </c>
      <c r="BW946" s="28">
        <f t="shared" si="839"/>
        <v>185.33999999999997</v>
      </c>
      <c r="BX946" s="13">
        <f t="shared" si="840"/>
        <v>5.1195008314893968</v>
      </c>
      <c r="BY946" s="13">
        <f t="shared" si="841"/>
        <v>5</v>
      </c>
      <c r="BZ946" s="13">
        <f t="shared" si="842"/>
        <v>6.3666774576454097</v>
      </c>
      <c r="CA946" s="13">
        <f t="shared" si="843"/>
        <v>6</v>
      </c>
      <c r="CB946" s="13">
        <f t="shared" si="844"/>
        <v>30</v>
      </c>
      <c r="CC946" s="62">
        <f t="shared" si="845"/>
        <v>3.3333333333333333E-2</v>
      </c>
      <c r="CD946" s="13">
        <f t="shared" si="846"/>
        <v>16.078558325240103</v>
      </c>
      <c r="CE946" s="13">
        <f t="shared" si="847"/>
        <v>16</v>
      </c>
      <c r="CF946" s="13">
        <f t="shared" si="848"/>
        <v>2.0271848930058685</v>
      </c>
      <c r="CG946" s="13">
        <f t="shared" si="849"/>
        <v>2</v>
      </c>
      <c r="CH946" s="28">
        <f t="shared" si="850"/>
        <v>32</v>
      </c>
      <c r="CI946" s="62">
        <f t="shared" si="851"/>
        <v>3.125E-2</v>
      </c>
      <c r="CJ946" s="59">
        <f t="shared" si="852"/>
        <v>3.125E-2</v>
      </c>
      <c r="CL946" s="63">
        <v>6000</v>
      </c>
      <c r="CM946" s="63">
        <f t="shared" si="853"/>
        <v>577.08799999999997</v>
      </c>
      <c r="CN946" s="63">
        <f t="shared" si="854"/>
        <v>582.08799999999997</v>
      </c>
      <c r="CO946" s="63">
        <f t="shared" si="855"/>
        <v>10.307719794945095</v>
      </c>
      <c r="CP946" s="13">
        <f t="shared" si="856"/>
        <v>10</v>
      </c>
      <c r="CQ946" s="70">
        <f t="shared" si="857"/>
        <v>0.1</v>
      </c>
      <c r="CR946" s="69">
        <f t="shared" si="875"/>
        <v>0.1</v>
      </c>
    </row>
    <row r="947" spans="1:96" hidden="1" x14ac:dyDescent="0.25">
      <c r="A947" s="17">
        <v>5</v>
      </c>
      <c r="B947" s="6" t="s">
        <v>2071</v>
      </c>
      <c r="C947" s="17" t="s">
        <v>2056</v>
      </c>
      <c r="D947" s="17" t="s">
        <v>2055</v>
      </c>
      <c r="E947" s="17" t="s">
        <v>52</v>
      </c>
      <c r="F947" s="7">
        <f t="shared" si="826"/>
        <v>6</v>
      </c>
      <c r="G947" s="17">
        <v>1.1200000000000001</v>
      </c>
      <c r="H947" s="17">
        <f>G947*$H$946</f>
        <v>1.1200000000000001</v>
      </c>
      <c r="I947" s="17" t="s">
        <v>485</v>
      </c>
      <c r="J947" s="6" t="s">
        <v>2060</v>
      </c>
      <c r="K947" s="6" t="s">
        <v>2061</v>
      </c>
      <c r="L947" s="17" t="s">
        <v>89</v>
      </c>
      <c r="M947" s="6" t="s">
        <v>340</v>
      </c>
      <c r="N947" s="17" t="s">
        <v>2072</v>
      </c>
      <c r="O947" s="28"/>
      <c r="P947" s="28"/>
      <c r="Q947" s="28"/>
      <c r="R947" s="30"/>
      <c r="S947" s="30"/>
      <c r="T947" s="30"/>
      <c r="U947" s="30"/>
      <c r="V947" s="8">
        <f t="shared" si="827"/>
        <v>0</v>
      </c>
      <c r="W947" s="8">
        <f t="shared" si="828"/>
        <v>0</v>
      </c>
      <c r="X947" s="8">
        <f t="shared" si="829"/>
        <v>0</v>
      </c>
      <c r="Y947" s="33">
        <f t="shared" si="830"/>
        <v>0</v>
      </c>
      <c r="Z947" s="28"/>
      <c r="AA947" s="28"/>
      <c r="AB947" s="28">
        <v>0</v>
      </c>
      <c r="AC947" s="31"/>
      <c r="AD947" s="50">
        <f t="shared" si="831"/>
        <v>1.1200000000000001</v>
      </c>
      <c r="AE947" s="31"/>
      <c r="AF947" s="51">
        <v>14</v>
      </c>
      <c r="AG947" s="51">
        <f t="shared" si="858"/>
        <v>8.4</v>
      </c>
      <c r="AH947" s="51">
        <f t="shared" si="825"/>
        <v>42</v>
      </c>
      <c r="AI947" s="52" t="s">
        <v>2497</v>
      </c>
      <c r="AJ947" s="52" t="s">
        <v>2498</v>
      </c>
      <c r="AK947" s="53">
        <f t="shared" si="859"/>
        <v>0</v>
      </c>
      <c r="AL947" s="54">
        <f t="shared" si="860"/>
        <v>0.11904761904761904</v>
      </c>
      <c r="AM947" s="54">
        <f t="shared" si="861"/>
        <v>2.3809523809523808E-2</v>
      </c>
      <c r="AN947" s="55">
        <f t="shared" si="862"/>
        <v>0</v>
      </c>
      <c r="AO947" s="55">
        <f t="shared" si="863"/>
        <v>0</v>
      </c>
      <c r="AP947" s="53">
        <v>7.1</v>
      </c>
      <c r="AQ947" s="53">
        <f t="shared" si="832"/>
        <v>4.26</v>
      </c>
      <c r="AR947" s="53">
        <f t="shared" si="833"/>
        <v>21.299999999999997</v>
      </c>
      <c r="AS947" s="56">
        <f t="shared" si="834"/>
        <v>4.6948356807511742E-2</v>
      </c>
      <c r="AT947" s="56">
        <f t="shared" si="864"/>
        <v>0.23474178403755869</v>
      </c>
      <c r="AU947" s="56">
        <f t="shared" si="835"/>
        <v>0.176056338028169</v>
      </c>
      <c r="AV947" s="56">
        <f t="shared" si="865"/>
        <v>5.8685446009389672E-2</v>
      </c>
      <c r="AW947" s="57"/>
      <c r="AX947" s="57"/>
      <c r="AY947" s="57"/>
      <c r="AZ947" s="58">
        <f t="shared" si="866"/>
        <v>0</v>
      </c>
      <c r="BA947" s="59">
        <f t="shared" si="867"/>
        <v>0</v>
      </c>
      <c r="BB947" s="59">
        <f t="shared" si="868"/>
        <v>0</v>
      </c>
      <c r="BC947" s="59">
        <f t="shared" si="869"/>
        <v>0</v>
      </c>
      <c r="BD947" s="60">
        <f t="shared" si="870"/>
        <v>7.1095438516664771E-6</v>
      </c>
      <c r="BE947" s="59">
        <f t="shared" si="871"/>
        <v>7.9626891138664552E-6</v>
      </c>
      <c r="BQ947" s="61">
        <v>3000</v>
      </c>
      <c r="BR947" s="61">
        <v>1200</v>
      </c>
      <c r="BS947" s="28">
        <f t="shared" si="836"/>
        <v>2980</v>
      </c>
      <c r="BT947" s="28">
        <f t="shared" si="837"/>
        <v>1180</v>
      </c>
      <c r="BU947" s="28" t="s">
        <v>2541</v>
      </c>
      <c r="BV947" s="28">
        <f t="shared" si="838"/>
        <v>5</v>
      </c>
      <c r="BW947" s="28">
        <f t="shared" si="839"/>
        <v>5</v>
      </c>
      <c r="BX947" s="13">
        <f t="shared" si="840"/>
        <v>596</v>
      </c>
      <c r="BY947" s="13">
        <f t="shared" si="841"/>
        <v>596</v>
      </c>
      <c r="BZ947" s="13">
        <f t="shared" si="842"/>
        <v>236</v>
      </c>
      <c r="CA947" s="13">
        <f t="shared" si="843"/>
        <v>236</v>
      </c>
      <c r="CB947" s="13">
        <f t="shared" si="844"/>
        <v>140656</v>
      </c>
      <c r="CC947" s="62">
        <f t="shared" si="845"/>
        <v>7.1095438516664771E-6</v>
      </c>
      <c r="CD947" s="13">
        <f t="shared" si="846"/>
        <v>596</v>
      </c>
      <c r="CE947" s="13">
        <f t="shared" si="847"/>
        <v>596</v>
      </c>
      <c r="CF947" s="13">
        <f t="shared" si="848"/>
        <v>236</v>
      </c>
      <c r="CG947" s="13">
        <f t="shared" si="849"/>
        <v>236</v>
      </c>
      <c r="CH947" s="28">
        <f t="shared" si="850"/>
        <v>140656</v>
      </c>
      <c r="CI947" s="62">
        <f t="shared" si="851"/>
        <v>7.1095438516664771E-6</v>
      </c>
      <c r="CJ947" s="59">
        <f t="shared" si="852"/>
        <v>7.1095438516664771E-6</v>
      </c>
      <c r="CL947" s="63">
        <v>6000</v>
      </c>
      <c r="CM947" s="63">
        <f t="shared" si="853"/>
        <v>0</v>
      </c>
      <c r="CN947" s="63">
        <f t="shared" si="854"/>
        <v>5</v>
      </c>
      <c r="CO947" s="63">
        <f t="shared" si="855"/>
        <v>1200</v>
      </c>
      <c r="CP947" s="13">
        <f t="shared" si="856"/>
        <v>1200</v>
      </c>
      <c r="CQ947" s="70">
        <f t="shared" si="857"/>
        <v>8.3333333333333339E-4</v>
      </c>
      <c r="CR947" s="69">
        <f t="shared" si="875"/>
        <v>9.3333333333333343E-4</v>
      </c>
    </row>
    <row r="948" spans="1:96" hidden="1" x14ac:dyDescent="0.25">
      <c r="A948" s="10">
        <v>3</v>
      </c>
      <c r="B948" s="8" t="s">
        <v>1997</v>
      </c>
      <c r="C948" s="10" t="s">
        <v>2073</v>
      </c>
      <c r="D948" s="10" t="s">
        <v>2074</v>
      </c>
      <c r="E948" s="10" t="s">
        <v>32</v>
      </c>
      <c r="F948" s="12">
        <f t="shared" si="826"/>
        <v>2</v>
      </c>
      <c r="G948" s="10">
        <v>1</v>
      </c>
      <c r="H948" s="10">
        <f t="shared" ref="H948" si="877">G948*$H$903</f>
        <v>1</v>
      </c>
      <c r="I948" s="10">
        <v>24</v>
      </c>
      <c r="J948" s="8" t="s">
        <v>2043</v>
      </c>
      <c r="K948" s="8" t="s">
        <v>34</v>
      </c>
      <c r="L948" s="10">
        <v>0</v>
      </c>
      <c r="M948" s="8" t="s">
        <v>35</v>
      </c>
      <c r="N948" s="10" t="s">
        <v>2074</v>
      </c>
      <c r="O948" s="28" t="s">
        <v>41</v>
      </c>
      <c r="P948" s="28" t="s">
        <v>41</v>
      </c>
      <c r="Q948" s="28"/>
      <c r="R948" s="30"/>
      <c r="S948" s="30"/>
      <c r="T948" s="30"/>
      <c r="U948" s="30"/>
      <c r="V948" s="8">
        <f t="shared" si="827"/>
        <v>0</v>
      </c>
      <c r="W948" s="8">
        <f t="shared" si="828"/>
        <v>0</v>
      </c>
      <c r="X948" s="8">
        <f t="shared" si="829"/>
        <v>0</v>
      </c>
      <c r="Y948" s="33">
        <f t="shared" si="830"/>
        <v>0</v>
      </c>
      <c r="Z948" s="28"/>
      <c r="AA948" s="28"/>
      <c r="AB948" s="28">
        <v>0</v>
      </c>
      <c r="AC948" s="31"/>
      <c r="AD948" s="50">
        <f t="shared" si="831"/>
        <v>1</v>
      </c>
      <c r="AE948" s="31"/>
      <c r="AF948" s="51">
        <v>14</v>
      </c>
      <c r="AG948" s="51">
        <f t="shared" si="858"/>
        <v>8.4</v>
      </c>
      <c r="AH948" s="51">
        <f t="shared" si="825"/>
        <v>42</v>
      </c>
      <c r="AI948" s="52" t="s">
        <v>2497</v>
      </c>
      <c r="AJ948" s="52" t="s">
        <v>2498</v>
      </c>
      <c r="AK948" s="53">
        <f t="shared" si="859"/>
        <v>0</v>
      </c>
      <c r="AL948" s="54">
        <f t="shared" si="860"/>
        <v>0.11904761904761904</v>
      </c>
      <c r="AM948" s="54">
        <f t="shared" si="861"/>
        <v>2.3809523809523808E-2</v>
      </c>
      <c r="AN948" s="55">
        <f t="shared" si="862"/>
        <v>0</v>
      </c>
      <c r="AO948" s="55">
        <f t="shared" si="863"/>
        <v>0</v>
      </c>
      <c r="AP948" s="53">
        <v>7.1</v>
      </c>
      <c r="AQ948" s="53">
        <f t="shared" si="832"/>
        <v>4.26</v>
      </c>
      <c r="AR948" s="53">
        <f t="shared" si="833"/>
        <v>21.299999999999997</v>
      </c>
      <c r="AS948" s="56">
        <f t="shared" si="834"/>
        <v>4.6948356807511742E-2</v>
      </c>
      <c r="AT948" s="56">
        <f t="shared" si="864"/>
        <v>0.23474178403755869</v>
      </c>
      <c r="AU948" s="56">
        <f t="shared" si="835"/>
        <v>0.176056338028169</v>
      </c>
      <c r="AV948" s="56">
        <f t="shared" si="865"/>
        <v>5.8685446009389672E-2</v>
      </c>
      <c r="AW948" s="57"/>
      <c r="AX948" s="57"/>
      <c r="AY948" s="57"/>
      <c r="AZ948" s="58">
        <f t="shared" si="866"/>
        <v>0</v>
      </c>
      <c r="BA948" s="59">
        <f t="shared" si="867"/>
        <v>0</v>
      </c>
      <c r="BB948" s="59">
        <f t="shared" si="868"/>
        <v>0</v>
      </c>
      <c r="BC948" s="59">
        <f t="shared" si="869"/>
        <v>0</v>
      </c>
      <c r="BD948" s="60">
        <f t="shared" si="870"/>
        <v>0</v>
      </c>
      <c r="BE948" s="59">
        <f t="shared" si="871"/>
        <v>0</v>
      </c>
      <c r="BQ948" s="61">
        <v>3000</v>
      </c>
      <c r="BR948" s="61">
        <v>1200</v>
      </c>
      <c r="BS948" s="28">
        <f t="shared" si="836"/>
        <v>2980</v>
      </c>
      <c r="BT948" s="28">
        <f t="shared" si="837"/>
        <v>1180</v>
      </c>
      <c r="BU948" s="28" t="s">
        <v>2541</v>
      </c>
      <c r="BV948" s="28">
        <f t="shared" si="838"/>
        <v>5</v>
      </c>
      <c r="BW948" s="28">
        <f t="shared" si="839"/>
        <v>5</v>
      </c>
      <c r="BX948" s="13">
        <f t="shared" si="840"/>
        <v>596</v>
      </c>
      <c r="BY948" s="13">
        <f t="shared" si="841"/>
        <v>596</v>
      </c>
      <c r="BZ948" s="13">
        <f t="shared" si="842"/>
        <v>236</v>
      </c>
      <c r="CA948" s="13">
        <f t="shared" si="843"/>
        <v>236</v>
      </c>
      <c r="CB948" s="13">
        <f t="shared" si="844"/>
        <v>140656</v>
      </c>
      <c r="CC948" s="62" t="str">
        <f t="shared" si="845"/>
        <v/>
      </c>
      <c r="CD948" s="13">
        <f t="shared" si="846"/>
        <v>596</v>
      </c>
      <c r="CE948" s="13">
        <f t="shared" si="847"/>
        <v>596</v>
      </c>
      <c r="CF948" s="13">
        <f t="shared" si="848"/>
        <v>236</v>
      </c>
      <c r="CG948" s="13">
        <f t="shared" si="849"/>
        <v>236</v>
      </c>
      <c r="CH948" s="28">
        <f t="shared" si="850"/>
        <v>140656</v>
      </c>
      <c r="CI948" s="62" t="str">
        <f t="shared" si="851"/>
        <v/>
      </c>
      <c r="CJ948" s="59">
        <f t="shared" si="852"/>
        <v>0</v>
      </c>
      <c r="CL948" s="63">
        <v>6000</v>
      </c>
      <c r="CM948" s="63">
        <f t="shared" si="853"/>
        <v>0</v>
      </c>
      <c r="CN948" s="63">
        <f t="shared" si="854"/>
        <v>5</v>
      </c>
      <c r="CO948" s="63">
        <f t="shared" si="855"/>
        <v>1200</v>
      </c>
      <c r="CP948" s="13">
        <f t="shared" si="856"/>
        <v>1200</v>
      </c>
      <c r="CQ948" s="70">
        <f t="shared" si="857"/>
        <v>8.3333333333333339E-4</v>
      </c>
      <c r="CR948" s="69">
        <f t="shared" si="875"/>
        <v>8.3333333333333339E-4</v>
      </c>
    </row>
    <row r="949" spans="1:96" hidden="1" x14ac:dyDescent="0.25">
      <c r="A949" s="13">
        <v>4</v>
      </c>
      <c r="B949" s="14" t="s">
        <v>2075</v>
      </c>
      <c r="C949" s="13" t="s">
        <v>2076</v>
      </c>
      <c r="D949" s="13" t="s">
        <v>2077</v>
      </c>
      <c r="E949" s="13" t="s">
        <v>52</v>
      </c>
      <c r="F949" s="15">
        <f t="shared" si="826"/>
        <v>2</v>
      </c>
      <c r="G949" s="13">
        <v>1</v>
      </c>
      <c r="H949" s="13">
        <f>G949*$H$948</f>
        <v>1</v>
      </c>
      <c r="I949" s="13">
        <v>1</v>
      </c>
      <c r="J949" s="14" t="s">
        <v>2047</v>
      </c>
      <c r="K949" s="14" t="s">
        <v>34</v>
      </c>
      <c r="L949" s="13">
        <v>0</v>
      </c>
      <c r="M949" s="14" t="s">
        <v>35</v>
      </c>
      <c r="N949" s="13" t="s">
        <v>2077</v>
      </c>
      <c r="O949" s="28" t="s">
        <v>41</v>
      </c>
      <c r="P949" s="28" t="s">
        <v>41</v>
      </c>
      <c r="Q949" s="28" t="s">
        <v>2049</v>
      </c>
      <c r="R949" s="30">
        <v>31.95</v>
      </c>
      <c r="S949" s="30">
        <v>13.201000000000001</v>
      </c>
      <c r="T949" s="30"/>
      <c r="U949" s="30">
        <v>4.4999999999999998E-2</v>
      </c>
      <c r="V949" s="8">
        <f t="shared" si="827"/>
        <v>811.53</v>
      </c>
      <c r="W949" s="8">
        <f t="shared" si="828"/>
        <v>335.30540000000002</v>
      </c>
      <c r="X949" s="8">
        <f t="shared" si="829"/>
        <v>0</v>
      </c>
      <c r="Y949" s="33">
        <f t="shared" si="830"/>
        <v>1.1429999999999998</v>
      </c>
      <c r="Z949" s="28" t="s">
        <v>2037</v>
      </c>
      <c r="AA949" s="28" t="s">
        <v>2038</v>
      </c>
      <c r="AB949" s="61" t="s">
        <v>2049</v>
      </c>
      <c r="AC949" s="31" t="s">
        <v>2050</v>
      </c>
      <c r="AD949" s="50">
        <f t="shared" si="831"/>
        <v>1</v>
      </c>
      <c r="AE949" s="5" t="s">
        <v>2051</v>
      </c>
      <c r="AF949" s="51">
        <v>14</v>
      </c>
      <c r="AG949" s="51">
        <f t="shared" si="858"/>
        <v>8.4</v>
      </c>
      <c r="AH949" s="51">
        <f t="shared" si="825"/>
        <v>42</v>
      </c>
      <c r="AI949" s="52" t="s">
        <v>2497</v>
      </c>
      <c r="AJ949" s="52" t="s">
        <v>2498</v>
      </c>
      <c r="AK949" s="53">
        <f t="shared" si="859"/>
        <v>0.54422078252400008</v>
      </c>
      <c r="AL949" s="54">
        <f t="shared" si="860"/>
        <v>0.11904761904761904</v>
      </c>
      <c r="AM949" s="54">
        <f t="shared" si="861"/>
        <v>2.3809523809523808E-2</v>
      </c>
      <c r="AN949" s="55">
        <f t="shared" si="862"/>
        <v>6.4788188395714291E-2</v>
      </c>
      <c r="AO949" s="55">
        <f t="shared" si="863"/>
        <v>1.2957637679142858E-2</v>
      </c>
      <c r="AP949" s="53">
        <v>7.1</v>
      </c>
      <c r="AQ949" s="53">
        <f t="shared" si="832"/>
        <v>4.26</v>
      </c>
      <c r="AR949" s="53">
        <f t="shared" si="833"/>
        <v>21.299999999999997</v>
      </c>
      <c r="AS949" s="56">
        <f t="shared" si="834"/>
        <v>4.6948356807511742E-2</v>
      </c>
      <c r="AT949" s="56">
        <f t="shared" si="864"/>
        <v>0.23474178403755869</v>
      </c>
      <c r="AU949" s="56">
        <f t="shared" si="835"/>
        <v>0.176056338028169</v>
      </c>
      <c r="AV949" s="56">
        <f t="shared" si="865"/>
        <v>5.8685446009389672E-2</v>
      </c>
      <c r="AW949" s="57"/>
      <c r="AX949" s="57"/>
      <c r="AY949" s="57"/>
      <c r="AZ949" s="58">
        <f t="shared" si="866"/>
        <v>0.54422078252400008</v>
      </c>
      <c r="BA949" s="59">
        <f t="shared" si="867"/>
        <v>0</v>
      </c>
      <c r="BB949" s="59">
        <f t="shared" si="868"/>
        <v>0</v>
      </c>
      <c r="BC949" s="59">
        <f t="shared" si="869"/>
        <v>0</v>
      </c>
      <c r="BD949" s="60">
        <f t="shared" si="870"/>
        <v>0.1111111111111111</v>
      </c>
      <c r="BE949" s="59">
        <f t="shared" si="871"/>
        <v>0.1111111111111111</v>
      </c>
      <c r="BQ949" s="61">
        <v>3000</v>
      </c>
      <c r="BR949" s="61">
        <v>1200</v>
      </c>
      <c r="BS949" s="28">
        <f t="shared" si="836"/>
        <v>2980</v>
      </c>
      <c r="BT949" s="28">
        <f t="shared" si="837"/>
        <v>1180</v>
      </c>
      <c r="BU949" s="28" t="s">
        <v>2541</v>
      </c>
      <c r="BV949" s="28">
        <f t="shared" si="838"/>
        <v>816.53</v>
      </c>
      <c r="BW949" s="28">
        <f t="shared" si="839"/>
        <v>340.30540000000002</v>
      </c>
      <c r="BX949" s="13">
        <f t="shared" si="840"/>
        <v>3.6495903396078528</v>
      </c>
      <c r="BY949" s="13">
        <f t="shared" si="841"/>
        <v>3</v>
      </c>
      <c r="BZ949" s="13">
        <f t="shared" si="842"/>
        <v>3.4674736280999361</v>
      </c>
      <c r="CA949" s="13">
        <f t="shared" si="843"/>
        <v>3</v>
      </c>
      <c r="CB949" s="13">
        <f t="shared" si="844"/>
        <v>9</v>
      </c>
      <c r="CC949" s="62">
        <f t="shared" si="845"/>
        <v>0.1111111111111111</v>
      </c>
      <c r="CD949" s="13">
        <f t="shared" si="846"/>
        <v>8.7568401794388215</v>
      </c>
      <c r="CE949" s="13">
        <f t="shared" si="847"/>
        <v>8</v>
      </c>
      <c r="CF949" s="13">
        <f t="shared" si="848"/>
        <v>1.4451397989051229</v>
      </c>
      <c r="CG949" s="13">
        <f t="shared" si="849"/>
        <v>1</v>
      </c>
      <c r="CH949" s="28">
        <f t="shared" si="850"/>
        <v>8</v>
      </c>
      <c r="CI949" s="62">
        <f t="shared" si="851"/>
        <v>0.125</v>
      </c>
      <c r="CJ949" s="59">
        <f t="shared" si="852"/>
        <v>0.1111111111111111</v>
      </c>
      <c r="CL949" s="63">
        <v>6000</v>
      </c>
      <c r="CM949" s="63">
        <f t="shared" si="853"/>
        <v>811.53</v>
      </c>
      <c r="CN949" s="63">
        <f t="shared" si="854"/>
        <v>816.53</v>
      </c>
      <c r="CO949" s="63">
        <f t="shared" si="855"/>
        <v>7.3481684690090994</v>
      </c>
      <c r="CP949" s="13">
        <f t="shared" si="856"/>
        <v>7</v>
      </c>
      <c r="CQ949" s="70">
        <f t="shared" si="857"/>
        <v>0.14285714285714285</v>
      </c>
      <c r="CR949" s="69">
        <f t="shared" si="875"/>
        <v>0.14285714285714285</v>
      </c>
    </row>
    <row r="950" spans="1:96" hidden="1" x14ac:dyDescent="0.25">
      <c r="A950" s="13">
        <v>4</v>
      </c>
      <c r="B950" s="14" t="s">
        <v>2075</v>
      </c>
      <c r="C950" s="13" t="s">
        <v>2078</v>
      </c>
      <c r="D950" s="13" t="s">
        <v>2079</v>
      </c>
      <c r="E950" s="13" t="s">
        <v>52</v>
      </c>
      <c r="F950" s="15">
        <f t="shared" si="826"/>
        <v>2</v>
      </c>
      <c r="G950" s="13">
        <v>1</v>
      </c>
      <c r="H950" s="13">
        <f>G950*$H$948</f>
        <v>1</v>
      </c>
      <c r="I950" s="13">
        <v>2</v>
      </c>
      <c r="J950" s="14" t="s">
        <v>2053</v>
      </c>
      <c r="K950" s="14" t="s">
        <v>34</v>
      </c>
      <c r="L950" s="13" t="s">
        <v>110</v>
      </c>
      <c r="M950" s="14" t="s">
        <v>340</v>
      </c>
      <c r="N950" s="13" t="s">
        <v>2079</v>
      </c>
      <c r="O950" s="28"/>
      <c r="P950" s="28"/>
      <c r="Q950" s="28" t="s">
        <v>2079</v>
      </c>
      <c r="R950" s="30">
        <v>29.1</v>
      </c>
      <c r="S950" s="30">
        <v>11.401574803149607</v>
      </c>
      <c r="T950" s="30"/>
      <c r="U950" s="30">
        <v>1</v>
      </c>
      <c r="V950" s="8">
        <f t="shared" si="827"/>
        <v>739.14</v>
      </c>
      <c r="W950" s="8">
        <f t="shared" si="828"/>
        <v>289.60000000000002</v>
      </c>
      <c r="X950" s="8">
        <f t="shared" si="829"/>
        <v>0</v>
      </c>
      <c r="Y950" s="33">
        <f t="shared" si="830"/>
        <v>25.4</v>
      </c>
      <c r="Z950" s="28" t="s">
        <v>2056</v>
      </c>
      <c r="AA950" s="28" t="s">
        <v>2057</v>
      </c>
      <c r="AB950" s="61" t="s">
        <v>2079</v>
      </c>
      <c r="AC950" s="31" t="s">
        <v>2080</v>
      </c>
      <c r="AD950" s="50">
        <f t="shared" si="831"/>
        <v>1</v>
      </c>
      <c r="AE950" s="31"/>
      <c r="AF950" s="51">
        <v>14</v>
      </c>
      <c r="AG950" s="51">
        <f t="shared" si="858"/>
        <v>8.4</v>
      </c>
      <c r="AH950" s="51">
        <f t="shared" si="825"/>
        <v>42</v>
      </c>
      <c r="AI950" s="52" t="s">
        <v>2497</v>
      </c>
      <c r="AJ950" s="52" t="s">
        <v>2498</v>
      </c>
      <c r="AK950" s="53">
        <f t="shared" si="859"/>
        <v>0.42810988800000005</v>
      </c>
      <c r="AL950" s="54">
        <f t="shared" si="860"/>
        <v>0.11904761904761904</v>
      </c>
      <c r="AM950" s="54">
        <f t="shared" si="861"/>
        <v>2.3809523809523808E-2</v>
      </c>
      <c r="AN950" s="55">
        <f t="shared" si="862"/>
        <v>5.096546285714286E-2</v>
      </c>
      <c r="AO950" s="55">
        <f t="shared" si="863"/>
        <v>1.0193092571428572E-2</v>
      </c>
      <c r="AP950" s="53">
        <v>7.1</v>
      </c>
      <c r="AQ950" s="53">
        <f t="shared" si="832"/>
        <v>4.26</v>
      </c>
      <c r="AR950" s="53">
        <f t="shared" si="833"/>
        <v>21.299999999999997</v>
      </c>
      <c r="AS950" s="56">
        <f t="shared" si="834"/>
        <v>4.6948356807511742E-2</v>
      </c>
      <c r="AT950" s="56">
        <f t="shared" si="864"/>
        <v>0.23474178403755869</v>
      </c>
      <c r="AU950" s="56">
        <f t="shared" si="835"/>
        <v>0.176056338028169</v>
      </c>
      <c r="AV950" s="56">
        <f t="shared" si="865"/>
        <v>5.8685446009389672E-2</v>
      </c>
      <c r="AW950" s="57"/>
      <c r="AX950" s="57"/>
      <c r="AY950" s="57"/>
      <c r="AZ950" s="58">
        <f t="shared" si="866"/>
        <v>0.42810988800000005</v>
      </c>
      <c r="BA950" s="59">
        <f t="shared" si="867"/>
        <v>0</v>
      </c>
      <c r="BB950" s="59">
        <f t="shared" si="868"/>
        <v>0</v>
      </c>
      <c r="BC950" s="59">
        <f t="shared" si="869"/>
        <v>0</v>
      </c>
      <c r="BD950" s="60">
        <f t="shared" si="870"/>
        <v>6.25E-2</v>
      </c>
      <c r="BE950" s="59">
        <f t="shared" si="871"/>
        <v>6.25E-2</v>
      </c>
      <c r="BQ950" s="61">
        <v>3000</v>
      </c>
      <c r="BR950" s="61">
        <v>1200</v>
      </c>
      <c r="BS950" s="28">
        <f t="shared" si="836"/>
        <v>2980</v>
      </c>
      <c r="BT950" s="28">
        <f t="shared" si="837"/>
        <v>1180</v>
      </c>
      <c r="BU950" s="28" t="s">
        <v>2541</v>
      </c>
      <c r="BV950" s="28">
        <f t="shared" si="838"/>
        <v>744.14</v>
      </c>
      <c r="BW950" s="28">
        <f t="shared" si="839"/>
        <v>294.60000000000002</v>
      </c>
      <c r="BX950" s="13">
        <f t="shared" si="840"/>
        <v>4.0046227860348864</v>
      </c>
      <c r="BY950" s="13">
        <f t="shared" si="841"/>
        <v>4</v>
      </c>
      <c r="BZ950" s="13">
        <f t="shared" si="842"/>
        <v>4.0054310930074672</v>
      </c>
      <c r="CA950" s="13">
        <f t="shared" si="843"/>
        <v>4</v>
      </c>
      <c r="CB950" s="13">
        <f t="shared" si="844"/>
        <v>16</v>
      </c>
      <c r="CC950" s="62">
        <f t="shared" si="845"/>
        <v>6.25E-2</v>
      </c>
      <c r="CD950" s="13">
        <f t="shared" si="846"/>
        <v>10.115410726408689</v>
      </c>
      <c r="CE950" s="13">
        <f t="shared" si="847"/>
        <v>10</v>
      </c>
      <c r="CF950" s="13">
        <f t="shared" si="848"/>
        <v>1.5857231166178407</v>
      </c>
      <c r="CG950" s="13">
        <f t="shared" si="849"/>
        <v>1</v>
      </c>
      <c r="CH950" s="28">
        <f t="shared" si="850"/>
        <v>10</v>
      </c>
      <c r="CI950" s="62">
        <f t="shared" si="851"/>
        <v>0.1</v>
      </c>
      <c r="CJ950" s="59">
        <f t="shared" si="852"/>
        <v>6.25E-2</v>
      </c>
      <c r="CL950" s="63">
        <v>6000</v>
      </c>
      <c r="CM950" s="63">
        <f t="shared" si="853"/>
        <v>739.14</v>
      </c>
      <c r="CN950" s="63">
        <f t="shared" si="854"/>
        <v>744.14</v>
      </c>
      <c r="CO950" s="63">
        <f t="shared" si="855"/>
        <v>8.0629988980568168</v>
      </c>
      <c r="CP950" s="13">
        <f t="shared" si="856"/>
        <v>8</v>
      </c>
      <c r="CQ950" s="70">
        <f t="shared" si="857"/>
        <v>0.125</v>
      </c>
      <c r="CR950" s="69">
        <f t="shared" si="875"/>
        <v>0.125</v>
      </c>
    </row>
    <row r="951" spans="1:96" hidden="1" x14ac:dyDescent="0.25">
      <c r="A951" s="17">
        <v>5</v>
      </c>
      <c r="B951" s="6" t="s">
        <v>2081</v>
      </c>
      <c r="C951" s="17" t="s">
        <v>2056</v>
      </c>
      <c r="D951" s="17" t="s">
        <v>2055</v>
      </c>
      <c r="E951" s="17" t="s">
        <v>52</v>
      </c>
      <c r="F951" s="7">
        <f t="shared" si="826"/>
        <v>6</v>
      </c>
      <c r="G951" s="17">
        <v>2.2999999999999998</v>
      </c>
      <c r="H951" s="17">
        <f>G951*$H$950</f>
        <v>2.2999999999999998</v>
      </c>
      <c r="I951" s="17" t="s">
        <v>485</v>
      </c>
      <c r="J951" s="6" t="s">
        <v>2060</v>
      </c>
      <c r="K951" s="6" t="s">
        <v>2061</v>
      </c>
      <c r="L951" s="17" t="s">
        <v>89</v>
      </c>
      <c r="M951" s="6" t="s">
        <v>35</v>
      </c>
      <c r="N951" s="17" t="s">
        <v>2082</v>
      </c>
      <c r="O951" s="28"/>
      <c r="P951" s="28"/>
      <c r="Q951" s="28"/>
      <c r="R951" s="30"/>
      <c r="S951" s="30"/>
      <c r="T951" s="30"/>
      <c r="U951" s="30"/>
      <c r="V951" s="8">
        <f t="shared" si="827"/>
        <v>0</v>
      </c>
      <c r="W951" s="8">
        <f t="shared" si="828"/>
        <v>0</v>
      </c>
      <c r="X951" s="8">
        <f t="shared" si="829"/>
        <v>0</v>
      </c>
      <c r="Y951" s="33">
        <f t="shared" si="830"/>
        <v>0</v>
      </c>
      <c r="Z951" s="28"/>
      <c r="AA951" s="28"/>
      <c r="AB951" s="28">
        <v>0</v>
      </c>
      <c r="AC951" s="31" t="s">
        <v>2477</v>
      </c>
      <c r="AD951" s="50">
        <f t="shared" si="831"/>
        <v>2.2999999999999998</v>
      </c>
      <c r="AE951" s="5" t="s">
        <v>1576</v>
      </c>
      <c r="AF951" s="51">
        <v>14</v>
      </c>
      <c r="AG951" s="51">
        <f t="shared" si="858"/>
        <v>8.4</v>
      </c>
      <c r="AH951" s="51">
        <f t="shared" si="825"/>
        <v>42</v>
      </c>
      <c r="AI951" s="52" t="s">
        <v>2497</v>
      </c>
      <c r="AJ951" s="52" t="s">
        <v>2498</v>
      </c>
      <c r="AK951" s="53">
        <f t="shared" si="859"/>
        <v>0</v>
      </c>
      <c r="AL951" s="54">
        <f t="shared" si="860"/>
        <v>0.11904761904761904</v>
      </c>
      <c r="AM951" s="54">
        <f t="shared" si="861"/>
        <v>2.3809523809523808E-2</v>
      </c>
      <c r="AN951" s="55">
        <f t="shared" si="862"/>
        <v>0</v>
      </c>
      <c r="AO951" s="55">
        <f t="shared" si="863"/>
        <v>0</v>
      </c>
      <c r="AP951" s="53">
        <v>7.1</v>
      </c>
      <c r="AQ951" s="53">
        <f t="shared" si="832"/>
        <v>4.26</v>
      </c>
      <c r="AR951" s="53">
        <f t="shared" si="833"/>
        <v>21.299999999999997</v>
      </c>
      <c r="AS951" s="56">
        <f t="shared" si="834"/>
        <v>4.6948356807511742E-2</v>
      </c>
      <c r="AT951" s="56">
        <f t="shared" si="864"/>
        <v>0.23474178403755869</v>
      </c>
      <c r="AU951" s="56">
        <f t="shared" si="835"/>
        <v>0.176056338028169</v>
      </c>
      <c r="AV951" s="56">
        <f t="shared" si="865"/>
        <v>5.8685446009389672E-2</v>
      </c>
      <c r="AW951" s="57"/>
      <c r="AX951" s="57"/>
      <c r="AY951" s="57"/>
      <c r="AZ951" s="58">
        <f t="shared" si="866"/>
        <v>0</v>
      </c>
      <c r="BA951" s="59">
        <f t="shared" si="867"/>
        <v>0</v>
      </c>
      <c r="BB951" s="59">
        <f t="shared" si="868"/>
        <v>0</v>
      </c>
      <c r="BC951" s="59">
        <f t="shared" si="869"/>
        <v>0</v>
      </c>
      <c r="BD951" s="60">
        <f t="shared" si="870"/>
        <v>7.1095438516664771E-6</v>
      </c>
      <c r="BE951" s="59">
        <f t="shared" si="871"/>
        <v>1.6351950858832897E-5</v>
      </c>
      <c r="BQ951" s="61">
        <v>3000</v>
      </c>
      <c r="BR951" s="61">
        <v>1200</v>
      </c>
      <c r="BS951" s="28">
        <f t="shared" si="836"/>
        <v>2980</v>
      </c>
      <c r="BT951" s="28">
        <f t="shared" si="837"/>
        <v>1180</v>
      </c>
      <c r="BU951" s="28" t="s">
        <v>2541</v>
      </c>
      <c r="BV951" s="28">
        <f t="shared" si="838"/>
        <v>5</v>
      </c>
      <c r="BW951" s="28">
        <f t="shared" si="839"/>
        <v>5</v>
      </c>
      <c r="BX951" s="13">
        <f t="shared" si="840"/>
        <v>596</v>
      </c>
      <c r="BY951" s="13">
        <f t="shared" si="841"/>
        <v>596</v>
      </c>
      <c r="BZ951" s="13">
        <f t="shared" si="842"/>
        <v>236</v>
      </c>
      <c r="CA951" s="13">
        <f t="shared" si="843"/>
        <v>236</v>
      </c>
      <c r="CB951" s="13">
        <f t="shared" si="844"/>
        <v>140656</v>
      </c>
      <c r="CC951" s="62">
        <f t="shared" si="845"/>
        <v>7.1095438516664771E-6</v>
      </c>
      <c r="CD951" s="13">
        <f t="shared" si="846"/>
        <v>596</v>
      </c>
      <c r="CE951" s="13">
        <f t="shared" si="847"/>
        <v>596</v>
      </c>
      <c r="CF951" s="13">
        <f t="shared" si="848"/>
        <v>236</v>
      </c>
      <c r="CG951" s="13">
        <f t="shared" si="849"/>
        <v>236</v>
      </c>
      <c r="CH951" s="28">
        <f t="shared" si="850"/>
        <v>140656</v>
      </c>
      <c r="CI951" s="62">
        <f t="shared" si="851"/>
        <v>7.1095438516664771E-6</v>
      </c>
      <c r="CJ951" s="59">
        <f t="shared" si="852"/>
        <v>7.1095438516664771E-6</v>
      </c>
      <c r="CL951" s="63">
        <v>6000</v>
      </c>
      <c r="CM951" s="63">
        <f t="shared" si="853"/>
        <v>0</v>
      </c>
      <c r="CN951" s="63">
        <f t="shared" si="854"/>
        <v>5</v>
      </c>
      <c r="CO951" s="63">
        <f t="shared" si="855"/>
        <v>1200</v>
      </c>
      <c r="CP951" s="13">
        <f t="shared" si="856"/>
        <v>1200</v>
      </c>
      <c r="CQ951" s="70">
        <f t="shared" si="857"/>
        <v>8.3333333333333339E-4</v>
      </c>
      <c r="CR951" s="69">
        <f t="shared" si="875"/>
        <v>1.9166666666666666E-3</v>
      </c>
    </row>
    <row r="952" spans="1:96" hidden="1" x14ac:dyDescent="0.25">
      <c r="A952" s="10">
        <v>3</v>
      </c>
      <c r="B952" s="8" t="s">
        <v>1997</v>
      </c>
      <c r="C952" s="10" t="s">
        <v>1910</v>
      </c>
      <c r="D952" s="10" t="s">
        <v>1911</v>
      </c>
      <c r="E952" s="10" t="s">
        <v>52</v>
      </c>
      <c r="F952" s="12">
        <f t="shared" si="826"/>
        <v>8</v>
      </c>
      <c r="G952" s="10">
        <v>2</v>
      </c>
      <c r="H952" s="10">
        <f t="shared" ref="H952" si="878">G952*$H$903</f>
        <v>2</v>
      </c>
      <c r="I952" s="10">
        <v>25</v>
      </c>
      <c r="J952" s="8" t="s">
        <v>480</v>
      </c>
      <c r="K952" s="8" t="s">
        <v>34</v>
      </c>
      <c r="L952" s="10">
        <v>0</v>
      </c>
      <c r="M952" s="8" t="s">
        <v>35</v>
      </c>
      <c r="N952" s="10" t="s">
        <v>1911</v>
      </c>
      <c r="O952" s="28"/>
      <c r="P952" s="28"/>
      <c r="Q952" s="28" t="s">
        <v>1911</v>
      </c>
      <c r="R952" s="30">
        <v>3.1339999999999999</v>
      </c>
      <c r="S952" s="30">
        <v>1.4409999999999998</v>
      </c>
      <c r="T952" s="30"/>
      <c r="U952" s="30">
        <v>6.3E-2</v>
      </c>
      <c r="V952" s="8">
        <f t="shared" si="827"/>
        <v>79.603599999999986</v>
      </c>
      <c r="W952" s="8">
        <f t="shared" si="828"/>
        <v>36.601399999999991</v>
      </c>
      <c r="X952" s="8">
        <f t="shared" si="829"/>
        <v>0</v>
      </c>
      <c r="Y952" s="33">
        <f t="shared" si="830"/>
        <v>1.6001999999999998</v>
      </c>
      <c r="Z952" s="28" t="s">
        <v>1912</v>
      </c>
      <c r="AA952" s="28"/>
      <c r="AB952" s="61" t="s">
        <v>1911</v>
      </c>
      <c r="AC952" s="31" t="s">
        <v>1913</v>
      </c>
      <c r="AD952" s="50">
        <f t="shared" si="831"/>
        <v>2</v>
      </c>
      <c r="AE952" s="31"/>
      <c r="AF952" s="51">
        <v>14</v>
      </c>
      <c r="AG952" s="51">
        <f t="shared" si="858"/>
        <v>8.4</v>
      </c>
      <c r="AH952" s="51">
        <f t="shared" si="825"/>
        <v>42</v>
      </c>
      <c r="AI952" s="52" t="s">
        <v>2497</v>
      </c>
      <c r="AJ952" s="52" t="s">
        <v>2498</v>
      </c>
      <c r="AK952" s="53">
        <f t="shared" si="859"/>
        <v>5.8272064100799974E-3</v>
      </c>
      <c r="AL952" s="54">
        <f t="shared" si="860"/>
        <v>0.11904761904761904</v>
      </c>
      <c r="AM952" s="54">
        <f t="shared" si="861"/>
        <v>2.3809523809523808E-2</v>
      </c>
      <c r="AN952" s="55">
        <f t="shared" si="862"/>
        <v>1.3874300976380945E-3</v>
      </c>
      <c r="AO952" s="55">
        <f t="shared" si="863"/>
        <v>2.7748601952761891E-4</v>
      </c>
      <c r="AP952" s="53">
        <v>7.1</v>
      </c>
      <c r="AQ952" s="53">
        <f t="shared" si="832"/>
        <v>4.26</v>
      </c>
      <c r="AR952" s="53">
        <f t="shared" si="833"/>
        <v>21.299999999999997</v>
      </c>
      <c r="AS952" s="56">
        <f t="shared" si="834"/>
        <v>4.6948356807511742E-2</v>
      </c>
      <c r="AT952" s="56">
        <f t="shared" si="864"/>
        <v>0.23474178403755869</v>
      </c>
      <c r="AU952" s="56">
        <f t="shared" si="835"/>
        <v>0.176056338028169</v>
      </c>
      <c r="AV952" s="56">
        <f t="shared" si="865"/>
        <v>5.8685446009389672E-2</v>
      </c>
      <c r="AW952" s="57"/>
      <c r="AX952" s="57"/>
      <c r="AY952" s="57"/>
      <c r="AZ952" s="58">
        <f t="shared" si="866"/>
        <v>5.8272064100799974E-3</v>
      </c>
      <c r="BA952" s="59">
        <f t="shared" si="867"/>
        <v>0</v>
      </c>
      <c r="BB952" s="59">
        <f t="shared" si="868"/>
        <v>0</v>
      </c>
      <c r="BC952" s="59">
        <f t="shared" si="869"/>
        <v>0</v>
      </c>
      <c r="BD952" s="60">
        <f t="shared" si="870"/>
        <v>1.0204081632653062E-3</v>
      </c>
      <c r="BE952" s="59">
        <f t="shared" si="871"/>
        <v>2.0408163265306124E-3</v>
      </c>
      <c r="BQ952" s="61">
        <v>3000</v>
      </c>
      <c r="BR952" s="61">
        <v>1200</v>
      </c>
      <c r="BS952" s="28">
        <f t="shared" si="836"/>
        <v>2980</v>
      </c>
      <c r="BT952" s="28">
        <f t="shared" si="837"/>
        <v>1180</v>
      </c>
      <c r="BU952" s="28" t="s">
        <v>2541</v>
      </c>
      <c r="BV952" s="28">
        <f t="shared" si="838"/>
        <v>84.603599999999986</v>
      </c>
      <c r="BW952" s="28">
        <f t="shared" si="839"/>
        <v>41.601399999999991</v>
      </c>
      <c r="BX952" s="13">
        <f t="shared" si="840"/>
        <v>35.223087433631669</v>
      </c>
      <c r="BY952" s="13">
        <f t="shared" si="841"/>
        <v>35</v>
      </c>
      <c r="BZ952" s="13">
        <f t="shared" si="842"/>
        <v>28.364430043219706</v>
      </c>
      <c r="CA952" s="13">
        <f t="shared" si="843"/>
        <v>28</v>
      </c>
      <c r="CB952" s="13">
        <f t="shared" si="844"/>
        <v>980</v>
      </c>
      <c r="CC952" s="62">
        <f t="shared" si="845"/>
        <v>1.0204081632653062E-3</v>
      </c>
      <c r="CD952" s="13">
        <f t="shared" si="846"/>
        <v>71.632204685419254</v>
      </c>
      <c r="CE952" s="13">
        <f t="shared" si="847"/>
        <v>71</v>
      </c>
      <c r="CF952" s="13">
        <f t="shared" si="848"/>
        <v>13.947397037478312</v>
      </c>
      <c r="CG952" s="13">
        <f t="shared" si="849"/>
        <v>13</v>
      </c>
      <c r="CH952" s="28">
        <f t="shared" si="850"/>
        <v>923</v>
      </c>
      <c r="CI952" s="62">
        <f t="shared" si="851"/>
        <v>1.0834236186348862E-3</v>
      </c>
      <c r="CJ952" s="59">
        <f t="shared" si="852"/>
        <v>1.0204081632653062E-3</v>
      </c>
      <c r="CL952" s="63">
        <v>6000</v>
      </c>
      <c r="CM952" s="63">
        <f t="shared" si="853"/>
        <v>79.603599999999986</v>
      </c>
      <c r="CN952" s="63">
        <f t="shared" si="854"/>
        <v>84.603599999999986</v>
      </c>
      <c r="CO952" s="63">
        <f t="shared" si="855"/>
        <v>70.918967987177865</v>
      </c>
      <c r="CP952" s="13">
        <f t="shared" si="856"/>
        <v>70</v>
      </c>
      <c r="CQ952" s="70">
        <f t="shared" si="857"/>
        <v>1.4285714285714285E-2</v>
      </c>
      <c r="CR952" s="69">
        <f t="shared" si="875"/>
        <v>2.8571428571428571E-2</v>
      </c>
    </row>
    <row r="953" spans="1:96" hidden="1" x14ac:dyDescent="0.25">
      <c r="A953" s="10">
        <v>3</v>
      </c>
      <c r="B953" s="8" t="s">
        <v>1997</v>
      </c>
      <c r="C953" s="10" t="s">
        <v>492</v>
      </c>
      <c r="D953" s="10" t="s">
        <v>495</v>
      </c>
      <c r="E953" s="10" t="s">
        <v>52</v>
      </c>
      <c r="F953" s="12">
        <f t="shared" si="826"/>
        <v>7</v>
      </c>
      <c r="G953" s="10" t="s">
        <v>337</v>
      </c>
      <c r="H953" s="10" t="str">
        <f>G953</f>
        <v>A/R</v>
      </c>
      <c r="I953" s="10">
        <v>26</v>
      </c>
      <c r="J953" s="8" t="s">
        <v>493</v>
      </c>
      <c r="K953" s="8" t="s">
        <v>494</v>
      </c>
      <c r="L953" s="10" t="s">
        <v>339</v>
      </c>
      <c r="M953" s="8" t="s">
        <v>35</v>
      </c>
      <c r="N953" s="10" t="s">
        <v>495</v>
      </c>
      <c r="O953" s="28"/>
      <c r="P953" s="28"/>
      <c r="Q953" s="28" t="s">
        <v>495</v>
      </c>
      <c r="R953" s="30"/>
      <c r="S953" s="30"/>
      <c r="T953" s="30"/>
      <c r="U953" s="30"/>
      <c r="V953" s="8">
        <f t="shared" si="827"/>
        <v>0</v>
      </c>
      <c r="W953" s="8">
        <f t="shared" si="828"/>
        <v>0</v>
      </c>
      <c r="X953" s="8">
        <f t="shared" si="829"/>
        <v>0</v>
      </c>
      <c r="Y953" s="33">
        <f t="shared" si="830"/>
        <v>0</v>
      </c>
      <c r="Z953" s="28"/>
      <c r="AA953" s="28"/>
      <c r="AB953" s="61" t="s">
        <v>495</v>
      </c>
      <c r="AC953" s="31" t="s">
        <v>496</v>
      </c>
      <c r="AD953" s="50">
        <v>0</v>
      </c>
      <c r="AE953" s="50" t="s">
        <v>337</v>
      </c>
      <c r="AF953" s="51">
        <v>14</v>
      </c>
      <c r="AG953" s="51">
        <f t="shared" si="858"/>
        <v>8.4</v>
      </c>
      <c r="AH953" s="51">
        <f t="shared" si="825"/>
        <v>42</v>
      </c>
      <c r="AI953" s="52" t="s">
        <v>2497</v>
      </c>
      <c r="AJ953" s="52" t="s">
        <v>2498</v>
      </c>
      <c r="AK953" s="53">
        <f t="shared" si="859"/>
        <v>0</v>
      </c>
      <c r="AL953" s="54">
        <f t="shared" si="860"/>
        <v>0.11904761904761904</v>
      </c>
      <c r="AM953" s="54">
        <f t="shared" si="861"/>
        <v>2.3809523809523808E-2</v>
      </c>
      <c r="AN953" s="55">
        <f t="shared" si="862"/>
        <v>0</v>
      </c>
      <c r="AO953" s="55">
        <f t="shared" si="863"/>
        <v>0</v>
      </c>
      <c r="AP953" s="53">
        <v>7.1</v>
      </c>
      <c r="AQ953" s="53">
        <f t="shared" si="832"/>
        <v>4.26</v>
      </c>
      <c r="AR953" s="53">
        <f t="shared" si="833"/>
        <v>21.299999999999997</v>
      </c>
      <c r="AS953" s="56">
        <f t="shared" si="834"/>
        <v>4.6948356807511742E-2</v>
      </c>
      <c r="AT953" s="56">
        <f t="shared" si="864"/>
        <v>0.23474178403755869</v>
      </c>
      <c r="AU953" s="56">
        <f t="shared" si="835"/>
        <v>0.176056338028169</v>
      </c>
      <c r="AV953" s="56">
        <f t="shared" si="865"/>
        <v>5.8685446009389672E-2</v>
      </c>
      <c r="AW953" s="57"/>
      <c r="AX953" s="57"/>
      <c r="AY953" s="57"/>
      <c r="AZ953" s="58">
        <f t="shared" si="866"/>
        <v>0</v>
      </c>
      <c r="BA953" s="59">
        <f t="shared" si="867"/>
        <v>0</v>
      </c>
      <c r="BB953" s="59">
        <f t="shared" si="868"/>
        <v>0</v>
      </c>
      <c r="BC953" s="59">
        <f t="shared" si="869"/>
        <v>0</v>
      </c>
      <c r="BD953" s="60">
        <f t="shared" si="870"/>
        <v>7.1095438516664771E-6</v>
      </c>
      <c r="BE953" s="59">
        <f t="shared" si="871"/>
        <v>0</v>
      </c>
      <c r="BQ953" s="61">
        <v>3000</v>
      </c>
      <c r="BR953" s="61">
        <v>1200</v>
      </c>
      <c r="BS953" s="28">
        <f t="shared" si="836"/>
        <v>2980</v>
      </c>
      <c r="BT953" s="28">
        <f t="shared" si="837"/>
        <v>1180</v>
      </c>
      <c r="BU953" s="28" t="s">
        <v>2541</v>
      </c>
      <c r="BV953" s="28">
        <f t="shared" si="838"/>
        <v>5</v>
      </c>
      <c r="BW953" s="28">
        <f t="shared" si="839"/>
        <v>5</v>
      </c>
      <c r="BX953" s="13">
        <f t="shared" si="840"/>
        <v>596</v>
      </c>
      <c r="BY953" s="13">
        <f t="shared" si="841"/>
        <v>596</v>
      </c>
      <c r="BZ953" s="13">
        <f t="shared" si="842"/>
        <v>236</v>
      </c>
      <c r="CA953" s="13">
        <f t="shared" si="843"/>
        <v>236</v>
      </c>
      <c r="CB953" s="13">
        <f t="shared" si="844"/>
        <v>140656</v>
      </c>
      <c r="CC953" s="62">
        <f t="shared" si="845"/>
        <v>7.1095438516664771E-6</v>
      </c>
      <c r="CD953" s="13">
        <f t="shared" si="846"/>
        <v>596</v>
      </c>
      <c r="CE953" s="13">
        <f t="shared" si="847"/>
        <v>596</v>
      </c>
      <c r="CF953" s="13">
        <f t="shared" si="848"/>
        <v>236</v>
      </c>
      <c r="CG953" s="13">
        <f t="shared" si="849"/>
        <v>236</v>
      </c>
      <c r="CH953" s="28">
        <f t="shared" si="850"/>
        <v>140656</v>
      </c>
      <c r="CI953" s="62">
        <f t="shared" si="851"/>
        <v>7.1095438516664771E-6</v>
      </c>
      <c r="CJ953" s="59">
        <f t="shared" si="852"/>
        <v>7.1095438516664771E-6</v>
      </c>
      <c r="CL953" s="63">
        <v>6000</v>
      </c>
      <c r="CM953" s="63">
        <f t="shared" si="853"/>
        <v>0</v>
      </c>
      <c r="CN953" s="63">
        <f t="shared" si="854"/>
        <v>5</v>
      </c>
      <c r="CO953" s="63">
        <f t="shared" si="855"/>
        <v>1200</v>
      </c>
      <c r="CP953" s="13">
        <f t="shared" si="856"/>
        <v>1200</v>
      </c>
      <c r="CQ953" s="70">
        <f t="shared" si="857"/>
        <v>8.3333333333333339E-4</v>
      </c>
      <c r="CR953" s="69">
        <f t="shared" si="875"/>
        <v>0</v>
      </c>
    </row>
    <row r="954" spans="1:96" hidden="1" x14ac:dyDescent="0.25">
      <c r="A954" s="36">
        <v>2</v>
      </c>
      <c r="B954" s="37" t="s">
        <v>1865</v>
      </c>
      <c r="C954" s="36" t="s">
        <v>2083</v>
      </c>
      <c r="D954" s="36" t="s">
        <v>2270</v>
      </c>
      <c r="E954" s="36" t="s">
        <v>32</v>
      </c>
      <c r="F954" s="38">
        <f t="shared" si="826"/>
        <v>1</v>
      </c>
      <c r="G954" s="36">
        <v>1</v>
      </c>
      <c r="H954" s="36">
        <f>G954*$H$794</f>
        <v>1</v>
      </c>
      <c r="I954" s="36">
        <v>6</v>
      </c>
      <c r="J954" s="37" t="s">
        <v>1867</v>
      </c>
      <c r="K954" s="37" t="s">
        <v>34</v>
      </c>
      <c r="L954" s="36">
        <v>0</v>
      </c>
      <c r="M954" s="37" t="s">
        <v>35</v>
      </c>
      <c r="N954" s="36" t="s">
        <v>2084</v>
      </c>
      <c r="O954" s="28"/>
      <c r="P954" s="28"/>
      <c r="Q954" s="28"/>
      <c r="R954" s="30"/>
      <c r="S954" s="30"/>
      <c r="T954" s="30"/>
      <c r="U954" s="30"/>
      <c r="V954" s="8">
        <f t="shared" si="827"/>
        <v>0</v>
      </c>
      <c r="W954" s="8">
        <f t="shared" si="828"/>
        <v>0</v>
      </c>
      <c r="X954" s="8">
        <f t="shared" si="829"/>
        <v>0</v>
      </c>
      <c r="Y954" s="33">
        <f t="shared" si="830"/>
        <v>0</v>
      </c>
      <c r="Z954" s="28"/>
      <c r="AA954" s="28"/>
      <c r="AB954" s="28">
        <v>0</v>
      </c>
      <c r="AC954" s="31"/>
      <c r="AD954" s="50">
        <f t="shared" si="831"/>
        <v>1</v>
      </c>
      <c r="AE954" s="31"/>
      <c r="AF954" s="51">
        <v>14</v>
      </c>
      <c r="AG954" s="51">
        <f t="shared" si="858"/>
        <v>8.4</v>
      </c>
      <c r="AH954" s="51">
        <f t="shared" si="825"/>
        <v>42</v>
      </c>
      <c r="AI954" s="52" t="s">
        <v>2497</v>
      </c>
      <c r="AJ954" s="52" t="s">
        <v>2498</v>
      </c>
      <c r="AK954" s="53">
        <f t="shared" si="859"/>
        <v>0</v>
      </c>
      <c r="AL954" s="54">
        <f t="shared" si="860"/>
        <v>0.11904761904761904</v>
      </c>
      <c r="AM954" s="54">
        <f t="shared" si="861"/>
        <v>2.3809523809523808E-2</v>
      </c>
      <c r="AN954" s="55">
        <f t="shared" si="862"/>
        <v>0</v>
      </c>
      <c r="AO954" s="55">
        <f t="shared" si="863"/>
        <v>0</v>
      </c>
      <c r="AP954" s="53">
        <v>7.1</v>
      </c>
      <c r="AQ954" s="53">
        <f t="shared" si="832"/>
        <v>4.26</v>
      </c>
      <c r="AR954" s="53">
        <f t="shared" si="833"/>
        <v>21.299999999999997</v>
      </c>
      <c r="AS954" s="56">
        <f t="shared" si="834"/>
        <v>4.6948356807511742E-2</v>
      </c>
      <c r="AT954" s="56">
        <f t="shared" si="864"/>
        <v>0.23474178403755869</v>
      </c>
      <c r="AU954" s="56">
        <f t="shared" si="835"/>
        <v>0.176056338028169</v>
      </c>
      <c r="AV954" s="56">
        <f t="shared" si="865"/>
        <v>5.8685446009389672E-2</v>
      </c>
      <c r="AW954" s="57"/>
      <c r="AX954" s="57"/>
      <c r="AY954" s="57"/>
      <c r="AZ954" s="58">
        <f t="shared" si="866"/>
        <v>0</v>
      </c>
      <c r="BA954" s="59">
        <f t="shared" si="867"/>
        <v>0</v>
      </c>
      <c r="BB954" s="59">
        <f t="shared" si="868"/>
        <v>0</v>
      </c>
      <c r="BC954" s="59">
        <f t="shared" si="869"/>
        <v>0</v>
      </c>
      <c r="BD954" s="60">
        <f t="shared" si="870"/>
        <v>0</v>
      </c>
      <c r="BE954" s="59">
        <f t="shared" si="871"/>
        <v>0</v>
      </c>
      <c r="BQ954" s="61">
        <v>3000</v>
      </c>
      <c r="BR954" s="61">
        <v>1200</v>
      </c>
      <c r="BS954" s="28">
        <f t="shared" si="836"/>
        <v>2980</v>
      </c>
      <c r="BT954" s="28">
        <f t="shared" si="837"/>
        <v>1180</v>
      </c>
      <c r="BU954" s="28" t="s">
        <v>2541</v>
      </c>
      <c r="BV954" s="28">
        <f t="shared" si="838"/>
        <v>5</v>
      </c>
      <c r="BW954" s="28">
        <f t="shared" si="839"/>
        <v>5</v>
      </c>
      <c r="BX954" s="13">
        <f t="shared" si="840"/>
        <v>596</v>
      </c>
      <c r="BY954" s="13">
        <f t="shared" si="841"/>
        <v>596</v>
      </c>
      <c r="BZ954" s="13">
        <f t="shared" si="842"/>
        <v>236</v>
      </c>
      <c r="CA954" s="13">
        <f t="shared" si="843"/>
        <v>236</v>
      </c>
      <c r="CB954" s="13">
        <f t="shared" si="844"/>
        <v>140656</v>
      </c>
      <c r="CC954" s="62" t="str">
        <f t="shared" si="845"/>
        <v/>
      </c>
      <c r="CD954" s="13">
        <f t="shared" si="846"/>
        <v>596</v>
      </c>
      <c r="CE954" s="13">
        <f t="shared" si="847"/>
        <v>596</v>
      </c>
      <c r="CF954" s="13">
        <f t="shared" si="848"/>
        <v>236</v>
      </c>
      <c r="CG954" s="13">
        <f t="shared" si="849"/>
        <v>236</v>
      </c>
      <c r="CH954" s="28">
        <f t="shared" si="850"/>
        <v>140656</v>
      </c>
      <c r="CI954" s="62" t="str">
        <f t="shared" si="851"/>
        <v/>
      </c>
      <c r="CJ954" s="59">
        <f t="shared" si="852"/>
        <v>0</v>
      </c>
      <c r="CL954" s="63">
        <v>6000</v>
      </c>
      <c r="CM954" s="63">
        <f t="shared" si="853"/>
        <v>0</v>
      </c>
      <c r="CN954" s="63">
        <f t="shared" si="854"/>
        <v>5</v>
      </c>
      <c r="CO954" s="63">
        <f t="shared" si="855"/>
        <v>1200</v>
      </c>
      <c r="CP954" s="13">
        <f t="shared" si="856"/>
        <v>1200</v>
      </c>
      <c r="CQ954" s="70">
        <f t="shared" si="857"/>
        <v>8.3333333333333339E-4</v>
      </c>
      <c r="CR954" s="69">
        <f t="shared" si="875"/>
        <v>8.3333333333333339E-4</v>
      </c>
    </row>
    <row r="955" spans="1:96" hidden="1" x14ac:dyDescent="0.25">
      <c r="A955" s="10">
        <v>3</v>
      </c>
      <c r="B955" s="8" t="s">
        <v>2085</v>
      </c>
      <c r="C955" s="10" t="s">
        <v>2086</v>
      </c>
      <c r="D955" s="10" t="s">
        <v>2270</v>
      </c>
      <c r="E955" s="10" t="s">
        <v>32</v>
      </c>
      <c r="F955" s="12">
        <f t="shared" si="826"/>
        <v>1</v>
      </c>
      <c r="G955" s="10">
        <v>1</v>
      </c>
      <c r="H955" s="10">
        <f>G955*$H$954</f>
        <v>1</v>
      </c>
      <c r="I955" s="10">
        <v>1</v>
      </c>
      <c r="J955" s="8" t="s">
        <v>1871</v>
      </c>
      <c r="K955" s="8" t="s">
        <v>34</v>
      </c>
      <c r="L955" s="10">
        <v>0</v>
      </c>
      <c r="M955" s="8" t="s">
        <v>35</v>
      </c>
      <c r="N955" s="10" t="s">
        <v>2087</v>
      </c>
      <c r="O955" s="28"/>
      <c r="P955" s="28"/>
      <c r="Q955" s="28"/>
      <c r="R955" s="30"/>
      <c r="S955" s="30"/>
      <c r="T955" s="30"/>
      <c r="U955" s="30"/>
      <c r="V955" s="8">
        <f t="shared" si="827"/>
        <v>0</v>
      </c>
      <c r="W955" s="8">
        <f t="shared" si="828"/>
        <v>0</v>
      </c>
      <c r="X955" s="8">
        <f t="shared" si="829"/>
        <v>0</v>
      </c>
      <c r="Y955" s="33">
        <f t="shared" si="830"/>
        <v>0</v>
      </c>
      <c r="Z955" s="28"/>
      <c r="AA955" s="28"/>
      <c r="AB955" s="28">
        <v>0</v>
      </c>
      <c r="AC955" s="31"/>
      <c r="AD955" s="50">
        <f t="shared" si="831"/>
        <v>1</v>
      </c>
      <c r="AE955" s="31"/>
      <c r="AF955" s="51">
        <v>14</v>
      </c>
      <c r="AG955" s="51">
        <f t="shared" si="858"/>
        <v>8.4</v>
      </c>
      <c r="AH955" s="51">
        <f t="shared" si="825"/>
        <v>42</v>
      </c>
      <c r="AI955" s="52" t="s">
        <v>2497</v>
      </c>
      <c r="AJ955" s="52" t="s">
        <v>2498</v>
      </c>
      <c r="AK955" s="53">
        <f t="shared" si="859"/>
        <v>0</v>
      </c>
      <c r="AL955" s="54">
        <f t="shared" si="860"/>
        <v>0.11904761904761904</v>
      </c>
      <c r="AM955" s="54">
        <f t="shared" si="861"/>
        <v>2.3809523809523808E-2</v>
      </c>
      <c r="AN955" s="55">
        <f t="shared" si="862"/>
        <v>0</v>
      </c>
      <c r="AO955" s="55">
        <f t="shared" si="863"/>
        <v>0</v>
      </c>
      <c r="AP955" s="53">
        <v>7.1</v>
      </c>
      <c r="AQ955" s="53">
        <f t="shared" si="832"/>
        <v>4.26</v>
      </c>
      <c r="AR955" s="53">
        <f t="shared" si="833"/>
        <v>21.299999999999997</v>
      </c>
      <c r="AS955" s="56">
        <f t="shared" si="834"/>
        <v>4.6948356807511742E-2</v>
      </c>
      <c r="AT955" s="56">
        <f t="shared" si="864"/>
        <v>0.23474178403755869</v>
      </c>
      <c r="AU955" s="56">
        <f t="shared" si="835"/>
        <v>0.176056338028169</v>
      </c>
      <c r="AV955" s="56">
        <f t="shared" si="865"/>
        <v>5.8685446009389672E-2</v>
      </c>
      <c r="AW955" s="57"/>
      <c r="AX955" s="57"/>
      <c r="AY955" s="57"/>
      <c r="AZ955" s="58">
        <f t="shared" si="866"/>
        <v>0</v>
      </c>
      <c r="BA955" s="59">
        <f t="shared" si="867"/>
        <v>0</v>
      </c>
      <c r="BB955" s="59">
        <f t="shared" si="868"/>
        <v>0</v>
      </c>
      <c r="BC955" s="59">
        <f t="shared" si="869"/>
        <v>0</v>
      </c>
      <c r="BD955" s="60">
        <f t="shared" si="870"/>
        <v>0</v>
      </c>
      <c r="BE955" s="59">
        <f t="shared" si="871"/>
        <v>0</v>
      </c>
      <c r="BQ955" s="61">
        <v>3000</v>
      </c>
      <c r="BR955" s="61">
        <v>1200</v>
      </c>
      <c r="BS955" s="28">
        <f t="shared" si="836"/>
        <v>2980</v>
      </c>
      <c r="BT955" s="28">
        <f t="shared" si="837"/>
        <v>1180</v>
      </c>
      <c r="BU955" s="28" t="s">
        <v>2541</v>
      </c>
      <c r="BV955" s="28">
        <f t="shared" si="838"/>
        <v>5</v>
      </c>
      <c r="BW955" s="28">
        <f t="shared" si="839"/>
        <v>5</v>
      </c>
      <c r="BX955" s="13">
        <f t="shared" si="840"/>
        <v>596</v>
      </c>
      <c r="BY955" s="13">
        <f t="shared" si="841"/>
        <v>596</v>
      </c>
      <c r="BZ955" s="13">
        <f t="shared" si="842"/>
        <v>236</v>
      </c>
      <c r="CA955" s="13">
        <f t="shared" si="843"/>
        <v>236</v>
      </c>
      <c r="CB955" s="13">
        <f t="shared" si="844"/>
        <v>140656</v>
      </c>
      <c r="CC955" s="62" t="str">
        <f t="shared" si="845"/>
        <v/>
      </c>
      <c r="CD955" s="13">
        <f t="shared" si="846"/>
        <v>596</v>
      </c>
      <c r="CE955" s="13">
        <f t="shared" si="847"/>
        <v>596</v>
      </c>
      <c r="CF955" s="13">
        <f t="shared" si="848"/>
        <v>236</v>
      </c>
      <c r="CG955" s="13">
        <f t="shared" si="849"/>
        <v>236</v>
      </c>
      <c r="CH955" s="28">
        <f t="shared" si="850"/>
        <v>140656</v>
      </c>
      <c r="CI955" s="62" t="str">
        <f t="shared" si="851"/>
        <v/>
      </c>
      <c r="CJ955" s="59">
        <f t="shared" si="852"/>
        <v>0</v>
      </c>
      <c r="CL955" s="63">
        <v>6000</v>
      </c>
      <c r="CM955" s="63">
        <f t="shared" si="853"/>
        <v>0</v>
      </c>
      <c r="CN955" s="63">
        <f t="shared" si="854"/>
        <v>5</v>
      </c>
      <c r="CO955" s="63">
        <f t="shared" si="855"/>
        <v>1200</v>
      </c>
      <c r="CP955" s="13">
        <f t="shared" si="856"/>
        <v>1200</v>
      </c>
      <c r="CQ955" s="70">
        <f t="shared" si="857"/>
        <v>8.3333333333333339E-4</v>
      </c>
      <c r="CR955" s="69">
        <f t="shared" si="875"/>
        <v>8.3333333333333339E-4</v>
      </c>
    </row>
    <row r="956" spans="1:96" x14ac:dyDescent="0.25">
      <c r="A956" s="13">
        <v>4</v>
      </c>
      <c r="B956" s="14" t="s">
        <v>2088</v>
      </c>
      <c r="C956" s="13" t="s">
        <v>1883</v>
      </c>
      <c r="D956" s="13" t="s">
        <v>2270</v>
      </c>
      <c r="E956" s="13" t="s">
        <v>52</v>
      </c>
      <c r="F956" s="15">
        <f t="shared" si="826"/>
        <v>6</v>
      </c>
      <c r="G956" s="13">
        <v>2</v>
      </c>
      <c r="H956" s="13">
        <f>G956*$H$955</f>
        <v>2</v>
      </c>
      <c r="I956" s="13">
        <v>2</v>
      </c>
      <c r="J956" s="14" t="s">
        <v>119</v>
      </c>
      <c r="K956" s="14" t="s">
        <v>34</v>
      </c>
      <c r="L956" s="13" t="s">
        <v>110</v>
      </c>
      <c r="M956" s="14" t="s">
        <v>35</v>
      </c>
      <c r="N956" s="13" t="s">
        <v>1884</v>
      </c>
      <c r="O956" s="28"/>
      <c r="P956" s="28"/>
      <c r="Q956" s="28" t="s">
        <v>2585</v>
      </c>
      <c r="R956" s="30">
        <v>16</v>
      </c>
      <c r="S956" s="30">
        <v>1.292</v>
      </c>
      <c r="T956" s="30"/>
      <c r="U956" s="30">
        <v>0.06</v>
      </c>
      <c r="V956" s="8">
        <f t="shared" si="827"/>
        <v>406.4</v>
      </c>
      <c r="W956" s="8">
        <f t="shared" si="828"/>
        <v>32.816800000000001</v>
      </c>
      <c r="X956" s="8">
        <f t="shared" si="829"/>
        <v>0</v>
      </c>
      <c r="Y956" s="33">
        <f t="shared" si="830"/>
        <v>1.5239999999999998</v>
      </c>
      <c r="Z956" s="28" t="s">
        <v>56</v>
      </c>
      <c r="AA956" s="28" t="s">
        <v>1765</v>
      </c>
      <c r="AB956" s="61" t="s">
        <v>2585</v>
      </c>
      <c r="AC956" s="31" t="s">
        <v>2586</v>
      </c>
      <c r="AD956" s="50">
        <f t="shared" si="831"/>
        <v>2</v>
      </c>
      <c r="AE956" s="31"/>
      <c r="AF956" s="51">
        <v>14</v>
      </c>
      <c r="AG956" s="51">
        <f t="shared" si="858"/>
        <v>8.4</v>
      </c>
      <c r="AH956" s="51">
        <f t="shared" si="825"/>
        <v>42</v>
      </c>
      <c r="AI956" s="52" t="s">
        <v>2497</v>
      </c>
      <c r="AJ956" s="52" t="s">
        <v>2498</v>
      </c>
      <c r="AK956" s="53">
        <f t="shared" si="859"/>
        <v>2.6673495039999998E-2</v>
      </c>
      <c r="AL956" s="54">
        <f t="shared" si="860"/>
        <v>0.11904761904761904</v>
      </c>
      <c r="AM956" s="54">
        <f t="shared" si="861"/>
        <v>2.3809523809523808E-2</v>
      </c>
      <c r="AN956" s="55">
        <f t="shared" si="862"/>
        <v>6.3508321523809514E-3</v>
      </c>
      <c r="AO956" s="55">
        <f t="shared" si="863"/>
        <v>1.2701664304761904E-3</v>
      </c>
      <c r="AP956" s="53">
        <v>7.1</v>
      </c>
      <c r="AQ956" s="53">
        <f t="shared" si="832"/>
        <v>4.26</v>
      </c>
      <c r="AR956" s="53">
        <f t="shared" si="833"/>
        <v>21.299999999999997</v>
      </c>
      <c r="AS956" s="56">
        <f t="shared" si="834"/>
        <v>4.6948356807511742E-2</v>
      </c>
      <c r="AT956" s="56">
        <f t="shared" si="864"/>
        <v>0.23474178403755869</v>
      </c>
      <c r="AU956" s="56">
        <f t="shared" si="835"/>
        <v>0.176056338028169</v>
      </c>
      <c r="AV956" s="56">
        <f t="shared" si="865"/>
        <v>5.8685446009389672E-2</v>
      </c>
      <c r="AW956" s="57"/>
      <c r="AX956" s="57"/>
      <c r="AY956" s="57"/>
      <c r="AZ956" s="58">
        <f t="shared" si="866"/>
        <v>2.6673495039999998E-2</v>
      </c>
      <c r="BA956" s="59">
        <f t="shared" si="867"/>
        <v>0</v>
      </c>
      <c r="BB956" s="59">
        <f t="shared" si="868"/>
        <v>0</v>
      </c>
      <c r="BC956" s="59">
        <f t="shared" si="869"/>
        <v>0</v>
      </c>
      <c r="BD956" s="60">
        <f t="shared" si="870"/>
        <v>4.608294930875576E-3</v>
      </c>
      <c r="BE956" s="59">
        <f t="shared" si="871"/>
        <v>9.2165898617511521E-3</v>
      </c>
      <c r="BQ956" s="61">
        <v>3000</v>
      </c>
      <c r="BR956" s="61">
        <v>1200</v>
      </c>
      <c r="BS956" s="28">
        <f t="shared" si="836"/>
        <v>2980</v>
      </c>
      <c r="BT956" s="28">
        <f t="shared" si="837"/>
        <v>1180</v>
      </c>
      <c r="BU956" s="28" t="s">
        <v>2541</v>
      </c>
      <c r="BV956" s="28">
        <f t="shared" si="838"/>
        <v>411.4</v>
      </c>
      <c r="BW956" s="28">
        <f t="shared" si="839"/>
        <v>37.816800000000001</v>
      </c>
      <c r="BX956" s="13">
        <f t="shared" si="840"/>
        <v>7.2435585804569769</v>
      </c>
      <c r="BY956" s="13">
        <f t="shared" si="841"/>
        <v>7</v>
      </c>
      <c r="BZ956" s="13">
        <f t="shared" si="842"/>
        <v>31.203063188847285</v>
      </c>
      <c r="CA956" s="13">
        <f t="shared" si="843"/>
        <v>31</v>
      </c>
      <c r="CB956" s="13">
        <f t="shared" si="844"/>
        <v>217</v>
      </c>
      <c r="CC956" s="62">
        <f t="shared" si="845"/>
        <v>4.608294930875576E-3</v>
      </c>
      <c r="CD956" s="13">
        <f t="shared" si="846"/>
        <v>78.800956188783815</v>
      </c>
      <c r="CE956" s="13">
        <f t="shared" si="847"/>
        <v>78</v>
      </c>
      <c r="CF956" s="13">
        <f t="shared" si="848"/>
        <v>2.8682547399124942</v>
      </c>
      <c r="CG956" s="13">
        <f t="shared" si="849"/>
        <v>2</v>
      </c>
      <c r="CH956" s="28">
        <f t="shared" si="850"/>
        <v>156</v>
      </c>
      <c r="CI956" s="62">
        <f t="shared" si="851"/>
        <v>6.41025641025641E-3</v>
      </c>
      <c r="CJ956" s="59">
        <f t="shared" si="852"/>
        <v>4.608294930875576E-3</v>
      </c>
      <c r="CL956" s="63">
        <v>6000</v>
      </c>
      <c r="CM956" s="63">
        <f t="shared" si="853"/>
        <v>406.4</v>
      </c>
      <c r="CN956" s="63">
        <f t="shared" si="854"/>
        <v>411.4</v>
      </c>
      <c r="CO956" s="63">
        <f t="shared" si="855"/>
        <v>14.584346135148275</v>
      </c>
      <c r="CP956" s="13">
        <f t="shared" si="856"/>
        <v>14</v>
      </c>
      <c r="CQ956" s="70">
        <f t="shared" si="857"/>
        <v>7.1428571428571425E-2</v>
      </c>
      <c r="CR956" s="69">
        <f t="shared" si="875"/>
        <v>0.14285714285714285</v>
      </c>
    </row>
    <row r="957" spans="1:96" hidden="1" x14ac:dyDescent="0.25">
      <c r="A957" s="13">
        <v>4</v>
      </c>
      <c r="B957" s="14" t="s">
        <v>2088</v>
      </c>
      <c r="C957" s="13" t="s">
        <v>1944</v>
      </c>
      <c r="D957" s="13" t="s">
        <v>1946</v>
      </c>
      <c r="E957" s="13" t="s">
        <v>52</v>
      </c>
      <c r="F957" s="15">
        <f t="shared" si="826"/>
        <v>4</v>
      </c>
      <c r="G957" s="13">
        <v>2</v>
      </c>
      <c r="H957" s="13">
        <f t="shared" ref="H957:H959" si="879">G957*$H$955</f>
        <v>2</v>
      </c>
      <c r="I957" s="13">
        <v>3</v>
      </c>
      <c r="J957" s="14" t="s">
        <v>1945</v>
      </c>
      <c r="K957" s="14" t="s">
        <v>34</v>
      </c>
      <c r="L957" s="13">
        <v>0</v>
      </c>
      <c r="M957" s="14" t="s">
        <v>35</v>
      </c>
      <c r="N957" s="13" t="s">
        <v>1946</v>
      </c>
      <c r="O957" s="28" t="s">
        <v>41</v>
      </c>
      <c r="P957" s="28" t="s">
        <v>41</v>
      </c>
      <c r="Q957" s="28" t="s">
        <v>116</v>
      </c>
      <c r="R957" s="30">
        <v>3</v>
      </c>
      <c r="S957" s="30">
        <v>1.5433070866141734</v>
      </c>
      <c r="T957" s="30"/>
      <c r="U957" s="30">
        <v>0.11799999999999999</v>
      </c>
      <c r="V957" s="8">
        <f t="shared" si="827"/>
        <v>76.199999999999989</v>
      </c>
      <c r="W957" s="8">
        <f t="shared" si="828"/>
        <v>39.200000000000003</v>
      </c>
      <c r="X957" s="8">
        <f t="shared" si="829"/>
        <v>0</v>
      </c>
      <c r="Y957" s="33">
        <f t="shared" si="830"/>
        <v>2.9971999999999999</v>
      </c>
      <c r="Z957" s="28" t="s">
        <v>56</v>
      </c>
      <c r="AA957" s="28" t="s">
        <v>57</v>
      </c>
      <c r="AB957" s="28" t="s">
        <v>116</v>
      </c>
      <c r="AC957" s="31" t="s">
        <v>117</v>
      </c>
      <c r="AD957" s="50">
        <f t="shared" si="831"/>
        <v>2</v>
      </c>
      <c r="AE957" s="31"/>
      <c r="AF957" s="51">
        <v>14</v>
      </c>
      <c r="AG957" s="51">
        <f t="shared" si="858"/>
        <v>8.4</v>
      </c>
      <c r="AH957" s="51">
        <f t="shared" si="825"/>
        <v>42</v>
      </c>
      <c r="AI957" s="52" t="s">
        <v>2497</v>
      </c>
      <c r="AJ957" s="52" t="s">
        <v>2498</v>
      </c>
      <c r="AK957" s="53">
        <f t="shared" si="859"/>
        <v>5.9740799999999997E-3</v>
      </c>
      <c r="AL957" s="54">
        <f t="shared" si="860"/>
        <v>0.11904761904761904</v>
      </c>
      <c r="AM957" s="54">
        <f t="shared" si="861"/>
        <v>2.3809523809523808E-2</v>
      </c>
      <c r="AN957" s="55">
        <f t="shared" si="862"/>
        <v>1.4223999999999999E-3</v>
      </c>
      <c r="AO957" s="55">
        <f t="shared" si="863"/>
        <v>2.8447999999999999E-4</v>
      </c>
      <c r="AP957" s="53">
        <v>7.1</v>
      </c>
      <c r="AQ957" s="53">
        <f t="shared" si="832"/>
        <v>4.26</v>
      </c>
      <c r="AR957" s="53">
        <f t="shared" si="833"/>
        <v>21.299999999999997</v>
      </c>
      <c r="AS957" s="56">
        <f t="shared" si="834"/>
        <v>4.6948356807511742E-2</v>
      </c>
      <c r="AT957" s="56">
        <f t="shared" si="864"/>
        <v>0.23474178403755869</v>
      </c>
      <c r="AU957" s="56">
        <f t="shared" si="835"/>
        <v>0.176056338028169</v>
      </c>
      <c r="AV957" s="56">
        <f t="shared" si="865"/>
        <v>5.8685446009389672E-2</v>
      </c>
      <c r="AW957" s="57"/>
      <c r="AX957" s="57"/>
      <c r="AY957" s="57"/>
      <c r="AZ957" s="58">
        <f t="shared" si="866"/>
        <v>5.9740799999999997E-3</v>
      </c>
      <c r="BA957" s="59">
        <f t="shared" si="867"/>
        <v>0</v>
      </c>
      <c r="BB957" s="59">
        <f t="shared" si="868"/>
        <v>0</v>
      </c>
      <c r="BC957" s="59">
        <f t="shared" si="869"/>
        <v>0</v>
      </c>
      <c r="BD957" s="60">
        <f t="shared" si="870"/>
        <v>1.0660980810234541E-3</v>
      </c>
      <c r="BE957" s="59">
        <f t="shared" si="871"/>
        <v>2.1321961620469083E-3</v>
      </c>
      <c r="BQ957" s="61">
        <v>3000</v>
      </c>
      <c r="BR957" s="61">
        <v>1200</v>
      </c>
      <c r="BS957" s="28">
        <f t="shared" si="836"/>
        <v>2980</v>
      </c>
      <c r="BT957" s="28">
        <f t="shared" si="837"/>
        <v>1180</v>
      </c>
      <c r="BU957" s="28" t="s">
        <v>2541</v>
      </c>
      <c r="BV957" s="28">
        <f t="shared" si="838"/>
        <v>81.199999999999989</v>
      </c>
      <c r="BW957" s="28">
        <f t="shared" si="839"/>
        <v>44.2</v>
      </c>
      <c r="BX957" s="13">
        <f t="shared" si="840"/>
        <v>36.699507389162569</v>
      </c>
      <c r="BY957" s="13">
        <f t="shared" si="841"/>
        <v>36</v>
      </c>
      <c r="BZ957" s="13">
        <f t="shared" si="842"/>
        <v>26.696832579185518</v>
      </c>
      <c r="CA957" s="13">
        <f t="shared" si="843"/>
        <v>26</v>
      </c>
      <c r="CB957" s="13">
        <f t="shared" si="844"/>
        <v>936</v>
      </c>
      <c r="CC957" s="62">
        <f t="shared" si="845"/>
        <v>1.0683760683760685E-3</v>
      </c>
      <c r="CD957" s="13">
        <f t="shared" si="846"/>
        <v>67.420814479638011</v>
      </c>
      <c r="CE957" s="13">
        <f t="shared" si="847"/>
        <v>67</v>
      </c>
      <c r="CF957" s="13">
        <f t="shared" si="848"/>
        <v>14.5320197044335</v>
      </c>
      <c r="CG957" s="13">
        <f t="shared" si="849"/>
        <v>14</v>
      </c>
      <c r="CH957" s="28">
        <f t="shared" si="850"/>
        <v>938</v>
      </c>
      <c r="CI957" s="62">
        <f t="shared" si="851"/>
        <v>1.0660980810234541E-3</v>
      </c>
      <c r="CJ957" s="59">
        <f t="shared" si="852"/>
        <v>1.0660980810234541E-3</v>
      </c>
      <c r="CL957" s="63">
        <v>6000</v>
      </c>
      <c r="CM957" s="63">
        <f t="shared" si="853"/>
        <v>76.199999999999989</v>
      </c>
      <c r="CN957" s="63">
        <f t="shared" si="854"/>
        <v>81.199999999999989</v>
      </c>
      <c r="CO957" s="63">
        <f t="shared" si="855"/>
        <v>73.891625615763559</v>
      </c>
      <c r="CP957" s="13">
        <f t="shared" si="856"/>
        <v>73</v>
      </c>
      <c r="CQ957" s="70">
        <f t="shared" si="857"/>
        <v>1.3698630136986301E-2</v>
      </c>
      <c r="CR957" s="69">
        <f t="shared" si="875"/>
        <v>2.7397260273972601E-2</v>
      </c>
    </row>
    <row r="958" spans="1:96" hidden="1" x14ac:dyDescent="0.25">
      <c r="A958" s="13">
        <v>4</v>
      </c>
      <c r="B958" s="14" t="s">
        <v>2088</v>
      </c>
      <c r="C958" s="13" t="s">
        <v>1939</v>
      </c>
      <c r="D958" s="13" t="s">
        <v>2270</v>
      </c>
      <c r="E958" s="13" t="s">
        <v>52</v>
      </c>
      <c r="F958" s="15">
        <f t="shared" si="826"/>
        <v>4</v>
      </c>
      <c r="G958" s="13">
        <v>1</v>
      </c>
      <c r="H958" s="13">
        <f t="shared" si="879"/>
        <v>1</v>
      </c>
      <c r="I958" s="13">
        <v>4</v>
      </c>
      <c r="J958" s="14" t="s">
        <v>1940</v>
      </c>
      <c r="K958" s="14" t="s">
        <v>34</v>
      </c>
      <c r="L958" s="13">
        <v>0</v>
      </c>
      <c r="M958" s="14" t="s">
        <v>35</v>
      </c>
      <c r="N958" s="13" t="s">
        <v>1941</v>
      </c>
      <c r="O958" s="28"/>
      <c r="P958" s="28"/>
      <c r="Q958" s="28" t="s">
        <v>124</v>
      </c>
      <c r="R958" s="30">
        <v>53.700787401574807</v>
      </c>
      <c r="S958" s="30">
        <v>2.7165354330708662</v>
      </c>
      <c r="T958" s="30"/>
      <c r="U958" s="30">
        <v>9.8425196850393706E-2</v>
      </c>
      <c r="V958" s="8">
        <f t="shared" si="827"/>
        <v>1364</v>
      </c>
      <c r="W958" s="8">
        <f t="shared" si="828"/>
        <v>69</v>
      </c>
      <c r="X958" s="8">
        <f t="shared" si="829"/>
        <v>0</v>
      </c>
      <c r="Y958" s="33">
        <f t="shared" si="830"/>
        <v>2.5</v>
      </c>
      <c r="Z958" s="28" t="s">
        <v>56</v>
      </c>
      <c r="AA958" s="28" t="s">
        <v>57</v>
      </c>
      <c r="AB958" s="61" t="s">
        <v>124</v>
      </c>
      <c r="AC958" s="31" t="s">
        <v>125</v>
      </c>
      <c r="AD958" s="50">
        <f t="shared" si="831"/>
        <v>1</v>
      </c>
      <c r="AE958" s="31"/>
      <c r="AF958" s="51">
        <v>14</v>
      </c>
      <c r="AG958" s="51">
        <f t="shared" si="858"/>
        <v>8.4</v>
      </c>
      <c r="AH958" s="51">
        <f t="shared" si="825"/>
        <v>42</v>
      </c>
      <c r="AI958" s="52" t="s">
        <v>2497</v>
      </c>
      <c r="AJ958" s="52" t="s">
        <v>2498</v>
      </c>
      <c r="AK958" s="53">
        <f t="shared" si="859"/>
        <v>0.18823200000000001</v>
      </c>
      <c r="AL958" s="54">
        <f t="shared" si="860"/>
        <v>0.11904761904761904</v>
      </c>
      <c r="AM958" s="54">
        <f t="shared" si="861"/>
        <v>2.3809523809523808E-2</v>
      </c>
      <c r="AN958" s="55">
        <f t="shared" si="862"/>
        <v>2.2408571428571427E-2</v>
      </c>
      <c r="AO958" s="55">
        <f t="shared" si="863"/>
        <v>4.4817142857142859E-3</v>
      </c>
      <c r="AP958" s="53">
        <v>7.1</v>
      </c>
      <c r="AQ958" s="53">
        <f t="shared" si="832"/>
        <v>4.26</v>
      </c>
      <c r="AR958" s="53">
        <f t="shared" si="833"/>
        <v>21.299999999999997</v>
      </c>
      <c r="AS958" s="56">
        <f t="shared" si="834"/>
        <v>4.6948356807511742E-2</v>
      </c>
      <c r="AT958" s="56">
        <f t="shared" si="864"/>
        <v>0.23474178403755869</v>
      </c>
      <c r="AU958" s="56">
        <f t="shared" si="835"/>
        <v>0.176056338028169</v>
      </c>
      <c r="AV958" s="56">
        <f t="shared" si="865"/>
        <v>5.8685446009389672E-2</v>
      </c>
      <c r="AW958" s="57"/>
      <c r="AX958" s="57"/>
      <c r="AY958" s="57"/>
      <c r="AZ958" s="58">
        <f t="shared" si="866"/>
        <v>0.18823200000000001</v>
      </c>
      <c r="BA958" s="59">
        <f t="shared" si="867"/>
        <v>0</v>
      </c>
      <c r="BB958" s="59">
        <f t="shared" si="868"/>
        <v>0</v>
      </c>
      <c r="BC958" s="59">
        <f t="shared" si="869"/>
        <v>0</v>
      </c>
      <c r="BD958" s="60">
        <f t="shared" si="870"/>
        <v>3.3333333333333333E-2</v>
      </c>
      <c r="BE958" s="59">
        <f t="shared" si="871"/>
        <v>3.3333333333333333E-2</v>
      </c>
      <c r="BQ958" s="61">
        <v>3000</v>
      </c>
      <c r="BR958" s="61">
        <v>1200</v>
      </c>
      <c r="BS958" s="28">
        <f t="shared" si="836"/>
        <v>2980</v>
      </c>
      <c r="BT958" s="28">
        <f t="shared" si="837"/>
        <v>1180</v>
      </c>
      <c r="BU958" s="28" t="s">
        <v>2541</v>
      </c>
      <c r="BV958" s="28">
        <f t="shared" si="838"/>
        <v>1369</v>
      </c>
      <c r="BW958" s="28">
        <f t="shared" si="839"/>
        <v>74</v>
      </c>
      <c r="BX958" s="13">
        <f t="shared" si="840"/>
        <v>2.1767713659605552</v>
      </c>
      <c r="BY958" s="13">
        <f t="shared" si="841"/>
        <v>2</v>
      </c>
      <c r="BZ958" s="13">
        <f t="shared" si="842"/>
        <v>15.945945945945946</v>
      </c>
      <c r="CA958" s="13">
        <f t="shared" si="843"/>
        <v>15</v>
      </c>
      <c r="CB958" s="13">
        <f t="shared" si="844"/>
        <v>30</v>
      </c>
      <c r="CC958" s="62">
        <f t="shared" si="845"/>
        <v>3.3333333333333333E-2</v>
      </c>
      <c r="CD958" s="13">
        <f t="shared" si="846"/>
        <v>40.270270270270274</v>
      </c>
      <c r="CE958" s="13">
        <f t="shared" si="847"/>
        <v>40</v>
      </c>
      <c r="CF958" s="13">
        <f t="shared" si="848"/>
        <v>0.86194302410518631</v>
      </c>
      <c r="CG958" s="13">
        <f t="shared" si="849"/>
        <v>0</v>
      </c>
      <c r="CH958" s="28">
        <f t="shared" si="850"/>
        <v>0</v>
      </c>
      <c r="CI958" s="62">
        <f t="shared" si="851"/>
        <v>1</v>
      </c>
      <c r="CJ958" s="59">
        <f t="shared" si="852"/>
        <v>3.3333333333333333E-2</v>
      </c>
      <c r="CL958" s="63">
        <v>6000</v>
      </c>
      <c r="CM958" s="63">
        <f t="shared" si="853"/>
        <v>1364</v>
      </c>
      <c r="CN958" s="63">
        <f t="shared" si="854"/>
        <v>1369</v>
      </c>
      <c r="CO958" s="63">
        <f t="shared" si="855"/>
        <v>4.3827611395178963</v>
      </c>
      <c r="CP958" s="13">
        <f t="shared" si="856"/>
        <v>4</v>
      </c>
      <c r="CQ958" s="70">
        <f t="shared" si="857"/>
        <v>0.25</v>
      </c>
      <c r="CR958" s="69">
        <f t="shared" si="875"/>
        <v>0.25</v>
      </c>
    </row>
    <row r="959" spans="1:96" hidden="1" x14ac:dyDescent="0.25">
      <c r="A959" s="13">
        <v>4</v>
      </c>
      <c r="B959" s="14" t="s">
        <v>2088</v>
      </c>
      <c r="C959" s="13" t="s">
        <v>530</v>
      </c>
      <c r="D959" s="13" t="s">
        <v>532</v>
      </c>
      <c r="E959" s="13" t="s">
        <v>32</v>
      </c>
      <c r="F959" s="15">
        <f t="shared" si="826"/>
        <v>21</v>
      </c>
      <c r="G959" s="13">
        <v>1</v>
      </c>
      <c r="H959" s="13">
        <f t="shared" si="879"/>
        <v>1</v>
      </c>
      <c r="I959" s="13">
        <v>5</v>
      </c>
      <c r="J959" s="14" t="s">
        <v>531</v>
      </c>
      <c r="K959" s="14" t="s">
        <v>34</v>
      </c>
      <c r="L959" s="13" t="s">
        <v>110</v>
      </c>
      <c r="M959" s="14" t="s">
        <v>35</v>
      </c>
      <c r="N959" s="13" t="s">
        <v>532</v>
      </c>
      <c r="O959" s="28" t="s">
        <v>41</v>
      </c>
      <c r="P959" s="28" t="s">
        <v>41</v>
      </c>
      <c r="Q959" s="28"/>
      <c r="R959" s="30"/>
      <c r="S959" s="30"/>
      <c r="T959" s="30"/>
      <c r="U959" s="30"/>
      <c r="V959" s="8">
        <f t="shared" si="827"/>
        <v>0</v>
      </c>
      <c r="W959" s="8">
        <f t="shared" si="828"/>
        <v>0</v>
      </c>
      <c r="X959" s="8">
        <f t="shared" si="829"/>
        <v>0</v>
      </c>
      <c r="Y959" s="33">
        <f t="shared" si="830"/>
        <v>0</v>
      </c>
      <c r="Z959" s="28"/>
      <c r="AA959" s="28"/>
      <c r="AB959" s="28">
        <v>0</v>
      </c>
      <c r="AC959" s="31" t="s">
        <v>2477</v>
      </c>
      <c r="AD959" s="50">
        <f t="shared" si="831"/>
        <v>1</v>
      </c>
      <c r="AE959" s="31"/>
      <c r="AF959" s="51">
        <v>14</v>
      </c>
      <c r="AG959" s="51">
        <f t="shared" si="858"/>
        <v>8.4</v>
      </c>
      <c r="AH959" s="51">
        <f t="shared" si="825"/>
        <v>42</v>
      </c>
      <c r="AI959" s="52" t="s">
        <v>2497</v>
      </c>
      <c r="AJ959" s="52" t="s">
        <v>2498</v>
      </c>
      <c r="AK959" s="53">
        <f t="shared" si="859"/>
        <v>0</v>
      </c>
      <c r="AL959" s="54">
        <f t="shared" si="860"/>
        <v>0.11904761904761904</v>
      </c>
      <c r="AM959" s="54">
        <f t="shared" si="861"/>
        <v>2.3809523809523808E-2</v>
      </c>
      <c r="AN959" s="55">
        <f t="shared" si="862"/>
        <v>0</v>
      </c>
      <c r="AO959" s="55">
        <f t="shared" si="863"/>
        <v>0</v>
      </c>
      <c r="AP959" s="53">
        <v>7.1</v>
      </c>
      <c r="AQ959" s="53">
        <f t="shared" si="832"/>
        <v>4.26</v>
      </c>
      <c r="AR959" s="53">
        <f t="shared" si="833"/>
        <v>21.299999999999997</v>
      </c>
      <c r="AS959" s="56">
        <f t="shared" si="834"/>
        <v>4.6948356807511742E-2</v>
      </c>
      <c r="AT959" s="56">
        <f t="shared" si="864"/>
        <v>0.23474178403755869</v>
      </c>
      <c r="AU959" s="56">
        <f t="shared" si="835"/>
        <v>0.176056338028169</v>
      </c>
      <c r="AV959" s="56">
        <f t="shared" si="865"/>
        <v>5.8685446009389672E-2</v>
      </c>
      <c r="AW959" s="57"/>
      <c r="AX959" s="57"/>
      <c r="AY959" s="57"/>
      <c r="AZ959" s="58">
        <f t="shared" si="866"/>
        <v>0</v>
      </c>
      <c r="BA959" s="59">
        <f t="shared" si="867"/>
        <v>0</v>
      </c>
      <c r="BB959" s="59">
        <f t="shared" si="868"/>
        <v>0</v>
      </c>
      <c r="BC959" s="59">
        <f t="shared" si="869"/>
        <v>0</v>
      </c>
      <c r="BD959" s="60">
        <f t="shared" si="870"/>
        <v>0</v>
      </c>
      <c r="BE959" s="59">
        <f t="shared" si="871"/>
        <v>0</v>
      </c>
      <c r="BQ959" s="61">
        <v>3000</v>
      </c>
      <c r="BR959" s="61">
        <v>1200</v>
      </c>
      <c r="BS959" s="28">
        <f t="shared" si="836"/>
        <v>2980</v>
      </c>
      <c r="BT959" s="28">
        <f t="shared" si="837"/>
        <v>1180</v>
      </c>
      <c r="BU959" s="28" t="s">
        <v>2541</v>
      </c>
      <c r="BV959" s="28">
        <f t="shared" si="838"/>
        <v>5</v>
      </c>
      <c r="BW959" s="28">
        <f t="shared" si="839"/>
        <v>5</v>
      </c>
      <c r="BX959" s="13">
        <f t="shared" si="840"/>
        <v>596</v>
      </c>
      <c r="BY959" s="13">
        <f t="shared" si="841"/>
        <v>596</v>
      </c>
      <c r="BZ959" s="13">
        <f t="shared" si="842"/>
        <v>236</v>
      </c>
      <c r="CA959" s="13">
        <f t="shared" si="843"/>
        <v>236</v>
      </c>
      <c r="CB959" s="13">
        <f t="shared" si="844"/>
        <v>140656</v>
      </c>
      <c r="CC959" s="62" t="str">
        <f t="shared" si="845"/>
        <v/>
      </c>
      <c r="CD959" s="13">
        <f t="shared" si="846"/>
        <v>596</v>
      </c>
      <c r="CE959" s="13">
        <f t="shared" si="847"/>
        <v>596</v>
      </c>
      <c r="CF959" s="13">
        <f t="shared" si="848"/>
        <v>236</v>
      </c>
      <c r="CG959" s="13">
        <f t="shared" si="849"/>
        <v>236</v>
      </c>
      <c r="CH959" s="28">
        <f t="shared" si="850"/>
        <v>140656</v>
      </c>
      <c r="CI959" s="62" t="str">
        <f t="shared" si="851"/>
        <v/>
      </c>
      <c r="CJ959" s="59">
        <f t="shared" si="852"/>
        <v>0</v>
      </c>
      <c r="CL959" s="63">
        <v>6000</v>
      </c>
      <c r="CM959" s="63">
        <f t="shared" si="853"/>
        <v>0</v>
      </c>
      <c r="CN959" s="63">
        <f t="shared" si="854"/>
        <v>5</v>
      </c>
      <c r="CO959" s="63">
        <f t="shared" si="855"/>
        <v>1200</v>
      </c>
      <c r="CP959" s="13">
        <f t="shared" si="856"/>
        <v>1200</v>
      </c>
      <c r="CQ959" s="70">
        <f t="shared" si="857"/>
        <v>8.3333333333333339E-4</v>
      </c>
      <c r="CR959" s="69">
        <f t="shared" si="875"/>
        <v>8.3333333333333339E-4</v>
      </c>
    </row>
    <row r="960" spans="1:96" hidden="1" x14ac:dyDescent="0.25">
      <c r="A960" s="17">
        <v>5</v>
      </c>
      <c r="B960" s="6" t="s">
        <v>769</v>
      </c>
      <c r="C960" s="17" t="s">
        <v>534</v>
      </c>
      <c r="D960" s="17" t="s">
        <v>2270</v>
      </c>
      <c r="E960" s="17" t="s">
        <v>52</v>
      </c>
      <c r="F960" s="7">
        <f t="shared" si="826"/>
        <v>21</v>
      </c>
      <c r="G960" s="17">
        <v>1</v>
      </c>
      <c r="H960" s="17">
        <f>G960*$H$959</f>
        <v>1</v>
      </c>
      <c r="I960" s="17">
        <v>1</v>
      </c>
      <c r="J960" s="6" t="s">
        <v>101</v>
      </c>
      <c r="K960" s="6" t="s">
        <v>34</v>
      </c>
      <c r="L960" s="17" t="s">
        <v>110</v>
      </c>
      <c r="M960" s="6" t="s">
        <v>35</v>
      </c>
      <c r="N960" s="17" t="s">
        <v>535</v>
      </c>
      <c r="O960" s="28" t="s">
        <v>41</v>
      </c>
      <c r="P960" s="28" t="s">
        <v>41</v>
      </c>
      <c r="Q960" s="28" t="s">
        <v>535</v>
      </c>
      <c r="R960" s="30">
        <v>0.98</v>
      </c>
      <c r="S960" s="30">
        <v>0.98</v>
      </c>
      <c r="T960" s="30"/>
      <c r="U960" s="30">
        <v>0.11811023622047245</v>
      </c>
      <c r="V960" s="8">
        <f t="shared" si="827"/>
        <v>24.891999999999999</v>
      </c>
      <c r="W960" s="8">
        <f t="shared" si="828"/>
        <v>24.891999999999999</v>
      </c>
      <c r="X960" s="8">
        <f t="shared" si="829"/>
        <v>0</v>
      </c>
      <c r="Y960" s="33">
        <f t="shared" si="830"/>
        <v>3</v>
      </c>
      <c r="Z960" s="28" t="s">
        <v>536</v>
      </c>
      <c r="AA960" s="28" t="s">
        <v>537</v>
      </c>
      <c r="AB960" s="61" t="s">
        <v>535</v>
      </c>
      <c r="AC960" s="31" t="s">
        <v>538</v>
      </c>
      <c r="AD960" s="50">
        <f t="shared" si="831"/>
        <v>1</v>
      </c>
      <c r="AE960" s="31"/>
      <c r="AF960" s="51">
        <v>14</v>
      </c>
      <c r="AG960" s="51">
        <f t="shared" si="858"/>
        <v>8.4</v>
      </c>
      <c r="AH960" s="51">
        <f t="shared" si="825"/>
        <v>42</v>
      </c>
      <c r="AI960" s="52" t="s">
        <v>2497</v>
      </c>
      <c r="AJ960" s="52" t="s">
        <v>2498</v>
      </c>
      <c r="AK960" s="53">
        <f t="shared" si="859"/>
        <v>1.239223328E-3</v>
      </c>
      <c r="AL960" s="54">
        <f t="shared" si="860"/>
        <v>0.11904761904761904</v>
      </c>
      <c r="AM960" s="54">
        <f t="shared" si="861"/>
        <v>2.3809523809523808E-2</v>
      </c>
      <c r="AN960" s="55">
        <f t="shared" si="862"/>
        <v>1.4752658666666667E-4</v>
      </c>
      <c r="AO960" s="55">
        <f t="shared" si="863"/>
        <v>2.9505317333333333E-5</v>
      </c>
      <c r="AP960" s="53">
        <v>7.1</v>
      </c>
      <c r="AQ960" s="53">
        <f t="shared" si="832"/>
        <v>4.26</v>
      </c>
      <c r="AR960" s="53">
        <f t="shared" si="833"/>
        <v>21.299999999999997</v>
      </c>
      <c r="AS960" s="56">
        <f t="shared" si="834"/>
        <v>4.6948356807511742E-2</v>
      </c>
      <c r="AT960" s="56">
        <f t="shared" si="864"/>
        <v>0.23474178403755869</v>
      </c>
      <c r="AU960" s="56">
        <f t="shared" si="835"/>
        <v>0.176056338028169</v>
      </c>
      <c r="AV960" s="56">
        <f t="shared" si="865"/>
        <v>5.8685446009389672E-2</v>
      </c>
      <c r="AW960" s="57"/>
      <c r="AX960" s="57"/>
      <c r="AY960" s="57"/>
      <c r="AZ960" s="58">
        <f t="shared" si="866"/>
        <v>1.239223328E-3</v>
      </c>
      <c r="BA960" s="59">
        <f t="shared" si="867"/>
        <v>0</v>
      </c>
      <c r="BB960" s="59">
        <f t="shared" si="868"/>
        <v>0</v>
      </c>
      <c r="BC960" s="59">
        <f t="shared" si="869"/>
        <v>0</v>
      </c>
      <c r="BD960" s="60">
        <f t="shared" si="870"/>
        <v>2.5900025900025902E-4</v>
      </c>
      <c r="BE960" s="59">
        <f t="shared" si="871"/>
        <v>2.5900025900025902E-4</v>
      </c>
      <c r="BQ960" s="61">
        <v>3000</v>
      </c>
      <c r="BR960" s="61">
        <v>1200</v>
      </c>
      <c r="BS960" s="28">
        <f t="shared" si="836"/>
        <v>2980</v>
      </c>
      <c r="BT960" s="28">
        <f t="shared" si="837"/>
        <v>1180</v>
      </c>
      <c r="BU960" s="28" t="s">
        <v>2541</v>
      </c>
      <c r="BV960" s="28">
        <f t="shared" si="838"/>
        <v>29.891999999999999</v>
      </c>
      <c r="BW960" s="28">
        <f t="shared" si="839"/>
        <v>29.891999999999999</v>
      </c>
      <c r="BX960" s="13">
        <f t="shared" si="840"/>
        <v>99.692225344573799</v>
      </c>
      <c r="BY960" s="13">
        <f t="shared" si="841"/>
        <v>99</v>
      </c>
      <c r="BZ960" s="13">
        <f t="shared" si="842"/>
        <v>39.475444935099695</v>
      </c>
      <c r="CA960" s="13">
        <f t="shared" si="843"/>
        <v>39</v>
      </c>
      <c r="CB960" s="13">
        <f t="shared" si="844"/>
        <v>3861</v>
      </c>
      <c r="CC960" s="62">
        <f t="shared" si="845"/>
        <v>2.5900025900025902E-4</v>
      </c>
      <c r="CD960" s="13">
        <f t="shared" si="846"/>
        <v>99.692225344573799</v>
      </c>
      <c r="CE960" s="13">
        <f t="shared" si="847"/>
        <v>99</v>
      </c>
      <c r="CF960" s="13">
        <f t="shared" si="848"/>
        <v>39.475444935099695</v>
      </c>
      <c r="CG960" s="13">
        <f t="shared" si="849"/>
        <v>39</v>
      </c>
      <c r="CH960" s="28">
        <f t="shared" si="850"/>
        <v>3861</v>
      </c>
      <c r="CI960" s="62">
        <f t="shared" si="851"/>
        <v>2.5900025900025902E-4</v>
      </c>
      <c r="CJ960" s="59">
        <f t="shared" si="852"/>
        <v>2.5900025900025902E-4</v>
      </c>
      <c r="CL960" s="63">
        <v>6000</v>
      </c>
      <c r="CM960" s="63">
        <f t="shared" si="853"/>
        <v>24.891999999999999</v>
      </c>
      <c r="CN960" s="63">
        <f t="shared" si="854"/>
        <v>29.891999999999999</v>
      </c>
      <c r="CO960" s="63">
        <f t="shared" si="855"/>
        <v>200.72260136491369</v>
      </c>
      <c r="CP960" s="13">
        <f t="shared" si="856"/>
        <v>200</v>
      </c>
      <c r="CQ960" s="70">
        <f t="shared" si="857"/>
        <v>5.0000000000000001E-3</v>
      </c>
      <c r="CR960" s="69">
        <f t="shared" si="875"/>
        <v>5.0000000000000001E-3</v>
      </c>
    </row>
    <row r="961" spans="1:96" hidden="1" x14ac:dyDescent="0.25">
      <c r="A961" s="17">
        <v>5</v>
      </c>
      <c r="B961" s="6" t="s">
        <v>769</v>
      </c>
      <c r="C961" s="17" t="s">
        <v>539</v>
      </c>
      <c r="D961" s="17" t="s">
        <v>2270</v>
      </c>
      <c r="E961" s="17" t="s">
        <v>52</v>
      </c>
      <c r="F961" s="7">
        <f t="shared" si="826"/>
        <v>21</v>
      </c>
      <c r="G961" s="17">
        <v>1</v>
      </c>
      <c r="H961" s="17">
        <f>G961*$H$959</f>
        <v>1</v>
      </c>
      <c r="I961" s="17">
        <v>2</v>
      </c>
      <c r="J961" s="6" t="s">
        <v>101</v>
      </c>
      <c r="K961" s="6" t="s">
        <v>34</v>
      </c>
      <c r="L961" s="17" t="s">
        <v>110</v>
      </c>
      <c r="M961" s="6" t="s">
        <v>35</v>
      </c>
      <c r="N961" s="17" t="s">
        <v>540</v>
      </c>
      <c r="O961" s="28" t="s">
        <v>41</v>
      </c>
      <c r="P961" s="28" t="s">
        <v>41</v>
      </c>
      <c r="Q961" s="28" t="s">
        <v>540</v>
      </c>
      <c r="R961" s="30">
        <v>0.98</v>
      </c>
      <c r="S961" s="30">
        <v>0.98</v>
      </c>
      <c r="T961" s="30"/>
      <c r="U961" s="30">
        <v>0.47244094488188981</v>
      </c>
      <c r="V961" s="8">
        <f t="shared" si="827"/>
        <v>24.891999999999999</v>
      </c>
      <c r="W961" s="8">
        <f t="shared" si="828"/>
        <v>24.891999999999999</v>
      </c>
      <c r="X961" s="8">
        <f t="shared" si="829"/>
        <v>0</v>
      </c>
      <c r="Y961" s="33">
        <f t="shared" si="830"/>
        <v>12</v>
      </c>
      <c r="Z961" s="28" t="s">
        <v>731</v>
      </c>
      <c r="AA961" s="28" t="s">
        <v>251</v>
      </c>
      <c r="AB961" s="61" t="s">
        <v>540</v>
      </c>
      <c r="AC961" s="31" t="s">
        <v>541</v>
      </c>
      <c r="AD961" s="50">
        <f t="shared" si="831"/>
        <v>1</v>
      </c>
      <c r="AE961" s="31"/>
      <c r="AF961" s="51">
        <v>14</v>
      </c>
      <c r="AG961" s="51">
        <f t="shared" si="858"/>
        <v>8.4</v>
      </c>
      <c r="AH961" s="51">
        <f t="shared" si="825"/>
        <v>42</v>
      </c>
      <c r="AI961" s="52" t="s">
        <v>2497</v>
      </c>
      <c r="AJ961" s="52" t="s">
        <v>2498</v>
      </c>
      <c r="AK961" s="53">
        <f t="shared" si="859"/>
        <v>1.239223328E-3</v>
      </c>
      <c r="AL961" s="54">
        <f t="shared" si="860"/>
        <v>0.11904761904761904</v>
      </c>
      <c r="AM961" s="54">
        <f t="shared" si="861"/>
        <v>2.3809523809523808E-2</v>
      </c>
      <c r="AN961" s="55">
        <f t="shared" si="862"/>
        <v>1.4752658666666667E-4</v>
      </c>
      <c r="AO961" s="55">
        <f t="shared" si="863"/>
        <v>2.9505317333333333E-5</v>
      </c>
      <c r="AP961" s="53">
        <v>7.1</v>
      </c>
      <c r="AQ961" s="53">
        <f t="shared" si="832"/>
        <v>4.26</v>
      </c>
      <c r="AR961" s="53">
        <f t="shared" si="833"/>
        <v>21.299999999999997</v>
      </c>
      <c r="AS961" s="56">
        <f t="shared" si="834"/>
        <v>4.6948356807511742E-2</v>
      </c>
      <c r="AT961" s="56">
        <f t="shared" si="864"/>
        <v>0.23474178403755869</v>
      </c>
      <c r="AU961" s="56">
        <f t="shared" si="835"/>
        <v>0.176056338028169</v>
      </c>
      <c r="AV961" s="56">
        <f t="shared" si="865"/>
        <v>5.8685446009389672E-2</v>
      </c>
      <c r="AW961" s="57"/>
      <c r="AX961" s="57"/>
      <c r="AY961" s="57"/>
      <c r="AZ961" s="58">
        <f t="shared" si="866"/>
        <v>1.239223328E-3</v>
      </c>
      <c r="BA961" s="59">
        <f t="shared" si="867"/>
        <v>0</v>
      </c>
      <c r="BB961" s="59">
        <f t="shared" si="868"/>
        <v>0</v>
      </c>
      <c r="BC961" s="59">
        <f t="shared" si="869"/>
        <v>0</v>
      </c>
      <c r="BD961" s="60">
        <f t="shared" si="870"/>
        <v>2.5900025900025902E-4</v>
      </c>
      <c r="BE961" s="59">
        <f t="shared" si="871"/>
        <v>2.5900025900025902E-4</v>
      </c>
      <c r="BQ961" s="61">
        <v>3000</v>
      </c>
      <c r="BR961" s="61">
        <v>1200</v>
      </c>
      <c r="BS961" s="28">
        <f t="shared" si="836"/>
        <v>2980</v>
      </c>
      <c r="BT961" s="28">
        <f t="shared" si="837"/>
        <v>1180</v>
      </c>
      <c r="BU961" s="28" t="s">
        <v>2541</v>
      </c>
      <c r="BV961" s="28">
        <f t="shared" si="838"/>
        <v>29.891999999999999</v>
      </c>
      <c r="BW961" s="28">
        <f t="shared" si="839"/>
        <v>29.891999999999999</v>
      </c>
      <c r="BX961" s="13">
        <f t="shared" si="840"/>
        <v>99.692225344573799</v>
      </c>
      <c r="BY961" s="13">
        <f t="shared" si="841"/>
        <v>99</v>
      </c>
      <c r="BZ961" s="13">
        <f t="shared" si="842"/>
        <v>39.475444935099695</v>
      </c>
      <c r="CA961" s="13">
        <f t="shared" si="843"/>
        <v>39</v>
      </c>
      <c r="CB961" s="13">
        <f t="shared" si="844"/>
        <v>3861</v>
      </c>
      <c r="CC961" s="62">
        <f t="shared" si="845"/>
        <v>2.5900025900025902E-4</v>
      </c>
      <c r="CD961" s="13">
        <f t="shared" si="846"/>
        <v>99.692225344573799</v>
      </c>
      <c r="CE961" s="13">
        <f t="shared" si="847"/>
        <v>99</v>
      </c>
      <c r="CF961" s="13">
        <f t="shared" si="848"/>
        <v>39.475444935099695</v>
      </c>
      <c r="CG961" s="13">
        <f t="shared" si="849"/>
        <v>39</v>
      </c>
      <c r="CH961" s="28">
        <f t="shared" si="850"/>
        <v>3861</v>
      </c>
      <c r="CI961" s="62">
        <f t="shared" si="851"/>
        <v>2.5900025900025902E-4</v>
      </c>
      <c r="CJ961" s="59">
        <f t="shared" si="852"/>
        <v>2.5900025900025902E-4</v>
      </c>
      <c r="CL961" s="63">
        <v>6000</v>
      </c>
      <c r="CM961" s="63">
        <f t="shared" si="853"/>
        <v>24.891999999999999</v>
      </c>
      <c r="CN961" s="63">
        <f t="shared" si="854"/>
        <v>29.891999999999999</v>
      </c>
      <c r="CO961" s="63">
        <f t="shared" si="855"/>
        <v>200.72260136491369</v>
      </c>
      <c r="CP961" s="13">
        <f t="shared" si="856"/>
        <v>200</v>
      </c>
      <c r="CQ961" s="70">
        <f t="shared" si="857"/>
        <v>5.0000000000000001E-3</v>
      </c>
      <c r="CR961" s="69">
        <f t="shared" si="875"/>
        <v>5.0000000000000001E-3</v>
      </c>
    </row>
    <row r="962" spans="1:96" hidden="1" x14ac:dyDescent="0.25">
      <c r="A962" s="13">
        <v>4</v>
      </c>
      <c r="B962" s="14" t="s">
        <v>2088</v>
      </c>
      <c r="C962" s="13" t="s">
        <v>2089</v>
      </c>
      <c r="D962" s="13" t="s">
        <v>2270</v>
      </c>
      <c r="E962" s="13" t="s">
        <v>32</v>
      </c>
      <c r="F962" s="15">
        <f t="shared" si="826"/>
        <v>1</v>
      </c>
      <c r="G962" s="13">
        <v>1</v>
      </c>
      <c r="H962" s="13">
        <f>G962*$H$955</f>
        <v>1</v>
      </c>
      <c r="I962" s="13">
        <v>7</v>
      </c>
      <c r="J962" s="14" t="s">
        <v>1871</v>
      </c>
      <c r="K962" s="14" t="s">
        <v>34</v>
      </c>
      <c r="L962" s="13">
        <v>0</v>
      </c>
      <c r="M962" s="14" t="s">
        <v>35</v>
      </c>
      <c r="N962" s="13" t="s">
        <v>2090</v>
      </c>
      <c r="O962" s="28"/>
      <c r="P962" s="28"/>
      <c r="Q962" s="28"/>
      <c r="R962" s="30"/>
      <c r="S962" s="30"/>
      <c r="T962" s="30"/>
      <c r="U962" s="30"/>
      <c r="V962" s="8">
        <f t="shared" si="827"/>
        <v>0</v>
      </c>
      <c r="W962" s="8">
        <f t="shared" si="828"/>
        <v>0</v>
      </c>
      <c r="X962" s="8">
        <f t="shared" si="829"/>
        <v>0</v>
      </c>
      <c r="Y962" s="33">
        <f t="shared" si="830"/>
        <v>0</v>
      </c>
      <c r="Z962" s="28"/>
      <c r="AA962" s="28"/>
      <c r="AB962" s="28">
        <v>0</v>
      </c>
      <c r="AC962" s="31"/>
      <c r="AD962" s="50">
        <f t="shared" si="831"/>
        <v>1</v>
      </c>
      <c r="AE962" s="31"/>
      <c r="AF962" s="51">
        <v>14</v>
      </c>
      <c r="AG962" s="51">
        <f t="shared" si="858"/>
        <v>8.4</v>
      </c>
      <c r="AH962" s="51">
        <f t="shared" ref="AH962:AH1025" si="880">AG962/0.2</f>
        <v>42</v>
      </c>
      <c r="AI962" s="52" t="s">
        <v>2497</v>
      </c>
      <c r="AJ962" s="52" t="s">
        <v>2498</v>
      </c>
      <c r="AK962" s="53">
        <f t="shared" si="859"/>
        <v>0</v>
      </c>
      <c r="AL962" s="54">
        <f t="shared" si="860"/>
        <v>0.11904761904761904</v>
      </c>
      <c r="AM962" s="54">
        <f t="shared" si="861"/>
        <v>2.3809523809523808E-2</v>
      </c>
      <c r="AN962" s="55">
        <f t="shared" si="862"/>
        <v>0</v>
      </c>
      <c r="AO962" s="55">
        <f t="shared" si="863"/>
        <v>0</v>
      </c>
      <c r="AP962" s="53">
        <v>7.1</v>
      </c>
      <c r="AQ962" s="53">
        <f t="shared" si="832"/>
        <v>4.26</v>
      </c>
      <c r="AR962" s="53">
        <f t="shared" si="833"/>
        <v>21.299999999999997</v>
      </c>
      <c r="AS962" s="56">
        <f t="shared" si="834"/>
        <v>4.6948356807511742E-2</v>
      </c>
      <c r="AT962" s="56">
        <f t="shared" si="864"/>
        <v>0.23474178403755869</v>
      </c>
      <c r="AU962" s="56">
        <f t="shared" si="835"/>
        <v>0.176056338028169</v>
      </c>
      <c r="AV962" s="56">
        <f t="shared" si="865"/>
        <v>5.8685446009389672E-2</v>
      </c>
      <c r="AW962" s="57"/>
      <c r="AX962" s="57"/>
      <c r="AY962" s="57"/>
      <c r="AZ962" s="58">
        <f t="shared" si="866"/>
        <v>0</v>
      </c>
      <c r="BA962" s="59">
        <f t="shared" si="867"/>
        <v>0</v>
      </c>
      <c r="BB962" s="59">
        <f t="shared" si="868"/>
        <v>0</v>
      </c>
      <c r="BC962" s="59">
        <f t="shared" si="869"/>
        <v>0</v>
      </c>
      <c r="BD962" s="60">
        <f t="shared" si="870"/>
        <v>0</v>
      </c>
      <c r="BE962" s="59">
        <f t="shared" si="871"/>
        <v>0</v>
      </c>
      <c r="BQ962" s="61">
        <v>3000</v>
      </c>
      <c r="BR962" s="61">
        <v>1200</v>
      </c>
      <c r="BS962" s="28">
        <f t="shared" si="836"/>
        <v>2980</v>
      </c>
      <c r="BT962" s="28">
        <f t="shared" si="837"/>
        <v>1180</v>
      </c>
      <c r="BU962" s="28" t="s">
        <v>2541</v>
      </c>
      <c r="BV962" s="28">
        <f t="shared" si="838"/>
        <v>5</v>
      </c>
      <c r="BW962" s="28">
        <f t="shared" si="839"/>
        <v>5</v>
      </c>
      <c r="BX962" s="13">
        <f t="shared" si="840"/>
        <v>596</v>
      </c>
      <c r="BY962" s="13">
        <f t="shared" si="841"/>
        <v>596</v>
      </c>
      <c r="BZ962" s="13">
        <f t="shared" si="842"/>
        <v>236</v>
      </c>
      <c r="CA962" s="13">
        <f t="shared" si="843"/>
        <v>236</v>
      </c>
      <c r="CB962" s="13">
        <f t="shared" si="844"/>
        <v>140656</v>
      </c>
      <c r="CC962" s="62" t="str">
        <f t="shared" si="845"/>
        <v/>
      </c>
      <c r="CD962" s="13">
        <f t="shared" si="846"/>
        <v>596</v>
      </c>
      <c r="CE962" s="13">
        <f t="shared" si="847"/>
        <v>596</v>
      </c>
      <c r="CF962" s="13">
        <f t="shared" si="848"/>
        <v>236</v>
      </c>
      <c r="CG962" s="13">
        <f t="shared" si="849"/>
        <v>236</v>
      </c>
      <c r="CH962" s="28">
        <f t="shared" si="850"/>
        <v>140656</v>
      </c>
      <c r="CI962" s="62" t="str">
        <f t="shared" si="851"/>
        <v/>
      </c>
      <c r="CJ962" s="59">
        <f t="shared" si="852"/>
        <v>0</v>
      </c>
      <c r="CL962" s="63">
        <v>6000</v>
      </c>
      <c r="CM962" s="63">
        <f t="shared" si="853"/>
        <v>0</v>
      </c>
      <c r="CN962" s="63">
        <f t="shared" si="854"/>
        <v>5</v>
      </c>
      <c r="CO962" s="63">
        <f t="shared" si="855"/>
        <v>1200</v>
      </c>
      <c r="CP962" s="13">
        <f t="shared" si="856"/>
        <v>1200</v>
      </c>
      <c r="CQ962" s="70">
        <f t="shared" si="857"/>
        <v>8.3333333333333339E-4</v>
      </c>
      <c r="CR962" s="69">
        <f t="shared" si="875"/>
        <v>8.3333333333333339E-4</v>
      </c>
    </row>
    <row r="963" spans="1:96" hidden="1" x14ac:dyDescent="0.25">
      <c r="A963" s="17">
        <v>5</v>
      </c>
      <c r="B963" s="6" t="s">
        <v>2091</v>
      </c>
      <c r="C963" s="17" t="s">
        <v>2092</v>
      </c>
      <c r="D963" s="17" t="s">
        <v>2270</v>
      </c>
      <c r="E963" s="17" t="s">
        <v>52</v>
      </c>
      <c r="F963" s="7">
        <f t="shared" ref="F963:F1026" si="881">COUNTIF($C$2:$C$1202,C963)</f>
        <v>1</v>
      </c>
      <c r="G963" s="17">
        <v>1</v>
      </c>
      <c r="H963" s="17">
        <f>G963*$H$962</f>
        <v>1</v>
      </c>
      <c r="I963" s="17">
        <v>1</v>
      </c>
      <c r="J963" s="6" t="s">
        <v>459</v>
      </c>
      <c r="K963" s="6" t="s">
        <v>34</v>
      </c>
      <c r="L963" s="17">
        <v>0</v>
      </c>
      <c r="M963" s="6" t="s">
        <v>35</v>
      </c>
      <c r="N963" s="17" t="s">
        <v>2093</v>
      </c>
      <c r="O963" s="28"/>
      <c r="P963" s="28"/>
      <c r="Q963" s="28" t="s">
        <v>505</v>
      </c>
      <c r="R963" s="30">
        <v>56.924999999999997</v>
      </c>
      <c r="S963" s="30">
        <v>18.887</v>
      </c>
      <c r="T963" s="30"/>
      <c r="U963" s="30">
        <v>0.06</v>
      </c>
      <c r="V963" s="8">
        <f t="shared" ref="V963:V1026" si="882">R963*25.4</f>
        <v>1445.8949999999998</v>
      </c>
      <c r="W963" s="8">
        <f t="shared" ref="W963:W1026" si="883">S963*25.4</f>
        <v>479.72980000000001</v>
      </c>
      <c r="X963" s="8">
        <f t="shared" ref="X963:X1026" si="884">T963*25.4</f>
        <v>0</v>
      </c>
      <c r="Y963" s="33">
        <f t="shared" ref="Y963:Y1026" si="885">U963*25.4</f>
        <v>1.5239999999999998</v>
      </c>
      <c r="Z963" s="28" t="s">
        <v>56</v>
      </c>
      <c r="AA963" s="28" t="s">
        <v>1765</v>
      </c>
      <c r="AB963" s="61" t="s">
        <v>505</v>
      </c>
      <c r="AC963" s="31" t="s">
        <v>506</v>
      </c>
      <c r="AD963" s="50">
        <f t="shared" ref="AD963:AD1026" si="886">H963</f>
        <v>1</v>
      </c>
      <c r="AE963" s="31"/>
      <c r="AF963" s="51">
        <v>14</v>
      </c>
      <c r="AG963" s="51">
        <f t="shared" si="858"/>
        <v>8.4</v>
      </c>
      <c r="AH963" s="51">
        <f t="shared" si="880"/>
        <v>42</v>
      </c>
      <c r="AI963" s="52" t="s">
        <v>2497</v>
      </c>
      <c r="AJ963" s="52" t="s">
        <v>2498</v>
      </c>
      <c r="AK963" s="53">
        <f t="shared" si="859"/>
        <v>1.3872778383419997</v>
      </c>
      <c r="AL963" s="54">
        <f t="shared" si="860"/>
        <v>0.11904761904761904</v>
      </c>
      <c r="AM963" s="54">
        <f t="shared" si="861"/>
        <v>2.3809523809523808E-2</v>
      </c>
      <c r="AN963" s="55">
        <f t="shared" si="862"/>
        <v>0.16515212361214282</v>
      </c>
      <c r="AO963" s="55">
        <f t="shared" si="863"/>
        <v>3.3030424722428564E-2</v>
      </c>
      <c r="AP963" s="53">
        <v>7.1</v>
      </c>
      <c r="AQ963" s="53">
        <f t="shared" ref="AQ963:AQ1026" si="887">AP963*0.6</f>
        <v>4.26</v>
      </c>
      <c r="AR963" s="53">
        <f t="shared" ref="AR963:AR1026" si="888">AQ963*5</f>
        <v>21.299999999999997</v>
      </c>
      <c r="AS963" s="56">
        <f t="shared" ref="AS963:AS1026" si="889">1/AR963</f>
        <v>4.6948356807511742E-2</v>
      </c>
      <c r="AT963" s="56">
        <f t="shared" si="864"/>
        <v>0.23474178403755869</v>
      </c>
      <c r="AU963" s="56">
        <f t="shared" ref="AU963:AU1026" si="890">AT963*0.75</f>
        <v>0.176056338028169</v>
      </c>
      <c r="AV963" s="56">
        <f t="shared" si="865"/>
        <v>5.8685446009389672E-2</v>
      </c>
      <c r="AW963" s="57"/>
      <c r="AX963" s="57"/>
      <c r="AY963" s="57"/>
      <c r="AZ963" s="58">
        <f t="shared" si="866"/>
        <v>1.3872778383419997</v>
      </c>
      <c r="BA963" s="59">
        <f t="shared" si="867"/>
        <v>0</v>
      </c>
      <c r="BB963" s="59">
        <f t="shared" si="868"/>
        <v>0</v>
      </c>
      <c r="BC963" s="59">
        <f t="shared" si="869"/>
        <v>0</v>
      </c>
      <c r="BD963" s="60">
        <f t="shared" si="870"/>
        <v>0.25</v>
      </c>
      <c r="BE963" s="59">
        <f t="shared" si="871"/>
        <v>0.25</v>
      </c>
      <c r="BQ963" s="61">
        <v>3000</v>
      </c>
      <c r="BR963" s="61">
        <v>1200</v>
      </c>
      <c r="BS963" s="28">
        <f t="shared" ref="BS963:BS1026" si="891">BQ963-20</f>
        <v>2980</v>
      </c>
      <c r="BT963" s="28">
        <f t="shared" ref="BT963:BT1026" si="892">BR963-20</f>
        <v>1180</v>
      </c>
      <c r="BU963" s="28" t="s">
        <v>2541</v>
      </c>
      <c r="BV963" s="28">
        <f t="shared" ref="BV963:BV1026" si="893">V963+5</f>
        <v>1450.8949999999998</v>
      </c>
      <c r="BW963" s="28">
        <f t="shared" ref="BW963:BW1026" si="894">W963+5</f>
        <v>484.72980000000001</v>
      </c>
      <c r="BX963" s="13">
        <f t="shared" ref="BX963:BX1026" si="895">BS963/BV963</f>
        <v>2.0539046588485044</v>
      </c>
      <c r="BY963" s="13">
        <f t="shared" ref="BY963:BY1026" si="896">ROUNDDOWN(BX963,0)</f>
        <v>2</v>
      </c>
      <c r="BZ963" s="13">
        <f t="shared" ref="BZ963:BZ1026" si="897">BT963/BW963</f>
        <v>2.434345897446371</v>
      </c>
      <c r="CA963" s="13">
        <f t="shared" ref="CA963:CA1026" si="898">ROUNDDOWN(BZ963,0)</f>
        <v>2</v>
      </c>
      <c r="CB963" s="13">
        <f t="shared" ref="CB963:CB1026" si="899">BY963*CA963</f>
        <v>4</v>
      </c>
      <c r="CC963" s="62">
        <f t="shared" ref="CC963:CC1026" si="900">IF(E963="CJ","",IFERROR((1/CB963),1))</f>
        <v>0.25</v>
      </c>
      <c r="CD963" s="13">
        <f t="shared" ref="CD963:CD1026" si="901">BS963/BW963</f>
        <v>6.1477548935510047</v>
      </c>
      <c r="CE963" s="13">
        <f t="shared" ref="CE963:CE1026" si="902">ROUNDDOWN(CD963,0)</f>
        <v>6</v>
      </c>
      <c r="CF963" s="13">
        <f t="shared" ref="CF963:CF1026" si="903">BT963/BV963</f>
        <v>0.81329110652390435</v>
      </c>
      <c r="CG963" s="13">
        <f t="shared" ref="CG963:CG1026" si="904">ROUNDDOWN(CF963,0)</f>
        <v>0</v>
      </c>
      <c r="CH963" s="28">
        <f t="shared" ref="CH963:CH1026" si="905">CE963*CG963</f>
        <v>0</v>
      </c>
      <c r="CI963" s="62">
        <f t="shared" ref="CI963:CI1026" si="906">IF(E963="CJ","",IFERROR((1/CH963),1))</f>
        <v>1</v>
      </c>
      <c r="CJ963" s="59">
        <f t="shared" ref="CJ963:CJ1026" si="907">MIN(CC963,CI963)</f>
        <v>0.25</v>
      </c>
      <c r="CL963" s="63">
        <v>6000</v>
      </c>
      <c r="CM963" s="63">
        <f t="shared" ref="CM963:CM1026" si="908">V963</f>
        <v>1445.8949999999998</v>
      </c>
      <c r="CN963" s="63">
        <f t="shared" ref="CN963:CN1026" si="909">CM963+5</f>
        <v>1450.8949999999998</v>
      </c>
      <c r="CO963" s="63">
        <f t="shared" ref="CO963:CO1026" si="910">CL963/CN963</f>
        <v>4.1353785077486664</v>
      </c>
      <c r="CP963" s="13">
        <f t="shared" ref="CP963:CP1026" si="911">ROUNDDOWN(CO963,0)</f>
        <v>4</v>
      </c>
      <c r="CQ963" s="70">
        <f t="shared" ref="CQ963:CQ1026" si="912">1/CP963</f>
        <v>0.25</v>
      </c>
      <c r="CR963" s="69">
        <f t="shared" si="875"/>
        <v>0.25</v>
      </c>
    </row>
    <row r="964" spans="1:96" hidden="1" x14ac:dyDescent="0.25">
      <c r="A964" s="17">
        <v>5</v>
      </c>
      <c r="B964" s="6" t="s">
        <v>2091</v>
      </c>
      <c r="C964" s="17" t="s">
        <v>1667</v>
      </c>
      <c r="D964" s="17" t="s">
        <v>1959</v>
      </c>
      <c r="E964" s="17" t="s">
        <v>52</v>
      </c>
      <c r="F964" s="7">
        <f t="shared" si="881"/>
        <v>8</v>
      </c>
      <c r="G964" s="17">
        <v>4</v>
      </c>
      <c r="H964" s="17">
        <f>G964*$H$962</f>
        <v>4</v>
      </c>
      <c r="I964" s="17">
        <v>6</v>
      </c>
      <c r="J964" s="6" t="s">
        <v>1668</v>
      </c>
      <c r="K964" s="6" t="s">
        <v>34</v>
      </c>
      <c r="L964" s="17">
        <v>0</v>
      </c>
      <c r="M964" s="6" t="s">
        <v>35</v>
      </c>
      <c r="N964" s="17" t="s">
        <v>1959</v>
      </c>
      <c r="O964" s="28"/>
      <c r="P964" s="28"/>
      <c r="Q964" s="28" t="s">
        <v>1959</v>
      </c>
      <c r="R964" s="30"/>
      <c r="S964" s="30"/>
      <c r="T964" s="30"/>
      <c r="U964" s="30"/>
      <c r="V964" s="8">
        <f t="shared" si="882"/>
        <v>0</v>
      </c>
      <c r="W964" s="8">
        <f t="shared" si="883"/>
        <v>0</v>
      </c>
      <c r="X964" s="8">
        <f t="shared" si="884"/>
        <v>0</v>
      </c>
      <c r="Y964" s="33">
        <f t="shared" si="885"/>
        <v>0</v>
      </c>
      <c r="Z964" s="28"/>
      <c r="AA964" s="28"/>
      <c r="AB964" s="61" t="s">
        <v>1959</v>
      </c>
      <c r="AC964" s="31" t="s">
        <v>1669</v>
      </c>
      <c r="AD964" s="50">
        <f t="shared" si="886"/>
        <v>4</v>
      </c>
      <c r="AE964" s="31"/>
      <c r="AF964" s="51">
        <v>14</v>
      </c>
      <c r="AG964" s="51">
        <f t="shared" si="858"/>
        <v>8.4</v>
      </c>
      <c r="AH964" s="51">
        <f t="shared" si="880"/>
        <v>42</v>
      </c>
      <c r="AI964" s="52" t="s">
        <v>2497</v>
      </c>
      <c r="AJ964" s="52" t="s">
        <v>2498</v>
      </c>
      <c r="AK964" s="53">
        <f t="shared" si="859"/>
        <v>0</v>
      </c>
      <c r="AL964" s="54">
        <f t="shared" si="860"/>
        <v>0.11904761904761904</v>
      </c>
      <c r="AM964" s="54">
        <f t="shared" si="861"/>
        <v>2.3809523809523808E-2</v>
      </c>
      <c r="AN964" s="55">
        <f t="shared" si="862"/>
        <v>0</v>
      </c>
      <c r="AO964" s="55">
        <f t="shared" si="863"/>
        <v>0</v>
      </c>
      <c r="AP964" s="53">
        <v>7.1</v>
      </c>
      <c r="AQ964" s="53">
        <f t="shared" si="887"/>
        <v>4.26</v>
      </c>
      <c r="AR964" s="53">
        <f t="shared" si="888"/>
        <v>21.299999999999997</v>
      </c>
      <c r="AS964" s="56">
        <f t="shared" si="889"/>
        <v>4.6948356807511742E-2</v>
      </c>
      <c r="AT964" s="56">
        <f t="shared" si="864"/>
        <v>0.23474178403755869</v>
      </c>
      <c r="AU964" s="56">
        <f t="shared" si="890"/>
        <v>0.176056338028169</v>
      </c>
      <c r="AV964" s="56">
        <f t="shared" si="865"/>
        <v>5.8685446009389672E-2</v>
      </c>
      <c r="AW964" s="57"/>
      <c r="AX964" s="57"/>
      <c r="AY964" s="57"/>
      <c r="AZ964" s="58">
        <f t="shared" si="866"/>
        <v>0</v>
      </c>
      <c r="BA964" s="59">
        <f t="shared" si="867"/>
        <v>0</v>
      </c>
      <c r="BB964" s="59">
        <f t="shared" si="868"/>
        <v>0</v>
      </c>
      <c r="BC964" s="59">
        <f t="shared" si="869"/>
        <v>0</v>
      </c>
      <c r="BD964" s="60">
        <f t="shared" si="870"/>
        <v>7.1095438516664771E-6</v>
      </c>
      <c r="BE964" s="59">
        <f t="shared" si="871"/>
        <v>2.8438175406665908E-5</v>
      </c>
      <c r="BQ964" s="61">
        <v>3000</v>
      </c>
      <c r="BR964" s="61">
        <v>1200</v>
      </c>
      <c r="BS964" s="28">
        <f t="shared" si="891"/>
        <v>2980</v>
      </c>
      <c r="BT964" s="28">
        <f t="shared" si="892"/>
        <v>1180</v>
      </c>
      <c r="BU964" s="28" t="s">
        <v>2541</v>
      </c>
      <c r="BV964" s="28">
        <f t="shared" si="893"/>
        <v>5</v>
      </c>
      <c r="BW964" s="28">
        <f t="shared" si="894"/>
        <v>5</v>
      </c>
      <c r="BX964" s="13">
        <f t="shared" si="895"/>
        <v>596</v>
      </c>
      <c r="BY964" s="13">
        <f t="shared" si="896"/>
        <v>596</v>
      </c>
      <c r="BZ964" s="13">
        <f t="shared" si="897"/>
        <v>236</v>
      </c>
      <c r="CA964" s="13">
        <f t="shared" si="898"/>
        <v>236</v>
      </c>
      <c r="CB964" s="13">
        <f t="shared" si="899"/>
        <v>140656</v>
      </c>
      <c r="CC964" s="62">
        <f t="shared" si="900"/>
        <v>7.1095438516664771E-6</v>
      </c>
      <c r="CD964" s="13">
        <f t="shared" si="901"/>
        <v>596</v>
      </c>
      <c r="CE964" s="13">
        <f t="shared" si="902"/>
        <v>596</v>
      </c>
      <c r="CF964" s="13">
        <f t="shared" si="903"/>
        <v>236</v>
      </c>
      <c r="CG964" s="13">
        <f t="shared" si="904"/>
        <v>236</v>
      </c>
      <c r="CH964" s="28">
        <f t="shared" si="905"/>
        <v>140656</v>
      </c>
      <c r="CI964" s="62">
        <f t="shared" si="906"/>
        <v>7.1095438516664771E-6</v>
      </c>
      <c r="CJ964" s="59">
        <f t="shared" si="907"/>
        <v>7.1095438516664771E-6</v>
      </c>
      <c r="CL964" s="63">
        <v>6000</v>
      </c>
      <c r="CM964" s="63">
        <f t="shared" si="908"/>
        <v>0</v>
      </c>
      <c r="CN964" s="63">
        <f t="shared" si="909"/>
        <v>5</v>
      </c>
      <c r="CO964" s="63">
        <f t="shared" si="910"/>
        <v>1200</v>
      </c>
      <c r="CP964" s="13">
        <f t="shared" si="911"/>
        <v>1200</v>
      </c>
      <c r="CQ964" s="70">
        <f t="shared" si="912"/>
        <v>8.3333333333333339E-4</v>
      </c>
      <c r="CR964" s="69">
        <f t="shared" si="875"/>
        <v>3.3333333333333335E-3</v>
      </c>
    </row>
    <row r="965" spans="1:96" hidden="1" x14ac:dyDescent="0.25">
      <c r="A965" s="10">
        <v>3</v>
      </c>
      <c r="B965" s="8" t="s">
        <v>2085</v>
      </c>
      <c r="C965" s="10" t="s">
        <v>2094</v>
      </c>
      <c r="D965" s="10" t="s">
        <v>2270</v>
      </c>
      <c r="E965" s="10" t="s">
        <v>32</v>
      </c>
      <c r="F965" s="12">
        <f t="shared" si="881"/>
        <v>1</v>
      </c>
      <c r="G965" s="10">
        <v>1</v>
      </c>
      <c r="H965" s="10">
        <f>G965*$H$954</f>
        <v>1</v>
      </c>
      <c r="I965" s="10">
        <v>2</v>
      </c>
      <c r="J965" s="8" t="s">
        <v>1867</v>
      </c>
      <c r="K965" s="8" t="s">
        <v>34</v>
      </c>
      <c r="L965" s="10">
        <v>0</v>
      </c>
      <c r="M965" s="8" t="s">
        <v>35</v>
      </c>
      <c r="N965" s="10" t="s">
        <v>2095</v>
      </c>
      <c r="O965" s="28"/>
      <c r="P965" s="28"/>
      <c r="Q965" s="28"/>
      <c r="R965" s="30"/>
      <c r="S965" s="30"/>
      <c r="T965" s="30"/>
      <c r="U965" s="30"/>
      <c r="V965" s="8">
        <f t="shared" si="882"/>
        <v>0</v>
      </c>
      <c r="W965" s="8">
        <f t="shared" si="883"/>
        <v>0</v>
      </c>
      <c r="X965" s="8">
        <f t="shared" si="884"/>
        <v>0</v>
      </c>
      <c r="Y965" s="33">
        <f t="shared" si="885"/>
        <v>0</v>
      </c>
      <c r="Z965" s="28"/>
      <c r="AA965" s="28"/>
      <c r="AB965" s="28">
        <v>0</v>
      </c>
      <c r="AC965" s="31"/>
      <c r="AD965" s="50">
        <f t="shared" si="886"/>
        <v>1</v>
      </c>
      <c r="AE965" s="31"/>
      <c r="AF965" s="51">
        <v>14</v>
      </c>
      <c r="AG965" s="51">
        <f t="shared" si="858"/>
        <v>8.4</v>
      </c>
      <c r="AH965" s="51">
        <f t="shared" si="880"/>
        <v>42</v>
      </c>
      <c r="AI965" s="52" t="s">
        <v>2497</v>
      </c>
      <c r="AJ965" s="52" t="s">
        <v>2498</v>
      </c>
      <c r="AK965" s="53">
        <f t="shared" si="859"/>
        <v>0</v>
      </c>
      <c r="AL965" s="54">
        <f t="shared" si="860"/>
        <v>0.11904761904761904</v>
      </c>
      <c r="AM965" s="54">
        <f t="shared" si="861"/>
        <v>2.3809523809523808E-2</v>
      </c>
      <c r="AN965" s="55">
        <f t="shared" si="862"/>
        <v>0</v>
      </c>
      <c r="AO965" s="55">
        <f t="shared" si="863"/>
        <v>0</v>
      </c>
      <c r="AP965" s="53">
        <v>7.1</v>
      </c>
      <c r="AQ965" s="53">
        <f t="shared" si="887"/>
        <v>4.26</v>
      </c>
      <c r="AR965" s="53">
        <f t="shared" si="888"/>
        <v>21.299999999999997</v>
      </c>
      <c r="AS965" s="56">
        <f t="shared" si="889"/>
        <v>4.6948356807511742E-2</v>
      </c>
      <c r="AT965" s="56">
        <f t="shared" si="864"/>
        <v>0.23474178403755869</v>
      </c>
      <c r="AU965" s="56">
        <f t="shared" si="890"/>
        <v>0.176056338028169</v>
      </c>
      <c r="AV965" s="56">
        <f t="shared" si="865"/>
        <v>5.8685446009389672E-2</v>
      </c>
      <c r="AW965" s="57"/>
      <c r="AX965" s="57"/>
      <c r="AY965" s="57"/>
      <c r="AZ965" s="58">
        <f t="shared" si="866"/>
        <v>0</v>
      </c>
      <c r="BA965" s="59">
        <f t="shared" si="867"/>
        <v>0</v>
      </c>
      <c r="BB965" s="59">
        <f t="shared" si="868"/>
        <v>0</v>
      </c>
      <c r="BC965" s="59">
        <f t="shared" si="869"/>
        <v>0</v>
      </c>
      <c r="BD965" s="60">
        <f t="shared" si="870"/>
        <v>0</v>
      </c>
      <c r="BE965" s="59">
        <f t="shared" si="871"/>
        <v>0</v>
      </c>
      <c r="BQ965" s="61">
        <v>3000</v>
      </c>
      <c r="BR965" s="61">
        <v>1200</v>
      </c>
      <c r="BS965" s="28">
        <f t="shared" si="891"/>
        <v>2980</v>
      </c>
      <c r="BT965" s="28">
        <f t="shared" si="892"/>
        <v>1180</v>
      </c>
      <c r="BU965" s="28" t="s">
        <v>2541</v>
      </c>
      <c r="BV965" s="28">
        <f t="shared" si="893"/>
        <v>5</v>
      </c>
      <c r="BW965" s="28">
        <f t="shared" si="894"/>
        <v>5</v>
      </c>
      <c r="BX965" s="13">
        <f t="shared" si="895"/>
        <v>596</v>
      </c>
      <c r="BY965" s="13">
        <f t="shared" si="896"/>
        <v>596</v>
      </c>
      <c r="BZ965" s="13">
        <f t="shared" si="897"/>
        <v>236</v>
      </c>
      <c r="CA965" s="13">
        <f t="shared" si="898"/>
        <v>236</v>
      </c>
      <c r="CB965" s="13">
        <f t="shared" si="899"/>
        <v>140656</v>
      </c>
      <c r="CC965" s="62" t="str">
        <f t="shared" si="900"/>
        <v/>
      </c>
      <c r="CD965" s="13">
        <f t="shared" si="901"/>
        <v>596</v>
      </c>
      <c r="CE965" s="13">
        <f t="shared" si="902"/>
        <v>596</v>
      </c>
      <c r="CF965" s="13">
        <f t="shared" si="903"/>
        <v>236</v>
      </c>
      <c r="CG965" s="13">
        <f t="shared" si="904"/>
        <v>236</v>
      </c>
      <c r="CH965" s="28">
        <f t="shared" si="905"/>
        <v>140656</v>
      </c>
      <c r="CI965" s="62" t="str">
        <f t="shared" si="906"/>
        <v/>
      </c>
      <c r="CJ965" s="59">
        <f t="shared" si="907"/>
        <v>0</v>
      </c>
      <c r="CL965" s="63">
        <v>6000</v>
      </c>
      <c r="CM965" s="63">
        <f t="shared" si="908"/>
        <v>0</v>
      </c>
      <c r="CN965" s="63">
        <f t="shared" si="909"/>
        <v>5</v>
      </c>
      <c r="CO965" s="63">
        <f t="shared" si="910"/>
        <v>1200</v>
      </c>
      <c r="CP965" s="13">
        <f t="shared" si="911"/>
        <v>1200</v>
      </c>
      <c r="CQ965" s="70">
        <f t="shared" si="912"/>
        <v>8.3333333333333339E-4</v>
      </c>
      <c r="CR965" s="69">
        <f t="shared" si="875"/>
        <v>8.3333333333333339E-4</v>
      </c>
    </row>
    <row r="966" spans="1:96" x14ac:dyDescent="0.25">
      <c r="A966" s="13">
        <v>4</v>
      </c>
      <c r="B966" s="14" t="s">
        <v>2096</v>
      </c>
      <c r="C966" s="13" t="s">
        <v>1883</v>
      </c>
      <c r="D966" s="13" t="s">
        <v>2270</v>
      </c>
      <c r="E966" s="13" t="s">
        <v>52</v>
      </c>
      <c r="F966" s="15">
        <f t="shared" si="881"/>
        <v>6</v>
      </c>
      <c r="G966" s="13">
        <v>2</v>
      </c>
      <c r="H966" s="13">
        <f>G966*$H$965</f>
        <v>2</v>
      </c>
      <c r="I966" s="13">
        <v>3</v>
      </c>
      <c r="J966" s="14" t="s">
        <v>119</v>
      </c>
      <c r="K966" s="14" t="s">
        <v>34</v>
      </c>
      <c r="L966" s="13" t="s">
        <v>110</v>
      </c>
      <c r="M966" s="14" t="s">
        <v>35</v>
      </c>
      <c r="N966" s="13" t="s">
        <v>1884</v>
      </c>
      <c r="O966" s="28"/>
      <c r="P966" s="28"/>
      <c r="Q966" s="28" t="s">
        <v>2585</v>
      </c>
      <c r="R966" s="30">
        <v>16</v>
      </c>
      <c r="S966" s="30">
        <v>1.292</v>
      </c>
      <c r="T966" s="30"/>
      <c r="U966" s="30">
        <v>0.06</v>
      </c>
      <c r="V966" s="8">
        <f t="shared" si="882"/>
        <v>406.4</v>
      </c>
      <c r="W966" s="8">
        <f t="shared" si="883"/>
        <v>32.816800000000001</v>
      </c>
      <c r="X966" s="8">
        <f t="shared" si="884"/>
        <v>0</v>
      </c>
      <c r="Y966" s="33">
        <f t="shared" si="885"/>
        <v>1.5239999999999998</v>
      </c>
      <c r="Z966" s="28" t="s">
        <v>56</v>
      </c>
      <c r="AA966" s="28" t="s">
        <v>1765</v>
      </c>
      <c r="AB966" s="61" t="s">
        <v>2585</v>
      </c>
      <c r="AC966" s="31" t="s">
        <v>2586</v>
      </c>
      <c r="AD966" s="50">
        <f t="shared" si="886"/>
        <v>2</v>
      </c>
      <c r="AE966" s="47" t="s">
        <v>107</v>
      </c>
      <c r="AF966" s="51">
        <v>14</v>
      </c>
      <c r="AG966" s="51">
        <f t="shared" ref="AG966:AG1029" si="913">AF966*0.6</f>
        <v>8.4</v>
      </c>
      <c r="AH966" s="51">
        <f t="shared" si="880"/>
        <v>42</v>
      </c>
      <c r="AI966" s="52" t="s">
        <v>2497</v>
      </c>
      <c r="AJ966" s="52" t="s">
        <v>2498</v>
      </c>
      <c r="AK966" s="53">
        <f t="shared" ref="AK966:AK1029" si="914">(V966*W966)*2/1000000</f>
        <v>2.6673495039999998E-2</v>
      </c>
      <c r="AL966" s="54">
        <f t="shared" ref="AL966:AL1029" si="915">1/(AF966*0.6)</f>
        <v>0.11904761904761904</v>
      </c>
      <c r="AM966" s="54">
        <f t="shared" ref="AM966:AM1029" si="916">1/AG966*(20/100)</f>
        <v>2.3809523809523808E-2</v>
      </c>
      <c r="AN966" s="55">
        <f t="shared" ref="AN966:AN1029" si="917">IF(AI966&lt;&gt;0,(AK966*AL966*AD966),0)</f>
        <v>6.3508321523809514E-3</v>
      </c>
      <c r="AO966" s="55">
        <f t="shared" ref="AO966:AO1029" si="918">IF(AJ966&lt;&gt;0,(AK966*AM966*AD966),0)</f>
        <v>1.2701664304761904E-3</v>
      </c>
      <c r="AP966" s="53">
        <v>7.1</v>
      </c>
      <c r="AQ966" s="53">
        <f t="shared" si="887"/>
        <v>4.26</v>
      </c>
      <c r="AR966" s="53">
        <f t="shared" si="888"/>
        <v>21.299999999999997</v>
      </c>
      <c r="AS966" s="56">
        <f t="shared" si="889"/>
        <v>4.6948356807511742E-2</v>
      </c>
      <c r="AT966" s="56">
        <f t="shared" ref="AT966:AT1029" si="919">1/AQ966</f>
        <v>0.23474178403755869</v>
      </c>
      <c r="AU966" s="56">
        <f t="shared" si="890"/>
        <v>0.176056338028169</v>
      </c>
      <c r="AV966" s="56">
        <f t="shared" ref="AV966:AV1029" si="920">AT966*0.25</f>
        <v>5.8685446009389672E-2</v>
      </c>
      <c r="AW966" s="57"/>
      <c r="AX966" s="57"/>
      <c r="AY966" s="57"/>
      <c r="AZ966" s="58">
        <f t="shared" ref="AZ966:AZ1029" si="921">(V966*W966)*2/1000000</f>
        <v>2.6673495039999998E-2</v>
      </c>
      <c r="BA966" s="59">
        <f t="shared" ref="BA966:BA1029" si="922">IF(AW966&lt;&gt;0,(AV966*AD966*AK966),0)</f>
        <v>0</v>
      </c>
      <c r="BB966" s="59">
        <f t="shared" ref="BB966:BB1029" si="923">IF(AX966&lt;&gt;0,(AD966*AU966*AZ966),0)</f>
        <v>0</v>
      </c>
      <c r="BC966" s="59">
        <f t="shared" ref="BC966:BC1029" si="924">IF(AY966&lt;&gt;0,(AD966*AS966*AZ966),0)</f>
        <v>0</v>
      </c>
      <c r="BD966" s="60">
        <f t="shared" ref="BD966:BD1029" si="925">CJ966</f>
        <v>4.608294930875576E-3</v>
      </c>
      <c r="BE966" s="59">
        <f t="shared" ref="BE966:BE1029" si="926">BD966*AD966</f>
        <v>9.2165898617511521E-3</v>
      </c>
      <c r="BQ966" s="61">
        <v>3000</v>
      </c>
      <c r="BR966" s="61">
        <v>1200</v>
      </c>
      <c r="BS966" s="28">
        <f t="shared" si="891"/>
        <v>2980</v>
      </c>
      <c r="BT966" s="28">
        <f t="shared" si="892"/>
        <v>1180</v>
      </c>
      <c r="BU966" s="28" t="s">
        <v>2541</v>
      </c>
      <c r="BV966" s="28">
        <f t="shared" si="893"/>
        <v>411.4</v>
      </c>
      <c r="BW966" s="28">
        <f t="shared" si="894"/>
        <v>37.816800000000001</v>
      </c>
      <c r="BX966" s="13">
        <f t="shared" si="895"/>
        <v>7.2435585804569769</v>
      </c>
      <c r="BY966" s="13">
        <f t="shared" si="896"/>
        <v>7</v>
      </c>
      <c r="BZ966" s="13">
        <f t="shared" si="897"/>
        <v>31.203063188847285</v>
      </c>
      <c r="CA966" s="13">
        <f t="shared" si="898"/>
        <v>31</v>
      </c>
      <c r="CB966" s="13">
        <f t="shared" si="899"/>
        <v>217</v>
      </c>
      <c r="CC966" s="62">
        <f t="shared" si="900"/>
        <v>4.608294930875576E-3</v>
      </c>
      <c r="CD966" s="13">
        <f t="shared" si="901"/>
        <v>78.800956188783815</v>
      </c>
      <c r="CE966" s="13">
        <f t="shared" si="902"/>
        <v>78</v>
      </c>
      <c r="CF966" s="13">
        <f t="shared" si="903"/>
        <v>2.8682547399124942</v>
      </c>
      <c r="CG966" s="13">
        <f t="shared" si="904"/>
        <v>2</v>
      </c>
      <c r="CH966" s="28">
        <f t="shared" si="905"/>
        <v>156</v>
      </c>
      <c r="CI966" s="62">
        <f t="shared" si="906"/>
        <v>6.41025641025641E-3</v>
      </c>
      <c r="CJ966" s="59">
        <f t="shared" si="907"/>
        <v>4.608294930875576E-3</v>
      </c>
      <c r="CL966" s="63">
        <v>6000</v>
      </c>
      <c r="CM966" s="63">
        <f t="shared" si="908"/>
        <v>406.4</v>
      </c>
      <c r="CN966" s="63">
        <f t="shared" si="909"/>
        <v>411.4</v>
      </c>
      <c r="CO966" s="63">
        <f t="shared" si="910"/>
        <v>14.584346135148275</v>
      </c>
      <c r="CP966" s="13">
        <f t="shared" si="911"/>
        <v>14</v>
      </c>
      <c r="CQ966" s="70">
        <f t="shared" si="912"/>
        <v>7.1428571428571425E-2</v>
      </c>
      <c r="CR966" s="69">
        <f t="shared" si="875"/>
        <v>0.14285714285714285</v>
      </c>
    </row>
    <row r="967" spans="1:96" hidden="1" x14ac:dyDescent="0.25">
      <c r="A967" s="13">
        <v>4</v>
      </c>
      <c r="B967" s="14" t="s">
        <v>2096</v>
      </c>
      <c r="C967" s="13" t="s">
        <v>530</v>
      </c>
      <c r="D967" s="13" t="s">
        <v>532</v>
      </c>
      <c r="E967" s="13" t="s">
        <v>32</v>
      </c>
      <c r="F967" s="15">
        <f t="shared" si="881"/>
        <v>21</v>
      </c>
      <c r="G967" s="13">
        <v>2</v>
      </c>
      <c r="H967" s="13">
        <f>G967*$H$965</f>
        <v>2</v>
      </c>
      <c r="I967" s="13">
        <v>4</v>
      </c>
      <c r="J967" s="14" t="s">
        <v>531</v>
      </c>
      <c r="K967" s="14" t="s">
        <v>34</v>
      </c>
      <c r="L967" s="13" t="s">
        <v>110</v>
      </c>
      <c r="M967" s="14" t="s">
        <v>35</v>
      </c>
      <c r="N967" s="13" t="s">
        <v>532</v>
      </c>
      <c r="O967" s="28" t="s">
        <v>41</v>
      </c>
      <c r="P967" s="28" t="s">
        <v>41</v>
      </c>
      <c r="Q967" s="28"/>
      <c r="R967" s="30"/>
      <c r="S967" s="30"/>
      <c r="T967" s="30"/>
      <c r="U967" s="30"/>
      <c r="V967" s="8">
        <f t="shared" si="882"/>
        <v>0</v>
      </c>
      <c r="W967" s="8">
        <f t="shared" si="883"/>
        <v>0</v>
      </c>
      <c r="X967" s="8">
        <f t="shared" si="884"/>
        <v>0</v>
      </c>
      <c r="Y967" s="33">
        <f t="shared" si="885"/>
        <v>0</v>
      </c>
      <c r="Z967" s="28" t="s">
        <v>2477</v>
      </c>
      <c r="AA967" s="28" t="s">
        <v>2477</v>
      </c>
      <c r="AB967" s="28">
        <v>0</v>
      </c>
      <c r="AC967" s="31"/>
      <c r="AD967" s="50">
        <f t="shared" si="886"/>
        <v>2</v>
      </c>
      <c r="AE967" s="31"/>
      <c r="AF967" s="51">
        <v>14</v>
      </c>
      <c r="AG967" s="51">
        <f t="shared" si="913"/>
        <v>8.4</v>
      </c>
      <c r="AH967" s="51">
        <f t="shared" si="880"/>
        <v>42</v>
      </c>
      <c r="AI967" s="52" t="s">
        <v>2497</v>
      </c>
      <c r="AJ967" s="52" t="s">
        <v>2498</v>
      </c>
      <c r="AK967" s="53">
        <f t="shared" si="914"/>
        <v>0</v>
      </c>
      <c r="AL967" s="54">
        <f t="shared" si="915"/>
        <v>0.11904761904761904</v>
      </c>
      <c r="AM967" s="54">
        <f t="shared" si="916"/>
        <v>2.3809523809523808E-2</v>
      </c>
      <c r="AN967" s="55">
        <f t="shared" si="917"/>
        <v>0</v>
      </c>
      <c r="AO967" s="55">
        <f t="shared" si="918"/>
        <v>0</v>
      </c>
      <c r="AP967" s="53">
        <v>7.1</v>
      </c>
      <c r="AQ967" s="53">
        <f t="shared" si="887"/>
        <v>4.26</v>
      </c>
      <c r="AR967" s="53">
        <f t="shared" si="888"/>
        <v>21.299999999999997</v>
      </c>
      <c r="AS967" s="56">
        <f t="shared" si="889"/>
        <v>4.6948356807511742E-2</v>
      </c>
      <c r="AT967" s="56">
        <f t="shared" si="919"/>
        <v>0.23474178403755869</v>
      </c>
      <c r="AU967" s="56">
        <f t="shared" si="890"/>
        <v>0.176056338028169</v>
      </c>
      <c r="AV967" s="56">
        <f t="shared" si="920"/>
        <v>5.8685446009389672E-2</v>
      </c>
      <c r="AW967" s="57"/>
      <c r="AX967" s="57"/>
      <c r="AY967" s="57"/>
      <c r="AZ967" s="58">
        <f t="shared" si="921"/>
        <v>0</v>
      </c>
      <c r="BA967" s="59">
        <f t="shared" si="922"/>
        <v>0</v>
      </c>
      <c r="BB967" s="59">
        <f t="shared" si="923"/>
        <v>0</v>
      </c>
      <c r="BC967" s="59">
        <f t="shared" si="924"/>
        <v>0</v>
      </c>
      <c r="BD967" s="60">
        <f t="shared" si="925"/>
        <v>0</v>
      </c>
      <c r="BE967" s="59">
        <f t="shared" si="926"/>
        <v>0</v>
      </c>
      <c r="BQ967" s="61">
        <v>3000</v>
      </c>
      <c r="BR967" s="61">
        <v>1200</v>
      </c>
      <c r="BS967" s="28">
        <f t="shared" si="891"/>
        <v>2980</v>
      </c>
      <c r="BT967" s="28">
        <f t="shared" si="892"/>
        <v>1180</v>
      </c>
      <c r="BU967" s="28" t="s">
        <v>2541</v>
      </c>
      <c r="BV967" s="28">
        <f t="shared" si="893"/>
        <v>5</v>
      </c>
      <c r="BW967" s="28">
        <f t="shared" si="894"/>
        <v>5</v>
      </c>
      <c r="BX967" s="13">
        <f t="shared" si="895"/>
        <v>596</v>
      </c>
      <c r="BY967" s="13">
        <f t="shared" si="896"/>
        <v>596</v>
      </c>
      <c r="BZ967" s="13">
        <f t="shared" si="897"/>
        <v>236</v>
      </c>
      <c r="CA967" s="13">
        <f t="shared" si="898"/>
        <v>236</v>
      </c>
      <c r="CB967" s="13">
        <f t="shared" si="899"/>
        <v>140656</v>
      </c>
      <c r="CC967" s="62" t="str">
        <f t="shared" si="900"/>
        <v/>
      </c>
      <c r="CD967" s="13">
        <f t="shared" si="901"/>
        <v>596</v>
      </c>
      <c r="CE967" s="13">
        <f t="shared" si="902"/>
        <v>596</v>
      </c>
      <c r="CF967" s="13">
        <f t="shared" si="903"/>
        <v>236</v>
      </c>
      <c r="CG967" s="13">
        <f t="shared" si="904"/>
        <v>236</v>
      </c>
      <c r="CH967" s="28">
        <f t="shared" si="905"/>
        <v>140656</v>
      </c>
      <c r="CI967" s="62" t="str">
        <f t="shared" si="906"/>
        <v/>
      </c>
      <c r="CJ967" s="59">
        <f t="shared" si="907"/>
        <v>0</v>
      </c>
      <c r="CL967" s="63">
        <v>6000</v>
      </c>
      <c r="CM967" s="63">
        <f t="shared" si="908"/>
        <v>0</v>
      </c>
      <c r="CN967" s="63">
        <f t="shared" si="909"/>
        <v>5</v>
      </c>
      <c r="CO967" s="63">
        <f t="shared" si="910"/>
        <v>1200</v>
      </c>
      <c r="CP967" s="13">
        <f t="shared" si="911"/>
        <v>1200</v>
      </c>
      <c r="CQ967" s="70">
        <f t="shared" si="912"/>
        <v>8.3333333333333339E-4</v>
      </c>
      <c r="CR967" s="69">
        <f t="shared" si="875"/>
        <v>1.6666666666666668E-3</v>
      </c>
    </row>
    <row r="968" spans="1:96" hidden="1" x14ac:dyDescent="0.25">
      <c r="A968" s="17">
        <v>5</v>
      </c>
      <c r="B968" s="6" t="s">
        <v>1882</v>
      </c>
      <c r="C968" s="17" t="s">
        <v>534</v>
      </c>
      <c r="D968" s="17" t="s">
        <v>2270</v>
      </c>
      <c r="E968" s="17" t="s">
        <v>52</v>
      </c>
      <c r="F968" s="7">
        <f t="shared" si="881"/>
        <v>21</v>
      </c>
      <c r="G968" s="17">
        <v>1</v>
      </c>
      <c r="H968" s="17">
        <f>G968*$H$967</f>
        <v>2</v>
      </c>
      <c r="I968" s="17">
        <v>1</v>
      </c>
      <c r="J968" s="6" t="s">
        <v>101</v>
      </c>
      <c r="K968" s="6" t="s">
        <v>34</v>
      </c>
      <c r="L968" s="17" t="s">
        <v>110</v>
      </c>
      <c r="M968" s="6" t="s">
        <v>35</v>
      </c>
      <c r="N968" s="17" t="s">
        <v>535</v>
      </c>
      <c r="O968" s="28" t="s">
        <v>41</v>
      </c>
      <c r="P968" s="28" t="s">
        <v>41</v>
      </c>
      <c r="Q968" s="28" t="s">
        <v>535</v>
      </c>
      <c r="R968" s="30">
        <v>0.98</v>
      </c>
      <c r="S968" s="30">
        <v>0.98</v>
      </c>
      <c r="T968" s="30"/>
      <c r="U968" s="30">
        <v>0.11811023622047245</v>
      </c>
      <c r="V968" s="8">
        <f t="shared" si="882"/>
        <v>24.891999999999999</v>
      </c>
      <c r="W968" s="8">
        <f t="shared" si="883"/>
        <v>24.891999999999999</v>
      </c>
      <c r="X968" s="8">
        <f t="shared" si="884"/>
        <v>0</v>
      </c>
      <c r="Y968" s="33">
        <f t="shared" si="885"/>
        <v>3</v>
      </c>
      <c r="Z968" s="28" t="s">
        <v>536</v>
      </c>
      <c r="AA968" s="28" t="s">
        <v>537</v>
      </c>
      <c r="AB968" s="61" t="s">
        <v>535</v>
      </c>
      <c r="AC968" s="31" t="s">
        <v>538</v>
      </c>
      <c r="AD968" s="50">
        <f t="shared" si="886"/>
        <v>2</v>
      </c>
      <c r="AE968" s="31"/>
      <c r="AF968" s="51">
        <v>14</v>
      </c>
      <c r="AG968" s="51">
        <f t="shared" si="913"/>
        <v>8.4</v>
      </c>
      <c r="AH968" s="51">
        <f t="shared" si="880"/>
        <v>42</v>
      </c>
      <c r="AI968" s="52" t="s">
        <v>2497</v>
      </c>
      <c r="AJ968" s="52" t="s">
        <v>2498</v>
      </c>
      <c r="AK968" s="53">
        <f t="shared" si="914"/>
        <v>1.239223328E-3</v>
      </c>
      <c r="AL968" s="54">
        <f t="shared" si="915"/>
        <v>0.11904761904761904</v>
      </c>
      <c r="AM968" s="54">
        <f t="shared" si="916"/>
        <v>2.3809523809523808E-2</v>
      </c>
      <c r="AN968" s="55">
        <f t="shared" si="917"/>
        <v>2.9505317333333335E-4</v>
      </c>
      <c r="AO968" s="55">
        <f t="shared" si="918"/>
        <v>5.9010634666666666E-5</v>
      </c>
      <c r="AP968" s="53">
        <v>7.1</v>
      </c>
      <c r="AQ968" s="53">
        <f t="shared" si="887"/>
        <v>4.26</v>
      </c>
      <c r="AR968" s="53">
        <f t="shared" si="888"/>
        <v>21.299999999999997</v>
      </c>
      <c r="AS968" s="56">
        <f t="shared" si="889"/>
        <v>4.6948356807511742E-2</v>
      </c>
      <c r="AT968" s="56">
        <f t="shared" si="919"/>
        <v>0.23474178403755869</v>
      </c>
      <c r="AU968" s="56">
        <f t="shared" si="890"/>
        <v>0.176056338028169</v>
      </c>
      <c r="AV968" s="56">
        <f t="shared" si="920"/>
        <v>5.8685446009389672E-2</v>
      </c>
      <c r="AW968" s="57"/>
      <c r="AX968" s="57"/>
      <c r="AY968" s="57"/>
      <c r="AZ968" s="58">
        <f t="shared" si="921"/>
        <v>1.239223328E-3</v>
      </c>
      <c r="BA968" s="59">
        <f t="shared" si="922"/>
        <v>0</v>
      </c>
      <c r="BB968" s="59">
        <f t="shared" si="923"/>
        <v>0</v>
      </c>
      <c r="BC968" s="59">
        <f t="shared" si="924"/>
        <v>0</v>
      </c>
      <c r="BD968" s="60">
        <f t="shared" si="925"/>
        <v>2.5900025900025902E-4</v>
      </c>
      <c r="BE968" s="59">
        <f t="shared" si="926"/>
        <v>5.1800051800051804E-4</v>
      </c>
      <c r="BQ968" s="61">
        <v>3000</v>
      </c>
      <c r="BR968" s="61">
        <v>1200</v>
      </c>
      <c r="BS968" s="28">
        <f t="shared" si="891"/>
        <v>2980</v>
      </c>
      <c r="BT968" s="28">
        <f t="shared" si="892"/>
        <v>1180</v>
      </c>
      <c r="BU968" s="28" t="s">
        <v>2541</v>
      </c>
      <c r="BV968" s="28">
        <f t="shared" si="893"/>
        <v>29.891999999999999</v>
      </c>
      <c r="BW968" s="28">
        <f t="shared" si="894"/>
        <v>29.891999999999999</v>
      </c>
      <c r="BX968" s="13">
        <f t="shared" si="895"/>
        <v>99.692225344573799</v>
      </c>
      <c r="BY968" s="13">
        <f t="shared" si="896"/>
        <v>99</v>
      </c>
      <c r="BZ968" s="13">
        <f t="shared" si="897"/>
        <v>39.475444935099695</v>
      </c>
      <c r="CA968" s="13">
        <f t="shared" si="898"/>
        <v>39</v>
      </c>
      <c r="CB968" s="13">
        <f t="shared" si="899"/>
        <v>3861</v>
      </c>
      <c r="CC968" s="62">
        <f t="shared" si="900"/>
        <v>2.5900025900025902E-4</v>
      </c>
      <c r="CD968" s="13">
        <f t="shared" si="901"/>
        <v>99.692225344573799</v>
      </c>
      <c r="CE968" s="13">
        <f t="shared" si="902"/>
        <v>99</v>
      </c>
      <c r="CF968" s="13">
        <f t="shared" si="903"/>
        <v>39.475444935099695</v>
      </c>
      <c r="CG968" s="13">
        <f t="shared" si="904"/>
        <v>39</v>
      </c>
      <c r="CH968" s="28">
        <f t="shared" si="905"/>
        <v>3861</v>
      </c>
      <c r="CI968" s="62">
        <f t="shared" si="906"/>
        <v>2.5900025900025902E-4</v>
      </c>
      <c r="CJ968" s="59">
        <f t="shared" si="907"/>
        <v>2.5900025900025902E-4</v>
      </c>
      <c r="CL968" s="63">
        <v>6000</v>
      </c>
      <c r="CM968" s="63">
        <f t="shared" si="908"/>
        <v>24.891999999999999</v>
      </c>
      <c r="CN968" s="63">
        <f t="shared" si="909"/>
        <v>29.891999999999999</v>
      </c>
      <c r="CO968" s="63">
        <f t="shared" si="910"/>
        <v>200.72260136491369</v>
      </c>
      <c r="CP968" s="13">
        <f t="shared" si="911"/>
        <v>200</v>
      </c>
      <c r="CQ968" s="70">
        <f t="shared" si="912"/>
        <v>5.0000000000000001E-3</v>
      </c>
      <c r="CR968" s="69">
        <f t="shared" si="875"/>
        <v>0.01</v>
      </c>
    </row>
    <row r="969" spans="1:96" hidden="1" x14ac:dyDescent="0.25">
      <c r="A969" s="17">
        <v>5</v>
      </c>
      <c r="B969" s="6" t="s">
        <v>1882</v>
      </c>
      <c r="C969" s="17" t="s">
        <v>539</v>
      </c>
      <c r="D969" s="17" t="s">
        <v>2270</v>
      </c>
      <c r="E969" s="17" t="s">
        <v>52</v>
      </c>
      <c r="F969" s="7">
        <f t="shared" si="881"/>
        <v>21</v>
      </c>
      <c r="G969" s="17">
        <v>1</v>
      </c>
      <c r="H969" s="17">
        <f>G969*$H$967</f>
        <v>2</v>
      </c>
      <c r="I969" s="17">
        <v>2</v>
      </c>
      <c r="J969" s="6" t="s">
        <v>101</v>
      </c>
      <c r="K969" s="6" t="s">
        <v>34</v>
      </c>
      <c r="L969" s="17" t="s">
        <v>110</v>
      </c>
      <c r="M969" s="6" t="s">
        <v>35</v>
      </c>
      <c r="N969" s="17" t="s">
        <v>540</v>
      </c>
      <c r="O969" s="28" t="s">
        <v>41</v>
      </c>
      <c r="P969" s="28" t="s">
        <v>41</v>
      </c>
      <c r="Q969" s="28" t="s">
        <v>540</v>
      </c>
      <c r="R969" s="30">
        <v>0.98</v>
      </c>
      <c r="S969" s="30">
        <v>0.98</v>
      </c>
      <c r="T969" s="30"/>
      <c r="U969" s="30">
        <v>0.47244094488188981</v>
      </c>
      <c r="V969" s="8">
        <f t="shared" si="882"/>
        <v>24.891999999999999</v>
      </c>
      <c r="W969" s="8">
        <f t="shared" si="883"/>
        <v>24.891999999999999</v>
      </c>
      <c r="X969" s="8">
        <f t="shared" si="884"/>
        <v>0</v>
      </c>
      <c r="Y969" s="33">
        <f t="shared" si="885"/>
        <v>12</v>
      </c>
      <c r="Z969" s="28" t="s">
        <v>731</v>
      </c>
      <c r="AA969" s="28" t="s">
        <v>251</v>
      </c>
      <c r="AB969" s="61" t="s">
        <v>540</v>
      </c>
      <c r="AC969" s="31" t="s">
        <v>541</v>
      </c>
      <c r="AD969" s="50">
        <f t="shared" si="886"/>
        <v>2</v>
      </c>
      <c r="AE969" s="31"/>
      <c r="AF969" s="51">
        <v>14</v>
      </c>
      <c r="AG969" s="51">
        <f t="shared" si="913"/>
        <v>8.4</v>
      </c>
      <c r="AH969" s="51">
        <f t="shared" si="880"/>
        <v>42</v>
      </c>
      <c r="AI969" s="52" t="s">
        <v>2497</v>
      </c>
      <c r="AJ969" s="52" t="s">
        <v>2498</v>
      </c>
      <c r="AK969" s="53">
        <f t="shared" si="914"/>
        <v>1.239223328E-3</v>
      </c>
      <c r="AL969" s="54">
        <f t="shared" si="915"/>
        <v>0.11904761904761904</v>
      </c>
      <c r="AM969" s="54">
        <f t="shared" si="916"/>
        <v>2.3809523809523808E-2</v>
      </c>
      <c r="AN969" s="55">
        <f t="shared" si="917"/>
        <v>2.9505317333333335E-4</v>
      </c>
      <c r="AO969" s="55">
        <f t="shared" si="918"/>
        <v>5.9010634666666666E-5</v>
      </c>
      <c r="AP969" s="53">
        <v>7.1</v>
      </c>
      <c r="AQ969" s="53">
        <f t="shared" si="887"/>
        <v>4.26</v>
      </c>
      <c r="AR969" s="53">
        <f t="shared" si="888"/>
        <v>21.299999999999997</v>
      </c>
      <c r="AS969" s="56">
        <f t="shared" si="889"/>
        <v>4.6948356807511742E-2</v>
      </c>
      <c r="AT969" s="56">
        <f t="shared" si="919"/>
        <v>0.23474178403755869</v>
      </c>
      <c r="AU969" s="56">
        <f t="shared" si="890"/>
        <v>0.176056338028169</v>
      </c>
      <c r="AV969" s="56">
        <f t="shared" si="920"/>
        <v>5.8685446009389672E-2</v>
      </c>
      <c r="AW969" s="57"/>
      <c r="AX969" s="57"/>
      <c r="AY969" s="57"/>
      <c r="AZ969" s="58">
        <f t="shared" si="921"/>
        <v>1.239223328E-3</v>
      </c>
      <c r="BA969" s="59">
        <f t="shared" si="922"/>
        <v>0</v>
      </c>
      <c r="BB969" s="59">
        <f t="shared" si="923"/>
        <v>0</v>
      </c>
      <c r="BC969" s="59">
        <f t="shared" si="924"/>
        <v>0</v>
      </c>
      <c r="BD969" s="60">
        <f t="shared" si="925"/>
        <v>2.5900025900025902E-4</v>
      </c>
      <c r="BE969" s="59">
        <f t="shared" si="926"/>
        <v>5.1800051800051804E-4</v>
      </c>
      <c r="BQ969" s="61">
        <v>3000</v>
      </c>
      <c r="BR969" s="61">
        <v>1200</v>
      </c>
      <c r="BS969" s="28">
        <f t="shared" si="891"/>
        <v>2980</v>
      </c>
      <c r="BT969" s="28">
        <f t="shared" si="892"/>
        <v>1180</v>
      </c>
      <c r="BU969" s="28" t="s">
        <v>2541</v>
      </c>
      <c r="BV969" s="28">
        <f t="shared" si="893"/>
        <v>29.891999999999999</v>
      </c>
      <c r="BW969" s="28">
        <f t="shared" si="894"/>
        <v>29.891999999999999</v>
      </c>
      <c r="BX969" s="13">
        <f t="shared" si="895"/>
        <v>99.692225344573799</v>
      </c>
      <c r="BY969" s="13">
        <f t="shared" si="896"/>
        <v>99</v>
      </c>
      <c r="BZ969" s="13">
        <f t="shared" si="897"/>
        <v>39.475444935099695</v>
      </c>
      <c r="CA969" s="13">
        <f t="shared" si="898"/>
        <v>39</v>
      </c>
      <c r="CB969" s="13">
        <f t="shared" si="899"/>
        <v>3861</v>
      </c>
      <c r="CC969" s="62">
        <f t="shared" si="900"/>
        <v>2.5900025900025902E-4</v>
      </c>
      <c r="CD969" s="13">
        <f t="shared" si="901"/>
        <v>99.692225344573799</v>
      </c>
      <c r="CE969" s="13">
        <f t="shared" si="902"/>
        <v>99</v>
      </c>
      <c r="CF969" s="13">
        <f t="shared" si="903"/>
        <v>39.475444935099695</v>
      </c>
      <c r="CG969" s="13">
        <f t="shared" si="904"/>
        <v>39</v>
      </c>
      <c r="CH969" s="28">
        <f t="shared" si="905"/>
        <v>3861</v>
      </c>
      <c r="CI969" s="62">
        <f t="shared" si="906"/>
        <v>2.5900025900025902E-4</v>
      </c>
      <c r="CJ969" s="59">
        <f t="shared" si="907"/>
        <v>2.5900025900025902E-4</v>
      </c>
      <c r="CL969" s="63">
        <v>6000</v>
      </c>
      <c r="CM969" s="63">
        <f t="shared" si="908"/>
        <v>24.891999999999999</v>
      </c>
      <c r="CN969" s="63">
        <f t="shared" si="909"/>
        <v>29.891999999999999</v>
      </c>
      <c r="CO969" s="63">
        <f t="shared" si="910"/>
        <v>200.72260136491369</v>
      </c>
      <c r="CP969" s="13">
        <f t="shared" si="911"/>
        <v>200</v>
      </c>
      <c r="CQ969" s="70">
        <f t="shared" si="912"/>
        <v>5.0000000000000001E-3</v>
      </c>
      <c r="CR969" s="69">
        <f t="shared" si="875"/>
        <v>0.01</v>
      </c>
    </row>
    <row r="970" spans="1:96" hidden="1" x14ac:dyDescent="0.25">
      <c r="A970" s="13">
        <v>4</v>
      </c>
      <c r="B970" s="14" t="s">
        <v>2096</v>
      </c>
      <c r="C970" s="13" t="s">
        <v>1952</v>
      </c>
      <c r="D970" s="13" t="s">
        <v>2270</v>
      </c>
      <c r="E970" s="13" t="s">
        <v>52</v>
      </c>
      <c r="F970" s="15">
        <f t="shared" si="881"/>
        <v>4</v>
      </c>
      <c r="G970" s="13">
        <v>1</v>
      </c>
      <c r="H970" s="13">
        <f t="shared" ref="H970:H971" si="927">G970*$H$965</f>
        <v>1</v>
      </c>
      <c r="I970" s="13">
        <v>5</v>
      </c>
      <c r="J970" s="14" t="s">
        <v>911</v>
      </c>
      <c r="K970" s="14" t="s">
        <v>34</v>
      </c>
      <c r="L970" s="13">
        <v>0</v>
      </c>
      <c r="M970" s="14" t="s">
        <v>35</v>
      </c>
      <c r="N970" s="13" t="s">
        <v>1953</v>
      </c>
      <c r="O970" s="28"/>
      <c r="P970" s="28"/>
      <c r="Q970" s="28" t="s">
        <v>124</v>
      </c>
      <c r="R970" s="30">
        <v>53.701000000000001</v>
      </c>
      <c r="S970" s="30">
        <v>2.48</v>
      </c>
      <c r="T970" s="30"/>
      <c r="U970" s="30">
        <v>9.8000000000000004E-2</v>
      </c>
      <c r="V970" s="8">
        <f t="shared" si="882"/>
        <v>1364.0054</v>
      </c>
      <c r="W970" s="8">
        <f t="shared" si="883"/>
        <v>62.991999999999997</v>
      </c>
      <c r="X970" s="8">
        <f t="shared" si="884"/>
        <v>0</v>
      </c>
      <c r="Y970" s="33">
        <f t="shared" si="885"/>
        <v>2.4891999999999999</v>
      </c>
      <c r="Z970" s="28" t="s">
        <v>56</v>
      </c>
      <c r="AA970" s="28" t="s">
        <v>57</v>
      </c>
      <c r="AB970" s="61" t="s">
        <v>124</v>
      </c>
      <c r="AC970" s="31" t="s">
        <v>125</v>
      </c>
      <c r="AD970" s="50">
        <f t="shared" si="886"/>
        <v>1</v>
      </c>
      <c r="AE970" s="31"/>
      <c r="AF970" s="51">
        <v>14</v>
      </c>
      <c r="AG970" s="51">
        <f t="shared" si="913"/>
        <v>8.4</v>
      </c>
      <c r="AH970" s="51">
        <f t="shared" si="880"/>
        <v>42</v>
      </c>
      <c r="AI970" s="52" t="s">
        <v>2497</v>
      </c>
      <c r="AJ970" s="52" t="s">
        <v>2498</v>
      </c>
      <c r="AK970" s="53">
        <f t="shared" si="914"/>
        <v>0.1718428563136</v>
      </c>
      <c r="AL970" s="54">
        <f t="shared" si="915"/>
        <v>0.11904761904761904</v>
      </c>
      <c r="AM970" s="54">
        <f t="shared" si="916"/>
        <v>2.3809523809523808E-2</v>
      </c>
      <c r="AN970" s="55">
        <f t="shared" si="917"/>
        <v>2.045748289447619E-2</v>
      </c>
      <c r="AO970" s="55">
        <f t="shared" si="918"/>
        <v>4.0914965788952373E-3</v>
      </c>
      <c r="AP970" s="53">
        <v>7.1</v>
      </c>
      <c r="AQ970" s="53">
        <f t="shared" si="887"/>
        <v>4.26</v>
      </c>
      <c r="AR970" s="53">
        <f t="shared" si="888"/>
        <v>21.299999999999997</v>
      </c>
      <c r="AS970" s="56">
        <f t="shared" si="889"/>
        <v>4.6948356807511742E-2</v>
      </c>
      <c r="AT970" s="56">
        <f t="shared" si="919"/>
        <v>0.23474178403755869</v>
      </c>
      <c r="AU970" s="56">
        <f t="shared" si="890"/>
        <v>0.176056338028169</v>
      </c>
      <c r="AV970" s="56">
        <f t="shared" si="920"/>
        <v>5.8685446009389672E-2</v>
      </c>
      <c r="AW970" s="57"/>
      <c r="AX970" s="57"/>
      <c r="AY970" s="57"/>
      <c r="AZ970" s="58">
        <f t="shared" si="921"/>
        <v>0.1718428563136</v>
      </c>
      <c r="BA970" s="59">
        <f t="shared" si="922"/>
        <v>0</v>
      </c>
      <c r="BB970" s="59">
        <f t="shared" si="923"/>
        <v>0</v>
      </c>
      <c r="BC970" s="59">
        <f t="shared" si="924"/>
        <v>0</v>
      </c>
      <c r="BD970" s="60">
        <f t="shared" si="925"/>
        <v>2.9411764705882353E-2</v>
      </c>
      <c r="BE970" s="59">
        <f t="shared" si="926"/>
        <v>2.9411764705882353E-2</v>
      </c>
      <c r="BQ970" s="61">
        <v>3000</v>
      </c>
      <c r="BR970" s="61">
        <v>1200</v>
      </c>
      <c r="BS970" s="28">
        <f t="shared" si="891"/>
        <v>2980</v>
      </c>
      <c r="BT970" s="28">
        <f t="shared" si="892"/>
        <v>1180</v>
      </c>
      <c r="BU970" s="28" t="s">
        <v>2541</v>
      </c>
      <c r="BV970" s="28">
        <f t="shared" si="893"/>
        <v>1369.0054</v>
      </c>
      <c r="BW970" s="28">
        <f t="shared" si="894"/>
        <v>67.99199999999999</v>
      </c>
      <c r="BX970" s="13">
        <f t="shared" si="895"/>
        <v>2.1767627797523663</v>
      </c>
      <c r="BY970" s="13">
        <f t="shared" si="896"/>
        <v>2</v>
      </c>
      <c r="BZ970" s="13">
        <f t="shared" si="897"/>
        <v>17.354982939169318</v>
      </c>
      <c r="CA970" s="13">
        <f t="shared" si="898"/>
        <v>17</v>
      </c>
      <c r="CB970" s="13">
        <f t="shared" si="899"/>
        <v>34</v>
      </c>
      <c r="CC970" s="62">
        <f t="shared" si="900"/>
        <v>2.9411764705882353E-2</v>
      </c>
      <c r="CD970" s="13">
        <f t="shared" si="901"/>
        <v>43.828685727732683</v>
      </c>
      <c r="CE970" s="13">
        <f t="shared" si="902"/>
        <v>43</v>
      </c>
      <c r="CF970" s="13">
        <f t="shared" si="903"/>
        <v>0.86193962419724568</v>
      </c>
      <c r="CG970" s="13">
        <f t="shared" si="904"/>
        <v>0</v>
      </c>
      <c r="CH970" s="28">
        <f t="shared" si="905"/>
        <v>0</v>
      </c>
      <c r="CI970" s="62">
        <f t="shared" si="906"/>
        <v>1</v>
      </c>
      <c r="CJ970" s="59">
        <f t="shared" si="907"/>
        <v>2.9411764705882353E-2</v>
      </c>
      <c r="CL970" s="63">
        <v>6000</v>
      </c>
      <c r="CM970" s="63">
        <f t="shared" si="908"/>
        <v>1364.0054</v>
      </c>
      <c r="CN970" s="63">
        <f t="shared" si="909"/>
        <v>1369.0054</v>
      </c>
      <c r="CO970" s="63">
        <f t="shared" si="910"/>
        <v>4.3827438518504014</v>
      </c>
      <c r="CP970" s="13">
        <f t="shared" si="911"/>
        <v>4</v>
      </c>
      <c r="CQ970" s="70">
        <f t="shared" si="912"/>
        <v>0.25</v>
      </c>
      <c r="CR970" s="69">
        <f t="shared" si="875"/>
        <v>0.25</v>
      </c>
    </row>
    <row r="971" spans="1:96" hidden="1" x14ac:dyDescent="0.25">
      <c r="A971" s="13">
        <v>4</v>
      </c>
      <c r="B971" s="14" t="s">
        <v>2096</v>
      </c>
      <c r="C971" s="13" t="s">
        <v>2097</v>
      </c>
      <c r="D971" s="13" t="s">
        <v>2270</v>
      </c>
      <c r="E971" s="13" t="s">
        <v>32</v>
      </c>
      <c r="F971" s="15">
        <f t="shared" si="881"/>
        <v>1</v>
      </c>
      <c r="G971" s="13">
        <v>1</v>
      </c>
      <c r="H971" s="13">
        <f t="shared" si="927"/>
        <v>1</v>
      </c>
      <c r="I971" s="13">
        <v>10</v>
      </c>
      <c r="J971" s="14" t="s">
        <v>1867</v>
      </c>
      <c r="K971" s="14" t="s">
        <v>34</v>
      </c>
      <c r="L971" s="13">
        <v>0</v>
      </c>
      <c r="M971" s="14" t="s">
        <v>35</v>
      </c>
      <c r="N971" s="13" t="s">
        <v>2098</v>
      </c>
      <c r="O971" s="28"/>
      <c r="P971" s="28"/>
      <c r="Q971" s="28"/>
      <c r="R971" s="30"/>
      <c r="S971" s="30"/>
      <c r="T971" s="30"/>
      <c r="U971" s="30"/>
      <c r="V971" s="8">
        <f t="shared" si="882"/>
        <v>0</v>
      </c>
      <c r="W971" s="8">
        <f t="shared" si="883"/>
        <v>0</v>
      </c>
      <c r="X971" s="8">
        <f t="shared" si="884"/>
        <v>0</v>
      </c>
      <c r="Y971" s="33">
        <f t="shared" si="885"/>
        <v>0</v>
      </c>
      <c r="Z971" s="28" t="s">
        <v>2477</v>
      </c>
      <c r="AA971" s="28" t="s">
        <v>2477</v>
      </c>
      <c r="AB971" s="28">
        <v>0</v>
      </c>
      <c r="AC971" s="31"/>
      <c r="AD971" s="50">
        <f t="shared" si="886"/>
        <v>1</v>
      </c>
      <c r="AE971" s="47" t="s">
        <v>107</v>
      </c>
      <c r="AF971" s="51">
        <v>14</v>
      </c>
      <c r="AG971" s="51">
        <f t="shared" si="913"/>
        <v>8.4</v>
      </c>
      <c r="AH971" s="51">
        <f t="shared" si="880"/>
        <v>42</v>
      </c>
      <c r="AI971" s="52" t="s">
        <v>2497</v>
      </c>
      <c r="AJ971" s="52" t="s">
        <v>2498</v>
      </c>
      <c r="AK971" s="53">
        <f t="shared" si="914"/>
        <v>0</v>
      </c>
      <c r="AL971" s="54">
        <f t="shared" si="915"/>
        <v>0.11904761904761904</v>
      </c>
      <c r="AM971" s="54">
        <f t="shared" si="916"/>
        <v>2.3809523809523808E-2</v>
      </c>
      <c r="AN971" s="55">
        <f t="shared" si="917"/>
        <v>0</v>
      </c>
      <c r="AO971" s="55">
        <f t="shared" si="918"/>
        <v>0</v>
      </c>
      <c r="AP971" s="53">
        <v>7.1</v>
      </c>
      <c r="AQ971" s="53">
        <f t="shared" si="887"/>
        <v>4.26</v>
      </c>
      <c r="AR971" s="53">
        <f t="shared" si="888"/>
        <v>21.299999999999997</v>
      </c>
      <c r="AS971" s="56">
        <f t="shared" si="889"/>
        <v>4.6948356807511742E-2</v>
      </c>
      <c r="AT971" s="56">
        <f t="shared" si="919"/>
        <v>0.23474178403755869</v>
      </c>
      <c r="AU971" s="56">
        <f t="shared" si="890"/>
        <v>0.176056338028169</v>
      </c>
      <c r="AV971" s="56">
        <f t="shared" si="920"/>
        <v>5.8685446009389672E-2</v>
      </c>
      <c r="AW971" s="57"/>
      <c r="AX971" s="57"/>
      <c r="AY971" s="57"/>
      <c r="AZ971" s="58">
        <f t="shared" si="921"/>
        <v>0</v>
      </c>
      <c r="BA971" s="59">
        <f t="shared" si="922"/>
        <v>0</v>
      </c>
      <c r="BB971" s="59">
        <f t="shared" si="923"/>
        <v>0</v>
      </c>
      <c r="BC971" s="59">
        <f t="shared" si="924"/>
        <v>0</v>
      </c>
      <c r="BD971" s="60">
        <f t="shared" si="925"/>
        <v>0</v>
      </c>
      <c r="BE971" s="59">
        <f t="shared" si="926"/>
        <v>0</v>
      </c>
      <c r="BQ971" s="61">
        <v>3000</v>
      </c>
      <c r="BR971" s="61">
        <v>1200</v>
      </c>
      <c r="BS971" s="28">
        <f t="shared" si="891"/>
        <v>2980</v>
      </c>
      <c r="BT971" s="28">
        <f t="shared" si="892"/>
        <v>1180</v>
      </c>
      <c r="BU971" s="28" t="s">
        <v>2541</v>
      </c>
      <c r="BV971" s="28">
        <f t="shared" si="893"/>
        <v>5</v>
      </c>
      <c r="BW971" s="28">
        <f t="shared" si="894"/>
        <v>5</v>
      </c>
      <c r="BX971" s="13">
        <f t="shared" si="895"/>
        <v>596</v>
      </c>
      <c r="BY971" s="13">
        <f t="shared" si="896"/>
        <v>596</v>
      </c>
      <c r="BZ971" s="13">
        <f t="shared" si="897"/>
        <v>236</v>
      </c>
      <c r="CA971" s="13">
        <f t="shared" si="898"/>
        <v>236</v>
      </c>
      <c r="CB971" s="13">
        <f t="shared" si="899"/>
        <v>140656</v>
      </c>
      <c r="CC971" s="62" t="str">
        <f t="shared" si="900"/>
        <v/>
      </c>
      <c r="CD971" s="13">
        <f t="shared" si="901"/>
        <v>596</v>
      </c>
      <c r="CE971" s="13">
        <f t="shared" si="902"/>
        <v>596</v>
      </c>
      <c r="CF971" s="13">
        <f t="shared" si="903"/>
        <v>236</v>
      </c>
      <c r="CG971" s="13">
        <f t="shared" si="904"/>
        <v>236</v>
      </c>
      <c r="CH971" s="28">
        <f t="shared" si="905"/>
        <v>140656</v>
      </c>
      <c r="CI971" s="62" t="str">
        <f t="shared" si="906"/>
        <v/>
      </c>
      <c r="CJ971" s="59">
        <f t="shared" si="907"/>
        <v>0</v>
      </c>
      <c r="CL971" s="63">
        <v>6000</v>
      </c>
      <c r="CM971" s="63">
        <f t="shared" si="908"/>
        <v>0</v>
      </c>
      <c r="CN971" s="63">
        <f t="shared" si="909"/>
        <v>5</v>
      </c>
      <c r="CO971" s="63">
        <f t="shared" si="910"/>
        <v>1200</v>
      </c>
      <c r="CP971" s="13">
        <f t="shared" si="911"/>
        <v>1200</v>
      </c>
      <c r="CQ971" s="70">
        <f t="shared" si="912"/>
        <v>8.3333333333333339E-4</v>
      </c>
      <c r="CR971" s="69">
        <f t="shared" si="875"/>
        <v>8.3333333333333339E-4</v>
      </c>
    </row>
    <row r="972" spans="1:96" hidden="1" x14ac:dyDescent="0.25">
      <c r="A972" s="17">
        <v>5</v>
      </c>
      <c r="B972" s="6" t="s">
        <v>2099</v>
      </c>
      <c r="C972" s="17" t="s">
        <v>2100</v>
      </c>
      <c r="D972" s="17" t="s">
        <v>2270</v>
      </c>
      <c r="E972" s="17" t="s">
        <v>52</v>
      </c>
      <c r="F972" s="7">
        <f t="shared" si="881"/>
        <v>1</v>
      </c>
      <c r="G972" s="17">
        <v>1</v>
      </c>
      <c r="H972" s="17">
        <f>G972*$H$971</f>
        <v>1</v>
      </c>
      <c r="I972" s="17">
        <v>1</v>
      </c>
      <c r="J972" s="6" t="s">
        <v>1892</v>
      </c>
      <c r="K972" s="6" t="s">
        <v>34</v>
      </c>
      <c r="L972" s="17">
        <v>0</v>
      </c>
      <c r="M972" s="6" t="s">
        <v>35</v>
      </c>
      <c r="N972" s="17" t="s">
        <v>2101</v>
      </c>
      <c r="O972" s="28"/>
      <c r="P972" s="28"/>
      <c r="Q972" s="28" t="s">
        <v>505</v>
      </c>
      <c r="R972" s="30">
        <v>56.912999999999997</v>
      </c>
      <c r="S972" s="30">
        <v>19.105</v>
      </c>
      <c r="T972" s="30"/>
      <c r="U972" s="30">
        <v>0.06</v>
      </c>
      <c r="V972" s="8">
        <f t="shared" si="882"/>
        <v>1445.5901999999999</v>
      </c>
      <c r="W972" s="8">
        <f t="shared" si="883"/>
        <v>485.267</v>
      </c>
      <c r="X972" s="8">
        <f t="shared" si="884"/>
        <v>0</v>
      </c>
      <c r="Y972" s="33">
        <f t="shared" si="885"/>
        <v>1.5239999999999998</v>
      </c>
      <c r="Z972" s="28" t="s">
        <v>56</v>
      </c>
      <c r="AA972" s="28" t="s">
        <v>1765</v>
      </c>
      <c r="AB972" s="61" t="s">
        <v>505</v>
      </c>
      <c r="AC972" s="31" t="s">
        <v>506</v>
      </c>
      <c r="AD972" s="50">
        <f t="shared" si="886"/>
        <v>1</v>
      </c>
      <c r="AE972" s="31"/>
      <c r="AF972" s="51">
        <v>14</v>
      </c>
      <c r="AG972" s="51">
        <f t="shared" si="913"/>
        <v>8.4</v>
      </c>
      <c r="AH972" s="51">
        <f t="shared" si="880"/>
        <v>42</v>
      </c>
      <c r="AI972" s="52" t="s">
        <v>2497</v>
      </c>
      <c r="AJ972" s="52" t="s">
        <v>2498</v>
      </c>
      <c r="AK972" s="53">
        <f t="shared" si="914"/>
        <v>1.4029944391667999</v>
      </c>
      <c r="AL972" s="54">
        <f t="shared" si="915"/>
        <v>0.11904761904761904</v>
      </c>
      <c r="AM972" s="54">
        <f t="shared" si="916"/>
        <v>2.3809523809523808E-2</v>
      </c>
      <c r="AN972" s="55">
        <f t="shared" si="917"/>
        <v>0.16702314751985711</v>
      </c>
      <c r="AO972" s="55">
        <f t="shared" si="918"/>
        <v>3.3404629503971425E-2</v>
      </c>
      <c r="AP972" s="53">
        <v>7.1</v>
      </c>
      <c r="AQ972" s="53">
        <f t="shared" si="887"/>
        <v>4.26</v>
      </c>
      <c r="AR972" s="53">
        <f t="shared" si="888"/>
        <v>21.299999999999997</v>
      </c>
      <c r="AS972" s="56">
        <f t="shared" si="889"/>
        <v>4.6948356807511742E-2</v>
      </c>
      <c r="AT972" s="56">
        <f t="shared" si="919"/>
        <v>0.23474178403755869</v>
      </c>
      <c r="AU972" s="56">
        <f t="shared" si="890"/>
        <v>0.176056338028169</v>
      </c>
      <c r="AV972" s="56">
        <f t="shared" si="920"/>
        <v>5.8685446009389672E-2</v>
      </c>
      <c r="AW972" s="57"/>
      <c r="AX972" s="57"/>
      <c r="AY972" s="57"/>
      <c r="AZ972" s="58">
        <f t="shared" si="921"/>
        <v>1.4029944391667999</v>
      </c>
      <c r="BA972" s="59">
        <f t="shared" si="922"/>
        <v>0</v>
      </c>
      <c r="BB972" s="59">
        <f t="shared" si="923"/>
        <v>0</v>
      </c>
      <c r="BC972" s="59">
        <f t="shared" si="924"/>
        <v>0</v>
      </c>
      <c r="BD972" s="60">
        <f t="shared" si="925"/>
        <v>0.25</v>
      </c>
      <c r="BE972" s="59">
        <f t="shared" si="926"/>
        <v>0.25</v>
      </c>
      <c r="BQ972" s="61">
        <v>3000</v>
      </c>
      <c r="BR972" s="61">
        <v>1200</v>
      </c>
      <c r="BS972" s="28">
        <f t="shared" si="891"/>
        <v>2980</v>
      </c>
      <c r="BT972" s="28">
        <f t="shared" si="892"/>
        <v>1180</v>
      </c>
      <c r="BU972" s="28" t="s">
        <v>2541</v>
      </c>
      <c r="BV972" s="28">
        <f t="shared" si="893"/>
        <v>1450.5901999999999</v>
      </c>
      <c r="BW972" s="28">
        <f t="shared" si="894"/>
        <v>490.267</v>
      </c>
      <c r="BX972" s="13">
        <f t="shared" si="895"/>
        <v>2.0543362281090829</v>
      </c>
      <c r="BY972" s="13">
        <f t="shared" si="896"/>
        <v>2</v>
      </c>
      <c r="BZ972" s="13">
        <f t="shared" si="897"/>
        <v>2.4068517766849493</v>
      </c>
      <c r="CA972" s="13">
        <f t="shared" si="898"/>
        <v>2</v>
      </c>
      <c r="CB972" s="13">
        <f t="shared" si="899"/>
        <v>4</v>
      </c>
      <c r="CC972" s="62">
        <f t="shared" si="900"/>
        <v>0.25</v>
      </c>
      <c r="CD972" s="13">
        <f t="shared" si="901"/>
        <v>6.0783205885772444</v>
      </c>
      <c r="CE972" s="13">
        <f t="shared" si="902"/>
        <v>6</v>
      </c>
      <c r="CF972" s="13">
        <f t="shared" si="903"/>
        <v>0.81346199636534156</v>
      </c>
      <c r="CG972" s="13">
        <f t="shared" si="904"/>
        <v>0</v>
      </c>
      <c r="CH972" s="28">
        <f t="shared" si="905"/>
        <v>0</v>
      </c>
      <c r="CI972" s="62">
        <f t="shared" si="906"/>
        <v>1</v>
      </c>
      <c r="CJ972" s="59">
        <f t="shared" si="907"/>
        <v>0.25</v>
      </c>
      <c r="CL972" s="63">
        <v>6000</v>
      </c>
      <c r="CM972" s="63">
        <f t="shared" si="908"/>
        <v>1445.5901999999999</v>
      </c>
      <c r="CN972" s="63">
        <f t="shared" si="909"/>
        <v>1450.5901999999999</v>
      </c>
      <c r="CO972" s="63">
        <f t="shared" si="910"/>
        <v>4.1362474391458042</v>
      </c>
      <c r="CP972" s="13">
        <f t="shared" si="911"/>
        <v>4</v>
      </c>
      <c r="CQ972" s="70">
        <f t="shared" si="912"/>
        <v>0.25</v>
      </c>
      <c r="CR972" s="69">
        <f t="shared" si="875"/>
        <v>0.25</v>
      </c>
    </row>
    <row r="973" spans="1:96" hidden="1" x14ac:dyDescent="0.25">
      <c r="A973" s="17">
        <v>5</v>
      </c>
      <c r="B973" s="6" t="s">
        <v>2099</v>
      </c>
      <c r="C973" s="17" t="s">
        <v>448</v>
      </c>
      <c r="D973" s="17" t="s">
        <v>450</v>
      </c>
      <c r="E973" s="17" t="s">
        <v>52</v>
      </c>
      <c r="F973" s="7">
        <f t="shared" si="881"/>
        <v>23</v>
      </c>
      <c r="G973" s="17">
        <v>6</v>
      </c>
      <c r="H973" s="17">
        <f>G973*$H$971</f>
        <v>6</v>
      </c>
      <c r="I973" s="17">
        <v>2</v>
      </c>
      <c r="J973" s="6" t="s">
        <v>449</v>
      </c>
      <c r="K973" s="6" t="s">
        <v>34</v>
      </c>
      <c r="L973" s="17">
        <v>0</v>
      </c>
      <c r="M973" s="6" t="s">
        <v>35</v>
      </c>
      <c r="N973" s="17" t="s">
        <v>450</v>
      </c>
      <c r="O973" s="28"/>
      <c r="P973" s="28"/>
      <c r="Q973" s="28" t="s">
        <v>450</v>
      </c>
      <c r="R973" s="30"/>
      <c r="S973" s="30"/>
      <c r="T973" s="30"/>
      <c r="U973" s="30"/>
      <c r="V973" s="8">
        <f t="shared" si="882"/>
        <v>0</v>
      </c>
      <c r="W973" s="8">
        <f t="shared" si="883"/>
        <v>0</v>
      </c>
      <c r="X973" s="8">
        <f t="shared" si="884"/>
        <v>0</v>
      </c>
      <c r="Y973" s="33">
        <f t="shared" si="885"/>
        <v>0</v>
      </c>
      <c r="Z973" s="28"/>
      <c r="AA973" s="28"/>
      <c r="AB973" s="61" t="s">
        <v>450</v>
      </c>
      <c r="AC973" s="31" t="s">
        <v>451</v>
      </c>
      <c r="AD973" s="50">
        <f t="shared" si="886"/>
        <v>6</v>
      </c>
      <c r="AE973" s="31"/>
      <c r="AF973" s="51">
        <v>14</v>
      </c>
      <c r="AG973" s="51">
        <f t="shared" si="913"/>
        <v>8.4</v>
      </c>
      <c r="AH973" s="51">
        <f t="shared" si="880"/>
        <v>42</v>
      </c>
      <c r="AI973" s="52" t="s">
        <v>2497</v>
      </c>
      <c r="AJ973" s="52" t="s">
        <v>2498</v>
      </c>
      <c r="AK973" s="53">
        <f t="shared" si="914"/>
        <v>0</v>
      </c>
      <c r="AL973" s="54">
        <f t="shared" si="915"/>
        <v>0.11904761904761904</v>
      </c>
      <c r="AM973" s="54">
        <f t="shared" si="916"/>
        <v>2.3809523809523808E-2</v>
      </c>
      <c r="AN973" s="55">
        <f t="shared" si="917"/>
        <v>0</v>
      </c>
      <c r="AO973" s="55">
        <f t="shared" si="918"/>
        <v>0</v>
      </c>
      <c r="AP973" s="53">
        <v>7.1</v>
      </c>
      <c r="AQ973" s="53">
        <f t="shared" si="887"/>
        <v>4.26</v>
      </c>
      <c r="AR973" s="53">
        <f t="shared" si="888"/>
        <v>21.299999999999997</v>
      </c>
      <c r="AS973" s="56">
        <f t="shared" si="889"/>
        <v>4.6948356807511742E-2</v>
      </c>
      <c r="AT973" s="56">
        <f t="shared" si="919"/>
        <v>0.23474178403755869</v>
      </c>
      <c r="AU973" s="56">
        <f t="shared" si="890"/>
        <v>0.176056338028169</v>
      </c>
      <c r="AV973" s="56">
        <f t="shared" si="920"/>
        <v>5.8685446009389672E-2</v>
      </c>
      <c r="AW973" s="57"/>
      <c r="AX973" s="57"/>
      <c r="AY973" s="57"/>
      <c r="AZ973" s="58">
        <f t="shared" si="921"/>
        <v>0</v>
      </c>
      <c r="BA973" s="59">
        <f t="shared" si="922"/>
        <v>0</v>
      </c>
      <c r="BB973" s="59">
        <f t="shared" si="923"/>
        <v>0</v>
      </c>
      <c r="BC973" s="59">
        <f t="shared" si="924"/>
        <v>0</v>
      </c>
      <c r="BD973" s="60">
        <f t="shared" si="925"/>
        <v>7.1095438516664771E-6</v>
      </c>
      <c r="BE973" s="59">
        <f t="shared" si="926"/>
        <v>4.2657263109998864E-5</v>
      </c>
      <c r="BQ973" s="61">
        <v>3000</v>
      </c>
      <c r="BR973" s="61">
        <v>1200</v>
      </c>
      <c r="BS973" s="28">
        <f t="shared" si="891"/>
        <v>2980</v>
      </c>
      <c r="BT973" s="28">
        <f t="shared" si="892"/>
        <v>1180</v>
      </c>
      <c r="BU973" s="28" t="s">
        <v>2541</v>
      </c>
      <c r="BV973" s="28">
        <f t="shared" si="893"/>
        <v>5</v>
      </c>
      <c r="BW973" s="28">
        <f t="shared" si="894"/>
        <v>5</v>
      </c>
      <c r="BX973" s="13">
        <f t="shared" si="895"/>
        <v>596</v>
      </c>
      <c r="BY973" s="13">
        <f t="shared" si="896"/>
        <v>596</v>
      </c>
      <c r="BZ973" s="13">
        <f t="shared" si="897"/>
        <v>236</v>
      </c>
      <c r="CA973" s="13">
        <f t="shared" si="898"/>
        <v>236</v>
      </c>
      <c r="CB973" s="13">
        <f t="shared" si="899"/>
        <v>140656</v>
      </c>
      <c r="CC973" s="62">
        <f t="shared" si="900"/>
        <v>7.1095438516664771E-6</v>
      </c>
      <c r="CD973" s="13">
        <f t="shared" si="901"/>
        <v>596</v>
      </c>
      <c r="CE973" s="13">
        <f t="shared" si="902"/>
        <v>596</v>
      </c>
      <c r="CF973" s="13">
        <f t="shared" si="903"/>
        <v>236</v>
      </c>
      <c r="CG973" s="13">
        <f t="shared" si="904"/>
        <v>236</v>
      </c>
      <c r="CH973" s="28">
        <f t="shared" si="905"/>
        <v>140656</v>
      </c>
      <c r="CI973" s="62">
        <f t="shared" si="906"/>
        <v>7.1095438516664771E-6</v>
      </c>
      <c r="CJ973" s="59">
        <f t="shared" si="907"/>
        <v>7.1095438516664771E-6</v>
      </c>
      <c r="CL973" s="63">
        <v>6000</v>
      </c>
      <c r="CM973" s="63">
        <f t="shared" si="908"/>
        <v>0</v>
      </c>
      <c r="CN973" s="63">
        <f t="shared" si="909"/>
        <v>5</v>
      </c>
      <c r="CO973" s="63">
        <f t="shared" si="910"/>
        <v>1200</v>
      </c>
      <c r="CP973" s="13">
        <f t="shared" si="911"/>
        <v>1200</v>
      </c>
      <c r="CQ973" s="70">
        <f t="shared" si="912"/>
        <v>8.3333333333333339E-4</v>
      </c>
      <c r="CR973" s="69">
        <f t="shared" si="875"/>
        <v>5.0000000000000001E-3</v>
      </c>
    </row>
    <row r="974" spans="1:96" hidden="1" x14ac:dyDescent="0.25">
      <c r="A974" s="13">
        <v>4</v>
      </c>
      <c r="B974" s="14" t="s">
        <v>2088</v>
      </c>
      <c r="C974" s="13" t="s">
        <v>825</v>
      </c>
      <c r="D974" s="13" t="s">
        <v>826</v>
      </c>
      <c r="E974" s="13" t="s">
        <v>52</v>
      </c>
      <c r="F974" s="15">
        <f t="shared" si="881"/>
        <v>9</v>
      </c>
      <c r="G974" s="13">
        <v>1</v>
      </c>
      <c r="H974" s="13">
        <f>G974*$H$965</f>
        <v>1</v>
      </c>
      <c r="I974" s="13">
        <v>8</v>
      </c>
      <c r="J974" s="14" t="s">
        <v>76</v>
      </c>
      <c r="K974" s="14" t="s">
        <v>34</v>
      </c>
      <c r="L974" s="13" t="s">
        <v>77</v>
      </c>
      <c r="M974" s="14" t="s">
        <v>35</v>
      </c>
      <c r="N974" s="13" t="s">
        <v>826</v>
      </c>
      <c r="O974" s="28" t="s">
        <v>41</v>
      </c>
      <c r="P974" s="28" t="s">
        <v>41</v>
      </c>
      <c r="Q974" s="28" t="s">
        <v>79</v>
      </c>
      <c r="R974" s="30">
        <v>8.0709999999999997</v>
      </c>
      <c r="S974" s="30">
        <v>0.3125</v>
      </c>
      <c r="T974" s="30"/>
      <c r="U974" s="30">
        <v>0.3125</v>
      </c>
      <c r="V974" s="8">
        <f t="shared" si="882"/>
        <v>205.00339999999997</v>
      </c>
      <c r="W974" s="8">
        <f t="shared" si="883"/>
        <v>7.9375</v>
      </c>
      <c r="X974" s="8">
        <f t="shared" si="884"/>
        <v>0</v>
      </c>
      <c r="Y974" s="33">
        <f t="shared" si="885"/>
        <v>7.9375</v>
      </c>
      <c r="Z974" s="28" t="s">
        <v>80</v>
      </c>
      <c r="AA974" s="28" t="s">
        <v>81</v>
      </c>
      <c r="AB974" s="61" t="s">
        <v>79</v>
      </c>
      <c r="AC974" s="31" t="s">
        <v>82</v>
      </c>
      <c r="AD974" s="50">
        <f t="shared" si="886"/>
        <v>1</v>
      </c>
      <c r="AE974" s="31"/>
      <c r="AF974" s="51">
        <v>14</v>
      </c>
      <c r="AG974" s="51">
        <f t="shared" si="913"/>
        <v>8.4</v>
      </c>
      <c r="AH974" s="51">
        <f t="shared" si="880"/>
        <v>42</v>
      </c>
      <c r="AI974" s="52" t="s">
        <v>2497</v>
      </c>
      <c r="AJ974" s="52" t="s">
        <v>2498</v>
      </c>
      <c r="AK974" s="53">
        <f t="shared" si="914"/>
        <v>3.2544289749999993E-3</v>
      </c>
      <c r="AL974" s="54">
        <f t="shared" si="915"/>
        <v>0.11904761904761904</v>
      </c>
      <c r="AM974" s="54">
        <f t="shared" si="916"/>
        <v>2.3809523809523808E-2</v>
      </c>
      <c r="AN974" s="55">
        <f t="shared" si="917"/>
        <v>3.8743202083333321E-4</v>
      </c>
      <c r="AO974" s="55">
        <f t="shared" si="918"/>
        <v>7.7486404166666643E-5</v>
      </c>
      <c r="AP974" s="53">
        <v>7.1</v>
      </c>
      <c r="AQ974" s="53">
        <f t="shared" si="887"/>
        <v>4.26</v>
      </c>
      <c r="AR974" s="53">
        <f t="shared" si="888"/>
        <v>21.299999999999997</v>
      </c>
      <c r="AS974" s="56">
        <f t="shared" si="889"/>
        <v>4.6948356807511742E-2</v>
      </c>
      <c r="AT974" s="56">
        <f t="shared" si="919"/>
        <v>0.23474178403755869</v>
      </c>
      <c r="AU974" s="56">
        <f t="shared" si="890"/>
        <v>0.176056338028169</v>
      </c>
      <c r="AV974" s="56">
        <f t="shared" si="920"/>
        <v>5.8685446009389672E-2</v>
      </c>
      <c r="AW974" s="57"/>
      <c r="AX974" s="57"/>
      <c r="AY974" s="57"/>
      <c r="AZ974" s="58">
        <f t="shared" si="921"/>
        <v>3.2544289749999993E-3</v>
      </c>
      <c r="BA974" s="59">
        <f t="shared" si="922"/>
        <v>0</v>
      </c>
      <c r="BB974" s="59">
        <f t="shared" si="923"/>
        <v>0</v>
      </c>
      <c r="BC974" s="59">
        <f t="shared" si="924"/>
        <v>0</v>
      </c>
      <c r="BD974" s="60">
        <f t="shared" si="925"/>
        <v>7.8492935635792783E-4</v>
      </c>
      <c r="BE974" s="59">
        <f t="shared" si="926"/>
        <v>7.8492935635792783E-4</v>
      </c>
      <c r="BQ974" s="61">
        <v>3000</v>
      </c>
      <c r="BR974" s="61">
        <v>1200</v>
      </c>
      <c r="BS974" s="28">
        <f t="shared" si="891"/>
        <v>2980</v>
      </c>
      <c r="BT974" s="28">
        <f t="shared" si="892"/>
        <v>1180</v>
      </c>
      <c r="BU974" s="28" t="s">
        <v>2541</v>
      </c>
      <c r="BV974" s="28">
        <f t="shared" si="893"/>
        <v>210.00339999999997</v>
      </c>
      <c r="BW974" s="28">
        <f t="shared" si="894"/>
        <v>12.9375</v>
      </c>
      <c r="BX974" s="13">
        <f t="shared" si="895"/>
        <v>14.190246443629009</v>
      </c>
      <c r="BY974" s="13">
        <f t="shared" si="896"/>
        <v>14</v>
      </c>
      <c r="BZ974" s="13">
        <f t="shared" si="897"/>
        <v>91.207729468599027</v>
      </c>
      <c r="CA974" s="13">
        <f t="shared" si="898"/>
        <v>91</v>
      </c>
      <c r="CB974" s="13">
        <f t="shared" si="899"/>
        <v>1274</v>
      </c>
      <c r="CC974" s="62">
        <f t="shared" si="900"/>
        <v>7.8492935635792783E-4</v>
      </c>
      <c r="CD974" s="13">
        <f t="shared" si="901"/>
        <v>230.33816425120773</v>
      </c>
      <c r="CE974" s="13">
        <f t="shared" si="902"/>
        <v>230</v>
      </c>
      <c r="CF974" s="13">
        <f t="shared" si="903"/>
        <v>5.618956645463836</v>
      </c>
      <c r="CG974" s="13">
        <f t="shared" si="904"/>
        <v>5</v>
      </c>
      <c r="CH974" s="28">
        <f t="shared" si="905"/>
        <v>1150</v>
      </c>
      <c r="CI974" s="62">
        <f t="shared" si="906"/>
        <v>8.6956521739130438E-4</v>
      </c>
      <c r="CJ974" s="59">
        <f t="shared" si="907"/>
        <v>7.8492935635792783E-4</v>
      </c>
      <c r="CL974" s="63">
        <v>6000</v>
      </c>
      <c r="CM974" s="63">
        <f t="shared" si="908"/>
        <v>205.00339999999997</v>
      </c>
      <c r="CN974" s="63">
        <f t="shared" si="909"/>
        <v>210.00339999999997</v>
      </c>
      <c r="CO974" s="63">
        <f t="shared" si="910"/>
        <v>28.570965993883913</v>
      </c>
      <c r="CP974" s="13">
        <f t="shared" si="911"/>
        <v>28</v>
      </c>
      <c r="CQ974" s="70">
        <f t="shared" si="912"/>
        <v>3.5714285714285712E-2</v>
      </c>
      <c r="CR974" s="69">
        <f t="shared" si="875"/>
        <v>3.5714285714285712E-2</v>
      </c>
    </row>
    <row r="975" spans="1:96" hidden="1" x14ac:dyDescent="0.25">
      <c r="A975" s="10">
        <v>3</v>
      </c>
      <c r="B975" s="8" t="s">
        <v>2085</v>
      </c>
      <c r="C975" s="10" t="s">
        <v>1960</v>
      </c>
      <c r="D975" s="10" t="s">
        <v>1961</v>
      </c>
      <c r="E975" s="10" t="s">
        <v>52</v>
      </c>
      <c r="F975" s="12">
        <f t="shared" si="881"/>
        <v>4</v>
      </c>
      <c r="G975" s="10">
        <v>1</v>
      </c>
      <c r="H975" s="10">
        <f>G975*$H$954</f>
        <v>1</v>
      </c>
      <c r="I975" s="10">
        <v>3</v>
      </c>
      <c r="J975" s="8" t="s">
        <v>469</v>
      </c>
      <c r="K975" s="8" t="s">
        <v>34</v>
      </c>
      <c r="L975" s="10" t="s">
        <v>110</v>
      </c>
      <c r="M975" s="8" t="s">
        <v>35</v>
      </c>
      <c r="N975" s="10" t="s">
        <v>1961</v>
      </c>
      <c r="O975" s="28"/>
      <c r="P975" s="28"/>
      <c r="Q975" s="28" t="s">
        <v>1896</v>
      </c>
      <c r="R975" s="30"/>
      <c r="S975" s="30"/>
      <c r="T975" s="30"/>
      <c r="U975" s="30"/>
      <c r="V975" s="8">
        <f t="shared" si="882"/>
        <v>0</v>
      </c>
      <c r="W975" s="8">
        <f t="shared" si="883"/>
        <v>0</v>
      </c>
      <c r="X975" s="8">
        <f t="shared" si="884"/>
        <v>0</v>
      </c>
      <c r="Y975" s="33">
        <f t="shared" si="885"/>
        <v>0</v>
      </c>
      <c r="Z975" s="28" t="s">
        <v>1897</v>
      </c>
      <c r="AA975" s="28" t="s">
        <v>1765</v>
      </c>
      <c r="AB975" s="61" t="s">
        <v>1896</v>
      </c>
      <c r="AC975" s="31" t="s">
        <v>1898</v>
      </c>
      <c r="AD975" s="50">
        <f t="shared" si="886"/>
        <v>1</v>
      </c>
      <c r="AE975" s="31"/>
      <c r="AF975" s="51">
        <v>14</v>
      </c>
      <c r="AG975" s="51">
        <f t="shared" si="913"/>
        <v>8.4</v>
      </c>
      <c r="AH975" s="51">
        <f t="shared" si="880"/>
        <v>42</v>
      </c>
      <c r="AI975" s="52" t="s">
        <v>2497</v>
      </c>
      <c r="AJ975" s="52" t="s">
        <v>2498</v>
      </c>
      <c r="AK975" s="53">
        <f t="shared" si="914"/>
        <v>0</v>
      </c>
      <c r="AL975" s="54">
        <f t="shared" si="915"/>
        <v>0.11904761904761904</v>
      </c>
      <c r="AM975" s="54">
        <f t="shared" si="916"/>
        <v>2.3809523809523808E-2</v>
      </c>
      <c r="AN975" s="55">
        <f t="shared" si="917"/>
        <v>0</v>
      </c>
      <c r="AO975" s="55">
        <f t="shared" si="918"/>
        <v>0</v>
      </c>
      <c r="AP975" s="53">
        <v>7.1</v>
      </c>
      <c r="AQ975" s="53">
        <f t="shared" si="887"/>
        <v>4.26</v>
      </c>
      <c r="AR975" s="53">
        <f t="shared" si="888"/>
        <v>21.299999999999997</v>
      </c>
      <c r="AS975" s="56">
        <f t="shared" si="889"/>
        <v>4.6948356807511742E-2</v>
      </c>
      <c r="AT975" s="56">
        <f t="shared" si="919"/>
        <v>0.23474178403755869</v>
      </c>
      <c r="AU975" s="56">
        <f t="shared" si="890"/>
        <v>0.176056338028169</v>
      </c>
      <c r="AV975" s="56">
        <f t="shared" si="920"/>
        <v>5.8685446009389672E-2</v>
      </c>
      <c r="AW975" s="57"/>
      <c r="AX975" s="57"/>
      <c r="AY975" s="57"/>
      <c r="AZ975" s="58">
        <f t="shared" si="921"/>
        <v>0</v>
      </c>
      <c r="BA975" s="59">
        <f t="shared" si="922"/>
        <v>0</v>
      </c>
      <c r="BB975" s="59">
        <f t="shared" si="923"/>
        <v>0</v>
      </c>
      <c r="BC975" s="59">
        <f t="shared" si="924"/>
        <v>0</v>
      </c>
      <c r="BD975" s="60">
        <f t="shared" si="925"/>
        <v>7.1095438516664771E-6</v>
      </c>
      <c r="BE975" s="59">
        <f t="shared" si="926"/>
        <v>7.1095438516664771E-6</v>
      </c>
      <c r="BQ975" s="61">
        <v>3000</v>
      </c>
      <c r="BR975" s="61">
        <v>1200</v>
      </c>
      <c r="BS975" s="28">
        <f t="shared" si="891"/>
        <v>2980</v>
      </c>
      <c r="BT975" s="28">
        <f t="shared" si="892"/>
        <v>1180</v>
      </c>
      <c r="BU975" s="28" t="s">
        <v>2541</v>
      </c>
      <c r="BV975" s="28">
        <f t="shared" si="893"/>
        <v>5</v>
      </c>
      <c r="BW975" s="28">
        <f t="shared" si="894"/>
        <v>5</v>
      </c>
      <c r="BX975" s="13">
        <f t="shared" si="895"/>
        <v>596</v>
      </c>
      <c r="BY975" s="13">
        <f t="shared" si="896"/>
        <v>596</v>
      </c>
      <c r="BZ975" s="13">
        <f t="shared" si="897"/>
        <v>236</v>
      </c>
      <c r="CA975" s="13">
        <f t="shared" si="898"/>
        <v>236</v>
      </c>
      <c r="CB975" s="13">
        <f t="shared" si="899"/>
        <v>140656</v>
      </c>
      <c r="CC975" s="62">
        <f t="shared" si="900"/>
        <v>7.1095438516664771E-6</v>
      </c>
      <c r="CD975" s="13">
        <f t="shared" si="901"/>
        <v>596</v>
      </c>
      <c r="CE975" s="13">
        <f t="shared" si="902"/>
        <v>596</v>
      </c>
      <c r="CF975" s="13">
        <f t="shared" si="903"/>
        <v>236</v>
      </c>
      <c r="CG975" s="13">
        <f t="shared" si="904"/>
        <v>236</v>
      </c>
      <c r="CH975" s="28">
        <f t="shared" si="905"/>
        <v>140656</v>
      </c>
      <c r="CI975" s="62">
        <f t="shared" si="906"/>
        <v>7.1095438516664771E-6</v>
      </c>
      <c r="CJ975" s="59">
        <f t="shared" si="907"/>
        <v>7.1095438516664771E-6</v>
      </c>
      <c r="CL975" s="63">
        <v>6000</v>
      </c>
      <c r="CM975" s="63">
        <f t="shared" si="908"/>
        <v>0</v>
      </c>
      <c r="CN975" s="63">
        <f t="shared" si="909"/>
        <v>5</v>
      </c>
      <c r="CO975" s="63">
        <f t="shared" si="910"/>
        <v>1200</v>
      </c>
      <c r="CP975" s="13">
        <f t="shared" si="911"/>
        <v>1200</v>
      </c>
      <c r="CQ975" s="70">
        <f t="shared" si="912"/>
        <v>8.3333333333333339E-4</v>
      </c>
      <c r="CR975" s="69">
        <f t="shared" si="875"/>
        <v>8.3333333333333339E-4</v>
      </c>
    </row>
    <row r="976" spans="1:96" hidden="1" x14ac:dyDescent="0.25">
      <c r="A976" s="13">
        <v>4</v>
      </c>
      <c r="B976" s="14" t="s">
        <v>1962</v>
      </c>
      <c r="C976" s="13" t="s">
        <v>1900</v>
      </c>
      <c r="D976" s="13" t="s">
        <v>2270</v>
      </c>
      <c r="E976" s="13" t="s">
        <v>52</v>
      </c>
      <c r="F976" s="15">
        <f t="shared" si="881"/>
        <v>8</v>
      </c>
      <c r="G976" s="13">
        <v>1</v>
      </c>
      <c r="H976" s="13">
        <f>G976*$H$975</f>
        <v>1</v>
      </c>
      <c r="I976" s="13" t="s">
        <v>485</v>
      </c>
      <c r="J976" s="14" t="s">
        <v>469</v>
      </c>
      <c r="K976" s="14" t="s">
        <v>34</v>
      </c>
      <c r="L976" s="13" t="s">
        <v>1901</v>
      </c>
      <c r="M976" s="14" t="s">
        <v>35</v>
      </c>
      <c r="N976" s="13" t="s">
        <v>1902</v>
      </c>
      <c r="O976" s="28"/>
      <c r="P976" s="28"/>
      <c r="Q976" s="28" t="s">
        <v>1902</v>
      </c>
      <c r="R976" s="30"/>
      <c r="S976" s="30"/>
      <c r="T976" s="30"/>
      <c r="U976" s="30"/>
      <c r="V976" s="8">
        <f t="shared" si="882"/>
        <v>0</v>
      </c>
      <c r="W976" s="8">
        <f t="shared" si="883"/>
        <v>0</v>
      </c>
      <c r="X976" s="8">
        <f t="shared" si="884"/>
        <v>0</v>
      </c>
      <c r="Y976" s="33">
        <f t="shared" si="885"/>
        <v>0</v>
      </c>
      <c r="Z976" s="28"/>
      <c r="AA976" s="28"/>
      <c r="AB976" s="28" t="s">
        <v>1902</v>
      </c>
      <c r="AC976" s="31"/>
      <c r="AD976" s="50">
        <f t="shared" si="886"/>
        <v>1</v>
      </c>
      <c r="AE976" s="31"/>
      <c r="AF976" s="51">
        <v>14</v>
      </c>
      <c r="AG976" s="51">
        <f t="shared" si="913"/>
        <v>8.4</v>
      </c>
      <c r="AH976" s="51">
        <f t="shared" si="880"/>
        <v>42</v>
      </c>
      <c r="AI976" s="52" t="s">
        <v>2497</v>
      </c>
      <c r="AJ976" s="52" t="s">
        <v>2498</v>
      </c>
      <c r="AK976" s="53">
        <f t="shared" si="914"/>
        <v>0</v>
      </c>
      <c r="AL976" s="54">
        <f t="shared" si="915"/>
        <v>0.11904761904761904</v>
      </c>
      <c r="AM976" s="54">
        <f t="shared" si="916"/>
        <v>2.3809523809523808E-2</v>
      </c>
      <c r="AN976" s="55">
        <f t="shared" si="917"/>
        <v>0</v>
      </c>
      <c r="AO976" s="55">
        <f t="shared" si="918"/>
        <v>0</v>
      </c>
      <c r="AP976" s="53">
        <v>7.1</v>
      </c>
      <c r="AQ976" s="53">
        <f t="shared" si="887"/>
        <v>4.26</v>
      </c>
      <c r="AR976" s="53">
        <f t="shared" si="888"/>
        <v>21.299999999999997</v>
      </c>
      <c r="AS976" s="56">
        <f t="shared" si="889"/>
        <v>4.6948356807511742E-2</v>
      </c>
      <c r="AT976" s="56">
        <f t="shared" si="919"/>
        <v>0.23474178403755869</v>
      </c>
      <c r="AU976" s="56">
        <f t="shared" si="890"/>
        <v>0.176056338028169</v>
      </c>
      <c r="AV976" s="56">
        <f t="shared" si="920"/>
        <v>5.8685446009389672E-2</v>
      </c>
      <c r="AW976" s="57"/>
      <c r="AX976" s="57"/>
      <c r="AY976" s="57"/>
      <c r="AZ976" s="58">
        <f t="shared" si="921"/>
        <v>0</v>
      </c>
      <c r="BA976" s="59">
        <f t="shared" si="922"/>
        <v>0</v>
      </c>
      <c r="BB976" s="59">
        <f t="shared" si="923"/>
        <v>0</v>
      </c>
      <c r="BC976" s="59">
        <f t="shared" si="924"/>
        <v>0</v>
      </c>
      <c r="BD976" s="60">
        <f t="shared" si="925"/>
        <v>7.1095438516664771E-6</v>
      </c>
      <c r="BE976" s="59">
        <f t="shared" si="926"/>
        <v>7.1095438516664771E-6</v>
      </c>
      <c r="BQ976" s="61">
        <v>3000</v>
      </c>
      <c r="BR976" s="61">
        <v>1200</v>
      </c>
      <c r="BS976" s="28">
        <f t="shared" si="891"/>
        <v>2980</v>
      </c>
      <c r="BT976" s="28">
        <f t="shared" si="892"/>
        <v>1180</v>
      </c>
      <c r="BU976" s="28" t="s">
        <v>2541</v>
      </c>
      <c r="BV976" s="28">
        <f t="shared" si="893"/>
        <v>5</v>
      </c>
      <c r="BW976" s="28">
        <f t="shared" si="894"/>
        <v>5</v>
      </c>
      <c r="BX976" s="13">
        <f t="shared" si="895"/>
        <v>596</v>
      </c>
      <c r="BY976" s="13">
        <f t="shared" si="896"/>
        <v>596</v>
      </c>
      <c r="BZ976" s="13">
        <f t="shared" si="897"/>
        <v>236</v>
      </c>
      <c r="CA976" s="13">
        <f t="shared" si="898"/>
        <v>236</v>
      </c>
      <c r="CB976" s="13">
        <f t="shared" si="899"/>
        <v>140656</v>
      </c>
      <c r="CC976" s="62">
        <f t="shared" si="900"/>
        <v>7.1095438516664771E-6</v>
      </c>
      <c r="CD976" s="13">
        <f t="shared" si="901"/>
        <v>596</v>
      </c>
      <c r="CE976" s="13">
        <f t="shared" si="902"/>
        <v>596</v>
      </c>
      <c r="CF976" s="13">
        <f t="shared" si="903"/>
        <v>236</v>
      </c>
      <c r="CG976" s="13">
        <f t="shared" si="904"/>
        <v>236</v>
      </c>
      <c r="CH976" s="28">
        <f t="shared" si="905"/>
        <v>140656</v>
      </c>
      <c r="CI976" s="62">
        <f t="shared" si="906"/>
        <v>7.1095438516664771E-6</v>
      </c>
      <c r="CJ976" s="59">
        <f t="shared" si="907"/>
        <v>7.1095438516664771E-6</v>
      </c>
      <c r="CL976" s="63">
        <v>6000</v>
      </c>
      <c r="CM976" s="63">
        <f t="shared" si="908"/>
        <v>0</v>
      </c>
      <c r="CN976" s="63">
        <f t="shared" si="909"/>
        <v>5</v>
      </c>
      <c r="CO976" s="63">
        <f t="shared" si="910"/>
        <v>1200</v>
      </c>
      <c r="CP976" s="13">
        <f t="shared" si="911"/>
        <v>1200</v>
      </c>
      <c r="CQ976" s="70">
        <f t="shared" si="912"/>
        <v>8.3333333333333339E-4</v>
      </c>
      <c r="CR976" s="69">
        <f t="shared" si="875"/>
        <v>8.3333333333333339E-4</v>
      </c>
    </row>
    <row r="977" spans="1:96" hidden="1" x14ac:dyDescent="0.25">
      <c r="A977" s="10">
        <v>3</v>
      </c>
      <c r="B977" s="8" t="s">
        <v>2085</v>
      </c>
      <c r="C977" s="10" t="s">
        <v>1967</v>
      </c>
      <c r="D977" s="10" t="s">
        <v>1968</v>
      </c>
      <c r="E977" s="10" t="s">
        <v>52</v>
      </c>
      <c r="F977" s="12">
        <f t="shared" si="881"/>
        <v>6</v>
      </c>
      <c r="G977" s="10">
        <v>1</v>
      </c>
      <c r="H977" s="10">
        <f t="shared" ref="H977:H982" si="928">G977*$H$954</f>
        <v>1</v>
      </c>
      <c r="I977" s="10">
        <v>4</v>
      </c>
      <c r="J977" s="8" t="s">
        <v>1665</v>
      </c>
      <c r="K977" s="8" t="s">
        <v>34</v>
      </c>
      <c r="L977" s="10">
        <v>0</v>
      </c>
      <c r="M977" s="8" t="s">
        <v>35</v>
      </c>
      <c r="N977" s="10" t="s">
        <v>1968</v>
      </c>
      <c r="O977" s="28"/>
      <c r="P977" s="28"/>
      <c r="Q977" s="28" t="s">
        <v>124</v>
      </c>
      <c r="R977" s="30">
        <v>6.5</v>
      </c>
      <c r="S977" s="30">
        <v>6.5</v>
      </c>
      <c r="T977" s="30"/>
      <c r="U977" s="30">
        <v>9.8425196850393706E-2</v>
      </c>
      <c r="V977" s="8">
        <f t="shared" si="882"/>
        <v>165.1</v>
      </c>
      <c r="W977" s="8">
        <f t="shared" si="883"/>
        <v>165.1</v>
      </c>
      <c r="X977" s="8">
        <f t="shared" si="884"/>
        <v>0</v>
      </c>
      <c r="Y977" s="33">
        <f t="shared" si="885"/>
        <v>2.5</v>
      </c>
      <c r="Z977" s="28" t="s">
        <v>56</v>
      </c>
      <c r="AA977" s="28" t="s">
        <v>57</v>
      </c>
      <c r="AB977" s="61" t="s">
        <v>124</v>
      </c>
      <c r="AC977" s="31" t="s">
        <v>125</v>
      </c>
      <c r="AD977" s="50">
        <f t="shared" si="886"/>
        <v>1</v>
      </c>
      <c r="AE977" s="47" t="s">
        <v>1969</v>
      </c>
      <c r="AF977" s="51">
        <v>14</v>
      </c>
      <c r="AG977" s="51">
        <f t="shared" si="913"/>
        <v>8.4</v>
      </c>
      <c r="AH977" s="51">
        <f t="shared" si="880"/>
        <v>42</v>
      </c>
      <c r="AI977" s="52" t="s">
        <v>2497</v>
      </c>
      <c r="AJ977" s="52" t="s">
        <v>2498</v>
      </c>
      <c r="AK977" s="53">
        <f t="shared" si="914"/>
        <v>5.4516019999999998E-2</v>
      </c>
      <c r="AL977" s="54">
        <f t="shared" si="915"/>
        <v>0.11904761904761904</v>
      </c>
      <c r="AM977" s="54">
        <f t="shared" si="916"/>
        <v>2.3809523809523808E-2</v>
      </c>
      <c r="AN977" s="55">
        <f t="shared" si="917"/>
        <v>6.4900023809523807E-3</v>
      </c>
      <c r="AO977" s="55">
        <f t="shared" si="918"/>
        <v>1.298000476190476E-3</v>
      </c>
      <c r="AP977" s="53">
        <v>7.1</v>
      </c>
      <c r="AQ977" s="53">
        <f t="shared" si="887"/>
        <v>4.26</v>
      </c>
      <c r="AR977" s="53">
        <f t="shared" si="888"/>
        <v>21.299999999999997</v>
      </c>
      <c r="AS977" s="56">
        <f t="shared" si="889"/>
        <v>4.6948356807511742E-2</v>
      </c>
      <c r="AT977" s="56">
        <f t="shared" si="919"/>
        <v>0.23474178403755869</v>
      </c>
      <c r="AU977" s="56">
        <f t="shared" si="890"/>
        <v>0.176056338028169</v>
      </c>
      <c r="AV977" s="56">
        <f t="shared" si="920"/>
        <v>5.8685446009389672E-2</v>
      </c>
      <c r="AW977" s="57"/>
      <c r="AX977" s="57"/>
      <c r="AY977" s="57"/>
      <c r="AZ977" s="58">
        <f t="shared" si="921"/>
        <v>5.4516019999999998E-2</v>
      </c>
      <c r="BA977" s="59">
        <f t="shared" si="922"/>
        <v>0</v>
      </c>
      <c r="BB977" s="59">
        <f t="shared" si="923"/>
        <v>0</v>
      </c>
      <c r="BC977" s="59">
        <f t="shared" si="924"/>
        <v>0</v>
      </c>
      <c r="BD977" s="60">
        <f t="shared" si="925"/>
        <v>9.8039215686274508E-3</v>
      </c>
      <c r="BE977" s="59">
        <f t="shared" si="926"/>
        <v>9.8039215686274508E-3</v>
      </c>
      <c r="BQ977" s="61">
        <v>3000</v>
      </c>
      <c r="BR977" s="61">
        <v>1200</v>
      </c>
      <c r="BS977" s="28">
        <f t="shared" si="891"/>
        <v>2980</v>
      </c>
      <c r="BT977" s="28">
        <f t="shared" si="892"/>
        <v>1180</v>
      </c>
      <c r="BU977" s="28" t="s">
        <v>2541</v>
      </c>
      <c r="BV977" s="28">
        <f t="shared" si="893"/>
        <v>170.1</v>
      </c>
      <c r="BW977" s="28">
        <f t="shared" si="894"/>
        <v>170.1</v>
      </c>
      <c r="BX977" s="13">
        <f t="shared" si="895"/>
        <v>17.519106407995299</v>
      </c>
      <c r="BY977" s="13">
        <f t="shared" si="896"/>
        <v>17</v>
      </c>
      <c r="BZ977" s="13">
        <f t="shared" si="897"/>
        <v>6.9370958259847155</v>
      </c>
      <c r="CA977" s="13">
        <f t="shared" si="898"/>
        <v>6</v>
      </c>
      <c r="CB977" s="13">
        <f t="shared" si="899"/>
        <v>102</v>
      </c>
      <c r="CC977" s="62">
        <f t="shared" si="900"/>
        <v>9.8039215686274508E-3</v>
      </c>
      <c r="CD977" s="13">
        <f t="shared" si="901"/>
        <v>17.519106407995299</v>
      </c>
      <c r="CE977" s="13">
        <f t="shared" si="902"/>
        <v>17</v>
      </c>
      <c r="CF977" s="13">
        <f t="shared" si="903"/>
        <v>6.9370958259847155</v>
      </c>
      <c r="CG977" s="13">
        <f t="shared" si="904"/>
        <v>6</v>
      </c>
      <c r="CH977" s="28">
        <f t="shared" si="905"/>
        <v>102</v>
      </c>
      <c r="CI977" s="62">
        <f t="shared" si="906"/>
        <v>9.8039215686274508E-3</v>
      </c>
      <c r="CJ977" s="59">
        <f t="shared" si="907"/>
        <v>9.8039215686274508E-3</v>
      </c>
      <c r="CL977" s="63">
        <v>6000</v>
      </c>
      <c r="CM977" s="63">
        <f t="shared" si="908"/>
        <v>165.1</v>
      </c>
      <c r="CN977" s="63">
        <f t="shared" si="909"/>
        <v>170.1</v>
      </c>
      <c r="CO977" s="63">
        <f t="shared" si="910"/>
        <v>35.273368606701943</v>
      </c>
      <c r="CP977" s="13">
        <f t="shared" si="911"/>
        <v>35</v>
      </c>
      <c r="CQ977" s="70">
        <f t="shared" si="912"/>
        <v>2.8571428571428571E-2</v>
      </c>
      <c r="CR977" s="69">
        <f t="shared" si="875"/>
        <v>2.8571428571428571E-2</v>
      </c>
    </row>
    <row r="978" spans="1:96" hidden="1" x14ac:dyDescent="0.25">
      <c r="A978" s="10">
        <v>3</v>
      </c>
      <c r="B978" s="8" t="s">
        <v>2085</v>
      </c>
      <c r="C978" s="10" t="s">
        <v>1970</v>
      </c>
      <c r="D978" s="10" t="s">
        <v>1993</v>
      </c>
      <c r="E978" s="10" t="s">
        <v>52</v>
      </c>
      <c r="F978" s="12">
        <f t="shared" si="881"/>
        <v>6</v>
      </c>
      <c r="G978" s="10">
        <v>1</v>
      </c>
      <c r="H978" s="10">
        <f t="shared" si="928"/>
        <v>1</v>
      </c>
      <c r="I978" s="10">
        <v>5</v>
      </c>
      <c r="J978" s="8" t="s">
        <v>480</v>
      </c>
      <c r="K978" s="8" t="s">
        <v>34</v>
      </c>
      <c r="L978" s="10">
        <v>0</v>
      </c>
      <c r="M978" s="8" t="s">
        <v>35</v>
      </c>
      <c r="N978" s="10" t="s">
        <v>1993</v>
      </c>
      <c r="O978" s="28"/>
      <c r="P978" s="28"/>
      <c r="Q978" s="28" t="s">
        <v>1993</v>
      </c>
      <c r="R978" s="30">
        <v>6.5</v>
      </c>
      <c r="S978" s="30">
        <v>6.5</v>
      </c>
      <c r="T978" s="30"/>
      <c r="U978" s="30">
        <v>0.12</v>
      </c>
      <c r="V978" s="8">
        <f t="shared" si="882"/>
        <v>165.1</v>
      </c>
      <c r="W978" s="8">
        <f t="shared" si="883"/>
        <v>165.1</v>
      </c>
      <c r="X978" s="8">
        <f t="shared" si="884"/>
        <v>0</v>
      </c>
      <c r="Y978" s="33">
        <f t="shared" si="885"/>
        <v>3.0479999999999996</v>
      </c>
      <c r="Z978" s="28" t="s">
        <v>1971</v>
      </c>
      <c r="AA978" s="28" t="s">
        <v>1972</v>
      </c>
      <c r="AB978" s="61" t="s">
        <v>1993</v>
      </c>
      <c r="AC978" s="31" t="s">
        <v>1973</v>
      </c>
      <c r="AD978" s="50">
        <f t="shared" si="886"/>
        <v>1</v>
      </c>
      <c r="AE978" s="31"/>
      <c r="AF978" s="51">
        <v>14</v>
      </c>
      <c r="AG978" s="51">
        <f t="shared" si="913"/>
        <v>8.4</v>
      </c>
      <c r="AH978" s="51">
        <f t="shared" si="880"/>
        <v>42</v>
      </c>
      <c r="AI978" s="52" t="s">
        <v>2497</v>
      </c>
      <c r="AJ978" s="52" t="s">
        <v>2498</v>
      </c>
      <c r="AK978" s="53">
        <f t="shared" si="914"/>
        <v>5.4516019999999998E-2</v>
      </c>
      <c r="AL978" s="54">
        <f t="shared" si="915"/>
        <v>0.11904761904761904</v>
      </c>
      <c r="AM978" s="54">
        <f t="shared" si="916"/>
        <v>2.3809523809523808E-2</v>
      </c>
      <c r="AN978" s="55">
        <f t="shared" si="917"/>
        <v>6.4900023809523807E-3</v>
      </c>
      <c r="AO978" s="55">
        <f t="shared" si="918"/>
        <v>1.298000476190476E-3</v>
      </c>
      <c r="AP978" s="53">
        <v>7.1</v>
      </c>
      <c r="AQ978" s="53">
        <f t="shared" si="887"/>
        <v>4.26</v>
      </c>
      <c r="AR978" s="53">
        <f t="shared" si="888"/>
        <v>21.299999999999997</v>
      </c>
      <c r="AS978" s="56">
        <f t="shared" si="889"/>
        <v>4.6948356807511742E-2</v>
      </c>
      <c r="AT978" s="56">
        <f t="shared" si="919"/>
        <v>0.23474178403755869</v>
      </c>
      <c r="AU978" s="56">
        <f t="shared" si="890"/>
        <v>0.176056338028169</v>
      </c>
      <c r="AV978" s="56">
        <f t="shared" si="920"/>
        <v>5.8685446009389672E-2</v>
      </c>
      <c r="AW978" s="57"/>
      <c r="AX978" s="57"/>
      <c r="AY978" s="57"/>
      <c r="AZ978" s="58">
        <f t="shared" si="921"/>
        <v>5.4516019999999998E-2</v>
      </c>
      <c r="BA978" s="59">
        <f t="shared" si="922"/>
        <v>0</v>
      </c>
      <c r="BB978" s="59">
        <f t="shared" si="923"/>
        <v>0</v>
      </c>
      <c r="BC978" s="59">
        <f t="shared" si="924"/>
        <v>0</v>
      </c>
      <c r="BD978" s="60">
        <f t="shared" si="925"/>
        <v>9.8039215686274508E-3</v>
      </c>
      <c r="BE978" s="59">
        <f t="shared" si="926"/>
        <v>9.8039215686274508E-3</v>
      </c>
      <c r="BQ978" s="61">
        <v>3000</v>
      </c>
      <c r="BR978" s="61">
        <v>1200</v>
      </c>
      <c r="BS978" s="28">
        <f t="shared" si="891"/>
        <v>2980</v>
      </c>
      <c r="BT978" s="28">
        <f t="shared" si="892"/>
        <v>1180</v>
      </c>
      <c r="BU978" s="28" t="s">
        <v>2541</v>
      </c>
      <c r="BV978" s="28">
        <f t="shared" si="893"/>
        <v>170.1</v>
      </c>
      <c r="BW978" s="28">
        <f t="shared" si="894"/>
        <v>170.1</v>
      </c>
      <c r="BX978" s="13">
        <f t="shared" si="895"/>
        <v>17.519106407995299</v>
      </c>
      <c r="BY978" s="13">
        <f t="shared" si="896"/>
        <v>17</v>
      </c>
      <c r="BZ978" s="13">
        <f t="shared" si="897"/>
        <v>6.9370958259847155</v>
      </c>
      <c r="CA978" s="13">
        <f t="shared" si="898"/>
        <v>6</v>
      </c>
      <c r="CB978" s="13">
        <f t="shared" si="899"/>
        <v>102</v>
      </c>
      <c r="CC978" s="62">
        <f t="shared" si="900"/>
        <v>9.8039215686274508E-3</v>
      </c>
      <c r="CD978" s="13">
        <f t="shared" si="901"/>
        <v>17.519106407995299</v>
      </c>
      <c r="CE978" s="13">
        <f t="shared" si="902"/>
        <v>17</v>
      </c>
      <c r="CF978" s="13">
        <f t="shared" si="903"/>
        <v>6.9370958259847155</v>
      </c>
      <c r="CG978" s="13">
        <f t="shared" si="904"/>
        <v>6</v>
      </c>
      <c r="CH978" s="28">
        <f t="shared" si="905"/>
        <v>102</v>
      </c>
      <c r="CI978" s="62">
        <f t="shared" si="906"/>
        <v>9.8039215686274508E-3</v>
      </c>
      <c r="CJ978" s="59">
        <f t="shared" si="907"/>
        <v>9.8039215686274508E-3</v>
      </c>
      <c r="CL978" s="63">
        <v>6000</v>
      </c>
      <c r="CM978" s="63">
        <f t="shared" si="908"/>
        <v>165.1</v>
      </c>
      <c r="CN978" s="63">
        <f t="shared" si="909"/>
        <v>170.1</v>
      </c>
      <c r="CO978" s="63">
        <f t="shared" si="910"/>
        <v>35.273368606701943</v>
      </c>
      <c r="CP978" s="13">
        <f t="shared" si="911"/>
        <v>35</v>
      </c>
      <c r="CQ978" s="70">
        <f t="shared" si="912"/>
        <v>2.8571428571428571E-2</v>
      </c>
      <c r="CR978" s="69">
        <f t="shared" si="875"/>
        <v>2.8571428571428571E-2</v>
      </c>
    </row>
    <row r="979" spans="1:96" hidden="1" x14ac:dyDescent="0.25">
      <c r="A979" s="10">
        <v>3</v>
      </c>
      <c r="B979" s="8" t="s">
        <v>2085</v>
      </c>
      <c r="C979" s="10" t="s">
        <v>1963</v>
      </c>
      <c r="D979" s="10" t="s">
        <v>2270</v>
      </c>
      <c r="E979" s="10" t="s">
        <v>52</v>
      </c>
      <c r="F979" s="12">
        <f t="shared" si="881"/>
        <v>6</v>
      </c>
      <c r="G979" s="10">
        <v>1</v>
      </c>
      <c r="H979" s="10">
        <f t="shared" si="928"/>
        <v>1</v>
      </c>
      <c r="I979" s="10">
        <v>6</v>
      </c>
      <c r="J979" s="8" t="s">
        <v>1964</v>
      </c>
      <c r="K979" s="8" t="s">
        <v>34</v>
      </c>
      <c r="L979" s="10">
        <v>0</v>
      </c>
      <c r="M979" s="8" t="s">
        <v>1965</v>
      </c>
      <c r="N979" s="77" t="s">
        <v>2570</v>
      </c>
      <c r="O979" s="28"/>
      <c r="P979" s="28"/>
      <c r="Q979" s="28"/>
      <c r="R979" s="30"/>
      <c r="S979" s="30"/>
      <c r="T979" s="30"/>
      <c r="U979" s="30"/>
      <c r="V979" s="8">
        <f t="shared" si="882"/>
        <v>0</v>
      </c>
      <c r="W979" s="8">
        <f t="shared" si="883"/>
        <v>0</v>
      </c>
      <c r="X979" s="8">
        <f t="shared" si="884"/>
        <v>0</v>
      </c>
      <c r="Y979" s="33">
        <f t="shared" si="885"/>
        <v>0</v>
      </c>
      <c r="Z979" s="28"/>
      <c r="AA979" s="28"/>
      <c r="AB979" s="77" t="str">
        <f>N979</f>
        <v>MTA-NOVO-1</v>
      </c>
      <c r="AC979" s="31" t="s">
        <v>1964</v>
      </c>
      <c r="AD979" s="50">
        <f t="shared" si="886"/>
        <v>1</v>
      </c>
      <c r="AE979" s="47" t="s">
        <v>1966</v>
      </c>
      <c r="AF979" s="51">
        <v>14</v>
      </c>
      <c r="AG979" s="51">
        <f t="shared" si="913"/>
        <v>8.4</v>
      </c>
      <c r="AH979" s="51">
        <f t="shared" si="880"/>
        <v>42</v>
      </c>
      <c r="AI979" s="52" t="s">
        <v>2497</v>
      </c>
      <c r="AJ979" s="52" t="s">
        <v>2498</v>
      </c>
      <c r="AK979" s="53">
        <f t="shared" si="914"/>
        <v>0</v>
      </c>
      <c r="AL979" s="54">
        <f t="shared" si="915"/>
        <v>0.11904761904761904</v>
      </c>
      <c r="AM979" s="54">
        <f t="shared" si="916"/>
        <v>2.3809523809523808E-2</v>
      </c>
      <c r="AN979" s="55">
        <f t="shared" si="917"/>
        <v>0</v>
      </c>
      <c r="AO979" s="55">
        <f t="shared" si="918"/>
        <v>0</v>
      </c>
      <c r="AP979" s="53">
        <v>7.1</v>
      </c>
      <c r="AQ979" s="53">
        <f t="shared" si="887"/>
        <v>4.26</v>
      </c>
      <c r="AR979" s="53">
        <f t="shared" si="888"/>
        <v>21.299999999999997</v>
      </c>
      <c r="AS979" s="56">
        <f t="shared" si="889"/>
        <v>4.6948356807511742E-2</v>
      </c>
      <c r="AT979" s="56">
        <f t="shared" si="919"/>
        <v>0.23474178403755869</v>
      </c>
      <c r="AU979" s="56">
        <f t="shared" si="890"/>
        <v>0.176056338028169</v>
      </c>
      <c r="AV979" s="56">
        <f t="shared" si="920"/>
        <v>5.8685446009389672E-2</v>
      </c>
      <c r="AW979" s="57"/>
      <c r="AX979" s="57"/>
      <c r="AY979" s="57"/>
      <c r="AZ979" s="58">
        <f t="shared" si="921"/>
        <v>0</v>
      </c>
      <c r="BA979" s="59">
        <f t="shared" si="922"/>
        <v>0</v>
      </c>
      <c r="BB979" s="59">
        <f t="shared" si="923"/>
        <v>0</v>
      </c>
      <c r="BC979" s="59">
        <f t="shared" si="924"/>
        <v>0</v>
      </c>
      <c r="BD979" s="60">
        <f t="shared" si="925"/>
        <v>7.1095438516664771E-6</v>
      </c>
      <c r="BE979" s="59">
        <f t="shared" si="926"/>
        <v>7.1095438516664771E-6</v>
      </c>
      <c r="BQ979" s="61">
        <v>3000</v>
      </c>
      <c r="BR979" s="61">
        <v>1200</v>
      </c>
      <c r="BS979" s="28">
        <f t="shared" si="891"/>
        <v>2980</v>
      </c>
      <c r="BT979" s="28">
        <f t="shared" si="892"/>
        <v>1180</v>
      </c>
      <c r="BU979" s="28" t="s">
        <v>2541</v>
      </c>
      <c r="BV979" s="28">
        <f t="shared" si="893"/>
        <v>5</v>
      </c>
      <c r="BW979" s="28">
        <f t="shared" si="894"/>
        <v>5</v>
      </c>
      <c r="BX979" s="13">
        <f t="shared" si="895"/>
        <v>596</v>
      </c>
      <c r="BY979" s="13">
        <f t="shared" si="896"/>
        <v>596</v>
      </c>
      <c r="BZ979" s="13">
        <f t="shared" si="897"/>
        <v>236</v>
      </c>
      <c r="CA979" s="13">
        <f t="shared" si="898"/>
        <v>236</v>
      </c>
      <c r="CB979" s="13">
        <f t="shared" si="899"/>
        <v>140656</v>
      </c>
      <c r="CC979" s="62">
        <f t="shared" si="900"/>
        <v>7.1095438516664771E-6</v>
      </c>
      <c r="CD979" s="13">
        <f t="shared" si="901"/>
        <v>596</v>
      </c>
      <c r="CE979" s="13">
        <f t="shared" si="902"/>
        <v>596</v>
      </c>
      <c r="CF979" s="13">
        <f t="shared" si="903"/>
        <v>236</v>
      </c>
      <c r="CG979" s="13">
        <f t="shared" si="904"/>
        <v>236</v>
      </c>
      <c r="CH979" s="28">
        <f t="shared" si="905"/>
        <v>140656</v>
      </c>
      <c r="CI979" s="62">
        <f t="shared" si="906"/>
        <v>7.1095438516664771E-6</v>
      </c>
      <c r="CJ979" s="59">
        <f t="shared" si="907"/>
        <v>7.1095438516664771E-6</v>
      </c>
      <c r="CL979" s="63">
        <v>6000</v>
      </c>
      <c r="CM979" s="63">
        <f t="shared" si="908"/>
        <v>0</v>
      </c>
      <c r="CN979" s="63">
        <f t="shared" si="909"/>
        <v>5</v>
      </c>
      <c r="CO979" s="63">
        <f t="shared" si="910"/>
        <v>1200</v>
      </c>
      <c r="CP979" s="13">
        <f t="shared" si="911"/>
        <v>1200</v>
      </c>
      <c r="CQ979" s="70">
        <f t="shared" si="912"/>
        <v>8.3333333333333339E-4</v>
      </c>
      <c r="CR979" s="69">
        <f t="shared" si="875"/>
        <v>8.3333333333333339E-4</v>
      </c>
    </row>
    <row r="980" spans="1:96" hidden="1" x14ac:dyDescent="0.25">
      <c r="A980" s="10">
        <v>3</v>
      </c>
      <c r="B980" s="8" t="s">
        <v>2085</v>
      </c>
      <c r="C980" s="10" t="s">
        <v>1903</v>
      </c>
      <c r="D980" s="10" t="s">
        <v>1905</v>
      </c>
      <c r="E980" s="10" t="s">
        <v>52</v>
      </c>
      <c r="F980" s="12">
        <f t="shared" si="881"/>
        <v>8</v>
      </c>
      <c r="G980" s="10">
        <v>2</v>
      </c>
      <c r="H980" s="10">
        <f t="shared" si="928"/>
        <v>2</v>
      </c>
      <c r="I980" s="10">
        <v>7</v>
      </c>
      <c r="J980" s="8" t="s">
        <v>1904</v>
      </c>
      <c r="K980" s="8" t="s">
        <v>34</v>
      </c>
      <c r="L980" s="10">
        <v>0</v>
      </c>
      <c r="M980" s="8" t="s">
        <v>340</v>
      </c>
      <c r="N980" s="10" t="s">
        <v>1905</v>
      </c>
      <c r="O980" s="28"/>
      <c r="P980" s="28"/>
      <c r="Q980" s="28" t="s">
        <v>1905</v>
      </c>
      <c r="R980" s="30">
        <v>3.35</v>
      </c>
      <c r="S980" s="30">
        <v>1.58</v>
      </c>
      <c r="T980" s="30"/>
      <c r="U980" s="30">
        <v>2.12</v>
      </c>
      <c r="V980" s="8">
        <f t="shared" si="882"/>
        <v>85.09</v>
      </c>
      <c r="W980" s="8">
        <f t="shared" si="883"/>
        <v>40.131999999999998</v>
      </c>
      <c r="X980" s="8">
        <f t="shared" si="884"/>
        <v>0</v>
      </c>
      <c r="Y980" s="33">
        <f t="shared" si="885"/>
        <v>53.847999999999999</v>
      </c>
      <c r="Z980" s="28"/>
      <c r="AA980" s="28"/>
      <c r="AB980" s="61" t="s">
        <v>1905</v>
      </c>
      <c r="AC980" s="31" t="s">
        <v>1906</v>
      </c>
      <c r="AD980" s="50">
        <f t="shared" si="886"/>
        <v>2</v>
      </c>
      <c r="AE980" s="31"/>
      <c r="AF980" s="51">
        <v>14</v>
      </c>
      <c r="AG980" s="51">
        <f t="shared" si="913"/>
        <v>8.4</v>
      </c>
      <c r="AH980" s="51">
        <f t="shared" si="880"/>
        <v>42</v>
      </c>
      <c r="AI980" s="52" t="s">
        <v>2497</v>
      </c>
      <c r="AJ980" s="52" t="s">
        <v>2498</v>
      </c>
      <c r="AK980" s="53">
        <f t="shared" si="914"/>
        <v>6.8296637600000001E-3</v>
      </c>
      <c r="AL980" s="54">
        <f t="shared" si="915"/>
        <v>0.11904761904761904</v>
      </c>
      <c r="AM980" s="54">
        <f t="shared" si="916"/>
        <v>2.3809523809523808E-2</v>
      </c>
      <c r="AN980" s="55">
        <f t="shared" si="917"/>
        <v>1.6261104190476189E-3</v>
      </c>
      <c r="AO980" s="55">
        <f t="shared" si="918"/>
        <v>3.2522208380952379E-4</v>
      </c>
      <c r="AP980" s="53">
        <v>7.1</v>
      </c>
      <c r="AQ980" s="53">
        <f t="shared" si="887"/>
        <v>4.26</v>
      </c>
      <c r="AR980" s="53">
        <f t="shared" si="888"/>
        <v>21.299999999999997</v>
      </c>
      <c r="AS980" s="56">
        <f t="shared" si="889"/>
        <v>4.6948356807511742E-2</v>
      </c>
      <c r="AT980" s="56">
        <f t="shared" si="919"/>
        <v>0.23474178403755869</v>
      </c>
      <c r="AU980" s="56">
        <f t="shared" si="890"/>
        <v>0.176056338028169</v>
      </c>
      <c r="AV980" s="56">
        <f t="shared" si="920"/>
        <v>5.8685446009389672E-2</v>
      </c>
      <c r="AW980" s="57"/>
      <c r="AX980" s="57"/>
      <c r="AY980" s="57"/>
      <c r="AZ980" s="58">
        <f t="shared" si="921"/>
        <v>6.8296637600000001E-3</v>
      </c>
      <c r="BA980" s="59">
        <f t="shared" si="922"/>
        <v>0</v>
      </c>
      <c r="BB980" s="59">
        <f t="shared" si="923"/>
        <v>0</v>
      </c>
      <c r="BC980" s="59">
        <f t="shared" si="924"/>
        <v>0</v>
      </c>
      <c r="BD980" s="60">
        <f t="shared" si="925"/>
        <v>1.1655011655011655E-3</v>
      </c>
      <c r="BE980" s="59">
        <f t="shared" si="926"/>
        <v>2.331002331002331E-3</v>
      </c>
      <c r="BQ980" s="61">
        <v>3000</v>
      </c>
      <c r="BR980" s="61">
        <v>1200</v>
      </c>
      <c r="BS980" s="28">
        <f t="shared" si="891"/>
        <v>2980</v>
      </c>
      <c r="BT980" s="28">
        <f t="shared" si="892"/>
        <v>1180</v>
      </c>
      <c r="BU980" s="28" t="s">
        <v>2541</v>
      </c>
      <c r="BV980" s="28">
        <f t="shared" si="893"/>
        <v>90.09</v>
      </c>
      <c r="BW980" s="28">
        <f t="shared" si="894"/>
        <v>45.131999999999998</v>
      </c>
      <c r="BX980" s="13">
        <f t="shared" si="895"/>
        <v>33.07803307803308</v>
      </c>
      <c r="BY980" s="13">
        <f t="shared" si="896"/>
        <v>33</v>
      </c>
      <c r="BZ980" s="13">
        <f t="shared" si="897"/>
        <v>26.145528671452627</v>
      </c>
      <c r="CA980" s="13">
        <f t="shared" si="898"/>
        <v>26</v>
      </c>
      <c r="CB980" s="13">
        <f t="shared" si="899"/>
        <v>858</v>
      </c>
      <c r="CC980" s="62">
        <f t="shared" si="900"/>
        <v>1.1655011655011655E-3</v>
      </c>
      <c r="CD980" s="13">
        <f t="shared" si="901"/>
        <v>66.028538509261722</v>
      </c>
      <c r="CE980" s="13">
        <f t="shared" si="902"/>
        <v>66</v>
      </c>
      <c r="CF980" s="13">
        <f t="shared" si="903"/>
        <v>13.098013098013098</v>
      </c>
      <c r="CG980" s="13">
        <f t="shared" si="904"/>
        <v>13</v>
      </c>
      <c r="CH980" s="28">
        <f t="shared" si="905"/>
        <v>858</v>
      </c>
      <c r="CI980" s="62">
        <f t="shared" si="906"/>
        <v>1.1655011655011655E-3</v>
      </c>
      <c r="CJ980" s="59">
        <f t="shared" si="907"/>
        <v>1.1655011655011655E-3</v>
      </c>
      <c r="CL980" s="63">
        <v>6000</v>
      </c>
      <c r="CM980" s="63">
        <f t="shared" si="908"/>
        <v>85.09</v>
      </c>
      <c r="CN980" s="63">
        <f t="shared" si="909"/>
        <v>90.09</v>
      </c>
      <c r="CO980" s="63">
        <f t="shared" si="910"/>
        <v>66.600066600066597</v>
      </c>
      <c r="CP980" s="13">
        <f t="shared" si="911"/>
        <v>66</v>
      </c>
      <c r="CQ980" s="70">
        <f t="shared" si="912"/>
        <v>1.5151515151515152E-2</v>
      </c>
      <c r="CR980" s="69">
        <f t="shared" si="875"/>
        <v>3.0303030303030304E-2</v>
      </c>
    </row>
    <row r="981" spans="1:96" hidden="1" x14ac:dyDescent="0.25">
      <c r="A981" s="10">
        <v>3</v>
      </c>
      <c r="B981" s="8" t="s">
        <v>2085</v>
      </c>
      <c r="C981" s="10" t="s">
        <v>1907</v>
      </c>
      <c r="D981" s="10" t="s">
        <v>1908</v>
      </c>
      <c r="E981" s="10" t="s">
        <v>52</v>
      </c>
      <c r="F981" s="12">
        <f t="shared" si="881"/>
        <v>8</v>
      </c>
      <c r="G981" s="10">
        <v>2</v>
      </c>
      <c r="H981" s="10">
        <f t="shared" si="928"/>
        <v>2</v>
      </c>
      <c r="I981" s="10">
        <v>8</v>
      </c>
      <c r="J981" s="8" t="s">
        <v>1904</v>
      </c>
      <c r="K981" s="8" t="s">
        <v>34</v>
      </c>
      <c r="L981" s="10">
        <v>0</v>
      </c>
      <c r="M981" s="8" t="s">
        <v>340</v>
      </c>
      <c r="N981" s="10" t="s">
        <v>1908</v>
      </c>
      <c r="O981" s="28"/>
      <c r="P981" s="28"/>
      <c r="Q981" s="28" t="s">
        <v>1908</v>
      </c>
      <c r="R981" s="30">
        <v>5.54</v>
      </c>
      <c r="S981" s="30">
        <v>2.25</v>
      </c>
      <c r="T981" s="30"/>
      <c r="U981" s="30">
        <v>4.25</v>
      </c>
      <c r="V981" s="8">
        <f t="shared" si="882"/>
        <v>140.71599999999998</v>
      </c>
      <c r="W981" s="8">
        <f t="shared" si="883"/>
        <v>57.15</v>
      </c>
      <c r="X981" s="8">
        <f t="shared" si="884"/>
        <v>0</v>
      </c>
      <c r="Y981" s="33">
        <f t="shared" si="885"/>
        <v>107.94999999999999</v>
      </c>
      <c r="Z981" s="28"/>
      <c r="AA981" s="28"/>
      <c r="AB981" s="61" t="s">
        <v>1908</v>
      </c>
      <c r="AC981" s="31" t="s">
        <v>2553</v>
      </c>
      <c r="AD981" s="50">
        <f t="shared" si="886"/>
        <v>2</v>
      </c>
      <c r="AE981" s="31"/>
      <c r="AF981" s="51">
        <v>14</v>
      </c>
      <c r="AG981" s="51">
        <f t="shared" si="913"/>
        <v>8.4</v>
      </c>
      <c r="AH981" s="51">
        <f t="shared" si="880"/>
        <v>42</v>
      </c>
      <c r="AI981" s="52" t="s">
        <v>2497</v>
      </c>
      <c r="AJ981" s="52" t="s">
        <v>2498</v>
      </c>
      <c r="AK981" s="53">
        <f t="shared" si="914"/>
        <v>1.6083838799999996E-2</v>
      </c>
      <c r="AL981" s="54">
        <f t="shared" si="915"/>
        <v>0.11904761904761904</v>
      </c>
      <c r="AM981" s="54">
        <f t="shared" si="916"/>
        <v>2.3809523809523808E-2</v>
      </c>
      <c r="AN981" s="55">
        <f t="shared" si="917"/>
        <v>3.8294854285714276E-3</v>
      </c>
      <c r="AO981" s="55">
        <f t="shared" si="918"/>
        <v>7.6589708571428547E-4</v>
      </c>
      <c r="AP981" s="53">
        <v>7.1</v>
      </c>
      <c r="AQ981" s="53">
        <f t="shared" si="887"/>
        <v>4.26</v>
      </c>
      <c r="AR981" s="53">
        <f t="shared" si="888"/>
        <v>21.299999999999997</v>
      </c>
      <c r="AS981" s="56">
        <f t="shared" si="889"/>
        <v>4.6948356807511742E-2</v>
      </c>
      <c r="AT981" s="56">
        <f t="shared" si="919"/>
        <v>0.23474178403755869</v>
      </c>
      <c r="AU981" s="56">
        <f t="shared" si="890"/>
        <v>0.176056338028169</v>
      </c>
      <c r="AV981" s="56">
        <f t="shared" si="920"/>
        <v>5.8685446009389672E-2</v>
      </c>
      <c r="AW981" s="57"/>
      <c r="AX981" s="57"/>
      <c r="AY981" s="57"/>
      <c r="AZ981" s="58">
        <f t="shared" si="921"/>
        <v>1.6083838799999996E-2</v>
      </c>
      <c r="BA981" s="59">
        <f t="shared" si="922"/>
        <v>0</v>
      </c>
      <c r="BB981" s="59">
        <f t="shared" si="923"/>
        <v>0</v>
      </c>
      <c r="BC981" s="59">
        <f t="shared" si="924"/>
        <v>0</v>
      </c>
      <c r="BD981" s="60">
        <f t="shared" si="925"/>
        <v>2.6595744680851063E-3</v>
      </c>
      <c r="BE981" s="59">
        <f t="shared" si="926"/>
        <v>5.3191489361702126E-3</v>
      </c>
      <c r="BQ981" s="61">
        <v>3000</v>
      </c>
      <c r="BR981" s="61">
        <v>1200</v>
      </c>
      <c r="BS981" s="28">
        <f t="shared" si="891"/>
        <v>2980</v>
      </c>
      <c r="BT981" s="28">
        <f t="shared" si="892"/>
        <v>1180</v>
      </c>
      <c r="BU981" s="28" t="s">
        <v>2541</v>
      </c>
      <c r="BV981" s="28">
        <f t="shared" si="893"/>
        <v>145.71599999999998</v>
      </c>
      <c r="BW981" s="28">
        <f t="shared" si="894"/>
        <v>62.15</v>
      </c>
      <c r="BX981" s="13">
        <f t="shared" si="895"/>
        <v>20.450739795218098</v>
      </c>
      <c r="BY981" s="13">
        <f t="shared" si="896"/>
        <v>20</v>
      </c>
      <c r="BZ981" s="13">
        <f t="shared" si="897"/>
        <v>18.986323411102173</v>
      </c>
      <c r="CA981" s="13">
        <f t="shared" si="898"/>
        <v>18</v>
      </c>
      <c r="CB981" s="13">
        <f t="shared" si="899"/>
        <v>360</v>
      </c>
      <c r="CC981" s="62">
        <f t="shared" si="900"/>
        <v>2.7777777777777779E-3</v>
      </c>
      <c r="CD981" s="13">
        <f t="shared" si="901"/>
        <v>47.948511665325825</v>
      </c>
      <c r="CE981" s="13">
        <f t="shared" si="902"/>
        <v>47</v>
      </c>
      <c r="CF981" s="13">
        <f t="shared" si="903"/>
        <v>8.0979439457575015</v>
      </c>
      <c r="CG981" s="13">
        <f t="shared" si="904"/>
        <v>8</v>
      </c>
      <c r="CH981" s="28">
        <f t="shared" si="905"/>
        <v>376</v>
      </c>
      <c r="CI981" s="62">
        <f t="shared" si="906"/>
        <v>2.6595744680851063E-3</v>
      </c>
      <c r="CJ981" s="59">
        <f t="shared" si="907"/>
        <v>2.6595744680851063E-3</v>
      </c>
      <c r="CL981" s="63">
        <v>6000</v>
      </c>
      <c r="CM981" s="63">
        <f t="shared" si="908"/>
        <v>140.71599999999998</v>
      </c>
      <c r="CN981" s="63">
        <f t="shared" si="909"/>
        <v>145.71599999999998</v>
      </c>
      <c r="CO981" s="63">
        <f t="shared" si="910"/>
        <v>41.175986164868654</v>
      </c>
      <c r="CP981" s="13">
        <f t="shared" si="911"/>
        <v>41</v>
      </c>
      <c r="CQ981" s="70">
        <f t="shared" si="912"/>
        <v>2.4390243902439025E-2</v>
      </c>
      <c r="CR981" s="69">
        <f t="shared" si="875"/>
        <v>4.878048780487805E-2</v>
      </c>
    </row>
    <row r="982" spans="1:96" hidden="1" x14ac:dyDescent="0.25">
      <c r="A982" s="10">
        <v>3</v>
      </c>
      <c r="B982" s="8" t="s">
        <v>2085</v>
      </c>
      <c r="C982" s="10" t="s">
        <v>1974</v>
      </c>
      <c r="D982" s="10" t="s">
        <v>1994</v>
      </c>
      <c r="E982" s="10" t="s">
        <v>52</v>
      </c>
      <c r="F982" s="12">
        <f t="shared" si="881"/>
        <v>6</v>
      </c>
      <c r="G982" s="10">
        <v>4</v>
      </c>
      <c r="H982" s="10">
        <f t="shared" si="928"/>
        <v>4</v>
      </c>
      <c r="I982" s="10">
        <v>9</v>
      </c>
      <c r="J982" s="8" t="s">
        <v>1975</v>
      </c>
      <c r="K982" s="8" t="s">
        <v>34</v>
      </c>
      <c r="L982" s="10" t="s">
        <v>259</v>
      </c>
      <c r="M982" s="8" t="s">
        <v>35</v>
      </c>
      <c r="N982" s="10" t="s">
        <v>1994</v>
      </c>
      <c r="O982" s="28"/>
      <c r="P982" s="28"/>
      <c r="Q982" s="28" t="s">
        <v>1994</v>
      </c>
      <c r="R982" s="30"/>
      <c r="S982" s="30"/>
      <c r="T982" s="30"/>
      <c r="U982" s="30"/>
      <c r="V982" s="8">
        <f t="shared" si="882"/>
        <v>0</v>
      </c>
      <c r="W982" s="8">
        <f t="shared" si="883"/>
        <v>0</v>
      </c>
      <c r="X982" s="8">
        <f t="shared" si="884"/>
        <v>0</v>
      </c>
      <c r="Y982" s="33">
        <f t="shared" si="885"/>
        <v>0</v>
      </c>
      <c r="Z982" s="28"/>
      <c r="AA982" s="28"/>
      <c r="AB982" s="61" t="s">
        <v>1994</v>
      </c>
      <c r="AC982" s="31" t="s">
        <v>1976</v>
      </c>
      <c r="AD982" s="50">
        <f t="shared" si="886"/>
        <v>4</v>
      </c>
      <c r="AE982" s="31"/>
      <c r="AF982" s="51">
        <v>14</v>
      </c>
      <c r="AG982" s="51">
        <f t="shared" si="913"/>
        <v>8.4</v>
      </c>
      <c r="AH982" s="51">
        <f t="shared" si="880"/>
        <v>42</v>
      </c>
      <c r="AI982" s="52" t="s">
        <v>2497</v>
      </c>
      <c r="AJ982" s="52" t="s">
        <v>2498</v>
      </c>
      <c r="AK982" s="53">
        <f t="shared" si="914"/>
        <v>0</v>
      </c>
      <c r="AL982" s="54">
        <f t="shared" si="915"/>
        <v>0.11904761904761904</v>
      </c>
      <c r="AM982" s="54">
        <f t="shared" si="916"/>
        <v>2.3809523809523808E-2</v>
      </c>
      <c r="AN982" s="55">
        <f t="shared" si="917"/>
        <v>0</v>
      </c>
      <c r="AO982" s="55">
        <f t="shared" si="918"/>
        <v>0</v>
      </c>
      <c r="AP982" s="53">
        <v>7.1</v>
      </c>
      <c r="AQ982" s="53">
        <f t="shared" si="887"/>
        <v>4.26</v>
      </c>
      <c r="AR982" s="53">
        <f t="shared" si="888"/>
        <v>21.299999999999997</v>
      </c>
      <c r="AS982" s="56">
        <f t="shared" si="889"/>
        <v>4.6948356807511742E-2</v>
      </c>
      <c r="AT982" s="56">
        <f t="shared" si="919"/>
        <v>0.23474178403755869</v>
      </c>
      <c r="AU982" s="56">
        <f t="shared" si="890"/>
        <v>0.176056338028169</v>
      </c>
      <c r="AV982" s="56">
        <f t="shared" si="920"/>
        <v>5.8685446009389672E-2</v>
      </c>
      <c r="AW982" s="57"/>
      <c r="AX982" s="57"/>
      <c r="AY982" s="57"/>
      <c r="AZ982" s="58">
        <f t="shared" si="921"/>
        <v>0</v>
      </c>
      <c r="BA982" s="59">
        <f t="shared" si="922"/>
        <v>0</v>
      </c>
      <c r="BB982" s="59">
        <f t="shared" si="923"/>
        <v>0</v>
      </c>
      <c r="BC982" s="59">
        <f t="shared" si="924"/>
        <v>0</v>
      </c>
      <c r="BD982" s="60">
        <f t="shared" si="925"/>
        <v>7.1095438516664771E-6</v>
      </c>
      <c r="BE982" s="59">
        <f t="shared" si="926"/>
        <v>2.8438175406665908E-5</v>
      </c>
      <c r="BQ982" s="61">
        <v>3000</v>
      </c>
      <c r="BR982" s="61">
        <v>1200</v>
      </c>
      <c r="BS982" s="28">
        <f t="shared" si="891"/>
        <v>2980</v>
      </c>
      <c r="BT982" s="28">
        <f t="shared" si="892"/>
        <v>1180</v>
      </c>
      <c r="BU982" s="28" t="s">
        <v>2541</v>
      </c>
      <c r="BV982" s="28">
        <f t="shared" si="893"/>
        <v>5</v>
      </c>
      <c r="BW982" s="28">
        <f t="shared" si="894"/>
        <v>5</v>
      </c>
      <c r="BX982" s="13">
        <f t="shared" si="895"/>
        <v>596</v>
      </c>
      <c r="BY982" s="13">
        <f t="shared" si="896"/>
        <v>596</v>
      </c>
      <c r="BZ982" s="13">
        <f t="shared" si="897"/>
        <v>236</v>
      </c>
      <c r="CA982" s="13">
        <f t="shared" si="898"/>
        <v>236</v>
      </c>
      <c r="CB982" s="13">
        <f t="shared" si="899"/>
        <v>140656</v>
      </c>
      <c r="CC982" s="62">
        <f t="shared" si="900"/>
        <v>7.1095438516664771E-6</v>
      </c>
      <c r="CD982" s="13">
        <f t="shared" si="901"/>
        <v>596</v>
      </c>
      <c r="CE982" s="13">
        <f t="shared" si="902"/>
        <v>596</v>
      </c>
      <c r="CF982" s="13">
        <f t="shared" si="903"/>
        <v>236</v>
      </c>
      <c r="CG982" s="13">
        <f t="shared" si="904"/>
        <v>236</v>
      </c>
      <c r="CH982" s="28">
        <f t="shared" si="905"/>
        <v>140656</v>
      </c>
      <c r="CI982" s="62">
        <f t="shared" si="906"/>
        <v>7.1095438516664771E-6</v>
      </c>
      <c r="CJ982" s="59">
        <f t="shared" si="907"/>
        <v>7.1095438516664771E-6</v>
      </c>
      <c r="CL982" s="63">
        <v>6000</v>
      </c>
      <c r="CM982" s="63">
        <f t="shared" si="908"/>
        <v>0</v>
      </c>
      <c r="CN982" s="63">
        <f t="shared" si="909"/>
        <v>5</v>
      </c>
      <c r="CO982" s="63">
        <f t="shared" si="910"/>
        <v>1200</v>
      </c>
      <c r="CP982" s="13">
        <f t="shared" si="911"/>
        <v>1200</v>
      </c>
      <c r="CQ982" s="70">
        <f t="shared" si="912"/>
        <v>8.3333333333333339E-4</v>
      </c>
      <c r="CR982" s="69">
        <f t="shared" si="875"/>
        <v>3.3333333333333335E-3</v>
      </c>
    </row>
    <row r="983" spans="1:96" hidden="1" x14ac:dyDescent="0.25">
      <c r="A983" s="10">
        <v>3</v>
      </c>
      <c r="B983" s="8" t="s">
        <v>2085</v>
      </c>
      <c r="C983" s="10" t="s">
        <v>336</v>
      </c>
      <c r="D983" s="10" t="s">
        <v>341</v>
      </c>
      <c r="E983" s="10" t="s">
        <v>52</v>
      </c>
      <c r="F983" s="12">
        <f t="shared" si="881"/>
        <v>15</v>
      </c>
      <c r="G983" s="10" t="s">
        <v>337</v>
      </c>
      <c r="H983" s="10" t="str">
        <f>G983</f>
        <v>A/R</v>
      </c>
      <c r="I983" s="10">
        <v>10</v>
      </c>
      <c r="J983" s="8" t="s">
        <v>338</v>
      </c>
      <c r="K983" s="8" t="s">
        <v>34</v>
      </c>
      <c r="L983" s="10" t="s">
        <v>339</v>
      </c>
      <c r="M983" s="8" t="s">
        <v>340</v>
      </c>
      <c r="N983" s="10" t="s">
        <v>341</v>
      </c>
      <c r="O983" s="28" t="s">
        <v>2541</v>
      </c>
      <c r="P983" s="28" t="s">
        <v>2541</v>
      </c>
      <c r="Q983" s="28" t="s">
        <v>341</v>
      </c>
      <c r="R983" s="30"/>
      <c r="S983" s="30"/>
      <c r="T983" s="30"/>
      <c r="U983" s="30"/>
      <c r="V983" s="8">
        <f t="shared" si="882"/>
        <v>0</v>
      </c>
      <c r="W983" s="8">
        <f t="shared" si="883"/>
        <v>0</v>
      </c>
      <c r="X983" s="8">
        <f t="shared" si="884"/>
        <v>0</v>
      </c>
      <c r="Y983" s="33">
        <f t="shared" si="885"/>
        <v>0</v>
      </c>
      <c r="Z983" s="28"/>
      <c r="AA983" s="28"/>
      <c r="AB983" s="28" t="s">
        <v>341</v>
      </c>
      <c r="AC983" s="31" t="s">
        <v>342</v>
      </c>
      <c r="AD983" s="50">
        <v>0</v>
      </c>
      <c r="AE983" s="50" t="s">
        <v>337</v>
      </c>
      <c r="AF983" s="51">
        <v>14</v>
      </c>
      <c r="AG983" s="51">
        <f t="shared" si="913"/>
        <v>8.4</v>
      </c>
      <c r="AH983" s="51">
        <f t="shared" si="880"/>
        <v>42</v>
      </c>
      <c r="AI983" s="52" t="s">
        <v>2497</v>
      </c>
      <c r="AJ983" s="52" t="s">
        <v>2498</v>
      </c>
      <c r="AK983" s="53">
        <f t="shared" si="914"/>
        <v>0</v>
      </c>
      <c r="AL983" s="54">
        <f t="shared" si="915"/>
        <v>0.11904761904761904</v>
      </c>
      <c r="AM983" s="54">
        <f t="shared" si="916"/>
        <v>2.3809523809523808E-2</v>
      </c>
      <c r="AN983" s="55">
        <f t="shared" si="917"/>
        <v>0</v>
      </c>
      <c r="AO983" s="55">
        <f t="shared" si="918"/>
        <v>0</v>
      </c>
      <c r="AP983" s="53">
        <v>7.1</v>
      </c>
      <c r="AQ983" s="53">
        <f t="shared" si="887"/>
        <v>4.26</v>
      </c>
      <c r="AR983" s="53">
        <f t="shared" si="888"/>
        <v>21.299999999999997</v>
      </c>
      <c r="AS983" s="56">
        <f t="shared" si="889"/>
        <v>4.6948356807511742E-2</v>
      </c>
      <c r="AT983" s="56">
        <f t="shared" si="919"/>
        <v>0.23474178403755869</v>
      </c>
      <c r="AU983" s="56">
        <f t="shared" si="890"/>
        <v>0.176056338028169</v>
      </c>
      <c r="AV983" s="56">
        <f t="shared" si="920"/>
        <v>5.8685446009389672E-2</v>
      </c>
      <c r="AW983" s="57"/>
      <c r="AX983" s="57"/>
      <c r="AY983" s="57"/>
      <c r="AZ983" s="58">
        <f t="shared" si="921"/>
        <v>0</v>
      </c>
      <c r="BA983" s="59">
        <f t="shared" si="922"/>
        <v>0</v>
      </c>
      <c r="BB983" s="59">
        <f t="shared" si="923"/>
        <v>0</v>
      </c>
      <c r="BC983" s="59">
        <f t="shared" si="924"/>
        <v>0</v>
      </c>
      <c r="BD983" s="60">
        <f t="shared" si="925"/>
        <v>7.1095438516664771E-6</v>
      </c>
      <c r="BE983" s="59">
        <f t="shared" si="926"/>
        <v>0</v>
      </c>
      <c r="BQ983" s="61">
        <v>3000</v>
      </c>
      <c r="BR983" s="61">
        <v>1200</v>
      </c>
      <c r="BS983" s="28">
        <f t="shared" si="891"/>
        <v>2980</v>
      </c>
      <c r="BT983" s="28">
        <f t="shared" si="892"/>
        <v>1180</v>
      </c>
      <c r="BU983" s="28" t="s">
        <v>2541</v>
      </c>
      <c r="BV983" s="28">
        <f t="shared" si="893"/>
        <v>5</v>
      </c>
      <c r="BW983" s="28">
        <f t="shared" si="894"/>
        <v>5</v>
      </c>
      <c r="BX983" s="13">
        <f t="shared" si="895"/>
        <v>596</v>
      </c>
      <c r="BY983" s="13">
        <f t="shared" si="896"/>
        <v>596</v>
      </c>
      <c r="BZ983" s="13">
        <f t="shared" si="897"/>
        <v>236</v>
      </c>
      <c r="CA983" s="13">
        <f t="shared" si="898"/>
        <v>236</v>
      </c>
      <c r="CB983" s="13">
        <f t="shared" si="899"/>
        <v>140656</v>
      </c>
      <c r="CC983" s="62">
        <f t="shared" si="900"/>
        <v>7.1095438516664771E-6</v>
      </c>
      <c r="CD983" s="13">
        <f t="shared" si="901"/>
        <v>596</v>
      </c>
      <c r="CE983" s="13">
        <f t="shared" si="902"/>
        <v>596</v>
      </c>
      <c r="CF983" s="13">
        <f t="shared" si="903"/>
        <v>236</v>
      </c>
      <c r="CG983" s="13">
        <f t="shared" si="904"/>
        <v>236</v>
      </c>
      <c r="CH983" s="28">
        <f t="shared" si="905"/>
        <v>140656</v>
      </c>
      <c r="CI983" s="62">
        <f t="shared" si="906"/>
        <v>7.1095438516664771E-6</v>
      </c>
      <c r="CJ983" s="59">
        <f t="shared" si="907"/>
        <v>7.1095438516664771E-6</v>
      </c>
      <c r="CL983" s="63">
        <v>6000</v>
      </c>
      <c r="CM983" s="63">
        <f t="shared" si="908"/>
        <v>0</v>
      </c>
      <c r="CN983" s="63">
        <f t="shared" si="909"/>
        <v>5</v>
      </c>
      <c r="CO983" s="63">
        <f t="shared" si="910"/>
        <v>1200</v>
      </c>
      <c r="CP983" s="13">
        <f t="shared" si="911"/>
        <v>1200</v>
      </c>
      <c r="CQ983" s="70">
        <f t="shared" si="912"/>
        <v>8.3333333333333339E-4</v>
      </c>
      <c r="CR983" s="69">
        <f t="shared" si="875"/>
        <v>0</v>
      </c>
    </row>
    <row r="984" spans="1:96" hidden="1" x14ac:dyDescent="0.25">
      <c r="A984" s="10">
        <v>3</v>
      </c>
      <c r="B984" s="8" t="s">
        <v>2085</v>
      </c>
      <c r="C984" s="10" t="s">
        <v>1910</v>
      </c>
      <c r="D984" s="10" t="s">
        <v>1911</v>
      </c>
      <c r="E984" s="10" t="s">
        <v>52</v>
      </c>
      <c r="F984" s="12">
        <f t="shared" si="881"/>
        <v>8</v>
      </c>
      <c r="G984" s="10">
        <v>2</v>
      </c>
      <c r="H984" s="10">
        <v>2</v>
      </c>
      <c r="I984" s="10">
        <v>11</v>
      </c>
      <c r="J984" s="8" t="s">
        <v>480</v>
      </c>
      <c r="K984" s="8" t="s">
        <v>34</v>
      </c>
      <c r="L984" s="10">
        <v>0</v>
      </c>
      <c r="M984" s="8" t="s">
        <v>35</v>
      </c>
      <c r="N984" s="10" t="s">
        <v>1911</v>
      </c>
      <c r="O984" s="28"/>
      <c r="P984" s="28"/>
      <c r="Q984" s="28" t="s">
        <v>1911</v>
      </c>
      <c r="R984" s="30">
        <v>3.1339999999999999</v>
      </c>
      <c r="S984" s="30">
        <v>1.4409999999999998</v>
      </c>
      <c r="T984" s="30"/>
      <c r="U984" s="30">
        <v>6.3E-2</v>
      </c>
      <c r="V984" s="8">
        <f t="shared" si="882"/>
        <v>79.603599999999986</v>
      </c>
      <c r="W984" s="8">
        <f t="shared" si="883"/>
        <v>36.601399999999991</v>
      </c>
      <c r="X984" s="8">
        <f t="shared" si="884"/>
        <v>0</v>
      </c>
      <c r="Y984" s="33">
        <f t="shared" si="885"/>
        <v>1.6001999999999998</v>
      </c>
      <c r="Z984" s="28" t="s">
        <v>1912</v>
      </c>
      <c r="AA984" s="28"/>
      <c r="AB984" s="61" t="s">
        <v>1911</v>
      </c>
      <c r="AC984" s="31" t="s">
        <v>1913</v>
      </c>
      <c r="AD984" s="50">
        <f t="shared" si="886"/>
        <v>2</v>
      </c>
      <c r="AE984" s="31"/>
      <c r="AF984" s="51">
        <v>14</v>
      </c>
      <c r="AG984" s="51">
        <f t="shared" si="913"/>
        <v>8.4</v>
      </c>
      <c r="AH984" s="51">
        <f t="shared" si="880"/>
        <v>42</v>
      </c>
      <c r="AI984" s="52" t="s">
        <v>2497</v>
      </c>
      <c r="AJ984" s="52" t="s">
        <v>2498</v>
      </c>
      <c r="AK984" s="53">
        <f t="shared" si="914"/>
        <v>5.8272064100799974E-3</v>
      </c>
      <c r="AL984" s="54">
        <f t="shared" si="915"/>
        <v>0.11904761904761904</v>
      </c>
      <c r="AM984" s="54">
        <f t="shared" si="916"/>
        <v>2.3809523809523808E-2</v>
      </c>
      <c r="AN984" s="55">
        <f t="shared" si="917"/>
        <v>1.3874300976380945E-3</v>
      </c>
      <c r="AO984" s="55">
        <f t="shared" si="918"/>
        <v>2.7748601952761891E-4</v>
      </c>
      <c r="AP984" s="53">
        <v>7.1</v>
      </c>
      <c r="AQ984" s="53">
        <f t="shared" si="887"/>
        <v>4.26</v>
      </c>
      <c r="AR984" s="53">
        <f t="shared" si="888"/>
        <v>21.299999999999997</v>
      </c>
      <c r="AS984" s="56">
        <f t="shared" si="889"/>
        <v>4.6948356807511742E-2</v>
      </c>
      <c r="AT984" s="56">
        <f t="shared" si="919"/>
        <v>0.23474178403755869</v>
      </c>
      <c r="AU984" s="56">
        <f t="shared" si="890"/>
        <v>0.176056338028169</v>
      </c>
      <c r="AV984" s="56">
        <f t="shared" si="920"/>
        <v>5.8685446009389672E-2</v>
      </c>
      <c r="AW984" s="57"/>
      <c r="AX984" s="57"/>
      <c r="AY984" s="57"/>
      <c r="AZ984" s="58">
        <f t="shared" si="921"/>
        <v>5.8272064100799974E-3</v>
      </c>
      <c r="BA984" s="59">
        <f t="shared" si="922"/>
        <v>0</v>
      </c>
      <c r="BB984" s="59">
        <f t="shared" si="923"/>
        <v>0</v>
      </c>
      <c r="BC984" s="59">
        <f t="shared" si="924"/>
        <v>0</v>
      </c>
      <c r="BD984" s="60">
        <f t="shared" si="925"/>
        <v>1.0204081632653062E-3</v>
      </c>
      <c r="BE984" s="59">
        <f t="shared" si="926"/>
        <v>2.0408163265306124E-3</v>
      </c>
      <c r="BQ984" s="61">
        <v>3000</v>
      </c>
      <c r="BR984" s="61">
        <v>1200</v>
      </c>
      <c r="BS984" s="28">
        <f t="shared" si="891"/>
        <v>2980</v>
      </c>
      <c r="BT984" s="28">
        <f t="shared" si="892"/>
        <v>1180</v>
      </c>
      <c r="BU984" s="28" t="s">
        <v>2541</v>
      </c>
      <c r="BV984" s="28">
        <f t="shared" si="893"/>
        <v>84.603599999999986</v>
      </c>
      <c r="BW984" s="28">
        <f t="shared" si="894"/>
        <v>41.601399999999991</v>
      </c>
      <c r="BX984" s="13">
        <f t="shared" si="895"/>
        <v>35.223087433631669</v>
      </c>
      <c r="BY984" s="13">
        <f t="shared" si="896"/>
        <v>35</v>
      </c>
      <c r="BZ984" s="13">
        <f t="shared" si="897"/>
        <v>28.364430043219706</v>
      </c>
      <c r="CA984" s="13">
        <f t="shared" si="898"/>
        <v>28</v>
      </c>
      <c r="CB984" s="13">
        <f t="shared" si="899"/>
        <v>980</v>
      </c>
      <c r="CC984" s="62">
        <f t="shared" si="900"/>
        <v>1.0204081632653062E-3</v>
      </c>
      <c r="CD984" s="13">
        <f t="shared" si="901"/>
        <v>71.632204685419254</v>
      </c>
      <c r="CE984" s="13">
        <f t="shared" si="902"/>
        <v>71</v>
      </c>
      <c r="CF984" s="13">
        <f t="shared" si="903"/>
        <v>13.947397037478312</v>
      </c>
      <c r="CG984" s="13">
        <f t="shared" si="904"/>
        <v>13</v>
      </c>
      <c r="CH984" s="28">
        <f t="shared" si="905"/>
        <v>923</v>
      </c>
      <c r="CI984" s="62">
        <f t="shared" si="906"/>
        <v>1.0834236186348862E-3</v>
      </c>
      <c r="CJ984" s="59">
        <f t="shared" si="907"/>
        <v>1.0204081632653062E-3</v>
      </c>
      <c r="CL984" s="63">
        <v>6000</v>
      </c>
      <c r="CM984" s="63">
        <f t="shared" si="908"/>
        <v>79.603599999999986</v>
      </c>
      <c r="CN984" s="63">
        <f t="shared" si="909"/>
        <v>84.603599999999986</v>
      </c>
      <c r="CO984" s="63">
        <f t="shared" si="910"/>
        <v>70.918967987177865</v>
      </c>
      <c r="CP984" s="13">
        <f t="shared" si="911"/>
        <v>70</v>
      </c>
      <c r="CQ984" s="70">
        <f t="shared" si="912"/>
        <v>1.4285714285714285E-2</v>
      </c>
      <c r="CR984" s="69">
        <f t="shared" si="875"/>
        <v>2.8571428571428571E-2</v>
      </c>
    </row>
    <row r="985" spans="1:96" hidden="1" x14ac:dyDescent="0.25">
      <c r="A985" s="10">
        <v>3</v>
      </c>
      <c r="B985" s="8" t="s">
        <v>2085</v>
      </c>
      <c r="C985" s="10" t="s">
        <v>492</v>
      </c>
      <c r="D985" s="10" t="s">
        <v>495</v>
      </c>
      <c r="E985" s="10" t="s">
        <v>52</v>
      </c>
      <c r="F985" s="12">
        <f t="shared" si="881"/>
        <v>7</v>
      </c>
      <c r="G985" s="10" t="s">
        <v>337</v>
      </c>
      <c r="H985" s="10" t="str">
        <f>G985</f>
        <v>A/R</v>
      </c>
      <c r="I985" s="10">
        <v>12</v>
      </c>
      <c r="J985" s="8" t="s">
        <v>493</v>
      </c>
      <c r="K985" s="8" t="s">
        <v>494</v>
      </c>
      <c r="L985" s="10" t="s">
        <v>339</v>
      </c>
      <c r="M985" s="8" t="s">
        <v>35</v>
      </c>
      <c r="N985" s="10" t="s">
        <v>495</v>
      </c>
      <c r="O985" s="28"/>
      <c r="P985" s="28"/>
      <c r="Q985" s="28" t="s">
        <v>495</v>
      </c>
      <c r="R985" s="30"/>
      <c r="S985" s="30"/>
      <c r="T985" s="30"/>
      <c r="U985" s="30"/>
      <c r="V985" s="8">
        <f t="shared" si="882"/>
        <v>0</v>
      </c>
      <c r="W985" s="8">
        <f t="shared" si="883"/>
        <v>0</v>
      </c>
      <c r="X985" s="8">
        <f t="shared" si="884"/>
        <v>0</v>
      </c>
      <c r="Y985" s="33">
        <f t="shared" si="885"/>
        <v>0</v>
      </c>
      <c r="Z985" s="28"/>
      <c r="AA985" s="28"/>
      <c r="AB985" s="61" t="s">
        <v>495</v>
      </c>
      <c r="AC985" s="31" t="s">
        <v>496</v>
      </c>
      <c r="AD985" s="50">
        <v>0</v>
      </c>
      <c r="AE985" s="50" t="s">
        <v>337</v>
      </c>
      <c r="AF985" s="51">
        <v>14</v>
      </c>
      <c r="AG985" s="51">
        <f t="shared" si="913"/>
        <v>8.4</v>
      </c>
      <c r="AH985" s="51">
        <f t="shared" si="880"/>
        <v>42</v>
      </c>
      <c r="AI985" s="52" t="s">
        <v>2497</v>
      </c>
      <c r="AJ985" s="52" t="s">
        <v>2498</v>
      </c>
      <c r="AK985" s="53">
        <f t="shared" si="914"/>
        <v>0</v>
      </c>
      <c r="AL985" s="54">
        <f t="shared" si="915"/>
        <v>0.11904761904761904</v>
      </c>
      <c r="AM985" s="54">
        <f t="shared" si="916"/>
        <v>2.3809523809523808E-2</v>
      </c>
      <c r="AN985" s="55">
        <f t="shared" si="917"/>
        <v>0</v>
      </c>
      <c r="AO985" s="55">
        <f t="shared" si="918"/>
        <v>0</v>
      </c>
      <c r="AP985" s="53">
        <v>7.1</v>
      </c>
      <c r="AQ985" s="53">
        <f t="shared" si="887"/>
        <v>4.26</v>
      </c>
      <c r="AR985" s="53">
        <f t="shared" si="888"/>
        <v>21.299999999999997</v>
      </c>
      <c r="AS985" s="56">
        <f t="shared" si="889"/>
        <v>4.6948356807511742E-2</v>
      </c>
      <c r="AT985" s="56">
        <f t="shared" si="919"/>
        <v>0.23474178403755869</v>
      </c>
      <c r="AU985" s="56">
        <f t="shared" si="890"/>
        <v>0.176056338028169</v>
      </c>
      <c r="AV985" s="56">
        <f t="shared" si="920"/>
        <v>5.8685446009389672E-2</v>
      </c>
      <c r="AW985" s="57"/>
      <c r="AX985" s="57"/>
      <c r="AY985" s="57"/>
      <c r="AZ985" s="58">
        <f t="shared" si="921"/>
        <v>0</v>
      </c>
      <c r="BA985" s="59">
        <f t="shared" si="922"/>
        <v>0</v>
      </c>
      <c r="BB985" s="59">
        <f t="shared" si="923"/>
        <v>0</v>
      </c>
      <c r="BC985" s="59">
        <f t="shared" si="924"/>
        <v>0</v>
      </c>
      <c r="BD985" s="60">
        <f t="shared" si="925"/>
        <v>7.1095438516664771E-6</v>
      </c>
      <c r="BE985" s="59">
        <f t="shared" si="926"/>
        <v>0</v>
      </c>
      <c r="BQ985" s="61">
        <v>3000</v>
      </c>
      <c r="BR985" s="61">
        <v>1200</v>
      </c>
      <c r="BS985" s="28">
        <f t="shared" si="891"/>
        <v>2980</v>
      </c>
      <c r="BT985" s="28">
        <f t="shared" si="892"/>
        <v>1180</v>
      </c>
      <c r="BU985" s="28" t="s">
        <v>2541</v>
      </c>
      <c r="BV985" s="28">
        <f t="shared" si="893"/>
        <v>5</v>
      </c>
      <c r="BW985" s="28">
        <f t="shared" si="894"/>
        <v>5</v>
      </c>
      <c r="BX985" s="13">
        <f t="shared" si="895"/>
        <v>596</v>
      </c>
      <c r="BY985" s="13">
        <f t="shared" si="896"/>
        <v>596</v>
      </c>
      <c r="BZ985" s="13">
        <f t="shared" si="897"/>
        <v>236</v>
      </c>
      <c r="CA985" s="13">
        <f t="shared" si="898"/>
        <v>236</v>
      </c>
      <c r="CB985" s="13">
        <f t="shared" si="899"/>
        <v>140656</v>
      </c>
      <c r="CC985" s="62">
        <f t="shared" si="900"/>
        <v>7.1095438516664771E-6</v>
      </c>
      <c r="CD985" s="13">
        <f t="shared" si="901"/>
        <v>596</v>
      </c>
      <c r="CE985" s="13">
        <f t="shared" si="902"/>
        <v>596</v>
      </c>
      <c r="CF985" s="13">
        <f t="shared" si="903"/>
        <v>236</v>
      </c>
      <c r="CG985" s="13">
        <f t="shared" si="904"/>
        <v>236</v>
      </c>
      <c r="CH985" s="28">
        <f t="shared" si="905"/>
        <v>140656</v>
      </c>
      <c r="CI985" s="62">
        <f t="shared" si="906"/>
        <v>7.1095438516664771E-6</v>
      </c>
      <c r="CJ985" s="59">
        <f t="shared" si="907"/>
        <v>7.1095438516664771E-6</v>
      </c>
      <c r="CL985" s="63">
        <v>6000</v>
      </c>
      <c r="CM985" s="63">
        <f t="shared" si="908"/>
        <v>0</v>
      </c>
      <c r="CN985" s="63">
        <f t="shared" si="909"/>
        <v>5</v>
      </c>
      <c r="CO985" s="63">
        <f t="shared" si="910"/>
        <v>1200</v>
      </c>
      <c r="CP985" s="13">
        <f t="shared" si="911"/>
        <v>1200</v>
      </c>
      <c r="CQ985" s="70">
        <f t="shared" si="912"/>
        <v>8.3333333333333339E-4</v>
      </c>
      <c r="CR985" s="69">
        <f t="shared" si="875"/>
        <v>0</v>
      </c>
    </row>
    <row r="986" spans="1:96" hidden="1" x14ac:dyDescent="0.25">
      <c r="A986" s="36">
        <v>2</v>
      </c>
      <c r="B986" s="37" t="s">
        <v>1865</v>
      </c>
      <c r="C986" s="36" t="s">
        <v>2102</v>
      </c>
      <c r="D986" s="36" t="s">
        <v>2270</v>
      </c>
      <c r="E986" s="36" t="s">
        <v>32</v>
      </c>
      <c r="F986" s="38">
        <f t="shared" si="881"/>
        <v>1</v>
      </c>
      <c r="G986" s="36">
        <v>1</v>
      </c>
      <c r="H986" s="36">
        <f>G986*$H$794</f>
        <v>1</v>
      </c>
      <c r="I986" s="36">
        <v>7</v>
      </c>
      <c r="J986" s="37" t="s">
        <v>1867</v>
      </c>
      <c r="K986" s="37" t="s">
        <v>34</v>
      </c>
      <c r="L986" s="36">
        <v>0</v>
      </c>
      <c r="M986" s="37" t="s">
        <v>35</v>
      </c>
      <c r="N986" s="36" t="s">
        <v>2103</v>
      </c>
      <c r="O986" s="28"/>
      <c r="P986" s="28"/>
      <c r="Q986" s="28"/>
      <c r="R986" s="30"/>
      <c r="S986" s="30"/>
      <c r="T986" s="30"/>
      <c r="U986" s="30"/>
      <c r="V986" s="8">
        <f t="shared" si="882"/>
        <v>0</v>
      </c>
      <c r="W986" s="8">
        <f t="shared" si="883"/>
        <v>0</v>
      </c>
      <c r="X986" s="8">
        <f t="shared" si="884"/>
        <v>0</v>
      </c>
      <c r="Y986" s="33">
        <f t="shared" si="885"/>
        <v>0</v>
      </c>
      <c r="Z986" s="28"/>
      <c r="AA986" s="28"/>
      <c r="AB986" s="28">
        <v>0</v>
      </c>
      <c r="AC986" s="31"/>
      <c r="AD986" s="50">
        <f t="shared" si="886"/>
        <v>1</v>
      </c>
      <c r="AE986" s="31"/>
      <c r="AF986" s="51">
        <v>14</v>
      </c>
      <c r="AG986" s="51">
        <f t="shared" si="913"/>
        <v>8.4</v>
      </c>
      <c r="AH986" s="51">
        <f t="shared" si="880"/>
        <v>42</v>
      </c>
      <c r="AI986" s="52" t="s">
        <v>2497</v>
      </c>
      <c r="AJ986" s="52" t="s">
        <v>2498</v>
      </c>
      <c r="AK986" s="53">
        <f t="shared" si="914"/>
        <v>0</v>
      </c>
      <c r="AL986" s="54">
        <f t="shared" si="915"/>
        <v>0.11904761904761904</v>
      </c>
      <c r="AM986" s="54">
        <f t="shared" si="916"/>
        <v>2.3809523809523808E-2</v>
      </c>
      <c r="AN986" s="55">
        <f t="shared" si="917"/>
        <v>0</v>
      </c>
      <c r="AO986" s="55">
        <f t="shared" si="918"/>
        <v>0</v>
      </c>
      <c r="AP986" s="53">
        <v>7.1</v>
      </c>
      <c r="AQ986" s="53">
        <f t="shared" si="887"/>
        <v>4.26</v>
      </c>
      <c r="AR986" s="53">
        <f t="shared" si="888"/>
        <v>21.299999999999997</v>
      </c>
      <c r="AS986" s="56">
        <f t="shared" si="889"/>
        <v>4.6948356807511742E-2</v>
      </c>
      <c r="AT986" s="56">
        <f t="shared" si="919"/>
        <v>0.23474178403755869</v>
      </c>
      <c r="AU986" s="56">
        <f t="shared" si="890"/>
        <v>0.176056338028169</v>
      </c>
      <c r="AV986" s="56">
        <f t="shared" si="920"/>
        <v>5.8685446009389672E-2</v>
      </c>
      <c r="AW986" s="57"/>
      <c r="AX986" s="57"/>
      <c r="AY986" s="57"/>
      <c r="AZ986" s="58">
        <f t="shared" si="921"/>
        <v>0</v>
      </c>
      <c r="BA986" s="59">
        <f t="shared" si="922"/>
        <v>0</v>
      </c>
      <c r="BB986" s="59">
        <f t="shared" si="923"/>
        <v>0</v>
      </c>
      <c r="BC986" s="59">
        <f t="shared" si="924"/>
        <v>0</v>
      </c>
      <c r="BD986" s="60">
        <f t="shared" si="925"/>
        <v>0</v>
      </c>
      <c r="BE986" s="59">
        <f t="shared" si="926"/>
        <v>0</v>
      </c>
      <c r="BQ986" s="61">
        <v>3000</v>
      </c>
      <c r="BR986" s="61">
        <v>1200</v>
      </c>
      <c r="BS986" s="28">
        <f t="shared" si="891"/>
        <v>2980</v>
      </c>
      <c r="BT986" s="28">
        <f t="shared" si="892"/>
        <v>1180</v>
      </c>
      <c r="BU986" s="28" t="s">
        <v>2541</v>
      </c>
      <c r="BV986" s="28">
        <f t="shared" si="893"/>
        <v>5</v>
      </c>
      <c r="BW986" s="28">
        <f t="shared" si="894"/>
        <v>5</v>
      </c>
      <c r="BX986" s="13">
        <f t="shared" si="895"/>
        <v>596</v>
      </c>
      <c r="BY986" s="13">
        <f t="shared" si="896"/>
        <v>596</v>
      </c>
      <c r="BZ986" s="13">
        <f t="shared" si="897"/>
        <v>236</v>
      </c>
      <c r="CA986" s="13">
        <f t="shared" si="898"/>
        <v>236</v>
      </c>
      <c r="CB986" s="13">
        <f t="shared" si="899"/>
        <v>140656</v>
      </c>
      <c r="CC986" s="62" t="str">
        <f t="shared" si="900"/>
        <v/>
      </c>
      <c r="CD986" s="13">
        <f t="shared" si="901"/>
        <v>596</v>
      </c>
      <c r="CE986" s="13">
        <f t="shared" si="902"/>
        <v>596</v>
      </c>
      <c r="CF986" s="13">
        <f t="shared" si="903"/>
        <v>236</v>
      </c>
      <c r="CG986" s="13">
        <f t="shared" si="904"/>
        <v>236</v>
      </c>
      <c r="CH986" s="28">
        <f t="shared" si="905"/>
        <v>140656</v>
      </c>
      <c r="CI986" s="62" t="str">
        <f t="shared" si="906"/>
        <v/>
      </c>
      <c r="CJ986" s="59">
        <f t="shared" si="907"/>
        <v>0</v>
      </c>
      <c r="CL986" s="63">
        <v>6000</v>
      </c>
      <c r="CM986" s="63">
        <f t="shared" si="908"/>
        <v>0</v>
      </c>
      <c r="CN986" s="63">
        <f t="shared" si="909"/>
        <v>5</v>
      </c>
      <c r="CO986" s="63">
        <f t="shared" si="910"/>
        <v>1200</v>
      </c>
      <c r="CP986" s="13">
        <f t="shared" si="911"/>
        <v>1200</v>
      </c>
      <c r="CQ986" s="70">
        <f t="shared" si="912"/>
        <v>8.3333333333333339E-4</v>
      </c>
      <c r="CR986" s="69">
        <f t="shared" si="875"/>
        <v>8.3333333333333339E-4</v>
      </c>
    </row>
    <row r="987" spans="1:96" hidden="1" x14ac:dyDescent="0.25">
      <c r="A987" s="10">
        <v>3</v>
      </c>
      <c r="B987" s="8" t="s">
        <v>2104</v>
      </c>
      <c r="C987" s="10" t="s">
        <v>2105</v>
      </c>
      <c r="D987" s="10" t="s">
        <v>2270</v>
      </c>
      <c r="E987" s="10" t="s">
        <v>32</v>
      </c>
      <c r="F987" s="12">
        <f t="shared" si="881"/>
        <v>1</v>
      </c>
      <c r="G987" s="10">
        <v>1</v>
      </c>
      <c r="H987" s="10">
        <f>G987*$H$986</f>
        <v>1</v>
      </c>
      <c r="I987" s="10">
        <v>1</v>
      </c>
      <c r="J987" s="8" t="s">
        <v>1867</v>
      </c>
      <c r="K987" s="8" t="s">
        <v>34</v>
      </c>
      <c r="L987" s="10">
        <v>0</v>
      </c>
      <c r="M987" s="8" t="s">
        <v>35</v>
      </c>
      <c r="N987" s="10" t="s">
        <v>2106</v>
      </c>
      <c r="O987" s="28"/>
      <c r="P987" s="28"/>
      <c r="Q987" s="28"/>
      <c r="R987" s="30"/>
      <c r="S987" s="30"/>
      <c r="T987" s="30"/>
      <c r="U987" s="30"/>
      <c r="V987" s="8">
        <f t="shared" si="882"/>
        <v>0</v>
      </c>
      <c r="W987" s="8">
        <f t="shared" si="883"/>
        <v>0</v>
      </c>
      <c r="X987" s="8">
        <f t="shared" si="884"/>
        <v>0</v>
      </c>
      <c r="Y987" s="33">
        <f t="shared" si="885"/>
        <v>0</v>
      </c>
      <c r="Z987" s="28"/>
      <c r="AA987" s="28"/>
      <c r="AB987" s="28">
        <v>0</v>
      </c>
      <c r="AC987" s="31"/>
      <c r="AD987" s="50">
        <f t="shared" si="886"/>
        <v>1</v>
      </c>
      <c r="AE987" s="31"/>
      <c r="AF987" s="51">
        <v>14</v>
      </c>
      <c r="AG987" s="51">
        <f t="shared" si="913"/>
        <v>8.4</v>
      </c>
      <c r="AH987" s="51">
        <f t="shared" si="880"/>
        <v>42</v>
      </c>
      <c r="AI987" s="52" t="s">
        <v>2497</v>
      </c>
      <c r="AJ987" s="52" t="s">
        <v>2498</v>
      </c>
      <c r="AK987" s="53">
        <f t="shared" si="914"/>
        <v>0</v>
      </c>
      <c r="AL987" s="54">
        <f t="shared" si="915"/>
        <v>0.11904761904761904</v>
      </c>
      <c r="AM987" s="54">
        <f t="shared" si="916"/>
        <v>2.3809523809523808E-2</v>
      </c>
      <c r="AN987" s="55">
        <f t="shared" si="917"/>
        <v>0</v>
      </c>
      <c r="AO987" s="55">
        <f t="shared" si="918"/>
        <v>0</v>
      </c>
      <c r="AP987" s="53">
        <v>7.1</v>
      </c>
      <c r="AQ987" s="53">
        <f t="shared" si="887"/>
        <v>4.26</v>
      </c>
      <c r="AR987" s="53">
        <f t="shared" si="888"/>
        <v>21.299999999999997</v>
      </c>
      <c r="AS987" s="56">
        <f t="shared" si="889"/>
        <v>4.6948356807511742E-2</v>
      </c>
      <c r="AT987" s="56">
        <f t="shared" si="919"/>
        <v>0.23474178403755869</v>
      </c>
      <c r="AU987" s="56">
        <f t="shared" si="890"/>
        <v>0.176056338028169</v>
      </c>
      <c r="AV987" s="56">
        <f t="shared" si="920"/>
        <v>5.8685446009389672E-2</v>
      </c>
      <c r="AW987" s="57"/>
      <c r="AX987" s="57"/>
      <c r="AY987" s="57"/>
      <c r="AZ987" s="58">
        <f t="shared" si="921"/>
        <v>0</v>
      </c>
      <c r="BA987" s="59">
        <f t="shared" si="922"/>
        <v>0</v>
      </c>
      <c r="BB987" s="59">
        <f t="shared" si="923"/>
        <v>0</v>
      </c>
      <c r="BC987" s="59">
        <f t="shared" si="924"/>
        <v>0</v>
      </c>
      <c r="BD987" s="60">
        <f t="shared" si="925"/>
        <v>0</v>
      </c>
      <c r="BE987" s="59">
        <f t="shared" si="926"/>
        <v>0</v>
      </c>
      <c r="BQ987" s="61">
        <v>3000</v>
      </c>
      <c r="BR987" s="61">
        <v>1200</v>
      </c>
      <c r="BS987" s="28">
        <f t="shared" si="891"/>
        <v>2980</v>
      </c>
      <c r="BT987" s="28">
        <f t="shared" si="892"/>
        <v>1180</v>
      </c>
      <c r="BU987" s="28" t="s">
        <v>2541</v>
      </c>
      <c r="BV987" s="28">
        <f t="shared" si="893"/>
        <v>5</v>
      </c>
      <c r="BW987" s="28">
        <f t="shared" si="894"/>
        <v>5</v>
      </c>
      <c r="BX987" s="13">
        <f t="shared" si="895"/>
        <v>596</v>
      </c>
      <c r="BY987" s="13">
        <f t="shared" si="896"/>
        <v>596</v>
      </c>
      <c r="BZ987" s="13">
        <f t="shared" si="897"/>
        <v>236</v>
      </c>
      <c r="CA987" s="13">
        <f t="shared" si="898"/>
        <v>236</v>
      </c>
      <c r="CB987" s="13">
        <f t="shared" si="899"/>
        <v>140656</v>
      </c>
      <c r="CC987" s="62" t="str">
        <f t="shared" si="900"/>
        <v/>
      </c>
      <c r="CD987" s="13">
        <f t="shared" si="901"/>
        <v>596</v>
      </c>
      <c r="CE987" s="13">
        <f t="shared" si="902"/>
        <v>596</v>
      </c>
      <c r="CF987" s="13">
        <f t="shared" si="903"/>
        <v>236</v>
      </c>
      <c r="CG987" s="13">
        <f t="shared" si="904"/>
        <v>236</v>
      </c>
      <c r="CH987" s="28">
        <f t="shared" si="905"/>
        <v>140656</v>
      </c>
      <c r="CI987" s="62" t="str">
        <f t="shared" si="906"/>
        <v/>
      </c>
      <c r="CJ987" s="59">
        <f t="shared" si="907"/>
        <v>0</v>
      </c>
      <c r="CL987" s="63">
        <v>6000</v>
      </c>
      <c r="CM987" s="63">
        <f t="shared" si="908"/>
        <v>0</v>
      </c>
      <c r="CN987" s="63">
        <f t="shared" si="909"/>
        <v>5</v>
      </c>
      <c r="CO987" s="63">
        <f t="shared" si="910"/>
        <v>1200</v>
      </c>
      <c r="CP987" s="13">
        <f t="shared" si="911"/>
        <v>1200</v>
      </c>
      <c r="CQ987" s="70">
        <f t="shared" si="912"/>
        <v>8.3333333333333339E-4</v>
      </c>
      <c r="CR987" s="69">
        <f t="shared" si="875"/>
        <v>8.3333333333333339E-4</v>
      </c>
    </row>
    <row r="988" spans="1:96" x14ac:dyDescent="0.25">
      <c r="A988" s="13">
        <v>4</v>
      </c>
      <c r="B988" s="14" t="s">
        <v>2107</v>
      </c>
      <c r="C988" s="13" t="s">
        <v>1877</v>
      </c>
      <c r="D988" s="13" t="s">
        <v>2270</v>
      </c>
      <c r="E988" s="13" t="s">
        <v>52</v>
      </c>
      <c r="F988" s="15">
        <f t="shared" si="881"/>
        <v>2</v>
      </c>
      <c r="G988" s="13">
        <v>2</v>
      </c>
      <c r="H988" s="13">
        <f>G988*$H$987</f>
        <v>2</v>
      </c>
      <c r="I988" s="13">
        <v>3</v>
      </c>
      <c r="J988" s="14" t="s">
        <v>119</v>
      </c>
      <c r="K988" s="14" t="s">
        <v>34</v>
      </c>
      <c r="L988" s="13" t="s">
        <v>110</v>
      </c>
      <c r="M988" s="14" t="s">
        <v>35</v>
      </c>
      <c r="N988" s="13" t="s">
        <v>1878</v>
      </c>
      <c r="O988" s="28"/>
      <c r="P988" s="28"/>
      <c r="Q988" s="28" t="s">
        <v>2585</v>
      </c>
      <c r="R988" s="30">
        <v>14.314</v>
      </c>
      <c r="S988" s="30">
        <v>1.292</v>
      </c>
      <c r="T988" s="30"/>
      <c r="U988" s="30">
        <v>0.06</v>
      </c>
      <c r="V988" s="8">
        <f t="shared" si="882"/>
        <v>363.57560000000001</v>
      </c>
      <c r="W988" s="8">
        <f t="shared" si="883"/>
        <v>32.816800000000001</v>
      </c>
      <c r="X988" s="8">
        <f t="shared" si="884"/>
        <v>0</v>
      </c>
      <c r="Y988" s="33">
        <f t="shared" si="885"/>
        <v>1.5239999999999998</v>
      </c>
      <c r="Z988" s="28" t="s">
        <v>56</v>
      </c>
      <c r="AA988" s="28" t="s">
        <v>1765</v>
      </c>
      <c r="AB988" s="61" t="s">
        <v>2585</v>
      </c>
      <c r="AC988" s="31" t="s">
        <v>2586</v>
      </c>
      <c r="AD988" s="50">
        <f t="shared" si="886"/>
        <v>2</v>
      </c>
      <c r="AE988" s="31"/>
      <c r="AF988" s="51">
        <v>14</v>
      </c>
      <c r="AG988" s="51">
        <f t="shared" si="913"/>
        <v>8.4</v>
      </c>
      <c r="AH988" s="51">
        <f t="shared" si="880"/>
        <v>42</v>
      </c>
      <c r="AI988" s="52" t="s">
        <v>2497</v>
      </c>
      <c r="AJ988" s="52" t="s">
        <v>2498</v>
      </c>
      <c r="AK988" s="53">
        <f t="shared" si="914"/>
        <v>2.3862775500160003E-2</v>
      </c>
      <c r="AL988" s="54">
        <f t="shared" si="915"/>
        <v>0.11904761904761904</v>
      </c>
      <c r="AM988" s="54">
        <f t="shared" si="916"/>
        <v>2.3809523809523808E-2</v>
      </c>
      <c r="AN988" s="55">
        <f t="shared" si="917"/>
        <v>5.6816132143238099E-3</v>
      </c>
      <c r="AO988" s="55">
        <f t="shared" si="918"/>
        <v>1.136322642864762E-3</v>
      </c>
      <c r="AP988" s="53">
        <v>7.1</v>
      </c>
      <c r="AQ988" s="53">
        <f t="shared" si="887"/>
        <v>4.26</v>
      </c>
      <c r="AR988" s="53">
        <f t="shared" si="888"/>
        <v>21.299999999999997</v>
      </c>
      <c r="AS988" s="56">
        <f t="shared" si="889"/>
        <v>4.6948356807511742E-2</v>
      </c>
      <c r="AT988" s="56">
        <f t="shared" si="919"/>
        <v>0.23474178403755869</v>
      </c>
      <c r="AU988" s="56">
        <f t="shared" si="890"/>
        <v>0.176056338028169</v>
      </c>
      <c r="AV988" s="56">
        <f t="shared" si="920"/>
        <v>5.8685446009389672E-2</v>
      </c>
      <c r="AW988" s="57"/>
      <c r="AX988" s="57"/>
      <c r="AY988" s="57"/>
      <c r="AZ988" s="58">
        <f t="shared" si="921"/>
        <v>2.3862775500160003E-2</v>
      </c>
      <c r="BA988" s="59">
        <f t="shared" si="922"/>
        <v>0</v>
      </c>
      <c r="BB988" s="59">
        <f t="shared" si="923"/>
        <v>0</v>
      </c>
      <c r="BC988" s="59">
        <f t="shared" si="924"/>
        <v>0</v>
      </c>
      <c r="BD988" s="60">
        <f t="shared" si="925"/>
        <v>4.0322580645161289E-3</v>
      </c>
      <c r="BE988" s="59">
        <f t="shared" si="926"/>
        <v>8.0645161290322578E-3</v>
      </c>
      <c r="BQ988" s="61">
        <v>3000</v>
      </c>
      <c r="BR988" s="61">
        <v>1200</v>
      </c>
      <c r="BS988" s="28">
        <f t="shared" si="891"/>
        <v>2980</v>
      </c>
      <c r="BT988" s="28">
        <f t="shared" si="892"/>
        <v>1180</v>
      </c>
      <c r="BU988" s="28" t="s">
        <v>2541</v>
      </c>
      <c r="BV988" s="28">
        <f t="shared" si="893"/>
        <v>368.57560000000001</v>
      </c>
      <c r="BW988" s="28">
        <f t="shared" si="894"/>
        <v>37.816800000000001</v>
      </c>
      <c r="BX988" s="13">
        <f t="shared" si="895"/>
        <v>8.085179811143222</v>
      </c>
      <c r="BY988" s="13">
        <f t="shared" si="896"/>
        <v>8</v>
      </c>
      <c r="BZ988" s="13">
        <f t="shared" si="897"/>
        <v>31.203063188847285</v>
      </c>
      <c r="CA988" s="13">
        <f t="shared" si="898"/>
        <v>31</v>
      </c>
      <c r="CB988" s="13">
        <f t="shared" si="899"/>
        <v>248</v>
      </c>
      <c r="CC988" s="62">
        <f t="shared" si="900"/>
        <v>4.0322580645161289E-3</v>
      </c>
      <c r="CD988" s="13">
        <f t="shared" si="901"/>
        <v>78.800956188783815</v>
      </c>
      <c r="CE988" s="13">
        <f t="shared" si="902"/>
        <v>78</v>
      </c>
      <c r="CF988" s="13">
        <f t="shared" si="903"/>
        <v>3.2015141534057054</v>
      </c>
      <c r="CG988" s="13">
        <f t="shared" si="904"/>
        <v>3</v>
      </c>
      <c r="CH988" s="28">
        <f t="shared" si="905"/>
        <v>234</v>
      </c>
      <c r="CI988" s="62">
        <f t="shared" si="906"/>
        <v>4.2735042735042739E-3</v>
      </c>
      <c r="CJ988" s="59">
        <f t="shared" si="907"/>
        <v>4.0322580645161289E-3</v>
      </c>
      <c r="CL988" s="63">
        <v>6000</v>
      </c>
      <c r="CM988" s="63">
        <f t="shared" si="908"/>
        <v>363.57560000000001</v>
      </c>
      <c r="CN988" s="63">
        <f t="shared" si="909"/>
        <v>368.57560000000001</v>
      </c>
      <c r="CO988" s="63">
        <f t="shared" si="910"/>
        <v>16.278885525791722</v>
      </c>
      <c r="CP988" s="13">
        <f t="shared" si="911"/>
        <v>16</v>
      </c>
      <c r="CQ988" s="70">
        <f t="shared" si="912"/>
        <v>6.25E-2</v>
      </c>
      <c r="CR988" s="69">
        <f t="shared" si="875"/>
        <v>0.125</v>
      </c>
    </row>
    <row r="989" spans="1:96" hidden="1" x14ac:dyDescent="0.25">
      <c r="A989" s="13">
        <v>4</v>
      </c>
      <c r="B989" s="14" t="s">
        <v>2107</v>
      </c>
      <c r="C989" s="13" t="s">
        <v>530</v>
      </c>
      <c r="D989" s="13" t="s">
        <v>532</v>
      </c>
      <c r="E989" s="13" t="s">
        <v>32</v>
      </c>
      <c r="F989" s="15">
        <f t="shared" si="881"/>
        <v>21</v>
      </c>
      <c r="G989" s="13">
        <v>1</v>
      </c>
      <c r="H989" s="13">
        <f>G989*$H$987</f>
        <v>1</v>
      </c>
      <c r="I989" s="13">
        <v>4</v>
      </c>
      <c r="J989" s="14" t="s">
        <v>531</v>
      </c>
      <c r="K989" s="14" t="s">
        <v>34</v>
      </c>
      <c r="L989" s="13" t="s">
        <v>110</v>
      </c>
      <c r="M989" s="14" t="s">
        <v>35</v>
      </c>
      <c r="N989" s="13" t="s">
        <v>532</v>
      </c>
      <c r="O989" s="28" t="s">
        <v>41</v>
      </c>
      <c r="P989" s="28" t="s">
        <v>41</v>
      </c>
      <c r="Q989" s="28"/>
      <c r="R989" s="30"/>
      <c r="S989" s="30"/>
      <c r="T989" s="30"/>
      <c r="U989" s="30"/>
      <c r="V989" s="8">
        <f t="shared" si="882"/>
        <v>0</v>
      </c>
      <c r="W989" s="8">
        <f t="shared" si="883"/>
        <v>0</v>
      </c>
      <c r="X989" s="8">
        <f t="shared" si="884"/>
        <v>0</v>
      </c>
      <c r="Y989" s="33">
        <f t="shared" si="885"/>
        <v>0</v>
      </c>
      <c r="Z989" s="28" t="s">
        <v>2477</v>
      </c>
      <c r="AA989" s="28" t="s">
        <v>2477</v>
      </c>
      <c r="AB989" s="28">
        <v>0</v>
      </c>
      <c r="AC989" s="31" t="s">
        <v>2477</v>
      </c>
      <c r="AD989" s="50">
        <f t="shared" si="886"/>
        <v>1</v>
      </c>
      <c r="AE989" s="31"/>
      <c r="AF989" s="51">
        <v>14</v>
      </c>
      <c r="AG989" s="51">
        <f t="shared" si="913"/>
        <v>8.4</v>
      </c>
      <c r="AH989" s="51">
        <f t="shared" si="880"/>
        <v>42</v>
      </c>
      <c r="AI989" s="52" t="s">
        <v>2497</v>
      </c>
      <c r="AJ989" s="52" t="s">
        <v>2498</v>
      </c>
      <c r="AK989" s="53">
        <f t="shared" si="914"/>
        <v>0</v>
      </c>
      <c r="AL989" s="54">
        <f t="shared" si="915"/>
        <v>0.11904761904761904</v>
      </c>
      <c r="AM989" s="54">
        <f t="shared" si="916"/>
        <v>2.3809523809523808E-2</v>
      </c>
      <c r="AN989" s="55">
        <f t="shared" si="917"/>
        <v>0</v>
      </c>
      <c r="AO989" s="55">
        <f t="shared" si="918"/>
        <v>0</v>
      </c>
      <c r="AP989" s="53">
        <v>7.1</v>
      </c>
      <c r="AQ989" s="53">
        <f t="shared" si="887"/>
        <v>4.26</v>
      </c>
      <c r="AR989" s="53">
        <f t="shared" si="888"/>
        <v>21.299999999999997</v>
      </c>
      <c r="AS989" s="56">
        <f t="shared" si="889"/>
        <v>4.6948356807511742E-2</v>
      </c>
      <c r="AT989" s="56">
        <f t="shared" si="919"/>
        <v>0.23474178403755869</v>
      </c>
      <c r="AU989" s="56">
        <f t="shared" si="890"/>
        <v>0.176056338028169</v>
      </c>
      <c r="AV989" s="56">
        <f t="shared" si="920"/>
        <v>5.8685446009389672E-2</v>
      </c>
      <c r="AW989" s="57"/>
      <c r="AX989" s="57"/>
      <c r="AY989" s="57"/>
      <c r="AZ989" s="58">
        <f t="shared" si="921"/>
        <v>0</v>
      </c>
      <c r="BA989" s="59">
        <f t="shared" si="922"/>
        <v>0</v>
      </c>
      <c r="BB989" s="59">
        <f t="shared" si="923"/>
        <v>0</v>
      </c>
      <c r="BC989" s="59">
        <f t="shared" si="924"/>
        <v>0</v>
      </c>
      <c r="BD989" s="60">
        <f t="shared" si="925"/>
        <v>0</v>
      </c>
      <c r="BE989" s="59">
        <f t="shared" si="926"/>
        <v>0</v>
      </c>
      <c r="BQ989" s="61">
        <v>3000</v>
      </c>
      <c r="BR989" s="61">
        <v>1200</v>
      </c>
      <c r="BS989" s="28">
        <f t="shared" si="891"/>
        <v>2980</v>
      </c>
      <c r="BT989" s="28">
        <f t="shared" si="892"/>
        <v>1180</v>
      </c>
      <c r="BU989" s="28" t="s">
        <v>2541</v>
      </c>
      <c r="BV989" s="28">
        <f t="shared" si="893"/>
        <v>5</v>
      </c>
      <c r="BW989" s="28">
        <f t="shared" si="894"/>
        <v>5</v>
      </c>
      <c r="BX989" s="13">
        <f t="shared" si="895"/>
        <v>596</v>
      </c>
      <c r="BY989" s="13">
        <f t="shared" si="896"/>
        <v>596</v>
      </c>
      <c r="BZ989" s="13">
        <f t="shared" si="897"/>
        <v>236</v>
      </c>
      <c r="CA989" s="13">
        <f t="shared" si="898"/>
        <v>236</v>
      </c>
      <c r="CB989" s="13">
        <f t="shared" si="899"/>
        <v>140656</v>
      </c>
      <c r="CC989" s="62" t="str">
        <f t="shared" si="900"/>
        <v/>
      </c>
      <c r="CD989" s="13">
        <f t="shared" si="901"/>
        <v>596</v>
      </c>
      <c r="CE989" s="13">
        <f t="shared" si="902"/>
        <v>596</v>
      </c>
      <c r="CF989" s="13">
        <f t="shared" si="903"/>
        <v>236</v>
      </c>
      <c r="CG989" s="13">
        <f t="shared" si="904"/>
        <v>236</v>
      </c>
      <c r="CH989" s="28">
        <f t="shared" si="905"/>
        <v>140656</v>
      </c>
      <c r="CI989" s="62" t="str">
        <f t="shared" si="906"/>
        <v/>
      </c>
      <c r="CJ989" s="59">
        <f t="shared" si="907"/>
        <v>0</v>
      </c>
      <c r="CL989" s="63">
        <v>6000</v>
      </c>
      <c r="CM989" s="63">
        <f t="shared" si="908"/>
        <v>0</v>
      </c>
      <c r="CN989" s="63">
        <f t="shared" si="909"/>
        <v>5</v>
      </c>
      <c r="CO989" s="63">
        <f t="shared" si="910"/>
        <v>1200</v>
      </c>
      <c r="CP989" s="13">
        <f t="shared" si="911"/>
        <v>1200</v>
      </c>
      <c r="CQ989" s="70">
        <f t="shared" si="912"/>
        <v>8.3333333333333339E-4</v>
      </c>
      <c r="CR989" s="69">
        <f t="shared" si="875"/>
        <v>8.3333333333333339E-4</v>
      </c>
    </row>
    <row r="990" spans="1:96" hidden="1" x14ac:dyDescent="0.25">
      <c r="A990" s="17">
        <v>5</v>
      </c>
      <c r="B990" s="6" t="s">
        <v>769</v>
      </c>
      <c r="C990" s="17" t="s">
        <v>534</v>
      </c>
      <c r="D990" s="17" t="s">
        <v>2270</v>
      </c>
      <c r="E990" s="17" t="s">
        <v>52</v>
      </c>
      <c r="F990" s="7">
        <f t="shared" si="881"/>
        <v>21</v>
      </c>
      <c r="G990" s="17">
        <v>1</v>
      </c>
      <c r="H990" s="17">
        <f>G990*$H$989</f>
        <v>1</v>
      </c>
      <c r="I990" s="17">
        <v>1</v>
      </c>
      <c r="J990" s="6" t="s">
        <v>101</v>
      </c>
      <c r="K990" s="6" t="s">
        <v>34</v>
      </c>
      <c r="L990" s="17" t="s">
        <v>110</v>
      </c>
      <c r="M990" s="6" t="s">
        <v>35</v>
      </c>
      <c r="N990" s="17" t="s">
        <v>535</v>
      </c>
      <c r="O990" s="28" t="s">
        <v>41</v>
      </c>
      <c r="P990" s="28" t="s">
        <v>41</v>
      </c>
      <c r="Q990" s="28" t="s">
        <v>535</v>
      </c>
      <c r="R990" s="30">
        <v>0.98</v>
      </c>
      <c r="S990" s="30">
        <v>0.98</v>
      </c>
      <c r="T990" s="30"/>
      <c r="U990" s="30">
        <v>0.11811023622047245</v>
      </c>
      <c r="V990" s="8">
        <f t="shared" si="882"/>
        <v>24.891999999999999</v>
      </c>
      <c r="W990" s="8">
        <f t="shared" si="883"/>
        <v>24.891999999999999</v>
      </c>
      <c r="X990" s="8">
        <f t="shared" si="884"/>
        <v>0</v>
      </c>
      <c r="Y990" s="33">
        <f t="shared" si="885"/>
        <v>3</v>
      </c>
      <c r="Z990" s="28" t="s">
        <v>536</v>
      </c>
      <c r="AA990" s="28" t="s">
        <v>537</v>
      </c>
      <c r="AB990" s="61" t="s">
        <v>535</v>
      </c>
      <c r="AC990" s="31" t="s">
        <v>538</v>
      </c>
      <c r="AD990" s="50">
        <f t="shared" si="886"/>
        <v>1</v>
      </c>
      <c r="AE990" s="31"/>
      <c r="AF990" s="51">
        <v>14</v>
      </c>
      <c r="AG990" s="51">
        <f t="shared" si="913"/>
        <v>8.4</v>
      </c>
      <c r="AH990" s="51">
        <f t="shared" si="880"/>
        <v>42</v>
      </c>
      <c r="AI990" s="52" t="s">
        <v>2497</v>
      </c>
      <c r="AJ990" s="52" t="s">
        <v>2498</v>
      </c>
      <c r="AK990" s="53">
        <f t="shared" si="914"/>
        <v>1.239223328E-3</v>
      </c>
      <c r="AL990" s="54">
        <f t="shared" si="915"/>
        <v>0.11904761904761904</v>
      </c>
      <c r="AM990" s="54">
        <f t="shared" si="916"/>
        <v>2.3809523809523808E-2</v>
      </c>
      <c r="AN990" s="55">
        <f t="shared" si="917"/>
        <v>1.4752658666666667E-4</v>
      </c>
      <c r="AO990" s="55">
        <f t="shared" si="918"/>
        <v>2.9505317333333333E-5</v>
      </c>
      <c r="AP990" s="53">
        <v>7.1</v>
      </c>
      <c r="AQ990" s="53">
        <f t="shared" si="887"/>
        <v>4.26</v>
      </c>
      <c r="AR990" s="53">
        <f t="shared" si="888"/>
        <v>21.299999999999997</v>
      </c>
      <c r="AS990" s="56">
        <f t="shared" si="889"/>
        <v>4.6948356807511742E-2</v>
      </c>
      <c r="AT990" s="56">
        <f t="shared" si="919"/>
        <v>0.23474178403755869</v>
      </c>
      <c r="AU990" s="56">
        <f t="shared" si="890"/>
        <v>0.176056338028169</v>
      </c>
      <c r="AV990" s="56">
        <f t="shared" si="920"/>
        <v>5.8685446009389672E-2</v>
      </c>
      <c r="AW990" s="57"/>
      <c r="AX990" s="57"/>
      <c r="AY990" s="57"/>
      <c r="AZ990" s="58">
        <f t="shared" si="921"/>
        <v>1.239223328E-3</v>
      </c>
      <c r="BA990" s="59">
        <f t="shared" si="922"/>
        <v>0</v>
      </c>
      <c r="BB990" s="59">
        <f t="shared" si="923"/>
        <v>0</v>
      </c>
      <c r="BC990" s="59">
        <f t="shared" si="924"/>
        <v>0</v>
      </c>
      <c r="BD990" s="60">
        <f t="shared" si="925"/>
        <v>2.5900025900025902E-4</v>
      </c>
      <c r="BE990" s="59">
        <f t="shared" si="926"/>
        <v>2.5900025900025902E-4</v>
      </c>
      <c r="BQ990" s="61">
        <v>3000</v>
      </c>
      <c r="BR990" s="61">
        <v>1200</v>
      </c>
      <c r="BS990" s="28">
        <f t="shared" si="891"/>
        <v>2980</v>
      </c>
      <c r="BT990" s="28">
        <f t="shared" si="892"/>
        <v>1180</v>
      </c>
      <c r="BU990" s="28" t="s">
        <v>2541</v>
      </c>
      <c r="BV990" s="28">
        <f t="shared" si="893"/>
        <v>29.891999999999999</v>
      </c>
      <c r="BW990" s="28">
        <f t="shared" si="894"/>
        <v>29.891999999999999</v>
      </c>
      <c r="BX990" s="13">
        <f t="shared" si="895"/>
        <v>99.692225344573799</v>
      </c>
      <c r="BY990" s="13">
        <f t="shared" si="896"/>
        <v>99</v>
      </c>
      <c r="BZ990" s="13">
        <f t="shared" si="897"/>
        <v>39.475444935099695</v>
      </c>
      <c r="CA990" s="13">
        <f t="shared" si="898"/>
        <v>39</v>
      </c>
      <c r="CB990" s="13">
        <f t="shared" si="899"/>
        <v>3861</v>
      </c>
      <c r="CC990" s="62">
        <f t="shared" si="900"/>
        <v>2.5900025900025902E-4</v>
      </c>
      <c r="CD990" s="13">
        <f t="shared" si="901"/>
        <v>99.692225344573799</v>
      </c>
      <c r="CE990" s="13">
        <f t="shared" si="902"/>
        <v>99</v>
      </c>
      <c r="CF990" s="13">
        <f t="shared" si="903"/>
        <v>39.475444935099695</v>
      </c>
      <c r="CG990" s="13">
        <f t="shared" si="904"/>
        <v>39</v>
      </c>
      <c r="CH990" s="28">
        <f t="shared" si="905"/>
        <v>3861</v>
      </c>
      <c r="CI990" s="62">
        <f t="shared" si="906"/>
        <v>2.5900025900025902E-4</v>
      </c>
      <c r="CJ990" s="59">
        <f t="shared" si="907"/>
        <v>2.5900025900025902E-4</v>
      </c>
      <c r="CL990" s="63">
        <v>6000</v>
      </c>
      <c r="CM990" s="63">
        <f t="shared" si="908"/>
        <v>24.891999999999999</v>
      </c>
      <c r="CN990" s="63">
        <f t="shared" si="909"/>
        <v>29.891999999999999</v>
      </c>
      <c r="CO990" s="63">
        <f t="shared" si="910"/>
        <v>200.72260136491369</v>
      </c>
      <c r="CP990" s="13">
        <f t="shared" si="911"/>
        <v>200</v>
      </c>
      <c r="CQ990" s="70">
        <f t="shared" si="912"/>
        <v>5.0000000000000001E-3</v>
      </c>
      <c r="CR990" s="69">
        <f t="shared" si="875"/>
        <v>5.0000000000000001E-3</v>
      </c>
    </row>
    <row r="991" spans="1:96" hidden="1" x14ac:dyDescent="0.25">
      <c r="A991" s="17">
        <v>5</v>
      </c>
      <c r="B991" s="6" t="s">
        <v>769</v>
      </c>
      <c r="C991" s="17" t="s">
        <v>539</v>
      </c>
      <c r="D991" s="17" t="s">
        <v>2270</v>
      </c>
      <c r="E991" s="17" t="s">
        <v>52</v>
      </c>
      <c r="F991" s="7">
        <f t="shared" si="881"/>
        <v>21</v>
      </c>
      <c r="G991" s="17">
        <v>1</v>
      </c>
      <c r="H991" s="17">
        <f>G991*$H$989</f>
        <v>1</v>
      </c>
      <c r="I991" s="17">
        <v>2</v>
      </c>
      <c r="J991" s="6" t="s">
        <v>101</v>
      </c>
      <c r="K991" s="6" t="s">
        <v>34</v>
      </c>
      <c r="L991" s="17" t="s">
        <v>110</v>
      </c>
      <c r="M991" s="6" t="s">
        <v>35</v>
      </c>
      <c r="N991" s="17" t="s">
        <v>540</v>
      </c>
      <c r="O991" s="28" t="s">
        <v>41</v>
      </c>
      <c r="P991" s="28" t="s">
        <v>41</v>
      </c>
      <c r="Q991" s="28" t="s">
        <v>540</v>
      </c>
      <c r="R991" s="30">
        <v>0.98</v>
      </c>
      <c r="S991" s="30">
        <v>0.98</v>
      </c>
      <c r="T991" s="30"/>
      <c r="U991" s="30">
        <v>0.47244094488188981</v>
      </c>
      <c r="V991" s="8">
        <f t="shared" si="882"/>
        <v>24.891999999999999</v>
      </c>
      <c r="W991" s="8">
        <f t="shared" si="883"/>
        <v>24.891999999999999</v>
      </c>
      <c r="X991" s="8">
        <f t="shared" si="884"/>
        <v>0</v>
      </c>
      <c r="Y991" s="33">
        <f t="shared" si="885"/>
        <v>12</v>
      </c>
      <c r="Z991" s="28" t="s">
        <v>731</v>
      </c>
      <c r="AA991" s="28" t="s">
        <v>251</v>
      </c>
      <c r="AB991" s="61" t="s">
        <v>540</v>
      </c>
      <c r="AC991" s="31" t="s">
        <v>541</v>
      </c>
      <c r="AD991" s="50">
        <f t="shared" si="886"/>
        <v>1</v>
      </c>
      <c r="AE991" s="31"/>
      <c r="AF991" s="51">
        <v>14</v>
      </c>
      <c r="AG991" s="51">
        <f t="shared" si="913"/>
        <v>8.4</v>
      </c>
      <c r="AH991" s="51">
        <f t="shared" si="880"/>
        <v>42</v>
      </c>
      <c r="AI991" s="52" t="s">
        <v>2497</v>
      </c>
      <c r="AJ991" s="52" t="s">
        <v>2498</v>
      </c>
      <c r="AK991" s="53">
        <f t="shared" si="914"/>
        <v>1.239223328E-3</v>
      </c>
      <c r="AL991" s="54">
        <f t="shared" si="915"/>
        <v>0.11904761904761904</v>
      </c>
      <c r="AM991" s="54">
        <f t="shared" si="916"/>
        <v>2.3809523809523808E-2</v>
      </c>
      <c r="AN991" s="55">
        <f t="shared" si="917"/>
        <v>1.4752658666666667E-4</v>
      </c>
      <c r="AO991" s="55">
        <f t="shared" si="918"/>
        <v>2.9505317333333333E-5</v>
      </c>
      <c r="AP991" s="53">
        <v>7.1</v>
      </c>
      <c r="AQ991" s="53">
        <f t="shared" si="887"/>
        <v>4.26</v>
      </c>
      <c r="AR991" s="53">
        <f t="shared" si="888"/>
        <v>21.299999999999997</v>
      </c>
      <c r="AS991" s="56">
        <f t="shared" si="889"/>
        <v>4.6948356807511742E-2</v>
      </c>
      <c r="AT991" s="56">
        <f t="shared" si="919"/>
        <v>0.23474178403755869</v>
      </c>
      <c r="AU991" s="56">
        <f t="shared" si="890"/>
        <v>0.176056338028169</v>
      </c>
      <c r="AV991" s="56">
        <f t="shared" si="920"/>
        <v>5.8685446009389672E-2</v>
      </c>
      <c r="AW991" s="57"/>
      <c r="AX991" s="57"/>
      <c r="AY991" s="57"/>
      <c r="AZ991" s="58">
        <f t="shared" si="921"/>
        <v>1.239223328E-3</v>
      </c>
      <c r="BA991" s="59">
        <f t="shared" si="922"/>
        <v>0</v>
      </c>
      <c r="BB991" s="59">
        <f t="shared" si="923"/>
        <v>0</v>
      </c>
      <c r="BC991" s="59">
        <f t="shared" si="924"/>
        <v>0</v>
      </c>
      <c r="BD991" s="60">
        <f t="shared" si="925"/>
        <v>2.5900025900025902E-4</v>
      </c>
      <c r="BE991" s="59">
        <f t="shared" si="926"/>
        <v>2.5900025900025902E-4</v>
      </c>
      <c r="BQ991" s="61">
        <v>3000</v>
      </c>
      <c r="BR991" s="61">
        <v>1200</v>
      </c>
      <c r="BS991" s="28">
        <f t="shared" si="891"/>
        <v>2980</v>
      </c>
      <c r="BT991" s="28">
        <f t="shared" si="892"/>
        <v>1180</v>
      </c>
      <c r="BU991" s="28" t="s">
        <v>2541</v>
      </c>
      <c r="BV991" s="28">
        <f t="shared" si="893"/>
        <v>29.891999999999999</v>
      </c>
      <c r="BW991" s="28">
        <f t="shared" si="894"/>
        <v>29.891999999999999</v>
      </c>
      <c r="BX991" s="13">
        <f t="shared" si="895"/>
        <v>99.692225344573799</v>
      </c>
      <c r="BY991" s="13">
        <f t="shared" si="896"/>
        <v>99</v>
      </c>
      <c r="BZ991" s="13">
        <f t="shared" si="897"/>
        <v>39.475444935099695</v>
      </c>
      <c r="CA991" s="13">
        <f t="shared" si="898"/>
        <v>39</v>
      </c>
      <c r="CB991" s="13">
        <f t="shared" si="899"/>
        <v>3861</v>
      </c>
      <c r="CC991" s="62">
        <f t="shared" si="900"/>
        <v>2.5900025900025902E-4</v>
      </c>
      <c r="CD991" s="13">
        <f t="shared" si="901"/>
        <v>99.692225344573799</v>
      </c>
      <c r="CE991" s="13">
        <f t="shared" si="902"/>
        <v>99</v>
      </c>
      <c r="CF991" s="13">
        <f t="shared" si="903"/>
        <v>39.475444935099695</v>
      </c>
      <c r="CG991" s="13">
        <f t="shared" si="904"/>
        <v>39</v>
      </c>
      <c r="CH991" s="28">
        <f t="shared" si="905"/>
        <v>3861</v>
      </c>
      <c r="CI991" s="62">
        <f t="shared" si="906"/>
        <v>2.5900025900025902E-4</v>
      </c>
      <c r="CJ991" s="59">
        <f t="shared" si="907"/>
        <v>2.5900025900025902E-4</v>
      </c>
      <c r="CL991" s="63">
        <v>6000</v>
      </c>
      <c r="CM991" s="63">
        <f t="shared" si="908"/>
        <v>24.891999999999999</v>
      </c>
      <c r="CN991" s="63">
        <f t="shared" si="909"/>
        <v>29.891999999999999</v>
      </c>
      <c r="CO991" s="63">
        <f t="shared" si="910"/>
        <v>200.72260136491369</v>
      </c>
      <c r="CP991" s="13">
        <f t="shared" si="911"/>
        <v>200</v>
      </c>
      <c r="CQ991" s="70">
        <f t="shared" si="912"/>
        <v>5.0000000000000001E-3</v>
      </c>
      <c r="CR991" s="69">
        <f t="shared" si="875"/>
        <v>5.0000000000000001E-3</v>
      </c>
    </row>
    <row r="992" spans="1:96" hidden="1" x14ac:dyDescent="0.25">
      <c r="A992" s="13">
        <v>4</v>
      </c>
      <c r="B992" s="14" t="s">
        <v>2107</v>
      </c>
      <c r="C992" s="13" t="s">
        <v>1939</v>
      </c>
      <c r="D992" s="13" t="s">
        <v>2270</v>
      </c>
      <c r="E992" s="13" t="s">
        <v>52</v>
      </c>
      <c r="F992" s="15">
        <f t="shared" si="881"/>
        <v>4</v>
      </c>
      <c r="G992" s="13">
        <v>1</v>
      </c>
      <c r="H992" s="13">
        <f t="shared" ref="H992:H993" si="929">G992*$H$987</f>
        <v>1</v>
      </c>
      <c r="I992" s="13">
        <v>5</v>
      </c>
      <c r="J992" s="14" t="s">
        <v>1940</v>
      </c>
      <c r="K992" s="14" t="s">
        <v>34</v>
      </c>
      <c r="L992" s="13">
        <v>0</v>
      </c>
      <c r="M992" s="14" t="s">
        <v>35</v>
      </c>
      <c r="N992" s="13" t="s">
        <v>1941</v>
      </c>
      <c r="O992" s="28"/>
      <c r="P992" s="28"/>
      <c r="Q992" s="28" t="s">
        <v>124</v>
      </c>
      <c r="R992" s="30">
        <v>53.700787401574807</v>
      </c>
      <c r="S992" s="30">
        <v>2.7165354330708662</v>
      </c>
      <c r="T992" s="30"/>
      <c r="U992" s="30">
        <v>9.8425196850393706E-2</v>
      </c>
      <c r="V992" s="8">
        <f t="shared" si="882"/>
        <v>1364</v>
      </c>
      <c r="W992" s="8">
        <f t="shared" si="883"/>
        <v>69</v>
      </c>
      <c r="X992" s="8">
        <f t="shared" si="884"/>
        <v>0</v>
      </c>
      <c r="Y992" s="33">
        <f t="shared" si="885"/>
        <v>2.5</v>
      </c>
      <c r="Z992" s="28" t="s">
        <v>56</v>
      </c>
      <c r="AA992" s="28" t="s">
        <v>57</v>
      </c>
      <c r="AB992" s="61" t="s">
        <v>124</v>
      </c>
      <c r="AC992" s="31" t="s">
        <v>125</v>
      </c>
      <c r="AD992" s="50">
        <f t="shared" si="886"/>
        <v>1</v>
      </c>
      <c r="AE992" s="31"/>
      <c r="AF992" s="51">
        <v>14</v>
      </c>
      <c r="AG992" s="51">
        <f t="shared" si="913"/>
        <v>8.4</v>
      </c>
      <c r="AH992" s="51">
        <f t="shared" si="880"/>
        <v>42</v>
      </c>
      <c r="AI992" s="52" t="s">
        <v>2497</v>
      </c>
      <c r="AJ992" s="52" t="s">
        <v>2498</v>
      </c>
      <c r="AK992" s="53">
        <f t="shared" si="914"/>
        <v>0.18823200000000001</v>
      </c>
      <c r="AL992" s="54">
        <f t="shared" si="915"/>
        <v>0.11904761904761904</v>
      </c>
      <c r="AM992" s="54">
        <f t="shared" si="916"/>
        <v>2.3809523809523808E-2</v>
      </c>
      <c r="AN992" s="55">
        <f t="shared" si="917"/>
        <v>2.2408571428571427E-2</v>
      </c>
      <c r="AO992" s="55">
        <f t="shared" si="918"/>
        <v>4.4817142857142859E-3</v>
      </c>
      <c r="AP992" s="53">
        <v>7.1</v>
      </c>
      <c r="AQ992" s="53">
        <f t="shared" si="887"/>
        <v>4.26</v>
      </c>
      <c r="AR992" s="53">
        <f t="shared" si="888"/>
        <v>21.299999999999997</v>
      </c>
      <c r="AS992" s="56">
        <f t="shared" si="889"/>
        <v>4.6948356807511742E-2</v>
      </c>
      <c r="AT992" s="56">
        <f t="shared" si="919"/>
        <v>0.23474178403755869</v>
      </c>
      <c r="AU992" s="56">
        <f t="shared" si="890"/>
        <v>0.176056338028169</v>
      </c>
      <c r="AV992" s="56">
        <f t="shared" si="920"/>
        <v>5.8685446009389672E-2</v>
      </c>
      <c r="AW992" s="57"/>
      <c r="AX992" s="57"/>
      <c r="AY992" s="57"/>
      <c r="AZ992" s="58">
        <f t="shared" si="921"/>
        <v>0.18823200000000001</v>
      </c>
      <c r="BA992" s="59">
        <f t="shared" si="922"/>
        <v>0</v>
      </c>
      <c r="BB992" s="59">
        <f t="shared" si="923"/>
        <v>0</v>
      </c>
      <c r="BC992" s="59">
        <f t="shared" si="924"/>
        <v>0</v>
      </c>
      <c r="BD992" s="60">
        <f t="shared" si="925"/>
        <v>3.3333333333333333E-2</v>
      </c>
      <c r="BE992" s="59">
        <f t="shared" si="926"/>
        <v>3.3333333333333333E-2</v>
      </c>
      <c r="BQ992" s="61">
        <v>3000</v>
      </c>
      <c r="BR992" s="61">
        <v>1200</v>
      </c>
      <c r="BS992" s="28">
        <f t="shared" si="891"/>
        <v>2980</v>
      </c>
      <c r="BT992" s="28">
        <f t="shared" si="892"/>
        <v>1180</v>
      </c>
      <c r="BU992" s="28" t="s">
        <v>2541</v>
      </c>
      <c r="BV992" s="28">
        <f t="shared" si="893"/>
        <v>1369</v>
      </c>
      <c r="BW992" s="28">
        <f t="shared" si="894"/>
        <v>74</v>
      </c>
      <c r="BX992" s="13">
        <f t="shared" si="895"/>
        <v>2.1767713659605552</v>
      </c>
      <c r="BY992" s="13">
        <f t="shared" si="896"/>
        <v>2</v>
      </c>
      <c r="BZ992" s="13">
        <f t="shared" si="897"/>
        <v>15.945945945945946</v>
      </c>
      <c r="CA992" s="13">
        <f t="shared" si="898"/>
        <v>15</v>
      </c>
      <c r="CB992" s="13">
        <f t="shared" si="899"/>
        <v>30</v>
      </c>
      <c r="CC992" s="62">
        <f t="shared" si="900"/>
        <v>3.3333333333333333E-2</v>
      </c>
      <c r="CD992" s="13">
        <f t="shared" si="901"/>
        <v>40.270270270270274</v>
      </c>
      <c r="CE992" s="13">
        <f t="shared" si="902"/>
        <v>40</v>
      </c>
      <c r="CF992" s="13">
        <f t="shared" si="903"/>
        <v>0.86194302410518631</v>
      </c>
      <c r="CG992" s="13">
        <f t="shared" si="904"/>
        <v>0</v>
      </c>
      <c r="CH992" s="28">
        <f t="shared" si="905"/>
        <v>0</v>
      </c>
      <c r="CI992" s="62">
        <f t="shared" si="906"/>
        <v>1</v>
      </c>
      <c r="CJ992" s="59">
        <f t="shared" si="907"/>
        <v>3.3333333333333333E-2</v>
      </c>
      <c r="CL992" s="63">
        <v>6000</v>
      </c>
      <c r="CM992" s="63">
        <f t="shared" si="908"/>
        <v>1364</v>
      </c>
      <c r="CN992" s="63">
        <f t="shared" si="909"/>
        <v>1369</v>
      </c>
      <c r="CO992" s="63">
        <f t="shared" si="910"/>
        <v>4.3827611395178963</v>
      </c>
      <c r="CP992" s="13">
        <f t="shared" si="911"/>
        <v>4</v>
      </c>
      <c r="CQ992" s="70">
        <f t="shared" si="912"/>
        <v>0.25</v>
      </c>
      <c r="CR992" s="69">
        <f t="shared" si="875"/>
        <v>0.25</v>
      </c>
    </row>
    <row r="993" spans="1:96" hidden="1" x14ac:dyDescent="0.25">
      <c r="A993" s="13">
        <v>4</v>
      </c>
      <c r="B993" s="14" t="s">
        <v>2107</v>
      </c>
      <c r="C993" s="13" t="s">
        <v>2108</v>
      </c>
      <c r="D993" s="13" t="s">
        <v>2270</v>
      </c>
      <c r="E993" s="13" t="s">
        <v>32</v>
      </c>
      <c r="F993" s="15">
        <f t="shared" si="881"/>
        <v>1</v>
      </c>
      <c r="G993" s="13">
        <v>1</v>
      </c>
      <c r="H993" s="13">
        <f t="shared" si="929"/>
        <v>1</v>
      </c>
      <c r="I993" s="13">
        <v>10</v>
      </c>
      <c r="J993" s="14" t="s">
        <v>1867</v>
      </c>
      <c r="K993" s="14" t="s">
        <v>34</v>
      </c>
      <c r="L993" s="13">
        <v>0</v>
      </c>
      <c r="M993" s="14" t="s">
        <v>35</v>
      </c>
      <c r="N993" s="13" t="s">
        <v>2109</v>
      </c>
      <c r="O993" s="28"/>
      <c r="P993" s="28"/>
      <c r="Q993" s="28"/>
      <c r="R993" s="30"/>
      <c r="S993" s="30"/>
      <c r="T993" s="30"/>
      <c r="U993" s="30"/>
      <c r="V993" s="8">
        <f t="shared" si="882"/>
        <v>0</v>
      </c>
      <c r="W993" s="8">
        <f t="shared" si="883"/>
        <v>0</v>
      </c>
      <c r="X993" s="8">
        <f t="shared" si="884"/>
        <v>0</v>
      </c>
      <c r="Y993" s="33">
        <f t="shared" si="885"/>
        <v>0</v>
      </c>
      <c r="Z993" s="28"/>
      <c r="AA993" s="28"/>
      <c r="AB993" s="28">
        <v>0</v>
      </c>
      <c r="AC993" s="31"/>
      <c r="AD993" s="50">
        <f t="shared" si="886"/>
        <v>1</v>
      </c>
      <c r="AE993" s="31"/>
      <c r="AF993" s="51">
        <v>14</v>
      </c>
      <c r="AG993" s="51">
        <f t="shared" si="913"/>
        <v>8.4</v>
      </c>
      <c r="AH993" s="51">
        <f t="shared" si="880"/>
        <v>42</v>
      </c>
      <c r="AI993" s="52" t="s">
        <v>2497</v>
      </c>
      <c r="AJ993" s="52" t="s">
        <v>2498</v>
      </c>
      <c r="AK993" s="53">
        <f t="shared" si="914"/>
        <v>0</v>
      </c>
      <c r="AL993" s="54">
        <f t="shared" si="915"/>
        <v>0.11904761904761904</v>
      </c>
      <c r="AM993" s="54">
        <f t="shared" si="916"/>
        <v>2.3809523809523808E-2</v>
      </c>
      <c r="AN993" s="55">
        <f t="shared" si="917"/>
        <v>0</v>
      </c>
      <c r="AO993" s="55">
        <f t="shared" si="918"/>
        <v>0</v>
      </c>
      <c r="AP993" s="53">
        <v>7.1</v>
      </c>
      <c r="AQ993" s="53">
        <f t="shared" si="887"/>
        <v>4.26</v>
      </c>
      <c r="AR993" s="53">
        <f t="shared" si="888"/>
        <v>21.299999999999997</v>
      </c>
      <c r="AS993" s="56">
        <f t="shared" si="889"/>
        <v>4.6948356807511742E-2</v>
      </c>
      <c r="AT993" s="56">
        <f t="shared" si="919"/>
        <v>0.23474178403755869</v>
      </c>
      <c r="AU993" s="56">
        <f t="shared" si="890"/>
        <v>0.176056338028169</v>
      </c>
      <c r="AV993" s="56">
        <f t="shared" si="920"/>
        <v>5.8685446009389672E-2</v>
      </c>
      <c r="AW993" s="57"/>
      <c r="AX993" s="57"/>
      <c r="AY993" s="57"/>
      <c r="AZ993" s="58">
        <f t="shared" si="921"/>
        <v>0</v>
      </c>
      <c r="BA993" s="59">
        <f t="shared" si="922"/>
        <v>0</v>
      </c>
      <c r="BB993" s="59">
        <f t="shared" si="923"/>
        <v>0</v>
      </c>
      <c r="BC993" s="59">
        <f t="shared" si="924"/>
        <v>0</v>
      </c>
      <c r="BD993" s="60">
        <f t="shared" si="925"/>
        <v>0</v>
      </c>
      <c r="BE993" s="59">
        <f t="shared" si="926"/>
        <v>0</v>
      </c>
      <c r="BQ993" s="61">
        <v>3000</v>
      </c>
      <c r="BR993" s="61">
        <v>1200</v>
      </c>
      <c r="BS993" s="28">
        <f t="shared" si="891"/>
        <v>2980</v>
      </c>
      <c r="BT993" s="28">
        <f t="shared" si="892"/>
        <v>1180</v>
      </c>
      <c r="BU993" s="28" t="s">
        <v>2541</v>
      </c>
      <c r="BV993" s="28">
        <f t="shared" si="893"/>
        <v>5</v>
      </c>
      <c r="BW993" s="28">
        <f t="shared" si="894"/>
        <v>5</v>
      </c>
      <c r="BX993" s="13">
        <f t="shared" si="895"/>
        <v>596</v>
      </c>
      <c r="BY993" s="13">
        <f t="shared" si="896"/>
        <v>596</v>
      </c>
      <c r="BZ993" s="13">
        <f t="shared" si="897"/>
        <v>236</v>
      </c>
      <c r="CA993" s="13">
        <f t="shared" si="898"/>
        <v>236</v>
      </c>
      <c r="CB993" s="13">
        <f t="shared" si="899"/>
        <v>140656</v>
      </c>
      <c r="CC993" s="62" t="str">
        <f t="shared" si="900"/>
        <v/>
      </c>
      <c r="CD993" s="13">
        <f t="shared" si="901"/>
        <v>596</v>
      </c>
      <c r="CE993" s="13">
        <f t="shared" si="902"/>
        <v>596</v>
      </c>
      <c r="CF993" s="13">
        <f t="shared" si="903"/>
        <v>236</v>
      </c>
      <c r="CG993" s="13">
        <f t="shared" si="904"/>
        <v>236</v>
      </c>
      <c r="CH993" s="28">
        <f t="shared" si="905"/>
        <v>140656</v>
      </c>
      <c r="CI993" s="62" t="str">
        <f t="shared" si="906"/>
        <v/>
      </c>
      <c r="CJ993" s="59">
        <f t="shared" si="907"/>
        <v>0</v>
      </c>
      <c r="CL993" s="63">
        <v>6000</v>
      </c>
      <c r="CM993" s="63">
        <f t="shared" si="908"/>
        <v>0</v>
      </c>
      <c r="CN993" s="63">
        <f t="shared" si="909"/>
        <v>5</v>
      </c>
      <c r="CO993" s="63">
        <f t="shared" si="910"/>
        <v>1200</v>
      </c>
      <c r="CP993" s="13">
        <f t="shared" si="911"/>
        <v>1200</v>
      </c>
      <c r="CQ993" s="70">
        <f t="shared" si="912"/>
        <v>8.3333333333333339E-4</v>
      </c>
      <c r="CR993" s="69">
        <f t="shared" si="875"/>
        <v>8.3333333333333339E-4</v>
      </c>
    </row>
    <row r="994" spans="1:96" hidden="1" x14ac:dyDescent="0.25">
      <c r="A994" s="17">
        <v>5</v>
      </c>
      <c r="B994" s="6" t="s">
        <v>2110</v>
      </c>
      <c r="C994" s="17" t="s">
        <v>2111</v>
      </c>
      <c r="D994" s="17" t="s">
        <v>2270</v>
      </c>
      <c r="E994" s="17" t="s">
        <v>52</v>
      </c>
      <c r="F994" s="7">
        <f t="shared" si="881"/>
        <v>1</v>
      </c>
      <c r="G994" s="17">
        <v>1</v>
      </c>
      <c r="H994" s="17">
        <f>G994*$H$993</f>
        <v>1</v>
      </c>
      <c r="I994" s="17">
        <v>1</v>
      </c>
      <c r="J994" s="6" t="s">
        <v>1892</v>
      </c>
      <c r="K994" s="6" t="s">
        <v>34</v>
      </c>
      <c r="L994" s="17">
        <v>0</v>
      </c>
      <c r="M994" s="6" t="s">
        <v>35</v>
      </c>
      <c r="N994" s="17" t="s">
        <v>2112</v>
      </c>
      <c r="O994" s="28"/>
      <c r="P994" s="28"/>
      <c r="Q994" s="28" t="s">
        <v>505</v>
      </c>
      <c r="R994" s="30">
        <v>56.912999999999997</v>
      </c>
      <c r="S994" s="30">
        <v>17.199000000000002</v>
      </c>
      <c r="T994" s="30"/>
      <c r="U994" s="30">
        <v>0.06</v>
      </c>
      <c r="V994" s="8">
        <f t="shared" si="882"/>
        <v>1445.5901999999999</v>
      </c>
      <c r="W994" s="8">
        <f t="shared" si="883"/>
        <v>436.8546</v>
      </c>
      <c r="X994" s="8">
        <f t="shared" si="884"/>
        <v>0</v>
      </c>
      <c r="Y994" s="33">
        <f t="shared" si="885"/>
        <v>1.5239999999999998</v>
      </c>
      <c r="Z994" s="28" t="s">
        <v>56</v>
      </c>
      <c r="AA994" s="28" t="s">
        <v>1765</v>
      </c>
      <c r="AB994" s="61" t="s">
        <v>505</v>
      </c>
      <c r="AC994" s="31" t="s">
        <v>506</v>
      </c>
      <c r="AD994" s="50">
        <f t="shared" si="886"/>
        <v>1</v>
      </c>
      <c r="AE994" s="31"/>
      <c r="AF994" s="51">
        <v>14</v>
      </c>
      <c r="AG994" s="51">
        <f t="shared" si="913"/>
        <v>8.4</v>
      </c>
      <c r="AH994" s="51">
        <f t="shared" si="880"/>
        <v>42</v>
      </c>
      <c r="AI994" s="52" t="s">
        <v>2497</v>
      </c>
      <c r="AJ994" s="52" t="s">
        <v>2498</v>
      </c>
      <c r="AK994" s="53">
        <f t="shared" si="914"/>
        <v>1.2630254571698398</v>
      </c>
      <c r="AL994" s="54">
        <f t="shared" si="915"/>
        <v>0.11904761904761904</v>
      </c>
      <c r="AM994" s="54">
        <f t="shared" si="916"/>
        <v>2.3809523809523808E-2</v>
      </c>
      <c r="AN994" s="55">
        <f t="shared" si="917"/>
        <v>0.15036017347259997</v>
      </c>
      <c r="AO994" s="55">
        <f t="shared" si="918"/>
        <v>3.0072034694519995E-2</v>
      </c>
      <c r="AP994" s="53">
        <v>7.1</v>
      </c>
      <c r="AQ994" s="53">
        <f t="shared" si="887"/>
        <v>4.26</v>
      </c>
      <c r="AR994" s="53">
        <f t="shared" si="888"/>
        <v>21.299999999999997</v>
      </c>
      <c r="AS994" s="56">
        <f t="shared" si="889"/>
        <v>4.6948356807511742E-2</v>
      </c>
      <c r="AT994" s="56">
        <f t="shared" si="919"/>
        <v>0.23474178403755869</v>
      </c>
      <c r="AU994" s="56">
        <f t="shared" si="890"/>
        <v>0.176056338028169</v>
      </c>
      <c r="AV994" s="56">
        <f t="shared" si="920"/>
        <v>5.8685446009389672E-2</v>
      </c>
      <c r="AW994" s="57"/>
      <c r="AX994" s="57"/>
      <c r="AY994" s="57"/>
      <c r="AZ994" s="58">
        <f t="shared" si="921"/>
        <v>1.2630254571698398</v>
      </c>
      <c r="BA994" s="59">
        <f t="shared" si="922"/>
        <v>0</v>
      </c>
      <c r="BB994" s="59">
        <f t="shared" si="923"/>
        <v>0</v>
      </c>
      <c r="BC994" s="59">
        <f t="shared" si="924"/>
        <v>0</v>
      </c>
      <c r="BD994" s="60">
        <f t="shared" si="925"/>
        <v>0.25</v>
      </c>
      <c r="BE994" s="59">
        <f t="shared" si="926"/>
        <v>0.25</v>
      </c>
      <c r="BQ994" s="61">
        <v>3000</v>
      </c>
      <c r="BR994" s="61">
        <v>1200</v>
      </c>
      <c r="BS994" s="28">
        <f t="shared" si="891"/>
        <v>2980</v>
      </c>
      <c r="BT994" s="28">
        <f t="shared" si="892"/>
        <v>1180</v>
      </c>
      <c r="BU994" s="28" t="s">
        <v>2541</v>
      </c>
      <c r="BV994" s="28">
        <f t="shared" si="893"/>
        <v>1450.5901999999999</v>
      </c>
      <c r="BW994" s="28">
        <f t="shared" si="894"/>
        <v>441.8546</v>
      </c>
      <c r="BX994" s="13">
        <f t="shared" si="895"/>
        <v>2.0543362281090829</v>
      </c>
      <c r="BY994" s="13">
        <f t="shared" si="896"/>
        <v>2</v>
      </c>
      <c r="BZ994" s="13">
        <f t="shared" si="897"/>
        <v>2.6705617639829935</v>
      </c>
      <c r="CA994" s="13">
        <f t="shared" si="898"/>
        <v>2</v>
      </c>
      <c r="CB994" s="13">
        <f t="shared" si="899"/>
        <v>4</v>
      </c>
      <c r="CC994" s="62">
        <f t="shared" si="900"/>
        <v>0.25</v>
      </c>
      <c r="CD994" s="13">
        <f t="shared" si="901"/>
        <v>6.7443000480248481</v>
      </c>
      <c r="CE994" s="13">
        <f t="shared" si="902"/>
        <v>6</v>
      </c>
      <c r="CF994" s="13">
        <f t="shared" si="903"/>
        <v>0.81346199636534156</v>
      </c>
      <c r="CG994" s="13">
        <f t="shared" si="904"/>
        <v>0</v>
      </c>
      <c r="CH994" s="28">
        <f t="shared" si="905"/>
        <v>0</v>
      </c>
      <c r="CI994" s="62">
        <f t="shared" si="906"/>
        <v>1</v>
      </c>
      <c r="CJ994" s="59">
        <f t="shared" si="907"/>
        <v>0.25</v>
      </c>
      <c r="CL994" s="63">
        <v>6000</v>
      </c>
      <c r="CM994" s="63">
        <f t="shared" si="908"/>
        <v>1445.5901999999999</v>
      </c>
      <c r="CN994" s="63">
        <f t="shared" si="909"/>
        <v>1450.5901999999999</v>
      </c>
      <c r="CO994" s="63">
        <f t="shared" si="910"/>
        <v>4.1362474391458042</v>
      </c>
      <c r="CP994" s="13">
        <f t="shared" si="911"/>
        <v>4</v>
      </c>
      <c r="CQ994" s="70">
        <f t="shared" si="912"/>
        <v>0.25</v>
      </c>
      <c r="CR994" s="69">
        <f t="shared" si="875"/>
        <v>0.25</v>
      </c>
    </row>
    <row r="995" spans="1:96" hidden="1" x14ac:dyDescent="0.25">
      <c r="A995" s="17">
        <v>5</v>
      </c>
      <c r="B995" s="6" t="s">
        <v>2110</v>
      </c>
      <c r="C995" s="17" t="s">
        <v>1667</v>
      </c>
      <c r="D995" s="17" t="s">
        <v>1959</v>
      </c>
      <c r="E995" s="17" t="s">
        <v>52</v>
      </c>
      <c r="F995" s="7">
        <f t="shared" si="881"/>
        <v>8</v>
      </c>
      <c r="G995" s="17">
        <v>4</v>
      </c>
      <c r="H995" s="17">
        <f>G995*$H$993</f>
        <v>4</v>
      </c>
      <c r="I995" s="17">
        <v>2</v>
      </c>
      <c r="J995" s="6" t="s">
        <v>1668</v>
      </c>
      <c r="K995" s="6" t="s">
        <v>34</v>
      </c>
      <c r="L995" s="17">
        <v>0</v>
      </c>
      <c r="M995" s="6" t="s">
        <v>35</v>
      </c>
      <c r="N995" s="17" t="s">
        <v>1959</v>
      </c>
      <c r="O995" s="28"/>
      <c r="P995" s="28"/>
      <c r="Q995" s="28" t="s">
        <v>1959</v>
      </c>
      <c r="R995" s="30"/>
      <c r="S995" s="30"/>
      <c r="T995" s="30"/>
      <c r="U995" s="30"/>
      <c r="V995" s="8">
        <f t="shared" si="882"/>
        <v>0</v>
      </c>
      <c r="W995" s="8">
        <f t="shared" si="883"/>
        <v>0</v>
      </c>
      <c r="X995" s="8">
        <f t="shared" si="884"/>
        <v>0</v>
      </c>
      <c r="Y995" s="33">
        <f t="shared" si="885"/>
        <v>0</v>
      </c>
      <c r="Z995" s="28"/>
      <c r="AA995" s="28"/>
      <c r="AB995" s="61" t="s">
        <v>1959</v>
      </c>
      <c r="AC995" s="31" t="s">
        <v>1669</v>
      </c>
      <c r="AD995" s="50">
        <f t="shared" si="886"/>
        <v>4</v>
      </c>
      <c r="AE995" s="31"/>
      <c r="AF995" s="51">
        <v>14</v>
      </c>
      <c r="AG995" s="51">
        <f t="shared" si="913"/>
        <v>8.4</v>
      </c>
      <c r="AH995" s="51">
        <f t="shared" si="880"/>
        <v>42</v>
      </c>
      <c r="AI995" s="52" t="s">
        <v>2497</v>
      </c>
      <c r="AJ995" s="52" t="s">
        <v>2498</v>
      </c>
      <c r="AK995" s="53">
        <f t="shared" si="914"/>
        <v>0</v>
      </c>
      <c r="AL995" s="54">
        <f t="shared" si="915"/>
        <v>0.11904761904761904</v>
      </c>
      <c r="AM995" s="54">
        <f t="shared" si="916"/>
        <v>2.3809523809523808E-2</v>
      </c>
      <c r="AN995" s="55">
        <f t="shared" si="917"/>
        <v>0</v>
      </c>
      <c r="AO995" s="55">
        <f t="shared" si="918"/>
        <v>0</v>
      </c>
      <c r="AP995" s="53">
        <v>7.1</v>
      </c>
      <c r="AQ995" s="53">
        <f t="shared" si="887"/>
        <v>4.26</v>
      </c>
      <c r="AR995" s="53">
        <f t="shared" si="888"/>
        <v>21.299999999999997</v>
      </c>
      <c r="AS995" s="56">
        <f t="shared" si="889"/>
        <v>4.6948356807511742E-2</v>
      </c>
      <c r="AT995" s="56">
        <f t="shared" si="919"/>
        <v>0.23474178403755869</v>
      </c>
      <c r="AU995" s="56">
        <f t="shared" si="890"/>
        <v>0.176056338028169</v>
      </c>
      <c r="AV995" s="56">
        <f t="shared" si="920"/>
        <v>5.8685446009389672E-2</v>
      </c>
      <c r="AW995" s="57"/>
      <c r="AX995" s="57"/>
      <c r="AY995" s="57"/>
      <c r="AZ995" s="58">
        <f t="shared" si="921"/>
        <v>0</v>
      </c>
      <c r="BA995" s="59">
        <f t="shared" si="922"/>
        <v>0</v>
      </c>
      <c r="BB995" s="59">
        <f t="shared" si="923"/>
        <v>0</v>
      </c>
      <c r="BC995" s="59">
        <f t="shared" si="924"/>
        <v>0</v>
      </c>
      <c r="BD995" s="60">
        <f t="shared" si="925"/>
        <v>7.1095438516664771E-6</v>
      </c>
      <c r="BE995" s="59">
        <f t="shared" si="926"/>
        <v>2.8438175406665908E-5</v>
      </c>
      <c r="BQ995" s="61">
        <v>3000</v>
      </c>
      <c r="BR995" s="61">
        <v>1200</v>
      </c>
      <c r="BS995" s="28">
        <f t="shared" si="891"/>
        <v>2980</v>
      </c>
      <c r="BT995" s="28">
        <f t="shared" si="892"/>
        <v>1180</v>
      </c>
      <c r="BU995" s="28" t="s">
        <v>2541</v>
      </c>
      <c r="BV995" s="28">
        <f t="shared" si="893"/>
        <v>5</v>
      </c>
      <c r="BW995" s="28">
        <f t="shared" si="894"/>
        <v>5</v>
      </c>
      <c r="BX995" s="13">
        <f t="shared" si="895"/>
        <v>596</v>
      </c>
      <c r="BY995" s="13">
        <f t="shared" si="896"/>
        <v>596</v>
      </c>
      <c r="BZ995" s="13">
        <f t="shared" si="897"/>
        <v>236</v>
      </c>
      <c r="CA995" s="13">
        <f t="shared" si="898"/>
        <v>236</v>
      </c>
      <c r="CB995" s="13">
        <f t="shared" si="899"/>
        <v>140656</v>
      </c>
      <c r="CC995" s="62">
        <f t="shared" si="900"/>
        <v>7.1095438516664771E-6</v>
      </c>
      <c r="CD995" s="13">
        <f t="shared" si="901"/>
        <v>596</v>
      </c>
      <c r="CE995" s="13">
        <f t="shared" si="902"/>
        <v>596</v>
      </c>
      <c r="CF995" s="13">
        <f t="shared" si="903"/>
        <v>236</v>
      </c>
      <c r="CG995" s="13">
        <f t="shared" si="904"/>
        <v>236</v>
      </c>
      <c r="CH995" s="28">
        <f t="shared" si="905"/>
        <v>140656</v>
      </c>
      <c r="CI995" s="62">
        <f t="shared" si="906"/>
        <v>7.1095438516664771E-6</v>
      </c>
      <c r="CJ995" s="59">
        <f t="shared" si="907"/>
        <v>7.1095438516664771E-6</v>
      </c>
      <c r="CL995" s="63">
        <v>6000</v>
      </c>
      <c r="CM995" s="63">
        <f t="shared" si="908"/>
        <v>0</v>
      </c>
      <c r="CN995" s="63">
        <f t="shared" si="909"/>
        <v>5</v>
      </c>
      <c r="CO995" s="63">
        <f t="shared" si="910"/>
        <v>1200</v>
      </c>
      <c r="CP995" s="13">
        <f t="shared" si="911"/>
        <v>1200</v>
      </c>
      <c r="CQ995" s="70">
        <f t="shared" si="912"/>
        <v>8.3333333333333339E-4</v>
      </c>
      <c r="CR995" s="69">
        <f t="shared" si="875"/>
        <v>3.3333333333333335E-3</v>
      </c>
    </row>
    <row r="996" spans="1:96" hidden="1" x14ac:dyDescent="0.25">
      <c r="A996" s="13">
        <v>4</v>
      </c>
      <c r="B996" s="14" t="s">
        <v>2107</v>
      </c>
      <c r="C996" s="13" t="s">
        <v>1944</v>
      </c>
      <c r="D996" s="13" t="s">
        <v>1946</v>
      </c>
      <c r="E996" s="13" t="s">
        <v>52</v>
      </c>
      <c r="F996" s="15">
        <f t="shared" si="881"/>
        <v>4</v>
      </c>
      <c r="G996" s="13">
        <v>2</v>
      </c>
      <c r="H996" s="13">
        <f t="shared" ref="H996:H997" si="930">G996*$H$987</f>
        <v>2</v>
      </c>
      <c r="I996" s="13">
        <v>6</v>
      </c>
      <c r="J996" s="14" t="s">
        <v>1945</v>
      </c>
      <c r="K996" s="14" t="s">
        <v>34</v>
      </c>
      <c r="L996" s="13">
        <v>0</v>
      </c>
      <c r="M996" s="14" t="s">
        <v>35</v>
      </c>
      <c r="N996" s="13" t="s">
        <v>1946</v>
      </c>
      <c r="O996" s="28" t="s">
        <v>41</v>
      </c>
      <c r="P996" s="28" t="s">
        <v>41</v>
      </c>
      <c r="Q996" s="28" t="s">
        <v>116</v>
      </c>
      <c r="R996" s="30">
        <v>3</v>
      </c>
      <c r="S996" s="30">
        <v>1.5433070866141734</v>
      </c>
      <c r="T996" s="30"/>
      <c r="U996" s="30">
        <v>0.11799999999999999</v>
      </c>
      <c r="V996" s="8">
        <f t="shared" si="882"/>
        <v>76.199999999999989</v>
      </c>
      <c r="W996" s="8">
        <f t="shared" si="883"/>
        <v>39.200000000000003</v>
      </c>
      <c r="X996" s="8">
        <f t="shared" si="884"/>
        <v>0</v>
      </c>
      <c r="Y996" s="33">
        <f t="shared" si="885"/>
        <v>2.9971999999999999</v>
      </c>
      <c r="Z996" s="28" t="s">
        <v>56</v>
      </c>
      <c r="AA996" s="28" t="s">
        <v>57</v>
      </c>
      <c r="AB996" s="28" t="s">
        <v>116</v>
      </c>
      <c r="AC996" s="31" t="s">
        <v>117</v>
      </c>
      <c r="AD996" s="50">
        <f t="shared" si="886"/>
        <v>2</v>
      </c>
      <c r="AE996" s="31"/>
      <c r="AF996" s="51">
        <v>14</v>
      </c>
      <c r="AG996" s="51">
        <f t="shared" si="913"/>
        <v>8.4</v>
      </c>
      <c r="AH996" s="51">
        <f t="shared" si="880"/>
        <v>42</v>
      </c>
      <c r="AI996" s="52" t="s">
        <v>2497</v>
      </c>
      <c r="AJ996" s="52" t="s">
        <v>2498</v>
      </c>
      <c r="AK996" s="53">
        <f t="shared" si="914"/>
        <v>5.9740799999999997E-3</v>
      </c>
      <c r="AL996" s="54">
        <f t="shared" si="915"/>
        <v>0.11904761904761904</v>
      </c>
      <c r="AM996" s="54">
        <f t="shared" si="916"/>
        <v>2.3809523809523808E-2</v>
      </c>
      <c r="AN996" s="55">
        <f t="shared" si="917"/>
        <v>1.4223999999999999E-3</v>
      </c>
      <c r="AO996" s="55">
        <f t="shared" si="918"/>
        <v>2.8447999999999999E-4</v>
      </c>
      <c r="AP996" s="53">
        <v>7.1</v>
      </c>
      <c r="AQ996" s="53">
        <f t="shared" si="887"/>
        <v>4.26</v>
      </c>
      <c r="AR996" s="53">
        <f t="shared" si="888"/>
        <v>21.299999999999997</v>
      </c>
      <c r="AS996" s="56">
        <f t="shared" si="889"/>
        <v>4.6948356807511742E-2</v>
      </c>
      <c r="AT996" s="56">
        <f t="shared" si="919"/>
        <v>0.23474178403755869</v>
      </c>
      <c r="AU996" s="56">
        <f t="shared" si="890"/>
        <v>0.176056338028169</v>
      </c>
      <c r="AV996" s="56">
        <f t="shared" si="920"/>
        <v>5.8685446009389672E-2</v>
      </c>
      <c r="AW996" s="57"/>
      <c r="AX996" s="57"/>
      <c r="AY996" s="57"/>
      <c r="AZ996" s="58">
        <f t="shared" si="921"/>
        <v>5.9740799999999997E-3</v>
      </c>
      <c r="BA996" s="59">
        <f t="shared" si="922"/>
        <v>0</v>
      </c>
      <c r="BB996" s="59">
        <f t="shared" si="923"/>
        <v>0</v>
      </c>
      <c r="BC996" s="59">
        <f t="shared" si="924"/>
        <v>0</v>
      </c>
      <c r="BD996" s="60">
        <f t="shared" si="925"/>
        <v>1.0660980810234541E-3</v>
      </c>
      <c r="BE996" s="59">
        <f t="shared" si="926"/>
        <v>2.1321961620469083E-3</v>
      </c>
      <c r="BQ996" s="61">
        <v>3000</v>
      </c>
      <c r="BR996" s="61">
        <v>1200</v>
      </c>
      <c r="BS996" s="28">
        <f t="shared" si="891"/>
        <v>2980</v>
      </c>
      <c r="BT996" s="28">
        <f t="shared" si="892"/>
        <v>1180</v>
      </c>
      <c r="BU996" s="28" t="s">
        <v>2541</v>
      </c>
      <c r="BV996" s="28">
        <f t="shared" si="893"/>
        <v>81.199999999999989</v>
      </c>
      <c r="BW996" s="28">
        <f t="shared" si="894"/>
        <v>44.2</v>
      </c>
      <c r="BX996" s="13">
        <f t="shared" si="895"/>
        <v>36.699507389162569</v>
      </c>
      <c r="BY996" s="13">
        <f t="shared" si="896"/>
        <v>36</v>
      </c>
      <c r="BZ996" s="13">
        <f t="shared" si="897"/>
        <v>26.696832579185518</v>
      </c>
      <c r="CA996" s="13">
        <f t="shared" si="898"/>
        <v>26</v>
      </c>
      <c r="CB996" s="13">
        <f t="shared" si="899"/>
        <v>936</v>
      </c>
      <c r="CC996" s="62">
        <f t="shared" si="900"/>
        <v>1.0683760683760685E-3</v>
      </c>
      <c r="CD996" s="13">
        <f t="shared" si="901"/>
        <v>67.420814479638011</v>
      </c>
      <c r="CE996" s="13">
        <f t="shared" si="902"/>
        <v>67</v>
      </c>
      <c r="CF996" s="13">
        <f t="shared" si="903"/>
        <v>14.5320197044335</v>
      </c>
      <c r="CG996" s="13">
        <f t="shared" si="904"/>
        <v>14</v>
      </c>
      <c r="CH996" s="28">
        <f t="shared" si="905"/>
        <v>938</v>
      </c>
      <c r="CI996" s="62">
        <f t="shared" si="906"/>
        <v>1.0660980810234541E-3</v>
      </c>
      <c r="CJ996" s="59">
        <f t="shared" si="907"/>
        <v>1.0660980810234541E-3</v>
      </c>
      <c r="CL996" s="63">
        <v>6000</v>
      </c>
      <c r="CM996" s="63">
        <f t="shared" si="908"/>
        <v>76.199999999999989</v>
      </c>
      <c r="CN996" s="63">
        <f t="shared" si="909"/>
        <v>81.199999999999989</v>
      </c>
      <c r="CO996" s="63">
        <f t="shared" si="910"/>
        <v>73.891625615763559</v>
      </c>
      <c r="CP996" s="13">
        <f t="shared" si="911"/>
        <v>73</v>
      </c>
      <c r="CQ996" s="70">
        <f t="shared" si="912"/>
        <v>1.3698630136986301E-2</v>
      </c>
      <c r="CR996" s="69">
        <f t="shared" ref="CR996:CR1059" si="931">CQ996*AD996</f>
        <v>2.7397260273972601E-2</v>
      </c>
    </row>
    <row r="997" spans="1:96" hidden="1" x14ac:dyDescent="0.25">
      <c r="A997" s="13">
        <v>4</v>
      </c>
      <c r="B997" s="14" t="s">
        <v>2107</v>
      </c>
      <c r="C997" s="13" t="s">
        <v>825</v>
      </c>
      <c r="D997" s="13" t="s">
        <v>826</v>
      </c>
      <c r="E997" s="13" t="s">
        <v>52</v>
      </c>
      <c r="F997" s="15">
        <f t="shared" si="881"/>
        <v>9</v>
      </c>
      <c r="G997" s="13">
        <v>1</v>
      </c>
      <c r="H997" s="13">
        <f t="shared" si="930"/>
        <v>1</v>
      </c>
      <c r="I997" s="13">
        <v>7</v>
      </c>
      <c r="J997" s="14" t="s">
        <v>76</v>
      </c>
      <c r="K997" s="14" t="s">
        <v>34</v>
      </c>
      <c r="L997" s="13" t="s">
        <v>77</v>
      </c>
      <c r="M997" s="14" t="s">
        <v>35</v>
      </c>
      <c r="N997" s="13" t="s">
        <v>826</v>
      </c>
      <c r="O997" s="28" t="s">
        <v>41</v>
      </c>
      <c r="P997" s="28" t="s">
        <v>41</v>
      </c>
      <c r="Q997" s="28" t="s">
        <v>79</v>
      </c>
      <c r="R997" s="30">
        <v>8.0709999999999997</v>
      </c>
      <c r="S997" s="30">
        <v>0.3125</v>
      </c>
      <c r="T997" s="30"/>
      <c r="U997" s="30">
        <v>0.3125</v>
      </c>
      <c r="V997" s="8">
        <f t="shared" si="882"/>
        <v>205.00339999999997</v>
      </c>
      <c r="W997" s="8">
        <f t="shared" si="883"/>
        <v>7.9375</v>
      </c>
      <c r="X997" s="8">
        <f t="shared" si="884"/>
        <v>0</v>
      </c>
      <c r="Y997" s="33">
        <f t="shared" si="885"/>
        <v>7.9375</v>
      </c>
      <c r="Z997" s="28" t="s">
        <v>80</v>
      </c>
      <c r="AA997" s="28" t="s">
        <v>81</v>
      </c>
      <c r="AB997" s="61" t="s">
        <v>79</v>
      </c>
      <c r="AC997" s="31" t="s">
        <v>82</v>
      </c>
      <c r="AD997" s="50">
        <f t="shared" si="886"/>
        <v>1</v>
      </c>
      <c r="AE997" s="31"/>
      <c r="AF997" s="51">
        <v>14</v>
      </c>
      <c r="AG997" s="51">
        <f t="shared" si="913"/>
        <v>8.4</v>
      </c>
      <c r="AH997" s="51">
        <f t="shared" si="880"/>
        <v>42</v>
      </c>
      <c r="AI997" s="52" t="s">
        <v>2497</v>
      </c>
      <c r="AJ997" s="52" t="s">
        <v>2498</v>
      </c>
      <c r="AK997" s="53">
        <f t="shared" si="914"/>
        <v>3.2544289749999993E-3</v>
      </c>
      <c r="AL997" s="54">
        <f t="shared" si="915"/>
        <v>0.11904761904761904</v>
      </c>
      <c r="AM997" s="54">
        <f t="shared" si="916"/>
        <v>2.3809523809523808E-2</v>
      </c>
      <c r="AN997" s="55">
        <f t="shared" si="917"/>
        <v>3.8743202083333321E-4</v>
      </c>
      <c r="AO997" s="55">
        <f t="shared" si="918"/>
        <v>7.7486404166666643E-5</v>
      </c>
      <c r="AP997" s="53">
        <v>7.1</v>
      </c>
      <c r="AQ997" s="53">
        <f t="shared" si="887"/>
        <v>4.26</v>
      </c>
      <c r="AR997" s="53">
        <f t="shared" si="888"/>
        <v>21.299999999999997</v>
      </c>
      <c r="AS997" s="56">
        <f t="shared" si="889"/>
        <v>4.6948356807511742E-2</v>
      </c>
      <c r="AT997" s="56">
        <f t="shared" si="919"/>
        <v>0.23474178403755869</v>
      </c>
      <c r="AU997" s="56">
        <f t="shared" si="890"/>
        <v>0.176056338028169</v>
      </c>
      <c r="AV997" s="56">
        <f t="shared" si="920"/>
        <v>5.8685446009389672E-2</v>
      </c>
      <c r="AW997" s="57"/>
      <c r="AX997" s="57"/>
      <c r="AY997" s="57"/>
      <c r="AZ997" s="58">
        <f t="shared" si="921"/>
        <v>3.2544289749999993E-3</v>
      </c>
      <c r="BA997" s="59">
        <f t="shared" si="922"/>
        <v>0</v>
      </c>
      <c r="BB997" s="59">
        <f t="shared" si="923"/>
        <v>0</v>
      </c>
      <c r="BC997" s="59">
        <f t="shared" si="924"/>
        <v>0</v>
      </c>
      <c r="BD997" s="60">
        <f t="shared" si="925"/>
        <v>7.8492935635792783E-4</v>
      </c>
      <c r="BE997" s="59">
        <f t="shared" si="926"/>
        <v>7.8492935635792783E-4</v>
      </c>
      <c r="BQ997" s="61">
        <v>3000</v>
      </c>
      <c r="BR997" s="61">
        <v>1200</v>
      </c>
      <c r="BS997" s="28">
        <f t="shared" si="891"/>
        <v>2980</v>
      </c>
      <c r="BT997" s="28">
        <f t="shared" si="892"/>
        <v>1180</v>
      </c>
      <c r="BU997" s="28" t="s">
        <v>2541</v>
      </c>
      <c r="BV997" s="28">
        <f t="shared" si="893"/>
        <v>210.00339999999997</v>
      </c>
      <c r="BW997" s="28">
        <f t="shared" si="894"/>
        <v>12.9375</v>
      </c>
      <c r="BX997" s="13">
        <f t="shared" si="895"/>
        <v>14.190246443629009</v>
      </c>
      <c r="BY997" s="13">
        <f t="shared" si="896"/>
        <v>14</v>
      </c>
      <c r="BZ997" s="13">
        <f t="shared" si="897"/>
        <v>91.207729468599027</v>
      </c>
      <c r="CA997" s="13">
        <f t="shared" si="898"/>
        <v>91</v>
      </c>
      <c r="CB997" s="13">
        <f t="shared" si="899"/>
        <v>1274</v>
      </c>
      <c r="CC997" s="62">
        <f t="shared" si="900"/>
        <v>7.8492935635792783E-4</v>
      </c>
      <c r="CD997" s="13">
        <f t="shared" si="901"/>
        <v>230.33816425120773</v>
      </c>
      <c r="CE997" s="13">
        <f t="shared" si="902"/>
        <v>230</v>
      </c>
      <c r="CF997" s="13">
        <f t="shared" si="903"/>
        <v>5.618956645463836</v>
      </c>
      <c r="CG997" s="13">
        <f t="shared" si="904"/>
        <v>5</v>
      </c>
      <c r="CH997" s="28">
        <f t="shared" si="905"/>
        <v>1150</v>
      </c>
      <c r="CI997" s="62">
        <f t="shared" si="906"/>
        <v>8.6956521739130438E-4</v>
      </c>
      <c r="CJ997" s="59">
        <f t="shared" si="907"/>
        <v>7.8492935635792783E-4</v>
      </c>
      <c r="CL997" s="63">
        <v>6000</v>
      </c>
      <c r="CM997" s="63">
        <f t="shared" si="908"/>
        <v>205.00339999999997</v>
      </c>
      <c r="CN997" s="63">
        <f t="shared" si="909"/>
        <v>210.00339999999997</v>
      </c>
      <c r="CO997" s="63">
        <f t="shared" si="910"/>
        <v>28.570965993883913</v>
      </c>
      <c r="CP997" s="13">
        <f t="shared" si="911"/>
        <v>28</v>
      </c>
      <c r="CQ997" s="70">
        <f t="shared" si="912"/>
        <v>3.5714285714285712E-2</v>
      </c>
      <c r="CR997" s="69">
        <f t="shared" si="931"/>
        <v>3.5714285714285712E-2</v>
      </c>
    </row>
    <row r="998" spans="1:96" hidden="1" x14ac:dyDescent="0.25">
      <c r="A998" s="10">
        <v>3</v>
      </c>
      <c r="B998" s="8" t="s">
        <v>2104</v>
      </c>
      <c r="C998" s="10" t="s">
        <v>2113</v>
      </c>
      <c r="D998" s="10" t="s">
        <v>2270</v>
      </c>
      <c r="E998" s="10" t="s">
        <v>32</v>
      </c>
      <c r="F998" s="12">
        <f t="shared" si="881"/>
        <v>1</v>
      </c>
      <c r="G998" s="10">
        <v>1</v>
      </c>
      <c r="H998" s="10">
        <f>G998*$H$986</f>
        <v>1</v>
      </c>
      <c r="I998" s="10">
        <v>2</v>
      </c>
      <c r="J998" s="8" t="s">
        <v>1867</v>
      </c>
      <c r="K998" s="8" t="s">
        <v>34</v>
      </c>
      <c r="L998" s="10">
        <v>0</v>
      </c>
      <c r="M998" s="8" t="s">
        <v>35</v>
      </c>
      <c r="N998" s="10" t="s">
        <v>2114</v>
      </c>
      <c r="O998" s="28"/>
      <c r="P998" s="28"/>
      <c r="Q998" s="28"/>
      <c r="R998" s="30"/>
      <c r="S998" s="30"/>
      <c r="T998" s="30"/>
      <c r="U998" s="30"/>
      <c r="V998" s="8">
        <f t="shared" si="882"/>
        <v>0</v>
      </c>
      <c r="W998" s="8">
        <f t="shared" si="883"/>
        <v>0</v>
      </c>
      <c r="X998" s="8">
        <f t="shared" si="884"/>
        <v>0</v>
      </c>
      <c r="Y998" s="33">
        <f t="shared" si="885"/>
        <v>0</v>
      </c>
      <c r="Z998" s="28"/>
      <c r="AA998" s="28"/>
      <c r="AB998" s="28">
        <v>0</v>
      </c>
      <c r="AC998" s="31"/>
      <c r="AD998" s="50">
        <f t="shared" si="886"/>
        <v>1</v>
      </c>
      <c r="AE998" s="47" t="s">
        <v>107</v>
      </c>
      <c r="AF998" s="51">
        <v>14</v>
      </c>
      <c r="AG998" s="51">
        <f t="shared" si="913"/>
        <v>8.4</v>
      </c>
      <c r="AH998" s="51">
        <f t="shared" si="880"/>
        <v>42</v>
      </c>
      <c r="AI998" s="52" t="s">
        <v>2497</v>
      </c>
      <c r="AJ998" s="52" t="s">
        <v>2498</v>
      </c>
      <c r="AK998" s="53">
        <f t="shared" si="914"/>
        <v>0</v>
      </c>
      <c r="AL998" s="54">
        <f t="shared" si="915"/>
        <v>0.11904761904761904</v>
      </c>
      <c r="AM998" s="54">
        <f t="shared" si="916"/>
        <v>2.3809523809523808E-2</v>
      </c>
      <c r="AN998" s="55">
        <f t="shared" si="917"/>
        <v>0</v>
      </c>
      <c r="AO998" s="55">
        <f t="shared" si="918"/>
        <v>0</v>
      </c>
      <c r="AP998" s="53">
        <v>7.1</v>
      </c>
      <c r="AQ998" s="53">
        <f t="shared" si="887"/>
        <v>4.26</v>
      </c>
      <c r="AR998" s="53">
        <f t="shared" si="888"/>
        <v>21.299999999999997</v>
      </c>
      <c r="AS998" s="56">
        <f t="shared" si="889"/>
        <v>4.6948356807511742E-2</v>
      </c>
      <c r="AT998" s="56">
        <f t="shared" si="919"/>
        <v>0.23474178403755869</v>
      </c>
      <c r="AU998" s="56">
        <f t="shared" si="890"/>
        <v>0.176056338028169</v>
      </c>
      <c r="AV998" s="56">
        <f t="shared" si="920"/>
        <v>5.8685446009389672E-2</v>
      </c>
      <c r="AW998" s="57"/>
      <c r="AX998" s="57"/>
      <c r="AY998" s="57"/>
      <c r="AZ998" s="58">
        <f t="shared" si="921"/>
        <v>0</v>
      </c>
      <c r="BA998" s="59">
        <f t="shared" si="922"/>
        <v>0</v>
      </c>
      <c r="BB998" s="59">
        <f t="shared" si="923"/>
        <v>0</v>
      </c>
      <c r="BC998" s="59">
        <f t="shared" si="924"/>
        <v>0</v>
      </c>
      <c r="BD998" s="60">
        <f t="shared" si="925"/>
        <v>0</v>
      </c>
      <c r="BE998" s="59">
        <f t="shared" si="926"/>
        <v>0</v>
      </c>
      <c r="BQ998" s="61">
        <v>3000</v>
      </c>
      <c r="BR998" s="61">
        <v>1200</v>
      </c>
      <c r="BS998" s="28">
        <f t="shared" si="891"/>
        <v>2980</v>
      </c>
      <c r="BT998" s="28">
        <f t="shared" si="892"/>
        <v>1180</v>
      </c>
      <c r="BU998" s="28" t="s">
        <v>2541</v>
      </c>
      <c r="BV998" s="28">
        <f t="shared" si="893"/>
        <v>5</v>
      </c>
      <c r="BW998" s="28">
        <f t="shared" si="894"/>
        <v>5</v>
      </c>
      <c r="BX998" s="13">
        <f t="shared" si="895"/>
        <v>596</v>
      </c>
      <c r="BY998" s="13">
        <f t="shared" si="896"/>
        <v>596</v>
      </c>
      <c r="BZ998" s="13">
        <f t="shared" si="897"/>
        <v>236</v>
      </c>
      <c r="CA998" s="13">
        <f t="shared" si="898"/>
        <v>236</v>
      </c>
      <c r="CB998" s="13">
        <f t="shared" si="899"/>
        <v>140656</v>
      </c>
      <c r="CC998" s="62" t="str">
        <f t="shared" si="900"/>
        <v/>
      </c>
      <c r="CD998" s="13">
        <f t="shared" si="901"/>
        <v>596</v>
      </c>
      <c r="CE998" s="13">
        <f t="shared" si="902"/>
        <v>596</v>
      </c>
      <c r="CF998" s="13">
        <f t="shared" si="903"/>
        <v>236</v>
      </c>
      <c r="CG998" s="13">
        <f t="shared" si="904"/>
        <v>236</v>
      </c>
      <c r="CH998" s="28">
        <f t="shared" si="905"/>
        <v>140656</v>
      </c>
      <c r="CI998" s="62" t="str">
        <f t="shared" si="906"/>
        <v/>
      </c>
      <c r="CJ998" s="59">
        <f t="shared" si="907"/>
        <v>0</v>
      </c>
      <c r="CL998" s="63">
        <v>6000</v>
      </c>
      <c r="CM998" s="63">
        <f t="shared" si="908"/>
        <v>0</v>
      </c>
      <c r="CN998" s="63">
        <f t="shared" si="909"/>
        <v>5</v>
      </c>
      <c r="CO998" s="63">
        <f t="shared" si="910"/>
        <v>1200</v>
      </c>
      <c r="CP998" s="13">
        <f t="shared" si="911"/>
        <v>1200</v>
      </c>
      <c r="CQ998" s="70">
        <f t="shared" si="912"/>
        <v>8.3333333333333339E-4</v>
      </c>
      <c r="CR998" s="69">
        <f t="shared" si="931"/>
        <v>8.3333333333333339E-4</v>
      </c>
    </row>
    <row r="999" spans="1:96" x14ac:dyDescent="0.25">
      <c r="A999" s="13">
        <v>4</v>
      </c>
      <c r="B999" s="14" t="s">
        <v>2115</v>
      </c>
      <c r="C999" s="13" t="s">
        <v>1883</v>
      </c>
      <c r="D999" s="13" t="s">
        <v>2270</v>
      </c>
      <c r="E999" s="13" t="s">
        <v>52</v>
      </c>
      <c r="F999" s="15">
        <f t="shared" si="881"/>
        <v>6</v>
      </c>
      <c r="G999" s="13">
        <v>2</v>
      </c>
      <c r="H999" s="13">
        <f>G999*$H$998</f>
        <v>2</v>
      </c>
      <c r="I999" s="13">
        <v>3</v>
      </c>
      <c r="J999" s="14" t="s">
        <v>119</v>
      </c>
      <c r="K999" s="14" t="s">
        <v>34</v>
      </c>
      <c r="L999" s="13" t="s">
        <v>110</v>
      </c>
      <c r="M999" s="14" t="s">
        <v>35</v>
      </c>
      <c r="N999" s="13" t="s">
        <v>1884</v>
      </c>
      <c r="O999" s="28"/>
      <c r="P999" s="28"/>
      <c r="Q999" s="28" t="s">
        <v>2585</v>
      </c>
      <c r="R999" s="30">
        <v>16</v>
      </c>
      <c r="S999" s="30">
        <v>1.292</v>
      </c>
      <c r="T999" s="30"/>
      <c r="U999" s="30">
        <v>0.06</v>
      </c>
      <c r="V999" s="8">
        <f t="shared" si="882"/>
        <v>406.4</v>
      </c>
      <c r="W999" s="8">
        <f t="shared" si="883"/>
        <v>32.816800000000001</v>
      </c>
      <c r="X999" s="8">
        <f t="shared" si="884"/>
        <v>0</v>
      </c>
      <c r="Y999" s="33">
        <f t="shared" si="885"/>
        <v>1.5239999999999998</v>
      </c>
      <c r="Z999" s="28" t="s">
        <v>56</v>
      </c>
      <c r="AA999" s="28" t="s">
        <v>1765</v>
      </c>
      <c r="AB999" s="61" t="s">
        <v>2585</v>
      </c>
      <c r="AC999" s="31" t="s">
        <v>2586</v>
      </c>
      <c r="AD999" s="50">
        <f t="shared" si="886"/>
        <v>2</v>
      </c>
      <c r="AE999" s="31"/>
      <c r="AF999" s="51">
        <v>14</v>
      </c>
      <c r="AG999" s="51">
        <f t="shared" si="913"/>
        <v>8.4</v>
      </c>
      <c r="AH999" s="51">
        <f t="shared" si="880"/>
        <v>42</v>
      </c>
      <c r="AI999" s="52" t="s">
        <v>2497</v>
      </c>
      <c r="AJ999" s="52" t="s">
        <v>2498</v>
      </c>
      <c r="AK999" s="53">
        <f t="shared" si="914"/>
        <v>2.6673495039999998E-2</v>
      </c>
      <c r="AL999" s="54">
        <f t="shared" si="915"/>
        <v>0.11904761904761904</v>
      </c>
      <c r="AM999" s="54">
        <f t="shared" si="916"/>
        <v>2.3809523809523808E-2</v>
      </c>
      <c r="AN999" s="55">
        <f t="shared" si="917"/>
        <v>6.3508321523809514E-3</v>
      </c>
      <c r="AO999" s="55">
        <f t="shared" si="918"/>
        <v>1.2701664304761904E-3</v>
      </c>
      <c r="AP999" s="53">
        <v>7.1</v>
      </c>
      <c r="AQ999" s="53">
        <f t="shared" si="887"/>
        <v>4.26</v>
      </c>
      <c r="AR999" s="53">
        <f t="shared" si="888"/>
        <v>21.299999999999997</v>
      </c>
      <c r="AS999" s="56">
        <f t="shared" si="889"/>
        <v>4.6948356807511742E-2</v>
      </c>
      <c r="AT999" s="56">
        <f t="shared" si="919"/>
        <v>0.23474178403755869</v>
      </c>
      <c r="AU999" s="56">
        <f t="shared" si="890"/>
        <v>0.176056338028169</v>
      </c>
      <c r="AV999" s="56">
        <f t="shared" si="920"/>
        <v>5.8685446009389672E-2</v>
      </c>
      <c r="AW999" s="57"/>
      <c r="AX999" s="57"/>
      <c r="AY999" s="57"/>
      <c r="AZ999" s="58">
        <f t="shared" si="921"/>
        <v>2.6673495039999998E-2</v>
      </c>
      <c r="BA999" s="59">
        <f t="shared" si="922"/>
        <v>0</v>
      </c>
      <c r="BB999" s="59">
        <f t="shared" si="923"/>
        <v>0</v>
      </c>
      <c r="BC999" s="59">
        <f t="shared" si="924"/>
        <v>0</v>
      </c>
      <c r="BD999" s="60">
        <f t="shared" si="925"/>
        <v>4.608294930875576E-3</v>
      </c>
      <c r="BE999" s="59">
        <f t="shared" si="926"/>
        <v>9.2165898617511521E-3</v>
      </c>
      <c r="BQ999" s="61">
        <v>3000</v>
      </c>
      <c r="BR999" s="61">
        <v>1200</v>
      </c>
      <c r="BS999" s="28">
        <f t="shared" si="891"/>
        <v>2980</v>
      </c>
      <c r="BT999" s="28">
        <f t="shared" si="892"/>
        <v>1180</v>
      </c>
      <c r="BU999" s="28" t="s">
        <v>2541</v>
      </c>
      <c r="BV999" s="28">
        <f t="shared" si="893"/>
        <v>411.4</v>
      </c>
      <c r="BW999" s="28">
        <f t="shared" si="894"/>
        <v>37.816800000000001</v>
      </c>
      <c r="BX999" s="13">
        <f t="shared" si="895"/>
        <v>7.2435585804569769</v>
      </c>
      <c r="BY999" s="13">
        <f t="shared" si="896"/>
        <v>7</v>
      </c>
      <c r="BZ999" s="13">
        <f t="shared" si="897"/>
        <v>31.203063188847285</v>
      </c>
      <c r="CA999" s="13">
        <f t="shared" si="898"/>
        <v>31</v>
      </c>
      <c r="CB999" s="13">
        <f t="shared" si="899"/>
        <v>217</v>
      </c>
      <c r="CC999" s="62">
        <f t="shared" si="900"/>
        <v>4.608294930875576E-3</v>
      </c>
      <c r="CD999" s="13">
        <f t="shared" si="901"/>
        <v>78.800956188783815</v>
      </c>
      <c r="CE999" s="13">
        <f t="shared" si="902"/>
        <v>78</v>
      </c>
      <c r="CF999" s="13">
        <f t="shared" si="903"/>
        <v>2.8682547399124942</v>
      </c>
      <c r="CG999" s="13">
        <f t="shared" si="904"/>
        <v>2</v>
      </c>
      <c r="CH999" s="28">
        <f t="shared" si="905"/>
        <v>156</v>
      </c>
      <c r="CI999" s="62">
        <f t="shared" si="906"/>
        <v>6.41025641025641E-3</v>
      </c>
      <c r="CJ999" s="59">
        <f t="shared" si="907"/>
        <v>4.608294930875576E-3</v>
      </c>
      <c r="CL999" s="63">
        <v>6000</v>
      </c>
      <c r="CM999" s="63">
        <f t="shared" si="908"/>
        <v>406.4</v>
      </c>
      <c r="CN999" s="63">
        <f t="shared" si="909"/>
        <v>411.4</v>
      </c>
      <c r="CO999" s="63">
        <f t="shared" si="910"/>
        <v>14.584346135148275</v>
      </c>
      <c r="CP999" s="13">
        <f t="shared" si="911"/>
        <v>14</v>
      </c>
      <c r="CQ999" s="70">
        <f t="shared" si="912"/>
        <v>7.1428571428571425E-2</v>
      </c>
      <c r="CR999" s="69">
        <f t="shared" si="931"/>
        <v>0.14285714285714285</v>
      </c>
    </row>
    <row r="1000" spans="1:96" hidden="1" x14ac:dyDescent="0.25">
      <c r="A1000" s="13">
        <v>4</v>
      </c>
      <c r="B1000" s="14" t="s">
        <v>2115</v>
      </c>
      <c r="C1000" s="13" t="s">
        <v>530</v>
      </c>
      <c r="D1000" s="13" t="s">
        <v>532</v>
      </c>
      <c r="E1000" s="13" t="s">
        <v>32</v>
      </c>
      <c r="F1000" s="15">
        <f t="shared" si="881"/>
        <v>21</v>
      </c>
      <c r="G1000" s="13">
        <v>2</v>
      </c>
      <c r="H1000" s="13">
        <f>G1000*$H$998</f>
        <v>2</v>
      </c>
      <c r="I1000" s="13">
        <v>4</v>
      </c>
      <c r="J1000" s="14" t="s">
        <v>531</v>
      </c>
      <c r="K1000" s="14" t="s">
        <v>34</v>
      </c>
      <c r="L1000" s="13" t="s">
        <v>110</v>
      </c>
      <c r="M1000" s="14" t="s">
        <v>35</v>
      </c>
      <c r="N1000" s="13" t="s">
        <v>532</v>
      </c>
      <c r="O1000" s="28" t="s">
        <v>41</v>
      </c>
      <c r="P1000" s="28" t="s">
        <v>41</v>
      </c>
      <c r="Q1000" s="28"/>
      <c r="R1000" s="30"/>
      <c r="S1000" s="30"/>
      <c r="T1000" s="30"/>
      <c r="U1000" s="30"/>
      <c r="V1000" s="8">
        <f t="shared" si="882"/>
        <v>0</v>
      </c>
      <c r="W1000" s="8">
        <f t="shared" si="883"/>
        <v>0</v>
      </c>
      <c r="X1000" s="8">
        <f t="shared" si="884"/>
        <v>0</v>
      </c>
      <c r="Y1000" s="33">
        <f t="shared" si="885"/>
        <v>0</v>
      </c>
      <c r="Z1000" s="28" t="s">
        <v>2477</v>
      </c>
      <c r="AA1000" s="28" t="s">
        <v>2477</v>
      </c>
      <c r="AB1000" s="28">
        <v>0</v>
      </c>
      <c r="AC1000" s="31" t="s">
        <v>2477</v>
      </c>
      <c r="AD1000" s="50">
        <f t="shared" si="886"/>
        <v>2</v>
      </c>
      <c r="AE1000" s="31"/>
      <c r="AF1000" s="51">
        <v>14</v>
      </c>
      <c r="AG1000" s="51">
        <f t="shared" si="913"/>
        <v>8.4</v>
      </c>
      <c r="AH1000" s="51">
        <f t="shared" si="880"/>
        <v>42</v>
      </c>
      <c r="AI1000" s="52" t="s">
        <v>2497</v>
      </c>
      <c r="AJ1000" s="52" t="s">
        <v>2498</v>
      </c>
      <c r="AK1000" s="53">
        <f t="shared" si="914"/>
        <v>0</v>
      </c>
      <c r="AL1000" s="54">
        <f t="shared" si="915"/>
        <v>0.11904761904761904</v>
      </c>
      <c r="AM1000" s="54">
        <f t="shared" si="916"/>
        <v>2.3809523809523808E-2</v>
      </c>
      <c r="AN1000" s="55">
        <f t="shared" si="917"/>
        <v>0</v>
      </c>
      <c r="AO1000" s="55">
        <f t="shared" si="918"/>
        <v>0</v>
      </c>
      <c r="AP1000" s="53">
        <v>7.1</v>
      </c>
      <c r="AQ1000" s="53">
        <f t="shared" si="887"/>
        <v>4.26</v>
      </c>
      <c r="AR1000" s="53">
        <f t="shared" si="888"/>
        <v>21.299999999999997</v>
      </c>
      <c r="AS1000" s="56">
        <f t="shared" si="889"/>
        <v>4.6948356807511742E-2</v>
      </c>
      <c r="AT1000" s="56">
        <f t="shared" si="919"/>
        <v>0.23474178403755869</v>
      </c>
      <c r="AU1000" s="56">
        <f t="shared" si="890"/>
        <v>0.176056338028169</v>
      </c>
      <c r="AV1000" s="56">
        <f t="shared" si="920"/>
        <v>5.8685446009389672E-2</v>
      </c>
      <c r="AW1000" s="57"/>
      <c r="AX1000" s="57"/>
      <c r="AY1000" s="57"/>
      <c r="AZ1000" s="58">
        <f t="shared" si="921"/>
        <v>0</v>
      </c>
      <c r="BA1000" s="59">
        <f t="shared" si="922"/>
        <v>0</v>
      </c>
      <c r="BB1000" s="59">
        <f t="shared" si="923"/>
        <v>0</v>
      </c>
      <c r="BC1000" s="59">
        <f t="shared" si="924"/>
        <v>0</v>
      </c>
      <c r="BD1000" s="60">
        <f t="shared" si="925"/>
        <v>0</v>
      </c>
      <c r="BE1000" s="59">
        <f t="shared" si="926"/>
        <v>0</v>
      </c>
      <c r="BQ1000" s="61">
        <v>3000</v>
      </c>
      <c r="BR1000" s="61">
        <v>1200</v>
      </c>
      <c r="BS1000" s="28">
        <f t="shared" si="891"/>
        <v>2980</v>
      </c>
      <c r="BT1000" s="28">
        <f t="shared" si="892"/>
        <v>1180</v>
      </c>
      <c r="BU1000" s="28" t="s">
        <v>2541</v>
      </c>
      <c r="BV1000" s="28">
        <f t="shared" si="893"/>
        <v>5</v>
      </c>
      <c r="BW1000" s="28">
        <f t="shared" si="894"/>
        <v>5</v>
      </c>
      <c r="BX1000" s="13">
        <f t="shared" si="895"/>
        <v>596</v>
      </c>
      <c r="BY1000" s="13">
        <f t="shared" si="896"/>
        <v>596</v>
      </c>
      <c r="BZ1000" s="13">
        <f t="shared" si="897"/>
        <v>236</v>
      </c>
      <c r="CA1000" s="13">
        <f t="shared" si="898"/>
        <v>236</v>
      </c>
      <c r="CB1000" s="13">
        <f t="shared" si="899"/>
        <v>140656</v>
      </c>
      <c r="CC1000" s="62" t="str">
        <f t="shared" si="900"/>
        <v/>
      </c>
      <c r="CD1000" s="13">
        <f t="shared" si="901"/>
        <v>596</v>
      </c>
      <c r="CE1000" s="13">
        <f t="shared" si="902"/>
        <v>596</v>
      </c>
      <c r="CF1000" s="13">
        <f t="shared" si="903"/>
        <v>236</v>
      </c>
      <c r="CG1000" s="13">
        <f t="shared" si="904"/>
        <v>236</v>
      </c>
      <c r="CH1000" s="28">
        <f t="shared" si="905"/>
        <v>140656</v>
      </c>
      <c r="CI1000" s="62" t="str">
        <f t="shared" si="906"/>
        <v/>
      </c>
      <c r="CJ1000" s="59">
        <f t="shared" si="907"/>
        <v>0</v>
      </c>
      <c r="CL1000" s="63">
        <v>6000</v>
      </c>
      <c r="CM1000" s="63">
        <f t="shared" si="908"/>
        <v>0</v>
      </c>
      <c r="CN1000" s="63">
        <f t="shared" si="909"/>
        <v>5</v>
      </c>
      <c r="CO1000" s="63">
        <f t="shared" si="910"/>
        <v>1200</v>
      </c>
      <c r="CP1000" s="13">
        <f t="shared" si="911"/>
        <v>1200</v>
      </c>
      <c r="CQ1000" s="70">
        <f t="shared" si="912"/>
        <v>8.3333333333333339E-4</v>
      </c>
      <c r="CR1000" s="69">
        <f t="shared" si="931"/>
        <v>1.6666666666666668E-3</v>
      </c>
    </row>
    <row r="1001" spans="1:96" hidden="1" x14ac:dyDescent="0.25">
      <c r="A1001" s="17">
        <v>5</v>
      </c>
      <c r="B1001" s="6" t="s">
        <v>1882</v>
      </c>
      <c r="C1001" s="17" t="s">
        <v>534</v>
      </c>
      <c r="D1001" s="17" t="s">
        <v>2270</v>
      </c>
      <c r="E1001" s="17" t="s">
        <v>52</v>
      </c>
      <c r="F1001" s="7">
        <f t="shared" si="881"/>
        <v>21</v>
      </c>
      <c r="G1001" s="17">
        <v>1</v>
      </c>
      <c r="H1001" s="17">
        <f>G1001*$H$1000</f>
        <v>2</v>
      </c>
      <c r="I1001" s="17">
        <v>1</v>
      </c>
      <c r="J1001" s="6" t="s">
        <v>101</v>
      </c>
      <c r="K1001" s="6" t="s">
        <v>34</v>
      </c>
      <c r="L1001" s="17" t="s">
        <v>110</v>
      </c>
      <c r="M1001" s="6" t="s">
        <v>35</v>
      </c>
      <c r="N1001" s="17" t="s">
        <v>535</v>
      </c>
      <c r="O1001" s="28" t="s">
        <v>41</v>
      </c>
      <c r="P1001" s="28" t="s">
        <v>41</v>
      </c>
      <c r="Q1001" s="28" t="s">
        <v>535</v>
      </c>
      <c r="R1001" s="30">
        <v>0.98</v>
      </c>
      <c r="S1001" s="30">
        <v>0.98</v>
      </c>
      <c r="T1001" s="30"/>
      <c r="U1001" s="30">
        <v>0.11811023622047245</v>
      </c>
      <c r="V1001" s="8">
        <f t="shared" si="882"/>
        <v>24.891999999999999</v>
      </c>
      <c r="W1001" s="8">
        <f t="shared" si="883"/>
        <v>24.891999999999999</v>
      </c>
      <c r="X1001" s="8">
        <f t="shared" si="884"/>
        <v>0</v>
      </c>
      <c r="Y1001" s="33">
        <f t="shared" si="885"/>
        <v>3</v>
      </c>
      <c r="Z1001" s="28" t="s">
        <v>536</v>
      </c>
      <c r="AA1001" s="28" t="s">
        <v>537</v>
      </c>
      <c r="AB1001" s="61" t="s">
        <v>535</v>
      </c>
      <c r="AC1001" s="31" t="s">
        <v>538</v>
      </c>
      <c r="AD1001" s="50">
        <f t="shared" si="886"/>
        <v>2</v>
      </c>
      <c r="AE1001" s="31"/>
      <c r="AF1001" s="51">
        <v>14</v>
      </c>
      <c r="AG1001" s="51">
        <f t="shared" si="913"/>
        <v>8.4</v>
      </c>
      <c r="AH1001" s="51">
        <f t="shared" si="880"/>
        <v>42</v>
      </c>
      <c r="AI1001" s="52" t="s">
        <v>2497</v>
      </c>
      <c r="AJ1001" s="52" t="s">
        <v>2498</v>
      </c>
      <c r="AK1001" s="53">
        <f t="shared" si="914"/>
        <v>1.239223328E-3</v>
      </c>
      <c r="AL1001" s="54">
        <f t="shared" si="915"/>
        <v>0.11904761904761904</v>
      </c>
      <c r="AM1001" s="54">
        <f t="shared" si="916"/>
        <v>2.3809523809523808E-2</v>
      </c>
      <c r="AN1001" s="55">
        <f t="shared" si="917"/>
        <v>2.9505317333333335E-4</v>
      </c>
      <c r="AO1001" s="55">
        <f t="shared" si="918"/>
        <v>5.9010634666666666E-5</v>
      </c>
      <c r="AP1001" s="53">
        <v>7.1</v>
      </c>
      <c r="AQ1001" s="53">
        <f t="shared" si="887"/>
        <v>4.26</v>
      </c>
      <c r="AR1001" s="53">
        <f t="shared" si="888"/>
        <v>21.299999999999997</v>
      </c>
      <c r="AS1001" s="56">
        <f t="shared" si="889"/>
        <v>4.6948356807511742E-2</v>
      </c>
      <c r="AT1001" s="56">
        <f t="shared" si="919"/>
        <v>0.23474178403755869</v>
      </c>
      <c r="AU1001" s="56">
        <f t="shared" si="890"/>
        <v>0.176056338028169</v>
      </c>
      <c r="AV1001" s="56">
        <f t="shared" si="920"/>
        <v>5.8685446009389672E-2</v>
      </c>
      <c r="AW1001" s="57"/>
      <c r="AX1001" s="57"/>
      <c r="AY1001" s="57"/>
      <c r="AZ1001" s="58">
        <f t="shared" si="921"/>
        <v>1.239223328E-3</v>
      </c>
      <c r="BA1001" s="59">
        <f t="shared" si="922"/>
        <v>0</v>
      </c>
      <c r="BB1001" s="59">
        <f t="shared" si="923"/>
        <v>0</v>
      </c>
      <c r="BC1001" s="59">
        <f t="shared" si="924"/>
        <v>0</v>
      </c>
      <c r="BD1001" s="60">
        <f t="shared" si="925"/>
        <v>2.5900025900025902E-4</v>
      </c>
      <c r="BE1001" s="59">
        <f t="shared" si="926"/>
        <v>5.1800051800051804E-4</v>
      </c>
      <c r="BQ1001" s="61">
        <v>3000</v>
      </c>
      <c r="BR1001" s="61">
        <v>1200</v>
      </c>
      <c r="BS1001" s="28">
        <f t="shared" si="891"/>
        <v>2980</v>
      </c>
      <c r="BT1001" s="28">
        <f t="shared" si="892"/>
        <v>1180</v>
      </c>
      <c r="BU1001" s="28" t="s">
        <v>2541</v>
      </c>
      <c r="BV1001" s="28">
        <f t="shared" si="893"/>
        <v>29.891999999999999</v>
      </c>
      <c r="BW1001" s="28">
        <f t="shared" si="894"/>
        <v>29.891999999999999</v>
      </c>
      <c r="BX1001" s="13">
        <f t="shared" si="895"/>
        <v>99.692225344573799</v>
      </c>
      <c r="BY1001" s="13">
        <f t="shared" si="896"/>
        <v>99</v>
      </c>
      <c r="BZ1001" s="13">
        <f t="shared" si="897"/>
        <v>39.475444935099695</v>
      </c>
      <c r="CA1001" s="13">
        <f t="shared" si="898"/>
        <v>39</v>
      </c>
      <c r="CB1001" s="13">
        <f t="shared" si="899"/>
        <v>3861</v>
      </c>
      <c r="CC1001" s="62">
        <f t="shared" si="900"/>
        <v>2.5900025900025902E-4</v>
      </c>
      <c r="CD1001" s="13">
        <f t="shared" si="901"/>
        <v>99.692225344573799</v>
      </c>
      <c r="CE1001" s="13">
        <f t="shared" si="902"/>
        <v>99</v>
      </c>
      <c r="CF1001" s="13">
        <f t="shared" si="903"/>
        <v>39.475444935099695</v>
      </c>
      <c r="CG1001" s="13">
        <f t="shared" si="904"/>
        <v>39</v>
      </c>
      <c r="CH1001" s="28">
        <f t="shared" si="905"/>
        <v>3861</v>
      </c>
      <c r="CI1001" s="62">
        <f t="shared" si="906"/>
        <v>2.5900025900025902E-4</v>
      </c>
      <c r="CJ1001" s="59">
        <f t="shared" si="907"/>
        <v>2.5900025900025902E-4</v>
      </c>
      <c r="CL1001" s="63">
        <v>6000</v>
      </c>
      <c r="CM1001" s="63">
        <f t="shared" si="908"/>
        <v>24.891999999999999</v>
      </c>
      <c r="CN1001" s="63">
        <f t="shared" si="909"/>
        <v>29.891999999999999</v>
      </c>
      <c r="CO1001" s="63">
        <f t="shared" si="910"/>
        <v>200.72260136491369</v>
      </c>
      <c r="CP1001" s="13">
        <f t="shared" si="911"/>
        <v>200</v>
      </c>
      <c r="CQ1001" s="70">
        <f t="shared" si="912"/>
        <v>5.0000000000000001E-3</v>
      </c>
      <c r="CR1001" s="69">
        <f t="shared" si="931"/>
        <v>0.01</v>
      </c>
    </row>
    <row r="1002" spans="1:96" hidden="1" x14ac:dyDescent="0.25">
      <c r="A1002" s="17">
        <v>5</v>
      </c>
      <c r="B1002" s="6" t="s">
        <v>1882</v>
      </c>
      <c r="C1002" s="17" t="s">
        <v>539</v>
      </c>
      <c r="D1002" s="17" t="s">
        <v>2270</v>
      </c>
      <c r="E1002" s="17" t="s">
        <v>52</v>
      </c>
      <c r="F1002" s="7">
        <f t="shared" si="881"/>
        <v>21</v>
      </c>
      <c r="G1002" s="17">
        <v>1</v>
      </c>
      <c r="H1002" s="17">
        <f>G1002*$H$1000</f>
        <v>2</v>
      </c>
      <c r="I1002" s="17">
        <v>2</v>
      </c>
      <c r="J1002" s="6" t="s">
        <v>101</v>
      </c>
      <c r="K1002" s="6" t="s">
        <v>34</v>
      </c>
      <c r="L1002" s="17" t="s">
        <v>110</v>
      </c>
      <c r="M1002" s="6" t="s">
        <v>35</v>
      </c>
      <c r="N1002" s="17" t="s">
        <v>540</v>
      </c>
      <c r="O1002" s="28" t="s">
        <v>41</v>
      </c>
      <c r="P1002" s="28" t="s">
        <v>41</v>
      </c>
      <c r="Q1002" s="28" t="s">
        <v>540</v>
      </c>
      <c r="R1002" s="30">
        <v>0.98</v>
      </c>
      <c r="S1002" s="30">
        <v>0.98</v>
      </c>
      <c r="T1002" s="30"/>
      <c r="U1002" s="30">
        <v>0.47244094488188981</v>
      </c>
      <c r="V1002" s="8">
        <f t="shared" si="882"/>
        <v>24.891999999999999</v>
      </c>
      <c r="W1002" s="8">
        <f t="shared" si="883"/>
        <v>24.891999999999999</v>
      </c>
      <c r="X1002" s="8">
        <f t="shared" si="884"/>
        <v>0</v>
      </c>
      <c r="Y1002" s="33">
        <f t="shared" si="885"/>
        <v>12</v>
      </c>
      <c r="Z1002" s="28" t="s">
        <v>731</v>
      </c>
      <c r="AA1002" s="28" t="s">
        <v>251</v>
      </c>
      <c r="AB1002" s="61" t="s">
        <v>540</v>
      </c>
      <c r="AC1002" s="31" t="s">
        <v>541</v>
      </c>
      <c r="AD1002" s="50">
        <f t="shared" si="886"/>
        <v>2</v>
      </c>
      <c r="AE1002" s="31"/>
      <c r="AF1002" s="51">
        <v>14</v>
      </c>
      <c r="AG1002" s="51">
        <f t="shared" si="913"/>
        <v>8.4</v>
      </c>
      <c r="AH1002" s="51">
        <f t="shared" si="880"/>
        <v>42</v>
      </c>
      <c r="AI1002" s="52" t="s">
        <v>2497</v>
      </c>
      <c r="AJ1002" s="52" t="s">
        <v>2498</v>
      </c>
      <c r="AK1002" s="53">
        <f t="shared" si="914"/>
        <v>1.239223328E-3</v>
      </c>
      <c r="AL1002" s="54">
        <f t="shared" si="915"/>
        <v>0.11904761904761904</v>
      </c>
      <c r="AM1002" s="54">
        <f t="shared" si="916"/>
        <v>2.3809523809523808E-2</v>
      </c>
      <c r="AN1002" s="55">
        <f t="shared" si="917"/>
        <v>2.9505317333333335E-4</v>
      </c>
      <c r="AO1002" s="55">
        <f t="shared" si="918"/>
        <v>5.9010634666666666E-5</v>
      </c>
      <c r="AP1002" s="53">
        <v>7.1</v>
      </c>
      <c r="AQ1002" s="53">
        <f t="shared" si="887"/>
        <v>4.26</v>
      </c>
      <c r="AR1002" s="53">
        <f t="shared" si="888"/>
        <v>21.299999999999997</v>
      </c>
      <c r="AS1002" s="56">
        <f t="shared" si="889"/>
        <v>4.6948356807511742E-2</v>
      </c>
      <c r="AT1002" s="56">
        <f t="shared" si="919"/>
        <v>0.23474178403755869</v>
      </c>
      <c r="AU1002" s="56">
        <f t="shared" si="890"/>
        <v>0.176056338028169</v>
      </c>
      <c r="AV1002" s="56">
        <f t="shared" si="920"/>
        <v>5.8685446009389672E-2</v>
      </c>
      <c r="AW1002" s="57"/>
      <c r="AX1002" s="57"/>
      <c r="AY1002" s="57"/>
      <c r="AZ1002" s="58">
        <f t="shared" si="921"/>
        <v>1.239223328E-3</v>
      </c>
      <c r="BA1002" s="59">
        <f t="shared" si="922"/>
        <v>0</v>
      </c>
      <c r="BB1002" s="59">
        <f t="shared" si="923"/>
        <v>0</v>
      </c>
      <c r="BC1002" s="59">
        <f t="shared" si="924"/>
        <v>0</v>
      </c>
      <c r="BD1002" s="60">
        <f t="shared" si="925"/>
        <v>2.5900025900025902E-4</v>
      </c>
      <c r="BE1002" s="59">
        <f t="shared" si="926"/>
        <v>5.1800051800051804E-4</v>
      </c>
      <c r="BQ1002" s="61">
        <v>3000</v>
      </c>
      <c r="BR1002" s="61">
        <v>1200</v>
      </c>
      <c r="BS1002" s="28">
        <f t="shared" si="891"/>
        <v>2980</v>
      </c>
      <c r="BT1002" s="28">
        <f t="shared" si="892"/>
        <v>1180</v>
      </c>
      <c r="BU1002" s="28" t="s">
        <v>2541</v>
      </c>
      <c r="BV1002" s="28">
        <f t="shared" si="893"/>
        <v>29.891999999999999</v>
      </c>
      <c r="BW1002" s="28">
        <f t="shared" si="894"/>
        <v>29.891999999999999</v>
      </c>
      <c r="BX1002" s="13">
        <f t="shared" si="895"/>
        <v>99.692225344573799</v>
      </c>
      <c r="BY1002" s="13">
        <f t="shared" si="896"/>
        <v>99</v>
      </c>
      <c r="BZ1002" s="13">
        <f t="shared" si="897"/>
        <v>39.475444935099695</v>
      </c>
      <c r="CA1002" s="13">
        <f t="shared" si="898"/>
        <v>39</v>
      </c>
      <c r="CB1002" s="13">
        <f t="shared" si="899"/>
        <v>3861</v>
      </c>
      <c r="CC1002" s="62">
        <f t="shared" si="900"/>
        <v>2.5900025900025902E-4</v>
      </c>
      <c r="CD1002" s="13">
        <f t="shared" si="901"/>
        <v>99.692225344573799</v>
      </c>
      <c r="CE1002" s="13">
        <f t="shared" si="902"/>
        <v>99</v>
      </c>
      <c r="CF1002" s="13">
        <f t="shared" si="903"/>
        <v>39.475444935099695</v>
      </c>
      <c r="CG1002" s="13">
        <f t="shared" si="904"/>
        <v>39</v>
      </c>
      <c r="CH1002" s="28">
        <f t="shared" si="905"/>
        <v>3861</v>
      </c>
      <c r="CI1002" s="62">
        <f t="shared" si="906"/>
        <v>2.5900025900025902E-4</v>
      </c>
      <c r="CJ1002" s="59">
        <f t="shared" si="907"/>
        <v>2.5900025900025902E-4</v>
      </c>
      <c r="CL1002" s="63">
        <v>6000</v>
      </c>
      <c r="CM1002" s="63">
        <f t="shared" si="908"/>
        <v>24.891999999999999</v>
      </c>
      <c r="CN1002" s="63">
        <f t="shared" si="909"/>
        <v>29.891999999999999</v>
      </c>
      <c r="CO1002" s="63">
        <f t="shared" si="910"/>
        <v>200.72260136491369</v>
      </c>
      <c r="CP1002" s="13">
        <f t="shared" si="911"/>
        <v>200</v>
      </c>
      <c r="CQ1002" s="70">
        <f t="shared" si="912"/>
        <v>5.0000000000000001E-3</v>
      </c>
      <c r="CR1002" s="69">
        <f t="shared" si="931"/>
        <v>0.01</v>
      </c>
    </row>
    <row r="1003" spans="1:96" hidden="1" x14ac:dyDescent="0.25">
      <c r="A1003" s="13">
        <v>4</v>
      </c>
      <c r="B1003" s="14" t="s">
        <v>2115</v>
      </c>
      <c r="C1003" s="13" t="s">
        <v>1952</v>
      </c>
      <c r="D1003" s="13" t="s">
        <v>2270</v>
      </c>
      <c r="E1003" s="13" t="s">
        <v>52</v>
      </c>
      <c r="F1003" s="15">
        <f t="shared" si="881"/>
        <v>4</v>
      </c>
      <c r="G1003" s="13">
        <v>1</v>
      </c>
      <c r="H1003" s="13">
        <f t="shared" ref="H1003:H1004" si="932">G1003*$H$998</f>
        <v>1</v>
      </c>
      <c r="I1003" s="13">
        <v>5</v>
      </c>
      <c r="J1003" s="14" t="s">
        <v>911</v>
      </c>
      <c r="K1003" s="14" t="s">
        <v>34</v>
      </c>
      <c r="L1003" s="13">
        <v>0</v>
      </c>
      <c r="M1003" s="14" t="s">
        <v>35</v>
      </c>
      <c r="N1003" s="13" t="s">
        <v>1953</v>
      </c>
      <c r="O1003" s="28"/>
      <c r="P1003" s="28"/>
      <c r="Q1003" s="28" t="s">
        <v>124</v>
      </c>
      <c r="R1003" s="30">
        <v>53.701000000000001</v>
      </c>
      <c r="S1003" s="30">
        <v>2.48</v>
      </c>
      <c r="T1003" s="30"/>
      <c r="U1003" s="30">
        <v>9.8000000000000004E-2</v>
      </c>
      <c r="V1003" s="8">
        <f t="shared" si="882"/>
        <v>1364.0054</v>
      </c>
      <c r="W1003" s="8">
        <f t="shared" si="883"/>
        <v>62.991999999999997</v>
      </c>
      <c r="X1003" s="8">
        <f t="shared" si="884"/>
        <v>0</v>
      </c>
      <c r="Y1003" s="33">
        <f t="shared" si="885"/>
        <v>2.4891999999999999</v>
      </c>
      <c r="Z1003" s="28" t="s">
        <v>56</v>
      </c>
      <c r="AA1003" s="28" t="s">
        <v>57</v>
      </c>
      <c r="AB1003" s="61" t="s">
        <v>124</v>
      </c>
      <c r="AC1003" s="31" t="s">
        <v>125</v>
      </c>
      <c r="AD1003" s="50">
        <f t="shared" si="886"/>
        <v>1</v>
      </c>
      <c r="AE1003" s="31"/>
      <c r="AF1003" s="51">
        <v>14</v>
      </c>
      <c r="AG1003" s="51">
        <f t="shared" si="913"/>
        <v>8.4</v>
      </c>
      <c r="AH1003" s="51">
        <f t="shared" si="880"/>
        <v>42</v>
      </c>
      <c r="AI1003" s="52" t="s">
        <v>2497</v>
      </c>
      <c r="AJ1003" s="52" t="s">
        <v>2498</v>
      </c>
      <c r="AK1003" s="53">
        <f t="shared" si="914"/>
        <v>0.1718428563136</v>
      </c>
      <c r="AL1003" s="54">
        <f t="shared" si="915"/>
        <v>0.11904761904761904</v>
      </c>
      <c r="AM1003" s="54">
        <f t="shared" si="916"/>
        <v>2.3809523809523808E-2</v>
      </c>
      <c r="AN1003" s="55">
        <f t="shared" si="917"/>
        <v>2.045748289447619E-2</v>
      </c>
      <c r="AO1003" s="55">
        <f t="shared" si="918"/>
        <v>4.0914965788952373E-3</v>
      </c>
      <c r="AP1003" s="53">
        <v>7.1</v>
      </c>
      <c r="AQ1003" s="53">
        <f t="shared" si="887"/>
        <v>4.26</v>
      </c>
      <c r="AR1003" s="53">
        <f t="shared" si="888"/>
        <v>21.299999999999997</v>
      </c>
      <c r="AS1003" s="56">
        <f t="shared" si="889"/>
        <v>4.6948356807511742E-2</v>
      </c>
      <c r="AT1003" s="56">
        <f t="shared" si="919"/>
        <v>0.23474178403755869</v>
      </c>
      <c r="AU1003" s="56">
        <f t="shared" si="890"/>
        <v>0.176056338028169</v>
      </c>
      <c r="AV1003" s="56">
        <f t="shared" si="920"/>
        <v>5.8685446009389672E-2</v>
      </c>
      <c r="AW1003" s="57"/>
      <c r="AX1003" s="57"/>
      <c r="AY1003" s="57"/>
      <c r="AZ1003" s="58">
        <f t="shared" si="921"/>
        <v>0.1718428563136</v>
      </c>
      <c r="BA1003" s="59">
        <f t="shared" si="922"/>
        <v>0</v>
      </c>
      <c r="BB1003" s="59">
        <f t="shared" si="923"/>
        <v>0</v>
      </c>
      <c r="BC1003" s="59">
        <f t="shared" si="924"/>
        <v>0</v>
      </c>
      <c r="BD1003" s="60">
        <f t="shared" si="925"/>
        <v>2.9411764705882353E-2</v>
      </c>
      <c r="BE1003" s="59">
        <f t="shared" si="926"/>
        <v>2.9411764705882353E-2</v>
      </c>
      <c r="BQ1003" s="61">
        <v>3000</v>
      </c>
      <c r="BR1003" s="61">
        <v>1200</v>
      </c>
      <c r="BS1003" s="28">
        <f t="shared" si="891"/>
        <v>2980</v>
      </c>
      <c r="BT1003" s="28">
        <f t="shared" si="892"/>
        <v>1180</v>
      </c>
      <c r="BU1003" s="28" t="s">
        <v>2541</v>
      </c>
      <c r="BV1003" s="28">
        <f t="shared" si="893"/>
        <v>1369.0054</v>
      </c>
      <c r="BW1003" s="28">
        <f t="shared" si="894"/>
        <v>67.99199999999999</v>
      </c>
      <c r="BX1003" s="13">
        <f t="shared" si="895"/>
        <v>2.1767627797523663</v>
      </c>
      <c r="BY1003" s="13">
        <f t="shared" si="896"/>
        <v>2</v>
      </c>
      <c r="BZ1003" s="13">
        <f t="shared" si="897"/>
        <v>17.354982939169318</v>
      </c>
      <c r="CA1003" s="13">
        <f t="shared" si="898"/>
        <v>17</v>
      </c>
      <c r="CB1003" s="13">
        <f t="shared" si="899"/>
        <v>34</v>
      </c>
      <c r="CC1003" s="62">
        <f t="shared" si="900"/>
        <v>2.9411764705882353E-2</v>
      </c>
      <c r="CD1003" s="13">
        <f t="shared" si="901"/>
        <v>43.828685727732683</v>
      </c>
      <c r="CE1003" s="13">
        <f t="shared" si="902"/>
        <v>43</v>
      </c>
      <c r="CF1003" s="13">
        <f t="shared" si="903"/>
        <v>0.86193962419724568</v>
      </c>
      <c r="CG1003" s="13">
        <f t="shared" si="904"/>
        <v>0</v>
      </c>
      <c r="CH1003" s="28">
        <f t="shared" si="905"/>
        <v>0</v>
      </c>
      <c r="CI1003" s="62">
        <f t="shared" si="906"/>
        <v>1</v>
      </c>
      <c r="CJ1003" s="59">
        <f t="shared" si="907"/>
        <v>2.9411764705882353E-2</v>
      </c>
      <c r="CL1003" s="63">
        <v>6000</v>
      </c>
      <c r="CM1003" s="63">
        <f t="shared" si="908"/>
        <v>1364.0054</v>
      </c>
      <c r="CN1003" s="63">
        <f t="shared" si="909"/>
        <v>1369.0054</v>
      </c>
      <c r="CO1003" s="63">
        <f t="shared" si="910"/>
        <v>4.3827438518504014</v>
      </c>
      <c r="CP1003" s="13">
        <f t="shared" si="911"/>
        <v>4</v>
      </c>
      <c r="CQ1003" s="70">
        <f t="shared" si="912"/>
        <v>0.25</v>
      </c>
      <c r="CR1003" s="69">
        <f t="shared" si="931"/>
        <v>0.25</v>
      </c>
    </row>
    <row r="1004" spans="1:96" hidden="1" x14ac:dyDescent="0.25">
      <c r="A1004" s="13">
        <v>4</v>
      </c>
      <c r="B1004" s="14" t="s">
        <v>2115</v>
      </c>
      <c r="C1004" s="13" t="s">
        <v>2116</v>
      </c>
      <c r="D1004" s="13" t="s">
        <v>2270</v>
      </c>
      <c r="E1004" s="13" t="s">
        <v>32</v>
      </c>
      <c r="F1004" s="15">
        <f t="shared" si="881"/>
        <v>1</v>
      </c>
      <c r="G1004" s="13">
        <v>1</v>
      </c>
      <c r="H1004" s="13">
        <f t="shared" si="932"/>
        <v>1</v>
      </c>
      <c r="I1004" s="13">
        <v>10</v>
      </c>
      <c r="J1004" s="14" t="s">
        <v>1867</v>
      </c>
      <c r="K1004" s="14" t="s">
        <v>34</v>
      </c>
      <c r="L1004" s="13">
        <v>0</v>
      </c>
      <c r="M1004" s="14" t="s">
        <v>35</v>
      </c>
      <c r="N1004" s="13" t="s">
        <v>2117</v>
      </c>
      <c r="O1004" s="28"/>
      <c r="P1004" s="28"/>
      <c r="Q1004" s="28"/>
      <c r="R1004" s="30"/>
      <c r="S1004" s="30"/>
      <c r="T1004" s="30"/>
      <c r="U1004" s="30"/>
      <c r="V1004" s="8">
        <f t="shared" si="882"/>
        <v>0</v>
      </c>
      <c r="W1004" s="8">
        <f t="shared" si="883"/>
        <v>0</v>
      </c>
      <c r="X1004" s="8">
        <f t="shared" si="884"/>
        <v>0</v>
      </c>
      <c r="Y1004" s="33">
        <f t="shared" si="885"/>
        <v>0</v>
      </c>
      <c r="Z1004" s="28"/>
      <c r="AA1004" s="28"/>
      <c r="AB1004" s="28">
        <v>0</v>
      </c>
      <c r="AC1004" s="31"/>
      <c r="AD1004" s="50">
        <f t="shared" si="886"/>
        <v>1</v>
      </c>
      <c r="AE1004" s="31"/>
      <c r="AF1004" s="51">
        <v>14</v>
      </c>
      <c r="AG1004" s="51">
        <f t="shared" si="913"/>
        <v>8.4</v>
      </c>
      <c r="AH1004" s="51">
        <f t="shared" si="880"/>
        <v>42</v>
      </c>
      <c r="AI1004" s="52" t="s">
        <v>2497</v>
      </c>
      <c r="AJ1004" s="52" t="s">
        <v>2498</v>
      </c>
      <c r="AK1004" s="53">
        <f t="shared" si="914"/>
        <v>0</v>
      </c>
      <c r="AL1004" s="54">
        <f t="shared" si="915"/>
        <v>0.11904761904761904</v>
      </c>
      <c r="AM1004" s="54">
        <f t="shared" si="916"/>
        <v>2.3809523809523808E-2</v>
      </c>
      <c r="AN1004" s="55">
        <f t="shared" si="917"/>
        <v>0</v>
      </c>
      <c r="AO1004" s="55">
        <f t="shared" si="918"/>
        <v>0</v>
      </c>
      <c r="AP1004" s="53">
        <v>7.1</v>
      </c>
      <c r="AQ1004" s="53">
        <f t="shared" si="887"/>
        <v>4.26</v>
      </c>
      <c r="AR1004" s="53">
        <f t="shared" si="888"/>
        <v>21.299999999999997</v>
      </c>
      <c r="AS1004" s="56">
        <f t="shared" si="889"/>
        <v>4.6948356807511742E-2</v>
      </c>
      <c r="AT1004" s="56">
        <f t="shared" si="919"/>
        <v>0.23474178403755869</v>
      </c>
      <c r="AU1004" s="56">
        <f t="shared" si="890"/>
        <v>0.176056338028169</v>
      </c>
      <c r="AV1004" s="56">
        <f t="shared" si="920"/>
        <v>5.8685446009389672E-2</v>
      </c>
      <c r="AW1004" s="57"/>
      <c r="AX1004" s="57"/>
      <c r="AY1004" s="57"/>
      <c r="AZ1004" s="58">
        <f t="shared" si="921"/>
        <v>0</v>
      </c>
      <c r="BA1004" s="59">
        <f t="shared" si="922"/>
        <v>0</v>
      </c>
      <c r="BB1004" s="59">
        <f t="shared" si="923"/>
        <v>0</v>
      </c>
      <c r="BC1004" s="59">
        <f t="shared" si="924"/>
        <v>0</v>
      </c>
      <c r="BD1004" s="60">
        <f t="shared" si="925"/>
        <v>0</v>
      </c>
      <c r="BE1004" s="59">
        <f t="shared" si="926"/>
        <v>0</v>
      </c>
      <c r="BQ1004" s="61">
        <v>3000</v>
      </c>
      <c r="BR1004" s="61">
        <v>1200</v>
      </c>
      <c r="BS1004" s="28">
        <f t="shared" si="891"/>
        <v>2980</v>
      </c>
      <c r="BT1004" s="28">
        <f t="shared" si="892"/>
        <v>1180</v>
      </c>
      <c r="BU1004" s="28" t="s">
        <v>2541</v>
      </c>
      <c r="BV1004" s="28">
        <f t="shared" si="893"/>
        <v>5</v>
      </c>
      <c r="BW1004" s="28">
        <f t="shared" si="894"/>
        <v>5</v>
      </c>
      <c r="BX1004" s="13">
        <f t="shared" si="895"/>
        <v>596</v>
      </c>
      <c r="BY1004" s="13">
        <f t="shared" si="896"/>
        <v>596</v>
      </c>
      <c r="BZ1004" s="13">
        <f t="shared" si="897"/>
        <v>236</v>
      </c>
      <c r="CA1004" s="13">
        <f t="shared" si="898"/>
        <v>236</v>
      </c>
      <c r="CB1004" s="13">
        <f t="shared" si="899"/>
        <v>140656</v>
      </c>
      <c r="CC1004" s="62" t="str">
        <f t="shared" si="900"/>
        <v/>
      </c>
      <c r="CD1004" s="13">
        <f t="shared" si="901"/>
        <v>596</v>
      </c>
      <c r="CE1004" s="13">
        <f t="shared" si="902"/>
        <v>596</v>
      </c>
      <c r="CF1004" s="13">
        <f t="shared" si="903"/>
        <v>236</v>
      </c>
      <c r="CG1004" s="13">
        <f t="shared" si="904"/>
        <v>236</v>
      </c>
      <c r="CH1004" s="28">
        <f t="shared" si="905"/>
        <v>140656</v>
      </c>
      <c r="CI1004" s="62" t="str">
        <f t="shared" si="906"/>
        <v/>
      </c>
      <c r="CJ1004" s="59">
        <f t="shared" si="907"/>
        <v>0</v>
      </c>
      <c r="CL1004" s="63">
        <v>6000</v>
      </c>
      <c r="CM1004" s="63">
        <f t="shared" si="908"/>
        <v>0</v>
      </c>
      <c r="CN1004" s="63">
        <f t="shared" si="909"/>
        <v>5</v>
      </c>
      <c r="CO1004" s="63">
        <f t="shared" si="910"/>
        <v>1200</v>
      </c>
      <c r="CP1004" s="13">
        <f t="shared" si="911"/>
        <v>1200</v>
      </c>
      <c r="CQ1004" s="70">
        <f t="shared" si="912"/>
        <v>8.3333333333333339E-4</v>
      </c>
      <c r="CR1004" s="69">
        <f t="shared" si="931"/>
        <v>8.3333333333333339E-4</v>
      </c>
    </row>
    <row r="1005" spans="1:96" hidden="1" x14ac:dyDescent="0.25">
      <c r="A1005" s="17">
        <v>5</v>
      </c>
      <c r="B1005" s="6" t="s">
        <v>2118</v>
      </c>
      <c r="C1005" s="17" t="s">
        <v>2119</v>
      </c>
      <c r="D1005" s="17" t="s">
        <v>2270</v>
      </c>
      <c r="E1005" s="17" t="s">
        <v>52</v>
      </c>
      <c r="F1005" s="7">
        <f t="shared" si="881"/>
        <v>1</v>
      </c>
      <c r="G1005" s="17">
        <v>1</v>
      </c>
      <c r="H1005" s="17">
        <f>G1005*$H$1004</f>
        <v>1</v>
      </c>
      <c r="I1005" s="17">
        <v>1</v>
      </c>
      <c r="J1005" s="6" t="s">
        <v>1892</v>
      </c>
      <c r="K1005" s="6" t="s">
        <v>34</v>
      </c>
      <c r="L1005" s="17">
        <v>0</v>
      </c>
      <c r="M1005" s="6" t="s">
        <v>35</v>
      </c>
      <c r="N1005" s="17" t="s">
        <v>2120</v>
      </c>
      <c r="O1005" s="28"/>
      <c r="P1005" s="28"/>
      <c r="Q1005" s="28" t="s">
        <v>505</v>
      </c>
      <c r="R1005" s="30">
        <v>56.912999999999997</v>
      </c>
      <c r="S1005" s="30">
        <v>19.109000000000002</v>
      </c>
      <c r="T1005" s="30"/>
      <c r="U1005" s="30">
        <v>0.06</v>
      </c>
      <c r="V1005" s="8">
        <f t="shared" si="882"/>
        <v>1445.5901999999999</v>
      </c>
      <c r="W1005" s="8">
        <f t="shared" si="883"/>
        <v>485.36860000000001</v>
      </c>
      <c r="X1005" s="8">
        <f t="shared" si="884"/>
        <v>0</v>
      </c>
      <c r="Y1005" s="33">
        <f t="shared" si="885"/>
        <v>1.5239999999999998</v>
      </c>
      <c r="Z1005" s="28" t="s">
        <v>56</v>
      </c>
      <c r="AA1005" s="28" t="s">
        <v>1765</v>
      </c>
      <c r="AB1005" s="61" t="s">
        <v>505</v>
      </c>
      <c r="AC1005" s="31" t="s">
        <v>506</v>
      </c>
      <c r="AD1005" s="50">
        <f t="shared" si="886"/>
        <v>1</v>
      </c>
      <c r="AE1005" s="31"/>
      <c r="AF1005" s="51">
        <v>14</v>
      </c>
      <c r="AG1005" s="51">
        <f t="shared" si="913"/>
        <v>8.4</v>
      </c>
      <c r="AH1005" s="51">
        <f t="shared" si="880"/>
        <v>42</v>
      </c>
      <c r="AI1005" s="52" t="s">
        <v>2497</v>
      </c>
      <c r="AJ1005" s="52" t="s">
        <v>2498</v>
      </c>
      <c r="AK1005" s="53">
        <f t="shared" si="914"/>
        <v>1.4032881830954398</v>
      </c>
      <c r="AL1005" s="54">
        <f t="shared" si="915"/>
        <v>0.11904761904761904</v>
      </c>
      <c r="AM1005" s="54">
        <f t="shared" si="916"/>
        <v>2.3809523809523808E-2</v>
      </c>
      <c r="AN1005" s="55">
        <f t="shared" si="917"/>
        <v>0.1670581170351714</v>
      </c>
      <c r="AO1005" s="55">
        <f t="shared" si="918"/>
        <v>3.3411623407034276E-2</v>
      </c>
      <c r="AP1005" s="53">
        <v>7.1</v>
      </c>
      <c r="AQ1005" s="53">
        <f t="shared" si="887"/>
        <v>4.26</v>
      </c>
      <c r="AR1005" s="53">
        <f t="shared" si="888"/>
        <v>21.299999999999997</v>
      </c>
      <c r="AS1005" s="56">
        <f t="shared" si="889"/>
        <v>4.6948356807511742E-2</v>
      </c>
      <c r="AT1005" s="56">
        <f t="shared" si="919"/>
        <v>0.23474178403755869</v>
      </c>
      <c r="AU1005" s="56">
        <f t="shared" si="890"/>
        <v>0.176056338028169</v>
      </c>
      <c r="AV1005" s="56">
        <f t="shared" si="920"/>
        <v>5.8685446009389672E-2</v>
      </c>
      <c r="AW1005" s="57"/>
      <c r="AX1005" s="57"/>
      <c r="AY1005" s="57"/>
      <c r="AZ1005" s="58">
        <f t="shared" si="921"/>
        <v>1.4032881830954398</v>
      </c>
      <c r="BA1005" s="59">
        <f t="shared" si="922"/>
        <v>0</v>
      </c>
      <c r="BB1005" s="59">
        <f t="shared" si="923"/>
        <v>0</v>
      </c>
      <c r="BC1005" s="59">
        <f t="shared" si="924"/>
        <v>0</v>
      </c>
      <c r="BD1005" s="60">
        <f t="shared" si="925"/>
        <v>0.25</v>
      </c>
      <c r="BE1005" s="59">
        <f t="shared" si="926"/>
        <v>0.25</v>
      </c>
      <c r="BQ1005" s="61">
        <v>3000</v>
      </c>
      <c r="BR1005" s="61">
        <v>1200</v>
      </c>
      <c r="BS1005" s="28">
        <f t="shared" si="891"/>
        <v>2980</v>
      </c>
      <c r="BT1005" s="28">
        <f t="shared" si="892"/>
        <v>1180</v>
      </c>
      <c r="BU1005" s="28" t="s">
        <v>2541</v>
      </c>
      <c r="BV1005" s="28">
        <f t="shared" si="893"/>
        <v>1450.5901999999999</v>
      </c>
      <c r="BW1005" s="28">
        <f t="shared" si="894"/>
        <v>490.36860000000001</v>
      </c>
      <c r="BX1005" s="13">
        <f t="shared" si="895"/>
        <v>2.0543362281090829</v>
      </c>
      <c r="BY1005" s="13">
        <f t="shared" si="896"/>
        <v>2</v>
      </c>
      <c r="BZ1005" s="13">
        <f t="shared" si="897"/>
        <v>2.4063530984651136</v>
      </c>
      <c r="CA1005" s="13">
        <f t="shared" si="898"/>
        <v>2</v>
      </c>
      <c r="CB1005" s="13">
        <f t="shared" si="899"/>
        <v>4</v>
      </c>
      <c r="CC1005" s="62">
        <f t="shared" si="900"/>
        <v>0.25</v>
      </c>
      <c r="CD1005" s="13">
        <f t="shared" si="901"/>
        <v>6.0770612147678298</v>
      </c>
      <c r="CE1005" s="13">
        <f t="shared" si="902"/>
        <v>6</v>
      </c>
      <c r="CF1005" s="13">
        <f t="shared" si="903"/>
        <v>0.81346199636534156</v>
      </c>
      <c r="CG1005" s="13">
        <f t="shared" si="904"/>
        <v>0</v>
      </c>
      <c r="CH1005" s="28">
        <f t="shared" si="905"/>
        <v>0</v>
      </c>
      <c r="CI1005" s="62">
        <f t="shared" si="906"/>
        <v>1</v>
      </c>
      <c r="CJ1005" s="59">
        <f t="shared" si="907"/>
        <v>0.25</v>
      </c>
      <c r="CL1005" s="63">
        <v>6000</v>
      </c>
      <c r="CM1005" s="63">
        <f t="shared" si="908"/>
        <v>1445.5901999999999</v>
      </c>
      <c r="CN1005" s="63">
        <f t="shared" si="909"/>
        <v>1450.5901999999999</v>
      </c>
      <c r="CO1005" s="63">
        <f t="shared" si="910"/>
        <v>4.1362474391458042</v>
      </c>
      <c r="CP1005" s="13">
        <f t="shared" si="911"/>
        <v>4</v>
      </c>
      <c r="CQ1005" s="70">
        <f t="shared" si="912"/>
        <v>0.25</v>
      </c>
      <c r="CR1005" s="69">
        <f t="shared" si="931"/>
        <v>0.25</v>
      </c>
    </row>
    <row r="1006" spans="1:96" hidden="1" x14ac:dyDescent="0.25">
      <c r="A1006" s="17">
        <v>5</v>
      </c>
      <c r="B1006" s="6" t="s">
        <v>2118</v>
      </c>
      <c r="C1006" s="17" t="s">
        <v>448</v>
      </c>
      <c r="D1006" s="17" t="s">
        <v>450</v>
      </c>
      <c r="E1006" s="17" t="s">
        <v>52</v>
      </c>
      <c r="F1006" s="7">
        <f t="shared" si="881"/>
        <v>23</v>
      </c>
      <c r="G1006" s="17">
        <v>6</v>
      </c>
      <c r="H1006" s="17">
        <f>G1006*$H$1004</f>
        <v>6</v>
      </c>
      <c r="I1006" s="17">
        <v>2</v>
      </c>
      <c r="J1006" s="6" t="s">
        <v>449</v>
      </c>
      <c r="K1006" s="6" t="s">
        <v>34</v>
      </c>
      <c r="L1006" s="17">
        <v>0</v>
      </c>
      <c r="M1006" s="6" t="s">
        <v>35</v>
      </c>
      <c r="N1006" s="17" t="s">
        <v>450</v>
      </c>
      <c r="O1006" s="28"/>
      <c r="P1006" s="28"/>
      <c r="Q1006" s="28" t="s">
        <v>450</v>
      </c>
      <c r="R1006" s="30"/>
      <c r="S1006" s="30"/>
      <c r="T1006" s="30"/>
      <c r="U1006" s="30"/>
      <c r="V1006" s="8">
        <f t="shared" si="882"/>
        <v>0</v>
      </c>
      <c r="W1006" s="8">
        <f t="shared" si="883"/>
        <v>0</v>
      </c>
      <c r="X1006" s="8">
        <f t="shared" si="884"/>
        <v>0</v>
      </c>
      <c r="Y1006" s="33">
        <f t="shared" si="885"/>
        <v>0</v>
      </c>
      <c r="Z1006" s="28"/>
      <c r="AA1006" s="28"/>
      <c r="AB1006" s="61" t="s">
        <v>450</v>
      </c>
      <c r="AC1006" s="31" t="s">
        <v>451</v>
      </c>
      <c r="AD1006" s="50">
        <f t="shared" si="886"/>
        <v>6</v>
      </c>
      <c r="AE1006" s="31"/>
      <c r="AF1006" s="51">
        <v>14</v>
      </c>
      <c r="AG1006" s="51">
        <f t="shared" si="913"/>
        <v>8.4</v>
      </c>
      <c r="AH1006" s="51">
        <f t="shared" si="880"/>
        <v>42</v>
      </c>
      <c r="AI1006" s="52" t="s">
        <v>2497</v>
      </c>
      <c r="AJ1006" s="52" t="s">
        <v>2498</v>
      </c>
      <c r="AK1006" s="53">
        <f t="shared" si="914"/>
        <v>0</v>
      </c>
      <c r="AL1006" s="54">
        <f t="shared" si="915"/>
        <v>0.11904761904761904</v>
      </c>
      <c r="AM1006" s="54">
        <f t="shared" si="916"/>
        <v>2.3809523809523808E-2</v>
      </c>
      <c r="AN1006" s="55">
        <f t="shared" si="917"/>
        <v>0</v>
      </c>
      <c r="AO1006" s="55">
        <f t="shared" si="918"/>
        <v>0</v>
      </c>
      <c r="AP1006" s="53">
        <v>7.1</v>
      </c>
      <c r="AQ1006" s="53">
        <f t="shared" si="887"/>
        <v>4.26</v>
      </c>
      <c r="AR1006" s="53">
        <f t="shared" si="888"/>
        <v>21.299999999999997</v>
      </c>
      <c r="AS1006" s="56">
        <f t="shared" si="889"/>
        <v>4.6948356807511742E-2</v>
      </c>
      <c r="AT1006" s="56">
        <f t="shared" si="919"/>
        <v>0.23474178403755869</v>
      </c>
      <c r="AU1006" s="56">
        <f t="shared" si="890"/>
        <v>0.176056338028169</v>
      </c>
      <c r="AV1006" s="56">
        <f t="shared" si="920"/>
        <v>5.8685446009389672E-2</v>
      </c>
      <c r="AW1006" s="57"/>
      <c r="AX1006" s="57"/>
      <c r="AY1006" s="57"/>
      <c r="AZ1006" s="58">
        <f t="shared" si="921"/>
        <v>0</v>
      </c>
      <c r="BA1006" s="59">
        <f t="shared" si="922"/>
        <v>0</v>
      </c>
      <c r="BB1006" s="59">
        <f t="shared" si="923"/>
        <v>0</v>
      </c>
      <c r="BC1006" s="59">
        <f t="shared" si="924"/>
        <v>0</v>
      </c>
      <c r="BD1006" s="60">
        <f t="shared" si="925"/>
        <v>7.1095438516664771E-6</v>
      </c>
      <c r="BE1006" s="59">
        <f t="shared" si="926"/>
        <v>4.2657263109998864E-5</v>
      </c>
      <c r="BQ1006" s="61">
        <v>3000</v>
      </c>
      <c r="BR1006" s="61">
        <v>1200</v>
      </c>
      <c r="BS1006" s="28">
        <f t="shared" si="891"/>
        <v>2980</v>
      </c>
      <c r="BT1006" s="28">
        <f t="shared" si="892"/>
        <v>1180</v>
      </c>
      <c r="BU1006" s="28" t="s">
        <v>2541</v>
      </c>
      <c r="BV1006" s="28">
        <f t="shared" si="893"/>
        <v>5</v>
      </c>
      <c r="BW1006" s="28">
        <f t="shared" si="894"/>
        <v>5</v>
      </c>
      <c r="BX1006" s="13">
        <f t="shared" si="895"/>
        <v>596</v>
      </c>
      <c r="BY1006" s="13">
        <f t="shared" si="896"/>
        <v>596</v>
      </c>
      <c r="BZ1006" s="13">
        <f t="shared" si="897"/>
        <v>236</v>
      </c>
      <c r="CA1006" s="13">
        <f t="shared" si="898"/>
        <v>236</v>
      </c>
      <c r="CB1006" s="13">
        <f t="shared" si="899"/>
        <v>140656</v>
      </c>
      <c r="CC1006" s="62">
        <f t="shared" si="900"/>
        <v>7.1095438516664771E-6</v>
      </c>
      <c r="CD1006" s="13">
        <f t="shared" si="901"/>
        <v>596</v>
      </c>
      <c r="CE1006" s="13">
        <f t="shared" si="902"/>
        <v>596</v>
      </c>
      <c r="CF1006" s="13">
        <f t="shared" si="903"/>
        <v>236</v>
      </c>
      <c r="CG1006" s="13">
        <f t="shared" si="904"/>
        <v>236</v>
      </c>
      <c r="CH1006" s="28">
        <f t="shared" si="905"/>
        <v>140656</v>
      </c>
      <c r="CI1006" s="62">
        <f t="shared" si="906"/>
        <v>7.1095438516664771E-6</v>
      </c>
      <c r="CJ1006" s="59">
        <f t="shared" si="907"/>
        <v>7.1095438516664771E-6</v>
      </c>
      <c r="CL1006" s="63">
        <v>6000</v>
      </c>
      <c r="CM1006" s="63">
        <f t="shared" si="908"/>
        <v>0</v>
      </c>
      <c r="CN1006" s="63">
        <f t="shared" si="909"/>
        <v>5</v>
      </c>
      <c r="CO1006" s="63">
        <f t="shared" si="910"/>
        <v>1200</v>
      </c>
      <c r="CP1006" s="13">
        <f t="shared" si="911"/>
        <v>1200</v>
      </c>
      <c r="CQ1006" s="70">
        <f t="shared" si="912"/>
        <v>8.3333333333333339E-4</v>
      </c>
      <c r="CR1006" s="69">
        <f t="shared" si="931"/>
        <v>5.0000000000000001E-3</v>
      </c>
    </row>
    <row r="1007" spans="1:96" hidden="1" x14ac:dyDescent="0.25">
      <c r="A1007" s="10">
        <v>3</v>
      </c>
      <c r="B1007" s="8" t="s">
        <v>2104</v>
      </c>
      <c r="C1007" s="10" t="s">
        <v>1960</v>
      </c>
      <c r="D1007" s="10" t="s">
        <v>1961</v>
      </c>
      <c r="E1007" s="10" t="s">
        <v>52</v>
      </c>
      <c r="F1007" s="12">
        <f t="shared" si="881"/>
        <v>4</v>
      </c>
      <c r="G1007" s="10">
        <v>1</v>
      </c>
      <c r="H1007" s="10">
        <f>G1007*$H$986</f>
        <v>1</v>
      </c>
      <c r="I1007" s="10">
        <v>3</v>
      </c>
      <c r="J1007" s="8" t="s">
        <v>469</v>
      </c>
      <c r="K1007" s="8" t="s">
        <v>34</v>
      </c>
      <c r="L1007" s="10" t="s">
        <v>110</v>
      </c>
      <c r="M1007" s="8" t="s">
        <v>35</v>
      </c>
      <c r="N1007" s="10" t="s">
        <v>1961</v>
      </c>
      <c r="O1007" s="28" t="s">
        <v>41</v>
      </c>
      <c r="P1007" s="28" t="s">
        <v>41</v>
      </c>
      <c r="Q1007" s="28" t="s">
        <v>1896</v>
      </c>
      <c r="R1007" s="30"/>
      <c r="S1007" s="30"/>
      <c r="T1007" s="30"/>
      <c r="U1007" s="30"/>
      <c r="V1007" s="8">
        <f t="shared" si="882"/>
        <v>0</v>
      </c>
      <c r="W1007" s="8">
        <f t="shared" si="883"/>
        <v>0</v>
      </c>
      <c r="X1007" s="8">
        <f t="shared" si="884"/>
        <v>0</v>
      </c>
      <c r="Y1007" s="33">
        <f t="shared" si="885"/>
        <v>0</v>
      </c>
      <c r="Z1007" s="28" t="s">
        <v>1897</v>
      </c>
      <c r="AA1007" s="28" t="s">
        <v>1765</v>
      </c>
      <c r="AB1007" s="61" t="s">
        <v>1896</v>
      </c>
      <c r="AC1007" s="31" t="s">
        <v>1898</v>
      </c>
      <c r="AD1007" s="50">
        <f t="shared" si="886"/>
        <v>1</v>
      </c>
      <c r="AE1007" s="31"/>
      <c r="AF1007" s="51">
        <v>14</v>
      </c>
      <c r="AG1007" s="51">
        <f t="shared" si="913"/>
        <v>8.4</v>
      </c>
      <c r="AH1007" s="51">
        <f t="shared" si="880"/>
        <v>42</v>
      </c>
      <c r="AI1007" s="52" t="s">
        <v>2497</v>
      </c>
      <c r="AJ1007" s="52" t="s">
        <v>2498</v>
      </c>
      <c r="AK1007" s="53">
        <f t="shared" si="914"/>
        <v>0</v>
      </c>
      <c r="AL1007" s="54">
        <f t="shared" si="915"/>
        <v>0.11904761904761904</v>
      </c>
      <c r="AM1007" s="54">
        <f t="shared" si="916"/>
        <v>2.3809523809523808E-2</v>
      </c>
      <c r="AN1007" s="55">
        <f t="shared" si="917"/>
        <v>0</v>
      </c>
      <c r="AO1007" s="55">
        <f t="shared" si="918"/>
        <v>0</v>
      </c>
      <c r="AP1007" s="53">
        <v>7.1</v>
      </c>
      <c r="AQ1007" s="53">
        <f t="shared" si="887"/>
        <v>4.26</v>
      </c>
      <c r="AR1007" s="53">
        <f t="shared" si="888"/>
        <v>21.299999999999997</v>
      </c>
      <c r="AS1007" s="56">
        <f t="shared" si="889"/>
        <v>4.6948356807511742E-2</v>
      </c>
      <c r="AT1007" s="56">
        <f t="shared" si="919"/>
        <v>0.23474178403755869</v>
      </c>
      <c r="AU1007" s="56">
        <f t="shared" si="890"/>
        <v>0.176056338028169</v>
      </c>
      <c r="AV1007" s="56">
        <f t="shared" si="920"/>
        <v>5.8685446009389672E-2</v>
      </c>
      <c r="AW1007" s="57"/>
      <c r="AX1007" s="57"/>
      <c r="AY1007" s="57"/>
      <c r="AZ1007" s="58">
        <f t="shared" si="921"/>
        <v>0</v>
      </c>
      <c r="BA1007" s="59">
        <f t="shared" si="922"/>
        <v>0</v>
      </c>
      <c r="BB1007" s="59">
        <f t="shared" si="923"/>
        <v>0</v>
      </c>
      <c r="BC1007" s="59">
        <f t="shared" si="924"/>
        <v>0</v>
      </c>
      <c r="BD1007" s="60">
        <f t="shared" si="925"/>
        <v>7.1095438516664771E-6</v>
      </c>
      <c r="BE1007" s="59">
        <f t="shared" si="926"/>
        <v>7.1095438516664771E-6</v>
      </c>
      <c r="BQ1007" s="61">
        <v>3000</v>
      </c>
      <c r="BR1007" s="61">
        <v>1200</v>
      </c>
      <c r="BS1007" s="28">
        <f t="shared" si="891"/>
        <v>2980</v>
      </c>
      <c r="BT1007" s="28">
        <f t="shared" si="892"/>
        <v>1180</v>
      </c>
      <c r="BU1007" s="28" t="s">
        <v>2541</v>
      </c>
      <c r="BV1007" s="28">
        <f t="shared" si="893"/>
        <v>5</v>
      </c>
      <c r="BW1007" s="28">
        <f t="shared" si="894"/>
        <v>5</v>
      </c>
      <c r="BX1007" s="13">
        <f t="shared" si="895"/>
        <v>596</v>
      </c>
      <c r="BY1007" s="13">
        <f t="shared" si="896"/>
        <v>596</v>
      </c>
      <c r="BZ1007" s="13">
        <f t="shared" si="897"/>
        <v>236</v>
      </c>
      <c r="CA1007" s="13">
        <f t="shared" si="898"/>
        <v>236</v>
      </c>
      <c r="CB1007" s="13">
        <f t="shared" si="899"/>
        <v>140656</v>
      </c>
      <c r="CC1007" s="62">
        <f t="shared" si="900"/>
        <v>7.1095438516664771E-6</v>
      </c>
      <c r="CD1007" s="13">
        <f t="shared" si="901"/>
        <v>596</v>
      </c>
      <c r="CE1007" s="13">
        <f t="shared" si="902"/>
        <v>596</v>
      </c>
      <c r="CF1007" s="13">
        <f t="shared" si="903"/>
        <v>236</v>
      </c>
      <c r="CG1007" s="13">
        <f t="shared" si="904"/>
        <v>236</v>
      </c>
      <c r="CH1007" s="28">
        <f t="shared" si="905"/>
        <v>140656</v>
      </c>
      <c r="CI1007" s="62">
        <f t="shared" si="906"/>
        <v>7.1095438516664771E-6</v>
      </c>
      <c r="CJ1007" s="59">
        <f t="shared" si="907"/>
        <v>7.1095438516664771E-6</v>
      </c>
      <c r="CL1007" s="63">
        <v>6000</v>
      </c>
      <c r="CM1007" s="63">
        <f t="shared" si="908"/>
        <v>0</v>
      </c>
      <c r="CN1007" s="63">
        <f t="shared" si="909"/>
        <v>5</v>
      </c>
      <c r="CO1007" s="63">
        <f t="shared" si="910"/>
        <v>1200</v>
      </c>
      <c r="CP1007" s="13">
        <f t="shared" si="911"/>
        <v>1200</v>
      </c>
      <c r="CQ1007" s="70">
        <f t="shared" si="912"/>
        <v>8.3333333333333339E-4</v>
      </c>
      <c r="CR1007" s="69">
        <f t="shared" si="931"/>
        <v>8.3333333333333339E-4</v>
      </c>
    </row>
    <row r="1008" spans="1:96" hidden="1" x14ac:dyDescent="0.25">
      <c r="A1008" s="13">
        <v>4</v>
      </c>
      <c r="B1008" s="14" t="s">
        <v>1962</v>
      </c>
      <c r="C1008" s="13" t="s">
        <v>1900</v>
      </c>
      <c r="D1008" s="13" t="s">
        <v>2270</v>
      </c>
      <c r="E1008" s="13" t="s">
        <v>52</v>
      </c>
      <c r="F1008" s="15">
        <f t="shared" si="881"/>
        <v>8</v>
      </c>
      <c r="G1008" s="13">
        <v>1</v>
      </c>
      <c r="H1008" s="13">
        <f>G1008*$H$1007</f>
        <v>1</v>
      </c>
      <c r="I1008" s="13" t="s">
        <v>485</v>
      </c>
      <c r="J1008" s="14" t="s">
        <v>469</v>
      </c>
      <c r="K1008" s="14" t="s">
        <v>34</v>
      </c>
      <c r="L1008" s="13" t="s">
        <v>1901</v>
      </c>
      <c r="M1008" s="14" t="s">
        <v>35</v>
      </c>
      <c r="N1008" s="13" t="s">
        <v>1902</v>
      </c>
      <c r="O1008" s="28"/>
      <c r="P1008" s="28"/>
      <c r="Q1008" s="28" t="s">
        <v>1902</v>
      </c>
      <c r="R1008" s="30"/>
      <c r="S1008" s="30"/>
      <c r="T1008" s="30"/>
      <c r="U1008" s="30"/>
      <c r="V1008" s="8">
        <f t="shared" si="882"/>
        <v>0</v>
      </c>
      <c r="W1008" s="8">
        <f t="shared" si="883"/>
        <v>0</v>
      </c>
      <c r="X1008" s="8">
        <f t="shared" si="884"/>
        <v>0</v>
      </c>
      <c r="Y1008" s="33">
        <f t="shared" si="885"/>
        <v>0</v>
      </c>
      <c r="Z1008" s="28"/>
      <c r="AA1008" s="28"/>
      <c r="AB1008" s="28" t="s">
        <v>1902</v>
      </c>
      <c r="AC1008" s="31"/>
      <c r="AD1008" s="50">
        <f t="shared" si="886"/>
        <v>1</v>
      </c>
      <c r="AE1008" s="31"/>
      <c r="AF1008" s="51">
        <v>14</v>
      </c>
      <c r="AG1008" s="51">
        <f t="shared" si="913"/>
        <v>8.4</v>
      </c>
      <c r="AH1008" s="51">
        <f t="shared" si="880"/>
        <v>42</v>
      </c>
      <c r="AI1008" s="52" t="s">
        <v>2497</v>
      </c>
      <c r="AJ1008" s="52" t="s">
        <v>2498</v>
      </c>
      <c r="AK1008" s="53">
        <f t="shared" si="914"/>
        <v>0</v>
      </c>
      <c r="AL1008" s="54">
        <f t="shared" si="915"/>
        <v>0.11904761904761904</v>
      </c>
      <c r="AM1008" s="54">
        <f t="shared" si="916"/>
        <v>2.3809523809523808E-2</v>
      </c>
      <c r="AN1008" s="55">
        <f t="shared" si="917"/>
        <v>0</v>
      </c>
      <c r="AO1008" s="55">
        <f t="shared" si="918"/>
        <v>0</v>
      </c>
      <c r="AP1008" s="53">
        <v>7.1</v>
      </c>
      <c r="AQ1008" s="53">
        <f t="shared" si="887"/>
        <v>4.26</v>
      </c>
      <c r="AR1008" s="53">
        <f t="shared" si="888"/>
        <v>21.299999999999997</v>
      </c>
      <c r="AS1008" s="56">
        <f t="shared" si="889"/>
        <v>4.6948356807511742E-2</v>
      </c>
      <c r="AT1008" s="56">
        <f t="shared" si="919"/>
        <v>0.23474178403755869</v>
      </c>
      <c r="AU1008" s="56">
        <f t="shared" si="890"/>
        <v>0.176056338028169</v>
      </c>
      <c r="AV1008" s="56">
        <f t="shared" si="920"/>
        <v>5.8685446009389672E-2</v>
      </c>
      <c r="AW1008" s="57"/>
      <c r="AX1008" s="57"/>
      <c r="AY1008" s="57"/>
      <c r="AZ1008" s="58">
        <f t="shared" si="921"/>
        <v>0</v>
      </c>
      <c r="BA1008" s="59">
        <f t="shared" si="922"/>
        <v>0</v>
      </c>
      <c r="BB1008" s="59">
        <f t="shared" si="923"/>
        <v>0</v>
      </c>
      <c r="BC1008" s="59">
        <f t="shared" si="924"/>
        <v>0</v>
      </c>
      <c r="BD1008" s="60">
        <f t="shared" si="925"/>
        <v>7.1095438516664771E-6</v>
      </c>
      <c r="BE1008" s="59">
        <f t="shared" si="926"/>
        <v>7.1095438516664771E-6</v>
      </c>
      <c r="BQ1008" s="61">
        <v>3000</v>
      </c>
      <c r="BR1008" s="61">
        <v>1200</v>
      </c>
      <c r="BS1008" s="28">
        <f t="shared" si="891"/>
        <v>2980</v>
      </c>
      <c r="BT1008" s="28">
        <f t="shared" si="892"/>
        <v>1180</v>
      </c>
      <c r="BU1008" s="28" t="s">
        <v>2541</v>
      </c>
      <c r="BV1008" s="28">
        <f t="shared" si="893"/>
        <v>5</v>
      </c>
      <c r="BW1008" s="28">
        <f t="shared" si="894"/>
        <v>5</v>
      </c>
      <c r="BX1008" s="13">
        <f t="shared" si="895"/>
        <v>596</v>
      </c>
      <c r="BY1008" s="13">
        <f t="shared" si="896"/>
        <v>596</v>
      </c>
      <c r="BZ1008" s="13">
        <f t="shared" si="897"/>
        <v>236</v>
      </c>
      <c r="CA1008" s="13">
        <f t="shared" si="898"/>
        <v>236</v>
      </c>
      <c r="CB1008" s="13">
        <f t="shared" si="899"/>
        <v>140656</v>
      </c>
      <c r="CC1008" s="62">
        <f t="shared" si="900"/>
        <v>7.1095438516664771E-6</v>
      </c>
      <c r="CD1008" s="13">
        <f t="shared" si="901"/>
        <v>596</v>
      </c>
      <c r="CE1008" s="13">
        <f t="shared" si="902"/>
        <v>596</v>
      </c>
      <c r="CF1008" s="13">
        <f t="shared" si="903"/>
        <v>236</v>
      </c>
      <c r="CG1008" s="13">
        <f t="shared" si="904"/>
        <v>236</v>
      </c>
      <c r="CH1008" s="28">
        <f t="shared" si="905"/>
        <v>140656</v>
      </c>
      <c r="CI1008" s="62">
        <f t="shared" si="906"/>
        <v>7.1095438516664771E-6</v>
      </c>
      <c r="CJ1008" s="59">
        <f t="shared" si="907"/>
        <v>7.1095438516664771E-6</v>
      </c>
      <c r="CL1008" s="63">
        <v>6000</v>
      </c>
      <c r="CM1008" s="63">
        <f t="shared" si="908"/>
        <v>0</v>
      </c>
      <c r="CN1008" s="63">
        <f t="shared" si="909"/>
        <v>5</v>
      </c>
      <c r="CO1008" s="63">
        <f t="shared" si="910"/>
        <v>1200</v>
      </c>
      <c r="CP1008" s="13">
        <f t="shared" si="911"/>
        <v>1200</v>
      </c>
      <c r="CQ1008" s="70">
        <f t="shared" si="912"/>
        <v>8.3333333333333339E-4</v>
      </c>
      <c r="CR1008" s="69">
        <f t="shared" si="931"/>
        <v>8.3333333333333339E-4</v>
      </c>
    </row>
    <row r="1009" spans="1:96" hidden="1" x14ac:dyDescent="0.25">
      <c r="A1009" s="10">
        <v>3</v>
      </c>
      <c r="B1009" s="8" t="s">
        <v>2104</v>
      </c>
      <c r="C1009" s="10" t="s">
        <v>1963</v>
      </c>
      <c r="D1009" s="10" t="s">
        <v>2270</v>
      </c>
      <c r="E1009" s="10" t="s">
        <v>52</v>
      </c>
      <c r="F1009" s="12">
        <f t="shared" si="881"/>
        <v>6</v>
      </c>
      <c r="G1009" s="10">
        <v>1</v>
      </c>
      <c r="H1009" s="10">
        <f t="shared" ref="H1009:H1016" si="933">G1009*$H$986</f>
        <v>1</v>
      </c>
      <c r="I1009" s="10">
        <v>4</v>
      </c>
      <c r="J1009" s="8" t="s">
        <v>1964</v>
      </c>
      <c r="K1009" s="8" t="s">
        <v>34</v>
      </c>
      <c r="L1009" s="10">
        <v>0</v>
      </c>
      <c r="M1009" s="8" t="s">
        <v>1965</v>
      </c>
      <c r="N1009" s="77" t="s">
        <v>2570</v>
      </c>
      <c r="O1009" s="28"/>
      <c r="P1009" s="28"/>
      <c r="Q1009" s="28"/>
      <c r="R1009" s="30"/>
      <c r="S1009" s="30"/>
      <c r="T1009" s="30"/>
      <c r="U1009" s="30"/>
      <c r="V1009" s="8">
        <f t="shared" si="882"/>
        <v>0</v>
      </c>
      <c r="W1009" s="8">
        <f t="shared" si="883"/>
        <v>0</v>
      </c>
      <c r="X1009" s="8">
        <f t="shared" si="884"/>
        <v>0</v>
      </c>
      <c r="Y1009" s="33">
        <f t="shared" si="885"/>
        <v>0</v>
      </c>
      <c r="Z1009" s="28"/>
      <c r="AA1009" s="28"/>
      <c r="AB1009" s="77" t="str">
        <f>N1009</f>
        <v>MTA-NOVO-1</v>
      </c>
      <c r="AC1009" s="31" t="s">
        <v>1964</v>
      </c>
      <c r="AD1009" s="50">
        <f t="shared" si="886"/>
        <v>1</v>
      </c>
      <c r="AE1009" s="47" t="s">
        <v>1966</v>
      </c>
      <c r="AF1009" s="51">
        <v>14</v>
      </c>
      <c r="AG1009" s="51">
        <f t="shared" si="913"/>
        <v>8.4</v>
      </c>
      <c r="AH1009" s="51">
        <f t="shared" si="880"/>
        <v>42</v>
      </c>
      <c r="AI1009" s="52" t="s">
        <v>2497</v>
      </c>
      <c r="AJ1009" s="52" t="s">
        <v>2498</v>
      </c>
      <c r="AK1009" s="53">
        <f t="shared" si="914"/>
        <v>0</v>
      </c>
      <c r="AL1009" s="54">
        <f t="shared" si="915"/>
        <v>0.11904761904761904</v>
      </c>
      <c r="AM1009" s="54">
        <f t="shared" si="916"/>
        <v>2.3809523809523808E-2</v>
      </c>
      <c r="AN1009" s="55">
        <f t="shared" si="917"/>
        <v>0</v>
      </c>
      <c r="AO1009" s="55">
        <f t="shared" si="918"/>
        <v>0</v>
      </c>
      <c r="AP1009" s="53">
        <v>7.1</v>
      </c>
      <c r="AQ1009" s="53">
        <f t="shared" si="887"/>
        <v>4.26</v>
      </c>
      <c r="AR1009" s="53">
        <f t="shared" si="888"/>
        <v>21.299999999999997</v>
      </c>
      <c r="AS1009" s="56">
        <f t="shared" si="889"/>
        <v>4.6948356807511742E-2</v>
      </c>
      <c r="AT1009" s="56">
        <f t="shared" si="919"/>
        <v>0.23474178403755869</v>
      </c>
      <c r="AU1009" s="56">
        <f t="shared" si="890"/>
        <v>0.176056338028169</v>
      </c>
      <c r="AV1009" s="56">
        <f t="shared" si="920"/>
        <v>5.8685446009389672E-2</v>
      </c>
      <c r="AW1009" s="57"/>
      <c r="AX1009" s="57"/>
      <c r="AY1009" s="57"/>
      <c r="AZ1009" s="58">
        <f t="shared" si="921"/>
        <v>0</v>
      </c>
      <c r="BA1009" s="59">
        <f t="shared" si="922"/>
        <v>0</v>
      </c>
      <c r="BB1009" s="59">
        <f t="shared" si="923"/>
        <v>0</v>
      </c>
      <c r="BC1009" s="59">
        <f t="shared" si="924"/>
        <v>0</v>
      </c>
      <c r="BD1009" s="60">
        <f t="shared" si="925"/>
        <v>7.1095438516664771E-6</v>
      </c>
      <c r="BE1009" s="59">
        <f t="shared" si="926"/>
        <v>7.1095438516664771E-6</v>
      </c>
      <c r="BQ1009" s="61">
        <v>3000</v>
      </c>
      <c r="BR1009" s="61">
        <v>1200</v>
      </c>
      <c r="BS1009" s="28">
        <f t="shared" si="891"/>
        <v>2980</v>
      </c>
      <c r="BT1009" s="28">
        <f t="shared" si="892"/>
        <v>1180</v>
      </c>
      <c r="BU1009" s="28" t="s">
        <v>2541</v>
      </c>
      <c r="BV1009" s="28">
        <f t="shared" si="893"/>
        <v>5</v>
      </c>
      <c r="BW1009" s="28">
        <f t="shared" si="894"/>
        <v>5</v>
      </c>
      <c r="BX1009" s="13">
        <f t="shared" si="895"/>
        <v>596</v>
      </c>
      <c r="BY1009" s="13">
        <f t="shared" si="896"/>
        <v>596</v>
      </c>
      <c r="BZ1009" s="13">
        <f t="shared" si="897"/>
        <v>236</v>
      </c>
      <c r="CA1009" s="13">
        <f t="shared" si="898"/>
        <v>236</v>
      </c>
      <c r="CB1009" s="13">
        <f t="shared" si="899"/>
        <v>140656</v>
      </c>
      <c r="CC1009" s="62">
        <f t="shared" si="900"/>
        <v>7.1095438516664771E-6</v>
      </c>
      <c r="CD1009" s="13">
        <f t="shared" si="901"/>
        <v>596</v>
      </c>
      <c r="CE1009" s="13">
        <f t="shared" si="902"/>
        <v>596</v>
      </c>
      <c r="CF1009" s="13">
        <f t="shared" si="903"/>
        <v>236</v>
      </c>
      <c r="CG1009" s="13">
        <f t="shared" si="904"/>
        <v>236</v>
      </c>
      <c r="CH1009" s="28">
        <f t="shared" si="905"/>
        <v>140656</v>
      </c>
      <c r="CI1009" s="62">
        <f t="shared" si="906"/>
        <v>7.1095438516664771E-6</v>
      </c>
      <c r="CJ1009" s="59">
        <f t="shared" si="907"/>
        <v>7.1095438516664771E-6</v>
      </c>
      <c r="CL1009" s="63">
        <v>6000</v>
      </c>
      <c r="CM1009" s="63">
        <f t="shared" si="908"/>
        <v>0</v>
      </c>
      <c r="CN1009" s="63">
        <f t="shared" si="909"/>
        <v>5</v>
      </c>
      <c r="CO1009" s="63">
        <f t="shared" si="910"/>
        <v>1200</v>
      </c>
      <c r="CP1009" s="13">
        <f t="shared" si="911"/>
        <v>1200</v>
      </c>
      <c r="CQ1009" s="70">
        <f t="shared" si="912"/>
        <v>8.3333333333333339E-4</v>
      </c>
      <c r="CR1009" s="69">
        <f t="shared" si="931"/>
        <v>8.3333333333333339E-4</v>
      </c>
    </row>
    <row r="1010" spans="1:96" hidden="1" x14ac:dyDescent="0.25">
      <c r="A1010" s="10">
        <v>3</v>
      </c>
      <c r="B1010" s="8" t="s">
        <v>2104</v>
      </c>
      <c r="C1010" s="10" t="s">
        <v>1967</v>
      </c>
      <c r="D1010" s="10" t="s">
        <v>1968</v>
      </c>
      <c r="E1010" s="10" t="s">
        <v>52</v>
      </c>
      <c r="F1010" s="12">
        <f t="shared" si="881"/>
        <v>6</v>
      </c>
      <c r="G1010" s="10">
        <v>1</v>
      </c>
      <c r="H1010" s="10">
        <f t="shared" si="933"/>
        <v>1</v>
      </c>
      <c r="I1010" s="10">
        <v>5</v>
      </c>
      <c r="J1010" s="8" t="s">
        <v>1665</v>
      </c>
      <c r="K1010" s="8" t="s">
        <v>34</v>
      </c>
      <c r="L1010" s="10">
        <v>0</v>
      </c>
      <c r="M1010" s="8" t="s">
        <v>35</v>
      </c>
      <c r="N1010" s="10" t="s">
        <v>1968</v>
      </c>
      <c r="O1010" s="28" t="s">
        <v>41</v>
      </c>
      <c r="P1010" s="28" t="s">
        <v>41</v>
      </c>
      <c r="Q1010" s="28" t="s">
        <v>124</v>
      </c>
      <c r="R1010" s="30">
        <v>6.5</v>
      </c>
      <c r="S1010" s="30">
        <v>6.5</v>
      </c>
      <c r="T1010" s="30"/>
      <c r="U1010" s="30">
        <v>9.8425196850393706E-2</v>
      </c>
      <c r="V1010" s="8">
        <f t="shared" si="882"/>
        <v>165.1</v>
      </c>
      <c r="W1010" s="8">
        <f t="shared" si="883"/>
        <v>165.1</v>
      </c>
      <c r="X1010" s="8">
        <f t="shared" si="884"/>
        <v>0</v>
      </c>
      <c r="Y1010" s="33">
        <f t="shared" si="885"/>
        <v>2.5</v>
      </c>
      <c r="Z1010" s="28" t="s">
        <v>56</v>
      </c>
      <c r="AA1010" s="28" t="s">
        <v>57</v>
      </c>
      <c r="AB1010" s="61" t="s">
        <v>124</v>
      </c>
      <c r="AC1010" s="31" t="s">
        <v>125</v>
      </c>
      <c r="AD1010" s="50">
        <f t="shared" si="886"/>
        <v>1</v>
      </c>
      <c r="AE1010" s="47" t="s">
        <v>1969</v>
      </c>
      <c r="AF1010" s="51">
        <v>14</v>
      </c>
      <c r="AG1010" s="51">
        <f t="shared" si="913"/>
        <v>8.4</v>
      </c>
      <c r="AH1010" s="51">
        <f t="shared" si="880"/>
        <v>42</v>
      </c>
      <c r="AI1010" s="52" t="s">
        <v>2497</v>
      </c>
      <c r="AJ1010" s="52" t="s">
        <v>2498</v>
      </c>
      <c r="AK1010" s="53">
        <f t="shared" si="914"/>
        <v>5.4516019999999998E-2</v>
      </c>
      <c r="AL1010" s="54">
        <f t="shared" si="915"/>
        <v>0.11904761904761904</v>
      </c>
      <c r="AM1010" s="54">
        <f t="shared" si="916"/>
        <v>2.3809523809523808E-2</v>
      </c>
      <c r="AN1010" s="55">
        <f t="shared" si="917"/>
        <v>6.4900023809523807E-3</v>
      </c>
      <c r="AO1010" s="55">
        <f t="shared" si="918"/>
        <v>1.298000476190476E-3</v>
      </c>
      <c r="AP1010" s="53">
        <v>7.1</v>
      </c>
      <c r="AQ1010" s="53">
        <f t="shared" si="887"/>
        <v>4.26</v>
      </c>
      <c r="AR1010" s="53">
        <f t="shared" si="888"/>
        <v>21.299999999999997</v>
      </c>
      <c r="AS1010" s="56">
        <f t="shared" si="889"/>
        <v>4.6948356807511742E-2</v>
      </c>
      <c r="AT1010" s="56">
        <f t="shared" si="919"/>
        <v>0.23474178403755869</v>
      </c>
      <c r="AU1010" s="56">
        <f t="shared" si="890"/>
        <v>0.176056338028169</v>
      </c>
      <c r="AV1010" s="56">
        <f t="shared" si="920"/>
        <v>5.8685446009389672E-2</v>
      </c>
      <c r="AW1010" s="57"/>
      <c r="AX1010" s="57"/>
      <c r="AY1010" s="57"/>
      <c r="AZ1010" s="58">
        <f t="shared" si="921"/>
        <v>5.4516019999999998E-2</v>
      </c>
      <c r="BA1010" s="59">
        <f t="shared" si="922"/>
        <v>0</v>
      </c>
      <c r="BB1010" s="59">
        <f t="shared" si="923"/>
        <v>0</v>
      </c>
      <c r="BC1010" s="59">
        <f t="shared" si="924"/>
        <v>0</v>
      </c>
      <c r="BD1010" s="60">
        <f t="shared" si="925"/>
        <v>9.8039215686274508E-3</v>
      </c>
      <c r="BE1010" s="59">
        <f t="shared" si="926"/>
        <v>9.8039215686274508E-3</v>
      </c>
      <c r="BQ1010" s="61">
        <v>3000</v>
      </c>
      <c r="BR1010" s="61">
        <v>1200</v>
      </c>
      <c r="BS1010" s="28">
        <f t="shared" si="891"/>
        <v>2980</v>
      </c>
      <c r="BT1010" s="28">
        <f t="shared" si="892"/>
        <v>1180</v>
      </c>
      <c r="BU1010" s="28" t="s">
        <v>2541</v>
      </c>
      <c r="BV1010" s="28">
        <f t="shared" si="893"/>
        <v>170.1</v>
      </c>
      <c r="BW1010" s="28">
        <f t="shared" si="894"/>
        <v>170.1</v>
      </c>
      <c r="BX1010" s="13">
        <f t="shared" si="895"/>
        <v>17.519106407995299</v>
      </c>
      <c r="BY1010" s="13">
        <f t="shared" si="896"/>
        <v>17</v>
      </c>
      <c r="BZ1010" s="13">
        <f t="shared" si="897"/>
        <v>6.9370958259847155</v>
      </c>
      <c r="CA1010" s="13">
        <f t="shared" si="898"/>
        <v>6</v>
      </c>
      <c r="CB1010" s="13">
        <f t="shared" si="899"/>
        <v>102</v>
      </c>
      <c r="CC1010" s="62">
        <f t="shared" si="900"/>
        <v>9.8039215686274508E-3</v>
      </c>
      <c r="CD1010" s="13">
        <f t="shared" si="901"/>
        <v>17.519106407995299</v>
      </c>
      <c r="CE1010" s="13">
        <f t="shared" si="902"/>
        <v>17</v>
      </c>
      <c r="CF1010" s="13">
        <f t="shared" si="903"/>
        <v>6.9370958259847155</v>
      </c>
      <c r="CG1010" s="13">
        <f t="shared" si="904"/>
        <v>6</v>
      </c>
      <c r="CH1010" s="28">
        <f t="shared" si="905"/>
        <v>102</v>
      </c>
      <c r="CI1010" s="62">
        <f t="shared" si="906"/>
        <v>9.8039215686274508E-3</v>
      </c>
      <c r="CJ1010" s="59">
        <f t="shared" si="907"/>
        <v>9.8039215686274508E-3</v>
      </c>
      <c r="CL1010" s="63">
        <v>6000</v>
      </c>
      <c r="CM1010" s="63">
        <f t="shared" si="908"/>
        <v>165.1</v>
      </c>
      <c r="CN1010" s="63">
        <f t="shared" si="909"/>
        <v>170.1</v>
      </c>
      <c r="CO1010" s="63">
        <f t="shared" si="910"/>
        <v>35.273368606701943</v>
      </c>
      <c r="CP1010" s="13">
        <f t="shared" si="911"/>
        <v>35</v>
      </c>
      <c r="CQ1010" s="70">
        <f t="shared" si="912"/>
        <v>2.8571428571428571E-2</v>
      </c>
      <c r="CR1010" s="69">
        <f t="shared" si="931"/>
        <v>2.8571428571428571E-2</v>
      </c>
    </row>
    <row r="1011" spans="1:96" hidden="1" x14ac:dyDescent="0.25">
      <c r="A1011" s="10">
        <v>3</v>
      </c>
      <c r="B1011" s="8" t="s">
        <v>2104</v>
      </c>
      <c r="C1011" s="10" t="s">
        <v>1970</v>
      </c>
      <c r="D1011" s="10" t="s">
        <v>1993</v>
      </c>
      <c r="E1011" s="10" t="s">
        <v>52</v>
      </c>
      <c r="F1011" s="12">
        <f t="shared" si="881"/>
        <v>6</v>
      </c>
      <c r="G1011" s="10">
        <v>1</v>
      </c>
      <c r="H1011" s="10">
        <f t="shared" si="933"/>
        <v>1</v>
      </c>
      <c r="I1011" s="10">
        <v>6</v>
      </c>
      <c r="J1011" s="8" t="s">
        <v>480</v>
      </c>
      <c r="K1011" s="8" t="s">
        <v>34</v>
      </c>
      <c r="L1011" s="10">
        <v>0</v>
      </c>
      <c r="M1011" s="8" t="s">
        <v>35</v>
      </c>
      <c r="N1011" s="10" t="s">
        <v>1993</v>
      </c>
      <c r="O1011" s="28"/>
      <c r="P1011" s="28"/>
      <c r="Q1011" s="28" t="s">
        <v>1993</v>
      </c>
      <c r="R1011" s="30">
        <v>6.5</v>
      </c>
      <c r="S1011" s="30">
        <v>6.5</v>
      </c>
      <c r="T1011" s="30"/>
      <c r="U1011" s="30">
        <v>0.12</v>
      </c>
      <c r="V1011" s="8">
        <f t="shared" si="882"/>
        <v>165.1</v>
      </c>
      <c r="W1011" s="8">
        <f t="shared" si="883"/>
        <v>165.1</v>
      </c>
      <c r="X1011" s="8">
        <f t="shared" si="884"/>
        <v>0</v>
      </c>
      <c r="Y1011" s="33">
        <f t="shared" si="885"/>
        <v>3.0479999999999996</v>
      </c>
      <c r="Z1011" s="28" t="s">
        <v>1971</v>
      </c>
      <c r="AA1011" s="28" t="s">
        <v>1972</v>
      </c>
      <c r="AB1011" s="61" t="s">
        <v>1993</v>
      </c>
      <c r="AC1011" s="31" t="s">
        <v>1973</v>
      </c>
      <c r="AD1011" s="50">
        <f t="shared" si="886"/>
        <v>1</v>
      </c>
      <c r="AE1011" s="31"/>
      <c r="AF1011" s="51">
        <v>14</v>
      </c>
      <c r="AG1011" s="51">
        <f t="shared" si="913"/>
        <v>8.4</v>
      </c>
      <c r="AH1011" s="51">
        <f t="shared" si="880"/>
        <v>42</v>
      </c>
      <c r="AI1011" s="52" t="s">
        <v>2497</v>
      </c>
      <c r="AJ1011" s="52" t="s">
        <v>2498</v>
      </c>
      <c r="AK1011" s="53">
        <f t="shared" si="914"/>
        <v>5.4516019999999998E-2</v>
      </c>
      <c r="AL1011" s="54">
        <f t="shared" si="915"/>
        <v>0.11904761904761904</v>
      </c>
      <c r="AM1011" s="54">
        <f t="shared" si="916"/>
        <v>2.3809523809523808E-2</v>
      </c>
      <c r="AN1011" s="55">
        <f t="shared" si="917"/>
        <v>6.4900023809523807E-3</v>
      </c>
      <c r="AO1011" s="55">
        <f t="shared" si="918"/>
        <v>1.298000476190476E-3</v>
      </c>
      <c r="AP1011" s="53">
        <v>7.1</v>
      </c>
      <c r="AQ1011" s="53">
        <f t="shared" si="887"/>
        <v>4.26</v>
      </c>
      <c r="AR1011" s="53">
        <f t="shared" si="888"/>
        <v>21.299999999999997</v>
      </c>
      <c r="AS1011" s="56">
        <f t="shared" si="889"/>
        <v>4.6948356807511742E-2</v>
      </c>
      <c r="AT1011" s="56">
        <f t="shared" si="919"/>
        <v>0.23474178403755869</v>
      </c>
      <c r="AU1011" s="56">
        <f t="shared" si="890"/>
        <v>0.176056338028169</v>
      </c>
      <c r="AV1011" s="56">
        <f t="shared" si="920"/>
        <v>5.8685446009389672E-2</v>
      </c>
      <c r="AW1011" s="57"/>
      <c r="AX1011" s="57"/>
      <c r="AY1011" s="57"/>
      <c r="AZ1011" s="58">
        <f t="shared" si="921"/>
        <v>5.4516019999999998E-2</v>
      </c>
      <c r="BA1011" s="59">
        <f t="shared" si="922"/>
        <v>0</v>
      </c>
      <c r="BB1011" s="59">
        <f t="shared" si="923"/>
        <v>0</v>
      </c>
      <c r="BC1011" s="59">
        <f t="shared" si="924"/>
        <v>0</v>
      </c>
      <c r="BD1011" s="60">
        <f t="shared" si="925"/>
        <v>9.8039215686274508E-3</v>
      </c>
      <c r="BE1011" s="59">
        <f t="shared" si="926"/>
        <v>9.8039215686274508E-3</v>
      </c>
      <c r="BQ1011" s="61">
        <v>3000</v>
      </c>
      <c r="BR1011" s="61">
        <v>1200</v>
      </c>
      <c r="BS1011" s="28">
        <f t="shared" si="891"/>
        <v>2980</v>
      </c>
      <c r="BT1011" s="28">
        <f t="shared" si="892"/>
        <v>1180</v>
      </c>
      <c r="BU1011" s="28" t="s">
        <v>2541</v>
      </c>
      <c r="BV1011" s="28">
        <f t="shared" si="893"/>
        <v>170.1</v>
      </c>
      <c r="BW1011" s="28">
        <f t="shared" si="894"/>
        <v>170.1</v>
      </c>
      <c r="BX1011" s="13">
        <f t="shared" si="895"/>
        <v>17.519106407995299</v>
      </c>
      <c r="BY1011" s="13">
        <f t="shared" si="896"/>
        <v>17</v>
      </c>
      <c r="BZ1011" s="13">
        <f t="shared" si="897"/>
        <v>6.9370958259847155</v>
      </c>
      <c r="CA1011" s="13">
        <f t="shared" si="898"/>
        <v>6</v>
      </c>
      <c r="CB1011" s="13">
        <f t="shared" si="899"/>
        <v>102</v>
      </c>
      <c r="CC1011" s="62">
        <f t="shared" si="900"/>
        <v>9.8039215686274508E-3</v>
      </c>
      <c r="CD1011" s="13">
        <f t="shared" si="901"/>
        <v>17.519106407995299</v>
      </c>
      <c r="CE1011" s="13">
        <f t="shared" si="902"/>
        <v>17</v>
      </c>
      <c r="CF1011" s="13">
        <f t="shared" si="903"/>
        <v>6.9370958259847155</v>
      </c>
      <c r="CG1011" s="13">
        <f t="shared" si="904"/>
        <v>6</v>
      </c>
      <c r="CH1011" s="28">
        <f t="shared" si="905"/>
        <v>102</v>
      </c>
      <c r="CI1011" s="62">
        <f t="shared" si="906"/>
        <v>9.8039215686274508E-3</v>
      </c>
      <c r="CJ1011" s="59">
        <f t="shared" si="907"/>
        <v>9.8039215686274508E-3</v>
      </c>
      <c r="CL1011" s="63">
        <v>6000</v>
      </c>
      <c r="CM1011" s="63">
        <f t="shared" si="908"/>
        <v>165.1</v>
      </c>
      <c r="CN1011" s="63">
        <f t="shared" si="909"/>
        <v>170.1</v>
      </c>
      <c r="CO1011" s="63">
        <f t="shared" si="910"/>
        <v>35.273368606701943</v>
      </c>
      <c r="CP1011" s="13">
        <f t="shared" si="911"/>
        <v>35</v>
      </c>
      <c r="CQ1011" s="70">
        <f t="shared" si="912"/>
        <v>2.8571428571428571E-2</v>
      </c>
      <c r="CR1011" s="69">
        <f t="shared" si="931"/>
        <v>2.8571428571428571E-2</v>
      </c>
    </row>
    <row r="1012" spans="1:96" hidden="1" x14ac:dyDescent="0.25">
      <c r="A1012" s="10">
        <v>3</v>
      </c>
      <c r="B1012" s="8" t="s">
        <v>2104</v>
      </c>
      <c r="C1012" s="10" t="s">
        <v>1903</v>
      </c>
      <c r="D1012" s="10" t="s">
        <v>1905</v>
      </c>
      <c r="E1012" s="10" t="s">
        <v>52</v>
      </c>
      <c r="F1012" s="12">
        <f t="shared" si="881"/>
        <v>8</v>
      </c>
      <c r="G1012" s="10">
        <v>2</v>
      </c>
      <c r="H1012" s="10">
        <f t="shared" si="933"/>
        <v>2</v>
      </c>
      <c r="I1012" s="10">
        <v>7</v>
      </c>
      <c r="J1012" s="8" t="s">
        <v>1904</v>
      </c>
      <c r="K1012" s="8" t="s">
        <v>34</v>
      </c>
      <c r="L1012" s="10">
        <v>0</v>
      </c>
      <c r="M1012" s="8" t="s">
        <v>340</v>
      </c>
      <c r="N1012" s="10" t="s">
        <v>1905</v>
      </c>
      <c r="O1012" s="28"/>
      <c r="P1012" s="28"/>
      <c r="Q1012" s="28" t="s">
        <v>1905</v>
      </c>
      <c r="R1012" s="30">
        <v>3.35</v>
      </c>
      <c r="S1012" s="30">
        <v>1.58</v>
      </c>
      <c r="T1012" s="30"/>
      <c r="U1012" s="30">
        <v>2.12</v>
      </c>
      <c r="V1012" s="8">
        <f t="shared" si="882"/>
        <v>85.09</v>
      </c>
      <c r="W1012" s="8">
        <f t="shared" si="883"/>
        <v>40.131999999999998</v>
      </c>
      <c r="X1012" s="8">
        <f t="shared" si="884"/>
        <v>0</v>
      </c>
      <c r="Y1012" s="33">
        <f t="shared" si="885"/>
        <v>53.847999999999999</v>
      </c>
      <c r="Z1012" s="28"/>
      <c r="AA1012" s="28"/>
      <c r="AB1012" s="61" t="s">
        <v>1905</v>
      </c>
      <c r="AC1012" s="31" t="s">
        <v>1906</v>
      </c>
      <c r="AD1012" s="50">
        <f t="shared" si="886"/>
        <v>2</v>
      </c>
      <c r="AE1012" s="31"/>
      <c r="AF1012" s="51">
        <v>14</v>
      </c>
      <c r="AG1012" s="51">
        <f t="shared" si="913"/>
        <v>8.4</v>
      </c>
      <c r="AH1012" s="51">
        <f t="shared" si="880"/>
        <v>42</v>
      </c>
      <c r="AI1012" s="52" t="s">
        <v>2497</v>
      </c>
      <c r="AJ1012" s="52" t="s">
        <v>2498</v>
      </c>
      <c r="AK1012" s="53">
        <f t="shared" si="914"/>
        <v>6.8296637600000001E-3</v>
      </c>
      <c r="AL1012" s="54">
        <f t="shared" si="915"/>
        <v>0.11904761904761904</v>
      </c>
      <c r="AM1012" s="54">
        <f t="shared" si="916"/>
        <v>2.3809523809523808E-2</v>
      </c>
      <c r="AN1012" s="55">
        <f t="shared" si="917"/>
        <v>1.6261104190476189E-3</v>
      </c>
      <c r="AO1012" s="55">
        <f t="shared" si="918"/>
        <v>3.2522208380952379E-4</v>
      </c>
      <c r="AP1012" s="53">
        <v>7.1</v>
      </c>
      <c r="AQ1012" s="53">
        <f t="shared" si="887"/>
        <v>4.26</v>
      </c>
      <c r="AR1012" s="53">
        <f t="shared" si="888"/>
        <v>21.299999999999997</v>
      </c>
      <c r="AS1012" s="56">
        <f t="shared" si="889"/>
        <v>4.6948356807511742E-2</v>
      </c>
      <c r="AT1012" s="56">
        <f t="shared" si="919"/>
        <v>0.23474178403755869</v>
      </c>
      <c r="AU1012" s="56">
        <f t="shared" si="890"/>
        <v>0.176056338028169</v>
      </c>
      <c r="AV1012" s="56">
        <f t="shared" si="920"/>
        <v>5.8685446009389672E-2</v>
      </c>
      <c r="AW1012" s="57"/>
      <c r="AX1012" s="57"/>
      <c r="AY1012" s="57"/>
      <c r="AZ1012" s="58">
        <f t="shared" si="921"/>
        <v>6.8296637600000001E-3</v>
      </c>
      <c r="BA1012" s="59">
        <f t="shared" si="922"/>
        <v>0</v>
      </c>
      <c r="BB1012" s="59">
        <f t="shared" si="923"/>
        <v>0</v>
      </c>
      <c r="BC1012" s="59">
        <f t="shared" si="924"/>
        <v>0</v>
      </c>
      <c r="BD1012" s="60">
        <f t="shared" si="925"/>
        <v>1.1655011655011655E-3</v>
      </c>
      <c r="BE1012" s="59">
        <f t="shared" si="926"/>
        <v>2.331002331002331E-3</v>
      </c>
      <c r="BQ1012" s="61">
        <v>3000</v>
      </c>
      <c r="BR1012" s="61">
        <v>1200</v>
      </c>
      <c r="BS1012" s="28">
        <f t="shared" si="891"/>
        <v>2980</v>
      </c>
      <c r="BT1012" s="28">
        <f t="shared" si="892"/>
        <v>1180</v>
      </c>
      <c r="BU1012" s="28" t="s">
        <v>2541</v>
      </c>
      <c r="BV1012" s="28">
        <f t="shared" si="893"/>
        <v>90.09</v>
      </c>
      <c r="BW1012" s="28">
        <f t="shared" si="894"/>
        <v>45.131999999999998</v>
      </c>
      <c r="BX1012" s="13">
        <f t="shared" si="895"/>
        <v>33.07803307803308</v>
      </c>
      <c r="BY1012" s="13">
        <f t="shared" si="896"/>
        <v>33</v>
      </c>
      <c r="BZ1012" s="13">
        <f t="shared" si="897"/>
        <v>26.145528671452627</v>
      </c>
      <c r="CA1012" s="13">
        <f t="shared" si="898"/>
        <v>26</v>
      </c>
      <c r="CB1012" s="13">
        <f t="shared" si="899"/>
        <v>858</v>
      </c>
      <c r="CC1012" s="62">
        <f t="shared" si="900"/>
        <v>1.1655011655011655E-3</v>
      </c>
      <c r="CD1012" s="13">
        <f t="shared" si="901"/>
        <v>66.028538509261722</v>
      </c>
      <c r="CE1012" s="13">
        <f t="shared" si="902"/>
        <v>66</v>
      </c>
      <c r="CF1012" s="13">
        <f t="shared" si="903"/>
        <v>13.098013098013098</v>
      </c>
      <c r="CG1012" s="13">
        <f t="shared" si="904"/>
        <v>13</v>
      </c>
      <c r="CH1012" s="28">
        <f t="shared" si="905"/>
        <v>858</v>
      </c>
      <c r="CI1012" s="62">
        <f t="shared" si="906"/>
        <v>1.1655011655011655E-3</v>
      </c>
      <c r="CJ1012" s="59">
        <f t="shared" si="907"/>
        <v>1.1655011655011655E-3</v>
      </c>
      <c r="CL1012" s="63">
        <v>6000</v>
      </c>
      <c r="CM1012" s="63">
        <f t="shared" si="908"/>
        <v>85.09</v>
      </c>
      <c r="CN1012" s="63">
        <f t="shared" si="909"/>
        <v>90.09</v>
      </c>
      <c r="CO1012" s="63">
        <f t="shared" si="910"/>
        <v>66.600066600066597</v>
      </c>
      <c r="CP1012" s="13">
        <f t="shared" si="911"/>
        <v>66</v>
      </c>
      <c r="CQ1012" s="70">
        <f t="shared" si="912"/>
        <v>1.5151515151515152E-2</v>
      </c>
      <c r="CR1012" s="69">
        <f t="shared" si="931"/>
        <v>3.0303030303030304E-2</v>
      </c>
    </row>
    <row r="1013" spans="1:96" hidden="1" x14ac:dyDescent="0.25">
      <c r="A1013" s="10">
        <v>3</v>
      </c>
      <c r="B1013" s="8" t="s">
        <v>2104</v>
      </c>
      <c r="C1013" s="10" t="s">
        <v>1907</v>
      </c>
      <c r="D1013" s="10" t="s">
        <v>1908</v>
      </c>
      <c r="E1013" s="10" t="s">
        <v>52</v>
      </c>
      <c r="F1013" s="12">
        <f t="shared" si="881"/>
        <v>8</v>
      </c>
      <c r="G1013" s="10">
        <v>2</v>
      </c>
      <c r="H1013" s="10">
        <f t="shared" si="933"/>
        <v>2</v>
      </c>
      <c r="I1013" s="10">
        <v>8</v>
      </c>
      <c r="J1013" s="8" t="s">
        <v>1904</v>
      </c>
      <c r="K1013" s="8" t="s">
        <v>34</v>
      </c>
      <c r="L1013" s="10">
        <v>0</v>
      </c>
      <c r="M1013" s="8" t="s">
        <v>340</v>
      </c>
      <c r="N1013" s="10" t="s">
        <v>1908</v>
      </c>
      <c r="O1013" s="28"/>
      <c r="P1013" s="28"/>
      <c r="Q1013" s="28" t="s">
        <v>1908</v>
      </c>
      <c r="R1013" s="30">
        <v>5.54</v>
      </c>
      <c r="S1013" s="30">
        <v>2.25</v>
      </c>
      <c r="T1013" s="30"/>
      <c r="U1013" s="30">
        <v>4.25</v>
      </c>
      <c r="V1013" s="8">
        <f t="shared" si="882"/>
        <v>140.71599999999998</v>
      </c>
      <c r="W1013" s="8">
        <f t="shared" si="883"/>
        <v>57.15</v>
      </c>
      <c r="X1013" s="8">
        <f t="shared" si="884"/>
        <v>0</v>
      </c>
      <c r="Y1013" s="33">
        <f t="shared" si="885"/>
        <v>107.94999999999999</v>
      </c>
      <c r="Z1013" s="28"/>
      <c r="AA1013" s="28"/>
      <c r="AB1013" s="61" t="s">
        <v>1908</v>
      </c>
      <c r="AC1013" s="31" t="s">
        <v>2553</v>
      </c>
      <c r="AD1013" s="50">
        <f t="shared" si="886"/>
        <v>2</v>
      </c>
      <c r="AE1013" s="5" t="s">
        <v>1576</v>
      </c>
      <c r="AF1013" s="51">
        <v>14</v>
      </c>
      <c r="AG1013" s="51">
        <f t="shared" si="913"/>
        <v>8.4</v>
      </c>
      <c r="AH1013" s="51">
        <f t="shared" si="880"/>
        <v>42</v>
      </c>
      <c r="AI1013" s="52" t="s">
        <v>2497</v>
      </c>
      <c r="AJ1013" s="52" t="s">
        <v>2498</v>
      </c>
      <c r="AK1013" s="53">
        <f t="shared" si="914"/>
        <v>1.6083838799999996E-2</v>
      </c>
      <c r="AL1013" s="54">
        <f t="shared" si="915"/>
        <v>0.11904761904761904</v>
      </c>
      <c r="AM1013" s="54">
        <f t="shared" si="916"/>
        <v>2.3809523809523808E-2</v>
      </c>
      <c r="AN1013" s="55">
        <f t="shared" si="917"/>
        <v>3.8294854285714276E-3</v>
      </c>
      <c r="AO1013" s="55">
        <f t="shared" si="918"/>
        <v>7.6589708571428547E-4</v>
      </c>
      <c r="AP1013" s="53">
        <v>7.1</v>
      </c>
      <c r="AQ1013" s="53">
        <f t="shared" si="887"/>
        <v>4.26</v>
      </c>
      <c r="AR1013" s="53">
        <f t="shared" si="888"/>
        <v>21.299999999999997</v>
      </c>
      <c r="AS1013" s="56">
        <f t="shared" si="889"/>
        <v>4.6948356807511742E-2</v>
      </c>
      <c r="AT1013" s="56">
        <f t="shared" si="919"/>
        <v>0.23474178403755869</v>
      </c>
      <c r="AU1013" s="56">
        <f t="shared" si="890"/>
        <v>0.176056338028169</v>
      </c>
      <c r="AV1013" s="56">
        <f t="shared" si="920"/>
        <v>5.8685446009389672E-2</v>
      </c>
      <c r="AW1013" s="57"/>
      <c r="AX1013" s="57"/>
      <c r="AY1013" s="57"/>
      <c r="AZ1013" s="58">
        <f t="shared" si="921"/>
        <v>1.6083838799999996E-2</v>
      </c>
      <c r="BA1013" s="59">
        <f t="shared" si="922"/>
        <v>0</v>
      </c>
      <c r="BB1013" s="59">
        <f t="shared" si="923"/>
        <v>0</v>
      </c>
      <c r="BC1013" s="59">
        <f t="shared" si="924"/>
        <v>0</v>
      </c>
      <c r="BD1013" s="60">
        <f t="shared" si="925"/>
        <v>2.6595744680851063E-3</v>
      </c>
      <c r="BE1013" s="59">
        <f t="shared" si="926"/>
        <v>5.3191489361702126E-3</v>
      </c>
      <c r="BQ1013" s="61">
        <v>3000</v>
      </c>
      <c r="BR1013" s="61">
        <v>1200</v>
      </c>
      <c r="BS1013" s="28">
        <f t="shared" si="891"/>
        <v>2980</v>
      </c>
      <c r="BT1013" s="28">
        <f t="shared" si="892"/>
        <v>1180</v>
      </c>
      <c r="BU1013" s="28" t="s">
        <v>2541</v>
      </c>
      <c r="BV1013" s="28">
        <f t="shared" si="893"/>
        <v>145.71599999999998</v>
      </c>
      <c r="BW1013" s="28">
        <f t="shared" si="894"/>
        <v>62.15</v>
      </c>
      <c r="BX1013" s="13">
        <f t="shared" si="895"/>
        <v>20.450739795218098</v>
      </c>
      <c r="BY1013" s="13">
        <f t="shared" si="896"/>
        <v>20</v>
      </c>
      <c r="BZ1013" s="13">
        <f t="shared" si="897"/>
        <v>18.986323411102173</v>
      </c>
      <c r="CA1013" s="13">
        <f t="shared" si="898"/>
        <v>18</v>
      </c>
      <c r="CB1013" s="13">
        <f t="shared" si="899"/>
        <v>360</v>
      </c>
      <c r="CC1013" s="62">
        <f t="shared" si="900"/>
        <v>2.7777777777777779E-3</v>
      </c>
      <c r="CD1013" s="13">
        <f t="shared" si="901"/>
        <v>47.948511665325825</v>
      </c>
      <c r="CE1013" s="13">
        <f t="shared" si="902"/>
        <v>47</v>
      </c>
      <c r="CF1013" s="13">
        <f t="shared" si="903"/>
        <v>8.0979439457575015</v>
      </c>
      <c r="CG1013" s="13">
        <f t="shared" si="904"/>
        <v>8</v>
      </c>
      <c r="CH1013" s="28">
        <f t="shared" si="905"/>
        <v>376</v>
      </c>
      <c r="CI1013" s="62">
        <f t="shared" si="906"/>
        <v>2.6595744680851063E-3</v>
      </c>
      <c r="CJ1013" s="59">
        <f t="shared" si="907"/>
        <v>2.6595744680851063E-3</v>
      </c>
      <c r="CL1013" s="63">
        <v>6000</v>
      </c>
      <c r="CM1013" s="63">
        <f t="shared" si="908"/>
        <v>140.71599999999998</v>
      </c>
      <c r="CN1013" s="63">
        <f t="shared" si="909"/>
        <v>145.71599999999998</v>
      </c>
      <c r="CO1013" s="63">
        <f t="shared" si="910"/>
        <v>41.175986164868654</v>
      </c>
      <c r="CP1013" s="13">
        <f t="shared" si="911"/>
        <v>41</v>
      </c>
      <c r="CQ1013" s="70">
        <f t="shared" si="912"/>
        <v>2.4390243902439025E-2</v>
      </c>
      <c r="CR1013" s="69">
        <f t="shared" si="931"/>
        <v>4.878048780487805E-2</v>
      </c>
    </row>
    <row r="1014" spans="1:96" hidden="1" x14ac:dyDescent="0.25">
      <c r="A1014" s="10">
        <v>3</v>
      </c>
      <c r="B1014" s="8" t="s">
        <v>2104</v>
      </c>
      <c r="C1014" s="10" t="s">
        <v>1974</v>
      </c>
      <c r="D1014" s="10" t="s">
        <v>1994</v>
      </c>
      <c r="E1014" s="10" t="s">
        <v>52</v>
      </c>
      <c r="F1014" s="12">
        <f t="shared" si="881"/>
        <v>6</v>
      </c>
      <c r="G1014" s="10">
        <v>4</v>
      </c>
      <c r="H1014" s="10">
        <f t="shared" si="933"/>
        <v>4</v>
      </c>
      <c r="I1014" s="10">
        <v>9</v>
      </c>
      <c r="J1014" s="8" t="s">
        <v>1975</v>
      </c>
      <c r="K1014" s="8" t="s">
        <v>34</v>
      </c>
      <c r="L1014" s="10" t="s">
        <v>259</v>
      </c>
      <c r="M1014" s="8" t="s">
        <v>35</v>
      </c>
      <c r="N1014" s="10" t="s">
        <v>1994</v>
      </c>
      <c r="O1014" s="28"/>
      <c r="P1014" s="28"/>
      <c r="Q1014" s="28" t="s">
        <v>1994</v>
      </c>
      <c r="R1014" s="30"/>
      <c r="S1014" s="30"/>
      <c r="T1014" s="30"/>
      <c r="U1014" s="30"/>
      <c r="V1014" s="8">
        <f t="shared" si="882"/>
        <v>0</v>
      </c>
      <c r="W1014" s="8">
        <f t="shared" si="883"/>
        <v>0</v>
      </c>
      <c r="X1014" s="8">
        <f t="shared" si="884"/>
        <v>0</v>
      </c>
      <c r="Y1014" s="33">
        <f t="shared" si="885"/>
        <v>0</v>
      </c>
      <c r="Z1014" s="28"/>
      <c r="AA1014" s="28"/>
      <c r="AB1014" s="61" t="s">
        <v>1994</v>
      </c>
      <c r="AC1014" s="31" t="s">
        <v>1976</v>
      </c>
      <c r="AD1014" s="50">
        <f t="shared" si="886"/>
        <v>4</v>
      </c>
      <c r="AE1014" s="31"/>
      <c r="AF1014" s="51">
        <v>14</v>
      </c>
      <c r="AG1014" s="51">
        <f t="shared" si="913"/>
        <v>8.4</v>
      </c>
      <c r="AH1014" s="51">
        <f t="shared" si="880"/>
        <v>42</v>
      </c>
      <c r="AI1014" s="52" t="s">
        <v>2497</v>
      </c>
      <c r="AJ1014" s="52" t="s">
        <v>2498</v>
      </c>
      <c r="AK1014" s="53">
        <f t="shared" si="914"/>
        <v>0</v>
      </c>
      <c r="AL1014" s="54">
        <f t="shared" si="915"/>
        <v>0.11904761904761904</v>
      </c>
      <c r="AM1014" s="54">
        <f t="shared" si="916"/>
        <v>2.3809523809523808E-2</v>
      </c>
      <c r="AN1014" s="55">
        <f t="shared" si="917"/>
        <v>0</v>
      </c>
      <c r="AO1014" s="55">
        <f t="shared" si="918"/>
        <v>0</v>
      </c>
      <c r="AP1014" s="53">
        <v>7.1</v>
      </c>
      <c r="AQ1014" s="53">
        <f t="shared" si="887"/>
        <v>4.26</v>
      </c>
      <c r="AR1014" s="53">
        <f t="shared" si="888"/>
        <v>21.299999999999997</v>
      </c>
      <c r="AS1014" s="56">
        <f t="shared" si="889"/>
        <v>4.6948356807511742E-2</v>
      </c>
      <c r="AT1014" s="56">
        <f t="shared" si="919"/>
        <v>0.23474178403755869</v>
      </c>
      <c r="AU1014" s="56">
        <f t="shared" si="890"/>
        <v>0.176056338028169</v>
      </c>
      <c r="AV1014" s="56">
        <f t="shared" si="920"/>
        <v>5.8685446009389672E-2</v>
      </c>
      <c r="AW1014" s="57"/>
      <c r="AX1014" s="57"/>
      <c r="AY1014" s="57"/>
      <c r="AZ1014" s="58">
        <f t="shared" si="921"/>
        <v>0</v>
      </c>
      <c r="BA1014" s="59">
        <f t="shared" si="922"/>
        <v>0</v>
      </c>
      <c r="BB1014" s="59">
        <f t="shared" si="923"/>
        <v>0</v>
      </c>
      <c r="BC1014" s="59">
        <f t="shared" si="924"/>
        <v>0</v>
      </c>
      <c r="BD1014" s="60">
        <f t="shared" si="925"/>
        <v>7.1095438516664771E-6</v>
      </c>
      <c r="BE1014" s="59">
        <f t="shared" si="926"/>
        <v>2.8438175406665908E-5</v>
      </c>
      <c r="BQ1014" s="61">
        <v>3000</v>
      </c>
      <c r="BR1014" s="61">
        <v>1200</v>
      </c>
      <c r="BS1014" s="28">
        <f t="shared" si="891"/>
        <v>2980</v>
      </c>
      <c r="BT1014" s="28">
        <f t="shared" si="892"/>
        <v>1180</v>
      </c>
      <c r="BU1014" s="28" t="s">
        <v>2541</v>
      </c>
      <c r="BV1014" s="28">
        <f t="shared" si="893"/>
        <v>5</v>
      </c>
      <c r="BW1014" s="28">
        <f t="shared" si="894"/>
        <v>5</v>
      </c>
      <c r="BX1014" s="13">
        <f t="shared" si="895"/>
        <v>596</v>
      </c>
      <c r="BY1014" s="13">
        <f t="shared" si="896"/>
        <v>596</v>
      </c>
      <c r="BZ1014" s="13">
        <f t="shared" si="897"/>
        <v>236</v>
      </c>
      <c r="CA1014" s="13">
        <f t="shared" si="898"/>
        <v>236</v>
      </c>
      <c r="CB1014" s="13">
        <f t="shared" si="899"/>
        <v>140656</v>
      </c>
      <c r="CC1014" s="62">
        <f t="shared" si="900"/>
        <v>7.1095438516664771E-6</v>
      </c>
      <c r="CD1014" s="13">
        <f t="shared" si="901"/>
        <v>596</v>
      </c>
      <c r="CE1014" s="13">
        <f t="shared" si="902"/>
        <v>596</v>
      </c>
      <c r="CF1014" s="13">
        <f t="shared" si="903"/>
        <v>236</v>
      </c>
      <c r="CG1014" s="13">
        <f t="shared" si="904"/>
        <v>236</v>
      </c>
      <c r="CH1014" s="28">
        <f t="shared" si="905"/>
        <v>140656</v>
      </c>
      <c r="CI1014" s="62">
        <f t="shared" si="906"/>
        <v>7.1095438516664771E-6</v>
      </c>
      <c r="CJ1014" s="59">
        <f t="shared" si="907"/>
        <v>7.1095438516664771E-6</v>
      </c>
      <c r="CL1014" s="63">
        <v>6000</v>
      </c>
      <c r="CM1014" s="63">
        <f t="shared" si="908"/>
        <v>0</v>
      </c>
      <c r="CN1014" s="63">
        <f t="shared" si="909"/>
        <v>5</v>
      </c>
      <c r="CO1014" s="63">
        <f t="shared" si="910"/>
        <v>1200</v>
      </c>
      <c r="CP1014" s="13">
        <f t="shared" si="911"/>
        <v>1200</v>
      </c>
      <c r="CQ1014" s="70">
        <f t="shared" si="912"/>
        <v>8.3333333333333339E-4</v>
      </c>
      <c r="CR1014" s="69">
        <f t="shared" si="931"/>
        <v>3.3333333333333335E-3</v>
      </c>
    </row>
    <row r="1015" spans="1:96" hidden="1" x14ac:dyDescent="0.25">
      <c r="A1015" s="10">
        <v>3</v>
      </c>
      <c r="B1015" s="8" t="s">
        <v>2104</v>
      </c>
      <c r="C1015" s="10" t="s">
        <v>336</v>
      </c>
      <c r="D1015" s="10" t="s">
        <v>341</v>
      </c>
      <c r="E1015" s="10" t="s">
        <v>52</v>
      </c>
      <c r="F1015" s="12">
        <f t="shared" si="881"/>
        <v>15</v>
      </c>
      <c r="G1015" s="10" t="s">
        <v>337</v>
      </c>
      <c r="H1015" s="10" t="str">
        <f>G1015</f>
        <v>A/R</v>
      </c>
      <c r="I1015" s="10">
        <v>10</v>
      </c>
      <c r="J1015" s="8" t="s">
        <v>338</v>
      </c>
      <c r="K1015" s="8" t="s">
        <v>34</v>
      </c>
      <c r="L1015" s="10" t="s">
        <v>339</v>
      </c>
      <c r="M1015" s="8" t="s">
        <v>340</v>
      </c>
      <c r="N1015" s="10" t="s">
        <v>341</v>
      </c>
      <c r="O1015" s="28" t="s">
        <v>2541</v>
      </c>
      <c r="P1015" s="28" t="s">
        <v>2541</v>
      </c>
      <c r="Q1015" s="28" t="s">
        <v>341</v>
      </c>
      <c r="R1015" s="30"/>
      <c r="S1015" s="30"/>
      <c r="T1015" s="30"/>
      <c r="U1015" s="30"/>
      <c r="V1015" s="8">
        <f t="shared" si="882"/>
        <v>0</v>
      </c>
      <c r="W1015" s="8">
        <f t="shared" si="883"/>
        <v>0</v>
      </c>
      <c r="X1015" s="8">
        <f t="shared" si="884"/>
        <v>0</v>
      </c>
      <c r="Y1015" s="33">
        <f t="shared" si="885"/>
        <v>0</v>
      </c>
      <c r="Z1015" s="28"/>
      <c r="AA1015" s="28"/>
      <c r="AB1015" s="28" t="s">
        <v>341</v>
      </c>
      <c r="AC1015" s="31" t="s">
        <v>342</v>
      </c>
      <c r="AD1015" s="50">
        <v>0</v>
      </c>
      <c r="AE1015" s="50" t="s">
        <v>337</v>
      </c>
      <c r="AF1015" s="51">
        <v>14</v>
      </c>
      <c r="AG1015" s="51">
        <f t="shared" si="913"/>
        <v>8.4</v>
      </c>
      <c r="AH1015" s="51">
        <f t="shared" si="880"/>
        <v>42</v>
      </c>
      <c r="AI1015" s="52" t="s">
        <v>2497</v>
      </c>
      <c r="AJ1015" s="52" t="s">
        <v>2498</v>
      </c>
      <c r="AK1015" s="53">
        <f t="shared" si="914"/>
        <v>0</v>
      </c>
      <c r="AL1015" s="54">
        <f t="shared" si="915"/>
        <v>0.11904761904761904</v>
      </c>
      <c r="AM1015" s="54">
        <f t="shared" si="916"/>
        <v>2.3809523809523808E-2</v>
      </c>
      <c r="AN1015" s="55">
        <f t="shared" si="917"/>
        <v>0</v>
      </c>
      <c r="AO1015" s="55">
        <f t="shared" si="918"/>
        <v>0</v>
      </c>
      <c r="AP1015" s="53">
        <v>7.1</v>
      </c>
      <c r="AQ1015" s="53">
        <f t="shared" si="887"/>
        <v>4.26</v>
      </c>
      <c r="AR1015" s="53">
        <f t="shared" si="888"/>
        <v>21.299999999999997</v>
      </c>
      <c r="AS1015" s="56">
        <f t="shared" si="889"/>
        <v>4.6948356807511742E-2</v>
      </c>
      <c r="AT1015" s="56">
        <f t="shared" si="919"/>
        <v>0.23474178403755869</v>
      </c>
      <c r="AU1015" s="56">
        <f t="shared" si="890"/>
        <v>0.176056338028169</v>
      </c>
      <c r="AV1015" s="56">
        <f t="shared" si="920"/>
        <v>5.8685446009389672E-2</v>
      </c>
      <c r="AW1015" s="57"/>
      <c r="AX1015" s="57"/>
      <c r="AY1015" s="57"/>
      <c r="AZ1015" s="58">
        <f t="shared" si="921"/>
        <v>0</v>
      </c>
      <c r="BA1015" s="59">
        <f t="shared" si="922"/>
        <v>0</v>
      </c>
      <c r="BB1015" s="59">
        <f t="shared" si="923"/>
        <v>0</v>
      </c>
      <c r="BC1015" s="59">
        <f t="shared" si="924"/>
        <v>0</v>
      </c>
      <c r="BD1015" s="60">
        <f t="shared" si="925"/>
        <v>7.1095438516664771E-6</v>
      </c>
      <c r="BE1015" s="59">
        <f t="shared" si="926"/>
        <v>0</v>
      </c>
      <c r="BQ1015" s="61">
        <v>3000</v>
      </c>
      <c r="BR1015" s="61">
        <v>1200</v>
      </c>
      <c r="BS1015" s="28">
        <f t="shared" si="891"/>
        <v>2980</v>
      </c>
      <c r="BT1015" s="28">
        <f t="shared" si="892"/>
        <v>1180</v>
      </c>
      <c r="BU1015" s="28" t="s">
        <v>2541</v>
      </c>
      <c r="BV1015" s="28">
        <f t="shared" si="893"/>
        <v>5</v>
      </c>
      <c r="BW1015" s="28">
        <f t="shared" si="894"/>
        <v>5</v>
      </c>
      <c r="BX1015" s="13">
        <f t="shared" si="895"/>
        <v>596</v>
      </c>
      <c r="BY1015" s="13">
        <f t="shared" si="896"/>
        <v>596</v>
      </c>
      <c r="BZ1015" s="13">
        <f t="shared" si="897"/>
        <v>236</v>
      </c>
      <c r="CA1015" s="13">
        <f t="shared" si="898"/>
        <v>236</v>
      </c>
      <c r="CB1015" s="13">
        <f t="shared" si="899"/>
        <v>140656</v>
      </c>
      <c r="CC1015" s="62">
        <f t="shared" si="900"/>
        <v>7.1095438516664771E-6</v>
      </c>
      <c r="CD1015" s="13">
        <f t="shared" si="901"/>
        <v>596</v>
      </c>
      <c r="CE1015" s="13">
        <f t="shared" si="902"/>
        <v>596</v>
      </c>
      <c r="CF1015" s="13">
        <f t="shared" si="903"/>
        <v>236</v>
      </c>
      <c r="CG1015" s="13">
        <f t="shared" si="904"/>
        <v>236</v>
      </c>
      <c r="CH1015" s="28">
        <f t="shared" si="905"/>
        <v>140656</v>
      </c>
      <c r="CI1015" s="62">
        <f t="shared" si="906"/>
        <v>7.1095438516664771E-6</v>
      </c>
      <c r="CJ1015" s="59">
        <f t="shared" si="907"/>
        <v>7.1095438516664771E-6</v>
      </c>
      <c r="CL1015" s="63">
        <v>6000</v>
      </c>
      <c r="CM1015" s="63">
        <f t="shared" si="908"/>
        <v>0</v>
      </c>
      <c r="CN1015" s="63">
        <f t="shared" si="909"/>
        <v>5</v>
      </c>
      <c r="CO1015" s="63">
        <f t="shared" si="910"/>
        <v>1200</v>
      </c>
      <c r="CP1015" s="13">
        <f t="shared" si="911"/>
        <v>1200</v>
      </c>
      <c r="CQ1015" s="70">
        <f t="shared" si="912"/>
        <v>8.3333333333333339E-4</v>
      </c>
      <c r="CR1015" s="69">
        <f t="shared" si="931"/>
        <v>0</v>
      </c>
    </row>
    <row r="1016" spans="1:96" hidden="1" x14ac:dyDescent="0.25">
      <c r="A1016" s="10">
        <v>3</v>
      </c>
      <c r="B1016" s="8" t="s">
        <v>2104</v>
      </c>
      <c r="C1016" s="10" t="s">
        <v>1910</v>
      </c>
      <c r="D1016" s="10" t="s">
        <v>1911</v>
      </c>
      <c r="E1016" s="10" t="s">
        <v>52</v>
      </c>
      <c r="F1016" s="12">
        <f t="shared" si="881"/>
        <v>8</v>
      </c>
      <c r="G1016" s="10">
        <v>2</v>
      </c>
      <c r="H1016" s="10">
        <f t="shared" si="933"/>
        <v>2</v>
      </c>
      <c r="I1016" s="10">
        <v>11</v>
      </c>
      <c r="J1016" s="8" t="s">
        <v>480</v>
      </c>
      <c r="K1016" s="8" t="s">
        <v>34</v>
      </c>
      <c r="L1016" s="10">
        <v>0</v>
      </c>
      <c r="M1016" s="8" t="s">
        <v>35</v>
      </c>
      <c r="N1016" s="10" t="s">
        <v>1911</v>
      </c>
      <c r="O1016" s="28"/>
      <c r="P1016" s="28"/>
      <c r="Q1016" s="28" t="s">
        <v>1911</v>
      </c>
      <c r="R1016" s="30">
        <v>3.1339999999999999</v>
      </c>
      <c r="S1016" s="30">
        <v>1.4409999999999998</v>
      </c>
      <c r="T1016" s="30"/>
      <c r="U1016" s="30">
        <v>6.3E-2</v>
      </c>
      <c r="V1016" s="8">
        <f t="shared" si="882"/>
        <v>79.603599999999986</v>
      </c>
      <c r="W1016" s="8">
        <f t="shared" si="883"/>
        <v>36.601399999999991</v>
      </c>
      <c r="X1016" s="8">
        <f t="shared" si="884"/>
        <v>0</v>
      </c>
      <c r="Y1016" s="33">
        <f t="shared" si="885"/>
        <v>1.6001999999999998</v>
      </c>
      <c r="Z1016" s="28" t="s">
        <v>1912</v>
      </c>
      <c r="AA1016" s="28"/>
      <c r="AB1016" s="61" t="s">
        <v>1911</v>
      </c>
      <c r="AC1016" s="31" t="s">
        <v>1913</v>
      </c>
      <c r="AD1016" s="50">
        <f t="shared" si="886"/>
        <v>2</v>
      </c>
      <c r="AE1016" s="31"/>
      <c r="AF1016" s="51">
        <v>14</v>
      </c>
      <c r="AG1016" s="51">
        <f t="shared" si="913"/>
        <v>8.4</v>
      </c>
      <c r="AH1016" s="51">
        <f t="shared" si="880"/>
        <v>42</v>
      </c>
      <c r="AI1016" s="52" t="s">
        <v>2497</v>
      </c>
      <c r="AJ1016" s="52" t="s">
        <v>2498</v>
      </c>
      <c r="AK1016" s="53">
        <f t="shared" si="914"/>
        <v>5.8272064100799974E-3</v>
      </c>
      <c r="AL1016" s="54">
        <f t="shared" si="915"/>
        <v>0.11904761904761904</v>
      </c>
      <c r="AM1016" s="54">
        <f t="shared" si="916"/>
        <v>2.3809523809523808E-2</v>
      </c>
      <c r="AN1016" s="55">
        <f t="shared" si="917"/>
        <v>1.3874300976380945E-3</v>
      </c>
      <c r="AO1016" s="55">
        <f t="shared" si="918"/>
        <v>2.7748601952761891E-4</v>
      </c>
      <c r="AP1016" s="53">
        <v>7.1</v>
      </c>
      <c r="AQ1016" s="53">
        <f t="shared" si="887"/>
        <v>4.26</v>
      </c>
      <c r="AR1016" s="53">
        <f t="shared" si="888"/>
        <v>21.299999999999997</v>
      </c>
      <c r="AS1016" s="56">
        <f t="shared" si="889"/>
        <v>4.6948356807511742E-2</v>
      </c>
      <c r="AT1016" s="56">
        <f t="shared" si="919"/>
        <v>0.23474178403755869</v>
      </c>
      <c r="AU1016" s="56">
        <f t="shared" si="890"/>
        <v>0.176056338028169</v>
      </c>
      <c r="AV1016" s="56">
        <f t="shared" si="920"/>
        <v>5.8685446009389672E-2</v>
      </c>
      <c r="AW1016" s="57"/>
      <c r="AX1016" s="57"/>
      <c r="AY1016" s="57"/>
      <c r="AZ1016" s="58">
        <f t="shared" si="921"/>
        <v>5.8272064100799974E-3</v>
      </c>
      <c r="BA1016" s="59">
        <f t="shared" si="922"/>
        <v>0</v>
      </c>
      <c r="BB1016" s="59">
        <f t="shared" si="923"/>
        <v>0</v>
      </c>
      <c r="BC1016" s="59">
        <f t="shared" si="924"/>
        <v>0</v>
      </c>
      <c r="BD1016" s="60">
        <f t="shared" si="925"/>
        <v>1.0204081632653062E-3</v>
      </c>
      <c r="BE1016" s="59">
        <f t="shared" si="926"/>
        <v>2.0408163265306124E-3</v>
      </c>
      <c r="BQ1016" s="61">
        <v>3000</v>
      </c>
      <c r="BR1016" s="61">
        <v>1200</v>
      </c>
      <c r="BS1016" s="28">
        <f t="shared" si="891"/>
        <v>2980</v>
      </c>
      <c r="BT1016" s="28">
        <f t="shared" si="892"/>
        <v>1180</v>
      </c>
      <c r="BU1016" s="28" t="s">
        <v>2541</v>
      </c>
      <c r="BV1016" s="28">
        <f t="shared" si="893"/>
        <v>84.603599999999986</v>
      </c>
      <c r="BW1016" s="28">
        <f t="shared" si="894"/>
        <v>41.601399999999991</v>
      </c>
      <c r="BX1016" s="13">
        <f t="shared" si="895"/>
        <v>35.223087433631669</v>
      </c>
      <c r="BY1016" s="13">
        <f t="shared" si="896"/>
        <v>35</v>
      </c>
      <c r="BZ1016" s="13">
        <f t="shared" si="897"/>
        <v>28.364430043219706</v>
      </c>
      <c r="CA1016" s="13">
        <f t="shared" si="898"/>
        <v>28</v>
      </c>
      <c r="CB1016" s="13">
        <f t="shared" si="899"/>
        <v>980</v>
      </c>
      <c r="CC1016" s="62">
        <f t="shared" si="900"/>
        <v>1.0204081632653062E-3</v>
      </c>
      <c r="CD1016" s="13">
        <f t="shared" si="901"/>
        <v>71.632204685419254</v>
      </c>
      <c r="CE1016" s="13">
        <f t="shared" si="902"/>
        <v>71</v>
      </c>
      <c r="CF1016" s="13">
        <f t="shared" si="903"/>
        <v>13.947397037478312</v>
      </c>
      <c r="CG1016" s="13">
        <f t="shared" si="904"/>
        <v>13</v>
      </c>
      <c r="CH1016" s="28">
        <f t="shared" si="905"/>
        <v>923</v>
      </c>
      <c r="CI1016" s="62">
        <f t="shared" si="906"/>
        <v>1.0834236186348862E-3</v>
      </c>
      <c r="CJ1016" s="59">
        <f t="shared" si="907"/>
        <v>1.0204081632653062E-3</v>
      </c>
      <c r="CL1016" s="63">
        <v>6000</v>
      </c>
      <c r="CM1016" s="63">
        <f t="shared" si="908"/>
        <v>79.603599999999986</v>
      </c>
      <c r="CN1016" s="63">
        <f t="shared" si="909"/>
        <v>84.603599999999986</v>
      </c>
      <c r="CO1016" s="63">
        <f t="shared" si="910"/>
        <v>70.918967987177865</v>
      </c>
      <c r="CP1016" s="13">
        <f t="shared" si="911"/>
        <v>70</v>
      </c>
      <c r="CQ1016" s="70">
        <f t="shared" si="912"/>
        <v>1.4285714285714285E-2</v>
      </c>
      <c r="CR1016" s="69">
        <f t="shared" si="931"/>
        <v>2.8571428571428571E-2</v>
      </c>
    </row>
    <row r="1017" spans="1:96" hidden="1" x14ac:dyDescent="0.25">
      <c r="A1017" s="10">
        <v>3</v>
      </c>
      <c r="B1017" s="8" t="s">
        <v>2104</v>
      </c>
      <c r="C1017" s="10" t="s">
        <v>492</v>
      </c>
      <c r="D1017" s="10" t="s">
        <v>495</v>
      </c>
      <c r="E1017" s="10" t="s">
        <v>52</v>
      </c>
      <c r="F1017" s="12">
        <f t="shared" si="881"/>
        <v>7</v>
      </c>
      <c r="G1017" s="10" t="s">
        <v>337</v>
      </c>
      <c r="H1017" s="10" t="str">
        <f>G1017</f>
        <v>A/R</v>
      </c>
      <c r="I1017" s="10">
        <v>12</v>
      </c>
      <c r="J1017" s="8" t="s">
        <v>493</v>
      </c>
      <c r="K1017" s="8" t="s">
        <v>494</v>
      </c>
      <c r="L1017" s="10" t="s">
        <v>339</v>
      </c>
      <c r="M1017" s="8" t="s">
        <v>35</v>
      </c>
      <c r="N1017" s="10" t="s">
        <v>495</v>
      </c>
      <c r="O1017" s="28"/>
      <c r="P1017" s="28"/>
      <c r="Q1017" s="28" t="s">
        <v>495</v>
      </c>
      <c r="R1017" s="30"/>
      <c r="S1017" s="30"/>
      <c r="T1017" s="30"/>
      <c r="U1017" s="30"/>
      <c r="V1017" s="8">
        <f t="shared" si="882"/>
        <v>0</v>
      </c>
      <c r="W1017" s="8">
        <f t="shared" si="883"/>
        <v>0</v>
      </c>
      <c r="X1017" s="8">
        <f t="shared" si="884"/>
        <v>0</v>
      </c>
      <c r="Y1017" s="33">
        <f t="shared" si="885"/>
        <v>0</v>
      </c>
      <c r="Z1017" s="28"/>
      <c r="AA1017" s="28"/>
      <c r="AB1017" s="61" t="s">
        <v>495</v>
      </c>
      <c r="AC1017" s="31" t="s">
        <v>496</v>
      </c>
      <c r="AD1017" s="50">
        <v>0</v>
      </c>
      <c r="AE1017" s="50" t="s">
        <v>337</v>
      </c>
      <c r="AF1017" s="51">
        <v>14</v>
      </c>
      <c r="AG1017" s="51">
        <f t="shared" si="913"/>
        <v>8.4</v>
      </c>
      <c r="AH1017" s="51">
        <f t="shared" si="880"/>
        <v>42</v>
      </c>
      <c r="AI1017" s="52" t="s">
        <v>2497</v>
      </c>
      <c r="AJ1017" s="52" t="s">
        <v>2498</v>
      </c>
      <c r="AK1017" s="53">
        <f t="shared" si="914"/>
        <v>0</v>
      </c>
      <c r="AL1017" s="54">
        <f t="shared" si="915"/>
        <v>0.11904761904761904</v>
      </c>
      <c r="AM1017" s="54">
        <f t="shared" si="916"/>
        <v>2.3809523809523808E-2</v>
      </c>
      <c r="AN1017" s="55">
        <f t="shared" si="917"/>
        <v>0</v>
      </c>
      <c r="AO1017" s="55">
        <f t="shared" si="918"/>
        <v>0</v>
      </c>
      <c r="AP1017" s="53">
        <v>7.1</v>
      </c>
      <c r="AQ1017" s="53">
        <f t="shared" si="887"/>
        <v>4.26</v>
      </c>
      <c r="AR1017" s="53">
        <f t="shared" si="888"/>
        <v>21.299999999999997</v>
      </c>
      <c r="AS1017" s="56">
        <f t="shared" si="889"/>
        <v>4.6948356807511742E-2</v>
      </c>
      <c r="AT1017" s="56">
        <f t="shared" si="919"/>
        <v>0.23474178403755869</v>
      </c>
      <c r="AU1017" s="56">
        <f t="shared" si="890"/>
        <v>0.176056338028169</v>
      </c>
      <c r="AV1017" s="56">
        <f t="shared" si="920"/>
        <v>5.8685446009389672E-2</v>
      </c>
      <c r="AW1017" s="57"/>
      <c r="AX1017" s="57"/>
      <c r="AY1017" s="57"/>
      <c r="AZ1017" s="58">
        <f t="shared" si="921"/>
        <v>0</v>
      </c>
      <c r="BA1017" s="59">
        <f t="shared" si="922"/>
        <v>0</v>
      </c>
      <c r="BB1017" s="59">
        <f t="shared" si="923"/>
        <v>0</v>
      </c>
      <c r="BC1017" s="59">
        <f t="shared" si="924"/>
        <v>0</v>
      </c>
      <c r="BD1017" s="60">
        <f t="shared" si="925"/>
        <v>7.1095438516664771E-6</v>
      </c>
      <c r="BE1017" s="59">
        <f t="shared" si="926"/>
        <v>0</v>
      </c>
      <c r="BQ1017" s="61">
        <v>3000</v>
      </c>
      <c r="BR1017" s="61">
        <v>1200</v>
      </c>
      <c r="BS1017" s="28">
        <f t="shared" si="891"/>
        <v>2980</v>
      </c>
      <c r="BT1017" s="28">
        <f t="shared" si="892"/>
        <v>1180</v>
      </c>
      <c r="BU1017" s="28" t="s">
        <v>2541</v>
      </c>
      <c r="BV1017" s="28">
        <f t="shared" si="893"/>
        <v>5</v>
      </c>
      <c r="BW1017" s="28">
        <f t="shared" si="894"/>
        <v>5</v>
      </c>
      <c r="BX1017" s="13">
        <f t="shared" si="895"/>
        <v>596</v>
      </c>
      <c r="BY1017" s="13">
        <f t="shared" si="896"/>
        <v>596</v>
      </c>
      <c r="BZ1017" s="13">
        <f t="shared" si="897"/>
        <v>236</v>
      </c>
      <c r="CA1017" s="13">
        <f t="shared" si="898"/>
        <v>236</v>
      </c>
      <c r="CB1017" s="13">
        <f t="shared" si="899"/>
        <v>140656</v>
      </c>
      <c r="CC1017" s="62">
        <f t="shared" si="900"/>
        <v>7.1095438516664771E-6</v>
      </c>
      <c r="CD1017" s="13">
        <f t="shared" si="901"/>
        <v>596</v>
      </c>
      <c r="CE1017" s="13">
        <f t="shared" si="902"/>
        <v>596</v>
      </c>
      <c r="CF1017" s="13">
        <f t="shared" si="903"/>
        <v>236</v>
      </c>
      <c r="CG1017" s="13">
        <f t="shared" si="904"/>
        <v>236</v>
      </c>
      <c r="CH1017" s="28">
        <f t="shared" si="905"/>
        <v>140656</v>
      </c>
      <c r="CI1017" s="62">
        <f t="shared" si="906"/>
        <v>7.1095438516664771E-6</v>
      </c>
      <c r="CJ1017" s="59">
        <f t="shared" si="907"/>
        <v>7.1095438516664771E-6</v>
      </c>
      <c r="CL1017" s="63">
        <v>6000</v>
      </c>
      <c r="CM1017" s="63">
        <f t="shared" si="908"/>
        <v>0</v>
      </c>
      <c r="CN1017" s="63">
        <f t="shared" si="909"/>
        <v>5</v>
      </c>
      <c r="CO1017" s="63">
        <f t="shared" si="910"/>
        <v>1200</v>
      </c>
      <c r="CP1017" s="13">
        <f t="shared" si="911"/>
        <v>1200</v>
      </c>
      <c r="CQ1017" s="70">
        <f t="shared" si="912"/>
        <v>8.3333333333333339E-4</v>
      </c>
      <c r="CR1017" s="69">
        <f t="shared" si="931"/>
        <v>0</v>
      </c>
    </row>
    <row r="1018" spans="1:96" hidden="1" x14ac:dyDescent="0.25">
      <c r="A1018" s="36">
        <v>2</v>
      </c>
      <c r="B1018" s="37" t="s">
        <v>1865</v>
      </c>
      <c r="C1018" s="36" t="s">
        <v>2121</v>
      </c>
      <c r="D1018" s="36" t="s">
        <v>2270</v>
      </c>
      <c r="E1018" s="36" t="s">
        <v>32</v>
      </c>
      <c r="F1018" s="38">
        <f t="shared" si="881"/>
        <v>1</v>
      </c>
      <c r="G1018" s="36">
        <v>1</v>
      </c>
      <c r="H1018" s="36">
        <f>G1018*$H$794</f>
        <v>1</v>
      </c>
      <c r="I1018" s="36">
        <v>8</v>
      </c>
      <c r="J1018" s="37" t="s">
        <v>1867</v>
      </c>
      <c r="K1018" s="37" t="s">
        <v>34</v>
      </c>
      <c r="L1018" s="36">
        <v>0</v>
      </c>
      <c r="M1018" s="37" t="s">
        <v>35</v>
      </c>
      <c r="N1018" s="36" t="s">
        <v>2122</v>
      </c>
      <c r="O1018" s="28"/>
      <c r="P1018" s="28"/>
      <c r="Q1018" s="28"/>
      <c r="R1018" s="30"/>
      <c r="S1018" s="30"/>
      <c r="T1018" s="30"/>
      <c r="U1018" s="30"/>
      <c r="V1018" s="8">
        <f t="shared" si="882"/>
        <v>0</v>
      </c>
      <c r="W1018" s="8">
        <f t="shared" si="883"/>
        <v>0</v>
      </c>
      <c r="X1018" s="8">
        <f t="shared" si="884"/>
        <v>0</v>
      </c>
      <c r="Y1018" s="33">
        <f t="shared" si="885"/>
        <v>0</v>
      </c>
      <c r="Z1018" s="28"/>
      <c r="AA1018" s="28"/>
      <c r="AB1018" s="28">
        <v>0</v>
      </c>
      <c r="AC1018" s="31"/>
      <c r="AD1018" s="50">
        <f t="shared" si="886"/>
        <v>1</v>
      </c>
      <c r="AE1018" s="31"/>
      <c r="AF1018" s="51">
        <v>14</v>
      </c>
      <c r="AG1018" s="51">
        <f t="shared" si="913"/>
        <v>8.4</v>
      </c>
      <c r="AH1018" s="51">
        <f t="shared" si="880"/>
        <v>42</v>
      </c>
      <c r="AI1018" s="52" t="s">
        <v>2497</v>
      </c>
      <c r="AJ1018" s="52" t="s">
        <v>2498</v>
      </c>
      <c r="AK1018" s="53">
        <f t="shared" si="914"/>
        <v>0</v>
      </c>
      <c r="AL1018" s="54">
        <f t="shared" si="915"/>
        <v>0.11904761904761904</v>
      </c>
      <c r="AM1018" s="54">
        <f t="shared" si="916"/>
        <v>2.3809523809523808E-2</v>
      </c>
      <c r="AN1018" s="55">
        <f t="shared" si="917"/>
        <v>0</v>
      </c>
      <c r="AO1018" s="55">
        <f t="shared" si="918"/>
        <v>0</v>
      </c>
      <c r="AP1018" s="53">
        <v>7.1</v>
      </c>
      <c r="AQ1018" s="53">
        <f t="shared" si="887"/>
        <v>4.26</v>
      </c>
      <c r="AR1018" s="53">
        <f t="shared" si="888"/>
        <v>21.299999999999997</v>
      </c>
      <c r="AS1018" s="56">
        <f t="shared" si="889"/>
        <v>4.6948356807511742E-2</v>
      </c>
      <c r="AT1018" s="56">
        <f t="shared" si="919"/>
        <v>0.23474178403755869</v>
      </c>
      <c r="AU1018" s="56">
        <f t="shared" si="890"/>
        <v>0.176056338028169</v>
      </c>
      <c r="AV1018" s="56">
        <f t="shared" si="920"/>
        <v>5.8685446009389672E-2</v>
      </c>
      <c r="AW1018" s="57"/>
      <c r="AX1018" s="57"/>
      <c r="AY1018" s="57"/>
      <c r="AZ1018" s="58">
        <f t="shared" si="921"/>
        <v>0</v>
      </c>
      <c r="BA1018" s="59">
        <f t="shared" si="922"/>
        <v>0</v>
      </c>
      <c r="BB1018" s="59">
        <f t="shared" si="923"/>
        <v>0</v>
      </c>
      <c r="BC1018" s="59">
        <f t="shared" si="924"/>
        <v>0</v>
      </c>
      <c r="BD1018" s="60">
        <f t="shared" si="925"/>
        <v>0</v>
      </c>
      <c r="BE1018" s="59">
        <f t="shared" si="926"/>
        <v>0</v>
      </c>
      <c r="BQ1018" s="61">
        <v>3000</v>
      </c>
      <c r="BR1018" s="61">
        <v>1200</v>
      </c>
      <c r="BS1018" s="28">
        <f t="shared" si="891"/>
        <v>2980</v>
      </c>
      <c r="BT1018" s="28">
        <f t="shared" si="892"/>
        <v>1180</v>
      </c>
      <c r="BU1018" s="28" t="s">
        <v>2541</v>
      </c>
      <c r="BV1018" s="28">
        <f t="shared" si="893"/>
        <v>5</v>
      </c>
      <c r="BW1018" s="28">
        <f t="shared" si="894"/>
        <v>5</v>
      </c>
      <c r="BX1018" s="13">
        <f t="shared" si="895"/>
        <v>596</v>
      </c>
      <c r="BY1018" s="13">
        <f t="shared" si="896"/>
        <v>596</v>
      </c>
      <c r="BZ1018" s="13">
        <f t="shared" si="897"/>
        <v>236</v>
      </c>
      <c r="CA1018" s="13">
        <f t="shared" si="898"/>
        <v>236</v>
      </c>
      <c r="CB1018" s="13">
        <f t="shared" si="899"/>
        <v>140656</v>
      </c>
      <c r="CC1018" s="62" t="str">
        <f t="shared" si="900"/>
        <v/>
      </c>
      <c r="CD1018" s="13">
        <f t="shared" si="901"/>
        <v>596</v>
      </c>
      <c r="CE1018" s="13">
        <f t="shared" si="902"/>
        <v>596</v>
      </c>
      <c r="CF1018" s="13">
        <f t="shared" si="903"/>
        <v>236</v>
      </c>
      <c r="CG1018" s="13">
        <f t="shared" si="904"/>
        <v>236</v>
      </c>
      <c r="CH1018" s="28">
        <f t="shared" si="905"/>
        <v>140656</v>
      </c>
      <c r="CI1018" s="62" t="str">
        <f t="shared" si="906"/>
        <v/>
      </c>
      <c r="CJ1018" s="59">
        <f t="shared" si="907"/>
        <v>0</v>
      </c>
      <c r="CL1018" s="63">
        <v>6000</v>
      </c>
      <c r="CM1018" s="63">
        <f t="shared" si="908"/>
        <v>0</v>
      </c>
      <c r="CN1018" s="63">
        <f t="shared" si="909"/>
        <v>5</v>
      </c>
      <c r="CO1018" s="63">
        <f t="shared" si="910"/>
        <v>1200</v>
      </c>
      <c r="CP1018" s="13">
        <f t="shared" si="911"/>
        <v>1200</v>
      </c>
      <c r="CQ1018" s="70">
        <f t="shared" si="912"/>
        <v>8.3333333333333339E-4</v>
      </c>
      <c r="CR1018" s="69">
        <f t="shared" si="931"/>
        <v>8.3333333333333339E-4</v>
      </c>
    </row>
    <row r="1019" spans="1:96" hidden="1" x14ac:dyDescent="0.25">
      <c r="A1019" s="10">
        <v>3</v>
      </c>
      <c r="B1019" s="8" t="s">
        <v>2123</v>
      </c>
      <c r="C1019" s="10" t="s">
        <v>2124</v>
      </c>
      <c r="D1019" s="10" t="s">
        <v>2270</v>
      </c>
      <c r="E1019" s="10" t="s">
        <v>32</v>
      </c>
      <c r="F1019" s="12">
        <f t="shared" si="881"/>
        <v>1</v>
      </c>
      <c r="G1019" s="10">
        <v>1</v>
      </c>
      <c r="H1019" s="10">
        <f>G1019*$H$1018</f>
        <v>1</v>
      </c>
      <c r="I1019" s="10">
        <v>1</v>
      </c>
      <c r="J1019" s="8" t="s">
        <v>455</v>
      </c>
      <c r="K1019" s="8" t="s">
        <v>34</v>
      </c>
      <c r="L1019" s="10" t="s">
        <v>110</v>
      </c>
      <c r="M1019" s="8" t="s">
        <v>35</v>
      </c>
      <c r="N1019" s="10" t="s">
        <v>2125</v>
      </c>
      <c r="O1019" s="28"/>
      <c r="P1019" s="28"/>
      <c r="Q1019" s="28"/>
      <c r="R1019" s="30"/>
      <c r="S1019" s="30"/>
      <c r="T1019" s="30"/>
      <c r="U1019" s="30"/>
      <c r="V1019" s="8">
        <f t="shared" si="882"/>
        <v>0</v>
      </c>
      <c r="W1019" s="8">
        <f t="shared" si="883"/>
        <v>0</v>
      </c>
      <c r="X1019" s="8">
        <f t="shared" si="884"/>
        <v>0</v>
      </c>
      <c r="Y1019" s="33">
        <f t="shared" si="885"/>
        <v>0</v>
      </c>
      <c r="Z1019" s="28"/>
      <c r="AA1019" s="28"/>
      <c r="AB1019" s="28">
        <v>0</v>
      </c>
      <c r="AC1019" s="31"/>
      <c r="AD1019" s="50">
        <f t="shared" si="886"/>
        <v>1</v>
      </c>
      <c r="AE1019" s="31"/>
      <c r="AF1019" s="51">
        <v>14</v>
      </c>
      <c r="AG1019" s="51">
        <f t="shared" si="913"/>
        <v>8.4</v>
      </c>
      <c r="AH1019" s="51">
        <f t="shared" si="880"/>
        <v>42</v>
      </c>
      <c r="AI1019" s="52" t="s">
        <v>2497</v>
      </c>
      <c r="AJ1019" s="52" t="s">
        <v>2498</v>
      </c>
      <c r="AK1019" s="53">
        <f t="shared" si="914"/>
        <v>0</v>
      </c>
      <c r="AL1019" s="54">
        <f t="shared" si="915"/>
        <v>0.11904761904761904</v>
      </c>
      <c r="AM1019" s="54">
        <f t="shared" si="916"/>
        <v>2.3809523809523808E-2</v>
      </c>
      <c r="AN1019" s="55">
        <f t="shared" si="917"/>
        <v>0</v>
      </c>
      <c r="AO1019" s="55">
        <f t="shared" si="918"/>
        <v>0</v>
      </c>
      <c r="AP1019" s="53">
        <v>7.1</v>
      </c>
      <c r="AQ1019" s="53">
        <f t="shared" si="887"/>
        <v>4.26</v>
      </c>
      <c r="AR1019" s="53">
        <f t="shared" si="888"/>
        <v>21.299999999999997</v>
      </c>
      <c r="AS1019" s="56">
        <f t="shared" si="889"/>
        <v>4.6948356807511742E-2</v>
      </c>
      <c r="AT1019" s="56">
        <f t="shared" si="919"/>
        <v>0.23474178403755869</v>
      </c>
      <c r="AU1019" s="56">
        <f t="shared" si="890"/>
        <v>0.176056338028169</v>
      </c>
      <c r="AV1019" s="56">
        <f t="shared" si="920"/>
        <v>5.8685446009389672E-2</v>
      </c>
      <c r="AW1019" s="57"/>
      <c r="AX1019" s="57"/>
      <c r="AY1019" s="57"/>
      <c r="AZ1019" s="58">
        <f t="shared" si="921"/>
        <v>0</v>
      </c>
      <c r="BA1019" s="59">
        <f t="shared" si="922"/>
        <v>0</v>
      </c>
      <c r="BB1019" s="59">
        <f t="shared" si="923"/>
        <v>0</v>
      </c>
      <c r="BC1019" s="59">
        <f t="shared" si="924"/>
        <v>0</v>
      </c>
      <c r="BD1019" s="60">
        <f t="shared" si="925"/>
        <v>0</v>
      </c>
      <c r="BE1019" s="59">
        <f t="shared" si="926"/>
        <v>0</v>
      </c>
      <c r="BQ1019" s="61">
        <v>3000</v>
      </c>
      <c r="BR1019" s="61">
        <v>1200</v>
      </c>
      <c r="BS1019" s="28">
        <f t="shared" si="891"/>
        <v>2980</v>
      </c>
      <c r="BT1019" s="28">
        <f t="shared" si="892"/>
        <v>1180</v>
      </c>
      <c r="BU1019" s="28" t="s">
        <v>2541</v>
      </c>
      <c r="BV1019" s="28">
        <f t="shared" si="893"/>
        <v>5</v>
      </c>
      <c r="BW1019" s="28">
        <f t="shared" si="894"/>
        <v>5</v>
      </c>
      <c r="BX1019" s="13">
        <f t="shared" si="895"/>
        <v>596</v>
      </c>
      <c r="BY1019" s="13">
        <f t="shared" si="896"/>
        <v>596</v>
      </c>
      <c r="BZ1019" s="13">
        <f t="shared" si="897"/>
        <v>236</v>
      </c>
      <c r="CA1019" s="13">
        <f t="shared" si="898"/>
        <v>236</v>
      </c>
      <c r="CB1019" s="13">
        <f t="shared" si="899"/>
        <v>140656</v>
      </c>
      <c r="CC1019" s="62" t="str">
        <f t="shared" si="900"/>
        <v/>
      </c>
      <c r="CD1019" s="13">
        <f t="shared" si="901"/>
        <v>596</v>
      </c>
      <c r="CE1019" s="13">
        <f t="shared" si="902"/>
        <v>596</v>
      </c>
      <c r="CF1019" s="13">
        <f t="shared" si="903"/>
        <v>236</v>
      </c>
      <c r="CG1019" s="13">
        <f t="shared" si="904"/>
        <v>236</v>
      </c>
      <c r="CH1019" s="28">
        <f t="shared" si="905"/>
        <v>140656</v>
      </c>
      <c r="CI1019" s="62" t="str">
        <f t="shared" si="906"/>
        <v/>
      </c>
      <c r="CJ1019" s="59">
        <f t="shared" si="907"/>
        <v>0</v>
      </c>
      <c r="CL1019" s="63">
        <v>6000</v>
      </c>
      <c r="CM1019" s="63">
        <f t="shared" si="908"/>
        <v>0</v>
      </c>
      <c r="CN1019" s="63">
        <f t="shared" si="909"/>
        <v>5</v>
      </c>
      <c r="CO1019" s="63">
        <f t="shared" si="910"/>
        <v>1200</v>
      </c>
      <c r="CP1019" s="13">
        <f t="shared" si="911"/>
        <v>1200</v>
      </c>
      <c r="CQ1019" s="70">
        <f t="shared" si="912"/>
        <v>8.3333333333333339E-4</v>
      </c>
      <c r="CR1019" s="69">
        <f t="shared" si="931"/>
        <v>8.3333333333333339E-4</v>
      </c>
    </row>
    <row r="1020" spans="1:96" x14ac:dyDescent="0.25">
      <c r="A1020" s="13">
        <v>4</v>
      </c>
      <c r="B1020" s="14" t="s">
        <v>2126</v>
      </c>
      <c r="C1020" s="13" t="s">
        <v>2127</v>
      </c>
      <c r="D1020" s="13" t="s">
        <v>2270</v>
      </c>
      <c r="E1020" s="13" t="s">
        <v>52</v>
      </c>
      <c r="F1020" s="15">
        <f t="shared" si="881"/>
        <v>1</v>
      </c>
      <c r="G1020" s="13">
        <v>1</v>
      </c>
      <c r="H1020" s="13">
        <f>G1020*$H$1019</f>
        <v>1</v>
      </c>
      <c r="I1020" s="13">
        <v>1</v>
      </c>
      <c r="J1020" s="14" t="s">
        <v>459</v>
      </c>
      <c r="K1020" s="14" t="s">
        <v>34</v>
      </c>
      <c r="L1020" s="13" t="s">
        <v>110</v>
      </c>
      <c r="M1020" s="14" t="s">
        <v>35</v>
      </c>
      <c r="N1020" s="13" t="s">
        <v>2128</v>
      </c>
      <c r="O1020" s="28"/>
      <c r="P1020" s="28"/>
      <c r="Q1020" s="28" t="s">
        <v>2585</v>
      </c>
      <c r="R1020" s="30">
        <v>56.924999999999997</v>
      </c>
      <c r="S1020" s="30">
        <v>14.694000000000001</v>
      </c>
      <c r="T1020" s="30"/>
      <c r="U1020" s="30">
        <v>0.06</v>
      </c>
      <c r="V1020" s="8">
        <f t="shared" si="882"/>
        <v>1445.8949999999998</v>
      </c>
      <c r="W1020" s="8">
        <f t="shared" si="883"/>
        <v>373.2276</v>
      </c>
      <c r="X1020" s="8">
        <f t="shared" si="884"/>
        <v>0</v>
      </c>
      <c r="Y1020" s="33">
        <f t="shared" si="885"/>
        <v>1.5239999999999998</v>
      </c>
      <c r="Z1020" s="28" t="s">
        <v>56</v>
      </c>
      <c r="AA1020" s="28" t="s">
        <v>1765</v>
      </c>
      <c r="AB1020" s="61" t="s">
        <v>2585</v>
      </c>
      <c r="AC1020" s="31" t="s">
        <v>2586</v>
      </c>
      <c r="AD1020" s="50">
        <f t="shared" si="886"/>
        <v>1</v>
      </c>
      <c r="AE1020" s="31"/>
      <c r="AF1020" s="51">
        <v>14</v>
      </c>
      <c r="AG1020" s="51">
        <f t="shared" si="913"/>
        <v>8.4</v>
      </c>
      <c r="AH1020" s="51">
        <f t="shared" si="880"/>
        <v>42</v>
      </c>
      <c r="AI1020" s="52" t="s">
        <v>2497</v>
      </c>
      <c r="AJ1020" s="52" t="s">
        <v>2498</v>
      </c>
      <c r="AK1020" s="53">
        <f t="shared" si="914"/>
        <v>1.0792958414039999</v>
      </c>
      <c r="AL1020" s="54">
        <f t="shared" si="915"/>
        <v>0.11904761904761904</v>
      </c>
      <c r="AM1020" s="54">
        <f t="shared" si="916"/>
        <v>2.3809523809523808E-2</v>
      </c>
      <c r="AN1020" s="55">
        <f t="shared" si="917"/>
        <v>0.12848760016714283</v>
      </c>
      <c r="AO1020" s="55">
        <f t="shared" si="918"/>
        <v>2.5697520033428567E-2</v>
      </c>
      <c r="AP1020" s="53">
        <v>7.1</v>
      </c>
      <c r="AQ1020" s="53">
        <f t="shared" si="887"/>
        <v>4.26</v>
      </c>
      <c r="AR1020" s="53">
        <f t="shared" si="888"/>
        <v>21.299999999999997</v>
      </c>
      <c r="AS1020" s="56">
        <f t="shared" si="889"/>
        <v>4.6948356807511742E-2</v>
      </c>
      <c r="AT1020" s="56">
        <f t="shared" si="919"/>
        <v>0.23474178403755869</v>
      </c>
      <c r="AU1020" s="56">
        <f t="shared" si="890"/>
        <v>0.176056338028169</v>
      </c>
      <c r="AV1020" s="56">
        <f t="shared" si="920"/>
        <v>5.8685446009389672E-2</v>
      </c>
      <c r="AW1020" s="57"/>
      <c r="AX1020" s="57"/>
      <c r="AY1020" s="57"/>
      <c r="AZ1020" s="58">
        <f t="shared" si="921"/>
        <v>1.0792958414039999</v>
      </c>
      <c r="BA1020" s="59">
        <f t="shared" si="922"/>
        <v>0</v>
      </c>
      <c r="BB1020" s="59">
        <f t="shared" si="923"/>
        <v>0</v>
      </c>
      <c r="BC1020" s="59">
        <f t="shared" si="924"/>
        <v>0</v>
      </c>
      <c r="BD1020" s="60">
        <f t="shared" si="925"/>
        <v>0.16666666666666666</v>
      </c>
      <c r="BE1020" s="59">
        <f t="shared" si="926"/>
        <v>0.16666666666666666</v>
      </c>
      <c r="BQ1020" s="61">
        <v>3000</v>
      </c>
      <c r="BR1020" s="61">
        <v>1200</v>
      </c>
      <c r="BS1020" s="28">
        <f t="shared" si="891"/>
        <v>2980</v>
      </c>
      <c r="BT1020" s="28">
        <f t="shared" si="892"/>
        <v>1180</v>
      </c>
      <c r="BU1020" s="28" t="s">
        <v>2541</v>
      </c>
      <c r="BV1020" s="28">
        <f t="shared" si="893"/>
        <v>1450.8949999999998</v>
      </c>
      <c r="BW1020" s="28">
        <f t="shared" si="894"/>
        <v>378.2276</v>
      </c>
      <c r="BX1020" s="13">
        <f t="shared" si="895"/>
        <v>2.0539046588485044</v>
      </c>
      <c r="BY1020" s="13">
        <f t="shared" si="896"/>
        <v>2</v>
      </c>
      <c r="BZ1020" s="13">
        <f t="shared" si="897"/>
        <v>3.1198146301327561</v>
      </c>
      <c r="CA1020" s="13">
        <f t="shared" si="898"/>
        <v>3</v>
      </c>
      <c r="CB1020" s="13">
        <f t="shared" si="899"/>
        <v>6</v>
      </c>
      <c r="CC1020" s="62">
        <f t="shared" si="900"/>
        <v>0.16666666666666666</v>
      </c>
      <c r="CD1020" s="13">
        <f t="shared" si="901"/>
        <v>7.8788538964369605</v>
      </c>
      <c r="CE1020" s="13">
        <f t="shared" si="902"/>
        <v>7</v>
      </c>
      <c r="CF1020" s="13">
        <f t="shared" si="903"/>
        <v>0.81329110652390435</v>
      </c>
      <c r="CG1020" s="13">
        <f t="shared" si="904"/>
        <v>0</v>
      </c>
      <c r="CH1020" s="28">
        <f t="shared" si="905"/>
        <v>0</v>
      </c>
      <c r="CI1020" s="62">
        <f t="shared" si="906"/>
        <v>1</v>
      </c>
      <c r="CJ1020" s="59">
        <f t="shared" si="907"/>
        <v>0.16666666666666666</v>
      </c>
      <c r="CL1020" s="63">
        <v>6000</v>
      </c>
      <c r="CM1020" s="63">
        <f t="shared" si="908"/>
        <v>1445.8949999999998</v>
      </c>
      <c r="CN1020" s="63">
        <f t="shared" si="909"/>
        <v>1450.8949999999998</v>
      </c>
      <c r="CO1020" s="63">
        <f t="shared" si="910"/>
        <v>4.1353785077486664</v>
      </c>
      <c r="CP1020" s="13">
        <f t="shared" si="911"/>
        <v>4</v>
      </c>
      <c r="CQ1020" s="70">
        <f t="shared" si="912"/>
        <v>0.25</v>
      </c>
      <c r="CR1020" s="69">
        <f t="shared" si="931"/>
        <v>0.25</v>
      </c>
    </row>
    <row r="1021" spans="1:96" hidden="1" x14ac:dyDescent="0.25">
      <c r="A1021" s="13">
        <v>4</v>
      </c>
      <c r="B1021" s="14" t="s">
        <v>2126</v>
      </c>
      <c r="C1021" s="13" t="s">
        <v>530</v>
      </c>
      <c r="D1021" s="13" t="s">
        <v>532</v>
      </c>
      <c r="E1021" s="13" t="s">
        <v>32</v>
      </c>
      <c r="F1021" s="15">
        <f t="shared" si="881"/>
        <v>21</v>
      </c>
      <c r="G1021" s="13">
        <v>1</v>
      </c>
      <c r="H1021" s="13">
        <f>G1021*$H$1019</f>
        <v>1</v>
      </c>
      <c r="I1021" s="13">
        <v>2</v>
      </c>
      <c r="J1021" s="14" t="s">
        <v>531</v>
      </c>
      <c r="K1021" s="14" t="s">
        <v>34</v>
      </c>
      <c r="L1021" s="13" t="s">
        <v>110</v>
      </c>
      <c r="M1021" s="14" t="s">
        <v>35</v>
      </c>
      <c r="N1021" s="13" t="s">
        <v>532</v>
      </c>
      <c r="O1021" s="28" t="s">
        <v>41</v>
      </c>
      <c r="P1021" s="28" t="s">
        <v>41</v>
      </c>
      <c r="Q1021" s="28"/>
      <c r="R1021" s="30"/>
      <c r="S1021" s="30"/>
      <c r="T1021" s="30"/>
      <c r="U1021" s="30"/>
      <c r="V1021" s="8">
        <f t="shared" si="882"/>
        <v>0</v>
      </c>
      <c r="W1021" s="8">
        <f t="shared" si="883"/>
        <v>0</v>
      </c>
      <c r="X1021" s="8">
        <f t="shared" si="884"/>
        <v>0</v>
      </c>
      <c r="Y1021" s="33">
        <f t="shared" si="885"/>
        <v>0</v>
      </c>
      <c r="Z1021" s="28" t="s">
        <v>2477</v>
      </c>
      <c r="AA1021" s="28" t="s">
        <v>2477</v>
      </c>
      <c r="AB1021" s="28">
        <v>0</v>
      </c>
      <c r="AC1021" s="31" t="s">
        <v>2477</v>
      </c>
      <c r="AD1021" s="50">
        <f t="shared" si="886"/>
        <v>1</v>
      </c>
      <c r="AE1021" s="31"/>
      <c r="AF1021" s="51">
        <v>14</v>
      </c>
      <c r="AG1021" s="51">
        <f t="shared" si="913"/>
        <v>8.4</v>
      </c>
      <c r="AH1021" s="51">
        <f t="shared" si="880"/>
        <v>42</v>
      </c>
      <c r="AI1021" s="52" t="s">
        <v>2497</v>
      </c>
      <c r="AJ1021" s="52" t="s">
        <v>2498</v>
      </c>
      <c r="AK1021" s="53">
        <f t="shared" si="914"/>
        <v>0</v>
      </c>
      <c r="AL1021" s="54">
        <f t="shared" si="915"/>
        <v>0.11904761904761904</v>
      </c>
      <c r="AM1021" s="54">
        <f t="shared" si="916"/>
        <v>2.3809523809523808E-2</v>
      </c>
      <c r="AN1021" s="55">
        <f t="shared" si="917"/>
        <v>0</v>
      </c>
      <c r="AO1021" s="55">
        <f t="shared" si="918"/>
        <v>0</v>
      </c>
      <c r="AP1021" s="53">
        <v>7.1</v>
      </c>
      <c r="AQ1021" s="53">
        <f t="shared" si="887"/>
        <v>4.26</v>
      </c>
      <c r="AR1021" s="53">
        <f t="shared" si="888"/>
        <v>21.299999999999997</v>
      </c>
      <c r="AS1021" s="56">
        <f t="shared" si="889"/>
        <v>4.6948356807511742E-2</v>
      </c>
      <c r="AT1021" s="56">
        <f t="shared" si="919"/>
        <v>0.23474178403755869</v>
      </c>
      <c r="AU1021" s="56">
        <f t="shared" si="890"/>
        <v>0.176056338028169</v>
      </c>
      <c r="AV1021" s="56">
        <f t="shared" si="920"/>
        <v>5.8685446009389672E-2</v>
      </c>
      <c r="AW1021" s="57"/>
      <c r="AX1021" s="57"/>
      <c r="AY1021" s="57"/>
      <c r="AZ1021" s="58">
        <f t="shared" si="921"/>
        <v>0</v>
      </c>
      <c r="BA1021" s="59">
        <f t="shared" si="922"/>
        <v>0</v>
      </c>
      <c r="BB1021" s="59">
        <f t="shared" si="923"/>
        <v>0</v>
      </c>
      <c r="BC1021" s="59">
        <f t="shared" si="924"/>
        <v>0</v>
      </c>
      <c r="BD1021" s="60">
        <f t="shared" si="925"/>
        <v>0</v>
      </c>
      <c r="BE1021" s="59">
        <f t="shared" si="926"/>
        <v>0</v>
      </c>
      <c r="BQ1021" s="61">
        <v>3000</v>
      </c>
      <c r="BR1021" s="61">
        <v>1200</v>
      </c>
      <c r="BS1021" s="28">
        <f t="shared" si="891"/>
        <v>2980</v>
      </c>
      <c r="BT1021" s="28">
        <f t="shared" si="892"/>
        <v>1180</v>
      </c>
      <c r="BU1021" s="28" t="s">
        <v>2541</v>
      </c>
      <c r="BV1021" s="28">
        <f t="shared" si="893"/>
        <v>5</v>
      </c>
      <c r="BW1021" s="28">
        <f t="shared" si="894"/>
        <v>5</v>
      </c>
      <c r="BX1021" s="13">
        <f t="shared" si="895"/>
        <v>596</v>
      </c>
      <c r="BY1021" s="13">
        <f t="shared" si="896"/>
        <v>596</v>
      </c>
      <c r="BZ1021" s="13">
        <f t="shared" si="897"/>
        <v>236</v>
      </c>
      <c r="CA1021" s="13">
        <f t="shared" si="898"/>
        <v>236</v>
      </c>
      <c r="CB1021" s="13">
        <f t="shared" si="899"/>
        <v>140656</v>
      </c>
      <c r="CC1021" s="62" t="str">
        <f t="shared" si="900"/>
        <v/>
      </c>
      <c r="CD1021" s="13">
        <f t="shared" si="901"/>
        <v>596</v>
      </c>
      <c r="CE1021" s="13">
        <f t="shared" si="902"/>
        <v>596</v>
      </c>
      <c r="CF1021" s="13">
        <f t="shared" si="903"/>
        <v>236</v>
      </c>
      <c r="CG1021" s="13">
        <f t="shared" si="904"/>
        <v>236</v>
      </c>
      <c r="CH1021" s="28">
        <f t="shared" si="905"/>
        <v>140656</v>
      </c>
      <c r="CI1021" s="62" t="str">
        <f t="shared" si="906"/>
        <v/>
      </c>
      <c r="CJ1021" s="59">
        <f t="shared" si="907"/>
        <v>0</v>
      </c>
      <c r="CL1021" s="63">
        <v>6000</v>
      </c>
      <c r="CM1021" s="63">
        <f t="shared" si="908"/>
        <v>0</v>
      </c>
      <c r="CN1021" s="63">
        <f t="shared" si="909"/>
        <v>5</v>
      </c>
      <c r="CO1021" s="63">
        <f t="shared" si="910"/>
        <v>1200</v>
      </c>
      <c r="CP1021" s="13">
        <f t="shared" si="911"/>
        <v>1200</v>
      </c>
      <c r="CQ1021" s="70">
        <f t="shared" si="912"/>
        <v>8.3333333333333339E-4</v>
      </c>
      <c r="CR1021" s="69">
        <f t="shared" si="931"/>
        <v>8.3333333333333339E-4</v>
      </c>
    </row>
    <row r="1022" spans="1:96" hidden="1" x14ac:dyDescent="0.25">
      <c r="A1022" s="17">
        <v>5</v>
      </c>
      <c r="B1022" s="6" t="s">
        <v>769</v>
      </c>
      <c r="C1022" s="17" t="s">
        <v>534</v>
      </c>
      <c r="D1022" s="17" t="s">
        <v>2270</v>
      </c>
      <c r="E1022" s="17" t="s">
        <v>52</v>
      </c>
      <c r="F1022" s="7">
        <f t="shared" si="881"/>
        <v>21</v>
      </c>
      <c r="G1022" s="17">
        <v>1</v>
      </c>
      <c r="H1022" s="17">
        <f>G1022*$H$1021</f>
        <v>1</v>
      </c>
      <c r="I1022" s="17">
        <v>1</v>
      </c>
      <c r="J1022" s="6" t="s">
        <v>101</v>
      </c>
      <c r="K1022" s="6" t="s">
        <v>34</v>
      </c>
      <c r="L1022" s="17" t="s">
        <v>110</v>
      </c>
      <c r="M1022" s="6" t="s">
        <v>35</v>
      </c>
      <c r="N1022" s="17" t="s">
        <v>535</v>
      </c>
      <c r="O1022" s="28" t="s">
        <v>41</v>
      </c>
      <c r="P1022" s="28" t="s">
        <v>41</v>
      </c>
      <c r="Q1022" s="28" t="s">
        <v>535</v>
      </c>
      <c r="R1022" s="30">
        <v>0.98</v>
      </c>
      <c r="S1022" s="30">
        <v>0.98</v>
      </c>
      <c r="T1022" s="30"/>
      <c r="U1022" s="30">
        <v>0.11811023622047245</v>
      </c>
      <c r="V1022" s="8">
        <f t="shared" si="882"/>
        <v>24.891999999999999</v>
      </c>
      <c r="W1022" s="8">
        <f t="shared" si="883"/>
        <v>24.891999999999999</v>
      </c>
      <c r="X1022" s="8">
        <f t="shared" si="884"/>
        <v>0</v>
      </c>
      <c r="Y1022" s="33">
        <f t="shared" si="885"/>
        <v>3</v>
      </c>
      <c r="Z1022" s="28" t="s">
        <v>536</v>
      </c>
      <c r="AA1022" s="28" t="s">
        <v>537</v>
      </c>
      <c r="AB1022" s="61" t="s">
        <v>535</v>
      </c>
      <c r="AC1022" s="31" t="s">
        <v>538</v>
      </c>
      <c r="AD1022" s="50">
        <f t="shared" si="886"/>
        <v>1</v>
      </c>
      <c r="AE1022" s="47" t="s">
        <v>107</v>
      </c>
      <c r="AF1022" s="51">
        <v>14</v>
      </c>
      <c r="AG1022" s="51">
        <f t="shared" si="913"/>
        <v>8.4</v>
      </c>
      <c r="AH1022" s="51">
        <f t="shared" si="880"/>
        <v>42</v>
      </c>
      <c r="AI1022" s="52" t="s">
        <v>2497</v>
      </c>
      <c r="AJ1022" s="52" t="s">
        <v>2498</v>
      </c>
      <c r="AK1022" s="53">
        <f t="shared" si="914"/>
        <v>1.239223328E-3</v>
      </c>
      <c r="AL1022" s="54">
        <f t="shared" si="915"/>
        <v>0.11904761904761904</v>
      </c>
      <c r="AM1022" s="54">
        <f t="shared" si="916"/>
        <v>2.3809523809523808E-2</v>
      </c>
      <c r="AN1022" s="55">
        <f t="shared" si="917"/>
        <v>1.4752658666666667E-4</v>
      </c>
      <c r="AO1022" s="55">
        <f t="shared" si="918"/>
        <v>2.9505317333333333E-5</v>
      </c>
      <c r="AP1022" s="53">
        <v>7.1</v>
      </c>
      <c r="AQ1022" s="53">
        <f t="shared" si="887"/>
        <v>4.26</v>
      </c>
      <c r="AR1022" s="53">
        <f t="shared" si="888"/>
        <v>21.299999999999997</v>
      </c>
      <c r="AS1022" s="56">
        <f t="shared" si="889"/>
        <v>4.6948356807511742E-2</v>
      </c>
      <c r="AT1022" s="56">
        <f t="shared" si="919"/>
        <v>0.23474178403755869</v>
      </c>
      <c r="AU1022" s="56">
        <f t="shared" si="890"/>
        <v>0.176056338028169</v>
      </c>
      <c r="AV1022" s="56">
        <f t="shared" si="920"/>
        <v>5.8685446009389672E-2</v>
      </c>
      <c r="AW1022" s="57"/>
      <c r="AX1022" s="57"/>
      <c r="AY1022" s="57"/>
      <c r="AZ1022" s="58">
        <f t="shared" si="921"/>
        <v>1.239223328E-3</v>
      </c>
      <c r="BA1022" s="59">
        <f t="shared" si="922"/>
        <v>0</v>
      </c>
      <c r="BB1022" s="59">
        <f t="shared" si="923"/>
        <v>0</v>
      </c>
      <c r="BC1022" s="59">
        <f t="shared" si="924"/>
        <v>0</v>
      </c>
      <c r="BD1022" s="60">
        <f t="shared" si="925"/>
        <v>2.5900025900025902E-4</v>
      </c>
      <c r="BE1022" s="59">
        <f t="shared" si="926"/>
        <v>2.5900025900025902E-4</v>
      </c>
      <c r="BQ1022" s="61">
        <v>3000</v>
      </c>
      <c r="BR1022" s="61">
        <v>1200</v>
      </c>
      <c r="BS1022" s="28">
        <f t="shared" si="891"/>
        <v>2980</v>
      </c>
      <c r="BT1022" s="28">
        <f t="shared" si="892"/>
        <v>1180</v>
      </c>
      <c r="BU1022" s="28" t="s">
        <v>2541</v>
      </c>
      <c r="BV1022" s="28">
        <f t="shared" si="893"/>
        <v>29.891999999999999</v>
      </c>
      <c r="BW1022" s="28">
        <f t="shared" si="894"/>
        <v>29.891999999999999</v>
      </c>
      <c r="BX1022" s="13">
        <f t="shared" si="895"/>
        <v>99.692225344573799</v>
      </c>
      <c r="BY1022" s="13">
        <f t="shared" si="896"/>
        <v>99</v>
      </c>
      <c r="BZ1022" s="13">
        <f t="shared" si="897"/>
        <v>39.475444935099695</v>
      </c>
      <c r="CA1022" s="13">
        <f t="shared" si="898"/>
        <v>39</v>
      </c>
      <c r="CB1022" s="13">
        <f t="shared" si="899"/>
        <v>3861</v>
      </c>
      <c r="CC1022" s="62">
        <f t="shared" si="900"/>
        <v>2.5900025900025902E-4</v>
      </c>
      <c r="CD1022" s="13">
        <f t="shared" si="901"/>
        <v>99.692225344573799</v>
      </c>
      <c r="CE1022" s="13">
        <f t="shared" si="902"/>
        <v>99</v>
      </c>
      <c r="CF1022" s="13">
        <f t="shared" si="903"/>
        <v>39.475444935099695</v>
      </c>
      <c r="CG1022" s="13">
        <f t="shared" si="904"/>
        <v>39</v>
      </c>
      <c r="CH1022" s="28">
        <f t="shared" si="905"/>
        <v>3861</v>
      </c>
      <c r="CI1022" s="62">
        <f t="shared" si="906"/>
        <v>2.5900025900025902E-4</v>
      </c>
      <c r="CJ1022" s="59">
        <f t="shared" si="907"/>
        <v>2.5900025900025902E-4</v>
      </c>
      <c r="CL1022" s="63">
        <v>6000</v>
      </c>
      <c r="CM1022" s="63">
        <f t="shared" si="908"/>
        <v>24.891999999999999</v>
      </c>
      <c r="CN1022" s="63">
        <f t="shared" si="909"/>
        <v>29.891999999999999</v>
      </c>
      <c r="CO1022" s="63">
        <f t="shared" si="910"/>
        <v>200.72260136491369</v>
      </c>
      <c r="CP1022" s="13">
        <f t="shared" si="911"/>
        <v>200</v>
      </c>
      <c r="CQ1022" s="70">
        <f t="shared" si="912"/>
        <v>5.0000000000000001E-3</v>
      </c>
      <c r="CR1022" s="69">
        <f t="shared" si="931"/>
        <v>5.0000000000000001E-3</v>
      </c>
    </row>
    <row r="1023" spans="1:96" hidden="1" x14ac:dyDescent="0.25">
      <c r="A1023" s="17">
        <v>5</v>
      </c>
      <c r="B1023" s="6" t="s">
        <v>769</v>
      </c>
      <c r="C1023" s="17" t="s">
        <v>539</v>
      </c>
      <c r="D1023" s="17" t="s">
        <v>2270</v>
      </c>
      <c r="E1023" s="17" t="s">
        <v>52</v>
      </c>
      <c r="F1023" s="7">
        <f t="shared" si="881"/>
        <v>21</v>
      </c>
      <c r="G1023" s="17">
        <v>1</v>
      </c>
      <c r="H1023" s="17">
        <f>G1023*$H$1021</f>
        <v>1</v>
      </c>
      <c r="I1023" s="17">
        <v>2</v>
      </c>
      <c r="J1023" s="6" t="s">
        <v>101</v>
      </c>
      <c r="K1023" s="6" t="s">
        <v>34</v>
      </c>
      <c r="L1023" s="17" t="s">
        <v>110</v>
      </c>
      <c r="M1023" s="6" t="s">
        <v>35</v>
      </c>
      <c r="N1023" s="17" t="s">
        <v>540</v>
      </c>
      <c r="O1023" s="28" t="s">
        <v>41</v>
      </c>
      <c r="P1023" s="28" t="s">
        <v>41</v>
      </c>
      <c r="Q1023" s="28" t="s">
        <v>540</v>
      </c>
      <c r="R1023" s="30">
        <v>0.98</v>
      </c>
      <c r="S1023" s="30">
        <v>0.98</v>
      </c>
      <c r="T1023" s="30"/>
      <c r="U1023" s="30">
        <v>0.47244094488188981</v>
      </c>
      <c r="V1023" s="8">
        <f t="shared" si="882"/>
        <v>24.891999999999999</v>
      </c>
      <c r="W1023" s="8">
        <f t="shared" si="883"/>
        <v>24.891999999999999</v>
      </c>
      <c r="X1023" s="8">
        <f t="shared" si="884"/>
        <v>0</v>
      </c>
      <c r="Y1023" s="33">
        <f t="shared" si="885"/>
        <v>12</v>
      </c>
      <c r="Z1023" s="28" t="s">
        <v>731</v>
      </c>
      <c r="AA1023" s="28" t="s">
        <v>251</v>
      </c>
      <c r="AB1023" s="61" t="s">
        <v>540</v>
      </c>
      <c r="AC1023" s="31" t="s">
        <v>541</v>
      </c>
      <c r="AD1023" s="50">
        <f t="shared" si="886"/>
        <v>1</v>
      </c>
      <c r="AE1023" s="31"/>
      <c r="AF1023" s="51">
        <v>14</v>
      </c>
      <c r="AG1023" s="51">
        <f t="shared" si="913"/>
        <v>8.4</v>
      </c>
      <c r="AH1023" s="51">
        <f t="shared" si="880"/>
        <v>42</v>
      </c>
      <c r="AI1023" s="52" t="s">
        <v>2497</v>
      </c>
      <c r="AJ1023" s="52" t="s">
        <v>2498</v>
      </c>
      <c r="AK1023" s="53">
        <f t="shared" si="914"/>
        <v>1.239223328E-3</v>
      </c>
      <c r="AL1023" s="54">
        <f t="shared" si="915"/>
        <v>0.11904761904761904</v>
      </c>
      <c r="AM1023" s="54">
        <f t="shared" si="916"/>
        <v>2.3809523809523808E-2</v>
      </c>
      <c r="AN1023" s="55">
        <f t="shared" si="917"/>
        <v>1.4752658666666667E-4</v>
      </c>
      <c r="AO1023" s="55">
        <f t="shared" si="918"/>
        <v>2.9505317333333333E-5</v>
      </c>
      <c r="AP1023" s="53">
        <v>7.1</v>
      </c>
      <c r="AQ1023" s="53">
        <f t="shared" si="887"/>
        <v>4.26</v>
      </c>
      <c r="AR1023" s="53">
        <f t="shared" si="888"/>
        <v>21.299999999999997</v>
      </c>
      <c r="AS1023" s="56">
        <f t="shared" si="889"/>
        <v>4.6948356807511742E-2</v>
      </c>
      <c r="AT1023" s="56">
        <f t="shared" si="919"/>
        <v>0.23474178403755869</v>
      </c>
      <c r="AU1023" s="56">
        <f t="shared" si="890"/>
        <v>0.176056338028169</v>
      </c>
      <c r="AV1023" s="56">
        <f t="shared" si="920"/>
        <v>5.8685446009389672E-2</v>
      </c>
      <c r="AW1023" s="57"/>
      <c r="AX1023" s="57"/>
      <c r="AY1023" s="57"/>
      <c r="AZ1023" s="58">
        <f t="shared" si="921"/>
        <v>1.239223328E-3</v>
      </c>
      <c r="BA1023" s="59">
        <f t="shared" si="922"/>
        <v>0</v>
      </c>
      <c r="BB1023" s="59">
        <f t="shared" si="923"/>
        <v>0</v>
      </c>
      <c r="BC1023" s="59">
        <f t="shared" si="924"/>
        <v>0</v>
      </c>
      <c r="BD1023" s="60">
        <f t="shared" si="925"/>
        <v>2.5900025900025902E-4</v>
      </c>
      <c r="BE1023" s="59">
        <f t="shared" si="926"/>
        <v>2.5900025900025902E-4</v>
      </c>
      <c r="BQ1023" s="61">
        <v>3000</v>
      </c>
      <c r="BR1023" s="61">
        <v>1200</v>
      </c>
      <c r="BS1023" s="28">
        <f t="shared" si="891"/>
        <v>2980</v>
      </c>
      <c r="BT1023" s="28">
        <f t="shared" si="892"/>
        <v>1180</v>
      </c>
      <c r="BU1023" s="28" t="s">
        <v>2541</v>
      </c>
      <c r="BV1023" s="28">
        <f t="shared" si="893"/>
        <v>29.891999999999999</v>
      </c>
      <c r="BW1023" s="28">
        <f t="shared" si="894"/>
        <v>29.891999999999999</v>
      </c>
      <c r="BX1023" s="13">
        <f t="shared" si="895"/>
        <v>99.692225344573799</v>
      </c>
      <c r="BY1023" s="13">
        <f t="shared" si="896"/>
        <v>99</v>
      </c>
      <c r="BZ1023" s="13">
        <f t="shared" si="897"/>
        <v>39.475444935099695</v>
      </c>
      <c r="CA1023" s="13">
        <f t="shared" si="898"/>
        <v>39</v>
      </c>
      <c r="CB1023" s="13">
        <f t="shared" si="899"/>
        <v>3861</v>
      </c>
      <c r="CC1023" s="62">
        <f t="shared" si="900"/>
        <v>2.5900025900025902E-4</v>
      </c>
      <c r="CD1023" s="13">
        <f t="shared" si="901"/>
        <v>99.692225344573799</v>
      </c>
      <c r="CE1023" s="13">
        <f t="shared" si="902"/>
        <v>99</v>
      </c>
      <c r="CF1023" s="13">
        <f t="shared" si="903"/>
        <v>39.475444935099695</v>
      </c>
      <c r="CG1023" s="13">
        <f t="shared" si="904"/>
        <v>39</v>
      </c>
      <c r="CH1023" s="28">
        <f t="shared" si="905"/>
        <v>3861</v>
      </c>
      <c r="CI1023" s="62">
        <f t="shared" si="906"/>
        <v>2.5900025900025902E-4</v>
      </c>
      <c r="CJ1023" s="59">
        <f t="shared" si="907"/>
        <v>2.5900025900025902E-4</v>
      </c>
      <c r="CL1023" s="63">
        <v>6000</v>
      </c>
      <c r="CM1023" s="63">
        <f t="shared" si="908"/>
        <v>24.891999999999999</v>
      </c>
      <c r="CN1023" s="63">
        <f t="shared" si="909"/>
        <v>29.891999999999999</v>
      </c>
      <c r="CO1023" s="63">
        <f t="shared" si="910"/>
        <v>200.72260136491369</v>
      </c>
      <c r="CP1023" s="13">
        <f t="shared" si="911"/>
        <v>200</v>
      </c>
      <c r="CQ1023" s="70">
        <f t="shared" si="912"/>
        <v>5.0000000000000001E-3</v>
      </c>
      <c r="CR1023" s="69">
        <f t="shared" si="931"/>
        <v>5.0000000000000001E-3</v>
      </c>
    </row>
    <row r="1024" spans="1:96" hidden="1" x14ac:dyDescent="0.25">
      <c r="A1024" s="13">
        <v>4</v>
      </c>
      <c r="B1024" s="14" t="s">
        <v>2126</v>
      </c>
      <c r="C1024" s="13" t="s">
        <v>825</v>
      </c>
      <c r="D1024" s="13" t="s">
        <v>826</v>
      </c>
      <c r="E1024" s="13" t="s">
        <v>52</v>
      </c>
      <c r="F1024" s="15">
        <f t="shared" si="881"/>
        <v>9</v>
      </c>
      <c r="G1024" s="13">
        <v>1</v>
      </c>
      <c r="H1024" s="13">
        <f>G1024*$H$1019</f>
        <v>1</v>
      </c>
      <c r="I1024" s="13">
        <v>3</v>
      </c>
      <c r="J1024" s="14" t="s">
        <v>76</v>
      </c>
      <c r="K1024" s="14" t="s">
        <v>34</v>
      </c>
      <c r="L1024" s="13" t="s">
        <v>77</v>
      </c>
      <c r="M1024" s="14" t="s">
        <v>35</v>
      </c>
      <c r="N1024" s="13" t="s">
        <v>826</v>
      </c>
      <c r="O1024" s="28" t="s">
        <v>41</v>
      </c>
      <c r="P1024" s="28" t="s">
        <v>41</v>
      </c>
      <c r="Q1024" s="28" t="s">
        <v>79</v>
      </c>
      <c r="R1024" s="30">
        <v>8.0709999999999997</v>
      </c>
      <c r="S1024" s="30">
        <v>0.3125</v>
      </c>
      <c r="T1024" s="30"/>
      <c r="U1024" s="30">
        <v>0.3125</v>
      </c>
      <c r="V1024" s="8">
        <f t="shared" si="882"/>
        <v>205.00339999999997</v>
      </c>
      <c r="W1024" s="8">
        <f t="shared" si="883"/>
        <v>7.9375</v>
      </c>
      <c r="X1024" s="8">
        <f t="shared" si="884"/>
        <v>0</v>
      </c>
      <c r="Y1024" s="33">
        <f t="shared" si="885"/>
        <v>7.9375</v>
      </c>
      <c r="Z1024" s="28" t="s">
        <v>80</v>
      </c>
      <c r="AA1024" s="28" t="s">
        <v>81</v>
      </c>
      <c r="AB1024" s="61" t="s">
        <v>79</v>
      </c>
      <c r="AC1024" s="31" t="s">
        <v>82</v>
      </c>
      <c r="AD1024" s="50">
        <f t="shared" si="886"/>
        <v>1</v>
      </c>
      <c r="AE1024" s="31"/>
      <c r="AF1024" s="51">
        <v>14</v>
      </c>
      <c r="AG1024" s="51">
        <f t="shared" si="913"/>
        <v>8.4</v>
      </c>
      <c r="AH1024" s="51">
        <f t="shared" si="880"/>
        <v>42</v>
      </c>
      <c r="AI1024" s="52" t="s">
        <v>2497</v>
      </c>
      <c r="AJ1024" s="52" t="s">
        <v>2498</v>
      </c>
      <c r="AK1024" s="53">
        <f t="shared" si="914"/>
        <v>3.2544289749999993E-3</v>
      </c>
      <c r="AL1024" s="54">
        <f t="shared" si="915"/>
        <v>0.11904761904761904</v>
      </c>
      <c r="AM1024" s="54">
        <f t="shared" si="916"/>
        <v>2.3809523809523808E-2</v>
      </c>
      <c r="AN1024" s="55">
        <f t="shared" si="917"/>
        <v>3.8743202083333321E-4</v>
      </c>
      <c r="AO1024" s="55">
        <f t="shared" si="918"/>
        <v>7.7486404166666643E-5</v>
      </c>
      <c r="AP1024" s="53">
        <v>7.1</v>
      </c>
      <c r="AQ1024" s="53">
        <f t="shared" si="887"/>
        <v>4.26</v>
      </c>
      <c r="AR1024" s="53">
        <f t="shared" si="888"/>
        <v>21.299999999999997</v>
      </c>
      <c r="AS1024" s="56">
        <f t="shared" si="889"/>
        <v>4.6948356807511742E-2</v>
      </c>
      <c r="AT1024" s="56">
        <f t="shared" si="919"/>
        <v>0.23474178403755869</v>
      </c>
      <c r="AU1024" s="56">
        <f t="shared" si="890"/>
        <v>0.176056338028169</v>
      </c>
      <c r="AV1024" s="56">
        <f t="shared" si="920"/>
        <v>5.8685446009389672E-2</v>
      </c>
      <c r="AW1024" s="57"/>
      <c r="AX1024" s="57"/>
      <c r="AY1024" s="57"/>
      <c r="AZ1024" s="58">
        <f t="shared" si="921"/>
        <v>3.2544289749999993E-3</v>
      </c>
      <c r="BA1024" s="59">
        <f t="shared" si="922"/>
        <v>0</v>
      </c>
      <c r="BB1024" s="59">
        <f t="shared" si="923"/>
        <v>0</v>
      </c>
      <c r="BC1024" s="59">
        <f t="shared" si="924"/>
        <v>0</v>
      </c>
      <c r="BD1024" s="60">
        <f t="shared" si="925"/>
        <v>7.8492935635792783E-4</v>
      </c>
      <c r="BE1024" s="59">
        <f t="shared" si="926"/>
        <v>7.8492935635792783E-4</v>
      </c>
      <c r="BQ1024" s="61">
        <v>3000</v>
      </c>
      <c r="BR1024" s="61">
        <v>1200</v>
      </c>
      <c r="BS1024" s="28">
        <f t="shared" si="891"/>
        <v>2980</v>
      </c>
      <c r="BT1024" s="28">
        <f t="shared" si="892"/>
        <v>1180</v>
      </c>
      <c r="BU1024" s="28" t="s">
        <v>2541</v>
      </c>
      <c r="BV1024" s="28">
        <f t="shared" si="893"/>
        <v>210.00339999999997</v>
      </c>
      <c r="BW1024" s="28">
        <f t="shared" si="894"/>
        <v>12.9375</v>
      </c>
      <c r="BX1024" s="13">
        <f t="shared" si="895"/>
        <v>14.190246443629009</v>
      </c>
      <c r="BY1024" s="13">
        <f t="shared" si="896"/>
        <v>14</v>
      </c>
      <c r="BZ1024" s="13">
        <f t="shared" si="897"/>
        <v>91.207729468599027</v>
      </c>
      <c r="CA1024" s="13">
        <f t="shared" si="898"/>
        <v>91</v>
      </c>
      <c r="CB1024" s="13">
        <f t="shared" si="899"/>
        <v>1274</v>
      </c>
      <c r="CC1024" s="62">
        <f t="shared" si="900"/>
        <v>7.8492935635792783E-4</v>
      </c>
      <c r="CD1024" s="13">
        <f t="shared" si="901"/>
        <v>230.33816425120773</v>
      </c>
      <c r="CE1024" s="13">
        <f t="shared" si="902"/>
        <v>230</v>
      </c>
      <c r="CF1024" s="13">
        <f t="shared" si="903"/>
        <v>5.618956645463836</v>
      </c>
      <c r="CG1024" s="13">
        <f t="shared" si="904"/>
        <v>5</v>
      </c>
      <c r="CH1024" s="28">
        <f t="shared" si="905"/>
        <v>1150</v>
      </c>
      <c r="CI1024" s="62">
        <f t="shared" si="906"/>
        <v>8.6956521739130438E-4</v>
      </c>
      <c r="CJ1024" s="59">
        <f t="shared" si="907"/>
        <v>7.8492935635792783E-4</v>
      </c>
      <c r="CL1024" s="63">
        <v>6000</v>
      </c>
      <c r="CM1024" s="63">
        <f t="shared" si="908"/>
        <v>205.00339999999997</v>
      </c>
      <c r="CN1024" s="63">
        <f t="shared" si="909"/>
        <v>210.00339999999997</v>
      </c>
      <c r="CO1024" s="63">
        <f t="shared" si="910"/>
        <v>28.570965993883913</v>
      </c>
      <c r="CP1024" s="13">
        <f t="shared" si="911"/>
        <v>28</v>
      </c>
      <c r="CQ1024" s="70">
        <f t="shared" si="912"/>
        <v>3.5714285714285712E-2</v>
      </c>
      <c r="CR1024" s="69">
        <f t="shared" si="931"/>
        <v>3.5714285714285712E-2</v>
      </c>
    </row>
    <row r="1025" spans="1:96" hidden="1" x14ac:dyDescent="0.25">
      <c r="A1025" s="10">
        <v>3</v>
      </c>
      <c r="B1025" s="8" t="s">
        <v>2123</v>
      </c>
      <c r="C1025" s="10" t="s">
        <v>2129</v>
      </c>
      <c r="D1025" s="10" t="s">
        <v>2270</v>
      </c>
      <c r="E1025" s="10" t="s">
        <v>32</v>
      </c>
      <c r="F1025" s="12">
        <f t="shared" si="881"/>
        <v>1</v>
      </c>
      <c r="G1025" s="10">
        <v>1</v>
      </c>
      <c r="H1025" s="10">
        <f>G1025*$H$1018</f>
        <v>1</v>
      </c>
      <c r="I1025" s="10">
        <v>2</v>
      </c>
      <c r="J1025" s="8" t="s">
        <v>1867</v>
      </c>
      <c r="K1025" s="8" t="s">
        <v>34</v>
      </c>
      <c r="L1025" s="10">
        <v>0</v>
      </c>
      <c r="M1025" s="8" t="s">
        <v>35</v>
      </c>
      <c r="N1025" s="10" t="s">
        <v>2130</v>
      </c>
      <c r="O1025" s="28"/>
      <c r="P1025" s="28"/>
      <c r="Q1025" s="28"/>
      <c r="R1025" s="30"/>
      <c r="S1025" s="30"/>
      <c r="T1025" s="30"/>
      <c r="U1025" s="30"/>
      <c r="V1025" s="8">
        <f t="shared" si="882"/>
        <v>0</v>
      </c>
      <c r="W1025" s="8">
        <f t="shared" si="883"/>
        <v>0</v>
      </c>
      <c r="X1025" s="8">
        <f t="shared" si="884"/>
        <v>0</v>
      </c>
      <c r="Y1025" s="33">
        <f t="shared" si="885"/>
        <v>0</v>
      </c>
      <c r="Z1025" s="28"/>
      <c r="AA1025" s="28"/>
      <c r="AB1025" s="28">
        <v>0</v>
      </c>
      <c r="AC1025" s="31"/>
      <c r="AD1025" s="50">
        <f t="shared" si="886"/>
        <v>1</v>
      </c>
      <c r="AE1025" s="31"/>
      <c r="AF1025" s="51">
        <v>14</v>
      </c>
      <c r="AG1025" s="51">
        <f t="shared" si="913"/>
        <v>8.4</v>
      </c>
      <c r="AH1025" s="51">
        <f t="shared" si="880"/>
        <v>42</v>
      </c>
      <c r="AI1025" s="52" t="s">
        <v>2497</v>
      </c>
      <c r="AJ1025" s="52" t="s">
        <v>2498</v>
      </c>
      <c r="AK1025" s="53">
        <f t="shared" si="914"/>
        <v>0</v>
      </c>
      <c r="AL1025" s="54">
        <f t="shared" si="915"/>
        <v>0.11904761904761904</v>
      </c>
      <c r="AM1025" s="54">
        <f t="shared" si="916"/>
        <v>2.3809523809523808E-2</v>
      </c>
      <c r="AN1025" s="55">
        <f t="shared" si="917"/>
        <v>0</v>
      </c>
      <c r="AO1025" s="55">
        <f t="shared" si="918"/>
        <v>0</v>
      </c>
      <c r="AP1025" s="53">
        <v>7.1</v>
      </c>
      <c r="AQ1025" s="53">
        <f t="shared" si="887"/>
        <v>4.26</v>
      </c>
      <c r="AR1025" s="53">
        <f t="shared" si="888"/>
        <v>21.299999999999997</v>
      </c>
      <c r="AS1025" s="56">
        <f t="shared" si="889"/>
        <v>4.6948356807511742E-2</v>
      </c>
      <c r="AT1025" s="56">
        <f t="shared" si="919"/>
        <v>0.23474178403755869</v>
      </c>
      <c r="AU1025" s="56">
        <f t="shared" si="890"/>
        <v>0.176056338028169</v>
      </c>
      <c r="AV1025" s="56">
        <f t="shared" si="920"/>
        <v>5.8685446009389672E-2</v>
      </c>
      <c r="AW1025" s="57"/>
      <c r="AX1025" s="57"/>
      <c r="AY1025" s="57"/>
      <c r="AZ1025" s="58">
        <f t="shared" si="921"/>
        <v>0</v>
      </c>
      <c r="BA1025" s="59">
        <f t="shared" si="922"/>
        <v>0</v>
      </c>
      <c r="BB1025" s="59">
        <f t="shared" si="923"/>
        <v>0</v>
      </c>
      <c r="BC1025" s="59">
        <f t="shared" si="924"/>
        <v>0</v>
      </c>
      <c r="BD1025" s="60">
        <f t="shared" si="925"/>
        <v>0</v>
      </c>
      <c r="BE1025" s="59">
        <f t="shared" si="926"/>
        <v>0</v>
      </c>
      <c r="BQ1025" s="61">
        <v>3000</v>
      </c>
      <c r="BR1025" s="61">
        <v>1200</v>
      </c>
      <c r="BS1025" s="28">
        <f t="shared" si="891"/>
        <v>2980</v>
      </c>
      <c r="BT1025" s="28">
        <f t="shared" si="892"/>
        <v>1180</v>
      </c>
      <c r="BU1025" s="28" t="s">
        <v>2541</v>
      </c>
      <c r="BV1025" s="28">
        <f t="shared" si="893"/>
        <v>5</v>
      </c>
      <c r="BW1025" s="28">
        <f t="shared" si="894"/>
        <v>5</v>
      </c>
      <c r="BX1025" s="13">
        <f t="shared" si="895"/>
        <v>596</v>
      </c>
      <c r="BY1025" s="13">
        <f t="shared" si="896"/>
        <v>596</v>
      </c>
      <c r="BZ1025" s="13">
        <f t="shared" si="897"/>
        <v>236</v>
      </c>
      <c r="CA1025" s="13">
        <f t="shared" si="898"/>
        <v>236</v>
      </c>
      <c r="CB1025" s="13">
        <f t="shared" si="899"/>
        <v>140656</v>
      </c>
      <c r="CC1025" s="62" t="str">
        <f t="shared" si="900"/>
        <v/>
      </c>
      <c r="CD1025" s="13">
        <f t="shared" si="901"/>
        <v>596</v>
      </c>
      <c r="CE1025" s="13">
        <f t="shared" si="902"/>
        <v>596</v>
      </c>
      <c r="CF1025" s="13">
        <f t="shared" si="903"/>
        <v>236</v>
      </c>
      <c r="CG1025" s="13">
        <f t="shared" si="904"/>
        <v>236</v>
      </c>
      <c r="CH1025" s="28">
        <f t="shared" si="905"/>
        <v>140656</v>
      </c>
      <c r="CI1025" s="62" t="str">
        <f t="shared" si="906"/>
        <v/>
      </c>
      <c r="CJ1025" s="59">
        <f t="shared" si="907"/>
        <v>0</v>
      </c>
      <c r="CL1025" s="63">
        <v>6000</v>
      </c>
      <c r="CM1025" s="63">
        <f t="shared" si="908"/>
        <v>0</v>
      </c>
      <c r="CN1025" s="63">
        <f t="shared" si="909"/>
        <v>5</v>
      </c>
      <c r="CO1025" s="63">
        <f t="shared" si="910"/>
        <v>1200</v>
      </c>
      <c r="CP1025" s="13">
        <f t="shared" si="911"/>
        <v>1200</v>
      </c>
      <c r="CQ1025" s="70">
        <f t="shared" si="912"/>
        <v>8.3333333333333339E-4</v>
      </c>
      <c r="CR1025" s="69">
        <f t="shared" si="931"/>
        <v>8.3333333333333339E-4</v>
      </c>
    </row>
    <row r="1026" spans="1:96" x14ac:dyDescent="0.25">
      <c r="A1026" s="13">
        <v>4</v>
      </c>
      <c r="B1026" s="14" t="s">
        <v>2131</v>
      </c>
      <c r="C1026" s="13" t="s">
        <v>1942</v>
      </c>
      <c r="D1026" s="13" t="s">
        <v>2270</v>
      </c>
      <c r="E1026" s="13" t="s">
        <v>52</v>
      </c>
      <c r="F1026" s="15">
        <f t="shared" si="881"/>
        <v>4</v>
      </c>
      <c r="G1026" s="13">
        <v>1</v>
      </c>
      <c r="H1026" s="13">
        <f>G1026*$H$1025</f>
        <v>1</v>
      </c>
      <c r="I1026" s="13">
        <v>4</v>
      </c>
      <c r="J1026" s="14" t="s">
        <v>119</v>
      </c>
      <c r="K1026" s="14" t="s">
        <v>34</v>
      </c>
      <c r="L1026" s="13" t="s">
        <v>110</v>
      </c>
      <c r="M1026" s="14" t="s">
        <v>35</v>
      </c>
      <c r="N1026" s="13" t="s">
        <v>1943</v>
      </c>
      <c r="O1026" s="28"/>
      <c r="P1026" s="28"/>
      <c r="Q1026" s="28" t="s">
        <v>2585</v>
      </c>
      <c r="R1026" s="30">
        <v>12</v>
      </c>
      <c r="S1026" s="30">
        <v>1.292</v>
      </c>
      <c r="T1026" s="30"/>
      <c r="U1026" s="30">
        <v>0.06</v>
      </c>
      <c r="V1026" s="8">
        <f t="shared" si="882"/>
        <v>304.79999999999995</v>
      </c>
      <c r="W1026" s="8">
        <f t="shared" si="883"/>
        <v>32.816800000000001</v>
      </c>
      <c r="X1026" s="8">
        <f t="shared" si="884"/>
        <v>0</v>
      </c>
      <c r="Y1026" s="33">
        <f t="shared" si="885"/>
        <v>1.5239999999999998</v>
      </c>
      <c r="Z1026" s="28" t="s">
        <v>56</v>
      </c>
      <c r="AA1026" s="28" t="s">
        <v>1765</v>
      </c>
      <c r="AB1026" s="61" t="s">
        <v>2585</v>
      </c>
      <c r="AC1026" s="31" t="s">
        <v>2586</v>
      </c>
      <c r="AD1026" s="50">
        <f t="shared" si="886"/>
        <v>1</v>
      </c>
      <c r="AE1026" s="31"/>
      <c r="AF1026" s="51">
        <v>14</v>
      </c>
      <c r="AG1026" s="51">
        <f t="shared" si="913"/>
        <v>8.4</v>
      </c>
      <c r="AH1026" s="51">
        <f t="shared" ref="AH1026:AH1089" si="934">AG1026/0.2</f>
        <v>42</v>
      </c>
      <c r="AI1026" s="52" t="s">
        <v>2497</v>
      </c>
      <c r="AJ1026" s="52" t="s">
        <v>2498</v>
      </c>
      <c r="AK1026" s="53">
        <f t="shared" si="914"/>
        <v>2.0005121279999996E-2</v>
      </c>
      <c r="AL1026" s="54">
        <f t="shared" si="915"/>
        <v>0.11904761904761904</v>
      </c>
      <c r="AM1026" s="54">
        <f t="shared" si="916"/>
        <v>2.3809523809523808E-2</v>
      </c>
      <c r="AN1026" s="55">
        <f t="shared" si="917"/>
        <v>2.3815620571428567E-3</v>
      </c>
      <c r="AO1026" s="55">
        <f t="shared" si="918"/>
        <v>4.7631241142857134E-4</v>
      </c>
      <c r="AP1026" s="53">
        <v>7.1</v>
      </c>
      <c r="AQ1026" s="53">
        <f t="shared" si="887"/>
        <v>4.26</v>
      </c>
      <c r="AR1026" s="53">
        <f t="shared" si="888"/>
        <v>21.299999999999997</v>
      </c>
      <c r="AS1026" s="56">
        <f t="shared" si="889"/>
        <v>4.6948356807511742E-2</v>
      </c>
      <c r="AT1026" s="56">
        <f t="shared" si="919"/>
        <v>0.23474178403755869</v>
      </c>
      <c r="AU1026" s="56">
        <f t="shared" si="890"/>
        <v>0.176056338028169</v>
      </c>
      <c r="AV1026" s="56">
        <f t="shared" si="920"/>
        <v>5.8685446009389672E-2</v>
      </c>
      <c r="AW1026" s="57"/>
      <c r="AX1026" s="57"/>
      <c r="AY1026" s="57"/>
      <c r="AZ1026" s="58">
        <f t="shared" si="921"/>
        <v>2.0005121279999996E-2</v>
      </c>
      <c r="BA1026" s="59">
        <f t="shared" si="922"/>
        <v>0</v>
      </c>
      <c r="BB1026" s="59">
        <f t="shared" si="923"/>
        <v>0</v>
      </c>
      <c r="BC1026" s="59">
        <f t="shared" si="924"/>
        <v>0</v>
      </c>
      <c r="BD1026" s="60">
        <f t="shared" si="925"/>
        <v>3.5842293906810036E-3</v>
      </c>
      <c r="BE1026" s="59">
        <f t="shared" si="926"/>
        <v>3.5842293906810036E-3</v>
      </c>
      <c r="BQ1026" s="61">
        <v>3000</v>
      </c>
      <c r="BR1026" s="61">
        <v>1200</v>
      </c>
      <c r="BS1026" s="28">
        <f t="shared" si="891"/>
        <v>2980</v>
      </c>
      <c r="BT1026" s="28">
        <f t="shared" si="892"/>
        <v>1180</v>
      </c>
      <c r="BU1026" s="28" t="s">
        <v>2541</v>
      </c>
      <c r="BV1026" s="28">
        <f t="shared" si="893"/>
        <v>309.79999999999995</v>
      </c>
      <c r="BW1026" s="28">
        <f t="shared" si="894"/>
        <v>37.816800000000001</v>
      </c>
      <c r="BX1026" s="13">
        <f t="shared" si="895"/>
        <v>9.6191091026468705</v>
      </c>
      <c r="BY1026" s="13">
        <f t="shared" si="896"/>
        <v>9</v>
      </c>
      <c r="BZ1026" s="13">
        <f t="shared" si="897"/>
        <v>31.203063188847285</v>
      </c>
      <c r="CA1026" s="13">
        <f t="shared" si="898"/>
        <v>31</v>
      </c>
      <c r="CB1026" s="13">
        <f t="shared" si="899"/>
        <v>279</v>
      </c>
      <c r="CC1026" s="62">
        <f t="shared" si="900"/>
        <v>3.5842293906810036E-3</v>
      </c>
      <c r="CD1026" s="13">
        <f t="shared" si="901"/>
        <v>78.800956188783815</v>
      </c>
      <c r="CE1026" s="13">
        <f t="shared" si="902"/>
        <v>78</v>
      </c>
      <c r="CF1026" s="13">
        <f t="shared" si="903"/>
        <v>3.8089089735313113</v>
      </c>
      <c r="CG1026" s="13">
        <f t="shared" si="904"/>
        <v>3</v>
      </c>
      <c r="CH1026" s="28">
        <f t="shared" si="905"/>
        <v>234</v>
      </c>
      <c r="CI1026" s="62">
        <f t="shared" si="906"/>
        <v>4.2735042735042739E-3</v>
      </c>
      <c r="CJ1026" s="59">
        <f t="shared" si="907"/>
        <v>3.5842293906810036E-3</v>
      </c>
      <c r="CL1026" s="63">
        <v>6000</v>
      </c>
      <c r="CM1026" s="63">
        <f t="shared" si="908"/>
        <v>304.79999999999995</v>
      </c>
      <c r="CN1026" s="63">
        <f t="shared" si="909"/>
        <v>309.79999999999995</v>
      </c>
      <c r="CO1026" s="63">
        <f t="shared" si="910"/>
        <v>19.367333763718531</v>
      </c>
      <c r="CP1026" s="13">
        <f t="shared" si="911"/>
        <v>19</v>
      </c>
      <c r="CQ1026" s="70">
        <f t="shared" si="912"/>
        <v>5.2631578947368418E-2</v>
      </c>
      <c r="CR1026" s="69">
        <f t="shared" si="931"/>
        <v>5.2631578947368418E-2</v>
      </c>
    </row>
    <row r="1027" spans="1:96" hidden="1" x14ac:dyDescent="0.25">
      <c r="A1027" s="13">
        <v>4</v>
      </c>
      <c r="B1027" s="14" t="s">
        <v>2131</v>
      </c>
      <c r="C1027" s="13" t="s">
        <v>2006</v>
      </c>
      <c r="D1027" s="13" t="s">
        <v>2270</v>
      </c>
      <c r="E1027" s="13" t="s">
        <v>52</v>
      </c>
      <c r="F1027" s="15">
        <f t="shared" ref="F1027:F1090" si="935">COUNTIF($C$2:$C$1202,C1027)</f>
        <v>2</v>
      </c>
      <c r="G1027" s="13">
        <v>1</v>
      </c>
      <c r="H1027" s="13">
        <f t="shared" ref="H1027:H1028" si="936">G1027*$H$1025</f>
        <v>1</v>
      </c>
      <c r="I1027" s="13">
        <v>5</v>
      </c>
      <c r="J1027" s="14" t="s">
        <v>2007</v>
      </c>
      <c r="K1027" s="14" t="s">
        <v>34</v>
      </c>
      <c r="L1027" s="13">
        <v>0</v>
      </c>
      <c r="M1027" s="14" t="s">
        <v>35</v>
      </c>
      <c r="N1027" s="13" t="s">
        <v>2008</v>
      </c>
      <c r="O1027" s="28"/>
      <c r="P1027" s="28"/>
      <c r="Q1027" s="28" t="s">
        <v>124</v>
      </c>
      <c r="R1027" s="30">
        <v>52.204724409448822</v>
      </c>
      <c r="S1027" s="30">
        <v>1.0629921259842521</v>
      </c>
      <c r="T1027" s="30"/>
      <c r="U1027" s="30">
        <v>9.8000000000000004E-2</v>
      </c>
      <c r="V1027" s="8">
        <f t="shared" ref="V1027:V1090" si="937">R1027*25.4</f>
        <v>1326</v>
      </c>
      <c r="W1027" s="8">
        <f t="shared" ref="W1027:W1090" si="938">S1027*25.4</f>
        <v>27</v>
      </c>
      <c r="X1027" s="8">
        <f t="shared" ref="X1027:X1090" si="939">T1027*25.4</f>
        <v>0</v>
      </c>
      <c r="Y1027" s="33">
        <f t="shared" ref="Y1027:Y1090" si="940">U1027*25.4</f>
        <v>2.4891999999999999</v>
      </c>
      <c r="Z1027" s="28" t="s">
        <v>56</v>
      </c>
      <c r="AA1027" s="28" t="s">
        <v>57</v>
      </c>
      <c r="AB1027" s="61" t="s">
        <v>124</v>
      </c>
      <c r="AC1027" s="31" t="s">
        <v>125</v>
      </c>
      <c r="AD1027" s="50">
        <f t="shared" ref="AD1027:AD1090" si="941">H1027</f>
        <v>1</v>
      </c>
      <c r="AE1027" s="31"/>
      <c r="AF1027" s="51">
        <v>14</v>
      </c>
      <c r="AG1027" s="51">
        <f t="shared" si="913"/>
        <v>8.4</v>
      </c>
      <c r="AH1027" s="51">
        <f t="shared" si="934"/>
        <v>42</v>
      </c>
      <c r="AI1027" s="52" t="s">
        <v>2497</v>
      </c>
      <c r="AJ1027" s="52" t="s">
        <v>2498</v>
      </c>
      <c r="AK1027" s="53">
        <f t="shared" si="914"/>
        <v>7.1604000000000001E-2</v>
      </c>
      <c r="AL1027" s="54">
        <f t="shared" si="915"/>
        <v>0.11904761904761904</v>
      </c>
      <c r="AM1027" s="54">
        <f t="shared" si="916"/>
        <v>2.3809523809523808E-2</v>
      </c>
      <c r="AN1027" s="55">
        <f t="shared" si="917"/>
        <v>8.5242857142857134E-3</v>
      </c>
      <c r="AO1027" s="55">
        <f t="shared" si="918"/>
        <v>1.7048571428571427E-3</v>
      </c>
      <c r="AP1027" s="53">
        <v>7.1</v>
      </c>
      <c r="AQ1027" s="53">
        <f t="shared" ref="AQ1027:AQ1090" si="942">AP1027*0.6</f>
        <v>4.26</v>
      </c>
      <c r="AR1027" s="53">
        <f t="shared" ref="AR1027:AR1090" si="943">AQ1027*5</f>
        <v>21.299999999999997</v>
      </c>
      <c r="AS1027" s="56">
        <f t="shared" ref="AS1027:AS1090" si="944">1/AR1027</f>
        <v>4.6948356807511742E-2</v>
      </c>
      <c r="AT1027" s="56">
        <f t="shared" si="919"/>
        <v>0.23474178403755869</v>
      </c>
      <c r="AU1027" s="56">
        <f t="shared" ref="AU1027:AU1090" si="945">AT1027*0.75</f>
        <v>0.176056338028169</v>
      </c>
      <c r="AV1027" s="56">
        <f t="shared" si="920"/>
        <v>5.8685446009389672E-2</v>
      </c>
      <c r="AW1027" s="57"/>
      <c r="AX1027" s="57"/>
      <c r="AY1027" s="57"/>
      <c r="AZ1027" s="58">
        <f t="shared" si="921"/>
        <v>7.1604000000000001E-2</v>
      </c>
      <c r="BA1027" s="59">
        <f t="shared" si="922"/>
        <v>0</v>
      </c>
      <c r="BB1027" s="59">
        <f t="shared" si="923"/>
        <v>0</v>
      </c>
      <c r="BC1027" s="59">
        <f t="shared" si="924"/>
        <v>0</v>
      </c>
      <c r="BD1027" s="60">
        <f t="shared" si="925"/>
        <v>1.3888888888888888E-2</v>
      </c>
      <c r="BE1027" s="59">
        <f t="shared" si="926"/>
        <v>1.3888888888888888E-2</v>
      </c>
      <c r="BQ1027" s="61">
        <v>3000</v>
      </c>
      <c r="BR1027" s="61">
        <v>1200</v>
      </c>
      <c r="BS1027" s="28">
        <f t="shared" ref="BS1027:BS1090" si="946">BQ1027-20</f>
        <v>2980</v>
      </c>
      <c r="BT1027" s="28">
        <f t="shared" ref="BT1027:BT1090" si="947">BR1027-20</f>
        <v>1180</v>
      </c>
      <c r="BU1027" s="28" t="s">
        <v>2541</v>
      </c>
      <c r="BV1027" s="28">
        <f t="shared" ref="BV1027:BV1090" si="948">V1027+5</f>
        <v>1331</v>
      </c>
      <c r="BW1027" s="28">
        <f t="shared" ref="BW1027:BW1090" si="949">W1027+5</f>
        <v>32</v>
      </c>
      <c r="BX1027" s="13">
        <f t="shared" ref="BX1027:BX1090" si="950">BS1027/BV1027</f>
        <v>2.2389181066867017</v>
      </c>
      <c r="BY1027" s="13">
        <f t="shared" ref="BY1027:BY1090" si="951">ROUNDDOWN(BX1027,0)</f>
        <v>2</v>
      </c>
      <c r="BZ1027" s="13">
        <f t="shared" ref="BZ1027:BZ1090" si="952">BT1027/BW1027</f>
        <v>36.875</v>
      </c>
      <c r="CA1027" s="13">
        <f t="shared" ref="CA1027:CA1090" si="953">ROUNDDOWN(BZ1027,0)</f>
        <v>36</v>
      </c>
      <c r="CB1027" s="13">
        <f t="shared" ref="CB1027:CB1090" si="954">BY1027*CA1027</f>
        <v>72</v>
      </c>
      <c r="CC1027" s="62">
        <f t="shared" ref="CC1027:CC1090" si="955">IF(E1027="CJ","",IFERROR((1/CB1027),1))</f>
        <v>1.3888888888888888E-2</v>
      </c>
      <c r="CD1027" s="13">
        <f t="shared" ref="CD1027:CD1090" si="956">BS1027/BW1027</f>
        <v>93.125</v>
      </c>
      <c r="CE1027" s="13">
        <f t="shared" ref="CE1027:CE1090" si="957">ROUNDDOWN(CD1027,0)</f>
        <v>93</v>
      </c>
      <c r="CF1027" s="13">
        <f t="shared" ref="CF1027:CF1090" si="958">BT1027/BV1027</f>
        <v>0.88655146506386173</v>
      </c>
      <c r="CG1027" s="13">
        <f t="shared" ref="CG1027:CG1090" si="959">ROUNDDOWN(CF1027,0)</f>
        <v>0</v>
      </c>
      <c r="CH1027" s="28">
        <f t="shared" ref="CH1027:CH1090" si="960">CE1027*CG1027</f>
        <v>0</v>
      </c>
      <c r="CI1027" s="62">
        <f t="shared" ref="CI1027:CI1090" si="961">IF(E1027="CJ","",IFERROR((1/CH1027),1))</f>
        <v>1</v>
      </c>
      <c r="CJ1027" s="59">
        <f t="shared" ref="CJ1027:CJ1090" si="962">MIN(CC1027,CI1027)</f>
        <v>1.3888888888888888E-2</v>
      </c>
      <c r="CL1027" s="63">
        <v>6000</v>
      </c>
      <c r="CM1027" s="63">
        <f t="shared" ref="CM1027:CM1090" si="963">V1027</f>
        <v>1326</v>
      </c>
      <c r="CN1027" s="63">
        <f t="shared" ref="CN1027:CN1090" si="964">CM1027+5</f>
        <v>1331</v>
      </c>
      <c r="CO1027" s="63">
        <f t="shared" ref="CO1027:CO1090" si="965">CL1027/CN1027</f>
        <v>4.5078888054094666</v>
      </c>
      <c r="CP1027" s="13">
        <f t="shared" ref="CP1027:CP1090" si="966">ROUNDDOWN(CO1027,0)</f>
        <v>4</v>
      </c>
      <c r="CQ1027" s="70">
        <f t="shared" ref="CQ1027:CQ1090" si="967">1/CP1027</f>
        <v>0.25</v>
      </c>
      <c r="CR1027" s="69">
        <f t="shared" si="931"/>
        <v>0.25</v>
      </c>
    </row>
    <row r="1028" spans="1:96" hidden="1" x14ac:dyDescent="0.25">
      <c r="A1028" s="13">
        <v>4</v>
      </c>
      <c r="B1028" s="14" t="s">
        <v>2131</v>
      </c>
      <c r="C1028" s="13" t="s">
        <v>530</v>
      </c>
      <c r="D1028" s="13" t="s">
        <v>532</v>
      </c>
      <c r="E1028" s="13" t="s">
        <v>32</v>
      </c>
      <c r="F1028" s="15">
        <f t="shared" si="935"/>
        <v>21</v>
      </c>
      <c r="G1028" s="13">
        <v>2</v>
      </c>
      <c r="H1028" s="13">
        <f t="shared" si="936"/>
        <v>2</v>
      </c>
      <c r="I1028" s="13">
        <v>6</v>
      </c>
      <c r="J1028" s="14" t="s">
        <v>531</v>
      </c>
      <c r="K1028" s="14" t="s">
        <v>34</v>
      </c>
      <c r="L1028" s="13" t="s">
        <v>110</v>
      </c>
      <c r="M1028" s="14" t="s">
        <v>35</v>
      </c>
      <c r="N1028" s="13" t="s">
        <v>532</v>
      </c>
      <c r="O1028" s="28" t="s">
        <v>41</v>
      </c>
      <c r="P1028" s="28" t="s">
        <v>41</v>
      </c>
      <c r="Q1028" s="28"/>
      <c r="R1028" s="30"/>
      <c r="S1028" s="30"/>
      <c r="T1028" s="30"/>
      <c r="U1028" s="30"/>
      <c r="V1028" s="8">
        <f t="shared" si="937"/>
        <v>0</v>
      </c>
      <c r="W1028" s="8">
        <f t="shared" si="938"/>
        <v>0</v>
      </c>
      <c r="X1028" s="8">
        <f t="shared" si="939"/>
        <v>0</v>
      </c>
      <c r="Y1028" s="33">
        <f t="shared" si="940"/>
        <v>0</v>
      </c>
      <c r="Z1028" s="28" t="s">
        <v>2477</v>
      </c>
      <c r="AA1028" s="28" t="s">
        <v>2477</v>
      </c>
      <c r="AB1028" s="28">
        <v>0</v>
      </c>
      <c r="AC1028" s="31" t="s">
        <v>2477</v>
      </c>
      <c r="AD1028" s="50">
        <f t="shared" si="941"/>
        <v>2</v>
      </c>
      <c r="AE1028" s="47" t="s">
        <v>107</v>
      </c>
      <c r="AF1028" s="51">
        <v>14</v>
      </c>
      <c r="AG1028" s="51">
        <f t="shared" si="913"/>
        <v>8.4</v>
      </c>
      <c r="AH1028" s="51">
        <f t="shared" si="934"/>
        <v>42</v>
      </c>
      <c r="AI1028" s="52" t="s">
        <v>2497</v>
      </c>
      <c r="AJ1028" s="52" t="s">
        <v>2498</v>
      </c>
      <c r="AK1028" s="53">
        <f t="shared" si="914"/>
        <v>0</v>
      </c>
      <c r="AL1028" s="54">
        <f t="shared" si="915"/>
        <v>0.11904761904761904</v>
      </c>
      <c r="AM1028" s="54">
        <f t="shared" si="916"/>
        <v>2.3809523809523808E-2</v>
      </c>
      <c r="AN1028" s="55">
        <f t="shared" si="917"/>
        <v>0</v>
      </c>
      <c r="AO1028" s="55">
        <f t="shared" si="918"/>
        <v>0</v>
      </c>
      <c r="AP1028" s="53">
        <v>7.1</v>
      </c>
      <c r="AQ1028" s="53">
        <f t="shared" si="942"/>
        <v>4.26</v>
      </c>
      <c r="AR1028" s="53">
        <f t="shared" si="943"/>
        <v>21.299999999999997</v>
      </c>
      <c r="AS1028" s="56">
        <f t="shared" si="944"/>
        <v>4.6948356807511742E-2</v>
      </c>
      <c r="AT1028" s="56">
        <f t="shared" si="919"/>
        <v>0.23474178403755869</v>
      </c>
      <c r="AU1028" s="56">
        <f t="shared" si="945"/>
        <v>0.176056338028169</v>
      </c>
      <c r="AV1028" s="56">
        <f t="shared" si="920"/>
        <v>5.8685446009389672E-2</v>
      </c>
      <c r="AW1028" s="57"/>
      <c r="AX1028" s="57"/>
      <c r="AY1028" s="57"/>
      <c r="AZ1028" s="58">
        <f t="shared" si="921"/>
        <v>0</v>
      </c>
      <c r="BA1028" s="59">
        <f t="shared" si="922"/>
        <v>0</v>
      </c>
      <c r="BB1028" s="59">
        <f t="shared" si="923"/>
        <v>0</v>
      </c>
      <c r="BC1028" s="59">
        <f t="shared" si="924"/>
        <v>0</v>
      </c>
      <c r="BD1028" s="60">
        <f t="shared" si="925"/>
        <v>0</v>
      </c>
      <c r="BE1028" s="59">
        <f t="shared" si="926"/>
        <v>0</v>
      </c>
      <c r="BQ1028" s="61">
        <v>3000</v>
      </c>
      <c r="BR1028" s="61">
        <v>1200</v>
      </c>
      <c r="BS1028" s="28">
        <f t="shared" si="946"/>
        <v>2980</v>
      </c>
      <c r="BT1028" s="28">
        <f t="shared" si="947"/>
        <v>1180</v>
      </c>
      <c r="BU1028" s="28" t="s">
        <v>2541</v>
      </c>
      <c r="BV1028" s="28">
        <f t="shared" si="948"/>
        <v>5</v>
      </c>
      <c r="BW1028" s="28">
        <f t="shared" si="949"/>
        <v>5</v>
      </c>
      <c r="BX1028" s="13">
        <f t="shared" si="950"/>
        <v>596</v>
      </c>
      <c r="BY1028" s="13">
        <f t="shared" si="951"/>
        <v>596</v>
      </c>
      <c r="BZ1028" s="13">
        <f t="shared" si="952"/>
        <v>236</v>
      </c>
      <c r="CA1028" s="13">
        <f t="shared" si="953"/>
        <v>236</v>
      </c>
      <c r="CB1028" s="13">
        <f t="shared" si="954"/>
        <v>140656</v>
      </c>
      <c r="CC1028" s="62" t="str">
        <f t="shared" si="955"/>
        <v/>
      </c>
      <c r="CD1028" s="13">
        <f t="shared" si="956"/>
        <v>596</v>
      </c>
      <c r="CE1028" s="13">
        <f t="shared" si="957"/>
        <v>596</v>
      </c>
      <c r="CF1028" s="13">
        <f t="shared" si="958"/>
        <v>236</v>
      </c>
      <c r="CG1028" s="13">
        <f t="shared" si="959"/>
        <v>236</v>
      </c>
      <c r="CH1028" s="28">
        <f t="shared" si="960"/>
        <v>140656</v>
      </c>
      <c r="CI1028" s="62" t="str">
        <f t="shared" si="961"/>
        <v/>
      </c>
      <c r="CJ1028" s="59">
        <f t="shared" si="962"/>
        <v>0</v>
      </c>
      <c r="CL1028" s="63">
        <v>6000</v>
      </c>
      <c r="CM1028" s="63">
        <f t="shared" si="963"/>
        <v>0</v>
      </c>
      <c r="CN1028" s="63">
        <f t="shared" si="964"/>
        <v>5</v>
      </c>
      <c r="CO1028" s="63">
        <f t="shared" si="965"/>
        <v>1200</v>
      </c>
      <c r="CP1028" s="13">
        <f t="shared" si="966"/>
        <v>1200</v>
      </c>
      <c r="CQ1028" s="70">
        <f t="shared" si="967"/>
        <v>8.3333333333333339E-4</v>
      </c>
      <c r="CR1028" s="69">
        <f t="shared" si="931"/>
        <v>1.6666666666666668E-3</v>
      </c>
    </row>
    <row r="1029" spans="1:96" hidden="1" x14ac:dyDescent="0.25">
      <c r="A1029" s="17">
        <v>5</v>
      </c>
      <c r="B1029" s="6" t="s">
        <v>1882</v>
      </c>
      <c r="C1029" s="17" t="s">
        <v>534</v>
      </c>
      <c r="D1029" s="17" t="s">
        <v>2270</v>
      </c>
      <c r="E1029" s="17" t="s">
        <v>52</v>
      </c>
      <c r="F1029" s="7">
        <f t="shared" si="935"/>
        <v>21</v>
      </c>
      <c r="G1029" s="17">
        <v>1</v>
      </c>
      <c r="H1029" s="17">
        <f>G1029*$H$1028</f>
        <v>2</v>
      </c>
      <c r="I1029" s="17">
        <v>1</v>
      </c>
      <c r="J1029" s="6" t="s">
        <v>101</v>
      </c>
      <c r="K1029" s="6" t="s">
        <v>34</v>
      </c>
      <c r="L1029" s="17" t="s">
        <v>110</v>
      </c>
      <c r="M1029" s="6" t="s">
        <v>35</v>
      </c>
      <c r="N1029" s="17" t="s">
        <v>535</v>
      </c>
      <c r="O1029" s="28" t="s">
        <v>41</v>
      </c>
      <c r="P1029" s="28" t="s">
        <v>41</v>
      </c>
      <c r="Q1029" s="28" t="s">
        <v>535</v>
      </c>
      <c r="R1029" s="30">
        <v>0.98</v>
      </c>
      <c r="S1029" s="30">
        <v>0.98</v>
      </c>
      <c r="T1029" s="30"/>
      <c r="U1029" s="30">
        <v>0.11811023622047245</v>
      </c>
      <c r="V1029" s="8">
        <f t="shared" si="937"/>
        <v>24.891999999999999</v>
      </c>
      <c r="W1029" s="8">
        <f t="shared" si="938"/>
        <v>24.891999999999999</v>
      </c>
      <c r="X1029" s="8">
        <f t="shared" si="939"/>
        <v>0</v>
      </c>
      <c r="Y1029" s="33">
        <f t="shared" si="940"/>
        <v>3</v>
      </c>
      <c r="Z1029" s="28" t="s">
        <v>536</v>
      </c>
      <c r="AA1029" s="28" t="s">
        <v>537</v>
      </c>
      <c r="AB1029" s="61" t="s">
        <v>535</v>
      </c>
      <c r="AC1029" s="31" t="s">
        <v>538</v>
      </c>
      <c r="AD1029" s="50">
        <f t="shared" si="941"/>
        <v>2</v>
      </c>
      <c r="AE1029" s="31"/>
      <c r="AF1029" s="51">
        <v>14</v>
      </c>
      <c r="AG1029" s="51">
        <f t="shared" si="913"/>
        <v>8.4</v>
      </c>
      <c r="AH1029" s="51">
        <f t="shared" si="934"/>
        <v>42</v>
      </c>
      <c r="AI1029" s="52" t="s">
        <v>2497</v>
      </c>
      <c r="AJ1029" s="52" t="s">
        <v>2498</v>
      </c>
      <c r="AK1029" s="53">
        <f t="shared" si="914"/>
        <v>1.239223328E-3</v>
      </c>
      <c r="AL1029" s="54">
        <f t="shared" si="915"/>
        <v>0.11904761904761904</v>
      </c>
      <c r="AM1029" s="54">
        <f t="shared" si="916"/>
        <v>2.3809523809523808E-2</v>
      </c>
      <c r="AN1029" s="55">
        <f t="shared" si="917"/>
        <v>2.9505317333333335E-4</v>
      </c>
      <c r="AO1029" s="55">
        <f t="shared" si="918"/>
        <v>5.9010634666666666E-5</v>
      </c>
      <c r="AP1029" s="53">
        <v>7.1</v>
      </c>
      <c r="AQ1029" s="53">
        <f t="shared" si="942"/>
        <v>4.26</v>
      </c>
      <c r="AR1029" s="53">
        <f t="shared" si="943"/>
        <v>21.299999999999997</v>
      </c>
      <c r="AS1029" s="56">
        <f t="shared" si="944"/>
        <v>4.6948356807511742E-2</v>
      </c>
      <c r="AT1029" s="56">
        <f t="shared" si="919"/>
        <v>0.23474178403755869</v>
      </c>
      <c r="AU1029" s="56">
        <f t="shared" si="945"/>
        <v>0.176056338028169</v>
      </c>
      <c r="AV1029" s="56">
        <f t="shared" si="920"/>
        <v>5.8685446009389672E-2</v>
      </c>
      <c r="AW1029" s="57"/>
      <c r="AX1029" s="57"/>
      <c r="AY1029" s="57"/>
      <c r="AZ1029" s="58">
        <f t="shared" si="921"/>
        <v>1.239223328E-3</v>
      </c>
      <c r="BA1029" s="59">
        <f t="shared" si="922"/>
        <v>0</v>
      </c>
      <c r="BB1029" s="59">
        <f t="shared" si="923"/>
        <v>0</v>
      </c>
      <c r="BC1029" s="59">
        <f t="shared" si="924"/>
        <v>0</v>
      </c>
      <c r="BD1029" s="60">
        <f t="shared" si="925"/>
        <v>2.5900025900025902E-4</v>
      </c>
      <c r="BE1029" s="59">
        <f t="shared" si="926"/>
        <v>5.1800051800051804E-4</v>
      </c>
      <c r="BQ1029" s="61">
        <v>3000</v>
      </c>
      <c r="BR1029" s="61">
        <v>1200</v>
      </c>
      <c r="BS1029" s="28">
        <f t="shared" si="946"/>
        <v>2980</v>
      </c>
      <c r="BT1029" s="28">
        <f t="shared" si="947"/>
        <v>1180</v>
      </c>
      <c r="BU1029" s="28" t="s">
        <v>2541</v>
      </c>
      <c r="BV1029" s="28">
        <f t="shared" si="948"/>
        <v>29.891999999999999</v>
      </c>
      <c r="BW1029" s="28">
        <f t="shared" si="949"/>
        <v>29.891999999999999</v>
      </c>
      <c r="BX1029" s="13">
        <f t="shared" si="950"/>
        <v>99.692225344573799</v>
      </c>
      <c r="BY1029" s="13">
        <f t="shared" si="951"/>
        <v>99</v>
      </c>
      <c r="BZ1029" s="13">
        <f t="shared" si="952"/>
        <v>39.475444935099695</v>
      </c>
      <c r="CA1029" s="13">
        <f t="shared" si="953"/>
        <v>39</v>
      </c>
      <c r="CB1029" s="13">
        <f t="shared" si="954"/>
        <v>3861</v>
      </c>
      <c r="CC1029" s="62">
        <f t="shared" si="955"/>
        <v>2.5900025900025902E-4</v>
      </c>
      <c r="CD1029" s="13">
        <f t="shared" si="956"/>
        <v>99.692225344573799</v>
      </c>
      <c r="CE1029" s="13">
        <f t="shared" si="957"/>
        <v>99</v>
      </c>
      <c r="CF1029" s="13">
        <f t="shared" si="958"/>
        <v>39.475444935099695</v>
      </c>
      <c r="CG1029" s="13">
        <f t="shared" si="959"/>
        <v>39</v>
      </c>
      <c r="CH1029" s="28">
        <f t="shared" si="960"/>
        <v>3861</v>
      </c>
      <c r="CI1029" s="62">
        <f t="shared" si="961"/>
        <v>2.5900025900025902E-4</v>
      </c>
      <c r="CJ1029" s="59">
        <f t="shared" si="962"/>
        <v>2.5900025900025902E-4</v>
      </c>
      <c r="CL1029" s="63">
        <v>6000</v>
      </c>
      <c r="CM1029" s="63">
        <f t="shared" si="963"/>
        <v>24.891999999999999</v>
      </c>
      <c r="CN1029" s="63">
        <f t="shared" si="964"/>
        <v>29.891999999999999</v>
      </c>
      <c r="CO1029" s="63">
        <f t="shared" si="965"/>
        <v>200.72260136491369</v>
      </c>
      <c r="CP1029" s="13">
        <f t="shared" si="966"/>
        <v>200</v>
      </c>
      <c r="CQ1029" s="70">
        <f t="shared" si="967"/>
        <v>5.0000000000000001E-3</v>
      </c>
      <c r="CR1029" s="69">
        <f t="shared" si="931"/>
        <v>0.01</v>
      </c>
    </row>
    <row r="1030" spans="1:96" hidden="1" x14ac:dyDescent="0.25">
      <c r="A1030" s="17">
        <v>5</v>
      </c>
      <c r="B1030" s="6" t="s">
        <v>1882</v>
      </c>
      <c r="C1030" s="17" t="s">
        <v>539</v>
      </c>
      <c r="D1030" s="17" t="s">
        <v>2270</v>
      </c>
      <c r="E1030" s="17" t="s">
        <v>52</v>
      </c>
      <c r="F1030" s="7">
        <f t="shared" si="935"/>
        <v>21</v>
      </c>
      <c r="G1030" s="17">
        <v>1</v>
      </c>
      <c r="H1030" s="17">
        <f>G1030*$H$1028</f>
        <v>2</v>
      </c>
      <c r="I1030" s="17">
        <v>2</v>
      </c>
      <c r="J1030" s="6" t="s">
        <v>101</v>
      </c>
      <c r="K1030" s="6" t="s">
        <v>34</v>
      </c>
      <c r="L1030" s="17" t="s">
        <v>110</v>
      </c>
      <c r="M1030" s="6" t="s">
        <v>35</v>
      </c>
      <c r="N1030" s="17" t="s">
        <v>540</v>
      </c>
      <c r="O1030" s="28" t="s">
        <v>41</v>
      </c>
      <c r="P1030" s="28" t="s">
        <v>41</v>
      </c>
      <c r="Q1030" s="28" t="s">
        <v>540</v>
      </c>
      <c r="R1030" s="30">
        <v>0.98</v>
      </c>
      <c r="S1030" s="30">
        <v>0.98</v>
      </c>
      <c r="T1030" s="30"/>
      <c r="U1030" s="30">
        <v>0.47244094488188981</v>
      </c>
      <c r="V1030" s="8">
        <f t="shared" si="937"/>
        <v>24.891999999999999</v>
      </c>
      <c r="W1030" s="8">
        <f t="shared" si="938"/>
        <v>24.891999999999999</v>
      </c>
      <c r="X1030" s="8">
        <f t="shared" si="939"/>
        <v>0</v>
      </c>
      <c r="Y1030" s="33">
        <f t="shared" si="940"/>
        <v>12</v>
      </c>
      <c r="Z1030" s="28" t="s">
        <v>731</v>
      </c>
      <c r="AA1030" s="28" t="s">
        <v>251</v>
      </c>
      <c r="AB1030" s="61" t="s">
        <v>540</v>
      </c>
      <c r="AC1030" s="31" t="s">
        <v>541</v>
      </c>
      <c r="AD1030" s="50">
        <f t="shared" si="941"/>
        <v>2</v>
      </c>
      <c r="AE1030" s="31"/>
      <c r="AF1030" s="51">
        <v>14</v>
      </c>
      <c r="AG1030" s="51">
        <f t="shared" ref="AG1030:AG1093" si="968">AF1030*0.6</f>
        <v>8.4</v>
      </c>
      <c r="AH1030" s="51">
        <f t="shared" si="934"/>
        <v>42</v>
      </c>
      <c r="AI1030" s="52" t="s">
        <v>2497</v>
      </c>
      <c r="AJ1030" s="52" t="s">
        <v>2498</v>
      </c>
      <c r="AK1030" s="53">
        <f t="shared" ref="AK1030:AK1093" si="969">(V1030*W1030)*2/1000000</f>
        <v>1.239223328E-3</v>
      </c>
      <c r="AL1030" s="54">
        <f t="shared" ref="AL1030:AL1093" si="970">1/(AF1030*0.6)</f>
        <v>0.11904761904761904</v>
      </c>
      <c r="AM1030" s="54">
        <f t="shared" ref="AM1030:AM1093" si="971">1/AG1030*(20/100)</f>
        <v>2.3809523809523808E-2</v>
      </c>
      <c r="AN1030" s="55">
        <f t="shared" ref="AN1030:AN1093" si="972">IF(AI1030&lt;&gt;0,(AK1030*AL1030*AD1030),0)</f>
        <v>2.9505317333333335E-4</v>
      </c>
      <c r="AO1030" s="55">
        <f t="shared" ref="AO1030:AO1093" si="973">IF(AJ1030&lt;&gt;0,(AK1030*AM1030*AD1030),0)</f>
        <v>5.9010634666666666E-5</v>
      </c>
      <c r="AP1030" s="53">
        <v>7.1</v>
      </c>
      <c r="AQ1030" s="53">
        <f t="shared" si="942"/>
        <v>4.26</v>
      </c>
      <c r="AR1030" s="53">
        <f t="shared" si="943"/>
        <v>21.299999999999997</v>
      </c>
      <c r="AS1030" s="56">
        <f t="shared" si="944"/>
        <v>4.6948356807511742E-2</v>
      </c>
      <c r="AT1030" s="56">
        <f t="shared" ref="AT1030:AT1093" si="974">1/AQ1030</f>
        <v>0.23474178403755869</v>
      </c>
      <c r="AU1030" s="56">
        <f t="shared" si="945"/>
        <v>0.176056338028169</v>
      </c>
      <c r="AV1030" s="56">
        <f t="shared" ref="AV1030:AV1093" si="975">AT1030*0.25</f>
        <v>5.8685446009389672E-2</v>
      </c>
      <c r="AW1030" s="57"/>
      <c r="AX1030" s="57"/>
      <c r="AY1030" s="57"/>
      <c r="AZ1030" s="58">
        <f t="shared" ref="AZ1030:AZ1093" si="976">(V1030*W1030)*2/1000000</f>
        <v>1.239223328E-3</v>
      </c>
      <c r="BA1030" s="59">
        <f t="shared" ref="BA1030:BA1093" si="977">IF(AW1030&lt;&gt;0,(AV1030*AD1030*AK1030),0)</f>
        <v>0</v>
      </c>
      <c r="BB1030" s="59">
        <f t="shared" ref="BB1030:BB1093" si="978">IF(AX1030&lt;&gt;0,(AD1030*AU1030*AZ1030),0)</f>
        <v>0</v>
      </c>
      <c r="BC1030" s="59">
        <f t="shared" ref="BC1030:BC1093" si="979">IF(AY1030&lt;&gt;0,(AD1030*AS1030*AZ1030),0)</f>
        <v>0</v>
      </c>
      <c r="BD1030" s="60">
        <f t="shared" ref="BD1030:BD1093" si="980">CJ1030</f>
        <v>2.5900025900025902E-4</v>
      </c>
      <c r="BE1030" s="59">
        <f t="shared" ref="BE1030:BE1093" si="981">BD1030*AD1030</f>
        <v>5.1800051800051804E-4</v>
      </c>
      <c r="BQ1030" s="61">
        <v>3000</v>
      </c>
      <c r="BR1030" s="61">
        <v>1200</v>
      </c>
      <c r="BS1030" s="28">
        <f t="shared" si="946"/>
        <v>2980</v>
      </c>
      <c r="BT1030" s="28">
        <f t="shared" si="947"/>
        <v>1180</v>
      </c>
      <c r="BU1030" s="28" t="s">
        <v>2541</v>
      </c>
      <c r="BV1030" s="28">
        <f t="shared" si="948"/>
        <v>29.891999999999999</v>
      </c>
      <c r="BW1030" s="28">
        <f t="shared" si="949"/>
        <v>29.891999999999999</v>
      </c>
      <c r="BX1030" s="13">
        <f t="shared" si="950"/>
        <v>99.692225344573799</v>
      </c>
      <c r="BY1030" s="13">
        <f t="shared" si="951"/>
        <v>99</v>
      </c>
      <c r="BZ1030" s="13">
        <f t="shared" si="952"/>
        <v>39.475444935099695</v>
      </c>
      <c r="CA1030" s="13">
        <f t="shared" si="953"/>
        <v>39</v>
      </c>
      <c r="CB1030" s="13">
        <f t="shared" si="954"/>
        <v>3861</v>
      </c>
      <c r="CC1030" s="62">
        <f t="shared" si="955"/>
        <v>2.5900025900025902E-4</v>
      </c>
      <c r="CD1030" s="13">
        <f t="shared" si="956"/>
        <v>99.692225344573799</v>
      </c>
      <c r="CE1030" s="13">
        <f t="shared" si="957"/>
        <v>99</v>
      </c>
      <c r="CF1030" s="13">
        <f t="shared" si="958"/>
        <v>39.475444935099695</v>
      </c>
      <c r="CG1030" s="13">
        <f t="shared" si="959"/>
        <v>39</v>
      </c>
      <c r="CH1030" s="28">
        <f t="shared" si="960"/>
        <v>3861</v>
      </c>
      <c r="CI1030" s="62">
        <f t="shared" si="961"/>
        <v>2.5900025900025902E-4</v>
      </c>
      <c r="CJ1030" s="59">
        <f t="shared" si="962"/>
        <v>2.5900025900025902E-4</v>
      </c>
      <c r="CL1030" s="63">
        <v>6000</v>
      </c>
      <c r="CM1030" s="63">
        <f t="shared" si="963"/>
        <v>24.891999999999999</v>
      </c>
      <c r="CN1030" s="63">
        <f t="shared" si="964"/>
        <v>29.891999999999999</v>
      </c>
      <c r="CO1030" s="63">
        <f t="shared" si="965"/>
        <v>200.72260136491369</v>
      </c>
      <c r="CP1030" s="13">
        <f t="shared" si="966"/>
        <v>200</v>
      </c>
      <c r="CQ1030" s="70">
        <f t="shared" si="967"/>
        <v>5.0000000000000001E-3</v>
      </c>
      <c r="CR1030" s="69">
        <f t="shared" si="931"/>
        <v>0.01</v>
      </c>
    </row>
    <row r="1031" spans="1:96" hidden="1" x14ac:dyDescent="0.25">
      <c r="A1031" s="13">
        <v>4</v>
      </c>
      <c r="B1031" s="14" t="s">
        <v>2131</v>
      </c>
      <c r="C1031" s="13" t="s">
        <v>2132</v>
      </c>
      <c r="D1031" s="13" t="s">
        <v>2270</v>
      </c>
      <c r="E1031" s="13" t="s">
        <v>32</v>
      </c>
      <c r="F1031" s="15">
        <f t="shared" si="935"/>
        <v>1</v>
      </c>
      <c r="G1031" s="13">
        <v>1</v>
      </c>
      <c r="H1031" s="13">
        <f>G1031*$H$1025</f>
        <v>1</v>
      </c>
      <c r="I1031" s="13">
        <v>20</v>
      </c>
      <c r="J1031" s="14" t="s">
        <v>1867</v>
      </c>
      <c r="K1031" s="14" t="s">
        <v>34</v>
      </c>
      <c r="L1031" s="13">
        <v>0</v>
      </c>
      <c r="M1031" s="14" t="s">
        <v>35</v>
      </c>
      <c r="N1031" s="13" t="s">
        <v>2133</v>
      </c>
      <c r="O1031" s="28"/>
      <c r="P1031" s="28"/>
      <c r="Q1031" s="28"/>
      <c r="R1031" s="30"/>
      <c r="S1031" s="30"/>
      <c r="T1031" s="30"/>
      <c r="U1031" s="30"/>
      <c r="V1031" s="8">
        <f t="shared" si="937"/>
        <v>0</v>
      </c>
      <c r="W1031" s="8">
        <f t="shared" si="938"/>
        <v>0</v>
      </c>
      <c r="X1031" s="8">
        <f t="shared" si="939"/>
        <v>0</v>
      </c>
      <c r="Y1031" s="33">
        <f t="shared" si="940"/>
        <v>0</v>
      </c>
      <c r="Z1031" s="28"/>
      <c r="AA1031" s="28"/>
      <c r="AB1031" s="28">
        <v>0</v>
      </c>
      <c r="AC1031" s="31"/>
      <c r="AD1031" s="50">
        <f t="shared" si="941"/>
        <v>1</v>
      </c>
      <c r="AE1031" s="31"/>
      <c r="AF1031" s="51">
        <v>14</v>
      </c>
      <c r="AG1031" s="51">
        <f t="shared" si="968"/>
        <v>8.4</v>
      </c>
      <c r="AH1031" s="51">
        <f t="shared" si="934"/>
        <v>42</v>
      </c>
      <c r="AI1031" s="52" t="s">
        <v>2497</v>
      </c>
      <c r="AJ1031" s="52" t="s">
        <v>2498</v>
      </c>
      <c r="AK1031" s="53">
        <f t="shared" si="969"/>
        <v>0</v>
      </c>
      <c r="AL1031" s="54">
        <f t="shared" si="970"/>
        <v>0.11904761904761904</v>
      </c>
      <c r="AM1031" s="54">
        <f t="shared" si="971"/>
        <v>2.3809523809523808E-2</v>
      </c>
      <c r="AN1031" s="55">
        <f t="shared" si="972"/>
        <v>0</v>
      </c>
      <c r="AO1031" s="55">
        <f t="shared" si="973"/>
        <v>0</v>
      </c>
      <c r="AP1031" s="53">
        <v>7.1</v>
      </c>
      <c r="AQ1031" s="53">
        <f t="shared" si="942"/>
        <v>4.26</v>
      </c>
      <c r="AR1031" s="53">
        <f t="shared" si="943"/>
        <v>21.299999999999997</v>
      </c>
      <c r="AS1031" s="56">
        <f t="shared" si="944"/>
        <v>4.6948356807511742E-2</v>
      </c>
      <c r="AT1031" s="56">
        <f t="shared" si="974"/>
        <v>0.23474178403755869</v>
      </c>
      <c r="AU1031" s="56">
        <f t="shared" si="945"/>
        <v>0.176056338028169</v>
      </c>
      <c r="AV1031" s="56">
        <f t="shared" si="975"/>
        <v>5.8685446009389672E-2</v>
      </c>
      <c r="AW1031" s="57"/>
      <c r="AX1031" s="57"/>
      <c r="AY1031" s="57"/>
      <c r="AZ1031" s="58">
        <f t="shared" si="976"/>
        <v>0</v>
      </c>
      <c r="BA1031" s="59">
        <f t="shared" si="977"/>
        <v>0</v>
      </c>
      <c r="BB1031" s="59">
        <f t="shared" si="978"/>
        <v>0</v>
      </c>
      <c r="BC1031" s="59">
        <f t="shared" si="979"/>
        <v>0</v>
      </c>
      <c r="BD1031" s="60">
        <f t="shared" si="980"/>
        <v>0</v>
      </c>
      <c r="BE1031" s="59">
        <f t="shared" si="981"/>
        <v>0</v>
      </c>
      <c r="BQ1031" s="61">
        <v>3000</v>
      </c>
      <c r="BR1031" s="61">
        <v>1200</v>
      </c>
      <c r="BS1031" s="28">
        <f t="shared" si="946"/>
        <v>2980</v>
      </c>
      <c r="BT1031" s="28">
        <f t="shared" si="947"/>
        <v>1180</v>
      </c>
      <c r="BU1031" s="28" t="s">
        <v>2541</v>
      </c>
      <c r="BV1031" s="28">
        <f t="shared" si="948"/>
        <v>5</v>
      </c>
      <c r="BW1031" s="28">
        <f t="shared" si="949"/>
        <v>5</v>
      </c>
      <c r="BX1031" s="13">
        <f t="shared" si="950"/>
        <v>596</v>
      </c>
      <c r="BY1031" s="13">
        <f t="shared" si="951"/>
        <v>596</v>
      </c>
      <c r="BZ1031" s="13">
        <f t="shared" si="952"/>
        <v>236</v>
      </c>
      <c r="CA1031" s="13">
        <f t="shared" si="953"/>
        <v>236</v>
      </c>
      <c r="CB1031" s="13">
        <f t="shared" si="954"/>
        <v>140656</v>
      </c>
      <c r="CC1031" s="62" t="str">
        <f t="shared" si="955"/>
        <v/>
      </c>
      <c r="CD1031" s="13">
        <f t="shared" si="956"/>
        <v>596</v>
      </c>
      <c r="CE1031" s="13">
        <f t="shared" si="957"/>
        <v>596</v>
      </c>
      <c r="CF1031" s="13">
        <f t="shared" si="958"/>
        <v>236</v>
      </c>
      <c r="CG1031" s="13">
        <f t="shared" si="959"/>
        <v>236</v>
      </c>
      <c r="CH1031" s="28">
        <f t="shared" si="960"/>
        <v>140656</v>
      </c>
      <c r="CI1031" s="62" t="str">
        <f t="shared" si="961"/>
        <v/>
      </c>
      <c r="CJ1031" s="59">
        <f t="shared" si="962"/>
        <v>0</v>
      </c>
      <c r="CL1031" s="63">
        <v>6000</v>
      </c>
      <c r="CM1031" s="63">
        <f t="shared" si="963"/>
        <v>0</v>
      </c>
      <c r="CN1031" s="63">
        <f t="shared" si="964"/>
        <v>5</v>
      </c>
      <c r="CO1031" s="63">
        <f t="shared" si="965"/>
        <v>1200</v>
      </c>
      <c r="CP1031" s="13">
        <f t="shared" si="966"/>
        <v>1200</v>
      </c>
      <c r="CQ1031" s="70">
        <f t="shared" si="967"/>
        <v>8.3333333333333339E-4</v>
      </c>
      <c r="CR1031" s="69">
        <f t="shared" si="931"/>
        <v>8.3333333333333339E-4</v>
      </c>
    </row>
    <row r="1032" spans="1:96" hidden="1" x14ac:dyDescent="0.25">
      <c r="A1032" s="17">
        <v>5</v>
      </c>
      <c r="B1032" s="6" t="s">
        <v>2134</v>
      </c>
      <c r="C1032" s="17" t="s">
        <v>2135</v>
      </c>
      <c r="D1032" s="17" t="s">
        <v>2270</v>
      </c>
      <c r="E1032" s="17" t="s">
        <v>52</v>
      </c>
      <c r="F1032" s="7">
        <f t="shared" si="935"/>
        <v>1</v>
      </c>
      <c r="G1032" s="17">
        <v>1</v>
      </c>
      <c r="H1032" s="17">
        <f>G1032*$H$1031</f>
        <v>1</v>
      </c>
      <c r="I1032" s="17">
        <v>1</v>
      </c>
      <c r="J1032" s="6" t="s">
        <v>1892</v>
      </c>
      <c r="K1032" s="6" t="s">
        <v>34</v>
      </c>
      <c r="L1032" s="17">
        <v>0</v>
      </c>
      <c r="M1032" s="6" t="s">
        <v>35</v>
      </c>
      <c r="N1032" s="17" t="s">
        <v>2136</v>
      </c>
      <c r="O1032" s="28"/>
      <c r="P1032" s="28"/>
      <c r="Q1032" s="28" t="s">
        <v>505</v>
      </c>
      <c r="R1032" s="30">
        <v>56.912999999999997</v>
      </c>
      <c r="S1032" s="30">
        <v>14.682</v>
      </c>
      <c r="T1032" s="30"/>
      <c r="U1032" s="30">
        <v>0.06</v>
      </c>
      <c r="V1032" s="8">
        <f t="shared" si="937"/>
        <v>1445.5901999999999</v>
      </c>
      <c r="W1032" s="8">
        <f t="shared" si="938"/>
        <v>372.9228</v>
      </c>
      <c r="X1032" s="8">
        <f t="shared" si="939"/>
        <v>0</v>
      </c>
      <c r="Y1032" s="33">
        <f t="shared" si="940"/>
        <v>1.5239999999999998</v>
      </c>
      <c r="Z1032" s="28" t="s">
        <v>56</v>
      </c>
      <c r="AA1032" s="28" t="s">
        <v>1765</v>
      </c>
      <c r="AB1032" s="61" t="s">
        <v>505</v>
      </c>
      <c r="AC1032" s="31" t="s">
        <v>506</v>
      </c>
      <c r="AD1032" s="50">
        <f t="shared" si="941"/>
        <v>1</v>
      </c>
      <c r="AE1032" s="31"/>
      <c r="AF1032" s="51">
        <v>14</v>
      </c>
      <c r="AG1032" s="51">
        <f t="shared" si="968"/>
        <v>8.4</v>
      </c>
      <c r="AH1032" s="51">
        <f t="shared" si="934"/>
        <v>42</v>
      </c>
      <c r="AI1032" s="52" t="s">
        <v>2497</v>
      </c>
      <c r="AJ1032" s="52" t="s">
        <v>2498</v>
      </c>
      <c r="AK1032" s="53">
        <f t="shared" si="969"/>
        <v>1.0781870900731199</v>
      </c>
      <c r="AL1032" s="54">
        <f t="shared" si="970"/>
        <v>0.11904761904761904</v>
      </c>
      <c r="AM1032" s="54">
        <f t="shared" si="971"/>
        <v>2.3809523809523808E-2</v>
      </c>
      <c r="AN1032" s="55">
        <f t="shared" si="972"/>
        <v>0.12835560596108569</v>
      </c>
      <c r="AO1032" s="55">
        <f t="shared" si="973"/>
        <v>2.567112119221714E-2</v>
      </c>
      <c r="AP1032" s="53">
        <v>7.1</v>
      </c>
      <c r="AQ1032" s="53">
        <f t="shared" si="942"/>
        <v>4.26</v>
      </c>
      <c r="AR1032" s="53">
        <f t="shared" si="943"/>
        <v>21.299999999999997</v>
      </c>
      <c r="AS1032" s="56">
        <f t="shared" si="944"/>
        <v>4.6948356807511742E-2</v>
      </c>
      <c r="AT1032" s="56">
        <f t="shared" si="974"/>
        <v>0.23474178403755869</v>
      </c>
      <c r="AU1032" s="56">
        <f t="shared" si="945"/>
        <v>0.176056338028169</v>
      </c>
      <c r="AV1032" s="56">
        <f t="shared" si="975"/>
        <v>5.8685446009389672E-2</v>
      </c>
      <c r="AW1032" s="57"/>
      <c r="AX1032" s="57"/>
      <c r="AY1032" s="57"/>
      <c r="AZ1032" s="58">
        <f t="shared" si="976"/>
        <v>1.0781870900731199</v>
      </c>
      <c r="BA1032" s="59">
        <f t="shared" si="977"/>
        <v>0</v>
      </c>
      <c r="BB1032" s="59">
        <f t="shared" si="978"/>
        <v>0</v>
      </c>
      <c r="BC1032" s="59">
        <f t="shared" si="979"/>
        <v>0</v>
      </c>
      <c r="BD1032" s="60">
        <f t="shared" si="980"/>
        <v>0.16666666666666666</v>
      </c>
      <c r="BE1032" s="59">
        <f t="shared" si="981"/>
        <v>0.16666666666666666</v>
      </c>
      <c r="BQ1032" s="61">
        <v>3000</v>
      </c>
      <c r="BR1032" s="61">
        <v>1200</v>
      </c>
      <c r="BS1032" s="28">
        <f t="shared" si="946"/>
        <v>2980</v>
      </c>
      <c r="BT1032" s="28">
        <f t="shared" si="947"/>
        <v>1180</v>
      </c>
      <c r="BU1032" s="28" t="s">
        <v>2541</v>
      </c>
      <c r="BV1032" s="28">
        <f t="shared" si="948"/>
        <v>1450.5901999999999</v>
      </c>
      <c r="BW1032" s="28">
        <f t="shared" si="949"/>
        <v>377.9228</v>
      </c>
      <c r="BX1032" s="13">
        <f t="shared" si="950"/>
        <v>2.0543362281090829</v>
      </c>
      <c r="BY1032" s="13">
        <f t="shared" si="951"/>
        <v>2</v>
      </c>
      <c r="BZ1032" s="13">
        <f t="shared" si="952"/>
        <v>3.1223308040689792</v>
      </c>
      <c r="CA1032" s="13">
        <f t="shared" si="953"/>
        <v>3</v>
      </c>
      <c r="CB1032" s="13">
        <f t="shared" si="954"/>
        <v>6</v>
      </c>
      <c r="CC1032" s="62">
        <f t="shared" si="955"/>
        <v>0.16666666666666666</v>
      </c>
      <c r="CD1032" s="13">
        <f t="shared" si="956"/>
        <v>7.8852083018013204</v>
      </c>
      <c r="CE1032" s="13">
        <f t="shared" si="957"/>
        <v>7</v>
      </c>
      <c r="CF1032" s="13">
        <f t="shared" si="958"/>
        <v>0.81346199636534156</v>
      </c>
      <c r="CG1032" s="13">
        <f t="shared" si="959"/>
        <v>0</v>
      </c>
      <c r="CH1032" s="28">
        <f t="shared" si="960"/>
        <v>0</v>
      </c>
      <c r="CI1032" s="62">
        <f t="shared" si="961"/>
        <v>1</v>
      </c>
      <c r="CJ1032" s="59">
        <f t="shared" si="962"/>
        <v>0.16666666666666666</v>
      </c>
      <c r="CL1032" s="63">
        <v>6000</v>
      </c>
      <c r="CM1032" s="63">
        <f t="shared" si="963"/>
        <v>1445.5901999999999</v>
      </c>
      <c r="CN1032" s="63">
        <f t="shared" si="964"/>
        <v>1450.5901999999999</v>
      </c>
      <c r="CO1032" s="63">
        <f t="shared" si="965"/>
        <v>4.1362474391458042</v>
      </c>
      <c r="CP1032" s="13">
        <f t="shared" si="966"/>
        <v>4</v>
      </c>
      <c r="CQ1032" s="70">
        <f t="shared" si="967"/>
        <v>0.25</v>
      </c>
      <c r="CR1032" s="69">
        <f t="shared" si="931"/>
        <v>0.25</v>
      </c>
    </row>
    <row r="1033" spans="1:96" hidden="1" x14ac:dyDescent="0.25">
      <c r="A1033" s="17">
        <v>5</v>
      </c>
      <c r="B1033" s="6" t="s">
        <v>2134</v>
      </c>
      <c r="C1033" s="17" t="s">
        <v>1667</v>
      </c>
      <c r="D1033" s="17" t="s">
        <v>1959</v>
      </c>
      <c r="E1033" s="17" t="s">
        <v>52</v>
      </c>
      <c r="F1033" s="7">
        <f t="shared" si="935"/>
        <v>8</v>
      </c>
      <c r="G1033" s="17">
        <v>4</v>
      </c>
      <c r="H1033" s="17">
        <f t="shared" ref="H1033:H1034" si="982">G1033*$H$1031</f>
        <v>4</v>
      </c>
      <c r="I1033" s="17">
        <v>2</v>
      </c>
      <c r="J1033" s="6" t="s">
        <v>1668</v>
      </c>
      <c r="K1033" s="6" t="s">
        <v>34</v>
      </c>
      <c r="L1033" s="17">
        <v>0</v>
      </c>
      <c r="M1033" s="6" t="s">
        <v>35</v>
      </c>
      <c r="N1033" s="17" t="s">
        <v>1959</v>
      </c>
      <c r="O1033" s="28"/>
      <c r="P1033" s="28"/>
      <c r="Q1033" s="28" t="s">
        <v>1959</v>
      </c>
      <c r="R1033" s="30"/>
      <c r="S1033" s="30"/>
      <c r="T1033" s="30"/>
      <c r="U1033" s="30"/>
      <c r="V1033" s="8">
        <f t="shared" si="937"/>
        <v>0</v>
      </c>
      <c r="W1033" s="8">
        <f t="shared" si="938"/>
        <v>0</v>
      </c>
      <c r="X1033" s="8">
        <f t="shared" si="939"/>
        <v>0</v>
      </c>
      <c r="Y1033" s="33">
        <f t="shared" si="940"/>
        <v>0</v>
      </c>
      <c r="Z1033" s="28"/>
      <c r="AA1033" s="28"/>
      <c r="AB1033" s="61" t="s">
        <v>1959</v>
      </c>
      <c r="AC1033" s="31" t="s">
        <v>1669</v>
      </c>
      <c r="AD1033" s="50">
        <f t="shared" si="941"/>
        <v>4</v>
      </c>
      <c r="AE1033" s="31"/>
      <c r="AF1033" s="51">
        <v>14</v>
      </c>
      <c r="AG1033" s="51">
        <f t="shared" si="968"/>
        <v>8.4</v>
      </c>
      <c r="AH1033" s="51">
        <f t="shared" si="934"/>
        <v>42</v>
      </c>
      <c r="AI1033" s="52" t="s">
        <v>2497</v>
      </c>
      <c r="AJ1033" s="52" t="s">
        <v>2498</v>
      </c>
      <c r="AK1033" s="53">
        <f t="shared" si="969"/>
        <v>0</v>
      </c>
      <c r="AL1033" s="54">
        <f t="shared" si="970"/>
        <v>0.11904761904761904</v>
      </c>
      <c r="AM1033" s="54">
        <f t="shared" si="971"/>
        <v>2.3809523809523808E-2</v>
      </c>
      <c r="AN1033" s="55">
        <f t="shared" si="972"/>
        <v>0</v>
      </c>
      <c r="AO1033" s="55">
        <f t="shared" si="973"/>
        <v>0</v>
      </c>
      <c r="AP1033" s="53">
        <v>7.1</v>
      </c>
      <c r="AQ1033" s="53">
        <f t="shared" si="942"/>
        <v>4.26</v>
      </c>
      <c r="AR1033" s="53">
        <f t="shared" si="943"/>
        <v>21.299999999999997</v>
      </c>
      <c r="AS1033" s="56">
        <f t="shared" si="944"/>
        <v>4.6948356807511742E-2</v>
      </c>
      <c r="AT1033" s="56">
        <f t="shared" si="974"/>
        <v>0.23474178403755869</v>
      </c>
      <c r="AU1033" s="56">
        <f t="shared" si="945"/>
        <v>0.176056338028169</v>
      </c>
      <c r="AV1033" s="56">
        <f t="shared" si="975"/>
        <v>5.8685446009389672E-2</v>
      </c>
      <c r="AW1033" s="57"/>
      <c r="AX1033" s="57"/>
      <c r="AY1033" s="57"/>
      <c r="AZ1033" s="58">
        <f t="shared" si="976"/>
        <v>0</v>
      </c>
      <c r="BA1033" s="59">
        <f t="shared" si="977"/>
        <v>0</v>
      </c>
      <c r="BB1033" s="59">
        <f t="shared" si="978"/>
        <v>0</v>
      </c>
      <c r="BC1033" s="59">
        <f t="shared" si="979"/>
        <v>0</v>
      </c>
      <c r="BD1033" s="60">
        <f t="shared" si="980"/>
        <v>7.1095438516664771E-6</v>
      </c>
      <c r="BE1033" s="59">
        <f t="shared" si="981"/>
        <v>2.8438175406665908E-5</v>
      </c>
      <c r="BQ1033" s="61">
        <v>3000</v>
      </c>
      <c r="BR1033" s="61">
        <v>1200</v>
      </c>
      <c r="BS1033" s="28">
        <f t="shared" si="946"/>
        <v>2980</v>
      </c>
      <c r="BT1033" s="28">
        <f t="shared" si="947"/>
        <v>1180</v>
      </c>
      <c r="BU1033" s="28" t="s">
        <v>2541</v>
      </c>
      <c r="BV1033" s="28">
        <f t="shared" si="948"/>
        <v>5</v>
      </c>
      <c r="BW1033" s="28">
        <f t="shared" si="949"/>
        <v>5</v>
      </c>
      <c r="BX1033" s="13">
        <f t="shared" si="950"/>
        <v>596</v>
      </c>
      <c r="BY1033" s="13">
        <f t="shared" si="951"/>
        <v>596</v>
      </c>
      <c r="BZ1033" s="13">
        <f t="shared" si="952"/>
        <v>236</v>
      </c>
      <c r="CA1033" s="13">
        <f t="shared" si="953"/>
        <v>236</v>
      </c>
      <c r="CB1033" s="13">
        <f t="shared" si="954"/>
        <v>140656</v>
      </c>
      <c r="CC1033" s="62">
        <f t="shared" si="955"/>
        <v>7.1095438516664771E-6</v>
      </c>
      <c r="CD1033" s="13">
        <f t="shared" si="956"/>
        <v>596</v>
      </c>
      <c r="CE1033" s="13">
        <f t="shared" si="957"/>
        <v>596</v>
      </c>
      <c r="CF1033" s="13">
        <f t="shared" si="958"/>
        <v>236</v>
      </c>
      <c r="CG1033" s="13">
        <f t="shared" si="959"/>
        <v>236</v>
      </c>
      <c r="CH1033" s="28">
        <f t="shared" si="960"/>
        <v>140656</v>
      </c>
      <c r="CI1033" s="62">
        <f t="shared" si="961"/>
        <v>7.1095438516664771E-6</v>
      </c>
      <c r="CJ1033" s="59">
        <f t="shared" si="962"/>
        <v>7.1095438516664771E-6</v>
      </c>
      <c r="CL1033" s="63">
        <v>6000</v>
      </c>
      <c r="CM1033" s="63">
        <f t="shared" si="963"/>
        <v>0</v>
      </c>
      <c r="CN1033" s="63">
        <f t="shared" si="964"/>
        <v>5</v>
      </c>
      <c r="CO1033" s="63">
        <f t="shared" si="965"/>
        <v>1200</v>
      </c>
      <c r="CP1033" s="13">
        <f t="shared" si="966"/>
        <v>1200</v>
      </c>
      <c r="CQ1033" s="70">
        <f t="shared" si="967"/>
        <v>8.3333333333333339E-4</v>
      </c>
      <c r="CR1033" s="69">
        <f t="shared" si="931"/>
        <v>3.3333333333333335E-3</v>
      </c>
    </row>
    <row r="1034" spans="1:96" hidden="1" x14ac:dyDescent="0.25">
      <c r="A1034" s="17">
        <v>5</v>
      </c>
      <c r="B1034" s="6" t="s">
        <v>2134</v>
      </c>
      <c r="C1034" s="17" t="s">
        <v>448</v>
      </c>
      <c r="D1034" s="17" t="s">
        <v>450</v>
      </c>
      <c r="E1034" s="17" t="s">
        <v>52</v>
      </c>
      <c r="F1034" s="7">
        <f t="shared" si="935"/>
        <v>23</v>
      </c>
      <c r="G1034" s="17">
        <v>6</v>
      </c>
      <c r="H1034" s="17">
        <f t="shared" si="982"/>
        <v>6</v>
      </c>
      <c r="I1034" s="17">
        <v>3</v>
      </c>
      <c r="J1034" s="6" t="s">
        <v>449</v>
      </c>
      <c r="K1034" s="6" t="s">
        <v>34</v>
      </c>
      <c r="L1034" s="17">
        <v>0</v>
      </c>
      <c r="M1034" s="6" t="s">
        <v>35</v>
      </c>
      <c r="N1034" s="17" t="s">
        <v>450</v>
      </c>
      <c r="O1034" s="28"/>
      <c r="P1034" s="28"/>
      <c r="Q1034" s="28" t="s">
        <v>450</v>
      </c>
      <c r="R1034" s="30"/>
      <c r="S1034" s="30"/>
      <c r="T1034" s="30"/>
      <c r="U1034" s="30"/>
      <c r="V1034" s="8">
        <f t="shared" si="937"/>
        <v>0</v>
      </c>
      <c r="W1034" s="8">
        <f t="shared" si="938"/>
        <v>0</v>
      </c>
      <c r="X1034" s="8">
        <f t="shared" si="939"/>
        <v>0</v>
      </c>
      <c r="Y1034" s="33">
        <f t="shared" si="940"/>
        <v>0</v>
      </c>
      <c r="Z1034" s="28"/>
      <c r="AA1034" s="28"/>
      <c r="AB1034" s="61" t="s">
        <v>450</v>
      </c>
      <c r="AC1034" s="31" t="s">
        <v>451</v>
      </c>
      <c r="AD1034" s="50">
        <f t="shared" si="941"/>
        <v>6</v>
      </c>
      <c r="AE1034" s="31"/>
      <c r="AF1034" s="51">
        <v>14</v>
      </c>
      <c r="AG1034" s="51">
        <f t="shared" si="968"/>
        <v>8.4</v>
      </c>
      <c r="AH1034" s="51">
        <f t="shared" si="934"/>
        <v>42</v>
      </c>
      <c r="AI1034" s="52" t="s">
        <v>2497</v>
      </c>
      <c r="AJ1034" s="52" t="s">
        <v>2498</v>
      </c>
      <c r="AK1034" s="53">
        <f t="shared" si="969"/>
        <v>0</v>
      </c>
      <c r="AL1034" s="54">
        <f t="shared" si="970"/>
        <v>0.11904761904761904</v>
      </c>
      <c r="AM1034" s="54">
        <f t="shared" si="971"/>
        <v>2.3809523809523808E-2</v>
      </c>
      <c r="AN1034" s="55">
        <f t="shared" si="972"/>
        <v>0</v>
      </c>
      <c r="AO1034" s="55">
        <f t="shared" si="973"/>
        <v>0</v>
      </c>
      <c r="AP1034" s="53">
        <v>7.1</v>
      </c>
      <c r="AQ1034" s="53">
        <f t="shared" si="942"/>
        <v>4.26</v>
      </c>
      <c r="AR1034" s="53">
        <f t="shared" si="943"/>
        <v>21.299999999999997</v>
      </c>
      <c r="AS1034" s="56">
        <f t="shared" si="944"/>
        <v>4.6948356807511742E-2</v>
      </c>
      <c r="AT1034" s="56">
        <f t="shared" si="974"/>
        <v>0.23474178403755869</v>
      </c>
      <c r="AU1034" s="56">
        <f t="shared" si="945"/>
        <v>0.176056338028169</v>
      </c>
      <c r="AV1034" s="56">
        <f t="shared" si="975"/>
        <v>5.8685446009389672E-2</v>
      </c>
      <c r="AW1034" s="57"/>
      <c r="AX1034" s="57"/>
      <c r="AY1034" s="57"/>
      <c r="AZ1034" s="58">
        <f t="shared" si="976"/>
        <v>0</v>
      </c>
      <c r="BA1034" s="59">
        <f t="shared" si="977"/>
        <v>0</v>
      </c>
      <c r="BB1034" s="59">
        <f t="shared" si="978"/>
        <v>0</v>
      </c>
      <c r="BC1034" s="59">
        <f t="shared" si="979"/>
        <v>0</v>
      </c>
      <c r="BD1034" s="60">
        <f t="shared" si="980"/>
        <v>7.1095438516664771E-6</v>
      </c>
      <c r="BE1034" s="59">
        <f t="shared" si="981"/>
        <v>4.2657263109998864E-5</v>
      </c>
      <c r="BQ1034" s="61">
        <v>3000</v>
      </c>
      <c r="BR1034" s="61">
        <v>1200</v>
      </c>
      <c r="BS1034" s="28">
        <f t="shared" si="946"/>
        <v>2980</v>
      </c>
      <c r="BT1034" s="28">
        <f t="shared" si="947"/>
        <v>1180</v>
      </c>
      <c r="BU1034" s="28" t="s">
        <v>2541</v>
      </c>
      <c r="BV1034" s="28">
        <f t="shared" si="948"/>
        <v>5</v>
      </c>
      <c r="BW1034" s="28">
        <f t="shared" si="949"/>
        <v>5</v>
      </c>
      <c r="BX1034" s="13">
        <f t="shared" si="950"/>
        <v>596</v>
      </c>
      <c r="BY1034" s="13">
        <f t="shared" si="951"/>
        <v>596</v>
      </c>
      <c r="BZ1034" s="13">
        <f t="shared" si="952"/>
        <v>236</v>
      </c>
      <c r="CA1034" s="13">
        <f t="shared" si="953"/>
        <v>236</v>
      </c>
      <c r="CB1034" s="13">
        <f t="shared" si="954"/>
        <v>140656</v>
      </c>
      <c r="CC1034" s="62">
        <f t="shared" si="955"/>
        <v>7.1095438516664771E-6</v>
      </c>
      <c r="CD1034" s="13">
        <f t="shared" si="956"/>
        <v>596</v>
      </c>
      <c r="CE1034" s="13">
        <f t="shared" si="957"/>
        <v>596</v>
      </c>
      <c r="CF1034" s="13">
        <f t="shared" si="958"/>
        <v>236</v>
      </c>
      <c r="CG1034" s="13">
        <f t="shared" si="959"/>
        <v>236</v>
      </c>
      <c r="CH1034" s="28">
        <f t="shared" si="960"/>
        <v>140656</v>
      </c>
      <c r="CI1034" s="62">
        <f t="shared" si="961"/>
        <v>7.1095438516664771E-6</v>
      </c>
      <c r="CJ1034" s="59">
        <f t="shared" si="962"/>
        <v>7.1095438516664771E-6</v>
      </c>
      <c r="CL1034" s="63">
        <v>6000</v>
      </c>
      <c r="CM1034" s="63">
        <f t="shared" si="963"/>
        <v>0</v>
      </c>
      <c r="CN1034" s="63">
        <f t="shared" si="964"/>
        <v>5</v>
      </c>
      <c r="CO1034" s="63">
        <f t="shared" si="965"/>
        <v>1200</v>
      </c>
      <c r="CP1034" s="13">
        <f t="shared" si="966"/>
        <v>1200</v>
      </c>
      <c r="CQ1034" s="70">
        <f t="shared" si="967"/>
        <v>8.3333333333333339E-4</v>
      </c>
      <c r="CR1034" s="69">
        <f t="shared" si="931"/>
        <v>5.0000000000000001E-3</v>
      </c>
    </row>
    <row r="1035" spans="1:96" hidden="1" x14ac:dyDescent="0.25">
      <c r="A1035" s="10">
        <v>3</v>
      </c>
      <c r="B1035" s="8" t="s">
        <v>2123</v>
      </c>
      <c r="C1035" s="10" t="s">
        <v>1894</v>
      </c>
      <c r="D1035" s="10" t="s">
        <v>2270</v>
      </c>
      <c r="E1035" s="10" t="s">
        <v>52</v>
      </c>
      <c r="F1035" s="12">
        <f t="shared" si="935"/>
        <v>4</v>
      </c>
      <c r="G1035" s="10">
        <v>1</v>
      </c>
      <c r="H1035" s="10">
        <f>G1035*$H$1018</f>
        <v>1</v>
      </c>
      <c r="I1035" s="10">
        <v>3</v>
      </c>
      <c r="J1035" s="8" t="s">
        <v>469</v>
      </c>
      <c r="K1035" s="8" t="s">
        <v>34</v>
      </c>
      <c r="L1035" s="10">
        <v>0</v>
      </c>
      <c r="M1035" s="8" t="s">
        <v>35</v>
      </c>
      <c r="N1035" s="10" t="s">
        <v>1895</v>
      </c>
      <c r="O1035" s="28"/>
      <c r="P1035" s="28"/>
      <c r="Q1035" s="28" t="s">
        <v>1896</v>
      </c>
      <c r="R1035" s="30">
        <v>52.5</v>
      </c>
      <c r="S1035" s="30">
        <v>1.5</v>
      </c>
      <c r="T1035" s="30"/>
      <c r="U1035" s="30">
        <v>7.4999999999999997E-2</v>
      </c>
      <c r="V1035" s="8">
        <f t="shared" si="937"/>
        <v>1333.5</v>
      </c>
      <c r="W1035" s="8">
        <f t="shared" si="938"/>
        <v>38.099999999999994</v>
      </c>
      <c r="X1035" s="8">
        <f t="shared" si="939"/>
        <v>0</v>
      </c>
      <c r="Y1035" s="33">
        <f t="shared" si="940"/>
        <v>1.9049999999999998</v>
      </c>
      <c r="Z1035" s="28" t="s">
        <v>1897</v>
      </c>
      <c r="AA1035" s="28" t="s">
        <v>1765</v>
      </c>
      <c r="AB1035" s="61" t="s">
        <v>1896</v>
      </c>
      <c r="AC1035" s="31" t="s">
        <v>1898</v>
      </c>
      <c r="AD1035" s="50">
        <f t="shared" si="941"/>
        <v>1</v>
      </c>
      <c r="AE1035" s="31"/>
      <c r="AF1035" s="51">
        <v>14</v>
      </c>
      <c r="AG1035" s="51">
        <f t="shared" si="968"/>
        <v>8.4</v>
      </c>
      <c r="AH1035" s="51">
        <f t="shared" si="934"/>
        <v>42</v>
      </c>
      <c r="AI1035" s="52" t="s">
        <v>2497</v>
      </c>
      <c r="AJ1035" s="52" t="s">
        <v>2498</v>
      </c>
      <c r="AK1035" s="53">
        <f t="shared" si="969"/>
        <v>0.10161269999999999</v>
      </c>
      <c r="AL1035" s="54">
        <f t="shared" si="970"/>
        <v>0.11904761904761904</v>
      </c>
      <c r="AM1035" s="54">
        <f t="shared" si="971"/>
        <v>2.3809523809523808E-2</v>
      </c>
      <c r="AN1035" s="55">
        <f t="shared" si="972"/>
        <v>1.2096749999999998E-2</v>
      </c>
      <c r="AO1035" s="55">
        <f t="shared" si="973"/>
        <v>2.4193499999999994E-3</v>
      </c>
      <c r="AP1035" s="53">
        <v>7.1</v>
      </c>
      <c r="AQ1035" s="53">
        <f t="shared" si="942"/>
        <v>4.26</v>
      </c>
      <c r="AR1035" s="53">
        <f t="shared" si="943"/>
        <v>21.299999999999997</v>
      </c>
      <c r="AS1035" s="56">
        <f t="shared" si="944"/>
        <v>4.6948356807511742E-2</v>
      </c>
      <c r="AT1035" s="56">
        <f t="shared" si="974"/>
        <v>0.23474178403755869</v>
      </c>
      <c r="AU1035" s="56">
        <f t="shared" si="945"/>
        <v>0.176056338028169</v>
      </c>
      <c r="AV1035" s="56">
        <f t="shared" si="975"/>
        <v>5.8685446009389672E-2</v>
      </c>
      <c r="AW1035" s="57"/>
      <c r="AX1035" s="57"/>
      <c r="AY1035" s="57"/>
      <c r="AZ1035" s="58">
        <f t="shared" si="976"/>
        <v>0.10161269999999999</v>
      </c>
      <c r="BA1035" s="59">
        <f t="shared" si="977"/>
        <v>0</v>
      </c>
      <c r="BB1035" s="59">
        <f t="shared" si="978"/>
        <v>0</v>
      </c>
      <c r="BC1035" s="59">
        <f t="shared" si="979"/>
        <v>0</v>
      </c>
      <c r="BD1035" s="60">
        <f t="shared" si="980"/>
        <v>1.8518518518518517E-2</v>
      </c>
      <c r="BE1035" s="59">
        <f t="shared" si="981"/>
        <v>1.8518518518518517E-2</v>
      </c>
      <c r="BQ1035" s="61">
        <v>3000</v>
      </c>
      <c r="BR1035" s="61">
        <v>1200</v>
      </c>
      <c r="BS1035" s="28">
        <f t="shared" si="946"/>
        <v>2980</v>
      </c>
      <c r="BT1035" s="28">
        <f t="shared" si="947"/>
        <v>1180</v>
      </c>
      <c r="BU1035" s="28" t="s">
        <v>2541</v>
      </c>
      <c r="BV1035" s="28">
        <f t="shared" si="948"/>
        <v>1338.5</v>
      </c>
      <c r="BW1035" s="28">
        <f t="shared" si="949"/>
        <v>43.099999999999994</v>
      </c>
      <c r="BX1035" s="13">
        <f t="shared" si="950"/>
        <v>2.2263728053791558</v>
      </c>
      <c r="BY1035" s="13">
        <f t="shared" si="951"/>
        <v>2</v>
      </c>
      <c r="BZ1035" s="13">
        <f t="shared" si="952"/>
        <v>27.378190255220421</v>
      </c>
      <c r="CA1035" s="13">
        <f t="shared" si="953"/>
        <v>27</v>
      </c>
      <c r="CB1035" s="13">
        <f t="shared" si="954"/>
        <v>54</v>
      </c>
      <c r="CC1035" s="62">
        <f t="shared" si="955"/>
        <v>1.8518518518518517E-2</v>
      </c>
      <c r="CD1035" s="13">
        <f t="shared" si="956"/>
        <v>69.141531322505813</v>
      </c>
      <c r="CE1035" s="13">
        <f t="shared" si="957"/>
        <v>69</v>
      </c>
      <c r="CF1035" s="13">
        <f t="shared" si="958"/>
        <v>0.88158386253268584</v>
      </c>
      <c r="CG1035" s="13">
        <f t="shared" si="959"/>
        <v>0</v>
      </c>
      <c r="CH1035" s="28">
        <f t="shared" si="960"/>
        <v>0</v>
      </c>
      <c r="CI1035" s="62">
        <f t="shared" si="961"/>
        <v>1</v>
      </c>
      <c r="CJ1035" s="59">
        <f t="shared" si="962"/>
        <v>1.8518518518518517E-2</v>
      </c>
      <c r="CL1035" s="63">
        <v>6000</v>
      </c>
      <c r="CM1035" s="63">
        <f t="shared" si="963"/>
        <v>1333.5</v>
      </c>
      <c r="CN1035" s="63">
        <f t="shared" si="964"/>
        <v>1338.5</v>
      </c>
      <c r="CO1035" s="63">
        <f t="shared" si="965"/>
        <v>4.4826298094882331</v>
      </c>
      <c r="CP1035" s="13">
        <f t="shared" si="966"/>
        <v>4</v>
      </c>
      <c r="CQ1035" s="70">
        <f t="shared" si="967"/>
        <v>0.25</v>
      </c>
      <c r="CR1035" s="69">
        <f t="shared" si="931"/>
        <v>0.25</v>
      </c>
    </row>
    <row r="1036" spans="1:96" hidden="1" x14ac:dyDescent="0.25">
      <c r="A1036" s="13">
        <v>4</v>
      </c>
      <c r="B1036" s="14" t="s">
        <v>1899</v>
      </c>
      <c r="C1036" s="13" t="s">
        <v>1900</v>
      </c>
      <c r="D1036" s="13" t="s">
        <v>2270</v>
      </c>
      <c r="E1036" s="13" t="s">
        <v>52</v>
      </c>
      <c r="F1036" s="15">
        <f t="shared" si="935"/>
        <v>8</v>
      </c>
      <c r="G1036" s="13">
        <v>1</v>
      </c>
      <c r="H1036" s="13">
        <f>G1036*$H$1035</f>
        <v>1</v>
      </c>
      <c r="I1036" s="13" t="s">
        <v>485</v>
      </c>
      <c r="J1036" s="14" t="s">
        <v>469</v>
      </c>
      <c r="K1036" s="14" t="s">
        <v>34</v>
      </c>
      <c r="L1036" s="13" t="s">
        <v>1901</v>
      </c>
      <c r="M1036" s="14" t="s">
        <v>35</v>
      </c>
      <c r="N1036" s="13" t="s">
        <v>1902</v>
      </c>
      <c r="O1036" s="28"/>
      <c r="P1036" s="28"/>
      <c r="Q1036" s="28" t="s">
        <v>1902</v>
      </c>
      <c r="R1036" s="30"/>
      <c r="S1036" s="30"/>
      <c r="T1036" s="30"/>
      <c r="U1036" s="30"/>
      <c r="V1036" s="8">
        <f t="shared" si="937"/>
        <v>0</v>
      </c>
      <c r="W1036" s="8">
        <f t="shared" si="938"/>
        <v>0</v>
      </c>
      <c r="X1036" s="8">
        <f t="shared" si="939"/>
        <v>0</v>
      </c>
      <c r="Y1036" s="33">
        <f t="shared" si="940"/>
        <v>0</v>
      </c>
      <c r="Z1036" s="28"/>
      <c r="AA1036" s="28"/>
      <c r="AB1036" s="28" t="s">
        <v>1902</v>
      </c>
      <c r="AC1036" s="31"/>
      <c r="AD1036" s="50">
        <f t="shared" si="941"/>
        <v>1</v>
      </c>
      <c r="AE1036" s="31"/>
      <c r="AF1036" s="51">
        <v>14</v>
      </c>
      <c r="AG1036" s="51">
        <f t="shared" si="968"/>
        <v>8.4</v>
      </c>
      <c r="AH1036" s="51">
        <f t="shared" si="934"/>
        <v>42</v>
      </c>
      <c r="AI1036" s="52" t="s">
        <v>2497</v>
      </c>
      <c r="AJ1036" s="52" t="s">
        <v>2498</v>
      </c>
      <c r="AK1036" s="53">
        <f t="shared" si="969"/>
        <v>0</v>
      </c>
      <c r="AL1036" s="54">
        <f t="shared" si="970"/>
        <v>0.11904761904761904</v>
      </c>
      <c r="AM1036" s="54">
        <f t="shared" si="971"/>
        <v>2.3809523809523808E-2</v>
      </c>
      <c r="AN1036" s="55">
        <f t="shared" si="972"/>
        <v>0</v>
      </c>
      <c r="AO1036" s="55">
        <f t="shared" si="973"/>
        <v>0</v>
      </c>
      <c r="AP1036" s="53">
        <v>7.1</v>
      </c>
      <c r="AQ1036" s="53">
        <f t="shared" si="942"/>
        <v>4.26</v>
      </c>
      <c r="AR1036" s="53">
        <f t="shared" si="943"/>
        <v>21.299999999999997</v>
      </c>
      <c r="AS1036" s="56">
        <f t="shared" si="944"/>
        <v>4.6948356807511742E-2</v>
      </c>
      <c r="AT1036" s="56">
        <f t="shared" si="974"/>
        <v>0.23474178403755869</v>
      </c>
      <c r="AU1036" s="56">
        <f t="shared" si="945"/>
        <v>0.176056338028169</v>
      </c>
      <c r="AV1036" s="56">
        <f t="shared" si="975"/>
        <v>5.8685446009389672E-2</v>
      </c>
      <c r="AW1036" s="57"/>
      <c r="AX1036" s="57"/>
      <c r="AY1036" s="57"/>
      <c r="AZ1036" s="58">
        <f t="shared" si="976"/>
        <v>0</v>
      </c>
      <c r="BA1036" s="59">
        <f t="shared" si="977"/>
        <v>0</v>
      </c>
      <c r="BB1036" s="59">
        <f t="shared" si="978"/>
        <v>0</v>
      </c>
      <c r="BC1036" s="59">
        <f t="shared" si="979"/>
        <v>0</v>
      </c>
      <c r="BD1036" s="60">
        <f t="shared" si="980"/>
        <v>7.1095438516664771E-6</v>
      </c>
      <c r="BE1036" s="59">
        <f t="shared" si="981"/>
        <v>7.1095438516664771E-6</v>
      </c>
      <c r="BQ1036" s="61">
        <v>3000</v>
      </c>
      <c r="BR1036" s="61">
        <v>1200</v>
      </c>
      <c r="BS1036" s="28">
        <f t="shared" si="946"/>
        <v>2980</v>
      </c>
      <c r="BT1036" s="28">
        <f t="shared" si="947"/>
        <v>1180</v>
      </c>
      <c r="BU1036" s="28" t="s">
        <v>2541</v>
      </c>
      <c r="BV1036" s="28">
        <f t="shared" si="948"/>
        <v>5</v>
      </c>
      <c r="BW1036" s="28">
        <f t="shared" si="949"/>
        <v>5</v>
      </c>
      <c r="BX1036" s="13">
        <f t="shared" si="950"/>
        <v>596</v>
      </c>
      <c r="BY1036" s="13">
        <f t="shared" si="951"/>
        <v>596</v>
      </c>
      <c r="BZ1036" s="13">
        <f t="shared" si="952"/>
        <v>236</v>
      </c>
      <c r="CA1036" s="13">
        <f t="shared" si="953"/>
        <v>236</v>
      </c>
      <c r="CB1036" s="13">
        <f t="shared" si="954"/>
        <v>140656</v>
      </c>
      <c r="CC1036" s="62">
        <f t="shared" si="955"/>
        <v>7.1095438516664771E-6</v>
      </c>
      <c r="CD1036" s="13">
        <f t="shared" si="956"/>
        <v>596</v>
      </c>
      <c r="CE1036" s="13">
        <f t="shared" si="957"/>
        <v>596</v>
      </c>
      <c r="CF1036" s="13">
        <f t="shared" si="958"/>
        <v>236</v>
      </c>
      <c r="CG1036" s="13">
        <f t="shared" si="959"/>
        <v>236</v>
      </c>
      <c r="CH1036" s="28">
        <f t="shared" si="960"/>
        <v>140656</v>
      </c>
      <c r="CI1036" s="62">
        <f t="shared" si="961"/>
        <v>7.1095438516664771E-6</v>
      </c>
      <c r="CJ1036" s="59">
        <f t="shared" si="962"/>
        <v>7.1095438516664771E-6</v>
      </c>
      <c r="CL1036" s="63">
        <v>6000</v>
      </c>
      <c r="CM1036" s="63">
        <f t="shared" si="963"/>
        <v>0</v>
      </c>
      <c r="CN1036" s="63">
        <f t="shared" si="964"/>
        <v>5</v>
      </c>
      <c r="CO1036" s="63">
        <f t="shared" si="965"/>
        <v>1200</v>
      </c>
      <c r="CP1036" s="13">
        <f t="shared" si="966"/>
        <v>1200</v>
      </c>
      <c r="CQ1036" s="70">
        <f t="shared" si="967"/>
        <v>8.3333333333333339E-4</v>
      </c>
      <c r="CR1036" s="69">
        <f t="shared" si="931"/>
        <v>8.3333333333333339E-4</v>
      </c>
    </row>
    <row r="1037" spans="1:96" hidden="1" x14ac:dyDescent="0.25">
      <c r="A1037" s="10">
        <v>3</v>
      </c>
      <c r="B1037" s="8" t="s">
        <v>2123</v>
      </c>
      <c r="C1037" s="10" t="s">
        <v>1963</v>
      </c>
      <c r="D1037" s="10" t="s">
        <v>2270</v>
      </c>
      <c r="E1037" s="10" t="s">
        <v>52</v>
      </c>
      <c r="F1037" s="12">
        <f t="shared" si="935"/>
        <v>6</v>
      </c>
      <c r="G1037" s="10">
        <v>1</v>
      </c>
      <c r="H1037" s="10">
        <f t="shared" ref="H1037:H1055" si="983">G1037*$H$1018</f>
        <v>1</v>
      </c>
      <c r="I1037" s="10">
        <v>4</v>
      </c>
      <c r="J1037" s="8" t="s">
        <v>1964</v>
      </c>
      <c r="K1037" s="8" t="s">
        <v>34</v>
      </c>
      <c r="L1037" s="10">
        <v>0</v>
      </c>
      <c r="M1037" s="8" t="s">
        <v>1965</v>
      </c>
      <c r="N1037" s="77" t="s">
        <v>2570</v>
      </c>
      <c r="O1037" s="28"/>
      <c r="P1037" s="28"/>
      <c r="Q1037" s="28"/>
      <c r="R1037" s="30"/>
      <c r="S1037" s="30"/>
      <c r="T1037" s="30"/>
      <c r="U1037" s="30"/>
      <c r="V1037" s="8">
        <f t="shared" si="937"/>
        <v>0</v>
      </c>
      <c r="W1037" s="8">
        <f t="shared" si="938"/>
        <v>0</v>
      </c>
      <c r="X1037" s="8">
        <f t="shared" si="939"/>
        <v>0</v>
      </c>
      <c r="Y1037" s="33">
        <f t="shared" si="940"/>
        <v>0</v>
      </c>
      <c r="Z1037" s="28"/>
      <c r="AA1037" s="28"/>
      <c r="AB1037" s="77" t="str">
        <f>N1037</f>
        <v>MTA-NOVO-1</v>
      </c>
      <c r="AC1037" s="31" t="s">
        <v>1964</v>
      </c>
      <c r="AD1037" s="50">
        <f t="shared" si="941"/>
        <v>1</v>
      </c>
      <c r="AE1037" s="47" t="s">
        <v>1966</v>
      </c>
      <c r="AF1037" s="51">
        <v>14</v>
      </c>
      <c r="AG1037" s="51">
        <f t="shared" si="968"/>
        <v>8.4</v>
      </c>
      <c r="AH1037" s="51">
        <f t="shared" si="934"/>
        <v>42</v>
      </c>
      <c r="AI1037" s="52" t="s">
        <v>2497</v>
      </c>
      <c r="AJ1037" s="52" t="s">
        <v>2498</v>
      </c>
      <c r="AK1037" s="53">
        <f t="shared" si="969"/>
        <v>0</v>
      </c>
      <c r="AL1037" s="54">
        <f t="shared" si="970"/>
        <v>0.11904761904761904</v>
      </c>
      <c r="AM1037" s="54">
        <f t="shared" si="971"/>
        <v>2.3809523809523808E-2</v>
      </c>
      <c r="AN1037" s="55">
        <f t="shared" si="972"/>
        <v>0</v>
      </c>
      <c r="AO1037" s="55">
        <f t="shared" si="973"/>
        <v>0</v>
      </c>
      <c r="AP1037" s="53">
        <v>7.1</v>
      </c>
      <c r="AQ1037" s="53">
        <f t="shared" si="942"/>
        <v>4.26</v>
      </c>
      <c r="AR1037" s="53">
        <f t="shared" si="943"/>
        <v>21.299999999999997</v>
      </c>
      <c r="AS1037" s="56">
        <f t="shared" si="944"/>
        <v>4.6948356807511742E-2</v>
      </c>
      <c r="AT1037" s="56">
        <f t="shared" si="974"/>
        <v>0.23474178403755869</v>
      </c>
      <c r="AU1037" s="56">
        <f t="shared" si="945"/>
        <v>0.176056338028169</v>
      </c>
      <c r="AV1037" s="56">
        <f t="shared" si="975"/>
        <v>5.8685446009389672E-2</v>
      </c>
      <c r="AW1037" s="57"/>
      <c r="AX1037" s="57"/>
      <c r="AY1037" s="57"/>
      <c r="AZ1037" s="58">
        <f t="shared" si="976"/>
        <v>0</v>
      </c>
      <c r="BA1037" s="59">
        <f t="shared" si="977"/>
        <v>0</v>
      </c>
      <c r="BB1037" s="59">
        <f t="shared" si="978"/>
        <v>0</v>
      </c>
      <c r="BC1037" s="59">
        <f t="shared" si="979"/>
        <v>0</v>
      </c>
      <c r="BD1037" s="60">
        <f t="shared" si="980"/>
        <v>7.1095438516664771E-6</v>
      </c>
      <c r="BE1037" s="59">
        <f t="shared" si="981"/>
        <v>7.1095438516664771E-6</v>
      </c>
      <c r="BQ1037" s="61">
        <v>3000</v>
      </c>
      <c r="BR1037" s="61">
        <v>1200</v>
      </c>
      <c r="BS1037" s="28">
        <f t="shared" si="946"/>
        <v>2980</v>
      </c>
      <c r="BT1037" s="28">
        <f t="shared" si="947"/>
        <v>1180</v>
      </c>
      <c r="BU1037" s="28" t="s">
        <v>2541</v>
      </c>
      <c r="BV1037" s="28">
        <f t="shared" si="948"/>
        <v>5</v>
      </c>
      <c r="BW1037" s="28">
        <f t="shared" si="949"/>
        <v>5</v>
      </c>
      <c r="BX1037" s="13">
        <f t="shared" si="950"/>
        <v>596</v>
      </c>
      <c r="BY1037" s="13">
        <f t="shared" si="951"/>
        <v>596</v>
      </c>
      <c r="BZ1037" s="13">
        <f t="shared" si="952"/>
        <v>236</v>
      </c>
      <c r="CA1037" s="13">
        <f t="shared" si="953"/>
        <v>236</v>
      </c>
      <c r="CB1037" s="13">
        <f t="shared" si="954"/>
        <v>140656</v>
      </c>
      <c r="CC1037" s="62">
        <f t="shared" si="955"/>
        <v>7.1095438516664771E-6</v>
      </c>
      <c r="CD1037" s="13">
        <f t="shared" si="956"/>
        <v>596</v>
      </c>
      <c r="CE1037" s="13">
        <f t="shared" si="957"/>
        <v>596</v>
      </c>
      <c r="CF1037" s="13">
        <f t="shared" si="958"/>
        <v>236</v>
      </c>
      <c r="CG1037" s="13">
        <f t="shared" si="959"/>
        <v>236</v>
      </c>
      <c r="CH1037" s="28">
        <f t="shared" si="960"/>
        <v>140656</v>
      </c>
      <c r="CI1037" s="62">
        <f t="shared" si="961"/>
        <v>7.1095438516664771E-6</v>
      </c>
      <c r="CJ1037" s="59">
        <f t="shared" si="962"/>
        <v>7.1095438516664771E-6</v>
      </c>
      <c r="CL1037" s="63">
        <v>6000</v>
      </c>
      <c r="CM1037" s="63">
        <f t="shared" si="963"/>
        <v>0</v>
      </c>
      <c r="CN1037" s="63">
        <f t="shared" si="964"/>
        <v>5</v>
      </c>
      <c r="CO1037" s="63">
        <f t="shared" si="965"/>
        <v>1200</v>
      </c>
      <c r="CP1037" s="13">
        <f t="shared" si="966"/>
        <v>1200</v>
      </c>
      <c r="CQ1037" s="70">
        <f t="shared" si="967"/>
        <v>8.3333333333333339E-4</v>
      </c>
      <c r="CR1037" s="69">
        <f t="shared" si="931"/>
        <v>8.3333333333333339E-4</v>
      </c>
    </row>
    <row r="1038" spans="1:96" hidden="1" x14ac:dyDescent="0.25">
      <c r="A1038" s="10">
        <v>3</v>
      </c>
      <c r="B1038" s="8" t="s">
        <v>2123</v>
      </c>
      <c r="C1038" s="10" t="s">
        <v>1967</v>
      </c>
      <c r="D1038" s="10" t="s">
        <v>1968</v>
      </c>
      <c r="E1038" s="10" t="s">
        <v>52</v>
      </c>
      <c r="F1038" s="12">
        <f t="shared" si="935"/>
        <v>6</v>
      </c>
      <c r="G1038" s="10">
        <v>1</v>
      </c>
      <c r="H1038" s="10">
        <f t="shared" si="983"/>
        <v>1</v>
      </c>
      <c r="I1038" s="10">
        <v>5</v>
      </c>
      <c r="J1038" s="8" t="s">
        <v>1665</v>
      </c>
      <c r="K1038" s="8" t="s">
        <v>34</v>
      </c>
      <c r="L1038" s="10">
        <v>0</v>
      </c>
      <c r="M1038" s="8" t="s">
        <v>35</v>
      </c>
      <c r="N1038" s="10" t="s">
        <v>1968</v>
      </c>
      <c r="O1038" s="28"/>
      <c r="P1038" s="28"/>
      <c r="Q1038" s="28" t="s">
        <v>124</v>
      </c>
      <c r="R1038" s="30">
        <v>6.5</v>
      </c>
      <c r="S1038" s="30">
        <v>6.5</v>
      </c>
      <c r="T1038" s="30"/>
      <c r="U1038" s="30">
        <v>9.8425196850393706E-2</v>
      </c>
      <c r="V1038" s="8">
        <f t="shared" si="937"/>
        <v>165.1</v>
      </c>
      <c r="W1038" s="8">
        <f t="shared" si="938"/>
        <v>165.1</v>
      </c>
      <c r="X1038" s="8">
        <f t="shared" si="939"/>
        <v>0</v>
      </c>
      <c r="Y1038" s="33">
        <f t="shared" si="940"/>
        <v>2.5</v>
      </c>
      <c r="Z1038" s="28" t="s">
        <v>56</v>
      </c>
      <c r="AA1038" s="28" t="s">
        <v>57</v>
      </c>
      <c r="AB1038" s="61" t="s">
        <v>124</v>
      </c>
      <c r="AC1038" s="31" t="s">
        <v>125</v>
      </c>
      <c r="AD1038" s="50">
        <f t="shared" si="941"/>
        <v>1</v>
      </c>
      <c r="AE1038" s="47" t="s">
        <v>1969</v>
      </c>
      <c r="AF1038" s="51">
        <v>14</v>
      </c>
      <c r="AG1038" s="51">
        <f t="shared" si="968"/>
        <v>8.4</v>
      </c>
      <c r="AH1038" s="51">
        <f t="shared" si="934"/>
        <v>42</v>
      </c>
      <c r="AI1038" s="52" t="s">
        <v>2497</v>
      </c>
      <c r="AJ1038" s="52" t="s">
        <v>2498</v>
      </c>
      <c r="AK1038" s="53">
        <f t="shared" si="969"/>
        <v>5.4516019999999998E-2</v>
      </c>
      <c r="AL1038" s="54">
        <f t="shared" si="970"/>
        <v>0.11904761904761904</v>
      </c>
      <c r="AM1038" s="54">
        <f t="shared" si="971"/>
        <v>2.3809523809523808E-2</v>
      </c>
      <c r="AN1038" s="55">
        <f t="shared" si="972"/>
        <v>6.4900023809523807E-3</v>
      </c>
      <c r="AO1038" s="55">
        <f t="shared" si="973"/>
        <v>1.298000476190476E-3</v>
      </c>
      <c r="AP1038" s="53">
        <v>7.1</v>
      </c>
      <c r="AQ1038" s="53">
        <f t="shared" si="942"/>
        <v>4.26</v>
      </c>
      <c r="AR1038" s="53">
        <f t="shared" si="943"/>
        <v>21.299999999999997</v>
      </c>
      <c r="AS1038" s="56">
        <f t="shared" si="944"/>
        <v>4.6948356807511742E-2</v>
      </c>
      <c r="AT1038" s="56">
        <f t="shared" si="974"/>
        <v>0.23474178403755869</v>
      </c>
      <c r="AU1038" s="56">
        <f t="shared" si="945"/>
        <v>0.176056338028169</v>
      </c>
      <c r="AV1038" s="56">
        <f t="shared" si="975"/>
        <v>5.8685446009389672E-2</v>
      </c>
      <c r="AW1038" s="57"/>
      <c r="AX1038" s="57"/>
      <c r="AY1038" s="57"/>
      <c r="AZ1038" s="58">
        <f t="shared" si="976"/>
        <v>5.4516019999999998E-2</v>
      </c>
      <c r="BA1038" s="59">
        <f t="shared" si="977"/>
        <v>0</v>
      </c>
      <c r="BB1038" s="59">
        <f t="shared" si="978"/>
        <v>0</v>
      </c>
      <c r="BC1038" s="59">
        <f t="shared" si="979"/>
        <v>0</v>
      </c>
      <c r="BD1038" s="60">
        <f t="shared" si="980"/>
        <v>9.8039215686274508E-3</v>
      </c>
      <c r="BE1038" s="59">
        <f t="shared" si="981"/>
        <v>9.8039215686274508E-3</v>
      </c>
      <c r="BQ1038" s="61">
        <v>3000</v>
      </c>
      <c r="BR1038" s="61">
        <v>1200</v>
      </c>
      <c r="BS1038" s="28">
        <f t="shared" si="946"/>
        <v>2980</v>
      </c>
      <c r="BT1038" s="28">
        <f t="shared" si="947"/>
        <v>1180</v>
      </c>
      <c r="BU1038" s="28" t="s">
        <v>2541</v>
      </c>
      <c r="BV1038" s="28">
        <f t="shared" si="948"/>
        <v>170.1</v>
      </c>
      <c r="BW1038" s="28">
        <f t="shared" si="949"/>
        <v>170.1</v>
      </c>
      <c r="BX1038" s="13">
        <f t="shared" si="950"/>
        <v>17.519106407995299</v>
      </c>
      <c r="BY1038" s="13">
        <f t="shared" si="951"/>
        <v>17</v>
      </c>
      <c r="BZ1038" s="13">
        <f t="shared" si="952"/>
        <v>6.9370958259847155</v>
      </c>
      <c r="CA1038" s="13">
        <f t="shared" si="953"/>
        <v>6</v>
      </c>
      <c r="CB1038" s="13">
        <f t="shared" si="954"/>
        <v>102</v>
      </c>
      <c r="CC1038" s="62">
        <f t="shared" si="955"/>
        <v>9.8039215686274508E-3</v>
      </c>
      <c r="CD1038" s="13">
        <f t="shared" si="956"/>
        <v>17.519106407995299</v>
      </c>
      <c r="CE1038" s="13">
        <f t="shared" si="957"/>
        <v>17</v>
      </c>
      <c r="CF1038" s="13">
        <f t="shared" si="958"/>
        <v>6.9370958259847155</v>
      </c>
      <c r="CG1038" s="13">
        <f t="shared" si="959"/>
        <v>6</v>
      </c>
      <c r="CH1038" s="28">
        <f t="shared" si="960"/>
        <v>102</v>
      </c>
      <c r="CI1038" s="62">
        <f t="shared" si="961"/>
        <v>9.8039215686274508E-3</v>
      </c>
      <c r="CJ1038" s="59">
        <f t="shared" si="962"/>
        <v>9.8039215686274508E-3</v>
      </c>
      <c r="CL1038" s="63">
        <v>6000</v>
      </c>
      <c r="CM1038" s="63">
        <f t="shared" si="963"/>
        <v>165.1</v>
      </c>
      <c r="CN1038" s="63">
        <f t="shared" si="964"/>
        <v>170.1</v>
      </c>
      <c r="CO1038" s="63">
        <f t="shared" si="965"/>
        <v>35.273368606701943</v>
      </c>
      <c r="CP1038" s="13">
        <f t="shared" si="966"/>
        <v>35</v>
      </c>
      <c r="CQ1038" s="70">
        <f t="shared" si="967"/>
        <v>2.8571428571428571E-2</v>
      </c>
      <c r="CR1038" s="69">
        <f t="shared" si="931"/>
        <v>2.8571428571428571E-2</v>
      </c>
    </row>
    <row r="1039" spans="1:96" hidden="1" x14ac:dyDescent="0.25">
      <c r="A1039" s="10">
        <v>3</v>
      </c>
      <c r="B1039" s="8" t="s">
        <v>2123</v>
      </c>
      <c r="C1039" s="10" t="s">
        <v>1970</v>
      </c>
      <c r="D1039" s="10" t="s">
        <v>1993</v>
      </c>
      <c r="E1039" s="10" t="s">
        <v>52</v>
      </c>
      <c r="F1039" s="12">
        <f t="shared" si="935"/>
        <v>6</v>
      </c>
      <c r="G1039" s="10">
        <v>1</v>
      </c>
      <c r="H1039" s="10">
        <f t="shared" si="983"/>
        <v>1</v>
      </c>
      <c r="I1039" s="10">
        <v>6</v>
      </c>
      <c r="J1039" s="8" t="s">
        <v>480</v>
      </c>
      <c r="K1039" s="8" t="s">
        <v>34</v>
      </c>
      <c r="L1039" s="10">
        <v>0</v>
      </c>
      <c r="M1039" s="8" t="s">
        <v>35</v>
      </c>
      <c r="N1039" s="10" t="s">
        <v>1993</v>
      </c>
      <c r="O1039" s="28"/>
      <c r="P1039" s="28"/>
      <c r="Q1039" s="28" t="s">
        <v>1993</v>
      </c>
      <c r="R1039" s="30">
        <v>6.5</v>
      </c>
      <c r="S1039" s="30">
        <v>6.5</v>
      </c>
      <c r="T1039" s="30"/>
      <c r="U1039" s="30">
        <v>0.12</v>
      </c>
      <c r="V1039" s="8">
        <f t="shared" si="937"/>
        <v>165.1</v>
      </c>
      <c r="W1039" s="8">
        <f t="shared" si="938"/>
        <v>165.1</v>
      </c>
      <c r="X1039" s="8">
        <f t="shared" si="939"/>
        <v>0</v>
      </c>
      <c r="Y1039" s="33">
        <f t="shared" si="940"/>
        <v>3.0479999999999996</v>
      </c>
      <c r="Z1039" s="28" t="s">
        <v>1971</v>
      </c>
      <c r="AA1039" s="28" t="s">
        <v>1972</v>
      </c>
      <c r="AB1039" s="61" t="s">
        <v>1993</v>
      </c>
      <c r="AC1039" s="31" t="s">
        <v>1973</v>
      </c>
      <c r="AD1039" s="50">
        <f t="shared" si="941"/>
        <v>1</v>
      </c>
      <c r="AE1039" s="31"/>
      <c r="AF1039" s="51">
        <v>14</v>
      </c>
      <c r="AG1039" s="51">
        <f t="shared" si="968"/>
        <v>8.4</v>
      </c>
      <c r="AH1039" s="51">
        <f t="shared" si="934"/>
        <v>42</v>
      </c>
      <c r="AI1039" s="52" t="s">
        <v>2497</v>
      </c>
      <c r="AJ1039" s="52" t="s">
        <v>2498</v>
      </c>
      <c r="AK1039" s="53">
        <f t="shared" si="969"/>
        <v>5.4516019999999998E-2</v>
      </c>
      <c r="AL1039" s="54">
        <f t="shared" si="970"/>
        <v>0.11904761904761904</v>
      </c>
      <c r="AM1039" s="54">
        <f t="shared" si="971"/>
        <v>2.3809523809523808E-2</v>
      </c>
      <c r="AN1039" s="55">
        <f t="shared" si="972"/>
        <v>6.4900023809523807E-3</v>
      </c>
      <c r="AO1039" s="55">
        <f t="shared" si="973"/>
        <v>1.298000476190476E-3</v>
      </c>
      <c r="AP1039" s="53">
        <v>7.1</v>
      </c>
      <c r="AQ1039" s="53">
        <f t="shared" si="942"/>
        <v>4.26</v>
      </c>
      <c r="AR1039" s="53">
        <f t="shared" si="943"/>
        <v>21.299999999999997</v>
      </c>
      <c r="AS1039" s="56">
        <f t="shared" si="944"/>
        <v>4.6948356807511742E-2</v>
      </c>
      <c r="AT1039" s="56">
        <f t="shared" si="974"/>
        <v>0.23474178403755869</v>
      </c>
      <c r="AU1039" s="56">
        <f t="shared" si="945"/>
        <v>0.176056338028169</v>
      </c>
      <c r="AV1039" s="56">
        <f t="shared" si="975"/>
        <v>5.8685446009389672E-2</v>
      </c>
      <c r="AW1039" s="57"/>
      <c r="AX1039" s="57"/>
      <c r="AY1039" s="57"/>
      <c r="AZ1039" s="58">
        <f t="shared" si="976"/>
        <v>5.4516019999999998E-2</v>
      </c>
      <c r="BA1039" s="59">
        <f t="shared" si="977"/>
        <v>0</v>
      </c>
      <c r="BB1039" s="59">
        <f t="shared" si="978"/>
        <v>0</v>
      </c>
      <c r="BC1039" s="59">
        <f t="shared" si="979"/>
        <v>0</v>
      </c>
      <c r="BD1039" s="60">
        <f t="shared" si="980"/>
        <v>9.8039215686274508E-3</v>
      </c>
      <c r="BE1039" s="59">
        <f t="shared" si="981"/>
        <v>9.8039215686274508E-3</v>
      </c>
      <c r="BQ1039" s="61">
        <v>3000</v>
      </c>
      <c r="BR1039" s="61">
        <v>1200</v>
      </c>
      <c r="BS1039" s="28">
        <f t="shared" si="946"/>
        <v>2980</v>
      </c>
      <c r="BT1039" s="28">
        <f t="shared" si="947"/>
        <v>1180</v>
      </c>
      <c r="BU1039" s="28" t="s">
        <v>2541</v>
      </c>
      <c r="BV1039" s="28">
        <f t="shared" si="948"/>
        <v>170.1</v>
      </c>
      <c r="BW1039" s="28">
        <f t="shared" si="949"/>
        <v>170.1</v>
      </c>
      <c r="BX1039" s="13">
        <f t="shared" si="950"/>
        <v>17.519106407995299</v>
      </c>
      <c r="BY1039" s="13">
        <f t="shared" si="951"/>
        <v>17</v>
      </c>
      <c r="BZ1039" s="13">
        <f t="shared" si="952"/>
        <v>6.9370958259847155</v>
      </c>
      <c r="CA1039" s="13">
        <f t="shared" si="953"/>
        <v>6</v>
      </c>
      <c r="CB1039" s="13">
        <f t="shared" si="954"/>
        <v>102</v>
      </c>
      <c r="CC1039" s="62">
        <f t="shared" si="955"/>
        <v>9.8039215686274508E-3</v>
      </c>
      <c r="CD1039" s="13">
        <f t="shared" si="956"/>
        <v>17.519106407995299</v>
      </c>
      <c r="CE1039" s="13">
        <f t="shared" si="957"/>
        <v>17</v>
      </c>
      <c r="CF1039" s="13">
        <f t="shared" si="958"/>
        <v>6.9370958259847155</v>
      </c>
      <c r="CG1039" s="13">
        <f t="shared" si="959"/>
        <v>6</v>
      </c>
      <c r="CH1039" s="28">
        <f t="shared" si="960"/>
        <v>102</v>
      </c>
      <c r="CI1039" s="62">
        <f t="shared" si="961"/>
        <v>9.8039215686274508E-3</v>
      </c>
      <c r="CJ1039" s="59">
        <f t="shared" si="962"/>
        <v>9.8039215686274508E-3</v>
      </c>
      <c r="CL1039" s="63">
        <v>6000</v>
      </c>
      <c r="CM1039" s="63">
        <f t="shared" si="963"/>
        <v>165.1</v>
      </c>
      <c r="CN1039" s="63">
        <f t="shared" si="964"/>
        <v>170.1</v>
      </c>
      <c r="CO1039" s="63">
        <f t="shared" si="965"/>
        <v>35.273368606701943</v>
      </c>
      <c r="CP1039" s="13">
        <f t="shared" si="966"/>
        <v>35</v>
      </c>
      <c r="CQ1039" s="70">
        <f t="shared" si="967"/>
        <v>2.8571428571428571E-2</v>
      </c>
      <c r="CR1039" s="69">
        <f t="shared" si="931"/>
        <v>2.8571428571428571E-2</v>
      </c>
    </row>
    <row r="1040" spans="1:96" hidden="1" x14ac:dyDescent="0.25">
      <c r="A1040" s="10">
        <v>3</v>
      </c>
      <c r="B1040" s="8" t="s">
        <v>2123</v>
      </c>
      <c r="C1040" s="10" t="s">
        <v>1903</v>
      </c>
      <c r="D1040" s="10" t="s">
        <v>1905</v>
      </c>
      <c r="E1040" s="10" t="s">
        <v>52</v>
      </c>
      <c r="F1040" s="12">
        <f t="shared" si="935"/>
        <v>8</v>
      </c>
      <c r="G1040" s="10">
        <v>2</v>
      </c>
      <c r="H1040" s="10">
        <f t="shared" si="983"/>
        <v>2</v>
      </c>
      <c r="I1040" s="10">
        <v>7</v>
      </c>
      <c r="J1040" s="8" t="s">
        <v>1904</v>
      </c>
      <c r="K1040" s="8" t="s">
        <v>34</v>
      </c>
      <c r="L1040" s="10">
        <v>0</v>
      </c>
      <c r="M1040" s="8" t="s">
        <v>340</v>
      </c>
      <c r="N1040" s="10" t="s">
        <v>1905</v>
      </c>
      <c r="O1040" s="28"/>
      <c r="P1040" s="28"/>
      <c r="Q1040" s="28" t="s">
        <v>1905</v>
      </c>
      <c r="R1040" s="30">
        <v>3.35</v>
      </c>
      <c r="S1040" s="30">
        <v>1.58</v>
      </c>
      <c r="T1040" s="30"/>
      <c r="U1040" s="30">
        <v>2.12</v>
      </c>
      <c r="V1040" s="8">
        <f t="shared" si="937"/>
        <v>85.09</v>
      </c>
      <c r="W1040" s="8">
        <f t="shared" si="938"/>
        <v>40.131999999999998</v>
      </c>
      <c r="X1040" s="8">
        <f t="shared" si="939"/>
        <v>0</v>
      </c>
      <c r="Y1040" s="33">
        <f t="shared" si="940"/>
        <v>53.847999999999999</v>
      </c>
      <c r="Z1040" s="28"/>
      <c r="AA1040" s="28"/>
      <c r="AB1040" s="61" t="s">
        <v>1905</v>
      </c>
      <c r="AC1040" s="31" t="s">
        <v>1906</v>
      </c>
      <c r="AD1040" s="50">
        <f t="shared" si="941"/>
        <v>2</v>
      </c>
      <c r="AE1040" s="31"/>
      <c r="AF1040" s="51">
        <v>14</v>
      </c>
      <c r="AG1040" s="51">
        <f t="shared" si="968"/>
        <v>8.4</v>
      </c>
      <c r="AH1040" s="51">
        <f t="shared" si="934"/>
        <v>42</v>
      </c>
      <c r="AI1040" s="52" t="s">
        <v>2497</v>
      </c>
      <c r="AJ1040" s="52" t="s">
        <v>2498</v>
      </c>
      <c r="AK1040" s="53">
        <f t="shared" si="969"/>
        <v>6.8296637600000001E-3</v>
      </c>
      <c r="AL1040" s="54">
        <f t="shared" si="970"/>
        <v>0.11904761904761904</v>
      </c>
      <c r="AM1040" s="54">
        <f t="shared" si="971"/>
        <v>2.3809523809523808E-2</v>
      </c>
      <c r="AN1040" s="55">
        <f t="shared" si="972"/>
        <v>1.6261104190476189E-3</v>
      </c>
      <c r="AO1040" s="55">
        <f t="shared" si="973"/>
        <v>3.2522208380952379E-4</v>
      </c>
      <c r="AP1040" s="53">
        <v>7.1</v>
      </c>
      <c r="AQ1040" s="53">
        <f t="shared" si="942"/>
        <v>4.26</v>
      </c>
      <c r="AR1040" s="53">
        <f t="shared" si="943"/>
        <v>21.299999999999997</v>
      </c>
      <c r="AS1040" s="56">
        <f t="shared" si="944"/>
        <v>4.6948356807511742E-2</v>
      </c>
      <c r="AT1040" s="56">
        <f t="shared" si="974"/>
        <v>0.23474178403755869</v>
      </c>
      <c r="AU1040" s="56">
        <f t="shared" si="945"/>
        <v>0.176056338028169</v>
      </c>
      <c r="AV1040" s="56">
        <f t="shared" si="975"/>
        <v>5.8685446009389672E-2</v>
      </c>
      <c r="AW1040" s="57"/>
      <c r="AX1040" s="57"/>
      <c r="AY1040" s="57"/>
      <c r="AZ1040" s="58">
        <f t="shared" si="976"/>
        <v>6.8296637600000001E-3</v>
      </c>
      <c r="BA1040" s="59">
        <f t="shared" si="977"/>
        <v>0</v>
      </c>
      <c r="BB1040" s="59">
        <f t="shared" si="978"/>
        <v>0</v>
      </c>
      <c r="BC1040" s="59">
        <f t="shared" si="979"/>
        <v>0</v>
      </c>
      <c r="BD1040" s="60">
        <f t="shared" si="980"/>
        <v>1.1655011655011655E-3</v>
      </c>
      <c r="BE1040" s="59">
        <f t="shared" si="981"/>
        <v>2.331002331002331E-3</v>
      </c>
      <c r="BQ1040" s="61">
        <v>3000</v>
      </c>
      <c r="BR1040" s="61">
        <v>1200</v>
      </c>
      <c r="BS1040" s="28">
        <f t="shared" si="946"/>
        <v>2980</v>
      </c>
      <c r="BT1040" s="28">
        <f t="shared" si="947"/>
        <v>1180</v>
      </c>
      <c r="BU1040" s="28" t="s">
        <v>2541</v>
      </c>
      <c r="BV1040" s="28">
        <f t="shared" si="948"/>
        <v>90.09</v>
      </c>
      <c r="BW1040" s="28">
        <f t="shared" si="949"/>
        <v>45.131999999999998</v>
      </c>
      <c r="BX1040" s="13">
        <f t="shared" si="950"/>
        <v>33.07803307803308</v>
      </c>
      <c r="BY1040" s="13">
        <f t="shared" si="951"/>
        <v>33</v>
      </c>
      <c r="BZ1040" s="13">
        <f t="shared" si="952"/>
        <v>26.145528671452627</v>
      </c>
      <c r="CA1040" s="13">
        <f t="shared" si="953"/>
        <v>26</v>
      </c>
      <c r="CB1040" s="13">
        <f t="shared" si="954"/>
        <v>858</v>
      </c>
      <c r="CC1040" s="62">
        <f t="shared" si="955"/>
        <v>1.1655011655011655E-3</v>
      </c>
      <c r="CD1040" s="13">
        <f t="shared" si="956"/>
        <v>66.028538509261722</v>
      </c>
      <c r="CE1040" s="13">
        <f t="shared" si="957"/>
        <v>66</v>
      </c>
      <c r="CF1040" s="13">
        <f t="shared" si="958"/>
        <v>13.098013098013098</v>
      </c>
      <c r="CG1040" s="13">
        <f t="shared" si="959"/>
        <v>13</v>
      </c>
      <c r="CH1040" s="28">
        <f t="shared" si="960"/>
        <v>858</v>
      </c>
      <c r="CI1040" s="62">
        <f t="shared" si="961"/>
        <v>1.1655011655011655E-3</v>
      </c>
      <c r="CJ1040" s="59">
        <f t="shared" si="962"/>
        <v>1.1655011655011655E-3</v>
      </c>
      <c r="CL1040" s="63">
        <v>6000</v>
      </c>
      <c r="CM1040" s="63">
        <f t="shared" si="963"/>
        <v>85.09</v>
      </c>
      <c r="CN1040" s="63">
        <f t="shared" si="964"/>
        <v>90.09</v>
      </c>
      <c r="CO1040" s="63">
        <f t="shared" si="965"/>
        <v>66.600066600066597</v>
      </c>
      <c r="CP1040" s="13">
        <f t="shared" si="966"/>
        <v>66</v>
      </c>
      <c r="CQ1040" s="70">
        <f t="shared" si="967"/>
        <v>1.5151515151515152E-2</v>
      </c>
      <c r="CR1040" s="69">
        <f t="shared" si="931"/>
        <v>3.0303030303030304E-2</v>
      </c>
    </row>
    <row r="1041" spans="1:96" hidden="1" x14ac:dyDescent="0.25">
      <c r="A1041" s="10">
        <v>3</v>
      </c>
      <c r="B1041" s="8" t="s">
        <v>2123</v>
      </c>
      <c r="C1041" s="10" t="s">
        <v>1907</v>
      </c>
      <c r="D1041" s="10" t="s">
        <v>1908</v>
      </c>
      <c r="E1041" s="10" t="s">
        <v>52</v>
      </c>
      <c r="F1041" s="12">
        <f t="shared" si="935"/>
        <v>8</v>
      </c>
      <c r="G1041" s="10">
        <v>2</v>
      </c>
      <c r="H1041" s="10">
        <f t="shared" si="983"/>
        <v>2</v>
      </c>
      <c r="I1041" s="10">
        <v>8</v>
      </c>
      <c r="J1041" s="8" t="s">
        <v>1904</v>
      </c>
      <c r="K1041" s="8" t="s">
        <v>34</v>
      </c>
      <c r="L1041" s="10">
        <v>0</v>
      </c>
      <c r="M1041" s="8" t="s">
        <v>340</v>
      </c>
      <c r="N1041" s="10" t="s">
        <v>1908</v>
      </c>
      <c r="O1041" s="28"/>
      <c r="P1041" s="28"/>
      <c r="Q1041" s="28" t="s">
        <v>1908</v>
      </c>
      <c r="R1041" s="30">
        <v>5.54</v>
      </c>
      <c r="S1041" s="30">
        <v>2.25</v>
      </c>
      <c r="T1041" s="30"/>
      <c r="U1041" s="30">
        <v>4.25</v>
      </c>
      <c r="V1041" s="8">
        <f t="shared" si="937"/>
        <v>140.71599999999998</v>
      </c>
      <c r="W1041" s="8">
        <f t="shared" si="938"/>
        <v>57.15</v>
      </c>
      <c r="X1041" s="8">
        <f t="shared" si="939"/>
        <v>0</v>
      </c>
      <c r="Y1041" s="33">
        <f t="shared" si="940"/>
        <v>107.94999999999999</v>
      </c>
      <c r="Z1041" s="28"/>
      <c r="AA1041" s="28"/>
      <c r="AB1041" s="61" t="s">
        <v>1908</v>
      </c>
      <c r="AC1041" s="31" t="s">
        <v>2553</v>
      </c>
      <c r="AD1041" s="50">
        <f t="shared" si="941"/>
        <v>2</v>
      </c>
      <c r="AE1041" s="31"/>
      <c r="AF1041" s="51">
        <v>14</v>
      </c>
      <c r="AG1041" s="51">
        <f t="shared" si="968"/>
        <v>8.4</v>
      </c>
      <c r="AH1041" s="51">
        <f t="shared" si="934"/>
        <v>42</v>
      </c>
      <c r="AI1041" s="52" t="s">
        <v>2497</v>
      </c>
      <c r="AJ1041" s="52" t="s">
        <v>2498</v>
      </c>
      <c r="AK1041" s="53">
        <f t="shared" si="969"/>
        <v>1.6083838799999996E-2</v>
      </c>
      <c r="AL1041" s="54">
        <f t="shared" si="970"/>
        <v>0.11904761904761904</v>
      </c>
      <c r="AM1041" s="54">
        <f t="shared" si="971"/>
        <v>2.3809523809523808E-2</v>
      </c>
      <c r="AN1041" s="55">
        <f t="shared" si="972"/>
        <v>3.8294854285714276E-3</v>
      </c>
      <c r="AO1041" s="55">
        <f t="shared" si="973"/>
        <v>7.6589708571428547E-4</v>
      </c>
      <c r="AP1041" s="53">
        <v>7.1</v>
      </c>
      <c r="AQ1041" s="53">
        <f t="shared" si="942"/>
        <v>4.26</v>
      </c>
      <c r="AR1041" s="53">
        <f t="shared" si="943"/>
        <v>21.299999999999997</v>
      </c>
      <c r="AS1041" s="56">
        <f t="shared" si="944"/>
        <v>4.6948356807511742E-2</v>
      </c>
      <c r="AT1041" s="56">
        <f t="shared" si="974"/>
        <v>0.23474178403755869</v>
      </c>
      <c r="AU1041" s="56">
        <f t="shared" si="945"/>
        <v>0.176056338028169</v>
      </c>
      <c r="AV1041" s="56">
        <f t="shared" si="975"/>
        <v>5.8685446009389672E-2</v>
      </c>
      <c r="AW1041" s="57"/>
      <c r="AX1041" s="57"/>
      <c r="AY1041" s="57"/>
      <c r="AZ1041" s="58">
        <f t="shared" si="976"/>
        <v>1.6083838799999996E-2</v>
      </c>
      <c r="BA1041" s="59">
        <f t="shared" si="977"/>
        <v>0</v>
      </c>
      <c r="BB1041" s="59">
        <f t="shared" si="978"/>
        <v>0</v>
      </c>
      <c r="BC1041" s="59">
        <f t="shared" si="979"/>
        <v>0</v>
      </c>
      <c r="BD1041" s="60">
        <f t="shared" si="980"/>
        <v>2.6595744680851063E-3</v>
      </c>
      <c r="BE1041" s="59">
        <f t="shared" si="981"/>
        <v>5.3191489361702126E-3</v>
      </c>
      <c r="BQ1041" s="61">
        <v>3000</v>
      </c>
      <c r="BR1041" s="61">
        <v>1200</v>
      </c>
      <c r="BS1041" s="28">
        <f t="shared" si="946"/>
        <v>2980</v>
      </c>
      <c r="BT1041" s="28">
        <f t="shared" si="947"/>
        <v>1180</v>
      </c>
      <c r="BU1041" s="28" t="s">
        <v>2541</v>
      </c>
      <c r="BV1041" s="28">
        <f t="shared" si="948"/>
        <v>145.71599999999998</v>
      </c>
      <c r="BW1041" s="28">
        <f t="shared" si="949"/>
        <v>62.15</v>
      </c>
      <c r="BX1041" s="13">
        <f t="shared" si="950"/>
        <v>20.450739795218098</v>
      </c>
      <c r="BY1041" s="13">
        <f t="shared" si="951"/>
        <v>20</v>
      </c>
      <c r="BZ1041" s="13">
        <f t="shared" si="952"/>
        <v>18.986323411102173</v>
      </c>
      <c r="CA1041" s="13">
        <f t="shared" si="953"/>
        <v>18</v>
      </c>
      <c r="CB1041" s="13">
        <f t="shared" si="954"/>
        <v>360</v>
      </c>
      <c r="CC1041" s="62">
        <f t="shared" si="955"/>
        <v>2.7777777777777779E-3</v>
      </c>
      <c r="CD1041" s="13">
        <f t="shared" si="956"/>
        <v>47.948511665325825</v>
      </c>
      <c r="CE1041" s="13">
        <f t="shared" si="957"/>
        <v>47</v>
      </c>
      <c r="CF1041" s="13">
        <f t="shared" si="958"/>
        <v>8.0979439457575015</v>
      </c>
      <c r="CG1041" s="13">
        <f t="shared" si="959"/>
        <v>8</v>
      </c>
      <c r="CH1041" s="28">
        <f t="shared" si="960"/>
        <v>376</v>
      </c>
      <c r="CI1041" s="62">
        <f t="shared" si="961"/>
        <v>2.6595744680851063E-3</v>
      </c>
      <c r="CJ1041" s="59">
        <f t="shared" si="962"/>
        <v>2.6595744680851063E-3</v>
      </c>
      <c r="CL1041" s="63">
        <v>6000</v>
      </c>
      <c r="CM1041" s="63">
        <f t="shared" si="963"/>
        <v>140.71599999999998</v>
      </c>
      <c r="CN1041" s="63">
        <f t="shared" si="964"/>
        <v>145.71599999999998</v>
      </c>
      <c r="CO1041" s="63">
        <f t="shared" si="965"/>
        <v>41.175986164868654</v>
      </c>
      <c r="CP1041" s="13">
        <f t="shared" si="966"/>
        <v>41</v>
      </c>
      <c r="CQ1041" s="70">
        <f t="shared" si="967"/>
        <v>2.4390243902439025E-2</v>
      </c>
      <c r="CR1041" s="69">
        <f t="shared" si="931"/>
        <v>4.878048780487805E-2</v>
      </c>
    </row>
    <row r="1042" spans="1:96" hidden="1" x14ac:dyDescent="0.25">
      <c r="A1042" s="10">
        <v>3</v>
      </c>
      <c r="B1042" s="8" t="s">
        <v>2123</v>
      </c>
      <c r="C1042" s="10" t="s">
        <v>1974</v>
      </c>
      <c r="D1042" s="10" t="s">
        <v>1994</v>
      </c>
      <c r="E1042" s="10" t="s">
        <v>52</v>
      </c>
      <c r="F1042" s="12">
        <f t="shared" si="935"/>
        <v>6</v>
      </c>
      <c r="G1042" s="10">
        <v>4</v>
      </c>
      <c r="H1042" s="10">
        <f t="shared" si="983"/>
        <v>4</v>
      </c>
      <c r="I1042" s="10">
        <v>9</v>
      </c>
      <c r="J1042" s="8" t="s">
        <v>1975</v>
      </c>
      <c r="K1042" s="8" t="s">
        <v>34</v>
      </c>
      <c r="L1042" s="10" t="s">
        <v>259</v>
      </c>
      <c r="M1042" s="8" t="s">
        <v>35</v>
      </c>
      <c r="N1042" s="10" t="s">
        <v>1994</v>
      </c>
      <c r="O1042" s="28"/>
      <c r="P1042" s="28"/>
      <c r="Q1042" s="28" t="s">
        <v>1994</v>
      </c>
      <c r="R1042" s="30"/>
      <c r="S1042" s="30"/>
      <c r="T1042" s="30"/>
      <c r="U1042" s="30"/>
      <c r="V1042" s="8">
        <f t="shared" si="937"/>
        <v>0</v>
      </c>
      <c r="W1042" s="8">
        <f t="shared" si="938"/>
        <v>0</v>
      </c>
      <c r="X1042" s="8">
        <f t="shared" si="939"/>
        <v>0</v>
      </c>
      <c r="Y1042" s="33">
        <f t="shared" si="940"/>
        <v>0</v>
      </c>
      <c r="Z1042" s="28"/>
      <c r="AA1042" s="28"/>
      <c r="AB1042" s="61" t="s">
        <v>1994</v>
      </c>
      <c r="AC1042" s="31" t="s">
        <v>1976</v>
      </c>
      <c r="AD1042" s="50">
        <f t="shared" si="941"/>
        <v>4</v>
      </c>
      <c r="AE1042" s="31"/>
      <c r="AF1042" s="51">
        <v>14</v>
      </c>
      <c r="AG1042" s="51">
        <f t="shared" si="968"/>
        <v>8.4</v>
      </c>
      <c r="AH1042" s="51">
        <f t="shared" si="934"/>
        <v>42</v>
      </c>
      <c r="AI1042" s="52" t="s">
        <v>2497</v>
      </c>
      <c r="AJ1042" s="52" t="s">
        <v>2498</v>
      </c>
      <c r="AK1042" s="53">
        <f t="shared" si="969"/>
        <v>0</v>
      </c>
      <c r="AL1042" s="54">
        <f t="shared" si="970"/>
        <v>0.11904761904761904</v>
      </c>
      <c r="AM1042" s="54">
        <f t="shared" si="971"/>
        <v>2.3809523809523808E-2</v>
      </c>
      <c r="AN1042" s="55">
        <f t="shared" si="972"/>
        <v>0</v>
      </c>
      <c r="AO1042" s="55">
        <f t="shared" si="973"/>
        <v>0</v>
      </c>
      <c r="AP1042" s="53">
        <v>7.1</v>
      </c>
      <c r="AQ1042" s="53">
        <f t="shared" si="942"/>
        <v>4.26</v>
      </c>
      <c r="AR1042" s="53">
        <f t="shared" si="943"/>
        <v>21.299999999999997</v>
      </c>
      <c r="AS1042" s="56">
        <f t="shared" si="944"/>
        <v>4.6948356807511742E-2</v>
      </c>
      <c r="AT1042" s="56">
        <f t="shared" si="974"/>
        <v>0.23474178403755869</v>
      </c>
      <c r="AU1042" s="56">
        <f t="shared" si="945"/>
        <v>0.176056338028169</v>
      </c>
      <c r="AV1042" s="56">
        <f t="shared" si="975"/>
        <v>5.8685446009389672E-2</v>
      </c>
      <c r="AW1042" s="57"/>
      <c r="AX1042" s="57"/>
      <c r="AY1042" s="57"/>
      <c r="AZ1042" s="58">
        <f t="shared" si="976"/>
        <v>0</v>
      </c>
      <c r="BA1042" s="59">
        <f t="shared" si="977"/>
        <v>0</v>
      </c>
      <c r="BB1042" s="59">
        <f t="shared" si="978"/>
        <v>0</v>
      </c>
      <c r="BC1042" s="59">
        <f t="shared" si="979"/>
        <v>0</v>
      </c>
      <c r="BD1042" s="60">
        <f t="shared" si="980"/>
        <v>7.1095438516664771E-6</v>
      </c>
      <c r="BE1042" s="59">
        <f t="shared" si="981"/>
        <v>2.8438175406665908E-5</v>
      </c>
      <c r="BQ1042" s="61">
        <v>3000</v>
      </c>
      <c r="BR1042" s="61">
        <v>1200</v>
      </c>
      <c r="BS1042" s="28">
        <f t="shared" si="946"/>
        <v>2980</v>
      </c>
      <c r="BT1042" s="28">
        <f t="shared" si="947"/>
        <v>1180</v>
      </c>
      <c r="BU1042" s="28" t="s">
        <v>2541</v>
      </c>
      <c r="BV1042" s="28">
        <f t="shared" si="948"/>
        <v>5</v>
      </c>
      <c r="BW1042" s="28">
        <f t="shared" si="949"/>
        <v>5</v>
      </c>
      <c r="BX1042" s="13">
        <f t="shared" si="950"/>
        <v>596</v>
      </c>
      <c r="BY1042" s="13">
        <f t="shared" si="951"/>
        <v>596</v>
      </c>
      <c r="BZ1042" s="13">
        <f t="shared" si="952"/>
        <v>236</v>
      </c>
      <c r="CA1042" s="13">
        <f t="shared" si="953"/>
        <v>236</v>
      </c>
      <c r="CB1042" s="13">
        <f t="shared" si="954"/>
        <v>140656</v>
      </c>
      <c r="CC1042" s="62">
        <f t="shared" si="955"/>
        <v>7.1095438516664771E-6</v>
      </c>
      <c r="CD1042" s="13">
        <f t="shared" si="956"/>
        <v>596</v>
      </c>
      <c r="CE1042" s="13">
        <f t="shared" si="957"/>
        <v>596</v>
      </c>
      <c r="CF1042" s="13">
        <f t="shared" si="958"/>
        <v>236</v>
      </c>
      <c r="CG1042" s="13">
        <f t="shared" si="959"/>
        <v>236</v>
      </c>
      <c r="CH1042" s="28">
        <f t="shared" si="960"/>
        <v>140656</v>
      </c>
      <c r="CI1042" s="62">
        <f t="shared" si="961"/>
        <v>7.1095438516664771E-6</v>
      </c>
      <c r="CJ1042" s="59">
        <f t="shared" si="962"/>
        <v>7.1095438516664771E-6</v>
      </c>
      <c r="CL1042" s="63">
        <v>6000</v>
      </c>
      <c r="CM1042" s="63">
        <f t="shared" si="963"/>
        <v>0</v>
      </c>
      <c r="CN1042" s="63">
        <f t="shared" si="964"/>
        <v>5</v>
      </c>
      <c r="CO1042" s="63">
        <f t="shared" si="965"/>
        <v>1200</v>
      </c>
      <c r="CP1042" s="13">
        <f t="shared" si="966"/>
        <v>1200</v>
      </c>
      <c r="CQ1042" s="70">
        <f t="shared" si="967"/>
        <v>8.3333333333333339E-4</v>
      </c>
      <c r="CR1042" s="69">
        <f t="shared" si="931"/>
        <v>3.3333333333333335E-3</v>
      </c>
    </row>
    <row r="1043" spans="1:96" hidden="1" x14ac:dyDescent="0.25">
      <c r="A1043" s="10">
        <v>3</v>
      </c>
      <c r="B1043" s="8" t="s">
        <v>2123</v>
      </c>
      <c r="C1043" s="10" t="s">
        <v>1790</v>
      </c>
      <c r="D1043" s="10" t="s">
        <v>2016</v>
      </c>
      <c r="E1043" s="10" t="s">
        <v>52</v>
      </c>
      <c r="F1043" s="12">
        <f t="shared" si="935"/>
        <v>5</v>
      </c>
      <c r="G1043" s="10">
        <v>7</v>
      </c>
      <c r="H1043" s="10">
        <f t="shared" si="983"/>
        <v>7</v>
      </c>
      <c r="I1043" s="10">
        <v>10</v>
      </c>
      <c r="J1043" s="8" t="s">
        <v>1791</v>
      </c>
      <c r="K1043" s="8" t="s">
        <v>34</v>
      </c>
      <c r="L1043" s="10" t="s">
        <v>259</v>
      </c>
      <c r="M1043" s="8" t="s">
        <v>35</v>
      </c>
      <c r="N1043" s="10" t="s">
        <v>2016</v>
      </c>
      <c r="O1043" s="28"/>
      <c r="P1043" s="28"/>
      <c r="Q1043" s="28" t="s">
        <v>2016</v>
      </c>
      <c r="R1043" s="30"/>
      <c r="S1043" s="30"/>
      <c r="T1043" s="30"/>
      <c r="U1043" s="30"/>
      <c r="V1043" s="8">
        <f t="shared" si="937"/>
        <v>0</v>
      </c>
      <c r="W1043" s="8">
        <f t="shared" si="938"/>
        <v>0</v>
      </c>
      <c r="X1043" s="8">
        <f t="shared" si="939"/>
        <v>0</v>
      </c>
      <c r="Y1043" s="33">
        <f t="shared" si="940"/>
        <v>0</v>
      </c>
      <c r="Z1043" s="28"/>
      <c r="AA1043" s="28"/>
      <c r="AB1043" s="61" t="s">
        <v>2016</v>
      </c>
      <c r="AC1043" s="31" t="s">
        <v>1792</v>
      </c>
      <c r="AD1043" s="50">
        <f t="shared" si="941"/>
        <v>7</v>
      </c>
      <c r="AE1043" s="31"/>
      <c r="AF1043" s="51">
        <v>14</v>
      </c>
      <c r="AG1043" s="51">
        <f t="shared" si="968"/>
        <v>8.4</v>
      </c>
      <c r="AH1043" s="51">
        <f t="shared" si="934"/>
        <v>42</v>
      </c>
      <c r="AI1043" s="52" t="s">
        <v>2497</v>
      </c>
      <c r="AJ1043" s="52" t="s">
        <v>2498</v>
      </c>
      <c r="AK1043" s="53">
        <f t="shared" si="969"/>
        <v>0</v>
      </c>
      <c r="AL1043" s="54">
        <f t="shared" si="970"/>
        <v>0.11904761904761904</v>
      </c>
      <c r="AM1043" s="54">
        <f t="shared" si="971"/>
        <v>2.3809523809523808E-2</v>
      </c>
      <c r="AN1043" s="55">
        <f t="shared" si="972"/>
        <v>0</v>
      </c>
      <c r="AO1043" s="55">
        <f t="shared" si="973"/>
        <v>0</v>
      </c>
      <c r="AP1043" s="53">
        <v>7.1</v>
      </c>
      <c r="AQ1043" s="53">
        <f t="shared" si="942"/>
        <v>4.26</v>
      </c>
      <c r="AR1043" s="53">
        <f t="shared" si="943"/>
        <v>21.299999999999997</v>
      </c>
      <c r="AS1043" s="56">
        <f t="shared" si="944"/>
        <v>4.6948356807511742E-2</v>
      </c>
      <c r="AT1043" s="56">
        <f t="shared" si="974"/>
        <v>0.23474178403755869</v>
      </c>
      <c r="AU1043" s="56">
        <f t="shared" si="945"/>
        <v>0.176056338028169</v>
      </c>
      <c r="AV1043" s="56">
        <f t="shared" si="975"/>
        <v>5.8685446009389672E-2</v>
      </c>
      <c r="AW1043" s="57"/>
      <c r="AX1043" s="57"/>
      <c r="AY1043" s="57"/>
      <c r="AZ1043" s="58">
        <f t="shared" si="976"/>
        <v>0</v>
      </c>
      <c r="BA1043" s="59">
        <f t="shared" si="977"/>
        <v>0</v>
      </c>
      <c r="BB1043" s="59">
        <f t="shared" si="978"/>
        <v>0</v>
      </c>
      <c r="BC1043" s="59">
        <f t="shared" si="979"/>
        <v>0</v>
      </c>
      <c r="BD1043" s="60">
        <f t="shared" si="980"/>
        <v>7.1095438516664771E-6</v>
      </c>
      <c r="BE1043" s="59">
        <f t="shared" si="981"/>
        <v>4.976680696166534E-5</v>
      </c>
      <c r="BQ1043" s="61">
        <v>3000</v>
      </c>
      <c r="BR1043" s="61">
        <v>1200</v>
      </c>
      <c r="BS1043" s="28">
        <f t="shared" si="946"/>
        <v>2980</v>
      </c>
      <c r="BT1043" s="28">
        <f t="shared" si="947"/>
        <v>1180</v>
      </c>
      <c r="BU1043" s="28" t="s">
        <v>2541</v>
      </c>
      <c r="BV1043" s="28">
        <f t="shared" si="948"/>
        <v>5</v>
      </c>
      <c r="BW1043" s="28">
        <f t="shared" si="949"/>
        <v>5</v>
      </c>
      <c r="BX1043" s="13">
        <f t="shared" si="950"/>
        <v>596</v>
      </c>
      <c r="BY1043" s="13">
        <f t="shared" si="951"/>
        <v>596</v>
      </c>
      <c r="BZ1043" s="13">
        <f t="shared" si="952"/>
        <v>236</v>
      </c>
      <c r="CA1043" s="13">
        <f t="shared" si="953"/>
        <v>236</v>
      </c>
      <c r="CB1043" s="13">
        <f t="shared" si="954"/>
        <v>140656</v>
      </c>
      <c r="CC1043" s="62">
        <f t="shared" si="955"/>
        <v>7.1095438516664771E-6</v>
      </c>
      <c r="CD1043" s="13">
        <f t="shared" si="956"/>
        <v>596</v>
      </c>
      <c r="CE1043" s="13">
        <f t="shared" si="957"/>
        <v>596</v>
      </c>
      <c r="CF1043" s="13">
        <f t="shared" si="958"/>
        <v>236</v>
      </c>
      <c r="CG1043" s="13">
        <f t="shared" si="959"/>
        <v>236</v>
      </c>
      <c r="CH1043" s="28">
        <f t="shared" si="960"/>
        <v>140656</v>
      </c>
      <c r="CI1043" s="62">
        <f t="shared" si="961"/>
        <v>7.1095438516664771E-6</v>
      </c>
      <c r="CJ1043" s="59">
        <f t="shared" si="962"/>
        <v>7.1095438516664771E-6</v>
      </c>
      <c r="CL1043" s="63">
        <v>6000</v>
      </c>
      <c r="CM1043" s="63">
        <f t="shared" si="963"/>
        <v>0</v>
      </c>
      <c r="CN1043" s="63">
        <f t="shared" si="964"/>
        <v>5</v>
      </c>
      <c r="CO1043" s="63">
        <f t="shared" si="965"/>
        <v>1200</v>
      </c>
      <c r="CP1043" s="13">
        <f t="shared" si="966"/>
        <v>1200</v>
      </c>
      <c r="CQ1043" s="70">
        <f t="shared" si="967"/>
        <v>8.3333333333333339E-4</v>
      </c>
      <c r="CR1043" s="69">
        <f t="shared" si="931"/>
        <v>5.8333333333333336E-3</v>
      </c>
    </row>
    <row r="1044" spans="1:96" hidden="1" x14ac:dyDescent="0.25">
      <c r="A1044" s="10">
        <v>3</v>
      </c>
      <c r="B1044" s="8" t="s">
        <v>2123</v>
      </c>
      <c r="C1044" s="10" t="s">
        <v>2017</v>
      </c>
      <c r="D1044" s="10" t="s">
        <v>2019</v>
      </c>
      <c r="E1044" s="10" t="s">
        <v>52</v>
      </c>
      <c r="F1044" s="12">
        <f t="shared" si="935"/>
        <v>2</v>
      </c>
      <c r="G1044" s="10">
        <v>14</v>
      </c>
      <c r="H1044" s="10">
        <f t="shared" si="983"/>
        <v>14</v>
      </c>
      <c r="I1044" s="10">
        <v>11</v>
      </c>
      <c r="J1044" s="8" t="s">
        <v>2018</v>
      </c>
      <c r="K1044" s="8" t="s">
        <v>34</v>
      </c>
      <c r="L1044" s="10">
        <v>0</v>
      </c>
      <c r="M1044" s="8" t="s">
        <v>35</v>
      </c>
      <c r="N1044" s="10" t="s">
        <v>2019</v>
      </c>
      <c r="O1044" s="28"/>
      <c r="P1044" s="28"/>
      <c r="Q1044" s="28" t="s">
        <v>2019</v>
      </c>
      <c r="R1044" s="30"/>
      <c r="S1044" s="30"/>
      <c r="T1044" s="30"/>
      <c r="U1044" s="30"/>
      <c r="V1044" s="8">
        <f t="shared" si="937"/>
        <v>0</v>
      </c>
      <c r="W1044" s="8">
        <f t="shared" si="938"/>
        <v>0</v>
      </c>
      <c r="X1044" s="8">
        <f t="shared" si="939"/>
        <v>0</v>
      </c>
      <c r="Y1044" s="33">
        <f t="shared" si="940"/>
        <v>0</v>
      </c>
      <c r="Z1044" s="28"/>
      <c r="AA1044" s="28"/>
      <c r="AB1044" s="61" t="s">
        <v>2019</v>
      </c>
      <c r="AC1044" s="31" t="s">
        <v>2020</v>
      </c>
      <c r="AD1044" s="50">
        <f t="shared" si="941"/>
        <v>14</v>
      </c>
      <c r="AE1044" s="31"/>
      <c r="AF1044" s="51">
        <v>14</v>
      </c>
      <c r="AG1044" s="51">
        <f t="shared" si="968"/>
        <v>8.4</v>
      </c>
      <c r="AH1044" s="51">
        <f t="shared" si="934"/>
        <v>42</v>
      </c>
      <c r="AI1044" s="52" t="s">
        <v>2497</v>
      </c>
      <c r="AJ1044" s="52" t="s">
        <v>2498</v>
      </c>
      <c r="AK1044" s="53">
        <f t="shared" si="969"/>
        <v>0</v>
      </c>
      <c r="AL1044" s="54">
        <f t="shared" si="970"/>
        <v>0.11904761904761904</v>
      </c>
      <c r="AM1044" s="54">
        <f t="shared" si="971"/>
        <v>2.3809523809523808E-2</v>
      </c>
      <c r="AN1044" s="55">
        <f t="shared" si="972"/>
        <v>0</v>
      </c>
      <c r="AO1044" s="55">
        <f t="shared" si="973"/>
        <v>0</v>
      </c>
      <c r="AP1044" s="53">
        <v>7.1</v>
      </c>
      <c r="AQ1044" s="53">
        <f t="shared" si="942"/>
        <v>4.26</v>
      </c>
      <c r="AR1044" s="53">
        <f t="shared" si="943"/>
        <v>21.299999999999997</v>
      </c>
      <c r="AS1044" s="56">
        <f t="shared" si="944"/>
        <v>4.6948356807511742E-2</v>
      </c>
      <c r="AT1044" s="56">
        <f t="shared" si="974"/>
        <v>0.23474178403755869</v>
      </c>
      <c r="AU1044" s="56">
        <f t="shared" si="945"/>
        <v>0.176056338028169</v>
      </c>
      <c r="AV1044" s="56">
        <f t="shared" si="975"/>
        <v>5.8685446009389672E-2</v>
      </c>
      <c r="AW1044" s="57"/>
      <c r="AX1044" s="57"/>
      <c r="AY1044" s="57"/>
      <c r="AZ1044" s="58">
        <f t="shared" si="976"/>
        <v>0</v>
      </c>
      <c r="BA1044" s="59">
        <f t="shared" si="977"/>
        <v>0</v>
      </c>
      <c r="BB1044" s="59">
        <f t="shared" si="978"/>
        <v>0</v>
      </c>
      <c r="BC1044" s="59">
        <f t="shared" si="979"/>
        <v>0</v>
      </c>
      <c r="BD1044" s="60">
        <f t="shared" si="980"/>
        <v>7.1095438516664771E-6</v>
      </c>
      <c r="BE1044" s="59">
        <f t="shared" si="981"/>
        <v>9.9533613923330681E-5</v>
      </c>
      <c r="BQ1044" s="61">
        <v>3000</v>
      </c>
      <c r="BR1044" s="61">
        <v>1200</v>
      </c>
      <c r="BS1044" s="28">
        <f t="shared" si="946"/>
        <v>2980</v>
      </c>
      <c r="BT1044" s="28">
        <f t="shared" si="947"/>
        <v>1180</v>
      </c>
      <c r="BU1044" s="28" t="s">
        <v>2541</v>
      </c>
      <c r="BV1044" s="28">
        <f t="shared" si="948"/>
        <v>5</v>
      </c>
      <c r="BW1044" s="28">
        <f t="shared" si="949"/>
        <v>5</v>
      </c>
      <c r="BX1044" s="13">
        <f t="shared" si="950"/>
        <v>596</v>
      </c>
      <c r="BY1044" s="13">
        <f t="shared" si="951"/>
        <v>596</v>
      </c>
      <c r="BZ1044" s="13">
        <f t="shared" si="952"/>
        <v>236</v>
      </c>
      <c r="CA1044" s="13">
        <f t="shared" si="953"/>
        <v>236</v>
      </c>
      <c r="CB1044" s="13">
        <f t="shared" si="954"/>
        <v>140656</v>
      </c>
      <c r="CC1044" s="62">
        <f t="shared" si="955"/>
        <v>7.1095438516664771E-6</v>
      </c>
      <c r="CD1044" s="13">
        <f t="shared" si="956"/>
        <v>596</v>
      </c>
      <c r="CE1044" s="13">
        <f t="shared" si="957"/>
        <v>596</v>
      </c>
      <c r="CF1044" s="13">
        <f t="shared" si="958"/>
        <v>236</v>
      </c>
      <c r="CG1044" s="13">
        <f t="shared" si="959"/>
        <v>236</v>
      </c>
      <c r="CH1044" s="28">
        <f t="shared" si="960"/>
        <v>140656</v>
      </c>
      <c r="CI1044" s="62">
        <f t="shared" si="961"/>
        <v>7.1095438516664771E-6</v>
      </c>
      <c r="CJ1044" s="59">
        <f t="shared" si="962"/>
        <v>7.1095438516664771E-6</v>
      </c>
      <c r="CL1044" s="63">
        <v>6000</v>
      </c>
      <c r="CM1044" s="63">
        <f t="shared" si="963"/>
        <v>0</v>
      </c>
      <c r="CN1044" s="63">
        <f t="shared" si="964"/>
        <v>5</v>
      </c>
      <c r="CO1044" s="63">
        <f t="shared" si="965"/>
        <v>1200</v>
      </c>
      <c r="CP1044" s="13">
        <f t="shared" si="966"/>
        <v>1200</v>
      </c>
      <c r="CQ1044" s="70">
        <f t="shared" si="967"/>
        <v>8.3333333333333339E-4</v>
      </c>
      <c r="CR1044" s="69">
        <f t="shared" si="931"/>
        <v>1.1666666666666667E-2</v>
      </c>
    </row>
    <row r="1045" spans="1:96" hidden="1" x14ac:dyDescent="0.25">
      <c r="A1045" s="10">
        <v>3</v>
      </c>
      <c r="B1045" s="8" t="s">
        <v>2123</v>
      </c>
      <c r="C1045" s="10" t="s">
        <v>2021</v>
      </c>
      <c r="D1045" s="10" t="s">
        <v>2023</v>
      </c>
      <c r="E1045" s="10" t="s">
        <v>52</v>
      </c>
      <c r="F1045" s="12">
        <f t="shared" si="935"/>
        <v>2</v>
      </c>
      <c r="G1045" s="10">
        <v>7</v>
      </c>
      <c r="H1045" s="10">
        <f t="shared" si="983"/>
        <v>7</v>
      </c>
      <c r="I1045" s="10">
        <v>12</v>
      </c>
      <c r="J1045" s="8" t="s">
        <v>2022</v>
      </c>
      <c r="K1045" s="8" t="s">
        <v>34</v>
      </c>
      <c r="L1045" s="10">
        <v>0</v>
      </c>
      <c r="M1045" s="8" t="s">
        <v>35</v>
      </c>
      <c r="N1045" s="10" t="s">
        <v>2023</v>
      </c>
      <c r="O1045" s="28"/>
      <c r="P1045" s="28"/>
      <c r="Q1045" s="28" t="s">
        <v>2023</v>
      </c>
      <c r="R1045" s="30"/>
      <c r="S1045" s="30"/>
      <c r="T1045" s="30"/>
      <c r="U1045" s="30"/>
      <c r="V1045" s="8">
        <f t="shared" si="937"/>
        <v>0</v>
      </c>
      <c r="W1045" s="8">
        <f t="shared" si="938"/>
        <v>0</v>
      </c>
      <c r="X1045" s="8">
        <f t="shared" si="939"/>
        <v>0</v>
      </c>
      <c r="Y1045" s="33">
        <f t="shared" si="940"/>
        <v>0</v>
      </c>
      <c r="Z1045" s="28"/>
      <c r="AA1045" s="28"/>
      <c r="AB1045" s="61" t="s">
        <v>2023</v>
      </c>
      <c r="AC1045" s="31" t="s">
        <v>2024</v>
      </c>
      <c r="AD1045" s="50">
        <f t="shared" si="941"/>
        <v>7</v>
      </c>
      <c r="AE1045" s="31"/>
      <c r="AF1045" s="51">
        <v>14</v>
      </c>
      <c r="AG1045" s="51">
        <f t="shared" si="968"/>
        <v>8.4</v>
      </c>
      <c r="AH1045" s="51">
        <f t="shared" si="934"/>
        <v>42</v>
      </c>
      <c r="AI1045" s="52" t="s">
        <v>2497</v>
      </c>
      <c r="AJ1045" s="52" t="s">
        <v>2498</v>
      </c>
      <c r="AK1045" s="53">
        <f t="shared" si="969"/>
        <v>0</v>
      </c>
      <c r="AL1045" s="54">
        <f t="shared" si="970"/>
        <v>0.11904761904761904</v>
      </c>
      <c r="AM1045" s="54">
        <f t="shared" si="971"/>
        <v>2.3809523809523808E-2</v>
      </c>
      <c r="AN1045" s="55">
        <f t="shared" si="972"/>
        <v>0</v>
      </c>
      <c r="AO1045" s="55">
        <f t="shared" si="973"/>
        <v>0</v>
      </c>
      <c r="AP1045" s="53">
        <v>7.1</v>
      </c>
      <c r="AQ1045" s="53">
        <f t="shared" si="942"/>
        <v>4.26</v>
      </c>
      <c r="AR1045" s="53">
        <f t="shared" si="943"/>
        <v>21.299999999999997</v>
      </c>
      <c r="AS1045" s="56">
        <f t="shared" si="944"/>
        <v>4.6948356807511742E-2</v>
      </c>
      <c r="AT1045" s="56">
        <f t="shared" si="974"/>
        <v>0.23474178403755869</v>
      </c>
      <c r="AU1045" s="56">
        <f t="shared" si="945"/>
        <v>0.176056338028169</v>
      </c>
      <c r="AV1045" s="56">
        <f t="shared" si="975"/>
        <v>5.8685446009389672E-2</v>
      </c>
      <c r="AW1045" s="57"/>
      <c r="AX1045" s="57"/>
      <c r="AY1045" s="57"/>
      <c r="AZ1045" s="58">
        <f t="shared" si="976"/>
        <v>0</v>
      </c>
      <c r="BA1045" s="59">
        <f t="shared" si="977"/>
        <v>0</v>
      </c>
      <c r="BB1045" s="59">
        <f t="shared" si="978"/>
        <v>0</v>
      </c>
      <c r="BC1045" s="59">
        <f t="shared" si="979"/>
        <v>0</v>
      </c>
      <c r="BD1045" s="60">
        <f t="shared" si="980"/>
        <v>7.1095438516664771E-6</v>
      </c>
      <c r="BE1045" s="59">
        <f t="shared" si="981"/>
        <v>4.976680696166534E-5</v>
      </c>
      <c r="BQ1045" s="61">
        <v>3000</v>
      </c>
      <c r="BR1045" s="61">
        <v>1200</v>
      </c>
      <c r="BS1045" s="28">
        <f t="shared" si="946"/>
        <v>2980</v>
      </c>
      <c r="BT1045" s="28">
        <f t="shared" si="947"/>
        <v>1180</v>
      </c>
      <c r="BU1045" s="28" t="s">
        <v>2541</v>
      </c>
      <c r="BV1045" s="28">
        <f t="shared" si="948"/>
        <v>5</v>
      </c>
      <c r="BW1045" s="28">
        <f t="shared" si="949"/>
        <v>5</v>
      </c>
      <c r="BX1045" s="13">
        <f t="shared" si="950"/>
        <v>596</v>
      </c>
      <c r="BY1045" s="13">
        <f t="shared" si="951"/>
        <v>596</v>
      </c>
      <c r="BZ1045" s="13">
        <f t="shared" si="952"/>
        <v>236</v>
      </c>
      <c r="CA1045" s="13">
        <f t="shared" si="953"/>
        <v>236</v>
      </c>
      <c r="CB1045" s="13">
        <f t="shared" si="954"/>
        <v>140656</v>
      </c>
      <c r="CC1045" s="62">
        <f t="shared" si="955"/>
        <v>7.1095438516664771E-6</v>
      </c>
      <c r="CD1045" s="13">
        <f t="shared" si="956"/>
        <v>596</v>
      </c>
      <c r="CE1045" s="13">
        <f t="shared" si="957"/>
        <v>596</v>
      </c>
      <c r="CF1045" s="13">
        <f t="shared" si="958"/>
        <v>236</v>
      </c>
      <c r="CG1045" s="13">
        <f t="shared" si="959"/>
        <v>236</v>
      </c>
      <c r="CH1045" s="28">
        <f t="shared" si="960"/>
        <v>140656</v>
      </c>
      <c r="CI1045" s="62">
        <f t="shared" si="961"/>
        <v>7.1095438516664771E-6</v>
      </c>
      <c r="CJ1045" s="59">
        <f t="shared" si="962"/>
        <v>7.1095438516664771E-6</v>
      </c>
      <c r="CL1045" s="63">
        <v>6000</v>
      </c>
      <c r="CM1045" s="63">
        <f t="shared" si="963"/>
        <v>0</v>
      </c>
      <c r="CN1045" s="63">
        <f t="shared" si="964"/>
        <v>5</v>
      </c>
      <c r="CO1045" s="63">
        <f t="shared" si="965"/>
        <v>1200</v>
      </c>
      <c r="CP1045" s="13">
        <f t="shared" si="966"/>
        <v>1200</v>
      </c>
      <c r="CQ1045" s="70">
        <f t="shared" si="967"/>
        <v>8.3333333333333339E-4</v>
      </c>
      <c r="CR1045" s="69">
        <f t="shared" si="931"/>
        <v>5.8333333333333336E-3</v>
      </c>
    </row>
    <row r="1046" spans="1:96" hidden="1" x14ac:dyDescent="0.25">
      <c r="A1046" s="10">
        <v>3</v>
      </c>
      <c r="B1046" s="8" t="s">
        <v>2123</v>
      </c>
      <c r="C1046" s="10" t="s">
        <v>2137</v>
      </c>
      <c r="D1046" s="10" t="s">
        <v>2270</v>
      </c>
      <c r="E1046" s="10" t="s">
        <v>52</v>
      </c>
      <c r="F1046" s="12">
        <f t="shared" si="935"/>
        <v>1</v>
      </c>
      <c r="G1046" s="10">
        <v>1</v>
      </c>
      <c r="H1046" s="10">
        <f t="shared" si="983"/>
        <v>1</v>
      </c>
      <c r="I1046" s="10">
        <v>13</v>
      </c>
      <c r="J1046" s="8" t="s">
        <v>560</v>
      </c>
      <c r="K1046" s="8" t="s">
        <v>34</v>
      </c>
      <c r="L1046" s="10">
        <v>0</v>
      </c>
      <c r="M1046" s="8" t="s">
        <v>35</v>
      </c>
      <c r="N1046" s="10" t="s">
        <v>2138</v>
      </c>
      <c r="O1046" s="28"/>
      <c r="P1046" s="28"/>
      <c r="Q1046" s="28" t="s">
        <v>124</v>
      </c>
      <c r="R1046" s="30">
        <v>33.128999999999998</v>
      </c>
      <c r="S1046" s="30">
        <v>16.268999999999998</v>
      </c>
      <c r="T1046" s="30"/>
      <c r="U1046" s="30">
        <v>9.8000000000000004E-2</v>
      </c>
      <c r="V1046" s="8">
        <f t="shared" si="937"/>
        <v>841.47659999999985</v>
      </c>
      <c r="W1046" s="8">
        <f t="shared" si="938"/>
        <v>413.23259999999993</v>
      </c>
      <c r="X1046" s="8">
        <f t="shared" si="939"/>
        <v>0</v>
      </c>
      <c r="Y1046" s="33">
        <f t="shared" si="940"/>
        <v>2.4891999999999999</v>
      </c>
      <c r="Z1046" s="28" t="s">
        <v>56</v>
      </c>
      <c r="AA1046" s="28" t="s">
        <v>57</v>
      </c>
      <c r="AB1046" s="61" t="s">
        <v>124</v>
      </c>
      <c r="AC1046" s="31" t="s">
        <v>125</v>
      </c>
      <c r="AD1046" s="50">
        <f t="shared" si="941"/>
        <v>1</v>
      </c>
      <c r="AE1046" s="31"/>
      <c r="AF1046" s="51">
        <v>14</v>
      </c>
      <c r="AG1046" s="51">
        <f t="shared" si="968"/>
        <v>8.4</v>
      </c>
      <c r="AH1046" s="51">
        <f t="shared" si="934"/>
        <v>42</v>
      </c>
      <c r="AI1046" s="52" t="s">
        <v>2497</v>
      </c>
      <c r="AJ1046" s="52" t="s">
        <v>2498</v>
      </c>
      <c r="AK1046" s="53">
        <f t="shared" si="969"/>
        <v>0.69545112651431984</v>
      </c>
      <c r="AL1046" s="54">
        <f t="shared" si="970"/>
        <v>0.11904761904761904</v>
      </c>
      <c r="AM1046" s="54">
        <f t="shared" si="971"/>
        <v>2.3809523809523808E-2</v>
      </c>
      <c r="AN1046" s="55">
        <f t="shared" si="972"/>
        <v>8.2791800775514263E-2</v>
      </c>
      <c r="AO1046" s="55">
        <f t="shared" si="973"/>
        <v>1.6558360155102852E-2</v>
      </c>
      <c r="AP1046" s="53">
        <v>7.1</v>
      </c>
      <c r="AQ1046" s="53">
        <f t="shared" si="942"/>
        <v>4.26</v>
      </c>
      <c r="AR1046" s="53">
        <f t="shared" si="943"/>
        <v>21.299999999999997</v>
      </c>
      <c r="AS1046" s="56">
        <f t="shared" si="944"/>
        <v>4.6948356807511742E-2</v>
      </c>
      <c r="AT1046" s="56">
        <f t="shared" si="974"/>
        <v>0.23474178403755869</v>
      </c>
      <c r="AU1046" s="56">
        <f t="shared" si="945"/>
        <v>0.176056338028169</v>
      </c>
      <c r="AV1046" s="56">
        <f t="shared" si="975"/>
        <v>5.8685446009389672E-2</v>
      </c>
      <c r="AW1046" s="57"/>
      <c r="AX1046" s="57"/>
      <c r="AY1046" s="57"/>
      <c r="AZ1046" s="58">
        <f t="shared" si="976"/>
        <v>0.69545112651431984</v>
      </c>
      <c r="BA1046" s="59">
        <f t="shared" si="977"/>
        <v>0</v>
      </c>
      <c r="BB1046" s="59">
        <f t="shared" si="978"/>
        <v>0</v>
      </c>
      <c r="BC1046" s="59">
        <f t="shared" si="979"/>
        <v>0</v>
      </c>
      <c r="BD1046" s="60">
        <f t="shared" si="980"/>
        <v>0.14285714285714285</v>
      </c>
      <c r="BE1046" s="59">
        <f t="shared" si="981"/>
        <v>0.14285714285714285</v>
      </c>
      <c r="BQ1046" s="61">
        <v>3000</v>
      </c>
      <c r="BR1046" s="61">
        <v>1200</v>
      </c>
      <c r="BS1046" s="28">
        <f t="shared" si="946"/>
        <v>2980</v>
      </c>
      <c r="BT1046" s="28">
        <f t="shared" si="947"/>
        <v>1180</v>
      </c>
      <c r="BU1046" s="28" t="s">
        <v>2541</v>
      </c>
      <c r="BV1046" s="28">
        <f t="shared" si="948"/>
        <v>846.47659999999985</v>
      </c>
      <c r="BW1046" s="28">
        <f t="shared" si="949"/>
        <v>418.23259999999993</v>
      </c>
      <c r="BX1046" s="13">
        <f t="shared" si="950"/>
        <v>3.5204753445045034</v>
      </c>
      <c r="BY1046" s="13">
        <f t="shared" si="951"/>
        <v>3</v>
      </c>
      <c r="BZ1046" s="13">
        <f t="shared" si="952"/>
        <v>2.8213965147623599</v>
      </c>
      <c r="CA1046" s="13">
        <f t="shared" si="953"/>
        <v>2</v>
      </c>
      <c r="CB1046" s="13">
        <f t="shared" si="954"/>
        <v>6</v>
      </c>
      <c r="CC1046" s="62">
        <f t="shared" si="955"/>
        <v>0.16666666666666666</v>
      </c>
      <c r="CD1046" s="13">
        <f t="shared" si="956"/>
        <v>7.1252217067727397</v>
      </c>
      <c r="CE1046" s="13">
        <f t="shared" si="957"/>
        <v>7</v>
      </c>
      <c r="CF1046" s="13">
        <f t="shared" si="958"/>
        <v>1.3940137270185617</v>
      </c>
      <c r="CG1046" s="13">
        <f t="shared" si="959"/>
        <v>1</v>
      </c>
      <c r="CH1046" s="28">
        <f t="shared" si="960"/>
        <v>7</v>
      </c>
      <c r="CI1046" s="62">
        <f t="shared" si="961"/>
        <v>0.14285714285714285</v>
      </c>
      <c r="CJ1046" s="59">
        <f t="shared" si="962"/>
        <v>0.14285714285714285</v>
      </c>
      <c r="CL1046" s="63">
        <v>6000</v>
      </c>
      <c r="CM1046" s="63">
        <f t="shared" si="963"/>
        <v>841.47659999999985</v>
      </c>
      <c r="CN1046" s="63">
        <f t="shared" si="964"/>
        <v>846.47659999999985</v>
      </c>
      <c r="CO1046" s="63">
        <f t="shared" si="965"/>
        <v>7.0882053916198053</v>
      </c>
      <c r="CP1046" s="13">
        <f t="shared" si="966"/>
        <v>7</v>
      </c>
      <c r="CQ1046" s="70">
        <f t="shared" si="967"/>
        <v>0.14285714285714285</v>
      </c>
      <c r="CR1046" s="69">
        <f t="shared" si="931"/>
        <v>0.14285714285714285</v>
      </c>
    </row>
    <row r="1047" spans="1:96" hidden="1" x14ac:dyDescent="0.25">
      <c r="A1047" s="10">
        <v>3</v>
      </c>
      <c r="B1047" s="8" t="s">
        <v>2123</v>
      </c>
      <c r="C1047" s="10" t="s">
        <v>2027</v>
      </c>
      <c r="D1047" s="10" t="s">
        <v>2484</v>
      </c>
      <c r="E1047" s="10" t="s">
        <v>52</v>
      </c>
      <c r="F1047" s="12">
        <f t="shared" si="935"/>
        <v>2</v>
      </c>
      <c r="G1047" s="10">
        <v>1</v>
      </c>
      <c r="H1047" s="10">
        <f t="shared" si="983"/>
        <v>1</v>
      </c>
      <c r="I1047" s="10">
        <v>14</v>
      </c>
      <c r="J1047" s="8" t="s">
        <v>560</v>
      </c>
      <c r="K1047" s="8" t="s">
        <v>34</v>
      </c>
      <c r="L1047" s="10">
        <v>0</v>
      </c>
      <c r="M1047" s="8" t="s">
        <v>35</v>
      </c>
      <c r="N1047" s="10" t="s">
        <v>2484</v>
      </c>
      <c r="O1047" s="28"/>
      <c r="P1047" s="28"/>
      <c r="Q1047" s="28" t="s">
        <v>124</v>
      </c>
      <c r="R1047" s="30">
        <v>26.823</v>
      </c>
      <c r="S1047" s="30">
        <v>15.145</v>
      </c>
      <c r="T1047" s="30"/>
      <c r="U1047" s="30">
        <v>9.8000000000000004E-2</v>
      </c>
      <c r="V1047" s="8">
        <f t="shared" si="937"/>
        <v>681.30419999999992</v>
      </c>
      <c r="W1047" s="8">
        <f t="shared" si="938"/>
        <v>384.68299999999999</v>
      </c>
      <c r="X1047" s="8">
        <f t="shared" si="939"/>
        <v>0</v>
      </c>
      <c r="Y1047" s="33">
        <f t="shared" si="940"/>
        <v>2.4891999999999999</v>
      </c>
      <c r="Z1047" s="28" t="s">
        <v>56</v>
      </c>
      <c r="AA1047" s="28" t="s">
        <v>57</v>
      </c>
      <c r="AB1047" s="61" t="s">
        <v>124</v>
      </c>
      <c r="AC1047" s="31" t="s">
        <v>125</v>
      </c>
      <c r="AD1047" s="50">
        <f t="shared" si="941"/>
        <v>1</v>
      </c>
      <c r="AE1047" s="47" t="s">
        <v>1969</v>
      </c>
      <c r="AF1047" s="51">
        <v>14</v>
      </c>
      <c r="AG1047" s="51">
        <f t="shared" si="968"/>
        <v>8.4</v>
      </c>
      <c r="AH1047" s="51">
        <f t="shared" si="934"/>
        <v>42</v>
      </c>
      <c r="AI1047" s="52" t="s">
        <v>2497</v>
      </c>
      <c r="AJ1047" s="52" t="s">
        <v>2498</v>
      </c>
      <c r="AK1047" s="53">
        <f t="shared" si="969"/>
        <v>0.52417228713719999</v>
      </c>
      <c r="AL1047" s="54">
        <f t="shared" si="970"/>
        <v>0.11904761904761904</v>
      </c>
      <c r="AM1047" s="54">
        <f t="shared" si="971"/>
        <v>2.3809523809523808E-2</v>
      </c>
      <c r="AN1047" s="55">
        <f t="shared" si="972"/>
        <v>6.2401462754428566E-2</v>
      </c>
      <c r="AO1047" s="55">
        <f t="shared" si="973"/>
        <v>1.2480292550885713E-2</v>
      </c>
      <c r="AP1047" s="53">
        <v>7.1</v>
      </c>
      <c r="AQ1047" s="53">
        <f t="shared" si="942"/>
        <v>4.26</v>
      </c>
      <c r="AR1047" s="53">
        <f t="shared" si="943"/>
        <v>21.299999999999997</v>
      </c>
      <c r="AS1047" s="56">
        <f t="shared" si="944"/>
        <v>4.6948356807511742E-2</v>
      </c>
      <c r="AT1047" s="56">
        <f t="shared" si="974"/>
        <v>0.23474178403755869</v>
      </c>
      <c r="AU1047" s="56">
        <f t="shared" si="945"/>
        <v>0.176056338028169</v>
      </c>
      <c r="AV1047" s="56">
        <f t="shared" si="975"/>
        <v>5.8685446009389672E-2</v>
      </c>
      <c r="AW1047" s="57"/>
      <c r="AX1047" s="57"/>
      <c r="AY1047" s="57"/>
      <c r="AZ1047" s="58">
        <f t="shared" si="976"/>
        <v>0.52417228713719999</v>
      </c>
      <c r="BA1047" s="59">
        <f t="shared" si="977"/>
        <v>0</v>
      </c>
      <c r="BB1047" s="59">
        <f t="shared" si="978"/>
        <v>0</v>
      </c>
      <c r="BC1047" s="59">
        <f t="shared" si="979"/>
        <v>0</v>
      </c>
      <c r="BD1047" s="60">
        <f t="shared" si="980"/>
        <v>8.3333333333333329E-2</v>
      </c>
      <c r="BE1047" s="59">
        <f t="shared" si="981"/>
        <v>8.3333333333333329E-2</v>
      </c>
      <c r="BQ1047" s="61">
        <v>3000</v>
      </c>
      <c r="BR1047" s="61">
        <v>1200</v>
      </c>
      <c r="BS1047" s="28">
        <f t="shared" si="946"/>
        <v>2980</v>
      </c>
      <c r="BT1047" s="28">
        <f t="shared" si="947"/>
        <v>1180</v>
      </c>
      <c r="BU1047" s="28" t="s">
        <v>2541</v>
      </c>
      <c r="BV1047" s="28">
        <f t="shared" si="948"/>
        <v>686.30419999999992</v>
      </c>
      <c r="BW1047" s="28">
        <f t="shared" si="949"/>
        <v>389.68299999999999</v>
      </c>
      <c r="BX1047" s="13">
        <f t="shared" si="950"/>
        <v>4.3420978627261793</v>
      </c>
      <c r="BY1047" s="13">
        <f t="shared" si="951"/>
        <v>4</v>
      </c>
      <c r="BZ1047" s="13">
        <f t="shared" si="952"/>
        <v>3.028102329329224</v>
      </c>
      <c r="CA1047" s="13">
        <f t="shared" si="953"/>
        <v>3</v>
      </c>
      <c r="CB1047" s="13">
        <f t="shared" si="954"/>
        <v>12</v>
      </c>
      <c r="CC1047" s="62">
        <f t="shared" si="955"/>
        <v>8.3333333333333329E-2</v>
      </c>
      <c r="CD1047" s="13">
        <f t="shared" si="956"/>
        <v>7.647241475763634</v>
      </c>
      <c r="CE1047" s="13">
        <f t="shared" si="957"/>
        <v>7</v>
      </c>
      <c r="CF1047" s="13">
        <f t="shared" si="958"/>
        <v>1.7193541872539906</v>
      </c>
      <c r="CG1047" s="13">
        <f t="shared" si="959"/>
        <v>1</v>
      </c>
      <c r="CH1047" s="28">
        <f t="shared" si="960"/>
        <v>7</v>
      </c>
      <c r="CI1047" s="62">
        <f t="shared" si="961"/>
        <v>0.14285714285714285</v>
      </c>
      <c r="CJ1047" s="59">
        <f t="shared" si="962"/>
        <v>8.3333333333333329E-2</v>
      </c>
      <c r="CL1047" s="63">
        <v>6000</v>
      </c>
      <c r="CM1047" s="63">
        <f t="shared" si="963"/>
        <v>681.30419999999992</v>
      </c>
      <c r="CN1047" s="63">
        <f t="shared" si="964"/>
        <v>686.30419999999992</v>
      </c>
      <c r="CO1047" s="63">
        <f t="shared" si="965"/>
        <v>8.7424789182406304</v>
      </c>
      <c r="CP1047" s="13">
        <f t="shared" si="966"/>
        <v>8</v>
      </c>
      <c r="CQ1047" s="70">
        <f t="shared" si="967"/>
        <v>0.125</v>
      </c>
      <c r="CR1047" s="69">
        <f t="shared" si="931"/>
        <v>0.125</v>
      </c>
    </row>
    <row r="1048" spans="1:96" hidden="1" x14ac:dyDescent="0.25">
      <c r="A1048" s="10">
        <v>3</v>
      </c>
      <c r="B1048" s="8" t="s">
        <v>2123</v>
      </c>
      <c r="C1048" s="10" t="s">
        <v>2028</v>
      </c>
      <c r="D1048" s="10" t="s">
        <v>2485</v>
      </c>
      <c r="E1048" s="10" t="s">
        <v>52</v>
      </c>
      <c r="F1048" s="12">
        <f t="shared" si="935"/>
        <v>2</v>
      </c>
      <c r="G1048" s="10">
        <v>1</v>
      </c>
      <c r="H1048" s="10">
        <f t="shared" si="983"/>
        <v>1</v>
      </c>
      <c r="I1048" s="10">
        <v>15</v>
      </c>
      <c r="J1048" s="8" t="s">
        <v>560</v>
      </c>
      <c r="K1048" s="8" t="s">
        <v>34</v>
      </c>
      <c r="L1048" s="10">
        <v>0</v>
      </c>
      <c r="M1048" s="8" t="s">
        <v>35</v>
      </c>
      <c r="N1048" s="10" t="s">
        <v>2485</v>
      </c>
      <c r="O1048" s="28"/>
      <c r="P1048" s="28"/>
      <c r="Q1048" s="28" t="s">
        <v>124</v>
      </c>
      <c r="R1048" s="30">
        <v>11.823</v>
      </c>
      <c r="S1048" s="30">
        <v>9.6449999999999996</v>
      </c>
      <c r="T1048" s="30"/>
      <c r="U1048" s="30">
        <v>9.8000000000000004E-2</v>
      </c>
      <c r="V1048" s="8">
        <f t="shared" si="937"/>
        <v>300.30419999999998</v>
      </c>
      <c r="W1048" s="8">
        <f t="shared" si="938"/>
        <v>244.98299999999998</v>
      </c>
      <c r="X1048" s="8">
        <f t="shared" si="939"/>
        <v>0</v>
      </c>
      <c r="Y1048" s="33">
        <f t="shared" si="940"/>
        <v>2.4891999999999999</v>
      </c>
      <c r="Z1048" s="28" t="s">
        <v>56</v>
      </c>
      <c r="AA1048" s="28" t="s">
        <v>57</v>
      </c>
      <c r="AB1048" s="61" t="s">
        <v>124</v>
      </c>
      <c r="AC1048" s="31" t="s">
        <v>125</v>
      </c>
      <c r="AD1048" s="50">
        <f t="shared" si="941"/>
        <v>1</v>
      </c>
      <c r="AE1048" s="47" t="s">
        <v>1969</v>
      </c>
      <c r="AF1048" s="51">
        <v>14</v>
      </c>
      <c r="AG1048" s="51">
        <f t="shared" si="968"/>
        <v>8.4</v>
      </c>
      <c r="AH1048" s="51">
        <f t="shared" si="934"/>
        <v>42</v>
      </c>
      <c r="AI1048" s="52" t="s">
        <v>2497</v>
      </c>
      <c r="AJ1048" s="52" t="s">
        <v>2498</v>
      </c>
      <c r="AK1048" s="53">
        <f t="shared" si="969"/>
        <v>0.14713884765719998</v>
      </c>
      <c r="AL1048" s="54">
        <f t="shared" si="970"/>
        <v>0.11904761904761904</v>
      </c>
      <c r="AM1048" s="54">
        <f t="shared" si="971"/>
        <v>2.3809523809523808E-2</v>
      </c>
      <c r="AN1048" s="55">
        <f t="shared" si="972"/>
        <v>1.7516529482999997E-2</v>
      </c>
      <c r="AO1048" s="55">
        <f t="shared" si="973"/>
        <v>3.5033058965999995E-3</v>
      </c>
      <c r="AP1048" s="53">
        <v>7.1</v>
      </c>
      <c r="AQ1048" s="53">
        <f t="shared" si="942"/>
        <v>4.26</v>
      </c>
      <c r="AR1048" s="53">
        <f t="shared" si="943"/>
        <v>21.299999999999997</v>
      </c>
      <c r="AS1048" s="56">
        <f t="shared" si="944"/>
        <v>4.6948356807511742E-2</v>
      </c>
      <c r="AT1048" s="56">
        <f t="shared" si="974"/>
        <v>0.23474178403755869</v>
      </c>
      <c r="AU1048" s="56">
        <f t="shared" si="945"/>
        <v>0.176056338028169</v>
      </c>
      <c r="AV1048" s="56">
        <f t="shared" si="975"/>
        <v>5.8685446009389672E-2</v>
      </c>
      <c r="AW1048" s="57"/>
      <c r="AX1048" s="57"/>
      <c r="AY1048" s="57"/>
      <c r="AZ1048" s="58">
        <f t="shared" si="976"/>
        <v>0.14713884765719998</v>
      </c>
      <c r="BA1048" s="59">
        <f t="shared" si="977"/>
        <v>0</v>
      </c>
      <c r="BB1048" s="59">
        <f t="shared" si="978"/>
        <v>0</v>
      </c>
      <c r="BC1048" s="59">
        <f t="shared" si="979"/>
        <v>0</v>
      </c>
      <c r="BD1048" s="60">
        <f t="shared" si="980"/>
        <v>2.7777777777777776E-2</v>
      </c>
      <c r="BE1048" s="59">
        <f t="shared" si="981"/>
        <v>2.7777777777777776E-2</v>
      </c>
      <c r="BQ1048" s="61">
        <v>3000</v>
      </c>
      <c r="BR1048" s="61">
        <v>1200</v>
      </c>
      <c r="BS1048" s="28">
        <f t="shared" si="946"/>
        <v>2980</v>
      </c>
      <c r="BT1048" s="28">
        <f t="shared" si="947"/>
        <v>1180</v>
      </c>
      <c r="BU1048" s="28" t="s">
        <v>2541</v>
      </c>
      <c r="BV1048" s="28">
        <f t="shared" si="948"/>
        <v>305.30419999999998</v>
      </c>
      <c r="BW1048" s="28">
        <f t="shared" si="949"/>
        <v>249.98299999999998</v>
      </c>
      <c r="BX1048" s="13">
        <f t="shared" si="950"/>
        <v>9.760756648614727</v>
      </c>
      <c r="BY1048" s="13">
        <f t="shared" si="951"/>
        <v>9</v>
      </c>
      <c r="BZ1048" s="13">
        <f t="shared" si="952"/>
        <v>4.7203209818267649</v>
      </c>
      <c r="CA1048" s="13">
        <f t="shared" si="953"/>
        <v>4</v>
      </c>
      <c r="CB1048" s="13">
        <f t="shared" si="954"/>
        <v>36</v>
      </c>
      <c r="CC1048" s="62">
        <f t="shared" si="955"/>
        <v>2.7777777777777776E-2</v>
      </c>
      <c r="CD1048" s="13">
        <f t="shared" si="956"/>
        <v>11.92081061512183</v>
      </c>
      <c r="CE1048" s="13">
        <f t="shared" si="957"/>
        <v>11</v>
      </c>
      <c r="CF1048" s="13">
        <f t="shared" si="958"/>
        <v>3.8649975991158985</v>
      </c>
      <c r="CG1048" s="13">
        <f t="shared" si="959"/>
        <v>3</v>
      </c>
      <c r="CH1048" s="28">
        <f t="shared" si="960"/>
        <v>33</v>
      </c>
      <c r="CI1048" s="62">
        <f t="shared" si="961"/>
        <v>3.0303030303030304E-2</v>
      </c>
      <c r="CJ1048" s="59">
        <f t="shared" si="962"/>
        <v>2.7777777777777776E-2</v>
      </c>
      <c r="CL1048" s="63">
        <v>6000</v>
      </c>
      <c r="CM1048" s="63">
        <f t="shared" si="963"/>
        <v>300.30419999999998</v>
      </c>
      <c r="CN1048" s="63">
        <f t="shared" si="964"/>
        <v>305.30419999999998</v>
      </c>
      <c r="CO1048" s="63">
        <f t="shared" si="965"/>
        <v>19.652530164996094</v>
      </c>
      <c r="CP1048" s="13">
        <f t="shared" si="966"/>
        <v>19</v>
      </c>
      <c r="CQ1048" s="70">
        <f t="shared" si="967"/>
        <v>5.2631578947368418E-2</v>
      </c>
      <c r="CR1048" s="69">
        <f t="shared" si="931"/>
        <v>5.2631578947368418E-2</v>
      </c>
    </row>
    <row r="1049" spans="1:96" hidden="1" x14ac:dyDescent="0.25">
      <c r="A1049" s="10">
        <v>3</v>
      </c>
      <c r="B1049" s="8" t="s">
        <v>2123</v>
      </c>
      <c r="C1049" s="10" t="s">
        <v>2029</v>
      </c>
      <c r="D1049" s="10" t="s">
        <v>2486</v>
      </c>
      <c r="E1049" s="10" t="s">
        <v>52</v>
      </c>
      <c r="F1049" s="12">
        <f t="shared" si="935"/>
        <v>2</v>
      </c>
      <c r="G1049" s="10">
        <v>1</v>
      </c>
      <c r="H1049" s="10">
        <f t="shared" si="983"/>
        <v>1</v>
      </c>
      <c r="I1049" s="10">
        <v>16</v>
      </c>
      <c r="J1049" s="8" t="s">
        <v>2030</v>
      </c>
      <c r="K1049" s="8" t="s">
        <v>34</v>
      </c>
      <c r="L1049" s="10">
        <v>0</v>
      </c>
      <c r="M1049" s="8" t="s">
        <v>35</v>
      </c>
      <c r="N1049" s="10" t="s">
        <v>2486</v>
      </c>
      <c r="O1049" s="28"/>
      <c r="P1049" s="28"/>
      <c r="Q1049" s="28" t="s">
        <v>124</v>
      </c>
      <c r="R1049" s="30">
        <v>5.9550000000000001</v>
      </c>
      <c r="S1049" s="30">
        <v>0.75</v>
      </c>
      <c r="T1049" s="30"/>
      <c r="U1049" s="30">
        <v>9.8000000000000004E-2</v>
      </c>
      <c r="V1049" s="8">
        <f t="shared" si="937"/>
        <v>151.25700000000001</v>
      </c>
      <c r="W1049" s="8">
        <f t="shared" si="938"/>
        <v>19.049999999999997</v>
      </c>
      <c r="X1049" s="8">
        <f t="shared" si="939"/>
        <v>0</v>
      </c>
      <c r="Y1049" s="33">
        <f t="shared" si="940"/>
        <v>2.4891999999999999</v>
      </c>
      <c r="Z1049" s="28" t="s">
        <v>56</v>
      </c>
      <c r="AA1049" s="28" t="s">
        <v>57</v>
      </c>
      <c r="AB1049" s="61" t="s">
        <v>124</v>
      </c>
      <c r="AC1049" s="31" t="s">
        <v>125</v>
      </c>
      <c r="AD1049" s="50">
        <f t="shared" si="941"/>
        <v>1</v>
      </c>
      <c r="AE1049" s="47" t="s">
        <v>1969</v>
      </c>
      <c r="AF1049" s="51">
        <v>14</v>
      </c>
      <c r="AG1049" s="51">
        <f t="shared" si="968"/>
        <v>8.4</v>
      </c>
      <c r="AH1049" s="51">
        <f t="shared" si="934"/>
        <v>42</v>
      </c>
      <c r="AI1049" s="52" t="s">
        <v>2497</v>
      </c>
      <c r="AJ1049" s="52" t="s">
        <v>2498</v>
      </c>
      <c r="AK1049" s="53">
        <f t="shared" si="969"/>
        <v>5.762891699999999E-3</v>
      </c>
      <c r="AL1049" s="54">
        <f t="shared" si="970"/>
        <v>0.11904761904761904</v>
      </c>
      <c r="AM1049" s="54">
        <f t="shared" si="971"/>
        <v>2.3809523809523808E-2</v>
      </c>
      <c r="AN1049" s="55">
        <f t="shared" si="972"/>
        <v>6.8605853571428556E-4</v>
      </c>
      <c r="AO1049" s="55">
        <f t="shared" si="973"/>
        <v>1.3721170714285711E-4</v>
      </c>
      <c r="AP1049" s="53">
        <v>7.1</v>
      </c>
      <c r="AQ1049" s="53">
        <f t="shared" si="942"/>
        <v>4.26</v>
      </c>
      <c r="AR1049" s="53">
        <f t="shared" si="943"/>
        <v>21.299999999999997</v>
      </c>
      <c r="AS1049" s="56">
        <f t="shared" si="944"/>
        <v>4.6948356807511742E-2</v>
      </c>
      <c r="AT1049" s="56">
        <f t="shared" si="974"/>
        <v>0.23474178403755869</v>
      </c>
      <c r="AU1049" s="56">
        <f t="shared" si="945"/>
        <v>0.176056338028169</v>
      </c>
      <c r="AV1049" s="56">
        <f t="shared" si="975"/>
        <v>5.8685446009389672E-2</v>
      </c>
      <c r="AW1049" s="57"/>
      <c r="AX1049" s="57"/>
      <c r="AY1049" s="57"/>
      <c r="AZ1049" s="58">
        <f t="shared" si="976"/>
        <v>5.762891699999999E-3</v>
      </c>
      <c r="BA1049" s="59">
        <f t="shared" si="977"/>
        <v>0</v>
      </c>
      <c r="BB1049" s="59">
        <f t="shared" si="978"/>
        <v>0</v>
      </c>
      <c r="BC1049" s="59">
        <f t="shared" si="979"/>
        <v>0</v>
      </c>
      <c r="BD1049" s="60">
        <f t="shared" si="980"/>
        <v>1.0741138560687433E-3</v>
      </c>
      <c r="BE1049" s="59">
        <f t="shared" si="981"/>
        <v>1.0741138560687433E-3</v>
      </c>
      <c r="BQ1049" s="61">
        <v>3000</v>
      </c>
      <c r="BR1049" s="61">
        <v>1200</v>
      </c>
      <c r="BS1049" s="28">
        <f t="shared" si="946"/>
        <v>2980</v>
      </c>
      <c r="BT1049" s="28">
        <f t="shared" si="947"/>
        <v>1180</v>
      </c>
      <c r="BU1049" s="28" t="s">
        <v>2541</v>
      </c>
      <c r="BV1049" s="28">
        <f t="shared" si="948"/>
        <v>156.25700000000001</v>
      </c>
      <c r="BW1049" s="28">
        <f t="shared" si="949"/>
        <v>24.049999999999997</v>
      </c>
      <c r="BX1049" s="13">
        <f t="shared" si="950"/>
        <v>19.071145612676553</v>
      </c>
      <c r="BY1049" s="13">
        <f t="shared" si="951"/>
        <v>19</v>
      </c>
      <c r="BZ1049" s="13">
        <f t="shared" si="952"/>
        <v>49.064449064449072</v>
      </c>
      <c r="CA1049" s="13">
        <f t="shared" si="953"/>
        <v>49</v>
      </c>
      <c r="CB1049" s="13">
        <f t="shared" si="954"/>
        <v>931</v>
      </c>
      <c r="CC1049" s="62">
        <f t="shared" si="955"/>
        <v>1.0741138560687433E-3</v>
      </c>
      <c r="CD1049" s="13">
        <f t="shared" si="956"/>
        <v>123.90852390852392</v>
      </c>
      <c r="CE1049" s="13">
        <f t="shared" si="957"/>
        <v>123</v>
      </c>
      <c r="CF1049" s="13">
        <f t="shared" si="958"/>
        <v>7.5516616855564864</v>
      </c>
      <c r="CG1049" s="13">
        <f t="shared" si="959"/>
        <v>7</v>
      </c>
      <c r="CH1049" s="28">
        <f t="shared" si="960"/>
        <v>861</v>
      </c>
      <c r="CI1049" s="62">
        <f t="shared" si="961"/>
        <v>1.1614401858304297E-3</v>
      </c>
      <c r="CJ1049" s="59">
        <f t="shared" si="962"/>
        <v>1.0741138560687433E-3</v>
      </c>
      <c r="CL1049" s="63">
        <v>6000</v>
      </c>
      <c r="CM1049" s="63">
        <f t="shared" si="963"/>
        <v>151.25700000000001</v>
      </c>
      <c r="CN1049" s="63">
        <f t="shared" si="964"/>
        <v>156.25700000000001</v>
      </c>
      <c r="CO1049" s="63">
        <f t="shared" si="965"/>
        <v>38.398279757066881</v>
      </c>
      <c r="CP1049" s="13">
        <f t="shared" si="966"/>
        <v>38</v>
      </c>
      <c r="CQ1049" s="70">
        <f t="shared" si="967"/>
        <v>2.6315789473684209E-2</v>
      </c>
      <c r="CR1049" s="69">
        <f t="shared" si="931"/>
        <v>2.6315789473684209E-2</v>
      </c>
    </row>
    <row r="1050" spans="1:96" hidden="1" x14ac:dyDescent="0.25">
      <c r="A1050" s="10">
        <v>3</v>
      </c>
      <c r="B1050" s="8" t="s">
        <v>2123</v>
      </c>
      <c r="C1050" s="10" t="s">
        <v>2031</v>
      </c>
      <c r="D1050" s="10" t="s">
        <v>2487</v>
      </c>
      <c r="E1050" s="10" t="s">
        <v>52</v>
      </c>
      <c r="F1050" s="12">
        <f t="shared" si="935"/>
        <v>2</v>
      </c>
      <c r="G1050" s="10">
        <v>2</v>
      </c>
      <c r="H1050" s="10">
        <f t="shared" si="983"/>
        <v>2</v>
      </c>
      <c r="I1050" s="10">
        <v>17</v>
      </c>
      <c r="J1050" s="8" t="s">
        <v>2030</v>
      </c>
      <c r="K1050" s="8" t="s">
        <v>34</v>
      </c>
      <c r="L1050" s="10">
        <v>0</v>
      </c>
      <c r="M1050" s="8" t="s">
        <v>35</v>
      </c>
      <c r="N1050" s="10" t="s">
        <v>2487</v>
      </c>
      <c r="O1050" s="28"/>
      <c r="P1050" s="28"/>
      <c r="Q1050" s="28" t="s">
        <v>124</v>
      </c>
      <c r="R1050" s="30">
        <v>4.6289999999999996</v>
      </c>
      <c r="S1050" s="30">
        <v>0.75</v>
      </c>
      <c r="T1050" s="30"/>
      <c r="U1050" s="30">
        <v>9.8000000000000004E-2</v>
      </c>
      <c r="V1050" s="8">
        <f t="shared" si="937"/>
        <v>117.57659999999998</v>
      </c>
      <c r="W1050" s="8">
        <f t="shared" si="938"/>
        <v>19.049999999999997</v>
      </c>
      <c r="X1050" s="8">
        <f t="shared" si="939"/>
        <v>0</v>
      </c>
      <c r="Y1050" s="33">
        <f t="shared" si="940"/>
        <v>2.4891999999999999</v>
      </c>
      <c r="Z1050" s="28" t="s">
        <v>56</v>
      </c>
      <c r="AA1050" s="28" t="s">
        <v>57</v>
      </c>
      <c r="AB1050" s="61" t="s">
        <v>124</v>
      </c>
      <c r="AC1050" s="31" t="s">
        <v>125</v>
      </c>
      <c r="AD1050" s="50">
        <f t="shared" si="941"/>
        <v>2</v>
      </c>
      <c r="AE1050" s="47" t="s">
        <v>1969</v>
      </c>
      <c r="AF1050" s="51">
        <v>14</v>
      </c>
      <c r="AG1050" s="51">
        <f t="shared" si="968"/>
        <v>8.4</v>
      </c>
      <c r="AH1050" s="51">
        <f t="shared" si="934"/>
        <v>42</v>
      </c>
      <c r="AI1050" s="52" t="s">
        <v>2497</v>
      </c>
      <c r="AJ1050" s="52" t="s">
        <v>2498</v>
      </c>
      <c r="AK1050" s="53">
        <f t="shared" si="969"/>
        <v>4.479668459999999E-3</v>
      </c>
      <c r="AL1050" s="54">
        <f t="shared" si="970"/>
        <v>0.11904761904761904</v>
      </c>
      <c r="AM1050" s="54">
        <f t="shared" si="971"/>
        <v>2.3809523809523808E-2</v>
      </c>
      <c r="AN1050" s="55">
        <f t="shared" si="972"/>
        <v>1.0665877285714284E-3</v>
      </c>
      <c r="AO1050" s="55">
        <f t="shared" si="973"/>
        <v>2.1331754571428567E-4</v>
      </c>
      <c r="AP1050" s="53">
        <v>7.1</v>
      </c>
      <c r="AQ1050" s="53">
        <f t="shared" si="942"/>
        <v>4.26</v>
      </c>
      <c r="AR1050" s="53">
        <f t="shared" si="943"/>
        <v>21.299999999999997</v>
      </c>
      <c r="AS1050" s="56">
        <f t="shared" si="944"/>
        <v>4.6948356807511742E-2</v>
      </c>
      <c r="AT1050" s="56">
        <f t="shared" si="974"/>
        <v>0.23474178403755869</v>
      </c>
      <c r="AU1050" s="56">
        <f t="shared" si="945"/>
        <v>0.176056338028169</v>
      </c>
      <c r="AV1050" s="56">
        <f t="shared" si="975"/>
        <v>5.8685446009389672E-2</v>
      </c>
      <c r="AW1050" s="57"/>
      <c r="AX1050" s="57"/>
      <c r="AY1050" s="57"/>
      <c r="AZ1050" s="58">
        <f t="shared" si="976"/>
        <v>4.479668459999999E-3</v>
      </c>
      <c r="BA1050" s="59">
        <f t="shared" si="977"/>
        <v>0</v>
      </c>
      <c r="BB1050" s="59">
        <f t="shared" si="978"/>
        <v>0</v>
      </c>
      <c r="BC1050" s="59">
        <f t="shared" si="979"/>
        <v>0</v>
      </c>
      <c r="BD1050" s="60">
        <f t="shared" si="980"/>
        <v>8.5034013605442174E-4</v>
      </c>
      <c r="BE1050" s="59">
        <f t="shared" si="981"/>
        <v>1.7006802721088435E-3</v>
      </c>
      <c r="BQ1050" s="61">
        <v>3000</v>
      </c>
      <c r="BR1050" s="61">
        <v>1200</v>
      </c>
      <c r="BS1050" s="28">
        <f t="shared" si="946"/>
        <v>2980</v>
      </c>
      <c r="BT1050" s="28">
        <f t="shared" si="947"/>
        <v>1180</v>
      </c>
      <c r="BU1050" s="28" t="s">
        <v>2541</v>
      </c>
      <c r="BV1050" s="28">
        <f t="shared" si="948"/>
        <v>122.57659999999998</v>
      </c>
      <c r="BW1050" s="28">
        <f t="shared" si="949"/>
        <v>24.049999999999997</v>
      </c>
      <c r="BX1050" s="13">
        <f t="shared" si="950"/>
        <v>24.311328589632936</v>
      </c>
      <c r="BY1050" s="13">
        <f t="shared" si="951"/>
        <v>24</v>
      </c>
      <c r="BZ1050" s="13">
        <f t="shared" si="952"/>
        <v>49.064449064449072</v>
      </c>
      <c r="CA1050" s="13">
        <f t="shared" si="953"/>
        <v>49</v>
      </c>
      <c r="CB1050" s="13">
        <f t="shared" si="954"/>
        <v>1176</v>
      </c>
      <c r="CC1050" s="62">
        <f t="shared" si="955"/>
        <v>8.5034013605442174E-4</v>
      </c>
      <c r="CD1050" s="13">
        <f t="shared" si="956"/>
        <v>123.90852390852392</v>
      </c>
      <c r="CE1050" s="13">
        <f t="shared" si="957"/>
        <v>123</v>
      </c>
      <c r="CF1050" s="13">
        <f t="shared" si="958"/>
        <v>9.6266334683781416</v>
      </c>
      <c r="CG1050" s="13">
        <f t="shared" si="959"/>
        <v>9</v>
      </c>
      <c r="CH1050" s="28">
        <f t="shared" si="960"/>
        <v>1107</v>
      </c>
      <c r="CI1050" s="62">
        <f t="shared" si="961"/>
        <v>9.0334236675700087E-4</v>
      </c>
      <c r="CJ1050" s="59">
        <f t="shared" si="962"/>
        <v>8.5034013605442174E-4</v>
      </c>
      <c r="CL1050" s="63">
        <v>6000</v>
      </c>
      <c r="CM1050" s="63">
        <f t="shared" si="963"/>
        <v>117.57659999999998</v>
      </c>
      <c r="CN1050" s="63">
        <f t="shared" si="964"/>
        <v>122.57659999999998</v>
      </c>
      <c r="CO1050" s="63">
        <f t="shared" si="965"/>
        <v>48.948983737515974</v>
      </c>
      <c r="CP1050" s="13">
        <f t="shared" si="966"/>
        <v>48</v>
      </c>
      <c r="CQ1050" s="70">
        <f t="shared" si="967"/>
        <v>2.0833333333333332E-2</v>
      </c>
      <c r="CR1050" s="69">
        <f t="shared" si="931"/>
        <v>4.1666666666666664E-2</v>
      </c>
    </row>
    <row r="1051" spans="1:96" hidden="1" x14ac:dyDescent="0.25">
      <c r="A1051" s="10">
        <v>3</v>
      </c>
      <c r="B1051" s="8" t="s">
        <v>2123</v>
      </c>
      <c r="C1051" s="10" t="s">
        <v>2032</v>
      </c>
      <c r="D1051" s="10" t="s">
        <v>2488</v>
      </c>
      <c r="E1051" s="10" t="s">
        <v>52</v>
      </c>
      <c r="F1051" s="12">
        <f t="shared" si="935"/>
        <v>2</v>
      </c>
      <c r="G1051" s="10">
        <v>3</v>
      </c>
      <c r="H1051" s="10">
        <f t="shared" si="983"/>
        <v>3</v>
      </c>
      <c r="I1051" s="10">
        <v>18</v>
      </c>
      <c r="J1051" s="8" t="s">
        <v>2030</v>
      </c>
      <c r="K1051" s="8" t="s">
        <v>34</v>
      </c>
      <c r="L1051" s="10">
        <v>0</v>
      </c>
      <c r="M1051" s="8" t="s">
        <v>35</v>
      </c>
      <c r="N1051" s="10" t="s">
        <v>2488</v>
      </c>
      <c r="O1051" s="28"/>
      <c r="P1051" s="28"/>
      <c r="Q1051" s="28" t="s">
        <v>124</v>
      </c>
      <c r="R1051" s="30">
        <v>6.577</v>
      </c>
      <c r="S1051" s="30">
        <v>1.1200000000000001</v>
      </c>
      <c r="T1051" s="30"/>
      <c r="U1051" s="30">
        <v>9.8000000000000004E-2</v>
      </c>
      <c r="V1051" s="8">
        <f t="shared" si="937"/>
        <v>167.05579999999998</v>
      </c>
      <c r="W1051" s="8">
        <f t="shared" si="938"/>
        <v>28.448</v>
      </c>
      <c r="X1051" s="8">
        <f t="shared" si="939"/>
        <v>0</v>
      </c>
      <c r="Y1051" s="33">
        <f t="shared" si="940"/>
        <v>2.4891999999999999</v>
      </c>
      <c r="Z1051" s="28" t="s">
        <v>56</v>
      </c>
      <c r="AA1051" s="28" t="s">
        <v>57</v>
      </c>
      <c r="AB1051" s="61" t="s">
        <v>124</v>
      </c>
      <c r="AC1051" s="31" t="s">
        <v>125</v>
      </c>
      <c r="AD1051" s="50">
        <f t="shared" si="941"/>
        <v>3</v>
      </c>
      <c r="AE1051" s="47" t="s">
        <v>1969</v>
      </c>
      <c r="AF1051" s="51">
        <v>14</v>
      </c>
      <c r="AG1051" s="51">
        <f t="shared" si="968"/>
        <v>8.4</v>
      </c>
      <c r="AH1051" s="51">
        <f t="shared" si="934"/>
        <v>42</v>
      </c>
      <c r="AI1051" s="52" t="s">
        <v>2497</v>
      </c>
      <c r="AJ1051" s="52" t="s">
        <v>2498</v>
      </c>
      <c r="AK1051" s="53">
        <f t="shared" si="969"/>
        <v>9.5048067968000003E-3</v>
      </c>
      <c r="AL1051" s="54">
        <f t="shared" si="970"/>
        <v>0.11904761904761904</v>
      </c>
      <c r="AM1051" s="54">
        <f t="shared" si="971"/>
        <v>2.3809523809523808E-2</v>
      </c>
      <c r="AN1051" s="55">
        <f t="shared" si="972"/>
        <v>3.3945738559999997E-3</v>
      </c>
      <c r="AO1051" s="55">
        <f t="shared" si="973"/>
        <v>6.7891477119999999E-4</v>
      </c>
      <c r="AP1051" s="53">
        <v>7.1</v>
      </c>
      <c r="AQ1051" s="53">
        <f t="shared" si="942"/>
        <v>4.26</v>
      </c>
      <c r="AR1051" s="53">
        <f t="shared" si="943"/>
        <v>21.299999999999997</v>
      </c>
      <c r="AS1051" s="56">
        <f t="shared" si="944"/>
        <v>4.6948356807511742E-2</v>
      </c>
      <c r="AT1051" s="56">
        <f t="shared" si="974"/>
        <v>0.23474178403755869</v>
      </c>
      <c r="AU1051" s="56">
        <f t="shared" si="945"/>
        <v>0.176056338028169</v>
      </c>
      <c r="AV1051" s="56">
        <f t="shared" si="975"/>
        <v>5.8685446009389672E-2</v>
      </c>
      <c r="AW1051" s="57"/>
      <c r="AX1051" s="57"/>
      <c r="AY1051" s="57"/>
      <c r="AZ1051" s="58">
        <f t="shared" si="976"/>
        <v>9.5048067968000003E-3</v>
      </c>
      <c r="BA1051" s="59">
        <f t="shared" si="977"/>
        <v>0</v>
      </c>
      <c r="BB1051" s="59">
        <f t="shared" si="978"/>
        <v>0</v>
      </c>
      <c r="BC1051" s="59">
        <f t="shared" si="979"/>
        <v>0</v>
      </c>
      <c r="BD1051" s="60">
        <f t="shared" si="980"/>
        <v>1.6806722689075631E-3</v>
      </c>
      <c r="BE1051" s="59">
        <f t="shared" si="981"/>
        <v>5.0420168067226894E-3</v>
      </c>
      <c r="BQ1051" s="61">
        <v>3000</v>
      </c>
      <c r="BR1051" s="61">
        <v>1200</v>
      </c>
      <c r="BS1051" s="28">
        <f t="shared" si="946"/>
        <v>2980</v>
      </c>
      <c r="BT1051" s="28">
        <f t="shared" si="947"/>
        <v>1180</v>
      </c>
      <c r="BU1051" s="28" t="s">
        <v>2541</v>
      </c>
      <c r="BV1051" s="28">
        <f t="shared" si="948"/>
        <v>172.05579999999998</v>
      </c>
      <c r="BW1051" s="28">
        <f t="shared" si="949"/>
        <v>33.448</v>
      </c>
      <c r="BX1051" s="13">
        <f t="shared" si="950"/>
        <v>17.319962477289348</v>
      </c>
      <c r="BY1051" s="13">
        <f t="shared" si="951"/>
        <v>17</v>
      </c>
      <c r="BZ1051" s="13">
        <f t="shared" si="952"/>
        <v>35.278641473331739</v>
      </c>
      <c r="CA1051" s="13">
        <f t="shared" si="953"/>
        <v>35</v>
      </c>
      <c r="CB1051" s="13">
        <f t="shared" si="954"/>
        <v>595</v>
      </c>
      <c r="CC1051" s="62">
        <f t="shared" si="955"/>
        <v>1.6806722689075631E-3</v>
      </c>
      <c r="CD1051" s="13">
        <f t="shared" si="956"/>
        <v>89.093518297058125</v>
      </c>
      <c r="CE1051" s="13">
        <f t="shared" si="957"/>
        <v>89</v>
      </c>
      <c r="CF1051" s="13">
        <f t="shared" si="958"/>
        <v>6.8582401755709492</v>
      </c>
      <c r="CG1051" s="13">
        <f t="shared" si="959"/>
        <v>6</v>
      </c>
      <c r="CH1051" s="28">
        <f t="shared" si="960"/>
        <v>534</v>
      </c>
      <c r="CI1051" s="62">
        <f t="shared" si="961"/>
        <v>1.8726591760299626E-3</v>
      </c>
      <c r="CJ1051" s="59">
        <f t="shared" si="962"/>
        <v>1.6806722689075631E-3</v>
      </c>
      <c r="CL1051" s="63">
        <v>6000</v>
      </c>
      <c r="CM1051" s="63">
        <f t="shared" si="963"/>
        <v>167.05579999999998</v>
      </c>
      <c r="CN1051" s="63">
        <f t="shared" si="964"/>
        <v>172.05579999999998</v>
      </c>
      <c r="CO1051" s="63">
        <f t="shared" si="965"/>
        <v>34.872407672394658</v>
      </c>
      <c r="CP1051" s="13">
        <f t="shared" si="966"/>
        <v>34</v>
      </c>
      <c r="CQ1051" s="70">
        <f t="shared" si="967"/>
        <v>2.9411764705882353E-2</v>
      </c>
      <c r="CR1051" s="69">
        <f t="shared" si="931"/>
        <v>8.8235294117647051E-2</v>
      </c>
    </row>
    <row r="1052" spans="1:96" hidden="1" x14ac:dyDescent="0.25">
      <c r="A1052" s="10">
        <v>3</v>
      </c>
      <c r="B1052" s="8" t="s">
        <v>2123</v>
      </c>
      <c r="C1052" s="10" t="s">
        <v>2033</v>
      </c>
      <c r="D1052" s="10" t="s">
        <v>2035</v>
      </c>
      <c r="E1052" s="10" t="s">
        <v>52</v>
      </c>
      <c r="F1052" s="12">
        <f t="shared" si="935"/>
        <v>2</v>
      </c>
      <c r="G1052" s="10">
        <v>1</v>
      </c>
      <c r="H1052" s="10">
        <f t="shared" si="983"/>
        <v>1</v>
      </c>
      <c r="I1052" s="10">
        <v>19</v>
      </c>
      <c r="J1052" s="8" t="s">
        <v>2034</v>
      </c>
      <c r="K1052" s="8" t="s">
        <v>34</v>
      </c>
      <c r="L1052" s="10">
        <v>0</v>
      </c>
      <c r="M1052" s="8" t="s">
        <v>35</v>
      </c>
      <c r="N1052" s="10" t="s">
        <v>2035</v>
      </c>
      <c r="O1052" s="28"/>
      <c r="P1052" s="28"/>
      <c r="Q1052" s="28" t="s">
        <v>2036</v>
      </c>
      <c r="R1052" s="30">
        <v>15.5</v>
      </c>
      <c r="S1052" s="30">
        <v>7</v>
      </c>
      <c r="T1052" s="30"/>
      <c r="U1052" s="30">
        <v>0.06</v>
      </c>
      <c r="V1052" s="8">
        <f t="shared" si="937"/>
        <v>393.7</v>
      </c>
      <c r="W1052" s="8">
        <f t="shared" si="938"/>
        <v>177.79999999999998</v>
      </c>
      <c r="X1052" s="8">
        <f t="shared" si="939"/>
        <v>0</v>
      </c>
      <c r="Y1052" s="33">
        <f t="shared" si="940"/>
        <v>1.5239999999999998</v>
      </c>
      <c r="Z1052" s="28" t="s">
        <v>2037</v>
      </c>
      <c r="AA1052" s="28" t="s">
        <v>2038</v>
      </c>
      <c r="AB1052" s="61" t="s">
        <v>2036</v>
      </c>
      <c r="AC1052" s="31" t="s">
        <v>2039</v>
      </c>
      <c r="AD1052" s="50">
        <f t="shared" si="941"/>
        <v>1</v>
      </c>
      <c r="AE1052" s="31"/>
      <c r="AF1052" s="51">
        <v>14</v>
      </c>
      <c r="AG1052" s="51">
        <f t="shared" si="968"/>
        <v>8.4</v>
      </c>
      <c r="AH1052" s="51">
        <f t="shared" si="934"/>
        <v>42</v>
      </c>
      <c r="AI1052" s="52" t="s">
        <v>2497</v>
      </c>
      <c r="AJ1052" s="52" t="s">
        <v>2498</v>
      </c>
      <c r="AK1052" s="53">
        <f t="shared" si="969"/>
        <v>0.13999971999999997</v>
      </c>
      <c r="AL1052" s="54">
        <f t="shared" si="970"/>
        <v>0.11904761904761904</v>
      </c>
      <c r="AM1052" s="54">
        <f t="shared" si="971"/>
        <v>2.3809523809523808E-2</v>
      </c>
      <c r="AN1052" s="55">
        <f t="shared" si="972"/>
        <v>1.666663333333333E-2</v>
      </c>
      <c r="AO1052" s="55">
        <f t="shared" si="973"/>
        <v>3.3333266666666656E-3</v>
      </c>
      <c r="AP1052" s="53">
        <v>7.1</v>
      </c>
      <c r="AQ1052" s="53">
        <f t="shared" si="942"/>
        <v>4.26</v>
      </c>
      <c r="AR1052" s="53">
        <f t="shared" si="943"/>
        <v>21.299999999999997</v>
      </c>
      <c r="AS1052" s="56">
        <f t="shared" si="944"/>
        <v>4.6948356807511742E-2</v>
      </c>
      <c r="AT1052" s="56">
        <f t="shared" si="974"/>
        <v>0.23474178403755869</v>
      </c>
      <c r="AU1052" s="56">
        <f t="shared" si="945"/>
        <v>0.176056338028169</v>
      </c>
      <c r="AV1052" s="56">
        <f t="shared" si="975"/>
        <v>5.8685446009389672E-2</v>
      </c>
      <c r="AW1052" s="57"/>
      <c r="AX1052" s="57"/>
      <c r="AY1052" s="57"/>
      <c r="AZ1052" s="58">
        <f t="shared" si="976"/>
        <v>0.13999971999999997</v>
      </c>
      <c r="BA1052" s="59">
        <f t="shared" si="977"/>
        <v>0</v>
      </c>
      <c r="BB1052" s="59">
        <f t="shared" si="978"/>
        <v>0</v>
      </c>
      <c r="BC1052" s="59">
        <f t="shared" si="979"/>
        <v>0</v>
      </c>
      <c r="BD1052" s="60">
        <f t="shared" si="980"/>
        <v>2.3809523809523808E-2</v>
      </c>
      <c r="BE1052" s="59">
        <f t="shared" si="981"/>
        <v>2.3809523809523808E-2</v>
      </c>
      <c r="BQ1052" s="61">
        <v>3000</v>
      </c>
      <c r="BR1052" s="61">
        <v>1200</v>
      </c>
      <c r="BS1052" s="28">
        <f t="shared" si="946"/>
        <v>2980</v>
      </c>
      <c r="BT1052" s="28">
        <f t="shared" si="947"/>
        <v>1180</v>
      </c>
      <c r="BU1052" s="28" t="s">
        <v>2541</v>
      </c>
      <c r="BV1052" s="28">
        <f t="shared" si="948"/>
        <v>398.7</v>
      </c>
      <c r="BW1052" s="28">
        <f t="shared" si="949"/>
        <v>182.79999999999998</v>
      </c>
      <c r="BX1052" s="13">
        <f t="shared" si="950"/>
        <v>7.4742914472034112</v>
      </c>
      <c r="BY1052" s="13">
        <f t="shared" si="951"/>
        <v>7</v>
      </c>
      <c r="BZ1052" s="13">
        <f t="shared" si="952"/>
        <v>6.4551422319474838</v>
      </c>
      <c r="CA1052" s="13">
        <f t="shared" si="953"/>
        <v>6</v>
      </c>
      <c r="CB1052" s="13">
        <f t="shared" si="954"/>
        <v>42</v>
      </c>
      <c r="CC1052" s="62">
        <f t="shared" si="955"/>
        <v>2.3809523809523808E-2</v>
      </c>
      <c r="CD1052" s="13">
        <f t="shared" si="956"/>
        <v>16.301969365426697</v>
      </c>
      <c r="CE1052" s="13">
        <f t="shared" si="957"/>
        <v>16</v>
      </c>
      <c r="CF1052" s="13">
        <f t="shared" si="958"/>
        <v>2.959618760973163</v>
      </c>
      <c r="CG1052" s="13">
        <f t="shared" si="959"/>
        <v>2</v>
      </c>
      <c r="CH1052" s="28">
        <f t="shared" si="960"/>
        <v>32</v>
      </c>
      <c r="CI1052" s="62">
        <f t="shared" si="961"/>
        <v>3.125E-2</v>
      </c>
      <c r="CJ1052" s="59">
        <f t="shared" si="962"/>
        <v>2.3809523809523808E-2</v>
      </c>
      <c r="CL1052" s="63">
        <v>6000</v>
      </c>
      <c r="CM1052" s="63">
        <f t="shared" si="963"/>
        <v>393.7</v>
      </c>
      <c r="CN1052" s="63">
        <f t="shared" si="964"/>
        <v>398.7</v>
      </c>
      <c r="CO1052" s="63">
        <f t="shared" si="965"/>
        <v>15.048908954100828</v>
      </c>
      <c r="CP1052" s="13">
        <f t="shared" si="966"/>
        <v>15</v>
      </c>
      <c r="CQ1052" s="70">
        <f t="shared" si="967"/>
        <v>6.6666666666666666E-2</v>
      </c>
      <c r="CR1052" s="69">
        <f t="shared" si="931"/>
        <v>6.6666666666666666E-2</v>
      </c>
    </row>
    <row r="1053" spans="1:96" hidden="1" x14ac:dyDescent="0.25">
      <c r="A1053" s="10">
        <v>3</v>
      </c>
      <c r="B1053" s="8" t="s">
        <v>2123</v>
      </c>
      <c r="C1053" s="10" t="s">
        <v>2040</v>
      </c>
      <c r="D1053" s="10" t="s">
        <v>2041</v>
      </c>
      <c r="E1053" s="10" t="s">
        <v>52</v>
      </c>
      <c r="F1053" s="12">
        <f t="shared" si="935"/>
        <v>2</v>
      </c>
      <c r="G1053" s="10">
        <v>1</v>
      </c>
      <c r="H1053" s="10">
        <f t="shared" si="983"/>
        <v>1</v>
      </c>
      <c r="I1053" s="10">
        <v>20</v>
      </c>
      <c r="J1053" s="8" t="s">
        <v>2034</v>
      </c>
      <c r="K1053" s="8" t="s">
        <v>34</v>
      </c>
      <c r="L1053" s="10">
        <v>0</v>
      </c>
      <c r="M1053" s="8" t="s">
        <v>35</v>
      </c>
      <c r="N1053" s="10" t="s">
        <v>2041</v>
      </c>
      <c r="O1053" s="28"/>
      <c r="P1053" s="28"/>
      <c r="Q1053" s="28" t="s">
        <v>2036</v>
      </c>
      <c r="R1053" s="30">
        <v>16.25</v>
      </c>
      <c r="S1053" s="30">
        <v>10</v>
      </c>
      <c r="T1053" s="30"/>
      <c r="U1053" s="30">
        <v>0.06</v>
      </c>
      <c r="V1053" s="8">
        <f t="shared" si="937"/>
        <v>412.75</v>
      </c>
      <c r="W1053" s="8">
        <f t="shared" si="938"/>
        <v>254</v>
      </c>
      <c r="X1053" s="8">
        <f t="shared" si="939"/>
        <v>0</v>
      </c>
      <c r="Y1053" s="33">
        <f t="shared" si="940"/>
        <v>1.5239999999999998</v>
      </c>
      <c r="Z1053" s="28" t="s">
        <v>2037</v>
      </c>
      <c r="AA1053" s="28" t="s">
        <v>2038</v>
      </c>
      <c r="AB1053" s="61" t="s">
        <v>2036</v>
      </c>
      <c r="AC1053" s="31" t="s">
        <v>2039</v>
      </c>
      <c r="AD1053" s="50">
        <f t="shared" si="941"/>
        <v>1</v>
      </c>
      <c r="AE1053" s="31"/>
      <c r="AF1053" s="51">
        <v>14</v>
      </c>
      <c r="AG1053" s="51">
        <f t="shared" si="968"/>
        <v>8.4</v>
      </c>
      <c r="AH1053" s="51">
        <f t="shared" si="934"/>
        <v>42</v>
      </c>
      <c r="AI1053" s="52" t="s">
        <v>2497</v>
      </c>
      <c r="AJ1053" s="52" t="s">
        <v>2498</v>
      </c>
      <c r="AK1053" s="53">
        <f t="shared" si="969"/>
        <v>0.209677</v>
      </c>
      <c r="AL1053" s="54">
        <f t="shared" si="970"/>
        <v>0.11904761904761904</v>
      </c>
      <c r="AM1053" s="54">
        <f t="shared" si="971"/>
        <v>2.3809523809523808E-2</v>
      </c>
      <c r="AN1053" s="55">
        <f t="shared" si="972"/>
        <v>2.4961547619047619E-2</v>
      </c>
      <c r="AO1053" s="55">
        <f t="shared" si="973"/>
        <v>4.9923095238095239E-3</v>
      </c>
      <c r="AP1053" s="53">
        <v>7.1</v>
      </c>
      <c r="AQ1053" s="53">
        <f t="shared" si="942"/>
        <v>4.26</v>
      </c>
      <c r="AR1053" s="53">
        <f t="shared" si="943"/>
        <v>21.299999999999997</v>
      </c>
      <c r="AS1053" s="56">
        <f t="shared" si="944"/>
        <v>4.6948356807511742E-2</v>
      </c>
      <c r="AT1053" s="56">
        <f t="shared" si="974"/>
        <v>0.23474178403755869</v>
      </c>
      <c r="AU1053" s="56">
        <f t="shared" si="945"/>
        <v>0.176056338028169</v>
      </c>
      <c r="AV1053" s="56">
        <f t="shared" si="975"/>
        <v>5.8685446009389672E-2</v>
      </c>
      <c r="AW1053" s="57"/>
      <c r="AX1053" s="57"/>
      <c r="AY1053" s="57"/>
      <c r="AZ1053" s="58">
        <f t="shared" si="976"/>
        <v>0.209677</v>
      </c>
      <c r="BA1053" s="59">
        <f t="shared" si="977"/>
        <v>0</v>
      </c>
      <c r="BB1053" s="59">
        <f t="shared" si="978"/>
        <v>0</v>
      </c>
      <c r="BC1053" s="59">
        <f t="shared" si="979"/>
        <v>0</v>
      </c>
      <c r="BD1053" s="60">
        <f t="shared" si="980"/>
        <v>3.5714285714285712E-2</v>
      </c>
      <c r="BE1053" s="59">
        <f t="shared" si="981"/>
        <v>3.5714285714285712E-2</v>
      </c>
      <c r="BQ1053" s="61">
        <v>3000</v>
      </c>
      <c r="BR1053" s="61">
        <v>1200</v>
      </c>
      <c r="BS1053" s="28">
        <f t="shared" si="946"/>
        <v>2980</v>
      </c>
      <c r="BT1053" s="28">
        <f t="shared" si="947"/>
        <v>1180</v>
      </c>
      <c r="BU1053" s="28" t="s">
        <v>2541</v>
      </c>
      <c r="BV1053" s="28">
        <f t="shared" si="948"/>
        <v>417.75</v>
      </c>
      <c r="BW1053" s="28">
        <f t="shared" si="949"/>
        <v>259</v>
      </c>
      <c r="BX1053" s="13">
        <f t="shared" si="950"/>
        <v>7.1334530221424295</v>
      </c>
      <c r="BY1053" s="13">
        <f t="shared" si="951"/>
        <v>7</v>
      </c>
      <c r="BZ1053" s="13">
        <f t="shared" si="952"/>
        <v>4.5559845559845558</v>
      </c>
      <c r="CA1053" s="13">
        <f t="shared" si="953"/>
        <v>4</v>
      </c>
      <c r="CB1053" s="13">
        <f t="shared" si="954"/>
        <v>28</v>
      </c>
      <c r="CC1053" s="62">
        <f t="shared" si="955"/>
        <v>3.5714285714285712E-2</v>
      </c>
      <c r="CD1053" s="13">
        <f t="shared" si="956"/>
        <v>11.505791505791505</v>
      </c>
      <c r="CE1053" s="13">
        <f t="shared" si="957"/>
        <v>11</v>
      </c>
      <c r="CF1053" s="13">
        <f t="shared" si="958"/>
        <v>2.8246558946738478</v>
      </c>
      <c r="CG1053" s="13">
        <f t="shared" si="959"/>
        <v>2</v>
      </c>
      <c r="CH1053" s="28">
        <f t="shared" si="960"/>
        <v>22</v>
      </c>
      <c r="CI1053" s="62">
        <f t="shared" si="961"/>
        <v>4.5454545454545456E-2</v>
      </c>
      <c r="CJ1053" s="59">
        <f t="shared" si="962"/>
        <v>3.5714285714285712E-2</v>
      </c>
      <c r="CL1053" s="63">
        <v>6000</v>
      </c>
      <c r="CM1053" s="63">
        <f t="shared" si="963"/>
        <v>412.75</v>
      </c>
      <c r="CN1053" s="63">
        <f t="shared" si="964"/>
        <v>417.75</v>
      </c>
      <c r="CO1053" s="63">
        <f t="shared" si="965"/>
        <v>14.362657091561939</v>
      </c>
      <c r="CP1053" s="13">
        <f t="shared" si="966"/>
        <v>14</v>
      </c>
      <c r="CQ1053" s="70">
        <f t="shared" si="967"/>
        <v>7.1428571428571425E-2</v>
      </c>
      <c r="CR1053" s="69">
        <f t="shared" si="931"/>
        <v>7.1428571428571425E-2</v>
      </c>
    </row>
    <row r="1054" spans="1:96" hidden="1" x14ac:dyDescent="0.25">
      <c r="A1054" s="10">
        <v>3</v>
      </c>
      <c r="B1054" s="8" t="s">
        <v>2123</v>
      </c>
      <c r="C1054" s="10" t="s">
        <v>336</v>
      </c>
      <c r="D1054" s="10" t="s">
        <v>341</v>
      </c>
      <c r="E1054" s="10" t="s">
        <v>52</v>
      </c>
      <c r="F1054" s="12">
        <f t="shared" si="935"/>
        <v>15</v>
      </c>
      <c r="G1054" s="10" t="s">
        <v>337</v>
      </c>
      <c r="H1054" s="10" t="str">
        <f>G1054</f>
        <v>A/R</v>
      </c>
      <c r="I1054" s="10">
        <v>21</v>
      </c>
      <c r="J1054" s="8" t="s">
        <v>338</v>
      </c>
      <c r="K1054" s="8" t="s">
        <v>34</v>
      </c>
      <c r="L1054" s="10" t="s">
        <v>339</v>
      </c>
      <c r="M1054" s="8" t="s">
        <v>340</v>
      </c>
      <c r="N1054" s="10" t="s">
        <v>341</v>
      </c>
      <c r="O1054" s="28" t="s">
        <v>2541</v>
      </c>
      <c r="P1054" s="28" t="s">
        <v>2541</v>
      </c>
      <c r="Q1054" s="28" t="s">
        <v>341</v>
      </c>
      <c r="R1054" s="30"/>
      <c r="S1054" s="30"/>
      <c r="T1054" s="30"/>
      <c r="U1054" s="30"/>
      <c r="V1054" s="8">
        <f t="shared" si="937"/>
        <v>0</v>
      </c>
      <c r="W1054" s="8">
        <f t="shared" si="938"/>
        <v>0</v>
      </c>
      <c r="X1054" s="8">
        <f t="shared" si="939"/>
        <v>0</v>
      </c>
      <c r="Y1054" s="33">
        <f t="shared" si="940"/>
        <v>0</v>
      </c>
      <c r="Z1054" s="28"/>
      <c r="AA1054" s="28"/>
      <c r="AB1054" s="28" t="s">
        <v>341</v>
      </c>
      <c r="AC1054" s="31" t="s">
        <v>342</v>
      </c>
      <c r="AD1054" s="50">
        <v>0</v>
      </c>
      <c r="AE1054" s="50" t="s">
        <v>337</v>
      </c>
      <c r="AF1054" s="51">
        <v>14</v>
      </c>
      <c r="AG1054" s="51">
        <f t="shared" si="968"/>
        <v>8.4</v>
      </c>
      <c r="AH1054" s="51">
        <f t="shared" si="934"/>
        <v>42</v>
      </c>
      <c r="AI1054" s="52" t="s">
        <v>2497</v>
      </c>
      <c r="AJ1054" s="52" t="s">
        <v>2498</v>
      </c>
      <c r="AK1054" s="53">
        <f t="shared" si="969"/>
        <v>0</v>
      </c>
      <c r="AL1054" s="54">
        <f t="shared" si="970"/>
        <v>0.11904761904761904</v>
      </c>
      <c r="AM1054" s="54">
        <f t="shared" si="971"/>
        <v>2.3809523809523808E-2</v>
      </c>
      <c r="AN1054" s="55">
        <f t="shared" si="972"/>
        <v>0</v>
      </c>
      <c r="AO1054" s="55">
        <f t="shared" si="973"/>
        <v>0</v>
      </c>
      <c r="AP1054" s="53">
        <v>7.1</v>
      </c>
      <c r="AQ1054" s="53">
        <f t="shared" si="942"/>
        <v>4.26</v>
      </c>
      <c r="AR1054" s="53">
        <f t="shared" si="943"/>
        <v>21.299999999999997</v>
      </c>
      <c r="AS1054" s="56">
        <f t="shared" si="944"/>
        <v>4.6948356807511742E-2</v>
      </c>
      <c r="AT1054" s="56">
        <f t="shared" si="974"/>
        <v>0.23474178403755869</v>
      </c>
      <c r="AU1054" s="56">
        <f t="shared" si="945"/>
        <v>0.176056338028169</v>
      </c>
      <c r="AV1054" s="56">
        <f t="shared" si="975"/>
        <v>5.8685446009389672E-2</v>
      </c>
      <c r="AW1054" s="57"/>
      <c r="AX1054" s="57"/>
      <c r="AY1054" s="57"/>
      <c r="AZ1054" s="58">
        <f t="shared" si="976"/>
        <v>0</v>
      </c>
      <c r="BA1054" s="59">
        <f t="shared" si="977"/>
        <v>0</v>
      </c>
      <c r="BB1054" s="59">
        <f t="shared" si="978"/>
        <v>0</v>
      </c>
      <c r="BC1054" s="59">
        <f t="shared" si="979"/>
        <v>0</v>
      </c>
      <c r="BD1054" s="60">
        <f t="shared" si="980"/>
        <v>7.1095438516664771E-6</v>
      </c>
      <c r="BE1054" s="59">
        <f t="shared" si="981"/>
        <v>0</v>
      </c>
      <c r="BQ1054" s="61">
        <v>3000</v>
      </c>
      <c r="BR1054" s="61">
        <v>1200</v>
      </c>
      <c r="BS1054" s="28">
        <f t="shared" si="946"/>
        <v>2980</v>
      </c>
      <c r="BT1054" s="28">
        <f t="shared" si="947"/>
        <v>1180</v>
      </c>
      <c r="BU1054" s="28" t="s">
        <v>2541</v>
      </c>
      <c r="BV1054" s="28">
        <f t="shared" si="948"/>
        <v>5</v>
      </c>
      <c r="BW1054" s="28">
        <f t="shared" si="949"/>
        <v>5</v>
      </c>
      <c r="BX1054" s="13">
        <f t="shared" si="950"/>
        <v>596</v>
      </c>
      <c r="BY1054" s="13">
        <f t="shared" si="951"/>
        <v>596</v>
      </c>
      <c r="BZ1054" s="13">
        <f t="shared" si="952"/>
        <v>236</v>
      </c>
      <c r="CA1054" s="13">
        <f t="shared" si="953"/>
        <v>236</v>
      </c>
      <c r="CB1054" s="13">
        <f t="shared" si="954"/>
        <v>140656</v>
      </c>
      <c r="CC1054" s="62">
        <f t="shared" si="955"/>
        <v>7.1095438516664771E-6</v>
      </c>
      <c r="CD1054" s="13">
        <f t="shared" si="956"/>
        <v>596</v>
      </c>
      <c r="CE1054" s="13">
        <f t="shared" si="957"/>
        <v>596</v>
      </c>
      <c r="CF1054" s="13">
        <f t="shared" si="958"/>
        <v>236</v>
      </c>
      <c r="CG1054" s="13">
        <f t="shared" si="959"/>
        <v>236</v>
      </c>
      <c r="CH1054" s="28">
        <f t="shared" si="960"/>
        <v>140656</v>
      </c>
      <c r="CI1054" s="62">
        <f t="shared" si="961"/>
        <v>7.1095438516664771E-6</v>
      </c>
      <c r="CJ1054" s="59">
        <f t="shared" si="962"/>
        <v>7.1095438516664771E-6</v>
      </c>
      <c r="CL1054" s="63">
        <v>6000</v>
      </c>
      <c r="CM1054" s="63">
        <f t="shared" si="963"/>
        <v>0</v>
      </c>
      <c r="CN1054" s="63">
        <f t="shared" si="964"/>
        <v>5</v>
      </c>
      <c r="CO1054" s="63">
        <f t="shared" si="965"/>
        <v>1200</v>
      </c>
      <c r="CP1054" s="13">
        <f t="shared" si="966"/>
        <v>1200</v>
      </c>
      <c r="CQ1054" s="70">
        <f t="shared" si="967"/>
        <v>8.3333333333333339E-4</v>
      </c>
      <c r="CR1054" s="69">
        <f t="shared" si="931"/>
        <v>0</v>
      </c>
    </row>
    <row r="1055" spans="1:96" hidden="1" x14ac:dyDescent="0.25">
      <c r="A1055" s="10">
        <v>3</v>
      </c>
      <c r="B1055" s="8" t="s">
        <v>2123</v>
      </c>
      <c r="C1055" s="10" t="s">
        <v>2042</v>
      </c>
      <c r="D1055" s="10" t="s">
        <v>2044</v>
      </c>
      <c r="E1055" s="10" t="s">
        <v>32</v>
      </c>
      <c r="F1055" s="12">
        <f t="shared" si="935"/>
        <v>2</v>
      </c>
      <c r="G1055" s="10">
        <v>2</v>
      </c>
      <c r="H1055" s="10">
        <f t="shared" si="983"/>
        <v>2</v>
      </c>
      <c r="I1055" s="10">
        <v>22</v>
      </c>
      <c r="J1055" s="8" t="s">
        <v>2043</v>
      </c>
      <c r="K1055" s="8" t="s">
        <v>34</v>
      </c>
      <c r="L1055" s="10">
        <v>0</v>
      </c>
      <c r="M1055" s="8" t="s">
        <v>35</v>
      </c>
      <c r="N1055" s="10" t="s">
        <v>2044</v>
      </c>
      <c r="O1055" s="28"/>
      <c r="P1055" s="28"/>
      <c r="Q1055" s="28"/>
      <c r="R1055" s="30"/>
      <c r="S1055" s="30"/>
      <c r="T1055" s="30"/>
      <c r="U1055" s="30"/>
      <c r="V1055" s="8">
        <f t="shared" si="937"/>
        <v>0</v>
      </c>
      <c r="W1055" s="8">
        <f t="shared" si="938"/>
        <v>0</v>
      </c>
      <c r="X1055" s="8">
        <f t="shared" si="939"/>
        <v>0</v>
      </c>
      <c r="Y1055" s="33">
        <f t="shared" si="940"/>
        <v>0</v>
      </c>
      <c r="Z1055" s="28"/>
      <c r="AA1055" s="28"/>
      <c r="AB1055" s="28">
        <v>0</v>
      </c>
      <c r="AC1055" s="31"/>
      <c r="AD1055" s="50">
        <f t="shared" si="941"/>
        <v>2</v>
      </c>
      <c r="AE1055" s="31"/>
      <c r="AF1055" s="51">
        <v>14</v>
      </c>
      <c r="AG1055" s="51">
        <f t="shared" si="968"/>
        <v>8.4</v>
      </c>
      <c r="AH1055" s="51">
        <f t="shared" si="934"/>
        <v>42</v>
      </c>
      <c r="AI1055" s="52" t="s">
        <v>2497</v>
      </c>
      <c r="AJ1055" s="52" t="s">
        <v>2498</v>
      </c>
      <c r="AK1055" s="53">
        <f t="shared" si="969"/>
        <v>0</v>
      </c>
      <c r="AL1055" s="54">
        <f t="shared" si="970"/>
        <v>0.11904761904761904</v>
      </c>
      <c r="AM1055" s="54">
        <f t="shared" si="971"/>
        <v>2.3809523809523808E-2</v>
      </c>
      <c r="AN1055" s="55">
        <f t="shared" si="972"/>
        <v>0</v>
      </c>
      <c r="AO1055" s="55">
        <f t="shared" si="973"/>
        <v>0</v>
      </c>
      <c r="AP1055" s="53">
        <v>7.1</v>
      </c>
      <c r="AQ1055" s="53">
        <f t="shared" si="942"/>
        <v>4.26</v>
      </c>
      <c r="AR1055" s="53">
        <f t="shared" si="943"/>
        <v>21.299999999999997</v>
      </c>
      <c r="AS1055" s="56">
        <f t="shared" si="944"/>
        <v>4.6948356807511742E-2</v>
      </c>
      <c r="AT1055" s="56">
        <f t="shared" si="974"/>
        <v>0.23474178403755869</v>
      </c>
      <c r="AU1055" s="56">
        <f t="shared" si="945"/>
        <v>0.176056338028169</v>
      </c>
      <c r="AV1055" s="56">
        <f t="shared" si="975"/>
        <v>5.8685446009389672E-2</v>
      </c>
      <c r="AW1055" s="57"/>
      <c r="AX1055" s="57"/>
      <c r="AY1055" s="57"/>
      <c r="AZ1055" s="58">
        <f t="shared" si="976"/>
        <v>0</v>
      </c>
      <c r="BA1055" s="59">
        <f t="shared" si="977"/>
        <v>0</v>
      </c>
      <c r="BB1055" s="59">
        <f t="shared" si="978"/>
        <v>0</v>
      </c>
      <c r="BC1055" s="59">
        <f t="shared" si="979"/>
        <v>0</v>
      </c>
      <c r="BD1055" s="60">
        <f t="shared" si="980"/>
        <v>0</v>
      </c>
      <c r="BE1055" s="59">
        <f t="shared" si="981"/>
        <v>0</v>
      </c>
      <c r="BQ1055" s="61">
        <v>3000</v>
      </c>
      <c r="BR1055" s="61">
        <v>1200</v>
      </c>
      <c r="BS1055" s="28">
        <f t="shared" si="946"/>
        <v>2980</v>
      </c>
      <c r="BT1055" s="28">
        <f t="shared" si="947"/>
        <v>1180</v>
      </c>
      <c r="BU1055" s="28" t="s">
        <v>2541</v>
      </c>
      <c r="BV1055" s="28">
        <f t="shared" si="948"/>
        <v>5</v>
      </c>
      <c r="BW1055" s="28">
        <f t="shared" si="949"/>
        <v>5</v>
      </c>
      <c r="BX1055" s="13">
        <f t="shared" si="950"/>
        <v>596</v>
      </c>
      <c r="BY1055" s="13">
        <f t="shared" si="951"/>
        <v>596</v>
      </c>
      <c r="BZ1055" s="13">
        <f t="shared" si="952"/>
        <v>236</v>
      </c>
      <c r="CA1055" s="13">
        <f t="shared" si="953"/>
        <v>236</v>
      </c>
      <c r="CB1055" s="13">
        <f t="shared" si="954"/>
        <v>140656</v>
      </c>
      <c r="CC1055" s="62" t="str">
        <f t="shared" si="955"/>
        <v/>
      </c>
      <c r="CD1055" s="13">
        <f t="shared" si="956"/>
        <v>596</v>
      </c>
      <c r="CE1055" s="13">
        <f t="shared" si="957"/>
        <v>596</v>
      </c>
      <c r="CF1055" s="13">
        <f t="shared" si="958"/>
        <v>236</v>
      </c>
      <c r="CG1055" s="13">
        <f t="shared" si="959"/>
        <v>236</v>
      </c>
      <c r="CH1055" s="28">
        <f t="shared" si="960"/>
        <v>140656</v>
      </c>
      <c r="CI1055" s="62" t="str">
        <f t="shared" si="961"/>
        <v/>
      </c>
      <c r="CJ1055" s="59">
        <f t="shared" si="962"/>
        <v>0</v>
      </c>
      <c r="CL1055" s="63">
        <v>6000</v>
      </c>
      <c r="CM1055" s="63">
        <f t="shared" si="963"/>
        <v>0</v>
      </c>
      <c r="CN1055" s="63">
        <f t="shared" si="964"/>
        <v>5</v>
      </c>
      <c r="CO1055" s="63">
        <f t="shared" si="965"/>
        <v>1200</v>
      </c>
      <c r="CP1055" s="13">
        <f t="shared" si="966"/>
        <v>1200</v>
      </c>
      <c r="CQ1055" s="70">
        <f t="shared" si="967"/>
        <v>8.3333333333333339E-4</v>
      </c>
      <c r="CR1055" s="69">
        <f t="shared" si="931"/>
        <v>1.6666666666666668E-3</v>
      </c>
    </row>
    <row r="1056" spans="1:96" hidden="1" x14ac:dyDescent="0.25">
      <c r="A1056" s="13">
        <v>4</v>
      </c>
      <c r="B1056" s="14" t="s">
        <v>2045</v>
      </c>
      <c r="C1056" s="13" t="s">
        <v>2046</v>
      </c>
      <c r="D1056" s="13" t="s">
        <v>2048</v>
      </c>
      <c r="E1056" s="13" t="s">
        <v>52</v>
      </c>
      <c r="F1056" s="15">
        <f t="shared" si="935"/>
        <v>2</v>
      </c>
      <c r="G1056" s="13">
        <v>1</v>
      </c>
      <c r="H1056" s="13">
        <f>G1056*$H$1055</f>
        <v>2</v>
      </c>
      <c r="I1056" s="13">
        <v>1</v>
      </c>
      <c r="J1056" s="14" t="s">
        <v>2047</v>
      </c>
      <c r="K1056" s="14" t="s">
        <v>34</v>
      </c>
      <c r="L1056" s="13">
        <v>0</v>
      </c>
      <c r="M1056" s="14" t="s">
        <v>35</v>
      </c>
      <c r="N1056" s="13" t="s">
        <v>2048</v>
      </c>
      <c r="O1056" s="28" t="s">
        <v>41</v>
      </c>
      <c r="P1056" s="28" t="s">
        <v>41</v>
      </c>
      <c r="Q1056" s="28" t="s">
        <v>2049</v>
      </c>
      <c r="R1056" s="30">
        <v>6.73</v>
      </c>
      <c r="S1056" s="30">
        <v>5.26</v>
      </c>
      <c r="T1056" s="30"/>
      <c r="U1056" s="30">
        <v>4.4999999999999998E-2</v>
      </c>
      <c r="V1056" s="8">
        <f t="shared" si="937"/>
        <v>170.94200000000001</v>
      </c>
      <c r="W1056" s="8">
        <f t="shared" si="938"/>
        <v>133.60399999999998</v>
      </c>
      <c r="X1056" s="8">
        <f t="shared" si="939"/>
        <v>0</v>
      </c>
      <c r="Y1056" s="33">
        <f t="shared" si="940"/>
        <v>1.1429999999999998</v>
      </c>
      <c r="Z1056" s="28" t="s">
        <v>2037</v>
      </c>
      <c r="AA1056" s="28" t="s">
        <v>2038</v>
      </c>
      <c r="AB1056" s="61" t="s">
        <v>2049</v>
      </c>
      <c r="AC1056" s="31" t="s">
        <v>2050</v>
      </c>
      <c r="AD1056" s="50">
        <f t="shared" si="941"/>
        <v>2</v>
      </c>
      <c r="AE1056" s="5" t="s">
        <v>2051</v>
      </c>
      <c r="AF1056" s="51">
        <v>14</v>
      </c>
      <c r="AG1056" s="51">
        <f t="shared" si="968"/>
        <v>8.4</v>
      </c>
      <c r="AH1056" s="51">
        <f t="shared" si="934"/>
        <v>42</v>
      </c>
      <c r="AI1056" s="52" t="s">
        <v>2497</v>
      </c>
      <c r="AJ1056" s="52" t="s">
        <v>2498</v>
      </c>
      <c r="AK1056" s="53">
        <f t="shared" si="969"/>
        <v>4.5677069936E-2</v>
      </c>
      <c r="AL1056" s="54">
        <f t="shared" si="970"/>
        <v>0.11904761904761904</v>
      </c>
      <c r="AM1056" s="54">
        <f t="shared" si="971"/>
        <v>2.3809523809523808E-2</v>
      </c>
      <c r="AN1056" s="55">
        <f t="shared" si="972"/>
        <v>1.0875492841904762E-2</v>
      </c>
      <c r="AO1056" s="55">
        <f t="shared" si="973"/>
        <v>2.1750985683809524E-3</v>
      </c>
      <c r="AP1056" s="53">
        <v>7.1</v>
      </c>
      <c r="AQ1056" s="53">
        <f t="shared" si="942"/>
        <v>4.26</v>
      </c>
      <c r="AR1056" s="53">
        <f t="shared" si="943"/>
        <v>21.299999999999997</v>
      </c>
      <c r="AS1056" s="56">
        <f t="shared" si="944"/>
        <v>4.6948356807511742E-2</v>
      </c>
      <c r="AT1056" s="56">
        <f t="shared" si="974"/>
        <v>0.23474178403755869</v>
      </c>
      <c r="AU1056" s="56">
        <f t="shared" si="945"/>
        <v>0.176056338028169</v>
      </c>
      <c r="AV1056" s="56">
        <f t="shared" si="975"/>
        <v>5.8685446009389672E-2</v>
      </c>
      <c r="AW1056" s="57"/>
      <c r="AX1056" s="57"/>
      <c r="AY1056" s="57"/>
      <c r="AZ1056" s="58">
        <f t="shared" si="976"/>
        <v>4.5677069936E-2</v>
      </c>
      <c r="BA1056" s="59">
        <f t="shared" si="977"/>
        <v>0</v>
      </c>
      <c r="BB1056" s="59">
        <f t="shared" si="978"/>
        <v>0</v>
      </c>
      <c r="BC1056" s="59">
        <f t="shared" si="979"/>
        <v>0</v>
      </c>
      <c r="BD1056" s="60">
        <f t="shared" si="980"/>
        <v>7.8125E-3</v>
      </c>
      <c r="BE1056" s="59">
        <f t="shared" si="981"/>
        <v>1.5625E-2</v>
      </c>
      <c r="BQ1056" s="61">
        <v>3000</v>
      </c>
      <c r="BR1056" s="61">
        <v>1200</v>
      </c>
      <c r="BS1056" s="28">
        <f t="shared" si="946"/>
        <v>2980</v>
      </c>
      <c r="BT1056" s="28">
        <f t="shared" si="947"/>
        <v>1180</v>
      </c>
      <c r="BU1056" s="28" t="s">
        <v>2541</v>
      </c>
      <c r="BV1056" s="28">
        <f t="shared" si="948"/>
        <v>175.94200000000001</v>
      </c>
      <c r="BW1056" s="28">
        <f t="shared" si="949"/>
        <v>138.60399999999998</v>
      </c>
      <c r="BX1056" s="13">
        <f t="shared" si="950"/>
        <v>16.937399824942311</v>
      </c>
      <c r="BY1056" s="13">
        <f t="shared" si="951"/>
        <v>16</v>
      </c>
      <c r="BZ1056" s="13">
        <f t="shared" si="952"/>
        <v>8.5134628149259779</v>
      </c>
      <c r="CA1056" s="13">
        <f t="shared" si="953"/>
        <v>8</v>
      </c>
      <c r="CB1056" s="13">
        <f t="shared" si="954"/>
        <v>128</v>
      </c>
      <c r="CC1056" s="62">
        <f t="shared" si="955"/>
        <v>7.8125E-3</v>
      </c>
      <c r="CD1056" s="13">
        <f t="shared" si="956"/>
        <v>21.500101007185943</v>
      </c>
      <c r="CE1056" s="13">
        <f t="shared" si="957"/>
        <v>21</v>
      </c>
      <c r="CF1056" s="13">
        <f t="shared" si="958"/>
        <v>6.7067556353798405</v>
      </c>
      <c r="CG1056" s="13">
        <f t="shared" si="959"/>
        <v>6</v>
      </c>
      <c r="CH1056" s="28">
        <f t="shared" si="960"/>
        <v>126</v>
      </c>
      <c r="CI1056" s="62">
        <f t="shared" si="961"/>
        <v>7.9365079365079361E-3</v>
      </c>
      <c r="CJ1056" s="59">
        <f t="shared" si="962"/>
        <v>7.8125E-3</v>
      </c>
      <c r="CL1056" s="63">
        <v>6000</v>
      </c>
      <c r="CM1056" s="63">
        <f t="shared" si="963"/>
        <v>170.94200000000001</v>
      </c>
      <c r="CN1056" s="63">
        <f t="shared" si="964"/>
        <v>175.94200000000001</v>
      </c>
      <c r="CO1056" s="63">
        <f t="shared" si="965"/>
        <v>34.10214729854156</v>
      </c>
      <c r="CP1056" s="13">
        <f t="shared" si="966"/>
        <v>34</v>
      </c>
      <c r="CQ1056" s="70">
        <f t="shared" si="967"/>
        <v>2.9411764705882353E-2</v>
      </c>
      <c r="CR1056" s="69">
        <f t="shared" si="931"/>
        <v>5.8823529411764705E-2</v>
      </c>
    </row>
    <row r="1057" spans="1:96" hidden="1" x14ac:dyDescent="0.25">
      <c r="A1057" s="13">
        <v>4</v>
      </c>
      <c r="B1057" s="14" t="s">
        <v>2045</v>
      </c>
      <c r="C1057" s="13" t="s">
        <v>2052</v>
      </c>
      <c r="D1057" s="13" t="s">
        <v>2054</v>
      </c>
      <c r="E1057" s="13" t="s">
        <v>52</v>
      </c>
      <c r="F1057" s="15">
        <f t="shared" si="935"/>
        <v>2</v>
      </c>
      <c r="G1057" s="13">
        <v>1</v>
      </c>
      <c r="H1057" s="13">
        <f>G1057*$H$1055</f>
        <v>2</v>
      </c>
      <c r="I1057" s="13">
        <v>2</v>
      </c>
      <c r="J1057" s="14" t="s">
        <v>2053</v>
      </c>
      <c r="K1057" s="14" t="s">
        <v>34</v>
      </c>
      <c r="L1057" s="13" t="s">
        <v>110</v>
      </c>
      <c r="M1057" s="14" t="s">
        <v>340</v>
      </c>
      <c r="N1057" s="13" t="s">
        <v>2054</v>
      </c>
      <c r="O1057" s="28" t="s">
        <v>41</v>
      </c>
      <c r="P1057" s="28" t="s">
        <v>41</v>
      </c>
      <c r="Q1057" s="28" t="s">
        <v>2055</v>
      </c>
      <c r="R1057" s="30">
        <v>4.3499999999999996</v>
      </c>
      <c r="S1057" s="30">
        <v>3.6</v>
      </c>
      <c r="T1057" s="30"/>
      <c r="U1057" s="30">
        <v>1</v>
      </c>
      <c r="V1057" s="8">
        <f t="shared" si="937"/>
        <v>110.48999999999998</v>
      </c>
      <c r="W1057" s="8">
        <f t="shared" si="938"/>
        <v>91.44</v>
      </c>
      <c r="X1057" s="8">
        <f t="shared" si="939"/>
        <v>0</v>
      </c>
      <c r="Y1057" s="33">
        <f t="shared" si="940"/>
        <v>25.4</v>
      </c>
      <c r="Z1057" s="28" t="s">
        <v>2056</v>
      </c>
      <c r="AA1057" s="28" t="s">
        <v>2057</v>
      </c>
      <c r="AB1057" s="61" t="s">
        <v>2055</v>
      </c>
      <c r="AC1057" s="31" t="s">
        <v>2058</v>
      </c>
      <c r="AD1057" s="50">
        <f t="shared" si="941"/>
        <v>2</v>
      </c>
      <c r="AE1057" s="31"/>
      <c r="AF1057" s="51">
        <v>14</v>
      </c>
      <c r="AG1057" s="51">
        <f t="shared" si="968"/>
        <v>8.4</v>
      </c>
      <c r="AH1057" s="51">
        <f t="shared" si="934"/>
        <v>42</v>
      </c>
      <c r="AI1057" s="52" t="s">
        <v>2497</v>
      </c>
      <c r="AJ1057" s="52" t="s">
        <v>2498</v>
      </c>
      <c r="AK1057" s="53">
        <f t="shared" si="969"/>
        <v>2.0206411199999996E-2</v>
      </c>
      <c r="AL1057" s="54">
        <f t="shared" si="970"/>
        <v>0.11904761904761904</v>
      </c>
      <c r="AM1057" s="54">
        <f t="shared" si="971"/>
        <v>2.3809523809523808E-2</v>
      </c>
      <c r="AN1057" s="55">
        <f t="shared" si="972"/>
        <v>4.8110502857142846E-3</v>
      </c>
      <c r="AO1057" s="55">
        <f t="shared" si="973"/>
        <v>9.6221005714285687E-4</v>
      </c>
      <c r="AP1057" s="53">
        <v>7.1</v>
      </c>
      <c r="AQ1057" s="53">
        <f t="shared" si="942"/>
        <v>4.26</v>
      </c>
      <c r="AR1057" s="53">
        <f t="shared" si="943"/>
        <v>21.299999999999997</v>
      </c>
      <c r="AS1057" s="56">
        <f t="shared" si="944"/>
        <v>4.6948356807511742E-2</v>
      </c>
      <c r="AT1057" s="56">
        <f t="shared" si="974"/>
        <v>0.23474178403755869</v>
      </c>
      <c r="AU1057" s="56">
        <f t="shared" si="945"/>
        <v>0.176056338028169</v>
      </c>
      <c r="AV1057" s="56">
        <f t="shared" si="975"/>
        <v>5.8685446009389672E-2</v>
      </c>
      <c r="AW1057" s="57"/>
      <c r="AX1057" s="57"/>
      <c r="AY1057" s="57"/>
      <c r="AZ1057" s="58">
        <f t="shared" si="976"/>
        <v>2.0206411199999996E-2</v>
      </c>
      <c r="BA1057" s="59">
        <f t="shared" si="977"/>
        <v>0</v>
      </c>
      <c r="BB1057" s="59">
        <f t="shared" si="978"/>
        <v>0</v>
      </c>
      <c r="BC1057" s="59">
        <f t="shared" si="979"/>
        <v>0</v>
      </c>
      <c r="BD1057" s="60">
        <f t="shared" si="980"/>
        <v>3.3333333333333335E-3</v>
      </c>
      <c r="BE1057" s="59">
        <f t="shared" si="981"/>
        <v>6.6666666666666671E-3</v>
      </c>
      <c r="BQ1057" s="61">
        <v>3000</v>
      </c>
      <c r="BR1057" s="61">
        <v>1200</v>
      </c>
      <c r="BS1057" s="28">
        <f t="shared" si="946"/>
        <v>2980</v>
      </c>
      <c r="BT1057" s="28">
        <f t="shared" si="947"/>
        <v>1180</v>
      </c>
      <c r="BU1057" s="28" t="s">
        <v>2541</v>
      </c>
      <c r="BV1057" s="28">
        <f t="shared" si="948"/>
        <v>115.48999999999998</v>
      </c>
      <c r="BW1057" s="28">
        <f t="shared" si="949"/>
        <v>96.44</v>
      </c>
      <c r="BX1057" s="13">
        <f t="shared" si="950"/>
        <v>25.803099835483597</v>
      </c>
      <c r="BY1057" s="13">
        <f t="shared" si="951"/>
        <v>25</v>
      </c>
      <c r="BZ1057" s="13">
        <f t="shared" si="952"/>
        <v>12.235586893405227</v>
      </c>
      <c r="CA1057" s="13">
        <f t="shared" si="953"/>
        <v>12</v>
      </c>
      <c r="CB1057" s="13">
        <f t="shared" si="954"/>
        <v>300</v>
      </c>
      <c r="CC1057" s="62">
        <f t="shared" si="955"/>
        <v>3.3333333333333335E-3</v>
      </c>
      <c r="CD1057" s="13">
        <f t="shared" si="956"/>
        <v>30.90004147656574</v>
      </c>
      <c r="CE1057" s="13">
        <f t="shared" si="957"/>
        <v>30</v>
      </c>
      <c r="CF1057" s="13">
        <f t="shared" si="958"/>
        <v>10.217334834184779</v>
      </c>
      <c r="CG1057" s="13">
        <f t="shared" si="959"/>
        <v>10</v>
      </c>
      <c r="CH1057" s="28">
        <f t="shared" si="960"/>
        <v>300</v>
      </c>
      <c r="CI1057" s="62">
        <f t="shared" si="961"/>
        <v>3.3333333333333335E-3</v>
      </c>
      <c r="CJ1057" s="59">
        <f t="shared" si="962"/>
        <v>3.3333333333333335E-3</v>
      </c>
      <c r="CL1057" s="63">
        <v>6000</v>
      </c>
      <c r="CM1057" s="63">
        <f t="shared" si="963"/>
        <v>110.48999999999998</v>
      </c>
      <c r="CN1057" s="63">
        <f t="shared" si="964"/>
        <v>115.48999999999998</v>
      </c>
      <c r="CO1057" s="63">
        <f t="shared" si="965"/>
        <v>51.952550004329389</v>
      </c>
      <c r="CP1057" s="13">
        <f t="shared" si="966"/>
        <v>51</v>
      </c>
      <c r="CQ1057" s="70">
        <f t="shared" si="967"/>
        <v>1.9607843137254902E-2</v>
      </c>
      <c r="CR1057" s="69">
        <f t="shared" si="931"/>
        <v>3.9215686274509803E-2</v>
      </c>
    </row>
    <row r="1058" spans="1:96" hidden="1" x14ac:dyDescent="0.25">
      <c r="A1058" s="17">
        <v>5</v>
      </c>
      <c r="B1058" s="6" t="s">
        <v>2059</v>
      </c>
      <c r="C1058" s="17" t="s">
        <v>2056</v>
      </c>
      <c r="D1058" s="17" t="s">
        <v>2055</v>
      </c>
      <c r="E1058" s="17" t="s">
        <v>52</v>
      </c>
      <c r="F1058" s="7">
        <f t="shared" si="935"/>
        <v>6</v>
      </c>
      <c r="G1058" s="17">
        <v>0.10875</v>
      </c>
      <c r="H1058" s="17">
        <f>G1058*$H$1057</f>
        <v>0.2175</v>
      </c>
      <c r="I1058" s="17" t="s">
        <v>485</v>
      </c>
      <c r="J1058" s="6" t="s">
        <v>2060</v>
      </c>
      <c r="K1058" s="6" t="s">
        <v>2061</v>
      </c>
      <c r="L1058" s="17" t="s">
        <v>89</v>
      </c>
      <c r="M1058" s="6" t="s">
        <v>35</v>
      </c>
      <c r="N1058" s="17" t="s">
        <v>2139</v>
      </c>
      <c r="O1058" s="28"/>
      <c r="P1058" s="28"/>
      <c r="Q1058" s="28" t="s">
        <v>2139</v>
      </c>
      <c r="R1058" s="30"/>
      <c r="S1058" s="30"/>
      <c r="T1058" s="30"/>
      <c r="U1058" s="30"/>
      <c r="V1058" s="8">
        <f t="shared" si="937"/>
        <v>0</v>
      </c>
      <c r="W1058" s="8">
        <f t="shared" si="938"/>
        <v>0</v>
      </c>
      <c r="X1058" s="8">
        <f t="shared" si="939"/>
        <v>0</v>
      </c>
      <c r="Y1058" s="33">
        <f t="shared" si="940"/>
        <v>0</v>
      </c>
      <c r="Z1058" s="28"/>
      <c r="AA1058" s="28"/>
      <c r="AB1058" s="28" t="s">
        <v>2139</v>
      </c>
      <c r="AC1058" s="31"/>
      <c r="AD1058" s="50">
        <f t="shared" si="941"/>
        <v>0.2175</v>
      </c>
      <c r="AE1058" s="31"/>
      <c r="AF1058" s="51">
        <v>14</v>
      </c>
      <c r="AG1058" s="51">
        <f t="shared" si="968"/>
        <v>8.4</v>
      </c>
      <c r="AH1058" s="51">
        <f t="shared" si="934"/>
        <v>42</v>
      </c>
      <c r="AI1058" s="52" t="s">
        <v>2497</v>
      </c>
      <c r="AJ1058" s="52" t="s">
        <v>2498</v>
      </c>
      <c r="AK1058" s="53">
        <f t="shared" si="969"/>
        <v>0</v>
      </c>
      <c r="AL1058" s="54">
        <f t="shared" si="970"/>
        <v>0.11904761904761904</v>
      </c>
      <c r="AM1058" s="54">
        <f t="shared" si="971"/>
        <v>2.3809523809523808E-2</v>
      </c>
      <c r="AN1058" s="55">
        <f t="shared" si="972"/>
        <v>0</v>
      </c>
      <c r="AO1058" s="55">
        <f t="shared" si="973"/>
        <v>0</v>
      </c>
      <c r="AP1058" s="53">
        <v>7.1</v>
      </c>
      <c r="AQ1058" s="53">
        <f t="shared" si="942"/>
        <v>4.26</v>
      </c>
      <c r="AR1058" s="53">
        <f t="shared" si="943"/>
        <v>21.299999999999997</v>
      </c>
      <c r="AS1058" s="56">
        <f t="shared" si="944"/>
        <v>4.6948356807511742E-2</v>
      </c>
      <c r="AT1058" s="56">
        <f t="shared" si="974"/>
        <v>0.23474178403755869</v>
      </c>
      <c r="AU1058" s="56">
        <f t="shared" si="945"/>
        <v>0.176056338028169</v>
      </c>
      <c r="AV1058" s="56">
        <f t="shared" si="975"/>
        <v>5.8685446009389672E-2</v>
      </c>
      <c r="AW1058" s="57"/>
      <c r="AX1058" s="57"/>
      <c r="AY1058" s="57"/>
      <c r="AZ1058" s="58">
        <f t="shared" si="976"/>
        <v>0</v>
      </c>
      <c r="BA1058" s="59">
        <f t="shared" si="977"/>
        <v>0</v>
      </c>
      <c r="BB1058" s="59">
        <f t="shared" si="978"/>
        <v>0</v>
      </c>
      <c r="BC1058" s="59">
        <f t="shared" si="979"/>
        <v>0</v>
      </c>
      <c r="BD1058" s="60">
        <f t="shared" si="980"/>
        <v>7.1095438516664771E-6</v>
      </c>
      <c r="BE1058" s="59">
        <f t="shared" si="981"/>
        <v>1.5463257877374588E-6</v>
      </c>
      <c r="BQ1058" s="61">
        <v>3000</v>
      </c>
      <c r="BR1058" s="61">
        <v>1200</v>
      </c>
      <c r="BS1058" s="28">
        <f t="shared" si="946"/>
        <v>2980</v>
      </c>
      <c r="BT1058" s="28">
        <f t="shared" si="947"/>
        <v>1180</v>
      </c>
      <c r="BU1058" s="28" t="s">
        <v>2541</v>
      </c>
      <c r="BV1058" s="28">
        <f t="shared" si="948"/>
        <v>5</v>
      </c>
      <c r="BW1058" s="28">
        <f t="shared" si="949"/>
        <v>5</v>
      </c>
      <c r="BX1058" s="13">
        <f t="shared" si="950"/>
        <v>596</v>
      </c>
      <c r="BY1058" s="13">
        <f t="shared" si="951"/>
        <v>596</v>
      </c>
      <c r="BZ1058" s="13">
        <f t="shared" si="952"/>
        <v>236</v>
      </c>
      <c r="CA1058" s="13">
        <f t="shared" si="953"/>
        <v>236</v>
      </c>
      <c r="CB1058" s="13">
        <f t="shared" si="954"/>
        <v>140656</v>
      </c>
      <c r="CC1058" s="62">
        <f t="shared" si="955"/>
        <v>7.1095438516664771E-6</v>
      </c>
      <c r="CD1058" s="13">
        <f t="shared" si="956"/>
        <v>596</v>
      </c>
      <c r="CE1058" s="13">
        <f t="shared" si="957"/>
        <v>596</v>
      </c>
      <c r="CF1058" s="13">
        <f t="shared" si="958"/>
        <v>236</v>
      </c>
      <c r="CG1058" s="13">
        <f t="shared" si="959"/>
        <v>236</v>
      </c>
      <c r="CH1058" s="28">
        <f t="shared" si="960"/>
        <v>140656</v>
      </c>
      <c r="CI1058" s="62">
        <f t="shared" si="961"/>
        <v>7.1095438516664771E-6</v>
      </c>
      <c r="CJ1058" s="59">
        <f t="shared" si="962"/>
        <v>7.1095438516664771E-6</v>
      </c>
      <c r="CL1058" s="63">
        <v>6000</v>
      </c>
      <c r="CM1058" s="63">
        <f t="shared" si="963"/>
        <v>0</v>
      </c>
      <c r="CN1058" s="63">
        <f t="shared" si="964"/>
        <v>5</v>
      </c>
      <c r="CO1058" s="63">
        <f t="shared" si="965"/>
        <v>1200</v>
      </c>
      <c r="CP1058" s="13">
        <f t="shared" si="966"/>
        <v>1200</v>
      </c>
      <c r="CQ1058" s="70">
        <f t="shared" si="967"/>
        <v>8.3333333333333339E-4</v>
      </c>
      <c r="CR1058" s="69">
        <f t="shared" si="931"/>
        <v>1.8125000000000001E-4</v>
      </c>
    </row>
    <row r="1059" spans="1:96" hidden="1" x14ac:dyDescent="0.25">
      <c r="A1059" s="10">
        <v>3</v>
      </c>
      <c r="B1059" s="8" t="s">
        <v>2123</v>
      </c>
      <c r="C1059" s="10" t="s">
        <v>2063</v>
      </c>
      <c r="D1059" s="10" t="s">
        <v>2064</v>
      </c>
      <c r="E1059" s="10" t="s">
        <v>32</v>
      </c>
      <c r="F1059" s="12">
        <f t="shared" si="935"/>
        <v>2</v>
      </c>
      <c r="G1059" s="10">
        <v>1</v>
      </c>
      <c r="H1059" s="10">
        <f t="shared" ref="H1059" si="984">G1059*$H$1018</f>
        <v>1</v>
      </c>
      <c r="I1059" s="10">
        <v>23</v>
      </c>
      <c r="J1059" s="8" t="s">
        <v>2043</v>
      </c>
      <c r="K1059" s="8" t="s">
        <v>34</v>
      </c>
      <c r="L1059" s="10">
        <v>0</v>
      </c>
      <c r="M1059" s="8" t="s">
        <v>35</v>
      </c>
      <c r="N1059" s="10" t="s">
        <v>2064</v>
      </c>
      <c r="O1059" s="28"/>
      <c r="P1059" s="28"/>
      <c r="Q1059" s="28"/>
      <c r="R1059" s="30"/>
      <c r="S1059" s="30"/>
      <c r="T1059" s="30"/>
      <c r="U1059" s="30"/>
      <c r="V1059" s="8">
        <f t="shared" si="937"/>
        <v>0</v>
      </c>
      <c r="W1059" s="8">
        <f t="shared" si="938"/>
        <v>0</v>
      </c>
      <c r="X1059" s="8">
        <f t="shared" si="939"/>
        <v>0</v>
      </c>
      <c r="Y1059" s="33">
        <f t="shared" si="940"/>
        <v>0</v>
      </c>
      <c r="Z1059" s="28"/>
      <c r="AA1059" s="28"/>
      <c r="AB1059" s="28">
        <v>0</v>
      </c>
      <c r="AC1059" s="31"/>
      <c r="AD1059" s="50">
        <f t="shared" si="941"/>
        <v>1</v>
      </c>
      <c r="AE1059" s="46" t="s">
        <v>1140</v>
      </c>
      <c r="AF1059" s="51">
        <v>14</v>
      </c>
      <c r="AG1059" s="51">
        <f t="shared" si="968"/>
        <v>8.4</v>
      </c>
      <c r="AH1059" s="51">
        <f t="shared" si="934"/>
        <v>42</v>
      </c>
      <c r="AI1059" s="52" t="s">
        <v>2497</v>
      </c>
      <c r="AJ1059" s="52" t="s">
        <v>2498</v>
      </c>
      <c r="AK1059" s="53">
        <f t="shared" si="969"/>
        <v>0</v>
      </c>
      <c r="AL1059" s="54">
        <f t="shared" si="970"/>
        <v>0.11904761904761904</v>
      </c>
      <c r="AM1059" s="54">
        <f t="shared" si="971"/>
        <v>2.3809523809523808E-2</v>
      </c>
      <c r="AN1059" s="55">
        <f t="shared" si="972"/>
        <v>0</v>
      </c>
      <c r="AO1059" s="55">
        <f t="shared" si="973"/>
        <v>0</v>
      </c>
      <c r="AP1059" s="53">
        <v>7.1</v>
      </c>
      <c r="AQ1059" s="53">
        <f t="shared" si="942"/>
        <v>4.26</v>
      </c>
      <c r="AR1059" s="53">
        <f t="shared" si="943"/>
        <v>21.299999999999997</v>
      </c>
      <c r="AS1059" s="56">
        <f t="shared" si="944"/>
        <v>4.6948356807511742E-2</v>
      </c>
      <c r="AT1059" s="56">
        <f t="shared" si="974"/>
        <v>0.23474178403755869</v>
      </c>
      <c r="AU1059" s="56">
        <f t="shared" si="945"/>
        <v>0.176056338028169</v>
      </c>
      <c r="AV1059" s="56">
        <f t="shared" si="975"/>
        <v>5.8685446009389672E-2</v>
      </c>
      <c r="AW1059" s="57"/>
      <c r="AX1059" s="57"/>
      <c r="AY1059" s="57"/>
      <c r="AZ1059" s="58">
        <f t="shared" si="976"/>
        <v>0</v>
      </c>
      <c r="BA1059" s="59">
        <f t="shared" si="977"/>
        <v>0</v>
      </c>
      <c r="BB1059" s="59">
        <f t="shared" si="978"/>
        <v>0</v>
      </c>
      <c r="BC1059" s="59">
        <f t="shared" si="979"/>
        <v>0</v>
      </c>
      <c r="BD1059" s="60">
        <f t="shared" si="980"/>
        <v>0</v>
      </c>
      <c r="BE1059" s="59">
        <f t="shared" si="981"/>
        <v>0</v>
      </c>
      <c r="BQ1059" s="61">
        <v>3000</v>
      </c>
      <c r="BR1059" s="61">
        <v>1200</v>
      </c>
      <c r="BS1059" s="28">
        <f t="shared" si="946"/>
        <v>2980</v>
      </c>
      <c r="BT1059" s="28">
        <f t="shared" si="947"/>
        <v>1180</v>
      </c>
      <c r="BU1059" s="28" t="s">
        <v>2541</v>
      </c>
      <c r="BV1059" s="28">
        <f t="shared" si="948"/>
        <v>5</v>
      </c>
      <c r="BW1059" s="28">
        <f t="shared" si="949"/>
        <v>5</v>
      </c>
      <c r="BX1059" s="13">
        <f t="shared" si="950"/>
        <v>596</v>
      </c>
      <c r="BY1059" s="13">
        <f t="shared" si="951"/>
        <v>596</v>
      </c>
      <c r="BZ1059" s="13">
        <f t="shared" si="952"/>
        <v>236</v>
      </c>
      <c r="CA1059" s="13">
        <f t="shared" si="953"/>
        <v>236</v>
      </c>
      <c r="CB1059" s="13">
        <f t="shared" si="954"/>
        <v>140656</v>
      </c>
      <c r="CC1059" s="62" t="str">
        <f t="shared" si="955"/>
        <v/>
      </c>
      <c r="CD1059" s="13">
        <f t="shared" si="956"/>
        <v>596</v>
      </c>
      <c r="CE1059" s="13">
        <f t="shared" si="957"/>
        <v>596</v>
      </c>
      <c r="CF1059" s="13">
        <f t="shared" si="958"/>
        <v>236</v>
      </c>
      <c r="CG1059" s="13">
        <f t="shared" si="959"/>
        <v>236</v>
      </c>
      <c r="CH1059" s="28">
        <f t="shared" si="960"/>
        <v>140656</v>
      </c>
      <c r="CI1059" s="62" t="str">
        <f t="shared" si="961"/>
        <v/>
      </c>
      <c r="CJ1059" s="59">
        <f t="shared" si="962"/>
        <v>0</v>
      </c>
      <c r="CL1059" s="63">
        <v>6000</v>
      </c>
      <c r="CM1059" s="63">
        <f t="shared" si="963"/>
        <v>0</v>
      </c>
      <c r="CN1059" s="63">
        <f t="shared" si="964"/>
        <v>5</v>
      </c>
      <c r="CO1059" s="63">
        <f t="shared" si="965"/>
        <v>1200</v>
      </c>
      <c r="CP1059" s="13">
        <f t="shared" si="966"/>
        <v>1200</v>
      </c>
      <c r="CQ1059" s="70">
        <f t="shared" si="967"/>
        <v>8.3333333333333339E-4</v>
      </c>
      <c r="CR1059" s="69">
        <f t="shared" si="931"/>
        <v>8.3333333333333339E-4</v>
      </c>
    </row>
    <row r="1060" spans="1:96" hidden="1" x14ac:dyDescent="0.25">
      <c r="A1060" s="13">
        <v>4</v>
      </c>
      <c r="B1060" s="14" t="s">
        <v>2065</v>
      </c>
      <c r="C1060" s="13" t="s">
        <v>2066</v>
      </c>
      <c r="D1060" s="13" t="s">
        <v>2067</v>
      </c>
      <c r="E1060" s="13" t="s">
        <v>52</v>
      </c>
      <c r="F1060" s="15">
        <f t="shared" si="935"/>
        <v>2</v>
      </c>
      <c r="G1060" s="13">
        <v>1</v>
      </c>
      <c r="H1060" s="13">
        <f>G1060*$H$1059</f>
        <v>1</v>
      </c>
      <c r="I1060" s="13">
        <v>1</v>
      </c>
      <c r="J1060" s="14" t="s">
        <v>2047</v>
      </c>
      <c r="K1060" s="14" t="s">
        <v>34</v>
      </c>
      <c r="L1060" s="13">
        <v>0</v>
      </c>
      <c r="M1060" s="14" t="s">
        <v>35</v>
      </c>
      <c r="N1060" s="13" t="s">
        <v>2067</v>
      </c>
      <c r="O1060" s="28" t="s">
        <v>41</v>
      </c>
      <c r="P1060" s="28" t="s">
        <v>41</v>
      </c>
      <c r="Q1060" s="28" t="s">
        <v>2049</v>
      </c>
      <c r="R1060" s="30">
        <v>25.09</v>
      </c>
      <c r="S1060" s="30">
        <v>8.76</v>
      </c>
      <c r="T1060" s="30"/>
      <c r="U1060" s="30">
        <v>4.4999999999999998E-2</v>
      </c>
      <c r="V1060" s="8">
        <f t="shared" si="937"/>
        <v>637.28599999999994</v>
      </c>
      <c r="W1060" s="8">
        <f t="shared" si="938"/>
        <v>222.50399999999999</v>
      </c>
      <c r="X1060" s="8">
        <f t="shared" si="939"/>
        <v>0</v>
      </c>
      <c r="Y1060" s="33">
        <f t="shared" si="940"/>
        <v>1.1429999999999998</v>
      </c>
      <c r="Z1060" s="28" t="s">
        <v>2037</v>
      </c>
      <c r="AA1060" s="28" t="s">
        <v>2038</v>
      </c>
      <c r="AB1060" s="61" t="s">
        <v>2049</v>
      </c>
      <c r="AC1060" s="31" t="s">
        <v>2050</v>
      </c>
      <c r="AD1060" s="50">
        <f t="shared" si="941"/>
        <v>1</v>
      </c>
      <c r="AE1060" s="31"/>
      <c r="AF1060" s="51">
        <v>14</v>
      </c>
      <c r="AG1060" s="51">
        <f t="shared" si="968"/>
        <v>8.4</v>
      </c>
      <c r="AH1060" s="51">
        <f t="shared" si="934"/>
        <v>42</v>
      </c>
      <c r="AI1060" s="52" t="s">
        <v>2497</v>
      </c>
      <c r="AJ1060" s="52" t="s">
        <v>2498</v>
      </c>
      <c r="AK1060" s="53">
        <f t="shared" si="969"/>
        <v>0.28359736828799992</v>
      </c>
      <c r="AL1060" s="54">
        <f t="shared" si="970"/>
        <v>0.11904761904761904</v>
      </c>
      <c r="AM1060" s="54">
        <f t="shared" si="971"/>
        <v>2.3809523809523808E-2</v>
      </c>
      <c r="AN1060" s="55">
        <f t="shared" si="972"/>
        <v>3.3761591462857128E-2</v>
      </c>
      <c r="AO1060" s="55">
        <f t="shared" si="973"/>
        <v>6.7523182925714265E-3</v>
      </c>
      <c r="AP1060" s="53">
        <v>7.1</v>
      </c>
      <c r="AQ1060" s="53">
        <f t="shared" si="942"/>
        <v>4.26</v>
      </c>
      <c r="AR1060" s="53">
        <f t="shared" si="943"/>
        <v>21.299999999999997</v>
      </c>
      <c r="AS1060" s="56">
        <f t="shared" si="944"/>
        <v>4.6948356807511742E-2</v>
      </c>
      <c r="AT1060" s="56">
        <f t="shared" si="974"/>
        <v>0.23474178403755869</v>
      </c>
      <c r="AU1060" s="56">
        <f t="shared" si="945"/>
        <v>0.176056338028169</v>
      </c>
      <c r="AV1060" s="56">
        <f t="shared" si="975"/>
        <v>5.8685446009389672E-2</v>
      </c>
      <c r="AW1060" s="57"/>
      <c r="AX1060" s="57"/>
      <c r="AY1060" s="57"/>
      <c r="AZ1060" s="58">
        <f t="shared" si="976"/>
        <v>0.28359736828799992</v>
      </c>
      <c r="BA1060" s="59">
        <f t="shared" si="977"/>
        <v>0</v>
      </c>
      <c r="BB1060" s="59">
        <f t="shared" si="978"/>
        <v>0</v>
      </c>
      <c r="BC1060" s="59">
        <f t="shared" si="979"/>
        <v>0</v>
      </c>
      <c r="BD1060" s="60">
        <f t="shared" si="980"/>
        <v>0.05</v>
      </c>
      <c r="BE1060" s="59">
        <f t="shared" si="981"/>
        <v>0.05</v>
      </c>
      <c r="BQ1060" s="61">
        <v>3000</v>
      </c>
      <c r="BR1060" s="61">
        <v>1200</v>
      </c>
      <c r="BS1060" s="28">
        <f t="shared" si="946"/>
        <v>2980</v>
      </c>
      <c r="BT1060" s="28">
        <f t="shared" si="947"/>
        <v>1180</v>
      </c>
      <c r="BU1060" s="28" t="s">
        <v>2541</v>
      </c>
      <c r="BV1060" s="28">
        <f t="shared" si="948"/>
        <v>642.28599999999994</v>
      </c>
      <c r="BW1060" s="28">
        <f t="shared" si="949"/>
        <v>227.50399999999999</v>
      </c>
      <c r="BX1060" s="13">
        <f t="shared" si="950"/>
        <v>4.6396776513889453</v>
      </c>
      <c r="BY1060" s="13">
        <f t="shared" si="951"/>
        <v>4</v>
      </c>
      <c r="BZ1060" s="13">
        <f t="shared" si="952"/>
        <v>5.186721991701245</v>
      </c>
      <c r="CA1060" s="13">
        <f t="shared" si="953"/>
        <v>5</v>
      </c>
      <c r="CB1060" s="13">
        <f t="shared" si="954"/>
        <v>20</v>
      </c>
      <c r="CC1060" s="62">
        <f t="shared" si="955"/>
        <v>0.05</v>
      </c>
      <c r="CD1060" s="13">
        <f t="shared" si="956"/>
        <v>13.09867079260145</v>
      </c>
      <c r="CE1060" s="13">
        <f t="shared" si="957"/>
        <v>13</v>
      </c>
      <c r="CF1060" s="13">
        <f t="shared" si="958"/>
        <v>1.837187794845287</v>
      </c>
      <c r="CG1060" s="13">
        <f t="shared" si="959"/>
        <v>1</v>
      </c>
      <c r="CH1060" s="28">
        <f t="shared" si="960"/>
        <v>13</v>
      </c>
      <c r="CI1060" s="62">
        <f t="shared" si="961"/>
        <v>7.6923076923076927E-2</v>
      </c>
      <c r="CJ1060" s="59">
        <f t="shared" si="962"/>
        <v>0.05</v>
      </c>
      <c r="CL1060" s="63">
        <v>6000</v>
      </c>
      <c r="CM1060" s="63">
        <f t="shared" si="963"/>
        <v>637.28599999999994</v>
      </c>
      <c r="CN1060" s="63">
        <f t="shared" si="964"/>
        <v>642.28599999999994</v>
      </c>
      <c r="CO1060" s="63">
        <f t="shared" si="965"/>
        <v>9.3416328551455283</v>
      </c>
      <c r="CP1060" s="13">
        <f t="shared" si="966"/>
        <v>9</v>
      </c>
      <c r="CQ1060" s="70">
        <f t="shared" si="967"/>
        <v>0.1111111111111111</v>
      </c>
      <c r="CR1060" s="69">
        <f t="shared" ref="CR1060:CR1123" si="985">CQ1060*AD1060</f>
        <v>0.1111111111111111</v>
      </c>
    </row>
    <row r="1061" spans="1:96" hidden="1" x14ac:dyDescent="0.25">
      <c r="A1061" s="13">
        <v>4</v>
      </c>
      <c r="B1061" s="14" t="s">
        <v>2065</v>
      </c>
      <c r="C1061" s="13" t="s">
        <v>2068</v>
      </c>
      <c r="D1061" s="13" t="s">
        <v>2069</v>
      </c>
      <c r="E1061" s="13" t="s">
        <v>52</v>
      </c>
      <c r="F1061" s="15">
        <f t="shared" si="935"/>
        <v>2</v>
      </c>
      <c r="G1061" s="13">
        <v>1</v>
      </c>
      <c r="H1061" s="13">
        <f>G1061*$H$1059</f>
        <v>1</v>
      </c>
      <c r="I1061" s="13">
        <v>2</v>
      </c>
      <c r="J1061" s="14" t="s">
        <v>2053</v>
      </c>
      <c r="K1061" s="14" t="s">
        <v>34</v>
      </c>
      <c r="L1061" s="13" t="s">
        <v>110</v>
      </c>
      <c r="M1061" s="14" t="s">
        <v>340</v>
      </c>
      <c r="N1061" s="13" t="s">
        <v>2069</v>
      </c>
      <c r="O1061" s="28"/>
      <c r="P1061" s="28"/>
      <c r="Q1061" s="28" t="s">
        <v>2069</v>
      </c>
      <c r="R1061" s="30">
        <v>22.72</v>
      </c>
      <c r="S1061" s="30">
        <v>7.1</v>
      </c>
      <c r="T1061" s="30"/>
      <c r="U1061" s="30">
        <v>1</v>
      </c>
      <c r="V1061" s="8">
        <f t="shared" si="937"/>
        <v>577.08799999999997</v>
      </c>
      <c r="W1061" s="8">
        <f t="shared" si="938"/>
        <v>180.33999999999997</v>
      </c>
      <c r="X1061" s="8">
        <f t="shared" si="939"/>
        <v>0</v>
      </c>
      <c r="Y1061" s="33">
        <f t="shared" si="940"/>
        <v>25.4</v>
      </c>
      <c r="Z1061" s="28" t="s">
        <v>2056</v>
      </c>
      <c r="AA1061" s="28" t="s">
        <v>2057</v>
      </c>
      <c r="AB1061" s="61" t="s">
        <v>2069</v>
      </c>
      <c r="AC1061" s="31" t="s">
        <v>2070</v>
      </c>
      <c r="AD1061" s="50">
        <f t="shared" si="941"/>
        <v>1</v>
      </c>
      <c r="AE1061" s="31"/>
      <c r="AF1061" s="51">
        <v>14</v>
      </c>
      <c r="AG1061" s="51">
        <f t="shared" si="968"/>
        <v>8.4</v>
      </c>
      <c r="AH1061" s="51">
        <f t="shared" si="934"/>
        <v>42</v>
      </c>
      <c r="AI1061" s="52" t="s">
        <v>2497</v>
      </c>
      <c r="AJ1061" s="52" t="s">
        <v>2498</v>
      </c>
      <c r="AK1061" s="53">
        <f t="shared" si="969"/>
        <v>0.20814409983999996</v>
      </c>
      <c r="AL1061" s="54">
        <f t="shared" si="970"/>
        <v>0.11904761904761904</v>
      </c>
      <c r="AM1061" s="54">
        <f t="shared" si="971"/>
        <v>2.3809523809523808E-2</v>
      </c>
      <c r="AN1061" s="55">
        <f t="shared" si="972"/>
        <v>2.4779059504761898E-2</v>
      </c>
      <c r="AO1061" s="55">
        <f t="shared" si="973"/>
        <v>4.9558119009523796E-3</v>
      </c>
      <c r="AP1061" s="53">
        <v>7.1</v>
      </c>
      <c r="AQ1061" s="53">
        <f t="shared" si="942"/>
        <v>4.26</v>
      </c>
      <c r="AR1061" s="53">
        <f t="shared" si="943"/>
        <v>21.299999999999997</v>
      </c>
      <c r="AS1061" s="56">
        <f t="shared" si="944"/>
        <v>4.6948356807511742E-2</v>
      </c>
      <c r="AT1061" s="56">
        <f t="shared" si="974"/>
        <v>0.23474178403755869</v>
      </c>
      <c r="AU1061" s="56">
        <f t="shared" si="945"/>
        <v>0.176056338028169</v>
      </c>
      <c r="AV1061" s="56">
        <f t="shared" si="975"/>
        <v>5.8685446009389672E-2</v>
      </c>
      <c r="AW1061" s="57"/>
      <c r="AX1061" s="57"/>
      <c r="AY1061" s="57"/>
      <c r="AZ1061" s="58">
        <f t="shared" si="976"/>
        <v>0.20814409983999996</v>
      </c>
      <c r="BA1061" s="59">
        <f t="shared" si="977"/>
        <v>0</v>
      </c>
      <c r="BB1061" s="59">
        <f t="shared" si="978"/>
        <v>0</v>
      </c>
      <c r="BC1061" s="59">
        <f t="shared" si="979"/>
        <v>0</v>
      </c>
      <c r="BD1061" s="60">
        <f t="shared" si="980"/>
        <v>3.125E-2</v>
      </c>
      <c r="BE1061" s="59">
        <f t="shared" si="981"/>
        <v>3.125E-2</v>
      </c>
      <c r="BQ1061" s="61">
        <v>3000</v>
      </c>
      <c r="BR1061" s="61">
        <v>1200</v>
      </c>
      <c r="BS1061" s="28">
        <f t="shared" si="946"/>
        <v>2980</v>
      </c>
      <c r="BT1061" s="28">
        <f t="shared" si="947"/>
        <v>1180</v>
      </c>
      <c r="BU1061" s="28" t="s">
        <v>2541</v>
      </c>
      <c r="BV1061" s="28">
        <f t="shared" si="948"/>
        <v>582.08799999999997</v>
      </c>
      <c r="BW1061" s="28">
        <f t="shared" si="949"/>
        <v>185.33999999999997</v>
      </c>
      <c r="BX1061" s="13">
        <f t="shared" si="950"/>
        <v>5.1195008314893968</v>
      </c>
      <c r="BY1061" s="13">
        <f t="shared" si="951"/>
        <v>5</v>
      </c>
      <c r="BZ1061" s="13">
        <f t="shared" si="952"/>
        <v>6.3666774576454097</v>
      </c>
      <c r="CA1061" s="13">
        <f t="shared" si="953"/>
        <v>6</v>
      </c>
      <c r="CB1061" s="13">
        <f t="shared" si="954"/>
        <v>30</v>
      </c>
      <c r="CC1061" s="62">
        <f t="shared" si="955"/>
        <v>3.3333333333333333E-2</v>
      </c>
      <c r="CD1061" s="13">
        <f t="shared" si="956"/>
        <v>16.078558325240103</v>
      </c>
      <c r="CE1061" s="13">
        <f t="shared" si="957"/>
        <v>16</v>
      </c>
      <c r="CF1061" s="13">
        <f t="shared" si="958"/>
        <v>2.0271848930058685</v>
      </c>
      <c r="CG1061" s="13">
        <f t="shared" si="959"/>
        <v>2</v>
      </c>
      <c r="CH1061" s="28">
        <f t="shared" si="960"/>
        <v>32</v>
      </c>
      <c r="CI1061" s="62">
        <f t="shared" si="961"/>
        <v>3.125E-2</v>
      </c>
      <c r="CJ1061" s="59">
        <f t="shared" si="962"/>
        <v>3.125E-2</v>
      </c>
      <c r="CL1061" s="63">
        <v>6000</v>
      </c>
      <c r="CM1061" s="63">
        <f t="shared" si="963"/>
        <v>577.08799999999997</v>
      </c>
      <c r="CN1061" s="63">
        <f t="shared" si="964"/>
        <v>582.08799999999997</v>
      </c>
      <c r="CO1061" s="63">
        <f t="shared" si="965"/>
        <v>10.307719794945095</v>
      </c>
      <c r="CP1061" s="13">
        <f t="shared" si="966"/>
        <v>10</v>
      </c>
      <c r="CQ1061" s="70">
        <f t="shared" si="967"/>
        <v>0.1</v>
      </c>
      <c r="CR1061" s="69">
        <f t="shared" si="985"/>
        <v>0.1</v>
      </c>
    </row>
    <row r="1062" spans="1:96" hidden="1" x14ac:dyDescent="0.25">
      <c r="A1062" s="17">
        <v>5</v>
      </c>
      <c r="B1062" s="6" t="s">
        <v>2071</v>
      </c>
      <c r="C1062" s="17" t="s">
        <v>2056</v>
      </c>
      <c r="D1062" s="17" t="s">
        <v>2055</v>
      </c>
      <c r="E1062" s="17" t="s">
        <v>52</v>
      </c>
      <c r="F1062" s="7">
        <f t="shared" si="935"/>
        <v>6</v>
      </c>
      <c r="G1062" s="17">
        <v>1.1200000000000001</v>
      </c>
      <c r="H1062" s="17">
        <f>G1062*$H$1061</f>
        <v>1.1200000000000001</v>
      </c>
      <c r="I1062" s="17" t="s">
        <v>485</v>
      </c>
      <c r="J1062" s="6" t="s">
        <v>2060</v>
      </c>
      <c r="K1062" s="6" t="s">
        <v>2061</v>
      </c>
      <c r="L1062" s="17" t="s">
        <v>89</v>
      </c>
      <c r="M1062" s="6" t="s">
        <v>340</v>
      </c>
      <c r="N1062" s="17" t="s">
        <v>2072</v>
      </c>
      <c r="O1062" s="28"/>
      <c r="P1062" s="28"/>
      <c r="Q1062" s="28" t="s">
        <v>2072</v>
      </c>
      <c r="R1062" s="30"/>
      <c r="S1062" s="30"/>
      <c r="T1062" s="30"/>
      <c r="U1062" s="30"/>
      <c r="V1062" s="8">
        <f t="shared" si="937"/>
        <v>0</v>
      </c>
      <c r="W1062" s="8">
        <f t="shared" si="938"/>
        <v>0</v>
      </c>
      <c r="X1062" s="8">
        <f t="shared" si="939"/>
        <v>0</v>
      </c>
      <c r="Y1062" s="33">
        <f t="shared" si="940"/>
        <v>0</v>
      </c>
      <c r="Z1062" s="28"/>
      <c r="AA1062" s="28"/>
      <c r="AB1062" s="28" t="s">
        <v>2072</v>
      </c>
      <c r="AC1062" s="31"/>
      <c r="AD1062" s="50">
        <f t="shared" si="941"/>
        <v>1.1200000000000001</v>
      </c>
      <c r="AE1062" s="31"/>
      <c r="AF1062" s="51">
        <v>14</v>
      </c>
      <c r="AG1062" s="51">
        <f t="shared" si="968"/>
        <v>8.4</v>
      </c>
      <c r="AH1062" s="51">
        <f t="shared" si="934"/>
        <v>42</v>
      </c>
      <c r="AI1062" s="52" t="s">
        <v>2497</v>
      </c>
      <c r="AJ1062" s="52" t="s">
        <v>2498</v>
      </c>
      <c r="AK1062" s="53">
        <f t="shared" si="969"/>
        <v>0</v>
      </c>
      <c r="AL1062" s="54">
        <f t="shared" si="970"/>
        <v>0.11904761904761904</v>
      </c>
      <c r="AM1062" s="54">
        <f t="shared" si="971"/>
        <v>2.3809523809523808E-2</v>
      </c>
      <c r="AN1062" s="55">
        <f t="shared" si="972"/>
        <v>0</v>
      </c>
      <c r="AO1062" s="55">
        <f t="shared" si="973"/>
        <v>0</v>
      </c>
      <c r="AP1062" s="53">
        <v>7.1</v>
      </c>
      <c r="AQ1062" s="53">
        <f t="shared" si="942"/>
        <v>4.26</v>
      </c>
      <c r="AR1062" s="53">
        <f t="shared" si="943"/>
        <v>21.299999999999997</v>
      </c>
      <c r="AS1062" s="56">
        <f t="shared" si="944"/>
        <v>4.6948356807511742E-2</v>
      </c>
      <c r="AT1062" s="56">
        <f t="shared" si="974"/>
        <v>0.23474178403755869</v>
      </c>
      <c r="AU1062" s="56">
        <f t="shared" si="945"/>
        <v>0.176056338028169</v>
      </c>
      <c r="AV1062" s="56">
        <f t="shared" si="975"/>
        <v>5.8685446009389672E-2</v>
      </c>
      <c r="AW1062" s="57"/>
      <c r="AX1062" s="57"/>
      <c r="AY1062" s="57"/>
      <c r="AZ1062" s="58">
        <f t="shared" si="976"/>
        <v>0</v>
      </c>
      <c r="BA1062" s="59">
        <f t="shared" si="977"/>
        <v>0</v>
      </c>
      <c r="BB1062" s="59">
        <f t="shared" si="978"/>
        <v>0</v>
      </c>
      <c r="BC1062" s="59">
        <f t="shared" si="979"/>
        <v>0</v>
      </c>
      <c r="BD1062" s="60">
        <f t="shared" si="980"/>
        <v>7.1095438516664771E-6</v>
      </c>
      <c r="BE1062" s="59">
        <f t="shared" si="981"/>
        <v>7.9626891138664552E-6</v>
      </c>
      <c r="BQ1062" s="61">
        <v>3000</v>
      </c>
      <c r="BR1062" s="61">
        <v>1200</v>
      </c>
      <c r="BS1062" s="28">
        <f t="shared" si="946"/>
        <v>2980</v>
      </c>
      <c r="BT1062" s="28">
        <f t="shared" si="947"/>
        <v>1180</v>
      </c>
      <c r="BU1062" s="28" t="s">
        <v>2541</v>
      </c>
      <c r="BV1062" s="28">
        <f t="shared" si="948"/>
        <v>5</v>
      </c>
      <c r="BW1062" s="28">
        <f t="shared" si="949"/>
        <v>5</v>
      </c>
      <c r="BX1062" s="13">
        <f t="shared" si="950"/>
        <v>596</v>
      </c>
      <c r="BY1062" s="13">
        <f t="shared" si="951"/>
        <v>596</v>
      </c>
      <c r="BZ1062" s="13">
        <f t="shared" si="952"/>
        <v>236</v>
      </c>
      <c r="CA1062" s="13">
        <f t="shared" si="953"/>
        <v>236</v>
      </c>
      <c r="CB1062" s="13">
        <f t="shared" si="954"/>
        <v>140656</v>
      </c>
      <c r="CC1062" s="62">
        <f t="shared" si="955"/>
        <v>7.1095438516664771E-6</v>
      </c>
      <c r="CD1062" s="13">
        <f t="shared" si="956"/>
        <v>596</v>
      </c>
      <c r="CE1062" s="13">
        <f t="shared" si="957"/>
        <v>596</v>
      </c>
      <c r="CF1062" s="13">
        <f t="shared" si="958"/>
        <v>236</v>
      </c>
      <c r="CG1062" s="13">
        <f t="shared" si="959"/>
        <v>236</v>
      </c>
      <c r="CH1062" s="28">
        <f t="shared" si="960"/>
        <v>140656</v>
      </c>
      <c r="CI1062" s="62">
        <f t="shared" si="961"/>
        <v>7.1095438516664771E-6</v>
      </c>
      <c r="CJ1062" s="59">
        <f t="shared" si="962"/>
        <v>7.1095438516664771E-6</v>
      </c>
      <c r="CL1062" s="63">
        <v>6000</v>
      </c>
      <c r="CM1062" s="63">
        <f t="shared" si="963"/>
        <v>0</v>
      </c>
      <c r="CN1062" s="63">
        <f t="shared" si="964"/>
        <v>5</v>
      </c>
      <c r="CO1062" s="63">
        <f t="shared" si="965"/>
        <v>1200</v>
      </c>
      <c r="CP1062" s="13">
        <f t="shared" si="966"/>
        <v>1200</v>
      </c>
      <c r="CQ1062" s="70">
        <f t="shared" si="967"/>
        <v>8.3333333333333339E-4</v>
      </c>
      <c r="CR1062" s="69">
        <f t="shared" si="985"/>
        <v>9.3333333333333343E-4</v>
      </c>
    </row>
    <row r="1063" spans="1:96" hidden="1" x14ac:dyDescent="0.25">
      <c r="A1063" s="10">
        <v>3</v>
      </c>
      <c r="B1063" s="8" t="s">
        <v>2123</v>
      </c>
      <c r="C1063" s="10" t="s">
        <v>2073</v>
      </c>
      <c r="D1063" s="10" t="s">
        <v>2074</v>
      </c>
      <c r="E1063" s="10" t="s">
        <v>32</v>
      </c>
      <c r="F1063" s="12">
        <f t="shared" si="935"/>
        <v>2</v>
      </c>
      <c r="G1063" s="10">
        <v>1</v>
      </c>
      <c r="H1063" s="10">
        <f t="shared" ref="H1063" si="986">G1063*$H$1018</f>
        <v>1</v>
      </c>
      <c r="I1063" s="10">
        <v>24</v>
      </c>
      <c r="J1063" s="8" t="s">
        <v>2043</v>
      </c>
      <c r="K1063" s="8" t="s">
        <v>34</v>
      </c>
      <c r="L1063" s="10">
        <v>0</v>
      </c>
      <c r="M1063" s="8" t="s">
        <v>35</v>
      </c>
      <c r="N1063" s="10" t="s">
        <v>2074</v>
      </c>
      <c r="O1063" s="28"/>
      <c r="P1063" s="28"/>
      <c r="Q1063" s="28"/>
      <c r="R1063" s="30"/>
      <c r="S1063" s="30"/>
      <c r="T1063" s="30"/>
      <c r="U1063" s="30"/>
      <c r="V1063" s="8">
        <f t="shared" si="937"/>
        <v>0</v>
      </c>
      <c r="W1063" s="8">
        <f t="shared" si="938"/>
        <v>0</v>
      </c>
      <c r="X1063" s="8">
        <f t="shared" si="939"/>
        <v>0</v>
      </c>
      <c r="Y1063" s="33">
        <f t="shared" si="940"/>
        <v>0</v>
      </c>
      <c r="Z1063" s="28"/>
      <c r="AA1063" s="28"/>
      <c r="AB1063" s="28">
        <v>0</v>
      </c>
      <c r="AC1063" s="31"/>
      <c r="AD1063" s="50">
        <f t="shared" si="941"/>
        <v>1</v>
      </c>
      <c r="AE1063" s="31"/>
      <c r="AF1063" s="51">
        <v>14</v>
      </c>
      <c r="AG1063" s="51">
        <f t="shared" si="968"/>
        <v>8.4</v>
      </c>
      <c r="AH1063" s="51">
        <f t="shared" si="934"/>
        <v>42</v>
      </c>
      <c r="AI1063" s="52" t="s">
        <v>2497</v>
      </c>
      <c r="AJ1063" s="52" t="s">
        <v>2498</v>
      </c>
      <c r="AK1063" s="53">
        <f t="shared" si="969"/>
        <v>0</v>
      </c>
      <c r="AL1063" s="54">
        <f t="shared" si="970"/>
        <v>0.11904761904761904</v>
      </c>
      <c r="AM1063" s="54">
        <f t="shared" si="971"/>
        <v>2.3809523809523808E-2</v>
      </c>
      <c r="AN1063" s="55">
        <f t="shared" si="972"/>
        <v>0</v>
      </c>
      <c r="AO1063" s="55">
        <f t="shared" si="973"/>
        <v>0</v>
      </c>
      <c r="AP1063" s="53">
        <v>7.1</v>
      </c>
      <c r="AQ1063" s="53">
        <f t="shared" si="942"/>
        <v>4.26</v>
      </c>
      <c r="AR1063" s="53">
        <f t="shared" si="943"/>
        <v>21.299999999999997</v>
      </c>
      <c r="AS1063" s="56">
        <f t="shared" si="944"/>
        <v>4.6948356807511742E-2</v>
      </c>
      <c r="AT1063" s="56">
        <f t="shared" si="974"/>
        <v>0.23474178403755869</v>
      </c>
      <c r="AU1063" s="56">
        <f t="shared" si="945"/>
        <v>0.176056338028169</v>
      </c>
      <c r="AV1063" s="56">
        <f t="shared" si="975"/>
        <v>5.8685446009389672E-2</v>
      </c>
      <c r="AW1063" s="57"/>
      <c r="AX1063" s="57"/>
      <c r="AY1063" s="57"/>
      <c r="AZ1063" s="58">
        <f t="shared" si="976"/>
        <v>0</v>
      </c>
      <c r="BA1063" s="59">
        <f t="shared" si="977"/>
        <v>0</v>
      </c>
      <c r="BB1063" s="59">
        <f t="shared" si="978"/>
        <v>0</v>
      </c>
      <c r="BC1063" s="59">
        <f t="shared" si="979"/>
        <v>0</v>
      </c>
      <c r="BD1063" s="60">
        <f t="shared" si="980"/>
        <v>0</v>
      </c>
      <c r="BE1063" s="59">
        <f t="shared" si="981"/>
        <v>0</v>
      </c>
      <c r="BQ1063" s="61">
        <v>3000</v>
      </c>
      <c r="BR1063" s="61">
        <v>1200</v>
      </c>
      <c r="BS1063" s="28">
        <f t="shared" si="946"/>
        <v>2980</v>
      </c>
      <c r="BT1063" s="28">
        <f t="shared" si="947"/>
        <v>1180</v>
      </c>
      <c r="BU1063" s="28" t="s">
        <v>2541</v>
      </c>
      <c r="BV1063" s="28">
        <f t="shared" si="948"/>
        <v>5</v>
      </c>
      <c r="BW1063" s="28">
        <f t="shared" si="949"/>
        <v>5</v>
      </c>
      <c r="BX1063" s="13">
        <f t="shared" si="950"/>
        <v>596</v>
      </c>
      <c r="BY1063" s="13">
        <f t="shared" si="951"/>
        <v>596</v>
      </c>
      <c r="BZ1063" s="13">
        <f t="shared" si="952"/>
        <v>236</v>
      </c>
      <c r="CA1063" s="13">
        <f t="shared" si="953"/>
        <v>236</v>
      </c>
      <c r="CB1063" s="13">
        <f t="shared" si="954"/>
        <v>140656</v>
      </c>
      <c r="CC1063" s="62" t="str">
        <f t="shared" si="955"/>
        <v/>
      </c>
      <c r="CD1063" s="13">
        <f t="shared" si="956"/>
        <v>596</v>
      </c>
      <c r="CE1063" s="13">
        <f t="shared" si="957"/>
        <v>596</v>
      </c>
      <c r="CF1063" s="13">
        <f t="shared" si="958"/>
        <v>236</v>
      </c>
      <c r="CG1063" s="13">
        <f t="shared" si="959"/>
        <v>236</v>
      </c>
      <c r="CH1063" s="28">
        <f t="shared" si="960"/>
        <v>140656</v>
      </c>
      <c r="CI1063" s="62" t="str">
        <f t="shared" si="961"/>
        <v/>
      </c>
      <c r="CJ1063" s="59">
        <f t="shared" si="962"/>
        <v>0</v>
      </c>
      <c r="CL1063" s="63">
        <v>6000</v>
      </c>
      <c r="CM1063" s="63">
        <f t="shared" si="963"/>
        <v>0</v>
      </c>
      <c r="CN1063" s="63">
        <f t="shared" si="964"/>
        <v>5</v>
      </c>
      <c r="CO1063" s="63">
        <f t="shared" si="965"/>
        <v>1200</v>
      </c>
      <c r="CP1063" s="13">
        <f t="shared" si="966"/>
        <v>1200</v>
      </c>
      <c r="CQ1063" s="70">
        <f t="shared" si="967"/>
        <v>8.3333333333333339E-4</v>
      </c>
      <c r="CR1063" s="69">
        <f t="shared" si="985"/>
        <v>8.3333333333333339E-4</v>
      </c>
    </row>
    <row r="1064" spans="1:96" hidden="1" x14ac:dyDescent="0.25">
      <c r="A1064" s="13">
        <v>4</v>
      </c>
      <c r="B1064" s="14" t="s">
        <v>2075</v>
      </c>
      <c r="C1064" s="13" t="s">
        <v>2076</v>
      </c>
      <c r="D1064" s="13" t="s">
        <v>2077</v>
      </c>
      <c r="E1064" s="13" t="s">
        <v>52</v>
      </c>
      <c r="F1064" s="15">
        <f t="shared" si="935"/>
        <v>2</v>
      </c>
      <c r="G1064" s="13">
        <v>1</v>
      </c>
      <c r="H1064" s="13">
        <f>G1064*$H$1063</f>
        <v>1</v>
      </c>
      <c r="I1064" s="13">
        <v>1</v>
      </c>
      <c r="J1064" s="14" t="s">
        <v>2047</v>
      </c>
      <c r="K1064" s="14" t="s">
        <v>34</v>
      </c>
      <c r="L1064" s="13">
        <v>0</v>
      </c>
      <c r="M1064" s="14" t="s">
        <v>35</v>
      </c>
      <c r="N1064" s="13" t="s">
        <v>2077</v>
      </c>
      <c r="O1064" s="28" t="s">
        <v>41</v>
      </c>
      <c r="P1064" s="28" t="s">
        <v>41</v>
      </c>
      <c r="Q1064" s="28" t="s">
        <v>2049</v>
      </c>
      <c r="R1064" s="30">
        <v>31.95</v>
      </c>
      <c r="S1064" s="30">
        <v>13.201000000000001</v>
      </c>
      <c r="T1064" s="30"/>
      <c r="U1064" s="30">
        <v>4.4999999999999998E-2</v>
      </c>
      <c r="V1064" s="8">
        <f t="shared" si="937"/>
        <v>811.53</v>
      </c>
      <c r="W1064" s="8">
        <f t="shared" si="938"/>
        <v>335.30540000000002</v>
      </c>
      <c r="X1064" s="8">
        <f t="shared" si="939"/>
        <v>0</v>
      </c>
      <c r="Y1064" s="33">
        <f t="shared" si="940"/>
        <v>1.1429999999999998</v>
      </c>
      <c r="Z1064" s="28" t="s">
        <v>2037</v>
      </c>
      <c r="AA1064" s="28" t="s">
        <v>2038</v>
      </c>
      <c r="AB1064" s="61" t="s">
        <v>2049</v>
      </c>
      <c r="AC1064" s="31" t="s">
        <v>2050</v>
      </c>
      <c r="AD1064" s="50">
        <f t="shared" si="941"/>
        <v>1</v>
      </c>
      <c r="AE1064" s="5" t="s">
        <v>2051</v>
      </c>
      <c r="AF1064" s="51">
        <v>14</v>
      </c>
      <c r="AG1064" s="51">
        <f t="shared" si="968"/>
        <v>8.4</v>
      </c>
      <c r="AH1064" s="51">
        <f t="shared" si="934"/>
        <v>42</v>
      </c>
      <c r="AI1064" s="52" t="s">
        <v>2497</v>
      </c>
      <c r="AJ1064" s="52" t="s">
        <v>2498</v>
      </c>
      <c r="AK1064" s="53">
        <f t="shared" si="969"/>
        <v>0.54422078252400008</v>
      </c>
      <c r="AL1064" s="54">
        <f t="shared" si="970"/>
        <v>0.11904761904761904</v>
      </c>
      <c r="AM1064" s="54">
        <f t="shared" si="971"/>
        <v>2.3809523809523808E-2</v>
      </c>
      <c r="AN1064" s="55">
        <f t="shared" si="972"/>
        <v>6.4788188395714291E-2</v>
      </c>
      <c r="AO1064" s="55">
        <f t="shared" si="973"/>
        <v>1.2957637679142858E-2</v>
      </c>
      <c r="AP1064" s="53">
        <v>7.1</v>
      </c>
      <c r="AQ1064" s="53">
        <f t="shared" si="942"/>
        <v>4.26</v>
      </c>
      <c r="AR1064" s="53">
        <f t="shared" si="943"/>
        <v>21.299999999999997</v>
      </c>
      <c r="AS1064" s="56">
        <f t="shared" si="944"/>
        <v>4.6948356807511742E-2</v>
      </c>
      <c r="AT1064" s="56">
        <f t="shared" si="974"/>
        <v>0.23474178403755869</v>
      </c>
      <c r="AU1064" s="56">
        <f t="shared" si="945"/>
        <v>0.176056338028169</v>
      </c>
      <c r="AV1064" s="56">
        <f t="shared" si="975"/>
        <v>5.8685446009389672E-2</v>
      </c>
      <c r="AW1064" s="57"/>
      <c r="AX1064" s="57"/>
      <c r="AY1064" s="57"/>
      <c r="AZ1064" s="58">
        <f t="shared" si="976"/>
        <v>0.54422078252400008</v>
      </c>
      <c r="BA1064" s="59">
        <f t="shared" si="977"/>
        <v>0</v>
      </c>
      <c r="BB1064" s="59">
        <f t="shared" si="978"/>
        <v>0</v>
      </c>
      <c r="BC1064" s="59">
        <f t="shared" si="979"/>
        <v>0</v>
      </c>
      <c r="BD1064" s="60">
        <f t="shared" si="980"/>
        <v>0.1111111111111111</v>
      </c>
      <c r="BE1064" s="59">
        <f t="shared" si="981"/>
        <v>0.1111111111111111</v>
      </c>
      <c r="BQ1064" s="61">
        <v>3000</v>
      </c>
      <c r="BR1064" s="61">
        <v>1200</v>
      </c>
      <c r="BS1064" s="28">
        <f t="shared" si="946"/>
        <v>2980</v>
      </c>
      <c r="BT1064" s="28">
        <f t="shared" si="947"/>
        <v>1180</v>
      </c>
      <c r="BU1064" s="28" t="s">
        <v>2541</v>
      </c>
      <c r="BV1064" s="28">
        <f t="shared" si="948"/>
        <v>816.53</v>
      </c>
      <c r="BW1064" s="28">
        <f t="shared" si="949"/>
        <v>340.30540000000002</v>
      </c>
      <c r="BX1064" s="13">
        <f t="shared" si="950"/>
        <v>3.6495903396078528</v>
      </c>
      <c r="BY1064" s="13">
        <f t="shared" si="951"/>
        <v>3</v>
      </c>
      <c r="BZ1064" s="13">
        <f t="shared" si="952"/>
        <v>3.4674736280999361</v>
      </c>
      <c r="CA1064" s="13">
        <f t="shared" si="953"/>
        <v>3</v>
      </c>
      <c r="CB1064" s="13">
        <f t="shared" si="954"/>
        <v>9</v>
      </c>
      <c r="CC1064" s="62">
        <f t="shared" si="955"/>
        <v>0.1111111111111111</v>
      </c>
      <c r="CD1064" s="13">
        <f t="shared" si="956"/>
        <v>8.7568401794388215</v>
      </c>
      <c r="CE1064" s="13">
        <f t="shared" si="957"/>
        <v>8</v>
      </c>
      <c r="CF1064" s="13">
        <f t="shared" si="958"/>
        <v>1.4451397989051229</v>
      </c>
      <c r="CG1064" s="13">
        <f t="shared" si="959"/>
        <v>1</v>
      </c>
      <c r="CH1064" s="28">
        <f t="shared" si="960"/>
        <v>8</v>
      </c>
      <c r="CI1064" s="62">
        <f t="shared" si="961"/>
        <v>0.125</v>
      </c>
      <c r="CJ1064" s="59">
        <f t="shared" si="962"/>
        <v>0.1111111111111111</v>
      </c>
      <c r="CL1064" s="63">
        <v>6000</v>
      </c>
      <c r="CM1064" s="63">
        <f t="shared" si="963"/>
        <v>811.53</v>
      </c>
      <c r="CN1064" s="63">
        <f t="shared" si="964"/>
        <v>816.53</v>
      </c>
      <c r="CO1064" s="63">
        <f t="shared" si="965"/>
        <v>7.3481684690090994</v>
      </c>
      <c r="CP1064" s="13">
        <f t="shared" si="966"/>
        <v>7</v>
      </c>
      <c r="CQ1064" s="70">
        <f t="shared" si="967"/>
        <v>0.14285714285714285</v>
      </c>
      <c r="CR1064" s="69">
        <f t="shared" si="985"/>
        <v>0.14285714285714285</v>
      </c>
    </row>
    <row r="1065" spans="1:96" hidden="1" x14ac:dyDescent="0.25">
      <c r="A1065" s="13">
        <v>4</v>
      </c>
      <c r="B1065" s="14" t="s">
        <v>2075</v>
      </c>
      <c r="C1065" s="13" t="s">
        <v>2078</v>
      </c>
      <c r="D1065" s="13" t="s">
        <v>2079</v>
      </c>
      <c r="E1065" s="13" t="s">
        <v>52</v>
      </c>
      <c r="F1065" s="15">
        <f t="shared" si="935"/>
        <v>2</v>
      </c>
      <c r="G1065" s="13">
        <v>1</v>
      </c>
      <c r="H1065" s="13">
        <f>G1065*$H$1063</f>
        <v>1</v>
      </c>
      <c r="I1065" s="13">
        <v>2</v>
      </c>
      <c r="J1065" s="14" t="s">
        <v>2053</v>
      </c>
      <c r="K1065" s="14" t="s">
        <v>34</v>
      </c>
      <c r="L1065" s="13" t="s">
        <v>110</v>
      </c>
      <c r="M1065" s="14" t="s">
        <v>340</v>
      </c>
      <c r="N1065" s="13" t="s">
        <v>2079</v>
      </c>
      <c r="O1065" s="28"/>
      <c r="P1065" s="28"/>
      <c r="Q1065" s="28" t="s">
        <v>2079</v>
      </c>
      <c r="R1065" s="30">
        <v>29.1</v>
      </c>
      <c r="S1065" s="30">
        <v>11.401574803149607</v>
      </c>
      <c r="T1065" s="30"/>
      <c r="U1065" s="30">
        <v>1</v>
      </c>
      <c r="V1065" s="8">
        <f t="shared" si="937"/>
        <v>739.14</v>
      </c>
      <c r="W1065" s="8">
        <f t="shared" si="938"/>
        <v>289.60000000000002</v>
      </c>
      <c r="X1065" s="8">
        <f t="shared" si="939"/>
        <v>0</v>
      </c>
      <c r="Y1065" s="33">
        <f t="shared" si="940"/>
        <v>25.4</v>
      </c>
      <c r="Z1065" s="28" t="s">
        <v>2056</v>
      </c>
      <c r="AA1065" s="28" t="s">
        <v>2057</v>
      </c>
      <c r="AB1065" s="61" t="s">
        <v>2079</v>
      </c>
      <c r="AC1065" s="31" t="s">
        <v>2080</v>
      </c>
      <c r="AD1065" s="50">
        <f t="shared" si="941"/>
        <v>1</v>
      </c>
      <c r="AE1065" s="31"/>
      <c r="AF1065" s="51">
        <v>14</v>
      </c>
      <c r="AG1065" s="51">
        <f t="shared" si="968"/>
        <v>8.4</v>
      </c>
      <c r="AH1065" s="51">
        <f t="shared" si="934"/>
        <v>42</v>
      </c>
      <c r="AI1065" s="52" t="s">
        <v>2497</v>
      </c>
      <c r="AJ1065" s="52" t="s">
        <v>2498</v>
      </c>
      <c r="AK1065" s="53">
        <f t="shared" si="969"/>
        <v>0.42810988800000005</v>
      </c>
      <c r="AL1065" s="54">
        <f t="shared" si="970"/>
        <v>0.11904761904761904</v>
      </c>
      <c r="AM1065" s="54">
        <f t="shared" si="971"/>
        <v>2.3809523809523808E-2</v>
      </c>
      <c r="AN1065" s="55">
        <f t="shared" si="972"/>
        <v>5.096546285714286E-2</v>
      </c>
      <c r="AO1065" s="55">
        <f t="shared" si="973"/>
        <v>1.0193092571428572E-2</v>
      </c>
      <c r="AP1065" s="53">
        <v>7.1</v>
      </c>
      <c r="AQ1065" s="53">
        <f t="shared" si="942"/>
        <v>4.26</v>
      </c>
      <c r="AR1065" s="53">
        <f t="shared" si="943"/>
        <v>21.299999999999997</v>
      </c>
      <c r="AS1065" s="56">
        <f t="shared" si="944"/>
        <v>4.6948356807511742E-2</v>
      </c>
      <c r="AT1065" s="56">
        <f t="shared" si="974"/>
        <v>0.23474178403755869</v>
      </c>
      <c r="AU1065" s="56">
        <f t="shared" si="945"/>
        <v>0.176056338028169</v>
      </c>
      <c r="AV1065" s="56">
        <f t="shared" si="975"/>
        <v>5.8685446009389672E-2</v>
      </c>
      <c r="AW1065" s="57"/>
      <c r="AX1065" s="57"/>
      <c r="AY1065" s="57"/>
      <c r="AZ1065" s="58">
        <f t="shared" si="976"/>
        <v>0.42810988800000005</v>
      </c>
      <c r="BA1065" s="59">
        <f t="shared" si="977"/>
        <v>0</v>
      </c>
      <c r="BB1065" s="59">
        <f t="shared" si="978"/>
        <v>0</v>
      </c>
      <c r="BC1065" s="59">
        <f t="shared" si="979"/>
        <v>0</v>
      </c>
      <c r="BD1065" s="60">
        <f t="shared" si="980"/>
        <v>6.25E-2</v>
      </c>
      <c r="BE1065" s="59">
        <f t="shared" si="981"/>
        <v>6.25E-2</v>
      </c>
      <c r="BQ1065" s="61">
        <v>3000</v>
      </c>
      <c r="BR1065" s="61">
        <v>1200</v>
      </c>
      <c r="BS1065" s="28">
        <f t="shared" si="946"/>
        <v>2980</v>
      </c>
      <c r="BT1065" s="28">
        <f t="shared" si="947"/>
        <v>1180</v>
      </c>
      <c r="BU1065" s="28" t="s">
        <v>2541</v>
      </c>
      <c r="BV1065" s="28">
        <f t="shared" si="948"/>
        <v>744.14</v>
      </c>
      <c r="BW1065" s="28">
        <f t="shared" si="949"/>
        <v>294.60000000000002</v>
      </c>
      <c r="BX1065" s="13">
        <f t="shared" si="950"/>
        <v>4.0046227860348864</v>
      </c>
      <c r="BY1065" s="13">
        <f t="shared" si="951"/>
        <v>4</v>
      </c>
      <c r="BZ1065" s="13">
        <f t="shared" si="952"/>
        <v>4.0054310930074672</v>
      </c>
      <c r="CA1065" s="13">
        <f t="shared" si="953"/>
        <v>4</v>
      </c>
      <c r="CB1065" s="13">
        <f t="shared" si="954"/>
        <v>16</v>
      </c>
      <c r="CC1065" s="62">
        <f t="shared" si="955"/>
        <v>6.25E-2</v>
      </c>
      <c r="CD1065" s="13">
        <f t="shared" si="956"/>
        <v>10.115410726408689</v>
      </c>
      <c r="CE1065" s="13">
        <f t="shared" si="957"/>
        <v>10</v>
      </c>
      <c r="CF1065" s="13">
        <f t="shared" si="958"/>
        <v>1.5857231166178407</v>
      </c>
      <c r="CG1065" s="13">
        <f t="shared" si="959"/>
        <v>1</v>
      </c>
      <c r="CH1065" s="28">
        <f t="shared" si="960"/>
        <v>10</v>
      </c>
      <c r="CI1065" s="62">
        <f t="shared" si="961"/>
        <v>0.1</v>
      </c>
      <c r="CJ1065" s="59">
        <f t="shared" si="962"/>
        <v>6.25E-2</v>
      </c>
      <c r="CL1065" s="63">
        <v>6000</v>
      </c>
      <c r="CM1065" s="63">
        <f t="shared" si="963"/>
        <v>739.14</v>
      </c>
      <c r="CN1065" s="63">
        <f t="shared" si="964"/>
        <v>744.14</v>
      </c>
      <c r="CO1065" s="63">
        <f t="shared" si="965"/>
        <v>8.0629988980568168</v>
      </c>
      <c r="CP1065" s="13">
        <f t="shared" si="966"/>
        <v>8</v>
      </c>
      <c r="CQ1065" s="70">
        <f t="shared" si="967"/>
        <v>0.125</v>
      </c>
      <c r="CR1065" s="69">
        <f t="shared" si="985"/>
        <v>0.125</v>
      </c>
    </row>
    <row r="1066" spans="1:96" hidden="1" x14ac:dyDescent="0.25">
      <c r="A1066" s="17">
        <v>5</v>
      </c>
      <c r="B1066" s="6" t="s">
        <v>2081</v>
      </c>
      <c r="C1066" s="17" t="s">
        <v>2056</v>
      </c>
      <c r="D1066" s="17" t="s">
        <v>2055</v>
      </c>
      <c r="E1066" s="17" t="s">
        <v>52</v>
      </c>
      <c r="F1066" s="7">
        <f t="shared" si="935"/>
        <v>6</v>
      </c>
      <c r="G1066" s="17">
        <v>2.2999999999999998</v>
      </c>
      <c r="H1066" s="17">
        <f>G1066*$H$1065</f>
        <v>2.2999999999999998</v>
      </c>
      <c r="I1066" s="17" t="s">
        <v>485</v>
      </c>
      <c r="J1066" s="6" t="s">
        <v>2060</v>
      </c>
      <c r="K1066" s="6" t="s">
        <v>2061</v>
      </c>
      <c r="L1066" s="17" t="s">
        <v>89</v>
      </c>
      <c r="M1066" s="6" t="s">
        <v>35</v>
      </c>
      <c r="N1066" s="17" t="s">
        <v>2082</v>
      </c>
      <c r="O1066" s="28"/>
      <c r="P1066" s="28"/>
      <c r="Q1066" s="28" t="s">
        <v>2082</v>
      </c>
      <c r="R1066" s="30"/>
      <c r="S1066" s="30"/>
      <c r="T1066" s="30"/>
      <c r="U1066" s="30"/>
      <c r="V1066" s="8">
        <f t="shared" si="937"/>
        <v>0</v>
      </c>
      <c r="W1066" s="8">
        <f t="shared" si="938"/>
        <v>0</v>
      </c>
      <c r="X1066" s="8">
        <f t="shared" si="939"/>
        <v>0</v>
      </c>
      <c r="Y1066" s="33">
        <f t="shared" si="940"/>
        <v>0</v>
      </c>
      <c r="Z1066" s="28"/>
      <c r="AA1066" s="28"/>
      <c r="AB1066" s="28" t="s">
        <v>2082</v>
      </c>
      <c r="AC1066" s="31"/>
      <c r="AD1066" s="50">
        <f t="shared" si="941"/>
        <v>2.2999999999999998</v>
      </c>
      <c r="AE1066" s="31"/>
      <c r="AF1066" s="51">
        <v>14</v>
      </c>
      <c r="AG1066" s="51">
        <f t="shared" si="968"/>
        <v>8.4</v>
      </c>
      <c r="AH1066" s="51">
        <f t="shared" si="934"/>
        <v>42</v>
      </c>
      <c r="AI1066" s="52" t="s">
        <v>2497</v>
      </c>
      <c r="AJ1066" s="52" t="s">
        <v>2498</v>
      </c>
      <c r="AK1066" s="53">
        <f t="shared" si="969"/>
        <v>0</v>
      </c>
      <c r="AL1066" s="54">
        <f t="shared" si="970"/>
        <v>0.11904761904761904</v>
      </c>
      <c r="AM1066" s="54">
        <f t="shared" si="971"/>
        <v>2.3809523809523808E-2</v>
      </c>
      <c r="AN1066" s="55">
        <f t="shared" si="972"/>
        <v>0</v>
      </c>
      <c r="AO1066" s="55">
        <f t="shared" si="973"/>
        <v>0</v>
      </c>
      <c r="AP1066" s="53">
        <v>7.1</v>
      </c>
      <c r="AQ1066" s="53">
        <f t="shared" si="942"/>
        <v>4.26</v>
      </c>
      <c r="AR1066" s="53">
        <f t="shared" si="943"/>
        <v>21.299999999999997</v>
      </c>
      <c r="AS1066" s="56">
        <f t="shared" si="944"/>
        <v>4.6948356807511742E-2</v>
      </c>
      <c r="AT1066" s="56">
        <f t="shared" si="974"/>
        <v>0.23474178403755869</v>
      </c>
      <c r="AU1066" s="56">
        <f t="shared" si="945"/>
        <v>0.176056338028169</v>
      </c>
      <c r="AV1066" s="56">
        <f t="shared" si="975"/>
        <v>5.8685446009389672E-2</v>
      </c>
      <c r="AW1066" s="57"/>
      <c r="AX1066" s="57"/>
      <c r="AY1066" s="57"/>
      <c r="AZ1066" s="58">
        <f t="shared" si="976"/>
        <v>0</v>
      </c>
      <c r="BA1066" s="59">
        <f t="shared" si="977"/>
        <v>0</v>
      </c>
      <c r="BB1066" s="59">
        <f t="shared" si="978"/>
        <v>0</v>
      </c>
      <c r="BC1066" s="59">
        <f t="shared" si="979"/>
        <v>0</v>
      </c>
      <c r="BD1066" s="60">
        <f t="shared" si="980"/>
        <v>7.1095438516664771E-6</v>
      </c>
      <c r="BE1066" s="59">
        <f t="shared" si="981"/>
        <v>1.6351950858832897E-5</v>
      </c>
      <c r="BQ1066" s="61">
        <v>3000</v>
      </c>
      <c r="BR1066" s="61">
        <v>1200</v>
      </c>
      <c r="BS1066" s="28">
        <f t="shared" si="946"/>
        <v>2980</v>
      </c>
      <c r="BT1066" s="28">
        <f t="shared" si="947"/>
        <v>1180</v>
      </c>
      <c r="BU1066" s="28" t="s">
        <v>2541</v>
      </c>
      <c r="BV1066" s="28">
        <f t="shared" si="948"/>
        <v>5</v>
      </c>
      <c r="BW1066" s="28">
        <f t="shared" si="949"/>
        <v>5</v>
      </c>
      <c r="BX1066" s="13">
        <f t="shared" si="950"/>
        <v>596</v>
      </c>
      <c r="BY1066" s="13">
        <f t="shared" si="951"/>
        <v>596</v>
      </c>
      <c r="BZ1066" s="13">
        <f t="shared" si="952"/>
        <v>236</v>
      </c>
      <c r="CA1066" s="13">
        <f t="shared" si="953"/>
        <v>236</v>
      </c>
      <c r="CB1066" s="13">
        <f t="shared" si="954"/>
        <v>140656</v>
      </c>
      <c r="CC1066" s="62">
        <f t="shared" si="955"/>
        <v>7.1095438516664771E-6</v>
      </c>
      <c r="CD1066" s="13">
        <f t="shared" si="956"/>
        <v>596</v>
      </c>
      <c r="CE1066" s="13">
        <f t="shared" si="957"/>
        <v>596</v>
      </c>
      <c r="CF1066" s="13">
        <f t="shared" si="958"/>
        <v>236</v>
      </c>
      <c r="CG1066" s="13">
        <f t="shared" si="959"/>
        <v>236</v>
      </c>
      <c r="CH1066" s="28">
        <f t="shared" si="960"/>
        <v>140656</v>
      </c>
      <c r="CI1066" s="62">
        <f t="shared" si="961"/>
        <v>7.1095438516664771E-6</v>
      </c>
      <c r="CJ1066" s="59">
        <f t="shared" si="962"/>
        <v>7.1095438516664771E-6</v>
      </c>
      <c r="CL1066" s="63">
        <v>6000</v>
      </c>
      <c r="CM1066" s="63">
        <f t="shared" si="963"/>
        <v>0</v>
      </c>
      <c r="CN1066" s="63">
        <f t="shared" si="964"/>
        <v>5</v>
      </c>
      <c r="CO1066" s="63">
        <f t="shared" si="965"/>
        <v>1200</v>
      </c>
      <c r="CP1066" s="13">
        <f t="shared" si="966"/>
        <v>1200</v>
      </c>
      <c r="CQ1066" s="70">
        <f t="shared" si="967"/>
        <v>8.3333333333333339E-4</v>
      </c>
      <c r="CR1066" s="69">
        <f t="shared" si="985"/>
        <v>1.9166666666666666E-3</v>
      </c>
    </row>
    <row r="1067" spans="1:96" hidden="1" x14ac:dyDescent="0.25">
      <c r="A1067" s="10">
        <v>3</v>
      </c>
      <c r="B1067" s="8" t="s">
        <v>2123</v>
      </c>
      <c r="C1067" s="10" t="s">
        <v>1910</v>
      </c>
      <c r="D1067" s="10" t="s">
        <v>1911</v>
      </c>
      <c r="E1067" s="10" t="s">
        <v>52</v>
      </c>
      <c r="F1067" s="12">
        <f t="shared" si="935"/>
        <v>8</v>
      </c>
      <c r="G1067" s="10">
        <v>2</v>
      </c>
      <c r="H1067" s="10">
        <f t="shared" ref="H1067" si="987">G1067*$H$1018</f>
        <v>2</v>
      </c>
      <c r="I1067" s="10">
        <v>25</v>
      </c>
      <c r="J1067" s="8" t="s">
        <v>480</v>
      </c>
      <c r="K1067" s="8" t="s">
        <v>34</v>
      </c>
      <c r="L1067" s="10">
        <v>0</v>
      </c>
      <c r="M1067" s="8" t="s">
        <v>35</v>
      </c>
      <c r="N1067" s="10" t="s">
        <v>1911</v>
      </c>
      <c r="O1067" s="28"/>
      <c r="P1067" s="28"/>
      <c r="Q1067" s="28" t="s">
        <v>1911</v>
      </c>
      <c r="R1067" s="30">
        <v>3.1339999999999999</v>
      </c>
      <c r="S1067" s="30">
        <v>1.4409999999999998</v>
      </c>
      <c r="T1067" s="30"/>
      <c r="U1067" s="30">
        <v>6.3E-2</v>
      </c>
      <c r="V1067" s="8">
        <f t="shared" si="937"/>
        <v>79.603599999999986</v>
      </c>
      <c r="W1067" s="8">
        <f t="shared" si="938"/>
        <v>36.601399999999991</v>
      </c>
      <c r="X1067" s="8">
        <f t="shared" si="939"/>
        <v>0</v>
      </c>
      <c r="Y1067" s="33">
        <f t="shared" si="940"/>
        <v>1.6001999999999998</v>
      </c>
      <c r="Z1067" s="28" t="s">
        <v>1912</v>
      </c>
      <c r="AA1067" s="28"/>
      <c r="AB1067" s="61" t="s">
        <v>1911</v>
      </c>
      <c r="AC1067" s="31" t="s">
        <v>1913</v>
      </c>
      <c r="AD1067" s="50">
        <f t="shared" si="941"/>
        <v>2</v>
      </c>
      <c r="AE1067" s="47" t="s">
        <v>2140</v>
      </c>
      <c r="AF1067" s="51">
        <v>14</v>
      </c>
      <c r="AG1067" s="51">
        <f t="shared" si="968"/>
        <v>8.4</v>
      </c>
      <c r="AH1067" s="51">
        <f t="shared" si="934"/>
        <v>42</v>
      </c>
      <c r="AI1067" s="52" t="s">
        <v>2497</v>
      </c>
      <c r="AJ1067" s="52" t="s">
        <v>2498</v>
      </c>
      <c r="AK1067" s="53">
        <f t="shared" si="969"/>
        <v>5.8272064100799974E-3</v>
      </c>
      <c r="AL1067" s="54">
        <f t="shared" si="970"/>
        <v>0.11904761904761904</v>
      </c>
      <c r="AM1067" s="54">
        <f t="shared" si="971"/>
        <v>2.3809523809523808E-2</v>
      </c>
      <c r="AN1067" s="55">
        <f t="shared" si="972"/>
        <v>1.3874300976380945E-3</v>
      </c>
      <c r="AO1067" s="55">
        <f t="shared" si="973"/>
        <v>2.7748601952761891E-4</v>
      </c>
      <c r="AP1067" s="53">
        <v>7.1</v>
      </c>
      <c r="AQ1067" s="53">
        <f t="shared" si="942"/>
        <v>4.26</v>
      </c>
      <c r="AR1067" s="53">
        <f t="shared" si="943"/>
        <v>21.299999999999997</v>
      </c>
      <c r="AS1067" s="56">
        <f t="shared" si="944"/>
        <v>4.6948356807511742E-2</v>
      </c>
      <c r="AT1067" s="56">
        <f t="shared" si="974"/>
        <v>0.23474178403755869</v>
      </c>
      <c r="AU1067" s="56">
        <f t="shared" si="945"/>
        <v>0.176056338028169</v>
      </c>
      <c r="AV1067" s="56">
        <f t="shared" si="975"/>
        <v>5.8685446009389672E-2</v>
      </c>
      <c r="AW1067" s="57"/>
      <c r="AX1067" s="57"/>
      <c r="AY1067" s="57"/>
      <c r="AZ1067" s="58">
        <f t="shared" si="976"/>
        <v>5.8272064100799974E-3</v>
      </c>
      <c r="BA1067" s="59">
        <f t="shared" si="977"/>
        <v>0</v>
      </c>
      <c r="BB1067" s="59">
        <f t="shared" si="978"/>
        <v>0</v>
      </c>
      <c r="BC1067" s="59">
        <f t="shared" si="979"/>
        <v>0</v>
      </c>
      <c r="BD1067" s="60">
        <f t="shared" si="980"/>
        <v>1.0204081632653062E-3</v>
      </c>
      <c r="BE1067" s="59">
        <f t="shared" si="981"/>
        <v>2.0408163265306124E-3</v>
      </c>
      <c r="BQ1067" s="61">
        <v>3000</v>
      </c>
      <c r="BR1067" s="61">
        <v>1200</v>
      </c>
      <c r="BS1067" s="28">
        <f t="shared" si="946"/>
        <v>2980</v>
      </c>
      <c r="BT1067" s="28">
        <f t="shared" si="947"/>
        <v>1180</v>
      </c>
      <c r="BU1067" s="28" t="s">
        <v>2541</v>
      </c>
      <c r="BV1067" s="28">
        <f t="shared" si="948"/>
        <v>84.603599999999986</v>
      </c>
      <c r="BW1067" s="28">
        <f t="shared" si="949"/>
        <v>41.601399999999991</v>
      </c>
      <c r="BX1067" s="13">
        <f t="shared" si="950"/>
        <v>35.223087433631669</v>
      </c>
      <c r="BY1067" s="13">
        <f t="shared" si="951"/>
        <v>35</v>
      </c>
      <c r="BZ1067" s="13">
        <f t="shared" si="952"/>
        <v>28.364430043219706</v>
      </c>
      <c r="CA1067" s="13">
        <f t="shared" si="953"/>
        <v>28</v>
      </c>
      <c r="CB1067" s="13">
        <f t="shared" si="954"/>
        <v>980</v>
      </c>
      <c r="CC1067" s="62">
        <f t="shared" si="955"/>
        <v>1.0204081632653062E-3</v>
      </c>
      <c r="CD1067" s="13">
        <f t="shared" si="956"/>
        <v>71.632204685419254</v>
      </c>
      <c r="CE1067" s="13">
        <f t="shared" si="957"/>
        <v>71</v>
      </c>
      <c r="CF1067" s="13">
        <f t="shared" si="958"/>
        <v>13.947397037478312</v>
      </c>
      <c r="CG1067" s="13">
        <f t="shared" si="959"/>
        <v>13</v>
      </c>
      <c r="CH1067" s="28">
        <f t="shared" si="960"/>
        <v>923</v>
      </c>
      <c r="CI1067" s="62">
        <f t="shared" si="961"/>
        <v>1.0834236186348862E-3</v>
      </c>
      <c r="CJ1067" s="59">
        <f t="shared" si="962"/>
        <v>1.0204081632653062E-3</v>
      </c>
      <c r="CL1067" s="63">
        <v>6000</v>
      </c>
      <c r="CM1067" s="63">
        <f t="shared" si="963"/>
        <v>79.603599999999986</v>
      </c>
      <c r="CN1067" s="63">
        <f t="shared" si="964"/>
        <v>84.603599999999986</v>
      </c>
      <c r="CO1067" s="63">
        <f t="shared" si="965"/>
        <v>70.918967987177865</v>
      </c>
      <c r="CP1067" s="13">
        <f t="shared" si="966"/>
        <v>70</v>
      </c>
      <c r="CQ1067" s="70">
        <f t="shared" si="967"/>
        <v>1.4285714285714285E-2</v>
      </c>
      <c r="CR1067" s="69">
        <f t="shared" si="985"/>
        <v>2.8571428571428571E-2</v>
      </c>
    </row>
    <row r="1068" spans="1:96" hidden="1" x14ac:dyDescent="0.25">
      <c r="A1068" s="10">
        <v>3</v>
      </c>
      <c r="B1068" s="8" t="s">
        <v>2123</v>
      </c>
      <c r="C1068" s="10" t="s">
        <v>492</v>
      </c>
      <c r="D1068" s="10" t="s">
        <v>495</v>
      </c>
      <c r="E1068" s="10" t="s">
        <v>52</v>
      </c>
      <c r="F1068" s="12">
        <f t="shared" si="935"/>
        <v>7</v>
      </c>
      <c r="G1068" s="10" t="s">
        <v>337</v>
      </c>
      <c r="H1068" s="10" t="str">
        <f>G1068</f>
        <v>A/R</v>
      </c>
      <c r="I1068" s="10">
        <v>26</v>
      </c>
      <c r="J1068" s="8" t="s">
        <v>493</v>
      </c>
      <c r="K1068" s="8" t="s">
        <v>494</v>
      </c>
      <c r="L1068" s="10" t="s">
        <v>339</v>
      </c>
      <c r="M1068" s="8" t="s">
        <v>35</v>
      </c>
      <c r="N1068" s="10" t="s">
        <v>495</v>
      </c>
      <c r="O1068" s="28"/>
      <c r="P1068" s="28"/>
      <c r="Q1068" s="28" t="s">
        <v>495</v>
      </c>
      <c r="R1068" s="30"/>
      <c r="S1068" s="30"/>
      <c r="T1068" s="30"/>
      <c r="U1068" s="30"/>
      <c r="V1068" s="8">
        <f t="shared" si="937"/>
        <v>0</v>
      </c>
      <c r="W1068" s="8">
        <f t="shared" si="938"/>
        <v>0</v>
      </c>
      <c r="X1068" s="8">
        <f t="shared" si="939"/>
        <v>0</v>
      </c>
      <c r="Y1068" s="33">
        <f t="shared" si="940"/>
        <v>0</v>
      </c>
      <c r="Z1068" s="28"/>
      <c r="AA1068" s="28"/>
      <c r="AB1068" s="61" t="s">
        <v>495</v>
      </c>
      <c r="AC1068" s="31" t="s">
        <v>496</v>
      </c>
      <c r="AD1068" s="50">
        <v>0</v>
      </c>
      <c r="AE1068" s="47" t="s">
        <v>2140</v>
      </c>
      <c r="AF1068" s="51">
        <v>14</v>
      </c>
      <c r="AG1068" s="51">
        <f t="shared" si="968"/>
        <v>8.4</v>
      </c>
      <c r="AH1068" s="51">
        <f t="shared" si="934"/>
        <v>42</v>
      </c>
      <c r="AI1068" s="52" t="s">
        <v>2497</v>
      </c>
      <c r="AJ1068" s="52" t="s">
        <v>2498</v>
      </c>
      <c r="AK1068" s="53">
        <f t="shared" si="969"/>
        <v>0</v>
      </c>
      <c r="AL1068" s="54">
        <f t="shared" si="970"/>
        <v>0.11904761904761904</v>
      </c>
      <c r="AM1068" s="54">
        <f t="shared" si="971"/>
        <v>2.3809523809523808E-2</v>
      </c>
      <c r="AN1068" s="55">
        <f t="shared" si="972"/>
        <v>0</v>
      </c>
      <c r="AO1068" s="55">
        <f t="shared" si="973"/>
        <v>0</v>
      </c>
      <c r="AP1068" s="53">
        <v>7.1</v>
      </c>
      <c r="AQ1068" s="53">
        <f t="shared" si="942"/>
        <v>4.26</v>
      </c>
      <c r="AR1068" s="53">
        <f t="shared" si="943"/>
        <v>21.299999999999997</v>
      </c>
      <c r="AS1068" s="56">
        <f t="shared" si="944"/>
        <v>4.6948356807511742E-2</v>
      </c>
      <c r="AT1068" s="56">
        <f t="shared" si="974"/>
        <v>0.23474178403755869</v>
      </c>
      <c r="AU1068" s="56">
        <f t="shared" si="945"/>
        <v>0.176056338028169</v>
      </c>
      <c r="AV1068" s="56">
        <f t="shared" si="975"/>
        <v>5.8685446009389672E-2</v>
      </c>
      <c r="AW1068" s="57"/>
      <c r="AX1068" s="57"/>
      <c r="AY1068" s="57"/>
      <c r="AZ1068" s="58">
        <f t="shared" si="976"/>
        <v>0</v>
      </c>
      <c r="BA1068" s="59">
        <f t="shared" si="977"/>
        <v>0</v>
      </c>
      <c r="BB1068" s="59">
        <f t="shared" si="978"/>
        <v>0</v>
      </c>
      <c r="BC1068" s="59">
        <f t="shared" si="979"/>
        <v>0</v>
      </c>
      <c r="BD1068" s="60">
        <f t="shared" si="980"/>
        <v>7.1095438516664771E-6</v>
      </c>
      <c r="BE1068" s="59">
        <f t="shared" si="981"/>
        <v>0</v>
      </c>
      <c r="BQ1068" s="61">
        <v>3000</v>
      </c>
      <c r="BR1068" s="61">
        <v>1200</v>
      </c>
      <c r="BS1068" s="28">
        <f t="shared" si="946"/>
        <v>2980</v>
      </c>
      <c r="BT1068" s="28">
        <f t="shared" si="947"/>
        <v>1180</v>
      </c>
      <c r="BU1068" s="28" t="s">
        <v>2541</v>
      </c>
      <c r="BV1068" s="28">
        <f t="shared" si="948"/>
        <v>5</v>
      </c>
      <c r="BW1068" s="28">
        <f t="shared" si="949"/>
        <v>5</v>
      </c>
      <c r="BX1068" s="13">
        <f t="shared" si="950"/>
        <v>596</v>
      </c>
      <c r="BY1068" s="13">
        <f t="shared" si="951"/>
        <v>596</v>
      </c>
      <c r="BZ1068" s="13">
        <f t="shared" si="952"/>
        <v>236</v>
      </c>
      <c r="CA1068" s="13">
        <f t="shared" si="953"/>
        <v>236</v>
      </c>
      <c r="CB1068" s="13">
        <f t="shared" si="954"/>
        <v>140656</v>
      </c>
      <c r="CC1068" s="62">
        <f t="shared" si="955"/>
        <v>7.1095438516664771E-6</v>
      </c>
      <c r="CD1068" s="13">
        <f t="shared" si="956"/>
        <v>596</v>
      </c>
      <c r="CE1068" s="13">
        <f t="shared" si="957"/>
        <v>596</v>
      </c>
      <c r="CF1068" s="13">
        <f t="shared" si="958"/>
        <v>236</v>
      </c>
      <c r="CG1068" s="13">
        <f t="shared" si="959"/>
        <v>236</v>
      </c>
      <c r="CH1068" s="28">
        <f t="shared" si="960"/>
        <v>140656</v>
      </c>
      <c r="CI1068" s="62">
        <f t="shared" si="961"/>
        <v>7.1095438516664771E-6</v>
      </c>
      <c r="CJ1068" s="59">
        <f t="shared" si="962"/>
        <v>7.1095438516664771E-6</v>
      </c>
      <c r="CL1068" s="63">
        <v>6000</v>
      </c>
      <c r="CM1068" s="63">
        <f t="shared" si="963"/>
        <v>0</v>
      </c>
      <c r="CN1068" s="63">
        <f t="shared" si="964"/>
        <v>5</v>
      </c>
      <c r="CO1068" s="63">
        <f t="shared" si="965"/>
        <v>1200</v>
      </c>
      <c r="CP1068" s="13">
        <f t="shared" si="966"/>
        <v>1200</v>
      </c>
      <c r="CQ1068" s="70">
        <f t="shared" si="967"/>
        <v>8.3333333333333339E-4</v>
      </c>
      <c r="CR1068" s="69">
        <f t="shared" si="985"/>
        <v>0</v>
      </c>
    </row>
    <row r="1069" spans="1:96" hidden="1" x14ac:dyDescent="0.25">
      <c r="A1069" s="36">
        <v>2</v>
      </c>
      <c r="B1069" s="37" t="s">
        <v>1865</v>
      </c>
      <c r="C1069" s="36" t="s">
        <v>2141</v>
      </c>
      <c r="D1069" s="36" t="s">
        <v>2270</v>
      </c>
      <c r="E1069" s="36" t="s">
        <v>52</v>
      </c>
      <c r="F1069" s="38">
        <f t="shared" si="935"/>
        <v>1</v>
      </c>
      <c r="G1069" s="36">
        <v>96</v>
      </c>
      <c r="H1069" s="36">
        <f t="shared" ref="H1069:H1072" si="988">G1069*$H$794</f>
        <v>96</v>
      </c>
      <c r="I1069" s="36">
        <v>9</v>
      </c>
      <c r="J1069" s="37" t="s">
        <v>1149</v>
      </c>
      <c r="K1069" s="37" t="s">
        <v>34</v>
      </c>
      <c r="L1069" s="36" t="s">
        <v>2142</v>
      </c>
      <c r="M1069" s="37" t="s">
        <v>35</v>
      </c>
      <c r="N1069" s="36" t="s">
        <v>2143</v>
      </c>
      <c r="O1069" s="28"/>
      <c r="P1069" s="28"/>
      <c r="Q1069" s="28" t="s">
        <v>103</v>
      </c>
      <c r="R1069" s="30">
        <v>0.75</v>
      </c>
      <c r="S1069" s="30">
        <v>0.75</v>
      </c>
      <c r="T1069" s="30">
        <v>0.28125</v>
      </c>
      <c r="U1069" s="30">
        <v>0.25</v>
      </c>
      <c r="V1069" s="8">
        <f t="shared" si="937"/>
        <v>19.049999999999997</v>
      </c>
      <c r="W1069" s="8">
        <f t="shared" si="938"/>
        <v>19.049999999999997</v>
      </c>
      <c r="X1069" s="8">
        <f t="shared" si="939"/>
        <v>7.1437499999999998</v>
      </c>
      <c r="Y1069" s="33">
        <f t="shared" si="940"/>
        <v>6.35</v>
      </c>
      <c r="Z1069" s="28" t="s">
        <v>80</v>
      </c>
      <c r="AA1069" s="28" t="s">
        <v>57</v>
      </c>
      <c r="AB1069" s="28" t="s">
        <v>103</v>
      </c>
      <c r="AC1069" s="31" t="s">
        <v>104</v>
      </c>
      <c r="AD1069" s="50">
        <f t="shared" si="941"/>
        <v>96</v>
      </c>
      <c r="AE1069" s="31"/>
      <c r="AF1069" s="51">
        <v>14</v>
      </c>
      <c r="AG1069" s="51">
        <f t="shared" si="968"/>
        <v>8.4</v>
      </c>
      <c r="AH1069" s="51">
        <f t="shared" si="934"/>
        <v>42</v>
      </c>
      <c r="AI1069" s="52"/>
      <c r="AJ1069" s="52"/>
      <c r="AK1069" s="53">
        <f t="shared" si="969"/>
        <v>7.2580499999999983E-4</v>
      </c>
      <c r="AL1069" s="54">
        <f t="shared" si="970"/>
        <v>0.11904761904761904</v>
      </c>
      <c r="AM1069" s="54">
        <f t="shared" si="971"/>
        <v>2.3809523809523808E-2</v>
      </c>
      <c r="AN1069" s="55">
        <f t="shared" si="972"/>
        <v>0</v>
      </c>
      <c r="AO1069" s="55">
        <f t="shared" si="973"/>
        <v>0</v>
      </c>
      <c r="AP1069" s="53">
        <v>7.1</v>
      </c>
      <c r="AQ1069" s="53">
        <f t="shared" si="942"/>
        <v>4.26</v>
      </c>
      <c r="AR1069" s="53">
        <f t="shared" si="943"/>
        <v>21.299999999999997</v>
      </c>
      <c r="AS1069" s="56">
        <f t="shared" si="944"/>
        <v>4.6948356807511742E-2</v>
      </c>
      <c r="AT1069" s="56">
        <f t="shared" si="974"/>
        <v>0.23474178403755869</v>
      </c>
      <c r="AU1069" s="56">
        <f t="shared" si="945"/>
        <v>0.176056338028169</v>
      </c>
      <c r="AV1069" s="56">
        <f t="shared" si="975"/>
        <v>5.8685446009389672E-2</v>
      </c>
      <c r="AW1069" s="57"/>
      <c r="AX1069" s="57"/>
      <c r="AY1069" s="57"/>
      <c r="AZ1069" s="58">
        <f t="shared" si="976"/>
        <v>7.2580499999999983E-4</v>
      </c>
      <c r="BA1069" s="59">
        <f t="shared" si="977"/>
        <v>0</v>
      </c>
      <c r="BB1069" s="59">
        <f t="shared" si="978"/>
        <v>0</v>
      </c>
      <c r="BC1069" s="59">
        <f t="shared" si="979"/>
        <v>0</v>
      </c>
      <c r="BD1069" s="60">
        <f t="shared" si="980"/>
        <v>1.6592002654720425E-4</v>
      </c>
      <c r="BE1069" s="59">
        <f t="shared" si="981"/>
        <v>1.5928322548531607E-2</v>
      </c>
      <c r="BQ1069" s="61">
        <v>3000</v>
      </c>
      <c r="BR1069" s="61">
        <v>1200</v>
      </c>
      <c r="BS1069" s="28">
        <f t="shared" si="946"/>
        <v>2980</v>
      </c>
      <c r="BT1069" s="28">
        <f t="shared" si="947"/>
        <v>1180</v>
      </c>
      <c r="BU1069" s="28" t="s">
        <v>2541</v>
      </c>
      <c r="BV1069" s="28">
        <f t="shared" si="948"/>
        <v>24.049999999999997</v>
      </c>
      <c r="BW1069" s="28">
        <f t="shared" si="949"/>
        <v>24.049999999999997</v>
      </c>
      <c r="BX1069" s="13">
        <f t="shared" si="950"/>
        <v>123.90852390852392</v>
      </c>
      <c r="BY1069" s="13">
        <f t="shared" si="951"/>
        <v>123</v>
      </c>
      <c r="BZ1069" s="13">
        <f t="shared" si="952"/>
        <v>49.064449064449072</v>
      </c>
      <c r="CA1069" s="13">
        <f t="shared" si="953"/>
        <v>49</v>
      </c>
      <c r="CB1069" s="13">
        <f t="shared" si="954"/>
        <v>6027</v>
      </c>
      <c r="CC1069" s="62">
        <f t="shared" si="955"/>
        <v>1.6592002654720425E-4</v>
      </c>
      <c r="CD1069" s="13">
        <f t="shared" si="956"/>
        <v>123.90852390852392</v>
      </c>
      <c r="CE1069" s="13">
        <f t="shared" si="957"/>
        <v>123</v>
      </c>
      <c r="CF1069" s="13">
        <f t="shared" si="958"/>
        <v>49.064449064449072</v>
      </c>
      <c r="CG1069" s="13">
        <f t="shared" si="959"/>
        <v>49</v>
      </c>
      <c r="CH1069" s="28">
        <f t="shared" si="960"/>
        <v>6027</v>
      </c>
      <c r="CI1069" s="62">
        <f t="shared" si="961"/>
        <v>1.6592002654720425E-4</v>
      </c>
      <c r="CJ1069" s="59">
        <f t="shared" si="962"/>
        <v>1.6592002654720425E-4</v>
      </c>
      <c r="CL1069" s="63">
        <v>6000</v>
      </c>
      <c r="CM1069" s="63">
        <f t="shared" si="963"/>
        <v>19.049999999999997</v>
      </c>
      <c r="CN1069" s="63">
        <f t="shared" si="964"/>
        <v>24.049999999999997</v>
      </c>
      <c r="CO1069" s="63">
        <f t="shared" si="965"/>
        <v>249.48024948024951</v>
      </c>
      <c r="CP1069" s="13">
        <f t="shared" si="966"/>
        <v>249</v>
      </c>
      <c r="CQ1069" s="70">
        <f t="shared" si="967"/>
        <v>4.0160642570281121E-3</v>
      </c>
      <c r="CR1069" s="69">
        <f t="shared" si="985"/>
        <v>0.38554216867469876</v>
      </c>
    </row>
    <row r="1070" spans="1:96" hidden="1" x14ac:dyDescent="0.25">
      <c r="A1070" s="36">
        <v>2</v>
      </c>
      <c r="B1070" s="37" t="s">
        <v>1865</v>
      </c>
      <c r="C1070" s="36" t="s">
        <v>207</v>
      </c>
      <c r="D1070" s="36" t="s">
        <v>209</v>
      </c>
      <c r="E1070" s="36" t="s">
        <v>52</v>
      </c>
      <c r="F1070" s="38">
        <f t="shared" si="935"/>
        <v>2</v>
      </c>
      <c r="G1070" s="36">
        <v>96</v>
      </c>
      <c r="H1070" s="36">
        <f t="shared" si="988"/>
        <v>96</v>
      </c>
      <c r="I1070" s="36">
        <v>10</v>
      </c>
      <c r="J1070" s="37" t="s">
        <v>208</v>
      </c>
      <c r="K1070" s="37" t="s">
        <v>34</v>
      </c>
      <c r="L1070" s="36">
        <v>0</v>
      </c>
      <c r="M1070" s="37" t="s">
        <v>35</v>
      </c>
      <c r="N1070" s="36" t="s">
        <v>209</v>
      </c>
      <c r="O1070" s="28"/>
      <c r="P1070" s="28"/>
      <c r="Q1070" s="28" t="s">
        <v>209</v>
      </c>
      <c r="R1070" s="30"/>
      <c r="S1070" s="30"/>
      <c r="T1070" s="30"/>
      <c r="U1070" s="30"/>
      <c r="V1070" s="8">
        <f t="shared" si="937"/>
        <v>0</v>
      </c>
      <c r="W1070" s="8">
        <f t="shared" si="938"/>
        <v>0</v>
      </c>
      <c r="X1070" s="8">
        <f t="shared" si="939"/>
        <v>0</v>
      </c>
      <c r="Y1070" s="33">
        <f t="shared" si="940"/>
        <v>0</v>
      </c>
      <c r="Z1070" s="28"/>
      <c r="AA1070" s="28"/>
      <c r="AB1070" s="61" t="s">
        <v>209</v>
      </c>
      <c r="AC1070" s="31" t="s">
        <v>210</v>
      </c>
      <c r="AD1070" s="50">
        <f t="shared" si="941"/>
        <v>96</v>
      </c>
      <c r="AE1070" s="47" t="s">
        <v>2140</v>
      </c>
      <c r="AF1070" s="51">
        <v>14</v>
      </c>
      <c r="AG1070" s="51">
        <f t="shared" si="968"/>
        <v>8.4</v>
      </c>
      <c r="AH1070" s="51">
        <f t="shared" si="934"/>
        <v>42</v>
      </c>
      <c r="AI1070" s="52"/>
      <c r="AJ1070" s="52"/>
      <c r="AK1070" s="53">
        <f t="shared" si="969"/>
        <v>0</v>
      </c>
      <c r="AL1070" s="54">
        <f t="shared" si="970"/>
        <v>0.11904761904761904</v>
      </c>
      <c r="AM1070" s="54">
        <f t="shared" si="971"/>
        <v>2.3809523809523808E-2</v>
      </c>
      <c r="AN1070" s="55">
        <f t="shared" si="972"/>
        <v>0</v>
      </c>
      <c r="AO1070" s="55">
        <f t="shared" si="973"/>
        <v>0</v>
      </c>
      <c r="AP1070" s="53">
        <v>7.1</v>
      </c>
      <c r="AQ1070" s="53">
        <f t="shared" si="942"/>
        <v>4.26</v>
      </c>
      <c r="AR1070" s="53">
        <f t="shared" si="943"/>
        <v>21.299999999999997</v>
      </c>
      <c r="AS1070" s="56">
        <f t="shared" si="944"/>
        <v>4.6948356807511742E-2</v>
      </c>
      <c r="AT1070" s="56">
        <f t="shared" si="974"/>
        <v>0.23474178403755869</v>
      </c>
      <c r="AU1070" s="56">
        <f t="shared" si="945"/>
        <v>0.176056338028169</v>
      </c>
      <c r="AV1070" s="56">
        <f t="shared" si="975"/>
        <v>5.8685446009389672E-2</v>
      </c>
      <c r="AW1070" s="57"/>
      <c r="AX1070" s="57"/>
      <c r="AY1070" s="57"/>
      <c r="AZ1070" s="58">
        <f t="shared" si="976"/>
        <v>0</v>
      </c>
      <c r="BA1070" s="59">
        <f t="shared" si="977"/>
        <v>0</v>
      </c>
      <c r="BB1070" s="59">
        <f t="shared" si="978"/>
        <v>0</v>
      </c>
      <c r="BC1070" s="59">
        <f t="shared" si="979"/>
        <v>0</v>
      </c>
      <c r="BD1070" s="60">
        <f t="shared" si="980"/>
        <v>7.1095438516664771E-6</v>
      </c>
      <c r="BE1070" s="59">
        <f t="shared" si="981"/>
        <v>6.8251620975998183E-4</v>
      </c>
      <c r="BQ1070" s="61">
        <v>3000</v>
      </c>
      <c r="BR1070" s="61">
        <v>1200</v>
      </c>
      <c r="BS1070" s="28">
        <f t="shared" si="946"/>
        <v>2980</v>
      </c>
      <c r="BT1070" s="28">
        <f t="shared" si="947"/>
        <v>1180</v>
      </c>
      <c r="BU1070" s="28" t="s">
        <v>2541</v>
      </c>
      <c r="BV1070" s="28">
        <f t="shared" si="948"/>
        <v>5</v>
      </c>
      <c r="BW1070" s="28">
        <f t="shared" si="949"/>
        <v>5</v>
      </c>
      <c r="BX1070" s="13">
        <f t="shared" si="950"/>
        <v>596</v>
      </c>
      <c r="BY1070" s="13">
        <f t="shared" si="951"/>
        <v>596</v>
      </c>
      <c r="BZ1070" s="13">
        <f t="shared" si="952"/>
        <v>236</v>
      </c>
      <c r="CA1070" s="13">
        <f t="shared" si="953"/>
        <v>236</v>
      </c>
      <c r="CB1070" s="13">
        <f t="shared" si="954"/>
        <v>140656</v>
      </c>
      <c r="CC1070" s="62">
        <f t="shared" si="955"/>
        <v>7.1095438516664771E-6</v>
      </c>
      <c r="CD1070" s="13">
        <f t="shared" si="956"/>
        <v>596</v>
      </c>
      <c r="CE1070" s="13">
        <f t="shared" si="957"/>
        <v>596</v>
      </c>
      <c r="CF1070" s="13">
        <f t="shared" si="958"/>
        <v>236</v>
      </c>
      <c r="CG1070" s="13">
        <f t="shared" si="959"/>
        <v>236</v>
      </c>
      <c r="CH1070" s="28">
        <f t="shared" si="960"/>
        <v>140656</v>
      </c>
      <c r="CI1070" s="62">
        <f t="shared" si="961"/>
        <v>7.1095438516664771E-6</v>
      </c>
      <c r="CJ1070" s="59">
        <f t="shared" si="962"/>
        <v>7.1095438516664771E-6</v>
      </c>
      <c r="CL1070" s="63">
        <v>6000</v>
      </c>
      <c r="CM1070" s="63">
        <f t="shared" si="963"/>
        <v>0</v>
      </c>
      <c r="CN1070" s="63">
        <f t="shared" si="964"/>
        <v>5</v>
      </c>
      <c r="CO1070" s="63">
        <f t="shared" si="965"/>
        <v>1200</v>
      </c>
      <c r="CP1070" s="13">
        <f t="shared" si="966"/>
        <v>1200</v>
      </c>
      <c r="CQ1070" s="70">
        <f t="shared" si="967"/>
        <v>8.3333333333333339E-4</v>
      </c>
      <c r="CR1070" s="69">
        <f t="shared" si="985"/>
        <v>0.08</v>
      </c>
    </row>
    <row r="1071" spans="1:96" hidden="1" x14ac:dyDescent="0.25">
      <c r="A1071" s="36">
        <v>2</v>
      </c>
      <c r="B1071" s="37" t="s">
        <v>1865</v>
      </c>
      <c r="C1071" s="36" t="s">
        <v>1594</v>
      </c>
      <c r="D1071" s="36" t="s">
        <v>1596</v>
      </c>
      <c r="E1071" s="36" t="s">
        <v>52</v>
      </c>
      <c r="F1071" s="38">
        <f t="shared" si="935"/>
        <v>2</v>
      </c>
      <c r="G1071" s="36">
        <v>96</v>
      </c>
      <c r="H1071" s="36">
        <f t="shared" si="988"/>
        <v>96</v>
      </c>
      <c r="I1071" s="36">
        <v>11</v>
      </c>
      <c r="J1071" s="37" t="s">
        <v>1595</v>
      </c>
      <c r="K1071" s="37" t="s">
        <v>34</v>
      </c>
      <c r="L1071" s="36">
        <v>0</v>
      </c>
      <c r="M1071" s="37" t="s">
        <v>35</v>
      </c>
      <c r="N1071" s="36" t="s">
        <v>2144</v>
      </c>
      <c r="O1071" s="28"/>
      <c r="P1071" s="28"/>
      <c r="Q1071" s="28" t="s">
        <v>2144</v>
      </c>
      <c r="R1071" s="30"/>
      <c r="S1071" s="30"/>
      <c r="T1071" s="30"/>
      <c r="U1071" s="30"/>
      <c r="V1071" s="8">
        <f t="shared" si="937"/>
        <v>0</v>
      </c>
      <c r="W1071" s="8">
        <f t="shared" si="938"/>
        <v>0</v>
      </c>
      <c r="X1071" s="8">
        <f t="shared" si="939"/>
        <v>0</v>
      </c>
      <c r="Y1071" s="33">
        <f t="shared" si="940"/>
        <v>0</v>
      </c>
      <c r="Z1071" s="28"/>
      <c r="AA1071" s="28"/>
      <c r="AB1071" s="61" t="s">
        <v>2144</v>
      </c>
      <c r="AC1071" s="31" t="s">
        <v>1597</v>
      </c>
      <c r="AD1071" s="50">
        <f t="shared" si="941"/>
        <v>96</v>
      </c>
      <c r="AE1071" s="47" t="s">
        <v>2140</v>
      </c>
      <c r="AF1071" s="51">
        <v>14</v>
      </c>
      <c r="AG1071" s="51">
        <f t="shared" si="968"/>
        <v>8.4</v>
      </c>
      <c r="AH1071" s="51">
        <f t="shared" si="934"/>
        <v>42</v>
      </c>
      <c r="AI1071" s="52"/>
      <c r="AJ1071" s="52"/>
      <c r="AK1071" s="53">
        <f t="shared" si="969"/>
        <v>0</v>
      </c>
      <c r="AL1071" s="54">
        <f t="shared" si="970"/>
        <v>0.11904761904761904</v>
      </c>
      <c r="AM1071" s="54">
        <f t="shared" si="971"/>
        <v>2.3809523809523808E-2</v>
      </c>
      <c r="AN1071" s="55">
        <f t="shared" si="972"/>
        <v>0</v>
      </c>
      <c r="AO1071" s="55">
        <f t="shared" si="973"/>
        <v>0</v>
      </c>
      <c r="AP1071" s="53">
        <v>7.1</v>
      </c>
      <c r="AQ1071" s="53">
        <f t="shared" si="942"/>
        <v>4.26</v>
      </c>
      <c r="AR1071" s="53">
        <f t="shared" si="943"/>
        <v>21.299999999999997</v>
      </c>
      <c r="AS1071" s="56">
        <f t="shared" si="944"/>
        <v>4.6948356807511742E-2</v>
      </c>
      <c r="AT1071" s="56">
        <f t="shared" si="974"/>
        <v>0.23474178403755869</v>
      </c>
      <c r="AU1071" s="56">
        <f t="shared" si="945"/>
        <v>0.176056338028169</v>
      </c>
      <c r="AV1071" s="56">
        <f t="shared" si="975"/>
        <v>5.8685446009389672E-2</v>
      </c>
      <c r="AW1071" s="57"/>
      <c r="AX1071" s="57"/>
      <c r="AY1071" s="57"/>
      <c r="AZ1071" s="58">
        <f t="shared" si="976"/>
        <v>0</v>
      </c>
      <c r="BA1071" s="59">
        <f t="shared" si="977"/>
        <v>0</v>
      </c>
      <c r="BB1071" s="59">
        <f t="shared" si="978"/>
        <v>0</v>
      </c>
      <c r="BC1071" s="59">
        <f t="shared" si="979"/>
        <v>0</v>
      </c>
      <c r="BD1071" s="60">
        <f t="shared" si="980"/>
        <v>7.1095438516664771E-6</v>
      </c>
      <c r="BE1071" s="59">
        <f t="shared" si="981"/>
        <v>6.8251620975998183E-4</v>
      </c>
      <c r="BQ1071" s="61">
        <v>3000</v>
      </c>
      <c r="BR1071" s="61">
        <v>1200</v>
      </c>
      <c r="BS1071" s="28">
        <f t="shared" si="946"/>
        <v>2980</v>
      </c>
      <c r="BT1071" s="28">
        <f t="shared" si="947"/>
        <v>1180</v>
      </c>
      <c r="BU1071" s="28" t="s">
        <v>2541</v>
      </c>
      <c r="BV1071" s="28">
        <f t="shared" si="948"/>
        <v>5</v>
      </c>
      <c r="BW1071" s="28">
        <f t="shared" si="949"/>
        <v>5</v>
      </c>
      <c r="BX1071" s="13">
        <f t="shared" si="950"/>
        <v>596</v>
      </c>
      <c r="BY1071" s="13">
        <f t="shared" si="951"/>
        <v>596</v>
      </c>
      <c r="BZ1071" s="13">
        <f t="shared" si="952"/>
        <v>236</v>
      </c>
      <c r="CA1071" s="13">
        <f t="shared" si="953"/>
        <v>236</v>
      </c>
      <c r="CB1071" s="13">
        <f t="shared" si="954"/>
        <v>140656</v>
      </c>
      <c r="CC1071" s="62">
        <f t="shared" si="955"/>
        <v>7.1095438516664771E-6</v>
      </c>
      <c r="CD1071" s="13">
        <f t="shared" si="956"/>
        <v>596</v>
      </c>
      <c r="CE1071" s="13">
        <f t="shared" si="957"/>
        <v>596</v>
      </c>
      <c r="CF1071" s="13">
        <f t="shared" si="958"/>
        <v>236</v>
      </c>
      <c r="CG1071" s="13">
        <f t="shared" si="959"/>
        <v>236</v>
      </c>
      <c r="CH1071" s="28">
        <f t="shared" si="960"/>
        <v>140656</v>
      </c>
      <c r="CI1071" s="62">
        <f t="shared" si="961"/>
        <v>7.1095438516664771E-6</v>
      </c>
      <c r="CJ1071" s="59">
        <f t="shared" si="962"/>
        <v>7.1095438516664771E-6</v>
      </c>
      <c r="CL1071" s="63">
        <v>6000</v>
      </c>
      <c r="CM1071" s="63">
        <f t="shared" si="963"/>
        <v>0</v>
      </c>
      <c r="CN1071" s="63">
        <f t="shared" si="964"/>
        <v>5</v>
      </c>
      <c r="CO1071" s="63">
        <f t="shared" si="965"/>
        <v>1200</v>
      </c>
      <c r="CP1071" s="13">
        <f t="shared" si="966"/>
        <v>1200</v>
      </c>
      <c r="CQ1071" s="70">
        <f t="shared" si="967"/>
        <v>8.3333333333333339E-4</v>
      </c>
      <c r="CR1071" s="69">
        <f t="shared" si="985"/>
        <v>0.08</v>
      </c>
    </row>
    <row r="1072" spans="1:96" hidden="1" x14ac:dyDescent="0.25">
      <c r="A1072" s="36">
        <v>2</v>
      </c>
      <c r="B1072" s="37" t="s">
        <v>1865</v>
      </c>
      <c r="C1072" s="36" t="s">
        <v>2145</v>
      </c>
      <c r="D1072" s="36" t="s">
        <v>2270</v>
      </c>
      <c r="E1072" s="36" t="s">
        <v>52</v>
      </c>
      <c r="F1072" s="38">
        <f t="shared" si="935"/>
        <v>4</v>
      </c>
      <c r="G1072" s="36">
        <v>24</v>
      </c>
      <c r="H1072" s="36">
        <f t="shared" si="988"/>
        <v>24</v>
      </c>
      <c r="I1072" s="36">
        <v>12</v>
      </c>
      <c r="J1072" s="37" t="s">
        <v>469</v>
      </c>
      <c r="K1072" s="37" t="s">
        <v>34</v>
      </c>
      <c r="L1072" s="36" t="s">
        <v>194</v>
      </c>
      <c r="M1072" s="37" t="s">
        <v>35</v>
      </c>
      <c r="N1072" s="36" t="s">
        <v>2146</v>
      </c>
      <c r="O1072" s="28"/>
      <c r="P1072" s="28"/>
      <c r="Q1072" s="28"/>
      <c r="R1072" s="30"/>
      <c r="S1072" s="30"/>
      <c r="T1072" s="30"/>
      <c r="U1072" s="30"/>
      <c r="V1072" s="8">
        <f t="shared" si="937"/>
        <v>0</v>
      </c>
      <c r="W1072" s="8">
        <f t="shared" si="938"/>
        <v>0</v>
      </c>
      <c r="X1072" s="8">
        <f t="shared" si="939"/>
        <v>0</v>
      </c>
      <c r="Y1072" s="33">
        <f t="shared" si="940"/>
        <v>0</v>
      </c>
      <c r="Z1072" s="28"/>
      <c r="AA1072" s="28"/>
      <c r="AB1072" s="28"/>
      <c r="AC1072" s="31"/>
      <c r="AD1072" s="50">
        <f t="shared" si="941"/>
        <v>24</v>
      </c>
      <c r="AE1072" s="31"/>
      <c r="AF1072" s="51">
        <v>14</v>
      </c>
      <c r="AG1072" s="51">
        <f t="shared" si="968"/>
        <v>8.4</v>
      </c>
      <c r="AH1072" s="51">
        <f t="shared" si="934"/>
        <v>42</v>
      </c>
      <c r="AI1072" s="52"/>
      <c r="AJ1072" s="52"/>
      <c r="AK1072" s="53">
        <f t="shared" si="969"/>
        <v>0</v>
      </c>
      <c r="AL1072" s="54">
        <f t="shared" si="970"/>
        <v>0.11904761904761904</v>
      </c>
      <c r="AM1072" s="54">
        <f t="shared" si="971"/>
        <v>2.3809523809523808E-2</v>
      </c>
      <c r="AN1072" s="55">
        <f t="shared" si="972"/>
        <v>0</v>
      </c>
      <c r="AO1072" s="55">
        <f t="shared" si="973"/>
        <v>0</v>
      </c>
      <c r="AP1072" s="53">
        <v>7.1</v>
      </c>
      <c r="AQ1072" s="53">
        <f t="shared" si="942"/>
        <v>4.26</v>
      </c>
      <c r="AR1072" s="53">
        <f t="shared" si="943"/>
        <v>21.299999999999997</v>
      </c>
      <c r="AS1072" s="56">
        <f t="shared" si="944"/>
        <v>4.6948356807511742E-2</v>
      </c>
      <c r="AT1072" s="56">
        <f t="shared" si="974"/>
        <v>0.23474178403755869</v>
      </c>
      <c r="AU1072" s="56">
        <f t="shared" si="945"/>
        <v>0.176056338028169</v>
      </c>
      <c r="AV1072" s="56">
        <f t="shared" si="975"/>
        <v>5.8685446009389672E-2</v>
      </c>
      <c r="AW1072" s="57"/>
      <c r="AX1072" s="57"/>
      <c r="AY1072" s="57"/>
      <c r="AZ1072" s="58">
        <f t="shared" si="976"/>
        <v>0</v>
      </c>
      <c r="BA1072" s="59">
        <f t="shared" si="977"/>
        <v>0</v>
      </c>
      <c r="BB1072" s="59">
        <f t="shared" si="978"/>
        <v>0</v>
      </c>
      <c r="BC1072" s="59">
        <f t="shared" si="979"/>
        <v>0</v>
      </c>
      <c r="BD1072" s="60">
        <f t="shared" si="980"/>
        <v>7.1095438516664771E-6</v>
      </c>
      <c r="BE1072" s="59">
        <f t="shared" si="981"/>
        <v>1.7062905243999546E-4</v>
      </c>
      <c r="BQ1072" s="61">
        <v>3000</v>
      </c>
      <c r="BR1072" s="61">
        <v>1200</v>
      </c>
      <c r="BS1072" s="28">
        <f t="shared" si="946"/>
        <v>2980</v>
      </c>
      <c r="BT1072" s="28">
        <f t="shared" si="947"/>
        <v>1180</v>
      </c>
      <c r="BU1072" s="28" t="s">
        <v>2541</v>
      </c>
      <c r="BV1072" s="28">
        <f t="shared" si="948"/>
        <v>5</v>
      </c>
      <c r="BW1072" s="28">
        <f t="shared" si="949"/>
        <v>5</v>
      </c>
      <c r="BX1072" s="13">
        <f t="shared" si="950"/>
        <v>596</v>
      </c>
      <c r="BY1072" s="13">
        <f t="shared" si="951"/>
        <v>596</v>
      </c>
      <c r="BZ1072" s="13">
        <f t="shared" si="952"/>
        <v>236</v>
      </c>
      <c r="CA1072" s="13">
        <f t="shared" si="953"/>
        <v>236</v>
      </c>
      <c r="CB1072" s="13">
        <f t="shared" si="954"/>
        <v>140656</v>
      </c>
      <c r="CC1072" s="62">
        <f t="shared" si="955"/>
        <v>7.1095438516664771E-6</v>
      </c>
      <c r="CD1072" s="13">
        <f t="shared" si="956"/>
        <v>596</v>
      </c>
      <c r="CE1072" s="13">
        <f t="shared" si="957"/>
        <v>596</v>
      </c>
      <c r="CF1072" s="13">
        <f t="shared" si="958"/>
        <v>236</v>
      </c>
      <c r="CG1072" s="13">
        <f t="shared" si="959"/>
        <v>236</v>
      </c>
      <c r="CH1072" s="28">
        <f t="shared" si="960"/>
        <v>140656</v>
      </c>
      <c r="CI1072" s="62">
        <f t="shared" si="961"/>
        <v>7.1095438516664771E-6</v>
      </c>
      <c r="CJ1072" s="59">
        <f t="shared" si="962"/>
        <v>7.1095438516664771E-6</v>
      </c>
      <c r="CL1072" s="63">
        <v>6000</v>
      </c>
      <c r="CM1072" s="63">
        <f t="shared" si="963"/>
        <v>0</v>
      </c>
      <c r="CN1072" s="63">
        <f t="shared" si="964"/>
        <v>5</v>
      </c>
      <c r="CO1072" s="63">
        <f t="shared" si="965"/>
        <v>1200</v>
      </c>
      <c r="CP1072" s="13">
        <f t="shared" si="966"/>
        <v>1200</v>
      </c>
      <c r="CQ1072" s="70">
        <f t="shared" si="967"/>
        <v>8.3333333333333339E-4</v>
      </c>
      <c r="CR1072" s="69">
        <f t="shared" si="985"/>
        <v>0.02</v>
      </c>
    </row>
    <row r="1073" spans="1:96" hidden="1" x14ac:dyDescent="0.25">
      <c r="A1073" s="10">
        <v>3</v>
      </c>
      <c r="B1073" s="8"/>
      <c r="C1073" s="10" t="s">
        <v>2145</v>
      </c>
      <c r="D1073" s="10" t="s">
        <v>2270</v>
      </c>
      <c r="E1073" s="10" t="s">
        <v>52</v>
      </c>
      <c r="F1073" s="12">
        <f t="shared" si="935"/>
        <v>4</v>
      </c>
      <c r="G1073" s="10">
        <v>1</v>
      </c>
      <c r="H1073" s="10">
        <f>G1073*$H$1072</f>
        <v>24</v>
      </c>
      <c r="I1073" s="10"/>
      <c r="J1073" s="8" t="s">
        <v>469</v>
      </c>
      <c r="K1073" s="8"/>
      <c r="L1073" s="10" t="s">
        <v>194</v>
      </c>
      <c r="M1073" s="8" t="s">
        <v>35</v>
      </c>
      <c r="N1073" s="10" t="s">
        <v>2147</v>
      </c>
      <c r="O1073" s="28"/>
      <c r="P1073" s="28"/>
      <c r="Q1073" s="28" t="s">
        <v>124</v>
      </c>
      <c r="R1073" s="30">
        <v>3</v>
      </c>
      <c r="S1073" s="30">
        <v>2.3818897637795278</v>
      </c>
      <c r="T1073" s="30"/>
      <c r="U1073" s="30">
        <v>0.09</v>
      </c>
      <c r="V1073" s="8">
        <f t="shared" si="937"/>
        <v>76.199999999999989</v>
      </c>
      <c r="W1073" s="8">
        <f t="shared" si="938"/>
        <v>60.5</v>
      </c>
      <c r="X1073" s="8">
        <f t="shared" si="939"/>
        <v>0</v>
      </c>
      <c r="Y1073" s="33">
        <f t="shared" si="940"/>
        <v>2.2859999999999996</v>
      </c>
      <c r="Z1073" s="28" t="s">
        <v>2148</v>
      </c>
      <c r="AA1073" s="28" t="s">
        <v>57</v>
      </c>
      <c r="AB1073" s="61" t="s">
        <v>124</v>
      </c>
      <c r="AC1073" s="31" t="s">
        <v>125</v>
      </c>
      <c r="AD1073" s="50">
        <f t="shared" si="941"/>
        <v>24</v>
      </c>
      <c r="AE1073" s="31"/>
      <c r="AF1073" s="51">
        <v>14</v>
      </c>
      <c r="AG1073" s="51">
        <f t="shared" si="968"/>
        <v>8.4</v>
      </c>
      <c r="AH1073" s="51">
        <f t="shared" si="934"/>
        <v>42</v>
      </c>
      <c r="AI1073" s="52"/>
      <c r="AJ1073" s="52"/>
      <c r="AK1073" s="53">
        <f t="shared" si="969"/>
        <v>9.2201999999999996E-3</v>
      </c>
      <c r="AL1073" s="54">
        <f t="shared" si="970"/>
        <v>0.11904761904761904</v>
      </c>
      <c r="AM1073" s="54">
        <f t="shared" si="971"/>
        <v>2.3809523809523808E-2</v>
      </c>
      <c r="AN1073" s="55">
        <f t="shared" si="972"/>
        <v>0</v>
      </c>
      <c r="AO1073" s="55">
        <f t="shared" si="973"/>
        <v>0</v>
      </c>
      <c r="AP1073" s="53">
        <v>7.1</v>
      </c>
      <c r="AQ1073" s="53">
        <f t="shared" si="942"/>
        <v>4.26</v>
      </c>
      <c r="AR1073" s="53">
        <f t="shared" si="943"/>
        <v>21.299999999999997</v>
      </c>
      <c r="AS1073" s="56">
        <f t="shared" si="944"/>
        <v>4.6948356807511742E-2</v>
      </c>
      <c r="AT1073" s="56">
        <f t="shared" si="974"/>
        <v>0.23474178403755869</v>
      </c>
      <c r="AU1073" s="56">
        <f t="shared" si="945"/>
        <v>0.176056338028169</v>
      </c>
      <c r="AV1073" s="56">
        <f t="shared" si="975"/>
        <v>5.8685446009389672E-2</v>
      </c>
      <c r="AW1073" s="57"/>
      <c r="AX1073" s="57"/>
      <c r="AY1073" s="57"/>
      <c r="AZ1073" s="58">
        <f t="shared" si="976"/>
        <v>9.2201999999999996E-3</v>
      </c>
      <c r="BA1073" s="59">
        <f t="shared" si="977"/>
        <v>0</v>
      </c>
      <c r="BB1073" s="59">
        <f t="shared" si="978"/>
        <v>0</v>
      </c>
      <c r="BC1073" s="59">
        <f t="shared" si="979"/>
        <v>0</v>
      </c>
      <c r="BD1073" s="60">
        <f t="shared" si="980"/>
        <v>1.5432098765432098E-3</v>
      </c>
      <c r="BE1073" s="59">
        <f t="shared" si="981"/>
        <v>3.7037037037037035E-2</v>
      </c>
      <c r="BQ1073" s="61">
        <v>3000</v>
      </c>
      <c r="BR1073" s="61">
        <v>1200</v>
      </c>
      <c r="BS1073" s="28">
        <f t="shared" si="946"/>
        <v>2980</v>
      </c>
      <c r="BT1073" s="28">
        <f t="shared" si="947"/>
        <v>1180</v>
      </c>
      <c r="BU1073" s="28" t="s">
        <v>2541</v>
      </c>
      <c r="BV1073" s="28">
        <f t="shared" si="948"/>
        <v>81.199999999999989</v>
      </c>
      <c r="BW1073" s="28">
        <f t="shared" si="949"/>
        <v>65.5</v>
      </c>
      <c r="BX1073" s="13">
        <f t="shared" si="950"/>
        <v>36.699507389162569</v>
      </c>
      <c r="BY1073" s="13">
        <f t="shared" si="951"/>
        <v>36</v>
      </c>
      <c r="BZ1073" s="13">
        <f t="shared" si="952"/>
        <v>18.015267175572518</v>
      </c>
      <c r="CA1073" s="13">
        <f t="shared" si="953"/>
        <v>18</v>
      </c>
      <c r="CB1073" s="13">
        <f t="shared" si="954"/>
        <v>648</v>
      </c>
      <c r="CC1073" s="62">
        <f t="shared" si="955"/>
        <v>1.5432098765432098E-3</v>
      </c>
      <c r="CD1073" s="13">
        <f t="shared" si="956"/>
        <v>45.496183206106871</v>
      </c>
      <c r="CE1073" s="13">
        <f t="shared" si="957"/>
        <v>45</v>
      </c>
      <c r="CF1073" s="13">
        <f t="shared" si="958"/>
        <v>14.5320197044335</v>
      </c>
      <c r="CG1073" s="13">
        <f t="shared" si="959"/>
        <v>14</v>
      </c>
      <c r="CH1073" s="28">
        <f t="shared" si="960"/>
        <v>630</v>
      </c>
      <c r="CI1073" s="62">
        <f t="shared" si="961"/>
        <v>1.5873015873015873E-3</v>
      </c>
      <c r="CJ1073" s="59">
        <f t="shared" si="962"/>
        <v>1.5432098765432098E-3</v>
      </c>
      <c r="CL1073" s="63">
        <v>6000</v>
      </c>
      <c r="CM1073" s="63">
        <f t="shared" si="963"/>
        <v>76.199999999999989</v>
      </c>
      <c r="CN1073" s="63">
        <f t="shared" si="964"/>
        <v>81.199999999999989</v>
      </c>
      <c r="CO1073" s="63">
        <f t="shared" si="965"/>
        <v>73.891625615763559</v>
      </c>
      <c r="CP1073" s="13">
        <f t="shared" si="966"/>
        <v>73</v>
      </c>
      <c r="CQ1073" s="70">
        <f t="shared" si="967"/>
        <v>1.3698630136986301E-2</v>
      </c>
      <c r="CR1073" s="69">
        <f t="shared" si="985"/>
        <v>0.32876712328767121</v>
      </c>
    </row>
    <row r="1074" spans="1:96" hidden="1" x14ac:dyDescent="0.25">
      <c r="A1074" s="10">
        <v>3</v>
      </c>
      <c r="B1074" s="8"/>
      <c r="C1074" s="10" t="s">
        <v>2145</v>
      </c>
      <c r="D1074" s="10" t="s">
        <v>2270</v>
      </c>
      <c r="E1074" s="10" t="s">
        <v>52</v>
      </c>
      <c r="F1074" s="12">
        <f t="shared" si="935"/>
        <v>4</v>
      </c>
      <c r="G1074" s="10">
        <v>1</v>
      </c>
      <c r="H1074" s="10">
        <f t="shared" ref="H1074:H1076" si="989">G1074*$H$1072</f>
        <v>24</v>
      </c>
      <c r="I1074" s="10"/>
      <c r="J1074" s="8" t="s">
        <v>469</v>
      </c>
      <c r="K1074" s="8"/>
      <c r="L1074" s="10" t="s">
        <v>194</v>
      </c>
      <c r="M1074" s="8" t="s">
        <v>35</v>
      </c>
      <c r="N1074" s="10" t="s">
        <v>2149</v>
      </c>
      <c r="O1074" s="28"/>
      <c r="P1074" s="28"/>
      <c r="Q1074" s="28" t="s">
        <v>124</v>
      </c>
      <c r="R1074" s="30">
        <v>3</v>
      </c>
      <c r="S1074" s="30">
        <v>2.3818897637795278</v>
      </c>
      <c r="T1074" s="30"/>
      <c r="U1074" s="30">
        <v>0.09</v>
      </c>
      <c r="V1074" s="8">
        <f t="shared" si="937"/>
        <v>76.199999999999989</v>
      </c>
      <c r="W1074" s="8">
        <f t="shared" si="938"/>
        <v>60.5</v>
      </c>
      <c r="X1074" s="8">
        <f t="shared" si="939"/>
        <v>0</v>
      </c>
      <c r="Y1074" s="33">
        <f t="shared" si="940"/>
        <v>2.2859999999999996</v>
      </c>
      <c r="Z1074" s="28" t="s">
        <v>2150</v>
      </c>
      <c r="AA1074" s="28" t="s">
        <v>57</v>
      </c>
      <c r="AB1074" s="61" t="s">
        <v>124</v>
      </c>
      <c r="AC1074" s="31" t="s">
        <v>125</v>
      </c>
      <c r="AD1074" s="50">
        <f t="shared" si="941"/>
        <v>24</v>
      </c>
      <c r="AE1074" s="31"/>
      <c r="AF1074" s="51">
        <v>14</v>
      </c>
      <c r="AG1074" s="51">
        <f t="shared" si="968"/>
        <v>8.4</v>
      </c>
      <c r="AH1074" s="51">
        <f t="shared" si="934"/>
        <v>42</v>
      </c>
      <c r="AI1074" s="52"/>
      <c r="AJ1074" s="52"/>
      <c r="AK1074" s="53">
        <f t="shared" si="969"/>
        <v>9.2201999999999996E-3</v>
      </c>
      <c r="AL1074" s="54">
        <f t="shared" si="970"/>
        <v>0.11904761904761904</v>
      </c>
      <c r="AM1074" s="54">
        <f t="shared" si="971"/>
        <v>2.3809523809523808E-2</v>
      </c>
      <c r="AN1074" s="55">
        <f t="shared" si="972"/>
        <v>0</v>
      </c>
      <c r="AO1074" s="55">
        <f t="shared" si="973"/>
        <v>0</v>
      </c>
      <c r="AP1074" s="53">
        <v>7.1</v>
      </c>
      <c r="AQ1074" s="53">
        <f t="shared" si="942"/>
        <v>4.26</v>
      </c>
      <c r="AR1074" s="53">
        <f t="shared" si="943"/>
        <v>21.299999999999997</v>
      </c>
      <c r="AS1074" s="56">
        <f t="shared" si="944"/>
        <v>4.6948356807511742E-2</v>
      </c>
      <c r="AT1074" s="56">
        <f t="shared" si="974"/>
        <v>0.23474178403755869</v>
      </c>
      <c r="AU1074" s="56">
        <f t="shared" si="945"/>
        <v>0.176056338028169</v>
      </c>
      <c r="AV1074" s="56">
        <f t="shared" si="975"/>
        <v>5.8685446009389672E-2</v>
      </c>
      <c r="AW1074" s="57"/>
      <c r="AX1074" s="57"/>
      <c r="AY1074" s="57"/>
      <c r="AZ1074" s="58">
        <f t="shared" si="976"/>
        <v>9.2201999999999996E-3</v>
      </c>
      <c r="BA1074" s="59">
        <f t="shared" si="977"/>
        <v>0</v>
      </c>
      <c r="BB1074" s="59">
        <f t="shared" si="978"/>
        <v>0</v>
      </c>
      <c r="BC1074" s="59">
        <f t="shared" si="979"/>
        <v>0</v>
      </c>
      <c r="BD1074" s="60">
        <f t="shared" si="980"/>
        <v>1.5432098765432098E-3</v>
      </c>
      <c r="BE1074" s="59">
        <f t="shared" si="981"/>
        <v>3.7037037037037035E-2</v>
      </c>
      <c r="BQ1074" s="61">
        <v>3000</v>
      </c>
      <c r="BR1074" s="61">
        <v>1200</v>
      </c>
      <c r="BS1074" s="28">
        <f t="shared" si="946"/>
        <v>2980</v>
      </c>
      <c r="BT1074" s="28">
        <f t="shared" si="947"/>
        <v>1180</v>
      </c>
      <c r="BU1074" s="28" t="s">
        <v>2541</v>
      </c>
      <c r="BV1074" s="28">
        <f t="shared" si="948"/>
        <v>81.199999999999989</v>
      </c>
      <c r="BW1074" s="28">
        <f t="shared" si="949"/>
        <v>65.5</v>
      </c>
      <c r="BX1074" s="13">
        <f t="shared" si="950"/>
        <v>36.699507389162569</v>
      </c>
      <c r="BY1074" s="13">
        <f t="shared" si="951"/>
        <v>36</v>
      </c>
      <c r="BZ1074" s="13">
        <f t="shared" si="952"/>
        <v>18.015267175572518</v>
      </c>
      <c r="CA1074" s="13">
        <f t="shared" si="953"/>
        <v>18</v>
      </c>
      <c r="CB1074" s="13">
        <f t="shared" si="954"/>
        <v>648</v>
      </c>
      <c r="CC1074" s="62">
        <f t="shared" si="955"/>
        <v>1.5432098765432098E-3</v>
      </c>
      <c r="CD1074" s="13">
        <f t="shared" si="956"/>
        <v>45.496183206106871</v>
      </c>
      <c r="CE1074" s="13">
        <f t="shared" si="957"/>
        <v>45</v>
      </c>
      <c r="CF1074" s="13">
        <f t="shared" si="958"/>
        <v>14.5320197044335</v>
      </c>
      <c r="CG1074" s="13">
        <f t="shared" si="959"/>
        <v>14</v>
      </c>
      <c r="CH1074" s="28">
        <f t="shared" si="960"/>
        <v>630</v>
      </c>
      <c r="CI1074" s="62">
        <f t="shared" si="961"/>
        <v>1.5873015873015873E-3</v>
      </c>
      <c r="CJ1074" s="59">
        <f t="shared" si="962"/>
        <v>1.5432098765432098E-3</v>
      </c>
      <c r="CL1074" s="63">
        <v>6000</v>
      </c>
      <c r="CM1074" s="63">
        <f t="shared" si="963"/>
        <v>76.199999999999989</v>
      </c>
      <c r="CN1074" s="63">
        <f t="shared" si="964"/>
        <v>81.199999999999989</v>
      </c>
      <c r="CO1074" s="63">
        <f t="shared" si="965"/>
        <v>73.891625615763559</v>
      </c>
      <c r="CP1074" s="13">
        <f t="shared" si="966"/>
        <v>73</v>
      </c>
      <c r="CQ1074" s="70">
        <f t="shared" si="967"/>
        <v>1.3698630136986301E-2</v>
      </c>
      <c r="CR1074" s="69">
        <f t="shared" si="985"/>
        <v>0.32876712328767121</v>
      </c>
    </row>
    <row r="1075" spans="1:96" hidden="1" x14ac:dyDescent="0.25">
      <c r="A1075" s="10">
        <v>3</v>
      </c>
      <c r="B1075" s="8"/>
      <c r="C1075" s="10" t="s">
        <v>2145</v>
      </c>
      <c r="D1075" s="10" t="s">
        <v>2270</v>
      </c>
      <c r="E1075" s="10" t="s">
        <v>52</v>
      </c>
      <c r="F1075" s="12">
        <f t="shared" si="935"/>
        <v>4</v>
      </c>
      <c r="G1075" s="10">
        <v>1</v>
      </c>
      <c r="H1075" s="10">
        <f t="shared" si="989"/>
        <v>24</v>
      </c>
      <c r="I1075" s="10"/>
      <c r="J1075" s="8" t="s">
        <v>469</v>
      </c>
      <c r="K1075" s="8"/>
      <c r="L1075" s="10" t="s">
        <v>194</v>
      </c>
      <c r="M1075" s="8" t="s">
        <v>35</v>
      </c>
      <c r="N1075" s="10" t="s">
        <v>2151</v>
      </c>
      <c r="O1075" s="28" t="s">
        <v>41</v>
      </c>
      <c r="P1075" s="28" t="s">
        <v>41</v>
      </c>
      <c r="Q1075" s="28" t="s">
        <v>2151</v>
      </c>
      <c r="R1075" s="30"/>
      <c r="S1075" s="30"/>
      <c r="T1075" s="30"/>
      <c r="U1075" s="30"/>
      <c r="V1075" s="8">
        <f t="shared" si="937"/>
        <v>0</v>
      </c>
      <c r="W1075" s="8">
        <f t="shared" si="938"/>
        <v>0</v>
      </c>
      <c r="X1075" s="8">
        <f t="shared" si="939"/>
        <v>0</v>
      </c>
      <c r="Y1075" s="33">
        <f t="shared" si="940"/>
        <v>0</v>
      </c>
      <c r="Z1075" s="28" t="s">
        <v>2150</v>
      </c>
      <c r="AA1075" s="28" t="s">
        <v>173</v>
      </c>
      <c r="AB1075" s="61" t="s">
        <v>2151</v>
      </c>
      <c r="AC1075" s="31" t="s">
        <v>2152</v>
      </c>
      <c r="AD1075" s="50">
        <f t="shared" si="941"/>
        <v>24</v>
      </c>
      <c r="AE1075" s="31"/>
      <c r="AF1075" s="51">
        <v>14</v>
      </c>
      <c r="AG1075" s="51">
        <f t="shared" si="968"/>
        <v>8.4</v>
      </c>
      <c r="AH1075" s="51">
        <f t="shared" si="934"/>
        <v>42</v>
      </c>
      <c r="AI1075" s="52"/>
      <c r="AJ1075" s="52"/>
      <c r="AK1075" s="53">
        <f t="shared" si="969"/>
        <v>0</v>
      </c>
      <c r="AL1075" s="54">
        <f t="shared" si="970"/>
        <v>0.11904761904761904</v>
      </c>
      <c r="AM1075" s="54">
        <f t="shared" si="971"/>
        <v>2.3809523809523808E-2</v>
      </c>
      <c r="AN1075" s="55">
        <f t="shared" si="972"/>
        <v>0</v>
      </c>
      <c r="AO1075" s="55">
        <f t="shared" si="973"/>
        <v>0</v>
      </c>
      <c r="AP1075" s="53">
        <v>7.1</v>
      </c>
      <c r="AQ1075" s="53">
        <f t="shared" si="942"/>
        <v>4.26</v>
      </c>
      <c r="AR1075" s="53">
        <f t="shared" si="943"/>
        <v>21.299999999999997</v>
      </c>
      <c r="AS1075" s="56">
        <f t="shared" si="944"/>
        <v>4.6948356807511742E-2</v>
      </c>
      <c r="AT1075" s="56">
        <f t="shared" si="974"/>
        <v>0.23474178403755869</v>
      </c>
      <c r="AU1075" s="56">
        <f t="shared" si="945"/>
        <v>0.176056338028169</v>
      </c>
      <c r="AV1075" s="56">
        <f t="shared" si="975"/>
        <v>5.8685446009389672E-2</v>
      </c>
      <c r="AW1075" s="57"/>
      <c r="AX1075" s="57"/>
      <c r="AY1075" s="57"/>
      <c r="AZ1075" s="58">
        <f t="shared" si="976"/>
        <v>0</v>
      </c>
      <c r="BA1075" s="59">
        <f t="shared" si="977"/>
        <v>0</v>
      </c>
      <c r="BB1075" s="59">
        <f t="shared" si="978"/>
        <v>0</v>
      </c>
      <c r="BC1075" s="59">
        <f t="shared" si="979"/>
        <v>0</v>
      </c>
      <c r="BD1075" s="60">
        <f t="shared" si="980"/>
        <v>7.1095438516664771E-6</v>
      </c>
      <c r="BE1075" s="59">
        <f t="shared" si="981"/>
        <v>1.7062905243999546E-4</v>
      </c>
      <c r="BQ1075" s="61">
        <v>3000</v>
      </c>
      <c r="BR1075" s="61">
        <v>1200</v>
      </c>
      <c r="BS1075" s="28">
        <f t="shared" si="946"/>
        <v>2980</v>
      </c>
      <c r="BT1075" s="28">
        <f t="shared" si="947"/>
        <v>1180</v>
      </c>
      <c r="BU1075" s="28" t="s">
        <v>2541</v>
      </c>
      <c r="BV1075" s="28">
        <f t="shared" si="948"/>
        <v>5</v>
      </c>
      <c r="BW1075" s="28">
        <f t="shared" si="949"/>
        <v>5</v>
      </c>
      <c r="BX1075" s="13">
        <f t="shared" si="950"/>
        <v>596</v>
      </c>
      <c r="BY1075" s="13">
        <f t="shared" si="951"/>
        <v>596</v>
      </c>
      <c r="BZ1075" s="13">
        <f t="shared" si="952"/>
        <v>236</v>
      </c>
      <c r="CA1075" s="13">
        <f t="shared" si="953"/>
        <v>236</v>
      </c>
      <c r="CB1075" s="13">
        <f t="shared" si="954"/>
        <v>140656</v>
      </c>
      <c r="CC1075" s="62">
        <f t="shared" si="955"/>
        <v>7.1095438516664771E-6</v>
      </c>
      <c r="CD1075" s="13">
        <f t="shared" si="956"/>
        <v>596</v>
      </c>
      <c r="CE1075" s="13">
        <f t="shared" si="957"/>
        <v>596</v>
      </c>
      <c r="CF1075" s="13">
        <f t="shared" si="958"/>
        <v>236</v>
      </c>
      <c r="CG1075" s="13">
        <f t="shared" si="959"/>
        <v>236</v>
      </c>
      <c r="CH1075" s="28">
        <f t="shared" si="960"/>
        <v>140656</v>
      </c>
      <c r="CI1075" s="62">
        <f t="shared" si="961"/>
        <v>7.1095438516664771E-6</v>
      </c>
      <c r="CJ1075" s="59">
        <f t="shared" si="962"/>
        <v>7.1095438516664771E-6</v>
      </c>
      <c r="CL1075" s="63">
        <v>6000</v>
      </c>
      <c r="CM1075" s="63">
        <f t="shared" si="963"/>
        <v>0</v>
      </c>
      <c r="CN1075" s="63">
        <f t="shared" si="964"/>
        <v>5</v>
      </c>
      <c r="CO1075" s="63">
        <f t="shared" si="965"/>
        <v>1200</v>
      </c>
      <c r="CP1075" s="13">
        <f t="shared" si="966"/>
        <v>1200</v>
      </c>
      <c r="CQ1075" s="70">
        <f t="shared" si="967"/>
        <v>8.3333333333333339E-4</v>
      </c>
      <c r="CR1075" s="69">
        <f t="shared" si="985"/>
        <v>0.02</v>
      </c>
    </row>
    <row r="1076" spans="1:96" hidden="1" x14ac:dyDescent="0.25">
      <c r="A1076" s="10">
        <v>3</v>
      </c>
      <c r="B1076" s="8" t="s">
        <v>2153</v>
      </c>
      <c r="C1076" s="10" t="s">
        <v>2154</v>
      </c>
      <c r="D1076" s="10" t="s">
        <v>2489</v>
      </c>
      <c r="E1076" s="10" t="s">
        <v>32</v>
      </c>
      <c r="F1076" s="12">
        <f t="shared" si="935"/>
        <v>1</v>
      </c>
      <c r="G1076" s="10">
        <v>1</v>
      </c>
      <c r="H1076" s="10">
        <f t="shared" si="989"/>
        <v>24</v>
      </c>
      <c r="I1076" s="10" t="s">
        <v>485</v>
      </c>
      <c r="J1076" s="8" t="s">
        <v>469</v>
      </c>
      <c r="K1076" s="8" t="s">
        <v>34</v>
      </c>
      <c r="L1076" s="10" t="s">
        <v>194</v>
      </c>
      <c r="M1076" s="8" t="s">
        <v>35</v>
      </c>
      <c r="N1076" s="10" t="s">
        <v>2155</v>
      </c>
      <c r="O1076" s="28"/>
      <c r="P1076" s="28"/>
      <c r="Q1076" s="28"/>
      <c r="R1076" s="30"/>
      <c r="S1076" s="30"/>
      <c r="T1076" s="30"/>
      <c r="U1076" s="30"/>
      <c r="V1076" s="8">
        <f t="shared" si="937"/>
        <v>0</v>
      </c>
      <c r="W1076" s="8">
        <f t="shared" si="938"/>
        <v>0</v>
      </c>
      <c r="X1076" s="8">
        <f t="shared" si="939"/>
        <v>0</v>
      </c>
      <c r="Y1076" s="33">
        <f t="shared" si="940"/>
        <v>0</v>
      </c>
      <c r="Z1076" s="28"/>
      <c r="AA1076" s="28"/>
      <c r="AB1076" s="28">
        <v>0</v>
      </c>
      <c r="AC1076" s="31"/>
      <c r="AD1076" s="50">
        <f t="shared" si="941"/>
        <v>24</v>
      </c>
      <c r="AE1076" s="31"/>
      <c r="AF1076" s="51">
        <v>14</v>
      </c>
      <c r="AG1076" s="51">
        <f t="shared" si="968"/>
        <v>8.4</v>
      </c>
      <c r="AH1076" s="51">
        <f t="shared" si="934"/>
        <v>42</v>
      </c>
      <c r="AI1076" s="52"/>
      <c r="AJ1076" s="52"/>
      <c r="AK1076" s="53">
        <f t="shared" si="969"/>
        <v>0</v>
      </c>
      <c r="AL1076" s="54">
        <f t="shared" si="970"/>
        <v>0.11904761904761904</v>
      </c>
      <c r="AM1076" s="54">
        <f t="shared" si="971"/>
        <v>2.3809523809523808E-2</v>
      </c>
      <c r="AN1076" s="55">
        <f t="shared" si="972"/>
        <v>0</v>
      </c>
      <c r="AO1076" s="55">
        <f t="shared" si="973"/>
        <v>0</v>
      </c>
      <c r="AP1076" s="53">
        <v>7.1</v>
      </c>
      <c r="AQ1076" s="53">
        <f t="shared" si="942"/>
        <v>4.26</v>
      </c>
      <c r="AR1076" s="53">
        <f t="shared" si="943"/>
        <v>21.299999999999997</v>
      </c>
      <c r="AS1076" s="56">
        <f t="shared" si="944"/>
        <v>4.6948356807511742E-2</v>
      </c>
      <c r="AT1076" s="56">
        <f t="shared" si="974"/>
        <v>0.23474178403755869</v>
      </c>
      <c r="AU1076" s="56">
        <f t="shared" si="945"/>
        <v>0.176056338028169</v>
      </c>
      <c r="AV1076" s="56">
        <f t="shared" si="975"/>
        <v>5.8685446009389672E-2</v>
      </c>
      <c r="AW1076" s="57"/>
      <c r="AX1076" s="57"/>
      <c r="AY1076" s="57"/>
      <c r="AZ1076" s="58">
        <f t="shared" si="976"/>
        <v>0</v>
      </c>
      <c r="BA1076" s="59">
        <f t="shared" si="977"/>
        <v>0</v>
      </c>
      <c r="BB1076" s="59">
        <f t="shared" si="978"/>
        <v>0</v>
      </c>
      <c r="BC1076" s="59">
        <f t="shared" si="979"/>
        <v>0</v>
      </c>
      <c r="BD1076" s="60">
        <f t="shared" si="980"/>
        <v>0</v>
      </c>
      <c r="BE1076" s="59">
        <f t="shared" si="981"/>
        <v>0</v>
      </c>
      <c r="BQ1076" s="61">
        <v>3000</v>
      </c>
      <c r="BR1076" s="61">
        <v>1200</v>
      </c>
      <c r="BS1076" s="28">
        <f t="shared" si="946"/>
        <v>2980</v>
      </c>
      <c r="BT1076" s="28">
        <f t="shared" si="947"/>
        <v>1180</v>
      </c>
      <c r="BU1076" s="28" t="s">
        <v>2541</v>
      </c>
      <c r="BV1076" s="28">
        <f t="shared" si="948"/>
        <v>5</v>
      </c>
      <c r="BW1076" s="28">
        <f t="shared" si="949"/>
        <v>5</v>
      </c>
      <c r="BX1076" s="13">
        <f t="shared" si="950"/>
        <v>596</v>
      </c>
      <c r="BY1076" s="13">
        <f t="shared" si="951"/>
        <v>596</v>
      </c>
      <c r="BZ1076" s="13">
        <f t="shared" si="952"/>
        <v>236</v>
      </c>
      <c r="CA1076" s="13">
        <f t="shared" si="953"/>
        <v>236</v>
      </c>
      <c r="CB1076" s="13">
        <f t="shared" si="954"/>
        <v>140656</v>
      </c>
      <c r="CC1076" s="62" t="str">
        <f t="shared" si="955"/>
        <v/>
      </c>
      <c r="CD1076" s="13">
        <f t="shared" si="956"/>
        <v>596</v>
      </c>
      <c r="CE1076" s="13">
        <f t="shared" si="957"/>
        <v>596</v>
      </c>
      <c r="CF1076" s="13">
        <f t="shared" si="958"/>
        <v>236</v>
      </c>
      <c r="CG1076" s="13">
        <f t="shared" si="959"/>
        <v>236</v>
      </c>
      <c r="CH1076" s="28">
        <f t="shared" si="960"/>
        <v>140656</v>
      </c>
      <c r="CI1076" s="62" t="str">
        <f t="shared" si="961"/>
        <v/>
      </c>
      <c r="CJ1076" s="59">
        <f t="shared" si="962"/>
        <v>0</v>
      </c>
      <c r="CL1076" s="63">
        <v>6000</v>
      </c>
      <c r="CM1076" s="63">
        <f t="shared" si="963"/>
        <v>0</v>
      </c>
      <c r="CN1076" s="63">
        <f t="shared" si="964"/>
        <v>5</v>
      </c>
      <c r="CO1076" s="63">
        <f t="shared" si="965"/>
        <v>1200</v>
      </c>
      <c r="CP1076" s="13">
        <f t="shared" si="966"/>
        <v>1200</v>
      </c>
      <c r="CQ1076" s="70">
        <f t="shared" si="967"/>
        <v>8.3333333333333339E-4</v>
      </c>
      <c r="CR1076" s="69">
        <f t="shared" si="985"/>
        <v>0.02</v>
      </c>
    </row>
    <row r="1077" spans="1:96" hidden="1" x14ac:dyDescent="0.25">
      <c r="A1077" s="3">
        <v>1</v>
      </c>
      <c r="B1077" s="4" t="s">
        <v>30</v>
      </c>
      <c r="C1077" s="3" t="s">
        <v>2156</v>
      </c>
      <c r="D1077" s="3" t="s">
        <v>2270</v>
      </c>
      <c r="E1077" s="3" t="s">
        <v>32</v>
      </c>
      <c r="F1077" s="9">
        <f t="shared" si="935"/>
        <v>1</v>
      </c>
      <c r="G1077" s="3">
        <v>1</v>
      </c>
      <c r="H1077" s="3">
        <f>G1077*$H$2</f>
        <v>1</v>
      </c>
      <c r="I1077" s="3">
        <v>6</v>
      </c>
      <c r="J1077" s="4" t="s">
        <v>2157</v>
      </c>
      <c r="K1077" s="4" t="s">
        <v>34</v>
      </c>
      <c r="L1077" s="3">
        <v>0</v>
      </c>
      <c r="M1077" s="4" t="s">
        <v>35</v>
      </c>
      <c r="N1077" s="3" t="s">
        <v>2158</v>
      </c>
      <c r="O1077" s="28" t="s">
        <v>41</v>
      </c>
      <c r="P1077" s="28" t="s">
        <v>41</v>
      </c>
      <c r="Q1077" s="28"/>
      <c r="R1077" s="30"/>
      <c r="S1077" s="30"/>
      <c r="T1077" s="30"/>
      <c r="U1077" s="30"/>
      <c r="V1077" s="8">
        <f t="shared" si="937"/>
        <v>0</v>
      </c>
      <c r="W1077" s="8">
        <f t="shared" si="938"/>
        <v>0</v>
      </c>
      <c r="X1077" s="8">
        <f t="shared" si="939"/>
        <v>0</v>
      </c>
      <c r="Y1077" s="33">
        <f t="shared" si="940"/>
        <v>0</v>
      </c>
      <c r="Z1077" s="28"/>
      <c r="AA1077" s="28"/>
      <c r="AB1077" s="28">
        <v>0</v>
      </c>
      <c r="AC1077" s="31"/>
      <c r="AD1077" s="50">
        <f t="shared" si="941"/>
        <v>1</v>
      </c>
      <c r="AE1077" s="31"/>
      <c r="AF1077" s="51">
        <v>14</v>
      </c>
      <c r="AG1077" s="51">
        <f t="shared" si="968"/>
        <v>8.4</v>
      </c>
      <c r="AH1077" s="51">
        <f t="shared" si="934"/>
        <v>42</v>
      </c>
      <c r="AI1077" s="52"/>
      <c r="AJ1077" s="52"/>
      <c r="AK1077" s="53">
        <f t="shared" si="969"/>
        <v>0</v>
      </c>
      <c r="AL1077" s="54">
        <f t="shared" si="970"/>
        <v>0.11904761904761904</v>
      </c>
      <c r="AM1077" s="54">
        <f t="shared" si="971"/>
        <v>2.3809523809523808E-2</v>
      </c>
      <c r="AN1077" s="55">
        <f t="shared" si="972"/>
        <v>0</v>
      </c>
      <c r="AO1077" s="55">
        <f t="shared" si="973"/>
        <v>0</v>
      </c>
      <c r="AP1077" s="53">
        <v>7.1</v>
      </c>
      <c r="AQ1077" s="53">
        <f t="shared" si="942"/>
        <v>4.26</v>
      </c>
      <c r="AR1077" s="53">
        <f t="shared" si="943"/>
        <v>21.299999999999997</v>
      </c>
      <c r="AS1077" s="56">
        <f t="shared" si="944"/>
        <v>4.6948356807511742E-2</v>
      </c>
      <c r="AT1077" s="56">
        <f t="shared" si="974"/>
        <v>0.23474178403755869</v>
      </c>
      <c r="AU1077" s="56">
        <f t="shared" si="945"/>
        <v>0.176056338028169</v>
      </c>
      <c r="AV1077" s="56">
        <f t="shared" si="975"/>
        <v>5.8685446009389672E-2</v>
      </c>
      <c r="AW1077" s="57"/>
      <c r="AX1077" s="57"/>
      <c r="AY1077" s="57"/>
      <c r="AZ1077" s="58">
        <f t="shared" si="976"/>
        <v>0</v>
      </c>
      <c r="BA1077" s="59">
        <f t="shared" si="977"/>
        <v>0</v>
      </c>
      <c r="BB1077" s="59">
        <f t="shared" si="978"/>
        <v>0</v>
      </c>
      <c r="BC1077" s="59">
        <f t="shared" si="979"/>
        <v>0</v>
      </c>
      <c r="BD1077" s="60">
        <f t="shared" si="980"/>
        <v>0</v>
      </c>
      <c r="BE1077" s="59">
        <f t="shared" si="981"/>
        <v>0</v>
      </c>
      <c r="BQ1077" s="61">
        <v>3000</v>
      </c>
      <c r="BR1077" s="61">
        <v>1200</v>
      </c>
      <c r="BS1077" s="28">
        <f t="shared" si="946"/>
        <v>2980</v>
      </c>
      <c r="BT1077" s="28">
        <f t="shared" si="947"/>
        <v>1180</v>
      </c>
      <c r="BU1077" s="28" t="s">
        <v>2541</v>
      </c>
      <c r="BV1077" s="28">
        <f t="shared" si="948"/>
        <v>5</v>
      </c>
      <c r="BW1077" s="28">
        <f t="shared" si="949"/>
        <v>5</v>
      </c>
      <c r="BX1077" s="13">
        <f t="shared" si="950"/>
        <v>596</v>
      </c>
      <c r="BY1077" s="13">
        <f t="shared" si="951"/>
        <v>596</v>
      </c>
      <c r="BZ1077" s="13">
        <f t="shared" si="952"/>
        <v>236</v>
      </c>
      <c r="CA1077" s="13">
        <f t="shared" si="953"/>
        <v>236</v>
      </c>
      <c r="CB1077" s="13">
        <f t="shared" si="954"/>
        <v>140656</v>
      </c>
      <c r="CC1077" s="62" t="str">
        <f t="shared" si="955"/>
        <v/>
      </c>
      <c r="CD1077" s="13">
        <f t="shared" si="956"/>
        <v>596</v>
      </c>
      <c r="CE1077" s="13">
        <f t="shared" si="957"/>
        <v>596</v>
      </c>
      <c r="CF1077" s="13">
        <f t="shared" si="958"/>
        <v>236</v>
      </c>
      <c r="CG1077" s="13">
        <f t="shared" si="959"/>
        <v>236</v>
      </c>
      <c r="CH1077" s="28">
        <f t="shared" si="960"/>
        <v>140656</v>
      </c>
      <c r="CI1077" s="62" t="str">
        <f t="shared" si="961"/>
        <v/>
      </c>
      <c r="CJ1077" s="59">
        <f t="shared" si="962"/>
        <v>0</v>
      </c>
      <c r="CL1077" s="63">
        <v>6000</v>
      </c>
      <c r="CM1077" s="63">
        <f t="shared" si="963"/>
        <v>0</v>
      </c>
      <c r="CN1077" s="63">
        <f t="shared" si="964"/>
        <v>5</v>
      </c>
      <c r="CO1077" s="63">
        <f t="shared" si="965"/>
        <v>1200</v>
      </c>
      <c r="CP1077" s="13">
        <f t="shared" si="966"/>
        <v>1200</v>
      </c>
      <c r="CQ1077" s="70">
        <f t="shared" si="967"/>
        <v>8.3333333333333339E-4</v>
      </c>
      <c r="CR1077" s="69">
        <f t="shared" si="985"/>
        <v>8.3333333333333339E-4</v>
      </c>
    </row>
    <row r="1078" spans="1:96" hidden="1" x14ac:dyDescent="0.25">
      <c r="A1078" s="36">
        <v>2</v>
      </c>
      <c r="B1078" s="37" t="s">
        <v>2159</v>
      </c>
      <c r="C1078" s="36" t="s">
        <v>2160</v>
      </c>
      <c r="D1078" s="36" t="s">
        <v>2270</v>
      </c>
      <c r="E1078" s="36" t="s">
        <v>52</v>
      </c>
      <c r="F1078" s="38">
        <f t="shared" si="935"/>
        <v>1</v>
      </c>
      <c r="G1078" s="36">
        <v>8</v>
      </c>
      <c r="H1078" s="36">
        <f>G1078*$H$1077</f>
        <v>8</v>
      </c>
      <c r="I1078" s="36">
        <v>13</v>
      </c>
      <c r="J1078" s="37" t="s">
        <v>2161</v>
      </c>
      <c r="K1078" s="37" t="s">
        <v>34</v>
      </c>
      <c r="L1078" s="36" t="s">
        <v>89</v>
      </c>
      <c r="M1078" s="37" t="s">
        <v>2162</v>
      </c>
      <c r="N1078" s="36" t="s">
        <v>2163</v>
      </c>
      <c r="O1078" s="28" t="s">
        <v>41</v>
      </c>
      <c r="P1078" s="28" t="s">
        <v>41</v>
      </c>
      <c r="Q1078" s="28" t="s">
        <v>2163</v>
      </c>
      <c r="R1078" s="30"/>
      <c r="S1078" s="30"/>
      <c r="T1078" s="30"/>
      <c r="U1078" s="30"/>
      <c r="V1078" s="8">
        <f t="shared" si="937"/>
        <v>0</v>
      </c>
      <c r="W1078" s="8">
        <f t="shared" si="938"/>
        <v>0</v>
      </c>
      <c r="X1078" s="8">
        <f t="shared" si="939"/>
        <v>0</v>
      </c>
      <c r="Y1078" s="33">
        <f t="shared" si="940"/>
        <v>0</v>
      </c>
      <c r="Z1078" s="28"/>
      <c r="AA1078" s="28"/>
      <c r="AB1078" s="28" t="s">
        <v>2163</v>
      </c>
      <c r="AC1078" s="31" t="s">
        <v>2164</v>
      </c>
      <c r="AD1078" s="50">
        <f t="shared" si="941"/>
        <v>8</v>
      </c>
      <c r="AE1078" s="47" t="s">
        <v>2140</v>
      </c>
      <c r="AF1078" s="51">
        <v>14</v>
      </c>
      <c r="AG1078" s="51">
        <f t="shared" si="968"/>
        <v>8.4</v>
      </c>
      <c r="AH1078" s="51">
        <f t="shared" si="934"/>
        <v>42</v>
      </c>
      <c r="AI1078" s="52"/>
      <c r="AJ1078" s="52"/>
      <c r="AK1078" s="53">
        <f t="shared" si="969"/>
        <v>0</v>
      </c>
      <c r="AL1078" s="54">
        <f t="shared" si="970"/>
        <v>0.11904761904761904</v>
      </c>
      <c r="AM1078" s="54">
        <f t="shared" si="971"/>
        <v>2.3809523809523808E-2</v>
      </c>
      <c r="AN1078" s="55">
        <f t="shared" si="972"/>
        <v>0</v>
      </c>
      <c r="AO1078" s="55">
        <f t="shared" si="973"/>
        <v>0</v>
      </c>
      <c r="AP1078" s="53">
        <v>7.1</v>
      </c>
      <c r="AQ1078" s="53">
        <f t="shared" si="942"/>
        <v>4.26</v>
      </c>
      <c r="AR1078" s="53">
        <f t="shared" si="943"/>
        <v>21.299999999999997</v>
      </c>
      <c r="AS1078" s="56">
        <f t="shared" si="944"/>
        <v>4.6948356807511742E-2</v>
      </c>
      <c r="AT1078" s="56">
        <f t="shared" si="974"/>
        <v>0.23474178403755869</v>
      </c>
      <c r="AU1078" s="56">
        <f t="shared" si="945"/>
        <v>0.176056338028169</v>
      </c>
      <c r="AV1078" s="56">
        <f t="shared" si="975"/>
        <v>5.8685446009389672E-2</v>
      </c>
      <c r="AW1078" s="57"/>
      <c r="AX1078" s="57"/>
      <c r="AY1078" s="57"/>
      <c r="AZ1078" s="58">
        <f t="shared" si="976"/>
        <v>0</v>
      </c>
      <c r="BA1078" s="59">
        <f t="shared" si="977"/>
        <v>0</v>
      </c>
      <c r="BB1078" s="59">
        <f t="shared" si="978"/>
        <v>0</v>
      </c>
      <c r="BC1078" s="59">
        <f t="shared" si="979"/>
        <v>0</v>
      </c>
      <c r="BD1078" s="60">
        <f t="shared" si="980"/>
        <v>7.1095438516664771E-6</v>
      </c>
      <c r="BE1078" s="59">
        <f t="shared" si="981"/>
        <v>5.6876350813331817E-5</v>
      </c>
      <c r="BQ1078" s="61">
        <v>3000</v>
      </c>
      <c r="BR1078" s="61">
        <v>1200</v>
      </c>
      <c r="BS1078" s="28">
        <f t="shared" si="946"/>
        <v>2980</v>
      </c>
      <c r="BT1078" s="28">
        <f t="shared" si="947"/>
        <v>1180</v>
      </c>
      <c r="BU1078" s="28" t="s">
        <v>2541</v>
      </c>
      <c r="BV1078" s="28">
        <f t="shared" si="948"/>
        <v>5</v>
      </c>
      <c r="BW1078" s="28">
        <f t="shared" si="949"/>
        <v>5</v>
      </c>
      <c r="BX1078" s="13">
        <f t="shared" si="950"/>
        <v>596</v>
      </c>
      <c r="BY1078" s="13">
        <f t="shared" si="951"/>
        <v>596</v>
      </c>
      <c r="BZ1078" s="13">
        <f t="shared" si="952"/>
        <v>236</v>
      </c>
      <c r="CA1078" s="13">
        <f t="shared" si="953"/>
        <v>236</v>
      </c>
      <c r="CB1078" s="13">
        <f t="shared" si="954"/>
        <v>140656</v>
      </c>
      <c r="CC1078" s="62">
        <f t="shared" si="955"/>
        <v>7.1095438516664771E-6</v>
      </c>
      <c r="CD1078" s="13">
        <f t="shared" si="956"/>
        <v>596</v>
      </c>
      <c r="CE1078" s="13">
        <f t="shared" si="957"/>
        <v>596</v>
      </c>
      <c r="CF1078" s="13">
        <f t="shared" si="958"/>
        <v>236</v>
      </c>
      <c r="CG1078" s="13">
        <f t="shared" si="959"/>
        <v>236</v>
      </c>
      <c r="CH1078" s="28">
        <f t="shared" si="960"/>
        <v>140656</v>
      </c>
      <c r="CI1078" s="62">
        <f t="shared" si="961"/>
        <v>7.1095438516664771E-6</v>
      </c>
      <c r="CJ1078" s="59">
        <f t="shared" si="962"/>
        <v>7.1095438516664771E-6</v>
      </c>
      <c r="CL1078" s="63">
        <v>6000</v>
      </c>
      <c r="CM1078" s="63">
        <f t="shared" si="963"/>
        <v>0</v>
      </c>
      <c r="CN1078" s="63">
        <f t="shared" si="964"/>
        <v>5</v>
      </c>
      <c r="CO1078" s="63">
        <f t="shared" si="965"/>
        <v>1200</v>
      </c>
      <c r="CP1078" s="13">
        <f t="shared" si="966"/>
        <v>1200</v>
      </c>
      <c r="CQ1078" s="70">
        <f t="shared" si="967"/>
        <v>8.3333333333333339E-4</v>
      </c>
      <c r="CR1078" s="69">
        <f t="shared" si="985"/>
        <v>6.6666666666666671E-3</v>
      </c>
    </row>
    <row r="1079" spans="1:96" hidden="1" x14ac:dyDescent="0.25">
      <c r="A1079" s="36">
        <v>2</v>
      </c>
      <c r="B1079" s="37" t="s">
        <v>2159</v>
      </c>
      <c r="C1079" s="36" t="s">
        <v>2165</v>
      </c>
      <c r="D1079" s="36" t="s">
        <v>2270</v>
      </c>
      <c r="E1079" s="36" t="s">
        <v>52</v>
      </c>
      <c r="F1079" s="38">
        <f t="shared" si="935"/>
        <v>1</v>
      </c>
      <c r="G1079" s="36">
        <v>20</v>
      </c>
      <c r="H1079" s="36">
        <f>G1079*$H$1077</f>
        <v>20</v>
      </c>
      <c r="I1079" s="36">
        <v>14</v>
      </c>
      <c r="J1079" s="37" t="s">
        <v>2166</v>
      </c>
      <c r="K1079" s="37" t="s">
        <v>34</v>
      </c>
      <c r="L1079" s="36" t="s">
        <v>642</v>
      </c>
      <c r="M1079" s="37" t="s">
        <v>2162</v>
      </c>
      <c r="N1079" s="36" t="s">
        <v>2163</v>
      </c>
      <c r="O1079" s="28" t="s">
        <v>41</v>
      </c>
      <c r="P1079" s="28" t="s">
        <v>41</v>
      </c>
      <c r="Q1079" s="77" t="s">
        <v>1851</v>
      </c>
      <c r="R1079" s="30"/>
      <c r="S1079" s="30"/>
      <c r="T1079" s="30"/>
      <c r="U1079" s="30"/>
      <c r="V1079" s="8">
        <f t="shared" si="937"/>
        <v>0</v>
      </c>
      <c r="W1079" s="8">
        <f t="shared" si="938"/>
        <v>0</v>
      </c>
      <c r="X1079" s="8">
        <f t="shared" si="939"/>
        <v>0</v>
      </c>
      <c r="Y1079" s="33">
        <f t="shared" si="940"/>
        <v>0</v>
      </c>
      <c r="Z1079" s="28"/>
      <c r="AA1079" s="28"/>
      <c r="AB1079" s="77" t="str">
        <f>Q1079</f>
        <v>MMP-NOVO-1</v>
      </c>
      <c r="AC1079" s="31" t="s">
        <v>2573</v>
      </c>
      <c r="AD1079" s="50">
        <f t="shared" si="941"/>
        <v>20</v>
      </c>
      <c r="AE1079" s="47" t="s">
        <v>2140</v>
      </c>
      <c r="AF1079" s="51">
        <v>14</v>
      </c>
      <c r="AG1079" s="51">
        <f t="shared" si="968"/>
        <v>8.4</v>
      </c>
      <c r="AH1079" s="51">
        <f t="shared" si="934"/>
        <v>42</v>
      </c>
      <c r="AI1079" s="52"/>
      <c r="AJ1079" s="52"/>
      <c r="AK1079" s="53">
        <f t="shared" si="969"/>
        <v>0</v>
      </c>
      <c r="AL1079" s="54">
        <f t="shared" si="970"/>
        <v>0.11904761904761904</v>
      </c>
      <c r="AM1079" s="54">
        <f t="shared" si="971"/>
        <v>2.3809523809523808E-2</v>
      </c>
      <c r="AN1079" s="55">
        <f t="shared" si="972"/>
        <v>0</v>
      </c>
      <c r="AO1079" s="55">
        <f t="shared" si="973"/>
        <v>0</v>
      </c>
      <c r="AP1079" s="53">
        <v>7.1</v>
      </c>
      <c r="AQ1079" s="53">
        <f t="shared" si="942"/>
        <v>4.26</v>
      </c>
      <c r="AR1079" s="53">
        <f t="shared" si="943"/>
        <v>21.299999999999997</v>
      </c>
      <c r="AS1079" s="56">
        <f t="shared" si="944"/>
        <v>4.6948356807511742E-2</v>
      </c>
      <c r="AT1079" s="56">
        <f t="shared" si="974"/>
        <v>0.23474178403755869</v>
      </c>
      <c r="AU1079" s="56">
        <f t="shared" si="945"/>
        <v>0.176056338028169</v>
      </c>
      <c r="AV1079" s="56">
        <f t="shared" si="975"/>
        <v>5.8685446009389672E-2</v>
      </c>
      <c r="AW1079" s="57"/>
      <c r="AX1079" s="57"/>
      <c r="AY1079" s="57"/>
      <c r="AZ1079" s="58">
        <f t="shared" si="976"/>
        <v>0</v>
      </c>
      <c r="BA1079" s="59">
        <f t="shared" si="977"/>
        <v>0</v>
      </c>
      <c r="BB1079" s="59">
        <f t="shared" si="978"/>
        <v>0</v>
      </c>
      <c r="BC1079" s="59">
        <f t="shared" si="979"/>
        <v>0</v>
      </c>
      <c r="BD1079" s="60">
        <f t="shared" si="980"/>
        <v>7.1095438516664771E-6</v>
      </c>
      <c r="BE1079" s="59">
        <f t="shared" si="981"/>
        <v>1.4219087703332955E-4</v>
      </c>
      <c r="BQ1079" s="61">
        <v>3000</v>
      </c>
      <c r="BR1079" s="61">
        <v>1200</v>
      </c>
      <c r="BS1079" s="28">
        <f t="shared" si="946"/>
        <v>2980</v>
      </c>
      <c r="BT1079" s="28">
        <f t="shared" si="947"/>
        <v>1180</v>
      </c>
      <c r="BU1079" s="28" t="s">
        <v>2541</v>
      </c>
      <c r="BV1079" s="28">
        <f t="shared" si="948"/>
        <v>5</v>
      </c>
      <c r="BW1079" s="28">
        <f t="shared" si="949"/>
        <v>5</v>
      </c>
      <c r="BX1079" s="13">
        <f t="shared" si="950"/>
        <v>596</v>
      </c>
      <c r="BY1079" s="13">
        <f t="shared" si="951"/>
        <v>596</v>
      </c>
      <c r="BZ1079" s="13">
        <f t="shared" si="952"/>
        <v>236</v>
      </c>
      <c r="CA1079" s="13">
        <f t="shared" si="953"/>
        <v>236</v>
      </c>
      <c r="CB1079" s="13">
        <f t="shared" si="954"/>
        <v>140656</v>
      </c>
      <c r="CC1079" s="62">
        <f t="shared" si="955"/>
        <v>7.1095438516664771E-6</v>
      </c>
      <c r="CD1079" s="13">
        <f t="shared" si="956"/>
        <v>596</v>
      </c>
      <c r="CE1079" s="13">
        <f t="shared" si="957"/>
        <v>596</v>
      </c>
      <c r="CF1079" s="13">
        <f t="shared" si="958"/>
        <v>236</v>
      </c>
      <c r="CG1079" s="13">
        <f t="shared" si="959"/>
        <v>236</v>
      </c>
      <c r="CH1079" s="28">
        <f t="shared" si="960"/>
        <v>140656</v>
      </c>
      <c r="CI1079" s="62">
        <f t="shared" si="961"/>
        <v>7.1095438516664771E-6</v>
      </c>
      <c r="CJ1079" s="59">
        <f t="shared" si="962"/>
        <v>7.1095438516664771E-6</v>
      </c>
      <c r="CL1079" s="63">
        <v>6000</v>
      </c>
      <c r="CM1079" s="63">
        <f t="shared" si="963"/>
        <v>0</v>
      </c>
      <c r="CN1079" s="63">
        <f t="shared" si="964"/>
        <v>5</v>
      </c>
      <c r="CO1079" s="63">
        <f t="shared" si="965"/>
        <v>1200</v>
      </c>
      <c r="CP1079" s="13">
        <f t="shared" si="966"/>
        <v>1200</v>
      </c>
      <c r="CQ1079" s="70">
        <f t="shared" si="967"/>
        <v>8.3333333333333339E-4</v>
      </c>
      <c r="CR1079" s="69">
        <f t="shared" si="985"/>
        <v>1.6666666666666666E-2</v>
      </c>
    </row>
    <row r="1080" spans="1:96" hidden="1" x14ac:dyDescent="0.25">
      <c r="A1080" s="10">
        <v>3</v>
      </c>
      <c r="B1080" s="8" t="s">
        <v>2167</v>
      </c>
      <c r="C1080" s="10" t="s">
        <v>2168</v>
      </c>
      <c r="D1080" s="10" t="s">
        <v>2270</v>
      </c>
      <c r="E1080" s="10" t="s">
        <v>52</v>
      </c>
      <c r="F1080" s="12">
        <f t="shared" si="935"/>
        <v>3</v>
      </c>
      <c r="G1080" s="10">
        <v>0</v>
      </c>
      <c r="H1080" s="10">
        <f>G1080*$H$1079</f>
        <v>0</v>
      </c>
      <c r="I1080" s="10" t="s">
        <v>485</v>
      </c>
      <c r="J1080" s="8" t="s">
        <v>2169</v>
      </c>
      <c r="K1080" s="8" t="s">
        <v>486</v>
      </c>
      <c r="L1080" s="10" t="s">
        <v>223</v>
      </c>
      <c r="M1080" s="8" t="s">
        <v>2162</v>
      </c>
      <c r="N1080" s="10" t="s">
        <v>2163</v>
      </c>
      <c r="O1080" s="28" t="s">
        <v>41</v>
      </c>
      <c r="P1080" s="28" t="s">
        <v>41</v>
      </c>
      <c r="Q1080" s="28" t="s">
        <v>2163</v>
      </c>
      <c r="R1080" s="30"/>
      <c r="S1080" s="30"/>
      <c r="T1080" s="30"/>
      <c r="U1080" s="30"/>
      <c r="V1080" s="8">
        <f t="shared" si="937"/>
        <v>0</v>
      </c>
      <c r="W1080" s="8">
        <f t="shared" si="938"/>
        <v>0</v>
      </c>
      <c r="X1080" s="8">
        <f t="shared" si="939"/>
        <v>0</v>
      </c>
      <c r="Y1080" s="33">
        <f t="shared" si="940"/>
        <v>0</v>
      </c>
      <c r="Z1080" s="28"/>
      <c r="AA1080" s="28"/>
      <c r="AB1080" s="28" t="s">
        <v>2163</v>
      </c>
      <c r="AC1080" s="31"/>
      <c r="AD1080" s="50">
        <f t="shared" si="941"/>
        <v>0</v>
      </c>
      <c r="AE1080" s="47" t="s">
        <v>2140</v>
      </c>
      <c r="AF1080" s="51">
        <v>14</v>
      </c>
      <c r="AG1080" s="51">
        <f t="shared" si="968"/>
        <v>8.4</v>
      </c>
      <c r="AH1080" s="51">
        <f t="shared" si="934"/>
        <v>42</v>
      </c>
      <c r="AI1080" s="52"/>
      <c r="AJ1080" s="52"/>
      <c r="AK1080" s="53">
        <f t="shared" si="969"/>
        <v>0</v>
      </c>
      <c r="AL1080" s="54">
        <f t="shared" si="970"/>
        <v>0.11904761904761904</v>
      </c>
      <c r="AM1080" s="54">
        <f t="shared" si="971"/>
        <v>2.3809523809523808E-2</v>
      </c>
      <c r="AN1080" s="55">
        <f t="shared" si="972"/>
        <v>0</v>
      </c>
      <c r="AO1080" s="55">
        <f t="shared" si="973"/>
        <v>0</v>
      </c>
      <c r="AP1080" s="53">
        <v>7.1</v>
      </c>
      <c r="AQ1080" s="53">
        <f t="shared" si="942"/>
        <v>4.26</v>
      </c>
      <c r="AR1080" s="53">
        <f t="shared" si="943"/>
        <v>21.299999999999997</v>
      </c>
      <c r="AS1080" s="56">
        <f t="shared" si="944"/>
        <v>4.6948356807511742E-2</v>
      </c>
      <c r="AT1080" s="56">
        <f t="shared" si="974"/>
        <v>0.23474178403755869</v>
      </c>
      <c r="AU1080" s="56">
        <f t="shared" si="945"/>
        <v>0.176056338028169</v>
      </c>
      <c r="AV1080" s="56">
        <f t="shared" si="975"/>
        <v>5.8685446009389672E-2</v>
      </c>
      <c r="AW1080" s="57"/>
      <c r="AX1080" s="57"/>
      <c r="AY1080" s="57"/>
      <c r="AZ1080" s="58">
        <f t="shared" si="976"/>
        <v>0</v>
      </c>
      <c r="BA1080" s="59">
        <f t="shared" si="977"/>
        <v>0</v>
      </c>
      <c r="BB1080" s="59">
        <f t="shared" si="978"/>
        <v>0</v>
      </c>
      <c r="BC1080" s="59">
        <f t="shared" si="979"/>
        <v>0</v>
      </c>
      <c r="BD1080" s="60">
        <f t="shared" si="980"/>
        <v>7.1095438516664771E-6</v>
      </c>
      <c r="BE1080" s="59">
        <f t="shared" si="981"/>
        <v>0</v>
      </c>
      <c r="BQ1080" s="61">
        <v>3000</v>
      </c>
      <c r="BR1080" s="61">
        <v>1200</v>
      </c>
      <c r="BS1080" s="28">
        <f t="shared" si="946"/>
        <v>2980</v>
      </c>
      <c r="BT1080" s="28">
        <f t="shared" si="947"/>
        <v>1180</v>
      </c>
      <c r="BU1080" s="28" t="s">
        <v>2541</v>
      </c>
      <c r="BV1080" s="28">
        <f t="shared" si="948"/>
        <v>5</v>
      </c>
      <c r="BW1080" s="28">
        <f t="shared" si="949"/>
        <v>5</v>
      </c>
      <c r="BX1080" s="13">
        <f t="shared" si="950"/>
        <v>596</v>
      </c>
      <c r="BY1080" s="13">
        <f t="shared" si="951"/>
        <v>596</v>
      </c>
      <c r="BZ1080" s="13">
        <f t="shared" si="952"/>
        <v>236</v>
      </c>
      <c r="CA1080" s="13">
        <f t="shared" si="953"/>
        <v>236</v>
      </c>
      <c r="CB1080" s="13">
        <f t="shared" si="954"/>
        <v>140656</v>
      </c>
      <c r="CC1080" s="62">
        <f t="shared" si="955"/>
        <v>7.1095438516664771E-6</v>
      </c>
      <c r="CD1080" s="13">
        <f t="shared" si="956"/>
        <v>596</v>
      </c>
      <c r="CE1080" s="13">
        <f t="shared" si="957"/>
        <v>596</v>
      </c>
      <c r="CF1080" s="13">
        <f t="shared" si="958"/>
        <v>236</v>
      </c>
      <c r="CG1080" s="13">
        <f t="shared" si="959"/>
        <v>236</v>
      </c>
      <c r="CH1080" s="28">
        <f t="shared" si="960"/>
        <v>140656</v>
      </c>
      <c r="CI1080" s="62">
        <f t="shared" si="961"/>
        <v>7.1095438516664771E-6</v>
      </c>
      <c r="CJ1080" s="59">
        <f t="shared" si="962"/>
        <v>7.1095438516664771E-6</v>
      </c>
      <c r="CL1080" s="63">
        <v>6000</v>
      </c>
      <c r="CM1080" s="63">
        <f t="shared" si="963"/>
        <v>0</v>
      </c>
      <c r="CN1080" s="63">
        <f t="shared" si="964"/>
        <v>5</v>
      </c>
      <c r="CO1080" s="63">
        <f t="shared" si="965"/>
        <v>1200</v>
      </c>
      <c r="CP1080" s="13">
        <f t="shared" si="966"/>
        <v>1200</v>
      </c>
      <c r="CQ1080" s="70">
        <f t="shared" si="967"/>
        <v>8.3333333333333339E-4</v>
      </c>
      <c r="CR1080" s="69">
        <f t="shared" si="985"/>
        <v>0</v>
      </c>
    </row>
    <row r="1081" spans="1:96" hidden="1" x14ac:dyDescent="0.25">
      <c r="A1081" s="36">
        <v>2</v>
      </c>
      <c r="B1081" s="37" t="s">
        <v>2159</v>
      </c>
      <c r="C1081" s="36" t="s">
        <v>2170</v>
      </c>
      <c r="D1081" s="36" t="s">
        <v>2270</v>
      </c>
      <c r="E1081" s="36" t="s">
        <v>52</v>
      </c>
      <c r="F1081" s="38">
        <f t="shared" si="935"/>
        <v>1</v>
      </c>
      <c r="G1081" s="36">
        <v>4</v>
      </c>
      <c r="H1081" s="36">
        <f>G1081*$H$1077</f>
        <v>4</v>
      </c>
      <c r="I1081" s="36">
        <v>15</v>
      </c>
      <c r="J1081" s="37" t="s">
        <v>2171</v>
      </c>
      <c r="K1081" s="37" t="s">
        <v>34</v>
      </c>
      <c r="L1081" s="36" t="s">
        <v>642</v>
      </c>
      <c r="M1081" s="37" t="s">
        <v>2162</v>
      </c>
      <c r="N1081" s="36" t="s">
        <v>2163</v>
      </c>
      <c r="O1081" s="28" t="s">
        <v>41</v>
      </c>
      <c r="P1081" s="28" t="s">
        <v>41</v>
      </c>
      <c r="Q1081" s="77" t="s">
        <v>2571</v>
      </c>
      <c r="R1081" s="30"/>
      <c r="S1081" s="30"/>
      <c r="T1081" s="30"/>
      <c r="U1081" s="30"/>
      <c r="V1081" s="8">
        <f t="shared" si="937"/>
        <v>0</v>
      </c>
      <c r="W1081" s="8">
        <f t="shared" si="938"/>
        <v>0</v>
      </c>
      <c r="X1081" s="8">
        <f t="shared" si="939"/>
        <v>0</v>
      </c>
      <c r="Y1081" s="33">
        <f t="shared" si="940"/>
        <v>0</v>
      </c>
      <c r="Z1081" s="28"/>
      <c r="AA1081" s="28"/>
      <c r="AB1081" s="77" t="str">
        <f>Q1081</f>
        <v>MMP-NOVO-4</v>
      </c>
      <c r="AC1081" s="31" t="s">
        <v>2574</v>
      </c>
      <c r="AD1081" s="50">
        <f t="shared" si="941"/>
        <v>4</v>
      </c>
      <c r="AE1081" s="47" t="s">
        <v>2140</v>
      </c>
      <c r="AF1081" s="51">
        <v>14</v>
      </c>
      <c r="AG1081" s="51">
        <f t="shared" si="968"/>
        <v>8.4</v>
      </c>
      <c r="AH1081" s="51">
        <f t="shared" si="934"/>
        <v>42</v>
      </c>
      <c r="AI1081" s="52"/>
      <c r="AJ1081" s="52"/>
      <c r="AK1081" s="53">
        <f t="shared" si="969"/>
        <v>0</v>
      </c>
      <c r="AL1081" s="54">
        <f t="shared" si="970"/>
        <v>0.11904761904761904</v>
      </c>
      <c r="AM1081" s="54">
        <f t="shared" si="971"/>
        <v>2.3809523809523808E-2</v>
      </c>
      <c r="AN1081" s="55">
        <f t="shared" si="972"/>
        <v>0</v>
      </c>
      <c r="AO1081" s="55">
        <f t="shared" si="973"/>
        <v>0</v>
      </c>
      <c r="AP1081" s="53">
        <v>7.1</v>
      </c>
      <c r="AQ1081" s="53">
        <f t="shared" si="942"/>
        <v>4.26</v>
      </c>
      <c r="AR1081" s="53">
        <f t="shared" si="943"/>
        <v>21.299999999999997</v>
      </c>
      <c r="AS1081" s="56">
        <f t="shared" si="944"/>
        <v>4.6948356807511742E-2</v>
      </c>
      <c r="AT1081" s="56">
        <f t="shared" si="974"/>
        <v>0.23474178403755869</v>
      </c>
      <c r="AU1081" s="56">
        <f t="shared" si="945"/>
        <v>0.176056338028169</v>
      </c>
      <c r="AV1081" s="56">
        <f t="shared" si="975"/>
        <v>5.8685446009389672E-2</v>
      </c>
      <c r="AW1081" s="57"/>
      <c r="AX1081" s="57"/>
      <c r="AY1081" s="57"/>
      <c r="AZ1081" s="58">
        <f t="shared" si="976"/>
        <v>0</v>
      </c>
      <c r="BA1081" s="59">
        <f t="shared" si="977"/>
        <v>0</v>
      </c>
      <c r="BB1081" s="59">
        <f t="shared" si="978"/>
        <v>0</v>
      </c>
      <c r="BC1081" s="59">
        <f t="shared" si="979"/>
        <v>0</v>
      </c>
      <c r="BD1081" s="60">
        <f t="shared" si="980"/>
        <v>7.1095438516664771E-6</v>
      </c>
      <c r="BE1081" s="59">
        <f t="shared" si="981"/>
        <v>2.8438175406665908E-5</v>
      </c>
      <c r="BQ1081" s="61">
        <v>3000</v>
      </c>
      <c r="BR1081" s="61">
        <v>1200</v>
      </c>
      <c r="BS1081" s="28">
        <f t="shared" si="946"/>
        <v>2980</v>
      </c>
      <c r="BT1081" s="28">
        <f t="shared" si="947"/>
        <v>1180</v>
      </c>
      <c r="BU1081" s="28" t="s">
        <v>2541</v>
      </c>
      <c r="BV1081" s="28">
        <f t="shared" si="948"/>
        <v>5</v>
      </c>
      <c r="BW1081" s="28">
        <f t="shared" si="949"/>
        <v>5</v>
      </c>
      <c r="BX1081" s="13">
        <f t="shared" si="950"/>
        <v>596</v>
      </c>
      <c r="BY1081" s="13">
        <f t="shared" si="951"/>
        <v>596</v>
      </c>
      <c r="BZ1081" s="13">
        <f t="shared" si="952"/>
        <v>236</v>
      </c>
      <c r="CA1081" s="13">
        <f t="shared" si="953"/>
        <v>236</v>
      </c>
      <c r="CB1081" s="13">
        <f t="shared" si="954"/>
        <v>140656</v>
      </c>
      <c r="CC1081" s="62">
        <f t="shared" si="955"/>
        <v>7.1095438516664771E-6</v>
      </c>
      <c r="CD1081" s="13">
        <f t="shared" si="956"/>
        <v>596</v>
      </c>
      <c r="CE1081" s="13">
        <f t="shared" si="957"/>
        <v>596</v>
      </c>
      <c r="CF1081" s="13">
        <f t="shared" si="958"/>
        <v>236</v>
      </c>
      <c r="CG1081" s="13">
        <f t="shared" si="959"/>
        <v>236</v>
      </c>
      <c r="CH1081" s="28">
        <f t="shared" si="960"/>
        <v>140656</v>
      </c>
      <c r="CI1081" s="62">
        <f t="shared" si="961"/>
        <v>7.1095438516664771E-6</v>
      </c>
      <c r="CJ1081" s="59">
        <f t="shared" si="962"/>
        <v>7.1095438516664771E-6</v>
      </c>
      <c r="CL1081" s="63">
        <v>6000</v>
      </c>
      <c r="CM1081" s="63">
        <f t="shared" si="963"/>
        <v>0</v>
      </c>
      <c r="CN1081" s="63">
        <f t="shared" si="964"/>
        <v>5</v>
      </c>
      <c r="CO1081" s="63">
        <f t="shared" si="965"/>
        <v>1200</v>
      </c>
      <c r="CP1081" s="13">
        <f t="shared" si="966"/>
        <v>1200</v>
      </c>
      <c r="CQ1081" s="70">
        <f t="shared" si="967"/>
        <v>8.3333333333333339E-4</v>
      </c>
      <c r="CR1081" s="69">
        <f t="shared" si="985"/>
        <v>3.3333333333333335E-3</v>
      </c>
    </row>
    <row r="1082" spans="1:96" hidden="1" x14ac:dyDescent="0.25">
      <c r="A1082" s="10">
        <v>3</v>
      </c>
      <c r="B1082" s="8" t="s">
        <v>2172</v>
      </c>
      <c r="C1082" s="10" t="s">
        <v>2168</v>
      </c>
      <c r="D1082" s="10" t="s">
        <v>2270</v>
      </c>
      <c r="E1082" s="10" t="s">
        <v>52</v>
      </c>
      <c r="F1082" s="12">
        <f t="shared" si="935"/>
        <v>3</v>
      </c>
      <c r="G1082" s="10">
        <v>0</v>
      </c>
      <c r="H1082" s="10">
        <f>G1082*$H41086</f>
        <v>0</v>
      </c>
      <c r="I1082" s="10" t="s">
        <v>485</v>
      </c>
      <c r="J1082" s="8" t="s">
        <v>2169</v>
      </c>
      <c r="K1082" s="8" t="s">
        <v>486</v>
      </c>
      <c r="L1082" s="10" t="s">
        <v>223</v>
      </c>
      <c r="M1082" s="8" t="s">
        <v>2162</v>
      </c>
      <c r="N1082" s="10" t="s">
        <v>2163</v>
      </c>
      <c r="O1082" s="28" t="s">
        <v>41</v>
      </c>
      <c r="P1082" s="28" t="s">
        <v>41</v>
      </c>
      <c r="Q1082" s="28" t="s">
        <v>2163</v>
      </c>
      <c r="R1082" s="30"/>
      <c r="S1082" s="30"/>
      <c r="T1082" s="30"/>
      <c r="U1082" s="30"/>
      <c r="V1082" s="8">
        <f t="shared" si="937"/>
        <v>0</v>
      </c>
      <c r="W1082" s="8">
        <f t="shared" si="938"/>
        <v>0</v>
      </c>
      <c r="X1082" s="8">
        <f t="shared" si="939"/>
        <v>0</v>
      </c>
      <c r="Y1082" s="33">
        <f t="shared" si="940"/>
        <v>0</v>
      </c>
      <c r="Z1082" s="28"/>
      <c r="AA1082" s="28"/>
      <c r="AB1082" s="28" t="s">
        <v>2163</v>
      </c>
      <c r="AC1082" s="31"/>
      <c r="AD1082" s="50">
        <f t="shared" si="941"/>
        <v>0</v>
      </c>
      <c r="AE1082" s="47" t="s">
        <v>2140</v>
      </c>
      <c r="AF1082" s="51">
        <v>14</v>
      </c>
      <c r="AG1082" s="51">
        <f t="shared" si="968"/>
        <v>8.4</v>
      </c>
      <c r="AH1082" s="51">
        <f t="shared" si="934"/>
        <v>42</v>
      </c>
      <c r="AI1082" s="52"/>
      <c r="AJ1082" s="52"/>
      <c r="AK1082" s="53">
        <f t="shared" si="969"/>
        <v>0</v>
      </c>
      <c r="AL1082" s="54">
        <f t="shared" si="970"/>
        <v>0.11904761904761904</v>
      </c>
      <c r="AM1082" s="54">
        <f t="shared" si="971"/>
        <v>2.3809523809523808E-2</v>
      </c>
      <c r="AN1082" s="55">
        <f t="shared" si="972"/>
        <v>0</v>
      </c>
      <c r="AO1082" s="55">
        <f t="shared" si="973"/>
        <v>0</v>
      </c>
      <c r="AP1082" s="53">
        <v>7.1</v>
      </c>
      <c r="AQ1082" s="53">
        <f t="shared" si="942"/>
        <v>4.26</v>
      </c>
      <c r="AR1082" s="53">
        <f t="shared" si="943"/>
        <v>21.299999999999997</v>
      </c>
      <c r="AS1082" s="56">
        <f t="shared" si="944"/>
        <v>4.6948356807511742E-2</v>
      </c>
      <c r="AT1082" s="56">
        <f t="shared" si="974"/>
        <v>0.23474178403755869</v>
      </c>
      <c r="AU1082" s="56">
        <f t="shared" si="945"/>
        <v>0.176056338028169</v>
      </c>
      <c r="AV1082" s="56">
        <f t="shared" si="975"/>
        <v>5.8685446009389672E-2</v>
      </c>
      <c r="AW1082" s="57"/>
      <c r="AX1082" s="57"/>
      <c r="AY1082" s="57"/>
      <c r="AZ1082" s="58">
        <f t="shared" si="976"/>
        <v>0</v>
      </c>
      <c r="BA1082" s="59">
        <f t="shared" si="977"/>
        <v>0</v>
      </c>
      <c r="BB1082" s="59">
        <f t="shared" si="978"/>
        <v>0</v>
      </c>
      <c r="BC1082" s="59">
        <f t="shared" si="979"/>
        <v>0</v>
      </c>
      <c r="BD1082" s="60">
        <f t="shared" si="980"/>
        <v>7.1095438516664771E-6</v>
      </c>
      <c r="BE1082" s="59">
        <f t="shared" si="981"/>
        <v>0</v>
      </c>
      <c r="BQ1082" s="61">
        <v>3000</v>
      </c>
      <c r="BR1082" s="61">
        <v>1200</v>
      </c>
      <c r="BS1082" s="28">
        <f t="shared" si="946"/>
        <v>2980</v>
      </c>
      <c r="BT1082" s="28">
        <f t="shared" si="947"/>
        <v>1180</v>
      </c>
      <c r="BU1082" s="28" t="s">
        <v>2541</v>
      </c>
      <c r="BV1082" s="28">
        <f t="shared" si="948"/>
        <v>5</v>
      </c>
      <c r="BW1082" s="28">
        <f t="shared" si="949"/>
        <v>5</v>
      </c>
      <c r="BX1082" s="13">
        <f t="shared" si="950"/>
        <v>596</v>
      </c>
      <c r="BY1082" s="13">
        <f t="shared" si="951"/>
        <v>596</v>
      </c>
      <c r="BZ1082" s="13">
        <f t="shared" si="952"/>
        <v>236</v>
      </c>
      <c r="CA1082" s="13">
        <f t="shared" si="953"/>
        <v>236</v>
      </c>
      <c r="CB1082" s="13">
        <f t="shared" si="954"/>
        <v>140656</v>
      </c>
      <c r="CC1082" s="62">
        <f t="shared" si="955"/>
        <v>7.1095438516664771E-6</v>
      </c>
      <c r="CD1082" s="13">
        <f t="shared" si="956"/>
        <v>596</v>
      </c>
      <c r="CE1082" s="13">
        <f t="shared" si="957"/>
        <v>596</v>
      </c>
      <c r="CF1082" s="13">
        <f t="shared" si="958"/>
        <v>236</v>
      </c>
      <c r="CG1082" s="13">
        <f t="shared" si="959"/>
        <v>236</v>
      </c>
      <c r="CH1082" s="28">
        <f t="shared" si="960"/>
        <v>140656</v>
      </c>
      <c r="CI1082" s="62">
        <f t="shared" si="961"/>
        <v>7.1095438516664771E-6</v>
      </c>
      <c r="CJ1082" s="59">
        <f t="shared" si="962"/>
        <v>7.1095438516664771E-6</v>
      </c>
      <c r="CL1082" s="63">
        <v>6000</v>
      </c>
      <c r="CM1082" s="63">
        <f t="shared" si="963"/>
        <v>0</v>
      </c>
      <c r="CN1082" s="63">
        <f t="shared" si="964"/>
        <v>5</v>
      </c>
      <c r="CO1082" s="63">
        <f t="shared" si="965"/>
        <v>1200</v>
      </c>
      <c r="CP1082" s="13">
        <f t="shared" si="966"/>
        <v>1200</v>
      </c>
      <c r="CQ1082" s="70">
        <f t="shared" si="967"/>
        <v>8.3333333333333339E-4</v>
      </c>
      <c r="CR1082" s="69">
        <f t="shared" si="985"/>
        <v>0</v>
      </c>
    </row>
    <row r="1083" spans="1:96" hidden="1" x14ac:dyDescent="0.25">
      <c r="A1083" s="36">
        <v>2</v>
      </c>
      <c r="B1083" s="37" t="s">
        <v>2159</v>
      </c>
      <c r="C1083" s="36" t="s">
        <v>2173</v>
      </c>
      <c r="D1083" s="36" t="s">
        <v>2270</v>
      </c>
      <c r="E1083" s="36" t="s">
        <v>52</v>
      </c>
      <c r="F1083" s="38">
        <f t="shared" si="935"/>
        <v>1</v>
      </c>
      <c r="G1083" s="36">
        <v>4</v>
      </c>
      <c r="H1083" s="36">
        <f>G1083*$H$1077</f>
        <v>4</v>
      </c>
      <c r="I1083" s="36">
        <v>16</v>
      </c>
      <c r="J1083" s="37" t="s">
        <v>2174</v>
      </c>
      <c r="K1083" s="37" t="s">
        <v>34</v>
      </c>
      <c r="L1083" s="36" t="s">
        <v>642</v>
      </c>
      <c r="M1083" s="37" t="s">
        <v>2162</v>
      </c>
      <c r="N1083" s="36" t="s">
        <v>2163</v>
      </c>
      <c r="O1083" s="28" t="s">
        <v>41</v>
      </c>
      <c r="P1083" s="28" t="s">
        <v>41</v>
      </c>
      <c r="Q1083" s="77" t="s">
        <v>2572</v>
      </c>
      <c r="R1083" s="30"/>
      <c r="S1083" s="30"/>
      <c r="T1083" s="30"/>
      <c r="U1083" s="30"/>
      <c r="V1083" s="8">
        <f t="shared" si="937"/>
        <v>0</v>
      </c>
      <c r="W1083" s="8">
        <f t="shared" si="938"/>
        <v>0</v>
      </c>
      <c r="X1083" s="8">
        <f t="shared" si="939"/>
        <v>0</v>
      </c>
      <c r="Y1083" s="33">
        <f t="shared" si="940"/>
        <v>0</v>
      </c>
      <c r="Z1083" s="28"/>
      <c r="AA1083" s="28"/>
      <c r="AB1083" s="77" t="str">
        <f>Q1083</f>
        <v>MMP-NOVO-5</v>
      </c>
      <c r="AC1083" s="31" t="s">
        <v>2575</v>
      </c>
      <c r="AD1083" s="50">
        <f t="shared" si="941"/>
        <v>4</v>
      </c>
      <c r="AE1083" s="47" t="s">
        <v>2140</v>
      </c>
      <c r="AF1083" s="51">
        <v>14</v>
      </c>
      <c r="AG1083" s="51">
        <f t="shared" si="968"/>
        <v>8.4</v>
      </c>
      <c r="AH1083" s="51">
        <f t="shared" si="934"/>
        <v>42</v>
      </c>
      <c r="AI1083" s="52"/>
      <c r="AJ1083" s="52"/>
      <c r="AK1083" s="53">
        <f t="shared" si="969"/>
        <v>0</v>
      </c>
      <c r="AL1083" s="54">
        <f t="shared" si="970"/>
        <v>0.11904761904761904</v>
      </c>
      <c r="AM1083" s="54">
        <f t="shared" si="971"/>
        <v>2.3809523809523808E-2</v>
      </c>
      <c r="AN1083" s="55">
        <f t="shared" si="972"/>
        <v>0</v>
      </c>
      <c r="AO1083" s="55">
        <f t="shared" si="973"/>
        <v>0</v>
      </c>
      <c r="AP1083" s="53">
        <v>7.1</v>
      </c>
      <c r="AQ1083" s="53">
        <f t="shared" si="942"/>
        <v>4.26</v>
      </c>
      <c r="AR1083" s="53">
        <f t="shared" si="943"/>
        <v>21.299999999999997</v>
      </c>
      <c r="AS1083" s="56">
        <f t="shared" si="944"/>
        <v>4.6948356807511742E-2</v>
      </c>
      <c r="AT1083" s="56">
        <f t="shared" si="974"/>
        <v>0.23474178403755869</v>
      </c>
      <c r="AU1083" s="56">
        <f t="shared" si="945"/>
        <v>0.176056338028169</v>
      </c>
      <c r="AV1083" s="56">
        <f t="shared" si="975"/>
        <v>5.8685446009389672E-2</v>
      </c>
      <c r="AW1083" s="57"/>
      <c r="AX1083" s="57"/>
      <c r="AY1083" s="57"/>
      <c r="AZ1083" s="58">
        <f t="shared" si="976"/>
        <v>0</v>
      </c>
      <c r="BA1083" s="59">
        <f t="shared" si="977"/>
        <v>0</v>
      </c>
      <c r="BB1083" s="59">
        <f t="shared" si="978"/>
        <v>0</v>
      </c>
      <c r="BC1083" s="59">
        <f t="shared" si="979"/>
        <v>0</v>
      </c>
      <c r="BD1083" s="60">
        <f t="shared" si="980"/>
        <v>7.1095438516664771E-6</v>
      </c>
      <c r="BE1083" s="59">
        <f t="shared" si="981"/>
        <v>2.8438175406665908E-5</v>
      </c>
      <c r="BQ1083" s="61">
        <v>3000</v>
      </c>
      <c r="BR1083" s="61">
        <v>1200</v>
      </c>
      <c r="BS1083" s="28">
        <f t="shared" si="946"/>
        <v>2980</v>
      </c>
      <c r="BT1083" s="28">
        <f t="shared" si="947"/>
        <v>1180</v>
      </c>
      <c r="BU1083" s="28" t="s">
        <v>2541</v>
      </c>
      <c r="BV1083" s="28">
        <f t="shared" si="948"/>
        <v>5</v>
      </c>
      <c r="BW1083" s="28">
        <f t="shared" si="949"/>
        <v>5</v>
      </c>
      <c r="BX1083" s="13">
        <f t="shared" si="950"/>
        <v>596</v>
      </c>
      <c r="BY1083" s="13">
        <f t="shared" si="951"/>
        <v>596</v>
      </c>
      <c r="BZ1083" s="13">
        <f t="shared" si="952"/>
        <v>236</v>
      </c>
      <c r="CA1083" s="13">
        <f t="shared" si="953"/>
        <v>236</v>
      </c>
      <c r="CB1083" s="13">
        <f t="shared" si="954"/>
        <v>140656</v>
      </c>
      <c r="CC1083" s="62">
        <f t="shared" si="955"/>
        <v>7.1095438516664771E-6</v>
      </c>
      <c r="CD1083" s="13">
        <f t="shared" si="956"/>
        <v>596</v>
      </c>
      <c r="CE1083" s="13">
        <f t="shared" si="957"/>
        <v>596</v>
      </c>
      <c r="CF1083" s="13">
        <f t="shared" si="958"/>
        <v>236</v>
      </c>
      <c r="CG1083" s="13">
        <f t="shared" si="959"/>
        <v>236</v>
      </c>
      <c r="CH1083" s="28">
        <f t="shared" si="960"/>
        <v>140656</v>
      </c>
      <c r="CI1083" s="62">
        <f t="shared" si="961"/>
        <v>7.1095438516664771E-6</v>
      </c>
      <c r="CJ1083" s="59">
        <f t="shared" si="962"/>
        <v>7.1095438516664771E-6</v>
      </c>
      <c r="CL1083" s="63">
        <v>6000</v>
      </c>
      <c r="CM1083" s="63">
        <f t="shared" si="963"/>
        <v>0</v>
      </c>
      <c r="CN1083" s="63">
        <f t="shared" si="964"/>
        <v>5</v>
      </c>
      <c r="CO1083" s="63">
        <f t="shared" si="965"/>
        <v>1200</v>
      </c>
      <c r="CP1083" s="13">
        <f t="shared" si="966"/>
        <v>1200</v>
      </c>
      <c r="CQ1083" s="70">
        <f t="shared" si="967"/>
        <v>8.3333333333333339E-4</v>
      </c>
      <c r="CR1083" s="69">
        <f t="shared" si="985"/>
        <v>3.3333333333333335E-3</v>
      </c>
    </row>
    <row r="1084" spans="1:96" hidden="1" x14ac:dyDescent="0.25">
      <c r="A1084" s="10">
        <v>3</v>
      </c>
      <c r="B1084" s="8" t="s">
        <v>2175</v>
      </c>
      <c r="C1084" s="10" t="s">
        <v>2168</v>
      </c>
      <c r="D1084" s="10" t="s">
        <v>2270</v>
      </c>
      <c r="E1084" s="10" t="s">
        <v>52</v>
      </c>
      <c r="F1084" s="12">
        <f t="shared" si="935"/>
        <v>3</v>
      </c>
      <c r="G1084" s="10">
        <v>0</v>
      </c>
      <c r="H1084" s="10">
        <f>G1084*$H41088</f>
        <v>0</v>
      </c>
      <c r="I1084" s="10" t="s">
        <v>485</v>
      </c>
      <c r="J1084" s="8" t="s">
        <v>2169</v>
      </c>
      <c r="K1084" s="8" t="s">
        <v>486</v>
      </c>
      <c r="L1084" s="10" t="s">
        <v>223</v>
      </c>
      <c r="M1084" s="8" t="s">
        <v>2162</v>
      </c>
      <c r="N1084" s="10" t="s">
        <v>2163</v>
      </c>
      <c r="O1084" s="28" t="s">
        <v>41</v>
      </c>
      <c r="P1084" s="28" t="s">
        <v>41</v>
      </c>
      <c r="Q1084" s="28" t="s">
        <v>2163</v>
      </c>
      <c r="R1084" s="30"/>
      <c r="S1084" s="30"/>
      <c r="T1084" s="30"/>
      <c r="U1084" s="30"/>
      <c r="V1084" s="8">
        <f t="shared" si="937"/>
        <v>0</v>
      </c>
      <c r="W1084" s="8">
        <f t="shared" si="938"/>
        <v>0</v>
      </c>
      <c r="X1084" s="8">
        <f t="shared" si="939"/>
        <v>0</v>
      </c>
      <c r="Y1084" s="33">
        <f t="shared" si="940"/>
        <v>0</v>
      </c>
      <c r="Z1084" s="28"/>
      <c r="AA1084" s="28"/>
      <c r="AB1084" s="28" t="s">
        <v>2163</v>
      </c>
      <c r="AC1084" s="31"/>
      <c r="AD1084" s="50">
        <f t="shared" si="941"/>
        <v>0</v>
      </c>
      <c r="AE1084" s="47" t="s">
        <v>2140</v>
      </c>
      <c r="AF1084" s="51">
        <v>14</v>
      </c>
      <c r="AG1084" s="51">
        <f t="shared" si="968"/>
        <v>8.4</v>
      </c>
      <c r="AH1084" s="51">
        <f t="shared" si="934"/>
        <v>42</v>
      </c>
      <c r="AI1084" s="52"/>
      <c r="AJ1084" s="52"/>
      <c r="AK1084" s="53">
        <f t="shared" si="969"/>
        <v>0</v>
      </c>
      <c r="AL1084" s="54">
        <f t="shared" si="970"/>
        <v>0.11904761904761904</v>
      </c>
      <c r="AM1084" s="54">
        <f t="shared" si="971"/>
        <v>2.3809523809523808E-2</v>
      </c>
      <c r="AN1084" s="55">
        <f t="shared" si="972"/>
        <v>0</v>
      </c>
      <c r="AO1084" s="55">
        <f t="shared" si="973"/>
        <v>0</v>
      </c>
      <c r="AP1084" s="53">
        <v>7.1</v>
      </c>
      <c r="AQ1084" s="53">
        <f t="shared" si="942"/>
        <v>4.26</v>
      </c>
      <c r="AR1084" s="53">
        <f t="shared" si="943"/>
        <v>21.299999999999997</v>
      </c>
      <c r="AS1084" s="56">
        <f t="shared" si="944"/>
        <v>4.6948356807511742E-2</v>
      </c>
      <c r="AT1084" s="56">
        <f t="shared" si="974"/>
        <v>0.23474178403755869</v>
      </c>
      <c r="AU1084" s="56">
        <f t="shared" si="945"/>
        <v>0.176056338028169</v>
      </c>
      <c r="AV1084" s="56">
        <f t="shared" si="975"/>
        <v>5.8685446009389672E-2</v>
      </c>
      <c r="AW1084" s="57"/>
      <c r="AX1084" s="57"/>
      <c r="AY1084" s="57"/>
      <c r="AZ1084" s="58">
        <f t="shared" si="976"/>
        <v>0</v>
      </c>
      <c r="BA1084" s="59">
        <f t="shared" si="977"/>
        <v>0</v>
      </c>
      <c r="BB1084" s="59">
        <f t="shared" si="978"/>
        <v>0</v>
      </c>
      <c r="BC1084" s="59">
        <f t="shared" si="979"/>
        <v>0</v>
      </c>
      <c r="BD1084" s="60">
        <f t="shared" si="980"/>
        <v>7.1095438516664771E-6</v>
      </c>
      <c r="BE1084" s="59">
        <f t="shared" si="981"/>
        <v>0</v>
      </c>
      <c r="BQ1084" s="61">
        <v>3000</v>
      </c>
      <c r="BR1084" s="61">
        <v>1200</v>
      </c>
      <c r="BS1084" s="28">
        <f t="shared" si="946"/>
        <v>2980</v>
      </c>
      <c r="BT1084" s="28">
        <f t="shared" si="947"/>
        <v>1180</v>
      </c>
      <c r="BU1084" s="28" t="s">
        <v>2541</v>
      </c>
      <c r="BV1084" s="28">
        <f t="shared" si="948"/>
        <v>5</v>
      </c>
      <c r="BW1084" s="28">
        <f t="shared" si="949"/>
        <v>5</v>
      </c>
      <c r="BX1084" s="13">
        <f t="shared" si="950"/>
        <v>596</v>
      </c>
      <c r="BY1084" s="13">
        <f t="shared" si="951"/>
        <v>596</v>
      </c>
      <c r="BZ1084" s="13">
        <f t="shared" si="952"/>
        <v>236</v>
      </c>
      <c r="CA1084" s="13">
        <f t="shared" si="953"/>
        <v>236</v>
      </c>
      <c r="CB1084" s="13">
        <f t="shared" si="954"/>
        <v>140656</v>
      </c>
      <c r="CC1084" s="62">
        <f t="shared" si="955"/>
        <v>7.1095438516664771E-6</v>
      </c>
      <c r="CD1084" s="13">
        <f t="shared" si="956"/>
        <v>596</v>
      </c>
      <c r="CE1084" s="13">
        <f t="shared" si="957"/>
        <v>596</v>
      </c>
      <c r="CF1084" s="13">
        <f t="shared" si="958"/>
        <v>236</v>
      </c>
      <c r="CG1084" s="13">
        <f t="shared" si="959"/>
        <v>236</v>
      </c>
      <c r="CH1084" s="28">
        <f t="shared" si="960"/>
        <v>140656</v>
      </c>
      <c r="CI1084" s="62">
        <f t="shared" si="961"/>
        <v>7.1095438516664771E-6</v>
      </c>
      <c r="CJ1084" s="59">
        <f t="shared" si="962"/>
        <v>7.1095438516664771E-6</v>
      </c>
      <c r="CL1084" s="63">
        <v>6000</v>
      </c>
      <c r="CM1084" s="63">
        <f t="shared" si="963"/>
        <v>0</v>
      </c>
      <c r="CN1084" s="63">
        <f t="shared" si="964"/>
        <v>5</v>
      </c>
      <c r="CO1084" s="63">
        <f t="shared" si="965"/>
        <v>1200</v>
      </c>
      <c r="CP1084" s="13">
        <f t="shared" si="966"/>
        <v>1200</v>
      </c>
      <c r="CQ1084" s="70">
        <f t="shared" si="967"/>
        <v>8.3333333333333339E-4</v>
      </c>
      <c r="CR1084" s="69">
        <f t="shared" si="985"/>
        <v>0</v>
      </c>
    </row>
    <row r="1085" spans="1:96" hidden="1" x14ac:dyDescent="0.25">
      <c r="A1085" s="36">
        <v>2</v>
      </c>
      <c r="B1085" s="37" t="s">
        <v>2159</v>
      </c>
      <c r="C1085" s="36" t="s">
        <v>2176</v>
      </c>
      <c r="D1085" s="36" t="s">
        <v>2270</v>
      </c>
      <c r="E1085" s="36" t="s">
        <v>52</v>
      </c>
      <c r="F1085" s="38">
        <f t="shared" si="935"/>
        <v>1</v>
      </c>
      <c r="G1085" s="36">
        <v>20</v>
      </c>
      <c r="H1085" s="36">
        <f t="shared" ref="H1085:H1087" si="990">G1085*$H$1077</f>
        <v>20</v>
      </c>
      <c r="I1085" s="36">
        <v>17</v>
      </c>
      <c r="J1085" s="37" t="s">
        <v>480</v>
      </c>
      <c r="K1085" s="37" t="s">
        <v>651</v>
      </c>
      <c r="L1085" s="36">
        <v>0</v>
      </c>
      <c r="M1085" s="37" t="s">
        <v>2162</v>
      </c>
      <c r="N1085" s="36" t="s">
        <v>2163</v>
      </c>
      <c r="O1085" s="28" t="s">
        <v>41</v>
      </c>
      <c r="P1085" s="28" t="s">
        <v>41</v>
      </c>
      <c r="Q1085" s="77" t="s">
        <v>2576</v>
      </c>
      <c r="R1085" s="30"/>
      <c r="S1085" s="30"/>
      <c r="T1085" s="30"/>
      <c r="U1085" s="30"/>
      <c r="V1085" s="8">
        <f t="shared" si="937"/>
        <v>0</v>
      </c>
      <c r="W1085" s="8">
        <f t="shared" si="938"/>
        <v>0</v>
      </c>
      <c r="X1085" s="8">
        <f t="shared" si="939"/>
        <v>0</v>
      </c>
      <c r="Y1085" s="33">
        <f t="shared" si="940"/>
        <v>0</v>
      </c>
      <c r="Z1085" s="28"/>
      <c r="AA1085" s="28"/>
      <c r="AB1085" s="77" t="str">
        <f t="shared" ref="AB1085:AB1087" si="991">Q1085</f>
        <v>MMP-NOVO-6</v>
      </c>
      <c r="AC1085" s="31" t="s">
        <v>2577</v>
      </c>
      <c r="AD1085" s="50">
        <f t="shared" si="941"/>
        <v>20</v>
      </c>
      <c r="AE1085" s="47" t="s">
        <v>2140</v>
      </c>
      <c r="AF1085" s="51">
        <v>14</v>
      </c>
      <c r="AG1085" s="51">
        <f t="shared" si="968"/>
        <v>8.4</v>
      </c>
      <c r="AH1085" s="51">
        <f t="shared" si="934"/>
        <v>42</v>
      </c>
      <c r="AI1085" s="52"/>
      <c r="AJ1085" s="52"/>
      <c r="AK1085" s="53">
        <f t="shared" si="969"/>
        <v>0</v>
      </c>
      <c r="AL1085" s="54">
        <f t="shared" si="970"/>
        <v>0.11904761904761904</v>
      </c>
      <c r="AM1085" s="54">
        <f t="shared" si="971"/>
        <v>2.3809523809523808E-2</v>
      </c>
      <c r="AN1085" s="55">
        <f t="shared" si="972"/>
        <v>0</v>
      </c>
      <c r="AO1085" s="55">
        <f t="shared" si="973"/>
        <v>0</v>
      </c>
      <c r="AP1085" s="53">
        <v>7.1</v>
      </c>
      <c r="AQ1085" s="53">
        <f t="shared" si="942"/>
        <v>4.26</v>
      </c>
      <c r="AR1085" s="53">
        <f t="shared" si="943"/>
        <v>21.299999999999997</v>
      </c>
      <c r="AS1085" s="56">
        <f t="shared" si="944"/>
        <v>4.6948356807511742E-2</v>
      </c>
      <c r="AT1085" s="56">
        <f t="shared" si="974"/>
        <v>0.23474178403755869</v>
      </c>
      <c r="AU1085" s="56">
        <f t="shared" si="945"/>
        <v>0.176056338028169</v>
      </c>
      <c r="AV1085" s="56">
        <f t="shared" si="975"/>
        <v>5.8685446009389672E-2</v>
      </c>
      <c r="AW1085" s="57"/>
      <c r="AX1085" s="57"/>
      <c r="AY1085" s="57"/>
      <c r="AZ1085" s="58">
        <f t="shared" si="976"/>
        <v>0</v>
      </c>
      <c r="BA1085" s="59">
        <f t="shared" si="977"/>
        <v>0</v>
      </c>
      <c r="BB1085" s="59">
        <f t="shared" si="978"/>
        <v>0</v>
      </c>
      <c r="BC1085" s="59">
        <f t="shared" si="979"/>
        <v>0</v>
      </c>
      <c r="BD1085" s="60">
        <f t="shared" si="980"/>
        <v>7.1095438516664771E-6</v>
      </c>
      <c r="BE1085" s="59">
        <f t="shared" si="981"/>
        <v>1.4219087703332955E-4</v>
      </c>
      <c r="BQ1085" s="61">
        <v>3000</v>
      </c>
      <c r="BR1085" s="61">
        <v>1200</v>
      </c>
      <c r="BS1085" s="28">
        <f t="shared" si="946"/>
        <v>2980</v>
      </c>
      <c r="BT1085" s="28">
        <f t="shared" si="947"/>
        <v>1180</v>
      </c>
      <c r="BU1085" s="28" t="s">
        <v>2541</v>
      </c>
      <c r="BV1085" s="28">
        <f t="shared" si="948"/>
        <v>5</v>
      </c>
      <c r="BW1085" s="28">
        <f t="shared" si="949"/>
        <v>5</v>
      </c>
      <c r="BX1085" s="13">
        <f t="shared" si="950"/>
        <v>596</v>
      </c>
      <c r="BY1085" s="13">
        <f t="shared" si="951"/>
        <v>596</v>
      </c>
      <c r="BZ1085" s="13">
        <f t="shared" si="952"/>
        <v>236</v>
      </c>
      <c r="CA1085" s="13">
        <f t="shared" si="953"/>
        <v>236</v>
      </c>
      <c r="CB1085" s="13">
        <f t="shared" si="954"/>
        <v>140656</v>
      </c>
      <c r="CC1085" s="62">
        <f t="shared" si="955"/>
        <v>7.1095438516664771E-6</v>
      </c>
      <c r="CD1085" s="13">
        <f t="shared" si="956"/>
        <v>596</v>
      </c>
      <c r="CE1085" s="13">
        <f t="shared" si="957"/>
        <v>596</v>
      </c>
      <c r="CF1085" s="13">
        <f t="shared" si="958"/>
        <v>236</v>
      </c>
      <c r="CG1085" s="13">
        <f t="shared" si="959"/>
        <v>236</v>
      </c>
      <c r="CH1085" s="28">
        <f t="shared" si="960"/>
        <v>140656</v>
      </c>
      <c r="CI1085" s="62">
        <f t="shared" si="961"/>
        <v>7.1095438516664771E-6</v>
      </c>
      <c r="CJ1085" s="59">
        <f t="shared" si="962"/>
        <v>7.1095438516664771E-6</v>
      </c>
      <c r="CL1085" s="63">
        <v>6000</v>
      </c>
      <c r="CM1085" s="63">
        <f t="shared" si="963"/>
        <v>0</v>
      </c>
      <c r="CN1085" s="63">
        <f t="shared" si="964"/>
        <v>5</v>
      </c>
      <c r="CO1085" s="63">
        <f t="shared" si="965"/>
        <v>1200</v>
      </c>
      <c r="CP1085" s="13">
        <f t="shared" si="966"/>
        <v>1200</v>
      </c>
      <c r="CQ1085" s="70">
        <f t="shared" si="967"/>
        <v>8.3333333333333339E-4</v>
      </c>
      <c r="CR1085" s="69">
        <f t="shared" si="985"/>
        <v>1.6666666666666666E-2</v>
      </c>
    </row>
    <row r="1086" spans="1:96" hidden="1" x14ac:dyDescent="0.25">
      <c r="A1086" s="36">
        <v>2</v>
      </c>
      <c r="B1086" s="37" t="s">
        <v>2159</v>
      </c>
      <c r="C1086" s="36" t="s">
        <v>2177</v>
      </c>
      <c r="D1086" s="36" t="s">
        <v>2270</v>
      </c>
      <c r="E1086" s="36" t="s">
        <v>52</v>
      </c>
      <c r="F1086" s="38">
        <f t="shared" si="935"/>
        <v>1</v>
      </c>
      <c r="G1086" s="36">
        <v>1</v>
      </c>
      <c r="H1086" s="36">
        <f t="shared" si="990"/>
        <v>1</v>
      </c>
      <c r="I1086" s="36">
        <v>18</v>
      </c>
      <c r="J1086" s="37" t="s">
        <v>2178</v>
      </c>
      <c r="K1086" s="37" t="s">
        <v>34</v>
      </c>
      <c r="L1086" s="36" t="s">
        <v>259</v>
      </c>
      <c r="M1086" s="37" t="s">
        <v>2162</v>
      </c>
      <c r="N1086" s="36" t="s">
        <v>2163</v>
      </c>
      <c r="O1086" s="28" t="s">
        <v>41</v>
      </c>
      <c r="P1086" s="28" t="s">
        <v>41</v>
      </c>
      <c r="Q1086" s="77" t="s">
        <v>2578</v>
      </c>
      <c r="R1086" s="30"/>
      <c r="S1086" s="30"/>
      <c r="T1086" s="30"/>
      <c r="U1086" s="30"/>
      <c r="V1086" s="8">
        <f t="shared" si="937"/>
        <v>0</v>
      </c>
      <c r="W1086" s="8">
        <f t="shared" si="938"/>
        <v>0</v>
      </c>
      <c r="X1086" s="8">
        <f t="shared" si="939"/>
        <v>0</v>
      </c>
      <c r="Y1086" s="33">
        <f t="shared" si="940"/>
        <v>0</v>
      </c>
      <c r="Z1086" s="28"/>
      <c r="AA1086" s="28"/>
      <c r="AB1086" s="77" t="str">
        <f t="shared" si="991"/>
        <v>MTA-NOVO-4</v>
      </c>
      <c r="AC1086" s="31" t="s">
        <v>2580</v>
      </c>
      <c r="AD1086" s="50">
        <f t="shared" si="941"/>
        <v>1</v>
      </c>
      <c r="AE1086" s="47" t="s">
        <v>2140</v>
      </c>
      <c r="AF1086" s="51">
        <v>14</v>
      </c>
      <c r="AG1086" s="51">
        <f t="shared" si="968"/>
        <v>8.4</v>
      </c>
      <c r="AH1086" s="51">
        <f t="shared" si="934"/>
        <v>42</v>
      </c>
      <c r="AI1086" s="52"/>
      <c r="AJ1086" s="52"/>
      <c r="AK1086" s="53">
        <f t="shared" si="969"/>
        <v>0</v>
      </c>
      <c r="AL1086" s="54">
        <f t="shared" si="970"/>
        <v>0.11904761904761904</v>
      </c>
      <c r="AM1086" s="54">
        <f t="shared" si="971"/>
        <v>2.3809523809523808E-2</v>
      </c>
      <c r="AN1086" s="55">
        <f t="shared" si="972"/>
        <v>0</v>
      </c>
      <c r="AO1086" s="55">
        <f t="shared" si="973"/>
        <v>0</v>
      </c>
      <c r="AP1086" s="53">
        <v>7.1</v>
      </c>
      <c r="AQ1086" s="53">
        <f t="shared" si="942"/>
        <v>4.26</v>
      </c>
      <c r="AR1086" s="53">
        <f t="shared" si="943"/>
        <v>21.299999999999997</v>
      </c>
      <c r="AS1086" s="56">
        <f t="shared" si="944"/>
        <v>4.6948356807511742E-2</v>
      </c>
      <c r="AT1086" s="56">
        <f t="shared" si="974"/>
        <v>0.23474178403755869</v>
      </c>
      <c r="AU1086" s="56">
        <f t="shared" si="945"/>
        <v>0.176056338028169</v>
      </c>
      <c r="AV1086" s="56">
        <f t="shared" si="975"/>
        <v>5.8685446009389672E-2</v>
      </c>
      <c r="AW1086" s="57"/>
      <c r="AX1086" s="57"/>
      <c r="AY1086" s="57"/>
      <c r="AZ1086" s="58">
        <f t="shared" si="976"/>
        <v>0</v>
      </c>
      <c r="BA1086" s="59">
        <f t="shared" si="977"/>
        <v>0</v>
      </c>
      <c r="BB1086" s="59">
        <f t="shared" si="978"/>
        <v>0</v>
      </c>
      <c r="BC1086" s="59">
        <f t="shared" si="979"/>
        <v>0</v>
      </c>
      <c r="BD1086" s="60">
        <f t="shared" si="980"/>
        <v>7.1095438516664771E-6</v>
      </c>
      <c r="BE1086" s="59">
        <f t="shared" si="981"/>
        <v>7.1095438516664771E-6</v>
      </c>
      <c r="BQ1086" s="61">
        <v>3000</v>
      </c>
      <c r="BR1086" s="61">
        <v>1200</v>
      </c>
      <c r="BS1086" s="28">
        <f t="shared" si="946"/>
        <v>2980</v>
      </c>
      <c r="BT1086" s="28">
        <f t="shared" si="947"/>
        <v>1180</v>
      </c>
      <c r="BU1086" s="28" t="s">
        <v>2541</v>
      </c>
      <c r="BV1086" s="28">
        <f t="shared" si="948"/>
        <v>5</v>
      </c>
      <c r="BW1086" s="28">
        <f t="shared" si="949"/>
        <v>5</v>
      </c>
      <c r="BX1086" s="13">
        <f t="shared" si="950"/>
        <v>596</v>
      </c>
      <c r="BY1086" s="13">
        <f t="shared" si="951"/>
        <v>596</v>
      </c>
      <c r="BZ1086" s="13">
        <f t="shared" si="952"/>
        <v>236</v>
      </c>
      <c r="CA1086" s="13">
        <f t="shared" si="953"/>
        <v>236</v>
      </c>
      <c r="CB1086" s="13">
        <f t="shared" si="954"/>
        <v>140656</v>
      </c>
      <c r="CC1086" s="62">
        <f t="shared" si="955"/>
        <v>7.1095438516664771E-6</v>
      </c>
      <c r="CD1086" s="13">
        <f t="shared" si="956"/>
        <v>596</v>
      </c>
      <c r="CE1086" s="13">
        <f t="shared" si="957"/>
        <v>596</v>
      </c>
      <c r="CF1086" s="13">
        <f t="shared" si="958"/>
        <v>236</v>
      </c>
      <c r="CG1086" s="13">
        <f t="shared" si="959"/>
        <v>236</v>
      </c>
      <c r="CH1086" s="28">
        <f t="shared" si="960"/>
        <v>140656</v>
      </c>
      <c r="CI1086" s="62">
        <f t="shared" si="961"/>
        <v>7.1095438516664771E-6</v>
      </c>
      <c r="CJ1086" s="59">
        <f t="shared" si="962"/>
        <v>7.1095438516664771E-6</v>
      </c>
      <c r="CL1086" s="63">
        <v>6000</v>
      </c>
      <c r="CM1086" s="63">
        <f t="shared" si="963"/>
        <v>0</v>
      </c>
      <c r="CN1086" s="63">
        <f t="shared" si="964"/>
        <v>5</v>
      </c>
      <c r="CO1086" s="63">
        <f t="shared" si="965"/>
        <v>1200</v>
      </c>
      <c r="CP1086" s="13">
        <f t="shared" si="966"/>
        <v>1200</v>
      </c>
      <c r="CQ1086" s="70">
        <f t="shared" si="967"/>
        <v>8.3333333333333339E-4</v>
      </c>
      <c r="CR1086" s="69">
        <f t="shared" si="985"/>
        <v>8.3333333333333339E-4</v>
      </c>
    </row>
    <row r="1087" spans="1:96" hidden="1" x14ac:dyDescent="0.25">
      <c r="A1087" s="36">
        <v>2</v>
      </c>
      <c r="B1087" s="37" t="s">
        <v>2159</v>
      </c>
      <c r="C1087" s="36" t="s">
        <v>2179</v>
      </c>
      <c r="D1087" s="36" t="s">
        <v>2270</v>
      </c>
      <c r="E1087" s="36" t="s">
        <v>52</v>
      </c>
      <c r="F1087" s="38">
        <f t="shared" si="935"/>
        <v>1</v>
      </c>
      <c r="G1087" s="36">
        <v>1</v>
      </c>
      <c r="H1087" s="36">
        <f t="shared" si="990"/>
        <v>1</v>
      </c>
      <c r="I1087" s="36">
        <v>19</v>
      </c>
      <c r="J1087" s="37" t="s">
        <v>2178</v>
      </c>
      <c r="K1087" s="37" t="s">
        <v>34</v>
      </c>
      <c r="L1087" s="36" t="s">
        <v>259</v>
      </c>
      <c r="M1087" s="37" t="s">
        <v>2162</v>
      </c>
      <c r="N1087" s="36" t="s">
        <v>2163</v>
      </c>
      <c r="O1087" s="28" t="s">
        <v>41</v>
      </c>
      <c r="P1087" s="28" t="s">
        <v>41</v>
      </c>
      <c r="Q1087" s="77" t="s">
        <v>2579</v>
      </c>
      <c r="R1087" s="30"/>
      <c r="S1087" s="30"/>
      <c r="T1087" s="30"/>
      <c r="U1087" s="30"/>
      <c r="V1087" s="8">
        <f t="shared" si="937"/>
        <v>0</v>
      </c>
      <c r="W1087" s="8">
        <f t="shared" si="938"/>
        <v>0</v>
      </c>
      <c r="X1087" s="8">
        <f t="shared" si="939"/>
        <v>0</v>
      </c>
      <c r="Y1087" s="33">
        <f t="shared" si="940"/>
        <v>0</v>
      </c>
      <c r="Z1087" s="28"/>
      <c r="AA1087" s="28"/>
      <c r="AB1087" s="77" t="str">
        <f t="shared" si="991"/>
        <v>MTA-NOVO-5</v>
      </c>
      <c r="AC1087" s="31" t="s">
        <v>2581</v>
      </c>
      <c r="AD1087" s="50">
        <f t="shared" si="941"/>
        <v>1</v>
      </c>
      <c r="AE1087" s="47" t="s">
        <v>2140</v>
      </c>
      <c r="AF1087" s="51">
        <v>14</v>
      </c>
      <c r="AG1087" s="51">
        <f t="shared" si="968"/>
        <v>8.4</v>
      </c>
      <c r="AH1087" s="51">
        <f t="shared" si="934"/>
        <v>42</v>
      </c>
      <c r="AI1087" s="52"/>
      <c r="AJ1087" s="52"/>
      <c r="AK1087" s="53">
        <f t="shared" si="969"/>
        <v>0</v>
      </c>
      <c r="AL1087" s="54">
        <f t="shared" si="970"/>
        <v>0.11904761904761904</v>
      </c>
      <c r="AM1087" s="54">
        <f t="shared" si="971"/>
        <v>2.3809523809523808E-2</v>
      </c>
      <c r="AN1087" s="55">
        <f t="shared" si="972"/>
        <v>0</v>
      </c>
      <c r="AO1087" s="55">
        <f t="shared" si="973"/>
        <v>0</v>
      </c>
      <c r="AP1087" s="53">
        <v>7.1</v>
      </c>
      <c r="AQ1087" s="53">
        <f t="shared" si="942"/>
        <v>4.26</v>
      </c>
      <c r="AR1087" s="53">
        <f t="shared" si="943"/>
        <v>21.299999999999997</v>
      </c>
      <c r="AS1087" s="56">
        <f t="shared" si="944"/>
        <v>4.6948356807511742E-2</v>
      </c>
      <c r="AT1087" s="56">
        <f t="shared" si="974"/>
        <v>0.23474178403755869</v>
      </c>
      <c r="AU1087" s="56">
        <f t="shared" si="945"/>
        <v>0.176056338028169</v>
      </c>
      <c r="AV1087" s="56">
        <f t="shared" si="975"/>
        <v>5.8685446009389672E-2</v>
      </c>
      <c r="AW1087" s="57"/>
      <c r="AX1087" s="57"/>
      <c r="AY1087" s="57"/>
      <c r="AZ1087" s="58">
        <f t="shared" si="976"/>
        <v>0</v>
      </c>
      <c r="BA1087" s="59">
        <f t="shared" si="977"/>
        <v>0</v>
      </c>
      <c r="BB1087" s="59">
        <f t="shared" si="978"/>
        <v>0</v>
      </c>
      <c r="BC1087" s="59">
        <f t="shared" si="979"/>
        <v>0</v>
      </c>
      <c r="BD1087" s="60">
        <f t="shared" si="980"/>
        <v>7.1095438516664771E-6</v>
      </c>
      <c r="BE1087" s="59">
        <f t="shared" si="981"/>
        <v>7.1095438516664771E-6</v>
      </c>
      <c r="BQ1087" s="61">
        <v>3000</v>
      </c>
      <c r="BR1087" s="61">
        <v>1200</v>
      </c>
      <c r="BS1087" s="28">
        <f t="shared" si="946"/>
        <v>2980</v>
      </c>
      <c r="BT1087" s="28">
        <f t="shared" si="947"/>
        <v>1180</v>
      </c>
      <c r="BU1087" s="28" t="s">
        <v>2541</v>
      </c>
      <c r="BV1087" s="28">
        <f t="shared" si="948"/>
        <v>5</v>
      </c>
      <c r="BW1087" s="28">
        <f t="shared" si="949"/>
        <v>5</v>
      </c>
      <c r="BX1087" s="13">
        <f t="shared" si="950"/>
        <v>596</v>
      </c>
      <c r="BY1087" s="13">
        <f t="shared" si="951"/>
        <v>596</v>
      </c>
      <c r="BZ1087" s="13">
        <f t="shared" si="952"/>
        <v>236</v>
      </c>
      <c r="CA1087" s="13">
        <f t="shared" si="953"/>
        <v>236</v>
      </c>
      <c r="CB1087" s="13">
        <f t="shared" si="954"/>
        <v>140656</v>
      </c>
      <c r="CC1087" s="62">
        <f t="shared" si="955"/>
        <v>7.1095438516664771E-6</v>
      </c>
      <c r="CD1087" s="13">
        <f t="shared" si="956"/>
        <v>596</v>
      </c>
      <c r="CE1087" s="13">
        <f t="shared" si="957"/>
        <v>596</v>
      </c>
      <c r="CF1087" s="13">
        <f t="shared" si="958"/>
        <v>236</v>
      </c>
      <c r="CG1087" s="13">
        <f t="shared" si="959"/>
        <v>236</v>
      </c>
      <c r="CH1087" s="28">
        <f t="shared" si="960"/>
        <v>140656</v>
      </c>
      <c r="CI1087" s="62">
        <f t="shared" si="961"/>
        <v>7.1095438516664771E-6</v>
      </c>
      <c r="CJ1087" s="59">
        <f t="shared" si="962"/>
        <v>7.1095438516664771E-6</v>
      </c>
      <c r="CL1087" s="63">
        <v>6000</v>
      </c>
      <c r="CM1087" s="63">
        <f t="shared" si="963"/>
        <v>0</v>
      </c>
      <c r="CN1087" s="63">
        <f t="shared" si="964"/>
        <v>5</v>
      </c>
      <c r="CO1087" s="63">
        <f t="shared" si="965"/>
        <v>1200</v>
      </c>
      <c r="CP1087" s="13">
        <f t="shared" si="966"/>
        <v>1200</v>
      </c>
      <c r="CQ1087" s="70">
        <f t="shared" si="967"/>
        <v>8.3333333333333339E-4</v>
      </c>
      <c r="CR1087" s="69">
        <f t="shared" si="985"/>
        <v>8.3333333333333339E-4</v>
      </c>
    </row>
    <row r="1088" spans="1:96" hidden="1" x14ac:dyDescent="0.25">
      <c r="A1088" s="36">
        <v>2</v>
      </c>
      <c r="B1088" s="37" t="s">
        <v>2159</v>
      </c>
      <c r="C1088" s="36" t="s">
        <v>2180</v>
      </c>
      <c r="D1088" s="36" t="s">
        <v>2270</v>
      </c>
      <c r="E1088" s="36" t="s">
        <v>52</v>
      </c>
      <c r="F1088" s="38">
        <f t="shared" si="935"/>
        <v>1</v>
      </c>
      <c r="G1088" s="36" t="s">
        <v>337</v>
      </c>
      <c r="H1088" s="36" t="str">
        <f>G1088</f>
        <v>A/R</v>
      </c>
      <c r="I1088" s="36">
        <v>20</v>
      </c>
      <c r="J1088" s="37" t="s">
        <v>2181</v>
      </c>
      <c r="K1088" s="37" t="s">
        <v>494</v>
      </c>
      <c r="L1088" s="36" t="s">
        <v>194</v>
      </c>
      <c r="M1088" s="37" t="s">
        <v>2162</v>
      </c>
      <c r="N1088" s="36" t="s">
        <v>2182</v>
      </c>
      <c r="O1088" s="28" t="s">
        <v>41</v>
      </c>
      <c r="P1088" s="28" t="s">
        <v>41</v>
      </c>
      <c r="Q1088" s="28" t="s">
        <v>2163</v>
      </c>
      <c r="R1088" s="30"/>
      <c r="S1088" s="30"/>
      <c r="T1088" s="30"/>
      <c r="U1088" s="30"/>
      <c r="V1088" s="8">
        <f t="shared" si="937"/>
        <v>0</v>
      </c>
      <c r="W1088" s="8">
        <f t="shared" si="938"/>
        <v>0</v>
      </c>
      <c r="X1088" s="8">
        <f t="shared" si="939"/>
        <v>0</v>
      </c>
      <c r="Y1088" s="33">
        <f t="shared" si="940"/>
        <v>0</v>
      </c>
      <c r="Z1088" s="28"/>
      <c r="AA1088" s="28"/>
      <c r="AB1088" s="28" t="s">
        <v>2163</v>
      </c>
      <c r="AC1088" s="31"/>
      <c r="AD1088" s="50">
        <v>0</v>
      </c>
      <c r="AE1088" s="47" t="s">
        <v>2140</v>
      </c>
      <c r="AF1088" s="51">
        <v>14</v>
      </c>
      <c r="AG1088" s="51">
        <f t="shared" si="968"/>
        <v>8.4</v>
      </c>
      <c r="AH1088" s="51">
        <f t="shared" si="934"/>
        <v>42</v>
      </c>
      <c r="AI1088" s="52"/>
      <c r="AJ1088" s="52"/>
      <c r="AK1088" s="53">
        <f t="shared" si="969"/>
        <v>0</v>
      </c>
      <c r="AL1088" s="54">
        <f t="shared" si="970"/>
        <v>0.11904761904761904</v>
      </c>
      <c r="AM1088" s="54">
        <f t="shared" si="971"/>
        <v>2.3809523809523808E-2</v>
      </c>
      <c r="AN1088" s="55">
        <f t="shared" si="972"/>
        <v>0</v>
      </c>
      <c r="AO1088" s="55">
        <f t="shared" si="973"/>
        <v>0</v>
      </c>
      <c r="AP1088" s="53">
        <v>7.1</v>
      </c>
      <c r="AQ1088" s="53">
        <f t="shared" si="942"/>
        <v>4.26</v>
      </c>
      <c r="AR1088" s="53">
        <f t="shared" si="943"/>
        <v>21.299999999999997</v>
      </c>
      <c r="AS1088" s="56">
        <f t="shared" si="944"/>
        <v>4.6948356807511742E-2</v>
      </c>
      <c r="AT1088" s="56">
        <f t="shared" si="974"/>
        <v>0.23474178403755869</v>
      </c>
      <c r="AU1088" s="56">
        <f t="shared" si="945"/>
        <v>0.176056338028169</v>
      </c>
      <c r="AV1088" s="56">
        <f t="shared" si="975"/>
        <v>5.8685446009389672E-2</v>
      </c>
      <c r="AW1088" s="57"/>
      <c r="AX1088" s="57"/>
      <c r="AY1088" s="57"/>
      <c r="AZ1088" s="58">
        <f t="shared" si="976"/>
        <v>0</v>
      </c>
      <c r="BA1088" s="59">
        <f t="shared" si="977"/>
        <v>0</v>
      </c>
      <c r="BB1088" s="59">
        <f t="shared" si="978"/>
        <v>0</v>
      </c>
      <c r="BC1088" s="59">
        <f t="shared" si="979"/>
        <v>0</v>
      </c>
      <c r="BD1088" s="60">
        <f t="shared" si="980"/>
        <v>7.1095438516664771E-6</v>
      </c>
      <c r="BE1088" s="59">
        <f t="shared" si="981"/>
        <v>0</v>
      </c>
      <c r="BQ1088" s="61">
        <v>3000</v>
      </c>
      <c r="BR1088" s="61">
        <v>1200</v>
      </c>
      <c r="BS1088" s="28">
        <f t="shared" si="946"/>
        <v>2980</v>
      </c>
      <c r="BT1088" s="28">
        <f t="shared" si="947"/>
        <v>1180</v>
      </c>
      <c r="BU1088" s="28" t="s">
        <v>2541</v>
      </c>
      <c r="BV1088" s="28">
        <f t="shared" si="948"/>
        <v>5</v>
      </c>
      <c r="BW1088" s="28">
        <f t="shared" si="949"/>
        <v>5</v>
      </c>
      <c r="BX1088" s="13">
        <f t="shared" si="950"/>
        <v>596</v>
      </c>
      <c r="BY1088" s="13">
        <f t="shared" si="951"/>
        <v>596</v>
      </c>
      <c r="BZ1088" s="13">
        <f t="shared" si="952"/>
        <v>236</v>
      </c>
      <c r="CA1088" s="13">
        <f t="shared" si="953"/>
        <v>236</v>
      </c>
      <c r="CB1088" s="13">
        <f t="shared" si="954"/>
        <v>140656</v>
      </c>
      <c r="CC1088" s="62">
        <f t="shared" si="955"/>
        <v>7.1095438516664771E-6</v>
      </c>
      <c r="CD1088" s="13">
        <f t="shared" si="956"/>
        <v>596</v>
      </c>
      <c r="CE1088" s="13">
        <f t="shared" si="957"/>
        <v>596</v>
      </c>
      <c r="CF1088" s="13">
        <f t="shared" si="958"/>
        <v>236</v>
      </c>
      <c r="CG1088" s="13">
        <f t="shared" si="959"/>
        <v>236</v>
      </c>
      <c r="CH1088" s="28">
        <f t="shared" si="960"/>
        <v>140656</v>
      </c>
      <c r="CI1088" s="62">
        <f t="shared" si="961"/>
        <v>7.1095438516664771E-6</v>
      </c>
      <c r="CJ1088" s="59">
        <f t="shared" si="962"/>
        <v>7.1095438516664771E-6</v>
      </c>
      <c r="CL1088" s="63">
        <v>6000</v>
      </c>
      <c r="CM1088" s="63">
        <f t="shared" si="963"/>
        <v>0</v>
      </c>
      <c r="CN1088" s="63">
        <f t="shared" si="964"/>
        <v>5</v>
      </c>
      <c r="CO1088" s="63">
        <f t="shared" si="965"/>
        <v>1200</v>
      </c>
      <c r="CP1088" s="13">
        <f t="shared" si="966"/>
        <v>1200</v>
      </c>
      <c r="CQ1088" s="70">
        <f t="shared" si="967"/>
        <v>8.3333333333333339E-4</v>
      </c>
      <c r="CR1088" s="69">
        <f t="shared" si="985"/>
        <v>0</v>
      </c>
    </row>
    <row r="1089" spans="1:96" hidden="1" x14ac:dyDescent="0.25">
      <c r="A1089" s="36">
        <v>2</v>
      </c>
      <c r="B1089" s="37" t="s">
        <v>2159</v>
      </c>
      <c r="C1089" s="36" t="s">
        <v>2183</v>
      </c>
      <c r="D1089" s="36" t="s">
        <v>2490</v>
      </c>
      <c r="E1089" s="36" t="s">
        <v>52</v>
      </c>
      <c r="F1089" s="38">
        <f t="shared" si="935"/>
        <v>1</v>
      </c>
      <c r="G1089" s="36" t="s">
        <v>337</v>
      </c>
      <c r="H1089" s="36" t="str">
        <f>G1089</f>
        <v>A/R</v>
      </c>
      <c r="I1089" s="36">
        <v>21</v>
      </c>
      <c r="J1089" s="37" t="s">
        <v>2184</v>
      </c>
      <c r="K1089" s="37" t="s">
        <v>494</v>
      </c>
      <c r="L1089" s="36" t="s">
        <v>89</v>
      </c>
      <c r="M1089" s="37" t="s">
        <v>2162</v>
      </c>
      <c r="N1089" s="36" t="s">
        <v>2182</v>
      </c>
      <c r="O1089" s="28" t="s">
        <v>41</v>
      </c>
      <c r="P1089" s="28" t="s">
        <v>41</v>
      </c>
      <c r="Q1089" s="28" t="s">
        <v>2163</v>
      </c>
      <c r="R1089" s="30"/>
      <c r="S1089" s="30"/>
      <c r="T1089" s="30"/>
      <c r="U1089" s="30"/>
      <c r="V1089" s="8">
        <f t="shared" si="937"/>
        <v>0</v>
      </c>
      <c r="W1089" s="8">
        <f t="shared" si="938"/>
        <v>0</v>
      </c>
      <c r="X1089" s="8">
        <f t="shared" si="939"/>
        <v>0</v>
      </c>
      <c r="Y1089" s="33">
        <f t="shared" si="940"/>
        <v>0</v>
      </c>
      <c r="Z1089" s="28"/>
      <c r="AA1089" s="28"/>
      <c r="AB1089" s="28" t="s">
        <v>2163</v>
      </c>
      <c r="AC1089" s="31"/>
      <c r="AD1089" s="50">
        <v>0</v>
      </c>
      <c r="AE1089" s="47" t="s">
        <v>2140</v>
      </c>
      <c r="AF1089" s="51">
        <v>14</v>
      </c>
      <c r="AG1089" s="51">
        <f t="shared" si="968"/>
        <v>8.4</v>
      </c>
      <c r="AH1089" s="51">
        <f t="shared" si="934"/>
        <v>42</v>
      </c>
      <c r="AI1089" s="52"/>
      <c r="AJ1089" s="52"/>
      <c r="AK1089" s="53">
        <f t="shared" si="969"/>
        <v>0</v>
      </c>
      <c r="AL1089" s="54">
        <f t="shared" si="970"/>
        <v>0.11904761904761904</v>
      </c>
      <c r="AM1089" s="54">
        <f t="shared" si="971"/>
        <v>2.3809523809523808E-2</v>
      </c>
      <c r="AN1089" s="55">
        <f t="shared" si="972"/>
        <v>0</v>
      </c>
      <c r="AO1089" s="55">
        <f t="shared" si="973"/>
        <v>0</v>
      </c>
      <c r="AP1089" s="53">
        <v>7.1</v>
      </c>
      <c r="AQ1089" s="53">
        <f t="shared" si="942"/>
        <v>4.26</v>
      </c>
      <c r="AR1089" s="53">
        <f t="shared" si="943"/>
        <v>21.299999999999997</v>
      </c>
      <c r="AS1089" s="56">
        <f t="shared" si="944"/>
        <v>4.6948356807511742E-2</v>
      </c>
      <c r="AT1089" s="56">
        <f t="shared" si="974"/>
        <v>0.23474178403755869</v>
      </c>
      <c r="AU1089" s="56">
        <f t="shared" si="945"/>
        <v>0.176056338028169</v>
      </c>
      <c r="AV1089" s="56">
        <f t="shared" si="975"/>
        <v>5.8685446009389672E-2</v>
      </c>
      <c r="AW1089" s="57"/>
      <c r="AX1089" s="57"/>
      <c r="AY1089" s="57"/>
      <c r="AZ1089" s="58">
        <f t="shared" si="976"/>
        <v>0</v>
      </c>
      <c r="BA1089" s="59">
        <f t="shared" si="977"/>
        <v>0</v>
      </c>
      <c r="BB1089" s="59">
        <f t="shared" si="978"/>
        <v>0</v>
      </c>
      <c r="BC1089" s="59">
        <f t="shared" si="979"/>
        <v>0</v>
      </c>
      <c r="BD1089" s="60">
        <f t="shared" si="980"/>
        <v>7.1095438516664771E-6</v>
      </c>
      <c r="BE1089" s="59">
        <f t="shared" si="981"/>
        <v>0</v>
      </c>
      <c r="BQ1089" s="61">
        <v>3000</v>
      </c>
      <c r="BR1089" s="61">
        <v>1200</v>
      </c>
      <c r="BS1089" s="28">
        <f t="shared" si="946"/>
        <v>2980</v>
      </c>
      <c r="BT1089" s="28">
        <f t="shared" si="947"/>
        <v>1180</v>
      </c>
      <c r="BU1089" s="28" t="s">
        <v>2541</v>
      </c>
      <c r="BV1089" s="28">
        <f t="shared" si="948"/>
        <v>5</v>
      </c>
      <c r="BW1089" s="28">
        <f t="shared" si="949"/>
        <v>5</v>
      </c>
      <c r="BX1089" s="13">
        <f t="shared" si="950"/>
        <v>596</v>
      </c>
      <c r="BY1089" s="13">
        <f t="shared" si="951"/>
        <v>596</v>
      </c>
      <c r="BZ1089" s="13">
        <f t="shared" si="952"/>
        <v>236</v>
      </c>
      <c r="CA1089" s="13">
        <f t="shared" si="953"/>
        <v>236</v>
      </c>
      <c r="CB1089" s="13">
        <f t="shared" si="954"/>
        <v>140656</v>
      </c>
      <c r="CC1089" s="62">
        <f t="shared" si="955"/>
        <v>7.1095438516664771E-6</v>
      </c>
      <c r="CD1089" s="13">
        <f t="shared" si="956"/>
        <v>596</v>
      </c>
      <c r="CE1089" s="13">
        <f t="shared" si="957"/>
        <v>596</v>
      </c>
      <c r="CF1089" s="13">
        <f t="shared" si="958"/>
        <v>236</v>
      </c>
      <c r="CG1089" s="13">
        <f t="shared" si="959"/>
        <v>236</v>
      </c>
      <c r="CH1089" s="28">
        <f t="shared" si="960"/>
        <v>140656</v>
      </c>
      <c r="CI1089" s="62">
        <f t="shared" si="961"/>
        <v>7.1095438516664771E-6</v>
      </c>
      <c r="CJ1089" s="59">
        <f t="shared" si="962"/>
        <v>7.1095438516664771E-6</v>
      </c>
      <c r="CL1089" s="63">
        <v>6000</v>
      </c>
      <c r="CM1089" s="63">
        <f t="shared" si="963"/>
        <v>0</v>
      </c>
      <c r="CN1089" s="63">
        <f t="shared" si="964"/>
        <v>5</v>
      </c>
      <c r="CO1089" s="63">
        <f t="shared" si="965"/>
        <v>1200</v>
      </c>
      <c r="CP1089" s="13">
        <f t="shared" si="966"/>
        <v>1200</v>
      </c>
      <c r="CQ1089" s="70">
        <f t="shared" si="967"/>
        <v>8.3333333333333339E-4</v>
      </c>
      <c r="CR1089" s="69">
        <f t="shared" si="985"/>
        <v>0</v>
      </c>
    </row>
    <row r="1090" spans="1:96" hidden="1" x14ac:dyDescent="0.25">
      <c r="A1090" s="3">
        <v>1</v>
      </c>
      <c r="B1090" s="4" t="s">
        <v>30</v>
      </c>
      <c r="C1090" s="3" t="s">
        <v>2185</v>
      </c>
      <c r="D1090" s="3" t="s">
        <v>2270</v>
      </c>
      <c r="E1090" s="3" t="s">
        <v>32</v>
      </c>
      <c r="F1090" s="9">
        <f t="shared" si="935"/>
        <v>1</v>
      </c>
      <c r="G1090" s="3">
        <v>1</v>
      </c>
      <c r="H1090" s="3">
        <f>G1090*$H$2</f>
        <v>1</v>
      </c>
      <c r="I1090" s="3">
        <v>4</v>
      </c>
      <c r="J1090" s="4" t="s">
        <v>2186</v>
      </c>
      <c r="K1090" s="4"/>
      <c r="L1090" s="3"/>
      <c r="M1090" s="4" t="s">
        <v>35</v>
      </c>
      <c r="N1090" s="3" t="s">
        <v>2187</v>
      </c>
      <c r="O1090" s="28"/>
      <c r="P1090" s="28"/>
      <c r="Q1090" s="28"/>
      <c r="R1090" s="30"/>
      <c r="S1090" s="30"/>
      <c r="T1090" s="30"/>
      <c r="U1090" s="30"/>
      <c r="V1090" s="8">
        <f t="shared" si="937"/>
        <v>0</v>
      </c>
      <c r="W1090" s="8">
        <f t="shared" si="938"/>
        <v>0</v>
      </c>
      <c r="X1090" s="8">
        <f t="shared" si="939"/>
        <v>0</v>
      </c>
      <c r="Y1090" s="33">
        <f t="shared" si="940"/>
        <v>0</v>
      </c>
      <c r="Z1090" s="28"/>
      <c r="AA1090" s="28"/>
      <c r="AB1090" s="28">
        <v>0</v>
      </c>
      <c r="AC1090" s="31"/>
      <c r="AD1090" s="50">
        <f t="shared" si="941"/>
        <v>1</v>
      </c>
      <c r="AE1090" s="5" t="s">
        <v>2188</v>
      </c>
      <c r="AF1090" s="51">
        <v>14</v>
      </c>
      <c r="AG1090" s="51">
        <f t="shared" si="968"/>
        <v>8.4</v>
      </c>
      <c r="AH1090" s="51">
        <f t="shared" ref="AH1090:AH1153" si="992">AG1090/0.2</f>
        <v>42</v>
      </c>
      <c r="AI1090" s="52"/>
      <c r="AJ1090" s="52"/>
      <c r="AK1090" s="53">
        <f t="shared" si="969"/>
        <v>0</v>
      </c>
      <c r="AL1090" s="54">
        <f t="shared" si="970"/>
        <v>0.11904761904761904</v>
      </c>
      <c r="AM1090" s="54">
        <f t="shared" si="971"/>
        <v>2.3809523809523808E-2</v>
      </c>
      <c r="AN1090" s="55">
        <f t="shared" si="972"/>
        <v>0</v>
      </c>
      <c r="AO1090" s="55">
        <f t="shared" si="973"/>
        <v>0</v>
      </c>
      <c r="AP1090" s="53">
        <v>7.1</v>
      </c>
      <c r="AQ1090" s="53">
        <f t="shared" si="942"/>
        <v>4.26</v>
      </c>
      <c r="AR1090" s="53">
        <f t="shared" si="943"/>
        <v>21.299999999999997</v>
      </c>
      <c r="AS1090" s="56">
        <f t="shared" si="944"/>
        <v>4.6948356807511742E-2</v>
      </c>
      <c r="AT1090" s="56">
        <f t="shared" si="974"/>
        <v>0.23474178403755869</v>
      </c>
      <c r="AU1090" s="56">
        <f t="shared" si="945"/>
        <v>0.176056338028169</v>
      </c>
      <c r="AV1090" s="56">
        <f t="shared" si="975"/>
        <v>5.8685446009389672E-2</v>
      </c>
      <c r="AW1090" s="57"/>
      <c r="AX1090" s="57"/>
      <c r="AY1090" s="57"/>
      <c r="AZ1090" s="58">
        <f t="shared" si="976"/>
        <v>0</v>
      </c>
      <c r="BA1090" s="59">
        <f t="shared" si="977"/>
        <v>0</v>
      </c>
      <c r="BB1090" s="59">
        <f t="shared" si="978"/>
        <v>0</v>
      </c>
      <c r="BC1090" s="59">
        <f t="shared" si="979"/>
        <v>0</v>
      </c>
      <c r="BD1090" s="60">
        <f t="shared" si="980"/>
        <v>0</v>
      </c>
      <c r="BE1090" s="59">
        <f t="shared" si="981"/>
        <v>0</v>
      </c>
      <c r="BQ1090" s="61">
        <v>3000</v>
      </c>
      <c r="BR1090" s="61">
        <v>1200</v>
      </c>
      <c r="BS1090" s="28">
        <f t="shared" si="946"/>
        <v>2980</v>
      </c>
      <c r="BT1090" s="28">
        <f t="shared" si="947"/>
        <v>1180</v>
      </c>
      <c r="BU1090" s="28" t="s">
        <v>2541</v>
      </c>
      <c r="BV1090" s="28">
        <f t="shared" si="948"/>
        <v>5</v>
      </c>
      <c r="BW1090" s="28">
        <f t="shared" si="949"/>
        <v>5</v>
      </c>
      <c r="BX1090" s="13">
        <f t="shared" si="950"/>
        <v>596</v>
      </c>
      <c r="BY1090" s="13">
        <f t="shared" si="951"/>
        <v>596</v>
      </c>
      <c r="BZ1090" s="13">
        <f t="shared" si="952"/>
        <v>236</v>
      </c>
      <c r="CA1090" s="13">
        <f t="shared" si="953"/>
        <v>236</v>
      </c>
      <c r="CB1090" s="13">
        <f t="shared" si="954"/>
        <v>140656</v>
      </c>
      <c r="CC1090" s="62" t="str">
        <f t="shared" si="955"/>
        <v/>
      </c>
      <c r="CD1090" s="13">
        <f t="shared" si="956"/>
        <v>596</v>
      </c>
      <c r="CE1090" s="13">
        <f t="shared" si="957"/>
        <v>596</v>
      </c>
      <c r="CF1090" s="13">
        <f t="shared" si="958"/>
        <v>236</v>
      </c>
      <c r="CG1090" s="13">
        <f t="shared" si="959"/>
        <v>236</v>
      </c>
      <c r="CH1090" s="28">
        <f t="shared" si="960"/>
        <v>140656</v>
      </c>
      <c r="CI1090" s="62" t="str">
        <f t="shared" si="961"/>
        <v/>
      </c>
      <c r="CJ1090" s="59">
        <f t="shared" si="962"/>
        <v>0</v>
      </c>
      <c r="CL1090" s="63">
        <v>6000</v>
      </c>
      <c r="CM1090" s="63">
        <f t="shared" si="963"/>
        <v>0</v>
      </c>
      <c r="CN1090" s="63">
        <f t="shared" si="964"/>
        <v>5</v>
      </c>
      <c r="CO1090" s="63">
        <f t="shared" si="965"/>
        <v>1200</v>
      </c>
      <c r="CP1090" s="13">
        <f t="shared" si="966"/>
        <v>1200</v>
      </c>
      <c r="CQ1090" s="70">
        <f t="shared" si="967"/>
        <v>8.3333333333333339E-4</v>
      </c>
      <c r="CR1090" s="69">
        <f t="shared" si="985"/>
        <v>8.3333333333333339E-4</v>
      </c>
    </row>
    <row r="1091" spans="1:96" hidden="1" x14ac:dyDescent="0.25">
      <c r="A1091" s="36">
        <v>2</v>
      </c>
      <c r="B1091" s="37" t="s">
        <v>2189</v>
      </c>
      <c r="C1091" s="36" t="s">
        <v>2190</v>
      </c>
      <c r="D1091" s="36" t="s">
        <v>2270</v>
      </c>
      <c r="E1091" s="36" t="s">
        <v>32</v>
      </c>
      <c r="F1091" s="38">
        <f t="shared" ref="F1091:F1154" si="993">COUNTIF($C$2:$C$1202,C1091)</f>
        <v>1</v>
      </c>
      <c r="G1091" s="36">
        <v>1</v>
      </c>
      <c r="H1091" s="36">
        <f>G1091*$H$1090</f>
        <v>1</v>
      </c>
      <c r="I1091" s="36">
        <v>1</v>
      </c>
      <c r="J1091" s="37" t="s">
        <v>2186</v>
      </c>
      <c r="K1091" s="37"/>
      <c r="L1091" s="36">
        <v>0</v>
      </c>
      <c r="M1091" s="37" t="s">
        <v>35</v>
      </c>
      <c r="N1091" s="36" t="s">
        <v>2191</v>
      </c>
      <c r="O1091" s="28"/>
      <c r="P1091" s="28"/>
      <c r="Q1091" s="28"/>
      <c r="R1091" s="30"/>
      <c r="S1091" s="30"/>
      <c r="T1091" s="30"/>
      <c r="U1091" s="30"/>
      <c r="V1091" s="8">
        <f t="shared" ref="V1091:V1154" si="994">R1091*25.4</f>
        <v>0</v>
      </c>
      <c r="W1091" s="8">
        <f t="shared" ref="W1091:W1154" si="995">S1091*25.4</f>
        <v>0</v>
      </c>
      <c r="X1091" s="8">
        <f t="shared" ref="X1091:X1154" si="996">T1091*25.4</f>
        <v>0</v>
      </c>
      <c r="Y1091" s="33">
        <f t="shared" ref="Y1091:Y1154" si="997">U1091*25.4</f>
        <v>0</v>
      </c>
      <c r="Z1091" s="28"/>
      <c r="AA1091" s="28"/>
      <c r="AB1091" s="28">
        <v>0</v>
      </c>
      <c r="AC1091" s="31"/>
      <c r="AD1091" s="50">
        <f t="shared" ref="AD1091:AD1154" si="998">H1091</f>
        <v>1</v>
      </c>
      <c r="AE1091" s="5" t="s">
        <v>2188</v>
      </c>
      <c r="AF1091" s="51">
        <v>14</v>
      </c>
      <c r="AG1091" s="51">
        <f t="shared" si="968"/>
        <v>8.4</v>
      </c>
      <c r="AH1091" s="51">
        <f t="shared" si="992"/>
        <v>42</v>
      </c>
      <c r="AI1091" s="52" t="s">
        <v>2497</v>
      </c>
      <c r="AJ1091" s="52" t="s">
        <v>2498</v>
      </c>
      <c r="AK1091" s="53">
        <f t="shared" si="969"/>
        <v>0</v>
      </c>
      <c r="AL1091" s="54">
        <f t="shared" si="970"/>
        <v>0.11904761904761904</v>
      </c>
      <c r="AM1091" s="54">
        <f t="shared" si="971"/>
        <v>2.3809523809523808E-2</v>
      </c>
      <c r="AN1091" s="55">
        <f t="shared" si="972"/>
        <v>0</v>
      </c>
      <c r="AO1091" s="55">
        <f t="shared" si="973"/>
        <v>0</v>
      </c>
      <c r="AP1091" s="53">
        <v>7.1</v>
      </c>
      <c r="AQ1091" s="53">
        <f t="shared" ref="AQ1091:AQ1154" si="999">AP1091*0.6</f>
        <v>4.26</v>
      </c>
      <c r="AR1091" s="53">
        <f t="shared" ref="AR1091:AR1154" si="1000">AQ1091*5</f>
        <v>21.299999999999997</v>
      </c>
      <c r="AS1091" s="56">
        <f t="shared" ref="AS1091:AS1154" si="1001">1/AR1091</f>
        <v>4.6948356807511742E-2</v>
      </c>
      <c r="AT1091" s="56">
        <f t="shared" si="974"/>
        <v>0.23474178403755869</v>
      </c>
      <c r="AU1091" s="56">
        <f t="shared" ref="AU1091:AU1154" si="1002">AT1091*0.75</f>
        <v>0.176056338028169</v>
      </c>
      <c r="AV1091" s="56">
        <f t="shared" si="975"/>
        <v>5.8685446009389672E-2</v>
      </c>
      <c r="AW1091" s="57"/>
      <c r="AX1091" s="57"/>
      <c r="AY1091" s="57"/>
      <c r="AZ1091" s="58">
        <f t="shared" si="976"/>
        <v>0</v>
      </c>
      <c r="BA1091" s="59">
        <f t="shared" si="977"/>
        <v>0</v>
      </c>
      <c r="BB1091" s="59">
        <f t="shared" si="978"/>
        <v>0</v>
      </c>
      <c r="BC1091" s="59">
        <f t="shared" si="979"/>
        <v>0</v>
      </c>
      <c r="BD1091" s="60">
        <f t="shared" si="980"/>
        <v>0</v>
      </c>
      <c r="BE1091" s="59">
        <f t="shared" si="981"/>
        <v>0</v>
      </c>
      <c r="BQ1091" s="61">
        <v>3000</v>
      </c>
      <c r="BR1091" s="61">
        <v>1200</v>
      </c>
      <c r="BS1091" s="28">
        <f t="shared" ref="BS1091:BS1154" si="1003">BQ1091-20</f>
        <v>2980</v>
      </c>
      <c r="BT1091" s="28">
        <f t="shared" ref="BT1091:BT1154" si="1004">BR1091-20</f>
        <v>1180</v>
      </c>
      <c r="BU1091" s="28" t="s">
        <v>2541</v>
      </c>
      <c r="BV1091" s="28">
        <f t="shared" ref="BV1091:BV1154" si="1005">V1091+5</f>
        <v>5</v>
      </c>
      <c r="BW1091" s="28">
        <f t="shared" ref="BW1091:BW1154" si="1006">W1091+5</f>
        <v>5</v>
      </c>
      <c r="BX1091" s="13">
        <f t="shared" ref="BX1091:BX1154" si="1007">BS1091/BV1091</f>
        <v>596</v>
      </c>
      <c r="BY1091" s="13">
        <f t="shared" ref="BY1091:BY1154" si="1008">ROUNDDOWN(BX1091,0)</f>
        <v>596</v>
      </c>
      <c r="BZ1091" s="13">
        <f t="shared" ref="BZ1091:BZ1154" si="1009">BT1091/BW1091</f>
        <v>236</v>
      </c>
      <c r="CA1091" s="13">
        <f t="shared" ref="CA1091:CA1154" si="1010">ROUNDDOWN(BZ1091,0)</f>
        <v>236</v>
      </c>
      <c r="CB1091" s="13">
        <f t="shared" ref="CB1091:CB1154" si="1011">BY1091*CA1091</f>
        <v>140656</v>
      </c>
      <c r="CC1091" s="62" t="str">
        <f t="shared" ref="CC1091:CC1154" si="1012">IF(E1091="CJ","",IFERROR((1/CB1091),1))</f>
        <v/>
      </c>
      <c r="CD1091" s="13">
        <f t="shared" ref="CD1091:CD1154" si="1013">BS1091/BW1091</f>
        <v>596</v>
      </c>
      <c r="CE1091" s="13">
        <f t="shared" ref="CE1091:CE1154" si="1014">ROUNDDOWN(CD1091,0)</f>
        <v>596</v>
      </c>
      <c r="CF1091" s="13">
        <f t="shared" ref="CF1091:CF1154" si="1015">BT1091/BV1091</f>
        <v>236</v>
      </c>
      <c r="CG1091" s="13">
        <f t="shared" ref="CG1091:CG1154" si="1016">ROUNDDOWN(CF1091,0)</f>
        <v>236</v>
      </c>
      <c r="CH1091" s="28">
        <f t="shared" ref="CH1091:CH1154" si="1017">CE1091*CG1091</f>
        <v>140656</v>
      </c>
      <c r="CI1091" s="62" t="str">
        <f t="shared" ref="CI1091:CI1154" si="1018">IF(E1091="CJ","",IFERROR((1/CH1091),1))</f>
        <v/>
      </c>
      <c r="CJ1091" s="59">
        <f t="shared" ref="CJ1091:CJ1154" si="1019">MIN(CC1091,CI1091)</f>
        <v>0</v>
      </c>
      <c r="CL1091" s="63">
        <v>6000</v>
      </c>
      <c r="CM1091" s="63">
        <f t="shared" ref="CM1091:CM1154" si="1020">V1091</f>
        <v>0</v>
      </c>
      <c r="CN1091" s="63">
        <f t="shared" ref="CN1091:CN1154" si="1021">CM1091+5</f>
        <v>5</v>
      </c>
      <c r="CO1091" s="63">
        <f t="shared" ref="CO1091:CO1154" si="1022">CL1091/CN1091</f>
        <v>1200</v>
      </c>
      <c r="CP1091" s="13">
        <f t="shared" ref="CP1091:CP1154" si="1023">ROUNDDOWN(CO1091,0)</f>
        <v>1200</v>
      </c>
      <c r="CQ1091" s="70">
        <f t="shared" ref="CQ1091:CQ1154" si="1024">1/CP1091</f>
        <v>8.3333333333333339E-4</v>
      </c>
      <c r="CR1091" s="69">
        <f t="shared" si="985"/>
        <v>8.3333333333333339E-4</v>
      </c>
    </row>
    <row r="1092" spans="1:96" hidden="1" x14ac:dyDescent="0.25">
      <c r="A1092" s="10">
        <v>3</v>
      </c>
      <c r="B1092" s="8" t="s">
        <v>2192</v>
      </c>
      <c r="C1092" s="10" t="s">
        <v>2193</v>
      </c>
      <c r="D1092" s="10" t="s">
        <v>2270</v>
      </c>
      <c r="E1092" s="10" t="s">
        <v>32</v>
      </c>
      <c r="F1092" s="12">
        <f t="shared" si="993"/>
        <v>1</v>
      </c>
      <c r="G1092" s="10">
        <v>1</v>
      </c>
      <c r="H1092" s="10">
        <f>G1092*$H$1091</f>
        <v>1</v>
      </c>
      <c r="I1092" s="10">
        <v>10</v>
      </c>
      <c r="J1092" s="8" t="s">
        <v>2194</v>
      </c>
      <c r="K1092" s="8"/>
      <c r="L1092" s="10" t="s">
        <v>2195</v>
      </c>
      <c r="M1092" s="8" t="s">
        <v>35</v>
      </c>
      <c r="N1092" s="10" t="s">
        <v>2196</v>
      </c>
      <c r="O1092" s="28"/>
      <c r="P1092" s="28"/>
      <c r="Q1092" s="28"/>
      <c r="R1092" s="30"/>
      <c r="S1092" s="30"/>
      <c r="T1092" s="30"/>
      <c r="U1092" s="30"/>
      <c r="V1092" s="8">
        <f t="shared" si="994"/>
        <v>0</v>
      </c>
      <c r="W1092" s="8">
        <f t="shared" si="995"/>
        <v>0</v>
      </c>
      <c r="X1092" s="8">
        <f t="shared" si="996"/>
        <v>0</v>
      </c>
      <c r="Y1092" s="33">
        <f t="shared" si="997"/>
        <v>0</v>
      </c>
      <c r="Z1092" s="28"/>
      <c r="AA1092" s="28"/>
      <c r="AB1092" s="28">
        <v>0</v>
      </c>
      <c r="AC1092" s="31"/>
      <c r="AD1092" s="50">
        <f t="shared" si="998"/>
        <v>1</v>
      </c>
      <c r="AE1092" s="5" t="s">
        <v>2188</v>
      </c>
      <c r="AF1092" s="51">
        <v>14</v>
      </c>
      <c r="AG1092" s="51">
        <f t="shared" si="968"/>
        <v>8.4</v>
      </c>
      <c r="AH1092" s="51">
        <f t="shared" si="992"/>
        <v>42</v>
      </c>
      <c r="AI1092" s="52" t="s">
        <v>2497</v>
      </c>
      <c r="AJ1092" s="52" t="s">
        <v>2498</v>
      </c>
      <c r="AK1092" s="53">
        <f t="shared" si="969"/>
        <v>0</v>
      </c>
      <c r="AL1092" s="54">
        <f t="shared" si="970"/>
        <v>0.11904761904761904</v>
      </c>
      <c r="AM1092" s="54">
        <f t="shared" si="971"/>
        <v>2.3809523809523808E-2</v>
      </c>
      <c r="AN1092" s="55">
        <f t="shared" si="972"/>
        <v>0</v>
      </c>
      <c r="AO1092" s="55">
        <f t="shared" si="973"/>
        <v>0</v>
      </c>
      <c r="AP1092" s="53">
        <v>7.1</v>
      </c>
      <c r="AQ1092" s="53">
        <f t="shared" si="999"/>
        <v>4.26</v>
      </c>
      <c r="AR1092" s="53">
        <f t="shared" si="1000"/>
        <v>21.299999999999997</v>
      </c>
      <c r="AS1092" s="56">
        <f t="shared" si="1001"/>
        <v>4.6948356807511742E-2</v>
      </c>
      <c r="AT1092" s="56">
        <f t="shared" si="974"/>
        <v>0.23474178403755869</v>
      </c>
      <c r="AU1092" s="56">
        <f t="shared" si="1002"/>
        <v>0.176056338028169</v>
      </c>
      <c r="AV1092" s="56">
        <f t="shared" si="975"/>
        <v>5.8685446009389672E-2</v>
      </c>
      <c r="AW1092" s="57"/>
      <c r="AX1092" s="57"/>
      <c r="AY1092" s="57"/>
      <c r="AZ1092" s="58">
        <f t="shared" si="976"/>
        <v>0</v>
      </c>
      <c r="BA1092" s="59">
        <f t="shared" si="977"/>
        <v>0</v>
      </c>
      <c r="BB1092" s="59">
        <f t="shared" si="978"/>
        <v>0</v>
      </c>
      <c r="BC1092" s="59">
        <f t="shared" si="979"/>
        <v>0</v>
      </c>
      <c r="BD1092" s="60">
        <f t="shared" si="980"/>
        <v>0</v>
      </c>
      <c r="BE1092" s="59">
        <f t="shared" si="981"/>
        <v>0</v>
      </c>
      <c r="BQ1092" s="61">
        <v>3000</v>
      </c>
      <c r="BR1092" s="61">
        <v>1200</v>
      </c>
      <c r="BS1092" s="28">
        <f t="shared" si="1003"/>
        <v>2980</v>
      </c>
      <c r="BT1092" s="28">
        <f t="shared" si="1004"/>
        <v>1180</v>
      </c>
      <c r="BU1092" s="28" t="s">
        <v>2541</v>
      </c>
      <c r="BV1092" s="28">
        <f t="shared" si="1005"/>
        <v>5</v>
      </c>
      <c r="BW1092" s="28">
        <f t="shared" si="1006"/>
        <v>5</v>
      </c>
      <c r="BX1092" s="13">
        <f t="shared" si="1007"/>
        <v>596</v>
      </c>
      <c r="BY1092" s="13">
        <f t="shared" si="1008"/>
        <v>596</v>
      </c>
      <c r="BZ1092" s="13">
        <f t="shared" si="1009"/>
        <v>236</v>
      </c>
      <c r="CA1092" s="13">
        <f t="shared" si="1010"/>
        <v>236</v>
      </c>
      <c r="CB1092" s="13">
        <f t="shared" si="1011"/>
        <v>140656</v>
      </c>
      <c r="CC1092" s="62" t="str">
        <f t="shared" si="1012"/>
        <v/>
      </c>
      <c r="CD1092" s="13">
        <f t="shared" si="1013"/>
        <v>596</v>
      </c>
      <c r="CE1092" s="13">
        <f t="shared" si="1014"/>
        <v>596</v>
      </c>
      <c r="CF1092" s="13">
        <f t="shared" si="1015"/>
        <v>236</v>
      </c>
      <c r="CG1092" s="13">
        <f t="shared" si="1016"/>
        <v>236</v>
      </c>
      <c r="CH1092" s="28">
        <f t="shared" si="1017"/>
        <v>140656</v>
      </c>
      <c r="CI1092" s="62" t="str">
        <f t="shared" si="1018"/>
        <v/>
      </c>
      <c r="CJ1092" s="59">
        <f t="shared" si="1019"/>
        <v>0</v>
      </c>
      <c r="CL1092" s="63">
        <v>6000</v>
      </c>
      <c r="CM1092" s="63">
        <f t="shared" si="1020"/>
        <v>0</v>
      </c>
      <c r="CN1092" s="63">
        <f t="shared" si="1021"/>
        <v>5</v>
      </c>
      <c r="CO1092" s="63">
        <f t="shared" si="1022"/>
        <v>1200</v>
      </c>
      <c r="CP1092" s="13">
        <f t="shared" si="1023"/>
        <v>1200</v>
      </c>
      <c r="CQ1092" s="70">
        <f t="shared" si="1024"/>
        <v>8.3333333333333339E-4</v>
      </c>
      <c r="CR1092" s="69">
        <f t="shared" si="985"/>
        <v>8.3333333333333339E-4</v>
      </c>
    </row>
    <row r="1093" spans="1:96" hidden="1" x14ac:dyDescent="0.25">
      <c r="A1093" s="13">
        <v>4</v>
      </c>
      <c r="B1093" s="14" t="s">
        <v>2197</v>
      </c>
      <c r="C1093" s="13" t="s">
        <v>2198</v>
      </c>
      <c r="D1093" s="13" t="s">
        <v>2270</v>
      </c>
      <c r="E1093" s="13" t="s">
        <v>52</v>
      </c>
      <c r="F1093" s="15">
        <f t="shared" si="993"/>
        <v>1</v>
      </c>
      <c r="G1093" s="13">
        <v>1</v>
      </c>
      <c r="H1093" s="13">
        <f>G1093*$H$1092</f>
        <v>1</v>
      </c>
      <c r="I1093" s="13">
        <v>1</v>
      </c>
      <c r="J1093" s="14" t="s">
        <v>2199</v>
      </c>
      <c r="K1093" s="14"/>
      <c r="L1093" s="13" t="s">
        <v>2195</v>
      </c>
      <c r="M1093" s="14" t="s">
        <v>35</v>
      </c>
      <c r="N1093" s="13" t="s">
        <v>2200</v>
      </c>
      <c r="O1093" s="28"/>
      <c r="P1093" s="28"/>
      <c r="Q1093" s="28" t="s">
        <v>124</v>
      </c>
      <c r="R1093" s="30">
        <v>54.146999999999998</v>
      </c>
      <c r="S1093" s="30">
        <v>46.646999999999998</v>
      </c>
      <c r="T1093" s="30"/>
      <c r="U1093" s="30">
        <v>9.8425196850393706E-2</v>
      </c>
      <c r="V1093" s="8">
        <f t="shared" si="994"/>
        <v>1375.3337999999999</v>
      </c>
      <c r="W1093" s="8">
        <f t="shared" si="995"/>
        <v>1184.8337999999999</v>
      </c>
      <c r="X1093" s="8">
        <f t="shared" si="996"/>
        <v>0</v>
      </c>
      <c r="Y1093" s="33">
        <f t="shared" si="997"/>
        <v>2.5</v>
      </c>
      <c r="Z1093" s="28" t="s">
        <v>56</v>
      </c>
      <c r="AA1093" s="28" t="s">
        <v>57</v>
      </c>
      <c r="AB1093" s="61" t="s">
        <v>124</v>
      </c>
      <c r="AC1093" s="31" t="s">
        <v>125</v>
      </c>
      <c r="AD1093" s="50">
        <f t="shared" si="998"/>
        <v>1</v>
      </c>
      <c r="AE1093" s="5" t="s">
        <v>2188</v>
      </c>
      <c r="AF1093" s="51">
        <v>14</v>
      </c>
      <c r="AG1093" s="51">
        <f t="shared" si="968"/>
        <v>8.4</v>
      </c>
      <c r="AH1093" s="51">
        <f t="shared" si="992"/>
        <v>42</v>
      </c>
      <c r="AI1093" s="52" t="s">
        <v>2497</v>
      </c>
      <c r="AJ1093" s="52" t="s">
        <v>2498</v>
      </c>
      <c r="AK1093" s="53">
        <f t="shared" si="969"/>
        <v>3.2590839450448792</v>
      </c>
      <c r="AL1093" s="54">
        <f t="shared" si="970"/>
        <v>0.11904761904761904</v>
      </c>
      <c r="AM1093" s="54">
        <f t="shared" si="971"/>
        <v>2.3809523809523808E-2</v>
      </c>
      <c r="AN1093" s="55">
        <f t="shared" si="972"/>
        <v>0.38798618393391415</v>
      </c>
      <c r="AO1093" s="55">
        <f t="shared" si="973"/>
        <v>7.7597236786782833E-2</v>
      </c>
      <c r="AP1093" s="53">
        <v>7.1</v>
      </c>
      <c r="AQ1093" s="53">
        <f t="shared" si="999"/>
        <v>4.26</v>
      </c>
      <c r="AR1093" s="53">
        <f t="shared" si="1000"/>
        <v>21.299999999999997</v>
      </c>
      <c r="AS1093" s="56">
        <f t="shared" si="1001"/>
        <v>4.6948356807511742E-2</v>
      </c>
      <c r="AT1093" s="56">
        <f t="shared" si="974"/>
        <v>0.23474178403755869</v>
      </c>
      <c r="AU1093" s="56">
        <f t="shared" si="1002"/>
        <v>0.176056338028169</v>
      </c>
      <c r="AV1093" s="56">
        <f t="shared" si="975"/>
        <v>5.8685446009389672E-2</v>
      </c>
      <c r="AW1093" s="57"/>
      <c r="AX1093" s="57"/>
      <c r="AY1093" s="57"/>
      <c r="AZ1093" s="58">
        <f t="shared" si="976"/>
        <v>3.2590839450448792</v>
      </c>
      <c r="BA1093" s="59">
        <f t="shared" si="977"/>
        <v>0</v>
      </c>
      <c r="BB1093" s="59">
        <f t="shared" si="978"/>
        <v>0</v>
      </c>
      <c r="BC1093" s="59">
        <f t="shared" si="979"/>
        <v>0</v>
      </c>
      <c r="BD1093" s="60">
        <f t="shared" si="980"/>
        <v>1</v>
      </c>
      <c r="BE1093" s="59">
        <f t="shared" si="981"/>
        <v>1</v>
      </c>
      <c r="BQ1093" s="61">
        <v>3000</v>
      </c>
      <c r="BR1093" s="61">
        <v>1200</v>
      </c>
      <c r="BS1093" s="28">
        <f t="shared" si="1003"/>
        <v>2980</v>
      </c>
      <c r="BT1093" s="28">
        <f t="shared" si="1004"/>
        <v>1180</v>
      </c>
      <c r="BU1093" s="28" t="s">
        <v>2541</v>
      </c>
      <c r="BV1093" s="28">
        <f t="shared" si="1005"/>
        <v>1380.3337999999999</v>
      </c>
      <c r="BW1093" s="28">
        <f t="shared" si="1006"/>
        <v>1189.8337999999999</v>
      </c>
      <c r="BX1093" s="13">
        <f t="shared" si="1007"/>
        <v>2.1588980868250855</v>
      </c>
      <c r="BY1093" s="13">
        <f t="shared" si="1008"/>
        <v>2</v>
      </c>
      <c r="BZ1093" s="13">
        <f t="shared" si="1009"/>
        <v>0.99173514821986075</v>
      </c>
      <c r="CA1093" s="13">
        <f t="shared" si="1010"/>
        <v>0</v>
      </c>
      <c r="CB1093" s="13">
        <f t="shared" si="1011"/>
        <v>0</v>
      </c>
      <c r="CC1093" s="62">
        <f t="shared" si="1012"/>
        <v>1</v>
      </c>
      <c r="CD1093" s="13">
        <f t="shared" si="1013"/>
        <v>2.5045514760128684</v>
      </c>
      <c r="CE1093" s="13">
        <f t="shared" si="1014"/>
        <v>2</v>
      </c>
      <c r="CF1093" s="13">
        <f t="shared" si="1015"/>
        <v>0.85486568538711438</v>
      </c>
      <c r="CG1093" s="13">
        <f t="shared" si="1016"/>
        <v>0</v>
      </c>
      <c r="CH1093" s="28">
        <f t="shared" si="1017"/>
        <v>0</v>
      </c>
      <c r="CI1093" s="62">
        <f t="shared" si="1018"/>
        <v>1</v>
      </c>
      <c r="CJ1093" s="59">
        <f t="shared" si="1019"/>
        <v>1</v>
      </c>
      <c r="CL1093" s="63">
        <v>6000</v>
      </c>
      <c r="CM1093" s="63">
        <f t="shared" si="1020"/>
        <v>1375.3337999999999</v>
      </c>
      <c r="CN1093" s="63">
        <f t="shared" si="1021"/>
        <v>1380.3337999999999</v>
      </c>
      <c r="CO1093" s="63">
        <f t="shared" si="1022"/>
        <v>4.3467746714599036</v>
      </c>
      <c r="CP1093" s="13">
        <f t="shared" si="1023"/>
        <v>4</v>
      </c>
      <c r="CQ1093" s="70">
        <f t="shared" si="1024"/>
        <v>0.25</v>
      </c>
      <c r="CR1093" s="69">
        <f t="shared" si="985"/>
        <v>0.25</v>
      </c>
    </row>
    <row r="1094" spans="1:96" hidden="1" x14ac:dyDescent="0.25">
      <c r="A1094" s="13">
        <v>4</v>
      </c>
      <c r="B1094" s="14" t="s">
        <v>2197</v>
      </c>
      <c r="C1094" s="13" t="s">
        <v>1667</v>
      </c>
      <c r="D1094" s="13" t="s">
        <v>1959</v>
      </c>
      <c r="E1094" s="13" t="s">
        <v>52</v>
      </c>
      <c r="F1094" s="15">
        <f t="shared" si="993"/>
        <v>8</v>
      </c>
      <c r="G1094" s="13">
        <v>22</v>
      </c>
      <c r="H1094" s="13">
        <f t="shared" ref="H1094:H1095" si="1025">G1094*$H$1092</f>
        <v>22</v>
      </c>
      <c r="I1094" s="13">
        <v>2</v>
      </c>
      <c r="J1094" s="14" t="s">
        <v>2201</v>
      </c>
      <c r="K1094" s="14"/>
      <c r="L1094" s="13" t="s">
        <v>2195</v>
      </c>
      <c r="M1094" s="14" t="s">
        <v>35</v>
      </c>
      <c r="N1094" s="13" t="s">
        <v>1959</v>
      </c>
      <c r="O1094" s="28"/>
      <c r="P1094" s="28"/>
      <c r="Q1094" s="28" t="s">
        <v>1959</v>
      </c>
      <c r="R1094" s="30"/>
      <c r="S1094" s="30"/>
      <c r="T1094" s="30"/>
      <c r="U1094" s="30"/>
      <c r="V1094" s="8">
        <f t="shared" si="994"/>
        <v>0</v>
      </c>
      <c r="W1094" s="8">
        <f t="shared" si="995"/>
        <v>0</v>
      </c>
      <c r="X1094" s="8">
        <f t="shared" si="996"/>
        <v>0</v>
      </c>
      <c r="Y1094" s="33">
        <f t="shared" si="997"/>
        <v>0</v>
      </c>
      <c r="Z1094" s="28"/>
      <c r="AA1094" s="28"/>
      <c r="AB1094" s="61" t="s">
        <v>1959</v>
      </c>
      <c r="AC1094" s="31" t="s">
        <v>1669</v>
      </c>
      <c r="AD1094" s="50">
        <f t="shared" si="998"/>
        <v>22</v>
      </c>
      <c r="AE1094" s="5" t="s">
        <v>2188</v>
      </c>
      <c r="AF1094" s="51">
        <v>14</v>
      </c>
      <c r="AG1094" s="51">
        <f t="shared" ref="AG1094:AG1157" si="1026">AF1094*0.6</f>
        <v>8.4</v>
      </c>
      <c r="AH1094" s="51">
        <f t="shared" si="992"/>
        <v>42</v>
      </c>
      <c r="AI1094" s="52" t="s">
        <v>2497</v>
      </c>
      <c r="AJ1094" s="52" t="s">
        <v>2498</v>
      </c>
      <c r="AK1094" s="53">
        <f t="shared" ref="AK1094:AK1157" si="1027">(V1094*W1094)*2/1000000</f>
        <v>0</v>
      </c>
      <c r="AL1094" s="54">
        <f t="shared" ref="AL1094:AL1157" si="1028">1/(AF1094*0.6)</f>
        <v>0.11904761904761904</v>
      </c>
      <c r="AM1094" s="54">
        <f t="shared" ref="AM1094:AM1157" si="1029">1/AG1094*(20/100)</f>
        <v>2.3809523809523808E-2</v>
      </c>
      <c r="AN1094" s="55">
        <f t="shared" ref="AN1094:AN1157" si="1030">IF(AI1094&lt;&gt;0,(AK1094*AL1094*AD1094),0)</f>
        <v>0</v>
      </c>
      <c r="AO1094" s="55">
        <f t="shared" ref="AO1094:AO1157" si="1031">IF(AJ1094&lt;&gt;0,(AK1094*AM1094*AD1094),0)</f>
        <v>0</v>
      </c>
      <c r="AP1094" s="53">
        <v>7.1</v>
      </c>
      <c r="AQ1094" s="53">
        <f t="shared" si="999"/>
        <v>4.26</v>
      </c>
      <c r="AR1094" s="53">
        <f t="shared" si="1000"/>
        <v>21.299999999999997</v>
      </c>
      <c r="AS1094" s="56">
        <f t="shared" si="1001"/>
        <v>4.6948356807511742E-2</v>
      </c>
      <c r="AT1094" s="56">
        <f t="shared" ref="AT1094:AT1157" si="1032">1/AQ1094</f>
        <v>0.23474178403755869</v>
      </c>
      <c r="AU1094" s="56">
        <f t="shared" si="1002"/>
        <v>0.176056338028169</v>
      </c>
      <c r="AV1094" s="56">
        <f t="shared" ref="AV1094:AV1157" si="1033">AT1094*0.25</f>
        <v>5.8685446009389672E-2</v>
      </c>
      <c r="AW1094" s="57"/>
      <c r="AX1094" s="57"/>
      <c r="AY1094" s="57"/>
      <c r="AZ1094" s="58">
        <f t="shared" ref="AZ1094:AZ1157" si="1034">(V1094*W1094)*2/1000000</f>
        <v>0</v>
      </c>
      <c r="BA1094" s="59">
        <f t="shared" ref="BA1094:BA1157" si="1035">IF(AW1094&lt;&gt;0,(AV1094*AD1094*AK1094),0)</f>
        <v>0</v>
      </c>
      <c r="BB1094" s="59">
        <f t="shared" ref="BB1094:BB1157" si="1036">IF(AX1094&lt;&gt;0,(AD1094*AU1094*AZ1094),0)</f>
        <v>0</v>
      </c>
      <c r="BC1094" s="59">
        <f t="shared" ref="BC1094:BC1157" si="1037">IF(AY1094&lt;&gt;0,(AD1094*AS1094*AZ1094),0)</f>
        <v>0</v>
      </c>
      <c r="BD1094" s="60">
        <f t="shared" ref="BD1094:BD1157" si="1038">CJ1094</f>
        <v>7.1095438516664771E-6</v>
      </c>
      <c r="BE1094" s="59">
        <f t="shared" ref="BE1094:BE1157" si="1039">BD1094*AD1094</f>
        <v>1.564099647366625E-4</v>
      </c>
      <c r="BQ1094" s="61">
        <v>3000</v>
      </c>
      <c r="BR1094" s="61">
        <v>1200</v>
      </c>
      <c r="BS1094" s="28">
        <f t="shared" si="1003"/>
        <v>2980</v>
      </c>
      <c r="BT1094" s="28">
        <f t="shared" si="1004"/>
        <v>1180</v>
      </c>
      <c r="BU1094" s="28" t="s">
        <v>2541</v>
      </c>
      <c r="BV1094" s="28">
        <f t="shared" si="1005"/>
        <v>5</v>
      </c>
      <c r="BW1094" s="28">
        <f t="shared" si="1006"/>
        <v>5</v>
      </c>
      <c r="BX1094" s="13">
        <f t="shared" si="1007"/>
        <v>596</v>
      </c>
      <c r="BY1094" s="13">
        <f t="shared" si="1008"/>
        <v>596</v>
      </c>
      <c r="BZ1094" s="13">
        <f t="shared" si="1009"/>
        <v>236</v>
      </c>
      <c r="CA1094" s="13">
        <f t="shared" si="1010"/>
        <v>236</v>
      </c>
      <c r="CB1094" s="13">
        <f t="shared" si="1011"/>
        <v>140656</v>
      </c>
      <c r="CC1094" s="62">
        <f t="shared" si="1012"/>
        <v>7.1095438516664771E-6</v>
      </c>
      <c r="CD1094" s="13">
        <f t="shared" si="1013"/>
        <v>596</v>
      </c>
      <c r="CE1094" s="13">
        <f t="shared" si="1014"/>
        <v>596</v>
      </c>
      <c r="CF1094" s="13">
        <f t="shared" si="1015"/>
        <v>236</v>
      </c>
      <c r="CG1094" s="13">
        <f t="shared" si="1016"/>
        <v>236</v>
      </c>
      <c r="CH1094" s="28">
        <f t="shared" si="1017"/>
        <v>140656</v>
      </c>
      <c r="CI1094" s="62">
        <f t="shared" si="1018"/>
        <v>7.1095438516664771E-6</v>
      </c>
      <c r="CJ1094" s="59">
        <f t="shared" si="1019"/>
        <v>7.1095438516664771E-6</v>
      </c>
      <c r="CL1094" s="63">
        <v>6000</v>
      </c>
      <c r="CM1094" s="63">
        <f t="shared" si="1020"/>
        <v>0</v>
      </c>
      <c r="CN1094" s="63">
        <f t="shared" si="1021"/>
        <v>5</v>
      </c>
      <c r="CO1094" s="63">
        <f t="shared" si="1022"/>
        <v>1200</v>
      </c>
      <c r="CP1094" s="13">
        <f t="shared" si="1023"/>
        <v>1200</v>
      </c>
      <c r="CQ1094" s="70">
        <f t="shared" si="1024"/>
        <v>8.3333333333333339E-4</v>
      </c>
      <c r="CR1094" s="69">
        <f t="shared" si="985"/>
        <v>1.8333333333333333E-2</v>
      </c>
    </row>
    <row r="1095" spans="1:96" hidden="1" x14ac:dyDescent="0.25">
      <c r="A1095" s="13">
        <v>4</v>
      </c>
      <c r="B1095" s="14" t="s">
        <v>2197</v>
      </c>
      <c r="C1095" s="13" t="s">
        <v>279</v>
      </c>
      <c r="D1095" s="13" t="s">
        <v>281</v>
      </c>
      <c r="E1095" s="13" t="s">
        <v>52</v>
      </c>
      <c r="F1095" s="15">
        <f t="shared" si="993"/>
        <v>12</v>
      </c>
      <c r="G1095" s="13">
        <v>5</v>
      </c>
      <c r="H1095" s="13">
        <f t="shared" si="1025"/>
        <v>5</v>
      </c>
      <c r="I1095" s="13">
        <v>3</v>
      </c>
      <c r="J1095" s="14" t="s">
        <v>2202</v>
      </c>
      <c r="K1095" s="14"/>
      <c r="L1095" s="13" t="s">
        <v>194</v>
      </c>
      <c r="M1095" s="14" t="s">
        <v>35</v>
      </c>
      <c r="N1095" s="13" t="s">
        <v>281</v>
      </c>
      <c r="O1095" s="28"/>
      <c r="P1095" s="28"/>
      <c r="Q1095" s="28" t="s">
        <v>281</v>
      </c>
      <c r="R1095" s="30"/>
      <c r="S1095" s="30"/>
      <c r="T1095" s="30"/>
      <c r="U1095" s="30"/>
      <c r="V1095" s="8">
        <f t="shared" si="994"/>
        <v>0</v>
      </c>
      <c r="W1095" s="8">
        <f t="shared" si="995"/>
        <v>0</v>
      </c>
      <c r="X1095" s="8">
        <f t="shared" si="996"/>
        <v>0</v>
      </c>
      <c r="Y1095" s="33">
        <f t="shared" si="997"/>
        <v>0</v>
      </c>
      <c r="Z1095" s="28"/>
      <c r="AA1095" s="28"/>
      <c r="AB1095" s="61" t="s">
        <v>281</v>
      </c>
      <c r="AC1095" s="31" t="s">
        <v>282</v>
      </c>
      <c r="AD1095" s="50">
        <f t="shared" si="998"/>
        <v>5</v>
      </c>
      <c r="AE1095" s="31"/>
      <c r="AF1095" s="51">
        <v>14</v>
      </c>
      <c r="AG1095" s="51">
        <f t="shared" si="1026"/>
        <v>8.4</v>
      </c>
      <c r="AH1095" s="51">
        <f t="shared" si="992"/>
        <v>42</v>
      </c>
      <c r="AI1095" s="52" t="s">
        <v>2497</v>
      </c>
      <c r="AJ1095" s="52" t="s">
        <v>2498</v>
      </c>
      <c r="AK1095" s="53">
        <f t="shared" si="1027"/>
        <v>0</v>
      </c>
      <c r="AL1095" s="54">
        <f t="shared" si="1028"/>
        <v>0.11904761904761904</v>
      </c>
      <c r="AM1095" s="54">
        <f t="shared" si="1029"/>
        <v>2.3809523809523808E-2</v>
      </c>
      <c r="AN1095" s="55">
        <f t="shared" si="1030"/>
        <v>0</v>
      </c>
      <c r="AO1095" s="55">
        <f t="shared" si="1031"/>
        <v>0</v>
      </c>
      <c r="AP1095" s="53">
        <v>7.1</v>
      </c>
      <c r="AQ1095" s="53">
        <f t="shared" si="999"/>
        <v>4.26</v>
      </c>
      <c r="AR1095" s="53">
        <f t="shared" si="1000"/>
        <v>21.299999999999997</v>
      </c>
      <c r="AS1095" s="56">
        <f t="shared" si="1001"/>
        <v>4.6948356807511742E-2</v>
      </c>
      <c r="AT1095" s="56">
        <f t="shared" si="1032"/>
        <v>0.23474178403755869</v>
      </c>
      <c r="AU1095" s="56">
        <f t="shared" si="1002"/>
        <v>0.176056338028169</v>
      </c>
      <c r="AV1095" s="56">
        <f t="shared" si="1033"/>
        <v>5.8685446009389672E-2</v>
      </c>
      <c r="AW1095" s="57"/>
      <c r="AX1095" s="57"/>
      <c r="AY1095" s="57"/>
      <c r="AZ1095" s="58">
        <f t="shared" si="1034"/>
        <v>0</v>
      </c>
      <c r="BA1095" s="59">
        <f t="shared" si="1035"/>
        <v>0</v>
      </c>
      <c r="BB1095" s="59">
        <f t="shared" si="1036"/>
        <v>0</v>
      </c>
      <c r="BC1095" s="59">
        <f t="shared" si="1037"/>
        <v>0</v>
      </c>
      <c r="BD1095" s="60">
        <f t="shared" si="1038"/>
        <v>7.1095438516664771E-6</v>
      </c>
      <c r="BE1095" s="59">
        <f t="shared" si="1039"/>
        <v>3.5547719258332388E-5</v>
      </c>
      <c r="BQ1095" s="61">
        <v>3000</v>
      </c>
      <c r="BR1095" s="61">
        <v>1200</v>
      </c>
      <c r="BS1095" s="28">
        <f t="shared" si="1003"/>
        <v>2980</v>
      </c>
      <c r="BT1095" s="28">
        <f t="shared" si="1004"/>
        <v>1180</v>
      </c>
      <c r="BU1095" s="28" t="s">
        <v>2541</v>
      </c>
      <c r="BV1095" s="28">
        <f t="shared" si="1005"/>
        <v>5</v>
      </c>
      <c r="BW1095" s="28">
        <f t="shared" si="1006"/>
        <v>5</v>
      </c>
      <c r="BX1095" s="13">
        <f t="shared" si="1007"/>
        <v>596</v>
      </c>
      <c r="BY1095" s="13">
        <f t="shared" si="1008"/>
        <v>596</v>
      </c>
      <c r="BZ1095" s="13">
        <f t="shared" si="1009"/>
        <v>236</v>
      </c>
      <c r="CA1095" s="13">
        <f t="shared" si="1010"/>
        <v>236</v>
      </c>
      <c r="CB1095" s="13">
        <f t="shared" si="1011"/>
        <v>140656</v>
      </c>
      <c r="CC1095" s="62">
        <f t="shared" si="1012"/>
        <v>7.1095438516664771E-6</v>
      </c>
      <c r="CD1095" s="13">
        <f t="shared" si="1013"/>
        <v>596</v>
      </c>
      <c r="CE1095" s="13">
        <f t="shared" si="1014"/>
        <v>596</v>
      </c>
      <c r="CF1095" s="13">
        <f t="shared" si="1015"/>
        <v>236</v>
      </c>
      <c r="CG1095" s="13">
        <f t="shared" si="1016"/>
        <v>236</v>
      </c>
      <c r="CH1095" s="28">
        <f t="shared" si="1017"/>
        <v>140656</v>
      </c>
      <c r="CI1095" s="62">
        <f t="shared" si="1018"/>
        <v>7.1095438516664771E-6</v>
      </c>
      <c r="CJ1095" s="59">
        <f t="shared" si="1019"/>
        <v>7.1095438516664771E-6</v>
      </c>
      <c r="CL1095" s="63">
        <v>6000</v>
      </c>
      <c r="CM1095" s="63">
        <f t="shared" si="1020"/>
        <v>0</v>
      </c>
      <c r="CN1095" s="63">
        <f t="shared" si="1021"/>
        <v>5</v>
      </c>
      <c r="CO1095" s="63">
        <f t="shared" si="1022"/>
        <v>1200</v>
      </c>
      <c r="CP1095" s="13">
        <f t="shared" si="1023"/>
        <v>1200</v>
      </c>
      <c r="CQ1095" s="70">
        <f t="shared" si="1024"/>
        <v>8.3333333333333339E-4</v>
      </c>
      <c r="CR1095" s="69">
        <f t="shared" si="985"/>
        <v>4.1666666666666666E-3</v>
      </c>
    </row>
    <row r="1096" spans="1:96" hidden="1" x14ac:dyDescent="0.25">
      <c r="A1096" s="10">
        <v>3</v>
      </c>
      <c r="B1096" s="8" t="s">
        <v>2192</v>
      </c>
      <c r="C1096" s="10" t="s">
        <v>2203</v>
      </c>
      <c r="D1096" s="10" t="s">
        <v>2270</v>
      </c>
      <c r="E1096" s="10" t="s">
        <v>52</v>
      </c>
      <c r="F1096" s="12">
        <f t="shared" si="993"/>
        <v>1</v>
      </c>
      <c r="G1096" s="10">
        <v>2</v>
      </c>
      <c r="H1096" s="10">
        <f t="shared" ref="H1096:H1099" si="1040">G1096*$H$1091</f>
        <v>2</v>
      </c>
      <c r="I1096" s="10">
        <v>4</v>
      </c>
      <c r="J1096" s="8" t="s">
        <v>155</v>
      </c>
      <c r="K1096" s="8"/>
      <c r="L1096" s="10" t="s">
        <v>2195</v>
      </c>
      <c r="M1096" s="8" t="s">
        <v>35</v>
      </c>
      <c r="N1096" s="10" t="s">
        <v>2204</v>
      </c>
      <c r="O1096" s="28"/>
      <c r="P1096" s="28"/>
      <c r="Q1096" s="28" t="s">
        <v>124</v>
      </c>
      <c r="R1096" s="30">
        <v>44.5</v>
      </c>
      <c r="S1096" s="30">
        <v>3.6469999999999998</v>
      </c>
      <c r="T1096" s="30"/>
      <c r="U1096" s="30">
        <v>9.8425196850393706E-2</v>
      </c>
      <c r="V1096" s="8">
        <f t="shared" si="994"/>
        <v>1130.3</v>
      </c>
      <c r="W1096" s="8">
        <f t="shared" si="995"/>
        <v>92.633799999999994</v>
      </c>
      <c r="X1096" s="8">
        <f t="shared" si="996"/>
        <v>0</v>
      </c>
      <c r="Y1096" s="33">
        <f t="shared" si="997"/>
        <v>2.5</v>
      </c>
      <c r="Z1096" s="28" t="s">
        <v>56</v>
      </c>
      <c r="AA1096" s="28" t="s">
        <v>57</v>
      </c>
      <c r="AB1096" s="61" t="s">
        <v>124</v>
      </c>
      <c r="AC1096" s="31" t="s">
        <v>125</v>
      </c>
      <c r="AD1096" s="50">
        <f t="shared" si="998"/>
        <v>2</v>
      </c>
      <c r="AE1096" s="31"/>
      <c r="AF1096" s="51">
        <v>14</v>
      </c>
      <c r="AG1096" s="51">
        <f t="shared" si="1026"/>
        <v>8.4</v>
      </c>
      <c r="AH1096" s="51">
        <f t="shared" si="992"/>
        <v>42</v>
      </c>
      <c r="AI1096" s="52" t="s">
        <v>2497</v>
      </c>
      <c r="AJ1096" s="52" t="s">
        <v>2498</v>
      </c>
      <c r="AK1096" s="53">
        <f t="shared" si="1027"/>
        <v>0.20940796827999997</v>
      </c>
      <c r="AL1096" s="54">
        <f t="shared" si="1028"/>
        <v>0.11904761904761904</v>
      </c>
      <c r="AM1096" s="54">
        <f t="shared" si="1029"/>
        <v>2.3809523809523808E-2</v>
      </c>
      <c r="AN1096" s="55">
        <f t="shared" si="1030"/>
        <v>4.9859040066666659E-2</v>
      </c>
      <c r="AO1096" s="55">
        <f t="shared" si="1031"/>
        <v>9.9718080133333314E-3</v>
      </c>
      <c r="AP1096" s="53">
        <v>7.1</v>
      </c>
      <c r="AQ1096" s="53">
        <f t="shared" si="999"/>
        <v>4.26</v>
      </c>
      <c r="AR1096" s="53">
        <f t="shared" si="1000"/>
        <v>21.299999999999997</v>
      </c>
      <c r="AS1096" s="56">
        <f t="shared" si="1001"/>
        <v>4.6948356807511742E-2</v>
      </c>
      <c r="AT1096" s="56">
        <f t="shared" si="1032"/>
        <v>0.23474178403755869</v>
      </c>
      <c r="AU1096" s="56">
        <f t="shared" si="1002"/>
        <v>0.176056338028169</v>
      </c>
      <c r="AV1096" s="56">
        <f t="shared" si="1033"/>
        <v>5.8685446009389672E-2</v>
      </c>
      <c r="AW1096" s="57"/>
      <c r="AX1096" s="57"/>
      <c r="AY1096" s="57"/>
      <c r="AZ1096" s="58">
        <f t="shared" si="1034"/>
        <v>0.20940796827999997</v>
      </c>
      <c r="BA1096" s="59">
        <f t="shared" si="1035"/>
        <v>0</v>
      </c>
      <c r="BB1096" s="59">
        <f t="shared" si="1036"/>
        <v>0</v>
      </c>
      <c r="BC1096" s="59">
        <f t="shared" si="1037"/>
        <v>0</v>
      </c>
      <c r="BD1096" s="60">
        <f t="shared" si="1038"/>
        <v>3.3333333333333333E-2</v>
      </c>
      <c r="BE1096" s="59">
        <f t="shared" si="1039"/>
        <v>6.6666666666666666E-2</v>
      </c>
      <c r="BQ1096" s="61">
        <v>3000</v>
      </c>
      <c r="BR1096" s="61">
        <v>1200</v>
      </c>
      <c r="BS1096" s="28">
        <f t="shared" si="1003"/>
        <v>2980</v>
      </c>
      <c r="BT1096" s="28">
        <f t="shared" si="1004"/>
        <v>1180</v>
      </c>
      <c r="BU1096" s="28" t="s">
        <v>2541</v>
      </c>
      <c r="BV1096" s="28">
        <f t="shared" si="1005"/>
        <v>1135.3</v>
      </c>
      <c r="BW1096" s="28">
        <f t="shared" si="1006"/>
        <v>97.633799999999994</v>
      </c>
      <c r="BX1096" s="13">
        <f t="shared" si="1007"/>
        <v>2.624856866026601</v>
      </c>
      <c r="BY1096" s="13">
        <f t="shared" si="1008"/>
        <v>2</v>
      </c>
      <c r="BZ1096" s="13">
        <f t="shared" si="1009"/>
        <v>12.085978421407342</v>
      </c>
      <c r="CA1096" s="13">
        <f t="shared" si="1010"/>
        <v>12</v>
      </c>
      <c r="CB1096" s="13">
        <f t="shared" si="1011"/>
        <v>24</v>
      </c>
      <c r="CC1096" s="62">
        <f t="shared" si="1012"/>
        <v>4.1666666666666664E-2</v>
      </c>
      <c r="CD1096" s="13">
        <f t="shared" si="1013"/>
        <v>30.522216691350742</v>
      </c>
      <c r="CE1096" s="13">
        <f t="shared" si="1014"/>
        <v>30</v>
      </c>
      <c r="CF1096" s="13">
        <f t="shared" si="1015"/>
        <v>1.0393728529903992</v>
      </c>
      <c r="CG1096" s="13">
        <f t="shared" si="1016"/>
        <v>1</v>
      </c>
      <c r="CH1096" s="28">
        <f t="shared" si="1017"/>
        <v>30</v>
      </c>
      <c r="CI1096" s="62">
        <f t="shared" si="1018"/>
        <v>3.3333333333333333E-2</v>
      </c>
      <c r="CJ1096" s="59">
        <f t="shared" si="1019"/>
        <v>3.3333333333333333E-2</v>
      </c>
      <c r="CL1096" s="63">
        <v>6000</v>
      </c>
      <c r="CM1096" s="63">
        <f t="shared" si="1020"/>
        <v>1130.3</v>
      </c>
      <c r="CN1096" s="63">
        <f t="shared" si="1021"/>
        <v>1135.3</v>
      </c>
      <c r="CO1096" s="63">
        <f t="shared" si="1022"/>
        <v>5.2849467101206731</v>
      </c>
      <c r="CP1096" s="13">
        <f t="shared" si="1023"/>
        <v>5</v>
      </c>
      <c r="CQ1096" s="70">
        <f t="shared" si="1024"/>
        <v>0.2</v>
      </c>
      <c r="CR1096" s="69">
        <f t="shared" si="985"/>
        <v>0.4</v>
      </c>
    </row>
    <row r="1097" spans="1:96" hidden="1" x14ac:dyDescent="0.25">
      <c r="A1097" s="10">
        <v>3</v>
      </c>
      <c r="B1097" s="8" t="s">
        <v>2192</v>
      </c>
      <c r="C1097" s="10" t="s">
        <v>2206</v>
      </c>
      <c r="D1097" s="10" t="s">
        <v>2270</v>
      </c>
      <c r="E1097" s="10" t="s">
        <v>52</v>
      </c>
      <c r="F1097" s="12">
        <f t="shared" si="993"/>
        <v>1</v>
      </c>
      <c r="G1097" s="10">
        <v>2</v>
      </c>
      <c r="H1097" s="10">
        <f t="shared" si="1040"/>
        <v>2</v>
      </c>
      <c r="I1097" s="10">
        <v>5</v>
      </c>
      <c r="J1097" s="8" t="s">
        <v>155</v>
      </c>
      <c r="K1097" s="8"/>
      <c r="L1097" s="10" t="s">
        <v>2195</v>
      </c>
      <c r="M1097" s="8" t="s">
        <v>35</v>
      </c>
      <c r="N1097" s="10" t="s">
        <v>2207</v>
      </c>
      <c r="O1097" s="28"/>
      <c r="P1097" s="28"/>
      <c r="Q1097" s="28" t="s">
        <v>124</v>
      </c>
      <c r="R1097" s="30">
        <v>31</v>
      </c>
      <c r="S1097" s="30">
        <v>1.8240000000000001</v>
      </c>
      <c r="T1097" s="30"/>
      <c r="U1097" s="30">
        <v>9.8425196850393706E-2</v>
      </c>
      <c r="V1097" s="8">
        <f t="shared" si="994"/>
        <v>787.4</v>
      </c>
      <c r="W1097" s="8">
        <f t="shared" si="995"/>
        <v>46.329599999999999</v>
      </c>
      <c r="X1097" s="8">
        <f t="shared" si="996"/>
        <v>0</v>
      </c>
      <c r="Y1097" s="33">
        <f t="shared" si="997"/>
        <v>2.5</v>
      </c>
      <c r="Z1097" s="28" t="s">
        <v>56</v>
      </c>
      <c r="AA1097" s="28" t="s">
        <v>57</v>
      </c>
      <c r="AB1097" s="61" t="s">
        <v>124</v>
      </c>
      <c r="AC1097" s="31" t="s">
        <v>125</v>
      </c>
      <c r="AD1097" s="50">
        <f t="shared" si="998"/>
        <v>2</v>
      </c>
      <c r="AE1097" s="31"/>
      <c r="AF1097" s="51">
        <v>14</v>
      </c>
      <c r="AG1097" s="51">
        <f t="shared" si="1026"/>
        <v>8.4</v>
      </c>
      <c r="AH1097" s="51">
        <f t="shared" si="992"/>
        <v>42</v>
      </c>
      <c r="AI1097" s="52" t="s">
        <v>2497</v>
      </c>
      <c r="AJ1097" s="52" t="s">
        <v>2498</v>
      </c>
      <c r="AK1097" s="53">
        <f t="shared" si="1027"/>
        <v>7.2959854079999983E-2</v>
      </c>
      <c r="AL1097" s="54">
        <f t="shared" si="1028"/>
        <v>0.11904761904761904</v>
      </c>
      <c r="AM1097" s="54">
        <f t="shared" si="1029"/>
        <v>2.3809523809523808E-2</v>
      </c>
      <c r="AN1097" s="55">
        <f t="shared" si="1030"/>
        <v>1.7371393828571422E-2</v>
      </c>
      <c r="AO1097" s="55">
        <f t="shared" si="1031"/>
        <v>3.4742787657142849E-3</v>
      </c>
      <c r="AP1097" s="53">
        <v>7.1</v>
      </c>
      <c r="AQ1097" s="53">
        <f t="shared" si="999"/>
        <v>4.26</v>
      </c>
      <c r="AR1097" s="53">
        <f t="shared" si="1000"/>
        <v>21.299999999999997</v>
      </c>
      <c r="AS1097" s="56">
        <f t="shared" si="1001"/>
        <v>4.6948356807511742E-2</v>
      </c>
      <c r="AT1097" s="56">
        <f t="shared" si="1032"/>
        <v>0.23474178403755869</v>
      </c>
      <c r="AU1097" s="56">
        <f t="shared" si="1002"/>
        <v>0.176056338028169</v>
      </c>
      <c r="AV1097" s="56">
        <f t="shared" si="1033"/>
        <v>5.8685446009389672E-2</v>
      </c>
      <c r="AW1097" s="57"/>
      <c r="AX1097" s="57"/>
      <c r="AY1097" s="57"/>
      <c r="AZ1097" s="58">
        <f t="shared" si="1034"/>
        <v>7.2959854079999983E-2</v>
      </c>
      <c r="BA1097" s="59">
        <f t="shared" si="1035"/>
        <v>0</v>
      </c>
      <c r="BB1097" s="59">
        <f t="shared" si="1036"/>
        <v>0</v>
      </c>
      <c r="BC1097" s="59">
        <f t="shared" si="1037"/>
        <v>0</v>
      </c>
      <c r="BD1097" s="60">
        <f t="shared" si="1038"/>
        <v>1.5151515151515152E-2</v>
      </c>
      <c r="BE1097" s="59">
        <f t="shared" si="1039"/>
        <v>3.0303030303030304E-2</v>
      </c>
      <c r="BQ1097" s="61">
        <v>3000</v>
      </c>
      <c r="BR1097" s="61">
        <v>1200</v>
      </c>
      <c r="BS1097" s="28">
        <f t="shared" si="1003"/>
        <v>2980</v>
      </c>
      <c r="BT1097" s="28">
        <f t="shared" si="1004"/>
        <v>1180</v>
      </c>
      <c r="BU1097" s="28" t="s">
        <v>2541</v>
      </c>
      <c r="BV1097" s="28">
        <f t="shared" si="1005"/>
        <v>792.4</v>
      </c>
      <c r="BW1097" s="28">
        <f t="shared" si="1006"/>
        <v>51.329599999999999</v>
      </c>
      <c r="BX1097" s="13">
        <f t="shared" si="1007"/>
        <v>3.7607269056032306</v>
      </c>
      <c r="BY1097" s="13">
        <f t="shared" si="1008"/>
        <v>3</v>
      </c>
      <c r="BZ1097" s="13">
        <f t="shared" si="1009"/>
        <v>22.988684891368724</v>
      </c>
      <c r="CA1097" s="13">
        <f t="shared" si="1010"/>
        <v>22</v>
      </c>
      <c r="CB1097" s="13">
        <f t="shared" si="1011"/>
        <v>66</v>
      </c>
      <c r="CC1097" s="62">
        <f t="shared" si="1012"/>
        <v>1.5151515151515152E-2</v>
      </c>
      <c r="CD1097" s="13">
        <f t="shared" si="1013"/>
        <v>58.056170318880334</v>
      </c>
      <c r="CE1097" s="13">
        <f t="shared" si="1014"/>
        <v>58</v>
      </c>
      <c r="CF1097" s="13">
        <f t="shared" si="1015"/>
        <v>1.4891468955073195</v>
      </c>
      <c r="CG1097" s="13">
        <f t="shared" si="1016"/>
        <v>1</v>
      </c>
      <c r="CH1097" s="28">
        <f t="shared" si="1017"/>
        <v>58</v>
      </c>
      <c r="CI1097" s="62">
        <f t="shared" si="1018"/>
        <v>1.7241379310344827E-2</v>
      </c>
      <c r="CJ1097" s="59">
        <f t="shared" si="1019"/>
        <v>1.5151515151515152E-2</v>
      </c>
      <c r="CL1097" s="63">
        <v>6000</v>
      </c>
      <c r="CM1097" s="63">
        <f t="shared" si="1020"/>
        <v>787.4</v>
      </c>
      <c r="CN1097" s="63">
        <f t="shared" si="1021"/>
        <v>792.4</v>
      </c>
      <c r="CO1097" s="63">
        <f t="shared" si="1022"/>
        <v>7.5719333669863707</v>
      </c>
      <c r="CP1097" s="13">
        <f t="shared" si="1023"/>
        <v>7</v>
      </c>
      <c r="CQ1097" s="70">
        <f t="shared" si="1024"/>
        <v>0.14285714285714285</v>
      </c>
      <c r="CR1097" s="69">
        <f t="shared" si="985"/>
        <v>0.2857142857142857</v>
      </c>
    </row>
    <row r="1098" spans="1:96" hidden="1" x14ac:dyDescent="0.25">
      <c r="A1098" s="10">
        <v>3</v>
      </c>
      <c r="B1098" s="8" t="s">
        <v>2192</v>
      </c>
      <c r="C1098" s="10" t="s">
        <v>2208</v>
      </c>
      <c r="D1098" s="10" t="s">
        <v>2210</v>
      </c>
      <c r="E1098" s="10" t="s">
        <v>52</v>
      </c>
      <c r="F1098" s="12">
        <f t="shared" si="993"/>
        <v>1</v>
      </c>
      <c r="G1098" s="10">
        <v>2</v>
      </c>
      <c r="H1098" s="10">
        <f t="shared" si="1040"/>
        <v>2</v>
      </c>
      <c r="I1098" s="10">
        <v>6</v>
      </c>
      <c r="J1098" s="8" t="s">
        <v>2209</v>
      </c>
      <c r="K1098" s="8"/>
      <c r="L1098" s="10" t="s">
        <v>2195</v>
      </c>
      <c r="M1098" s="8" t="s">
        <v>35</v>
      </c>
      <c r="N1098" s="10" t="s">
        <v>2210</v>
      </c>
      <c r="O1098" s="28" t="s">
        <v>41</v>
      </c>
      <c r="P1098" s="28" t="s">
        <v>41</v>
      </c>
      <c r="Q1098" s="28" t="s">
        <v>1178</v>
      </c>
      <c r="R1098" s="30">
        <v>2.9960629921259843</v>
      </c>
      <c r="S1098" s="30">
        <v>2.7598425196850394</v>
      </c>
      <c r="T1098" s="30"/>
      <c r="U1098" s="30">
        <v>0.17699999999999999</v>
      </c>
      <c r="V1098" s="8">
        <f t="shared" si="994"/>
        <v>76.099999999999994</v>
      </c>
      <c r="W1098" s="8">
        <f t="shared" si="995"/>
        <v>70.099999999999994</v>
      </c>
      <c r="X1098" s="8">
        <f t="shared" si="996"/>
        <v>0</v>
      </c>
      <c r="Y1098" s="33">
        <f t="shared" si="997"/>
        <v>4.4957999999999991</v>
      </c>
      <c r="Z1098" s="28" t="s">
        <v>56</v>
      </c>
      <c r="AA1098" s="28" t="s">
        <v>57</v>
      </c>
      <c r="AB1098" s="61" t="s">
        <v>1178</v>
      </c>
      <c r="AC1098" s="31" t="s">
        <v>1179</v>
      </c>
      <c r="AD1098" s="50">
        <f t="shared" si="998"/>
        <v>2</v>
      </c>
      <c r="AE1098" s="31"/>
      <c r="AF1098" s="51">
        <v>14</v>
      </c>
      <c r="AG1098" s="51">
        <f t="shared" si="1026"/>
        <v>8.4</v>
      </c>
      <c r="AH1098" s="51">
        <f t="shared" si="992"/>
        <v>42</v>
      </c>
      <c r="AI1098" s="52" t="s">
        <v>2497</v>
      </c>
      <c r="AJ1098" s="52" t="s">
        <v>2498</v>
      </c>
      <c r="AK1098" s="53">
        <f t="shared" si="1027"/>
        <v>1.0669219999999998E-2</v>
      </c>
      <c r="AL1098" s="54">
        <f t="shared" si="1028"/>
        <v>0.11904761904761904</v>
      </c>
      <c r="AM1098" s="54">
        <f t="shared" si="1029"/>
        <v>2.3809523809523808E-2</v>
      </c>
      <c r="AN1098" s="55">
        <f t="shared" si="1030"/>
        <v>2.5402904761904757E-3</v>
      </c>
      <c r="AO1098" s="55">
        <f t="shared" si="1031"/>
        <v>5.0805809523809511E-4</v>
      </c>
      <c r="AP1098" s="53">
        <v>7.1</v>
      </c>
      <c r="AQ1098" s="53">
        <f t="shared" si="999"/>
        <v>4.26</v>
      </c>
      <c r="AR1098" s="53">
        <f t="shared" si="1000"/>
        <v>21.299999999999997</v>
      </c>
      <c r="AS1098" s="56">
        <f t="shared" si="1001"/>
        <v>4.6948356807511742E-2</v>
      </c>
      <c r="AT1098" s="56">
        <f t="shared" si="1032"/>
        <v>0.23474178403755869</v>
      </c>
      <c r="AU1098" s="56">
        <f t="shared" si="1002"/>
        <v>0.176056338028169</v>
      </c>
      <c r="AV1098" s="56">
        <f t="shared" si="1033"/>
        <v>5.8685446009389672E-2</v>
      </c>
      <c r="AW1098" s="57"/>
      <c r="AX1098" s="57"/>
      <c r="AY1098" s="57"/>
      <c r="AZ1098" s="58">
        <f t="shared" si="1034"/>
        <v>1.0669219999999998E-2</v>
      </c>
      <c r="BA1098" s="59">
        <f t="shared" si="1035"/>
        <v>0</v>
      </c>
      <c r="BB1098" s="59">
        <f t="shared" si="1036"/>
        <v>0</v>
      </c>
      <c r="BC1098" s="59">
        <f t="shared" si="1037"/>
        <v>0</v>
      </c>
      <c r="BD1098" s="60">
        <f t="shared" si="1038"/>
        <v>1.8315018315018315E-3</v>
      </c>
      <c r="BE1098" s="59">
        <f t="shared" si="1039"/>
        <v>3.663003663003663E-3</v>
      </c>
      <c r="BQ1098" s="61">
        <v>3000</v>
      </c>
      <c r="BR1098" s="61">
        <v>1200</v>
      </c>
      <c r="BS1098" s="28">
        <f t="shared" si="1003"/>
        <v>2980</v>
      </c>
      <c r="BT1098" s="28">
        <f t="shared" si="1004"/>
        <v>1180</v>
      </c>
      <c r="BU1098" s="28" t="s">
        <v>2541</v>
      </c>
      <c r="BV1098" s="28">
        <f t="shared" si="1005"/>
        <v>81.099999999999994</v>
      </c>
      <c r="BW1098" s="28">
        <f t="shared" si="1006"/>
        <v>75.099999999999994</v>
      </c>
      <c r="BX1098" s="13">
        <f t="shared" si="1007"/>
        <v>36.744759556103581</v>
      </c>
      <c r="BY1098" s="13">
        <f t="shared" si="1008"/>
        <v>36</v>
      </c>
      <c r="BZ1098" s="13">
        <f t="shared" si="1009"/>
        <v>15.712383488681759</v>
      </c>
      <c r="CA1098" s="13">
        <f t="shared" si="1010"/>
        <v>15</v>
      </c>
      <c r="CB1098" s="13">
        <f t="shared" si="1011"/>
        <v>540</v>
      </c>
      <c r="CC1098" s="62">
        <f t="shared" si="1012"/>
        <v>1.8518518518518519E-3</v>
      </c>
      <c r="CD1098" s="13">
        <f t="shared" si="1013"/>
        <v>39.680426098535293</v>
      </c>
      <c r="CE1098" s="13">
        <f t="shared" si="1014"/>
        <v>39</v>
      </c>
      <c r="CF1098" s="13">
        <f t="shared" si="1015"/>
        <v>14.549938347718866</v>
      </c>
      <c r="CG1098" s="13">
        <f t="shared" si="1016"/>
        <v>14</v>
      </c>
      <c r="CH1098" s="28">
        <f t="shared" si="1017"/>
        <v>546</v>
      </c>
      <c r="CI1098" s="62">
        <f t="shared" si="1018"/>
        <v>1.8315018315018315E-3</v>
      </c>
      <c r="CJ1098" s="59">
        <f t="shared" si="1019"/>
        <v>1.8315018315018315E-3</v>
      </c>
      <c r="CL1098" s="63">
        <v>6000</v>
      </c>
      <c r="CM1098" s="63">
        <f t="shared" si="1020"/>
        <v>76.099999999999994</v>
      </c>
      <c r="CN1098" s="63">
        <f t="shared" si="1021"/>
        <v>81.099999999999994</v>
      </c>
      <c r="CO1098" s="63">
        <f t="shared" si="1022"/>
        <v>73.982737361282375</v>
      </c>
      <c r="CP1098" s="13">
        <f t="shared" si="1023"/>
        <v>73</v>
      </c>
      <c r="CQ1098" s="70">
        <f t="shared" si="1024"/>
        <v>1.3698630136986301E-2</v>
      </c>
      <c r="CR1098" s="69">
        <f t="shared" si="985"/>
        <v>2.7397260273972601E-2</v>
      </c>
    </row>
    <row r="1099" spans="1:96" hidden="1" x14ac:dyDescent="0.25">
      <c r="A1099" s="10">
        <v>3</v>
      </c>
      <c r="B1099" s="8" t="s">
        <v>2192</v>
      </c>
      <c r="C1099" s="10" t="s">
        <v>2211</v>
      </c>
      <c r="D1099" s="10" t="s">
        <v>2213</v>
      </c>
      <c r="E1099" s="10" t="s">
        <v>52</v>
      </c>
      <c r="F1099" s="12">
        <f t="shared" si="993"/>
        <v>1</v>
      </c>
      <c r="G1099" s="10">
        <v>2</v>
      </c>
      <c r="H1099" s="10">
        <f t="shared" si="1040"/>
        <v>2</v>
      </c>
      <c r="I1099" s="10">
        <v>7</v>
      </c>
      <c r="J1099" s="8" t="s">
        <v>2212</v>
      </c>
      <c r="K1099" s="8"/>
      <c r="L1099" s="10" t="s">
        <v>2195</v>
      </c>
      <c r="M1099" s="8" t="s">
        <v>35</v>
      </c>
      <c r="N1099" s="10" t="s">
        <v>2213</v>
      </c>
      <c r="O1099" s="28" t="s">
        <v>41</v>
      </c>
      <c r="P1099" s="28" t="s">
        <v>41</v>
      </c>
      <c r="Q1099" s="28" t="s">
        <v>103</v>
      </c>
      <c r="R1099" s="30">
        <v>4.7359999999999998</v>
      </c>
      <c r="S1099" s="30">
        <v>4</v>
      </c>
      <c r="T1099" s="30"/>
      <c r="U1099" s="30">
        <v>0.23622047244094491</v>
      </c>
      <c r="V1099" s="8">
        <f t="shared" si="994"/>
        <v>120.29439999999998</v>
      </c>
      <c r="W1099" s="8">
        <f t="shared" si="995"/>
        <v>101.6</v>
      </c>
      <c r="X1099" s="8">
        <f t="shared" si="996"/>
        <v>0</v>
      </c>
      <c r="Y1099" s="33">
        <f t="shared" si="997"/>
        <v>6</v>
      </c>
      <c r="Z1099" s="28" t="s">
        <v>56</v>
      </c>
      <c r="AA1099" s="28" t="s">
        <v>57</v>
      </c>
      <c r="AB1099" s="28" t="s">
        <v>103</v>
      </c>
      <c r="AC1099" s="31" t="s">
        <v>104</v>
      </c>
      <c r="AD1099" s="50">
        <f t="shared" si="998"/>
        <v>2</v>
      </c>
      <c r="AE1099" s="31"/>
      <c r="AF1099" s="51">
        <v>14</v>
      </c>
      <c r="AG1099" s="51">
        <f t="shared" si="1026"/>
        <v>8.4</v>
      </c>
      <c r="AH1099" s="51">
        <f t="shared" si="992"/>
        <v>42</v>
      </c>
      <c r="AI1099" s="52" t="s">
        <v>2497</v>
      </c>
      <c r="AJ1099" s="52" t="s">
        <v>2498</v>
      </c>
      <c r="AK1099" s="53">
        <f t="shared" si="1027"/>
        <v>2.4443822079999993E-2</v>
      </c>
      <c r="AL1099" s="54">
        <f t="shared" si="1028"/>
        <v>0.11904761904761904</v>
      </c>
      <c r="AM1099" s="54">
        <f t="shared" si="1029"/>
        <v>2.3809523809523808E-2</v>
      </c>
      <c r="AN1099" s="55">
        <f t="shared" si="1030"/>
        <v>5.8199576380952361E-3</v>
      </c>
      <c r="AO1099" s="55">
        <f t="shared" si="1031"/>
        <v>1.1639915276190473E-3</v>
      </c>
      <c r="AP1099" s="53">
        <v>7.1</v>
      </c>
      <c r="AQ1099" s="53">
        <f t="shared" si="999"/>
        <v>4.26</v>
      </c>
      <c r="AR1099" s="53">
        <f t="shared" si="1000"/>
        <v>21.299999999999997</v>
      </c>
      <c r="AS1099" s="56">
        <f t="shared" si="1001"/>
        <v>4.6948356807511742E-2</v>
      </c>
      <c r="AT1099" s="56">
        <f t="shared" si="1032"/>
        <v>0.23474178403755869</v>
      </c>
      <c r="AU1099" s="56">
        <f t="shared" si="1002"/>
        <v>0.176056338028169</v>
      </c>
      <c r="AV1099" s="56">
        <f t="shared" si="1033"/>
        <v>5.8685446009389672E-2</v>
      </c>
      <c r="AW1099" s="57"/>
      <c r="AX1099" s="57"/>
      <c r="AY1099" s="57"/>
      <c r="AZ1099" s="58">
        <f t="shared" si="1034"/>
        <v>2.4443822079999993E-2</v>
      </c>
      <c r="BA1099" s="59">
        <f t="shared" si="1035"/>
        <v>0</v>
      </c>
      <c r="BB1099" s="59">
        <f t="shared" si="1036"/>
        <v>0</v>
      </c>
      <c r="BC1099" s="59">
        <f t="shared" si="1037"/>
        <v>0</v>
      </c>
      <c r="BD1099" s="60">
        <f t="shared" si="1038"/>
        <v>3.952569169960474E-3</v>
      </c>
      <c r="BE1099" s="59">
        <f t="shared" si="1039"/>
        <v>7.9051383399209481E-3</v>
      </c>
      <c r="BQ1099" s="61">
        <v>3000</v>
      </c>
      <c r="BR1099" s="61">
        <v>1200</v>
      </c>
      <c r="BS1099" s="28">
        <f t="shared" si="1003"/>
        <v>2980</v>
      </c>
      <c r="BT1099" s="28">
        <f t="shared" si="1004"/>
        <v>1180</v>
      </c>
      <c r="BU1099" s="28" t="s">
        <v>2541</v>
      </c>
      <c r="BV1099" s="28">
        <f t="shared" si="1005"/>
        <v>125.29439999999998</v>
      </c>
      <c r="BW1099" s="28">
        <f t="shared" si="1006"/>
        <v>106.6</v>
      </c>
      <c r="BX1099" s="13">
        <f t="shared" si="1007"/>
        <v>23.783983960975114</v>
      </c>
      <c r="BY1099" s="13">
        <f t="shared" si="1008"/>
        <v>23</v>
      </c>
      <c r="BZ1099" s="13">
        <f t="shared" si="1009"/>
        <v>11.069418386491558</v>
      </c>
      <c r="CA1099" s="13">
        <f t="shared" si="1010"/>
        <v>11</v>
      </c>
      <c r="CB1099" s="13">
        <f t="shared" si="1011"/>
        <v>253</v>
      </c>
      <c r="CC1099" s="62">
        <f t="shared" si="1012"/>
        <v>3.952569169960474E-3</v>
      </c>
      <c r="CD1099" s="13">
        <f t="shared" si="1013"/>
        <v>27.954971857410882</v>
      </c>
      <c r="CE1099" s="13">
        <f t="shared" si="1014"/>
        <v>27</v>
      </c>
      <c r="CF1099" s="13">
        <f t="shared" si="1015"/>
        <v>9.4178191523324273</v>
      </c>
      <c r="CG1099" s="13">
        <f t="shared" si="1016"/>
        <v>9</v>
      </c>
      <c r="CH1099" s="28">
        <f t="shared" si="1017"/>
        <v>243</v>
      </c>
      <c r="CI1099" s="62">
        <f t="shared" si="1018"/>
        <v>4.11522633744856E-3</v>
      </c>
      <c r="CJ1099" s="59">
        <f t="shared" si="1019"/>
        <v>3.952569169960474E-3</v>
      </c>
      <c r="CL1099" s="63">
        <v>6000</v>
      </c>
      <c r="CM1099" s="63">
        <f t="shared" si="1020"/>
        <v>120.29439999999998</v>
      </c>
      <c r="CN1099" s="63">
        <f t="shared" si="1021"/>
        <v>125.29439999999998</v>
      </c>
      <c r="CO1099" s="63">
        <f t="shared" si="1022"/>
        <v>47.887216028808957</v>
      </c>
      <c r="CP1099" s="13">
        <f t="shared" si="1023"/>
        <v>47</v>
      </c>
      <c r="CQ1099" s="70">
        <f t="shared" si="1024"/>
        <v>2.1276595744680851E-2</v>
      </c>
      <c r="CR1099" s="69">
        <f t="shared" si="985"/>
        <v>4.2553191489361701E-2</v>
      </c>
    </row>
    <row r="1100" spans="1:96" hidden="1" x14ac:dyDescent="0.25">
      <c r="A1100" s="36">
        <v>2</v>
      </c>
      <c r="B1100" s="37" t="s">
        <v>2189</v>
      </c>
      <c r="C1100" s="36" t="s">
        <v>2214</v>
      </c>
      <c r="D1100" s="36" t="s">
        <v>2270</v>
      </c>
      <c r="E1100" s="36" t="s">
        <v>32</v>
      </c>
      <c r="F1100" s="38">
        <f t="shared" si="993"/>
        <v>1</v>
      </c>
      <c r="G1100" s="36">
        <v>1</v>
      </c>
      <c r="H1100" s="36">
        <f>G1100*$H$1090</f>
        <v>1</v>
      </c>
      <c r="I1100" s="36">
        <v>2</v>
      </c>
      <c r="J1100" s="37" t="s">
        <v>2215</v>
      </c>
      <c r="K1100" s="37"/>
      <c r="L1100" s="36" t="s">
        <v>2195</v>
      </c>
      <c r="M1100" s="37" t="s">
        <v>35</v>
      </c>
      <c r="N1100" s="36" t="s">
        <v>2216</v>
      </c>
      <c r="O1100" s="28"/>
      <c r="P1100" s="28"/>
      <c r="Q1100" s="28"/>
      <c r="R1100" s="30"/>
      <c r="S1100" s="30"/>
      <c r="T1100" s="30"/>
      <c r="U1100" s="30"/>
      <c r="V1100" s="8">
        <f t="shared" si="994"/>
        <v>0</v>
      </c>
      <c r="W1100" s="8">
        <f t="shared" si="995"/>
        <v>0</v>
      </c>
      <c r="X1100" s="8">
        <f t="shared" si="996"/>
        <v>0</v>
      </c>
      <c r="Y1100" s="33">
        <f t="shared" si="997"/>
        <v>0</v>
      </c>
      <c r="Z1100" s="28"/>
      <c r="AA1100" s="28"/>
      <c r="AB1100" s="28">
        <v>0</v>
      </c>
      <c r="AC1100" s="31"/>
      <c r="AD1100" s="50">
        <f t="shared" si="998"/>
        <v>1</v>
      </c>
      <c r="AE1100" s="5" t="s">
        <v>2205</v>
      </c>
      <c r="AF1100" s="51">
        <v>14</v>
      </c>
      <c r="AG1100" s="51">
        <f t="shared" si="1026"/>
        <v>8.4</v>
      </c>
      <c r="AH1100" s="51">
        <f t="shared" si="992"/>
        <v>42</v>
      </c>
      <c r="AI1100" s="52"/>
      <c r="AJ1100" s="52"/>
      <c r="AK1100" s="53">
        <f t="shared" si="1027"/>
        <v>0</v>
      </c>
      <c r="AL1100" s="54">
        <f t="shared" si="1028"/>
        <v>0.11904761904761904</v>
      </c>
      <c r="AM1100" s="54">
        <f t="shared" si="1029"/>
        <v>2.3809523809523808E-2</v>
      </c>
      <c r="AN1100" s="55">
        <f t="shared" si="1030"/>
        <v>0</v>
      </c>
      <c r="AO1100" s="55">
        <f t="shared" si="1031"/>
        <v>0</v>
      </c>
      <c r="AP1100" s="53">
        <v>7.1</v>
      </c>
      <c r="AQ1100" s="53">
        <f t="shared" si="999"/>
        <v>4.26</v>
      </c>
      <c r="AR1100" s="53">
        <f t="shared" si="1000"/>
        <v>21.299999999999997</v>
      </c>
      <c r="AS1100" s="56">
        <f t="shared" si="1001"/>
        <v>4.6948356807511742E-2</v>
      </c>
      <c r="AT1100" s="56">
        <f t="shared" si="1032"/>
        <v>0.23474178403755869</v>
      </c>
      <c r="AU1100" s="56">
        <f t="shared" si="1002"/>
        <v>0.176056338028169</v>
      </c>
      <c r="AV1100" s="56">
        <f t="shared" si="1033"/>
        <v>5.8685446009389672E-2</v>
      </c>
      <c r="AW1100" s="57"/>
      <c r="AX1100" s="57"/>
      <c r="AY1100" s="57"/>
      <c r="AZ1100" s="58">
        <f t="shared" si="1034"/>
        <v>0</v>
      </c>
      <c r="BA1100" s="59">
        <f t="shared" si="1035"/>
        <v>0</v>
      </c>
      <c r="BB1100" s="59">
        <f t="shared" si="1036"/>
        <v>0</v>
      </c>
      <c r="BC1100" s="59">
        <f t="shared" si="1037"/>
        <v>0</v>
      </c>
      <c r="BD1100" s="60">
        <f t="shared" si="1038"/>
        <v>0</v>
      </c>
      <c r="BE1100" s="59">
        <f t="shared" si="1039"/>
        <v>0</v>
      </c>
      <c r="BQ1100" s="61">
        <v>3000</v>
      </c>
      <c r="BR1100" s="61">
        <v>1200</v>
      </c>
      <c r="BS1100" s="28">
        <f t="shared" si="1003"/>
        <v>2980</v>
      </c>
      <c r="BT1100" s="28">
        <f t="shared" si="1004"/>
        <v>1180</v>
      </c>
      <c r="BU1100" s="28" t="s">
        <v>2541</v>
      </c>
      <c r="BV1100" s="28">
        <f t="shared" si="1005"/>
        <v>5</v>
      </c>
      <c r="BW1100" s="28">
        <f t="shared" si="1006"/>
        <v>5</v>
      </c>
      <c r="BX1100" s="13">
        <f t="shared" si="1007"/>
        <v>596</v>
      </c>
      <c r="BY1100" s="13">
        <f t="shared" si="1008"/>
        <v>596</v>
      </c>
      <c r="BZ1100" s="13">
        <f t="shared" si="1009"/>
        <v>236</v>
      </c>
      <c r="CA1100" s="13">
        <f t="shared" si="1010"/>
        <v>236</v>
      </c>
      <c r="CB1100" s="13">
        <f t="shared" si="1011"/>
        <v>140656</v>
      </c>
      <c r="CC1100" s="62" t="str">
        <f t="shared" si="1012"/>
        <v/>
      </c>
      <c r="CD1100" s="13">
        <f t="shared" si="1013"/>
        <v>596</v>
      </c>
      <c r="CE1100" s="13">
        <f t="shared" si="1014"/>
        <v>596</v>
      </c>
      <c r="CF1100" s="13">
        <f t="shared" si="1015"/>
        <v>236</v>
      </c>
      <c r="CG1100" s="13">
        <f t="shared" si="1016"/>
        <v>236</v>
      </c>
      <c r="CH1100" s="28">
        <f t="shared" si="1017"/>
        <v>140656</v>
      </c>
      <c r="CI1100" s="62" t="str">
        <f t="shared" si="1018"/>
        <v/>
      </c>
      <c r="CJ1100" s="59">
        <f t="shared" si="1019"/>
        <v>0</v>
      </c>
      <c r="CL1100" s="63">
        <v>6000</v>
      </c>
      <c r="CM1100" s="63">
        <f t="shared" si="1020"/>
        <v>0</v>
      </c>
      <c r="CN1100" s="63">
        <f t="shared" si="1021"/>
        <v>5</v>
      </c>
      <c r="CO1100" s="63">
        <f t="shared" si="1022"/>
        <v>1200</v>
      </c>
      <c r="CP1100" s="13">
        <f t="shared" si="1023"/>
        <v>1200</v>
      </c>
      <c r="CQ1100" s="70">
        <f t="shared" si="1024"/>
        <v>8.3333333333333339E-4</v>
      </c>
      <c r="CR1100" s="69">
        <f t="shared" si="985"/>
        <v>8.3333333333333339E-4</v>
      </c>
    </row>
    <row r="1101" spans="1:96" hidden="1" x14ac:dyDescent="0.25">
      <c r="A1101" s="10">
        <v>3</v>
      </c>
      <c r="B1101" s="8" t="s">
        <v>2217</v>
      </c>
      <c r="C1101" s="10" t="s">
        <v>2218</v>
      </c>
      <c r="D1101" s="10" t="s">
        <v>2270</v>
      </c>
      <c r="E1101" s="10" t="s">
        <v>52</v>
      </c>
      <c r="F1101" s="12">
        <f t="shared" si="993"/>
        <v>1</v>
      </c>
      <c r="G1101" s="10">
        <v>1</v>
      </c>
      <c r="H1101" s="10">
        <f>G1101*$H$1100</f>
        <v>1</v>
      </c>
      <c r="I1101" s="10">
        <v>1</v>
      </c>
      <c r="J1101" s="8" t="s">
        <v>2215</v>
      </c>
      <c r="K1101" s="8"/>
      <c r="L1101" s="10" t="s">
        <v>2195</v>
      </c>
      <c r="M1101" s="8" t="s">
        <v>35</v>
      </c>
      <c r="N1101" s="10" t="s">
        <v>2219</v>
      </c>
      <c r="O1101" s="28"/>
      <c r="P1101" s="28"/>
      <c r="Q1101" s="28" t="s">
        <v>124</v>
      </c>
      <c r="R1101" s="30">
        <v>45.612000000000002</v>
      </c>
      <c r="S1101" s="30">
        <v>41.524000000000001</v>
      </c>
      <c r="T1101" s="30"/>
      <c r="U1101" s="30">
        <v>9.8425196850393706E-2</v>
      </c>
      <c r="V1101" s="8">
        <f t="shared" si="994"/>
        <v>1158.5447999999999</v>
      </c>
      <c r="W1101" s="8">
        <f t="shared" si="995"/>
        <v>1054.7095999999999</v>
      </c>
      <c r="X1101" s="8">
        <f t="shared" si="996"/>
        <v>0</v>
      </c>
      <c r="Y1101" s="33">
        <f t="shared" si="997"/>
        <v>2.5</v>
      </c>
      <c r="Z1101" s="28" t="s">
        <v>56</v>
      </c>
      <c r="AA1101" s="28" t="s">
        <v>57</v>
      </c>
      <c r="AB1101" s="61" t="s">
        <v>124</v>
      </c>
      <c r="AC1101" s="31" t="s">
        <v>125</v>
      </c>
      <c r="AD1101" s="50">
        <f t="shared" si="998"/>
        <v>1</v>
      </c>
      <c r="AE1101" s="5" t="s">
        <v>2205</v>
      </c>
      <c r="AF1101" s="51">
        <v>14</v>
      </c>
      <c r="AG1101" s="51">
        <f t="shared" si="1026"/>
        <v>8.4</v>
      </c>
      <c r="AH1101" s="51">
        <f t="shared" si="992"/>
        <v>42</v>
      </c>
      <c r="AI1101" s="52"/>
      <c r="AJ1101" s="52"/>
      <c r="AK1101" s="53">
        <f t="shared" si="1027"/>
        <v>2.4438566451801598</v>
      </c>
      <c r="AL1101" s="54">
        <f t="shared" si="1028"/>
        <v>0.11904761904761904</v>
      </c>
      <c r="AM1101" s="54">
        <f t="shared" si="1029"/>
        <v>2.3809523809523808E-2</v>
      </c>
      <c r="AN1101" s="55">
        <f t="shared" si="1030"/>
        <v>0</v>
      </c>
      <c r="AO1101" s="55">
        <f t="shared" si="1031"/>
        <v>0</v>
      </c>
      <c r="AP1101" s="53">
        <v>7.1</v>
      </c>
      <c r="AQ1101" s="53">
        <f t="shared" si="999"/>
        <v>4.26</v>
      </c>
      <c r="AR1101" s="53">
        <f t="shared" si="1000"/>
        <v>21.299999999999997</v>
      </c>
      <c r="AS1101" s="56">
        <f t="shared" si="1001"/>
        <v>4.6948356807511742E-2</v>
      </c>
      <c r="AT1101" s="56">
        <f t="shared" si="1032"/>
        <v>0.23474178403755869</v>
      </c>
      <c r="AU1101" s="56">
        <f t="shared" si="1002"/>
        <v>0.176056338028169</v>
      </c>
      <c r="AV1101" s="56">
        <f t="shared" si="1033"/>
        <v>5.8685446009389672E-2</v>
      </c>
      <c r="AW1101" s="57"/>
      <c r="AX1101" s="57"/>
      <c r="AY1101" s="57"/>
      <c r="AZ1101" s="58">
        <f t="shared" si="1034"/>
        <v>2.4438566451801598</v>
      </c>
      <c r="BA1101" s="59">
        <f t="shared" si="1035"/>
        <v>0</v>
      </c>
      <c r="BB1101" s="59">
        <f t="shared" si="1036"/>
        <v>0</v>
      </c>
      <c r="BC1101" s="59">
        <f t="shared" si="1037"/>
        <v>0</v>
      </c>
      <c r="BD1101" s="60">
        <f t="shared" si="1038"/>
        <v>0.5</v>
      </c>
      <c r="BE1101" s="59">
        <f t="shared" si="1039"/>
        <v>0.5</v>
      </c>
      <c r="BQ1101" s="61">
        <v>3000</v>
      </c>
      <c r="BR1101" s="61">
        <v>1200</v>
      </c>
      <c r="BS1101" s="28">
        <f t="shared" si="1003"/>
        <v>2980</v>
      </c>
      <c r="BT1101" s="28">
        <f t="shared" si="1004"/>
        <v>1180</v>
      </c>
      <c r="BU1101" s="28" t="s">
        <v>2541</v>
      </c>
      <c r="BV1101" s="28">
        <f t="shared" si="1005"/>
        <v>1163.5447999999999</v>
      </c>
      <c r="BW1101" s="28">
        <f t="shared" si="1006"/>
        <v>1059.7095999999999</v>
      </c>
      <c r="BX1101" s="13">
        <f t="shared" si="1007"/>
        <v>2.5611390296273941</v>
      </c>
      <c r="BY1101" s="13">
        <f t="shared" si="1008"/>
        <v>2</v>
      </c>
      <c r="BZ1101" s="13">
        <f t="shared" si="1009"/>
        <v>1.1135126076049515</v>
      </c>
      <c r="CA1101" s="13">
        <f t="shared" si="1010"/>
        <v>1</v>
      </c>
      <c r="CB1101" s="13">
        <f t="shared" si="1011"/>
        <v>2</v>
      </c>
      <c r="CC1101" s="62">
        <f t="shared" si="1012"/>
        <v>0.5</v>
      </c>
      <c r="CD1101" s="13">
        <f t="shared" si="1013"/>
        <v>2.8120911615786062</v>
      </c>
      <c r="CE1101" s="13">
        <f t="shared" si="1014"/>
        <v>2</v>
      </c>
      <c r="CF1101" s="13">
        <f t="shared" si="1015"/>
        <v>1.0141423003222567</v>
      </c>
      <c r="CG1101" s="13">
        <f t="shared" si="1016"/>
        <v>1</v>
      </c>
      <c r="CH1101" s="28">
        <f t="shared" si="1017"/>
        <v>2</v>
      </c>
      <c r="CI1101" s="62">
        <f t="shared" si="1018"/>
        <v>0.5</v>
      </c>
      <c r="CJ1101" s="59">
        <f t="shared" si="1019"/>
        <v>0.5</v>
      </c>
      <c r="CL1101" s="63">
        <v>6000</v>
      </c>
      <c r="CM1101" s="63">
        <f t="shared" si="1020"/>
        <v>1158.5447999999999</v>
      </c>
      <c r="CN1101" s="63">
        <f t="shared" si="1021"/>
        <v>1163.5447999999999</v>
      </c>
      <c r="CO1101" s="63">
        <f t="shared" si="1022"/>
        <v>5.1566557643504574</v>
      </c>
      <c r="CP1101" s="13">
        <f t="shared" si="1023"/>
        <v>5</v>
      </c>
      <c r="CQ1101" s="70">
        <f t="shared" si="1024"/>
        <v>0.2</v>
      </c>
      <c r="CR1101" s="69">
        <f t="shared" si="985"/>
        <v>0.2</v>
      </c>
    </row>
    <row r="1102" spans="1:96" hidden="1" x14ac:dyDescent="0.25">
      <c r="A1102" s="10">
        <v>3</v>
      </c>
      <c r="B1102" s="8" t="s">
        <v>2217</v>
      </c>
      <c r="C1102" s="10" t="s">
        <v>2220</v>
      </c>
      <c r="D1102" s="10" t="s">
        <v>2270</v>
      </c>
      <c r="E1102" s="10" t="s">
        <v>52</v>
      </c>
      <c r="F1102" s="12">
        <f t="shared" si="993"/>
        <v>1</v>
      </c>
      <c r="G1102" s="10">
        <v>1</v>
      </c>
      <c r="H1102" s="10">
        <f>G1102*$H$1100</f>
        <v>1</v>
      </c>
      <c r="I1102" s="10">
        <v>2</v>
      </c>
      <c r="J1102" s="8" t="s">
        <v>2221</v>
      </c>
      <c r="K1102" s="8"/>
      <c r="L1102" s="10" t="s">
        <v>2195</v>
      </c>
      <c r="M1102" s="8" t="s">
        <v>35</v>
      </c>
      <c r="N1102" s="10" t="s">
        <v>2222</v>
      </c>
      <c r="O1102" s="28"/>
      <c r="P1102" s="28"/>
      <c r="Q1102" s="28" t="s">
        <v>2049</v>
      </c>
      <c r="R1102" s="30">
        <v>37.606000000000002</v>
      </c>
      <c r="S1102" s="30">
        <v>33.518000000000001</v>
      </c>
      <c r="T1102" s="30"/>
      <c r="U1102" s="30">
        <v>4.4999999999999998E-2</v>
      </c>
      <c r="V1102" s="8">
        <f t="shared" si="994"/>
        <v>955.19240000000002</v>
      </c>
      <c r="W1102" s="8">
        <f t="shared" si="995"/>
        <v>851.35719999999992</v>
      </c>
      <c r="X1102" s="8">
        <f t="shared" si="996"/>
        <v>0</v>
      </c>
      <c r="Y1102" s="33">
        <f t="shared" si="997"/>
        <v>1.1429999999999998</v>
      </c>
      <c r="Z1102" s="28" t="s">
        <v>2037</v>
      </c>
      <c r="AA1102" s="28" t="s">
        <v>2223</v>
      </c>
      <c r="AB1102" s="61" t="s">
        <v>2049</v>
      </c>
      <c r="AC1102" s="31" t="s">
        <v>2050</v>
      </c>
      <c r="AD1102" s="50">
        <f t="shared" si="998"/>
        <v>1</v>
      </c>
      <c r="AE1102" s="5" t="s">
        <v>2205</v>
      </c>
      <c r="AF1102" s="51">
        <v>14</v>
      </c>
      <c r="AG1102" s="51">
        <f t="shared" si="1026"/>
        <v>8.4</v>
      </c>
      <c r="AH1102" s="51">
        <f t="shared" si="992"/>
        <v>42</v>
      </c>
      <c r="AI1102" s="52"/>
      <c r="AJ1102" s="52"/>
      <c r="AK1102" s="53">
        <f t="shared" si="1027"/>
        <v>1.6264198542505599</v>
      </c>
      <c r="AL1102" s="54">
        <f t="shared" si="1028"/>
        <v>0.11904761904761904</v>
      </c>
      <c r="AM1102" s="54">
        <f t="shared" si="1029"/>
        <v>2.3809523809523808E-2</v>
      </c>
      <c r="AN1102" s="55">
        <f t="shared" si="1030"/>
        <v>0</v>
      </c>
      <c r="AO1102" s="55">
        <f t="shared" si="1031"/>
        <v>0</v>
      </c>
      <c r="AP1102" s="53">
        <v>7.1</v>
      </c>
      <c r="AQ1102" s="53">
        <f t="shared" si="999"/>
        <v>4.26</v>
      </c>
      <c r="AR1102" s="53">
        <f t="shared" si="1000"/>
        <v>21.299999999999997</v>
      </c>
      <c r="AS1102" s="56">
        <f t="shared" si="1001"/>
        <v>4.6948356807511742E-2</v>
      </c>
      <c r="AT1102" s="56">
        <f t="shared" si="1032"/>
        <v>0.23474178403755869</v>
      </c>
      <c r="AU1102" s="56">
        <f t="shared" si="1002"/>
        <v>0.176056338028169</v>
      </c>
      <c r="AV1102" s="56">
        <f t="shared" si="1033"/>
        <v>5.8685446009389672E-2</v>
      </c>
      <c r="AW1102" s="57"/>
      <c r="AX1102" s="57"/>
      <c r="AY1102" s="57"/>
      <c r="AZ1102" s="58">
        <f t="shared" si="1034"/>
        <v>1.6264198542505599</v>
      </c>
      <c r="BA1102" s="59">
        <f t="shared" si="1035"/>
        <v>0</v>
      </c>
      <c r="BB1102" s="59">
        <f t="shared" si="1036"/>
        <v>0</v>
      </c>
      <c r="BC1102" s="59">
        <f t="shared" si="1037"/>
        <v>0</v>
      </c>
      <c r="BD1102" s="60">
        <f t="shared" si="1038"/>
        <v>0.33333333333333331</v>
      </c>
      <c r="BE1102" s="59">
        <f t="shared" si="1039"/>
        <v>0.33333333333333331</v>
      </c>
      <c r="BQ1102" s="61">
        <v>3000</v>
      </c>
      <c r="BR1102" s="61">
        <v>1200</v>
      </c>
      <c r="BS1102" s="28">
        <f t="shared" si="1003"/>
        <v>2980</v>
      </c>
      <c r="BT1102" s="28">
        <f t="shared" si="1004"/>
        <v>1180</v>
      </c>
      <c r="BU1102" s="28" t="s">
        <v>2541</v>
      </c>
      <c r="BV1102" s="28">
        <f t="shared" si="1005"/>
        <v>960.19240000000002</v>
      </c>
      <c r="BW1102" s="28">
        <f t="shared" si="1006"/>
        <v>856.35719999999992</v>
      </c>
      <c r="BX1102" s="13">
        <f t="shared" si="1007"/>
        <v>3.1035446645901383</v>
      </c>
      <c r="BY1102" s="13">
        <f t="shared" si="1008"/>
        <v>3</v>
      </c>
      <c r="BZ1102" s="13">
        <f t="shared" si="1009"/>
        <v>1.3779296770086129</v>
      </c>
      <c r="CA1102" s="13">
        <f t="shared" si="1010"/>
        <v>1</v>
      </c>
      <c r="CB1102" s="13">
        <f t="shared" si="1011"/>
        <v>3</v>
      </c>
      <c r="CC1102" s="62">
        <f t="shared" si="1012"/>
        <v>0.33333333333333331</v>
      </c>
      <c r="CD1102" s="13">
        <f t="shared" si="1013"/>
        <v>3.4798563029539546</v>
      </c>
      <c r="CE1102" s="13">
        <f t="shared" si="1014"/>
        <v>3</v>
      </c>
      <c r="CF1102" s="13">
        <f t="shared" si="1015"/>
        <v>1.2289203705424037</v>
      </c>
      <c r="CG1102" s="13">
        <f t="shared" si="1016"/>
        <v>1</v>
      </c>
      <c r="CH1102" s="28">
        <f t="shared" si="1017"/>
        <v>3</v>
      </c>
      <c r="CI1102" s="62">
        <f t="shared" si="1018"/>
        <v>0.33333333333333331</v>
      </c>
      <c r="CJ1102" s="59">
        <f t="shared" si="1019"/>
        <v>0.33333333333333331</v>
      </c>
      <c r="CL1102" s="63">
        <v>6000</v>
      </c>
      <c r="CM1102" s="63">
        <f t="shared" si="1020"/>
        <v>955.19240000000002</v>
      </c>
      <c r="CN1102" s="63">
        <f t="shared" si="1021"/>
        <v>960.19240000000002</v>
      </c>
      <c r="CO1102" s="63">
        <f t="shared" si="1022"/>
        <v>6.2487476468257821</v>
      </c>
      <c r="CP1102" s="13">
        <f t="shared" si="1023"/>
        <v>6</v>
      </c>
      <c r="CQ1102" s="70">
        <f t="shared" si="1024"/>
        <v>0.16666666666666666</v>
      </c>
      <c r="CR1102" s="69">
        <f t="shared" si="985"/>
        <v>0.16666666666666666</v>
      </c>
    </row>
    <row r="1103" spans="1:96" hidden="1" x14ac:dyDescent="0.25">
      <c r="A1103" s="36">
        <v>2</v>
      </c>
      <c r="B1103" s="37" t="s">
        <v>2189</v>
      </c>
      <c r="C1103" s="36" t="s">
        <v>2224</v>
      </c>
      <c r="D1103" s="36" t="s">
        <v>2270</v>
      </c>
      <c r="E1103" s="36" t="s">
        <v>52</v>
      </c>
      <c r="F1103" s="38">
        <f t="shared" si="993"/>
        <v>1</v>
      </c>
      <c r="G1103" s="36">
        <v>1</v>
      </c>
      <c r="H1103" s="36">
        <f t="shared" ref="H1103:H1109" si="1041">G1103*$H$1090</f>
        <v>1</v>
      </c>
      <c r="I1103" s="36">
        <v>3</v>
      </c>
      <c r="J1103" s="37" t="s">
        <v>2053</v>
      </c>
      <c r="K1103" s="37"/>
      <c r="L1103" s="36" t="s">
        <v>2195</v>
      </c>
      <c r="M1103" s="37" t="s">
        <v>35</v>
      </c>
      <c r="N1103" s="36" t="s">
        <v>2225</v>
      </c>
      <c r="O1103" s="28"/>
      <c r="P1103" s="28"/>
      <c r="Q1103" s="28" t="s">
        <v>2226</v>
      </c>
      <c r="R1103" s="30">
        <v>21.72</v>
      </c>
      <c r="S1103" s="30">
        <v>7.8</v>
      </c>
      <c r="T1103" s="30"/>
      <c r="U1103" s="30">
        <v>2</v>
      </c>
      <c r="V1103" s="8">
        <f t="shared" si="994"/>
        <v>551.68799999999999</v>
      </c>
      <c r="W1103" s="8">
        <f t="shared" si="995"/>
        <v>198.11999999999998</v>
      </c>
      <c r="X1103" s="8">
        <f t="shared" si="996"/>
        <v>0</v>
      </c>
      <c r="Y1103" s="33">
        <f t="shared" si="997"/>
        <v>50.8</v>
      </c>
      <c r="Z1103" s="28" t="s">
        <v>2227</v>
      </c>
      <c r="AA1103" s="28" t="s">
        <v>2477</v>
      </c>
      <c r="AB1103" s="61" t="s">
        <v>2226</v>
      </c>
      <c r="AC1103" s="31" t="s">
        <v>2228</v>
      </c>
      <c r="AD1103" s="50">
        <f t="shared" si="998"/>
        <v>1</v>
      </c>
      <c r="AE1103" s="47" t="s">
        <v>2229</v>
      </c>
      <c r="AF1103" s="51">
        <v>14</v>
      </c>
      <c r="AG1103" s="51">
        <f t="shared" si="1026"/>
        <v>8.4</v>
      </c>
      <c r="AH1103" s="51">
        <f t="shared" si="992"/>
        <v>42</v>
      </c>
      <c r="AI1103" s="52"/>
      <c r="AJ1103" s="52"/>
      <c r="AK1103" s="53">
        <f t="shared" si="1027"/>
        <v>0.21860085311999997</v>
      </c>
      <c r="AL1103" s="54">
        <f t="shared" si="1028"/>
        <v>0.11904761904761904</v>
      </c>
      <c r="AM1103" s="54">
        <f t="shared" si="1029"/>
        <v>2.3809523809523808E-2</v>
      </c>
      <c r="AN1103" s="55">
        <f t="shared" si="1030"/>
        <v>0</v>
      </c>
      <c r="AO1103" s="55">
        <f t="shared" si="1031"/>
        <v>0</v>
      </c>
      <c r="AP1103" s="53">
        <v>7.1</v>
      </c>
      <c r="AQ1103" s="53">
        <f t="shared" si="999"/>
        <v>4.26</v>
      </c>
      <c r="AR1103" s="53">
        <f t="shared" si="1000"/>
        <v>21.299999999999997</v>
      </c>
      <c r="AS1103" s="56">
        <f t="shared" si="1001"/>
        <v>4.6948356807511742E-2</v>
      </c>
      <c r="AT1103" s="56">
        <f t="shared" si="1032"/>
        <v>0.23474178403755869</v>
      </c>
      <c r="AU1103" s="56">
        <f t="shared" si="1002"/>
        <v>0.176056338028169</v>
      </c>
      <c r="AV1103" s="56">
        <f t="shared" si="1033"/>
        <v>5.8685446009389672E-2</v>
      </c>
      <c r="AW1103" s="57"/>
      <c r="AX1103" s="57"/>
      <c r="AY1103" s="57"/>
      <c r="AZ1103" s="58">
        <f t="shared" si="1034"/>
        <v>0.21860085311999997</v>
      </c>
      <c r="BA1103" s="59">
        <f t="shared" si="1035"/>
        <v>0</v>
      </c>
      <c r="BB1103" s="59">
        <f t="shared" si="1036"/>
        <v>0</v>
      </c>
      <c r="BC1103" s="59">
        <f t="shared" si="1037"/>
        <v>0</v>
      </c>
      <c r="BD1103" s="60">
        <f t="shared" si="1038"/>
        <v>3.5714285714285712E-2</v>
      </c>
      <c r="BE1103" s="59">
        <f t="shared" si="1039"/>
        <v>3.5714285714285712E-2</v>
      </c>
      <c r="BQ1103" s="61">
        <v>3000</v>
      </c>
      <c r="BR1103" s="61">
        <v>1200</v>
      </c>
      <c r="BS1103" s="28">
        <f t="shared" si="1003"/>
        <v>2980</v>
      </c>
      <c r="BT1103" s="28">
        <f t="shared" si="1004"/>
        <v>1180</v>
      </c>
      <c r="BU1103" s="28" t="s">
        <v>2541</v>
      </c>
      <c r="BV1103" s="28">
        <f t="shared" si="1005"/>
        <v>556.68799999999999</v>
      </c>
      <c r="BW1103" s="28">
        <f t="shared" si="1006"/>
        <v>203.11999999999998</v>
      </c>
      <c r="BX1103" s="13">
        <f t="shared" si="1007"/>
        <v>5.3530882648808671</v>
      </c>
      <c r="BY1103" s="13">
        <f t="shared" si="1008"/>
        <v>5</v>
      </c>
      <c r="BZ1103" s="13">
        <f t="shared" si="1009"/>
        <v>5.809373769200473</v>
      </c>
      <c r="CA1103" s="13">
        <f t="shared" si="1010"/>
        <v>5</v>
      </c>
      <c r="CB1103" s="13">
        <f t="shared" si="1011"/>
        <v>25</v>
      </c>
      <c r="CC1103" s="62">
        <f t="shared" si="1012"/>
        <v>0.04</v>
      </c>
      <c r="CD1103" s="13">
        <f t="shared" si="1013"/>
        <v>14.671130366285942</v>
      </c>
      <c r="CE1103" s="13">
        <f t="shared" si="1014"/>
        <v>14</v>
      </c>
      <c r="CF1103" s="13">
        <f t="shared" si="1015"/>
        <v>2.1196792458253095</v>
      </c>
      <c r="CG1103" s="13">
        <f t="shared" si="1016"/>
        <v>2</v>
      </c>
      <c r="CH1103" s="28">
        <f t="shared" si="1017"/>
        <v>28</v>
      </c>
      <c r="CI1103" s="62">
        <f t="shared" si="1018"/>
        <v>3.5714285714285712E-2</v>
      </c>
      <c r="CJ1103" s="59">
        <f t="shared" si="1019"/>
        <v>3.5714285714285712E-2</v>
      </c>
      <c r="CL1103" s="63">
        <v>6000</v>
      </c>
      <c r="CM1103" s="63">
        <f t="shared" si="1020"/>
        <v>551.68799999999999</v>
      </c>
      <c r="CN1103" s="63">
        <f t="shared" si="1021"/>
        <v>556.68799999999999</v>
      </c>
      <c r="CO1103" s="63">
        <f t="shared" si="1022"/>
        <v>10.778030063518525</v>
      </c>
      <c r="CP1103" s="13">
        <f t="shared" si="1023"/>
        <v>10</v>
      </c>
      <c r="CQ1103" s="70">
        <f t="shared" si="1024"/>
        <v>0.1</v>
      </c>
      <c r="CR1103" s="69">
        <f t="shared" si="985"/>
        <v>0.1</v>
      </c>
    </row>
    <row r="1104" spans="1:96" hidden="1" x14ac:dyDescent="0.25">
      <c r="A1104" s="36">
        <v>2</v>
      </c>
      <c r="B1104" s="37" t="s">
        <v>2189</v>
      </c>
      <c r="C1104" s="36" t="s">
        <v>2230</v>
      </c>
      <c r="D1104" s="36" t="s">
        <v>2270</v>
      </c>
      <c r="E1104" s="36" t="s">
        <v>52</v>
      </c>
      <c r="F1104" s="38">
        <f t="shared" si="993"/>
        <v>1</v>
      </c>
      <c r="G1104" s="36">
        <v>1</v>
      </c>
      <c r="H1104" s="36">
        <f t="shared" si="1041"/>
        <v>1</v>
      </c>
      <c r="I1104" s="36">
        <v>4</v>
      </c>
      <c r="J1104" s="37" t="s">
        <v>2053</v>
      </c>
      <c r="K1104" s="37"/>
      <c r="L1104" s="36" t="s">
        <v>2195</v>
      </c>
      <c r="M1104" s="37" t="s">
        <v>35</v>
      </c>
      <c r="N1104" s="36" t="s">
        <v>2231</v>
      </c>
      <c r="O1104" s="28"/>
      <c r="P1104" s="28"/>
      <c r="Q1104" s="28" t="s">
        <v>2226</v>
      </c>
      <c r="R1104" s="30">
        <v>21.72</v>
      </c>
      <c r="S1104" s="30">
        <v>17.239999999999998</v>
      </c>
      <c r="T1104" s="30"/>
      <c r="U1104" s="30">
        <v>2</v>
      </c>
      <c r="V1104" s="8">
        <f t="shared" si="994"/>
        <v>551.68799999999999</v>
      </c>
      <c r="W1104" s="8">
        <f t="shared" si="995"/>
        <v>437.89599999999996</v>
      </c>
      <c r="X1104" s="8">
        <f t="shared" si="996"/>
        <v>0</v>
      </c>
      <c r="Y1104" s="33">
        <f t="shared" si="997"/>
        <v>50.8</v>
      </c>
      <c r="Z1104" s="28" t="s">
        <v>2227</v>
      </c>
      <c r="AA1104" s="28" t="s">
        <v>2477</v>
      </c>
      <c r="AB1104" s="61" t="s">
        <v>2226</v>
      </c>
      <c r="AC1104" s="31" t="s">
        <v>2228</v>
      </c>
      <c r="AD1104" s="50">
        <f t="shared" si="998"/>
        <v>1</v>
      </c>
      <c r="AE1104" s="47" t="s">
        <v>2229</v>
      </c>
      <c r="AF1104" s="51">
        <v>14</v>
      </c>
      <c r="AG1104" s="51">
        <f t="shared" si="1026"/>
        <v>8.4</v>
      </c>
      <c r="AH1104" s="51">
        <f t="shared" si="992"/>
        <v>42</v>
      </c>
      <c r="AI1104" s="52"/>
      <c r="AJ1104" s="52"/>
      <c r="AK1104" s="53">
        <f t="shared" si="1027"/>
        <v>0.48316393689599996</v>
      </c>
      <c r="AL1104" s="54">
        <f t="shared" si="1028"/>
        <v>0.11904761904761904</v>
      </c>
      <c r="AM1104" s="54">
        <f t="shared" si="1029"/>
        <v>2.3809523809523808E-2</v>
      </c>
      <c r="AN1104" s="55">
        <f t="shared" si="1030"/>
        <v>0</v>
      </c>
      <c r="AO1104" s="55">
        <f t="shared" si="1031"/>
        <v>0</v>
      </c>
      <c r="AP1104" s="53">
        <v>7.1</v>
      </c>
      <c r="AQ1104" s="53">
        <f t="shared" si="999"/>
        <v>4.26</v>
      </c>
      <c r="AR1104" s="53">
        <f t="shared" si="1000"/>
        <v>21.299999999999997</v>
      </c>
      <c r="AS1104" s="56">
        <f t="shared" si="1001"/>
        <v>4.6948356807511742E-2</v>
      </c>
      <c r="AT1104" s="56">
        <f t="shared" si="1032"/>
        <v>0.23474178403755869</v>
      </c>
      <c r="AU1104" s="56">
        <f t="shared" si="1002"/>
        <v>0.176056338028169</v>
      </c>
      <c r="AV1104" s="56">
        <f t="shared" si="1033"/>
        <v>5.8685446009389672E-2</v>
      </c>
      <c r="AW1104" s="57"/>
      <c r="AX1104" s="57"/>
      <c r="AY1104" s="57"/>
      <c r="AZ1104" s="58">
        <f t="shared" si="1034"/>
        <v>0.48316393689599996</v>
      </c>
      <c r="BA1104" s="59">
        <f t="shared" si="1035"/>
        <v>0</v>
      </c>
      <c r="BB1104" s="59">
        <f t="shared" si="1036"/>
        <v>0</v>
      </c>
      <c r="BC1104" s="59">
        <f t="shared" si="1037"/>
        <v>0</v>
      </c>
      <c r="BD1104" s="60">
        <f t="shared" si="1038"/>
        <v>8.3333333333333329E-2</v>
      </c>
      <c r="BE1104" s="59">
        <f t="shared" si="1039"/>
        <v>8.3333333333333329E-2</v>
      </c>
      <c r="BQ1104" s="61">
        <v>3000</v>
      </c>
      <c r="BR1104" s="61">
        <v>1200</v>
      </c>
      <c r="BS1104" s="28">
        <f t="shared" si="1003"/>
        <v>2980</v>
      </c>
      <c r="BT1104" s="28">
        <f t="shared" si="1004"/>
        <v>1180</v>
      </c>
      <c r="BU1104" s="28" t="s">
        <v>2541</v>
      </c>
      <c r="BV1104" s="28">
        <f t="shared" si="1005"/>
        <v>556.68799999999999</v>
      </c>
      <c r="BW1104" s="28">
        <f t="shared" si="1006"/>
        <v>442.89599999999996</v>
      </c>
      <c r="BX1104" s="13">
        <f t="shared" si="1007"/>
        <v>5.3530882648808671</v>
      </c>
      <c r="BY1104" s="13">
        <f t="shared" si="1008"/>
        <v>5</v>
      </c>
      <c r="BZ1104" s="13">
        <f t="shared" si="1009"/>
        <v>2.664282359741339</v>
      </c>
      <c r="CA1104" s="13">
        <f t="shared" si="1010"/>
        <v>2</v>
      </c>
      <c r="CB1104" s="13">
        <f t="shared" si="1011"/>
        <v>10</v>
      </c>
      <c r="CC1104" s="62">
        <f t="shared" si="1012"/>
        <v>0.1</v>
      </c>
      <c r="CD1104" s="13">
        <f t="shared" si="1013"/>
        <v>6.7284418915501618</v>
      </c>
      <c r="CE1104" s="13">
        <f t="shared" si="1014"/>
        <v>6</v>
      </c>
      <c r="CF1104" s="13">
        <f t="shared" si="1015"/>
        <v>2.1196792458253095</v>
      </c>
      <c r="CG1104" s="13">
        <f t="shared" si="1016"/>
        <v>2</v>
      </c>
      <c r="CH1104" s="28">
        <f t="shared" si="1017"/>
        <v>12</v>
      </c>
      <c r="CI1104" s="62">
        <f t="shared" si="1018"/>
        <v>8.3333333333333329E-2</v>
      </c>
      <c r="CJ1104" s="59">
        <f t="shared" si="1019"/>
        <v>8.3333333333333329E-2</v>
      </c>
      <c r="CL1104" s="63">
        <v>6000</v>
      </c>
      <c r="CM1104" s="63">
        <f t="shared" si="1020"/>
        <v>551.68799999999999</v>
      </c>
      <c r="CN1104" s="63">
        <f t="shared" si="1021"/>
        <v>556.68799999999999</v>
      </c>
      <c r="CO1104" s="63">
        <f t="shared" si="1022"/>
        <v>10.778030063518525</v>
      </c>
      <c r="CP1104" s="13">
        <f t="shared" si="1023"/>
        <v>10</v>
      </c>
      <c r="CQ1104" s="70">
        <f t="shared" si="1024"/>
        <v>0.1</v>
      </c>
      <c r="CR1104" s="69">
        <f t="shared" si="985"/>
        <v>0.1</v>
      </c>
    </row>
    <row r="1105" spans="1:96" hidden="1" x14ac:dyDescent="0.25">
      <c r="A1105" s="36">
        <v>2</v>
      </c>
      <c r="B1105" s="37" t="s">
        <v>2189</v>
      </c>
      <c r="C1105" s="36" t="s">
        <v>2232</v>
      </c>
      <c r="D1105" s="36" t="s">
        <v>2270</v>
      </c>
      <c r="E1105" s="36" t="s">
        <v>52</v>
      </c>
      <c r="F1105" s="38">
        <f t="shared" si="993"/>
        <v>1</v>
      </c>
      <c r="G1105" s="36">
        <v>1</v>
      </c>
      <c r="H1105" s="36">
        <f t="shared" si="1041"/>
        <v>1</v>
      </c>
      <c r="I1105" s="36">
        <v>5</v>
      </c>
      <c r="J1105" s="37" t="s">
        <v>2053</v>
      </c>
      <c r="K1105" s="37"/>
      <c r="L1105" s="36" t="s">
        <v>2195</v>
      </c>
      <c r="M1105" s="37" t="s">
        <v>35</v>
      </c>
      <c r="N1105" s="36" t="s">
        <v>2233</v>
      </c>
      <c r="O1105" s="28"/>
      <c r="P1105" s="28"/>
      <c r="Q1105" s="28" t="s">
        <v>2226</v>
      </c>
      <c r="R1105" s="30">
        <v>10.039999999999999</v>
      </c>
      <c r="S1105" s="30">
        <v>3.85</v>
      </c>
      <c r="T1105" s="30"/>
      <c r="U1105" s="30">
        <v>2</v>
      </c>
      <c r="V1105" s="8">
        <f t="shared" si="994"/>
        <v>255.01599999999996</v>
      </c>
      <c r="W1105" s="8">
        <f t="shared" si="995"/>
        <v>97.789999999999992</v>
      </c>
      <c r="X1105" s="8">
        <f t="shared" si="996"/>
        <v>0</v>
      </c>
      <c r="Y1105" s="33">
        <f t="shared" si="997"/>
        <v>50.8</v>
      </c>
      <c r="Z1105" s="28" t="s">
        <v>2227</v>
      </c>
      <c r="AA1105" s="28" t="s">
        <v>2477</v>
      </c>
      <c r="AB1105" s="61" t="s">
        <v>2226</v>
      </c>
      <c r="AC1105" s="31" t="s">
        <v>2228</v>
      </c>
      <c r="AD1105" s="50">
        <f t="shared" si="998"/>
        <v>1</v>
      </c>
      <c r="AE1105" s="47" t="s">
        <v>2229</v>
      </c>
      <c r="AF1105" s="51">
        <v>14</v>
      </c>
      <c r="AG1105" s="51">
        <f t="shared" si="1026"/>
        <v>8.4</v>
      </c>
      <c r="AH1105" s="51">
        <f t="shared" si="992"/>
        <v>42</v>
      </c>
      <c r="AI1105" s="52"/>
      <c r="AJ1105" s="52"/>
      <c r="AK1105" s="53">
        <f t="shared" si="1027"/>
        <v>4.9876029279999991E-2</v>
      </c>
      <c r="AL1105" s="54">
        <f t="shared" si="1028"/>
        <v>0.11904761904761904</v>
      </c>
      <c r="AM1105" s="54">
        <f t="shared" si="1029"/>
        <v>2.3809523809523808E-2</v>
      </c>
      <c r="AN1105" s="55">
        <f t="shared" si="1030"/>
        <v>0</v>
      </c>
      <c r="AO1105" s="55">
        <f t="shared" si="1031"/>
        <v>0</v>
      </c>
      <c r="AP1105" s="53">
        <v>7.1</v>
      </c>
      <c r="AQ1105" s="53">
        <f t="shared" si="999"/>
        <v>4.26</v>
      </c>
      <c r="AR1105" s="53">
        <f t="shared" si="1000"/>
        <v>21.299999999999997</v>
      </c>
      <c r="AS1105" s="56">
        <f t="shared" si="1001"/>
        <v>4.6948356807511742E-2</v>
      </c>
      <c r="AT1105" s="56">
        <f t="shared" si="1032"/>
        <v>0.23474178403755869</v>
      </c>
      <c r="AU1105" s="56">
        <f t="shared" si="1002"/>
        <v>0.176056338028169</v>
      </c>
      <c r="AV1105" s="56">
        <f t="shared" si="1033"/>
        <v>5.8685446009389672E-2</v>
      </c>
      <c r="AW1105" s="57"/>
      <c r="AX1105" s="57"/>
      <c r="AY1105" s="57"/>
      <c r="AZ1105" s="58">
        <f t="shared" si="1034"/>
        <v>4.9876029279999991E-2</v>
      </c>
      <c r="BA1105" s="59">
        <f t="shared" si="1035"/>
        <v>0</v>
      </c>
      <c r="BB1105" s="59">
        <f t="shared" si="1036"/>
        <v>0</v>
      </c>
      <c r="BC1105" s="59">
        <f t="shared" si="1037"/>
        <v>0</v>
      </c>
      <c r="BD1105" s="60">
        <f t="shared" si="1038"/>
        <v>8.2644628099173556E-3</v>
      </c>
      <c r="BE1105" s="59">
        <f t="shared" si="1039"/>
        <v>8.2644628099173556E-3</v>
      </c>
      <c r="BQ1105" s="61">
        <v>3000</v>
      </c>
      <c r="BR1105" s="61">
        <v>1200</v>
      </c>
      <c r="BS1105" s="28">
        <f t="shared" si="1003"/>
        <v>2980</v>
      </c>
      <c r="BT1105" s="28">
        <f t="shared" si="1004"/>
        <v>1180</v>
      </c>
      <c r="BU1105" s="28" t="s">
        <v>2541</v>
      </c>
      <c r="BV1105" s="28">
        <f t="shared" si="1005"/>
        <v>260.01599999999996</v>
      </c>
      <c r="BW1105" s="28">
        <f t="shared" si="1006"/>
        <v>102.78999999999999</v>
      </c>
      <c r="BX1105" s="13">
        <f t="shared" si="1007"/>
        <v>11.460833179496648</v>
      </c>
      <c r="BY1105" s="13">
        <f t="shared" si="1008"/>
        <v>11</v>
      </c>
      <c r="BZ1105" s="13">
        <f t="shared" si="1009"/>
        <v>11.479715925673705</v>
      </c>
      <c r="CA1105" s="13">
        <f t="shared" si="1010"/>
        <v>11</v>
      </c>
      <c r="CB1105" s="13">
        <f t="shared" si="1011"/>
        <v>121</v>
      </c>
      <c r="CC1105" s="62">
        <f t="shared" si="1012"/>
        <v>8.2644628099173556E-3</v>
      </c>
      <c r="CD1105" s="13">
        <f t="shared" si="1013"/>
        <v>28.991146998735289</v>
      </c>
      <c r="CE1105" s="13">
        <f t="shared" si="1014"/>
        <v>28</v>
      </c>
      <c r="CF1105" s="13">
        <f t="shared" si="1015"/>
        <v>4.5381822657067268</v>
      </c>
      <c r="CG1105" s="13">
        <f t="shared" si="1016"/>
        <v>4</v>
      </c>
      <c r="CH1105" s="28">
        <f t="shared" si="1017"/>
        <v>112</v>
      </c>
      <c r="CI1105" s="62">
        <f t="shared" si="1018"/>
        <v>8.9285714285714281E-3</v>
      </c>
      <c r="CJ1105" s="59">
        <f t="shared" si="1019"/>
        <v>8.2644628099173556E-3</v>
      </c>
      <c r="CL1105" s="63">
        <v>6000</v>
      </c>
      <c r="CM1105" s="63">
        <f t="shared" si="1020"/>
        <v>255.01599999999996</v>
      </c>
      <c r="CN1105" s="63">
        <f t="shared" si="1021"/>
        <v>260.01599999999996</v>
      </c>
      <c r="CO1105" s="63">
        <f t="shared" si="1022"/>
        <v>23.075503045966407</v>
      </c>
      <c r="CP1105" s="13">
        <f t="shared" si="1023"/>
        <v>23</v>
      </c>
      <c r="CQ1105" s="70">
        <f t="shared" si="1024"/>
        <v>4.3478260869565216E-2</v>
      </c>
      <c r="CR1105" s="69">
        <f t="shared" si="985"/>
        <v>4.3478260869565216E-2</v>
      </c>
    </row>
    <row r="1106" spans="1:96" hidden="1" x14ac:dyDescent="0.25">
      <c r="A1106" s="36">
        <v>2</v>
      </c>
      <c r="B1106" s="37" t="s">
        <v>2189</v>
      </c>
      <c r="C1106" s="36" t="s">
        <v>2234</v>
      </c>
      <c r="D1106" s="36" t="s">
        <v>2270</v>
      </c>
      <c r="E1106" s="36" t="s">
        <v>52</v>
      </c>
      <c r="F1106" s="38">
        <f t="shared" si="993"/>
        <v>1</v>
      </c>
      <c r="G1106" s="36">
        <v>1</v>
      </c>
      <c r="H1106" s="36">
        <f t="shared" si="1041"/>
        <v>1</v>
      </c>
      <c r="I1106" s="36">
        <v>6</v>
      </c>
      <c r="J1106" s="37" t="s">
        <v>2053</v>
      </c>
      <c r="K1106" s="37"/>
      <c r="L1106" s="36" t="s">
        <v>2195</v>
      </c>
      <c r="M1106" s="37" t="s">
        <v>35</v>
      </c>
      <c r="N1106" s="36" t="s">
        <v>2235</v>
      </c>
      <c r="O1106" s="28"/>
      <c r="P1106" s="28"/>
      <c r="Q1106" s="28" t="s">
        <v>2226</v>
      </c>
      <c r="R1106" s="30">
        <v>17.03</v>
      </c>
      <c r="S1106" s="30">
        <v>16.5</v>
      </c>
      <c r="T1106" s="30"/>
      <c r="U1106" s="30">
        <v>2</v>
      </c>
      <c r="V1106" s="8">
        <f t="shared" si="994"/>
        <v>432.56200000000001</v>
      </c>
      <c r="W1106" s="8">
        <f t="shared" si="995"/>
        <v>419.09999999999997</v>
      </c>
      <c r="X1106" s="8">
        <f t="shared" si="996"/>
        <v>0</v>
      </c>
      <c r="Y1106" s="33">
        <f t="shared" si="997"/>
        <v>50.8</v>
      </c>
      <c r="Z1106" s="28" t="s">
        <v>2227</v>
      </c>
      <c r="AA1106" s="28" t="s">
        <v>2477</v>
      </c>
      <c r="AB1106" s="61" t="s">
        <v>2226</v>
      </c>
      <c r="AC1106" s="31" t="s">
        <v>2228</v>
      </c>
      <c r="AD1106" s="50">
        <f t="shared" si="998"/>
        <v>1</v>
      </c>
      <c r="AE1106" s="47" t="s">
        <v>2229</v>
      </c>
      <c r="AF1106" s="51">
        <v>14</v>
      </c>
      <c r="AG1106" s="51">
        <f t="shared" si="1026"/>
        <v>8.4</v>
      </c>
      <c r="AH1106" s="51">
        <f t="shared" si="992"/>
        <v>42</v>
      </c>
      <c r="AI1106" s="52"/>
      <c r="AJ1106" s="52"/>
      <c r="AK1106" s="53">
        <f t="shared" si="1027"/>
        <v>0.36257346839999993</v>
      </c>
      <c r="AL1106" s="54">
        <f t="shared" si="1028"/>
        <v>0.11904761904761904</v>
      </c>
      <c r="AM1106" s="54">
        <f t="shared" si="1029"/>
        <v>2.3809523809523808E-2</v>
      </c>
      <c r="AN1106" s="55">
        <f t="shared" si="1030"/>
        <v>0</v>
      </c>
      <c r="AO1106" s="55">
        <f t="shared" si="1031"/>
        <v>0</v>
      </c>
      <c r="AP1106" s="53">
        <v>7.1</v>
      </c>
      <c r="AQ1106" s="53">
        <f t="shared" si="999"/>
        <v>4.26</v>
      </c>
      <c r="AR1106" s="53">
        <f t="shared" si="1000"/>
        <v>21.299999999999997</v>
      </c>
      <c r="AS1106" s="56">
        <f t="shared" si="1001"/>
        <v>4.6948356807511742E-2</v>
      </c>
      <c r="AT1106" s="56">
        <f t="shared" si="1032"/>
        <v>0.23474178403755869</v>
      </c>
      <c r="AU1106" s="56">
        <f t="shared" si="1002"/>
        <v>0.176056338028169</v>
      </c>
      <c r="AV1106" s="56">
        <f t="shared" si="1033"/>
        <v>5.8685446009389672E-2</v>
      </c>
      <c r="AW1106" s="57"/>
      <c r="AX1106" s="57"/>
      <c r="AY1106" s="57"/>
      <c r="AZ1106" s="58">
        <f t="shared" si="1034"/>
        <v>0.36257346839999993</v>
      </c>
      <c r="BA1106" s="59">
        <f t="shared" si="1035"/>
        <v>0</v>
      </c>
      <c r="BB1106" s="59">
        <f t="shared" si="1036"/>
        <v>0</v>
      </c>
      <c r="BC1106" s="59">
        <f t="shared" si="1037"/>
        <v>0</v>
      </c>
      <c r="BD1106" s="60">
        <f t="shared" si="1038"/>
        <v>7.1428571428571425E-2</v>
      </c>
      <c r="BE1106" s="59">
        <f t="shared" si="1039"/>
        <v>7.1428571428571425E-2</v>
      </c>
      <c r="BQ1106" s="61">
        <v>3000</v>
      </c>
      <c r="BR1106" s="61">
        <v>1200</v>
      </c>
      <c r="BS1106" s="28">
        <f t="shared" si="1003"/>
        <v>2980</v>
      </c>
      <c r="BT1106" s="28">
        <f t="shared" si="1004"/>
        <v>1180</v>
      </c>
      <c r="BU1106" s="28" t="s">
        <v>2541</v>
      </c>
      <c r="BV1106" s="28">
        <f t="shared" si="1005"/>
        <v>437.56200000000001</v>
      </c>
      <c r="BW1106" s="28">
        <f t="shared" si="1006"/>
        <v>424.09999999999997</v>
      </c>
      <c r="BX1106" s="13">
        <f t="shared" si="1007"/>
        <v>6.8104634314679977</v>
      </c>
      <c r="BY1106" s="13">
        <f t="shared" si="1008"/>
        <v>6</v>
      </c>
      <c r="BZ1106" s="13">
        <f t="shared" si="1009"/>
        <v>2.7823626503183214</v>
      </c>
      <c r="CA1106" s="13">
        <f t="shared" si="1010"/>
        <v>2</v>
      </c>
      <c r="CB1106" s="13">
        <f t="shared" si="1011"/>
        <v>12</v>
      </c>
      <c r="CC1106" s="62">
        <f t="shared" si="1012"/>
        <v>8.3333333333333329E-2</v>
      </c>
      <c r="CD1106" s="13">
        <f t="shared" si="1013"/>
        <v>7.0266446592784728</v>
      </c>
      <c r="CE1106" s="13">
        <f t="shared" si="1014"/>
        <v>7</v>
      </c>
      <c r="CF1106" s="13">
        <f t="shared" si="1015"/>
        <v>2.6967606876282675</v>
      </c>
      <c r="CG1106" s="13">
        <f t="shared" si="1016"/>
        <v>2</v>
      </c>
      <c r="CH1106" s="28">
        <f t="shared" si="1017"/>
        <v>14</v>
      </c>
      <c r="CI1106" s="62">
        <f t="shared" si="1018"/>
        <v>7.1428571428571425E-2</v>
      </c>
      <c r="CJ1106" s="59">
        <f t="shared" si="1019"/>
        <v>7.1428571428571425E-2</v>
      </c>
      <c r="CL1106" s="63">
        <v>6000</v>
      </c>
      <c r="CM1106" s="63">
        <f t="shared" si="1020"/>
        <v>432.56200000000001</v>
      </c>
      <c r="CN1106" s="63">
        <f t="shared" si="1021"/>
        <v>437.56200000000001</v>
      </c>
      <c r="CO1106" s="63">
        <f t="shared" si="1022"/>
        <v>13.712342479465766</v>
      </c>
      <c r="CP1106" s="13">
        <f t="shared" si="1023"/>
        <v>13</v>
      </c>
      <c r="CQ1106" s="70">
        <f t="shared" si="1024"/>
        <v>7.6923076923076927E-2</v>
      </c>
      <c r="CR1106" s="69">
        <f t="shared" si="985"/>
        <v>7.6923076923076927E-2</v>
      </c>
    </row>
    <row r="1107" spans="1:96" hidden="1" x14ac:dyDescent="0.25">
      <c r="A1107" s="36">
        <v>2</v>
      </c>
      <c r="B1107" s="37" t="s">
        <v>2189</v>
      </c>
      <c r="C1107" s="36" t="s">
        <v>2236</v>
      </c>
      <c r="D1107" s="36" t="s">
        <v>2270</v>
      </c>
      <c r="E1107" s="36" t="s">
        <v>52</v>
      </c>
      <c r="F1107" s="38">
        <f t="shared" si="993"/>
        <v>1</v>
      </c>
      <c r="G1107" s="36">
        <v>1</v>
      </c>
      <c r="H1107" s="36">
        <f t="shared" si="1041"/>
        <v>1</v>
      </c>
      <c r="I1107" s="36">
        <v>7</v>
      </c>
      <c r="J1107" s="37" t="s">
        <v>2053</v>
      </c>
      <c r="K1107" s="37"/>
      <c r="L1107" s="36" t="s">
        <v>2195</v>
      </c>
      <c r="M1107" s="37" t="s">
        <v>35</v>
      </c>
      <c r="N1107" s="36" t="s">
        <v>2237</v>
      </c>
      <c r="O1107" s="28"/>
      <c r="P1107" s="28"/>
      <c r="Q1107" s="28" t="s">
        <v>2226</v>
      </c>
      <c r="R1107" s="30">
        <v>7.95</v>
      </c>
      <c r="S1107" s="30">
        <v>3.85</v>
      </c>
      <c r="T1107" s="30"/>
      <c r="U1107" s="30">
        <v>2</v>
      </c>
      <c r="V1107" s="8">
        <f t="shared" si="994"/>
        <v>201.93</v>
      </c>
      <c r="W1107" s="8">
        <f t="shared" si="995"/>
        <v>97.789999999999992</v>
      </c>
      <c r="X1107" s="8">
        <f t="shared" si="996"/>
        <v>0</v>
      </c>
      <c r="Y1107" s="33">
        <f t="shared" si="997"/>
        <v>50.8</v>
      </c>
      <c r="Z1107" s="28" t="s">
        <v>2227</v>
      </c>
      <c r="AA1107" s="28" t="s">
        <v>2477</v>
      </c>
      <c r="AB1107" s="61" t="s">
        <v>2226</v>
      </c>
      <c r="AC1107" s="31" t="s">
        <v>2228</v>
      </c>
      <c r="AD1107" s="50">
        <f t="shared" si="998"/>
        <v>1</v>
      </c>
      <c r="AE1107" s="47" t="s">
        <v>2229</v>
      </c>
      <c r="AF1107" s="51">
        <v>14</v>
      </c>
      <c r="AG1107" s="51">
        <f t="shared" si="1026"/>
        <v>8.4</v>
      </c>
      <c r="AH1107" s="51">
        <f t="shared" si="992"/>
        <v>42</v>
      </c>
      <c r="AI1107" s="52"/>
      <c r="AJ1107" s="52"/>
      <c r="AK1107" s="53">
        <f t="shared" si="1027"/>
        <v>3.9493469399999995E-2</v>
      </c>
      <c r="AL1107" s="54">
        <f t="shared" si="1028"/>
        <v>0.11904761904761904</v>
      </c>
      <c r="AM1107" s="54">
        <f t="shared" si="1029"/>
        <v>2.3809523809523808E-2</v>
      </c>
      <c r="AN1107" s="55">
        <f t="shared" si="1030"/>
        <v>0</v>
      </c>
      <c r="AO1107" s="55">
        <f t="shared" si="1031"/>
        <v>0</v>
      </c>
      <c r="AP1107" s="53">
        <v>7.1</v>
      </c>
      <c r="AQ1107" s="53">
        <f t="shared" si="999"/>
        <v>4.26</v>
      </c>
      <c r="AR1107" s="53">
        <f t="shared" si="1000"/>
        <v>21.299999999999997</v>
      </c>
      <c r="AS1107" s="56">
        <f t="shared" si="1001"/>
        <v>4.6948356807511742E-2</v>
      </c>
      <c r="AT1107" s="56">
        <f t="shared" si="1032"/>
        <v>0.23474178403755869</v>
      </c>
      <c r="AU1107" s="56">
        <f t="shared" si="1002"/>
        <v>0.176056338028169</v>
      </c>
      <c r="AV1107" s="56">
        <f t="shared" si="1033"/>
        <v>5.8685446009389672E-2</v>
      </c>
      <c r="AW1107" s="57"/>
      <c r="AX1107" s="57"/>
      <c r="AY1107" s="57"/>
      <c r="AZ1107" s="58">
        <f t="shared" si="1034"/>
        <v>3.9493469399999995E-2</v>
      </c>
      <c r="BA1107" s="59">
        <f t="shared" si="1035"/>
        <v>0</v>
      </c>
      <c r="BB1107" s="59">
        <f t="shared" si="1036"/>
        <v>0</v>
      </c>
      <c r="BC1107" s="59">
        <f t="shared" si="1037"/>
        <v>0</v>
      </c>
      <c r="BD1107" s="60">
        <f t="shared" si="1038"/>
        <v>6.4935064935064939E-3</v>
      </c>
      <c r="BE1107" s="59">
        <f t="shared" si="1039"/>
        <v>6.4935064935064939E-3</v>
      </c>
      <c r="BQ1107" s="61">
        <v>3000</v>
      </c>
      <c r="BR1107" s="61">
        <v>1200</v>
      </c>
      <c r="BS1107" s="28">
        <f t="shared" si="1003"/>
        <v>2980</v>
      </c>
      <c r="BT1107" s="28">
        <f t="shared" si="1004"/>
        <v>1180</v>
      </c>
      <c r="BU1107" s="28" t="s">
        <v>2541</v>
      </c>
      <c r="BV1107" s="28">
        <f t="shared" si="1005"/>
        <v>206.93</v>
      </c>
      <c r="BW1107" s="28">
        <f t="shared" si="1006"/>
        <v>102.78999999999999</v>
      </c>
      <c r="BX1107" s="13">
        <f t="shared" si="1007"/>
        <v>14.401005170830715</v>
      </c>
      <c r="BY1107" s="13">
        <f t="shared" si="1008"/>
        <v>14</v>
      </c>
      <c r="BZ1107" s="13">
        <f t="shared" si="1009"/>
        <v>11.479715925673705</v>
      </c>
      <c r="CA1107" s="13">
        <f t="shared" si="1010"/>
        <v>11</v>
      </c>
      <c r="CB1107" s="13">
        <f t="shared" si="1011"/>
        <v>154</v>
      </c>
      <c r="CC1107" s="62">
        <f t="shared" si="1012"/>
        <v>6.4935064935064939E-3</v>
      </c>
      <c r="CD1107" s="13">
        <f t="shared" si="1013"/>
        <v>28.991146998735289</v>
      </c>
      <c r="CE1107" s="13">
        <f t="shared" si="1014"/>
        <v>28</v>
      </c>
      <c r="CF1107" s="13">
        <f t="shared" si="1015"/>
        <v>5.7024114434833031</v>
      </c>
      <c r="CG1107" s="13">
        <f t="shared" si="1016"/>
        <v>5</v>
      </c>
      <c r="CH1107" s="28">
        <f t="shared" si="1017"/>
        <v>140</v>
      </c>
      <c r="CI1107" s="62">
        <f t="shared" si="1018"/>
        <v>7.1428571428571426E-3</v>
      </c>
      <c r="CJ1107" s="59">
        <f t="shared" si="1019"/>
        <v>6.4935064935064939E-3</v>
      </c>
      <c r="CL1107" s="63">
        <v>6000</v>
      </c>
      <c r="CM1107" s="63">
        <f t="shared" si="1020"/>
        <v>201.93</v>
      </c>
      <c r="CN1107" s="63">
        <f t="shared" si="1021"/>
        <v>206.93</v>
      </c>
      <c r="CO1107" s="63">
        <f t="shared" si="1022"/>
        <v>28.995312424491374</v>
      </c>
      <c r="CP1107" s="13">
        <f t="shared" si="1023"/>
        <v>28</v>
      </c>
      <c r="CQ1107" s="70">
        <f t="shared" si="1024"/>
        <v>3.5714285714285712E-2</v>
      </c>
      <c r="CR1107" s="69">
        <f t="shared" si="985"/>
        <v>3.5714285714285712E-2</v>
      </c>
    </row>
    <row r="1108" spans="1:96" hidden="1" x14ac:dyDescent="0.25">
      <c r="A1108" s="36">
        <v>2</v>
      </c>
      <c r="B1108" s="37" t="s">
        <v>2189</v>
      </c>
      <c r="C1108" s="36" t="s">
        <v>2238</v>
      </c>
      <c r="D1108" s="36" t="s">
        <v>2491</v>
      </c>
      <c r="E1108" s="36" t="s">
        <v>52</v>
      </c>
      <c r="F1108" s="38">
        <f t="shared" si="993"/>
        <v>1</v>
      </c>
      <c r="G1108" s="36">
        <v>22</v>
      </c>
      <c r="H1108" s="36">
        <f t="shared" si="1041"/>
        <v>22</v>
      </c>
      <c r="I1108" s="36">
        <v>8</v>
      </c>
      <c r="J1108" s="37" t="s">
        <v>2239</v>
      </c>
      <c r="K1108" s="37"/>
      <c r="L1108" s="36" t="s">
        <v>2195</v>
      </c>
      <c r="M1108" s="37" t="s">
        <v>35</v>
      </c>
      <c r="N1108" s="36" t="s">
        <v>2491</v>
      </c>
      <c r="O1108" s="28"/>
      <c r="P1108" s="28"/>
      <c r="Q1108" s="28" t="s">
        <v>2491</v>
      </c>
      <c r="R1108" s="30"/>
      <c r="S1108" s="30"/>
      <c r="T1108" s="30"/>
      <c r="U1108" s="30"/>
      <c r="V1108" s="8">
        <f t="shared" si="994"/>
        <v>0</v>
      </c>
      <c r="W1108" s="8">
        <f t="shared" si="995"/>
        <v>0</v>
      </c>
      <c r="X1108" s="8">
        <f t="shared" si="996"/>
        <v>0</v>
      </c>
      <c r="Y1108" s="33">
        <f t="shared" si="997"/>
        <v>0</v>
      </c>
      <c r="Z1108" s="28"/>
      <c r="AA1108" s="28"/>
      <c r="AB1108" s="61" t="s">
        <v>2491</v>
      </c>
      <c r="AC1108" s="31" t="s">
        <v>2240</v>
      </c>
      <c r="AD1108" s="50">
        <f t="shared" si="998"/>
        <v>22</v>
      </c>
      <c r="AE1108" s="31"/>
      <c r="AF1108" s="51">
        <v>14</v>
      </c>
      <c r="AG1108" s="51">
        <f t="shared" si="1026"/>
        <v>8.4</v>
      </c>
      <c r="AH1108" s="51">
        <f t="shared" si="992"/>
        <v>42</v>
      </c>
      <c r="AI1108" s="52"/>
      <c r="AJ1108" s="52"/>
      <c r="AK1108" s="53">
        <f t="shared" si="1027"/>
        <v>0</v>
      </c>
      <c r="AL1108" s="54">
        <f t="shared" si="1028"/>
        <v>0.11904761904761904</v>
      </c>
      <c r="AM1108" s="54">
        <f t="shared" si="1029"/>
        <v>2.3809523809523808E-2</v>
      </c>
      <c r="AN1108" s="55">
        <f t="shared" si="1030"/>
        <v>0</v>
      </c>
      <c r="AO1108" s="55">
        <f t="shared" si="1031"/>
        <v>0</v>
      </c>
      <c r="AP1108" s="53">
        <v>7.1</v>
      </c>
      <c r="AQ1108" s="53">
        <f t="shared" si="999"/>
        <v>4.26</v>
      </c>
      <c r="AR1108" s="53">
        <f t="shared" si="1000"/>
        <v>21.299999999999997</v>
      </c>
      <c r="AS1108" s="56">
        <f t="shared" si="1001"/>
        <v>4.6948356807511742E-2</v>
      </c>
      <c r="AT1108" s="56">
        <f t="shared" si="1032"/>
        <v>0.23474178403755869</v>
      </c>
      <c r="AU1108" s="56">
        <f t="shared" si="1002"/>
        <v>0.176056338028169</v>
      </c>
      <c r="AV1108" s="56">
        <f t="shared" si="1033"/>
        <v>5.8685446009389672E-2</v>
      </c>
      <c r="AW1108" s="57"/>
      <c r="AX1108" s="57"/>
      <c r="AY1108" s="57"/>
      <c r="AZ1108" s="58">
        <f t="shared" si="1034"/>
        <v>0</v>
      </c>
      <c r="BA1108" s="59">
        <f t="shared" si="1035"/>
        <v>0</v>
      </c>
      <c r="BB1108" s="59">
        <f t="shared" si="1036"/>
        <v>0</v>
      </c>
      <c r="BC1108" s="59">
        <f t="shared" si="1037"/>
        <v>0</v>
      </c>
      <c r="BD1108" s="60">
        <f t="shared" si="1038"/>
        <v>7.1095438516664771E-6</v>
      </c>
      <c r="BE1108" s="59">
        <f t="shared" si="1039"/>
        <v>1.564099647366625E-4</v>
      </c>
      <c r="BQ1108" s="61">
        <v>3000</v>
      </c>
      <c r="BR1108" s="61">
        <v>1200</v>
      </c>
      <c r="BS1108" s="28">
        <f t="shared" si="1003"/>
        <v>2980</v>
      </c>
      <c r="BT1108" s="28">
        <f t="shared" si="1004"/>
        <v>1180</v>
      </c>
      <c r="BU1108" s="28" t="s">
        <v>2541</v>
      </c>
      <c r="BV1108" s="28">
        <f t="shared" si="1005"/>
        <v>5</v>
      </c>
      <c r="BW1108" s="28">
        <f t="shared" si="1006"/>
        <v>5</v>
      </c>
      <c r="BX1108" s="13">
        <f t="shared" si="1007"/>
        <v>596</v>
      </c>
      <c r="BY1108" s="13">
        <f t="shared" si="1008"/>
        <v>596</v>
      </c>
      <c r="BZ1108" s="13">
        <f t="shared" si="1009"/>
        <v>236</v>
      </c>
      <c r="CA1108" s="13">
        <f t="shared" si="1010"/>
        <v>236</v>
      </c>
      <c r="CB1108" s="13">
        <f t="shared" si="1011"/>
        <v>140656</v>
      </c>
      <c r="CC1108" s="62">
        <f t="shared" si="1012"/>
        <v>7.1095438516664771E-6</v>
      </c>
      <c r="CD1108" s="13">
        <f t="shared" si="1013"/>
        <v>596</v>
      </c>
      <c r="CE1108" s="13">
        <f t="shared" si="1014"/>
        <v>596</v>
      </c>
      <c r="CF1108" s="13">
        <f t="shared" si="1015"/>
        <v>236</v>
      </c>
      <c r="CG1108" s="13">
        <f t="shared" si="1016"/>
        <v>236</v>
      </c>
      <c r="CH1108" s="28">
        <f t="shared" si="1017"/>
        <v>140656</v>
      </c>
      <c r="CI1108" s="62">
        <f t="shared" si="1018"/>
        <v>7.1095438516664771E-6</v>
      </c>
      <c r="CJ1108" s="59">
        <f t="shared" si="1019"/>
        <v>7.1095438516664771E-6</v>
      </c>
      <c r="CL1108" s="63">
        <v>6000</v>
      </c>
      <c r="CM1108" s="63">
        <f t="shared" si="1020"/>
        <v>0</v>
      </c>
      <c r="CN1108" s="63">
        <f t="shared" si="1021"/>
        <v>5</v>
      </c>
      <c r="CO1108" s="63">
        <f t="shared" si="1022"/>
        <v>1200</v>
      </c>
      <c r="CP1108" s="13">
        <f t="shared" si="1023"/>
        <v>1200</v>
      </c>
      <c r="CQ1108" s="70">
        <f t="shared" si="1024"/>
        <v>8.3333333333333339E-4</v>
      </c>
      <c r="CR1108" s="69">
        <f t="shared" si="985"/>
        <v>1.8333333333333333E-2</v>
      </c>
    </row>
    <row r="1109" spans="1:96" hidden="1" x14ac:dyDescent="0.25">
      <c r="A1109" s="36">
        <v>2</v>
      </c>
      <c r="B1109" s="37" t="s">
        <v>2189</v>
      </c>
      <c r="C1109" s="36" t="s">
        <v>2241</v>
      </c>
      <c r="D1109" s="36" t="s">
        <v>2492</v>
      </c>
      <c r="E1109" s="36" t="s">
        <v>52</v>
      </c>
      <c r="F1109" s="38">
        <f t="shared" si="993"/>
        <v>1</v>
      </c>
      <c r="G1109" s="36">
        <v>22</v>
      </c>
      <c r="H1109" s="36">
        <f t="shared" si="1041"/>
        <v>22</v>
      </c>
      <c r="I1109" s="36">
        <v>9</v>
      </c>
      <c r="J1109" s="37" t="s">
        <v>2242</v>
      </c>
      <c r="K1109" s="37"/>
      <c r="L1109" s="36" t="s">
        <v>2195</v>
      </c>
      <c r="M1109" s="37" t="s">
        <v>35</v>
      </c>
      <c r="N1109" s="36" t="s">
        <v>2492</v>
      </c>
      <c r="O1109" s="28"/>
      <c r="P1109" s="28"/>
      <c r="Q1109" s="28" t="s">
        <v>2492</v>
      </c>
      <c r="R1109" s="30"/>
      <c r="S1109" s="30"/>
      <c r="T1109" s="30"/>
      <c r="U1109" s="30"/>
      <c r="V1109" s="8">
        <f t="shared" si="994"/>
        <v>0</v>
      </c>
      <c r="W1109" s="8">
        <f t="shared" si="995"/>
        <v>0</v>
      </c>
      <c r="X1109" s="8">
        <f t="shared" si="996"/>
        <v>0</v>
      </c>
      <c r="Y1109" s="33">
        <f t="shared" si="997"/>
        <v>0</v>
      </c>
      <c r="Z1109" s="28"/>
      <c r="AA1109" s="28"/>
      <c r="AB1109" s="61" t="s">
        <v>2492</v>
      </c>
      <c r="AC1109" s="31" t="s">
        <v>2243</v>
      </c>
      <c r="AD1109" s="50">
        <f t="shared" si="998"/>
        <v>22</v>
      </c>
      <c r="AE1109" s="31"/>
      <c r="AF1109" s="51">
        <v>14</v>
      </c>
      <c r="AG1109" s="51">
        <f t="shared" si="1026"/>
        <v>8.4</v>
      </c>
      <c r="AH1109" s="51">
        <f t="shared" si="992"/>
        <v>42</v>
      </c>
      <c r="AI1109" s="52"/>
      <c r="AJ1109" s="52"/>
      <c r="AK1109" s="53">
        <f t="shared" si="1027"/>
        <v>0</v>
      </c>
      <c r="AL1109" s="54">
        <f t="shared" si="1028"/>
        <v>0.11904761904761904</v>
      </c>
      <c r="AM1109" s="54">
        <f t="shared" si="1029"/>
        <v>2.3809523809523808E-2</v>
      </c>
      <c r="AN1109" s="55">
        <f t="shared" si="1030"/>
        <v>0</v>
      </c>
      <c r="AO1109" s="55">
        <f t="shared" si="1031"/>
        <v>0</v>
      </c>
      <c r="AP1109" s="53">
        <v>7.1</v>
      </c>
      <c r="AQ1109" s="53">
        <f t="shared" si="999"/>
        <v>4.26</v>
      </c>
      <c r="AR1109" s="53">
        <f t="shared" si="1000"/>
        <v>21.299999999999997</v>
      </c>
      <c r="AS1109" s="56">
        <f t="shared" si="1001"/>
        <v>4.6948356807511742E-2</v>
      </c>
      <c r="AT1109" s="56">
        <f t="shared" si="1032"/>
        <v>0.23474178403755869</v>
      </c>
      <c r="AU1109" s="56">
        <f t="shared" si="1002"/>
        <v>0.176056338028169</v>
      </c>
      <c r="AV1109" s="56">
        <f t="shared" si="1033"/>
        <v>5.8685446009389672E-2</v>
      </c>
      <c r="AW1109" s="57"/>
      <c r="AX1109" s="57"/>
      <c r="AY1109" s="57"/>
      <c r="AZ1109" s="58">
        <f t="shared" si="1034"/>
        <v>0</v>
      </c>
      <c r="BA1109" s="59">
        <f t="shared" si="1035"/>
        <v>0</v>
      </c>
      <c r="BB1109" s="59">
        <f t="shared" si="1036"/>
        <v>0</v>
      </c>
      <c r="BC1109" s="59">
        <f t="shared" si="1037"/>
        <v>0</v>
      </c>
      <c r="BD1109" s="60">
        <f t="shared" si="1038"/>
        <v>7.1095438516664771E-6</v>
      </c>
      <c r="BE1109" s="59">
        <f t="shared" si="1039"/>
        <v>1.564099647366625E-4</v>
      </c>
      <c r="BQ1109" s="61">
        <v>3000</v>
      </c>
      <c r="BR1109" s="61">
        <v>1200</v>
      </c>
      <c r="BS1109" s="28">
        <f t="shared" si="1003"/>
        <v>2980</v>
      </c>
      <c r="BT1109" s="28">
        <f t="shared" si="1004"/>
        <v>1180</v>
      </c>
      <c r="BU1109" s="28" t="s">
        <v>2541</v>
      </c>
      <c r="BV1109" s="28">
        <f t="shared" si="1005"/>
        <v>5</v>
      </c>
      <c r="BW1109" s="28">
        <f t="shared" si="1006"/>
        <v>5</v>
      </c>
      <c r="BX1109" s="13">
        <f t="shared" si="1007"/>
        <v>596</v>
      </c>
      <c r="BY1109" s="13">
        <f t="shared" si="1008"/>
        <v>596</v>
      </c>
      <c r="BZ1109" s="13">
        <f t="shared" si="1009"/>
        <v>236</v>
      </c>
      <c r="CA1109" s="13">
        <f t="shared" si="1010"/>
        <v>236</v>
      </c>
      <c r="CB1109" s="13">
        <f t="shared" si="1011"/>
        <v>140656</v>
      </c>
      <c r="CC1109" s="62">
        <f t="shared" si="1012"/>
        <v>7.1095438516664771E-6</v>
      </c>
      <c r="CD1109" s="13">
        <f t="shared" si="1013"/>
        <v>596</v>
      </c>
      <c r="CE1109" s="13">
        <f t="shared" si="1014"/>
        <v>596</v>
      </c>
      <c r="CF1109" s="13">
        <f t="shared" si="1015"/>
        <v>236</v>
      </c>
      <c r="CG1109" s="13">
        <f t="shared" si="1016"/>
        <v>236</v>
      </c>
      <c r="CH1109" s="28">
        <f t="shared" si="1017"/>
        <v>140656</v>
      </c>
      <c r="CI1109" s="62">
        <f t="shared" si="1018"/>
        <v>7.1095438516664771E-6</v>
      </c>
      <c r="CJ1109" s="59">
        <f t="shared" si="1019"/>
        <v>7.1095438516664771E-6</v>
      </c>
      <c r="CL1109" s="63">
        <v>6000</v>
      </c>
      <c r="CM1109" s="63">
        <f t="shared" si="1020"/>
        <v>0</v>
      </c>
      <c r="CN1109" s="63">
        <f t="shared" si="1021"/>
        <v>5</v>
      </c>
      <c r="CO1109" s="63">
        <f t="shared" si="1022"/>
        <v>1200</v>
      </c>
      <c r="CP1109" s="13">
        <f t="shared" si="1023"/>
        <v>1200</v>
      </c>
      <c r="CQ1109" s="70">
        <f t="shared" si="1024"/>
        <v>8.3333333333333339E-4</v>
      </c>
      <c r="CR1109" s="69">
        <f t="shared" si="985"/>
        <v>1.8333333333333333E-2</v>
      </c>
    </row>
    <row r="1110" spans="1:96" hidden="1" x14ac:dyDescent="0.25">
      <c r="A1110" s="36">
        <v>2</v>
      </c>
      <c r="B1110" s="37" t="s">
        <v>2189</v>
      </c>
      <c r="C1110" s="36" t="s">
        <v>2244</v>
      </c>
      <c r="D1110" s="36" t="s">
        <v>2270</v>
      </c>
      <c r="E1110" s="36" t="s">
        <v>52</v>
      </c>
      <c r="F1110" s="38">
        <f t="shared" si="993"/>
        <v>1</v>
      </c>
      <c r="G1110" s="36" t="s">
        <v>337</v>
      </c>
      <c r="H1110" s="36" t="str">
        <f>G1110</f>
        <v>A/R</v>
      </c>
      <c r="I1110" s="36">
        <v>10</v>
      </c>
      <c r="J1110" s="37" t="s">
        <v>493</v>
      </c>
      <c r="K1110" s="37"/>
      <c r="L1110" s="36" t="s">
        <v>2245</v>
      </c>
      <c r="M1110" s="37" t="s">
        <v>35</v>
      </c>
      <c r="N1110" s="36" t="s">
        <v>1856</v>
      </c>
      <c r="O1110" s="28"/>
      <c r="P1110" s="28"/>
      <c r="Q1110" s="28" t="s">
        <v>1856</v>
      </c>
      <c r="R1110" s="30"/>
      <c r="S1110" s="30"/>
      <c r="T1110" s="30"/>
      <c r="U1110" s="30"/>
      <c r="V1110" s="8">
        <f t="shared" si="994"/>
        <v>0</v>
      </c>
      <c r="W1110" s="8">
        <f t="shared" si="995"/>
        <v>0</v>
      </c>
      <c r="X1110" s="8">
        <f t="shared" si="996"/>
        <v>0</v>
      </c>
      <c r="Y1110" s="33">
        <f t="shared" si="997"/>
        <v>0</v>
      </c>
      <c r="Z1110" s="28"/>
      <c r="AA1110" s="28"/>
      <c r="AB1110" s="61" t="s">
        <v>1856</v>
      </c>
      <c r="AC1110" s="31" t="s">
        <v>1857</v>
      </c>
      <c r="AD1110" s="50">
        <v>0</v>
      </c>
      <c r="AE1110" s="50" t="s">
        <v>337</v>
      </c>
      <c r="AF1110" s="51">
        <v>14</v>
      </c>
      <c r="AG1110" s="51">
        <f t="shared" si="1026"/>
        <v>8.4</v>
      </c>
      <c r="AH1110" s="51">
        <f t="shared" si="992"/>
        <v>42</v>
      </c>
      <c r="AI1110" s="52"/>
      <c r="AJ1110" s="52"/>
      <c r="AK1110" s="53">
        <f t="shared" si="1027"/>
        <v>0</v>
      </c>
      <c r="AL1110" s="54">
        <f t="shared" si="1028"/>
        <v>0.11904761904761904</v>
      </c>
      <c r="AM1110" s="54">
        <f t="shared" si="1029"/>
        <v>2.3809523809523808E-2</v>
      </c>
      <c r="AN1110" s="55">
        <f t="shared" si="1030"/>
        <v>0</v>
      </c>
      <c r="AO1110" s="55">
        <f t="shared" si="1031"/>
        <v>0</v>
      </c>
      <c r="AP1110" s="53">
        <v>7.1</v>
      </c>
      <c r="AQ1110" s="53">
        <f t="shared" si="999"/>
        <v>4.26</v>
      </c>
      <c r="AR1110" s="53">
        <f t="shared" si="1000"/>
        <v>21.299999999999997</v>
      </c>
      <c r="AS1110" s="56">
        <f t="shared" si="1001"/>
        <v>4.6948356807511742E-2</v>
      </c>
      <c r="AT1110" s="56">
        <f t="shared" si="1032"/>
        <v>0.23474178403755869</v>
      </c>
      <c r="AU1110" s="56">
        <f t="shared" si="1002"/>
        <v>0.176056338028169</v>
      </c>
      <c r="AV1110" s="56">
        <f t="shared" si="1033"/>
        <v>5.8685446009389672E-2</v>
      </c>
      <c r="AW1110" s="57"/>
      <c r="AX1110" s="57"/>
      <c r="AY1110" s="57"/>
      <c r="AZ1110" s="58">
        <f t="shared" si="1034"/>
        <v>0</v>
      </c>
      <c r="BA1110" s="59">
        <f t="shared" si="1035"/>
        <v>0</v>
      </c>
      <c r="BB1110" s="59">
        <f t="shared" si="1036"/>
        <v>0</v>
      </c>
      <c r="BC1110" s="59">
        <f t="shared" si="1037"/>
        <v>0</v>
      </c>
      <c r="BD1110" s="60">
        <f t="shared" si="1038"/>
        <v>7.1095438516664771E-6</v>
      </c>
      <c r="BE1110" s="59">
        <f t="shared" si="1039"/>
        <v>0</v>
      </c>
      <c r="BQ1110" s="61">
        <v>3000</v>
      </c>
      <c r="BR1110" s="61">
        <v>1200</v>
      </c>
      <c r="BS1110" s="28">
        <f t="shared" si="1003"/>
        <v>2980</v>
      </c>
      <c r="BT1110" s="28">
        <f t="shared" si="1004"/>
        <v>1180</v>
      </c>
      <c r="BU1110" s="28" t="s">
        <v>2541</v>
      </c>
      <c r="BV1110" s="28">
        <f t="shared" si="1005"/>
        <v>5</v>
      </c>
      <c r="BW1110" s="28">
        <f t="shared" si="1006"/>
        <v>5</v>
      </c>
      <c r="BX1110" s="13">
        <f t="shared" si="1007"/>
        <v>596</v>
      </c>
      <c r="BY1110" s="13">
        <f t="shared" si="1008"/>
        <v>596</v>
      </c>
      <c r="BZ1110" s="13">
        <f t="shared" si="1009"/>
        <v>236</v>
      </c>
      <c r="CA1110" s="13">
        <f t="shared" si="1010"/>
        <v>236</v>
      </c>
      <c r="CB1110" s="13">
        <f t="shared" si="1011"/>
        <v>140656</v>
      </c>
      <c r="CC1110" s="62">
        <f t="shared" si="1012"/>
        <v>7.1095438516664771E-6</v>
      </c>
      <c r="CD1110" s="13">
        <f t="shared" si="1013"/>
        <v>596</v>
      </c>
      <c r="CE1110" s="13">
        <f t="shared" si="1014"/>
        <v>596</v>
      </c>
      <c r="CF1110" s="13">
        <f t="shared" si="1015"/>
        <v>236</v>
      </c>
      <c r="CG1110" s="13">
        <f t="shared" si="1016"/>
        <v>236</v>
      </c>
      <c r="CH1110" s="28">
        <f t="shared" si="1017"/>
        <v>140656</v>
      </c>
      <c r="CI1110" s="62">
        <f t="shared" si="1018"/>
        <v>7.1095438516664771E-6</v>
      </c>
      <c r="CJ1110" s="59">
        <f t="shared" si="1019"/>
        <v>7.1095438516664771E-6</v>
      </c>
      <c r="CL1110" s="63">
        <v>6000</v>
      </c>
      <c r="CM1110" s="63">
        <f t="shared" si="1020"/>
        <v>0</v>
      </c>
      <c r="CN1110" s="63">
        <f t="shared" si="1021"/>
        <v>5</v>
      </c>
      <c r="CO1110" s="63">
        <f t="shared" si="1022"/>
        <v>1200</v>
      </c>
      <c r="CP1110" s="13">
        <f t="shared" si="1023"/>
        <v>1200</v>
      </c>
      <c r="CQ1110" s="70">
        <f t="shared" si="1024"/>
        <v>8.3333333333333339E-4</v>
      </c>
      <c r="CR1110" s="69">
        <f t="shared" si="985"/>
        <v>0</v>
      </c>
    </row>
    <row r="1111" spans="1:96" hidden="1" x14ac:dyDescent="0.25">
      <c r="A1111" s="3">
        <v>1</v>
      </c>
      <c r="B1111" s="4" t="s">
        <v>30</v>
      </c>
      <c r="C1111" s="3" t="s">
        <v>2246</v>
      </c>
      <c r="D1111" s="3" t="s">
        <v>2270</v>
      </c>
      <c r="E1111" s="3" t="s">
        <v>32</v>
      </c>
      <c r="F1111" s="9">
        <f t="shared" si="993"/>
        <v>1</v>
      </c>
      <c r="G1111" s="3">
        <v>1</v>
      </c>
      <c r="H1111" s="3">
        <f>G1111*$H$2</f>
        <v>1</v>
      </c>
      <c r="I1111" s="3">
        <v>5</v>
      </c>
      <c r="J1111" s="4" t="s">
        <v>2247</v>
      </c>
      <c r="K1111" s="4"/>
      <c r="L1111" s="3" t="s">
        <v>110</v>
      </c>
      <c r="M1111" s="4" t="s">
        <v>35</v>
      </c>
      <c r="N1111" s="3" t="s">
        <v>2248</v>
      </c>
      <c r="O1111" s="28" t="s">
        <v>41</v>
      </c>
      <c r="P1111" s="28" t="s">
        <v>41</v>
      </c>
      <c r="Q1111" s="28"/>
      <c r="R1111" s="30"/>
      <c r="S1111" s="30"/>
      <c r="T1111" s="30"/>
      <c r="U1111" s="30"/>
      <c r="V1111" s="8">
        <f t="shared" si="994"/>
        <v>0</v>
      </c>
      <c r="W1111" s="8">
        <f t="shared" si="995"/>
        <v>0</v>
      </c>
      <c r="X1111" s="8">
        <f t="shared" si="996"/>
        <v>0</v>
      </c>
      <c r="Y1111" s="33">
        <f t="shared" si="997"/>
        <v>0</v>
      </c>
      <c r="Z1111" s="28"/>
      <c r="AA1111" s="28"/>
      <c r="AB1111" s="28">
        <v>0</v>
      </c>
      <c r="AC1111" s="31"/>
      <c r="AD1111" s="50">
        <f t="shared" si="998"/>
        <v>1</v>
      </c>
      <c r="AE1111" s="31"/>
      <c r="AF1111" s="51">
        <v>14</v>
      </c>
      <c r="AG1111" s="51">
        <f t="shared" si="1026"/>
        <v>8.4</v>
      </c>
      <c r="AH1111" s="51">
        <f t="shared" si="992"/>
        <v>42</v>
      </c>
      <c r="AI1111" s="52" t="s">
        <v>2497</v>
      </c>
      <c r="AJ1111" s="52" t="s">
        <v>2498</v>
      </c>
      <c r="AK1111" s="53">
        <f t="shared" si="1027"/>
        <v>0</v>
      </c>
      <c r="AL1111" s="54">
        <f t="shared" si="1028"/>
        <v>0.11904761904761904</v>
      </c>
      <c r="AM1111" s="54">
        <f t="shared" si="1029"/>
        <v>2.3809523809523808E-2</v>
      </c>
      <c r="AN1111" s="55">
        <f t="shared" si="1030"/>
        <v>0</v>
      </c>
      <c r="AO1111" s="55">
        <f t="shared" si="1031"/>
        <v>0</v>
      </c>
      <c r="AP1111" s="53">
        <v>7.1</v>
      </c>
      <c r="AQ1111" s="53">
        <f t="shared" si="999"/>
        <v>4.26</v>
      </c>
      <c r="AR1111" s="53">
        <f t="shared" si="1000"/>
        <v>21.299999999999997</v>
      </c>
      <c r="AS1111" s="56">
        <f t="shared" si="1001"/>
        <v>4.6948356807511742E-2</v>
      </c>
      <c r="AT1111" s="56">
        <f t="shared" si="1032"/>
        <v>0.23474178403755869</v>
      </c>
      <c r="AU1111" s="56">
        <f t="shared" si="1002"/>
        <v>0.176056338028169</v>
      </c>
      <c r="AV1111" s="56">
        <f t="shared" si="1033"/>
        <v>5.8685446009389672E-2</v>
      </c>
      <c r="AW1111" s="57"/>
      <c r="AX1111" s="57"/>
      <c r="AY1111" s="57"/>
      <c r="AZ1111" s="58">
        <f t="shared" si="1034"/>
        <v>0</v>
      </c>
      <c r="BA1111" s="59">
        <f t="shared" si="1035"/>
        <v>0</v>
      </c>
      <c r="BB1111" s="59">
        <f t="shared" si="1036"/>
        <v>0</v>
      </c>
      <c r="BC1111" s="59">
        <f t="shared" si="1037"/>
        <v>0</v>
      </c>
      <c r="BD1111" s="60">
        <f t="shared" si="1038"/>
        <v>0</v>
      </c>
      <c r="BE1111" s="59">
        <f t="shared" si="1039"/>
        <v>0</v>
      </c>
      <c r="BQ1111" s="61">
        <v>3000</v>
      </c>
      <c r="BR1111" s="61">
        <v>1200</v>
      </c>
      <c r="BS1111" s="28">
        <f t="shared" si="1003"/>
        <v>2980</v>
      </c>
      <c r="BT1111" s="28">
        <f t="shared" si="1004"/>
        <v>1180</v>
      </c>
      <c r="BU1111" s="28" t="s">
        <v>2541</v>
      </c>
      <c r="BV1111" s="28">
        <f t="shared" si="1005"/>
        <v>5</v>
      </c>
      <c r="BW1111" s="28">
        <f t="shared" si="1006"/>
        <v>5</v>
      </c>
      <c r="BX1111" s="13">
        <f t="shared" si="1007"/>
        <v>596</v>
      </c>
      <c r="BY1111" s="13">
        <f t="shared" si="1008"/>
        <v>596</v>
      </c>
      <c r="BZ1111" s="13">
        <f t="shared" si="1009"/>
        <v>236</v>
      </c>
      <c r="CA1111" s="13">
        <f t="shared" si="1010"/>
        <v>236</v>
      </c>
      <c r="CB1111" s="13">
        <f t="shared" si="1011"/>
        <v>140656</v>
      </c>
      <c r="CC1111" s="62" t="str">
        <f t="shared" si="1012"/>
        <v/>
      </c>
      <c r="CD1111" s="13">
        <f t="shared" si="1013"/>
        <v>596</v>
      </c>
      <c r="CE1111" s="13">
        <f t="shared" si="1014"/>
        <v>596</v>
      </c>
      <c r="CF1111" s="13">
        <f t="shared" si="1015"/>
        <v>236</v>
      </c>
      <c r="CG1111" s="13">
        <f t="shared" si="1016"/>
        <v>236</v>
      </c>
      <c r="CH1111" s="28">
        <f t="shared" si="1017"/>
        <v>140656</v>
      </c>
      <c r="CI1111" s="62" t="str">
        <f t="shared" si="1018"/>
        <v/>
      </c>
      <c r="CJ1111" s="59">
        <f t="shared" si="1019"/>
        <v>0</v>
      </c>
      <c r="CL1111" s="63">
        <v>6000</v>
      </c>
      <c r="CM1111" s="63">
        <f t="shared" si="1020"/>
        <v>0</v>
      </c>
      <c r="CN1111" s="63">
        <f t="shared" si="1021"/>
        <v>5</v>
      </c>
      <c r="CO1111" s="63">
        <f t="shared" si="1022"/>
        <v>1200</v>
      </c>
      <c r="CP1111" s="13">
        <f t="shared" si="1023"/>
        <v>1200</v>
      </c>
      <c r="CQ1111" s="70">
        <f t="shared" si="1024"/>
        <v>8.3333333333333339E-4</v>
      </c>
      <c r="CR1111" s="69">
        <f t="shared" si="985"/>
        <v>8.3333333333333339E-4</v>
      </c>
    </row>
    <row r="1112" spans="1:96" hidden="1" x14ac:dyDescent="0.25">
      <c r="A1112" s="36">
        <v>2</v>
      </c>
      <c r="B1112" s="37"/>
      <c r="C1112" s="36" t="s">
        <v>2249</v>
      </c>
      <c r="D1112" s="36" t="s">
        <v>2270</v>
      </c>
      <c r="E1112" s="36" t="s">
        <v>52</v>
      </c>
      <c r="F1112" s="38">
        <f t="shared" si="993"/>
        <v>1</v>
      </c>
      <c r="G1112" s="36">
        <v>1</v>
      </c>
      <c r="H1112" s="36">
        <f>G1112*$H$1111</f>
        <v>1</v>
      </c>
      <c r="I1112" s="36">
        <v>1</v>
      </c>
      <c r="J1112" s="37" t="s">
        <v>2250</v>
      </c>
      <c r="K1112" s="37"/>
      <c r="L1112" s="36" t="s">
        <v>110</v>
      </c>
      <c r="M1112" s="37" t="s">
        <v>35</v>
      </c>
      <c r="N1112" s="36" t="s">
        <v>2251</v>
      </c>
      <c r="O1112" s="28" t="s">
        <v>41</v>
      </c>
      <c r="P1112" s="28" t="s">
        <v>41</v>
      </c>
      <c r="Q1112" s="28" t="s">
        <v>249</v>
      </c>
      <c r="R1112" s="30">
        <v>15.87</v>
      </c>
      <c r="S1112" s="30">
        <v>9.125</v>
      </c>
      <c r="T1112" s="30"/>
      <c r="U1112" s="30">
        <v>0.19700000000000001</v>
      </c>
      <c r="V1112" s="8">
        <f t="shared" si="994"/>
        <v>403.09799999999996</v>
      </c>
      <c r="W1112" s="8">
        <f t="shared" si="995"/>
        <v>231.77499999999998</v>
      </c>
      <c r="X1112" s="8">
        <f t="shared" si="996"/>
        <v>0</v>
      </c>
      <c r="Y1112" s="33">
        <f t="shared" si="997"/>
        <v>5.0038</v>
      </c>
      <c r="Z1112" s="28" t="s">
        <v>250</v>
      </c>
      <c r="AA1112" s="28" t="s">
        <v>251</v>
      </c>
      <c r="AB1112" s="61" t="s">
        <v>249</v>
      </c>
      <c r="AC1112" s="31" t="s">
        <v>252</v>
      </c>
      <c r="AD1112" s="50">
        <f t="shared" si="998"/>
        <v>1</v>
      </c>
      <c r="AE1112" s="31"/>
      <c r="AF1112" s="51">
        <v>14</v>
      </c>
      <c r="AG1112" s="51">
        <f t="shared" si="1026"/>
        <v>8.4</v>
      </c>
      <c r="AH1112" s="51">
        <f t="shared" si="992"/>
        <v>42</v>
      </c>
      <c r="AI1112" s="52" t="s">
        <v>2497</v>
      </c>
      <c r="AJ1112" s="52" t="s">
        <v>2498</v>
      </c>
      <c r="AK1112" s="53">
        <f t="shared" si="1027"/>
        <v>0.18685607789999997</v>
      </c>
      <c r="AL1112" s="54">
        <f t="shared" si="1028"/>
        <v>0.11904761904761904</v>
      </c>
      <c r="AM1112" s="54">
        <f t="shared" si="1029"/>
        <v>2.3809523809523808E-2</v>
      </c>
      <c r="AN1112" s="55">
        <f t="shared" si="1030"/>
        <v>2.2244771178571425E-2</v>
      </c>
      <c r="AO1112" s="55">
        <f t="shared" si="1031"/>
        <v>4.4489542357142847E-3</v>
      </c>
      <c r="AP1112" s="53">
        <v>7.1</v>
      </c>
      <c r="AQ1112" s="53">
        <f t="shared" si="999"/>
        <v>4.26</v>
      </c>
      <c r="AR1112" s="53">
        <f t="shared" si="1000"/>
        <v>21.299999999999997</v>
      </c>
      <c r="AS1112" s="56">
        <f t="shared" si="1001"/>
        <v>4.6948356807511742E-2</v>
      </c>
      <c r="AT1112" s="56">
        <f t="shared" si="1032"/>
        <v>0.23474178403755869</v>
      </c>
      <c r="AU1112" s="56">
        <f t="shared" si="1002"/>
        <v>0.176056338028169</v>
      </c>
      <c r="AV1112" s="56">
        <f t="shared" si="1033"/>
        <v>5.8685446009389672E-2</v>
      </c>
      <c r="AW1112" s="57"/>
      <c r="AX1112" s="57"/>
      <c r="AY1112" s="57"/>
      <c r="AZ1112" s="58">
        <f t="shared" si="1034"/>
        <v>0.18685607789999997</v>
      </c>
      <c r="BA1112" s="59">
        <f t="shared" si="1035"/>
        <v>0</v>
      </c>
      <c r="BB1112" s="59">
        <f t="shared" si="1036"/>
        <v>0</v>
      </c>
      <c r="BC1112" s="59">
        <f t="shared" si="1037"/>
        <v>0</v>
      </c>
      <c r="BD1112" s="60">
        <f t="shared" si="1038"/>
        <v>3.5714285714285712E-2</v>
      </c>
      <c r="BE1112" s="59">
        <f t="shared" si="1039"/>
        <v>3.5714285714285712E-2</v>
      </c>
      <c r="BQ1112" s="61">
        <v>3000</v>
      </c>
      <c r="BR1112" s="61">
        <v>1200</v>
      </c>
      <c r="BS1112" s="28">
        <f t="shared" si="1003"/>
        <v>2980</v>
      </c>
      <c r="BT1112" s="28">
        <f t="shared" si="1004"/>
        <v>1180</v>
      </c>
      <c r="BU1112" s="28" t="s">
        <v>2541</v>
      </c>
      <c r="BV1112" s="28">
        <f t="shared" si="1005"/>
        <v>408.09799999999996</v>
      </c>
      <c r="BW1112" s="28">
        <f t="shared" si="1006"/>
        <v>236.77499999999998</v>
      </c>
      <c r="BX1112" s="13">
        <f t="shared" si="1007"/>
        <v>7.3021676166018956</v>
      </c>
      <c r="BY1112" s="13">
        <f t="shared" si="1008"/>
        <v>7</v>
      </c>
      <c r="BZ1112" s="13">
        <f t="shared" si="1009"/>
        <v>4.9836342519269357</v>
      </c>
      <c r="CA1112" s="13">
        <f t="shared" si="1010"/>
        <v>4</v>
      </c>
      <c r="CB1112" s="13">
        <f t="shared" si="1011"/>
        <v>28</v>
      </c>
      <c r="CC1112" s="62">
        <f t="shared" si="1012"/>
        <v>3.5714285714285712E-2</v>
      </c>
      <c r="CD1112" s="13">
        <f t="shared" si="1013"/>
        <v>12.585788195544295</v>
      </c>
      <c r="CE1112" s="13">
        <f t="shared" si="1014"/>
        <v>12</v>
      </c>
      <c r="CF1112" s="13">
        <f t="shared" si="1015"/>
        <v>2.8914623448289385</v>
      </c>
      <c r="CG1112" s="13">
        <f t="shared" si="1016"/>
        <v>2</v>
      </c>
      <c r="CH1112" s="28">
        <f t="shared" si="1017"/>
        <v>24</v>
      </c>
      <c r="CI1112" s="62">
        <f t="shared" si="1018"/>
        <v>4.1666666666666664E-2</v>
      </c>
      <c r="CJ1112" s="59">
        <f t="shared" si="1019"/>
        <v>3.5714285714285712E-2</v>
      </c>
      <c r="CL1112" s="63">
        <v>6000</v>
      </c>
      <c r="CM1112" s="63">
        <f t="shared" si="1020"/>
        <v>403.09799999999996</v>
      </c>
      <c r="CN1112" s="63">
        <f t="shared" si="1021"/>
        <v>408.09799999999996</v>
      </c>
      <c r="CO1112" s="63">
        <f t="shared" si="1022"/>
        <v>14.702350905909856</v>
      </c>
      <c r="CP1112" s="13">
        <f t="shared" si="1023"/>
        <v>14</v>
      </c>
      <c r="CQ1112" s="70">
        <f t="shared" si="1024"/>
        <v>7.1428571428571425E-2</v>
      </c>
      <c r="CR1112" s="69">
        <f t="shared" si="985"/>
        <v>7.1428571428571425E-2</v>
      </c>
    </row>
    <row r="1113" spans="1:96" hidden="1" x14ac:dyDescent="0.25">
      <c r="A1113" s="36">
        <v>2</v>
      </c>
      <c r="B1113" s="37"/>
      <c r="C1113" s="36" t="s">
        <v>2252</v>
      </c>
      <c r="D1113" s="36" t="s">
        <v>2270</v>
      </c>
      <c r="E1113" s="36" t="s">
        <v>32</v>
      </c>
      <c r="F1113" s="38">
        <f t="shared" si="993"/>
        <v>1</v>
      </c>
      <c r="G1113" s="36">
        <v>1</v>
      </c>
      <c r="H1113" s="36">
        <f>G1113*$H$1111</f>
        <v>1</v>
      </c>
      <c r="I1113" s="36">
        <v>2</v>
      </c>
      <c r="J1113" s="37" t="s">
        <v>2253</v>
      </c>
      <c r="K1113" s="37"/>
      <c r="L1113" s="36">
        <v>0</v>
      </c>
      <c r="M1113" s="37" t="s">
        <v>35</v>
      </c>
      <c r="N1113" s="36" t="s">
        <v>2254</v>
      </c>
      <c r="O1113" s="28" t="s">
        <v>41</v>
      </c>
      <c r="P1113" s="28" t="s">
        <v>41</v>
      </c>
      <c r="Q1113" s="28"/>
      <c r="R1113" s="30"/>
      <c r="S1113" s="30"/>
      <c r="T1113" s="30"/>
      <c r="U1113" s="30"/>
      <c r="V1113" s="8">
        <f t="shared" si="994"/>
        <v>0</v>
      </c>
      <c r="W1113" s="8">
        <f t="shared" si="995"/>
        <v>0</v>
      </c>
      <c r="X1113" s="8">
        <f t="shared" si="996"/>
        <v>0</v>
      </c>
      <c r="Y1113" s="33">
        <f t="shared" si="997"/>
        <v>0</v>
      </c>
      <c r="Z1113" s="28"/>
      <c r="AA1113" s="28"/>
      <c r="AB1113" s="28">
        <v>0</v>
      </c>
      <c r="AC1113" s="31"/>
      <c r="AD1113" s="50">
        <f t="shared" si="998"/>
        <v>1</v>
      </c>
      <c r="AE1113" s="31"/>
      <c r="AF1113" s="51">
        <v>14</v>
      </c>
      <c r="AG1113" s="51">
        <f t="shared" si="1026"/>
        <v>8.4</v>
      </c>
      <c r="AH1113" s="51">
        <f t="shared" si="992"/>
        <v>42</v>
      </c>
      <c r="AI1113" s="52" t="s">
        <v>2497</v>
      </c>
      <c r="AJ1113" s="52" t="s">
        <v>2498</v>
      </c>
      <c r="AK1113" s="53">
        <f t="shared" si="1027"/>
        <v>0</v>
      </c>
      <c r="AL1113" s="54">
        <f t="shared" si="1028"/>
        <v>0.11904761904761904</v>
      </c>
      <c r="AM1113" s="54">
        <f t="shared" si="1029"/>
        <v>2.3809523809523808E-2</v>
      </c>
      <c r="AN1113" s="55">
        <f t="shared" si="1030"/>
        <v>0</v>
      </c>
      <c r="AO1113" s="55">
        <f t="shared" si="1031"/>
        <v>0</v>
      </c>
      <c r="AP1113" s="53">
        <v>7.1</v>
      </c>
      <c r="AQ1113" s="53">
        <f t="shared" si="999"/>
        <v>4.26</v>
      </c>
      <c r="AR1113" s="53">
        <f t="shared" si="1000"/>
        <v>21.299999999999997</v>
      </c>
      <c r="AS1113" s="56">
        <f t="shared" si="1001"/>
        <v>4.6948356807511742E-2</v>
      </c>
      <c r="AT1113" s="56">
        <f t="shared" si="1032"/>
        <v>0.23474178403755869</v>
      </c>
      <c r="AU1113" s="56">
        <f t="shared" si="1002"/>
        <v>0.176056338028169</v>
      </c>
      <c r="AV1113" s="56">
        <f t="shared" si="1033"/>
        <v>5.8685446009389672E-2</v>
      </c>
      <c r="AW1113" s="57"/>
      <c r="AX1113" s="57"/>
      <c r="AY1113" s="57"/>
      <c r="AZ1113" s="58">
        <f t="shared" si="1034"/>
        <v>0</v>
      </c>
      <c r="BA1113" s="59">
        <f t="shared" si="1035"/>
        <v>0</v>
      </c>
      <c r="BB1113" s="59">
        <f t="shared" si="1036"/>
        <v>0</v>
      </c>
      <c r="BC1113" s="59">
        <f t="shared" si="1037"/>
        <v>0</v>
      </c>
      <c r="BD1113" s="60">
        <f t="shared" si="1038"/>
        <v>0</v>
      </c>
      <c r="BE1113" s="59">
        <f t="shared" si="1039"/>
        <v>0</v>
      </c>
      <c r="BQ1113" s="61">
        <v>3000</v>
      </c>
      <c r="BR1113" s="61">
        <v>1200</v>
      </c>
      <c r="BS1113" s="28">
        <f t="shared" si="1003"/>
        <v>2980</v>
      </c>
      <c r="BT1113" s="28">
        <f t="shared" si="1004"/>
        <v>1180</v>
      </c>
      <c r="BU1113" s="28" t="s">
        <v>2541</v>
      </c>
      <c r="BV1113" s="28">
        <f t="shared" si="1005"/>
        <v>5</v>
      </c>
      <c r="BW1113" s="28">
        <f t="shared" si="1006"/>
        <v>5</v>
      </c>
      <c r="BX1113" s="13">
        <f t="shared" si="1007"/>
        <v>596</v>
      </c>
      <c r="BY1113" s="13">
        <f t="shared" si="1008"/>
        <v>596</v>
      </c>
      <c r="BZ1113" s="13">
        <f t="shared" si="1009"/>
        <v>236</v>
      </c>
      <c r="CA1113" s="13">
        <f t="shared" si="1010"/>
        <v>236</v>
      </c>
      <c r="CB1113" s="13">
        <f t="shared" si="1011"/>
        <v>140656</v>
      </c>
      <c r="CC1113" s="62" t="str">
        <f t="shared" si="1012"/>
        <v/>
      </c>
      <c r="CD1113" s="13">
        <f t="shared" si="1013"/>
        <v>596</v>
      </c>
      <c r="CE1113" s="13">
        <f t="shared" si="1014"/>
        <v>596</v>
      </c>
      <c r="CF1113" s="13">
        <f t="shared" si="1015"/>
        <v>236</v>
      </c>
      <c r="CG1113" s="13">
        <f t="shared" si="1016"/>
        <v>236</v>
      </c>
      <c r="CH1113" s="28">
        <f t="shared" si="1017"/>
        <v>140656</v>
      </c>
      <c r="CI1113" s="62" t="str">
        <f t="shared" si="1018"/>
        <v/>
      </c>
      <c r="CJ1113" s="59">
        <f t="shared" si="1019"/>
        <v>0</v>
      </c>
      <c r="CL1113" s="63">
        <v>6000</v>
      </c>
      <c r="CM1113" s="63">
        <f t="shared" si="1020"/>
        <v>0</v>
      </c>
      <c r="CN1113" s="63">
        <f t="shared" si="1021"/>
        <v>5</v>
      </c>
      <c r="CO1113" s="63">
        <f t="shared" si="1022"/>
        <v>1200</v>
      </c>
      <c r="CP1113" s="13">
        <f t="shared" si="1023"/>
        <v>1200</v>
      </c>
      <c r="CQ1113" s="70">
        <f t="shared" si="1024"/>
        <v>8.3333333333333339E-4</v>
      </c>
      <c r="CR1113" s="69">
        <f t="shared" si="985"/>
        <v>8.3333333333333339E-4</v>
      </c>
    </row>
    <row r="1114" spans="1:96" hidden="1" x14ac:dyDescent="0.25">
      <c r="A1114" s="10">
        <v>3</v>
      </c>
      <c r="B1114" s="8"/>
      <c r="C1114" s="10" t="s">
        <v>2255</v>
      </c>
      <c r="D1114" s="10" t="s">
        <v>2270</v>
      </c>
      <c r="E1114" s="10" t="s">
        <v>52</v>
      </c>
      <c r="F1114" s="12">
        <f t="shared" si="993"/>
        <v>1</v>
      </c>
      <c r="G1114" s="10">
        <v>2</v>
      </c>
      <c r="H1114" s="10">
        <f>G1114*$H$1113</f>
        <v>2</v>
      </c>
      <c r="I1114" s="10">
        <v>1</v>
      </c>
      <c r="J1114" s="8" t="s">
        <v>2256</v>
      </c>
      <c r="K1114" s="8"/>
      <c r="L1114" s="10">
        <v>0</v>
      </c>
      <c r="M1114" s="8" t="s">
        <v>35</v>
      </c>
      <c r="N1114" s="10" t="s">
        <v>2257</v>
      </c>
      <c r="O1114" s="28" t="s">
        <v>41</v>
      </c>
      <c r="P1114" s="28" t="s">
        <v>41</v>
      </c>
      <c r="Q1114" s="28" t="s">
        <v>249</v>
      </c>
      <c r="R1114" s="30">
        <v>17.306999999999999</v>
      </c>
      <c r="S1114" s="30">
        <v>5.56</v>
      </c>
      <c r="T1114" s="30"/>
      <c r="U1114" s="30">
        <v>0.19700000000000001</v>
      </c>
      <c r="V1114" s="8">
        <f t="shared" si="994"/>
        <v>439.59779999999995</v>
      </c>
      <c r="W1114" s="8">
        <f t="shared" si="995"/>
        <v>141.22399999999999</v>
      </c>
      <c r="X1114" s="8">
        <f t="shared" si="996"/>
        <v>0</v>
      </c>
      <c r="Y1114" s="33">
        <f t="shared" si="997"/>
        <v>5.0038</v>
      </c>
      <c r="Z1114" s="28" t="s">
        <v>250</v>
      </c>
      <c r="AA1114" s="28" t="s">
        <v>251</v>
      </c>
      <c r="AB1114" s="61" t="s">
        <v>249</v>
      </c>
      <c r="AC1114" s="31" t="s">
        <v>252</v>
      </c>
      <c r="AD1114" s="50">
        <f t="shared" si="998"/>
        <v>2</v>
      </c>
      <c r="AE1114" s="5" t="s">
        <v>2188</v>
      </c>
      <c r="AF1114" s="51">
        <v>14</v>
      </c>
      <c r="AG1114" s="51">
        <f t="shared" si="1026"/>
        <v>8.4</v>
      </c>
      <c r="AH1114" s="51">
        <f t="shared" si="992"/>
        <v>42</v>
      </c>
      <c r="AI1114" s="52" t="s">
        <v>2497</v>
      </c>
      <c r="AJ1114" s="52" t="s">
        <v>2498</v>
      </c>
      <c r="AK1114" s="53">
        <f t="shared" si="1027"/>
        <v>0.12416351941439999</v>
      </c>
      <c r="AL1114" s="54">
        <f t="shared" si="1028"/>
        <v>0.11904761904761904</v>
      </c>
      <c r="AM1114" s="54">
        <f t="shared" si="1029"/>
        <v>2.3809523809523808E-2</v>
      </c>
      <c r="AN1114" s="55">
        <f t="shared" si="1030"/>
        <v>2.956274271771428E-2</v>
      </c>
      <c r="AO1114" s="55">
        <f t="shared" si="1031"/>
        <v>5.9125485435428558E-3</v>
      </c>
      <c r="AP1114" s="53">
        <v>7.1</v>
      </c>
      <c r="AQ1114" s="53">
        <f t="shared" si="999"/>
        <v>4.26</v>
      </c>
      <c r="AR1114" s="53">
        <f t="shared" si="1000"/>
        <v>21.299999999999997</v>
      </c>
      <c r="AS1114" s="56">
        <f t="shared" si="1001"/>
        <v>4.6948356807511742E-2</v>
      </c>
      <c r="AT1114" s="56">
        <f t="shared" si="1032"/>
        <v>0.23474178403755869</v>
      </c>
      <c r="AU1114" s="56">
        <f t="shared" si="1002"/>
        <v>0.176056338028169</v>
      </c>
      <c r="AV1114" s="56">
        <f t="shared" si="1033"/>
        <v>5.8685446009389672E-2</v>
      </c>
      <c r="AW1114" s="57"/>
      <c r="AX1114" s="57"/>
      <c r="AY1114" s="57"/>
      <c r="AZ1114" s="58">
        <f t="shared" si="1034"/>
        <v>0.12416351941439999</v>
      </c>
      <c r="BA1114" s="59">
        <f t="shared" si="1035"/>
        <v>0</v>
      </c>
      <c r="BB1114" s="59">
        <f t="shared" si="1036"/>
        <v>0</v>
      </c>
      <c r="BC1114" s="59">
        <f t="shared" si="1037"/>
        <v>0</v>
      </c>
      <c r="BD1114" s="60">
        <f t="shared" si="1038"/>
        <v>2.0833333333333332E-2</v>
      </c>
      <c r="BE1114" s="59">
        <f t="shared" si="1039"/>
        <v>4.1666666666666664E-2</v>
      </c>
      <c r="BQ1114" s="61">
        <v>3000</v>
      </c>
      <c r="BR1114" s="61">
        <v>1200</v>
      </c>
      <c r="BS1114" s="28">
        <f t="shared" si="1003"/>
        <v>2980</v>
      </c>
      <c r="BT1114" s="28">
        <f t="shared" si="1004"/>
        <v>1180</v>
      </c>
      <c r="BU1114" s="28" t="s">
        <v>2541</v>
      </c>
      <c r="BV1114" s="28">
        <f t="shared" si="1005"/>
        <v>444.59779999999995</v>
      </c>
      <c r="BW1114" s="28">
        <f t="shared" si="1006"/>
        <v>146.22399999999999</v>
      </c>
      <c r="BX1114" s="13">
        <f t="shared" si="1007"/>
        <v>6.7026872377686084</v>
      </c>
      <c r="BY1114" s="13">
        <f t="shared" si="1008"/>
        <v>6</v>
      </c>
      <c r="BZ1114" s="13">
        <f t="shared" si="1009"/>
        <v>8.069810701389649</v>
      </c>
      <c r="CA1114" s="13">
        <f t="shared" si="1010"/>
        <v>8</v>
      </c>
      <c r="CB1114" s="13">
        <f t="shared" si="1011"/>
        <v>48</v>
      </c>
      <c r="CC1114" s="62">
        <f t="shared" si="1012"/>
        <v>2.0833333333333332E-2</v>
      </c>
      <c r="CD1114" s="13">
        <f t="shared" si="1013"/>
        <v>20.379691432323014</v>
      </c>
      <c r="CE1114" s="13">
        <f t="shared" si="1014"/>
        <v>20</v>
      </c>
      <c r="CF1114" s="13">
        <f t="shared" si="1015"/>
        <v>2.6540842082439458</v>
      </c>
      <c r="CG1114" s="13">
        <f t="shared" si="1016"/>
        <v>2</v>
      </c>
      <c r="CH1114" s="28">
        <f t="shared" si="1017"/>
        <v>40</v>
      </c>
      <c r="CI1114" s="62">
        <f t="shared" si="1018"/>
        <v>2.5000000000000001E-2</v>
      </c>
      <c r="CJ1114" s="59">
        <f t="shared" si="1019"/>
        <v>2.0833333333333332E-2</v>
      </c>
      <c r="CL1114" s="63">
        <v>6000</v>
      </c>
      <c r="CM1114" s="63">
        <f t="shared" si="1020"/>
        <v>439.59779999999995</v>
      </c>
      <c r="CN1114" s="63">
        <f t="shared" si="1021"/>
        <v>444.59779999999995</v>
      </c>
      <c r="CO1114" s="63">
        <f t="shared" si="1022"/>
        <v>13.495343431748877</v>
      </c>
      <c r="CP1114" s="13">
        <f t="shared" si="1023"/>
        <v>13</v>
      </c>
      <c r="CQ1114" s="70">
        <f t="shared" si="1024"/>
        <v>7.6923076923076927E-2</v>
      </c>
      <c r="CR1114" s="69">
        <f t="shared" si="985"/>
        <v>0.15384615384615385</v>
      </c>
    </row>
    <row r="1115" spans="1:96" hidden="1" x14ac:dyDescent="0.25">
      <c r="A1115" s="36">
        <v>2</v>
      </c>
      <c r="B1115" s="37"/>
      <c r="C1115" s="36" t="s">
        <v>336</v>
      </c>
      <c r="D1115" s="36" t="s">
        <v>341</v>
      </c>
      <c r="E1115" s="36" t="s">
        <v>52</v>
      </c>
      <c r="F1115" s="38">
        <f t="shared" si="993"/>
        <v>15</v>
      </c>
      <c r="G1115" s="36" t="s">
        <v>337</v>
      </c>
      <c r="H1115" s="36" t="str">
        <f>G1115</f>
        <v>A/R</v>
      </c>
      <c r="I1115" s="36">
        <v>3</v>
      </c>
      <c r="J1115" s="37" t="s">
        <v>2258</v>
      </c>
      <c r="K1115" s="37"/>
      <c r="L1115" s="36" t="s">
        <v>2245</v>
      </c>
      <c r="M1115" s="37" t="s">
        <v>35</v>
      </c>
      <c r="N1115" s="36" t="s">
        <v>341</v>
      </c>
      <c r="O1115" s="28" t="s">
        <v>2541</v>
      </c>
      <c r="P1115" s="28" t="s">
        <v>2541</v>
      </c>
      <c r="Q1115" s="28" t="s">
        <v>341</v>
      </c>
      <c r="R1115" s="30"/>
      <c r="S1115" s="30"/>
      <c r="T1115" s="30"/>
      <c r="U1115" s="30"/>
      <c r="V1115" s="8">
        <f t="shared" si="994"/>
        <v>0</v>
      </c>
      <c r="W1115" s="8">
        <f t="shared" si="995"/>
        <v>0</v>
      </c>
      <c r="X1115" s="8">
        <f t="shared" si="996"/>
        <v>0</v>
      </c>
      <c r="Y1115" s="33">
        <f t="shared" si="997"/>
        <v>0</v>
      </c>
      <c r="Z1115" s="28"/>
      <c r="AA1115" s="28"/>
      <c r="AB1115" s="28" t="s">
        <v>341</v>
      </c>
      <c r="AC1115" s="31" t="s">
        <v>342</v>
      </c>
      <c r="AD1115" s="50">
        <v>0</v>
      </c>
      <c r="AE1115" s="50" t="s">
        <v>337</v>
      </c>
      <c r="AF1115" s="51">
        <v>14</v>
      </c>
      <c r="AG1115" s="51">
        <f t="shared" si="1026"/>
        <v>8.4</v>
      </c>
      <c r="AH1115" s="51">
        <f t="shared" si="992"/>
        <v>42</v>
      </c>
      <c r="AI1115" s="52" t="s">
        <v>2497</v>
      </c>
      <c r="AJ1115" s="52" t="s">
        <v>2498</v>
      </c>
      <c r="AK1115" s="53">
        <f t="shared" si="1027"/>
        <v>0</v>
      </c>
      <c r="AL1115" s="54">
        <f t="shared" si="1028"/>
        <v>0.11904761904761904</v>
      </c>
      <c r="AM1115" s="54">
        <f t="shared" si="1029"/>
        <v>2.3809523809523808E-2</v>
      </c>
      <c r="AN1115" s="55">
        <f t="shared" si="1030"/>
        <v>0</v>
      </c>
      <c r="AO1115" s="55">
        <f t="shared" si="1031"/>
        <v>0</v>
      </c>
      <c r="AP1115" s="53">
        <v>7.1</v>
      </c>
      <c r="AQ1115" s="53">
        <f t="shared" si="999"/>
        <v>4.26</v>
      </c>
      <c r="AR1115" s="53">
        <f t="shared" si="1000"/>
        <v>21.299999999999997</v>
      </c>
      <c r="AS1115" s="56">
        <f t="shared" si="1001"/>
        <v>4.6948356807511742E-2</v>
      </c>
      <c r="AT1115" s="56">
        <f t="shared" si="1032"/>
        <v>0.23474178403755869</v>
      </c>
      <c r="AU1115" s="56">
        <f t="shared" si="1002"/>
        <v>0.176056338028169</v>
      </c>
      <c r="AV1115" s="56">
        <f t="shared" si="1033"/>
        <v>5.8685446009389672E-2</v>
      </c>
      <c r="AW1115" s="57"/>
      <c r="AX1115" s="57"/>
      <c r="AY1115" s="57"/>
      <c r="AZ1115" s="58">
        <f t="shared" si="1034"/>
        <v>0</v>
      </c>
      <c r="BA1115" s="59">
        <f t="shared" si="1035"/>
        <v>0</v>
      </c>
      <c r="BB1115" s="59">
        <f t="shared" si="1036"/>
        <v>0</v>
      </c>
      <c r="BC1115" s="59">
        <f t="shared" si="1037"/>
        <v>0</v>
      </c>
      <c r="BD1115" s="60">
        <f t="shared" si="1038"/>
        <v>7.1095438516664771E-6</v>
      </c>
      <c r="BE1115" s="59">
        <f t="shared" si="1039"/>
        <v>0</v>
      </c>
      <c r="BQ1115" s="61">
        <v>3000</v>
      </c>
      <c r="BR1115" s="61">
        <v>1200</v>
      </c>
      <c r="BS1115" s="28">
        <f t="shared" si="1003"/>
        <v>2980</v>
      </c>
      <c r="BT1115" s="28">
        <f t="shared" si="1004"/>
        <v>1180</v>
      </c>
      <c r="BU1115" s="28" t="s">
        <v>2541</v>
      </c>
      <c r="BV1115" s="28">
        <f t="shared" si="1005"/>
        <v>5</v>
      </c>
      <c r="BW1115" s="28">
        <f t="shared" si="1006"/>
        <v>5</v>
      </c>
      <c r="BX1115" s="13">
        <f t="shared" si="1007"/>
        <v>596</v>
      </c>
      <c r="BY1115" s="13">
        <f t="shared" si="1008"/>
        <v>596</v>
      </c>
      <c r="BZ1115" s="13">
        <f t="shared" si="1009"/>
        <v>236</v>
      </c>
      <c r="CA1115" s="13">
        <f t="shared" si="1010"/>
        <v>236</v>
      </c>
      <c r="CB1115" s="13">
        <f t="shared" si="1011"/>
        <v>140656</v>
      </c>
      <c r="CC1115" s="62">
        <f t="shared" si="1012"/>
        <v>7.1095438516664771E-6</v>
      </c>
      <c r="CD1115" s="13">
        <f t="shared" si="1013"/>
        <v>596</v>
      </c>
      <c r="CE1115" s="13">
        <f t="shared" si="1014"/>
        <v>596</v>
      </c>
      <c r="CF1115" s="13">
        <f t="shared" si="1015"/>
        <v>236</v>
      </c>
      <c r="CG1115" s="13">
        <f t="shared" si="1016"/>
        <v>236</v>
      </c>
      <c r="CH1115" s="28">
        <f t="shared" si="1017"/>
        <v>140656</v>
      </c>
      <c r="CI1115" s="62">
        <f t="shared" si="1018"/>
        <v>7.1095438516664771E-6</v>
      </c>
      <c r="CJ1115" s="59">
        <f t="shared" si="1019"/>
        <v>7.1095438516664771E-6</v>
      </c>
      <c r="CL1115" s="63">
        <v>6000</v>
      </c>
      <c r="CM1115" s="63">
        <f t="shared" si="1020"/>
        <v>0</v>
      </c>
      <c r="CN1115" s="63">
        <f t="shared" si="1021"/>
        <v>5</v>
      </c>
      <c r="CO1115" s="63">
        <f t="shared" si="1022"/>
        <v>1200</v>
      </c>
      <c r="CP1115" s="13">
        <f t="shared" si="1023"/>
        <v>1200</v>
      </c>
      <c r="CQ1115" s="70">
        <f t="shared" si="1024"/>
        <v>8.3333333333333339E-4</v>
      </c>
      <c r="CR1115" s="69">
        <f t="shared" si="985"/>
        <v>0</v>
      </c>
    </row>
    <row r="1116" spans="1:96" hidden="1" x14ac:dyDescent="0.25">
      <c r="A1116" s="3">
        <v>1</v>
      </c>
      <c r="B1116" s="4" t="s">
        <v>30</v>
      </c>
      <c r="C1116" s="3" t="s">
        <v>2259</v>
      </c>
      <c r="D1116" s="3" t="s">
        <v>2270</v>
      </c>
      <c r="E1116" s="3" t="s">
        <v>32</v>
      </c>
      <c r="F1116" s="9">
        <f t="shared" si="993"/>
        <v>1</v>
      </c>
      <c r="G1116" s="3">
        <v>2</v>
      </c>
      <c r="H1116" s="3">
        <f>G1116*$H$2</f>
        <v>2</v>
      </c>
      <c r="I1116" s="3">
        <v>6</v>
      </c>
      <c r="J1116" s="4" t="s">
        <v>2043</v>
      </c>
      <c r="K1116" s="4"/>
      <c r="L1116" s="3">
        <v>0</v>
      </c>
      <c r="M1116" s="4" t="s">
        <v>35</v>
      </c>
      <c r="N1116" s="3" t="s">
        <v>2260</v>
      </c>
      <c r="O1116" s="28" t="s">
        <v>41</v>
      </c>
      <c r="P1116" s="28" t="s">
        <v>41</v>
      </c>
      <c r="Q1116" s="28"/>
      <c r="R1116" s="30"/>
      <c r="S1116" s="30"/>
      <c r="T1116" s="30"/>
      <c r="U1116" s="30"/>
      <c r="V1116" s="8">
        <f t="shared" si="994"/>
        <v>0</v>
      </c>
      <c r="W1116" s="8">
        <f t="shared" si="995"/>
        <v>0</v>
      </c>
      <c r="X1116" s="8">
        <f t="shared" si="996"/>
        <v>0</v>
      </c>
      <c r="Y1116" s="33">
        <f t="shared" si="997"/>
        <v>0</v>
      </c>
      <c r="Z1116" s="28"/>
      <c r="AA1116" s="28"/>
      <c r="AB1116" s="28">
        <v>0</v>
      </c>
      <c r="AC1116" s="31"/>
      <c r="AD1116" s="50">
        <f t="shared" si="998"/>
        <v>2</v>
      </c>
      <c r="AE1116" s="5" t="s">
        <v>2261</v>
      </c>
      <c r="AF1116" s="51">
        <v>14</v>
      </c>
      <c r="AG1116" s="51">
        <f t="shared" si="1026"/>
        <v>8.4</v>
      </c>
      <c r="AH1116" s="51">
        <f t="shared" si="992"/>
        <v>42</v>
      </c>
      <c r="AI1116" s="52"/>
      <c r="AJ1116" s="52"/>
      <c r="AK1116" s="53">
        <f t="shared" si="1027"/>
        <v>0</v>
      </c>
      <c r="AL1116" s="54">
        <f t="shared" si="1028"/>
        <v>0.11904761904761904</v>
      </c>
      <c r="AM1116" s="54">
        <f t="shared" si="1029"/>
        <v>2.3809523809523808E-2</v>
      </c>
      <c r="AN1116" s="55">
        <f t="shared" si="1030"/>
        <v>0</v>
      </c>
      <c r="AO1116" s="55">
        <f t="shared" si="1031"/>
        <v>0</v>
      </c>
      <c r="AP1116" s="53">
        <v>7.1</v>
      </c>
      <c r="AQ1116" s="53">
        <f t="shared" si="999"/>
        <v>4.26</v>
      </c>
      <c r="AR1116" s="53">
        <f t="shared" si="1000"/>
        <v>21.299999999999997</v>
      </c>
      <c r="AS1116" s="56">
        <f t="shared" si="1001"/>
        <v>4.6948356807511742E-2</v>
      </c>
      <c r="AT1116" s="56">
        <f t="shared" si="1032"/>
        <v>0.23474178403755869</v>
      </c>
      <c r="AU1116" s="56">
        <f t="shared" si="1002"/>
        <v>0.176056338028169</v>
      </c>
      <c r="AV1116" s="56">
        <f t="shared" si="1033"/>
        <v>5.8685446009389672E-2</v>
      </c>
      <c r="AW1116" s="57"/>
      <c r="AX1116" s="57"/>
      <c r="AY1116" s="57"/>
      <c r="AZ1116" s="58">
        <f t="shared" si="1034"/>
        <v>0</v>
      </c>
      <c r="BA1116" s="59">
        <f t="shared" si="1035"/>
        <v>0</v>
      </c>
      <c r="BB1116" s="59">
        <f t="shared" si="1036"/>
        <v>0</v>
      </c>
      <c r="BC1116" s="59">
        <f t="shared" si="1037"/>
        <v>0</v>
      </c>
      <c r="BD1116" s="60">
        <f t="shared" si="1038"/>
        <v>0</v>
      </c>
      <c r="BE1116" s="59">
        <f t="shared" si="1039"/>
        <v>0</v>
      </c>
      <c r="BQ1116" s="61">
        <v>3000</v>
      </c>
      <c r="BR1116" s="61">
        <v>1200</v>
      </c>
      <c r="BS1116" s="28">
        <f t="shared" si="1003"/>
        <v>2980</v>
      </c>
      <c r="BT1116" s="28">
        <f t="shared" si="1004"/>
        <v>1180</v>
      </c>
      <c r="BU1116" s="28" t="s">
        <v>2541</v>
      </c>
      <c r="BV1116" s="28">
        <f t="shared" si="1005"/>
        <v>5</v>
      </c>
      <c r="BW1116" s="28">
        <f t="shared" si="1006"/>
        <v>5</v>
      </c>
      <c r="BX1116" s="13">
        <f t="shared" si="1007"/>
        <v>596</v>
      </c>
      <c r="BY1116" s="13">
        <f t="shared" si="1008"/>
        <v>596</v>
      </c>
      <c r="BZ1116" s="13">
        <f t="shared" si="1009"/>
        <v>236</v>
      </c>
      <c r="CA1116" s="13">
        <f t="shared" si="1010"/>
        <v>236</v>
      </c>
      <c r="CB1116" s="13">
        <f t="shared" si="1011"/>
        <v>140656</v>
      </c>
      <c r="CC1116" s="62" t="str">
        <f t="shared" si="1012"/>
        <v/>
      </c>
      <c r="CD1116" s="13">
        <f t="shared" si="1013"/>
        <v>596</v>
      </c>
      <c r="CE1116" s="13">
        <f t="shared" si="1014"/>
        <v>596</v>
      </c>
      <c r="CF1116" s="13">
        <f t="shared" si="1015"/>
        <v>236</v>
      </c>
      <c r="CG1116" s="13">
        <f t="shared" si="1016"/>
        <v>236</v>
      </c>
      <c r="CH1116" s="28">
        <f t="shared" si="1017"/>
        <v>140656</v>
      </c>
      <c r="CI1116" s="62" t="str">
        <f t="shared" si="1018"/>
        <v/>
      </c>
      <c r="CJ1116" s="59">
        <f t="shared" si="1019"/>
        <v>0</v>
      </c>
      <c r="CL1116" s="63">
        <v>6000</v>
      </c>
      <c r="CM1116" s="63">
        <f t="shared" si="1020"/>
        <v>0</v>
      </c>
      <c r="CN1116" s="63">
        <f t="shared" si="1021"/>
        <v>5</v>
      </c>
      <c r="CO1116" s="63">
        <f t="shared" si="1022"/>
        <v>1200</v>
      </c>
      <c r="CP1116" s="13">
        <f t="shared" si="1023"/>
        <v>1200</v>
      </c>
      <c r="CQ1116" s="70">
        <f t="shared" si="1024"/>
        <v>8.3333333333333339E-4</v>
      </c>
      <c r="CR1116" s="69">
        <f t="shared" si="985"/>
        <v>1.6666666666666668E-3</v>
      </c>
    </row>
    <row r="1117" spans="1:96" hidden="1" x14ac:dyDescent="0.25">
      <c r="A1117" s="36">
        <v>2</v>
      </c>
      <c r="B1117" s="37"/>
      <c r="C1117" s="36" t="s">
        <v>2262</v>
      </c>
      <c r="D1117" s="36" t="s">
        <v>2270</v>
      </c>
      <c r="E1117" s="36" t="s">
        <v>52</v>
      </c>
      <c r="F1117" s="38">
        <f t="shared" si="993"/>
        <v>1</v>
      </c>
      <c r="G1117" s="36">
        <v>1</v>
      </c>
      <c r="H1117" s="36">
        <f>G1117*$H$1116</f>
        <v>2</v>
      </c>
      <c r="I1117" s="36" t="s">
        <v>2263</v>
      </c>
      <c r="J1117" s="37" t="s">
        <v>2264</v>
      </c>
      <c r="K1117" s="37"/>
      <c r="L1117" s="36">
        <v>0</v>
      </c>
      <c r="M1117" s="37" t="s">
        <v>35</v>
      </c>
      <c r="N1117" s="36" t="s">
        <v>2265</v>
      </c>
      <c r="O1117" s="28" t="s">
        <v>41</v>
      </c>
      <c r="P1117" s="28" t="s">
        <v>41</v>
      </c>
      <c r="Q1117" s="28" t="s">
        <v>124</v>
      </c>
      <c r="R1117" s="30">
        <v>46.82</v>
      </c>
      <c r="S1117" s="30">
        <v>23.62</v>
      </c>
      <c r="T1117" s="30"/>
      <c r="U1117" s="30">
        <v>9.8425196850393706E-2</v>
      </c>
      <c r="V1117" s="8">
        <f t="shared" si="994"/>
        <v>1189.2279999999998</v>
      </c>
      <c r="W1117" s="8">
        <f t="shared" si="995"/>
        <v>599.94799999999998</v>
      </c>
      <c r="X1117" s="8">
        <f t="shared" si="996"/>
        <v>0</v>
      </c>
      <c r="Y1117" s="33">
        <f t="shared" si="997"/>
        <v>2.5</v>
      </c>
      <c r="Z1117" s="28" t="s">
        <v>56</v>
      </c>
      <c r="AA1117" s="28" t="s">
        <v>57</v>
      </c>
      <c r="AB1117" s="61" t="s">
        <v>124</v>
      </c>
      <c r="AC1117" s="31" t="s">
        <v>125</v>
      </c>
      <c r="AD1117" s="50">
        <f t="shared" si="998"/>
        <v>2</v>
      </c>
      <c r="AE1117" s="31"/>
      <c r="AF1117" s="51">
        <v>14</v>
      </c>
      <c r="AG1117" s="51">
        <f t="shared" si="1026"/>
        <v>8.4</v>
      </c>
      <c r="AH1117" s="51">
        <f t="shared" si="992"/>
        <v>42</v>
      </c>
      <c r="AI1117" s="52"/>
      <c r="AJ1117" s="52"/>
      <c r="AK1117" s="53">
        <f t="shared" si="1027"/>
        <v>1.4269499202879998</v>
      </c>
      <c r="AL1117" s="54">
        <f t="shared" si="1028"/>
        <v>0.11904761904761904</v>
      </c>
      <c r="AM1117" s="54">
        <f t="shared" si="1029"/>
        <v>2.3809523809523808E-2</v>
      </c>
      <c r="AN1117" s="55">
        <f t="shared" si="1030"/>
        <v>0</v>
      </c>
      <c r="AO1117" s="55">
        <f t="shared" si="1031"/>
        <v>0</v>
      </c>
      <c r="AP1117" s="53">
        <v>7.1</v>
      </c>
      <c r="AQ1117" s="53">
        <f t="shared" si="999"/>
        <v>4.26</v>
      </c>
      <c r="AR1117" s="53">
        <f t="shared" si="1000"/>
        <v>21.299999999999997</v>
      </c>
      <c r="AS1117" s="56">
        <f t="shared" si="1001"/>
        <v>4.6948356807511742E-2</v>
      </c>
      <c r="AT1117" s="56">
        <f t="shared" si="1032"/>
        <v>0.23474178403755869</v>
      </c>
      <c r="AU1117" s="56">
        <f t="shared" si="1002"/>
        <v>0.176056338028169</v>
      </c>
      <c r="AV1117" s="56">
        <f t="shared" si="1033"/>
        <v>5.8685446009389672E-2</v>
      </c>
      <c r="AW1117" s="57"/>
      <c r="AX1117" s="57"/>
      <c r="AY1117" s="57"/>
      <c r="AZ1117" s="58">
        <f t="shared" si="1034"/>
        <v>1.4269499202879998</v>
      </c>
      <c r="BA1117" s="59">
        <f t="shared" si="1035"/>
        <v>0</v>
      </c>
      <c r="BB1117" s="59">
        <f t="shared" si="1036"/>
        <v>0</v>
      </c>
      <c r="BC1117" s="59">
        <f t="shared" si="1037"/>
        <v>0</v>
      </c>
      <c r="BD1117" s="60">
        <f t="shared" si="1038"/>
        <v>0.5</v>
      </c>
      <c r="BE1117" s="59">
        <f t="shared" si="1039"/>
        <v>1</v>
      </c>
      <c r="BQ1117" s="61">
        <v>3000</v>
      </c>
      <c r="BR1117" s="61">
        <v>1200</v>
      </c>
      <c r="BS1117" s="28">
        <f t="shared" si="1003"/>
        <v>2980</v>
      </c>
      <c r="BT1117" s="28">
        <f t="shared" si="1004"/>
        <v>1180</v>
      </c>
      <c r="BU1117" s="28" t="s">
        <v>2541</v>
      </c>
      <c r="BV1117" s="28">
        <f t="shared" si="1005"/>
        <v>1194.2279999999998</v>
      </c>
      <c r="BW1117" s="28">
        <f t="shared" si="1006"/>
        <v>604.94799999999998</v>
      </c>
      <c r="BX1117" s="13">
        <f t="shared" si="1007"/>
        <v>2.4953358990075603</v>
      </c>
      <c r="BY1117" s="13">
        <f t="shared" si="1008"/>
        <v>2</v>
      </c>
      <c r="BZ1117" s="13">
        <f t="shared" si="1009"/>
        <v>1.9505808763728454</v>
      </c>
      <c r="CA1117" s="13">
        <f t="shared" si="1010"/>
        <v>1</v>
      </c>
      <c r="CB1117" s="13">
        <f t="shared" si="1011"/>
        <v>2</v>
      </c>
      <c r="CC1117" s="62">
        <f t="shared" si="1012"/>
        <v>0.5</v>
      </c>
      <c r="CD1117" s="13">
        <f t="shared" si="1013"/>
        <v>4.9260432301619312</v>
      </c>
      <c r="CE1117" s="13">
        <f t="shared" si="1014"/>
        <v>4</v>
      </c>
      <c r="CF1117" s="13">
        <f t="shared" si="1015"/>
        <v>0.98808602712379889</v>
      </c>
      <c r="CG1117" s="13">
        <f t="shared" si="1016"/>
        <v>0</v>
      </c>
      <c r="CH1117" s="28">
        <f t="shared" si="1017"/>
        <v>0</v>
      </c>
      <c r="CI1117" s="62">
        <f t="shared" si="1018"/>
        <v>1</v>
      </c>
      <c r="CJ1117" s="59">
        <f t="shared" si="1019"/>
        <v>0.5</v>
      </c>
      <c r="CL1117" s="63">
        <v>6000</v>
      </c>
      <c r="CM1117" s="63">
        <f t="shared" si="1020"/>
        <v>1189.2279999999998</v>
      </c>
      <c r="CN1117" s="63">
        <f t="shared" si="1021"/>
        <v>1194.2279999999998</v>
      </c>
      <c r="CO1117" s="63">
        <f t="shared" si="1022"/>
        <v>5.0241662396125371</v>
      </c>
      <c r="CP1117" s="13">
        <f t="shared" si="1023"/>
        <v>5</v>
      </c>
      <c r="CQ1117" s="70">
        <f t="shared" si="1024"/>
        <v>0.2</v>
      </c>
      <c r="CR1117" s="69">
        <f t="shared" si="985"/>
        <v>0.4</v>
      </c>
    </row>
    <row r="1118" spans="1:96" hidden="1" x14ac:dyDescent="0.25">
      <c r="A1118" s="36">
        <v>2</v>
      </c>
      <c r="B1118" s="37"/>
      <c r="C1118" s="36" t="s">
        <v>2266</v>
      </c>
      <c r="D1118" s="36" t="s">
        <v>2270</v>
      </c>
      <c r="E1118" s="36" t="s">
        <v>52</v>
      </c>
      <c r="F1118" s="38">
        <f t="shared" si="993"/>
        <v>1</v>
      </c>
      <c r="G1118" s="36">
        <v>1</v>
      </c>
      <c r="H1118" s="36">
        <f>G1118*$H$1116</f>
        <v>2</v>
      </c>
      <c r="I1118" s="36" t="s">
        <v>2267</v>
      </c>
      <c r="J1118" s="37" t="s">
        <v>2047</v>
      </c>
      <c r="K1118" s="37"/>
      <c r="L1118" s="36">
        <v>0</v>
      </c>
      <c r="M1118" s="37" t="s">
        <v>35</v>
      </c>
      <c r="N1118" s="36" t="s">
        <v>2268</v>
      </c>
      <c r="O1118" s="28" t="s">
        <v>41</v>
      </c>
      <c r="P1118" s="28" t="s">
        <v>41</v>
      </c>
      <c r="Q1118" s="28" t="s">
        <v>2049</v>
      </c>
      <c r="R1118" s="30">
        <v>85.094999999999999</v>
      </c>
      <c r="S1118" s="30">
        <v>19.47</v>
      </c>
      <c r="T1118" s="30"/>
      <c r="U1118" s="30">
        <v>4.4999999999999998E-2</v>
      </c>
      <c r="V1118" s="8">
        <f t="shared" si="994"/>
        <v>2161.413</v>
      </c>
      <c r="W1118" s="8">
        <f t="shared" si="995"/>
        <v>494.53799999999995</v>
      </c>
      <c r="X1118" s="8">
        <f t="shared" si="996"/>
        <v>0</v>
      </c>
      <c r="Y1118" s="33">
        <f t="shared" si="997"/>
        <v>1.1429999999999998</v>
      </c>
      <c r="Z1118" s="28" t="s">
        <v>2037</v>
      </c>
      <c r="AA1118" s="28" t="s">
        <v>2223</v>
      </c>
      <c r="AB1118" s="61" t="s">
        <v>2049</v>
      </c>
      <c r="AC1118" s="31" t="s">
        <v>2050</v>
      </c>
      <c r="AD1118" s="50">
        <f t="shared" si="998"/>
        <v>2</v>
      </c>
      <c r="AE1118" s="31"/>
      <c r="AF1118" s="51">
        <v>14</v>
      </c>
      <c r="AG1118" s="51">
        <f t="shared" si="1026"/>
        <v>8.4</v>
      </c>
      <c r="AH1118" s="51">
        <f t="shared" si="992"/>
        <v>42</v>
      </c>
      <c r="AI1118" s="52"/>
      <c r="AJ1118" s="52"/>
      <c r="AK1118" s="53">
        <f t="shared" si="1027"/>
        <v>2.1378017243879994</v>
      </c>
      <c r="AL1118" s="54">
        <f t="shared" si="1028"/>
        <v>0.11904761904761904</v>
      </c>
      <c r="AM1118" s="54">
        <f t="shared" si="1029"/>
        <v>2.3809523809523808E-2</v>
      </c>
      <c r="AN1118" s="55">
        <f t="shared" si="1030"/>
        <v>0</v>
      </c>
      <c r="AO1118" s="55">
        <f t="shared" si="1031"/>
        <v>0</v>
      </c>
      <c r="AP1118" s="53">
        <v>7.1</v>
      </c>
      <c r="AQ1118" s="53">
        <f t="shared" si="999"/>
        <v>4.26</v>
      </c>
      <c r="AR1118" s="53">
        <f t="shared" si="1000"/>
        <v>21.299999999999997</v>
      </c>
      <c r="AS1118" s="56">
        <f t="shared" si="1001"/>
        <v>4.6948356807511742E-2</v>
      </c>
      <c r="AT1118" s="56">
        <f t="shared" si="1032"/>
        <v>0.23474178403755869</v>
      </c>
      <c r="AU1118" s="56">
        <f t="shared" si="1002"/>
        <v>0.176056338028169</v>
      </c>
      <c r="AV1118" s="56">
        <f t="shared" si="1033"/>
        <v>5.8685446009389672E-2</v>
      </c>
      <c r="AW1118" s="57"/>
      <c r="AX1118" s="57"/>
      <c r="AY1118" s="57"/>
      <c r="AZ1118" s="58">
        <f t="shared" si="1034"/>
        <v>2.1378017243879994</v>
      </c>
      <c r="BA1118" s="59">
        <f t="shared" si="1035"/>
        <v>0</v>
      </c>
      <c r="BB1118" s="59">
        <f t="shared" si="1036"/>
        <v>0</v>
      </c>
      <c r="BC1118" s="59">
        <f t="shared" si="1037"/>
        <v>0</v>
      </c>
      <c r="BD1118" s="60">
        <f t="shared" si="1038"/>
        <v>0.5</v>
      </c>
      <c r="BE1118" s="59">
        <f t="shared" si="1039"/>
        <v>1</v>
      </c>
      <c r="BQ1118" s="61">
        <v>3000</v>
      </c>
      <c r="BR1118" s="61">
        <v>1200</v>
      </c>
      <c r="BS1118" s="28">
        <f t="shared" si="1003"/>
        <v>2980</v>
      </c>
      <c r="BT1118" s="28">
        <f t="shared" si="1004"/>
        <v>1180</v>
      </c>
      <c r="BU1118" s="28" t="s">
        <v>2541</v>
      </c>
      <c r="BV1118" s="28">
        <f t="shared" si="1005"/>
        <v>2166.413</v>
      </c>
      <c r="BW1118" s="28">
        <f t="shared" si="1006"/>
        <v>499.53799999999995</v>
      </c>
      <c r="BX1118" s="13">
        <f t="shared" si="1007"/>
        <v>1.3755456600380445</v>
      </c>
      <c r="BY1118" s="13">
        <f t="shared" si="1008"/>
        <v>1</v>
      </c>
      <c r="BZ1118" s="13">
        <f t="shared" si="1009"/>
        <v>2.3621826567748601</v>
      </c>
      <c r="CA1118" s="13">
        <f t="shared" si="1010"/>
        <v>2</v>
      </c>
      <c r="CB1118" s="13">
        <f t="shared" si="1011"/>
        <v>2</v>
      </c>
      <c r="CC1118" s="62">
        <f t="shared" si="1012"/>
        <v>0.5</v>
      </c>
      <c r="CD1118" s="13">
        <f t="shared" si="1013"/>
        <v>5.9655121332110879</v>
      </c>
      <c r="CE1118" s="13">
        <f t="shared" si="1014"/>
        <v>5</v>
      </c>
      <c r="CF1118" s="13">
        <f t="shared" si="1015"/>
        <v>0.54467915397479616</v>
      </c>
      <c r="CG1118" s="13">
        <f t="shared" si="1016"/>
        <v>0</v>
      </c>
      <c r="CH1118" s="28">
        <f t="shared" si="1017"/>
        <v>0</v>
      </c>
      <c r="CI1118" s="62">
        <f t="shared" si="1018"/>
        <v>1</v>
      </c>
      <c r="CJ1118" s="59">
        <f t="shared" si="1019"/>
        <v>0.5</v>
      </c>
      <c r="CL1118" s="63">
        <v>6000</v>
      </c>
      <c r="CM1118" s="63">
        <f t="shared" si="1020"/>
        <v>2161.413</v>
      </c>
      <c r="CN1118" s="63">
        <f t="shared" si="1021"/>
        <v>2166.413</v>
      </c>
      <c r="CO1118" s="63">
        <f t="shared" si="1022"/>
        <v>2.7695550202108277</v>
      </c>
      <c r="CP1118" s="13">
        <f t="shared" si="1023"/>
        <v>2</v>
      </c>
      <c r="CQ1118" s="70">
        <f t="shared" si="1024"/>
        <v>0.5</v>
      </c>
      <c r="CR1118" s="69">
        <f t="shared" si="985"/>
        <v>1</v>
      </c>
    </row>
    <row r="1119" spans="1:96" hidden="1" x14ac:dyDescent="0.25">
      <c r="A1119" s="3">
        <v>1</v>
      </c>
      <c r="B1119" s="4" t="s">
        <v>30</v>
      </c>
      <c r="C1119" s="3" t="s">
        <v>2269</v>
      </c>
      <c r="D1119" s="3" t="s">
        <v>2270</v>
      </c>
      <c r="E1119" s="3" t="s">
        <v>52</v>
      </c>
      <c r="F1119" s="9">
        <f t="shared" si="993"/>
        <v>1</v>
      </c>
      <c r="G1119" s="3">
        <v>4</v>
      </c>
      <c r="H1119" s="3">
        <f t="shared" ref="H1119:H1124" si="1042">G1119*$H$2</f>
        <v>4</v>
      </c>
      <c r="I1119" s="3">
        <v>1</v>
      </c>
      <c r="J1119" s="4" t="s">
        <v>2271</v>
      </c>
      <c r="K1119" s="4">
        <v>0</v>
      </c>
      <c r="L1119" s="3">
        <v>0</v>
      </c>
      <c r="M1119" s="4" t="s">
        <v>35</v>
      </c>
      <c r="N1119" s="3" t="s">
        <v>2272</v>
      </c>
      <c r="O1119" s="28" t="s">
        <v>41</v>
      </c>
      <c r="P1119" s="28" t="s">
        <v>41</v>
      </c>
      <c r="Q1119" s="28" t="s">
        <v>124</v>
      </c>
      <c r="R1119" s="30">
        <v>43.164000000000001</v>
      </c>
      <c r="S1119" s="30">
        <v>1.7070000000000001</v>
      </c>
      <c r="T1119" s="30"/>
      <c r="U1119" s="30">
        <v>9.8425196850393706E-2</v>
      </c>
      <c r="V1119" s="8">
        <f t="shared" si="994"/>
        <v>1096.3656000000001</v>
      </c>
      <c r="W1119" s="8">
        <f t="shared" si="995"/>
        <v>43.357799999999997</v>
      </c>
      <c r="X1119" s="8">
        <f t="shared" si="996"/>
        <v>0</v>
      </c>
      <c r="Y1119" s="33">
        <f t="shared" si="997"/>
        <v>2.5</v>
      </c>
      <c r="Z1119" s="28" t="s">
        <v>56</v>
      </c>
      <c r="AA1119" s="28" t="s">
        <v>57</v>
      </c>
      <c r="AB1119" s="61" t="s">
        <v>124</v>
      </c>
      <c r="AC1119" s="31" t="s">
        <v>125</v>
      </c>
      <c r="AD1119" s="50">
        <f t="shared" si="998"/>
        <v>4</v>
      </c>
      <c r="AE1119" s="5" t="s">
        <v>2188</v>
      </c>
      <c r="AF1119" s="51">
        <v>14</v>
      </c>
      <c r="AG1119" s="51">
        <f t="shared" si="1026"/>
        <v>8.4</v>
      </c>
      <c r="AH1119" s="51">
        <f t="shared" si="992"/>
        <v>42</v>
      </c>
      <c r="AI1119" s="52" t="s">
        <v>2497</v>
      </c>
      <c r="AJ1119" s="52" t="s">
        <v>2498</v>
      </c>
      <c r="AK1119" s="53">
        <f t="shared" si="1027"/>
        <v>9.5072000823359995E-2</v>
      </c>
      <c r="AL1119" s="54">
        <f t="shared" si="1028"/>
        <v>0.11904761904761904</v>
      </c>
      <c r="AM1119" s="54">
        <f t="shared" si="1029"/>
        <v>2.3809523809523808E-2</v>
      </c>
      <c r="AN1119" s="55">
        <f t="shared" si="1030"/>
        <v>4.5272381344457137E-2</v>
      </c>
      <c r="AO1119" s="55">
        <f t="shared" si="1031"/>
        <v>9.054476268891427E-3</v>
      </c>
      <c r="AP1119" s="53">
        <v>7.1</v>
      </c>
      <c r="AQ1119" s="53">
        <f t="shared" si="999"/>
        <v>4.26</v>
      </c>
      <c r="AR1119" s="53">
        <f t="shared" si="1000"/>
        <v>21.299999999999997</v>
      </c>
      <c r="AS1119" s="56">
        <f t="shared" si="1001"/>
        <v>4.6948356807511742E-2</v>
      </c>
      <c r="AT1119" s="56">
        <f t="shared" si="1032"/>
        <v>0.23474178403755869</v>
      </c>
      <c r="AU1119" s="56">
        <f t="shared" si="1002"/>
        <v>0.176056338028169</v>
      </c>
      <c r="AV1119" s="56">
        <f t="shared" si="1033"/>
        <v>5.8685446009389672E-2</v>
      </c>
      <c r="AW1119" s="57"/>
      <c r="AX1119" s="57"/>
      <c r="AY1119" s="57"/>
      <c r="AZ1119" s="58">
        <f t="shared" si="1034"/>
        <v>9.5072000823359995E-2</v>
      </c>
      <c r="BA1119" s="59">
        <f t="shared" si="1035"/>
        <v>0</v>
      </c>
      <c r="BB1119" s="59">
        <f t="shared" si="1036"/>
        <v>0</v>
      </c>
      <c r="BC1119" s="59">
        <f t="shared" si="1037"/>
        <v>0</v>
      </c>
      <c r="BD1119" s="60">
        <f t="shared" si="1038"/>
        <v>1.6393442622950821E-2</v>
      </c>
      <c r="BE1119" s="59">
        <f t="shared" si="1039"/>
        <v>6.5573770491803282E-2</v>
      </c>
      <c r="BQ1119" s="61">
        <v>3000</v>
      </c>
      <c r="BR1119" s="61">
        <v>1200</v>
      </c>
      <c r="BS1119" s="28">
        <f t="shared" si="1003"/>
        <v>2980</v>
      </c>
      <c r="BT1119" s="28">
        <f t="shared" si="1004"/>
        <v>1180</v>
      </c>
      <c r="BU1119" s="28" t="s">
        <v>2541</v>
      </c>
      <c r="BV1119" s="28">
        <f t="shared" si="1005"/>
        <v>1101.3656000000001</v>
      </c>
      <c r="BW1119" s="28">
        <f t="shared" si="1006"/>
        <v>48.357799999999997</v>
      </c>
      <c r="BX1119" s="13">
        <f t="shared" si="1007"/>
        <v>2.705731865967123</v>
      </c>
      <c r="BY1119" s="13">
        <f t="shared" si="1008"/>
        <v>2</v>
      </c>
      <c r="BZ1119" s="13">
        <f t="shared" si="1009"/>
        <v>24.401440925765854</v>
      </c>
      <c r="CA1119" s="13">
        <f t="shared" si="1010"/>
        <v>24</v>
      </c>
      <c r="CB1119" s="13">
        <f t="shared" si="1011"/>
        <v>48</v>
      </c>
      <c r="CC1119" s="62">
        <f t="shared" si="1012"/>
        <v>2.0833333333333332E-2</v>
      </c>
      <c r="CD1119" s="13">
        <f t="shared" si="1013"/>
        <v>61.623977931171396</v>
      </c>
      <c r="CE1119" s="13">
        <f t="shared" si="1014"/>
        <v>61</v>
      </c>
      <c r="CF1119" s="13">
        <f t="shared" si="1015"/>
        <v>1.0713971818259076</v>
      </c>
      <c r="CG1119" s="13">
        <f t="shared" si="1016"/>
        <v>1</v>
      </c>
      <c r="CH1119" s="28">
        <f t="shared" si="1017"/>
        <v>61</v>
      </c>
      <c r="CI1119" s="62">
        <f t="shared" si="1018"/>
        <v>1.6393442622950821E-2</v>
      </c>
      <c r="CJ1119" s="59">
        <f t="shared" si="1019"/>
        <v>1.6393442622950821E-2</v>
      </c>
      <c r="CL1119" s="63">
        <v>6000</v>
      </c>
      <c r="CM1119" s="63">
        <f t="shared" si="1020"/>
        <v>1096.3656000000001</v>
      </c>
      <c r="CN1119" s="63">
        <f t="shared" si="1021"/>
        <v>1101.3656000000001</v>
      </c>
      <c r="CO1119" s="63">
        <f t="shared" si="1022"/>
        <v>5.447782280470717</v>
      </c>
      <c r="CP1119" s="13">
        <f t="shared" si="1023"/>
        <v>5</v>
      </c>
      <c r="CQ1119" s="70">
        <f t="shared" si="1024"/>
        <v>0.2</v>
      </c>
      <c r="CR1119" s="69">
        <f t="shared" si="985"/>
        <v>0.8</v>
      </c>
    </row>
    <row r="1120" spans="1:96" hidden="1" x14ac:dyDescent="0.25">
      <c r="A1120" s="3">
        <v>1</v>
      </c>
      <c r="B1120" s="4" t="s">
        <v>30</v>
      </c>
      <c r="C1120" s="3" t="s">
        <v>1287</v>
      </c>
      <c r="D1120" s="3" t="s">
        <v>1289</v>
      </c>
      <c r="E1120" s="3" t="s">
        <v>52</v>
      </c>
      <c r="F1120" s="9">
        <f t="shared" si="993"/>
        <v>2</v>
      </c>
      <c r="G1120" s="3">
        <v>24</v>
      </c>
      <c r="H1120" s="3">
        <f t="shared" si="1042"/>
        <v>24</v>
      </c>
      <c r="I1120" s="3"/>
      <c r="J1120" s="4"/>
      <c r="K1120" s="4"/>
      <c r="L1120" s="3">
        <v>0</v>
      </c>
      <c r="M1120" s="4" t="s">
        <v>35</v>
      </c>
      <c r="N1120" s="3" t="s">
        <v>1289</v>
      </c>
      <c r="O1120" s="28"/>
      <c r="P1120" s="28"/>
      <c r="Q1120" s="28" t="s">
        <v>1289</v>
      </c>
      <c r="R1120" s="30"/>
      <c r="S1120" s="30"/>
      <c r="T1120" s="30"/>
      <c r="U1120" s="30"/>
      <c r="V1120" s="8">
        <f t="shared" si="994"/>
        <v>0</v>
      </c>
      <c r="W1120" s="8">
        <f t="shared" si="995"/>
        <v>0</v>
      </c>
      <c r="X1120" s="8">
        <f t="shared" si="996"/>
        <v>0</v>
      </c>
      <c r="Y1120" s="33">
        <f t="shared" si="997"/>
        <v>0</v>
      </c>
      <c r="Z1120" s="28"/>
      <c r="AA1120" s="28"/>
      <c r="AB1120" s="61" t="s">
        <v>1289</v>
      </c>
      <c r="AC1120" s="31" t="s">
        <v>1290</v>
      </c>
      <c r="AD1120" s="50">
        <f t="shared" si="998"/>
        <v>24</v>
      </c>
      <c r="AE1120" s="31"/>
      <c r="AF1120" s="51">
        <v>14</v>
      </c>
      <c r="AG1120" s="51">
        <f t="shared" si="1026"/>
        <v>8.4</v>
      </c>
      <c r="AH1120" s="51">
        <f t="shared" si="992"/>
        <v>42</v>
      </c>
      <c r="AI1120" s="52"/>
      <c r="AJ1120" s="52"/>
      <c r="AK1120" s="53">
        <f t="shared" si="1027"/>
        <v>0</v>
      </c>
      <c r="AL1120" s="54">
        <f t="shared" si="1028"/>
        <v>0.11904761904761904</v>
      </c>
      <c r="AM1120" s="54">
        <f t="shared" si="1029"/>
        <v>2.3809523809523808E-2</v>
      </c>
      <c r="AN1120" s="55">
        <f t="shared" si="1030"/>
        <v>0</v>
      </c>
      <c r="AO1120" s="55">
        <f t="shared" si="1031"/>
        <v>0</v>
      </c>
      <c r="AP1120" s="53">
        <v>7.1</v>
      </c>
      <c r="AQ1120" s="53">
        <f t="shared" si="999"/>
        <v>4.26</v>
      </c>
      <c r="AR1120" s="53">
        <f t="shared" si="1000"/>
        <v>21.299999999999997</v>
      </c>
      <c r="AS1120" s="56">
        <f t="shared" si="1001"/>
        <v>4.6948356807511742E-2</v>
      </c>
      <c r="AT1120" s="56">
        <f t="shared" si="1032"/>
        <v>0.23474178403755869</v>
      </c>
      <c r="AU1120" s="56">
        <f t="shared" si="1002"/>
        <v>0.176056338028169</v>
      </c>
      <c r="AV1120" s="56">
        <f t="shared" si="1033"/>
        <v>5.8685446009389672E-2</v>
      </c>
      <c r="AW1120" s="57"/>
      <c r="AX1120" s="57"/>
      <c r="AY1120" s="57"/>
      <c r="AZ1120" s="58">
        <f t="shared" si="1034"/>
        <v>0</v>
      </c>
      <c r="BA1120" s="59">
        <f t="shared" si="1035"/>
        <v>0</v>
      </c>
      <c r="BB1120" s="59">
        <f t="shared" si="1036"/>
        <v>0</v>
      </c>
      <c r="BC1120" s="59">
        <f t="shared" si="1037"/>
        <v>0</v>
      </c>
      <c r="BD1120" s="60">
        <f t="shared" si="1038"/>
        <v>7.1095438516664771E-6</v>
      </c>
      <c r="BE1120" s="59">
        <f t="shared" si="1039"/>
        <v>1.7062905243999546E-4</v>
      </c>
      <c r="BQ1120" s="61">
        <v>3000</v>
      </c>
      <c r="BR1120" s="61">
        <v>1200</v>
      </c>
      <c r="BS1120" s="28">
        <f t="shared" si="1003"/>
        <v>2980</v>
      </c>
      <c r="BT1120" s="28">
        <f t="shared" si="1004"/>
        <v>1180</v>
      </c>
      <c r="BU1120" s="28" t="s">
        <v>2541</v>
      </c>
      <c r="BV1120" s="28">
        <f t="shared" si="1005"/>
        <v>5</v>
      </c>
      <c r="BW1120" s="28">
        <f t="shared" si="1006"/>
        <v>5</v>
      </c>
      <c r="BX1120" s="13">
        <f t="shared" si="1007"/>
        <v>596</v>
      </c>
      <c r="BY1120" s="13">
        <f t="shared" si="1008"/>
        <v>596</v>
      </c>
      <c r="BZ1120" s="13">
        <f t="shared" si="1009"/>
        <v>236</v>
      </c>
      <c r="CA1120" s="13">
        <f t="shared" si="1010"/>
        <v>236</v>
      </c>
      <c r="CB1120" s="13">
        <f t="shared" si="1011"/>
        <v>140656</v>
      </c>
      <c r="CC1120" s="62">
        <f t="shared" si="1012"/>
        <v>7.1095438516664771E-6</v>
      </c>
      <c r="CD1120" s="13">
        <f t="shared" si="1013"/>
        <v>596</v>
      </c>
      <c r="CE1120" s="13">
        <f t="shared" si="1014"/>
        <v>596</v>
      </c>
      <c r="CF1120" s="13">
        <f t="shared" si="1015"/>
        <v>236</v>
      </c>
      <c r="CG1120" s="13">
        <f t="shared" si="1016"/>
        <v>236</v>
      </c>
      <c r="CH1120" s="28">
        <f t="shared" si="1017"/>
        <v>140656</v>
      </c>
      <c r="CI1120" s="62">
        <f t="shared" si="1018"/>
        <v>7.1095438516664771E-6</v>
      </c>
      <c r="CJ1120" s="59">
        <f t="shared" si="1019"/>
        <v>7.1095438516664771E-6</v>
      </c>
      <c r="CL1120" s="63">
        <v>6000</v>
      </c>
      <c r="CM1120" s="63">
        <f t="shared" si="1020"/>
        <v>0</v>
      </c>
      <c r="CN1120" s="63">
        <f t="shared" si="1021"/>
        <v>5</v>
      </c>
      <c r="CO1120" s="63">
        <f t="shared" si="1022"/>
        <v>1200</v>
      </c>
      <c r="CP1120" s="13">
        <f t="shared" si="1023"/>
        <v>1200</v>
      </c>
      <c r="CQ1120" s="70">
        <f t="shared" si="1024"/>
        <v>8.3333333333333339E-4</v>
      </c>
      <c r="CR1120" s="69">
        <f t="shared" si="985"/>
        <v>0.02</v>
      </c>
    </row>
    <row r="1121" spans="1:96" hidden="1" x14ac:dyDescent="0.25">
      <c r="A1121" s="3">
        <v>1</v>
      </c>
      <c r="B1121" s="4" t="s">
        <v>30</v>
      </c>
      <c r="C1121" s="3" t="s">
        <v>2273</v>
      </c>
      <c r="D1121" s="3" t="s">
        <v>2270</v>
      </c>
      <c r="E1121" s="3" t="s">
        <v>52</v>
      </c>
      <c r="F1121" s="9">
        <f t="shared" si="993"/>
        <v>1</v>
      </c>
      <c r="G1121" s="3">
        <v>40</v>
      </c>
      <c r="H1121" s="3">
        <f t="shared" si="1042"/>
        <v>40</v>
      </c>
      <c r="I1121" s="3"/>
      <c r="J1121" s="4" t="s">
        <v>2274</v>
      </c>
      <c r="K1121" s="4"/>
      <c r="L1121" s="3">
        <v>0</v>
      </c>
      <c r="M1121" s="4" t="s">
        <v>35</v>
      </c>
      <c r="N1121" s="3" t="s">
        <v>2275</v>
      </c>
      <c r="O1121" s="28"/>
      <c r="P1121" s="28"/>
      <c r="Q1121" s="28" t="s">
        <v>2275</v>
      </c>
      <c r="R1121" s="30"/>
      <c r="S1121" s="30"/>
      <c r="T1121" s="30"/>
      <c r="U1121" s="30"/>
      <c r="V1121" s="8">
        <f t="shared" si="994"/>
        <v>0</v>
      </c>
      <c r="W1121" s="8">
        <f t="shared" si="995"/>
        <v>0</v>
      </c>
      <c r="X1121" s="8">
        <f t="shared" si="996"/>
        <v>0</v>
      </c>
      <c r="Y1121" s="33">
        <f t="shared" si="997"/>
        <v>0</v>
      </c>
      <c r="Z1121" s="28"/>
      <c r="AA1121" s="28"/>
      <c r="AB1121" s="61" t="s">
        <v>2275</v>
      </c>
      <c r="AC1121" s="31" t="s">
        <v>2276</v>
      </c>
      <c r="AD1121" s="50">
        <f t="shared" si="998"/>
        <v>40</v>
      </c>
      <c r="AE1121" s="31"/>
      <c r="AF1121" s="51">
        <v>14</v>
      </c>
      <c r="AG1121" s="51">
        <f t="shared" si="1026"/>
        <v>8.4</v>
      </c>
      <c r="AH1121" s="51">
        <f t="shared" si="992"/>
        <v>42</v>
      </c>
      <c r="AI1121" s="52"/>
      <c r="AJ1121" s="52"/>
      <c r="AK1121" s="53">
        <f t="shared" si="1027"/>
        <v>0</v>
      </c>
      <c r="AL1121" s="54">
        <f t="shared" si="1028"/>
        <v>0.11904761904761904</v>
      </c>
      <c r="AM1121" s="54">
        <f t="shared" si="1029"/>
        <v>2.3809523809523808E-2</v>
      </c>
      <c r="AN1121" s="55">
        <f t="shared" si="1030"/>
        <v>0</v>
      </c>
      <c r="AO1121" s="55">
        <f t="shared" si="1031"/>
        <v>0</v>
      </c>
      <c r="AP1121" s="53">
        <v>7.1</v>
      </c>
      <c r="AQ1121" s="53">
        <f t="shared" si="999"/>
        <v>4.26</v>
      </c>
      <c r="AR1121" s="53">
        <f t="shared" si="1000"/>
        <v>21.299999999999997</v>
      </c>
      <c r="AS1121" s="56">
        <f t="shared" si="1001"/>
        <v>4.6948356807511742E-2</v>
      </c>
      <c r="AT1121" s="56">
        <f t="shared" si="1032"/>
        <v>0.23474178403755869</v>
      </c>
      <c r="AU1121" s="56">
        <f t="shared" si="1002"/>
        <v>0.176056338028169</v>
      </c>
      <c r="AV1121" s="56">
        <f t="shared" si="1033"/>
        <v>5.8685446009389672E-2</v>
      </c>
      <c r="AW1121" s="57"/>
      <c r="AX1121" s="57"/>
      <c r="AY1121" s="57"/>
      <c r="AZ1121" s="58">
        <f t="shared" si="1034"/>
        <v>0</v>
      </c>
      <c r="BA1121" s="59">
        <f t="shared" si="1035"/>
        <v>0</v>
      </c>
      <c r="BB1121" s="59">
        <f t="shared" si="1036"/>
        <v>0</v>
      </c>
      <c r="BC1121" s="59">
        <f t="shared" si="1037"/>
        <v>0</v>
      </c>
      <c r="BD1121" s="60">
        <f t="shared" si="1038"/>
        <v>7.1095438516664771E-6</v>
      </c>
      <c r="BE1121" s="59">
        <f t="shared" si="1039"/>
        <v>2.843817540666591E-4</v>
      </c>
      <c r="BQ1121" s="61">
        <v>3000</v>
      </c>
      <c r="BR1121" s="61">
        <v>1200</v>
      </c>
      <c r="BS1121" s="28">
        <f t="shared" si="1003"/>
        <v>2980</v>
      </c>
      <c r="BT1121" s="28">
        <f t="shared" si="1004"/>
        <v>1180</v>
      </c>
      <c r="BU1121" s="28" t="s">
        <v>2541</v>
      </c>
      <c r="BV1121" s="28">
        <f t="shared" si="1005"/>
        <v>5</v>
      </c>
      <c r="BW1121" s="28">
        <f t="shared" si="1006"/>
        <v>5</v>
      </c>
      <c r="BX1121" s="13">
        <f t="shared" si="1007"/>
        <v>596</v>
      </c>
      <c r="BY1121" s="13">
        <f t="shared" si="1008"/>
        <v>596</v>
      </c>
      <c r="BZ1121" s="13">
        <f t="shared" si="1009"/>
        <v>236</v>
      </c>
      <c r="CA1121" s="13">
        <f t="shared" si="1010"/>
        <v>236</v>
      </c>
      <c r="CB1121" s="13">
        <f t="shared" si="1011"/>
        <v>140656</v>
      </c>
      <c r="CC1121" s="62">
        <f t="shared" si="1012"/>
        <v>7.1095438516664771E-6</v>
      </c>
      <c r="CD1121" s="13">
        <f t="shared" si="1013"/>
        <v>596</v>
      </c>
      <c r="CE1121" s="13">
        <f t="shared" si="1014"/>
        <v>596</v>
      </c>
      <c r="CF1121" s="13">
        <f t="shared" si="1015"/>
        <v>236</v>
      </c>
      <c r="CG1121" s="13">
        <f t="shared" si="1016"/>
        <v>236</v>
      </c>
      <c r="CH1121" s="28">
        <f t="shared" si="1017"/>
        <v>140656</v>
      </c>
      <c r="CI1121" s="62">
        <f t="shared" si="1018"/>
        <v>7.1095438516664771E-6</v>
      </c>
      <c r="CJ1121" s="59">
        <f t="shared" si="1019"/>
        <v>7.1095438516664771E-6</v>
      </c>
      <c r="CL1121" s="63">
        <v>6000</v>
      </c>
      <c r="CM1121" s="63">
        <f t="shared" si="1020"/>
        <v>0</v>
      </c>
      <c r="CN1121" s="63">
        <f t="shared" si="1021"/>
        <v>5</v>
      </c>
      <c r="CO1121" s="63">
        <f t="shared" si="1022"/>
        <v>1200</v>
      </c>
      <c r="CP1121" s="13">
        <f t="shared" si="1023"/>
        <v>1200</v>
      </c>
      <c r="CQ1121" s="70">
        <f t="shared" si="1024"/>
        <v>8.3333333333333339E-4</v>
      </c>
      <c r="CR1121" s="69">
        <f t="shared" si="985"/>
        <v>3.3333333333333333E-2</v>
      </c>
    </row>
    <row r="1122" spans="1:96" hidden="1" x14ac:dyDescent="0.25">
      <c r="A1122" s="3">
        <v>1</v>
      </c>
      <c r="B1122" s="4" t="s">
        <v>30</v>
      </c>
      <c r="C1122" s="3" t="s">
        <v>2277</v>
      </c>
      <c r="D1122" s="3" t="s">
        <v>2493</v>
      </c>
      <c r="E1122" s="3" t="s">
        <v>52</v>
      </c>
      <c r="F1122" s="9">
        <f t="shared" si="993"/>
        <v>1</v>
      </c>
      <c r="G1122" s="3">
        <v>40</v>
      </c>
      <c r="H1122" s="3">
        <f t="shared" si="1042"/>
        <v>40</v>
      </c>
      <c r="I1122" s="3"/>
      <c r="J1122" s="4" t="s">
        <v>2278</v>
      </c>
      <c r="K1122" s="4"/>
      <c r="L1122" s="3">
        <v>0</v>
      </c>
      <c r="M1122" s="4" t="s">
        <v>35</v>
      </c>
      <c r="N1122" s="3" t="s">
        <v>2493</v>
      </c>
      <c r="O1122" s="28"/>
      <c r="P1122" s="28"/>
      <c r="Q1122" s="28" t="s">
        <v>2493</v>
      </c>
      <c r="R1122" s="30"/>
      <c r="S1122" s="30"/>
      <c r="T1122" s="30"/>
      <c r="U1122" s="30"/>
      <c r="V1122" s="8">
        <f t="shared" si="994"/>
        <v>0</v>
      </c>
      <c r="W1122" s="8">
        <f t="shared" si="995"/>
        <v>0</v>
      </c>
      <c r="X1122" s="8">
        <f t="shared" si="996"/>
        <v>0</v>
      </c>
      <c r="Y1122" s="33">
        <f t="shared" si="997"/>
        <v>0</v>
      </c>
      <c r="Z1122" s="28"/>
      <c r="AA1122" s="28"/>
      <c r="AB1122" s="61" t="s">
        <v>2493</v>
      </c>
      <c r="AC1122" s="31" t="s">
        <v>2279</v>
      </c>
      <c r="AD1122" s="50">
        <f t="shared" si="998"/>
        <v>40</v>
      </c>
      <c r="AE1122" s="31"/>
      <c r="AF1122" s="51">
        <v>14</v>
      </c>
      <c r="AG1122" s="51">
        <f t="shared" si="1026"/>
        <v>8.4</v>
      </c>
      <c r="AH1122" s="51">
        <f t="shared" si="992"/>
        <v>42</v>
      </c>
      <c r="AI1122" s="52"/>
      <c r="AJ1122" s="52"/>
      <c r="AK1122" s="53">
        <f t="shared" si="1027"/>
        <v>0</v>
      </c>
      <c r="AL1122" s="54">
        <f t="shared" si="1028"/>
        <v>0.11904761904761904</v>
      </c>
      <c r="AM1122" s="54">
        <f t="shared" si="1029"/>
        <v>2.3809523809523808E-2</v>
      </c>
      <c r="AN1122" s="55">
        <f t="shared" si="1030"/>
        <v>0</v>
      </c>
      <c r="AO1122" s="55">
        <f t="shared" si="1031"/>
        <v>0</v>
      </c>
      <c r="AP1122" s="53">
        <v>7.1</v>
      </c>
      <c r="AQ1122" s="53">
        <f t="shared" si="999"/>
        <v>4.26</v>
      </c>
      <c r="AR1122" s="53">
        <f t="shared" si="1000"/>
        <v>21.299999999999997</v>
      </c>
      <c r="AS1122" s="56">
        <f t="shared" si="1001"/>
        <v>4.6948356807511742E-2</v>
      </c>
      <c r="AT1122" s="56">
        <f t="shared" si="1032"/>
        <v>0.23474178403755869</v>
      </c>
      <c r="AU1122" s="56">
        <f t="shared" si="1002"/>
        <v>0.176056338028169</v>
      </c>
      <c r="AV1122" s="56">
        <f t="shared" si="1033"/>
        <v>5.8685446009389672E-2</v>
      </c>
      <c r="AW1122" s="57"/>
      <c r="AX1122" s="57"/>
      <c r="AY1122" s="57"/>
      <c r="AZ1122" s="58">
        <f t="shared" si="1034"/>
        <v>0</v>
      </c>
      <c r="BA1122" s="59">
        <f t="shared" si="1035"/>
        <v>0</v>
      </c>
      <c r="BB1122" s="59">
        <f t="shared" si="1036"/>
        <v>0</v>
      </c>
      <c r="BC1122" s="59">
        <f t="shared" si="1037"/>
        <v>0</v>
      </c>
      <c r="BD1122" s="60">
        <f t="shared" si="1038"/>
        <v>7.1095438516664771E-6</v>
      </c>
      <c r="BE1122" s="59">
        <f t="shared" si="1039"/>
        <v>2.843817540666591E-4</v>
      </c>
      <c r="BQ1122" s="61">
        <v>3000</v>
      </c>
      <c r="BR1122" s="61">
        <v>1200</v>
      </c>
      <c r="BS1122" s="28">
        <f t="shared" si="1003"/>
        <v>2980</v>
      </c>
      <c r="BT1122" s="28">
        <f t="shared" si="1004"/>
        <v>1180</v>
      </c>
      <c r="BU1122" s="28" t="s">
        <v>2541</v>
      </c>
      <c r="BV1122" s="28">
        <f t="shared" si="1005"/>
        <v>5</v>
      </c>
      <c r="BW1122" s="28">
        <f t="shared" si="1006"/>
        <v>5</v>
      </c>
      <c r="BX1122" s="13">
        <f t="shared" si="1007"/>
        <v>596</v>
      </c>
      <c r="BY1122" s="13">
        <f t="shared" si="1008"/>
        <v>596</v>
      </c>
      <c r="BZ1122" s="13">
        <f t="shared" si="1009"/>
        <v>236</v>
      </c>
      <c r="CA1122" s="13">
        <f t="shared" si="1010"/>
        <v>236</v>
      </c>
      <c r="CB1122" s="13">
        <f t="shared" si="1011"/>
        <v>140656</v>
      </c>
      <c r="CC1122" s="62">
        <f t="shared" si="1012"/>
        <v>7.1095438516664771E-6</v>
      </c>
      <c r="CD1122" s="13">
        <f t="shared" si="1013"/>
        <v>596</v>
      </c>
      <c r="CE1122" s="13">
        <f t="shared" si="1014"/>
        <v>596</v>
      </c>
      <c r="CF1122" s="13">
        <f t="shared" si="1015"/>
        <v>236</v>
      </c>
      <c r="CG1122" s="13">
        <f t="shared" si="1016"/>
        <v>236</v>
      </c>
      <c r="CH1122" s="28">
        <f t="shared" si="1017"/>
        <v>140656</v>
      </c>
      <c r="CI1122" s="62">
        <f t="shared" si="1018"/>
        <v>7.1095438516664771E-6</v>
      </c>
      <c r="CJ1122" s="59">
        <f t="shared" si="1019"/>
        <v>7.1095438516664771E-6</v>
      </c>
      <c r="CL1122" s="63">
        <v>6000</v>
      </c>
      <c r="CM1122" s="63">
        <f t="shared" si="1020"/>
        <v>0</v>
      </c>
      <c r="CN1122" s="63">
        <f t="shared" si="1021"/>
        <v>5</v>
      </c>
      <c r="CO1122" s="63">
        <f t="shared" si="1022"/>
        <v>1200</v>
      </c>
      <c r="CP1122" s="13">
        <f t="shared" si="1023"/>
        <v>1200</v>
      </c>
      <c r="CQ1122" s="70">
        <f t="shared" si="1024"/>
        <v>8.3333333333333339E-4</v>
      </c>
      <c r="CR1122" s="69">
        <f t="shared" si="985"/>
        <v>3.3333333333333333E-2</v>
      </c>
    </row>
    <row r="1123" spans="1:96" hidden="1" x14ac:dyDescent="0.25">
      <c r="A1123" s="3">
        <v>1</v>
      </c>
      <c r="B1123" s="4" t="s">
        <v>30</v>
      </c>
      <c r="C1123" s="3" t="s">
        <v>1478</v>
      </c>
      <c r="D1123" s="3" t="s">
        <v>1480</v>
      </c>
      <c r="E1123" s="3" t="s">
        <v>52</v>
      </c>
      <c r="F1123" s="9">
        <f t="shared" si="993"/>
        <v>2</v>
      </c>
      <c r="G1123" s="3">
        <v>13</v>
      </c>
      <c r="H1123" s="3">
        <f t="shared" si="1042"/>
        <v>13</v>
      </c>
      <c r="I1123" s="3"/>
      <c r="J1123" s="4"/>
      <c r="K1123" s="4"/>
      <c r="L1123" s="3">
        <v>0</v>
      </c>
      <c r="M1123" s="4" t="s">
        <v>35</v>
      </c>
      <c r="N1123" s="3" t="s">
        <v>1480</v>
      </c>
      <c r="O1123" s="28"/>
      <c r="P1123" s="28"/>
      <c r="Q1123" s="28" t="s">
        <v>1480</v>
      </c>
      <c r="R1123" s="30"/>
      <c r="S1123" s="30"/>
      <c r="T1123" s="30"/>
      <c r="U1123" s="30"/>
      <c r="V1123" s="8">
        <f t="shared" si="994"/>
        <v>0</v>
      </c>
      <c r="W1123" s="8">
        <f t="shared" si="995"/>
        <v>0</v>
      </c>
      <c r="X1123" s="8">
        <f t="shared" si="996"/>
        <v>0</v>
      </c>
      <c r="Y1123" s="33">
        <f t="shared" si="997"/>
        <v>0</v>
      </c>
      <c r="Z1123" s="28"/>
      <c r="AA1123" s="28"/>
      <c r="AB1123" s="61" t="s">
        <v>1480</v>
      </c>
      <c r="AC1123" s="31" t="s">
        <v>1481</v>
      </c>
      <c r="AD1123" s="50">
        <f t="shared" si="998"/>
        <v>13</v>
      </c>
      <c r="AE1123" s="31"/>
      <c r="AF1123" s="51">
        <v>14</v>
      </c>
      <c r="AG1123" s="51">
        <f t="shared" si="1026"/>
        <v>8.4</v>
      </c>
      <c r="AH1123" s="51">
        <f t="shared" si="992"/>
        <v>42</v>
      </c>
      <c r="AI1123" s="52"/>
      <c r="AJ1123" s="52"/>
      <c r="AK1123" s="53">
        <f t="shared" si="1027"/>
        <v>0</v>
      </c>
      <c r="AL1123" s="54">
        <f t="shared" si="1028"/>
        <v>0.11904761904761904</v>
      </c>
      <c r="AM1123" s="54">
        <f t="shared" si="1029"/>
        <v>2.3809523809523808E-2</v>
      </c>
      <c r="AN1123" s="55">
        <f t="shared" si="1030"/>
        <v>0</v>
      </c>
      <c r="AO1123" s="55">
        <f t="shared" si="1031"/>
        <v>0</v>
      </c>
      <c r="AP1123" s="53">
        <v>7.1</v>
      </c>
      <c r="AQ1123" s="53">
        <f t="shared" si="999"/>
        <v>4.26</v>
      </c>
      <c r="AR1123" s="53">
        <f t="shared" si="1000"/>
        <v>21.299999999999997</v>
      </c>
      <c r="AS1123" s="56">
        <f t="shared" si="1001"/>
        <v>4.6948356807511742E-2</v>
      </c>
      <c r="AT1123" s="56">
        <f t="shared" si="1032"/>
        <v>0.23474178403755869</v>
      </c>
      <c r="AU1123" s="56">
        <f t="shared" si="1002"/>
        <v>0.176056338028169</v>
      </c>
      <c r="AV1123" s="56">
        <f t="shared" si="1033"/>
        <v>5.8685446009389672E-2</v>
      </c>
      <c r="AW1123" s="57"/>
      <c r="AX1123" s="57"/>
      <c r="AY1123" s="57"/>
      <c r="AZ1123" s="58">
        <f t="shared" si="1034"/>
        <v>0</v>
      </c>
      <c r="BA1123" s="59">
        <f t="shared" si="1035"/>
        <v>0</v>
      </c>
      <c r="BB1123" s="59">
        <f t="shared" si="1036"/>
        <v>0</v>
      </c>
      <c r="BC1123" s="59">
        <f t="shared" si="1037"/>
        <v>0</v>
      </c>
      <c r="BD1123" s="60">
        <f t="shared" si="1038"/>
        <v>7.1095438516664771E-6</v>
      </c>
      <c r="BE1123" s="59">
        <f t="shared" si="1039"/>
        <v>9.2424070071664205E-5</v>
      </c>
      <c r="BQ1123" s="61">
        <v>3000</v>
      </c>
      <c r="BR1123" s="61">
        <v>1200</v>
      </c>
      <c r="BS1123" s="28">
        <f t="shared" si="1003"/>
        <v>2980</v>
      </c>
      <c r="BT1123" s="28">
        <f t="shared" si="1004"/>
        <v>1180</v>
      </c>
      <c r="BU1123" s="28" t="s">
        <v>2541</v>
      </c>
      <c r="BV1123" s="28">
        <f t="shared" si="1005"/>
        <v>5</v>
      </c>
      <c r="BW1123" s="28">
        <f t="shared" si="1006"/>
        <v>5</v>
      </c>
      <c r="BX1123" s="13">
        <f t="shared" si="1007"/>
        <v>596</v>
      </c>
      <c r="BY1123" s="13">
        <f t="shared" si="1008"/>
        <v>596</v>
      </c>
      <c r="BZ1123" s="13">
        <f t="shared" si="1009"/>
        <v>236</v>
      </c>
      <c r="CA1123" s="13">
        <f t="shared" si="1010"/>
        <v>236</v>
      </c>
      <c r="CB1123" s="13">
        <f t="shared" si="1011"/>
        <v>140656</v>
      </c>
      <c r="CC1123" s="62">
        <f t="shared" si="1012"/>
        <v>7.1095438516664771E-6</v>
      </c>
      <c r="CD1123" s="13">
        <f t="shared" si="1013"/>
        <v>596</v>
      </c>
      <c r="CE1123" s="13">
        <f t="shared" si="1014"/>
        <v>596</v>
      </c>
      <c r="CF1123" s="13">
        <f t="shared" si="1015"/>
        <v>236</v>
      </c>
      <c r="CG1123" s="13">
        <f t="shared" si="1016"/>
        <v>236</v>
      </c>
      <c r="CH1123" s="28">
        <f t="shared" si="1017"/>
        <v>140656</v>
      </c>
      <c r="CI1123" s="62">
        <f t="shared" si="1018"/>
        <v>7.1095438516664771E-6</v>
      </c>
      <c r="CJ1123" s="59">
        <f t="shared" si="1019"/>
        <v>7.1095438516664771E-6</v>
      </c>
      <c r="CL1123" s="63">
        <v>6000</v>
      </c>
      <c r="CM1123" s="63">
        <f t="shared" si="1020"/>
        <v>0</v>
      </c>
      <c r="CN1123" s="63">
        <f t="shared" si="1021"/>
        <v>5</v>
      </c>
      <c r="CO1123" s="63">
        <f t="shared" si="1022"/>
        <v>1200</v>
      </c>
      <c r="CP1123" s="13">
        <f t="shared" si="1023"/>
        <v>1200</v>
      </c>
      <c r="CQ1123" s="70">
        <f t="shared" si="1024"/>
        <v>8.3333333333333339E-4</v>
      </c>
      <c r="CR1123" s="69">
        <f t="shared" si="985"/>
        <v>1.0833333333333334E-2</v>
      </c>
    </row>
    <row r="1124" spans="1:96" hidden="1" x14ac:dyDescent="0.25">
      <c r="A1124" s="3">
        <v>1</v>
      </c>
      <c r="B1124" s="4"/>
      <c r="C1124" s="3" t="s">
        <v>2280</v>
      </c>
      <c r="D1124" s="3" t="s">
        <v>2270</v>
      </c>
      <c r="E1124" s="3" t="s">
        <v>32</v>
      </c>
      <c r="F1124" s="9">
        <f t="shared" si="993"/>
        <v>1</v>
      </c>
      <c r="G1124" s="3">
        <v>1</v>
      </c>
      <c r="H1124" s="3">
        <f t="shared" si="1042"/>
        <v>1</v>
      </c>
      <c r="I1124" s="3"/>
      <c r="J1124" s="4" t="s">
        <v>2281</v>
      </c>
      <c r="K1124" s="4"/>
      <c r="L1124" s="3"/>
      <c r="M1124" s="4" t="s">
        <v>35</v>
      </c>
      <c r="N1124" s="3" t="s">
        <v>2282</v>
      </c>
      <c r="O1124" s="28"/>
      <c r="P1124" s="28"/>
      <c r="Q1124" s="28"/>
      <c r="R1124" s="30"/>
      <c r="S1124" s="30"/>
      <c r="T1124" s="30"/>
      <c r="U1124" s="30"/>
      <c r="V1124" s="8">
        <f t="shared" si="994"/>
        <v>0</v>
      </c>
      <c r="W1124" s="8">
        <f t="shared" si="995"/>
        <v>0</v>
      </c>
      <c r="X1124" s="8">
        <f t="shared" si="996"/>
        <v>0</v>
      </c>
      <c r="Y1124" s="33">
        <f t="shared" si="997"/>
        <v>0</v>
      </c>
      <c r="Z1124" s="28"/>
      <c r="AA1124" s="28"/>
      <c r="AB1124" s="28">
        <v>0</v>
      </c>
      <c r="AC1124" s="31"/>
      <c r="AD1124" s="50">
        <f t="shared" si="998"/>
        <v>1</v>
      </c>
      <c r="AE1124" s="5" t="s">
        <v>2188</v>
      </c>
      <c r="AF1124" s="51">
        <v>14</v>
      </c>
      <c r="AG1124" s="51">
        <f t="shared" si="1026"/>
        <v>8.4</v>
      </c>
      <c r="AH1124" s="51">
        <f t="shared" si="992"/>
        <v>42</v>
      </c>
      <c r="AI1124" s="52" t="s">
        <v>2497</v>
      </c>
      <c r="AJ1124" s="52" t="s">
        <v>2498</v>
      </c>
      <c r="AK1124" s="53">
        <f t="shared" si="1027"/>
        <v>0</v>
      </c>
      <c r="AL1124" s="54">
        <f t="shared" si="1028"/>
        <v>0.11904761904761904</v>
      </c>
      <c r="AM1124" s="54">
        <f t="shared" si="1029"/>
        <v>2.3809523809523808E-2</v>
      </c>
      <c r="AN1124" s="55">
        <f t="shared" si="1030"/>
        <v>0</v>
      </c>
      <c r="AO1124" s="55">
        <f t="shared" si="1031"/>
        <v>0</v>
      </c>
      <c r="AP1124" s="53">
        <v>7.1</v>
      </c>
      <c r="AQ1124" s="53">
        <f t="shared" si="999"/>
        <v>4.26</v>
      </c>
      <c r="AR1124" s="53">
        <f t="shared" si="1000"/>
        <v>21.299999999999997</v>
      </c>
      <c r="AS1124" s="56">
        <f t="shared" si="1001"/>
        <v>4.6948356807511742E-2</v>
      </c>
      <c r="AT1124" s="56">
        <f t="shared" si="1032"/>
        <v>0.23474178403755869</v>
      </c>
      <c r="AU1124" s="56">
        <f t="shared" si="1002"/>
        <v>0.176056338028169</v>
      </c>
      <c r="AV1124" s="56">
        <f t="shared" si="1033"/>
        <v>5.8685446009389672E-2</v>
      </c>
      <c r="AW1124" s="57"/>
      <c r="AX1124" s="57"/>
      <c r="AY1124" s="57"/>
      <c r="AZ1124" s="58">
        <f t="shared" si="1034"/>
        <v>0</v>
      </c>
      <c r="BA1124" s="59">
        <f t="shared" si="1035"/>
        <v>0</v>
      </c>
      <c r="BB1124" s="59">
        <f t="shared" si="1036"/>
        <v>0</v>
      </c>
      <c r="BC1124" s="59">
        <f t="shared" si="1037"/>
        <v>0</v>
      </c>
      <c r="BD1124" s="60">
        <f t="shared" si="1038"/>
        <v>0</v>
      </c>
      <c r="BE1124" s="59">
        <f t="shared" si="1039"/>
        <v>0</v>
      </c>
      <c r="BQ1124" s="61">
        <v>3000</v>
      </c>
      <c r="BR1124" s="61">
        <v>1200</v>
      </c>
      <c r="BS1124" s="28">
        <f t="shared" si="1003"/>
        <v>2980</v>
      </c>
      <c r="BT1124" s="28">
        <f t="shared" si="1004"/>
        <v>1180</v>
      </c>
      <c r="BU1124" s="28" t="s">
        <v>2541</v>
      </c>
      <c r="BV1124" s="28">
        <f t="shared" si="1005"/>
        <v>5</v>
      </c>
      <c r="BW1124" s="28">
        <f t="shared" si="1006"/>
        <v>5</v>
      </c>
      <c r="BX1124" s="13">
        <f t="shared" si="1007"/>
        <v>596</v>
      </c>
      <c r="BY1124" s="13">
        <f t="shared" si="1008"/>
        <v>596</v>
      </c>
      <c r="BZ1124" s="13">
        <f t="shared" si="1009"/>
        <v>236</v>
      </c>
      <c r="CA1124" s="13">
        <f t="shared" si="1010"/>
        <v>236</v>
      </c>
      <c r="CB1124" s="13">
        <f t="shared" si="1011"/>
        <v>140656</v>
      </c>
      <c r="CC1124" s="62" t="str">
        <f t="shared" si="1012"/>
        <v/>
      </c>
      <c r="CD1124" s="13">
        <f t="shared" si="1013"/>
        <v>596</v>
      </c>
      <c r="CE1124" s="13">
        <f t="shared" si="1014"/>
        <v>596</v>
      </c>
      <c r="CF1124" s="13">
        <f t="shared" si="1015"/>
        <v>236</v>
      </c>
      <c r="CG1124" s="13">
        <f t="shared" si="1016"/>
        <v>236</v>
      </c>
      <c r="CH1124" s="28">
        <f t="shared" si="1017"/>
        <v>140656</v>
      </c>
      <c r="CI1124" s="62" t="str">
        <f t="shared" si="1018"/>
        <v/>
      </c>
      <c r="CJ1124" s="59">
        <f t="shared" si="1019"/>
        <v>0</v>
      </c>
      <c r="CL1124" s="63">
        <v>6000</v>
      </c>
      <c r="CM1124" s="63">
        <f t="shared" si="1020"/>
        <v>0</v>
      </c>
      <c r="CN1124" s="63">
        <f t="shared" si="1021"/>
        <v>5</v>
      </c>
      <c r="CO1124" s="63">
        <f t="shared" si="1022"/>
        <v>1200</v>
      </c>
      <c r="CP1124" s="13">
        <f t="shared" si="1023"/>
        <v>1200</v>
      </c>
      <c r="CQ1124" s="70">
        <f t="shared" si="1024"/>
        <v>8.3333333333333339E-4</v>
      </c>
      <c r="CR1124" s="69">
        <f t="shared" ref="CR1124:CR1187" si="1043">CQ1124*AD1124</f>
        <v>8.3333333333333339E-4</v>
      </c>
    </row>
    <row r="1125" spans="1:96" hidden="1" x14ac:dyDescent="0.25">
      <c r="A1125" s="36">
        <v>2</v>
      </c>
      <c r="B1125" s="37" t="s">
        <v>2283</v>
      </c>
      <c r="C1125" s="36" t="s">
        <v>2284</v>
      </c>
      <c r="D1125" s="36" t="s">
        <v>2270</v>
      </c>
      <c r="E1125" s="36" t="s">
        <v>32</v>
      </c>
      <c r="F1125" s="38">
        <f t="shared" si="993"/>
        <v>1</v>
      </c>
      <c r="G1125" s="36">
        <v>1</v>
      </c>
      <c r="H1125" s="36">
        <f>G1125*$H$1124</f>
        <v>1</v>
      </c>
      <c r="I1125" s="36" t="s">
        <v>2263</v>
      </c>
      <c r="J1125" s="37" t="s">
        <v>2285</v>
      </c>
      <c r="K1125" s="37"/>
      <c r="L1125" s="36" t="s">
        <v>2195</v>
      </c>
      <c r="M1125" s="37" t="s">
        <v>35</v>
      </c>
      <c r="N1125" s="36" t="s">
        <v>2286</v>
      </c>
      <c r="O1125" s="28"/>
      <c r="P1125" s="28"/>
      <c r="Q1125" s="28"/>
      <c r="R1125" s="30"/>
      <c r="S1125" s="30"/>
      <c r="T1125" s="30"/>
      <c r="U1125" s="30"/>
      <c r="V1125" s="8">
        <f t="shared" si="994"/>
        <v>0</v>
      </c>
      <c r="W1125" s="8">
        <f t="shared" si="995"/>
        <v>0</v>
      </c>
      <c r="X1125" s="8">
        <f t="shared" si="996"/>
        <v>0</v>
      </c>
      <c r="Y1125" s="33">
        <f t="shared" si="997"/>
        <v>0</v>
      </c>
      <c r="Z1125" s="28"/>
      <c r="AA1125" s="28"/>
      <c r="AB1125" s="28">
        <v>0</v>
      </c>
      <c r="AC1125" s="31"/>
      <c r="AD1125" s="50">
        <f t="shared" si="998"/>
        <v>1</v>
      </c>
      <c r="AE1125" s="5" t="s">
        <v>2287</v>
      </c>
      <c r="AF1125" s="51">
        <v>14</v>
      </c>
      <c r="AG1125" s="51">
        <f t="shared" si="1026"/>
        <v>8.4</v>
      </c>
      <c r="AH1125" s="51">
        <f t="shared" si="992"/>
        <v>42</v>
      </c>
      <c r="AI1125" s="52" t="s">
        <v>2497</v>
      </c>
      <c r="AJ1125" s="52" t="s">
        <v>2498</v>
      </c>
      <c r="AK1125" s="53">
        <f t="shared" si="1027"/>
        <v>0</v>
      </c>
      <c r="AL1125" s="54">
        <f t="shared" si="1028"/>
        <v>0.11904761904761904</v>
      </c>
      <c r="AM1125" s="54">
        <f t="shared" si="1029"/>
        <v>2.3809523809523808E-2</v>
      </c>
      <c r="AN1125" s="55">
        <f t="shared" si="1030"/>
        <v>0</v>
      </c>
      <c r="AO1125" s="55">
        <f t="shared" si="1031"/>
        <v>0</v>
      </c>
      <c r="AP1125" s="53">
        <v>7.1</v>
      </c>
      <c r="AQ1125" s="53">
        <f t="shared" si="999"/>
        <v>4.26</v>
      </c>
      <c r="AR1125" s="53">
        <f t="shared" si="1000"/>
        <v>21.299999999999997</v>
      </c>
      <c r="AS1125" s="56">
        <f t="shared" si="1001"/>
        <v>4.6948356807511742E-2</v>
      </c>
      <c r="AT1125" s="56">
        <f t="shared" si="1032"/>
        <v>0.23474178403755869</v>
      </c>
      <c r="AU1125" s="56">
        <f t="shared" si="1002"/>
        <v>0.176056338028169</v>
      </c>
      <c r="AV1125" s="56">
        <f t="shared" si="1033"/>
        <v>5.8685446009389672E-2</v>
      </c>
      <c r="AW1125" s="57"/>
      <c r="AX1125" s="57"/>
      <c r="AY1125" s="57"/>
      <c r="AZ1125" s="58">
        <f t="shared" si="1034"/>
        <v>0</v>
      </c>
      <c r="BA1125" s="59">
        <f t="shared" si="1035"/>
        <v>0</v>
      </c>
      <c r="BB1125" s="59">
        <f t="shared" si="1036"/>
        <v>0</v>
      </c>
      <c r="BC1125" s="59">
        <f t="shared" si="1037"/>
        <v>0</v>
      </c>
      <c r="BD1125" s="60">
        <f t="shared" si="1038"/>
        <v>0</v>
      </c>
      <c r="BE1125" s="59">
        <f t="shared" si="1039"/>
        <v>0</v>
      </c>
      <c r="BQ1125" s="61">
        <v>3000</v>
      </c>
      <c r="BR1125" s="61">
        <v>1200</v>
      </c>
      <c r="BS1125" s="28">
        <f t="shared" si="1003"/>
        <v>2980</v>
      </c>
      <c r="BT1125" s="28">
        <f t="shared" si="1004"/>
        <v>1180</v>
      </c>
      <c r="BU1125" s="28" t="s">
        <v>2541</v>
      </c>
      <c r="BV1125" s="28">
        <f t="shared" si="1005"/>
        <v>5</v>
      </c>
      <c r="BW1125" s="28">
        <f t="shared" si="1006"/>
        <v>5</v>
      </c>
      <c r="BX1125" s="13">
        <f t="shared" si="1007"/>
        <v>596</v>
      </c>
      <c r="BY1125" s="13">
        <f t="shared" si="1008"/>
        <v>596</v>
      </c>
      <c r="BZ1125" s="13">
        <f t="shared" si="1009"/>
        <v>236</v>
      </c>
      <c r="CA1125" s="13">
        <f t="shared" si="1010"/>
        <v>236</v>
      </c>
      <c r="CB1125" s="13">
        <f t="shared" si="1011"/>
        <v>140656</v>
      </c>
      <c r="CC1125" s="62" t="str">
        <f t="shared" si="1012"/>
        <v/>
      </c>
      <c r="CD1125" s="13">
        <f t="shared" si="1013"/>
        <v>596</v>
      </c>
      <c r="CE1125" s="13">
        <f t="shared" si="1014"/>
        <v>596</v>
      </c>
      <c r="CF1125" s="13">
        <f t="shared" si="1015"/>
        <v>236</v>
      </c>
      <c r="CG1125" s="13">
        <f t="shared" si="1016"/>
        <v>236</v>
      </c>
      <c r="CH1125" s="28">
        <f t="shared" si="1017"/>
        <v>140656</v>
      </c>
      <c r="CI1125" s="62" t="str">
        <f t="shared" si="1018"/>
        <v/>
      </c>
      <c r="CJ1125" s="59">
        <f t="shared" si="1019"/>
        <v>0</v>
      </c>
      <c r="CL1125" s="63">
        <v>6000</v>
      </c>
      <c r="CM1125" s="63">
        <f t="shared" si="1020"/>
        <v>0</v>
      </c>
      <c r="CN1125" s="63">
        <f t="shared" si="1021"/>
        <v>5</v>
      </c>
      <c r="CO1125" s="63">
        <f t="shared" si="1022"/>
        <v>1200</v>
      </c>
      <c r="CP1125" s="13">
        <f t="shared" si="1023"/>
        <v>1200</v>
      </c>
      <c r="CQ1125" s="70">
        <f t="shared" si="1024"/>
        <v>8.3333333333333339E-4</v>
      </c>
      <c r="CR1125" s="69">
        <f t="shared" si="1043"/>
        <v>8.3333333333333339E-4</v>
      </c>
    </row>
    <row r="1126" spans="1:96" hidden="1" x14ac:dyDescent="0.25">
      <c r="A1126" s="10">
        <v>3</v>
      </c>
      <c r="B1126" s="8" t="s">
        <v>2288</v>
      </c>
      <c r="C1126" s="10" t="s">
        <v>2289</v>
      </c>
      <c r="D1126" s="10" t="s">
        <v>2270</v>
      </c>
      <c r="E1126" s="10" t="s">
        <v>32</v>
      </c>
      <c r="F1126" s="12">
        <f t="shared" si="993"/>
        <v>1</v>
      </c>
      <c r="G1126" s="10">
        <v>1</v>
      </c>
      <c r="H1126" s="10">
        <f>G1126*$H$1125</f>
        <v>1</v>
      </c>
      <c r="I1126" s="10" t="s">
        <v>2290</v>
      </c>
      <c r="J1126" s="8" t="s">
        <v>2285</v>
      </c>
      <c r="K1126" s="8"/>
      <c r="L1126" s="10" t="s">
        <v>2195</v>
      </c>
      <c r="M1126" s="8" t="s">
        <v>35</v>
      </c>
      <c r="N1126" s="10" t="s">
        <v>2291</v>
      </c>
      <c r="O1126" s="28" t="s">
        <v>41</v>
      </c>
      <c r="P1126" s="28" t="s">
        <v>41</v>
      </c>
      <c r="Q1126" s="28"/>
      <c r="R1126" s="30"/>
      <c r="S1126" s="30"/>
      <c r="T1126" s="30"/>
      <c r="U1126" s="30"/>
      <c r="V1126" s="8">
        <f t="shared" si="994"/>
        <v>0</v>
      </c>
      <c r="W1126" s="8">
        <f t="shared" si="995"/>
        <v>0</v>
      </c>
      <c r="X1126" s="8">
        <f t="shared" si="996"/>
        <v>0</v>
      </c>
      <c r="Y1126" s="33">
        <f t="shared" si="997"/>
        <v>0</v>
      </c>
      <c r="Z1126" s="28"/>
      <c r="AA1126" s="28"/>
      <c r="AB1126" s="28">
        <v>0</v>
      </c>
      <c r="AC1126" s="31"/>
      <c r="AD1126" s="50">
        <f t="shared" si="998"/>
        <v>1</v>
      </c>
      <c r="AE1126" s="5" t="s">
        <v>2188</v>
      </c>
      <c r="AF1126" s="51">
        <v>14</v>
      </c>
      <c r="AG1126" s="51">
        <f t="shared" si="1026"/>
        <v>8.4</v>
      </c>
      <c r="AH1126" s="51">
        <f t="shared" si="992"/>
        <v>42</v>
      </c>
      <c r="AI1126" s="52" t="s">
        <v>2497</v>
      </c>
      <c r="AJ1126" s="52" t="s">
        <v>2498</v>
      </c>
      <c r="AK1126" s="53">
        <f t="shared" si="1027"/>
        <v>0</v>
      </c>
      <c r="AL1126" s="54">
        <f t="shared" si="1028"/>
        <v>0.11904761904761904</v>
      </c>
      <c r="AM1126" s="54">
        <f t="shared" si="1029"/>
        <v>2.3809523809523808E-2</v>
      </c>
      <c r="AN1126" s="55">
        <f t="shared" si="1030"/>
        <v>0</v>
      </c>
      <c r="AO1126" s="55">
        <f t="shared" si="1031"/>
        <v>0</v>
      </c>
      <c r="AP1126" s="53">
        <v>7.1</v>
      </c>
      <c r="AQ1126" s="53">
        <f t="shared" si="999"/>
        <v>4.26</v>
      </c>
      <c r="AR1126" s="53">
        <f t="shared" si="1000"/>
        <v>21.299999999999997</v>
      </c>
      <c r="AS1126" s="56">
        <f t="shared" si="1001"/>
        <v>4.6948356807511742E-2</v>
      </c>
      <c r="AT1126" s="56">
        <f t="shared" si="1032"/>
        <v>0.23474178403755869</v>
      </c>
      <c r="AU1126" s="56">
        <f t="shared" si="1002"/>
        <v>0.176056338028169</v>
      </c>
      <c r="AV1126" s="56">
        <f t="shared" si="1033"/>
        <v>5.8685446009389672E-2</v>
      </c>
      <c r="AW1126" s="57"/>
      <c r="AX1126" s="57"/>
      <c r="AY1126" s="57"/>
      <c r="AZ1126" s="58">
        <f t="shared" si="1034"/>
        <v>0</v>
      </c>
      <c r="BA1126" s="59">
        <f t="shared" si="1035"/>
        <v>0</v>
      </c>
      <c r="BB1126" s="59">
        <f t="shared" si="1036"/>
        <v>0</v>
      </c>
      <c r="BC1126" s="59">
        <f t="shared" si="1037"/>
        <v>0</v>
      </c>
      <c r="BD1126" s="60">
        <f t="shared" si="1038"/>
        <v>0</v>
      </c>
      <c r="BE1126" s="59">
        <f t="shared" si="1039"/>
        <v>0</v>
      </c>
      <c r="BQ1126" s="61">
        <v>3000</v>
      </c>
      <c r="BR1126" s="61">
        <v>1200</v>
      </c>
      <c r="BS1126" s="28">
        <f t="shared" si="1003"/>
        <v>2980</v>
      </c>
      <c r="BT1126" s="28">
        <f t="shared" si="1004"/>
        <v>1180</v>
      </c>
      <c r="BU1126" s="28" t="s">
        <v>2541</v>
      </c>
      <c r="BV1126" s="28">
        <f t="shared" si="1005"/>
        <v>5</v>
      </c>
      <c r="BW1126" s="28">
        <f t="shared" si="1006"/>
        <v>5</v>
      </c>
      <c r="BX1126" s="13">
        <f t="shared" si="1007"/>
        <v>596</v>
      </c>
      <c r="BY1126" s="13">
        <f t="shared" si="1008"/>
        <v>596</v>
      </c>
      <c r="BZ1126" s="13">
        <f t="shared" si="1009"/>
        <v>236</v>
      </c>
      <c r="CA1126" s="13">
        <f t="shared" si="1010"/>
        <v>236</v>
      </c>
      <c r="CB1126" s="13">
        <f t="shared" si="1011"/>
        <v>140656</v>
      </c>
      <c r="CC1126" s="62" t="str">
        <f t="shared" si="1012"/>
        <v/>
      </c>
      <c r="CD1126" s="13">
        <f t="shared" si="1013"/>
        <v>596</v>
      </c>
      <c r="CE1126" s="13">
        <f t="shared" si="1014"/>
        <v>596</v>
      </c>
      <c r="CF1126" s="13">
        <f t="shared" si="1015"/>
        <v>236</v>
      </c>
      <c r="CG1126" s="13">
        <f t="shared" si="1016"/>
        <v>236</v>
      </c>
      <c r="CH1126" s="28">
        <f t="shared" si="1017"/>
        <v>140656</v>
      </c>
      <c r="CI1126" s="62" t="str">
        <f t="shared" si="1018"/>
        <v/>
      </c>
      <c r="CJ1126" s="59">
        <f t="shared" si="1019"/>
        <v>0</v>
      </c>
      <c r="CL1126" s="63">
        <v>6000</v>
      </c>
      <c r="CM1126" s="63">
        <f t="shared" si="1020"/>
        <v>0</v>
      </c>
      <c r="CN1126" s="63">
        <f t="shared" si="1021"/>
        <v>5</v>
      </c>
      <c r="CO1126" s="63">
        <f t="shared" si="1022"/>
        <v>1200</v>
      </c>
      <c r="CP1126" s="13">
        <f t="shared" si="1023"/>
        <v>1200</v>
      </c>
      <c r="CQ1126" s="70">
        <f t="shared" si="1024"/>
        <v>8.3333333333333339E-4</v>
      </c>
      <c r="CR1126" s="69">
        <f t="shared" si="1043"/>
        <v>8.3333333333333339E-4</v>
      </c>
    </row>
    <row r="1127" spans="1:96" hidden="1" x14ac:dyDescent="0.25">
      <c r="A1127" s="13">
        <v>4</v>
      </c>
      <c r="B1127" s="14" t="s">
        <v>2292</v>
      </c>
      <c r="C1127" s="13" t="s">
        <v>2293</v>
      </c>
      <c r="D1127" s="13" t="s">
        <v>2270</v>
      </c>
      <c r="E1127" s="13" t="s">
        <v>52</v>
      </c>
      <c r="F1127" s="15">
        <f t="shared" si="993"/>
        <v>1</v>
      </c>
      <c r="G1127" s="13">
        <v>1</v>
      </c>
      <c r="H1127" s="13">
        <f>G1127*$H$1126</f>
        <v>1</v>
      </c>
      <c r="I1127" s="13" t="s">
        <v>2263</v>
      </c>
      <c r="J1127" s="14" t="s">
        <v>2294</v>
      </c>
      <c r="K1127" s="14"/>
      <c r="L1127" s="13" t="s">
        <v>2195</v>
      </c>
      <c r="M1127" s="14" t="s">
        <v>35</v>
      </c>
      <c r="N1127" s="13" t="s">
        <v>2295</v>
      </c>
      <c r="O1127" s="28"/>
      <c r="P1127" s="28"/>
      <c r="Q1127" s="28" t="s">
        <v>124</v>
      </c>
      <c r="R1127" s="30">
        <v>70.968999999999994</v>
      </c>
      <c r="S1127" s="30">
        <v>32.966000000000001</v>
      </c>
      <c r="T1127" s="30"/>
      <c r="U1127" s="30">
        <v>9.8425196850393706E-2</v>
      </c>
      <c r="V1127" s="8">
        <f t="shared" si="994"/>
        <v>1802.6125999999997</v>
      </c>
      <c r="W1127" s="8">
        <f t="shared" si="995"/>
        <v>837.33640000000003</v>
      </c>
      <c r="X1127" s="8">
        <f t="shared" si="996"/>
        <v>0</v>
      </c>
      <c r="Y1127" s="33">
        <f t="shared" si="997"/>
        <v>2.5</v>
      </c>
      <c r="Z1127" s="28" t="s">
        <v>56</v>
      </c>
      <c r="AA1127" s="28" t="s">
        <v>57</v>
      </c>
      <c r="AB1127" s="61" t="s">
        <v>124</v>
      </c>
      <c r="AC1127" s="31" t="s">
        <v>125</v>
      </c>
      <c r="AD1127" s="50">
        <f t="shared" si="998"/>
        <v>1</v>
      </c>
      <c r="AE1127" s="5" t="s">
        <v>2188</v>
      </c>
      <c r="AF1127" s="51">
        <v>14</v>
      </c>
      <c r="AG1127" s="51">
        <f t="shared" si="1026"/>
        <v>8.4</v>
      </c>
      <c r="AH1127" s="51">
        <f t="shared" si="992"/>
        <v>42</v>
      </c>
      <c r="AI1127" s="52" t="s">
        <v>2497</v>
      </c>
      <c r="AJ1127" s="52" t="s">
        <v>2498</v>
      </c>
      <c r="AK1127" s="53">
        <f t="shared" si="1027"/>
        <v>3.0187862901572795</v>
      </c>
      <c r="AL1127" s="54">
        <f t="shared" si="1028"/>
        <v>0.11904761904761904</v>
      </c>
      <c r="AM1127" s="54">
        <f t="shared" si="1029"/>
        <v>2.3809523809523808E-2</v>
      </c>
      <c r="AN1127" s="55">
        <f t="shared" si="1030"/>
        <v>0.35937932025681896</v>
      </c>
      <c r="AO1127" s="55">
        <f t="shared" si="1031"/>
        <v>7.18758640513638E-2</v>
      </c>
      <c r="AP1127" s="53">
        <v>7.1</v>
      </c>
      <c r="AQ1127" s="53">
        <f t="shared" si="999"/>
        <v>4.26</v>
      </c>
      <c r="AR1127" s="53">
        <f t="shared" si="1000"/>
        <v>21.299999999999997</v>
      </c>
      <c r="AS1127" s="56">
        <f t="shared" si="1001"/>
        <v>4.6948356807511742E-2</v>
      </c>
      <c r="AT1127" s="56">
        <f t="shared" si="1032"/>
        <v>0.23474178403755869</v>
      </c>
      <c r="AU1127" s="56">
        <f t="shared" si="1002"/>
        <v>0.176056338028169</v>
      </c>
      <c r="AV1127" s="56">
        <f t="shared" si="1033"/>
        <v>5.8685446009389672E-2</v>
      </c>
      <c r="AW1127" s="57"/>
      <c r="AX1127" s="57"/>
      <c r="AY1127" s="57"/>
      <c r="AZ1127" s="58">
        <f t="shared" si="1034"/>
        <v>3.0187862901572795</v>
      </c>
      <c r="BA1127" s="59">
        <f t="shared" si="1035"/>
        <v>0</v>
      </c>
      <c r="BB1127" s="59">
        <f t="shared" si="1036"/>
        <v>0</v>
      </c>
      <c r="BC1127" s="59">
        <f t="shared" si="1037"/>
        <v>0</v>
      </c>
      <c r="BD1127" s="60">
        <f t="shared" si="1038"/>
        <v>1</v>
      </c>
      <c r="BE1127" s="59">
        <f t="shared" si="1039"/>
        <v>1</v>
      </c>
      <c r="BQ1127" s="61">
        <v>3000</v>
      </c>
      <c r="BR1127" s="61">
        <v>1200</v>
      </c>
      <c r="BS1127" s="28">
        <f t="shared" si="1003"/>
        <v>2980</v>
      </c>
      <c r="BT1127" s="28">
        <f t="shared" si="1004"/>
        <v>1180</v>
      </c>
      <c r="BU1127" s="28" t="s">
        <v>2541</v>
      </c>
      <c r="BV1127" s="28">
        <f t="shared" si="1005"/>
        <v>1807.6125999999997</v>
      </c>
      <c r="BW1127" s="28">
        <f t="shared" si="1006"/>
        <v>842.33640000000003</v>
      </c>
      <c r="BX1127" s="13">
        <f t="shared" si="1007"/>
        <v>1.6485833302998665</v>
      </c>
      <c r="BY1127" s="13">
        <f t="shared" si="1008"/>
        <v>1</v>
      </c>
      <c r="BZ1127" s="13">
        <f t="shared" si="1009"/>
        <v>1.4008654974425894</v>
      </c>
      <c r="CA1127" s="13">
        <f t="shared" si="1010"/>
        <v>1</v>
      </c>
      <c r="CB1127" s="13">
        <f t="shared" si="1011"/>
        <v>1</v>
      </c>
      <c r="CC1127" s="62">
        <f t="shared" si="1012"/>
        <v>1</v>
      </c>
      <c r="CD1127" s="13">
        <f t="shared" si="1013"/>
        <v>3.5377789681177259</v>
      </c>
      <c r="CE1127" s="13">
        <f t="shared" si="1014"/>
        <v>3</v>
      </c>
      <c r="CF1127" s="13">
        <f t="shared" si="1015"/>
        <v>0.6527947415281351</v>
      </c>
      <c r="CG1127" s="13">
        <f t="shared" si="1016"/>
        <v>0</v>
      </c>
      <c r="CH1127" s="28">
        <f t="shared" si="1017"/>
        <v>0</v>
      </c>
      <c r="CI1127" s="62">
        <f t="shared" si="1018"/>
        <v>1</v>
      </c>
      <c r="CJ1127" s="59">
        <f t="shared" si="1019"/>
        <v>1</v>
      </c>
      <c r="CL1127" s="63">
        <v>6000</v>
      </c>
      <c r="CM1127" s="63">
        <f t="shared" si="1020"/>
        <v>1802.6125999999997</v>
      </c>
      <c r="CN1127" s="63">
        <f t="shared" si="1021"/>
        <v>1807.6125999999997</v>
      </c>
      <c r="CO1127" s="63">
        <f t="shared" si="1022"/>
        <v>3.3192952959057713</v>
      </c>
      <c r="CP1127" s="13">
        <f t="shared" si="1023"/>
        <v>3</v>
      </c>
      <c r="CQ1127" s="70">
        <f t="shared" si="1024"/>
        <v>0.33333333333333331</v>
      </c>
      <c r="CR1127" s="69">
        <f t="shared" si="1043"/>
        <v>0.33333333333333331</v>
      </c>
    </row>
    <row r="1128" spans="1:96" hidden="1" x14ac:dyDescent="0.25">
      <c r="A1128" s="13">
        <v>4</v>
      </c>
      <c r="B1128" s="14" t="s">
        <v>2296</v>
      </c>
      <c r="C1128" s="13" t="s">
        <v>59</v>
      </c>
      <c r="D1128" s="13" t="s">
        <v>61</v>
      </c>
      <c r="E1128" s="13" t="s">
        <v>52</v>
      </c>
      <c r="F1128" s="15">
        <f t="shared" si="993"/>
        <v>19</v>
      </c>
      <c r="G1128" s="13">
        <v>18</v>
      </c>
      <c r="H1128" s="13">
        <f>G1128*$H$1126</f>
        <v>18</v>
      </c>
      <c r="I1128" s="13" t="s">
        <v>2267</v>
      </c>
      <c r="J1128" s="14" t="s">
        <v>60</v>
      </c>
      <c r="K1128" s="14"/>
      <c r="L1128" s="13">
        <v>0</v>
      </c>
      <c r="M1128" s="14" t="s">
        <v>35</v>
      </c>
      <c r="N1128" s="13" t="s">
        <v>61</v>
      </c>
      <c r="O1128" s="28"/>
      <c r="P1128" s="28"/>
      <c r="Q1128" s="28" t="s">
        <v>61</v>
      </c>
      <c r="R1128" s="30"/>
      <c r="S1128" s="30"/>
      <c r="T1128" s="30"/>
      <c r="U1128" s="30"/>
      <c r="V1128" s="8">
        <f t="shared" si="994"/>
        <v>0</v>
      </c>
      <c r="W1128" s="8">
        <f t="shared" si="995"/>
        <v>0</v>
      </c>
      <c r="X1128" s="8">
        <f t="shared" si="996"/>
        <v>0</v>
      </c>
      <c r="Y1128" s="33">
        <f t="shared" si="997"/>
        <v>0</v>
      </c>
      <c r="Z1128" s="28"/>
      <c r="AA1128" s="28"/>
      <c r="AB1128" s="61" t="s">
        <v>61</v>
      </c>
      <c r="AC1128" s="31" t="s">
        <v>62</v>
      </c>
      <c r="AD1128" s="50">
        <f t="shared" si="998"/>
        <v>18</v>
      </c>
      <c r="AE1128" s="5" t="s">
        <v>2188</v>
      </c>
      <c r="AF1128" s="51">
        <v>14</v>
      </c>
      <c r="AG1128" s="51">
        <f t="shared" si="1026"/>
        <v>8.4</v>
      </c>
      <c r="AH1128" s="51">
        <f t="shared" si="992"/>
        <v>42</v>
      </c>
      <c r="AI1128" s="52" t="s">
        <v>2497</v>
      </c>
      <c r="AJ1128" s="52" t="s">
        <v>2498</v>
      </c>
      <c r="AK1128" s="53">
        <f t="shared" si="1027"/>
        <v>0</v>
      </c>
      <c r="AL1128" s="54">
        <f t="shared" si="1028"/>
        <v>0.11904761904761904</v>
      </c>
      <c r="AM1128" s="54">
        <f t="shared" si="1029"/>
        <v>2.3809523809523808E-2</v>
      </c>
      <c r="AN1128" s="55">
        <f t="shared" si="1030"/>
        <v>0</v>
      </c>
      <c r="AO1128" s="55">
        <f t="shared" si="1031"/>
        <v>0</v>
      </c>
      <c r="AP1128" s="53">
        <v>7.1</v>
      </c>
      <c r="AQ1128" s="53">
        <f t="shared" si="999"/>
        <v>4.26</v>
      </c>
      <c r="AR1128" s="53">
        <f t="shared" si="1000"/>
        <v>21.299999999999997</v>
      </c>
      <c r="AS1128" s="56">
        <f t="shared" si="1001"/>
        <v>4.6948356807511742E-2</v>
      </c>
      <c r="AT1128" s="56">
        <f t="shared" si="1032"/>
        <v>0.23474178403755869</v>
      </c>
      <c r="AU1128" s="56">
        <f t="shared" si="1002"/>
        <v>0.176056338028169</v>
      </c>
      <c r="AV1128" s="56">
        <f t="shared" si="1033"/>
        <v>5.8685446009389672E-2</v>
      </c>
      <c r="AW1128" s="57"/>
      <c r="AX1128" s="57"/>
      <c r="AY1128" s="57"/>
      <c r="AZ1128" s="58">
        <f t="shared" si="1034"/>
        <v>0</v>
      </c>
      <c r="BA1128" s="59">
        <f t="shared" si="1035"/>
        <v>0</v>
      </c>
      <c r="BB1128" s="59">
        <f t="shared" si="1036"/>
        <v>0</v>
      </c>
      <c r="BC1128" s="59">
        <f t="shared" si="1037"/>
        <v>0</v>
      </c>
      <c r="BD1128" s="60">
        <f t="shared" si="1038"/>
        <v>7.1095438516664771E-6</v>
      </c>
      <c r="BE1128" s="59">
        <f t="shared" si="1039"/>
        <v>1.279717893299966E-4</v>
      </c>
      <c r="BQ1128" s="61">
        <v>3000</v>
      </c>
      <c r="BR1128" s="61">
        <v>1200</v>
      </c>
      <c r="BS1128" s="28">
        <f t="shared" si="1003"/>
        <v>2980</v>
      </c>
      <c r="BT1128" s="28">
        <f t="shared" si="1004"/>
        <v>1180</v>
      </c>
      <c r="BU1128" s="28" t="s">
        <v>2541</v>
      </c>
      <c r="BV1128" s="28">
        <f t="shared" si="1005"/>
        <v>5</v>
      </c>
      <c r="BW1128" s="28">
        <f t="shared" si="1006"/>
        <v>5</v>
      </c>
      <c r="BX1128" s="13">
        <f t="shared" si="1007"/>
        <v>596</v>
      </c>
      <c r="BY1128" s="13">
        <f t="shared" si="1008"/>
        <v>596</v>
      </c>
      <c r="BZ1128" s="13">
        <f t="shared" si="1009"/>
        <v>236</v>
      </c>
      <c r="CA1128" s="13">
        <f t="shared" si="1010"/>
        <v>236</v>
      </c>
      <c r="CB1128" s="13">
        <f t="shared" si="1011"/>
        <v>140656</v>
      </c>
      <c r="CC1128" s="62">
        <f t="shared" si="1012"/>
        <v>7.1095438516664771E-6</v>
      </c>
      <c r="CD1128" s="13">
        <f t="shared" si="1013"/>
        <v>596</v>
      </c>
      <c r="CE1128" s="13">
        <f t="shared" si="1014"/>
        <v>596</v>
      </c>
      <c r="CF1128" s="13">
        <f t="shared" si="1015"/>
        <v>236</v>
      </c>
      <c r="CG1128" s="13">
        <f t="shared" si="1016"/>
        <v>236</v>
      </c>
      <c r="CH1128" s="28">
        <f t="shared" si="1017"/>
        <v>140656</v>
      </c>
      <c r="CI1128" s="62">
        <f t="shared" si="1018"/>
        <v>7.1095438516664771E-6</v>
      </c>
      <c r="CJ1128" s="59">
        <f t="shared" si="1019"/>
        <v>7.1095438516664771E-6</v>
      </c>
      <c r="CL1128" s="63">
        <v>6000</v>
      </c>
      <c r="CM1128" s="63">
        <f t="shared" si="1020"/>
        <v>0</v>
      </c>
      <c r="CN1128" s="63">
        <f t="shared" si="1021"/>
        <v>5</v>
      </c>
      <c r="CO1128" s="63">
        <f t="shared" si="1022"/>
        <v>1200</v>
      </c>
      <c r="CP1128" s="13">
        <f t="shared" si="1023"/>
        <v>1200</v>
      </c>
      <c r="CQ1128" s="70">
        <f t="shared" si="1024"/>
        <v>8.3333333333333339E-4</v>
      </c>
      <c r="CR1128" s="69">
        <f t="shared" si="1043"/>
        <v>1.5000000000000001E-2</v>
      </c>
    </row>
    <row r="1129" spans="1:96" hidden="1" x14ac:dyDescent="0.25">
      <c r="A1129" s="10">
        <v>3</v>
      </c>
      <c r="B1129" s="8" t="s">
        <v>2297</v>
      </c>
      <c r="C1129" s="10" t="s">
        <v>2298</v>
      </c>
      <c r="D1129" s="10" t="s">
        <v>2301</v>
      </c>
      <c r="E1129" s="10" t="s">
        <v>32</v>
      </c>
      <c r="F1129" s="12">
        <f t="shared" si="993"/>
        <v>1</v>
      </c>
      <c r="G1129" s="10">
        <v>1</v>
      </c>
      <c r="H1129" s="10">
        <f>G1129*$H$1125</f>
        <v>1</v>
      </c>
      <c r="I1129" s="10" t="s">
        <v>2299</v>
      </c>
      <c r="J1129" s="8" t="s">
        <v>2300</v>
      </c>
      <c r="K1129" s="8"/>
      <c r="L1129" s="10" t="s">
        <v>2195</v>
      </c>
      <c r="M1129" s="8" t="s">
        <v>35</v>
      </c>
      <c r="N1129" s="10" t="s">
        <v>2301</v>
      </c>
      <c r="O1129" s="28" t="s">
        <v>41</v>
      </c>
      <c r="P1129" s="28" t="s">
        <v>41</v>
      </c>
      <c r="Q1129" s="28"/>
      <c r="R1129" s="30"/>
      <c r="S1129" s="30"/>
      <c r="T1129" s="30"/>
      <c r="U1129" s="30"/>
      <c r="V1129" s="8">
        <f t="shared" si="994"/>
        <v>0</v>
      </c>
      <c r="W1129" s="8">
        <f t="shared" si="995"/>
        <v>0</v>
      </c>
      <c r="X1129" s="8">
        <f t="shared" si="996"/>
        <v>0</v>
      </c>
      <c r="Y1129" s="33">
        <f t="shared" si="997"/>
        <v>0</v>
      </c>
      <c r="Z1129" s="28"/>
      <c r="AA1129" s="28"/>
      <c r="AB1129" s="28">
        <v>0</v>
      </c>
      <c r="AC1129" s="31"/>
      <c r="AD1129" s="50">
        <f t="shared" si="998"/>
        <v>1</v>
      </c>
      <c r="AE1129" s="5" t="s">
        <v>2188</v>
      </c>
      <c r="AF1129" s="51">
        <v>14</v>
      </c>
      <c r="AG1129" s="51">
        <f t="shared" si="1026"/>
        <v>8.4</v>
      </c>
      <c r="AH1129" s="51">
        <f t="shared" si="992"/>
        <v>42</v>
      </c>
      <c r="AI1129" s="52" t="s">
        <v>2497</v>
      </c>
      <c r="AJ1129" s="52" t="s">
        <v>2498</v>
      </c>
      <c r="AK1129" s="53">
        <f t="shared" si="1027"/>
        <v>0</v>
      </c>
      <c r="AL1129" s="54">
        <f t="shared" si="1028"/>
        <v>0.11904761904761904</v>
      </c>
      <c r="AM1129" s="54">
        <f t="shared" si="1029"/>
        <v>2.3809523809523808E-2</v>
      </c>
      <c r="AN1129" s="55">
        <f t="shared" si="1030"/>
        <v>0</v>
      </c>
      <c r="AO1129" s="55">
        <f t="shared" si="1031"/>
        <v>0</v>
      </c>
      <c r="AP1129" s="53">
        <v>7.1</v>
      </c>
      <c r="AQ1129" s="53">
        <f t="shared" si="999"/>
        <v>4.26</v>
      </c>
      <c r="AR1129" s="53">
        <f t="shared" si="1000"/>
        <v>21.299999999999997</v>
      </c>
      <c r="AS1129" s="56">
        <f t="shared" si="1001"/>
        <v>4.6948356807511742E-2</v>
      </c>
      <c r="AT1129" s="56">
        <f t="shared" si="1032"/>
        <v>0.23474178403755869</v>
      </c>
      <c r="AU1129" s="56">
        <f t="shared" si="1002"/>
        <v>0.176056338028169</v>
      </c>
      <c r="AV1129" s="56">
        <f t="shared" si="1033"/>
        <v>5.8685446009389672E-2</v>
      </c>
      <c r="AW1129" s="57"/>
      <c r="AX1129" s="57"/>
      <c r="AY1129" s="57"/>
      <c r="AZ1129" s="58">
        <f t="shared" si="1034"/>
        <v>0</v>
      </c>
      <c r="BA1129" s="59">
        <f t="shared" si="1035"/>
        <v>0</v>
      </c>
      <c r="BB1129" s="59">
        <f t="shared" si="1036"/>
        <v>0</v>
      </c>
      <c r="BC1129" s="59">
        <f t="shared" si="1037"/>
        <v>0</v>
      </c>
      <c r="BD1129" s="60">
        <f t="shared" si="1038"/>
        <v>0</v>
      </c>
      <c r="BE1129" s="59">
        <f t="shared" si="1039"/>
        <v>0</v>
      </c>
      <c r="BQ1129" s="61">
        <v>3000</v>
      </c>
      <c r="BR1129" s="61">
        <v>1200</v>
      </c>
      <c r="BS1129" s="28">
        <f t="shared" si="1003"/>
        <v>2980</v>
      </c>
      <c r="BT1129" s="28">
        <f t="shared" si="1004"/>
        <v>1180</v>
      </c>
      <c r="BU1129" s="28" t="s">
        <v>2541</v>
      </c>
      <c r="BV1129" s="28">
        <f t="shared" si="1005"/>
        <v>5</v>
      </c>
      <c r="BW1129" s="28">
        <f t="shared" si="1006"/>
        <v>5</v>
      </c>
      <c r="BX1129" s="13">
        <f t="shared" si="1007"/>
        <v>596</v>
      </c>
      <c r="BY1129" s="13">
        <f t="shared" si="1008"/>
        <v>596</v>
      </c>
      <c r="BZ1129" s="13">
        <f t="shared" si="1009"/>
        <v>236</v>
      </c>
      <c r="CA1129" s="13">
        <f t="shared" si="1010"/>
        <v>236</v>
      </c>
      <c r="CB1129" s="13">
        <f t="shared" si="1011"/>
        <v>140656</v>
      </c>
      <c r="CC1129" s="62" t="str">
        <f t="shared" si="1012"/>
        <v/>
      </c>
      <c r="CD1129" s="13">
        <f t="shared" si="1013"/>
        <v>596</v>
      </c>
      <c r="CE1129" s="13">
        <f t="shared" si="1014"/>
        <v>596</v>
      </c>
      <c r="CF1129" s="13">
        <f t="shared" si="1015"/>
        <v>236</v>
      </c>
      <c r="CG1129" s="13">
        <f t="shared" si="1016"/>
        <v>236</v>
      </c>
      <c r="CH1129" s="28">
        <f t="shared" si="1017"/>
        <v>140656</v>
      </c>
      <c r="CI1129" s="62" t="str">
        <f t="shared" si="1018"/>
        <v/>
      </c>
      <c r="CJ1129" s="59">
        <f t="shared" si="1019"/>
        <v>0</v>
      </c>
      <c r="CL1129" s="63">
        <v>6000</v>
      </c>
      <c r="CM1129" s="63">
        <f t="shared" si="1020"/>
        <v>0</v>
      </c>
      <c r="CN1129" s="63">
        <f t="shared" si="1021"/>
        <v>5</v>
      </c>
      <c r="CO1129" s="63">
        <f t="shared" si="1022"/>
        <v>1200</v>
      </c>
      <c r="CP1129" s="13">
        <f t="shared" si="1023"/>
        <v>1200</v>
      </c>
      <c r="CQ1129" s="70">
        <f t="shared" si="1024"/>
        <v>8.3333333333333339E-4</v>
      </c>
      <c r="CR1129" s="69">
        <f t="shared" si="1043"/>
        <v>8.3333333333333339E-4</v>
      </c>
    </row>
    <row r="1130" spans="1:96" hidden="1" x14ac:dyDescent="0.25">
      <c r="A1130" s="13">
        <v>4</v>
      </c>
      <c r="B1130" s="14" t="s">
        <v>2302</v>
      </c>
      <c r="C1130" s="13" t="s">
        <v>2303</v>
      </c>
      <c r="D1130" s="13" t="s">
        <v>2270</v>
      </c>
      <c r="E1130" s="13" t="s">
        <v>52</v>
      </c>
      <c r="F1130" s="15">
        <f t="shared" si="993"/>
        <v>1</v>
      </c>
      <c r="G1130" s="13">
        <v>1</v>
      </c>
      <c r="H1130" s="13">
        <f>G1130*$H$1129</f>
        <v>1</v>
      </c>
      <c r="I1130" s="13" t="s">
        <v>2263</v>
      </c>
      <c r="J1130" s="14" t="s">
        <v>503</v>
      </c>
      <c r="K1130" s="14"/>
      <c r="L1130" s="13" t="s">
        <v>2195</v>
      </c>
      <c r="M1130" s="14" t="s">
        <v>35</v>
      </c>
      <c r="N1130" s="13" t="s">
        <v>2304</v>
      </c>
      <c r="O1130" s="28"/>
      <c r="P1130" s="28"/>
      <c r="Q1130" s="28" t="s">
        <v>124</v>
      </c>
      <c r="R1130" s="30">
        <v>5.44</v>
      </c>
      <c r="S1130" s="30">
        <v>3</v>
      </c>
      <c r="T1130" s="30"/>
      <c r="U1130" s="30">
        <v>9.8425196850393706E-2</v>
      </c>
      <c r="V1130" s="8">
        <f t="shared" si="994"/>
        <v>138.17600000000002</v>
      </c>
      <c r="W1130" s="8">
        <f t="shared" si="995"/>
        <v>76.199999999999989</v>
      </c>
      <c r="X1130" s="8">
        <f t="shared" si="996"/>
        <v>0</v>
      </c>
      <c r="Y1130" s="33">
        <f t="shared" si="997"/>
        <v>2.5</v>
      </c>
      <c r="Z1130" s="28" t="s">
        <v>56</v>
      </c>
      <c r="AA1130" s="28" t="s">
        <v>57</v>
      </c>
      <c r="AB1130" s="61" t="s">
        <v>124</v>
      </c>
      <c r="AC1130" s="31" t="s">
        <v>125</v>
      </c>
      <c r="AD1130" s="50">
        <f t="shared" si="998"/>
        <v>1</v>
      </c>
      <c r="AE1130" s="5" t="s">
        <v>2188</v>
      </c>
      <c r="AF1130" s="51">
        <v>14</v>
      </c>
      <c r="AG1130" s="51">
        <f t="shared" si="1026"/>
        <v>8.4</v>
      </c>
      <c r="AH1130" s="51">
        <f t="shared" si="992"/>
        <v>42</v>
      </c>
      <c r="AI1130" s="52" t="s">
        <v>2497</v>
      </c>
      <c r="AJ1130" s="52" t="s">
        <v>2498</v>
      </c>
      <c r="AK1130" s="53">
        <f t="shared" si="1027"/>
        <v>2.1058022399999998E-2</v>
      </c>
      <c r="AL1130" s="54">
        <f t="shared" si="1028"/>
        <v>0.11904761904761904</v>
      </c>
      <c r="AM1130" s="54">
        <f t="shared" si="1029"/>
        <v>2.3809523809523808E-2</v>
      </c>
      <c r="AN1130" s="55">
        <f t="shared" si="1030"/>
        <v>2.506907428571428E-3</v>
      </c>
      <c r="AO1130" s="55">
        <f t="shared" si="1031"/>
        <v>5.0138148571428559E-4</v>
      </c>
      <c r="AP1130" s="53">
        <v>7.1</v>
      </c>
      <c r="AQ1130" s="53">
        <f t="shared" si="999"/>
        <v>4.26</v>
      </c>
      <c r="AR1130" s="53">
        <f t="shared" si="1000"/>
        <v>21.299999999999997</v>
      </c>
      <c r="AS1130" s="56">
        <f t="shared" si="1001"/>
        <v>4.6948356807511742E-2</v>
      </c>
      <c r="AT1130" s="56">
        <f t="shared" si="1032"/>
        <v>0.23474178403755869</v>
      </c>
      <c r="AU1130" s="56">
        <f t="shared" si="1002"/>
        <v>0.176056338028169</v>
      </c>
      <c r="AV1130" s="56">
        <f t="shared" si="1033"/>
        <v>5.8685446009389672E-2</v>
      </c>
      <c r="AW1130" s="57"/>
      <c r="AX1130" s="57"/>
      <c r="AY1130" s="57"/>
      <c r="AZ1130" s="58">
        <f t="shared" si="1034"/>
        <v>2.1058022399999998E-2</v>
      </c>
      <c r="BA1130" s="59">
        <f t="shared" si="1035"/>
        <v>0</v>
      </c>
      <c r="BB1130" s="59">
        <f t="shared" si="1036"/>
        <v>0</v>
      </c>
      <c r="BC1130" s="59">
        <f t="shared" si="1037"/>
        <v>0</v>
      </c>
      <c r="BD1130" s="60">
        <f t="shared" si="1038"/>
        <v>3.472222222222222E-3</v>
      </c>
      <c r="BE1130" s="59">
        <f t="shared" si="1039"/>
        <v>3.472222222222222E-3</v>
      </c>
      <c r="BQ1130" s="61">
        <v>3000</v>
      </c>
      <c r="BR1130" s="61">
        <v>1200</v>
      </c>
      <c r="BS1130" s="28">
        <f t="shared" si="1003"/>
        <v>2980</v>
      </c>
      <c r="BT1130" s="28">
        <f t="shared" si="1004"/>
        <v>1180</v>
      </c>
      <c r="BU1130" s="28" t="s">
        <v>2541</v>
      </c>
      <c r="BV1130" s="28">
        <f t="shared" si="1005"/>
        <v>143.17600000000002</v>
      </c>
      <c r="BW1130" s="28">
        <f t="shared" si="1006"/>
        <v>81.199999999999989</v>
      </c>
      <c r="BX1130" s="13">
        <f t="shared" si="1007"/>
        <v>20.813544169413866</v>
      </c>
      <c r="BY1130" s="13">
        <f t="shared" si="1008"/>
        <v>20</v>
      </c>
      <c r="BZ1130" s="13">
        <f t="shared" si="1009"/>
        <v>14.5320197044335</v>
      </c>
      <c r="CA1130" s="13">
        <f t="shared" si="1010"/>
        <v>14</v>
      </c>
      <c r="CB1130" s="13">
        <f t="shared" si="1011"/>
        <v>280</v>
      </c>
      <c r="CC1130" s="62">
        <f t="shared" si="1012"/>
        <v>3.5714285714285713E-3</v>
      </c>
      <c r="CD1130" s="13">
        <f t="shared" si="1013"/>
        <v>36.699507389162569</v>
      </c>
      <c r="CE1130" s="13">
        <f t="shared" si="1014"/>
        <v>36</v>
      </c>
      <c r="CF1130" s="13">
        <f t="shared" si="1015"/>
        <v>8.2416047382242823</v>
      </c>
      <c r="CG1130" s="13">
        <f t="shared" si="1016"/>
        <v>8</v>
      </c>
      <c r="CH1130" s="28">
        <f t="shared" si="1017"/>
        <v>288</v>
      </c>
      <c r="CI1130" s="62">
        <f t="shared" si="1018"/>
        <v>3.472222222222222E-3</v>
      </c>
      <c r="CJ1130" s="59">
        <f t="shared" si="1019"/>
        <v>3.472222222222222E-3</v>
      </c>
      <c r="CL1130" s="63">
        <v>6000</v>
      </c>
      <c r="CM1130" s="63">
        <f t="shared" si="1020"/>
        <v>138.17600000000002</v>
      </c>
      <c r="CN1130" s="63">
        <f t="shared" si="1021"/>
        <v>143.17600000000002</v>
      </c>
      <c r="CO1130" s="63">
        <f t="shared" si="1022"/>
        <v>41.906464770631942</v>
      </c>
      <c r="CP1130" s="13">
        <f t="shared" si="1023"/>
        <v>41</v>
      </c>
      <c r="CQ1130" s="70">
        <f t="shared" si="1024"/>
        <v>2.4390243902439025E-2</v>
      </c>
      <c r="CR1130" s="69">
        <f t="shared" si="1043"/>
        <v>2.4390243902439025E-2</v>
      </c>
    </row>
    <row r="1131" spans="1:96" hidden="1" x14ac:dyDescent="0.25">
      <c r="A1131" s="13">
        <v>4</v>
      </c>
      <c r="B1131" s="14" t="s">
        <v>2305</v>
      </c>
      <c r="C1131" s="13" t="s">
        <v>279</v>
      </c>
      <c r="D1131" s="13" t="s">
        <v>281</v>
      </c>
      <c r="E1131" s="13" t="s">
        <v>52</v>
      </c>
      <c r="F1131" s="15">
        <f t="shared" si="993"/>
        <v>12</v>
      </c>
      <c r="G1131" s="13">
        <v>1</v>
      </c>
      <c r="H1131" s="13">
        <f>G1131*$H$1129</f>
        <v>1</v>
      </c>
      <c r="I1131" s="13" t="s">
        <v>2267</v>
      </c>
      <c r="J1131" s="14" t="s">
        <v>2202</v>
      </c>
      <c r="K1131" s="14"/>
      <c r="L1131" s="13" t="s">
        <v>194</v>
      </c>
      <c r="M1131" s="14" t="s">
        <v>35</v>
      </c>
      <c r="N1131" s="13" t="s">
        <v>281</v>
      </c>
      <c r="O1131" s="28"/>
      <c r="P1131" s="28"/>
      <c r="Q1131" s="28" t="s">
        <v>281</v>
      </c>
      <c r="R1131" s="30"/>
      <c r="S1131" s="30"/>
      <c r="T1131" s="30"/>
      <c r="U1131" s="30"/>
      <c r="V1131" s="8">
        <f t="shared" si="994"/>
        <v>0</v>
      </c>
      <c r="W1131" s="8">
        <f t="shared" si="995"/>
        <v>0</v>
      </c>
      <c r="X1131" s="8">
        <f t="shared" si="996"/>
        <v>0</v>
      </c>
      <c r="Y1131" s="33">
        <f t="shared" si="997"/>
        <v>0</v>
      </c>
      <c r="Z1131" s="28"/>
      <c r="AA1131" s="28"/>
      <c r="AB1131" s="61" t="s">
        <v>281</v>
      </c>
      <c r="AC1131" s="31" t="s">
        <v>282</v>
      </c>
      <c r="AD1131" s="50">
        <f t="shared" si="998"/>
        <v>1</v>
      </c>
      <c r="AE1131" s="5" t="s">
        <v>2188</v>
      </c>
      <c r="AF1131" s="51">
        <v>14</v>
      </c>
      <c r="AG1131" s="51">
        <f t="shared" si="1026"/>
        <v>8.4</v>
      </c>
      <c r="AH1131" s="51">
        <f t="shared" si="992"/>
        <v>42</v>
      </c>
      <c r="AI1131" s="52" t="s">
        <v>2497</v>
      </c>
      <c r="AJ1131" s="52" t="s">
        <v>2498</v>
      </c>
      <c r="AK1131" s="53">
        <f t="shared" si="1027"/>
        <v>0</v>
      </c>
      <c r="AL1131" s="54">
        <f t="shared" si="1028"/>
        <v>0.11904761904761904</v>
      </c>
      <c r="AM1131" s="54">
        <f t="shared" si="1029"/>
        <v>2.3809523809523808E-2</v>
      </c>
      <c r="AN1131" s="55">
        <f t="shared" si="1030"/>
        <v>0</v>
      </c>
      <c r="AO1131" s="55">
        <f t="shared" si="1031"/>
        <v>0</v>
      </c>
      <c r="AP1131" s="53">
        <v>7.1</v>
      </c>
      <c r="AQ1131" s="53">
        <f t="shared" si="999"/>
        <v>4.26</v>
      </c>
      <c r="AR1131" s="53">
        <f t="shared" si="1000"/>
        <v>21.299999999999997</v>
      </c>
      <c r="AS1131" s="56">
        <f t="shared" si="1001"/>
        <v>4.6948356807511742E-2</v>
      </c>
      <c r="AT1131" s="56">
        <f t="shared" si="1032"/>
        <v>0.23474178403755869</v>
      </c>
      <c r="AU1131" s="56">
        <f t="shared" si="1002"/>
        <v>0.176056338028169</v>
      </c>
      <c r="AV1131" s="56">
        <f t="shared" si="1033"/>
        <v>5.8685446009389672E-2</v>
      </c>
      <c r="AW1131" s="57"/>
      <c r="AX1131" s="57"/>
      <c r="AY1131" s="57"/>
      <c r="AZ1131" s="58">
        <f t="shared" si="1034"/>
        <v>0</v>
      </c>
      <c r="BA1131" s="59">
        <f t="shared" si="1035"/>
        <v>0</v>
      </c>
      <c r="BB1131" s="59">
        <f t="shared" si="1036"/>
        <v>0</v>
      </c>
      <c r="BC1131" s="59">
        <f t="shared" si="1037"/>
        <v>0</v>
      </c>
      <c r="BD1131" s="60">
        <f t="shared" si="1038"/>
        <v>7.1095438516664771E-6</v>
      </c>
      <c r="BE1131" s="59">
        <f t="shared" si="1039"/>
        <v>7.1095438516664771E-6</v>
      </c>
      <c r="BQ1131" s="61">
        <v>3000</v>
      </c>
      <c r="BR1131" s="61">
        <v>1200</v>
      </c>
      <c r="BS1131" s="28">
        <f t="shared" si="1003"/>
        <v>2980</v>
      </c>
      <c r="BT1131" s="28">
        <f t="shared" si="1004"/>
        <v>1180</v>
      </c>
      <c r="BU1131" s="28" t="s">
        <v>2541</v>
      </c>
      <c r="BV1131" s="28">
        <f t="shared" si="1005"/>
        <v>5</v>
      </c>
      <c r="BW1131" s="28">
        <f t="shared" si="1006"/>
        <v>5</v>
      </c>
      <c r="BX1131" s="13">
        <f t="shared" si="1007"/>
        <v>596</v>
      </c>
      <c r="BY1131" s="13">
        <f t="shared" si="1008"/>
        <v>596</v>
      </c>
      <c r="BZ1131" s="13">
        <f t="shared" si="1009"/>
        <v>236</v>
      </c>
      <c r="CA1131" s="13">
        <f t="shared" si="1010"/>
        <v>236</v>
      </c>
      <c r="CB1131" s="13">
        <f t="shared" si="1011"/>
        <v>140656</v>
      </c>
      <c r="CC1131" s="62">
        <f t="shared" si="1012"/>
        <v>7.1095438516664771E-6</v>
      </c>
      <c r="CD1131" s="13">
        <f t="shared" si="1013"/>
        <v>596</v>
      </c>
      <c r="CE1131" s="13">
        <f t="shared" si="1014"/>
        <v>596</v>
      </c>
      <c r="CF1131" s="13">
        <f t="shared" si="1015"/>
        <v>236</v>
      </c>
      <c r="CG1131" s="13">
        <f t="shared" si="1016"/>
        <v>236</v>
      </c>
      <c r="CH1131" s="28">
        <f t="shared" si="1017"/>
        <v>140656</v>
      </c>
      <c r="CI1131" s="62">
        <f t="shared" si="1018"/>
        <v>7.1095438516664771E-6</v>
      </c>
      <c r="CJ1131" s="59">
        <f t="shared" si="1019"/>
        <v>7.1095438516664771E-6</v>
      </c>
      <c r="CL1131" s="63">
        <v>6000</v>
      </c>
      <c r="CM1131" s="63">
        <f t="shared" si="1020"/>
        <v>0</v>
      </c>
      <c r="CN1131" s="63">
        <f t="shared" si="1021"/>
        <v>5</v>
      </c>
      <c r="CO1131" s="63">
        <f t="shared" si="1022"/>
        <v>1200</v>
      </c>
      <c r="CP1131" s="13">
        <f t="shared" si="1023"/>
        <v>1200</v>
      </c>
      <c r="CQ1131" s="70">
        <f t="shared" si="1024"/>
        <v>8.3333333333333339E-4</v>
      </c>
      <c r="CR1131" s="69">
        <f t="shared" si="1043"/>
        <v>8.3333333333333339E-4</v>
      </c>
    </row>
    <row r="1132" spans="1:96" hidden="1" x14ac:dyDescent="0.25">
      <c r="A1132" s="10">
        <v>3</v>
      </c>
      <c r="B1132" s="8" t="s">
        <v>2306</v>
      </c>
      <c r="C1132" s="10" t="s">
        <v>2307</v>
      </c>
      <c r="D1132" s="10" t="s">
        <v>2270</v>
      </c>
      <c r="E1132" s="10" t="s">
        <v>32</v>
      </c>
      <c r="F1132" s="12">
        <f t="shared" si="993"/>
        <v>2</v>
      </c>
      <c r="G1132" s="10">
        <v>2</v>
      </c>
      <c r="H1132" s="10">
        <f>G1132*$H$1125</f>
        <v>2</v>
      </c>
      <c r="I1132" s="10" t="s">
        <v>2308</v>
      </c>
      <c r="J1132" s="8" t="s">
        <v>1069</v>
      </c>
      <c r="K1132" s="8"/>
      <c r="L1132" s="10" t="s">
        <v>2195</v>
      </c>
      <c r="M1132" s="8" t="s">
        <v>35</v>
      </c>
      <c r="N1132" s="10" t="s">
        <v>2309</v>
      </c>
      <c r="O1132" s="28" t="s">
        <v>41</v>
      </c>
      <c r="P1132" s="28" t="s">
        <v>41</v>
      </c>
      <c r="Q1132" s="28"/>
      <c r="R1132" s="30"/>
      <c r="S1132" s="30"/>
      <c r="T1132" s="30"/>
      <c r="U1132" s="30"/>
      <c r="V1132" s="8">
        <f t="shared" si="994"/>
        <v>0</v>
      </c>
      <c r="W1132" s="8">
        <f t="shared" si="995"/>
        <v>0</v>
      </c>
      <c r="X1132" s="8">
        <f t="shared" si="996"/>
        <v>0</v>
      </c>
      <c r="Y1132" s="33">
        <f t="shared" si="997"/>
        <v>0</v>
      </c>
      <c r="Z1132" s="28"/>
      <c r="AA1132" s="28"/>
      <c r="AB1132" s="28">
        <v>0</v>
      </c>
      <c r="AC1132" s="31"/>
      <c r="AD1132" s="50">
        <f t="shared" si="998"/>
        <v>2</v>
      </c>
      <c r="AE1132" s="5" t="s">
        <v>2188</v>
      </c>
      <c r="AF1132" s="51">
        <v>14</v>
      </c>
      <c r="AG1132" s="51">
        <f t="shared" si="1026"/>
        <v>8.4</v>
      </c>
      <c r="AH1132" s="51">
        <f t="shared" si="992"/>
        <v>42</v>
      </c>
      <c r="AI1132" s="52" t="s">
        <v>2497</v>
      </c>
      <c r="AJ1132" s="52" t="s">
        <v>2498</v>
      </c>
      <c r="AK1132" s="53">
        <f t="shared" si="1027"/>
        <v>0</v>
      </c>
      <c r="AL1132" s="54">
        <f t="shared" si="1028"/>
        <v>0.11904761904761904</v>
      </c>
      <c r="AM1132" s="54">
        <f t="shared" si="1029"/>
        <v>2.3809523809523808E-2</v>
      </c>
      <c r="AN1132" s="55">
        <f t="shared" si="1030"/>
        <v>0</v>
      </c>
      <c r="AO1132" s="55">
        <f t="shared" si="1031"/>
        <v>0</v>
      </c>
      <c r="AP1132" s="53">
        <v>7.1</v>
      </c>
      <c r="AQ1132" s="53">
        <f t="shared" si="999"/>
        <v>4.26</v>
      </c>
      <c r="AR1132" s="53">
        <f t="shared" si="1000"/>
        <v>21.299999999999997</v>
      </c>
      <c r="AS1132" s="56">
        <f t="shared" si="1001"/>
        <v>4.6948356807511742E-2</v>
      </c>
      <c r="AT1132" s="56">
        <f t="shared" si="1032"/>
        <v>0.23474178403755869</v>
      </c>
      <c r="AU1132" s="56">
        <f t="shared" si="1002"/>
        <v>0.176056338028169</v>
      </c>
      <c r="AV1132" s="56">
        <f t="shared" si="1033"/>
        <v>5.8685446009389672E-2</v>
      </c>
      <c r="AW1132" s="57"/>
      <c r="AX1132" s="57"/>
      <c r="AY1132" s="57"/>
      <c r="AZ1132" s="58">
        <f t="shared" si="1034"/>
        <v>0</v>
      </c>
      <c r="BA1132" s="59">
        <f t="shared" si="1035"/>
        <v>0</v>
      </c>
      <c r="BB1132" s="59">
        <f t="shared" si="1036"/>
        <v>0</v>
      </c>
      <c r="BC1132" s="59">
        <f t="shared" si="1037"/>
        <v>0</v>
      </c>
      <c r="BD1132" s="60">
        <f t="shared" si="1038"/>
        <v>0</v>
      </c>
      <c r="BE1132" s="59">
        <f t="shared" si="1039"/>
        <v>0</v>
      </c>
      <c r="BQ1132" s="61">
        <v>3000</v>
      </c>
      <c r="BR1132" s="61">
        <v>1200</v>
      </c>
      <c r="BS1132" s="28">
        <f t="shared" si="1003"/>
        <v>2980</v>
      </c>
      <c r="BT1132" s="28">
        <f t="shared" si="1004"/>
        <v>1180</v>
      </c>
      <c r="BU1132" s="28" t="s">
        <v>2541</v>
      </c>
      <c r="BV1132" s="28">
        <f t="shared" si="1005"/>
        <v>5</v>
      </c>
      <c r="BW1132" s="28">
        <f t="shared" si="1006"/>
        <v>5</v>
      </c>
      <c r="BX1132" s="13">
        <f t="shared" si="1007"/>
        <v>596</v>
      </c>
      <c r="BY1132" s="13">
        <f t="shared" si="1008"/>
        <v>596</v>
      </c>
      <c r="BZ1132" s="13">
        <f t="shared" si="1009"/>
        <v>236</v>
      </c>
      <c r="CA1132" s="13">
        <f t="shared" si="1010"/>
        <v>236</v>
      </c>
      <c r="CB1132" s="13">
        <f t="shared" si="1011"/>
        <v>140656</v>
      </c>
      <c r="CC1132" s="62" t="str">
        <f t="shared" si="1012"/>
        <v/>
      </c>
      <c r="CD1132" s="13">
        <f t="shared" si="1013"/>
        <v>596</v>
      </c>
      <c r="CE1132" s="13">
        <f t="shared" si="1014"/>
        <v>596</v>
      </c>
      <c r="CF1132" s="13">
        <f t="shared" si="1015"/>
        <v>236</v>
      </c>
      <c r="CG1132" s="13">
        <f t="shared" si="1016"/>
        <v>236</v>
      </c>
      <c r="CH1132" s="28">
        <f t="shared" si="1017"/>
        <v>140656</v>
      </c>
      <c r="CI1132" s="62" t="str">
        <f t="shared" si="1018"/>
        <v/>
      </c>
      <c r="CJ1132" s="59">
        <f t="shared" si="1019"/>
        <v>0</v>
      </c>
      <c r="CL1132" s="63">
        <v>6000</v>
      </c>
      <c r="CM1132" s="63">
        <f t="shared" si="1020"/>
        <v>0</v>
      </c>
      <c r="CN1132" s="63">
        <f t="shared" si="1021"/>
        <v>5</v>
      </c>
      <c r="CO1132" s="63">
        <f t="shared" si="1022"/>
        <v>1200</v>
      </c>
      <c r="CP1132" s="13">
        <f t="shared" si="1023"/>
        <v>1200</v>
      </c>
      <c r="CQ1132" s="70">
        <f t="shared" si="1024"/>
        <v>8.3333333333333339E-4</v>
      </c>
      <c r="CR1132" s="69">
        <f t="shared" si="1043"/>
        <v>1.6666666666666668E-3</v>
      </c>
    </row>
    <row r="1133" spans="1:96" hidden="1" x14ac:dyDescent="0.25">
      <c r="A1133" s="13">
        <v>4</v>
      </c>
      <c r="B1133" s="14" t="s">
        <v>2310</v>
      </c>
      <c r="C1133" s="13" t="s">
        <v>2311</v>
      </c>
      <c r="D1133" s="13" t="s">
        <v>2270</v>
      </c>
      <c r="E1133" s="13" t="s">
        <v>52</v>
      </c>
      <c r="F1133" s="15">
        <f t="shared" si="993"/>
        <v>2</v>
      </c>
      <c r="G1133" s="13">
        <v>1</v>
      </c>
      <c r="H1133" s="13">
        <f>G1133*$H$1132</f>
        <v>2</v>
      </c>
      <c r="I1133" s="13" t="s">
        <v>2263</v>
      </c>
      <c r="J1133" s="14" t="s">
        <v>911</v>
      </c>
      <c r="K1133" s="14"/>
      <c r="L1133" s="13" t="s">
        <v>2195</v>
      </c>
      <c r="M1133" s="14" t="s">
        <v>35</v>
      </c>
      <c r="N1133" s="13" t="s">
        <v>2312</v>
      </c>
      <c r="O1133" s="28"/>
      <c r="P1133" s="28"/>
      <c r="Q1133" s="28" t="s">
        <v>103</v>
      </c>
      <c r="R1133" s="30">
        <v>2.5</v>
      </c>
      <c r="S1133" s="30">
        <v>2.5</v>
      </c>
      <c r="T1133" s="30"/>
      <c r="U1133" s="30">
        <v>0.23622047244094491</v>
      </c>
      <c r="V1133" s="8">
        <f t="shared" si="994"/>
        <v>63.5</v>
      </c>
      <c r="W1133" s="8">
        <f t="shared" si="995"/>
        <v>63.5</v>
      </c>
      <c r="X1133" s="8">
        <f t="shared" si="996"/>
        <v>0</v>
      </c>
      <c r="Y1133" s="33">
        <f t="shared" si="997"/>
        <v>6</v>
      </c>
      <c r="Z1133" s="28" t="s">
        <v>56</v>
      </c>
      <c r="AA1133" s="28" t="s">
        <v>57</v>
      </c>
      <c r="AB1133" s="28" t="s">
        <v>103</v>
      </c>
      <c r="AC1133" s="31" t="s">
        <v>104</v>
      </c>
      <c r="AD1133" s="50">
        <f t="shared" si="998"/>
        <v>2</v>
      </c>
      <c r="AE1133" s="5" t="s">
        <v>2188</v>
      </c>
      <c r="AF1133" s="51">
        <v>14</v>
      </c>
      <c r="AG1133" s="51">
        <f t="shared" si="1026"/>
        <v>8.4</v>
      </c>
      <c r="AH1133" s="51">
        <f t="shared" si="992"/>
        <v>42</v>
      </c>
      <c r="AI1133" s="52" t="s">
        <v>2497</v>
      </c>
      <c r="AJ1133" s="52" t="s">
        <v>2498</v>
      </c>
      <c r="AK1133" s="53">
        <f t="shared" si="1027"/>
        <v>8.0645000000000005E-3</v>
      </c>
      <c r="AL1133" s="54">
        <f t="shared" si="1028"/>
        <v>0.11904761904761904</v>
      </c>
      <c r="AM1133" s="54">
        <f t="shared" si="1029"/>
        <v>2.3809523809523808E-2</v>
      </c>
      <c r="AN1133" s="55">
        <f t="shared" si="1030"/>
        <v>1.9201190476190477E-3</v>
      </c>
      <c r="AO1133" s="55">
        <f t="shared" si="1031"/>
        <v>3.8402380952380952E-4</v>
      </c>
      <c r="AP1133" s="53">
        <v>7.1</v>
      </c>
      <c r="AQ1133" s="53">
        <f t="shared" si="999"/>
        <v>4.26</v>
      </c>
      <c r="AR1133" s="53">
        <f t="shared" si="1000"/>
        <v>21.299999999999997</v>
      </c>
      <c r="AS1133" s="56">
        <f t="shared" si="1001"/>
        <v>4.6948356807511742E-2</v>
      </c>
      <c r="AT1133" s="56">
        <f t="shared" si="1032"/>
        <v>0.23474178403755869</v>
      </c>
      <c r="AU1133" s="56">
        <f t="shared" si="1002"/>
        <v>0.176056338028169</v>
      </c>
      <c r="AV1133" s="56">
        <f t="shared" si="1033"/>
        <v>5.8685446009389672E-2</v>
      </c>
      <c r="AW1133" s="57"/>
      <c r="AX1133" s="57"/>
      <c r="AY1133" s="57"/>
      <c r="AZ1133" s="58">
        <f t="shared" si="1034"/>
        <v>8.0645000000000005E-3</v>
      </c>
      <c r="BA1133" s="59">
        <f t="shared" si="1035"/>
        <v>0</v>
      </c>
      <c r="BB1133" s="59">
        <f t="shared" si="1036"/>
        <v>0</v>
      </c>
      <c r="BC1133" s="59">
        <f t="shared" si="1037"/>
        <v>0</v>
      </c>
      <c r="BD1133" s="60">
        <f t="shared" si="1038"/>
        <v>1.3679890560875513E-3</v>
      </c>
      <c r="BE1133" s="59">
        <f t="shared" si="1039"/>
        <v>2.7359781121751026E-3</v>
      </c>
      <c r="BQ1133" s="61">
        <v>3000</v>
      </c>
      <c r="BR1133" s="61">
        <v>1200</v>
      </c>
      <c r="BS1133" s="28">
        <f t="shared" si="1003"/>
        <v>2980</v>
      </c>
      <c r="BT1133" s="28">
        <f t="shared" si="1004"/>
        <v>1180</v>
      </c>
      <c r="BU1133" s="28" t="s">
        <v>2541</v>
      </c>
      <c r="BV1133" s="28">
        <f t="shared" si="1005"/>
        <v>68.5</v>
      </c>
      <c r="BW1133" s="28">
        <f t="shared" si="1006"/>
        <v>68.5</v>
      </c>
      <c r="BX1133" s="13">
        <f t="shared" si="1007"/>
        <v>43.503649635036496</v>
      </c>
      <c r="BY1133" s="13">
        <f t="shared" si="1008"/>
        <v>43</v>
      </c>
      <c r="BZ1133" s="13">
        <f t="shared" si="1009"/>
        <v>17.226277372262775</v>
      </c>
      <c r="CA1133" s="13">
        <f t="shared" si="1010"/>
        <v>17</v>
      </c>
      <c r="CB1133" s="13">
        <f t="shared" si="1011"/>
        <v>731</v>
      </c>
      <c r="CC1133" s="62">
        <f t="shared" si="1012"/>
        <v>1.3679890560875513E-3</v>
      </c>
      <c r="CD1133" s="13">
        <f t="shared" si="1013"/>
        <v>43.503649635036496</v>
      </c>
      <c r="CE1133" s="13">
        <f t="shared" si="1014"/>
        <v>43</v>
      </c>
      <c r="CF1133" s="13">
        <f t="shared" si="1015"/>
        <v>17.226277372262775</v>
      </c>
      <c r="CG1133" s="13">
        <f t="shared" si="1016"/>
        <v>17</v>
      </c>
      <c r="CH1133" s="28">
        <f t="shared" si="1017"/>
        <v>731</v>
      </c>
      <c r="CI1133" s="62">
        <f t="shared" si="1018"/>
        <v>1.3679890560875513E-3</v>
      </c>
      <c r="CJ1133" s="59">
        <f t="shared" si="1019"/>
        <v>1.3679890560875513E-3</v>
      </c>
      <c r="CL1133" s="63">
        <v>6000</v>
      </c>
      <c r="CM1133" s="63">
        <f t="shared" si="1020"/>
        <v>63.5</v>
      </c>
      <c r="CN1133" s="63">
        <f t="shared" si="1021"/>
        <v>68.5</v>
      </c>
      <c r="CO1133" s="63">
        <f t="shared" si="1022"/>
        <v>87.591240875912405</v>
      </c>
      <c r="CP1133" s="13">
        <f t="shared" si="1023"/>
        <v>87</v>
      </c>
      <c r="CQ1133" s="70">
        <f t="shared" si="1024"/>
        <v>1.1494252873563218E-2</v>
      </c>
      <c r="CR1133" s="69">
        <f t="shared" si="1043"/>
        <v>2.2988505747126436E-2</v>
      </c>
    </row>
    <row r="1134" spans="1:96" hidden="1" x14ac:dyDescent="0.25">
      <c r="A1134" s="13">
        <v>4</v>
      </c>
      <c r="B1134" s="14" t="s">
        <v>2313</v>
      </c>
      <c r="C1134" s="13" t="s">
        <v>2314</v>
      </c>
      <c r="D1134" s="13" t="s">
        <v>2316</v>
      </c>
      <c r="E1134" s="13" t="s">
        <v>52</v>
      </c>
      <c r="F1134" s="15">
        <f t="shared" si="993"/>
        <v>2</v>
      </c>
      <c r="G1134" s="13">
        <v>1</v>
      </c>
      <c r="H1134" s="13">
        <f>G1134*$H$1132</f>
        <v>2</v>
      </c>
      <c r="I1134" s="13" t="s">
        <v>2267</v>
      </c>
      <c r="J1134" s="14" t="s">
        <v>2315</v>
      </c>
      <c r="K1134" s="14"/>
      <c r="L1134" s="13">
        <v>0</v>
      </c>
      <c r="M1134" s="14" t="s">
        <v>35</v>
      </c>
      <c r="N1134" s="13" t="s">
        <v>2316</v>
      </c>
      <c r="O1134" s="28"/>
      <c r="P1134" s="28"/>
      <c r="Q1134" s="28" t="s">
        <v>2316</v>
      </c>
      <c r="R1134" s="30"/>
      <c r="S1134" s="30"/>
      <c r="T1134" s="30"/>
      <c r="U1134" s="30"/>
      <c r="V1134" s="8">
        <f t="shared" si="994"/>
        <v>0</v>
      </c>
      <c r="W1134" s="8">
        <f t="shared" si="995"/>
        <v>0</v>
      </c>
      <c r="X1134" s="8">
        <f t="shared" si="996"/>
        <v>0</v>
      </c>
      <c r="Y1134" s="33">
        <f t="shared" si="997"/>
        <v>0</v>
      </c>
      <c r="Z1134" s="28"/>
      <c r="AA1134" s="28"/>
      <c r="AB1134" s="61" t="s">
        <v>2316</v>
      </c>
      <c r="AC1134" s="31" t="s">
        <v>62</v>
      </c>
      <c r="AD1134" s="50">
        <f t="shared" si="998"/>
        <v>2</v>
      </c>
      <c r="AE1134" s="5" t="s">
        <v>2188</v>
      </c>
      <c r="AF1134" s="51">
        <v>14</v>
      </c>
      <c r="AG1134" s="51">
        <f t="shared" si="1026"/>
        <v>8.4</v>
      </c>
      <c r="AH1134" s="51">
        <f t="shared" si="992"/>
        <v>42</v>
      </c>
      <c r="AI1134" s="52" t="s">
        <v>2497</v>
      </c>
      <c r="AJ1134" s="52" t="s">
        <v>2498</v>
      </c>
      <c r="AK1134" s="53">
        <f t="shared" si="1027"/>
        <v>0</v>
      </c>
      <c r="AL1134" s="54">
        <f t="shared" si="1028"/>
        <v>0.11904761904761904</v>
      </c>
      <c r="AM1134" s="54">
        <f t="shared" si="1029"/>
        <v>2.3809523809523808E-2</v>
      </c>
      <c r="AN1134" s="55">
        <f t="shared" si="1030"/>
        <v>0</v>
      </c>
      <c r="AO1134" s="55">
        <f t="shared" si="1031"/>
        <v>0</v>
      </c>
      <c r="AP1134" s="53">
        <v>7.1</v>
      </c>
      <c r="AQ1134" s="53">
        <f t="shared" si="999"/>
        <v>4.26</v>
      </c>
      <c r="AR1134" s="53">
        <f t="shared" si="1000"/>
        <v>21.299999999999997</v>
      </c>
      <c r="AS1134" s="56">
        <f t="shared" si="1001"/>
        <v>4.6948356807511742E-2</v>
      </c>
      <c r="AT1134" s="56">
        <f t="shared" si="1032"/>
        <v>0.23474178403755869</v>
      </c>
      <c r="AU1134" s="56">
        <f t="shared" si="1002"/>
        <v>0.176056338028169</v>
      </c>
      <c r="AV1134" s="56">
        <f t="shared" si="1033"/>
        <v>5.8685446009389672E-2</v>
      </c>
      <c r="AW1134" s="57"/>
      <c r="AX1134" s="57"/>
      <c r="AY1134" s="57"/>
      <c r="AZ1134" s="58">
        <f t="shared" si="1034"/>
        <v>0</v>
      </c>
      <c r="BA1134" s="59">
        <f t="shared" si="1035"/>
        <v>0</v>
      </c>
      <c r="BB1134" s="59">
        <f t="shared" si="1036"/>
        <v>0</v>
      </c>
      <c r="BC1134" s="59">
        <f t="shared" si="1037"/>
        <v>0</v>
      </c>
      <c r="BD1134" s="60">
        <f t="shared" si="1038"/>
        <v>7.1095438516664771E-6</v>
      </c>
      <c r="BE1134" s="59">
        <f t="shared" si="1039"/>
        <v>1.4219087703332954E-5</v>
      </c>
      <c r="BQ1134" s="61">
        <v>3000</v>
      </c>
      <c r="BR1134" s="61">
        <v>1200</v>
      </c>
      <c r="BS1134" s="28">
        <f t="shared" si="1003"/>
        <v>2980</v>
      </c>
      <c r="BT1134" s="28">
        <f t="shared" si="1004"/>
        <v>1180</v>
      </c>
      <c r="BU1134" s="28" t="s">
        <v>2541</v>
      </c>
      <c r="BV1134" s="28">
        <f t="shared" si="1005"/>
        <v>5</v>
      </c>
      <c r="BW1134" s="28">
        <f t="shared" si="1006"/>
        <v>5</v>
      </c>
      <c r="BX1134" s="13">
        <f t="shared" si="1007"/>
        <v>596</v>
      </c>
      <c r="BY1134" s="13">
        <f t="shared" si="1008"/>
        <v>596</v>
      </c>
      <c r="BZ1134" s="13">
        <f t="shared" si="1009"/>
        <v>236</v>
      </c>
      <c r="CA1134" s="13">
        <f t="shared" si="1010"/>
        <v>236</v>
      </c>
      <c r="CB1134" s="13">
        <f t="shared" si="1011"/>
        <v>140656</v>
      </c>
      <c r="CC1134" s="62">
        <f t="shared" si="1012"/>
        <v>7.1095438516664771E-6</v>
      </c>
      <c r="CD1134" s="13">
        <f t="shared" si="1013"/>
        <v>596</v>
      </c>
      <c r="CE1134" s="13">
        <f t="shared" si="1014"/>
        <v>596</v>
      </c>
      <c r="CF1134" s="13">
        <f t="shared" si="1015"/>
        <v>236</v>
      </c>
      <c r="CG1134" s="13">
        <f t="shared" si="1016"/>
        <v>236</v>
      </c>
      <c r="CH1134" s="28">
        <f t="shared" si="1017"/>
        <v>140656</v>
      </c>
      <c r="CI1134" s="62">
        <f t="shared" si="1018"/>
        <v>7.1095438516664771E-6</v>
      </c>
      <c r="CJ1134" s="59">
        <f t="shared" si="1019"/>
        <v>7.1095438516664771E-6</v>
      </c>
      <c r="CL1134" s="63">
        <v>6000</v>
      </c>
      <c r="CM1134" s="63">
        <f t="shared" si="1020"/>
        <v>0</v>
      </c>
      <c r="CN1134" s="63">
        <f t="shared" si="1021"/>
        <v>5</v>
      </c>
      <c r="CO1134" s="63">
        <f t="shared" si="1022"/>
        <v>1200</v>
      </c>
      <c r="CP1134" s="13">
        <f t="shared" si="1023"/>
        <v>1200</v>
      </c>
      <c r="CQ1134" s="70">
        <f t="shared" si="1024"/>
        <v>8.3333333333333339E-4</v>
      </c>
      <c r="CR1134" s="69">
        <f t="shared" si="1043"/>
        <v>1.6666666666666668E-3</v>
      </c>
    </row>
    <row r="1135" spans="1:96" hidden="1" x14ac:dyDescent="0.25">
      <c r="A1135" s="36">
        <v>2</v>
      </c>
      <c r="B1135" s="37" t="s">
        <v>2317</v>
      </c>
      <c r="C1135" s="36" t="s">
        <v>2318</v>
      </c>
      <c r="D1135" s="36" t="s">
        <v>2270</v>
      </c>
      <c r="E1135" s="36" t="s">
        <v>32</v>
      </c>
      <c r="F1135" s="38">
        <f t="shared" si="993"/>
        <v>1</v>
      </c>
      <c r="G1135" s="36">
        <v>1</v>
      </c>
      <c r="H1135" s="36">
        <f>G1135*$H$1124</f>
        <v>1</v>
      </c>
      <c r="I1135" s="36" t="s">
        <v>2267</v>
      </c>
      <c r="J1135" s="37" t="s">
        <v>2319</v>
      </c>
      <c r="K1135" s="37"/>
      <c r="L1135" s="36">
        <v>0</v>
      </c>
      <c r="M1135" s="37" t="s">
        <v>35</v>
      </c>
      <c r="N1135" s="36" t="s">
        <v>2320</v>
      </c>
      <c r="O1135" s="28"/>
      <c r="P1135" s="28"/>
      <c r="Q1135" s="28"/>
      <c r="R1135" s="30"/>
      <c r="S1135" s="30"/>
      <c r="T1135" s="30"/>
      <c r="U1135" s="30"/>
      <c r="V1135" s="8">
        <f t="shared" si="994"/>
        <v>0</v>
      </c>
      <c r="W1135" s="8">
        <f t="shared" si="995"/>
        <v>0</v>
      </c>
      <c r="X1135" s="8">
        <f t="shared" si="996"/>
        <v>0</v>
      </c>
      <c r="Y1135" s="33">
        <f t="shared" si="997"/>
        <v>0</v>
      </c>
      <c r="Z1135" s="28"/>
      <c r="AA1135" s="28"/>
      <c r="AB1135" s="28">
        <v>0</v>
      </c>
      <c r="AC1135" s="31"/>
      <c r="AD1135" s="50">
        <f t="shared" si="998"/>
        <v>1</v>
      </c>
      <c r="AE1135" s="5" t="s">
        <v>2188</v>
      </c>
      <c r="AF1135" s="51">
        <v>14</v>
      </c>
      <c r="AG1135" s="51">
        <f t="shared" si="1026"/>
        <v>8.4</v>
      </c>
      <c r="AH1135" s="51">
        <f t="shared" si="992"/>
        <v>42</v>
      </c>
      <c r="AI1135" s="52" t="s">
        <v>2497</v>
      </c>
      <c r="AJ1135" s="52" t="s">
        <v>2498</v>
      </c>
      <c r="AK1135" s="53">
        <f t="shared" si="1027"/>
        <v>0</v>
      </c>
      <c r="AL1135" s="54">
        <f t="shared" si="1028"/>
        <v>0.11904761904761904</v>
      </c>
      <c r="AM1135" s="54">
        <f t="shared" si="1029"/>
        <v>2.3809523809523808E-2</v>
      </c>
      <c r="AN1135" s="55">
        <f t="shared" si="1030"/>
        <v>0</v>
      </c>
      <c r="AO1135" s="55">
        <f t="shared" si="1031"/>
        <v>0</v>
      </c>
      <c r="AP1135" s="53">
        <v>7.1</v>
      </c>
      <c r="AQ1135" s="53">
        <f t="shared" si="999"/>
        <v>4.26</v>
      </c>
      <c r="AR1135" s="53">
        <f t="shared" si="1000"/>
        <v>21.299999999999997</v>
      </c>
      <c r="AS1135" s="56">
        <f t="shared" si="1001"/>
        <v>4.6948356807511742E-2</v>
      </c>
      <c r="AT1135" s="56">
        <f t="shared" si="1032"/>
        <v>0.23474178403755869</v>
      </c>
      <c r="AU1135" s="56">
        <f t="shared" si="1002"/>
        <v>0.176056338028169</v>
      </c>
      <c r="AV1135" s="56">
        <f t="shared" si="1033"/>
        <v>5.8685446009389672E-2</v>
      </c>
      <c r="AW1135" s="57"/>
      <c r="AX1135" s="57"/>
      <c r="AY1135" s="57"/>
      <c r="AZ1135" s="58">
        <f t="shared" si="1034"/>
        <v>0</v>
      </c>
      <c r="BA1135" s="59">
        <f t="shared" si="1035"/>
        <v>0</v>
      </c>
      <c r="BB1135" s="59">
        <f t="shared" si="1036"/>
        <v>0</v>
      </c>
      <c r="BC1135" s="59">
        <f t="shared" si="1037"/>
        <v>0</v>
      </c>
      <c r="BD1135" s="60">
        <f t="shared" si="1038"/>
        <v>0</v>
      </c>
      <c r="BE1135" s="59">
        <f t="shared" si="1039"/>
        <v>0</v>
      </c>
      <c r="BQ1135" s="61">
        <v>3000</v>
      </c>
      <c r="BR1135" s="61">
        <v>1200</v>
      </c>
      <c r="BS1135" s="28">
        <f t="shared" si="1003"/>
        <v>2980</v>
      </c>
      <c r="BT1135" s="28">
        <f t="shared" si="1004"/>
        <v>1180</v>
      </c>
      <c r="BU1135" s="28" t="s">
        <v>2541</v>
      </c>
      <c r="BV1135" s="28">
        <f t="shared" si="1005"/>
        <v>5</v>
      </c>
      <c r="BW1135" s="28">
        <f t="shared" si="1006"/>
        <v>5</v>
      </c>
      <c r="BX1135" s="13">
        <f t="shared" si="1007"/>
        <v>596</v>
      </c>
      <c r="BY1135" s="13">
        <f t="shared" si="1008"/>
        <v>596</v>
      </c>
      <c r="BZ1135" s="13">
        <f t="shared" si="1009"/>
        <v>236</v>
      </c>
      <c r="CA1135" s="13">
        <f t="shared" si="1010"/>
        <v>236</v>
      </c>
      <c r="CB1135" s="13">
        <f t="shared" si="1011"/>
        <v>140656</v>
      </c>
      <c r="CC1135" s="62" t="str">
        <f t="shared" si="1012"/>
        <v/>
      </c>
      <c r="CD1135" s="13">
        <f t="shared" si="1013"/>
        <v>596</v>
      </c>
      <c r="CE1135" s="13">
        <f t="shared" si="1014"/>
        <v>596</v>
      </c>
      <c r="CF1135" s="13">
        <f t="shared" si="1015"/>
        <v>236</v>
      </c>
      <c r="CG1135" s="13">
        <f t="shared" si="1016"/>
        <v>236</v>
      </c>
      <c r="CH1135" s="28">
        <f t="shared" si="1017"/>
        <v>140656</v>
      </c>
      <c r="CI1135" s="62" t="str">
        <f t="shared" si="1018"/>
        <v/>
      </c>
      <c r="CJ1135" s="59">
        <f t="shared" si="1019"/>
        <v>0</v>
      </c>
      <c r="CL1135" s="63">
        <v>6000</v>
      </c>
      <c r="CM1135" s="63">
        <f t="shared" si="1020"/>
        <v>0</v>
      </c>
      <c r="CN1135" s="63">
        <f t="shared" si="1021"/>
        <v>5</v>
      </c>
      <c r="CO1135" s="63">
        <f t="shared" si="1022"/>
        <v>1200</v>
      </c>
      <c r="CP1135" s="13">
        <f t="shared" si="1023"/>
        <v>1200</v>
      </c>
      <c r="CQ1135" s="70">
        <f t="shared" si="1024"/>
        <v>8.3333333333333339E-4</v>
      </c>
      <c r="CR1135" s="69">
        <f t="shared" si="1043"/>
        <v>8.3333333333333339E-4</v>
      </c>
    </row>
    <row r="1136" spans="1:96" hidden="1" x14ac:dyDescent="0.25">
      <c r="A1136" s="10">
        <v>3</v>
      </c>
      <c r="B1136" s="8" t="s">
        <v>2321</v>
      </c>
      <c r="C1136" s="10" t="s">
        <v>2322</v>
      </c>
      <c r="D1136" s="10" t="s">
        <v>2270</v>
      </c>
      <c r="E1136" s="10" t="s">
        <v>32</v>
      </c>
      <c r="F1136" s="12">
        <f t="shared" si="993"/>
        <v>1</v>
      </c>
      <c r="G1136" s="10">
        <v>1</v>
      </c>
      <c r="H1136" s="10">
        <f>G1136*$H$1135</f>
        <v>1</v>
      </c>
      <c r="I1136" s="10" t="s">
        <v>2290</v>
      </c>
      <c r="J1136" s="8" t="s">
        <v>2319</v>
      </c>
      <c r="K1136" s="8"/>
      <c r="L1136" s="10">
        <v>0</v>
      </c>
      <c r="M1136" s="8" t="s">
        <v>35</v>
      </c>
      <c r="N1136" s="10" t="s">
        <v>2323</v>
      </c>
      <c r="O1136" s="28" t="s">
        <v>41</v>
      </c>
      <c r="P1136" s="28" t="s">
        <v>41</v>
      </c>
      <c r="Q1136" s="28"/>
      <c r="R1136" s="30"/>
      <c r="S1136" s="30"/>
      <c r="T1136" s="30"/>
      <c r="U1136" s="30"/>
      <c r="V1136" s="8">
        <f t="shared" si="994"/>
        <v>0</v>
      </c>
      <c r="W1136" s="8">
        <f t="shared" si="995"/>
        <v>0</v>
      </c>
      <c r="X1136" s="8">
        <f t="shared" si="996"/>
        <v>0</v>
      </c>
      <c r="Y1136" s="33">
        <f t="shared" si="997"/>
        <v>0</v>
      </c>
      <c r="Z1136" s="28"/>
      <c r="AA1136" s="28"/>
      <c r="AB1136" s="28">
        <v>0</v>
      </c>
      <c r="AC1136" s="31"/>
      <c r="AD1136" s="50">
        <f t="shared" si="998"/>
        <v>1</v>
      </c>
      <c r="AE1136" s="5" t="s">
        <v>2188</v>
      </c>
      <c r="AF1136" s="51">
        <v>14</v>
      </c>
      <c r="AG1136" s="51">
        <f t="shared" si="1026"/>
        <v>8.4</v>
      </c>
      <c r="AH1136" s="51">
        <f t="shared" si="992"/>
        <v>42</v>
      </c>
      <c r="AI1136" s="52" t="s">
        <v>2497</v>
      </c>
      <c r="AJ1136" s="52" t="s">
        <v>2498</v>
      </c>
      <c r="AK1136" s="53">
        <f t="shared" si="1027"/>
        <v>0</v>
      </c>
      <c r="AL1136" s="54">
        <f t="shared" si="1028"/>
        <v>0.11904761904761904</v>
      </c>
      <c r="AM1136" s="54">
        <f t="shared" si="1029"/>
        <v>2.3809523809523808E-2</v>
      </c>
      <c r="AN1136" s="55">
        <f t="shared" si="1030"/>
        <v>0</v>
      </c>
      <c r="AO1136" s="55">
        <f t="shared" si="1031"/>
        <v>0</v>
      </c>
      <c r="AP1136" s="53">
        <v>7.1</v>
      </c>
      <c r="AQ1136" s="53">
        <f t="shared" si="999"/>
        <v>4.26</v>
      </c>
      <c r="AR1136" s="53">
        <f t="shared" si="1000"/>
        <v>21.299999999999997</v>
      </c>
      <c r="AS1136" s="56">
        <f t="shared" si="1001"/>
        <v>4.6948356807511742E-2</v>
      </c>
      <c r="AT1136" s="56">
        <f t="shared" si="1032"/>
        <v>0.23474178403755869</v>
      </c>
      <c r="AU1136" s="56">
        <f t="shared" si="1002"/>
        <v>0.176056338028169</v>
      </c>
      <c r="AV1136" s="56">
        <f t="shared" si="1033"/>
        <v>5.8685446009389672E-2</v>
      </c>
      <c r="AW1136" s="57"/>
      <c r="AX1136" s="57"/>
      <c r="AY1136" s="57"/>
      <c r="AZ1136" s="58">
        <f t="shared" si="1034"/>
        <v>0</v>
      </c>
      <c r="BA1136" s="59">
        <f t="shared" si="1035"/>
        <v>0</v>
      </c>
      <c r="BB1136" s="59">
        <f t="shared" si="1036"/>
        <v>0</v>
      </c>
      <c r="BC1136" s="59">
        <f t="shared" si="1037"/>
        <v>0</v>
      </c>
      <c r="BD1136" s="60">
        <f t="shared" si="1038"/>
        <v>0</v>
      </c>
      <c r="BE1136" s="59">
        <f t="shared" si="1039"/>
        <v>0</v>
      </c>
      <c r="BQ1136" s="61">
        <v>3000</v>
      </c>
      <c r="BR1136" s="61">
        <v>1200</v>
      </c>
      <c r="BS1136" s="28">
        <f t="shared" si="1003"/>
        <v>2980</v>
      </c>
      <c r="BT1136" s="28">
        <f t="shared" si="1004"/>
        <v>1180</v>
      </c>
      <c r="BU1136" s="28" t="s">
        <v>2541</v>
      </c>
      <c r="BV1136" s="28">
        <f t="shared" si="1005"/>
        <v>5</v>
      </c>
      <c r="BW1136" s="28">
        <f t="shared" si="1006"/>
        <v>5</v>
      </c>
      <c r="BX1136" s="13">
        <f t="shared" si="1007"/>
        <v>596</v>
      </c>
      <c r="BY1136" s="13">
        <f t="shared" si="1008"/>
        <v>596</v>
      </c>
      <c r="BZ1136" s="13">
        <f t="shared" si="1009"/>
        <v>236</v>
      </c>
      <c r="CA1136" s="13">
        <f t="shared" si="1010"/>
        <v>236</v>
      </c>
      <c r="CB1136" s="13">
        <f t="shared" si="1011"/>
        <v>140656</v>
      </c>
      <c r="CC1136" s="62" t="str">
        <f t="shared" si="1012"/>
        <v/>
      </c>
      <c r="CD1136" s="13">
        <f t="shared" si="1013"/>
        <v>596</v>
      </c>
      <c r="CE1136" s="13">
        <f t="shared" si="1014"/>
        <v>596</v>
      </c>
      <c r="CF1136" s="13">
        <f t="shared" si="1015"/>
        <v>236</v>
      </c>
      <c r="CG1136" s="13">
        <f t="shared" si="1016"/>
        <v>236</v>
      </c>
      <c r="CH1136" s="28">
        <f t="shared" si="1017"/>
        <v>140656</v>
      </c>
      <c r="CI1136" s="62" t="str">
        <f t="shared" si="1018"/>
        <v/>
      </c>
      <c r="CJ1136" s="59">
        <f t="shared" si="1019"/>
        <v>0</v>
      </c>
      <c r="CL1136" s="63">
        <v>6000</v>
      </c>
      <c r="CM1136" s="63">
        <f t="shared" si="1020"/>
        <v>0</v>
      </c>
      <c r="CN1136" s="63">
        <f t="shared" si="1021"/>
        <v>5</v>
      </c>
      <c r="CO1136" s="63">
        <f t="shared" si="1022"/>
        <v>1200</v>
      </c>
      <c r="CP1136" s="13">
        <f t="shared" si="1023"/>
        <v>1200</v>
      </c>
      <c r="CQ1136" s="70">
        <f t="shared" si="1024"/>
        <v>8.3333333333333339E-4</v>
      </c>
      <c r="CR1136" s="69">
        <f t="shared" si="1043"/>
        <v>8.3333333333333339E-4</v>
      </c>
    </row>
    <row r="1137" spans="1:96" hidden="1" x14ac:dyDescent="0.25">
      <c r="A1137" s="13">
        <v>4</v>
      </c>
      <c r="B1137" s="14" t="s">
        <v>2324</v>
      </c>
      <c r="C1137" s="13" t="s">
        <v>2325</v>
      </c>
      <c r="D1137" s="13" t="s">
        <v>2270</v>
      </c>
      <c r="E1137" s="13" t="s">
        <v>52</v>
      </c>
      <c r="F1137" s="15">
        <f t="shared" si="993"/>
        <v>1</v>
      </c>
      <c r="G1137" s="13">
        <v>1</v>
      </c>
      <c r="H1137" s="13">
        <f>G1137*$H$1136</f>
        <v>1</v>
      </c>
      <c r="I1137" s="13" t="s">
        <v>2263</v>
      </c>
      <c r="J1137" s="14" t="s">
        <v>2319</v>
      </c>
      <c r="K1137" s="14"/>
      <c r="L1137" s="13">
        <v>0</v>
      </c>
      <c r="M1137" s="14" t="s">
        <v>35</v>
      </c>
      <c r="N1137" s="13" t="s">
        <v>2326</v>
      </c>
      <c r="O1137" s="28"/>
      <c r="P1137" s="28"/>
      <c r="Q1137" s="28" t="s">
        <v>124</v>
      </c>
      <c r="R1137" s="30">
        <v>49.89</v>
      </c>
      <c r="S1137" s="30">
        <v>39.634999999999998</v>
      </c>
      <c r="T1137" s="30"/>
      <c r="U1137" s="30">
        <v>9.8425196850393706E-2</v>
      </c>
      <c r="V1137" s="8">
        <f t="shared" si="994"/>
        <v>1267.2059999999999</v>
      </c>
      <c r="W1137" s="8">
        <f t="shared" si="995"/>
        <v>1006.7289999999999</v>
      </c>
      <c r="X1137" s="8">
        <f t="shared" si="996"/>
        <v>0</v>
      </c>
      <c r="Y1137" s="33">
        <f t="shared" si="997"/>
        <v>2.5</v>
      </c>
      <c r="Z1137" s="28" t="s">
        <v>56</v>
      </c>
      <c r="AA1137" s="28" t="s">
        <v>57</v>
      </c>
      <c r="AB1137" s="61" t="s">
        <v>124</v>
      </c>
      <c r="AC1137" s="31" t="s">
        <v>125</v>
      </c>
      <c r="AD1137" s="50">
        <f t="shared" si="998"/>
        <v>1</v>
      </c>
      <c r="AE1137" s="5" t="s">
        <v>2188</v>
      </c>
      <c r="AF1137" s="51">
        <v>14</v>
      </c>
      <c r="AG1137" s="51">
        <f t="shared" si="1026"/>
        <v>8.4</v>
      </c>
      <c r="AH1137" s="51">
        <f t="shared" si="992"/>
        <v>42</v>
      </c>
      <c r="AI1137" s="52" t="s">
        <v>2497</v>
      </c>
      <c r="AJ1137" s="52" t="s">
        <v>2498</v>
      </c>
      <c r="AK1137" s="53">
        <f t="shared" si="1027"/>
        <v>2.5514660583479998</v>
      </c>
      <c r="AL1137" s="54">
        <f t="shared" si="1028"/>
        <v>0.11904761904761904</v>
      </c>
      <c r="AM1137" s="54">
        <f t="shared" si="1029"/>
        <v>2.3809523809523808E-2</v>
      </c>
      <c r="AN1137" s="55">
        <f t="shared" si="1030"/>
        <v>0.30374595932714282</v>
      </c>
      <c r="AO1137" s="55">
        <f t="shared" si="1031"/>
        <v>6.0749191865428563E-2</v>
      </c>
      <c r="AP1137" s="53">
        <v>7.1</v>
      </c>
      <c r="AQ1137" s="53">
        <f t="shared" si="999"/>
        <v>4.26</v>
      </c>
      <c r="AR1137" s="53">
        <f t="shared" si="1000"/>
        <v>21.299999999999997</v>
      </c>
      <c r="AS1137" s="56">
        <f t="shared" si="1001"/>
        <v>4.6948356807511742E-2</v>
      </c>
      <c r="AT1137" s="56">
        <f t="shared" si="1032"/>
        <v>0.23474178403755869</v>
      </c>
      <c r="AU1137" s="56">
        <f t="shared" si="1002"/>
        <v>0.176056338028169</v>
      </c>
      <c r="AV1137" s="56">
        <f t="shared" si="1033"/>
        <v>5.8685446009389672E-2</v>
      </c>
      <c r="AW1137" s="57"/>
      <c r="AX1137" s="57"/>
      <c r="AY1137" s="57"/>
      <c r="AZ1137" s="58">
        <f t="shared" si="1034"/>
        <v>2.5514660583479998</v>
      </c>
      <c r="BA1137" s="59">
        <f t="shared" si="1035"/>
        <v>0</v>
      </c>
      <c r="BB1137" s="59">
        <f t="shared" si="1036"/>
        <v>0</v>
      </c>
      <c r="BC1137" s="59">
        <f t="shared" si="1037"/>
        <v>0</v>
      </c>
      <c r="BD1137" s="60">
        <f t="shared" si="1038"/>
        <v>0.5</v>
      </c>
      <c r="BE1137" s="59">
        <f t="shared" si="1039"/>
        <v>0.5</v>
      </c>
      <c r="BQ1137" s="61">
        <v>3000</v>
      </c>
      <c r="BR1137" s="61">
        <v>1200</v>
      </c>
      <c r="BS1137" s="28">
        <f t="shared" si="1003"/>
        <v>2980</v>
      </c>
      <c r="BT1137" s="28">
        <f t="shared" si="1004"/>
        <v>1180</v>
      </c>
      <c r="BU1137" s="28" t="s">
        <v>2541</v>
      </c>
      <c r="BV1137" s="28">
        <f t="shared" si="1005"/>
        <v>1272.2059999999999</v>
      </c>
      <c r="BW1137" s="28">
        <f t="shared" si="1006"/>
        <v>1011.7289999999999</v>
      </c>
      <c r="BX1137" s="13">
        <f t="shared" si="1007"/>
        <v>2.3423879466061317</v>
      </c>
      <c r="BY1137" s="13">
        <f t="shared" si="1008"/>
        <v>2</v>
      </c>
      <c r="BZ1137" s="13">
        <f t="shared" si="1009"/>
        <v>1.1663202300220712</v>
      </c>
      <c r="CA1137" s="13">
        <f t="shared" si="1010"/>
        <v>1</v>
      </c>
      <c r="CB1137" s="13">
        <f t="shared" si="1011"/>
        <v>2</v>
      </c>
      <c r="CC1137" s="62">
        <f t="shared" si="1012"/>
        <v>0.5</v>
      </c>
      <c r="CD1137" s="13">
        <f t="shared" si="1013"/>
        <v>2.9454527842930274</v>
      </c>
      <c r="CE1137" s="13">
        <f t="shared" si="1014"/>
        <v>2</v>
      </c>
      <c r="CF1137" s="13">
        <f t="shared" si="1015"/>
        <v>0.92752274395813261</v>
      </c>
      <c r="CG1137" s="13">
        <f t="shared" si="1016"/>
        <v>0</v>
      </c>
      <c r="CH1137" s="28">
        <f t="shared" si="1017"/>
        <v>0</v>
      </c>
      <c r="CI1137" s="62">
        <f t="shared" si="1018"/>
        <v>1</v>
      </c>
      <c r="CJ1137" s="59">
        <f t="shared" si="1019"/>
        <v>0.5</v>
      </c>
      <c r="CL1137" s="63">
        <v>6000</v>
      </c>
      <c r="CM1137" s="63">
        <f t="shared" si="1020"/>
        <v>1267.2059999999999</v>
      </c>
      <c r="CN1137" s="63">
        <f t="shared" si="1021"/>
        <v>1272.2059999999999</v>
      </c>
      <c r="CO1137" s="63">
        <f t="shared" si="1022"/>
        <v>4.7162173421599967</v>
      </c>
      <c r="CP1137" s="13">
        <f t="shared" si="1023"/>
        <v>4</v>
      </c>
      <c r="CQ1137" s="70">
        <f t="shared" si="1024"/>
        <v>0.25</v>
      </c>
      <c r="CR1137" s="69">
        <f t="shared" si="1043"/>
        <v>0.25</v>
      </c>
    </row>
    <row r="1138" spans="1:96" hidden="1" x14ac:dyDescent="0.25">
      <c r="A1138" s="13">
        <v>4</v>
      </c>
      <c r="B1138" s="14" t="s">
        <v>2327</v>
      </c>
      <c r="C1138" s="13" t="s">
        <v>2328</v>
      </c>
      <c r="D1138" s="13" t="s">
        <v>2330</v>
      </c>
      <c r="E1138" s="13" t="s">
        <v>52</v>
      </c>
      <c r="F1138" s="15">
        <f t="shared" si="993"/>
        <v>2</v>
      </c>
      <c r="G1138" s="13">
        <v>2</v>
      </c>
      <c r="H1138" s="13">
        <f t="shared" ref="H1138:H1140" si="1044">G1138*$H$1136</f>
        <v>2</v>
      </c>
      <c r="I1138" s="13" t="s">
        <v>2299</v>
      </c>
      <c r="J1138" s="14" t="s">
        <v>2329</v>
      </c>
      <c r="K1138" s="14"/>
      <c r="L1138" s="13">
        <v>0</v>
      </c>
      <c r="M1138" s="14" t="s">
        <v>35</v>
      </c>
      <c r="N1138" s="13" t="s">
        <v>2330</v>
      </c>
      <c r="O1138" s="28"/>
      <c r="P1138" s="28"/>
      <c r="Q1138" s="28" t="s">
        <v>2330</v>
      </c>
      <c r="R1138" s="30"/>
      <c r="S1138" s="30"/>
      <c r="T1138" s="30"/>
      <c r="U1138" s="30"/>
      <c r="V1138" s="8">
        <f t="shared" si="994"/>
        <v>0</v>
      </c>
      <c r="W1138" s="8">
        <f t="shared" si="995"/>
        <v>0</v>
      </c>
      <c r="X1138" s="8">
        <f t="shared" si="996"/>
        <v>0</v>
      </c>
      <c r="Y1138" s="33">
        <f t="shared" si="997"/>
        <v>0</v>
      </c>
      <c r="Z1138" s="28"/>
      <c r="AA1138" s="28"/>
      <c r="AB1138" s="61" t="s">
        <v>2330</v>
      </c>
      <c r="AC1138" s="31" t="s">
        <v>2331</v>
      </c>
      <c r="AD1138" s="50">
        <f t="shared" si="998"/>
        <v>2</v>
      </c>
      <c r="AE1138" s="5" t="s">
        <v>2188</v>
      </c>
      <c r="AF1138" s="51">
        <v>14</v>
      </c>
      <c r="AG1138" s="51">
        <f t="shared" si="1026"/>
        <v>8.4</v>
      </c>
      <c r="AH1138" s="51">
        <f t="shared" si="992"/>
        <v>42</v>
      </c>
      <c r="AI1138" s="52" t="s">
        <v>2497</v>
      </c>
      <c r="AJ1138" s="52" t="s">
        <v>2498</v>
      </c>
      <c r="AK1138" s="53">
        <f t="shared" si="1027"/>
        <v>0</v>
      </c>
      <c r="AL1138" s="54">
        <f t="shared" si="1028"/>
        <v>0.11904761904761904</v>
      </c>
      <c r="AM1138" s="54">
        <f t="shared" si="1029"/>
        <v>2.3809523809523808E-2</v>
      </c>
      <c r="AN1138" s="55">
        <f t="shared" si="1030"/>
        <v>0</v>
      </c>
      <c r="AO1138" s="55">
        <f t="shared" si="1031"/>
        <v>0</v>
      </c>
      <c r="AP1138" s="53">
        <v>7.1</v>
      </c>
      <c r="AQ1138" s="53">
        <f t="shared" si="999"/>
        <v>4.26</v>
      </c>
      <c r="AR1138" s="53">
        <f t="shared" si="1000"/>
        <v>21.299999999999997</v>
      </c>
      <c r="AS1138" s="56">
        <f t="shared" si="1001"/>
        <v>4.6948356807511742E-2</v>
      </c>
      <c r="AT1138" s="56">
        <f t="shared" si="1032"/>
        <v>0.23474178403755869</v>
      </c>
      <c r="AU1138" s="56">
        <f t="shared" si="1002"/>
        <v>0.176056338028169</v>
      </c>
      <c r="AV1138" s="56">
        <f t="shared" si="1033"/>
        <v>5.8685446009389672E-2</v>
      </c>
      <c r="AW1138" s="57"/>
      <c r="AX1138" s="57"/>
      <c r="AY1138" s="57"/>
      <c r="AZ1138" s="58">
        <f t="shared" si="1034"/>
        <v>0</v>
      </c>
      <c r="BA1138" s="59">
        <f t="shared" si="1035"/>
        <v>0</v>
      </c>
      <c r="BB1138" s="59">
        <f t="shared" si="1036"/>
        <v>0</v>
      </c>
      <c r="BC1138" s="59">
        <f t="shared" si="1037"/>
        <v>0</v>
      </c>
      <c r="BD1138" s="60">
        <f t="shared" si="1038"/>
        <v>7.1095438516664771E-6</v>
      </c>
      <c r="BE1138" s="59">
        <f t="shared" si="1039"/>
        <v>1.4219087703332954E-5</v>
      </c>
      <c r="BQ1138" s="61">
        <v>3000</v>
      </c>
      <c r="BR1138" s="61">
        <v>1200</v>
      </c>
      <c r="BS1138" s="28">
        <f t="shared" si="1003"/>
        <v>2980</v>
      </c>
      <c r="BT1138" s="28">
        <f t="shared" si="1004"/>
        <v>1180</v>
      </c>
      <c r="BU1138" s="28" t="s">
        <v>2541</v>
      </c>
      <c r="BV1138" s="28">
        <f t="shared" si="1005"/>
        <v>5</v>
      </c>
      <c r="BW1138" s="28">
        <f t="shared" si="1006"/>
        <v>5</v>
      </c>
      <c r="BX1138" s="13">
        <f t="shared" si="1007"/>
        <v>596</v>
      </c>
      <c r="BY1138" s="13">
        <f t="shared" si="1008"/>
        <v>596</v>
      </c>
      <c r="BZ1138" s="13">
        <f t="shared" si="1009"/>
        <v>236</v>
      </c>
      <c r="CA1138" s="13">
        <f t="shared" si="1010"/>
        <v>236</v>
      </c>
      <c r="CB1138" s="13">
        <f t="shared" si="1011"/>
        <v>140656</v>
      </c>
      <c r="CC1138" s="62">
        <f t="shared" si="1012"/>
        <v>7.1095438516664771E-6</v>
      </c>
      <c r="CD1138" s="13">
        <f t="shared" si="1013"/>
        <v>596</v>
      </c>
      <c r="CE1138" s="13">
        <f t="shared" si="1014"/>
        <v>596</v>
      </c>
      <c r="CF1138" s="13">
        <f t="shared" si="1015"/>
        <v>236</v>
      </c>
      <c r="CG1138" s="13">
        <f t="shared" si="1016"/>
        <v>236</v>
      </c>
      <c r="CH1138" s="28">
        <f t="shared" si="1017"/>
        <v>140656</v>
      </c>
      <c r="CI1138" s="62">
        <f t="shared" si="1018"/>
        <v>7.1095438516664771E-6</v>
      </c>
      <c r="CJ1138" s="59">
        <f t="shared" si="1019"/>
        <v>7.1095438516664771E-6</v>
      </c>
      <c r="CL1138" s="63">
        <v>6000</v>
      </c>
      <c r="CM1138" s="63">
        <f t="shared" si="1020"/>
        <v>0</v>
      </c>
      <c r="CN1138" s="63">
        <f t="shared" si="1021"/>
        <v>5</v>
      </c>
      <c r="CO1138" s="63">
        <f t="shared" si="1022"/>
        <v>1200</v>
      </c>
      <c r="CP1138" s="13">
        <f t="shared" si="1023"/>
        <v>1200</v>
      </c>
      <c r="CQ1138" s="70">
        <f t="shared" si="1024"/>
        <v>8.3333333333333339E-4</v>
      </c>
      <c r="CR1138" s="69">
        <f t="shared" si="1043"/>
        <v>1.6666666666666668E-3</v>
      </c>
    </row>
    <row r="1139" spans="1:96" hidden="1" x14ac:dyDescent="0.25">
      <c r="A1139" s="13">
        <v>4</v>
      </c>
      <c r="B1139" s="14" t="s">
        <v>2305</v>
      </c>
      <c r="C1139" s="13" t="s">
        <v>279</v>
      </c>
      <c r="D1139" s="13" t="s">
        <v>281</v>
      </c>
      <c r="E1139" s="13" t="s">
        <v>52</v>
      </c>
      <c r="F1139" s="15">
        <f t="shared" si="993"/>
        <v>12</v>
      </c>
      <c r="G1139" s="13">
        <v>8</v>
      </c>
      <c r="H1139" s="13">
        <f t="shared" si="1044"/>
        <v>8</v>
      </c>
      <c r="I1139" s="13" t="s">
        <v>2308</v>
      </c>
      <c r="J1139" s="14" t="s">
        <v>2202</v>
      </c>
      <c r="K1139" s="14"/>
      <c r="L1139" s="13" t="s">
        <v>194</v>
      </c>
      <c r="M1139" s="14" t="s">
        <v>35</v>
      </c>
      <c r="N1139" s="13" t="s">
        <v>281</v>
      </c>
      <c r="O1139" s="28"/>
      <c r="P1139" s="28"/>
      <c r="Q1139" s="28" t="s">
        <v>281</v>
      </c>
      <c r="R1139" s="30"/>
      <c r="S1139" s="30"/>
      <c r="T1139" s="30"/>
      <c r="U1139" s="30"/>
      <c r="V1139" s="8">
        <f t="shared" si="994"/>
        <v>0</v>
      </c>
      <c r="W1139" s="8">
        <f t="shared" si="995"/>
        <v>0</v>
      </c>
      <c r="X1139" s="8">
        <f t="shared" si="996"/>
        <v>0</v>
      </c>
      <c r="Y1139" s="33">
        <f t="shared" si="997"/>
        <v>0</v>
      </c>
      <c r="Z1139" s="28"/>
      <c r="AA1139" s="28"/>
      <c r="AB1139" s="61" t="s">
        <v>281</v>
      </c>
      <c r="AC1139" s="31" t="s">
        <v>282</v>
      </c>
      <c r="AD1139" s="50">
        <f t="shared" si="998"/>
        <v>8</v>
      </c>
      <c r="AE1139" s="5" t="s">
        <v>2188</v>
      </c>
      <c r="AF1139" s="51">
        <v>14</v>
      </c>
      <c r="AG1139" s="51">
        <f t="shared" si="1026"/>
        <v>8.4</v>
      </c>
      <c r="AH1139" s="51">
        <f t="shared" si="992"/>
        <v>42</v>
      </c>
      <c r="AI1139" s="52" t="s">
        <v>2497</v>
      </c>
      <c r="AJ1139" s="52" t="s">
        <v>2498</v>
      </c>
      <c r="AK1139" s="53">
        <f t="shared" si="1027"/>
        <v>0</v>
      </c>
      <c r="AL1139" s="54">
        <f t="shared" si="1028"/>
        <v>0.11904761904761904</v>
      </c>
      <c r="AM1139" s="54">
        <f t="shared" si="1029"/>
        <v>2.3809523809523808E-2</v>
      </c>
      <c r="AN1139" s="55">
        <f t="shared" si="1030"/>
        <v>0</v>
      </c>
      <c r="AO1139" s="55">
        <f t="shared" si="1031"/>
        <v>0</v>
      </c>
      <c r="AP1139" s="53">
        <v>7.1</v>
      </c>
      <c r="AQ1139" s="53">
        <f t="shared" si="999"/>
        <v>4.26</v>
      </c>
      <c r="AR1139" s="53">
        <f t="shared" si="1000"/>
        <v>21.299999999999997</v>
      </c>
      <c r="AS1139" s="56">
        <f t="shared" si="1001"/>
        <v>4.6948356807511742E-2</v>
      </c>
      <c r="AT1139" s="56">
        <f t="shared" si="1032"/>
        <v>0.23474178403755869</v>
      </c>
      <c r="AU1139" s="56">
        <f t="shared" si="1002"/>
        <v>0.176056338028169</v>
      </c>
      <c r="AV1139" s="56">
        <f t="shared" si="1033"/>
        <v>5.8685446009389672E-2</v>
      </c>
      <c r="AW1139" s="57"/>
      <c r="AX1139" s="57"/>
      <c r="AY1139" s="57"/>
      <c r="AZ1139" s="58">
        <f t="shared" si="1034"/>
        <v>0</v>
      </c>
      <c r="BA1139" s="59">
        <f t="shared" si="1035"/>
        <v>0</v>
      </c>
      <c r="BB1139" s="59">
        <f t="shared" si="1036"/>
        <v>0</v>
      </c>
      <c r="BC1139" s="59">
        <f t="shared" si="1037"/>
        <v>0</v>
      </c>
      <c r="BD1139" s="60">
        <f t="shared" si="1038"/>
        <v>7.1095438516664771E-6</v>
      </c>
      <c r="BE1139" s="59">
        <f t="shared" si="1039"/>
        <v>5.6876350813331817E-5</v>
      </c>
      <c r="BQ1139" s="61">
        <v>3000</v>
      </c>
      <c r="BR1139" s="61">
        <v>1200</v>
      </c>
      <c r="BS1139" s="28">
        <f t="shared" si="1003"/>
        <v>2980</v>
      </c>
      <c r="BT1139" s="28">
        <f t="shared" si="1004"/>
        <v>1180</v>
      </c>
      <c r="BU1139" s="28" t="s">
        <v>2541</v>
      </c>
      <c r="BV1139" s="28">
        <f t="shared" si="1005"/>
        <v>5</v>
      </c>
      <c r="BW1139" s="28">
        <f t="shared" si="1006"/>
        <v>5</v>
      </c>
      <c r="BX1139" s="13">
        <f t="shared" si="1007"/>
        <v>596</v>
      </c>
      <c r="BY1139" s="13">
        <f t="shared" si="1008"/>
        <v>596</v>
      </c>
      <c r="BZ1139" s="13">
        <f t="shared" si="1009"/>
        <v>236</v>
      </c>
      <c r="CA1139" s="13">
        <f t="shared" si="1010"/>
        <v>236</v>
      </c>
      <c r="CB1139" s="13">
        <f t="shared" si="1011"/>
        <v>140656</v>
      </c>
      <c r="CC1139" s="62">
        <f t="shared" si="1012"/>
        <v>7.1095438516664771E-6</v>
      </c>
      <c r="CD1139" s="13">
        <f t="shared" si="1013"/>
        <v>596</v>
      </c>
      <c r="CE1139" s="13">
        <f t="shared" si="1014"/>
        <v>596</v>
      </c>
      <c r="CF1139" s="13">
        <f t="shared" si="1015"/>
        <v>236</v>
      </c>
      <c r="CG1139" s="13">
        <f t="shared" si="1016"/>
        <v>236</v>
      </c>
      <c r="CH1139" s="28">
        <f t="shared" si="1017"/>
        <v>140656</v>
      </c>
      <c r="CI1139" s="62">
        <f t="shared" si="1018"/>
        <v>7.1095438516664771E-6</v>
      </c>
      <c r="CJ1139" s="59">
        <f t="shared" si="1019"/>
        <v>7.1095438516664771E-6</v>
      </c>
      <c r="CL1139" s="63">
        <v>6000</v>
      </c>
      <c r="CM1139" s="63">
        <f t="shared" si="1020"/>
        <v>0</v>
      </c>
      <c r="CN1139" s="63">
        <f t="shared" si="1021"/>
        <v>5</v>
      </c>
      <c r="CO1139" s="63">
        <f t="shared" si="1022"/>
        <v>1200</v>
      </c>
      <c r="CP1139" s="13">
        <f t="shared" si="1023"/>
        <v>1200</v>
      </c>
      <c r="CQ1139" s="70">
        <f t="shared" si="1024"/>
        <v>8.3333333333333339E-4</v>
      </c>
      <c r="CR1139" s="69">
        <f t="shared" si="1043"/>
        <v>6.6666666666666671E-3</v>
      </c>
    </row>
    <row r="1140" spans="1:96" hidden="1" x14ac:dyDescent="0.25">
      <c r="A1140" s="13">
        <v>4</v>
      </c>
      <c r="B1140" s="14" t="s">
        <v>2332</v>
      </c>
      <c r="C1140" s="13" t="s">
        <v>448</v>
      </c>
      <c r="D1140" s="13" t="s">
        <v>450</v>
      </c>
      <c r="E1140" s="13" t="s">
        <v>52</v>
      </c>
      <c r="F1140" s="15">
        <f t="shared" si="993"/>
        <v>23</v>
      </c>
      <c r="G1140" s="13">
        <v>2</v>
      </c>
      <c r="H1140" s="13">
        <f t="shared" si="1044"/>
        <v>2</v>
      </c>
      <c r="I1140" s="13" t="s">
        <v>2333</v>
      </c>
      <c r="J1140" s="14" t="s">
        <v>449</v>
      </c>
      <c r="K1140" s="14"/>
      <c r="L1140" s="13">
        <v>0</v>
      </c>
      <c r="M1140" s="14" t="s">
        <v>35</v>
      </c>
      <c r="N1140" s="13" t="s">
        <v>450</v>
      </c>
      <c r="O1140" s="28"/>
      <c r="P1140" s="28"/>
      <c r="Q1140" s="28" t="s">
        <v>450</v>
      </c>
      <c r="R1140" s="30"/>
      <c r="S1140" s="30"/>
      <c r="T1140" s="30"/>
      <c r="U1140" s="30"/>
      <c r="V1140" s="8">
        <f t="shared" si="994"/>
        <v>0</v>
      </c>
      <c r="W1140" s="8">
        <f t="shared" si="995"/>
        <v>0</v>
      </c>
      <c r="X1140" s="8">
        <f t="shared" si="996"/>
        <v>0</v>
      </c>
      <c r="Y1140" s="33">
        <f t="shared" si="997"/>
        <v>0</v>
      </c>
      <c r="Z1140" s="28"/>
      <c r="AA1140" s="28"/>
      <c r="AB1140" s="61" t="s">
        <v>450</v>
      </c>
      <c r="AC1140" s="31" t="s">
        <v>451</v>
      </c>
      <c r="AD1140" s="50">
        <f t="shared" si="998"/>
        <v>2</v>
      </c>
      <c r="AE1140" s="5" t="s">
        <v>2188</v>
      </c>
      <c r="AF1140" s="51">
        <v>14</v>
      </c>
      <c r="AG1140" s="51">
        <f t="shared" si="1026"/>
        <v>8.4</v>
      </c>
      <c r="AH1140" s="51">
        <f t="shared" si="992"/>
        <v>42</v>
      </c>
      <c r="AI1140" s="52" t="s">
        <v>2497</v>
      </c>
      <c r="AJ1140" s="52" t="s">
        <v>2498</v>
      </c>
      <c r="AK1140" s="53">
        <f t="shared" si="1027"/>
        <v>0</v>
      </c>
      <c r="AL1140" s="54">
        <f t="shared" si="1028"/>
        <v>0.11904761904761904</v>
      </c>
      <c r="AM1140" s="54">
        <f t="shared" si="1029"/>
        <v>2.3809523809523808E-2</v>
      </c>
      <c r="AN1140" s="55">
        <f t="shared" si="1030"/>
        <v>0</v>
      </c>
      <c r="AO1140" s="55">
        <f t="shared" si="1031"/>
        <v>0</v>
      </c>
      <c r="AP1140" s="53">
        <v>7.1</v>
      </c>
      <c r="AQ1140" s="53">
        <f t="shared" si="999"/>
        <v>4.26</v>
      </c>
      <c r="AR1140" s="53">
        <f t="shared" si="1000"/>
        <v>21.299999999999997</v>
      </c>
      <c r="AS1140" s="56">
        <f t="shared" si="1001"/>
        <v>4.6948356807511742E-2</v>
      </c>
      <c r="AT1140" s="56">
        <f t="shared" si="1032"/>
        <v>0.23474178403755869</v>
      </c>
      <c r="AU1140" s="56">
        <f t="shared" si="1002"/>
        <v>0.176056338028169</v>
      </c>
      <c r="AV1140" s="56">
        <f t="shared" si="1033"/>
        <v>5.8685446009389672E-2</v>
      </c>
      <c r="AW1140" s="57"/>
      <c r="AX1140" s="57"/>
      <c r="AY1140" s="57"/>
      <c r="AZ1140" s="58">
        <f t="shared" si="1034"/>
        <v>0</v>
      </c>
      <c r="BA1140" s="59">
        <f t="shared" si="1035"/>
        <v>0</v>
      </c>
      <c r="BB1140" s="59">
        <f t="shared" si="1036"/>
        <v>0</v>
      </c>
      <c r="BC1140" s="59">
        <f t="shared" si="1037"/>
        <v>0</v>
      </c>
      <c r="BD1140" s="60">
        <f t="shared" si="1038"/>
        <v>7.1095438516664771E-6</v>
      </c>
      <c r="BE1140" s="59">
        <f t="shared" si="1039"/>
        <v>1.4219087703332954E-5</v>
      </c>
      <c r="BQ1140" s="61">
        <v>3000</v>
      </c>
      <c r="BR1140" s="61">
        <v>1200</v>
      </c>
      <c r="BS1140" s="28">
        <f t="shared" si="1003"/>
        <v>2980</v>
      </c>
      <c r="BT1140" s="28">
        <f t="shared" si="1004"/>
        <v>1180</v>
      </c>
      <c r="BU1140" s="28" t="s">
        <v>2541</v>
      </c>
      <c r="BV1140" s="28">
        <f t="shared" si="1005"/>
        <v>5</v>
      </c>
      <c r="BW1140" s="28">
        <f t="shared" si="1006"/>
        <v>5</v>
      </c>
      <c r="BX1140" s="13">
        <f t="shared" si="1007"/>
        <v>596</v>
      </c>
      <c r="BY1140" s="13">
        <f t="shared" si="1008"/>
        <v>596</v>
      </c>
      <c r="BZ1140" s="13">
        <f t="shared" si="1009"/>
        <v>236</v>
      </c>
      <c r="CA1140" s="13">
        <f t="shared" si="1010"/>
        <v>236</v>
      </c>
      <c r="CB1140" s="13">
        <f t="shared" si="1011"/>
        <v>140656</v>
      </c>
      <c r="CC1140" s="62">
        <f t="shared" si="1012"/>
        <v>7.1095438516664771E-6</v>
      </c>
      <c r="CD1140" s="13">
        <f t="shared" si="1013"/>
        <v>596</v>
      </c>
      <c r="CE1140" s="13">
        <f t="shared" si="1014"/>
        <v>596</v>
      </c>
      <c r="CF1140" s="13">
        <f t="shared" si="1015"/>
        <v>236</v>
      </c>
      <c r="CG1140" s="13">
        <f t="shared" si="1016"/>
        <v>236</v>
      </c>
      <c r="CH1140" s="28">
        <f t="shared" si="1017"/>
        <v>140656</v>
      </c>
      <c r="CI1140" s="62">
        <f t="shared" si="1018"/>
        <v>7.1095438516664771E-6</v>
      </c>
      <c r="CJ1140" s="59">
        <f t="shared" si="1019"/>
        <v>7.1095438516664771E-6</v>
      </c>
      <c r="CL1140" s="63">
        <v>6000</v>
      </c>
      <c r="CM1140" s="63">
        <f t="shared" si="1020"/>
        <v>0</v>
      </c>
      <c r="CN1140" s="63">
        <f t="shared" si="1021"/>
        <v>5</v>
      </c>
      <c r="CO1140" s="63">
        <f t="shared" si="1022"/>
        <v>1200</v>
      </c>
      <c r="CP1140" s="13">
        <f t="shared" si="1023"/>
        <v>1200</v>
      </c>
      <c r="CQ1140" s="70">
        <f t="shared" si="1024"/>
        <v>8.3333333333333339E-4</v>
      </c>
      <c r="CR1140" s="69">
        <f t="shared" si="1043"/>
        <v>1.6666666666666668E-3</v>
      </c>
    </row>
    <row r="1141" spans="1:96" hidden="1" x14ac:dyDescent="0.25">
      <c r="A1141" s="10">
        <v>3</v>
      </c>
      <c r="B1141" s="8" t="s">
        <v>2334</v>
      </c>
      <c r="C1141" s="10" t="s">
        <v>2335</v>
      </c>
      <c r="D1141" s="10" t="s">
        <v>2270</v>
      </c>
      <c r="E1141" s="10" t="s">
        <v>32</v>
      </c>
      <c r="F1141" s="12">
        <f t="shared" si="993"/>
        <v>1</v>
      </c>
      <c r="G1141" s="10">
        <v>1</v>
      </c>
      <c r="H1141" s="10">
        <f>G1141*$H$1135</f>
        <v>1</v>
      </c>
      <c r="I1141" s="10" t="s">
        <v>2267</v>
      </c>
      <c r="J1141" s="8" t="s">
        <v>2253</v>
      </c>
      <c r="K1141" s="8"/>
      <c r="L1141" s="10">
        <v>0</v>
      </c>
      <c r="M1141" s="8" t="s">
        <v>35</v>
      </c>
      <c r="N1141" s="10" t="s">
        <v>2336</v>
      </c>
      <c r="O1141" s="28"/>
      <c r="P1141" s="28"/>
      <c r="Q1141" s="28"/>
      <c r="R1141" s="30"/>
      <c r="S1141" s="30"/>
      <c r="T1141" s="30"/>
      <c r="U1141" s="30"/>
      <c r="V1141" s="8">
        <f t="shared" si="994"/>
        <v>0</v>
      </c>
      <c r="W1141" s="8">
        <f t="shared" si="995"/>
        <v>0</v>
      </c>
      <c r="X1141" s="8">
        <f t="shared" si="996"/>
        <v>0</v>
      </c>
      <c r="Y1141" s="33">
        <f t="shared" si="997"/>
        <v>0</v>
      </c>
      <c r="Z1141" s="28"/>
      <c r="AA1141" s="28"/>
      <c r="AB1141" s="28">
        <v>0</v>
      </c>
      <c r="AC1141" s="31"/>
      <c r="AD1141" s="50">
        <f t="shared" si="998"/>
        <v>1</v>
      </c>
      <c r="AE1141" s="5" t="s">
        <v>2188</v>
      </c>
      <c r="AF1141" s="51">
        <v>14</v>
      </c>
      <c r="AG1141" s="51">
        <f t="shared" si="1026"/>
        <v>8.4</v>
      </c>
      <c r="AH1141" s="51">
        <f t="shared" si="992"/>
        <v>42</v>
      </c>
      <c r="AI1141" s="52" t="s">
        <v>2497</v>
      </c>
      <c r="AJ1141" s="52" t="s">
        <v>2498</v>
      </c>
      <c r="AK1141" s="53">
        <f t="shared" si="1027"/>
        <v>0</v>
      </c>
      <c r="AL1141" s="54">
        <f t="shared" si="1028"/>
        <v>0.11904761904761904</v>
      </c>
      <c r="AM1141" s="54">
        <f t="shared" si="1029"/>
        <v>2.3809523809523808E-2</v>
      </c>
      <c r="AN1141" s="55">
        <f t="shared" si="1030"/>
        <v>0</v>
      </c>
      <c r="AO1141" s="55">
        <f t="shared" si="1031"/>
        <v>0</v>
      </c>
      <c r="AP1141" s="53">
        <v>7.1</v>
      </c>
      <c r="AQ1141" s="53">
        <f t="shared" si="999"/>
        <v>4.26</v>
      </c>
      <c r="AR1141" s="53">
        <f t="shared" si="1000"/>
        <v>21.299999999999997</v>
      </c>
      <c r="AS1141" s="56">
        <f t="shared" si="1001"/>
        <v>4.6948356807511742E-2</v>
      </c>
      <c r="AT1141" s="56">
        <f t="shared" si="1032"/>
        <v>0.23474178403755869</v>
      </c>
      <c r="AU1141" s="56">
        <f t="shared" si="1002"/>
        <v>0.176056338028169</v>
      </c>
      <c r="AV1141" s="56">
        <f t="shared" si="1033"/>
        <v>5.8685446009389672E-2</v>
      </c>
      <c r="AW1141" s="57"/>
      <c r="AX1141" s="57"/>
      <c r="AY1141" s="57"/>
      <c r="AZ1141" s="58">
        <f t="shared" si="1034"/>
        <v>0</v>
      </c>
      <c r="BA1141" s="59">
        <f t="shared" si="1035"/>
        <v>0</v>
      </c>
      <c r="BB1141" s="59">
        <f t="shared" si="1036"/>
        <v>0</v>
      </c>
      <c r="BC1141" s="59">
        <f t="shared" si="1037"/>
        <v>0</v>
      </c>
      <c r="BD1141" s="60">
        <f t="shared" si="1038"/>
        <v>0</v>
      </c>
      <c r="BE1141" s="59">
        <f t="shared" si="1039"/>
        <v>0</v>
      </c>
      <c r="BQ1141" s="61">
        <v>3000</v>
      </c>
      <c r="BR1141" s="61">
        <v>1200</v>
      </c>
      <c r="BS1141" s="28">
        <f t="shared" si="1003"/>
        <v>2980</v>
      </c>
      <c r="BT1141" s="28">
        <f t="shared" si="1004"/>
        <v>1180</v>
      </c>
      <c r="BU1141" s="28" t="s">
        <v>2541</v>
      </c>
      <c r="BV1141" s="28">
        <f t="shared" si="1005"/>
        <v>5</v>
      </c>
      <c r="BW1141" s="28">
        <f t="shared" si="1006"/>
        <v>5</v>
      </c>
      <c r="BX1141" s="13">
        <f t="shared" si="1007"/>
        <v>596</v>
      </c>
      <c r="BY1141" s="13">
        <f t="shared" si="1008"/>
        <v>596</v>
      </c>
      <c r="BZ1141" s="13">
        <f t="shared" si="1009"/>
        <v>236</v>
      </c>
      <c r="CA1141" s="13">
        <f t="shared" si="1010"/>
        <v>236</v>
      </c>
      <c r="CB1141" s="13">
        <f t="shared" si="1011"/>
        <v>140656</v>
      </c>
      <c r="CC1141" s="62" t="str">
        <f t="shared" si="1012"/>
        <v/>
      </c>
      <c r="CD1141" s="13">
        <f t="shared" si="1013"/>
        <v>596</v>
      </c>
      <c r="CE1141" s="13">
        <f t="shared" si="1014"/>
        <v>596</v>
      </c>
      <c r="CF1141" s="13">
        <f t="shared" si="1015"/>
        <v>236</v>
      </c>
      <c r="CG1141" s="13">
        <f t="shared" si="1016"/>
        <v>236</v>
      </c>
      <c r="CH1141" s="28">
        <f t="shared" si="1017"/>
        <v>140656</v>
      </c>
      <c r="CI1141" s="62" t="str">
        <f t="shared" si="1018"/>
        <v/>
      </c>
      <c r="CJ1141" s="59">
        <f t="shared" si="1019"/>
        <v>0</v>
      </c>
      <c r="CL1141" s="63">
        <v>6000</v>
      </c>
      <c r="CM1141" s="63">
        <f t="shared" si="1020"/>
        <v>0</v>
      </c>
      <c r="CN1141" s="63">
        <f t="shared" si="1021"/>
        <v>5</v>
      </c>
      <c r="CO1141" s="63">
        <f t="shared" si="1022"/>
        <v>1200</v>
      </c>
      <c r="CP1141" s="13">
        <f t="shared" si="1023"/>
        <v>1200</v>
      </c>
      <c r="CQ1141" s="70">
        <f t="shared" si="1024"/>
        <v>8.3333333333333339E-4</v>
      </c>
      <c r="CR1141" s="69">
        <f t="shared" si="1043"/>
        <v>8.3333333333333339E-4</v>
      </c>
    </row>
    <row r="1142" spans="1:96" hidden="1" x14ac:dyDescent="0.25">
      <c r="A1142" s="13">
        <v>4</v>
      </c>
      <c r="B1142" s="14" t="s">
        <v>2337</v>
      </c>
      <c r="C1142" s="13" t="s">
        <v>2338</v>
      </c>
      <c r="D1142" s="13" t="s">
        <v>2270</v>
      </c>
      <c r="E1142" s="13" t="s">
        <v>32</v>
      </c>
      <c r="F1142" s="15">
        <f t="shared" si="993"/>
        <v>2</v>
      </c>
      <c r="G1142" s="13">
        <v>1</v>
      </c>
      <c r="H1142" s="13">
        <f>G1142*$H$1141</f>
        <v>1</v>
      </c>
      <c r="I1142" s="13" t="s">
        <v>2263</v>
      </c>
      <c r="J1142" s="14" t="s">
        <v>1661</v>
      </c>
      <c r="K1142" s="14"/>
      <c r="L1142" s="13">
        <v>0</v>
      </c>
      <c r="M1142" s="14" t="s">
        <v>35</v>
      </c>
      <c r="N1142" s="13" t="s">
        <v>2339</v>
      </c>
      <c r="O1142" s="28"/>
      <c r="P1142" s="28"/>
      <c r="Q1142" s="28"/>
      <c r="R1142" s="30"/>
      <c r="S1142" s="30"/>
      <c r="T1142" s="30"/>
      <c r="U1142" s="30"/>
      <c r="V1142" s="8">
        <f t="shared" si="994"/>
        <v>0</v>
      </c>
      <c r="W1142" s="8">
        <f t="shared" si="995"/>
        <v>0</v>
      </c>
      <c r="X1142" s="8">
        <f t="shared" si="996"/>
        <v>0</v>
      </c>
      <c r="Y1142" s="33">
        <f t="shared" si="997"/>
        <v>0</v>
      </c>
      <c r="Z1142" s="28"/>
      <c r="AA1142" s="28"/>
      <c r="AB1142" s="28">
        <v>0</v>
      </c>
      <c r="AC1142" s="31"/>
      <c r="AD1142" s="50">
        <f t="shared" si="998"/>
        <v>1</v>
      </c>
      <c r="AE1142" s="5" t="s">
        <v>2188</v>
      </c>
      <c r="AF1142" s="51">
        <v>14</v>
      </c>
      <c r="AG1142" s="51">
        <f t="shared" si="1026"/>
        <v>8.4</v>
      </c>
      <c r="AH1142" s="51">
        <f t="shared" si="992"/>
        <v>42</v>
      </c>
      <c r="AI1142" s="52" t="s">
        <v>2497</v>
      </c>
      <c r="AJ1142" s="52" t="s">
        <v>2498</v>
      </c>
      <c r="AK1142" s="53">
        <f t="shared" si="1027"/>
        <v>0</v>
      </c>
      <c r="AL1142" s="54">
        <f t="shared" si="1028"/>
        <v>0.11904761904761904</v>
      </c>
      <c r="AM1142" s="54">
        <f t="shared" si="1029"/>
        <v>2.3809523809523808E-2</v>
      </c>
      <c r="AN1142" s="55">
        <f t="shared" si="1030"/>
        <v>0</v>
      </c>
      <c r="AO1142" s="55">
        <f t="shared" si="1031"/>
        <v>0</v>
      </c>
      <c r="AP1142" s="53">
        <v>7.1</v>
      </c>
      <c r="AQ1142" s="53">
        <f t="shared" si="999"/>
        <v>4.26</v>
      </c>
      <c r="AR1142" s="53">
        <f t="shared" si="1000"/>
        <v>21.299999999999997</v>
      </c>
      <c r="AS1142" s="56">
        <f t="shared" si="1001"/>
        <v>4.6948356807511742E-2</v>
      </c>
      <c r="AT1142" s="56">
        <f t="shared" si="1032"/>
        <v>0.23474178403755869</v>
      </c>
      <c r="AU1142" s="56">
        <f t="shared" si="1002"/>
        <v>0.176056338028169</v>
      </c>
      <c r="AV1142" s="56">
        <f t="shared" si="1033"/>
        <v>5.8685446009389672E-2</v>
      </c>
      <c r="AW1142" s="57"/>
      <c r="AX1142" s="57"/>
      <c r="AY1142" s="57"/>
      <c r="AZ1142" s="58">
        <f t="shared" si="1034"/>
        <v>0</v>
      </c>
      <c r="BA1142" s="59">
        <f t="shared" si="1035"/>
        <v>0</v>
      </c>
      <c r="BB1142" s="59">
        <f t="shared" si="1036"/>
        <v>0</v>
      </c>
      <c r="BC1142" s="59">
        <f t="shared" si="1037"/>
        <v>0</v>
      </c>
      <c r="BD1142" s="60">
        <f t="shared" si="1038"/>
        <v>0</v>
      </c>
      <c r="BE1142" s="59">
        <f t="shared" si="1039"/>
        <v>0</v>
      </c>
      <c r="BQ1142" s="61">
        <v>3000</v>
      </c>
      <c r="BR1142" s="61">
        <v>1200</v>
      </c>
      <c r="BS1142" s="28">
        <f t="shared" si="1003"/>
        <v>2980</v>
      </c>
      <c r="BT1142" s="28">
        <f t="shared" si="1004"/>
        <v>1180</v>
      </c>
      <c r="BU1142" s="28" t="s">
        <v>2541</v>
      </c>
      <c r="BV1142" s="28">
        <f t="shared" si="1005"/>
        <v>5</v>
      </c>
      <c r="BW1142" s="28">
        <f t="shared" si="1006"/>
        <v>5</v>
      </c>
      <c r="BX1142" s="13">
        <f t="shared" si="1007"/>
        <v>596</v>
      </c>
      <c r="BY1142" s="13">
        <f t="shared" si="1008"/>
        <v>596</v>
      </c>
      <c r="BZ1142" s="13">
        <f t="shared" si="1009"/>
        <v>236</v>
      </c>
      <c r="CA1142" s="13">
        <f t="shared" si="1010"/>
        <v>236</v>
      </c>
      <c r="CB1142" s="13">
        <f t="shared" si="1011"/>
        <v>140656</v>
      </c>
      <c r="CC1142" s="62" t="str">
        <f t="shared" si="1012"/>
        <v/>
      </c>
      <c r="CD1142" s="13">
        <f t="shared" si="1013"/>
        <v>596</v>
      </c>
      <c r="CE1142" s="13">
        <f t="shared" si="1014"/>
        <v>596</v>
      </c>
      <c r="CF1142" s="13">
        <f t="shared" si="1015"/>
        <v>236</v>
      </c>
      <c r="CG1142" s="13">
        <f t="shared" si="1016"/>
        <v>236</v>
      </c>
      <c r="CH1142" s="28">
        <f t="shared" si="1017"/>
        <v>140656</v>
      </c>
      <c r="CI1142" s="62" t="str">
        <f t="shared" si="1018"/>
        <v/>
      </c>
      <c r="CJ1142" s="59">
        <f t="shared" si="1019"/>
        <v>0</v>
      </c>
      <c r="CL1142" s="63">
        <v>6000</v>
      </c>
      <c r="CM1142" s="63">
        <f t="shared" si="1020"/>
        <v>0</v>
      </c>
      <c r="CN1142" s="63">
        <f t="shared" si="1021"/>
        <v>5</v>
      </c>
      <c r="CO1142" s="63">
        <f t="shared" si="1022"/>
        <v>1200</v>
      </c>
      <c r="CP1142" s="13">
        <f t="shared" si="1023"/>
        <v>1200</v>
      </c>
      <c r="CQ1142" s="70">
        <f t="shared" si="1024"/>
        <v>8.3333333333333339E-4</v>
      </c>
      <c r="CR1142" s="69">
        <f t="shared" si="1043"/>
        <v>8.3333333333333339E-4</v>
      </c>
    </row>
    <row r="1143" spans="1:96" hidden="1" x14ac:dyDescent="0.25">
      <c r="A1143" s="17">
        <v>5</v>
      </c>
      <c r="B1143" s="6" t="s">
        <v>2340</v>
      </c>
      <c r="C1143" s="17" t="s">
        <v>2341</v>
      </c>
      <c r="D1143" s="17" t="s">
        <v>2270</v>
      </c>
      <c r="E1143" s="17" t="s">
        <v>32</v>
      </c>
      <c r="F1143" s="7">
        <f t="shared" si="993"/>
        <v>2</v>
      </c>
      <c r="G1143" s="17">
        <v>1</v>
      </c>
      <c r="H1143" s="17">
        <f>G1143*$H$1142</f>
        <v>1</v>
      </c>
      <c r="I1143" s="17" t="s">
        <v>2290</v>
      </c>
      <c r="J1143" s="6" t="s">
        <v>1661</v>
      </c>
      <c r="K1143" s="6"/>
      <c r="L1143" s="17">
        <v>0</v>
      </c>
      <c r="M1143" s="6" t="s">
        <v>35</v>
      </c>
      <c r="N1143" s="17" t="s">
        <v>2342</v>
      </c>
      <c r="O1143" s="28"/>
      <c r="P1143" s="28"/>
      <c r="Q1143" s="28"/>
      <c r="R1143" s="30"/>
      <c r="S1143" s="30"/>
      <c r="T1143" s="30"/>
      <c r="U1143" s="30"/>
      <c r="V1143" s="8">
        <f t="shared" si="994"/>
        <v>0</v>
      </c>
      <c r="W1143" s="8">
        <f t="shared" si="995"/>
        <v>0</v>
      </c>
      <c r="X1143" s="8">
        <f t="shared" si="996"/>
        <v>0</v>
      </c>
      <c r="Y1143" s="33">
        <f t="shared" si="997"/>
        <v>0</v>
      </c>
      <c r="Z1143" s="28"/>
      <c r="AA1143" s="28"/>
      <c r="AB1143" s="28">
        <v>0</v>
      </c>
      <c r="AC1143" s="31"/>
      <c r="AD1143" s="50">
        <f t="shared" si="998"/>
        <v>1</v>
      </c>
      <c r="AE1143" s="5" t="s">
        <v>2188</v>
      </c>
      <c r="AF1143" s="51">
        <v>14</v>
      </c>
      <c r="AG1143" s="51">
        <f t="shared" si="1026"/>
        <v>8.4</v>
      </c>
      <c r="AH1143" s="51">
        <f t="shared" si="992"/>
        <v>42</v>
      </c>
      <c r="AI1143" s="52" t="s">
        <v>2497</v>
      </c>
      <c r="AJ1143" s="52" t="s">
        <v>2498</v>
      </c>
      <c r="AK1143" s="53">
        <f t="shared" si="1027"/>
        <v>0</v>
      </c>
      <c r="AL1143" s="54">
        <f t="shared" si="1028"/>
        <v>0.11904761904761904</v>
      </c>
      <c r="AM1143" s="54">
        <f t="shared" si="1029"/>
        <v>2.3809523809523808E-2</v>
      </c>
      <c r="AN1143" s="55">
        <f t="shared" si="1030"/>
        <v>0</v>
      </c>
      <c r="AO1143" s="55">
        <f t="shared" si="1031"/>
        <v>0</v>
      </c>
      <c r="AP1143" s="53">
        <v>7.1</v>
      </c>
      <c r="AQ1143" s="53">
        <f t="shared" si="999"/>
        <v>4.26</v>
      </c>
      <c r="AR1143" s="53">
        <f t="shared" si="1000"/>
        <v>21.299999999999997</v>
      </c>
      <c r="AS1143" s="56">
        <f t="shared" si="1001"/>
        <v>4.6948356807511742E-2</v>
      </c>
      <c r="AT1143" s="56">
        <f t="shared" si="1032"/>
        <v>0.23474178403755869</v>
      </c>
      <c r="AU1143" s="56">
        <f t="shared" si="1002"/>
        <v>0.176056338028169</v>
      </c>
      <c r="AV1143" s="56">
        <f t="shared" si="1033"/>
        <v>5.8685446009389672E-2</v>
      </c>
      <c r="AW1143" s="57"/>
      <c r="AX1143" s="57"/>
      <c r="AY1143" s="57"/>
      <c r="AZ1143" s="58">
        <f t="shared" si="1034"/>
        <v>0</v>
      </c>
      <c r="BA1143" s="59">
        <f t="shared" si="1035"/>
        <v>0</v>
      </c>
      <c r="BB1143" s="59">
        <f t="shared" si="1036"/>
        <v>0</v>
      </c>
      <c r="BC1143" s="59">
        <f t="shared" si="1037"/>
        <v>0</v>
      </c>
      <c r="BD1143" s="60">
        <f t="shared" si="1038"/>
        <v>0</v>
      </c>
      <c r="BE1143" s="59">
        <f t="shared" si="1039"/>
        <v>0</v>
      </c>
      <c r="BQ1143" s="61">
        <v>3000</v>
      </c>
      <c r="BR1143" s="61">
        <v>1200</v>
      </c>
      <c r="BS1143" s="28">
        <f t="shared" si="1003"/>
        <v>2980</v>
      </c>
      <c r="BT1143" s="28">
        <f t="shared" si="1004"/>
        <v>1180</v>
      </c>
      <c r="BU1143" s="28" t="s">
        <v>2541</v>
      </c>
      <c r="BV1143" s="28">
        <f t="shared" si="1005"/>
        <v>5</v>
      </c>
      <c r="BW1143" s="28">
        <f t="shared" si="1006"/>
        <v>5</v>
      </c>
      <c r="BX1143" s="13">
        <f t="shared" si="1007"/>
        <v>596</v>
      </c>
      <c r="BY1143" s="13">
        <f t="shared" si="1008"/>
        <v>596</v>
      </c>
      <c r="BZ1143" s="13">
        <f t="shared" si="1009"/>
        <v>236</v>
      </c>
      <c r="CA1143" s="13">
        <f t="shared" si="1010"/>
        <v>236</v>
      </c>
      <c r="CB1143" s="13">
        <f t="shared" si="1011"/>
        <v>140656</v>
      </c>
      <c r="CC1143" s="62" t="str">
        <f t="shared" si="1012"/>
        <v/>
      </c>
      <c r="CD1143" s="13">
        <f t="shared" si="1013"/>
        <v>596</v>
      </c>
      <c r="CE1143" s="13">
        <f t="shared" si="1014"/>
        <v>596</v>
      </c>
      <c r="CF1143" s="13">
        <f t="shared" si="1015"/>
        <v>236</v>
      </c>
      <c r="CG1143" s="13">
        <f t="shared" si="1016"/>
        <v>236</v>
      </c>
      <c r="CH1143" s="28">
        <f t="shared" si="1017"/>
        <v>140656</v>
      </c>
      <c r="CI1143" s="62" t="str">
        <f t="shared" si="1018"/>
        <v/>
      </c>
      <c r="CJ1143" s="59">
        <f t="shared" si="1019"/>
        <v>0</v>
      </c>
      <c r="CL1143" s="63">
        <v>6000</v>
      </c>
      <c r="CM1143" s="63">
        <f t="shared" si="1020"/>
        <v>0</v>
      </c>
      <c r="CN1143" s="63">
        <f t="shared" si="1021"/>
        <v>5</v>
      </c>
      <c r="CO1143" s="63">
        <f t="shared" si="1022"/>
        <v>1200</v>
      </c>
      <c r="CP1143" s="13">
        <f t="shared" si="1023"/>
        <v>1200</v>
      </c>
      <c r="CQ1143" s="70">
        <f t="shared" si="1024"/>
        <v>8.3333333333333339E-4</v>
      </c>
      <c r="CR1143" s="69">
        <f t="shared" si="1043"/>
        <v>8.3333333333333339E-4</v>
      </c>
    </row>
    <row r="1144" spans="1:96" hidden="1" x14ac:dyDescent="0.25">
      <c r="A1144" s="42">
        <v>6</v>
      </c>
      <c r="B1144" s="43" t="s">
        <v>2343</v>
      </c>
      <c r="C1144" s="42" t="s">
        <v>2344</v>
      </c>
      <c r="D1144" s="42" t="s">
        <v>2270</v>
      </c>
      <c r="E1144" s="42" t="s">
        <v>52</v>
      </c>
      <c r="F1144" s="44">
        <f t="shared" si="993"/>
        <v>2</v>
      </c>
      <c r="G1144" s="42">
        <v>1</v>
      </c>
      <c r="H1144" s="42">
        <f>G1144*$H$1143</f>
        <v>1</v>
      </c>
      <c r="I1144" s="42" t="s">
        <v>2263</v>
      </c>
      <c r="J1144" s="43" t="s">
        <v>2345</v>
      </c>
      <c r="K1144" s="43"/>
      <c r="L1144" s="42">
        <v>0</v>
      </c>
      <c r="M1144" s="43" t="s">
        <v>35</v>
      </c>
      <c r="N1144" s="42" t="s">
        <v>2346</v>
      </c>
      <c r="O1144" s="28"/>
      <c r="P1144" s="28"/>
      <c r="Q1144" s="28" t="s">
        <v>116</v>
      </c>
      <c r="R1144" s="30">
        <v>61.381</v>
      </c>
      <c r="S1144" s="30">
        <v>29.71</v>
      </c>
      <c r="T1144" s="30"/>
      <c r="U1144" s="30">
        <v>0.11799999999999999</v>
      </c>
      <c r="V1144" s="8">
        <f t="shared" si="994"/>
        <v>1559.0773999999999</v>
      </c>
      <c r="W1144" s="8">
        <f t="shared" si="995"/>
        <v>754.63400000000001</v>
      </c>
      <c r="X1144" s="8">
        <f t="shared" si="996"/>
        <v>0</v>
      </c>
      <c r="Y1144" s="33">
        <f t="shared" si="997"/>
        <v>2.9971999999999999</v>
      </c>
      <c r="Z1144" s="28" t="s">
        <v>56</v>
      </c>
      <c r="AA1144" s="28" t="s">
        <v>57</v>
      </c>
      <c r="AB1144" s="28" t="s">
        <v>116</v>
      </c>
      <c r="AC1144" s="31" t="s">
        <v>117</v>
      </c>
      <c r="AD1144" s="50">
        <f t="shared" si="998"/>
        <v>1</v>
      </c>
      <c r="AE1144" s="5" t="s">
        <v>2188</v>
      </c>
      <c r="AF1144" s="51">
        <v>14</v>
      </c>
      <c r="AG1144" s="51">
        <f t="shared" si="1026"/>
        <v>8.4</v>
      </c>
      <c r="AH1144" s="51">
        <f t="shared" si="992"/>
        <v>42</v>
      </c>
      <c r="AI1144" s="52" t="s">
        <v>2497</v>
      </c>
      <c r="AJ1144" s="52" t="s">
        <v>2498</v>
      </c>
      <c r="AK1144" s="53">
        <f t="shared" si="1027"/>
        <v>2.3530656293432002</v>
      </c>
      <c r="AL1144" s="54">
        <f t="shared" si="1028"/>
        <v>0.11904761904761904</v>
      </c>
      <c r="AM1144" s="54">
        <f t="shared" si="1029"/>
        <v>2.3809523809523808E-2</v>
      </c>
      <c r="AN1144" s="55">
        <f t="shared" si="1030"/>
        <v>0.28012686063609527</v>
      </c>
      <c r="AO1144" s="55">
        <f t="shared" si="1031"/>
        <v>5.6025372127219052E-2</v>
      </c>
      <c r="AP1144" s="53">
        <v>7.1</v>
      </c>
      <c r="AQ1144" s="53">
        <f t="shared" si="999"/>
        <v>4.26</v>
      </c>
      <c r="AR1144" s="53">
        <f t="shared" si="1000"/>
        <v>21.299999999999997</v>
      </c>
      <c r="AS1144" s="56">
        <f t="shared" si="1001"/>
        <v>4.6948356807511742E-2</v>
      </c>
      <c r="AT1144" s="56">
        <f t="shared" si="1032"/>
        <v>0.23474178403755869</v>
      </c>
      <c r="AU1144" s="56">
        <f t="shared" si="1002"/>
        <v>0.176056338028169</v>
      </c>
      <c r="AV1144" s="56">
        <f t="shared" si="1033"/>
        <v>5.8685446009389672E-2</v>
      </c>
      <c r="AW1144" s="57"/>
      <c r="AX1144" s="57"/>
      <c r="AY1144" s="57"/>
      <c r="AZ1144" s="58">
        <f t="shared" si="1034"/>
        <v>2.3530656293432002</v>
      </c>
      <c r="BA1144" s="59">
        <f t="shared" si="1035"/>
        <v>0</v>
      </c>
      <c r="BB1144" s="59">
        <f t="shared" si="1036"/>
        <v>0</v>
      </c>
      <c r="BC1144" s="59">
        <f t="shared" si="1037"/>
        <v>0</v>
      </c>
      <c r="BD1144" s="60">
        <f t="shared" si="1038"/>
        <v>1</v>
      </c>
      <c r="BE1144" s="59">
        <f t="shared" si="1039"/>
        <v>1</v>
      </c>
      <c r="BQ1144" s="61">
        <v>3000</v>
      </c>
      <c r="BR1144" s="61">
        <v>1200</v>
      </c>
      <c r="BS1144" s="28">
        <f t="shared" si="1003"/>
        <v>2980</v>
      </c>
      <c r="BT1144" s="28">
        <f t="shared" si="1004"/>
        <v>1180</v>
      </c>
      <c r="BU1144" s="28" t="s">
        <v>2541</v>
      </c>
      <c r="BV1144" s="28">
        <f t="shared" si="1005"/>
        <v>1564.0773999999999</v>
      </c>
      <c r="BW1144" s="28">
        <f t="shared" si="1006"/>
        <v>759.63400000000001</v>
      </c>
      <c r="BX1144" s="13">
        <f t="shared" si="1007"/>
        <v>1.9052765547280461</v>
      </c>
      <c r="BY1144" s="13">
        <f t="shared" si="1008"/>
        <v>1</v>
      </c>
      <c r="BZ1144" s="13">
        <f t="shared" si="1009"/>
        <v>1.5533796538859503</v>
      </c>
      <c r="CA1144" s="13">
        <f t="shared" si="1010"/>
        <v>1</v>
      </c>
      <c r="CB1144" s="13">
        <f t="shared" si="1011"/>
        <v>1</v>
      </c>
      <c r="CC1144" s="62">
        <f t="shared" si="1012"/>
        <v>1</v>
      </c>
      <c r="CD1144" s="13">
        <f t="shared" si="1013"/>
        <v>3.9229418377797729</v>
      </c>
      <c r="CE1144" s="13">
        <f t="shared" si="1014"/>
        <v>3</v>
      </c>
      <c r="CF1144" s="13">
        <f t="shared" si="1015"/>
        <v>0.75443836730842095</v>
      </c>
      <c r="CG1144" s="13">
        <f t="shared" si="1016"/>
        <v>0</v>
      </c>
      <c r="CH1144" s="28">
        <f t="shared" si="1017"/>
        <v>0</v>
      </c>
      <c r="CI1144" s="62">
        <f t="shared" si="1018"/>
        <v>1</v>
      </c>
      <c r="CJ1144" s="59">
        <f t="shared" si="1019"/>
        <v>1</v>
      </c>
      <c r="CL1144" s="63">
        <v>6000</v>
      </c>
      <c r="CM1144" s="63">
        <f t="shared" si="1020"/>
        <v>1559.0773999999999</v>
      </c>
      <c r="CN1144" s="63">
        <f t="shared" si="1021"/>
        <v>1564.0773999999999</v>
      </c>
      <c r="CO1144" s="63">
        <f t="shared" si="1022"/>
        <v>3.8361272913987507</v>
      </c>
      <c r="CP1144" s="13">
        <f t="shared" si="1023"/>
        <v>3</v>
      </c>
      <c r="CQ1144" s="70">
        <f t="shared" si="1024"/>
        <v>0.33333333333333331</v>
      </c>
      <c r="CR1144" s="69">
        <f t="shared" si="1043"/>
        <v>0.33333333333333331</v>
      </c>
    </row>
    <row r="1145" spans="1:96" hidden="1" x14ac:dyDescent="0.25">
      <c r="A1145" s="42">
        <v>6</v>
      </c>
      <c r="B1145" s="43" t="s">
        <v>2305</v>
      </c>
      <c r="C1145" s="42" t="s">
        <v>279</v>
      </c>
      <c r="D1145" s="42" t="s">
        <v>281</v>
      </c>
      <c r="E1145" s="42" t="s">
        <v>52</v>
      </c>
      <c r="F1145" s="44">
        <f t="shared" si="993"/>
        <v>12</v>
      </c>
      <c r="G1145" s="42">
        <v>4</v>
      </c>
      <c r="H1145" s="42">
        <f>G1145*$H$1143</f>
        <v>4</v>
      </c>
      <c r="I1145" s="42" t="s">
        <v>2267</v>
      </c>
      <c r="J1145" s="43" t="s">
        <v>2202</v>
      </c>
      <c r="K1145" s="43"/>
      <c r="L1145" s="42" t="s">
        <v>194</v>
      </c>
      <c r="M1145" s="43" t="s">
        <v>35</v>
      </c>
      <c r="N1145" s="42" t="s">
        <v>281</v>
      </c>
      <c r="O1145" s="28"/>
      <c r="P1145" s="28"/>
      <c r="Q1145" s="28" t="s">
        <v>281</v>
      </c>
      <c r="R1145" s="30"/>
      <c r="S1145" s="30"/>
      <c r="T1145" s="30"/>
      <c r="U1145" s="30"/>
      <c r="V1145" s="8">
        <f t="shared" si="994"/>
        <v>0</v>
      </c>
      <c r="W1145" s="8">
        <f t="shared" si="995"/>
        <v>0</v>
      </c>
      <c r="X1145" s="8">
        <f t="shared" si="996"/>
        <v>0</v>
      </c>
      <c r="Y1145" s="33">
        <f t="shared" si="997"/>
        <v>0</v>
      </c>
      <c r="Z1145" s="28"/>
      <c r="AA1145" s="28"/>
      <c r="AB1145" s="61" t="s">
        <v>281</v>
      </c>
      <c r="AC1145" s="31" t="s">
        <v>282</v>
      </c>
      <c r="AD1145" s="50">
        <f t="shared" si="998"/>
        <v>4</v>
      </c>
      <c r="AE1145" s="5" t="s">
        <v>2188</v>
      </c>
      <c r="AF1145" s="51">
        <v>14</v>
      </c>
      <c r="AG1145" s="51">
        <f t="shared" si="1026"/>
        <v>8.4</v>
      </c>
      <c r="AH1145" s="51">
        <f t="shared" si="992"/>
        <v>42</v>
      </c>
      <c r="AI1145" s="52" t="s">
        <v>2497</v>
      </c>
      <c r="AJ1145" s="52" t="s">
        <v>2498</v>
      </c>
      <c r="AK1145" s="53">
        <f t="shared" si="1027"/>
        <v>0</v>
      </c>
      <c r="AL1145" s="54">
        <f t="shared" si="1028"/>
        <v>0.11904761904761904</v>
      </c>
      <c r="AM1145" s="54">
        <f t="shared" si="1029"/>
        <v>2.3809523809523808E-2</v>
      </c>
      <c r="AN1145" s="55">
        <f t="shared" si="1030"/>
        <v>0</v>
      </c>
      <c r="AO1145" s="55">
        <f t="shared" si="1031"/>
        <v>0</v>
      </c>
      <c r="AP1145" s="53">
        <v>7.1</v>
      </c>
      <c r="AQ1145" s="53">
        <f t="shared" si="999"/>
        <v>4.26</v>
      </c>
      <c r="AR1145" s="53">
        <f t="shared" si="1000"/>
        <v>21.299999999999997</v>
      </c>
      <c r="AS1145" s="56">
        <f t="shared" si="1001"/>
        <v>4.6948356807511742E-2</v>
      </c>
      <c r="AT1145" s="56">
        <f t="shared" si="1032"/>
        <v>0.23474178403755869</v>
      </c>
      <c r="AU1145" s="56">
        <f t="shared" si="1002"/>
        <v>0.176056338028169</v>
      </c>
      <c r="AV1145" s="56">
        <f t="shared" si="1033"/>
        <v>5.8685446009389672E-2</v>
      </c>
      <c r="AW1145" s="57"/>
      <c r="AX1145" s="57"/>
      <c r="AY1145" s="57"/>
      <c r="AZ1145" s="58">
        <f t="shared" si="1034"/>
        <v>0</v>
      </c>
      <c r="BA1145" s="59">
        <f t="shared" si="1035"/>
        <v>0</v>
      </c>
      <c r="BB1145" s="59">
        <f t="shared" si="1036"/>
        <v>0</v>
      </c>
      <c r="BC1145" s="59">
        <f t="shared" si="1037"/>
        <v>0</v>
      </c>
      <c r="BD1145" s="60">
        <f t="shared" si="1038"/>
        <v>7.1095438516664771E-6</v>
      </c>
      <c r="BE1145" s="59">
        <f t="shared" si="1039"/>
        <v>2.8438175406665908E-5</v>
      </c>
      <c r="BQ1145" s="61">
        <v>3000</v>
      </c>
      <c r="BR1145" s="61">
        <v>1200</v>
      </c>
      <c r="BS1145" s="28">
        <f t="shared" si="1003"/>
        <v>2980</v>
      </c>
      <c r="BT1145" s="28">
        <f t="shared" si="1004"/>
        <v>1180</v>
      </c>
      <c r="BU1145" s="28" t="s">
        <v>2541</v>
      </c>
      <c r="BV1145" s="28">
        <f t="shared" si="1005"/>
        <v>5</v>
      </c>
      <c r="BW1145" s="28">
        <f t="shared" si="1006"/>
        <v>5</v>
      </c>
      <c r="BX1145" s="13">
        <f t="shared" si="1007"/>
        <v>596</v>
      </c>
      <c r="BY1145" s="13">
        <f t="shared" si="1008"/>
        <v>596</v>
      </c>
      <c r="BZ1145" s="13">
        <f t="shared" si="1009"/>
        <v>236</v>
      </c>
      <c r="CA1145" s="13">
        <f t="shared" si="1010"/>
        <v>236</v>
      </c>
      <c r="CB1145" s="13">
        <f t="shared" si="1011"/>
        <v>140656</v>
      </c>
      <c r="CC1145" s="62">
        <f t="shared" si="1012"/>
        <v>7.1095438516664771E-6</v>
      </c>
      <c r="CD1145" s="13">
        <f t="shared" si="1013"/>
        <v>596</v>
      </c>
      <c r="CE1145" s="13">
        <f t="shared" si="1014"/>
        <v>596</v>
      </c>
      <c r="CF1145" s="13">
        <f t="shared" si="1015"/>
        <v>236</v>
      </c>
      <c r="CG1145" s="13">
        <f t="shared" si="1016"/>
        <v>236</v>
      </c>
      <c r="CH1145" s="28">
        <f t="shared" si="1017"/>
        <v>140656</v>
      </c>
      <c r="CI1145" s="62">
        <f t="shared" si="1018"/>
        <v>7.1095438516664771E-6</v>
      </c>
      <c r="CJ1145" s="59">
        <f t="shared" si="1019"/>
        <v>7.1095438516664771E-6</v>
      </c>
      <c r="CL1145" s="63">
        <v>6000</v>
      </c>
      <c r="CM1145" s="63">
        <f t="shared" si="1020"/>
        <v>0</v>
      </c>
      <c r="CN1145" s="63">
        <f t="shared" si="1021"/>
        <v>5</v>
      </c>
      <c r="CO1145" s="63">
        <f t="shared" si="1022"/>
        <v>1200</v>
      </c>
      <c r="CP1145" s="13">
        <f t="shared" si="1023"/>
        <v>1200</v>
      </c>
      <c r="CQ1145" s="70">
        <f t="shared" si="1024"/>
        <v>8.3333333333333339E-4</v>
      </c>
      <c r="CR1145" s="69">
        <f t="shared" si="1043"/>
        <v>3.3333333333333335E-3</v>
      </c>
    </row>
    <row r="1146" spans="1:96" hidden="1" x14ac:dyDescent="0.25">
      <c r="A1146" s="17">
        <v>5</v>
      </c>
      <c r="B1146" s="6" t="s">
        <v>2347</v>
      </c>
      <c r="C1146" s="17" t="s">
        <v>2348</v>
      </c>
      <c r="D1146" s="17" t="s">
        <v>2349</v>
      </c>
      <c r="E1146" s="17" t="s">
        <v>52</v>
      </c>
      <c r="F1146" s="7">
        <f t="shared" si="993"/>
        <v>2</v>
      </c>
      <c r="G1146" s="17">
        <v>2</v>
      </c>
      <c r="H1146" s="17">
        <f t="shared" ref="H1146:H1147" si="1045">G1146*$H$1142</f>
        <v>2</v>
      </c>
      <c r="I1146" s="17" t="s">
        <v>2299</v>
      </c>
      <c r="J1146" s="6" t="s">
        <v>76</v>
      </c>
      <c r="K1146" s="6"/>
      <c r="L1146" s="17" t="s">
        <v>110</v>
      </c>
      <c r="M1146" s="6" t="s">
        <v>35</v>
      </c>
      <c r="N1146" s="17" t="s">
        <v>2349</v>
      </c>
      <c r="O1146" s="28" t="s">
        <v>41</v>
      </c>
      <c r="P1146" s="28" t="s">
        <v>41</v>
      </c>
      <c r="Q1146" s="28" t="s">
        <v>85</v>
      </c>
      <c r="R1146" s="30">
        <v>7.3228346456692917</v>
      </c>
      <c r="S1146" s="30">
        <v>0.375</v>
      </c>
      <c r="T1146" s="30"/>
      <c r="U1146" s="30">
        <v>0.375</v>
      </c>
      <c r="V1146" s="8">
        <f t="shared" si="994"/>
        <v>186</v>
      </c>
      <c r="W1146" s="8">
        <f t="shared" si="995"/>
        <v>9.5249999999999986</v>
      </c>
      <c r="X1146" s="8">
        <f t="shared" si="996"/>
        <v>0</v>
      </c>
      <c r="Y1146" s="33">
        <f t="shared" si="997"/>
        <v>9.5249999999999986</v>
      </c>
      <c r="Z1146" s="28" t="s">
        <v>80</v>
      </c>
      <c r="AA1146" s="28" t="s">
        <v>81</v>
      </c>
      <c r="AB1146" s="61" t="s">
        <v>85</v>
      </c>
      <c r="AC1146" s="31" t="s">
        <v>86</v>
      </c>
      <c r="AD1146" s="50">
        <f t="shared" si="998"/>
        <v>2</v>
      </c>
      <c r="AE1146" s="5" t="s">
        <v>2188</v>
      </c>
      <c r="AF1146" s="51">
        <v>14</v>
      </c>
      <c r="AG1146" s="51">
        <f t="shared" si="1026"/>
        <v>8.4</v>
      </c>
      <c r="AH1146" s="51">
        <f t="shared" si="992"/>
        <v>42</v>
      </c>
      <c r="AI1146" s="52" t="s">
        <v>2497</v>
      </c>
      <c r="AJ1146" s="52" t="s">
        <v>2498</v>
      </c>
      <c r="AK1146" s="53">
        <f t="shared" si="1027"/>
        <v>3.5432999999999992E-3</v>
      </c>
      <c r="AL1146" s="54">
        <f t="shared" si="1028"/>
        <v>0.11904761904761904</v>
      </c>
      <c r="AM1146" s="54">
        <f t="shared" si="1029"/>
        <v>2.3809523809523808E-2</v>
      </c>
      <c r="AN1146" s="55">
        <f t="shared" si="1030"/>
        <v>8.4364285714285693E-4</v>
      </c>
      <c r="AO1146" s="55">
        <f t="shared" si="1031"/>
        <v>1.6872857142857139E-4</v>
      </c>
      <c r="AP1146" s="53">
        <v>7.1</v>
      </c>
      <c r="AQ1146" s="53">
        <f t="shared" si="999"/>
        <v>4.26</v>
      </c>
      <c r="AR1146" s="53">
        <f t="shared" si="1000"/>
        <v>21.299999999999997</v>
      </c>
      <c r="AS1146" s="56">
        <f t="shared" si="1001"/>
        <v>4.6948356807511742E-2</v>
      </c>
      <c r="AT1146" s="56">
        <f t="shared" si="1032"/>
        <v>0.23474178403755869</v>
      </c>
      <c r="AU1146" s="56">
        <f t="shared" si="1002"/>
        <v>0.176056338028169</v>
      </c>
      <c r="AV1146" s="56">
        <f t="shared" si="1033"/>
        <v>5.8685446009389672E-2</v>
      </c>
      <c r="AW1146" s="57"/>
      <c r="AX1146" s="57"/>
      <c r="AY1146" s="57"/>
      <c r="AZ1146" s="58">
        <f t="shared" si="1034"/>
        <v>3.5432999999999992E-3</v>
      </c>
      <c r="BA1146" s="59">
        <f t="shared" si="1035"/>
        <v>0</v>
      </c>
      <c r="BB1146" s="59">
        <f t="shared" si="1036"/>
        <v>0</v>
      </c>
      <c r="BC1146" s="59">
        <f t="shared" si="1037"/>
        <v>0</v>
      </c>
      <c r="BD1146" s="60">
        <f t="shared" si="1038"/>
        <v>8.1300813008130081E-4</v>
      </c>
      <c r="BE1146" s="59">
        <f t="shared" si="1039"/>
        <v>1.6260162601626016E-3</v>
      </c>
      <c r="BQ1146" s="61">
        <v>3000</v>
      </c>
      <c r="BR1146" s="61">
        <v>1200</v>
      </c>
      <c r="BS1146" s="28">
        <f t="shared" si="1003"/>
        <v>2980</v>
      </c>
      <c r="BT1146" s="28">
        <f t="shared" si="1004"/>
        <v>1180</v>
      </c>
      <c r="BU1146" s="28" t="s">
        <v>2541</v>
      </c>
      <c r="BV1146" s="28">
        <f t="shared" si="1005"/>
        <v>191</v>
      </c>
      <c r="BW1146" s="28">
        <f t="shared" si="1006"/>
        <v>14.524999999999999</v>
      </c>
      <c r="BX1146" s="13">
        <f t="shared" si="1007"/>
        <v>15.602094240837696</v>
      </c>
      <c r="BY1146" s="13">
        <f t="shared" si="1008"/>
        <v>15</v>
      </c>
      <c r="BZ1146" s="13">
        <f t="shared" si="1009"/>
        <v>81.239242685025829</v>
      </c>
      <c r="CA1146" s="13">
        <f t="shared" si="1010"/>
        <v>81</v>
      </c>
      <c r="CB1146" s="13">
        <f t="shared" si="1011"/>
        <v>1215</v>
      </c>
      <c r="CC1146" s="62">
        <f t="shared" si="1012"/>
        <v>8.2304526748971192E-4</v>
      </c>
      <c r="CD1146" s="13">
        <f t="shared" si="1013"/>
        <v>205.16351118760758</v>
      </c>
      <c r="CE1146" s="13">
        <f t="shared" si="1014"/>
        <v>205</v>
      </c>
      <c r="CF1146" s="13">
        <f t="shared" si="1015"/>
        <v>6.1780104712041881</v>
      </c>
      <c r="CG1146" s="13">
        <f t="shared" si="1016"/>
        <v>6</v>
      </c>
      <c r="CH1146" s="28">
        <f t="shared" si="1017"/>
        <v>1230</v>
      </c>
      <c r="CI1146" s="62">
        <f t="shared" si="1018"/>
        <v>8.1300813008130081E-4</v>
      </c>
      <c r="CJ1146" s="59">
        <f t="shared" si="1019"/>
        <v>8.1300813008130081E-4</v>
      </c>
      <c r="CL1146" s="63">
        <v>6000</v>
      </c>
      <c r="CM1146" s="63">
        <f t="shared" si="1020"/>
        <v>186</v>
      </c>
      <c r="CN1146" s="63">
        <f t="shared" si="1021"/>
        <v>191</v>
      </c>
      <c r="CO1146" s="63">
        <f t="shared" si="1022"/>
        <v>31.413612565445025</v>
      </c>
      <c r="CP1146" s="13">
        <f t="shared" si="1023"/>
        <v>31</v>
      </c>
      <c r="CQ1146" s="70">
        <f t="shared" si="1024"/>
        <v>3.2258064516129031E-2</v>
      </c>
      <c r="CR1146" s="69">
        <f t="shared" si="1043"/>
        <v>6.4516129032258063E-2</v>
      </c>
    </row>
    <row r="1147" spans="1:96" hidden="1" x14ac:dyDescent="0.25">
      <c r="A1147" s="17">
        <v>5</v>
      </c>
      <c r="B1147" s="6" t="s">
        <v>2350</v>
      </c>
      <c r="C1147" s="17" t="s">
        <v>2351</v>
      </c>
      <c r="D1147" s="17" t="s">
        <v>2270</v>
      </c>
      <c r="E1147" s="17" t="s">
        <v>52</v>
      </c>
      <c r="F1147" s="7">
        <f t="shared" si="993"/>
        <v>2</v>
      </c>
      <c r="G1147" s="17">
        <v>1</v>
      </c>
      <c r="H1147" s="17">
        <f t="shared" si="1045"/>
        <v>1</v>
      </c>
      <c r="I1147" s="17" t="s">
        <v>2308</v>
      </c>
      <c r="J1147" s="6" t="s">
        <v>2352</v>
      </c>
      <c r="K1147" s="6"/>
      <c r="L1147" s="17">
        <v>0</v>
      </c>
      <c r="M1147" s="6" t="s">
        <v>35</v>
      </c>
      <c r="N1147" s="17" t="s">
        <v>2353</v>
      </c>
      <c r="O1147" s="28"/>
      <c r="P1147" s="28"/>
      <c r="Q1147" s="28" t="s">
        <v>124</v>
      </c>
      <c r="R1147" s="30">
        <v>38</v>
      </c>
      <c r="S1147" s="30">
        <v>2.3540000000000001</v>
      </c>
      <c r="T1147" s="30"/>
      <c r="U1147" s="30">
        <v>9.8425196850393706E-2</v>
      </c>
      <c r="V1147" s="8">
        <f t="shared" si="994"/>
        <v>965.19999999999993</v>
      </c>
      <c r="W1147" s="8">
        <f t="shared" si="995"/>
        <v>59.791600000000003</v>
      </c>
      <c r="X1147" s="8">
        <f t="shared" si="996"/>
        <v>0</v>
      </c>
      <c r="Y1147" s="33">
        <f t="shared" si="997"/>
        <v>2.5</v>
      </c>
      <c r="Z1147" s="28" t="s">
        <v>56</v>
      </c>
      <c r="AA1147" s="28" t="s">
        <v>57</v>
      </c>
      <c r="AB1147" s="61" t="s">
        <v>124</v>
      </c>
      <c r="AC1147" s="31" t="s">
        <v>125</v>
      </c>
      <c r="AD1147" s="50">
        <f t="shared" si="998"/>
        <v>1</v>
      </c>
      <c r="AE1147" s="5" t="s">
        <v>2188</v>
      </c>
      <c r="AF1147" s="51">
        <v>14</v>
      </c>
      <c r="AG1147" s="51">
        <f t="shared" si="1026"/>
        <v>8.4</v>
      </c>
      <c r="AH1147" s="51">
        <f t="shared" si="992"/>
        <v>42</v>
      </c>
      <c r="AI1147" s="52" t="s">
        <v>2497</v>
      </c>
      <c r="AJ1147" s="52" t="s">
        <v>2498</v>
      </c>
      <c r="AK1147" s="53">
        <f t="shared" si="1027"/>
        <v>0.11542170464</v>
      </c>
      <c r="AL1147" s="54">
        <f t="shared" si="1028"/>
        <v>0.11904761904761904</v>
      </c>
      <c r="AM1147" s="54">
        <f t="shared" si="1029"/>
        <v>2.3809523809523808E-2</v>
      </c>
      <c r="AN1147" s="55">
        <f t="shared" si="1030"/>
        <v>1.3740679123809522E-2</v>
      </c>
      <c r="AO1147" s="55">
        <f t="shared" si="1031"/>
        <v>2.7481358247619047E-3</v>
      </c>
      <c r="AP1147" s="53">
        <v>7.1</v>
      </c>
      <c r="AQ1147" s="53">
        <f t="shared" si="999"/>
        <v>4.26</v>
      </c>
      <c r="AR1147" s="53">
        <f t="shared" si="1000"/>
        <v>21.299999999999997</v>
      </c>
      <c r="AS1147" s="56">
        <f t="shared" si="1001"/>
        <v>4.6948356807511742E-2</v>
      </c>
      <c r="AT1147" s="56">
        <f t="shared" si="1032"/>
        <v>0.23474178403755869</v>
      </c>
      <c r="AU1147" s="56">
        <f t="shared" si="1002"/>
        <v>0.176056338028169</v>
      </c>
      <c r="AV1147" s="56">
        <f t="shared" si="1033"/>
        <v>5.8685446009389672E-2</v>
      </c>
      <c r="AW1147" s="57"/>
      <c r="AX1147" s="57"/>
      <c r="AY1147" s="57"/>
      <c r="AZ1147" s="58">
        <f t="shared" si="1034"/>
        <v>0.11542170464</v>
      </c>
      <c r="BA1147" s="59">
        <f t="shared" si="1035"/>
        <v>0</v>
      </c>
      <c r="BB1147" s="59">
        <f t="shared" si="1036"/>
        <v>0</v>
      </c>
      <c r="BC1147" s="59">
        <f t="shared" si="1037"/>
        <v>0</v>
      </c>
      <c r="BD1147" s="60">
        <f t="shared" si="1038"/>
        <v>1.8518518518518517E-2</v>
      </c>
      <c r="BE1147" s="59">
        <f t="shared" si="1039"/>
        <v>1.8518518518518517E-2</v>
      </c>
      <c r="BQ1147" s="61">
        <v>3000</v>
      </c>
      <c r="BR1147" s="61">
        <v>1200</v>
      </c>
      <c r="BS1147" s="28">
        <f t="shared" si="1003"/>
        <v>2980</v>
      </c>
      <c r="BT1147" s="28">
        <f t="shared" si="1004"/>
        <v>1180</v>
      </c>
      <c r="BU1147" s="28" t="s">
        <v>2541</v>
      </c>
      <c r="BV1147" s="28">
        <f t="shared" si="1005"/>
        <v>970.19999999999993</v>
      </c>
      <c r="BW1147" s="28">
        <f t="shared" si="1006"/>
        <v>64.791600000000003</v>
      </c>
      <c r="BX1147" s="13">
        <f t="shared" si="1007"/>
        <v>3.0715316429602146</v>
      </c>
      <c r="BY1147" s="13">
        <f t="shared" si="1008"/>
        <v>3</v>
      </c>
      <c r="BZ1147" s="13">
        <f t="shared" si="1009"/>
        <v>18.212237388797313</v>
      </c>
      <c r="CA1147" s="13">
        <f t="shared" si="1010"/>
        <v>18</v>
      </c>
      <c r="CB1147" s="13">
        <f t="shared" si="1011"/>
        <v>54</v>
      </c>
      <c r="CC1147" s="62">
        <f t="shared" si="1012"/>
        <v>1.8518518518518517E-2</v>
      </c>
      <c r="CD1147" s="13">
        <f t="shared" si="1013"/>
        <v>45.993616456454227</v>
      </c>
      <c r="CE1147" s="13">
        <f t="shared" si="1014"/>
        <v>45</v>
      </c>
      <c r="CF1147" s="13">
        <f t="shared" si="1015"/>
        <v>1.2162440733869306</v>
      </c>
      <c r="CG1147" s="13">
        <f t="shared" si="1016"/>
        <v>1</v>
      </c>
      <c r="CH1147" s="28">
        <f t="shared" si="1017"/>
        <v>45</v>
      </c>
      <c r="CI1147" s="62">
        <f t="shared" si="1018"/>
        <v>2.2222222222222223E-2</v>
      </c>
      <c r="CJ1147" s="59">
        <f t="shared" si="1019"/>
        <v>1.8518518518518517E-2</v>
      </c>
      <c r="CL1147" s="63">
        <v>6000</v>
      </c>
      <c r="CM1147" s="63">
        <f t="shared" si="1020"/>
        <v>965.19999999999993</v>
      </c>
      <c r="CN1147" s="63">
        <f t="shared" si="1021"/>
        <v>970.19999999999993</v>
      </c>
      <c r="CO1147" s="63">
        <f t="shared" si="1022"/>
        <v>6.1842918985776132</v>
      </c>
      <c r="CP1147" s="13">
        <f t="shared" si="1023"/>
        <v>6</v>
      </c>
      <c r="CQ1147" s="70">
        <f t="shared" si="1024"/>
        <v>0.16666666666666666</v>
      </c>
      <c r="CR1147" s="69">
        <f t="shared" si="1043"/>
        <v>0.16666666666666666</v>
      </c>
    </row>
    <row r="1148" spans="1:96" x14ac:dyDescent="0.25">
      <c r="A1148" s="13">
        <v>4</v>
      </c>
      <c r="B1148" s="14" t="s">
        <v>2354</v>
      </c>
      <c r="C1148" s="13" t="s">
        <v>2355</v>
      </c>
      <c r="D1148" s="13" t="s">
        <v>2270</v>
      </c>
      <c r="E1148" s="13" t="s">
        <v>52</v>
      </c>
      <c r="F1148" s="15">
        <f t="shared" si="993"/>
        <v>2</v>
      </c>
      <c r="G1148" s="13">
        <v>1</v>
      </c>
      <c r="H1148" s="13">
        <f t="shared" ref="H1148:H1152" si="1046">G1148*$H$1141</f>
        <v>1</v>
      </c>
      <c r="I1148" s="13" t="s">
        <v>2308</v>
      </c>
      <c r="J1148" s="14" t="s">
        <v>2356</v>
      </c>
      <c r="K1148" s="14"/>
      <c r="L1148" s="13">
        <v>0</v>
      </c>
      <c r="M1148" s="14" t="s">
        <v>35</v>
      </c>
      <c r="N1148" s="13" t="s">
        <v>2357</v>
      </c>
      <c r="O1148" s="28"/>
      <c r="P1148" s="28"/>
      <c r="Q1148" s="28" t="s">
        <v>2585</v>
      </c>
      <c r="R1148" s="30">
        <v>18.585000000000001</v>
      </c>
      <c r="S1148" s="30">
        <v>5.61</v>
      </c>
      <c r="T1148" s="30"/>
      <c r="U1148" s="30">
        <v>0.06</v>
      </c>
      <c r="V1148" s="8">
        <f t="shared" si="994"/>
        <v>472.05899999999997</v>
      </c>
      <c r="W1148" s="8">
        <f t="shared" si="995"/>
        <v>142.494</v>
      </c>
      <c r="X1148" s="8">
        <f t="shared" si="996"/>
        <v>0</v>
      </c>
      <c r="Y1148" s="33">
        <f t="shared" si="997"/>
        <v>1.5239999999999998</v>
      </c>
      <c r="Z1148" s="28" t="s">
        <v>56</v>
      </c>
      <c r="AA1148" s="28" t="s">
        <v>1765</v>
      </c>
      <c r="AB1148" s="61" t="s">
        <v>2585</v>
      </c>
      <c r="AC1148" s="31" t="s">
        <v>2586</v>
      </c>
      <c r="AD1148" s="50">
        <f t="shared" si="998"/>
        <v>1</v>
      </c>
      <c r="AE1148" s="5" t="s">
        <v>2188</v>
      </c>
      <c r="AF1148" s="51">
        <v>14</v>
      </c>
      <c r="AG1148" s="51">
        <f t="shared" si="1026"/>
        <v>8.4</v>
      </c>
      <c r="AH1148" s="51">
        <f t="shared" si="992"/>
        <v>42</v>
      </c>
      <c r="AI1148" s="52" t="s">
        <v>2497</v>
      </c>
      <c r="AJ1148" s="52" t="s">
        <v>2498</v>
      </c>
      <c r="AK1148" s="53">
        <f t="shared" si="1027"/>
        <v>0.13453115029199997</v>
      </c>
      <c r="AL1148" s="54">
        <f t="shared" si="1028"/>
        <v>0.11904761904761904</v>
      </c>
      <c r="AM1148" s="54">
        <f t="shared" si="1029"/>
        <v>2.3809523809523808E-2</v>
      </c>
      <c r="AN1148" s="55">
        <f t="shared" si="1030"/>
        <v>1.6015613129999995E-2</v>
      </c>
      <c r="AO1148" s="55">
        <f t="shared" si="1031"/>
        <v>3.2031226259999989E-3</v>
      </c>
      <c r="AP1148" s="53">
        <v>7.1</v>
      </c>
      <c r="AQ1148" s="53">
        <f t="shared" si="999"/>
        <v>4.26</v>
      </c>
      <c r="AR1148" s="53">
        <f t="shared" si="1000"/>
        <v>21.299999999999997</v>
      </c>
      <c r="AS1148" s="56">
        <f t="shared" si="1001"/>
        <v>4.6948356807511742E-2</v>
      </c>
      <c r="AT1148" s="56">
        <f t="shared" si="1032"/>
        <v>0.23474178403755869</v>
      </c>
      <c r="AU1148" s="56">
        <f t="shared" si="1002"/>
        <v>0.176056338028169</v>
      </c>
      <c r="AV1148" s="56">
        <f t="shared" si="1033"/>
        <v>5.8685446009389672E-2</v>
      </c>
      <c r="AW1148" s="57"/>
      <c r="AX1148" s="57"/>
      <c r="AY1148" s="57"/>
      <c r="AZ1148" s="58">
        <f t="shared" si="1034"/>
        <v>0.13453115029199997</v>
      </c>
      <c r="BA1148" s="59">
        <f t="shared" si="1035"/>
        <v>0</v>
      </c>
      <c r="BB1148" s="59">
        <f t="shared" si="1036"/>
        <v>0</v>
      </c>
      <c r="BC1148" s="59">
        <f t="shared" si="1037"/>
        <v>0</v>
      </c>
      <c r="BD1148" s="60">
        <f t="shared" si="1038"/>
        <v>2.0833333333333332E-2</v>
      </c>
      <c r="BE1148" s="59">
        <f t="shared" si="1039"/>
        <v>2.0833333333333332E-2</v>
      </c>
      <c r="BQ1148" s="61">
        <v>3000</v>
      </c>
      <c r="BR1148" s="61">
        <v>1200</v>
      </c>
      <c r="BS1148" s="28">
        <f t="shared" si="1003"/>
        <v>2980</v>
      </c>
      <c r="BT1148" s="28">
        <f t="shared" si="1004"/>
        <v>1180</v>
      </c>
      <c r="BU1148" s="28" t="s">
        <v>2541</v>
      </c>
      <c r="BV1148" s="28">
        <f t="shared" si="1005"/>
        <v>477.05899999999997</v>
      </c>
      <c r="BW1148" s="28">
        <f t="shared" si="1006"/>
        <v>147.494</v>
      </c>
      <c r="BX1148" s="13">
        <f t="shared" si="1007"/>
        <v>6.2466068138322521</v>
      </c>
      <c r="BY1148" s="13">
        <f t="shared" si="1008"/>
        <v>6</v>
      </c>
      <c r="BZ1148" s="13">
        <f t="shared" si="1009"/>
        <v>8.0003254369669268</v>
      </c>
      <c r="CA1148" s="13">
        <f t="shared" si="1010"/>
        <v>8</v>
      </c>
      <c r="CB1148" s="13">
        <f t="shared" si="1011"/>
        <v>48</v>
      </c>
      <c r="CC1148" s="62">
        <f t="shared" si="1012"/>
        <v>2.0833333333333332E-2</v>
      </c>
      <c r="CD1148" s="13">
        <f t="shared" si="1013"/>
        <v>20.204211696746988</v>
      </c>
      <c r="CE1148" s="13">
        <f t="shared" si="1014"/>
        <v>20</v>
      </c>
      <c r="CF1148" s="13">
        <f t="shared" si="1015"/>
        <v>2.4734886041349187</v>
      </c>
      <c r="CG1148" s="13">
        <f t="shared" si="1016"/>
        <v>2</v>
      </c>
      <c r="CH1148" s="28">
        <f t="shared" si="1017"/>
        <v>40</v>
      </c>
      <c r="CI1148" s="62">
        <f t="shared" si="1018"/>
        <v>2.5000000000000001E-2</v>
      </c>
      <c r="CJ1148" s="59">
        <f t="shared" si="1019"/>
        <v>2.0833333333333332E-2</v>
      </c>
      <c r="CL1148" s="63">
        <v>6000</v>
      </c>
      <c r="CM1148" s="63">
        <f t="shared" si="1020"/>
        <v>472.05899999999997</v>
      </c>
      <c r="CN1148" s="63">
        <f t="shared" si="1021"/>
        <v>477.05899999999997</v>
      </c>
      <c r="CO1148" s="63">
        <f t="shared" si="1022"/>
        <v>12.577060698991112</v>
      </c>
      <c r="CP1148" s="13">
        <f t="shared" si="1023"/>
        <v>12</v>
      </c>
      <c r="CQ1148" s="70">
        <f t="shared" si="1024"/>
        <v>8.3333333333333329E-2</v>
      </c>
      <c r="CR1148" s="69">
        <f t="shared" si="1043"/>
        <v>8.3333333333333329E-2</v>
      </c>
    </row>
    <row r="1149" spans="1:96" hidden="1" x14ac:dyDescent="0.25">
      <c r="A1149" s="13">
        <v>4</v>
      </c>
      <c r="B1149" s="14" t="s">
        <v>2358</v>
      </c>
      <c r="C1149" s="13" t="s">
        <v>2359</v>
      </c>
      <c r="D1149" s="13" t="s">
        <v>2270</v>
      </c>
      <c r="E1149" s="13" t="s">
        <v>52</v>
      </c>
      <c r="F1149" s="15">
        <f t="shared" si="993"/>
        <v>2</v>
      </c>
      <c r="G1149" s="13">
        <v>1</v>
      </c>
      <c r="H1149" s="13">
        <f t="shared" si="1046"/>
        <v>1</v>
      </c>
      <c r="I1149" s="13" t="s">
        <v>2333</v>
      </c>
      <c r="J1149" s="14" t="s">
        <v>2360</v>
      </c>
      <c r="K1149" s="14"/>
      <c r="L1149" s="13" t="s">
        <v>194</v>
      </c>
      <c r="M1149" s="14" t="s">
        <v>35</v>
      </c>
      <c r="N1149" s="13" t="s">
        <v>2361</v>
      </c>
      <c r="O1149" s="28"/>
      <c r="P1149" s="28"/>
      <c r="Q1149" s="28" t="s">
        <v>2362</v>
      </c>
      <c r="R1149" s="30">
        <v>3</v>
      </c>
      <c r="S1149" s="30">
        <v>1</v>
      </c>
      <c r="T1149" s="30">
        <v>1</v>
      </c>
      <c r="U1149" s="30">
        <v>0.11799999999999999</v>
      </c>
      <c r="V1149" s="8">
        <f t="shared" si="994"/>
        <v>76.199999999999989</v>
      </c>
      <c r="W1149" s="8">
        <f t="shared" si="995"/>
        <v>25.4</v>
      </c>
      <c r="X1149" s="8">
        <f t="shared" si="996"/>
        <v>25.4</v>
      </c>
      <c r="Y1149" s="33">
        <f t="shared" si="997"/>
        <v>2.9971999999999999</v>
      </c>
      <c r="Z1149" s="28"/>
      <c r="AA1149" s="28"/>
      <c r="AB1149" s="61" t="s">
        <v>2362</v>
      </c>
      <c r="AC1149" s="31" t="s">
        <v>2363</v>
      </c>
      <c r="AD1149" s="50">
        <f t="shared" si="998"/>
        <v>1</v>
      </c>
      <c r="AE1149" s="5" t="s">
        <v>2188</v>
      </c>
      <c r="AF1149" s="51">
        <v>14</v>
      </c>
      <c r="AG1149" s="51">
        <f t="shared" si="1026"/>
        <v>8.4</v>
      </c>
      <c r="AH1149" s="51">
        <f t="shared" si="992"/>
        <v>42</v>
      </c>
      <c r="AI1149" s="52" t="s">
        <v>2497</v>
      </c>
      <c r="AJ1149" s="52" t="s">
        <v>2498</v>
      </c>
      <c r="AK1149" s="53">
        <f t="shared" si="1027"/>
        <v>3.8709599999999992E-3</v>
      </c>
      <c r="AL1149" s="54">
        <f t="shared" si="1028"/>
        <v>0.11904761904761904</v>
      </c>
      <c r="AM1149" s="54">
        <f t="shared" si="1029"/>
        <v>2.3809523809523808E-2</v>
      </c>
      <c r="AN1149" s="55">
        <f t="shared" si="1030"/>
        <v>4.6082857142857133E-4</v>
      </c>
      <c r="AO1149" s="55">
        <f t="shared" si="1031"/>
        <v>9.2165714285714258E-5</v>
      </c>
      <c r="AP1149" s="53">
        <v>7.1</v>
      </c>
      <c r="AQ1149" s="53">
        <f t="shared" si="999"/>
        <v>4.26</v>
      </c>
      <c r="AR1149" s="53">
        <f t="shared" si="1000"/>
        <v>21.299999999999997</v>
      </c>
      <c r="AS1149" s="56">
        <f t="shared" si="1001"/>
        <v>4.6948356807511742E-2</v>
      </c>
      <c r="AT1149" s="56">
        <f t="shared" si="1032"/>
        <v>0.23474178403755869</v>
      </c>
      <c r="AU1149" s="56">
        <f t="shared" si="1002"/>
        <v>0.176056338028169</v>
      </c>
      <c r="AV1149" s="56">
        <f t="shared" si="1033"/>
        <v>5.8685446009389672E-2</v>
      </c>
      <c r="AW1149" s="57"/>
      <c r="AX1149" s="57"/>
      <c r="AY1149" s="57"/>
      <c r="AZ1149" s="58">
        <f t="shared" si="1034"/>
        <v>3.8709599999999992E-3</v>
      </c>
      <c r="BA1149" s="59">
        <f t="shared" si="1035"/>
        <v>0</v>
      </c>
      <c r="BB1149" s="59">
        <f t="shared" si="1036"/>
        <v>0</v>
      </c>
      <c r="BC1149" s="59">
        <f t="shared" si="1037"/>
        <v>0</v>
      </c>
      <c r="BD1149" s="60">
        <f t="shared" si="1038"/>
        <v>7.2886297376093293E-4</v>
      </c>
      <c r="BE1149" s="59">
        <f t="shared" si="1039"/>
        <v>7.2886297376093293E-4</v>
      </c>
      <c r="BQ1149" s="61">
        <v>3000</v>
      </c>
      <c r="BR1149" s="61">
        <v>1200</v>
      </c>
      <c r="BS1149" s="28">
        <f t="shared" si="1003"/>
        <v>2980</v>
      </c>
      <c r="BT1149" s="28">
        <f t="shared" si="1004"/>
        <v>1180</v>
      </c>
      <c r="BU1149" s="28" t="s">
        <v>2541</v>
      </c>
      <c r="BV1149" s="28">
        <f t="shared" si="1005"/>
        <v>81.199999999999989</v>
      </c>
      <c r="BW1149" s="28">
        <f t="shared" si="1006"/>
        <v>30.4</v>
      </c>
      <c r="BX1149" s="13">
        <f t="shared" si="1007"/>
        <v>36.699507389162569</v>
      </c>
      <c r="BY1149" s="13">
        <f t="shared" si="1008"/>
        <v>36</v>
      </c>
      <c r="BZ1149" s="13">
        <f t="shared" si="1009"/>
        <v>38.815789473684212</v>
      </c>
      <c r="CA1149" s="13">
        <f t="shared" si="1010"/>
        <v>38</v>
      </c>
      <c r="CB1149" s="13">
        <f t="shared" si="1011"/>
        <v>1368</v>
      </c>
      <c r="CC1149" s="62">
        <f t="shared" si="1012"/>
        <v>7.3099415204678359E-4</v>
      </c>
      <c r="CD1149" s="13">
        <f t="shared" si="1013"/>
        <v>98.026315789473685</v>
      </c>
      <c r="CE1149" s="13">
        <f t="shared" si="1014"/>
        <v>98</v>
      </c>
      <c r="CF1149" s="13">
        <f t="shared" si="1015"/>
        <v>14.5320197044335</v>
      </c>
      <c r="CG1149" s="13">
        <f t="shared" si="1016"/>
        <v>14</v>
      </c>
      <c r="CH1149" s="28">
        <f t="shared" si="1017"/>
        <v>1372</v>
      </c>
      <c r="CI1149" s="62">
        <f t="shared" si="1018"/>
        <v>7.2886297376093293E-4</v>
      </c>
      <c r="CJ1149" s="59">
        <f t="shared" si="1019"/>
        <v>7.2886297376093293E-4</v>
      </c>
      <c r="CL1149" s="63">
        <v>6000</v>
      </c>
      <c r="CM1149" s="63">
        <f t="shared" si="1020"/>
        <v>76.199999999999989</v>
      </c>
      <c r="CN1149" s="63">
        <f t="shared" si="1021"/>
        <v>81.199999999999989</v>
      </c>
      <c r="CO1149" s="63">
        <f t="shared" si="1022"/>
        <v>73.891625615763559</v>
      </c>
      <c r="CP1149" s="13">
        <f t="shared" si="1023"/>
        <v>73</v>
      </c>
      <c r="CQ1149" s="70">
        <f t="shared" si="1024"/>
        <v>1.3698630136986301E-2</v>
      </c>
      <c r="CR1149" s="69">
        <f t="shared" si="1043"/>
        <v>1.3698630136986301E-2</v>
      </c>
    </row>
    <row r="1150" spans="1:96" hidden="1" x14ac:dyDescent="0.25">
      <c r="A1150" s="13">
        <v>4</v>
      </c>
      <c r="B1150" s="14" t="s">
        <v>2364</v>
      </c>
      <c r="C1150" s="13" t="s">
        <v>2365</v>
      </c>
      <c r="D1150" s="13" t="s">
        <v>2270</v>
      </c>
      <c r="E1150" s="13" t="s">
        <v>52</v>
      </c>
      <c r="F1150" s="15">
        <f t="shared" si="993"/>
        <v>1</v>
      </c>
      <c r="G1150" s="13">
        <v>1</v>
      </c>
      <c r="H1150" s="13">
        <f t="shared" si="1046"/>
        <v>1</v>
      </c>
      <c r="I1150" s="13" t="s">
        <v>2366</v>
      </c>
      <c r="J1150" s="14" t="s">
        <v>2367</v>
      </c>
      <c r="K1150" s="14"/>
      <c r="L1150" s="13" t="s">
        <v>110</v>
      </c>
      <c r="M1150" s="14" t="s">
        <v>35</v>
      </c>
      <c r="N1150" s="13" t="s">
        <v>2368</v>
      </c>
      <c r="O1150" s="28"/>
      <c r="P1150" s="28"/>
      <c r="Q1150" s="28" t="s">
        <v>116</v>
      </c>
      <c r="R1150" s="30">
        <v>44.418999999999997</v>
      </c>
      <c r="S1150" s="30">
        <v>16.251000000000001</v>
      </c>
      <c r="T1150" s="30"/>
      <c r="U1150" s="30">
        <v>0.11799999999999999</v>
      </c>
      <c r="V1150" s="8">
        <f t="shared" si="994"/>
        <v>1128.2425999999998</v>
      </c>
      <c r="W1150" s="8">
        <f t="shared" si="995"/>
        <v>412.77539999999999</v>
      </c>
      <c r="X1150" s="8">
        <f t="shared" si="996"/>
        <v>0</v>
      </c>
      <c r="Y1150" s="33">
        <f t="shared" si="997"/>
        <v>2.9971999999999999</v>
      </c>
      <c r="Z1150" s="28" t="s">
        <v>56</v>
      </c>
      <c r="AA1150" s="28" t="s">
        <v>57</v>
      </c>
      <c r="AB1150" s="28" t="s">
        <v>116</v>
      </c>
      <c r="AC1150" s="31" t="s">
        <v>117</v>
      </c>
      <c r="AD1150" s="50">
        <f t="shared" si="998"/>
        <v>1</v>
      </c>
      <c r="AE1150" s="5" t="s">
        <v>2188</v>
      </c>
      <c r="AF1150" s="51">
        <v>14</v>
      </c>
      <c r="AG1150" s="51">
        <f t="shared" si="1026"/>
        <v>8.4</v>
      </c>
      <c r="AH1150" s="51">
        <f t="shared" si="992"/>
        <v>42</v>
      </c>
      <c r="AI1150" s="52" t="s">
        <v>2497</v>
      </c>
      <c r="AJ1150" s="52" t="s">
        <v>2498</v>
      </c>
      <c r="AK1150" s="53">
        <f t="shared" si="1027"/>
        <v>0.93142158102407979</v>
      </c>
      <c r="AL1150" s="54">
        <f t="shared" si="1028"/>
        <v>0.11904761904761904</v>
      </c>
      <c r="AM1150" s="54">
        <f t="shared" si="1029"/>
        <v>2.3809523809523808E-2</v>
      </c>
      <c r="AN1150" s="55">
        <f t="shared" si="1030"/>
        <v>0.11088352155048568</v>
      </c>
      <c r="AO1150" s="55">
        <f t="shared" si="1031"/>
        <v>2.2176704310097137E-2</v>
      </c>
      <c r="AP1150" s="53">
        <v>7.1</v>
      </c>
      <c r="AQ1150" s="53">
        <f t="shared" si="999"/>
        <v>4.26</v>
      </c>
      <c r="AR1150" s="53">
        <f t="shared" si="1000"/>
        <v>21.299999999999997</v>
      </c>
      <c r="AS1150" s="56">
        <f t="shared" si="1001"/>
        <v>4.6948356807511742E-2</v>
      </c>
      <c r="AT1150" s="56">
        <f t="shared" si="1032"/>
        <v>0.23474178403755869</v>
      </c>
      <c r="AU1150" s="56">
        <f t="shared" si="1002"/>
        <v>0.176056338028169</v>
      </c>
      <c r="AV1150" s="56">
        <f t="shared" si="1033"/>
        <v>5.8685446009389672E-2</v>
      </c>
      <c r="AW1150" s="57"/>
      <c r="AX1150" s="57"/>
      <c r="AY1150" s="57"/>
      <c r="AZ1150" s="58">
        <f t="shared" si="1034"/>
        <v>0.93142158102407979</v>
      </c>
      <c r="BA1150" s="59">
        <f t="shared" si="1035"/>
        <v>0</v>
      </c>
      <c r="BB1150" s="59">
        <f t="shared" si="1036"/>
        <v>0</v>
      </c>
      <c r="BC1150" s="59">
        <f t="shared" si="1037"/>
        <v>0</v>
      </c>
      <c r="BD1150" s="60">
        <f t="shared" si="1038"/>
        <v>0.14285714285714285</v>
      </c>
      <c r="BE1150" s="59">
        <f t="shared" si="1039"/>
        <v>0.14285714285714285</v>
      </c>
      <c r="BQ1150" s="61">
        <v>3000</v>
      </c>
      <c r="BR1150" s="61">
        <v>1200</v>
      </c>
      <c r="BS1150" s="28">
        <f t="shared" si="1003"/>
        <v>2980</v>
      </c>
      <c r="BT1150" s="28">
        <f t="shared" si="1004"/>
        <v>1180</v>
      </c>
      <c r="BU1150" s="28" t="s">
        <v>2541</v>
      </c>
      <c r="BV1150" s="28">
        <f t="shared" si="1005"/>
        <v>1133.2425999999998</v>
      </c>
      <c r="BW1150" s="28">
        <f t="shared" si="1006"/>
        <v>417.77539999999999</v>
      </c>
      <c r="BX1150" s="13">
        <f t="shared" si="1007"/>
        <v>2.6296222891726808</v>
      </c>
      <c r="BY1150" s="13">
        <f t="shared" si="1008"/>
        <v>2</v>
      </c>
      <c r="BZ1150" s="13">
        <f t="shared" si="1009"/>
        <v>2.8244841606279354</v>
      </c>
      <c r="CA1150" s="13">
        <f t="shared" si="1010"/>
        <v>2</v>
      </c>
      <c r="CB1150" s="13">
        <f t="shared" si="1011"/>
        <v>4</v>
      </c>
      <c r="CC1150" s="62">
        <f t="shared" si="1012"/>
        <v>0.25</v>
      </c>
      <c r="CD1150" s="13">
        <f t="shared" si="1013"/>
        <v>7.1330193209078372</v>
      </c>
      <c r="CE1150" s="13">
        <f t="shared" si="1014"/>
        <v>7</v>
      </c>
      <c r="CF1150" s="13">
        <f t="shared" si="1015"/>
        <v>1.0412598326254239</v>
      </c>
      <c r="CG1150" s="13">
        <f t="shared" si="1016"/>
        <v>1</v>
      </c>
      <c r="CH1150" s="28">
        <f t="shared" si="1017"/>
        <v>7</v>
      </c>
      <c r="CI1150" s="62">
        <f t="shared" si="1018"/>
        <v>0.14285714285714285</v>
      </c>
      <c r="CJ1150" s="59">
        <f t="shared" si="1019"/>
        <v>0.14285714285714285</v>
      </c>
      <c r="CL1150" s="63">
        <v>6000</v>
      </c>
      <c r="CM1150" s="63">
        <f t="shared" si="1020"/>
        <v>1128.2425999999998</v>
      </c>
      <c r="CN1150" s="63">
        <f t="shared" si="1021"/>
        <v>1133.2425999999998</v>
      </c>
      <c r="CO1150" s="63">
        <f t="shared" si="1022"/>
        <v>5.2945415218241889</v>
      </c>
      <c r="CP1150" s="13">
        <f t="shared" si="1023"/>
        <v>5</v>
      </c>
      <c r="CQ1150" s="70">
        <f t="shared" si="1024"/>
        <v>0.2</v>
      </c>
      <c r="CR1150" s="69">
        <f t="shared" si="1043"/>
        <v>0.2</v>
      </c>
    </row>
    <row r="1151" spans="1:96" hidden="1" x14ac:dyDescent="0.25">
      <c r="A1151" s="13">
        <v>4</v>
      </c>
      <c r="B1151" s="14" t="s">
        <v>2369</v>
      </c>
      <c r="C1151" s="13" t="s">
        <v>2370</v>
      </c>
      <c r="D1151" s="13" t="s">
        <v>2270</v>
      </c>
      <c r="E1151" s="13" t="s">
        <v>52</v>
      </c>
      <c r="F1151" s="15">
        <f t="shared" si="993"/>
        <v>1</v>
      </c>
      <c r="G1151" s="13">
        <v>1</v>
      </c>
      <c r="H1151" s="13">
        <f t="shared" si="1046"/>
        <v>1</v>
      </c>
      <c r="I1151" s="13" t="s">
        <v>2371</v>
      </c>
      <c r="J1151" s="14" t="s">
        <v>2372</v>
      </c>
      <c r="K1151" s="14"/>
      <c r="L1151" s="13" t="s">
        <v>2195</v>
      </c>
      <c r="M1151" s="14" t="s">
        <v>35</v>
      </c>
      <c r="N1151" s="13" t="s">
        <v>2373</v>
      </c>
      <c r="O1151" s="28"/>
      <c r="P1151" s="28"/>
      <c r="Q1151" s="28" t="s">
        <v>124</v>
      </c>
      <c r="R1151" s="30">
        <v>43.738</v>
      </c>
      <c r="S1151" s="30">
        <v>10.791</v>
      </c>
      <c r="T1151" s="30"/>
      <c r="U1151" s="30">
        <v>9.8425196850393706E-2</v>
      </c>
      <c r="V1151" s="8">
        <f t="shared" si="994"/>
        <v>1110.9451999999999</v>
      </c>
      <c r="W1151" s="8">
        <f t="shared" si="995"/>
        <v>274.09140000000002</v>
      </c>
      <c r="X1151" s="8">
        <f t="shared" si="996"/>
        <v>0</v>
      </c>
      <c r="Y1151" s="33">
        <f t="shared" si="997"/>
        <v>2.5</v>
      </c>
      <c r="Z1151" s="28" t="s">
        <v>56</v>
      </c>
      <c r="AA1151" s="28" t="s">
        <v>57</v>
      </c>
      <c r="AB1151" s="61" t="s">
        <v>124</v>
      </c>
      <c r="AC1151" s="31" t="s">
        <v>125</v>
      </c>
      <c r="AD1151" s="50">
        <f t="shared" si="998"/>
        <v>1</v>
      </c>
      <c r="AE1151" s="5" t="s">
        <v>2188</v>
      </c>
      <c r="AF1151" s="51">
        <v>14</v>
      </c>
      <c r="AG1151" s="51">
        <f t="shared" si="1026"/>
        <v>8.4</v>
      </c>
      <c r="AH1151" s="51">
        <f t="shared" si="992"/>
        <v>42</v>
      </c>
      <c r="AI1151" s="52" t="s">
        <v>2497</v>
      </c>
      <c r="AJ1151" s="52" t="s">
        <v>2498</v>
      </c>
      <c r="AK1151" s="53">
        <f t="shared" si="1027"/>
        <v>0.60900105038256003</v>
      </c>
      <c r="AL1151" s="54">
        <f t="shared" si="1028"/>
        <v>0.11904761904761904</v>
      </c>
      <c r="AM1151" s="54">
        <f t="shared" si="1029"/>
        <v>2.3809523809523808E-2</v>
      </c>
      <c r="AN1151" s="55">
        <f t="shared" si="1030"/>
        <v>7.250012504554286E-2</v>
      </c>
      <c r="AO1151" s="55">
        <f t="shared" si="1031"/>
        <v>1.4500025009108571E-2</v>
      </c>
      <c r="AP1151" s="53">
        <v>7.1</v>
      </c>
      <c r="AQ1151" s="53">
        <f t="shared" si="999"/>
        <v>4.26</v>
      </c>
      <c r="AR1151" s="53">
        <f t="shared" si="1000"/>
        <v>21.299999999999997</v>
      </c>
      <c r="AS1151" s="56">
        <f t="shared" si="1001"/>
        <v>4.6948356807511742E-2</v>
      </c>
      <c r="AT1151" s="56">
        <f t="shared" si="1032"/>
        <v>0.23474178403755869</v>
      </c>
      <c r="AU1151" s="56">
        <f t="shared" si="1002"/>
        <v>0.176056338028169</v>
      </c>
      <c r="AV1151" s="56">
        <f t="shared" si="1033"/>
        <v>5.8685446009389672E-2</v>
      </c>
      <c r="AW1151" s="57"/>
      <c r="AX1151" s="57"/>
      <c r="AY1151" s="57"/>
      <c r="AZ1151" s="58">
        <f t="shared" si="1034"/>
        <v>0.60900105038256003</v>
      </c>
      <c r="BA1151" s="59">
        <f t="shared" si="1035"/>
        <v>0</v>
      </c>
      <c r="BB1151" s="59">
        <f t="shared" si="1036"/>
        <v>0</v>
      </c>
      <c r="BC1151" s="59">
        <f t="shared" si="1037"/>
        <v>0</v>
      </c>
      <c r="BD1151" s="60">
        <f t="shared" si="1038"/>
        <v>0.1</v>
      </c>
      <c r="BE1151" s="59">
        <f t="shared" si="1039"/>
        <v>0.1</v>
      </c>
      <c r="BQ1151" s="61">
        <v>3000</v>
      </c>
      <c r="BR1151" s="61">
        <v>1200</v>
      </c>
      <c r="BS1151" s="28">
        <f t="shared" si="1003"/>
        <v>2980</v>
      </c>
      <c r="BT1151" s="28">
        <f t="shared" si="1004"/>
        <v>1180</v>
      </c>
      <c r="BU1151" s="28" t="s">
        <v>2541</v>
      </c>
      <c r="BV1151" s="28">
        <f t="shared" si="1005"/>
        <v>1115.9451999999999</v>
      </c>
      <c r="BW1151" s="28">
        <f t="shared" si="1006"/>
        <v>279.09140000000002</v>
      </c>
      <c r="BX1151" s="13">
        <f t="shared" si="1007"/>
        <v>2.6703820223430328</v>
      </c>
      <c r="BY1151" s="13">
        <f t="shared" si="1008"/>
        <v>2</v>
      </c>
      <c r="BZ1151" s="13">
        <f t="shared" si="1009"/>
        <v>4.2280055924331599</v>
      </c>
      <c r="CA1151" s="13">
        <f t="shared" si="1010"/>
        <v>4</v>
      </c>
      <c r="CB1151" s="13">
        <f t="shared" si="1011"/>
        <v>8</v>
      </c>
      <c r="CC1151" s="62">
        <f t="shared" si="1012"/>
        <v>0.125</v>
      </c>
      <c r="CD1151" s="13">
        <f t="shared" si="1013"/>
        <v>10.677505648687132</v>
      </c>
      <c r="CE1151" s="13">
        <f t="shared" si="1014"/>
        <v>10</v>
      </c>
      <c r="CF1151" s="13">
        <f t="shared" si="1015"/>
        <v>1.0573995927398587</v>
      </c>
      <c r="CG1151" s="13">
        <f t="shared" si="1016"/>
        <v>1</v>
      </c>
      <c r="CH1151" s="28">
        <f t="shared" si="1017"/>
        <v>10</v>
      </c>
      <c r="CI1151" s="62">
        <f t="shared" si="1018"/>
        <v>0.1</v>
      </c>
      <c r="CJ1151" s="59">
        <f t="shared" si="1019"/>
        <v>0.1</v>
      </c>
      <c r="CL1151" s="63">
        <v>6000</v>
      </c>
      <c r="CM1151" s="63">
        <f t="shared" si="1020"/>
        <v>1110.9451999999999</v>
      </c>
      <c r="CN1151" s="63">
        <f t="shared" si="1021"/>
        <v>1115.9451999999999</v>
      </c>
      <c r="CO1151" s="63">
        <f t="shared" si="1022"/>
        <v>5.3766080986772478</v>
      </c>
      <c r="CP1151" s="13">
        <f t="shared" si="1023"/>
        <v>5</v>
      </c>
      <c r="CQ1151" s="70">
        <f t="shared" si="1024"/>
        <v>0.2</v>
      </c>
      <c r="CR1151" s="69">
        <f t="shared" si="1043"/>
        <v>0.2</v>
      </c>
    </row>
    <row r="1152" spans="1:96" hidden="1" x14ac:dyDescent="0.25">
      <c r="A1152" s="13">
        <v>4</v>
      </c>
      <c r="B1152" s="14" t="s">
        <v>2374</v>
      </c>
      <c r="C1152" s="13" t="s">
        <v>2375</v>
      </c>
      <c r="D1152" s="13" t="s">
        <v>2270</v>
      </c>
      <c r="E1152" s="13" t="s">
        <v>52</v>
      </c>
      <c r="F1152" s="15">
        <f t="shared" si="993"/>
        <v>1</v>
      </c>
      <c r="G1152" s="13">
        <v>1</v>
      </c>
      <c r="H1152" s="13">
        <f t="shared" si="1046"/>
        <v>1</v>
      </c>
      <c r="I1152" s="13" t="s">
        <v>2290</v>
      </c>
      <c r="J1152" s="14" t="s">
        <v>2367</v>
      </c>
      <c r="K1152" s="14"/>
      <c r="L1152" s="13">
        <v>0</v>
      </c>
      <c r="M1152" s="14" t="s">
        <v>35</v>
      </c>
      <c r="N1152" s="13" t="s">
        <v>2376</v>
      </c>
      <c r="O1152" s="28"/>
      <c r="P1152" s="28"/>
      <c r="Q1152" s="28" t="s">
        <v>124</v>
      </c>
      <c r="R1152" s="30">
        <v>13.138</v>
      </c>
      <c r="S1152" s="30">
        <v>7.87</v>
      </c>
      <c r="T1152" s="30"/>
      <c r="U1152" s="30">
        <v>9.8425196850393706E-2</v>
      </c>
      <c r="V1152" s="8">
        <f t="shared" si="994"/>
        <v>333.70519999999999</v>
      </c>
      <c r="W1152" s="8">
        <f t="shared" si="995"/>
        <v>199.898</v>
      </c>
      <c r="X1152" s="8">
        <f t="shared" si="996"/>
        <v>0</v>
      </c>
      <c r="Y1152" s="33">
        <f t="shared" si="997"/>
        <v>2.5</v>
      </c>
      <c r="Z1152" s="28" t="s">
        <v>56</v>
      </c>
      <c r="AA1152" s="28" t="s">
        <v>57</v>
      </c>
      <c r="AB1152" s="61" t="s">
        <v>124</v>
      </c>
      <c r="AC1152" s="31" t="s">
        <v>125</v>
      </c>
      <c r="AD1152" s="50">
        <f t="shared" si="998"/>
        <v>1</v>
      </c>
      <c r="AE1152" s="5" t="s">
        <v>2188</v>
      </c>
      <c r="AF1152" s="51">
        <v>14</v>
      </c>
      <c r="AG1152" s="51">
        <f t="shared" si="1026"/>
        <v>8.4</v>
      </c>
      <c r="AH1152" s="51">
        <f t="shared" si="992"/>
        <v>42</v>
      </c>
      <c r="AI1152" s="52" t="s">
        <v>2497</v>
      </c>
      <c r="AJ1152" s="52" t="s">
        <v>2498</v>
      </c>
      <c r="AK1152" s="53">
        <f t="shared" si="1027"/>
        <v>0.13341400413919999</v>
      </c>
      <c r="AL1152" s="54">
        <f t="shared" si="1028"/>
        <v>0.11904761904761904</v>
      </c>
      <c r="AM1152" s="54">
        <f t="shared" si="1029"/>
        <v>2.3809523809523808E-2</v>
      </c>
      <c r="AN1152" s="55">
        <f t="shared" si="1030"/>
        <v>1.5882619540380949E-2</v>
      </c>
      <c r="AO1152" s="55">
        <f t="shared" si="1031"/>
        <v>3.1765239080761899E-3</v>
      </c>
      <c r="AP1152" s="53">
        <v>7.1</v>
      </c>
      <c r="AQ1152" s="53">
        <f t="shared" si="999"/>
        <v>4.26</v>
      </c>
      <c r="AR1152" s="53">
        <f t="shared" si="1000"/>
        <v>21.299999999999997</v>
      </c>
      <c r="AS1152" s="56">
        <f t="shared" si="1001"/>
        <v>4.6948356807511742E-2</v>
      </c>
      <c r="AT1152" s="56">
        <f t="shared" si="1032"/>
        <v>0.23474178403755869</v>
      </c>
      <c r="AU1152" s="56">
        <f t="shared" si="1002"/>
        <v>0.176056338028169</v>
      </c>
      <c r="AV1152" s="56">
        <f t="shared" si="1033"/>
        <v>5.8685446009389672E-2</v>
      </c>
      <c r="AW1152" s="57"/>
      <c r="AX1152" s="57"/>
      <c r="AY1152" s="57"/>
      <c r="AZ1152" s="58">
        <f t="shared" si="1034"/>
        <v>0.13341400413919999</v>
      </c>
      <c r="BA1152" s="59">
        <f t="shared" si="1035"/>
        <v>0</v>
      </c>
      <c r="BB1152" s="59">
        <f t="shared" si="1036"/>
        <v>0</v>
      </c>
      <c r="BC1152" s="59">
        <f t="shared" si="1037"/>
        <v>0</v>
      </c>
      <c r="BD1152" s="60">
        <f t="shared" si="1038"/>
        <v>2.3809523809523808E-2</v>
      </c>
      <c r="BE1152" s="59">
        <f t="shared" si="1039"/>
        <v>2.3809523809523808E-2</v>
      </c>
      <c r="BQ1152" s="61">
        <v>3000</v>
      </c>
      <c r="BR1152" s="61">
        <v>1200</v>
      </c>
      <c r="BS1152" s="28">
        <f t="shared" si="1003"/>
        <v>2980</v>
      </c>
      <c r="BT1152" s="28">
        <f t="shared" si="1004"/>
        <v>1180</v>
      </c>
      <c r="BU1152" s="28" t="s">
        <v>2541</v>
      </c>
      <c r="BV1152" s="28">
        <f t="shared" si="1005"/>
        <v>338.70519999999999</v>
      </c>
      <c r="BW1152" s="28">
        <f t="shared" si="1006"/>
        <v>204.898</v>
      </c>
      <c r="BX1152" s="13">
        <f t="shared" si="1007"/>
        <v>8.7982115420725755</v>
      </c>
      <c r="BY1152" s="13">
        <f t="shared" si="1008"/>
        <v>8</v>
      </c>
      <c r="BZ1152" s="13">
        <f t="shared" si="1009"/>
        <v>5.7589629962225111</v>
      </c>
      <c r="CA1152" s="13">
        <f t="shared" si="1010"/>
        <v>5</v>
      </c>
      <c r="CB1152" s="13">
        <f t="shared" si="1011"/>
        <v>40</v>
      </c>
      <c r="CC1152" s="62">
        <f t="shared" si="1012"/>
        <v>2.5000000000000001E-2</v>
      </c>
      <c r="CD1152" s="13">
        <f t="shared" si="1013"/>
        <v>14.543821804019561</v>
      </c>
      <c r="CE1152" s="13">
        <f t="shared" si="1014"/>
        <v>14</v>
      </c>
      <c r="CF1152" s="13">
        <f t="shared" si="1015"/>
        <v>3.483855577062295</v>
      </c>
      <c r="CG1152" s="13">
        <f t="shared" si="1016"/>
        <v>3</v>
      </c>
      <c r="CH1152" s="28">
        <f t="shared" si="1017"/>
        <v>42</v>
      </c>
      <c r="CI1152" s="62">
        <f t="shared" si="1018"/>
        <v>2.3809523809523808E-2</v>
      </c>
      <c r="CJ1152" s="59">
        <f t="shared" si="1019"/>
        <v>2.3809523809523808E-2</v>
      </c>
      <c r="CL1152" s="63">
        <v>6000</v>
      </c>
      <c r="CM1152" s="63">
        <f t="shared" si="1020"/>
        <v>333.70519999999999</v>
      </c>
      <c r="CN1152" s="63">
        <f t="shared" si="1021"/>
        <v>338.70519999999999</v>
      </c>
      <c r="CO1152" s="63">
        <f t="shared" si="1022"/>
        <v>17.714519883367601</v>
      </c>
      <c r="CP1152" s="13">
        <f t="shared" si="1023"/>
        <v>17</v>
      </c>
      <c r="CQ1152" s="70">
        <f t="shared" si="1024"/>
        <v>5.8823529411764705E-2</v>
      </c>
      <c r="CR1152" s="69">
        <f t="shared" si="1043"/>
        <v>5.8823529411764705E-2</v>
      </c>
    </row>
    <row r="1153" spans="1:96" hidden="1" x14ac:dyDescent="0.25">
      <c r="A1153" s="10">
        <v>3</v>
      </c>
      <c r="B1153" s="8" t="s">
        <v>2377</v>
      </c>
      <c r="C1153" s="10" t="s">
        <v>336</v>
      </c>
      <c r="D1153" s="10" t="s">
        <v>341</v>
      </c>
      <c r="E1153" s="10" t="s">
        <v>52</v>
      </c>
      <c r="F1153" s="12">
        <f t="shared" si="993"/>
        <v>15</v>
      </c>
      <c r="G1153" s="10">
        <v>1</v>
      </c>
      <c r="H1153" s="10">
        <f>G1153*$H$1135</f>
        <v>1</v>
      </c>
      <c r="I1153" s="10" t="s">
        <v>2378</v>
      </c>
      <c r="J1153" s="8" t="s">
        <v>2379</v>
      </c>
      <c r="K1153" s="8"/>
      <c r="L1153" s="10" t="s">
        <v>2245</v>
      </c>
      <c r="M1153" s="8" t="s">
        <v>35</v>
      </c>
      <c r="N1153" s="10" t="s">
        <v>341</v>
      </c>
      <c r="O1153" s="28" t="s">
        <v>2541</v>
      </c>
      <c r="P1153" s="28" t="s">
        <v>2541</v>
      </c>
      <c r="Q1153" s="28" t="s">
        <v>341</v>
      </c>
      <c r="R1153" s="30"/>
      <c r="S1153" s="30"/>
      <c r="T1153" s="30"/>
      <c r="U1153" s="30"/>
      <c r="V1153" s="8">
        <f t="shared" si="994"/>
        <v>0</v>
      </c>
      <c r="W1153" s="8">
        <f t="shared" si="995"/>
        <v>0</v>
      </c>
      <c r="X1153" s="8">
        <f t="shared" si="996"/>
        <v>0</v>
      </c>
      <c r="Y1153" s="33">
        <f t="shared" si="997"/>
        <v>0</v>
      </c>
      <c r="Z1153" s="28"/>
      <c r="AA1153" s="28"/>
      <c r="AB1153" s="28" t="s">
        <v>341</v>
      </c>
      <c r="AC1153" s="31" t="s">
        <v>342</v>
      </c>
      <c r="AD1153" s="50">
        <f t="shared" si="998"/>
        <v>1</v>
      </c>
      <c r="AE1153" s="5" t="s">
        <v>2188</v>
      </c>
      <c r="AF1153" s="51">
        <v>14</v>
      </c>
      <c r="AG1153" s="51">
        <f t="shared" si="1026"/>
        <v>8.4</v>
      </c>
      <c r="AH1153" s="51">
        <f t="shared" si="992"/>
        <v>42</v>
      </c>
      <c r="AI1153" s="52" t="s">
        <v>2497</v>
      </c>
      <c r="AJ1153" s="52" t="s">
        <v>2498</v>
      </c>
      <c r="AK1153" s="53">
        <f t="shared" si="1027"/>
        <v>0</v>
      </c>
      <c r="AL1153" s="54">
        <f t="shared" si="1028"/>
        <v>0.11904761904761904</v>
      </c>
      <c r="AM1153" s="54">
        <f t="shared" si="1029"/>
        <v>2.3809523809523808E-2</v>
      </c>
      <c r="AN1153" s="55">
        <f t="shared" si="1030"/>
        <v>0</v>
      </c>
      <c r="AO1153" s="55">
        <f t="shared" si="1031"/>
        <v>0</v>
      </c>
      <c r="AP1153" s="53">
        <v>7.1</v>
      </c>
      <c r="AQ1153" s="53">
        <f t="shared" si="999"/>
        <v>4.26</v>
      </c>
      <c r="AR1153" s="53">
        <f t="shared" si="1000"/>
        <v>21.299999999999997</v>
      </c>
      <c r="AS1153" s="56">
        <f t="shared" si="1001"/>
        <v>4.6948356807511742E-2</v>
      </c>
      <c r="AT1153" s="56">
        <f t="shared" si="1032"/>
        <v>0.23474178403755869</v>
      </c>
      <c r="AU1153" s="56">
        <f t="shared" si="1002"/>
        <v>0.176056338028169</v>
      </c>
      <c r="AV1153" s="56">
        <f t="shared" si="1033"/>
        <v>5.8685446009389672E-2</v>
      </c>
      <c r="AW1153" s="57"/>
      <c r="AX1153" s="57"/>
      <c r="AY1153" s="57"/>
      <c r="AZ1153" s="58">
        <f t="shared" si="1034"/>
        <v>0</v>
      </c>
      <c r="BA1153" s="59">
        <f t="shared" si="1035"/>
        <v>0</v>
      </c>
      <c r="BB1153" s="59">
        <f t="shared" si="1036"/>
        <v>0</v>
      </c>
      <c r="BC1153" s="59">
        <f t="shared" si="1037"/>
        <v>0</v>
      </c>
      <c r="BD1153" s="60">
        <f t="shared" si="1038"/>
        <v>7.1095438516664771E-6</v>
      </c>
      <c r="BE1153" s="59">
        <f t="shared" si="1039"/>
        <v>7.1095438516664771E-6</v>
      </c>
      <c r="BQ1153" s="61">
        <v>3000</v>
      </c>
      <c r="BR1153" s="61">
        <v>1200</v>
      </c>
      <c r="BS1153" s="28">
        <f t="shared" si="1003"/>
        <v>2980</v>
      </c>
      <c r="BT1153" s="28">
        <f t="shared" si="1004"/>
        <v>1180</v>
      </c>
      <c r="BU1153" s="28" t="s">
        <v>2541</v>
      </c>
      <c r="BV1153" s="28">
        <f t="shared" si="1005"/>
        <v>5</v>
      </c>
      <c r="BW1153" s="28">
        <f t="shared" si="1006"/>
        <v>5</v>
      </c>
      <c r="BX1153" s="13">
        <f t="shared" si="1007"/>
        <v>596</v>
      </c>
      <c r="BY1153" s="13">
        <f t="shared" si="1008"/>
        <v>596</v>
      </c>
      <c r="BZ1153" s="13">
        <f t="shared" si="1009"/>
        <v>236</v>
      </c>
      <c r="CA1153" s="13">
        <f t="shared" si="1010"/>
        <v>236</v>
      </c>
      <c r="CB1153" s="13">
        <f t="shared" si="1011"/>
        <v>140656</v>
      </c>
      <c r="CC1153" s="62">
        <f t="shared" si="1012"/>
        <v>7.1095438516664771E-6</v>
      </c>
      <c r="CD1153" s="13">
        <f t="shared" si="1013"/>
        <v>596</v>
      </c>
      <c r="CE1153" s="13">
        <f t="shared" si="1014"/>
        <v>596</v>
      </c>
      <c r="CF1153" s="13">
        <f t="shared" si="1015"/>
        <v>236</v>
      </c>
      <c r="CG1153" s="13">
        <f t="shared" si="1016"/>
        <v>236</v>
      </c>
      <c r="CH1153" s="28">
        <f t="shared" si="1017"/>
        <v>140656</v>
      </c>
      <c r="CI1153" s="62">
        <f t="shared" si="1018"/>
        <v>7.1095438516664771E-6</v>
      </c>
      <c r="CJ1153" s="59">
        <f t="shared" si="1019"/>
        <v>7.1095438516664771E-6</v>
      </c>
      <c r="CL1153" s="63">
        <v>6000</v>
      </c>
      <c r="CM1153" s="63">
        <f t="shared" si="1020"/>
        <v>0</v>
      </c>
      <c r="CN1153" s="63">
        <f t="shared" si="1021"/>
        <v>5</v>
      </c>
      <c r="CO1153" s="63">
        <f t="shared" si="1022"/>
        <v>1200</v>
      </c>
      <c r="CP1153" s="13">
        <f t="shared" si="1023"/>
        <v>1200</v>
      </c>
      <c r="CQ1153" s="70">
        <f t="shared" si="1024"/>
        <v>8.3333333333333339E-4</v>
      </c>
      <c r="CR1153" s="69">
        <f t="shared" si="1043"/>
        <v>8.3333333333333339E-4</v>
      </c>
    </row>
    <row r="1154" spans="1:96" hidden="1" x14ac:dyDescent="0.25">
      <c r="A1154" s="36">
        <v>2</v>
      </c>
      <c r="B1154" s="37" t="s">
        <v>2380</v>
      </c>
      <c r="C1154" s="36" t="s">
        <v>2381</v>
      </c>
      <c r="D1154" s="36" t="s">
        <v>2270</v>
      </c>
      <c r="E1154" s="36" t="s">
        <v>32</v>
      </c>
      <c r="F1154" s="38">
        <f t="shared" si="993"/>
        <v>1</v>
      </c>
      <c r="G1154" s="36">
        <v>1</v>
      </c>
      <c r="H1154" s="36">
        <f>G1154*$H$1124</f>
        <v>1</v>
      </c>
      <c r="I1154" s="36" t="s">
        <v>2299</v>
      </c>
      <c r="J1154" s="37" t="s">
        <v>2319</v>
      </c>
      <c r="K1154" s="37"/>
      <c r="L1154" s="36">
        <v>0</v>
      </c>
      <c r="M1154" s="37" t="s">
        <v>35</v>
      </c>
      <c r="N1154" s="36" t="s">
        <v>2382</v>
      </c>
      <c r="O1154" s="28"/>
      <c r="P1154" s="28"/>
      <c r="Q1154" s="28"/>
      <c r="R1154" s="30"/>
      <c r="S1154" s="30"/>
      <c r="T1154" s="30"/>
      <c r="U1154" s="30"/>
      <c r="V1154" s="8">
        <f t="shared" si="994"/>
        <v>0</v>
      </c>
      <c r="W1154" s="8">
        <f t="shared" si="995"/>
        <v>0</v>
      </c>
      <c r="X1154" s="8">
        <f t="shared" si="996"/>
        <v>0</v>
      </c>
      <c r="Y1154" s="33">
        <f t="shared" si="997"/>
        <v>0</v>
      </c>
      <c r="Z1154" s="28"/>
      <c r="AA1154" s="28"/>
      <c r="AB1154" s="28">
        <v>0</v>
      </c>
      <c r="AC1154" s="31"/>
      <c r="AD1154" s="50">
        <f t="shared" si="998"/>
        <v>1</v>
      </c>
      <c r="AE1154" s="5" t="s">
        <v>2188</v>
      </c>
      <c r="AF1154" s="51">
        <v>14</v>
      </c>
      <c r="AG1154" s="51">
        <f t="shared" si="1026"/>
        <v>8.4</v>
      </c>
      <c r="AH1154" s="51">
        <f t="shared" ref="AH1154:AH1202" si="1047">AG1154/0.2</f>
        <v>42</v>
      </c>
      <c r="AI1154" s="52" t="s">
        <v>2497</v>
      </c>
      <c r="AJ1154" s="52" t="s">
        <v>2498</v>
      </c>
      <c r="AK1154" s="53">
        <f t="shared" si="1027"/>
        <v>0</v>
      </c>
      <c r="AL1154" s="54">
        <f t="shared" si="1028"/>
        <v>0.11904761904761904</v>
      </c>
      <c r="AM1154" s="54">
        <f t="shared" si="1029"/>
        <v>2.3809523809523808E-2</v>
      </c>
      <c r="AN1154" s="55">
        <f t="shared" si="1030"/>
        <v>0</v>
      </c>
      <c r="AO1154" s="55">
        <f t="shared" si="1031"/>
        <v>0</v>
      </c>
      <c r="AP1154" s="53">
        <v>7.1</v>
      </c>
      <c r="AQ1154" s="53">
        <f t="shared" si="999"/>
        <v>4.26</v>
      </c>
      <c r="AR1154" s="53">
        <f t="shared" si="1000"/>
        <v>21.299999999999997</v>
      </c>
      <c r="AS1154" s="56">
        <f t="shared" si="1001"/>
        <v>4.6948356807511742E-2</v>
      </c>
      <c r="AT1154" s="56">
        <f t="shared" si="1032"/>
        <v>0.23474178403755869</v>
      </c>
      <c r="AU1154" s="56">
        <f t="shared" si="1002"/>
        <v>0.176056338028169</v>
      </c>
      <c r="AV1154" s="56">
        <f t="shared" si="1033"/>
        <v>5.8685446009389672E-2</v>
      </c>
      <c r="AW1154" s="57"/>
      <c r="AX1154" s="57"/>
      <c r="AY1154" s="57"/>
      <c r="AZ1154" s="58">
        <f t="shared" si="1034"/>
        <v>0</v>
      </c>
      <c r="BA1154" s="59">
        <f t="shared" si="1035"/>
        <v>0</v>
      </c>
      <c r="BB1154" s="59">
        <f t="shared" si="1036"/>
        <v>0</v>
      </c>
      <c r="BC1154" s="59">
        <f t="shared" si="1037"/>
        <v>0</v>
      </c>
      <c r="BD1154" s="60">
        <f t="shared" si="1038"/>
        <v>0</v>
      </c>
      <c r="BE1154" s="59">
        <f t="shared" si="1039"/>
        <v>0</v>
      </c>
      <c r="BQ1154" s="61">
        <v>3000</v>
      </c>
      <c r="BR1154" s="61">
        <v>1200</v>
      </c>
      <c r="BS1154" s="28">
        <f t="shared" si="1003"/>
        <v>2980</v>
      </c>
      <c r="BT1154" s="28">
        <f t="shared" si="1004"/>
        <v>1180</v>
      </c>
      <c r="BU1154" s="28" t="s">
        <v>2541</v>
      </c>
      <c r="BV1154" s="28">
        <f t="shared" si="1005"/>
        <v>5</v>
      </c>
      <c r="BW1154" s="28">
        <f t="shared" si="1006"/>
        <v>5</v>
      </c>
      <c r="BX1154" s="13">
        <f t="shared" si="1007"/>
        <v>596</v>
      </c>
      <c r="BY1154" s="13">
        <f t="shared" si="1008"/>
        <v>596</v>
      </c>
      <c r="BZ1154" s="13">
        <f t="shared" si="1009"/>
        <v>236</v>
      </c>
      <c r="CA1154" s="13">
        <f t="shared" si="1010"/>
        <v>236</v>
      </c>
      <c r="CB1154" s="13">
        <f t="shared" si="1011"/>
        <v>140656</v>
      </c>
      <c r="CC1154" s="62" t="str">
        <f t="shared" si="1012"/>
        <v/>
      </c>
      <c r="CD1154" s="13">
        <f t="shared" si="1013"/>
        <v>596</v>
      </c>
      <c r="CE1154" s="13">
        <f t="shared" si="1014"/>
        <v>596</v>
      </c>
      <c r="CF1154" s="13">
        <f t="shared" si="1015"/>
        <v>236</v>
      </c>
      <c r="CG1154" s="13">
        <f t="shared" si="1016"/>
        <v>236</v>
      </c>
      <c r="CH1154" s="28">
        <f t="shared" si="1017"/>
        <v>140656</v>
      </c>
      <c r="CI1154" s="62" t="str">
        <f t="shared" si="1018"/>
        <v/>
      </c>
      <c r="CJ1154" s="59">
        <f t="shared" si="1019"/>
        <v>0</v>
      </c>
      <c r="CL1154" s="63">
        <v>6000</v>
      </c>
      <c r="CM1154" s="63">
        <f t="shared" si="1020"/>
        <v>0</v>
      </c>
      <c r="CN1154" s="63">
        <f t="shared" si="1021"/>
        <v>5</v>
      </c>
      <c r="CO1154" s="63">
        <f t="shared" si="1022"/>
        <v>1200</v>
      </c>
      <c r="CP1154" s="13">
        <f t="shared" si="1023"/>
        <v>1200</v>
      </c>
      <c r="CQ1154" s="70">
        <f t="shared" si="1024"/>
        <v>8.3333333333333339E-4</v>
      </c>
      <c r="CR1154" s="69">
        <f t="shared" si="1043"/>
        <v>8.3333333333333339E-4</v>
      </c>
    </row>
    <row r="1155" spans="1:96" hidden="1" x14ac:dyDescent="0.25">
      <c r="A1155" s="10">
        <v>3</v>
      </c>
      <c r="B1155" s="8" t="s">
        <v>2383</v>
      </c>
      <c r="C1155" s="10" t="s">
        <v>2384</v>
      </c>
      <c r="D1155" s="10" t="s">
        <v>2270</v>
      </c>
      <c r="E1155" s="10" t="s">
        <v>32</v>
      </c>
      <c r="F1155" s="12">
        <f t="shared" ref="F1155:F1202" si="1048">COUNTIF($C$2:$C$1202,C1155)</f>
        <v>1</v>
      </c>
      <c r="G1155" s="10">
        <v>1</v>
      </c>
      <c r="H1155" s="10">
        <f>G1155*$H$1154</f>
        <v>1</v>
      </c>
      <c r="I1155" s="10" t="s">
        <v>2290</v>
      </c>
      <c r="J1155" s="8" t="s">
        <v>2319</v>
      </c>
      <c r="K1155" s="8"/>
      <c r="L1155" s="10">
        <v>0</v>
      </c>
      <c r="M1155" s="8" t="s">
        <v>35</v>
      </c>
      <c r="N1155" s="10" t="s">
        <v>2385</v>
      </c>
      <c r="O1155" s="28"/>
      <c r="P1155" s="28"/>
      <c r="Q1155" s="28"/>
      <c r="R1155" s="30"/>
      <c r="S1155" s="30"/>
      <c r="T1155" s="30"/>
      <c r="U1155" s="30"/>
      <c r="V1155" s="8">
        <f t="shared" ref="V1155:V1202" si="1049">R1155*25.4</f>
        <v>0</v>
      </c>
      <c r="W1155" s="8">
        <f t="shared" ref="W1155:W1202" si="1050">S1155*25.4</f>
        <v>0</v>
      </c>
      <c r="X1155" s="8">
        <f t="shared" ref="X1155:X1202" si="1051">T1155*25.4</f>
        <v>0</v>
      </c>
      <c r="Y1155" s="33">
        <f t="shared" ref="Y1155:Y1202" si="1052">U1155*25.4</f>
        <v>0</v>
      </c>
      <c r="Z1155" s="28"/>
      <c r="AA1155" s="28"/>
      <c r="AB1155" s="28">
        <v>0</v>
      </c>
      <c r="AC1155" s="31"/>
      <c r="AD1155" s="50">
        <f t="shared" ref="AD1155:AD1202" si="1053">H1155</f>
        <v>1</v>
      </c>
      <c r="AE1155" s="5" t="s">
        <v>2188</v>
      </c>
      <c r="AF1155" s="51">
        <v>14</v>
      </c>
      <c r="AG1155" s="51">
        <f t="shared" si="1026"/>
        <v>8.4</v>
      </c>
      <c r="AH1155" s="51">
        <f t="shared" si="1047"/>
        <v>42</v>
      </c>
      <c r="AI1155" s="52" t="s">
        <v>2497</v>
      </c>
      <c r="AJ1155" s="52" t="s">
        <v>2498</v>
      </c>
      <c r="AK1155" s="53">
        <f t="shared" si="1027"/>
        <v>0</v>
      </c>
      <c r="AL1155" s="54">
        <f t="shared" si="1028"/>
        <v>0.11904761904761904</v>
      </c>
      <c r="AM1155" s="54">
        <f t="shared" si="1029"/>
        <v>2.3809523809523808E-2</v>
      </c>
      <c r="AN1155" s="55">
        <f t="shared" si="1030"/>
        <v>0</v>
      </c>
      <c r="AO1155" s="55">
        <f t="shared" si="1031"/>
        <v>0</v>
      </c>
      <c r="AP1155" s="53">
        <v>7.1</v>
      </c>
      <c r="AQ1155" s="53">
        <f t="shared" ref="AQ1155:AQ1202" si="1054">AP1155*0.6</f>
        <v>4.26</v>
      </c>
      <c r="AR1155" s="53">
        <f t="shared" ref="AR1155:AR1202" si="1055">AQ1155*5</f>
        <v>21.299999999999997</v>
      </c>
      <c r="AS1155" s="56">
        <f t="shared" ref="AS1155:AS1202" si="1056">1/AR1155</f>
        <v>4.6948356807511742E-2</v>
      </c>
      <c r="AT1155" s="56">
        <f t="shared" si="1032"/>
        <v>0.23474178403755869</v>
      </c>
      <c r="AU1155" s="56">
        <f t="shared" ref="AU1155:AU1202" si="1057">AT1155*0.75</f>
        <v>0.176056338028169</v>
      </c>
      <c r="AV1155" s="56">
        <f t="shared" si="1033"/>
        <v>5.8685446009389672E-2</v>
      </c>
      <c r="AW1155" s="57"/>
      <c r="AX1155" s="57"/>
      <c r="AY1155" s="57"/>
      <c r="AZ1155" s="58">
        <f t="shared" si="1034"/>
        <v>0</v>
      </c>
      <c r="BA1155" s="59">
        <f t="shared" si="1035"/>
        <v>0</v>
      </c>
      <c r="BB1155" s="59">
        <f t="shared" si="1036"/>
        <v>0</v>
      </c>
      <c r="BC1155" s="59">
        <f t="shared" si="1037"/>
        <v>0</v>
      </c>
      <c r="BD1155" s="60">
        <f t="shared" si="1038"/>
        <v>0</v>
      </c>
      <c r="BE1155" s="59">
        <f t="shared" si="1039"/>
        <v>0</v>
      </c>
      <c r="BQ1155" s="61">
        <v>3000</v>
      </c>
      <c r="BR1155" s="61">
        <v>1200</v>
      </c>
      <c r="BS1155" s="28">
        <f t="shared" ref="BS1155:BS1202" si="1058">BQ1155-20</f>
        <v>2980</v>
      </c>
      <c r="BT1155" s="28">
        <f t="shared" ref="BT1155:BT1202" si="1059">BR1155-20</f>
        <v>1180</v>
      </c>
      <c r="BU1155" s="28" t="s">
        <v>2541</v>
      </c>
      <c r="BV1155" s="28">
        <f t="shared" ref="BV1155:BV1202" si="1060">V1155+5</f>
        <v>5</v>
      </c>
      <c r="BW1155" s="28">
        <f t="shared" ref="BW1155:BW1202" si="1061">W1155+5</f>
        <v>5</v>
      </c>
      <c r="BX1155" s="13">
        <f t="shared" ref="BX1155:BX1202" si="1062">BS1155/BV1155</f>
        <v>596</v>
      </c>
      <c r="BY1155" s="13">
        <f t="shared" ref="BY1155:BY1202" si="1063">ROUNDDOWN(BX1155,0)</f>
        <v>596</v>
      </c>
      <c r="BZ1155" s="13">
        <f t="shared" ref="BZ1155:BZ1202" si="1064">BT1155/BW1155</f>
        <v>236</v>
      </c>
      <c r="CA1155" s="13">
        <f t="shared" ref="CA1155:CA1202" si="1065">ROUNDDOWN(BZ1155,0)</f>
        <v>236</v>
      </c>
      <c r="CB1155" s="13">
        <f t="shared" ref="CB1155:CB1202" si="1066">BY1155*CA1155</f>
        <v>140656</v>
      </c>
      <c r="CC1155" s="62" t="str">
        <f t="shared" ref="CC1155:CC1202" si="1067">IF(E1155="CJ","",IFERROR((1/CB1155),1))</f>
        <v/>
      </c>
      <c r="CD1155" s="13">
        <f t="shared" ref="CD1155:CD1202" si="1068">BS1155/BW1155</f>
        <v>596</v>
      </c>
      <c r="CE1155" s="13">
        <f t="shared" ref="CE1155:CE1202" si="1069">ROUNDDOWN(CD1155,0)</f>
        <v>596</v>
      </c>
      <c r="CF1155" s="13">
        <f t="shared" ref="CF1155:CF1202" si="1070">BT1155/BV1155</f>
        <v>236</v>
      </c>
      <c r="CG1155" s="13">
        <f t="shared" ref="CG1155:CG1202" si="1071">ROUNDDOWN(CF1155,0)</f>
        <v>236</v>
      </c>
      <c r="CH1155" s="28">
        <f t="shared" ref="CH1155:CH1202" si="1072">CE1155*CG1155</f>
        <v>140656</v>
      </c>
      <c r="CI1155" s="62" t="str">
        <f t="shared" ref="CI1155:CI1202" si="1073">IF(E1155="CJ","",IFERROR((1/CH1155),1))</f>
        <v/>
      </c>
      <c r="CJ1155" s="59">
        <f t="shared" ref="CJ1155:CJ1202" si="1074">MIN(CC1155,CI1155)</f>
        <v>0</v>
      </c>
      <c r="CL1155" s="63">
        <v>6000</v>
      </c>
      <c r="CM1155" s="63">
        <f t="shared" ref="CM1155:CM1202" si="1075">V1155</f>
        <v>0</v>
      </c>
      <c r="CN1155" s="63">
        <f t="shared" ref="CN1155:CN1202" si="1076">CM1155+5</f>
        <v>5</v>
      </c>
      <c r="CO1155" s="63">
        <f t="shared" ref="CO1155:CO1202" si="1077">CL1155/CN1155</f>
        <v>1200</v>
      </c>
      <c r="CP1155" s="13">
        <f t="shared" ref="CP1155:CP1202" si="1078">ROUNDDOWN(CO1155,0)</f>
        <v>1200</v>
      </c>
      <c r="CQ1155" s="70">
        <f t="shared" ref="CQ1155:CQ1202" si="1079">1/CP1155</f>
        <v>8.3333333333333339E-4</v>
      </c>
      <c r="CR1155" s="69">
        <f t="shared" si="1043"/>
        <v>8.3333333333333339E-4</v>
      </c>
    </row>
    <row r="1156" spans="1:96" hidden="1" x14ac:dyDescent="0.25">
      <c r="A1156" s="13">
        <v>4</v>
      </c>
      <c r="B1156" s="14" t="s">
        <v>2386</v>
      </c>
      <c r="C1156" s="13" t="s">
        <v>2387</v>
      </c>
      <c r="D1156" s="13" t="s">
        <v>2270</v>
      </c>
      <c r="E1156" s="13" t="s">
        <v>52</v>
      </c>
      <c r="F1156" s="15">
        <f t="shared" si="1048"/>
        <v>1</v>
      </c>
      <c r="G1156" s="13">
        <v>1</v>
      </c>
      <c r="H1156" s="13">
        <f>G1156*$H$1155</f>
        <v>1</v>
      </c>
      <c r="I1156" s="13" t="s">
        <v>2263</v>
      </c>
      <c r="J1156" s="14" t="s">
        <v>2319</v>
      </c>
      <c r="K1156" s="14"/>
      <c r="L1156" s="13">
        <v>0</v>
      </c>
      <c r="M1156" s="14" t="s">
        <v>35</v>
      </c>
      <c r="N1156" s="13" t="s">
        <v>2388</v>
      </c>
      <c r="O1156" s="28"/>
      <c r="P1156" s="28"/>
      <c r="Q1156" s="28" t="s">
        <v>124</v>
      </c>
      <c r="R1156" s="30">
        <v>49.89</v>
      </c>
      <c r="S1156" s="30">
        <v>39.625</v>
      </c>
      <c r="T1156" s="30"/>
      <c r="U1156" s="30">
        <v>9.8425196850393706E-2</v>
      </c>
      <c r="V1156" s="8">
        <f t="shared" si="1049"/>
        <v>1267.2059999999999</v>
      </c>
      <c r="W1156" s="8">
        <f t="shared" si="1050"/>
        <v>1006.4749999999999</v>
      </c>
      <c r="X1156" s="8">
        <f t="shared" si="1051"/>
        <v>0</v>
      </c>
      <c r="Y1156" s="33">
        <f t="shared" si="1052"/>
        <v>2.5</v>
      </c>
      <c r="Z1156" s="28" t="s">
        <v>56</v>
      </c>
      <c r="AA1156" s="28" t="s">
        <v>57</v>
      </c>
      <c r="AB1156" s="61" t="s">
        <v>124</v>
      </c>
      <c r="AC1156" s="31" t="s">
        <v>125</v>
      </c>
      <c r="AD1156" s="50">
        <f t="shared" si="1053"/>
        <v>1</v>
      </c>
      <c r="AE1156" s="5" t="s">
        <v>2188</v>
      </c>
      <c r="AF1156" s="51">
        <v>14</v>
      </c>
      <c r="AG1156" s="51">
        <f t="shared" si="1026"/>
        <v>8.4</v>
      </c>
      <c r="AH1156" s="51">
        <f t="shared" si="1047"/>
        <v>42</v>
      </c>
      <c r="AI1156" s="52" t="s">
        <v>2497</v>
      </c>
      <c r="AJ1156" s="52" t="s">
        <v>2498</v>
      </c>
      <c r="AK1156" s="53">
        <f t="shared" si="1027"/>
        <v>2.5508223176999993</v>
      </c>
      <c r="AL1156" s="54">
        <f t="shared" si="1028"/>
        <v>0.11904761904761904</v>
      </c>
      <c r="AM1156" s="54">
        <f t="shared" si="1029"/>
        <v>2.3809523809523808E-2</v>
      </c>
      <c r="AN1156" s="55">
        <f t="shared" si="1030"/>
        <v>0.30366932353571419</v>
      </c>
      <c r="AO1156" s="55">
        <f t="shared" si="1031"/>
        <v>6.0733864707142836E-2</v>
      </c>
      <c r="AP1156" s="53">
        <v>7.1</v>
      </c>
      <c r="AQ1156" s="53">
        <f t="shared" si="1054"/>
        <v>4.26</v>
      </c>
      <c r="AR1156" s="53">
        <f t="shared" si="1055"/>
        <v>21.299999999999997</v>
      </c>
      <c r="AS1156" s="56">
        <f t="shared" si="1056"/>
        <v>4.6948356807511742E-2</v>
      </c>
      <c r="AT1156" s="56">
        <f t="shared" si="1032"/>
        <v>0.23474178403755869</v>
      </c>
      <c r="AU1156" s="56">
        <f t="shared" si="1057"/>
        <v>0.176056338028169</v>
      </c>
      <c r="AV1156" s="56">
        <f t="shared" si="1033"/>
        <v>5.8685446009389672E-2</v>
      </c>
      <c r="AW1156" s="57"/>
      <c r="AX1156" s="57"/>
      <c r="AY1156" s="57"/>
      <c r="AZ1156" s="58">
        <f t="shared" si="1034"/>
        <v>2.5508223176999993</v>
      </c>
      <c r="BA1156" s="59">
        <f t="shared" si="1035"/>
        <v>0</v>
      </c>
      <c r="BB1156" s="59">
        <f t="shared" si="1036"/>
        <v>0</v>
      </c>
      <c r="BC1156" s="59">
        <f t="shared" si="1037"/>
        <v>0</v>
      </c>
      <c r="BD1156" s="60">
        <f t="shared" si="1038"/>
        <v>0.5</v>
      </c>
      <c r="BE1156" s="59">
        <f t="shared" si="1039"/>
        <v>0.5</v>
      </c>
      <c r="BQ1156" s="61">
        <v>3000</v>
      </c>
      <c r="BR1156" s="61">
        <v>1200</v>
      </c>
      <c r="BS1156" s="28">
        <f t="shared" si="1058"/>
        <v>2980</v>
      </c>
      <c r="BT1156" s="28">
        <f t="shared" si="1059"/>
        <v>1180</v>
      </c>
      <c r="BU1156" s="28" t="s">
        <v>2541</v>
      </c>
      <c r="BV1156" s="28">
        <f t="shared" si="1060"/>
        <v>1272.2059999999999</v>
      </c>
      <c r="BW1156" s="28">
        <f t="shared" si="1061"/>
        <v>1011.4749999999999</v>
      </c>
      <c r="BX1156" s="13">
        <f t="shared" si="1062"/>
        <v>2.3423879466061317</v>
      </c>
      <c r="BY1156" s="13">
        <f t="shared" si="1063"/>
        <v>2</v>
      </c>
      <c r="BZ1156" s="13">
        <f t="shared" si="1064"/>
        <v>1.1666131145109866</v>
      </c>
      <c r="CA1156" s="13">
        <f t="shared" si="1065"/>
        <v>1</v>
      </c>
      <c r="CB1156" s="13">
        <f t="shared" si="1066"/>
        <v>2</v>
      </c>
      <c r="CC1156" s="62">
        <f t="shared" si="1067"/>
        <v>0.5</v>
      </c>
      <c r="CD1156" s="13">
        <f t="shared" si="1068"/>
        <v>2.9461924417311356</v>
      </c>
      <c r="CE1156" s="13">
        <f t="shared" si="1069"/>
        <v>2</v>
      </c>
      <c r="CF1156" s="13">
        <f t="shared" si="1070"/>
        <v>0.92752274395813261</v>
      </c>
      <c r="CG1156" s="13">
        <f t="shared" si="1071"/>
        <v>0</v>
      </c>
      <c r="CH1156" s="28">
        <f t="shared" si="1072"/>
        <v>0</v>
      </c>
      <c r="CI1156" s="62">
        <f t="shared" si="1073"/>
        <v>1</v>
      </c>
      <c r="CJ1156" s="59">
        <f t="shared" si="1074"/>
        <v>0.5</v>
      </c>
      <c r="CL1156" s="63">
        <v>6000</v>
      </c>
      <c r="CM1156" s="63">
        <f t="shared" si="1075"/>
        <v>1267.2059999999999</v>
      </c>
      <c r="CN1156" s="63">
        <f t="shared" si="1076"/>
        <v>1272.2059999999999</v>
      </c>
      <c r="CO1156" s="63">
        <f t="shared" si="1077"/>
        <v>4.7162173421599967</v>
      </c>
      <c r="CP1156" s="13">
        <f t="shared" si="1078"/>
        <v>4</v>
      </c>
      <c r="CQ1156" s="70">
        <f t="shared" si="1079"/>
        <v>0.25</v>
      </c>
      <c r="CR1156" s="69">
        <f t="shared" si="1043"/>
        <v>0.25</v>
      </c>
    </row>
    <row r="1157" spans="1:96" hidden="1" x14ac:dyDescent="0.25">
      <c r="A1157" s="13">
        <v>4</v>
      </c>
      <c r="B1157" s="14" t="s">
        <v>2327</v>
      </c>
      <c r="C1157" s="13" t="s">
        <v>2328</v>
      </c>
      <c r="D1157" s="13" t="s">
        <v>2330</v>
      </c>
      <c r="E1157" s="13" t="s">
        <v>52</v>
      </c>
      <c r="F1157" s="15">
        <f t="shared" si="1048"/>
        <v>2</v>
      </c>
      <c r="G1157" s="13">
        <v>2</v>
      </c>
      <c r="H1157" s="13">
        <f t="shared" ref="H1157:H1159" si="1080">G1157*$H$1155</f>
        <v>2</v>
      </c>
      <c r="I1157" s="13" t="s">
        <v>2299</v>
      </c>
      <c r="J1157" s="14" t="s">
        <v>2329</v>
      </c>
      <c r="K1157" s="14"/>
      <c r="L1157" s="13">
        <v>0</v>
      </c>
      <c r="M1157" s="14" t="s">
        <v>35</v>
      </c>
      <c r="N1157" s="13" t="s">
        <v>2330</v>
      </c>
      <c r="O1157" s="28"/>
      <c r="P1157" s="28"/>
      <c r="Q1157" s="28" t="s">
        <v>2330</v>
      </c>
      <c r="R1157" s="30"/>
      <c r="S1157" s="30"/>
      <c r="T1157" s="30"/>
      <c r="U1157" s="30"/>
      <c r="V1157" s="8">
        <f t="shared" si="1049"/>
        <v>0</v>
      </c>
      <c r="W1157" s="8">
        <f t="shared" si="1050"/>
        <v>0</v>
      </c>
      <c r="X1157" s="8">
        <f t="shared" si="1051"/>
        <v>0</v>
      </c>
      <c r="Y1157" s="33">
        <f t="shared" si="1052"/>
        <v>0</v>
      </c>
      <c r="Z1157" s="28"/>
      <c r="AA1157" s="28"/>
      <c r="AB1157" s="61" t="s">
        <v>2330</v>
      </c>
      <c r="AC1157" s="31" t="s">
        <v>2331</v>
      </c>
      <c r="AD1157" s="50">
        <f t="shared" si="1053"/>
        <v>2</v>
      </c>
      <c r="AE1157" s="5" t="s">
        <v>2188</v>
      </c>
      <c r="AF1157" s="51">
        <v>14</v>
      </c>
      <c r="AG1157" s="51">
        <f t="shared" si="1026"/>
        <v>8.4</v>
      </c>
      <c r="AH1157" s="51">
        <f t="shared" si="1047"/>
        <v>42</v>
      </c>
      <c r="AI1157" s="52" t="s">
        <v>2497</v>
      </c>
      <c r="AJ1157" s="52" t="s">
        <v>2498</v>
      </c>
      <c r="AK1157" s="53">
        <f t="shared" si="1027"/>
        <v>0</v>
      </c>
      <c r="AL1157" s="54">
        <f t="shared" si="1028"/>
        <v>0.11904761904761904</v>
      </c>
      <c r="AM1157" s="54">
        <f t="shared" si="1029"/>
        <v>2.3809523809523808E-2</v>
      </c>
      <c r="AN1157" s="55">
        <f t="shared" si="1030"/>
        <v>0</v>
      </c>
      <c r="AO1157" s="55">
        <f t="shared" si="1031"/>
        <v>0</v>
      </c>
      <c r="AP1157" s="53">
        <v>7.1</v>
      </c>
      <c r="AQ1157" s="53">
        <f t="shared" si="1054"/>
        <v>4.26</v>
      </c>
      <c r="AR1157" s="53">
        <f t="shared" si="1055"/>
        <v>21.299999999999997</v>
      </c>
      <c r="AS1157" s="56">
        <f t="shared" si="1056"/>
        <v>4.6948356807511742E-2</v>
      </c>
      <c r="AT1157" s="56">
        <f t="shared" si="1032"/>
        <v>0.23474178403755869</v>
      </c>
      <c r="AU1157" s="56">
        <f t="shared" si="1057"/>
        <v>0.176056338028169</v>
      </c>
      <c r="AV1157" s="56">
        <f t="shared" si="1033"/>
        <v>5.8685446009389672E-2</v>
      </c>
      <c r="AW1157" s="57"/>
      <c r="AX1157" s="57"/>
      <c r="AY1157" s="57"/>
      <c r="AZ1157" s="58">
        <f t="shared" si="1034"/>
        <v>0</v>
      </c>
      <c r="BA1157" s="59">
        <f t="shared" si="1035"/>
        <v>0</v>
      </c>
      <c r="BB1157" s="59">
        <f t="shared" si="1036"/>
        <v>0</v>
      </c>
      <c r="BC1157" s="59">
        <f t="shared" si="1037"/>
        <v>0</v>
      </c>
      <c r="BD1157" s="60">
        <f t="shared" si="1038"/>
        <v>7.1095438516664771E-6</v>
      </c>
      <c r="BE1157" s="59">
        <f t="shared" si="1039"/>
        <v>1.4219087703332954E-5</v>
      </c>
      <c r="BQ1157" s="61">
        <v>3000</v>
      </c>
      <c r="BR1157" s="61">
        <v>1200</v>
      </c>
      <c r="BS1157" s="28">
        <f t="shared" si="1058"/>
        <v>2980</v>
      </c>
      <c r="BT1157" s="28">
        <f t="shared" si="1059"/>
        <v>1180</v>
      </c>
      <c r="BU1157" s="28" t="s">
        <v>2541</v>
      </c>
      <c r="BV1157" s="28">
        <f t="shared" si="1060"/>
        <v>5</v>
      </c>
      <c r="BW1157" s="28">
        <f t="shared" si="1061"/>
        <v>5</v>
      </c>
      <c r="BX1157" s="13">
        <f t="shared" si="1062"/>
        <v>596</v>
      </c>
      <c r="BY1157" s="13">
        <f t="shared" si="1063"/>
        <v>596</v>
      </c>
      <c r="BZ1157" s="13">
        <f t="shared" si="1064"/>
        <v>236</v>
      </c>
      <c r="CA1157" s="13">
        <f t="shared" si="1065"/>
        <v>236</v>
      </c>
      <c r="CB1157" s="13">
        <f t="shared" si="1066"/>
        <v>140656</v>
      </c>
      <c r="CC1157" s="62">
        <f t="shared" si="1067"/>
        <v>7.1095438516664771E-6</v>
      </c>
      <c r="CD1157" s="13">
        <f t="shared" si="1068"/>
        <v>596</v>
      </c>
      <c r="CE1157" s="13">
        <f t="shared" si="1069"/>
        <v>596</v>
      </c>
      <c r="CF1157" s="13">
        <f t="shared" si="1070"/>
        <v>236</v>
      </c>
      <c r="CG1157" s="13">
        <f t="shared" si="1071"/>
        <v>236</v>
      </c>
      <c r="CH1157" s="28">
        <f t="shared" si="1072"/>
        <v>140656</v>
      </c>
      <c r="CI1157" s="62">
        <f t="shared" si="1073"/>
        <v>7.1095438516664771E-6</v>
      </c>
      <c r="CJ1157" s="59">
        <f t="shared" si="1074"/>
        <v>7.1095438516664771E-6</v>
      </c>
      <c r="CL1157" s="63">
        <v>6000</v>
      </c>
      <c r="CM1157" s="63">
        <f t="shared" si="1075"/>
        <v>0</v>
      </c>
      <c r="CN1157" s="63">
        <f t="shared" si="1076"/>
        <v>5</v>
      </c>
      <c r="CO1157" s="63">
        <f t="shared" si="1077"/>
        <v>1200</v>
      </c>
      <c r="CP1157" s="13">
        <f t="shared" si="1078"/>
        <v>1200</v>
      </c>
      <c r="CQ1157" s="70">
        <f t="shared" si="1079"/>
        <v>8.3333333333333339E-4</v>
      </c>
      <c r="CR1157" s="69">
        <f t="shared" si="1043"/>
        <v>1.6666666666666668E-3</v>
      </c>
    </row>
    <row r="1158" spans="1:96" hidden="1" x14ac:dyDescent="0.25">
      <c r="A1158" s="13">
        <v>4</v>
      </c>
      <c r="B1158" s="14" t="s">
        <v>2305</v>
      </c>
      <c r="C1158" s="13" t="s">
        <v>279</v>
      </c>
      <c r="D1158" s="13" t="s">
        <v>281</v>
      </c>
      <c r="E1158" s="13" t="s">
        <v>52</v>
      </c>
      <c r="F1158" s="15">
        <f t="shared" si="1048"/>
        <v>12</v>
      </c>
      <c r="G1158" s="13">
        <v>8</v>
      </c>
      <c r="H1158" s="13">
        <f t="shared" si="1080"/>
        <v>8</v>
      </c>
      <c r="I1158" s="13" t="s">
        <v>2308</v>
      </c>
      <c r="J1158" s="14" t="s">
        <v>2202</v>
      </c>
      <c r="K1158" s="14"/>
      <c r="L1158" s="13" t="s">
        <v>194</v>
      </c>
      <c r="M1158" s="14" t="s">
        <v>35</v>
      </c>
      <c r="N1158" s="13" t="s">
        <v>281</v>
      </c>
      <c r="O1158" s="28"/>
      <c r="P1158" s="28"/>
      <c r="Q1158" s="28" t="s">
        <v>281</v>
      </c>
      <c r="R1158" s="30"/>
      <c r="S1158" s="30"/>
      <c r="T1158" s="30"/>
      <c r="U1158" s="30"/>
      <c r="V1158" s="8">
        <f t="shared" si="1049"/>
        <v>0</v>
      </c>
      <c r="W1158" s="8">
        <f t="shared" si="1050"/>
        <v>0</v>
      </c>
      <c r="X1158" s="8">
        <f t="shared" si="1051"/>
        <v>0</v>
      </c>
      <c r="Y1158" s="33">
        <f t="shared" si="1052"/>
        <v>0</v>
      </c>
      <c r="Z1158" s="28"/>
      <c r="AA1158" s="28"/>
      <c r="AB1158" s="61" t="s">
        <v>281</v>
      </c>
      <c r="AC1158" s="31" t="s">
        <v>282</v>
      </c>
      <c r="AD1158" s="50">
        <f t="shared" si="1053"/>
        <v>8</v>
      </c>
      <c r="AE1158" s="5" t="s">
        <v>2188</v>
      </c>
      <c r="AF1158" s="51">
        <v>14</v>
      </c>
      <c r="AG1158" s="51">
        <f t="shared" ref="AG1158:AG1202" si="1081">AF1158*0.6</f>
        <v>8.4</v>
      </c>
      <c r="AH1158" s="51">
        <f t="shared" si="1047"/>
        <v>42</v>
      </c>
      <c r="AI1158" s="52" t="s">
        <v>2497</v>
      </c>
      <c r="AJ1158" s="52" t="s">
        <v>2498</v>
      </c>
      <c r="AK1158" s="53">
        <f t="shared" ref="AK1158:AK1202" si="1082">(V1158*W1158)*2/1000000</f>
        <v>0</v>
      </c>
      <c r="AL1158" s="54">
        <f t="shared" ref="AL1158:AL1202" si="1083">1/(AF1158*0.6)</f>
        <v>0.11904761904761904</v>
      </c>
      <c r="AM1158" s="54">
        <f t="shared" ref="AM1158:AM1202" si="1084">1/AG1158*(20/100)</f>
        <v>2.3809523809523808E-2</v>
      </c>
      <c r="AN1158" s="55">
        <f t="shared" ref="AN1158:AN1202" si="1085">IF(AI1158&lt;&gt;0,(AK1158*AL1158*AD1158),0)</f>
        <v>0</v>
      </c>
      <c r="AO1158" s="55">
        <f t="shared" ref="AO1158:AO1202" si="1086">IF(AJ1158&lt;&gt;0,(AK1158*AM1158*AD1158),0)</f>
        <v>0</v>
      </c>
      <c r="AP1158" s="53">
        <v>7.1</v>
      </c>
      <c r="AQ1158" s="53">
        <f t="shared" si="1054"/>
        <v>4.26</v>
      </c>
      <c r="AR1158" s="53">
        <f t="shared" si="1055"/>
        <v>21.299999999999997</v>
      </c>
      <c r="AS1158" s="56">
        <f t="shared" si="1056"/>
        <v>4.6948356807511742E-2</v>
      </c>
      <c r="AT1158" s="56">
        <f t="shared" ref="AT1158:AT1202" si="1087">1/AQ1158</f>
        <v>0.23474178403755869</v>
      </c>
      <c r="AU1158" s="56">
        <f t="shared" si="1057"/>
        <v>0.176056338028169</v>
      </c>
      <c r="AV1158" s="56">
        <f t="shared" ref="AV1158:AV1202" si="1088">AT1158*0.25</f>
        <v>5.8685446009389672E-2</v>
      </c>
      <c r="AW1158" s="57"/>
      <c r="AX1158" s="57"/>
      <c r="AY1158" s="57"/>
      <c r="AZ1158" s="58">
        <f t="shared" ref="AZ1158:AZ1202" si="1089">(V1158*W1158)*2/1000000</f>
        <v>0</v>
      </c>
      <c r="BA1158" s="59">
        <f t="shared" ref="BA1158:BA1202" si="1090">IF(AW1158&lt;&gt;0,(AV1158*AD1158*AK1158),0)</f>
        <v>0</v>
      </c>
      <c r="BB1158" s="59">
        <f t="shared" ref="BB1158:BB1202" si="1091">IF(AX1158&lt;&gt;0,(AD1158*AU1158*AZ1158),0)</f>
        <v>0</v>
      </c>
      <c r="BC1158" s="59">
        <f t="shared" ref="BC1158:BC1202" si="1092">IF(AY1158&lt;&gt;0,(AD1158*AS1158*AZ1158),0)</f>
        <v>0</v>
      </c>
      <c r="BD1158" s="60">
        <f t="shared" ref="BD1158:BD1202" si="1093">CJ1158</f>
        <v>7.1095438516664771E-6</v>
      </c>
      <c r="BE1158" s="59">
        <f t="shared" ref="BE1158:BE1202" si="1094">BD1158*AD1158</f>
        <v>5.6876350813331817E-5</v>
      </c>
      <c r="BQ1158" s="61">
        <v>3000</v>
      </c>
      <c r="BR1158" s="61">
        <v>1200</v>
      </c>
      <c r="BS1158" s="28">
        <f t="shared" si="1058"/>
        <v>2980</v>
      </c>
      <c r="BT1158" s="28">
        <f t="shared" si="1059"/>
        <v>1180</v>
      </c>
      <c r="BU1158" s="28" t="s">
        <v>2541</v>
      </c>
      <c r="BV1158" s="28">
        <f t="shared" si="1060"/>
        <v>5</v>
      </c>
      <c r="BW1158" s="28">
        <f t="shared" si="1061"/>
        <v>5</v>
      </c>
      <c r="BX1158" s="13">
        <f t="shared" si="1062"/>
        <v>596</v>
      </c>
      <c r="BY1158" s="13">
        <f t="shared" si="1063"/>
        <v>596</v>
      </c>
      <c r="BZ1158" s="13">
        <f t="shared" si="1064"/>
        <v>236</v>
      </c>
      <c r="CA1158" s="13">
        <f t="shared" si="1065"/>
        <v>236</v>
      </c>
      <c r="CB1158" s="13">
        <f t="shared" si="1066"/>
        <v>140656</v>
      </c>
      <c r="CC1158" s="62">
        <f t="shared" si="1067"/>
        <v>7.1095438516664771E-6</v>
      </c>
      <c r="CD1158" s="13">
        <f t="shared" si="1068"/>
        <v>596</v>
      </c>
      <c r="CE1158" s="13">
        <f t="shared" si="1069"/>
        <v>596</v>
      </c>
      <c r="CF1158" s="13">
        <f t="shared" si="1070"/>
        <v>236</v>
      </c>
      <c r="CG1158" s="13">
        <f t="shared" si="1071"/>
        <v>236</v>
      </c>
      <c r="CH1158" s="28">
        <f t="shared" si="1072"/>
        <v>140656</v>
      </c>
      <c r="CI1158" s="62">
        <f t="shared" si="1073"/>
        <v>7.1095438516664771E-6</v>
      </c>
      <c r="CJ1158" s="59">
        <f t="shared" si="1074"/>
        <v>7.1095438516664771E-6</v>
      </c>
      <c r="CL1158" s="63">
        <v>6000</v>
      </c>
      <c r="CM1158" s="63">
        <f t="shared" si="1075"/>
        <v>0</v>
      </c>
      <c r="CN1158" s="63">
        <f t="shared" si="1076"/>
        <v>5</v>
      </c>
      <c r="CO1158" s="63">
        <f t="shared" si="1077"/>
        <v>1200</v>
      </c>
      <c r="CP1158" s="13">
        <f t="shared" si="1078"/>
        <v>1200</v>
      </c>
      <c r="CQ1158" s="70">
        <f t="shared" si="1079"/>
        <v>8.3333333333333339E-4</v>
      </c>
      <c r="CR1158" s="69">
        <f t="shared" si="1043"/>
        <v>6.6666666666666671E-3</v>
      </c>
    </row>
    <row r="1159" spans="1:96" hidden="1" x14ac:dyDescent="0.25">
      <c r="A1159" s="13">
        <v>4</v>
      </c>
      <c r="B1159" s="14" t="s">
        <v>2332</v>
      </c>
      <c r="C1159" s="13" t="s">
        <v>448</v>
      </c>
      <c r="D1159" s="13" t="s">
        <v>450</v>
      </c>
      <c r="E1159" s="13" t="s">
        <v>52</v>
      </c>
      <c r="F1159" s="15">
        <f t="shared" si="1048"/>
        <v>23</v>
      </c>
      <c r="G1159" s="13">
        <v>2</v>
      </c>
      <c r="H1159" s="13">
        <f t="shared" si="1080"/>
        <v>2</v>
      </c>
      <c r="I1159" s="13" t="s">
        <v>2333</v>
      </c>
      <c r="J1159" s="14" t="s">
        <v>2389</v>
      </c>
      <c r="K1159" s="14"/>
      <c r="L1159" s="13" t="s">
        <v>2195</v>
      </c>
      <c r="M1159" s="14" t="s">
        <v>35</v>
      </c>
      <c r="N1159" s="13" t="s">
        <v>450</v>
      </c>
      <c r="O1159" s="28"/>
      <c r="P1159" s="28"/>
      <c r="Q1159" s="28" t="s">
        <v>450</v>
      </c>
      <c r="R1159" s="30"/>
      <c r="S1159" s="30"/>
      <c r="T1159" s="30"/>
      <c r="U1159" s="30"/>
      <c r="V1159" s="8">
        <f t="shared" si="1049"/>
        <v>0</v>
      </c>
      <c r="W1159" s="8">
        <f t="shared" si="1050"/>
        <v>0</v>
      </c>
      <c r="X1159" s="8">
        <f t="shared" si="1051"/>
        <v>0</v>
      </c>
      <c r="Y1159" s="33">
        <f t="shared" si="1052"/>
        <v>0</v>
      </c>
      <c r="Z1159" s="28"/>
      <c r="AA1159" s="28"/>
      <c r="AB1159" s="61" t="s">
        <v>450</v>
      </c>
      <c r="AC1159" s="31" t="s">
        <v>451</v>
      </c>
      <c r="AD1159" s="50">
        <f t="shared" si="1053"/>
        <v>2</v>
      </c>
      <c r="AE1159" s="5" t="s">
        <v>2188</v>
      </c>
      <c r="AF1159" s="51">
        <v>14</v>
      </c>
      <c r="AG1159" s="51">
        <f t="shared" si="1081"/>
        <v>8.4</v>
      </c>
      <c r="AH1159" s="51">
        <f t="shared" si="1047"/>
        <v>42</v>
      </c>
      <c r="AI1159" s="52" t="s">
        <v>2497</v>
      </c>
      <c r="AJ1159" s="52" t="s">
        <v>2498</v>
      </c>
      <c r="AK1159" s="53">
        <f t="shared" si="1082"/>
        <v>0</v>
      </c>
      <c r="AL1159" s="54">
        <f t="shared" si="1083"/>
        <v>0.11904761904761904</v>
      </c>
      <c r="AM1159" s="54">
        <f t="shared" si="1084"/>
        <v>2.3809523809523808E-2</v>
      </c>
      <c r="AN1159" s="55">
        <f t="shared" si="1085"/>
        <v>0</v>
      </c>
      <c r="AO1159" s="55">
        <f t="shared" si="1086"/>
        <v>0</v>
      </c>
      <c r="AP1159" s="53">
        <v>7.1</v>
      </c>
      <c r="AQ1159" s="53">
        <f t="shared" si="1054"/>
        <v>4.26</v>
      </c>
      <c r="AR1159" s="53">
        <f t="shared" si="1055"/>
        <v>21.299999999999997</v>
      </c>
      <c r="AS1159" s="56">
        <f t="shared" si="1056"/>
        <v>4.6948356807511742E-2</v>
      </c>
      <c r="AT1159" s="56">
        <f t="shared" si="1087"/>
        <v>0.23474178403755869</v>
      </c>
      <c r="AU1159" s="56">
        <f t="shared" si="1057"/>
        <v>0.176056338028169</v>
      </c>
      <c r="AV1159" s="56">
        <f t="shared" si="1088"/>
        <v>5.8685446009389672E-2</v>
      </c>
      <c r="AW1159" s="57"/>
      <c r="AX1159" s="57"/>
      <c r="AY1159" s="57"/>
      <c r="AZ1159" s="58">
        <f t="shared" si="1089"/>
        <v>0</v>
      </c>
      <c r="BA1159" s="59">
        <f t="shared" si="1090"/>
        <v>0</v>
      </c>
      <c r="BB1159" s="59">
        <f t="shared" si="1091"/>
        <v>0</v>
      </c>
      <c r="BC1159" s="59">
        <f t="shared" si="1092"/>
        <v>0</v>
      </c>
      <c r="BD1159" s="60">
        <f t="shared" si="1093"/>
        <v>7.1095438516664771E-6</v>
      </c>
      <c r="BE1159" s="59">
        <f t="shared" si="1094"/>
        <v>1.4219087703332954E-5</v>
      </c>
      <c r="BQ1159" s="61">
        <v>3000</v>
      </c>
      <c r="BR1159" s="61">
        <v>1200</v>
      </c>
      <c r="BS1159" s="28">
        <f t="shared" si="1058"/>
        <v>2980</v>
      </c>
      <c r="BT1159" s="28">
        <f t="shared" si="1059"/>
        <v>1180</v>
      </c>
      <c r="BU1159" s="28" t="s">
        <v>2541</v>
      </c>
      <c r="BV1159" s="28">
        <f t="shared" si="1060"/>
        <v>5</v>
      </c>
      <c r="BW1159" s="28">
        <f t="shared" si="1061"/>
        <v>5</v>
      </c>
      <c r="BX1159" s="13">
        <f t="shared" si="1062"/>
        <v>596</v>
      </c>
      <c r="BY1159" s="13">
        <f t="shared" si="1063"/>
        <v>596</v>
      </c>
      <c r="BZ1159" s="13">
        <f t="shared" si="1064"/>
        <v>236</v>
      </c>
      <c r="CA1159" s="13">
        <f t="shared" si="1065"/>
        <v>236</v>
      </c>
      <c r="CB1159" s="13">
        <f t="shared" si="1066"/>
        <v>140656</v>
      </c>
      <c r="CC1159" s="62">
        <f t="shared" si="1067"/>
        <v>7.1095438516664771E-6</v>
      </c>
      <c r="CD1159" s="13">
        <f t="shared" si="1068"/>
        <v>596</v>
      </c>
      <c r="CE1159" s="13">
        <f t="shared" si="1069"/>
        <v>596</v>
      </c>
      <c r="CF1159" s="13">
        <f t="shared" si="1070"/>
        <v>236</v>
      </c>
      <c r="CG1159" s="13">
        <f t="shared" si="1071"/>
        <v>236</v>
      </c>
      <c r="CH1159" s="28">
        <f t="shared" si="1072"/>
        <v>140656</v>
      </c>
      <c r="CI1159" s="62">
        <f t="shared" si="1073"/>
        <v>7.1095438516664771E-6</v>
      </c>
      <c r="CJ1159" s="59">
        <f t="shared" si="1074"/>
        <v>7.1095438516664771E-6</v>
      </c>
      <c r="CL1159" s="63">
        <v>6000</v>
      </c>
      <c r="CM1159" s="63">
        <f t="shared" si="1075"/>
        <v>0</v>
      </c>
      <c r="CN1159" s="63">
        <f t="shared" si="1076"/>
        <v>5</v>
      </c>
      <c r="CO1159" s="63">
        <f t="shared" si="1077"/>
        <v>1200</v>
      </c>
      <c r="CP1159" s="13">
        <f t="shared" si="1078"/>
        <v>1200</v>
      </c>
      <c r="CQ1159" s="70">
        <f t="shared" si="1079"/>
        <v>8.3333333333333339E-4</v>
      </c>
      <c r="CR1159" s="69">
        <f t="shared" si="1043"/>
        <v>1.6666666666666668E-3</v>
      </c>
    </row>
    <row r="1160" spans="1:96" hidden="1" x14ac:dyDescent="0.25">
      <c r="A1160" s="10">
        <v>3</v>
      </c>
      <c r="B1160" s="8" t="s">
        <v>2390</v>
      </c>
      <c r="C1160" s="10" t="s">
        <v>2391</v>
      </c>
      <c r="D1160" s="10" t="s">
        <v>2270</v>
      </c>
      <c r="E1160" s="10" t="s">
        <v>32</v>
      </c>
      <c r="F1160" s="12">
        <f t="shared" si="1048"/>
        <v>1</v>
      </c>
      <c r="G1160" s="10">
        <v>1</v>
      </c>
      <c r="H1160" s="10">
        <f>G1160*$H$1154</f>
        <v>1</v>
      </c>
      <c r="I1160" s="10" t="s">
        <v>2267</v>
      </c>
      <c r="J1160" s="8" t="s">
        <v>2253</v>
      </c>
      <c r="K1160" s="8"/>
      <c r="L1160" s="10" t="s">
        <v>2195</v>
      </c>
      <c r="M1160" s="8" t="s">
        <v>35</v>
      </c>
      <c r="N1160" s="10" t="s">
        <v>2392</v>
      </c>
      <c r="O1160" s="28"/>
      <c r="P1160" s="28"/>
      <c r="Q1160" s="28"/>
      <c r="R1160" s="30"/>
      <c r="S1160" s="30"/>
      <c r="T1160" s="30"/>
      <c r="U1160" s="30"/>
      <c r="V1160" s="8">
        <f t="shared" si="1049"/>
        <v>0</v>
      </c>
      <c r="W1160" s="8">
        <f t="shared" si="1050"/>
        <v>0</v>
      </c>
      <c r="X1160" s="8">
        <f t="shared" si="1051"/>
        <v>0</v>
      </c>
      <c r="Y1160" s="33">
        <f t="shared" si="1052"/>
        <v>0</v>
      </c>
      <c r="Z1160" s="28"/>
      <c r="AA1160" s="28"/>
      <c r="AB1160" s="28">
        <v>0</v>
      </c>
      <c r="AC1160" s="31"/>
      <c r="AD1160" s="50">
        <f t="shared" si="1053"/>
        <v>1</v>
      </c>
      <c r="AE1160" s="5" t="s">
        <v>2188</v>
      </c>
      <c r="AF1160" s="51">
        <v>14</v>
      </c>
      <c r="AG1160" s="51">
        <f t="shared" si="1081"/>
        <v>8.4</v>
      </c>
      <c r="AH1160" s="51">
        <f t="shared" si="1047"/>
        <v>42</v>
      </c>
      <c r="AI1160" s="52" t="s">
        <v>2497</v>
      </c>
      <c r="AJ1160" s="52" t="s">
        <v>2498</v>
      </c>
      <c r="AK1160" s="53">
        <f t="shared" si="1082"/>
        <v>0</v>
      </c>
      <c r="AL1160" s="54">
        <f t="shared" si="1083"/>
        <v>0.11904761904761904</v>
      </c>
      <c r="AM1160" s="54">
        <f t="shared" si="1084"/>
        <v>2.3809523809523808E-2</v>
      </c>
      <c r="AN1160" s="55">
        <f t="shared" si="1085"/>
        <v>0</v>
      </c>
      <c r="AO1160" s="55">
        <f t="shared" si="1086"/>
        <v>0</v>
      </c>
      <c r="AP1160" s="53">
        <v>7.1</v>
      </c>
      <c r="AQ1160" s="53">
        <f t="shared" si="1054"/>
        <v>4.26</v>
      </c>
      <c r="AR1160" s="53">
        <f t="shared" si="1055"/>
        <v>21.299999999999997</v>
      </c>
      <c r="AS1160" s="56">
        <f t="shared" si="1056"/>
        <v>4.6948356807511742E-2</v>
      </c>
      <c r="AT1160" s="56">
        <f t="shared" si="1087"/>
        <v>0.23474178403755869</v>
      </c>
      <c r="AU1160" s="56">
        <f t="shared" si="1057"/>
        <v>0.176056338028169</v>
      </c>
      <c r="AV1160" s="56">
        <f t="shared" si="1088"/>
        <v>5.8685446009389672E-2</v>
      </c>
      <c r="AW1160" s="57"/>
      <c r="AX1160" s="57"/>
      <c r="AY1160" s="57"/>
      <c r="AZ1160" s="58">
        <f t="shared" si="1089"/>
        <v>0</v>
      </c>
      <c r="BA1160" s="59">
        <f t="shared" si="1090"/>
        <v>0</v>
      </c>
      <c r="BB1160" s="59">
        <f t="shared" si="1091"/>
        <v>0</v>
      </c>
      <c r="BC1160" s="59">
        <f t="shared" si="1092"/>
        <v>0</v>
      </c>
      <c r="BD1160" s="60">
        <f t="shared" si="1093"/>
        <v>0</v>
      </c>
      <c r="BE1160" s="59">
        <f t="shared" si="1094"/>
        <v>0</v>
      </c>
      <c r="BQ1160" s="61">
        <v>3000</v>
      </c>
      <c r="BR1160" s="61">
        <v>1200</v>
      </c>
      <c r="BS1160" s="28">
        <f t="shared" si="1058"/>
        <v>2980</v>
      </c>
      <c r="BT1160" s="28">
        <f t="shared" si="1059"/>
        <v>1180</v>
      </c>
      <c r="BU1160" s="28" t="s">
        <v>2541</v>
      </c>
      <c r="BV1160" s="28">
        <f t="shared" si="1060"/>
        <v>5</v>
      </c>
      <c r="BW1160" s="28">
        <f t="shared" si="1061"/>
        <v>5</v>
      </c>
      <c r="BX1160" s="13">
        <f t="shared" si="1062"/>
        <v>596</v>
      </c>
      <c r="BY1160" s="13">
        <f t="shared" si="1063"/>
        <v>596</v>
      </c>
      <c r="BZ1160" s="13">
        <f t="shared" si="1064"/>
        <v>236</v>
      </c>
      <c r="CA1160" s="13">
        <f t="shared" si="1065"/>
        <v>236</v>
      </c>
      <c r="CB1160" s="13">
        <f t="shared" si="1066"/>
        <v>140656</v>
      </c>
      <c r="CC1160" s="62" t="str">
        <f t="shared" si="1067"/>
        <v/>
      </c>
      <c r="CD1160" s="13">
        <f t="shared" si="1068"/>
        <v>596</v>
      </c>
      <c r="CE1160" s="13">
        <f t="shared" si="1069"/>
        <v>596</v>
      </c>
      <c r="CF1160" s="13">
        <f t="shared" si="1070"/>
        <v>236</v>
      </c>
      <c r="CG1160" s="13">
        <f t="shared" si="1071"/>
        <v>236</v>
      </c>
      <c r="CH1160" s="28">
        <f t="shared" si="1072"/>
        <v>140656</v>
      </c>
      <c r="CI1160" s="62" t="str">
        <f t="shared" si="1073"/>
        <v/>
      </c>
      <c r="CJ1160" s="59">
        <f t="shared" si="1074"/>
        <v>0</v>
      </c>
      <c r="CL1160" s="63">
        <v>6000</v>
      </c>
      <c r="CM1160" s="63">
        <f t="shared" si="1075"/>
        <v>0</v>
      </c>
      <c r="CN1160" s="63">
        <f t="shared" si="1076"/>
        <v>5</v>
      </c>
      <c r="CO1160" s="63">
        <f t="shared" si="1077"/>
        <v>1200</v>
      </c>
      <c r="CP1160" s="13">
        <f t="shared" si="1078"/>
        <v>1200</v>
      </c>
      <c r="CQ1160" s="70">
        <f t="shared" si="1079"/>
        <v>8.3333333333333339E-4</v>
      </c>
      <c r="CR1160" s="69">
        <f t="shared" si="1043"/>
        <v>8.3333333333333339E-4</v>
      </c>
    </row>
    <row r="1161" spans="1:96" hidden="1" x14ac:dyDescent="0.25">
      <c r="A1161" s="13">
        <v>4</v>
      </c>
      <c r="B1161" s="14" t="s">
        <v>2337</v>
      </c>
      <c r="C1161" s="13" t="s">
        <v>2338</v>
      </c>
      <c r="D1161" s="13" t="s">
        <v>2270</v>
      </c>
      <c r="E1161" s="13" t="s">
        <v>32</v>
      </c>
      <c r="F1161" s="15">
        <f t="shared" si="1048"/>
        <v>2</v>
      </c>
      <c r="G1161" s="13">
        <v>1</v>
      </c>
      <c r="H1161" s="13">
        <f>G1161*$H$1160</f>
        <v>1</v>
      </c>
      <c r="I1161" s="13" t="s">
        <v>2263</v>
      </c>
      <c r="J1161" s="14" t="s">
        <v>1661</v>
      </c>
      <c r="K1161" s="14"/>
      <c r="L1161" s="13" t="s">
        <v>2195</v>
      </c>
      <c r="M1161" s="14" t="s">
        <v>35</v>
      </c>
      <c r="N1161" s="13" t="s">
        <v>2339</v>
      </c>
      <c r="O1161" s="28"/>
      <c r="P1161" s="28"/>
      <c r="Q1161" s="28"/>
      <c r="R1161" s="30"/>
      <c r="S1161" s="30"/>
      <c r="T1161" s="30"/>
      <c r="U1161" s="30"/>
      <c r="V1161" s="8">
        <f t="shared" si="1049"/>
        <v>0</v>
      </c>
      <c r="W1161" s="8">
        <f t="shared" si="1050"/>
        <v>0</v>
      </c>
      <c r="X1161" s="8">
        <f t="shared" si="1051"/>
        <v>0</v>
      </c>
      <c r="Y1161" s="33">
        <f t="shared" si="1052"/>
        <v>0</v>
      </c>
      <c r="Z1161" s="28"/>
      <c r="AA1161" s="28"/>
      <c r="AB1161" s="28">
        <v>0</v>
      </c>
      <c r="AC1161" s="31"/>
      <c r="AD1161" s="50">
        <f t="shared" si="1053"/>
        <v>1</v>
      </c>
      <c r="AE1161" s="5" t="s">
        <v>2188</v>
      </c>
      <c r="AF1161" s="51">
        <v>14</v>
      </c>
      <c r="AG1161" s="51">
        <f t="shared" si="1081"/>
        <v>8.4</v>
      </c>
      <c r="AH1161" s="51">
        <f t="shared" si="1047"/>
        <v>42</v>
      </c>
      <c r="AI1161" s="52" t="s">
        <v>2497</v>
      </c>
      <c r="AJ1161" s="52" t="s">
        <v>2498</v>
      </c>
      <c r="AK1161" s="53">
        <f t="shared" si="1082"/>
        <v>0</v>
      </c>
      <c r="AL1161" s="54">
        <f t="shared" si="1083"/>
        <v>0.11904761904761904</v>
      </c>
      <c r="AM1161" s="54">
        <f t="shared" si="1084"/>
        <v>2.3809523809523808E-2</v>
      </c>
      <c r="AN1161" s="55">
        <f t="shared" si="1085"/>
        <v>0</v>
      </c>
      <c r="AO1161" s="55">
        <f t="shared" si="1086"/>
        <v>0</v>
      </c>
      <c r="AP1161" s="53">
        <v>7.1</v>
      </c>
      <c r="AQ1161" s="53">
        <f t="shared" si="1054"/>
        <v>4.26</v>
      </c>
      <c r="AR1161" s="53">
        <f t="shared" si="1055"/>
        <v>21.299999999999997</v>
      </c>
      <c r="AS1161" s="56">
        <f t="shared" si="1056"/>
        <v>4.6948356807511742E-2</v>
      </c>
      <c r="AT1161" s="56">
        <f t="shared" si="1087"/>
        <v>0.23474178403755869</v>
      </c>
      <c r="AU1161" s="56">
        <f t="shared" si="1057"/>
        <v>0.176056338028169</v>
      </c>
      <c r="AV1161" s="56">
        <f t="shared" si="1088"/>
        <v>5.8685446009389672E-2</v>
      </c>
      <c r="AW1161" s="57"/>
      <c r="AX1161" s="57"/>
      <c r="AY1161" s="57"/>
      <c r="AZ1161" s="58">
        <f t="shared" si="1089"/>
        <v>0</v>
      </c>
      <c r="BA1161" s="59">
        <f t="shared" si="1090"/>
        <v>0</v>
      </c>
      <c r="BB1161" s="59">
        <f t="shared" si="1091"/>
        <v>0</v>
      </c>
      <c r="BC1161" s="59">
        <f t="shared" si="1092"/>
        <v>0</v>
      </c>
      <c r="BD1161" s="60">
        <f t="shared" si="1093"/>
        <v>0</v>
      </c>
      <c r="BE1161" s="59">
        <f t="shared" si="1094"/>
        <v>0</v>
      </c>
      <c r="BQ1161" s="61">
        <v>3000</v>
      </c>
      <c r="BR1161" s="61">
        <v>1200</v>
      </c>
      <c r="BS1161" s="28">
        <f t="shared" si="1058"/>
        <v>2980</v>
      </c>
      <c r="BT1161" s="28">
        <f t="shared" si="1059"/>
        <v>1180</v>
      </c>
      <c r="BU1161" s="28" t="s">
        <v>2541</v>
      </c>
      <c r="BV1161" s="28">
        <f t="shared" si="1060"/>
        <v>5</v>
      </c>
      <c r="BW1161" s="28">
        <f t="shared" si="1061"/>
        <v>5</v>
      </c>
      <c r="BX1161" s="13">
        <f t="shared" si="1062"/>
        <v>596</v>
      </c>
      <c r="BY1161" s="13">
        <f t="shared" si="1063"/>
        <v>596</v>
      </c>
      <c r="BZ1161" s="13">
        <f t="shared" si="1064"/>
        <v>236</v>
      </c>
      <c r="CA1161" s="13">
        <f t="shared" si="1065"/>
        <v>236</v>
      </c>
      <c r="CB1161" s="13">
        <f t="shared" si="1066"/>
        <v>140656</v>
      </c>
      <c r="CC1161" s="62" t="str">
        <f t="shared" si="1067"/>
        <v/>
      </c>
      <c r="CD1161" s="13">
        <f t="shared" si="1068"/>
        <v>596</v>
      </c>
      <c r="CE1161" s="13">
        <f t="shared" si="1069"/>
        <v>596</v>
      </c>
      <c r="CF1161" s="13">
        <f t="shared" si="1070"/>
        <v>236</v>
      </c>
      <c r="CG1161" s="13">
        <f t="shared" si="1071"/>
        <v>236</v>
      </c>
      <c r="CH1161" s="28">
        <f t="shared" si="1072"/>
        <v>140656</v>
      </c>
      <c r="CI1161" s="62" t="str">
        <f t="shared" si="1073"/>
        <v/>
      </c>
      <c r="CJ1161" s="59">
        <f t="shared" si="1074"/>
        <v>0</v>
      </c>
      <c r="CL1161" s="63">
        <v>6000</v>
      </c>
      <c r="CM1161" s="63">
        <f t="shared" si="1075"/>
        <v>0</v>
      </c>
      <c r="CN1161" s="63">
        <f t="shared" si="1076"/>
        <v>5</v>
      </c>
      <c r="CO1161" s="63">
        <f t="shared" si="1077"/>
        <v>1200</v>
      </c>
      <c r="CP1161" s="13">
        <f t="shared" si="1078"/>
        <v>1200</v>
      </c>
      <c r="CQ1161" s="70">
        <f t="shared" si="1079"/>
        <v>8.3333333333333339E-4</v>
      </c>
      <c r="CR1161" s="69">
        <f t="shared" si="1043"/>
        <v>8.3333333333333339E-4</v>
      </c>
    </row>
    <row r="1162" spans="1:96" hidden="1" x14ac:dyDescent="0.25">
      <c r="A1162" s="17">
        <v>5</v>
      </c>
      <c r="B1162" s="6" t="s">
        <v>2340</v>
      </c>
      <c r="C1162" s="17" t="s">
        <v>2341</v>
      </c>
      <c r="D1162" s="17" t="s">
        <v>2270</v>
      </c>
      <c r="E1162" s="17" t="s">
        <v>32</v>
      </c>
      <c r="F1162" s="7">
        <f t="shared" si="1048"/>
        <v>2</v>
      </c>
      <c r="G1162" s="17">
        <v>1</v>
      </c>
      <c r="H1162" s="17">
        <f>G1162*$H$1161</f>
        <v>1</v>
      </c>
      <c r="I1162" s="17" t="s">
        <v>2290</v>
      </c>
      <c r="J1162" s="6" t="s">
        <v>1661</v>
      </c>
      <c r="K1162" s="6"/>
      <c r="L1162" s="17" t="s">
        <v>2195</v>
      </c>
      <c r="M1162" s="6" t="s">
        <v>35</v>
      </c>
      <c r="N1162" s="17" t="s">
        <v>2342</v>
      </c>
      <c r="O1162" s="28"/>
      <c r="P1162" s="28"/>
      <c r="Q1162" s="28"/>
      <c r="R1162" s="30"/>
      <c r="S1162" s="30"/>
      <c r="T1162" s="30"/>
      <c r="U1162" s="30"/>
      <c r="V1162" s="8">
        <f t="shared" si="1049"/>
        <v>0</v>
      </c>
      <c r="W1162" s="8">
        <f t="shared" si="1050"/>
        <v>0</v>
      </c>
      <c r="X1162" s="8">
        <f t="shared" si="1051"/>
        <v>0</v>
      </c>
      <c r="Y1162" s="33">
        <f t="shared" si="1052"/>
        <v>0</v>
      </c>
      <c r="Z1162" s="28"/>
      <c r="AA1162" s="28"/>
      <c r="AB1162" s="28">
        <v>0</v>
      </c>
      <c r="AC1162" s="31"/>
      <c r="AD1162" s="50">
        <f t="shared" si="1053"/>
        <v>1</v>
      </c>
      <c r="AE1162" s="5" t="s">
        <v>2188</v>
      </c>
      <c r="AF1162" s="51">
        <v>14</v>
      </c>
      <c r="AG1162" s="51">
        <f t="shared" si="1081"/>
        <v>8.4</v>
      </c>
      <c r="AH1162" s="51">
        <f t="shared" si="1047"/>
        <v>42</v>
      </c>
      <c r="AI1162" s="52" t="s">
        <v>2497</v>
      </c>
      <c r="AJ1162" s="52" t="s">
        <v>2498</v>
      </c>
      <c r="AK1162" s="53">
        <f t="shared" si="1082"/>
        <v>0</v>
      </c>
      <c r="AL1162" s="54">
        <f t="shared" si="1083"/>
        <v>0.11904761904761904</v>
      </c>
      <c r="AM1162" s="54">
        <f t="shared" si="1084"/>
        <v>2.3809523809523808E-2</v>
      </c>
      <c r="AN1162" s="55">
        <f t="shared" si="1085"/>
        <v>0</v>
      </c>
      <c r="AO1162" s="55">
        <f t="shared" si="1086"/>
        <v>0</v>
      </c>
      <c r="AP1162" s="53">
        <v>7.1</v>
      </c>
      <c r="AQ1162" s="53">
        <f t="shared" si="1054"/>
        <v>4.26</v>
      </c>
      <c r="AR1162" s="53">
        <f t="shared" si="1055"/>
        <v>21.299999999999997</v>
      </c>
      <c r="AS1162" s="56">
        <f t="shared" si="1056"/>
        <v>4.6948356807511742E-2</v>
      </c>
      <c r="AT1162" s="56">
        <f t="shared" si="1087"/>
        <v>0.23474178403755869</v>
      </c>
      <c r="AU1162" s="56">
        <f t="shared" si="1057"/>
        <v>0.176056338028169</v>
      </c>
      <c r="AV1162" s="56">
        <f t="shared" si="1088"/>
        <v>5.8685446009389672E-2</v>
      </c>
      <c r="AW1162" s="57"/>
      <c r="AX1162" s="57"/>
      <c r="AY1162" s="57"/>
      <c r="AZ1162" s="58">
        <f t="shared" si="1089"/>
        <v>0</v>
      </c>
      <c r="BA1162" s="59">
        <f t="shared" si="1090"/>
        <v>0</v>
      </c>
      <c r="BB1162" s="59">
        <f t="shared" si="1091"/>
        <v>0</v>
      </c>
      <c r="BC1162" s="59">
        <f t="shared" si="1092"/>
        <v>0</v>
      </c>
      <c r="BD1162" s="60">
        <f t="shared" si="1093"/>
        <v>0</v>
      </c>
      <c r="BE1162" s="59">
        <f t="shared" si="1094"/>
        <v>0</v>
      </c>
      <c r="BQ1162" s="61">
        <v>3000</v>
      </c>
      <c r="BR1162" s="61">
        <v>1200</v>
      </c>
      <c r="BS1162" s="28">
        <f t="shared" si="1058"/>
        <v>2980</v>
      </c>
      <c r="BT1162" s="28">
        <f t="shared" si="1059"/>
        <v>1180</v>
      </c>
      <c r="BU1162" s="28" t="s">
        <v>2541</v>
      </c>
      <c r="BV1162" s="28">
        <f t="shared" si="1060"/>
        <v>5</v>
      </c>
      <c r="BW1162" s="28">
        <f t="shared" si="1061"/>
        <v>5</v>
      </c>
      <c r="BX1162" s="13">
        <f t="shared" si="1062"/>
        <v>596</v>
      </c>
      <c r="BY1162" s="13">
        <f t="shared" si="1063"/>
        <v>596</v>
      </c>
      <c r="BZ1162" s="13">
        <f t="shared" si="1064"/>
        <v>236</v>
      </c>
      <c r="CA1162" s="13">
        <f t="shared" si="1065"/>
        <v>236</v>
      </c>
      <c r="CB1162" s="13">
        <f t="shared" si="1066"/>
        <v>140656</v>
      </c>
      <c r="CC1162" s="62" t="str">
        <f t="shared" si="1067"/>
        <v/>
      </c>
      <c r="CD1162" s="13">
        <f t="shared" si="1068"/>
        <v>596</v>
      </c>
      <c r="CE1162" s="13">
        <f t="shared" si="1069"/>
        <v>596</v>
      </c>
      <c r="CF1162" s="13">
        <f t="shared" si="1070"/>
        <v>236</v>
      </c>
      <c r="CG1162" s="13">
        <f t="shared" si="1071"/>
        <v>236</v>
      </c>
      <c r="CH1162" s="28">
        <f t="shared" si="1072"/>
        <v>140656</v>
      </c>
      <c r="CI1162" s="62" t="str">
        <f t="shared" si="1073"/>
        <v/>
      </c>
      <c r="CJ1162" s="59">
        <f t="shared" si="1074"/>
        <v>0</v>
      </c>
      <c r="CL1162" s="63">
        <v>6000</v>
      </c>
      <c r="CM1162" s="63">
        <f t="shared" si="1075"/>
        <v>0</v>
      </c>
      <c r="CN1162" s="63">
        <f t="shared" si="1076"/>
        <v>5</v>
      </c>
      <c r="CO1162" s="63">
        <f t="shared" si="1077"/>
        <v>1200</v>
      </c>
      <c r="CP1162" s="13">
        <f t="shared" si="1078"/>
        <v>1200</v>
      </c>
      <c r="CQ1162" s="70">
        <f t="shared" si="1079"/>
        <v>8.3333333333333339E-4</v>
      </c>
      <c r="CR1162" s="69">
        <f t="shared" si="1043"/>
        <v>8.3333333333333339E-4</v>
      </c>
    </row>
    <row r="1163" spans="1:96" hidden="1" x14ac:dyDescent="0.25">
      <c r="A1163" s="42">
        <v>6</v>
      </c>
      <c r="B1163" s="43" t="s">
        <v>2343</v>
      </c>
      <c r="C1163" s="42" t="s">
        <v>2344</v>
      </c>
      <c r="D1163" s="42" t="s">
        <v>2270</v>
      </c>
      <c r="E1163" s="42" t="s">
        <v>52</v>
      </c>
      <c r="F1163" s="44">
        <f t="shared" si="1048"/>
        <v>2</v>
      </c>
      <c r="G1163" s="42">
        <v>1</v>
      </c>
      <c r="H1163" s="42">
        <f>G1163*$H$1162</f>
        <v>1</v>
      </c>
      <c r="I1163" s="42" t="s">
        <v>2263</v>
      </c>
      <c r="J1163" s="43" t="s">
        <v>2345</v>
      </c>
      <c r="K1163" s="43"/>
      <c r="L1163" s="42" t="s">
        <v>2195</v>
      </c>
      <c r="M1163" s="43" t="s">
        <v>35</v>
      </c>
      <c r="N1163" s="42" t="s">
        <v>2346</v>
      </c>
      <c r="O1163" s="28"/>
      <c r="P1163" s="28"/>
      <c r="Q1163" s="28" t="s">
        <v>116</v>
      </c>
      <c r="R1163" s="30">
        <v>61.381</v>
      </c>
      <c r="S1163" s="30">
        <v>29.71</v>
      </c>
      <c r="T1163" s="30"/>
      <c r="U1163" s="30">
        <v>0.11799999999999999</v>
      </c>
      <c r="V1163" s="8">
        <f t="shared" si="1049"/>
        <v>1559.0773999999999</v>
      </c>
      <c r="W1163" s="8">
        <f t="shared" si="1050"/>
        <v>754.63400000000001</v>
      </c>
      <c r="X1163" s="8">
        <f t="shared" si="1051"/>
        <v>0</v>
      </c>
      <c r="Y1163" s="33">
        <f t="shared" si="1052"/>
        <v>2.9971999999999999</v>
      </c>
      <c r="Z1163" s="28" t="s">
        <v>56</v>
      </c>
      <c r="AA1163" s="28" t="s">
        <v>57</v>
      </c>
      <c r="AB1163" s="28" t="s">
        <v>116</v>
      </c>
      <c r="AC1163" s="31" t="s">
        <v>117</v>
      </c>
      <c r="AD1163" s="50">
        <f t="shared" si="1053"/>
        <v>1</v>
      </c>
      <c r="AE1163" s="5" t="s">
        <v>2188</v>
      </c>
      <c r="AF1163" s="51">
        <v>14</v>
      </c>
      <c r="AG1163" s="51">
        <f t="shared" si="1081"/>
        <v>8.4</v>
      </c>
      <c r="AH1163" s="51">
        <f t="shared" si="1047"/>
        <v>42</v>
      </c>
      <c r="AI1163" s="52" t="s">
        <v>2497</v>
      </c>
      <c r="AJ1163" s="52" t="s">
        <v>2498</v>
      </c>
      <c r="AK1163" s="53">
        <f t="shared" si="1082"/>
        <v>2.3530656293432002</v>
      </c>
      <c r="AL1163" s="54">
        <f t="shared" si="1083"/>
        <v>0.11904761904761904</v>
      </c>
      <c r="AM1163" s="54">
        <f t="shared" si="1084"/>
        <v>2.3809523809523808E-2</v>
      </c>
      <c r="AN1163" s="55">
        <f t="shared" si="1085"/>
        <v>0.28012686063609527</v>
      </c>
      <c r="AO1163" s="55">
        <f t="shared" si="1086"/>
        <v>5.6025372127219052E-2</v>
      </c>
      <c r="AP1163" s="53">
        <v>7.1</v>
      </c>
      <c r="AQ1163" s="53">
        <f t="shared" si="1054"/>
        <v>4.26</v>
      </c>
      <c r="AR1163" s="53">
        <f t="shared" si="1055"/>
        <v>21.299999999999997</v>
      </c>
      <c r="AS1163" s="56">
        <f t="shared" si="1056"/>
        <v>4.6948356807511742E-2</v>
      </c>
      <c r="AT1163" s="56">
        <f t="shared" si="1087"/>
        <v>0.23474178403755869</v>
      </c>
      <c r="AU1163" s="56">
        <f t="shared" si="1057"/>
        <v>0.176056338028169</v>
      </c>
      <c r="AV1163" s="56">
        <f t="shared" si="1088"/>
        <v>5.8685446009389672E-2</v>
      </c>
      <c r="AW1163" s="57"/>
      <c r="AX1163" s="57"/>
      <c r="AY1163" s="57"/>
      <c r="AZ1163" s="58">
        <f t="shared" si="1089"/>
        <v>2.3530656293432002</v>
      </c>
      <c r="BA1163" s="59">
        <f t="shared" si="1090"/>
        <v>0</v>
      </c>
      <c r="BB1163" s="59">
        <f t="shared" si="1091"/>
        <v>0</v>
      </c>
      <c r="BC1163" s="59">
        <f t="shared" si="1092"/>
        <v>0</v>
      </c>
      <c r="BD1163" s="60">
        <f t="shared" si="1093"/>
        <v>1</v>
      </c>
      <c r="BE1163" s="59">
        <f t="shared" si="1094"/>
        <v>1</v>
      </c>
      <c r="BQ1163" s="61">
        <v>3000</v>
      </c>
      <c r="BR1163" s="61">
        <v>1200</v>
      </c>
      <c r="BS1163" s="28">
        <f t="shared" si="1058"/>
        <v>2980</v>
      </c>
      <c r="BT1163" s="28">
        <f t="shared" si="1059"/>
        <v>1180</v>
      </c>
      <c r="BU1163" s="28" t="s">
        <v>2541</v>
      </c>
      <c r="BV1163" s="28">
        <f t="shared" si="1060"/>
        <v>1564.0773999999999</v>
      </c>
      <c r="BW1163" s="28">
        <f t="shared" si="1061"/>
        <v>759.63400000000001</v>
      </c>
      <c r="BX1163" s="13">
        <f t="shared" si="1062"/>
        <v>1.9052765547280461</v>
      </c>
      <c r="BY1163" s="13">
        <f t="shared" si="1063"/>
        <v>1</v>
      </c>
      <c r="BZ1163" s="13">
        <f t="shared" si="1064"/>
        <v>1.5533796538859503</v>
      </c>
      <c r="CA1163" s="13">
        <f t="shared" si="1065"/>
        <v>1</v>
      </c>
      <c r="CB1163" s="13">
        <f t="shared" si="1066"/>
        <v>1</v>
      </c>
      <c r="CC1163" s="62">
        <f t="shared" si="1067"/>
        <v>1</v>
      </c>
      <c r="CD1163" s="13">
        <f t="shared" si="1068"/>
        <v>3.9229418377797729</v>
      </c>
      <c r="CE1163" s="13">
        <f t="shared" si="1069"/>
        <v>3</v>
      </c>
      <c r="CF1163" s="13">
        <f t="shared" si="1070"/>
        <v>0.75443836730842095</v>
      </c>
      <c r="CG1163" s="13">
        <f t="shared" si="1071"/>
        <v>0</v>
      </c>
      <c r="CH1163" s="28">
        <f t="shared" si="1072"/>
        <v>0</v>
      </c>
      <c r="CI1163" s="62">
        <f t="shared" si="1073"/>
        <v>1</v>
      </c>
      <c r="CJ1163" s="59">
        <f t="shared" si="1074"/>
        <v>1</v>
      </c>
      <c r="CL1163" s="63">
        <v>6000</v>
      </c>
      <c r="CM1163" s="63">
        <f t="shared" si="1075"/>
        <v>1559.0773999999999</v>
      </c>
      <c r="CN1163" s="63">
        <f t="shared" si="1076"/>
        <v>1564.0773999999999</v>
      </c>
      <c r="CO1163" s="63">
        <f t="shared" si="1077"/>
        <v>3.8361272913987507</v>
      </c>
      <c r="CP1163" s="13">
        <f t="shared" si="1078"/>
        <v>3</v>
      </c>
      <c r="CQ1163" s="70">
        <f t="shared" si="1079"/>
        <v>0.33333333333333331</v>
      </c>
      <c r="CR1163" s="69">
        <f t="shared" si="1043"/>
        <v>0.33333333333333331</v>
      </c>
    </row>
    <row r="1164" spans="1:96" hidden="1" x14ac:dyDescent="0.25">
      <c r="A1164" s="42">
        <v>6</v>
      </c>
      <c r="B1164" s="43" t="s">
        <v>2305</v>
      </c>
      <c r="C1164" s="42" t="s">
        <v>279</v>
      </c>
      <c r="D1164" s="42" t="s">
        <v>281</v>
      </c>
      <c r="E1164" s="42" t="s">
        <v>52</v>
      </c>
      <c r="F1164" s="44">
        <f t="shared" si="1048"/>
        <v>12</v>
      </c>
      <c r="G1164" s="42">
        <v>4</v>
      </c>
      <c r="H1164" s="42">
        <f>G1164*$H$1162</f>
        <v>4</v>
      </c>
      <c r="I1164" s="42" t="s">
        <v>2267</v>
      </c>
      <c r="J1164" s="43" t="s">
        <v>2202</v>
      </c>
      <c r="K1164" s="43"/>
      <c r="L1164" s="42" t="s">
        <v>194</v>
      </c>
      <c r="M1164" s="43" t="s">
        <v>35</v>
      </c>
      <c r="N1164" s="42" t="s">
        <v>281</v>
      </c>
      <c r="O1164" s="28"/>
      <c r="P1164" s="28"/>
      <c r="Q1164" s="28" t="s">
        <v>281</v>
      </c>
      <c r="R1164" s="30"/>
      <c r="S1164" s="30"/>
      <c r="T1164" s="30"/>
      <c r="U1164" s="30"/>
      <c r="V1164" s="8">
        <f t="shared" si="1049"/>
        <v>0</v>
      </c>
      <c r="W1164" s="8">
        <f t="shared" si="1050"/>
        <v>0</v>
      </c>
      <c r="X1164" s="8">
        <f t="shared" si="1051"/>
        <v>0</v>
      </c>
      <c r="Y1164" s="33">
        <f t="shared" si="1052"/>
        <v>0</v>
      </c>
      <c r="Z1164" s="28"/>
      <c r="AA1164" s="28"/>
      <c r="AB1164" s="61" t="s">
        <v>281</v>
      </c>
      <c r="AC1164" s="31" t="s">
        <v>282</v>
      </c>
      <c r="AD1164" s="50">
        <f t="shared" si="1053"/>
        <v>4</v>
      </c>
      <c r="AE1164" s="5" t="s">
        <v>2188</v>
      </c>
      <c r="AF1164" s="51">
        <v>14</v>
      </c>
      <c r="AG1164" s="51">
        <f t="shared" si="1081"/>
        <v>8.4</v>
      </c>
      <c r="AH1164" s="51">
        <f t="shared" si="1047"/>
        <v>42</v>
      </c>
      <c r="AI1164" s="52" t="s">
        <v>2497</v>
      </c>
      <c r="AJ1164" s="52" t="s">
        <v>2498</v>
      </c>
      <c r="AK1164" s="53">
        <f t="shared" si="1082"/>
        <v>0</v>
      </c>
      <c r="AL1164" s="54">
        <f t="shared" si="1083"/>
        <v>0.11904761904761904</v>
      </c>
      <c r="AM1164" s="54">
        <f t="shared" si="1084"/>
        <v>2.3809523809523808E-2</v>
      </c>
      <c r="AN1164" s="55">
        <f t="shared" si="1085"/>
        <v>0</v>
      </c>
      <c r="AO1164" s="55">
        <f t="shared" si="1086"/>
        <v>0</v>
      </c>
      <c r="AP1164" s="53">
        <v>7.1</v>
      </c>
      <c r="AQ1164" s="53">
        <f t="shared" si="1054"/>
        <v>4.26</v>
      </c>
      <c r="AR1164" s="53">
        <f t="shared" si="1055"/>
        <v>21.299999999999997</v>
      </c>
      <c r="AS1164" s="56">
        <f t="shared" si="1056"/>
        <v>4.6948356807511742E-2</v>
      </c>
      <c r="AT1164" s="56">
        <f t="shared" si="1087"/>
        <v>0.23474178403755869</v>
      </c>
      <c r="AU1164" s="56">
        <f t="shared" si="1057"/>
        <v>0.176056338028169</v>
      </c>
      <c r="AV1164" s="56">
        <f t="shared" si="1088"/>
        <v>5.8685446009389672E-2</v>
      </c>
      <c r="AW1164" s="57"/>
      <c r="AX1164" s="57"/>
      <c r="AY1164" s="57"/>
      <c r="AZ1164" s="58">
        <f t="shared" si="1089"/>
        <v>0</v>
      </c>
      <c r="BA1164" s="59">
        <f t="shared" si="1090"/>
        <v>0</v>
      </c>
      <c r="BB1164" s="59">
        <f t="shared" si="1091"/>
        <v>0</v>
      </c>
      <c r="BC1164" s="59">
        <f t="shared" si="1092"/>
        <v>0</v>
      </c>
      <c r="BD1164" s="60">
        <f t="shared" si="1093"/>
        <v>7.1095438516664771E-6</v>
      </c>
      <c r="BE1164" s="59">
        <f t="shared" si="1094"/>
        <v>2.8438175406665908E-5</v>
      </c>
      <c r="BQ1164" s="61">
        <v>3000</v>
      </c>
      <c r="BR1164" s="61">
        <v>1200</v>
      </c>
      <c r="BS1164" s="28">
        <f t="shared" si="1058"/>
        <v>2980</v>
      </c>
      <c r="BT1164" s="28">
        <f t="shared" si="1059"/>
        <v>1180</v>
      </c>
      <c r="BU1164" s="28" t="s">
        <v>2541</v>
      </c>
      <c r="BV1164" s="28">
        <f t="shared" si="1060"/>
        <v>5</v>
      </c>
      <c r="BW1164" s="28">
        <f t="shared" si="1061"/>
        <v>5</v>
      </c>
      <c r="BX1164" s="13">
        <f t="shared" si="1062"/>
        <v>596</v>
      </c>
      <c r="BY1164" s="13">
        <f t="shared" si="1063"/>
        <v>596</v>
      </c>
      <c r="BZ1164" s="13">
        <f t="shared" si="1064"/>
        <v>236</v>
      </c>
      <c r="CA1164" s="13">
        <f t="shared" si="1065"/>
        <v>236</v>
      </c>
      <c r="CB1164" s="13">
        <f t="shared" si="1066"/>
        <v>140656</v>
      </c>
      <c r="CC1164" s="62">
        <f t="shared" si="1067"/>
        <v>7.1095438516664771E-6</v>
      </c>
      <c r="CD1164" s="13">
        <f t="shared" si="1068"/>
        <v>596</v>
      </c>
      <c r="CE1164" s="13">
        <f t="shared" si="1069"/>
        <v>596</v>
      </c>
      <c r="CF1164" s="13">
        <f t="shared" si="1070"/>
        <v>236</v>
      </c>
      <c r="CG1164" s="13">
        <f t="shared" si="1071"/>
        <v>236</v>
      </c>
      <c r="CH1164" s="28">
        <f t="shared" si="1072"/>
        <v>140656</v>
      </c>
      <c r="CI1164" s="62">
        <f t="shared" si="1073"/>
        <v>7.1095438516664771E-6</v>
      </c>
      <c r="CJ1164" s="59">
        <f t="shared" si="1074"/>
        <v>7.1095438516664771E-6</v>
      </c>
      <c r="CL1164" s="63">
        <v>6000</v>
      </c>
      <c r="CM1164" s="63">
        <f t="shared" si="1075"/>
        <v>0</v>
      </c>
      <c r="CN1164" s="63">
        <f t="shared" si="1076"/>
        <v>5</v>
      </c>
      <c r="CO1164" s="63">
        <f t="shared" si="1077"/>
        <v>1200</v>
      </c>
      <c r="CP1164" s="13">
        <f t="shared" si="1078"/>
        <v>1200</v>
      </c>
      <c r="CQ1164" s="70">
        <f t="shared" si="1079"/>
        <v>8.3333333333333339E-4</v>
      </c>
      <c r="CR1164" s="69">
        <f t="shared" si="1043"/>
        <v>3.3333333333333335E-3</v>
      </c>
    </row>
    <row r="1165" spans="1:96" hidden="1" x14ac:dyDescent="0.25">
      <c r="A1165" s="17">
        <v>5</v>
      </c>
      <c r="B1165" s="6" t="s">
        <v>2347</v>
      </c>
      <c r="C1165" s="17" t="s">
        <v>2348</v>
      </c>
      <c r="D1165" s="17" t="s">
        <v>2349</v>
      </c>
      <c r="E1165" s="17" t="s">
        <v>52</v>
      </c>
      <c r="F1165" s="7">
        <f t="shared" si="1048"/>
        <v>2</v>
      </c>
      <c r="G1165" s="17">
        <v>2</v>
      </c>
      <c r="H1165" s="17">
        <f t="shared" ref="H1165:H1166" si="1095">G1165*$H$1161</f>
        <v>2</v>
      </c>
      <c r="I1165" s="17" t="s">
        <v>2299</v>
      </c>
      <c r="J1165" s="6" t="s">
        <v>76</v>
      </c>
      <c r="K1165" s="6"/>
      <c r="L1165" s="17" t="s">
        <v>110</v>
      </c>
      <c r="M1165" s="6" t="s">
        <v>35</v>
      </c>
      <c r="N1165" s="17" t="s">
        <v>2349</v>
      </c>
      <c r="O1165" s="28" t="s">
        <v>41</v>
      </c>
      <c r="P1165" s="28" t="s">
        <v>41</v>
      </c>
      <c r="Q1165" s="28" t="s">
        <v>85</v>
      </c>
      <c r="R1165" s="30">
        <v>7.3228346456692917</v>
      </c>
      <c r="S1165" s="30">
        <v>0.375</v>
      </c>
      <c r="T1165" s="30"/>
      <c r="U1165" s="30">
        <v>0.375</v>
      </c>
      <c r="V1165" s="8">
        <f t="shared" si="1049"/>
        <v>186</v>
      </c>
      <c r="W1165" s="8">
        <f t="shared" si="1050"/>
        <v>9.5249999999999986</v>
      </c>
      <c r="X1165" s="8">
        <f t="shared" si="1051"/>
        <v>0</v>
      </c>
      <c r="Y1165" s="33">
        <f t="shared" si="1052"/>
        <v>9.5249999999999986</v>
      </c>
      <c r="Z1165" s="28" t="s">
        <v>80</v>
      </c>
      <c r="AA1165" s="28" t="s">
        <v>81</v>
      </c>
      <c r="AB1165" s="61" t="s">
        <v>85</v>
      </c>
      <c r="AC1165" s="31" t="s">
        <v>86</v>
      </c>
      <c r="AD1165" s="50">
        <f t="shared" si="1053"/>
        <v>2</v>
      </c>
      <c r="AE1165" s="5" t="s">
        <v>2188</v>
      </c>
      <c r="AF1165" s="51">
        <v>14</v>
      </c>
      <c r="AG1165" s="51">
        <f t="shared" si="1081"/>
        <v>8.4</v>
      </c>
      <c r="AH1165" s="51">
        <f t="shared" si="1047"/>
        <v>42</v>
      </c>
      <c r="AI1165" s="52" t="s">
        <v>2497</v>
      </c>
      <c r="AJ1165" s="52" t="s">
        <v>2498</v>
      </c>
      <c r="AK1165" s="53">
        <f t="shared" si="1082"/>
        <v>3.5432999999999992E-3</v>
      </c>
      <c r="AL1165" s="54">
        <f t="shared" si="1083"/>
        <v>0.11904761904761904</v>
      </c>
      <c r="AM1165" s="54">
        <f t="shared" si="1084"/>
        <v>2.3809523809523808E-2</v>
      </c>
      <c r="AN1165" s="55">
        <f t="shared" si="1085"/>
        <v>8.4364285714285693E-4</v>
      </c>
      <c r="AO1165" s="55">
        <f t="shared" si="1086"/>
        <v>1.6872857142857139E-4</v>
      </c>
      <c r="AP1165" s="53">
        <v>7.1</v>
      </c>
      <c r="AQ1165" s="53">
        <f t="shared" si="1054"/>
        <v>4.26</v>
      </c>
      <c r="AR1165" s="53">
        <f t="shared" si="1055"/>
        <v>21.299999999999997</v>
      </c>
      <c r="AS1165" s="56">
        <f t="shared" si="1056"/>
        <v>4.6948356807511742E-2</v>
      </c>
      <c r="AT1165" s="56">
        <f t="shared" si="1087"/>
        <v>0.23474178403755869</v>
      </c>
      <c r="AU1165" s="56">
        <f t="shared" si="1057"/>
        <v>0.176056338028169</v>
      </c>
      <c r="AV1165" s="56">
        <f t="shared" si="1088"/>
        <v>5.8685446009389672E-2</v>
      </c>
      <c r="AW1165" s="57"/>
      <c r="AX1165" s="57"/>
      <c r="AY1165" s="57"/>
      <c r="AZ1165" s="58">
        <f t="shared" si="1089"/>
        <v>3.5432999999999992E-3</v>
      </c>
      <c r="BA1165" s="59">
        <f t="shared" si="1090"/>
        <v>0</v>
      </c>
      <c r="BB1165" s="59">
        <f t="shared" si="1091"/>
        <v>0</v>
      </c>
      <c r="BC1165" s="59">
        <f t="shared" si="1092"/>
        <v>0</v>
      </c>
      <c r="BD1165" s="60">
        <f t="shared" si="1093"/>
        <v>8.1300813008130081E-4</v>
      </c>
      <c r="BE1165" s="59">
        <f t="shared" si="1094"/>
        <v>1.6260162601626016E-3</v>
      </c>
      <c r="BQ1165" s="61">
        <v>3000</v>
      </c>
      <c r="BR1165" s="61">
        <v>1200</v>
      </c>
      <c r="BS1165" s="28">
        <f t="shared" si="1058"/>
        <v>2980</v>
      </c>
      <c r="BT1165" s="28">
        <f t="shared" si="1059"/>
        <v>1180</v>
      </c>
      <c r="BU1165" s="28" t="s">
        <v>2541</v>
      </c>
      <c r="BV1165" s="28">
        <f t="shared" si="1060"/>
        <v>191</v>
      </c>
      <c r="BW1165" s="28">
        <f t="shared" si="1061"/>
        <v>14.524999999999999</v>
      </c>
      <c r="BX1165" s="13">
        <f t="shared" si="1062"/>
        <v>15.602094240837696</v>
      </c>
      <c r="BY1165" s="13">
        <f t="shared" si="1063"/>
        <v>15</v>
      </c>
      <c r="BZ1165" s="13">
        <f t="shared" si="1064"/>
        <v>81.239242685025829</v>
      </c>
      <c r="CA1165" s="13">
        <f t="shared" si="1065"/>
        <v>81</v>
      </c>
      <c r="CB1165" s="13">
        <f t="shared" si="1066"/>
        <v>1215</v>
      </c>
      <c r="CC1165" s="62">
        <f t="shared" si="1067"/>
        <v>8.2304526748971192E-4</v>
      </c>
      <c r="CD1165" s="13">
        <f t="shared" si="1068"/>
        <v>205.16351118760758</v>
      </c>
      <c r="CE1165" s="13">
        <f t="shared" si="1069"/>
        <v>205</v>
      </c>
      <c r="CF1165" s="13">
        <f t="shared" si="1070"/>
        <v>6.1780104712041881</v>
      </c>
      <c r="CG1165" s="13">
        <f t="shared" si="1071"/>
        <v>6</v>
      </c>
      <c r="CH1165" s="28">
        <f t="shared" si="1072"/>
        <v>1230</v>
      </c>
      <c r="CI1165" s="62">
        <f t="shared" si="1073"/>
        <v>8.1300813008130081E-4</v>
      </c>
      <c r="CJ1165" s="59">
        <f t="shared" si="1074"/>
        <v>8.1300813008130081E-4</v>
      </c>
      <c r="CL1165" s="63">
        <v>6000</v>
      </c>
      <c r="CM1165" s="63">
        <f t="shared" si="1075"/>
        <v>186</v>
      </c>
      <c r="CN1165" s="63">
        <f t="shared" si="1076"/>
        <v>191</v>
      </c>
      <c r="CO1165" s="63">
        <f t="shared" si="1077"/>
        <v>31.413612565445025</v>
      </c>
      <c r="CP1165" s="13">
        <f t="shared" si="1078"/>
        <v>31</v>
      </c>
      <c r="CQ1165" s="70">
        <f t="shared" si="1079"/>
        <v>3.2258064516129031E-2</v>
      </c>
      <c r="CR1165" s="69">
        <f t="shared" si="1043"/>
        <v>6.4516129032258063E-2</v>
      </c>
    </row>
    <row r="1166" spans="1:96" hidden="1" x14ac:dyDescent="0.25">
      <c r="A1166" s="17">
        <v>5</v>
      </c>
      <c r="B1166" s="6" t="s">
        <v>2350</v>
      </c>
      <c r="C1166" s="17" t="s">
        <v>2351</v>
      </c>
      <c r="D1166" s="17" t="s">
        <v>2270</v>
      </c>
      <c r="E1166" s="17" t="s">
        <v>52</v>
      </c>
      <c r="F1166" s="7">
        <f t="shared" si="1048"/>
        <v>2</v>
      </c>
      <c r="G1166" s="17">
        <v>1</v>
      </c>
      <c r="H1166" s="17">
        <f t="shared" si="1095"/>
        <v>1</v>
      </c>
      <c r="I1166" s="17" t="s">
        <v>2308</v>
      </c>
      <c r="J1166" s="6" t="s">
        <v>2352</v>
      </c>
      <c r="K1166" s="6"/>
      <c r="L1166" s="17" t="s">
        <v>2195</v>
      </c>
      <c r="M1166" s="6" t="s">
        <v>35</v>
      </c>
      <c r="N1166" s="17" t="s">
        <v>2353</v>
      </c>
      <c r="O1166" s="28"/>
      <c r="P1166" s="28"/>
      <c r="Q1166" s="28" t="s">
        <v>124</v>
      </c>
      <c r="R1166" s="30">
        <v>38</v>
      </c>
      <c r="S1166" s="30">
        <v>2.3540000000000001</v>
      </c>
      <c r="T1166" s="30"/>
      <c r="U1166" s="30">
        <v>9.8425196850393706E-2</v>
      </c>
      <c r="V1166" s="8">
        <f t="shared" si="1049"/>
        <v>965.19999999999993</v>
      </c>
      <c r="W1166" s="8">
        <f t="shared" si="1050"/>
        <v>59.791600000000003</v>
      </c>
      <c r="X1166" s="8">
        <f t="shared" si="1051"/>
        <v>0</v>
      </c>
      <c r="Y1166" s="33">
        <f t="shared" si="1052"/>
        <v>2.5</v>
      </c>
      <c r="Z1166" s="28" t="s">
        <v>56</v>
      </c>
      <c r="AA1166" s="28" t="s">
        <v>57</v>
      </c>
      <c r="AB1166" s="61" t="s">
        <v>124</v>
      </c>
      <c r="AC1166" s="31" t="s">
        <v>125</v>
      </c>
      <c r="AD1166" s="50">
        <f t="shared" si="1053"/>
        <v>1</v>
      </c>
      <c r="AE1166" s="5" t="s">
        <v>2188</v>
      </c>
      <c r="AF1166" s="51">
        <v>14</v>
      </c>
      <c r="AG1166" s="51">
        <f t="shared" si="1081"/>
        <v>8.4</v>
      </c>
      <c r="AH1166" s="51">
        <f t="shared" si="1047"/>
        <v>42</v>
      </c>
      <c r="AI1166" s="52" t="s">
        <v>2497</v>
      </c>
      <c r="AJ1166" s="52" t="s">
        <v>2498</v>
      </c>
      <c r="AK1166" s="53">
        <f t="shared" si="1082"/>
        <v>0.11542170464</v>
      </c>
      <c r="AL1166" s="54">
        <f t="shared" si="1083"/>
        <v>0.11904761904761904</v>
      </c>
      <c r="AM1166" s="54">
        <f t="shared" si="1084"/>
        <v>2.3809523809523808E-2</v>
      </c>
      <c r="AN1166" s="55">
        <f t="shared" si="1085"/>
        <v>1.3740679123809522E-2</v>
      </c>
      <c r="AO1166" s="55">
        <f t="shared" si="1086"/>
        <v>2.7481358247619047E-3</v>
      </c>
      <c r="AP1166" s="53">
        <v>7.1</v>
      </c>
      <c r="AQ1166" s="53">
        <f t="shared" si="1054"/>
        <v>4.26</v>
      </c>
      <c r="AR1166" s="53">
        <f t="shared" si="1055"/>
        <v>21.299999999999997</v>
      </c>
      <c r="AS1166" s="56">
        <f t="shared" si="1056"/>
        <v>4.6948356807511742E-2</v>
      </c>
      <c r="AT1166" s="56">
        <f t="shared" si="1087"/>
        <v>0.23474178403755869</v>
      </c>
      <c r="AU1166" s="56">
        <f t="shared" si="1057"/>
        <v>0.176056338028169</v>
      </c>
      <c r="AV1166" s="56">
        <f t="shared" si="1088"/>
        <v>5.8685446009389672E-2</v>
      </c>
      <c r="AW1166" s="57"/>
      <c r="AX1166" s="57"/>
      <c r="AY1166" s="57"/>
      <c r="AZ1166" s="58">
        <f t="shared" si="1089"/>
        <v>0.11542170464</v>
      </c>
      <c r="BA1166" s="59">
        <f t="shared" si="1090"/>
        <v>0</v>
      </c>
      <c r="BB1166" s="59">
        <f t="shared" si="1091"/>
        <v>0</v>
      </c>
      <c r="BC1166" s="59">
        <f t="shared" si="1092"/>
        <v>0</v>
      </c>
      <c r="BD1166" s="60">
        <f t="shared" si="1093"/>
        <v>1.8518518518518517E-2</v>
      </c>
      <c r="BE1166" s="59">
        <f t="shared" si="1094"/>
        <v>1.8518518518518517E-2</v>
      </c>
      <c r="BQ1166" s="61">
        <v>3000</v>
      </c>
      <c r="BR1166" s="61">
        <v>1200</v>
      </c>
      <c r="BS1166" s="28">
        <f t="shared" si="1058"/>
        <v>2980</v>
      </c>
      <c r="BT1166" s="28">
        <f t="shared" si="1059"/>
        <v>1180</v>
      </c>
      <c r="BU1166" s="28" t="s">
        <v>2541</v>
      </c>
      <c r="BV1166" s="28">
        <f t="shared" si="1060"/>
        <v>970.19999999999993</v>
      </c>
      <c r="BW1166" s="28">
        <f t="shared" si="1061"/>
        <v>64.791600000000003</v>
      </c>
      <c r="BX1166" s="13">
        <f t="shared" si="1062"/>
        <v>3.0715316429602146</v>
      </c>
      <c r="BY1166" s="13">
        <f t="shared" si="1063"/>
        <v>3</v>
      </c>
      <c r="BZ1166" s="13">
        <f t="shared" si="1064"/>
        <v>18.212237388797313</v>
      </c>
      <c r="CA1166" s="13">
        <f t="shared" si="1065"/>
        <v>18</v>
      </c>
      <c r="CB1166" s="13">
        <f t="shared" si="1066"/>
        <v>54</v>
      </c>
      <c r="CC1166" s="62">
        <f t="shared" si="1067"/>
        <v>1.8518518518518517E-2</v>
      </c>
      <c r="CD1166" s="13">
        <f t="shared" si="1068"/>
        <v>45.993616456454227</v>
      </c>
      <c r="CE1166" s="13">
        <f t="shared" si="1069"/>
        <v>45</v>
      </c>
      <c r="CF1166" s="13">
        <f t="shared" si="1070"/>
        <v>1.2162440733869306</v>
      </c>
      <c r="CG1166" s="13">
        <f t="shared" si="1071"/>
        <v>1</v>
      </c>
      <c r="CH1166" s="28">
        <f t="shared" si="1072"/>
        <v>45</v>
      </c>
      <c r="CI1166" s="62">
        <f t="shared" si="1073"/>
        <v>2.2222222222222223E-2</v>
      </c>
      <c r="CJ1166" s="59">
        <f t="shared" si="1074"/>
        <v>1.8518518518518517E-2</v>
      </c>
      <c r="CL1166" s="63">
        <v>6000</v>
      </c>
      <c r="CM1166" s="63">
        <f t="shared" si="1075"/>
        <v>965.19999999999993</v>
      </c>
      <c r="CN1166" s="63">
        <f t="shared" si="1076"/>
        <v>970.19999999999993</v>
      </c>
      <c r="CO1166" s="63">
        <f t="shared" si="1077"/>
        <v>6.1842918985776132</v>
      </c>
      <c r="CP1166" s="13">
        <f t="shared" si="1078"/>
        <v>6</v>
      </c>
      <c r="CQ1166" s="70">
        <f t="shared" si="1079"/>
        <v>0.16666666666666666</v>
      </c>
      <c r="CR1166" s="69">
        <f t="shared" si="1043"/>
        <v>0.16666666666666666</v>
      </c>
    </row>
    <row r="1167" spans="1:96" hidden="1" x14ac:dyDescent="0.25">
      <c r="A1167" s="13">
        <v>4</v>
      </c>
      <c r="B1167" s="14" t="s">
        <v>2393</v>
      </c>
      <c r="C1167" s="13" t="s">
        <v>2394</v>
      </c>
      <c r="D1167" s="13" t="s">
        <v>2270</v>
      </c>
      <c r="E1167" s="13" t="s">
        <v>52</v>
      </c>
      <c r="F1167" s="15">
        <f t="shared" si="1048"/>
        <v>1</v>
      </c>
      <c r="G1167" s="13">
        <v>1</v>
      </c>
      <c r="H1167" s="13">
        <f t="shared" ref="H1167:H1171" si="1096">G1167*$H$1160</f>
        <v>1</v>
      </c>
      <c r="I1167" s="13" t="s">
        <v>2267</v>
      </c>
      <c r="J1167" s="14" t="s">
        <v>2367</v>
      </c>
      <c r="K1167" s="14"/>
      <c r="L1167" s="13" t="s">
        <v>110</v>
      </c>
      <c r="M1167" s="14" t="s">
        <v>35</v>
      </c>
      <c r="N1167" s="13" t="s">
        <v>2395</v>
      </c>
      <c r="O1167" s="28"/>
      <c r="P1167" s="28"/>
      <c r="Q1167" s="28" t="s">
        <v>116</v>
      </c>
      <c r="R1167" s="30">
        <v>44.418999999999997</v>
      </c>
      <c r="S1167" s="30">
        <v>16.251000000000001</v>
      </c>
      <c r="T1167" s="30"/>
      <c r="U1167" s="30">
        <v>0.11799999999999999</v>
      </c>
      <c r="V1167" s="8">
        <f t="shared" si="1049"/>
        <v>1128.2425999999998</v>
      </c>
      <c r="W1167" s="8">
        <f t="shared" si="1050"/>
        <v>412.77539999999999</v>
      </c>
      <c r="X1167" s="8">
        <f t="shared" si="1051"/>
        <v>0</v>
      </c>
      <c r="Y1167" s="33">
        <f t="shared" si="1052"/>
        <v>2.9971999999999999</v>
      </c>
      <c r="Z1167" s="28" t="s">
        <v>56</v>
      </c>
      <c r="AA1167" s="28" t="s">
        <v>57</v>
      </c>
      <c r="AB1167" s="28" t="s">
        <v>116</v>
      </c>
      <c r="AC1167" s="31" t="s">
        <v>117</v>
      </c>
      <c r="AD1167" s="50">
        <f t="shared" si="1053"/>
        <v>1</v>
      </c>
      <c r="AE1167" s="5" t="s">
        <v>2188</v>
      </c>
      <c r="AF1167" s="51">
        <v>14</v>
      </c>
      <c r="AG1167" s="51">
        <f t="shared" si="1081"/>
        <v>8.4</v>
      </c>
      <c r="AH1167" s="51">
        <f t="shared" si="1047"/>
        <v>42</v>
      </c>
      <c r="AI1167" s="52" t="s">
        <v>2497</v>
      </c>
      <c r="AJ1167" s="52" t="s">
        <v>2498</v>
      </c>
      <c r="AK1167" s="53">
        <f t="shared" si="1082"/>
        <v>0.93142158102407979</v>
      </c>
      <c r="AL1167" s="54">
        <f t="shared" si="1083"/>
        <v>0.11904761904761904</v>
      </c>
      <c r="AM1167" s="54">
        <f t="shared" si="1084"/>
        <v>2.3809523809523808E-2</v>
      </c>
      <c r="AN1167" s="55">
        <f t="shared" si="1085"/>
        <v>0.11088352155048568</v>
      </c>
      <c r="AO1167" s="55">
        <f t="shared" si="1086"/>
        <v>2.2176704310097137E-2</v>
      </c>
      <c r="AP1167" s="53">
        <v>7.1</v>
      </c>
      <c r="AQ1167" s="53">
        <f t="shared" si="1054"/>
        <v>4.26</v>
      </c>
      <c r="AR1167" s="53">
        <f t="shared" si="1055"/>
        <v>21.299999999999997</v>
      </c>
      <c r="AS1167" s="56">
        <f t="shared" si="1056"/>
        <v>4.6948356807511742E-2</v>
      </c>
      <c r="AT1167" s="56">
        <f t="shared" si="1087"/>
        <v>0.23474178403755869</v>
      </c>
      <c r="AU1167" s="56">
        <f t="shared" si="1057"/>
        <v>0.176056338028169</v>
      </c>
      <c r="AV1167" s="56">
        <f t="shared" si="1088"/>
        <v>5.8685446009389672E-2</v>
      </c>
      <c r="AW1167" s="57"/>
      <c r="AX1167" s="57"/>
      <c r="AY1167" s="57"/>
      <c r="AZ1167" s="58">
        <f t="shared" si="1089"/>
        <v>0.93142158102407979</v>
      </c>
      <c r="BA1167" s="59">
        <f t="shared" si="1090"/>
        <v>0</v>
      </c>
      <c r="BB1167" s="59">
        <f t="shared" si="1091"/>
        <v>0</v>
      </c>
      <c r="BC1167" s="59">
        <f t="shared" si="1092"/>
        <v>0</v>
      </c>
      <c r="BD1167" s="60">
        <f t="shared" si="1093"/>
        <v>0.14285714285714285</v>
      </c>
      <c r="BE1167" s="59">
        <f t="shared" si="1094"/>
        <v>0.14285714285714285</v>
      </c>
      <c r="BQ1167" s="61">
        <v>3000</v>
      </c>
      <c r="BR1167" s="61">
        <v>1200</v>
      </c>
      <c r="BS1167" s="28">
        <f t="shared" si="1058"/>
        <v>2980</v>
      </c>
      <c r="BT1167" s="28">
        <f t="shared" si="1059"/>
        <v>1180</v>
      </c>
      <c r="BU1167" s="28" t="s">
        <v>2541</v>
      </c>
      <c r="BV1167" s="28">
        <f t="shared" si="1060"/>
        <v>1133.2425999999998</v>
      </c>
      <c r="BW1167" s="28">
        <f t="shared" si="1061"/>
        <v>417.77539999999999</v>
      </c>
      <c r="BX1167" s="13">
        <f t="shared" si="1062"/>
        <v>2.6296222891726808</v>
      </c>
      <c r="BY1167" s="13">
        <f t="shared" si="1063"/>
        <v>2</v>
      </c>
      <c r="BZ1167" s="13">
        <f t="shared" si="1064"/>
        <v>2.8244841606279354</v>
      </c>
      <c r="CA1167" s="13">
        <f t="shared" si="1065"/>
        <v>2</v>
      </c>
      <c r="CB1167" s="13">
        <f t="shared" si="1066"/>
        <v>4</v>
      </c>
      <c r="CC1167" s="62">
        <f t="shared" si="1067"/>
        <v>0.25</v>
      </c>
      <c r="CD1167" s="13">
        <f t="shared" si="1068"/>
        <v>7.1330193209078372</v>
      </c>
      <c r="CE1167" s="13">
        <f t="shared" si="1069"/>
        <v>7</v>
      </c>
      <c r="CF1167" s="13">
        <f t="shared" si="1070"/>
        <v>1.0412598326254239</v>
      </c>
      <c r="CG1167" s="13">
        <f t="shared" si="1071"/>
        <v>1</v>
      </c>
      <c r="CH1167" s="28">
        <f t="shared" si="1072"/>
        <v>7</v>
      </c>
      <c r="CI1167" s="62">
        <f t="shared" si="1073"/>
        <v>0.14285714285714285</v>
      </c>
      <c r="CJ1167" s="59">
        <f t="shared" si="1074"/>
        <v>0.14285714285714285</v>
      </c>
      <c r="CL1167" s="63">
        <v>6000</v>
      </c>
      <c r="CM1167" s="63">
        <f t="shared" si="1075"/>
        <v>1128.2425999999998</v>
      </c>
      <c r="CN1167" s="63">
        <f t="shared" si="1076"/>
        <v>1133.2425999999998</v>
      </c>
      <c r="CO1167" s="63">
        <f t="shared" si="1077"/>
        <v>5.2945415218241889</v>
      </c>
      <c r="CP1167" s="13">
        <f t="shared" si="1078"/>
        <v>5</v>
      </c>
      <c r="CQ1167" s="70">
        <f t="shared" si="1079"/>
        <v>0.2</v>
      </c>
      <c r="CR1167" s="69">
        <f t="shared" si="1043"/>
        <v>0.2</v>
      </c>
    </row>
    <row r="1168" spans="1:96" hidden="1" x14ac:dyDescent="0.25">
      <c r="A1168" s="13">
        <v>4</v>
      </c>
      <c r="B1168" s="14" t="s">
        <v>2396</v>
      </c>
      <c r="C1168" s="13" t="s">
        <v>2397</v>
      </c>
      <c r="D1168" s="13" t="s">
        <v>2270</v>
      </c>
      <c r="E1168" s="13" t="s">
        <v>52</v>
      </c>
      <c r="F1168" s="15">
        <f t="shared" si="1048"/>
        <v>1</v>
      </c>
      <c r="G1168" s="13">
        <v>1</v>
      </c>
      <c r="H1168" s="13">
        <f t="shared" si="1096"/>
        <v>1</v>
      </c>
      <c r="I1168" s="13" t="s">
        <v>2299</v>
      </c>
      <c r="J1168" s="14" t="s">
        <v>2372</v>
      </c>
      <c r="K1168" s="14"/>
      <c r="L1168" s="13" t="s">
        <v>2195</v>
      </c>
      <c r="M1168" s="14" t="s">
        <v>35</v>
      </c>
      <c r="N1168" s="13" t="s">
        <v>2398</v>
      </c>
      <c r="O1168" s="28"/>
      <c r="P1168" s="28"/>
      <c r="Q1168" s="28" t="s">
        <v>124</v>
      </c>
      <c r="R1168" s="30">
        <v>43.738</v>
      </c>
      <c r="S1168" s="30">
        <v>10.791</v>
      </c>
      <c r="T1168" s="30"/>
      <c r="U1168" s="30">
        <v>9.8425196850393706E-2</v>
      </c>
      <c r="V1168" s="8">
        <f t="shared" si="1049"/>
        <v>1110.9451999999999</v>
      </c>
      <c r="W1168" s="8">
        <f t="shared" si="1050"/>
        <v>274.09140000000002</v>
      </c>
      <c r="X1168" s="8">
        <f t="shared" si="1051"/>
        <v>0</v>
      </c>
      <c r="Y1168" s="33">
        <f t="shared" si="1052"/>
        <v>2.5</v>
      </c>
      <c r="Z1168" s="28" t="s">
        <v>56</v>
      </c>
      <c r="AA1168" s="28" t="s">
        <v>57</v>
      </c>
      <c r="AB1168" s="61" t="s">
        <v>124</v>
      </c>
      <c r="AC1168" s="31" t="s">
        <v>125</v>
      </c>
      <c r="AD1168" s="50">
        <f t="shared" si="1053"/>
        <v>1</v>
      </c>
      <c r="AE1168" s="5" t="s">
        <v>2188</v>
      </c>
      <c r="AF1168" s="51">
        <v>14</v>
      </c>
      <c r="AG1168" s="51">
        <f t="shared" si="1081"/>
        <v>8.4</v>
      </c>
      <c r="AH1168" s="51">
        <f t="shared" si="1047"/>
        <v>42</v>
      </c>
      <c r="AI1168" s="52" t="s">
        <v>2497</v>
      </c>
      <c r="AJ1168" s="52" t="s">
        <v>2498</v>
      </c>
      <c r="AK1168" s="53">
        <f t="shared" si="1082"/>
        <v>0.60900105038256003</v>
      </c>
      <c r="AL1168" s="54">
        <f t="shared" si="1083"/>
        <v>0.11904761904761904</v>
      </c>
      <c r="AM1168" s="54">
        <f t="shared" si="1084"/>
        <v>2.3809523809523808E-2</v>
      </c>
      <c r="AN1168" s="55">
        <f t="shared" si="1085"/>
        <v>7.250012504554286E-2</v>
      </c>
      <c r="AO1168" s="55">
        <f t="shared" si="1086"/>
        <v>1.4500025009108571E-2</v>
      </c>
      <c r="AP1168" s="53">
        <v>7.1</v>
      </c>
      <c r="AQ1168" s="53">
        <f t="shared" si="1054"/>
        <v>4.26</v>
      </c>
      <c r="AR1168" s="53">
        <f t="shared" si="1055"/>
        <v>21.299999999999997</v>
      </c>
      <c r="AS1168" s="56">
        <f t="shared" si="1056"/>
        <v>4.6948356807511742E-2</v>
      </c>
      <c r="AT1168" s="56">
        <f t="shared" si="1087"/>
        <v>0.23474178403755869</v>
      </c>
      <c r="AU1168" s="56">
        <f t="shared" si="1057"/>
        <v>0.176056338028169</v>
      </c>
      <c r="AV1168" s="56">
        <f t="shared" si="1088"/>
        <v>5.8685446009389672E-2</v>
      </c>
      <c r="AW1168" s="57"/>
      <c r="AX1168" s="57"/>
      <c r="AY1168" s="57"/>
      <c r="AZ1168" s="58">
        <f t="shared" si="1089"/>
        <v>0.60900105038256003</v>
      </c>
      <c r="BA1168" s="59">
        <f t="shared" si="1090"/>
        <v>0</v>
      </c>
      <c r="BB1168" s="59">
        <f t="shared" si="1091"/>
        <v>0</v>
      </c>
      <c r="BC1168" s="59">
        <f t="shared" si="1092"/>
        <v>0</v>
      </c>
      <c r="BD1168" s="60">
        <f t="shared" si="1093"/>
        <v>0.1</v>
      </c>
      <c r="BE1168" s="59">
        <f t="shared" si="1094"/>
        <v>0.1</v>
      </c>
      <c r="BQ1168" s="61">
        <v>3000</v>
      </c>
      <c r="BR1168" s="61">
        <v>1200</v>
      </c>
      <c r="BS1168" s="28">
        <f t="shared" si="1058"/>
        <v>2980</v>
      </c>
      <c r="BT1168" s="28">
        <f t="shared" si="1059"/>
        <v>1180</v>
      </c>
      <c r="BU1168" s="28" t="s">
        <v>2541</v>
      </c>
      <c r="BV1168" s="28">
        <f t="shared" si="1060"/>
        <v>1115.9451999999999</v>
      </c>
      <c r="BW1168" s="28">
        <f t="shared" si="1061"/>
        <v>279.09140000000002</v>
      </c>
      <c r="BX1168" s="13">
        <f t="shared" si="1062"/>
        <v>2.6703820223430328</v>
      </c>
      <c r="BY1168" s="13">
        <f t="shared" si="1063"/>
        <v>2</v>
      </c>
      <c r="BZ1168" s="13">
        <f t="shared" si="1064"/>
        <v>4.2280055924331599</v>
      </c>
      <c r="CA1168" s="13">
        <f t="shared" si="1065"/>
        <v>4</v>
      </c>
      <c r="CB1168" s="13">
        <f t="shared" si="1066"/>
        <v>8</v>
      </c>
      <c r="CC1168" s="62">
        <f t="shared" si="1067"/>
        <v>0.125</v>
      </c>
      <c r="CD1168" s="13">
        <f t="shared" si="1068"/>
        <v>10.677505648687132</v>
      </c>
      <c r="CE1168" s="13">
        <f t="shared" si="1069"/>
        <v>10</v>
      </c>
      <c r="CF1168" s="13">
        <f t="shared" si="1070"/>
        <v>1.0573995927398587</v>
      </c>
      <c r="CG1168" s="13">
        <f t="shared" si="1071"/>
        <v>1</v>
      </c>
      <c r="CH1168" s="28">
        <f t="shared" si="1072"/>
        <v>10</v>
      </c>
      <c r="CI1168" s="62">
        <f t="shared" si="1073"/>
        <v>0.1</v>
      </c>
      <c r="CJ1168" s="59">
        <f t="shared" si="1074"/>
        <v>0.1</v>
      </c>
      <c r="CL1168" s="63">
        <v>6000</v>
      </c>
      <c r="CM1168" s="63">
        <f t="shared" si="1075"/>
        <v>1110.9451999999999</v>
      </c>
      <c r="CN1168" s="63">
        <f t="shared" si="1076"/>
        <v>1115.9451999999999</v>
      </c>
      <c r="CO1168" s="63">
        <f t="shared" si="1077"/>
        <v>5.3766080986772478</v>
      </c>
      <c r="CP1168" s="13">
        <f t="shared" si="1078"/>
        <v>5</v>
      </c>
      <c r="CQ1168" s="70">
        <f t="shared" si="1079"/>
        <v>0.2</v>
      </c>
      <c r="CR1168" s="69">
        <f t="shared" si="1043"/>
        <v>0.2</v>
      </c>
    </row>
    <row r="1169" spans="1:96" x14ac:dyDescent="0.25">
      <c r="A1169" s="13">
        <v>4</v>
      </c>
      <c r="B1169" s="14" t="s">
        <v>2354</v>
      </c>
      <c r="C1169" s="13" t="s">
        <v>2355</v>
      </c>
      <c r="D1169" s="13" t="s">
        <v>2270</v>
      </c>
      <c r="E1169" s="13" t="s">
        <v>52</v>
      </c>
      <c r="F1169" s="15">
        <f t="shared" si="1048"/>
        <v>2</v>
      </c>
      <c r="G1169" s="13">
        <v>1</v>
      </c>
      <c r="H1169" s="13">
        <f t="shared" si="1096"/>
        <v>1</v>
      </c>
      <c r="I1169" s="13" t="s">
        <v>2308</v>
      </c>
      <c r="J1169" s="14" t="s">
        <v>2356</v>
      </c>
      <c r="K1169" s="14"/>
      <c r="L1169" s="13" t="s">
        <v>2195</v>
      </c>
      <c r="M1169" s="14" t="s">
        <v>35</v>
      </c>
      <c r="N1169" s="13" t="s">
        <v>2357</v>
      </c>
      <c r="O1169" s="28"/>
      <c r="P1169" s="28"/>
      <c r="Q1169" s="28" t="s">
        <v>2585</v>
      </c>
      <c r="R1169" s="30">
        <v>18.585000000000001</v>
      </c>
      <c r="S1169" s="30">
        <v>5.61</v>
      </c>
      <c r="T1169" s="30"/>
      <c r="U1169" s="30">
        <v>0.06</v>
      </c>
      <c r="V1169" s="8">
        <f t="shared" si="1049"/>
        <v>472.05899999999997</v>
      </c>
      <c r="W1169" s="8">
        <f t="shared" si="1050"/>
        <v>142.494</v>
      </c>
      <c r="X1169" s="8">
        <f t="shared" si="1051"/>
        <v>0</v>
      </c>
      <c r="Y1169" s="33">
        <f t="shared" si="1052"/>
        <v>1.5239999999999998</v>
      </c>
      <c r="Z1169" s="28" t="s">
        <v>56</v>
      </c>
      <c r="AA1169" s="28" t="s">
        <v>1765</v>
      </c>
      <c r="AB1169" s="61" t="s">
        <v>2585</v>
      </c>
      <c r="AC1169" s="31" t="s">
        <v>2586</v>
      </c>
      <c r="AD1169" s="50">
        <f t="shared" si="1053"/>
        <v>1</v>
      </c>
      <c r="AE1169" s="5" t="s">
        <v>2188</v>
      </c>
      <c r="AF1169" s="51">
        <v>14</v>
      </c>
      <c r="AG1169" s="51">
        <f t="shared" si="1081"/>
        <v>8.4</v>
      </c>
      <c r="AH1169" s="51">
        <f t="shared" si="1047"/>
        <v>42</v>
      </c>
      <c r="AI1169" s="52" t="s">
        <v>2497</v>
      </c>
      <c r="AJ1169" s="52" t="s">
        <v>2498</v>
      </c>
      <c r="AK1169" s="53">
        <f t="shared" si="1082"/>
        <v>0.13453115029199997</v>
      </c>
      <c r="AL1169" s="54">
        <f t="shared" si="1083"/>
        <v>0.11904761904761904</v>
      </c>
      <c r="AM1169" s="54">
        <f t="shared" si="1084"/>
        <v>2.3809523809523808E-2</v>
      </c>
      <c r="AN1169" s="55">
        <f t="shared" si="1085"/>
        <v>1.6015613129999995E-2</v>
      </c>
      <c r="AO1169" s="55">
        <f t="shared" si="1086"/>
        <v>3.2031226259999989E-3</v>
      </c>
      <c r="AP1169" s="53">
        <v>7.1</v>
      </c>
      <c r="AQ1169" s="53">
        <f t="shared" si="1054"/>
        <v>4.26</v>
      </c>
      <c r="AR1169" s="53">
        <f t="shared" si="1055"/>
        <v>21.299999999999997</v>
      </c>
      <c r="AS1169" s="56">
        <f t="shared" si="1056"/>
        <v>4.6948356807511742E-2</v>
      </c>
      <c r="AT1169" s="56">
        <f t="shared" si="1087"/>
        <v>0.23474178403755869</v>
      </c>
      <c r="AU1169" s="56">
        <f t="shared" si="1057"/>
        <v>0.176056338028169</v>
      </c>
      <c r="AV1169" s="56">
        <f t="shared" si="1088"/>
        <v>5.8685446009389672E-2</v>
      </c>
      <c r="AW1169" s="57"/>
      <c r="AX1169" s="57"/>
      <c r="AY1169" s="57"/>
      <c r="AZ1169" s="58">
        <f t="shared" si="1089"/>
        <v>0.13453115029199997</v>
      </c>
      <c r="BA1169" s="59">
        <f t="shared" si="1090"/>
        <v>0</v>
      </c>
      <c r="BB1169" s="59">
        <f t="shared" si="1091"/>
        <v>0</v>
      </c>
      <c r="BC1169" s="59">
        <f t="shared" si="1092"/>
        <v>0</v>
      </c>
      <c r="BD1169" s="60">
        <f t="shared" si="1093"/>
        <v>2.0833333333333332E-2</v>
      </c>
      <c r="BE1169" s="59">
        <f t="shared" si="1094"/>
        <v>2.0833333333333332E-2</v>
      </c>
      <c r="BQ1169" s="61">
        <v>3000</v>
      </c>
      <c r="BR1169" s="61">
        <v>1200</v>
      </c>
      <c r="BS1169" s="28">
        <f t="shared" si="1058"/>
        <v>2980</v>
      </c>
      <c r="BT1169" s="28">
        <f t="shared" si="1059"/>
        <v>1180</v>
      </c>
      <c r="BU1169" s="28" t="s">
        <v>2541</v>
      </c>
      <c r="BV1169" s="28">
        <f t="shared" si="1060"/>
        <v>477.05899999999997</v>
      </c>
      <c r="BW1169" s="28">
        <f t="shared" si="1061"/>
        <v>147.494</v>
      </c>
      <c r="BX1169" s="13">
        <f t="shared" si="1062"/>
        <v>6.2466068138322521</v>
      </c>
      <c r="BY1169" s="13">
        <f t="shared" si="1063"/>
        <v>6</v>
      </c>
      <c r="BZ1169" s="13">
        <f t="shared" si="1064"/>
        <v>8.0003254369669268</v>
      </c>
      <c r="CA1169" s="13">
        <f t="shared" si="1065"/>
        <v>8</v>
      </c>
      <c r="CB1169" s="13">
        <f t="shared" si="1066"/>
        <v>48</v>
      </c>
      <c r="CC1169" s="62">
        <f t="shared" si="1067"/>
        <v>2.0833333333333332E-2</v>
      </c>
      <c r="CD1169" s="13">
        <f t="shared" si="1068"/>
        <v>20.204211696746988</v>
      </c>
      <c r="CE1169" s="13">
        <f t="shared" si="1069"/>
        <v>20</v>
      </c>
      <c r="CF1169" s="13">
        <f t="shared" si="1070"/>
        <v>2.4734886041349187</v>
      </c>
      <c r="CG1169" s="13">
        <f t="shared" si="1071"/>
        <v>2</v>
      </c>
      <c r="CH1169" s="28">
        <f t="shared" si="1072"/>
        <v>40</v>
      </c>
      <c r="CI1169" s="62">
        <f t="shared" si="1073"/>
        <v>2.5000000000000001E-2</v>
      </c>
      <c r="CJ1169" s="59">
        <f t="shared" si="1074"/>
        <v>2.0833333333333332E-2</v>
      </c>
      <c r="CL1169" s="63">
        <v>6000</v>
      </c>
      <c r="CM1169" s="63">
        <f t="shared" si="1075"/>
        <v>472.05899999999997</v>
      </c>
      <c r="CN1169" s="63">
        <f t="shared" si="1076"/>
        <v>477.05899999999997</v>
      </c>
      <c r="CO1169" s="63">
        <f t="shared" si="1077"/>
        <v>12.577060698991112</v>
      </c>
      <c r="CP1169" s="13">
        <f t="shared" si="1078"/>
        <v>12</v>
      </c>
      <c r="CQ1169" s="70">
        <f t="shared" si="1079"/>
        <v>8.3333333333333329E-2</v>
      </c>
      <c r="CR1169" s="69">
        <f t="shared" si="1043"/>
        <v>8.3333333333333329E-2</v>
      </c>
    </row>
    <row r="1170" spans="1:96" hidden="1" x14ac:dyDescent="0.25">
      <c r="A1170" s="13">
        <v>4</v>
      </c>
      <c r="B1170" s="14" t="s">
        <v>2358</v>
      </c>
      <c r="C1170" s="13" t="s">
        <v>2359</v>
      </c>
      <c r="D1170" s="13" t="s">
        <v>2270</v>
      </c>
      <c r="E1170" s="13" t="s">
        <v>52</v>
      </c>
      <c r="F1170" s="15">
        <f t="shared" si="1048"/>
        <v>2</v>
      </c>
      <c r="G1170" s="13">
        <v>1</v>
      </c>
      <c r="H1170" s="13">
        <f t="shared" si="1096"/>
        <v>1</v>
      </c>
      <c r="I1170" s="13" t="s">
        <v>2333</v>
      </c>
      <c r="J1170" s="14" t="s">
        <v>2360</v>
      </c>
      <c r="K1170" s="14"/>
      <c r="L1170" s="13" t="s">
        <v>194</v>
      </c>
      <c r="M1170" s="14" t="s">
        <v>35</v>
      </c>
      <c r="N1170" s="13" t="s">
        <v>2361</v>
      </c>
      <c r="O1170" s="28"/>
      <c r="P1170" s="28"/>
      <c r="Q1170" s="28" t="s">
        <v>2362</v>
      </c>
      <c r="R1170" s="30">
        <v>3</v>
      </c>
      <c r="S1170" s="30">
        <v>1</v>
      </c>
      <c r="T1170" s="30">
        <v>1</v>
      </c>
      <c r="U1170" s="30">
        <v>0.11799999999999999</v>
      </c>
      <c r="V1170" s="8">
        <f t="shared" si="1049"/>
        <v>76.199999999999989</v>
      </c>
      <c r="W1170" s="8">
        <f t="shared" si="1050"/>
        <v>25.4</v>
      </c>
      <c r="X1170" s="8">
        <f t="shared" si="1051"/>
        <v>25.4</v>
      </c>
      <c r="Y1170" s="33">
        <f t="shared" si="1052"/>
        <v>2.9971999999999999</v>
      </c>
      <c r="Z1170" s="28"/>
      <c r="AA1170" s="28"/>
      <c r="AB1170" s="61" t="s">
        <v>2362</v>
      </c>
      <c r="AC1170" s="31" t="s">
        <v>2363</v>
      </c>
      <c r="AD1170" s="50">
        <f t="shared" si="1053"/>
        <v>1</v>
      </c>
      <c r="AE1170" s="5" t="s">
        <v>2188</v>
      </c>
      <c r="AF1170" s="51">
        <v>14</v>
      </c>
      <c r="AG1170" s="51">
        <f t="shared" si="1081"/>
        <v>8.4</v>
      </c>
      <c r="AH1170" s="51">
        <f t="shared" si="1047"/>
        <v>42</v>
      </c>
      <c r="AI1170" s="52" t="s">
        <v>2497</v>
      </c>
      <c r="AJ1170" s="52" t="s">
        <v>2498</v>
      </c>
      <c r="AK1170" s="53">
        <f t="shared" si="1082"/>
        <v>3.8709599999999992E-3</v>
      </c>
      <c r="AL1170" s="54">
        <f t="shared" si="1083"/>
        <v>0.11904761904761904</v>
      </c>
      <c r="AM1170" s="54">
        <f t="shared" si="1084"/>
        <v>2.3809523809523808E-2</v>
      </c>
      <c r="AN1170" s="55">
        <f t="shared" si="1085"/>
        <v>4.6082857142857133E-4</v>
      </c>
      <c r="AO1170" s="55">
        <f t="shared" si="1086"/>
        <v>9.2165714285714258E-5</v>
      </c>
      <c r="AP1170" s="53">
        <v>7.1</v>
      </c>
      <c r="AQ1170" s="53">
        <f t="shared" si="1054"/>
        <v>4.26</v>
      </c>
      <c r="AR1170" s="53">
        <f t="shared" si="1055"/>
        <v>21.299999999999997</v>
      </c>
      <c r="AS1170" s="56">
        <f t="shared" si="1056"/>
        <v>4.6948356807511742E-2</v>
      </c>
      <c r="AT1170" s="56">
        <f t="shared" si="1087"/>
        <v>0.23474178403755869</v>
      </c>
      <c r="AU1170" s="56">
        <f t="shared" si="1057"/>
        <v>0.176056338028169</v>
      </c>
      <c r="AV1170" s="56">
        <f t="shared" si="1088"/>
        <v>5.8685446009389672E-2</v>
      </c>
      <c r="AW1170" s="57"/>
      <c r="AX1170" s="57"/>
      <c r="AY1170" s="57"/>
      <c r="AZ1170" s="58">
        <f t="shared" si="1089"/>
        <v>3.8709599999999992E-3</v>
      </c>
      <c r="BA1170" s="59">
        <f t="shared" si="1090"/>
        <v>0</v>
      </c>
      <c r="BB1170" s="59">
        <f t="shared" si="1091"/>
        <v>0</v>
      </c>
      <c r="BC1170" s="59">
        <f t="shared" si="1092"/>
        <v>0</v>
      </c>
      <c r="BD1170" s="60">
        <f t="shared" si="1093"/>
        <v>7.2886297376093293E-4</v>
      </c>
      <c r="BE1170" s="59">
        <f t="shared" si="1094"/>
        <v>7.2886297376093293E-4</v>
      </c>
      <c r="BQ1170" s="61">
        <v>3000</v>
      </c>
      <c r="BR1170" s="61">
        <v>1200</v>
      </c>
      <c r="BS1170" s="28">
        <f t="shared" si="1058"/>
        <v>2980</v>
      </c>
      <c r="BT1170" s="28">
        <f t="shared" si="1059"/>
        <v>1180</v>
      </c>
      <c r="BU1170" s="28" t="s">
        <v>2541</v>
      </c>
      <c r="BV1170" s="28">
        <f t="shared" si="1060"/>
        <v>81.199999999999989</v>
      </c>
      <c r="BW1170" s="28">
        <f t="shared" si="1061"/>
        <v>30.4</v>
      </c>
      <c r="BX1170" s="13">
        <f t="shared" si="1062"/>
        <v>36.699507389162569</v>
      </c>
      <c r="BY1170" s="13">
        <f t="shared" si="1063"/>
        <v>36</v>
      </c>
      <c r="BZ1170" s="13">
        <f t="shared" si="1064"/>
        <v>38.815789473684212</v>
      </c>
      <c r="CA1170" s="13">
        <f t="shared" si="1065"/>
        <v>38</v>
      </c>
      <c r="CB1170" s="13">
        <f t="shared" si="1066"/>
        <v>1368</v>
      </c>
      <c r="CC1170" s="62">
        <f t="shared" si="1067"/>
        <v>7.3099415204678359E-4</v>
      </c>
      <c r="CD1170" s="13">
        <f t="shared" si="1068"/>
        <v>98.026315789473685</v>
      </c>
      <c r="CE1170" s="13">
        <f t="shared" si="1069"/>
        <v>98</v>
      </c>
      <c r="CF1170" s="13">
        <f t="shared" si="1070"/>
        <v>14.5320197044335</v>
      </c>
      <c r="CG1170" s="13">
        <f t="shared" si="1071"/>
        <v>14</v>
      </c>
      <c r="CH1170" s="28">
        <f t="shared" si="1072"/>
        <v>1372</v>
      </c>
      <c r="CI1170" s="62">
        <f t="shared" si="1073"/>
        <v>7.2886297376093293E-4</v>
      </c>
      <c r="CJ1170" s="59">
        <f t="shared" si="1074"/>
        <v>7.2886297376093293E-4</v>
      </c>
      <c r="CL1170" s="63">
        <v>6000</v>
      </c>
      <c r="CM1170" s="63">
        <f t="shared" si="1075"/>
        <v>76.199999999999989</v>
      </c>
      <c r="CN1170" s="63">
        <f t="shared" si="1076"/>
        <v>81.199999999999989</v>
      </c>
      <c r="CO1170" s="63">
        <f t="shared" si="1077"/>
        <v>73.891625615763559</v>
      </c>
      <c r="CP1170" s="13">
        <f t="shared" si="1078"/>
        <v>73</v>
      </c>
      <c r="CQ1170" s="70">
        <f t="shared" si="1079"/>
        <v>1.3698630136986301E-2</v>
      </c>
      <c r="CR1170" s="69">
        <f t="shared" si="1043"/>
        <v>1.3698630136986301E-2</v>
      </c>
    </row>
    <row r="1171" spans="1:96" hidden="1" x14ac:dyDescent="0.25">
      <c r="A1171" s="13">
        <v>4</v>
      </c>
      <c r="B1171" s="14" t="s">
        <v>2399</v>
      </c>
      <c r="C1171" s="13" t="s">
        <v>2400</v>
      </c>
      <c r="D1171" s="13" t="s">
        <v>2270</v>
      </c>
      <c r="E1171" s="13" t="s">
        <v>52</v>
      </c>
      <c r="F1171" s="15">
        <f t="shared" si="1048"/>
        <v>1</v>
      </c>
      <c r="G1171" s="13">
        <v>1</v>
      </c>
      <c r="H1171" s="13">
        <f t="shared" si="1096"/>
        <v>1</v>
      </c>
      <c r="I1171" s="13" t="s">
        <v>2378</v>
      </c>
      <c r="J1171" s="14" t="s">
        <v>2367</v>
      </c>
      <c r="K1171" s="14"/>
      <c r="L1171" s="13" t="s">
        <v>2195</v>
      </c>
      <c r="M1171" s="14" t="s">
        <v>35</v>
      </c>
      <c r="N1171" s="13" t="s">
        <v>2401</v>
      </c>
      <c r="O1171" s="28"/>
      <c r="P1171" s="28"/>
      <c r="Q1171" s="28" t="s">
        <v>124</v>
      </c>
      <c r="R1171" s="30">
        <v>13.138</v>
      </c>
      <c r="S1171" s="30">
        <v>7.87</v>
      </c>
      <c r="T1171" s="30"/>
      <c r="U1171" s="30">
        <v>9.8425196850393706E-2</v>
      </c>
      <c r="V1171" s="8">
        <f t="shared" si="1049"/>
        <v>333.70519999999999</v>
      </c>
      <c r="W1171" s="8">
        <f t="shared" si="1050"/>
        <v>199.898</v>
      </c>
      <c r="X1171" s="8">
        <f t="shared" si="1051"/>
        <v>0</v>
      </c>
      <c r="Y1171" s="33">
        <f t="shared" si="1052"/>
        <v>2.5</v>
      </c>
      <c r="Z1171" s="28" t="s">
        <v>56</v>
      </c>
      <c r="AA1171" s="28" t="s">
        <v>57</v>
      </c>
      <c r="AB1171" s="61" t="s">
        <v>124</v>
      </c>
      <c r="AC1171" s="31" t="s">
        <v>125</v>
      </c>
      <c r="AD1171" s="50">
        <f t="shared" si="1053"/>
        <v>1</v>
      </c>
      <c r="AE1171" s="5" t="s">
        <v>2188</v>
      </c>
      <c r="AF1171" s="51">
        <v>14</v>
      </c>
      <c r="AG1171" s="51">
        <f t="shared" si="1081"/>
        <v>8.4</v>
      </c>
      <c r="AH1171" s="51">
        <f t="shared" si="1047"/>
        <v>42</v>
      </c>
      <c r="AI1171" s="52" t="s">
        <v>2497</v>
      </c>
      <c r="AJ1171" s="52" t="s">
        <v>2498</v>
      </c>
      <c r="AK1171" s="53">
        <f t="shared" si="1082"/>
        <v>0.13341400413919999</v>
      </c>
      <c r="AL1171" s="54">
        <f t="shared" si="1083"/>
        <v>0.11904761904761904</v>
      </c>
      <c r="AM1171" s="54">
        <f t="shared" si="1084"/>
        <v>2.3809523809523808E-2</v>
      </c>
      <c r="AN1171" s="55">
        <f t="shared" si="1085"/>
        <v>1.5882619540380949E-2</v>
      </c>
      <c r="AO1171" s="55">
        <f t="shared" si="1086"/>
        <v>3.1765239080761899E-3</v>
      </c>
      <c r="AP1171" s="53">
        <v>7.1</v>
      </c>
      <c r="AQ1171" s="53">
        <f t="shared" si="1054"/>
        <v>4.26</v>
      </c>
      <c r="AR1171" s="53">
        <f t="shared" si="1055"/>
        <v>21.299999999999997</v>
      </c>
      <c r="AS1171" s="56">
        <f t="shared" si="1056"/>
        <v>4.6948356807511742E-2</v>
      </c>
      <c r="AT1171" s="56">
        <f t="shared" si="1087"/>
        <v>0.23474178403755869</v>
      </c>
      <c r="AU1171" s="56">
        <f t="shared" si="1057"/>
        <v>0.176056338028169</v>
      </c>
      <c r="AV1171" s="56">
        <f t="shared" si="1088"/>
        <v>5.8685446009389672E-2</v>
      </c>
      <c r="AW1171" s="57"/>
      <c r="AX1171" s="57"/>
      <c r="AY1171" s="57"/>
      <c r="AZ1171" s="58">
        <f t="shared" si="1089"/>
        <v>0.13341400413919999</v>
      </c>
      <c r="BA1171" s="59">
        <f t="shared" si="1090"/>
        <v>0</v>
      </c>
      <c r="BB1171" s="59">
        <f t="shared" si="1091"/>
        <v>0</v>
      </c>
      <c r="BC1171" s="59">
        <f t="shared" si="1092"/>
        <v>0</v>
      </c>
      <c r="BD1171" s="60">
        <f t="shared" si="1093"/>
        <v>2.3809523809523808E-2</v>
      </c>
      <c r="BE1171" s="59">
        <f t="shared" si="1094"/>
        <v>2.3809523809523808E-2</v>
      </c>
      <c r="BQ1171" s="61">
        <v>3000</v>
      </c>
      <c r="BR1171" s="61">
        <v>1200</v>
      </c>
      <c r="BS1171" s="28">
        <f t="shared" si="1058"/>
        <v>2980</v>
      </c>
      <c r="BT1171" s="28">
        <f t="shared" si="1059"/>
        <v>1180</v>
      </c>
      <c r="BU1171" s="28" t="s">
        <v>2541</v>
      </c>
      <c r="BV1171" s="28">
        <f t="shared" si="1060"/>
        <v>338.70519999999999</v>
      </c>
      <c r="BW1171" s="28">
        <f t="shared" si="1061"/>
        <v>204.898</v>
      </c>
      <c r="BX1171" s="13">
        <f t="shared" si="1062"/>
        <v>8.7982115420725755</v>
      </c>
      <c r="BY1171" s="13">
        <f t="shared" si="1063"/>
        <v>8</v>
      </c>
      <c r="BZ1171" s="13">
        <f t="shared" si="1064"/>
        <v>5.7589629962225111</v>
      </c>
      <c r="CA1171" s="13">
        <f t="shared" si="1065"/>
        <v>5</v>
      </c>
      <c r="CB1171" s="13">
        <f t="shared" si="1066"/>
        <v>40</v>
      </c>
      <c r="CC1171" s="62">
        <f t="shared" si="1067"/>
        <v>2.5000000000000001E-2</v>
      </c>
      <c r="CD1171" s="13">
        <f t="shared" si="1068"/>
        <v>14.543821804019561</v>
      </c>
      <c r="CE1171" s="13">
        <f t="shared" si="1069"/>
        <v>14</v>
      </c>
      <c r="CF1171" s="13">
        <f t="shared" si="1070"/>
        <v>3.483855577062295</v>
      </c>
      <c r="CG1171" s="13">
        <f t="shared" si="1071"/>
        <v>3</v>
      </c>
      <c r="CH1171" s="28">
        <f t="shared" si="1072"/>
        <v>42</v>
      </c>
      <c r="CI1171" s="62">
        <f t="shared" si="1073"/>
        <v>2.3809523809523808E-2</v>
      </c>
      <c r="CJ1171" s="59">
        <f t="shared" si="1074"/>
        <v>2.3809523809523808E-2</v>
      </c>
      <c r="CL1171" s="63">
        <v>6000</v>
      </c>
      <c r="CM1171" s="63">
        <f t="shared" si="1075"/>
        <v>333.70519999999999</v>
      </c>
      <c r="CN1171" s="63">
        <f t="shared" si="1076"/>
        <v>338.70519999999999</v>
      </c>
      <c r="CO1171" s="63">
        <f t="shared" si="1077"/>
        <v>17.714519883367601</v>
      </c>
      <c r="CP1171" s="13">
        <f t="shared" si="1078"/>
        <v>17</v>
      </c>
      <c r="CQ1171" s="70">
        <f t="shared" si="1079"/>
        <v>5.8823529411764705E-2</v>
      </c>
      <c r="CR1171" s="69">
        <f t="shared" si="1043"/>
        <v>5.8823529411764705E-2</v>
      </c>
    </row>
    <row r="1172" spans="1:96" hidden="1" x14ac:dyDescent="0.25">
      <c r="A1172" s="10">
        <v>3</v>
      </c>
      <c r="B1172" s="8" t="s">
        <v>2377</v>
      </c>
      <c r="C1172" s="10" t="s">
        <v>336</v>
      </c>
      <c r="D1172" s="10" t="s">
        <v>341</v>
      </c>
      <c r="E1172" s="10" t="s">
        <v>52</v>
      </c>
      <c r="F1172" s="12">
        <f t="shared" si="1048"/>
        <v>15</v>
      </c>
      <c r="G1172" s="10">
        <v>1</v>
      </c>
      <c r="H1172" s="10">
        <f>G1172*$H$1154</f>
        <v>1</v>
      </c>
      <c r="I1172" s="10" t="s">
        <v>2378</v>
      </c>
      <c r="J1172" s="8" t="s">
        <v>2379</v>
      </c>
      <c r="K1172" s="8"/>
      <c r="L1172" s="10" t="s">
        <v>2245</v>
      </c>
      <c r="M1172" s="8" t="s">
        <v>35</v>
      </c>
      <c r="N1172" s="10" t="s">
        <v>341</v>
      </c>
      <c r="O1172" s="28" t="s">
        <v>2541</v>
      </c>
      <c r="P1172" s="28" t="s">
        <v>2541</v>
      </c>
      <c r="Q1172" s="28" t="s">
        <v>341</v>
      </c>
      <c r="R1172" s="30"/>
      <c r="S1172" s="30"/>
      <c r="T1172" s="30"/>
      <c r="U1172" s="30"/>
      <c r="V1172" s="8">
        <f t="shared" si="1049"/>
        <v>0</v>
      </c>
      <c r="W1172" s="8">
        <f t="shared" si="1050"/>
        <v>0</v>
      </c>
      <c r="X1172" s="8">
        <f t="shared" si="1051"/>
        <v>0</v>
      </c>
      <c r="Y1172" s="33">
        <f t="shared" si="1052"/>
        <v>0</v>
      </c>
      <c r="Z1172" s="28"/>
      <c r="AA1172" s="28"/>
      <c r="AB1172" s="28" t="s">
        <v>341</v>
      </c>
      <c r="AC1172" s="31" t="s">
        <v>342</v>
      </c>
      <c r="AD1172" s="50">
        <f t="shared" si="1053"/>
        <v>1</v>
      </c>
      <c r="AE1172" s="5" t="s">
        <v>2188</v>
      </c>
      <c r="AF1172" s="51">
        <v>14</v>
      </c>
      <c r="AG1172" s="51">
        <f t="shared" si="1081"/>
        <v>8.4</v>
      </c>
      <c r="AH1172" s="51">
        <f t="shared" si="1047"/>
        <v>42</v>
      </c>
      <c r="AI1172" s="52" t="s">
        <v>2497</v>
      </c>
      <c r="AJ1172" s="52" t="s">
        <v>2498</v>
      </c>
      <c r="AK1172" s="53">
        <f t="shared" si="1082"/>
        <v>0</v>
      </c>
      <c r="AL1172" s="54">
        <f t="shared" si="1083"/>
        <v>0.11904761904761904</v>
      </c>
      <c r="AM1172" s="54">
        <f t="shared" si="1084"/>
        <v>2.3809523809523808E-2</v>
      </c>
      <c r="AN1172" s="55">
        <f t="shared" si="1085"/>
        <v>0</v>
      </c>
      <c r="AO1172" s="55">
        <f t="shared" si="1086"/>
        <v>0</v>
      </c>
      <c r="AP1172" s="53">
        <v>7.1</v>
      </c>
      <c r="AQ1172" s="53">
        <f t="shared" si="1054"/>
        <v>4.26</v>
      </c>
      <c r="AR1172" s="53">
        <f t="shared" si="1055"/>
        <v>21.299999999999997</v>
      </c>
      <c r="AS1172" s="56">
        <f t="shared" si="1056"/>
        <v>4.6948356807511742E-2</v>
      </c>
      <c r="AT1172" s="56">
        <f t="shared" si="1087"/>
        <v>0.23474178403755869</v>
      </c>
      <c r="AU1172" s="56">
        <f t="shared" si="1057"/>
        <v>0.176056338028169</v>
      </c>
      <c r="AV1172" s="56">
        <f t="shared" si="1088"/>
        <v>5.8685446009389672E-2</v>
      </c>
      <c r="AW1172" s="57"/>
      <c r="AX1172" s="57"/>
      <c r="AY1172" s="57"/>
      <c r="AZ1172" s="58">
        <f t="shared" si="1089"/>
        <v>0</v>
      </c>
      <c r="BA1172" s="59">
        <f t="shared" si="1090"/>
        <v>0</v>
      </c>
      <c r="BB1172" s="59">
        <f t="shared" si="1091"/>
        <v>0</v>
      </c>
      <c r="BC1172" s="59">
        <f t="shared" si="1092"/>
        <v>0</v>
      </c>
      <c r="BD1172" s="60">
        <f t="shared" si="1093"/>
        <v>7.1095438516664771E-6</v>
      </c>
      <c r="BE1172" s="59">
        <f t="shared" si="1094"/>
        <v>7.1095438516664771E-6</v>
      </c>
      <c r="BQ1172" s="61">
        <v>3000</v>
      </c>
      <c r="BR1172" s="61">
        <v>1200</v>
      </c>
      <c r="BS1172" s="28">
        <f t="shared" si="1058"/>
        <v>2980</v>
      </c>
      <c r="BT1172" s="28">
        <f t="shared" si="1059"/>
        <v>1180</v>
      </c>
      <c r="BU1172" s="28" t="s">
        <v>2541</v>
      </c>
      <c r="BV1172" s="28">
        <f t="shared" si="1060"/>
        <v>5</v>
      </c>
      <c r="BW1172" s="28">
        <f t="shared" si="1061"/>
        <v>5</v>
      </c>
      <c r="BX1172" s="13">
        <f t="shared" si="1062"/>
        <v>596</v>
      </c>
      <c r="BY1172" s="13">
        <f t="shared" si="1063"/>
        <v>596</v>
      </c>
      <c r="BZ1172" s="13">
        <f t="shared" si="1064"/>
        <v>236</v>
      </c>
      <c r="CA1172" s="13">
        <f t="shared" si="1065"/>
        <v>236</v>
      </c>
      <c r="CB1172" s="13">
        <f t="shared" si="1066"/>
        <v>140656</v>
      </c>
      <c r="CC1172" s="62">
        <f t="shared" si="1067"/>
        <v>7.1095438516664771E-6</v>
      </c>
      <c r="CD1172" s="13">
        <f t="shared" si="1068"/>
        <v>596</v>
      </c>
      <c r="CE1172" s="13">
        <f t="shared" si="1069"/>
        <v>596</v>
      </c>
      <c r="CF1172" s="13">
        <f t="shared" si="1070"/>
        <v>236</v>
      </c>
      <c r="CG1172" s="13">
        <f t="shared" si="1071"/>
        <v>236</v>
      </c>
      <c r="CH1172" s="28">
        <f t="shared" si="1072"/>
        <v>140656</v>
      </c>
      <c r="CI1172" s="62">
        <f t="shared" si="1073"/>
        <v>7.1095438516664771E-6</v>
      </c>
      <c r="CJ1172" s="59">
        <f t="shared" si="1074"/>
        <v>7.1095438516664771E-6</v>
      </c>
      <c r="CL1172" s="63">
        <v>6000</v>
      </c>
      <c r="CM1172" s="63">
        <f t="shared" si="1075"/>
        <v>0</v>
      </c>
      <c r="CN1172" s="63">
        <f t="shared" si="1076"/>
        <v>5</v>
      </c>
      <c r="CO1172" s="63">
        <f t="shared" si="1077"/>
        <v>1200</v>
      </c>
      <c r="CP1172" s="13">
        <f t="shared" si="1078"/>
        <v>1200</v>
      </c>
      <c r="CQ1172" s="70">
        <f t="shared" si="1079"/>
        <v>8.3333333333333339E-4</v>
      </c>
      <c r="CR1172" s="69">
        <f t="shared" si="1043"/>
        <v>8.3333333333333339E-4</v>
      </c>
    </row>
    <row r="1173" spans="1:96" hidden="1" x14ac:dyDescent="0.25">
      <c r="A1173" s="36">
        <v>2</v>
      </c>
      <c r="B1173" s="37" t="s">
        <v>2402</v>
      </c>
      <c r="C1173" s="36" t="s">
        <v>2403</v>
      </c>
      <c r="D1173" s="36" t="s">
        <v>2270</v>
      </c>
      <c r="E1173" s="36" t="s">
        <v>32</v>
      </c>
      <c r="F1173" s="38">
        <f t="shared" si="1048"/>
        <v>1</v>
      </c>
      <c r="G1173" s="36">
        <v>1</v>
      </c>
      <c r="H1173" s="36">
        <f>G1173*$H$1124</f>
        <v>1</v>
      </c>
      <c r="I1173" s="36" t="s">
        <v>2308</v>
      </c>
      <c r="J1173" s="37" t="s">
        <v>1661</v>
      </c>
      <c r="K1173" s="37"/>
      <c r="L1173" s="36" t="s">
        <v>2195</v>
      </c>
      <c r="M1173" s="37" t="s">
        <v>35</v>
      </c>
      <c r="N1173" s="36" t="s">
        <v>2404</v>
      </c>
      <c r="O1173" s="28"/>
      <c r="P1173" s="28"/>
      <c r="Q1173" s="28"/>
      <c r="R1173" s="30"/>
      <c r="S1173" s="30"/>
      <c r="T1173" s="30"/>
      <c r="U1173" s="30"/>
      <c r="V1173" s="8">
        <f t="shared" si="1049"/>
        <v>0</v>
      </c>
      <c r="W1173" s="8">
        <f t="shared" si="1050"/>
        <v>0</v>
      </c>
      <c r="X1173" s="8">
        <f t="shared" si="1051"/>
        <v>0</v>
      </c>
      <c r="Y1173" s="33">
        <f t="shared" si="1052"/>
        <v>0</v>
      </c>
      <c r="Z1173" s="28"/>
      <c r="AA1173" s="28"/>
      <c r="AB1173" s="28">
        <v>0</v>
      </c>
      <c r="AC1173" s="31"/>
      <c r="AD1173" s="50">
        <f t="shared" si="1053"/>
        <v>1</v>
      </c>
      <c r="AE1173" s="5" t="s">
        <v>2188</v>
      </c>
      <c r="AF1173" s="51">
        <v>14</v>
      </c>
      <c r="AG1173" s="51">
        <f t="shared" si="1081"/>
        <v>8.4</v>
      </c>
      <c r="AH1173" s="51">
        <f t="shared" si="1047"/>
        <v>42</v>
      </c>
      <c r="AI1173" s="52" t="s">
        <v>2497</v>
      </c>
      <c r="AJ1173" s="52" t="s">
        <v>2498</v>
      </c>
      <c r="AK1173" s="53">
        <f t="shared" si="1082"/>
        <v>0</v>
      </c>
      <c r="AL1173" s="54">
        <f t="shared" si="1083"/>
        <v>0.11904761904761904</v>
      </c>
      <c r="AM1173" s="54">
        <f t="shared" si="1084"/>
        <v>2.3809523809523808E-2</v>
      </c>
      <c r="AN1173" s="55">
        <f t="shared" si="1085"/>
        <v>0</v>
      </c>
      <c r="AO1173" s="55">
        <f t="shared" si="1086"/>
        <v>0</v>
      </c>
      <c r="AP1173" s="53">
        <v>7.1</v>
      </c>
      <c r="AQ1173" s="53">
        <f t="shared" si="1054"/>
        <v>4.26</v>
      </c>
      <c r="AR1173" s="53">
        <f t="shared" si="1055"/>
        <v>21.299999999999997</v>
      </c>
      <c r="AS1173" s="56">
        <f t="shared" si="1056"/>
        <v>4.6948356807511742E-2</v>
      </c>
      <c r="AT1173" s="56">
        <f t="shared" si="1087"/>
        <v>0.23474178403755869</v>
      </c>
      <c r="AU1173" s="56">
        <f t="shared" si="1057"/>
        <v>0.176056338028169</v>
      </c>
      <c r="AV1173" s="56">
        <f t="shared" si="1088"/>
        <v>5.8685446009389672E-2</v>
      </c>
      <c r="AW1173" s="57"/>
      <c r="AX1173" s="57"/>
      <c r="AY1173" s="57"/>
      <c r="AZ1173" s="58">
        <f t="shared" si="1089"/>
        <v>0</v>
      </c>
      <c r="BA1173" s="59">
        <f t="shared" si="1090"/>
        <v>0</v>
      </c>
      <c r="BB1173" s="59">
        <f t="shared" si="1091"/>
        <v>0</v>
      </c>
      <c r="BC1173" s="59">
        <f t="shared" si="1092"/>
        <v>0</v>
      </c>
      <c r="BD1173" s="60">
        <f t="shared" si="1093"/>
        <v>0</v>
      </c>
      <c r="BE1173" s="59">
        <f t="shared" si="1094"/>
        <v>0</v>
      </c>
      <c r="BQ1173" s="61">
        <v>3000</v>
      </c>
      <c r="BR1173" s="61">
        <v>1200</v>
      </c>
      <c r="BS1173" s="28">
        <f t="shared" si="1058"/>
        <v>2980</v>
      </c>
      <c r="BT1173" s="28">
        <f t="shared" si="1059"/>
        <v>1180</v>
      </c>
      <c r="BU1173" s="28" t="s">
        <v>2541</v>
      </c>
      <c r="BV1173" s="28">
        <f t="shared" si="1060"/>
        <v>5</v>
      </c>
      <c r="BW1173" s="28">
        <f t="shared" si="1061"/>
        <v>5</v>
      </c>
      <c r="BX1173" s="13">
        <f t="shared" si="1062"/>
        <v>596</v>
      </c>
      <c r="BY1173" s="13">
        <f t="shared" si="1063"/>
        <v>596</v>
      </c>
      <c r="BZ1173" s="13">
        <f t="shared" si="1064"/>
        <v>236</v>
      </c>
      <c r="CA1173" s="13">
        <f t="shared" si="1065"/>
        <v>236</v>
      </c>
      <c r="CB1173" s="13">
        <f t="shared" si="1066"/>
        <v>140656</v>
      </c>
      <c r="CC1173" s="62" t="str">
        <f t="shared" si="1067"/>
        <v/>
      </c>
      <c r="CD1173" s="13">
        <f t="shared" si="1068"/>
        <v>596</v>
      </c>
      <c r="CE1173" s="13">
        <f t="shared" si="1069"/>
        <v>596</v>
      </c>
      <c r="CF1173" s="13">
        <f t="shared" si="1070"/>
        <v>236</v>
      </c>
      <c r="CG1173" s="13">
        <f t="shared" si="1071"/>
        <v>236</v>
      </c>
      <c r="CH1173" s="28">
        <f t="shared" si="1072"/>
        <v>140656</v>
      </c>
      <c r="CI1173" s="62" t="str">
        <f t="shared" si="1073"/>
        <v/>
      </c>
      <c r="CJ1173" s="59">
        <f t="shared" si="1074"/>
        <v>0</v>
      </c>
      <c r="CL1173" s="63">
        <v>6000</v>
      </c>
      <c r="CM1173" s="63">
        <f t="shared" si="1075"/>
        <v>0</v>
      </c>
      <c r="CN1173" s="63">
        <f t="shared" si="1076"/>
        <v>5</v>
      </c>
      <c r="CO1173" s="63">
        <f t="shared" si="1077"/>
        <v>1200</v>
      </c>
      <c r="CP1173" s="13">
        <f t="shared" si="1078"/>
        <v>1200</v>
      </c>
      <c r="CQ1173" s="70">
        <f t="shared" si="1079"/>
        <v>8.3333333333333339E-4</v>
      </c>
      <c r="CR1173" s="69">
        <f t="shared" si="1043"/>
        <v>8.3333333333333339E-4</v>
      </c>
    </row>
    <row r="1174" spans="1:96" hidden="1" x14ac:dyDescent="0.25">
      <c r="A1174" s="10">
        <v>3</v>
      </c>
      <c r="B1174" s="8" t="s">
        <v>2405</v>
      </c>
      <c r="C1174" s="10" t="s">
        <v>2406</v>
      </c>
      <c r="D1174" s="10" t="s">
        <v>2270</v>
      </c>
      <c r="E1174" s="10" t="s">
        <v>32</v>
      </c>
      <c r="F1174" s="12">
        <f t="shared" si="1048"/>
        <v>1</v>
      </c>
      <c r="G1174" s="10">
        <v>2</v>
      </c>
      <c r="H1174" s="10">
        <f>G1174*$H$1173</f>
        <v>2</v>
      </c>
      <c r="I1174" s="10" t="s">
        <v>2263</v>
      </c>
      <c r="J1174" s="8" t="s">
        <v>847</v>
      </c>
      <c r="K1174" s="8"/>
      <c r="L1174" s="10" t="s">
        <v>2195</v>
      </c>
      <c r="M1174" s="8" t="s">
        <v>35</v>
      </c>
      <c r="N1174" s="10" t="s">
        <v>2407</v>
      </c>
      <c r="O1174" s="28"/>
      <c r="P1174" s="28"/>
      <c r="Q1174" s="28"/>
      <c r="R1174" s="30"/>
      <c r="S1174" s="30"/>
      <c r="T1174" s="30"/>
      <c r="U1174" s="30"/>
      <c r="V1174" s="8">
        <f t="shared" si="1049"/>
        <v>0</v>
      </c>
      <c r="W1174" s="8">
        <f t="shared" si="1050"/>
        <v>0</v>
      </c>
      <c r="X1174" s="8">
        <f t="shared" si="1051"/>
        <v>0</v>
      </c>
      <c r="Y1174" s="33">
        <f t="shared" si="1052"/>
        <v>0</v>
      </c>
      <c r="Z1174" s="28"/>
      <c r="AA1174" s="28"/>
      <c r="AB1174" s="28">
        <v>0</v>
      </c>
      <c r="AC1174" s="31"/>
      <c r="AD1174" s="50">
        <f t="shared" si="1053"/>
        <v>2</v>
      </c>
      <c r="AE1174" s="5" t="s">
        <v>2188</v>
      </c>
      <c r="AF1174" s="51">
        <v>14</v>
      </c>
      <c r="AG1174" s="51">
        <f t="shared" si="1081"/>
        <v>8.4</v>
      </c>
      <c r="AH1174" s="51">
        <f t="shared" si="1047"/>
        <v>42</v>
      </c>
      <c r="AI1174" s="52" t="s">
        <v>2497</v>
      </c>
      <c r="AJ1174" s="52" t="s">
        <v>2498</v>
      </c>
      <c r="AK1174" s="53">
        <f t="shared" si="1082"/>
        <v>0</v>
      </c>
      <c r="AL1174" s="54">
        <f t="shared" si="1083"/>
        <v>0.11904761904761904</v>
      </c>
      <c r="AM1174" s="54">
        <f t="shared" si="1084"/>
        <v>2.3809523809523808E-2</v>
      </c>
      <c r="AN1174" s="55">
        <f t="shared" si="1085"/>
        <v>0</v>
      </c>
      <c r="AO1174" s="55">
        <f t="shared" si="1086"/>
        <v>0</v>
      </c>
      <c r="AP1174" s="53">
        <v>7.1</v>
      </c>
      <c r="AQ1174" s="53">
        <f t="shared" si="1054"/>
        <v>4.26</v>
      </c>
      <c r="AR1174" s="53">
        <f t="shared" si="1055"/>
        <v>21.299999999999997</v>
      </c>
      <c r="AS1174" s="56">
        <f t="shared" si="1056"/>
        <v>4.6948356807511742E-2</v>
      </c>
      <c r="AT1174" s="56">
        <f t="shared" si="1087"/>
        <v>0.23474178403755869</v>
      </c>
      <c r="AU1174" s="56">
        <f t="shared" si="1057"/>
        <v>0.176056338028169</v>
      </c>
      <c r="AV1174" s="56">
        <f t="shared" si="1088"/>
        <v>5.8685446009389672E-2</v>
      </c>
      <c r="AW1174" s="57"/>
      <c r="AX1174" s="57"/>
      <c r="AY1174" s="57"/>
      <c r="AZ1174" s="58">
        <f t="shared" si="1089"/>
        <v>0</v>
      </c>
      <c r="BA1174" s="59">
        <f t="shared" si="1090"/>
        <v>0</v>
      </c>
      <c r="BB1174" s="59">
        <f t="shared" si="1091"/>
        <v>0</v>
      </c>
      <c r="BC1174" s="59">
        <f t="shared" si="1092"/>
        <v>0</v>
      </c>
      <c r="BD1174" s="60">
        <f t="shared" si="1093"/>
        <v>0</v>
      </c>
      <c r="BE1174" s="59">
        <f t="shared" si="1094"/>
        <v>0</v>
      </c>
      <c r="BQ1174" s="61">
        <v>3000</v>
      </c>
      <c r="BR1174" s="61">
        <v>1200</v>
      </c>
      <c r="BS1174" s="28">
        <f t="shared" si="1058"/>
        <v>2980</v>
      </c>
      <c r="BT1174" s="28">
        <f t="shared" si="1059"/>
        <v>1180</v>
      </c>
      <c r="BU1174" s="28" t="s">
        <v>2541</v>
      </c>
      <c r="BV1174" s="28">
        <f t="shared" si="1060"/>
        <v>5</v>
      </c>
      <c r="BW1174" s="28">
        <f t="shared" si="1061"/>
        <v>5</v>
      </c>
      <c r="BX1174" s="13">
        <f t="shared" si="1062"/>
        <v>596</v>
      </c>
      <c r="BY1174" s="13">
        <f t="shared" si="1063"/>
        <v>596</v>
      </c>
      <c r="BZ1174" s="13">
        <f t="shared" si="1064"/>
        <v>236</v>
      </c>
      <c r="CA1174" s="13">
        <f t="shared" si="1065"/>
        <v>236</v>
      </c>
      <c r="CB1174" s="13">
        <f t="shared" si="1066"/>
        <v>140656</v>
      </c>
      <c r="CC1174" s="62" t="str">
        <f t="shared" si="1067"/>
        <v/>
      </c>
      <c r="CD1174" s="13">
        <f t="shared" si="1068"/>
        <v>596</v>
      </c>
      <c r="CE1174" s="13">
        <f t="shared" si="1069"/>
        <v>596</v>
      </c>
      <c r="CF1174" s="13">
        <f t="shared" si="1070"/>
        <v>236</v>
      </c>
      <c r="CG1174" s="13">
        <f t="shared" si="1071"/>
        <v>236</v>
      </c>
      <c r="CH1174" s="28">
        <f t="shared" si="1072"/>
        <v>140656</v>
      </c>
      <c r="CI1174" s="62" t="str">
        <f t="shared" si="1073"/>
        <v/>
      </c>
      <c r="CJ1174" s="59">
        <f t="shared" si="1074"/>
        <v>0</v>
      </c>
      <c r="CL1174" s="63">
        <v>6000</v>
      </c>
      <c r="CM1174" s="63">
        <f t="shared" si="1075"/>
        <v>0</v>
      </c>
      <c r="CN1174" s="63">
        <f t="shared" si="1076"/>
        <v>5</v>
      </c>
      <c r="CO1174" s="63">
        <f t="shared" si="1077"/>
        <v>1200</v>
      </c>
      <c r="CP1174" s="13">
        <f t="shared" si="1078"/>
        <v>1200</v>
      </c>
      <c r="CQ1174" s="70">
        <f t="shared" si="1079"/>
        <v>8.3333333333333339E-4</v>
      </c>
      <c r="CR1174" s="69">
        <f t="shared" si="1043"/>
        <v>1.6666666666666668E-3</v>
      </c>
    </row>
    <row r="1175" spans="1:96" hidden="1" x14ac:dyDescent="0.25">
      <c r="A1175" s="13">
        <v>4</v>
      </c>
      <c r="B1175" s="14" t="s">
        <v>2408</v>
      </c>
      <c r="C1175" s="13" t="s">
        <v>2409</v>
      </c>
      <c r="D1175" s="13" t="s">
        <v>2270</v>
      </c>
      <c r="E1175" s="13" t="s">
        <v>52</v>
      </c>
      <c r="F1175" s="15">
        <f t="shared" si="1048"/>
        <v>1</v>
      </c>
      <c r="G1175" s="13">
        <v>1</v>
      </c>
      <c r="H1175" s="13">
        <f>G1175*$H$1174</f>
        <v>2</v>
      </c>
      <c r="I1175" s="13" t="s">
        <v>2263</v>
      </c>
      <c r="J1175" s="14" t="s">
        <v>847</v>
      </c>
      <c r="K1175" s="14"/>
      <c r="L1175" s="13" t="s">
        <v>110</v>
      </c>
      <c r="M1175" s="14" t="s">
        <v>35</v>
      </c>
      <c r="N1175" s="13" t="s">
        <v>2410</v>
      </c>
      <c r="O1175" s="28"/>
      <c r="P1175" s="28"/>
      <c r="Q1175" s="28" t="s">
        <v>116</v>
      </c>
      <c r="R1175" s="30">
        <v>48.72</v>
      </c>
      <c r="S1175" s="30">
        <v>2.8570000000000002</v>
      </c>
      <c r="T1175" s="30"/>
      <c r="U1175" s="30">
        <v>0.11799999999999999</v>
      </c>
      <c r="V1175" s="8">
        <f t="shared" si="1049"/>
        <v>1237.4879999999998</v>
      </c>
      <c r="W1175" s="8">
        <f t="shared" si="1050"/>
        <v>72.567800000000005</v>
      </c>
      <c r="X1175" s="8">
        <f t="shared" si="1051"/>
        <v>0</v>
      </c>
      <c r="Y1175" s="33">
        <f t="shared" si="1052"/>
        <v>2.9971999999999999</v>
      </c>
      <c r="Z1175" s="28" t="s">
        <v>56</v>
      </c>
      <c r="AA1175" s="28" t="s">
        <v>57</v>
      </c>
      <c r="AB1175" s="28" t="s">
        <v>116</v>
      </c>
      <c r="AC1175" s="31" t="s">
        <v>117</v>
      </c>
      <c r="AD1175" s="50">
        <f t="shared" si="1053"/>
        <v>2</v>
      </c>
      <c r="AE1175" s="5" t="s">
        <v>2188</v>
      </c>
      <c r="AF1175" s="51">
        <v>14</v>
      </c>
      <c r="AG1175" s="51">
        <f t="shared" si="1081"/>
        <v>8.4</v>
      </c>
      <c r="AH1175" s="51">
        <f t="shared" si="1047"/>
        <v>42</v>
      </c>
      <c r="AI1175" s="52" t="s">
        <v>2497</v>
      </c>
      <c r="AJ1175" s="52" t="s">
        <v>2498</v>
      </c>
      <c r="AK1175" s="53">
        <f t="shared" si="1082"/>
        <v>0.17960356337279998</v>
      </c>
      <c r="AL1175" s="54">
        <f t="shared" si="1083"/>
        <v>0.11904761904761904</v>
      </c>
      <c r="AM1175" s="54">
        <f t="shared" si="1084"/>
        <v>2.3809523809523808E-2</v>
      </c>
      <c r="AN1175" s="55">
        <f t="shared" si="1085"/>
        <v>4.2762753183999989E-2</v>
      </c>
      <c r="AO1175" s="55">
        <f t="shared" si="1086"/>
        <v>8.5525506367999989E-3</v>
      </c>
      <c r="AP1175" s="53">
        <v>7.1</v>
      </c>
      <c r="AQ1175" s="53">
        <f t="shared" si="1054"/>
        <v>4.26</v>
      </c>
      <c r="AR1175" s="53">
        <f t="shared" si="1055"/>
        <v>21.299999999999997</v>
      </c>
      <c r="AS1175" s="56">
        <f t="shared" si="1056"/>
        <v>4.6948356807511742E-2</v>
      </c>
      <c r="AT1175" s="56">
        <f t="shared" si="1087"/>
        <v>0.23474178403755869</v>
      </c>
      <c r="AU1175" s="56">
        <f t="shared" si="1057"/>
        <v>0.176056338028169</v>
      </c>
      <c r="AV1175" s="56">
        <f t="shared" si="1088"/>
        <v>5.8685446009389672E-2</v>
      </c>
      <c r="AW1175" s="57"/>
      <c r="AX1175" s="57"/>
      <c r="AY1175" s="57"/>
      <c r="AZ1175" s="58">
        <f t="shared" si="1089"/>
        <v>0.17960356337279998</v>
      </c>
      <c r="BA1175" s="59">
        <f t="shared" si="1090"/>
        <v>0</v>
      </c>
      <c r="BB1175" s="59">
        <f t="shared" si="1091"/>
        <v>0</v>
      </c>
      <c r="BC1175" s="59">
        <f t="shared" si="1092"/>
        <v>0</v>
      </c>
      <c r="BD1175" s="60">
        <f t="shared" si="1093"/>
        <v>3.3333333333333333E-2</v>
      </c>
      <c r="BE1175" s="59">
        <f t="shared" si="1094"/>
        <v>6.6666666666666666E-2</v>
      </c>
      <c r="BQ1175" s="61">
        <v>3000</v>
      </c>
      <c r="BR1175" s="61">
        <v>1200</v>
      </c>
      <c r="BS1175" s="28">
        <f t="shared" si="1058"/>
        <v>2980</v>
      </c>
      <c r="BT1175" s="28">
        <f t="shared" si="1059"/>
        <v>1180</v>
      </c>
      <c r="BU1175" s="28" t="s">
        <v>2541</v>
      </c>
      <c r="BV1175" s="28">
        <f t="shared" si="1060"/>
        <v>1242.4879999999998</v>
      </c>
      <c r="BW1175" s="28">
        <f t="shared" si="1061"/>
        <v>77.567800000000005</v>
      </c>
      <c r="BX1175" s="13">
        <f t="shared" si="1062"/>
        <v>2.3984135058044829</v>
      </c>
      <c r="BY1175" s="13">
        <f t="shared" si="1063"/>
        <v>2</v>
      </c>
      <c r="BZ1175" s="13">
        <f t="shared" si="1064"/>
        <v>15.212497969518278</v>
      </c>
      <c r="CA1175" s="13">
        <f t="shared" si="1065"/>
        <v>15</v>
      </c>
      <c r="CB1175" s="13">
        <f t="shared" si="1066"/>
        <v>30</v>
      </c>
      <c r="CC1175" s="62">
        <f t="shared" si="1067"/>
        <v>3.3333333333333333E-2</v>
      </c>
      <c r="CD1175" s="13">
        <f t="shared" si="1068"/>
        <v>38.418003346749551</v>
      </c>
      <c r="CE1175" s="13">
        <f t="shared" si="1069"/>
        <v>38</v>
      </c>
      <c r="CF1175" s="13">
        <f t="shared" si="1070"/>
        <v>0.94970736135882206</v>
      </c>
      <c r="CG1175" s="13">
        <f t="shared" si="1071"/>
        <v>0</v>
      </c>
      <c r="CH1175" s="28">
        <f t="shared" si="1072"/>
        <v>0</v>
      </c>
      <c r="CI1175" s="62">
        <f t="shared" si="1073"/>
        <v>1</v>
      </c>
      <c r="CJ1175" s="59">
        <f t="shared" si="1074"/>
        <v>3.3333333333333333E-2</v>
      </c>
      <c r="CL1175" s="63">
        <v>6000</v>
      </c>
      <c r="CM1175" s="63">
        <f t="shared" si="1075"/>
        <v>1237.4879999999998</v>
      </c>
      <c r="CN1175" s="63">
        <f t="shared" si="1076"/>
        <v>1242.4879999999998</v>
      </c>
      <c r="CO1175" s="63">
        <f t="shared" si="1077"/>
        <v>4.8290204814855358</v>
      </c>
      <c r="CP1175" s="13">
        <f t="shared" si="1078"/>
        <v>4</v>
      </c>
      <c r="CQ1175" s="70">
        <f t="shared" si="1079"/>
        <v>0.25</v>
      </c>
      <c r="CR1175" s="69">
        <f t="shared" si="1043"/>
        <v>0.5</v>
      </c>
    </row>
    <row r="1176" spans="1:96" hidden="1" x14ac:dyDescent="0.25">
      <c r="A1176" s="13">
        <v>4</v>
      </c>
      <c r="B1176" s="14" t="s">
        <v>2305</v>
      </c>
      <c r="C1176" s="13" t="s">
        <v>279</v>
      </c>
      <c r="D1176" s="13" t="s">
        <v>281</v>
      </c>
      <c r="E1176" s="13" t="s">
        <v>52</v>
      </c>
      <c r="F1176" s="15">
        <f t="shared" si="1048"/>
        <v>12</v>
      </c>
      <c r="G1176" s="13">
        <v>3</v>
      </c>
      <c r="H1176" s="13">
        <f>G1176*$H$1174</f>
        <v>6</v>
      </c>
      <c r="I1176" s="13" t="s">
        <v>2267</v>
      </c>
      <c r="J1176" s="14" t="s">
        <v>2202</v>
      </c>
      <c r="K1176" s="14"/>
      <c r="L1176" s="13" t="s">
        <v>194</v>
      </c>
      <c r="M1176" s="14" t="s">
        <v>35</v>
      </c>
      <c r="N1176" s="13" t="s">
        <v>281</v>
      </c>
      <c r="O1176" s="28"/>
      <c r="P1176" s="28"/>
      <c r="Q1176" s="28" t="s">
        <v>281</v>
      </c>
      <c r="R1176" s="30"/>
      <c r="S1176" s="30"/>
      <c r="T1176" s="30"/>
      <c r="U1176" s="30"/>
      <c r="V1176" s="8">
        <f t="shared" si="1049"/>
        <v>0</v>
      </c>
      <c r="W1176" s="8">
        <f t="shared" si="1050"/>
        <v>0</v>
      </c>
      <c r="X1176" s="8">
        <f t="shared" si="1051"/>
        <v>0</v>
      </c>
      <c r="Y1176" s="33">
        <f t="shared" si="1052"/>
        <v>0</v>
      </c>
      <c r="Z1176" s="28"/>
      <c r="AA1176" s="28"/>
      <c r="AB1176" s="61" t="s">
        <v>281</v>
      </c>
      <c r="AC1176" s="31" t="s">
        <v>282</v>
      </c>
      <c r="AD1176" s="50">
        <f t="shared" si="1053"/>
        <v>6</v>
      </c>
      <c r="AE1176" s="5" t="s">
        <v>2188</v>
      </c>
      <c r="AF1176" s="51">
        <v>14</v>
      </c>
      <c r="AG1176" s="51">
        <f t="shared" si="1081"/>
        <v>8.4</v>
      </c>
      <c r="AH1176" s="51">
        <f t="shared" si="1047"/>
        <v>42</v>
      </c>
      <c r="AI1176" s="52" t="s">
        <v>2497</v>
      </c>
      <c r="AJ1176" s="52" t="s">
        <v>2498</v>
      </c>
      <c r="AK1176" s="53">
        <f t="shared" si="1082"/>
        <v>0</v>
      </c>
      <c r="AL1176" s="54">
        <f t="shared" si="1083"/>
        <v>0.11904761904761904</v>
      </c>
      <c r="AM1176" s="54">
        <f t="shared" si="1084"/>
        <v>2.3809523809523808E-2</v>
      </c>
      <c r="AN1176" s="55">
        <f t="shared" si="1085"/>
        <v>0</v>
      </c>
      <c r="AO1176" s="55">
        <f t="shared" si="1086"/>
        <v>0</v>
      </c>
      <c r="AP1176" s="53">
        <v>7.1</v>
      </c>
      <c r="AQ1176" s="53">
        <f t="shared" si="1054"/>
        <v>4.26</v>
      </c>
      <c r="AR1176" s="53">
        <f t="shared" si="1055"/>
        <v>21.299999999999997</v>
      </c>
      <c r="AS1176" s="56">
        <f t="shared" si="1056"/>
        <v>4.6948356807511742E-2</v>
      </c>
      <c r="AT1176" s="56">
        <f t="shared" si="1087"/>
        <v>0.23474178403755869</v>
      </c>
      <c r="AU1176" s="56">
        <f t="shared" si="1057"/>
        <v>0.176056338028169</v>
      </c>
      <c r="AV1176" s="56">
        <f t="shared" si="1088"/>
        <v>5.8685446009389672E-2</v>
      </c>
      <c r="AW1176" s="57"/>
      <c r="AX1176" s="57"/>
      <c r="AY1176" s="57"/>
      <c r="AZ1176" s="58">
        <f t="shared" si="1089"/>
        <v>0</v>
      </c>
      <c r="BA1176" s="59">
        <f t="shared" si="1090"/>
        <v>0</v>
      </c>
      <c r="BB1176" s="59">
        <f t="shared" si="1091"/>
        <v>0</v>
      </c>
      <c r="BC1176" s="59">
        <f t="shared" si="1092"/>
        <v>0</v>
      </c>
      <c r="BD1176" s="60">
        <f t="shared" si="1093"/>
        <v>7.1095438516664771E-6</v>
      </c>
      <c r="BE1176" s="59">
        <f t="shared" si="1094"/>
        <v>4.2657263109998864E-5</v>
      </c>
      <c r="BQ1176" s="61">
        <v>3000</v>
      </c>
      <c r="BR1176" s="61">
        <v>1200</v>
      </c>
      <c r="BS1176" s="28">
        <f t="shared" si="1058"/>
        <v>2980</v>
      </c>
      <c r="BT1176" s="28">
        <f t="shared" si="1059"/>
        <v>1180</v>
      </c>
      <c r="BU1176" s="28" t="s">
        <v>2541</v>
      </c>
      <c r="BV1176" s="28">
        <f t="shared" si="1060"/>
        <v>5</v>
      </c>
      <c r="BW1176" s="28">
        <f t="shared" si="1061"/>
        <v>5</v>
      </c>
      <c r="BX1176" s="13">
        <f t="shared" si="1062"/>
        <v>596</v>
      </c>
      <c r="BY1176" s="13">
        <f t="shared" si="1063"/>
        <v>596</v>
      </c>
      <c r="BZ1176" s="13">
        <f t="shared" si="1064"/>
        <v>236</v>
      </c>
      <c r="CA1176" s="13">
        <f t="shared" si="1065"/>
        <v>236</v>
      </c>
      <c r="CB1176" s="13">
        <f t="shared" si="1066"/>
        <v>140656</v>
      </c>
      <c r="CC1176" s="62">
        <f t="shared" si="1067"/>
        <v>7.1095438516664771E-6</v>
      </c>
      <c r="CD1176" s="13">
        <f t="shared" si="1068"/>
        <v>596</v>
      </c>
      <c r="CE1176" s="13">
        <f t="shared" si="1069"/>
        <v>596</v>
      </c>
      <c r="CF1176" s="13">
        <f t="shared" si="1070"/>
        <v>236</v>
      </c>
      <c r="CG1176" s="13">
        <f t="shared" si="1071"/>
        <v>236</v>
      </c>
      <c r="CH1176" s="28">
        <f t="shared" si="1072"/>
        <v>140656</v>
      </c>
      <c r="CI1176" s="62">
        <f t="shared" si="1073"/>
        <v>7.1095438516664771E-6</v>
      </c>
      <c r="CJ1176" s="59">
        <f t="shared" si="1074"/>
        <v>7.1095438516664771E-6</v>
      </c>
      <c r="CL1176" s="63">
        <v>6000</v>
      </c>
      <c r="CM1176" s="63">
        <f t="shared" si="1075"/>
        <v>0</v>
      </c>
      <c r="CN1176" s="63">
        <f t="shared" si="1076"/>
        <v>5</v>
      </c>
      <c r="CO1176" s="63">
        <f t="shared" si="1077"/>
        <v>1200</v>
      </c>
      <c r="CP1176" s="13">
        <f t="shared" si="1078"/>
        <v>1200</v>
      </c>
      <c r="CQ1176" s="70">
        <f t="shared" si="1079"/>
        <v>8.3333333333333339E-4</v>
      </c>
      <c r="CR1176" s="69">
        <f t="shared" si="1043"/>
        <v>5.0000000000000001E-3</v>
      </c>
    </row>
    <row r="1177" spans="1:96" hidden="1" x14ac:dyDescent="0.25">
      <c r="A1177" s="10">
        <v>3</v>
      </c>
      <c r="B1177" s="8" t="s">
        <v>2411</v>
      </c>
      <c r="C1177" s="10" t="s">
        <v>2412</v>
      </c>
      <c r="D1177" s="10" t="s">
        <v>2270</v>
      </c>
      <c r="E1177" s="10" t="s">
        <v>32</v>
      </c>
      <c r="F1177" s="12">
        <f t="shared" si="1048"/>
        <v>1</v>
      </c>
      <c r="G1177" s="10">
        <v>2</v>
      </c>
      <c r="H1177" s="10">
        <f>G1177*$H$1173</f>
        <v>2</v>
      </c>
      <c r="I1177" s="10" t="s">
        <v>2267</v>
      </c>
      <c r="J1177" s="8" t="s">
        <v>847</v>
      </c>
      <c r="K1177" s="8"/>
      <c r="L1177" s="10" t="s">
        <v>2195</v>
      </c>
      <c r="M1177" s="8" t="s">
        <v>35</v>
      </c>
      <c r="N1177" s="10" t="s">
        <v>2413</v>
      </c>
      <c r="O1177" s="28"/>
      <c r="P1177" s="28"/>
      <c r="Q1177" s="28"/>
      <c r="R1177" s="30"/>
      <c r="S1177" s="30"/>
      <c r="T1177" s="30"/>
      <c r="U1177" s="30"/>
      <c r="V1177" s="8">
        <f t="shared" si="1049"/>
        <v>0</v>
      </c>
      <c r="W1177" s="8">
        <f t="shared" si="1050"/>
        <v>0</v>
      </c>
      <c r="X1177" s="8">
        <f t="shared" si="1051"/>
        <v>0</v>
      </c>
      <c r="Y1177" s="33">
        <f t="shared" si="1052"/>
        <v>0</v>
      </c>
      <c r="Z1177" s="28"/>
      <c r="AA1177" s="28"/>
      <c r="AB1177" s="28">
        <v>0</v>
      </c>
      <c r="AC1177" s="31"/>
      <c r="AD1177" s="50">
        <f t="shared" si="1053"/>
        <v>2</v>
      </c>
      <c r="AE1177" s="5" t="s">
        <v>2188</v>
      </c>
      <c r="AF1177" s="51">
        <v>14</v>
      </c>
      <c r="AG1177" s="51">
        <f t="shared" si="1081"/>
        <v>8.4</v>
      </c>
      <c r="AH1177" s="51">
        <f t="shared" si="1047"/>
        <v>42</v>
      </c>
      <c r="AI1177" s="52" t="s">
        <v>2497</v>
      </c>
      <c r="AJ1177" s="52" t="s">
        <v>2498</v>
      </c>
      <c r="AK1177" s="53">
        <f t="shared" si="1082"/>
        <v>0</v>
      </c>
      <c r="AL1177" s="54">
        <f t="shared" si="1083"/>
        <v>0.11904761904761904</v>
      </c>
      <c r="AM1177" s="54">
        <f t="shared" si="1084"/>
        <v>2.3809523809523808E-2</v>
      </c>
      <c r="AN1177" s="55">
        <f t="shared" si="1085"/>
        <v>0</v>
      </c>
      <c r="AO1177" s="55">
        <f t="shared" si="1086"/>
        <v>0</v>
      </c>
      <c r="AP1177" s="53">
        <v>7.1</v>
      </c>
      <c r="AQ1177" s="53">
        <f t="shared" si="1054"/>
        <v>4.26</v>
      </c>
      <c r="AR1177" s="53">
        <f t="shared" si="1055"/>
        <v>21.299999999999997</v>
      </c>
      <c r="AS1177" s="56">
        <f t="shared" si="1056"/>
        <v>4.6948356807511742E-2</v>
      </c>
      <c r="AT1177" s="56">
        <f t="shared" si="1087"/>
        <v>0.23474178403755869</v>
      </c>
      <c r="AU1177" s="56">
        <f t="shared" si="1057"/>
        <v>0.176056338028169</v>
      </c>
      <c r="AV1177" s="56">
        <f t="shared" si="1088"/>
        <v>5.8685446009389672E-2</v>
      </c>
      <c r="AW1177" s="57"/>
      <c r="AX1177" s="57"/>
      <c r="AY1177" s="57"/>
      <c r="AZ1177" s="58">
        <f t="shared" si="1089"/>
        <v>0</v>
      </c>
      <c r="BA1177" s="59">
        <f t="shared" si="1090"/>
        <v>0</v>
      </c>
      <c r="BB1177" s="59">
        <f t="shared" si="1091"/>
        <v>0</v>
      </c>
      <c r="BC1177" s="59">
        <f t="shared" si="1092"/>
        <v>0</v>
      </c>
      <c r="BD1177" s="60">
        <f t="shared" si="1093"/>
        <v>0</v>
      </c>
      <c r="BE1177" s="59">
        <f t="shared" si="1094"/>
        <v>0</v>
      </c>
      <c r="BQ1177" s="61">
        <v>3000</v>
      </c>
      <c r="BR1177" s="61">
        <v>1200</v>
      </c>
      <c r="BS1177" s="28">
        <f t="shared" si="1058"/>
        <v>2980</v>
      </c>
      <c r="BT1177" s="28">
        <f t="shared" si="1059"/>
        <v>1180</v>
      </c>
      <c r="BU1177" s="28" t="s">
        <v>2541</v>
      </c>
      <c r="BV1177" s="28">
        <f t="shared" si="1060"/>
        <v>5</v>
      </c>
      <c r="BW1177" s="28">
        <f t="shared" si="1061"/>
        <v>5</v>
      </c>
      <c r="BX1177" s="13">
        <f t="shared" si="1062"/>
        <v>596</v>
      </c>
      <c r="BY1177" s="13">
        <f t="shared" si="1063"/>
        <v>596</v>
      </c>
      <c r="BZ1177" s="13">
        <f t="shared" si="1064"/>
        <v>236</v>
      </c>
      <c r="CA1177" s="13">
        <f t="shared" si="1065"/>
        <v>236</v>
      </c>
      <c r="CB1177" s="13">
        <f t="shared" si="1066"/>
        <v>140656</v>
      </c>
      <c r="CC1177" s="62" t="str">
        <f t="shared" si="1067"/>
        <v/>
      </c>
      <c r="CD1177" s="13">
        <f t="shared" si="1068"/>
        <v>596</v>
      </c>
      <c r="CE1177" s="13">
        <f t="shared" si="1069"/>
        <v>596</v>
      </c>
      <c r="CF1177" s="13">
        <f t="shared" si="1070"/>
        <v>236</v>
      </c>
      <c r="CG1177" s="13">
        <f t="shared" si="1071"/>
        <v>236</v>
      </c>
      <c r="CH1177" s="28">
        <f t="shared" si="1072"/>
        <v>140656</v>
      </c>
      <c r="CI1177" s="62" t="str">
        <f t="shared" si="1073"/>
        <v/>
      </c>
      <c r="CJ1177" s="59">
        <f t="shared" si="1074"/>
        <v>0</v>
      </c>
      <c r="CL1177" s="63">
        <v>6000</v>
      </c>
      <c r="CM1177" s="63">
        <f t="shared" si="1075"/>
        <v>0</v>
      </c>
      <c r="CN1177" s="63">
        <f t="shared" si="1076"/>
        <v>5</v>
      </c>
      <c r="CO1177" s="63">
        <f t="shared" si="1077"/>
        <v>1200</v>
      </c>
      <c r="CP1177" s="13">
        <f t="shared" si="1078"/>
        <v>1200</v>
      </c>
      <c r="CQ1177" s="70">
        <f t="shared" si="1079"/>
        <v>8.3333333333333339E-4</v>
      </c>
      <c r="CR1177" s="69">
        <f t="shared" si="1043"/>
        <v>1.6666666666666668E-3</v>
      </c>
    </row>
    <row r="1178" spans="1:96" hidden="1" x14ac:dyDescent="0.25">
      <c r="A1178" s="13">
        <v>4</v>
      </c>
      <c r="B1178" s="14" t="s">
        <v>2414</v>
      </c>
      <c r="C1178" s="13" t="s">
        <v>2415</v>
      </c>
      <c r="D1178" s="13" t="s">
        <v>2270</v>
      </c>
      <c r="E1178" s="13" t="s">
        <v>52</v>
      </c>
      <c r="F1178" s="15">
        <f t="shared" si="1048"/>
        <v>1</v>
      </c>
      <c r="G1178" s="13">
        <v>1</v>
      </c>
      <c r="H1178" s="13">
        <f>G1178*$H$1177</f>
        <v>2</v>
      </c>
      <c r="I1178" s="13" t="s">
        <v>2263</v>
      </c>
      <c r="J1178" s="14" t="s">
        <v>851</v>
      </c>
      <c r="K1178" s="14"/>
      <c r="L1178" s="13" t="s">
        <v>2195</v>
      </c>
      <c r="M1178" s="14" t="s">
        <v>35</v>
      </c>
      <c r="N1178" s="13" t="s">
        <v>2416</v>
      </c>
      <c r="O1178" s="28"/>
      <c r="P1178" s="28"/>
      <c r="Q1178" s="28" t="s">
        <v>116</v>
      </c>
      <c r="R1178" s="30">
        <v>44.61</v>
      </c>
      <c r="S1178" s="30">
        <v>2.7029999999999998</v>
      </c>
      <c r="T1178" s="30"/>
      <c r="U1178" s="30">
        <v>0.11799999999999999</v>
      </c>
      <c r="V1178" s="8">
        <f t="shared" si="1049"/>
        <v>1133.0939999999998</v>
      </c>
      <c r="W1178" s="8">
        <f t="shared" si="1050"/>
        <v>68.656199999999998</v>
      </c>
      <c r="X1178" s="8">
        <f t="shared" si="1051"/>
        <v>0</v>
      </c>
      <c r="Y1178" s="33">
        <f t="shared" si="1052"/>
        <v>2.9971999999999999</v>
      </c>
      <c r="Z1178" s="28" t="s">
        <v>56</v>
      </c>
      <c r="AA1178" s="28" t="s">
        <v>57</v>
      </c>
      <c r="AB1178" s="28" t="s">
        <v>116</v>
      </c>
      <c r="AC1178" s="31" t="s">
        <v>117</v>
      </c>
      <c r="AD1178" s="50">
        <f t="shared" si="1053"/>
        <v>2</v>
      </c>
      <c r="AE1178" s="5" t="s">
        <v>2188</v>
      </c>
      <c r="AF1178" s="51">
        <v>14</v>
      </c>
      <c r="AG1178" s="51">
        <f t="shared" si="1081"/>
        <v>8.4</v>
      </c>
      <c r="AH1178" s="51">
        <f t="shared" si="1047"/>
        <v>42</v>
      </c>
      <c r="AI1178" s="52" t="s">
        <v>2497</v>
      </c>
      <c r="AJ1178" s="52" t="s">
        <v>2498</v>
      </c>
      <c r="AK1178" s="53">
        <f t="shared" si="1082"/>
        <v>0.15558785656559998</v>
      </c>
      <c r="AL1178" s="54">
        <f t="shared" si="1083"/>
        <v>0.11904761904761904</v>
      </c>
      <c r="AM1178" s="54">
        <f t="shared" si="1084"/>
        <v>2.3809523809523808E-2</v>
      </c>
      <c r="AN1178" s="55">
        <f t="shared" si="1085"/>
        <v>3.7044727753714278E-2</v>
      </c>
      <c r="AO1178" s="55">
        <f t="shared" si="1086"/>
        <v>7.4089455507428559E-3</v>
      </c>
      <c r="AP1178" s="53">
        <v>7.1</v>
      </c>
      <c r="AQ1178" s="53">
        <f t="shared" si="1054"/>
        <v>4.26</v>
      </c>
      <c r="AR1178" s="53">
        <f t="shared" si="1055"/>
        <v>21.299999999999997</v>
      </c>
      <c r="AS1178" s="56">
        <f t="shared" si="1056"/>
        <v>4.6948356807511742E-2</v>
      </c>
      <c r="AT1178" s="56">
        <f t="shared" si="1087"/>
        <v>0.23474178403755869</v>
      </c>
      <c r="AU1178" s="56">
        <f t="shared" si="1057"/>
        <v>0.176056338028169</v>
      </c>
      <c r="AV1178" s="56">
        <f t="shared" si="1088"/>
        <v>5.8685446009389672E-2</v>
      </c>
      <c r="AW1178" s="57"/>
      <c r="AX1178" s="57"/>
      <c r="AY1178" s="57"/>
      <c r="AZ1178" s="58">
        <f t="shared" si="1089"/>
        <v>0.15558785656559998</v>
      </c>
      <c r="BA1178" s="59">
        <f t="shared" si="1090"/>
        <v>0</v>
      </c>
      <c r="BB1178" s="59">
        <f t="shared" si="1091"/>
        <v>0</v>
      </c>
      <c r="BC1178" s="59">
        <f t="shared" si="1092"/>
        <v>0</v>
      </c>
      <c r="BD1178" s="60">
        <f t="shared" si="1093"/>
        <v>2.5000000000000001E-2</v>
      </c>
      <c r="BE1178" s="59">
        <f t="shared" si="1094"/>
        <v>0.05</v>
      </c>
      <c r="BQ1178" s="61">
        <v>3000</v>
      </c>
      <c r="BR1178" s="61">
        <v>1200</v>
      </c>
      <c r="BS1178" s="28">
        <f t="shared" si="1058"/>
        <v>2980</v>
      </c>
      <c r="BT1178" s="28">
        <f t="shared" si="1059"/>
        <v>1180</v>
      </c>
      <c r="BU1178" s="28" t="s">
        <v>2541</v>
      </c>
      <c r="BV1178" s="28">
        <f t="shared" si="1060"/>
        <v>1138.0939999999998</v>
      </c>
      <c r="BW1178" s="28">
        <f t="shared" si="1061"/>
        <v>73.656199999999998</v>
      </c>
      <c r="BX1178" s="13">
        <f t="shared" si="1062"/>
        <v>2.618412890323647</v>
      </c>
      <c r="BY1178" s="13">
        <f t="shared" si="1063"/>
        <v>2</v>
      </c>
      <c r="BZ1178" s="13">
        <f t="shared" si="1064"/>
        <v>16.020375745694185</v>
      </c>
      <c r="CA1178" s="13">
        <f t="shared" si="1065"/>
        <v>16</v>
      </c>
      <c r="CB1178" s="13">
        <f t="shared" si="1066"/>
        <v>32</v>
      </c>
      <c r="CC1178" s="62">
        <f t="shared" si="1067"/>
        <v>3.125E-2</v>
      </c>
      <c r="CD1178" s="13">
        <f t="shared" si="1068"/>
        <v>40.458237052685313</v>
      </c>
      <c r="CE1178" s="13">
        <f t="shared" si="1069"/>
        <v>40</v>
      </c>
      <c r="CF1178" s="13">
        <f t="shared" si="1070"/>
        <v>1.0368212116046656</v>
      </c>
      <c r="CG1178" s="13">
        <f t="shared" si="1071"/>
        <v>1</v>
      </c>
      <c r="CH1178" s="28">
        <f t="shared" si="1072"/>
        <v>40</v>
      </c>
      <c r="CI1178" s="62">
        <f t="shared" si="1073"/>
        <v>2.5000000000000001E-2</v>
      </c>
      <c r="CJ1178" s="59">
        <f t="shared" si="1074"/>
        <v>2.5000000000000001E-2</v>
      </c>
      <c r="CL1178" s="63">
        <v>6000</v>
      </c>
      <c r="CM1178" s="63">
        <f t="shared" si="1075"/>
        <v>1133.0939999999998</v>
      </c>
      <c r="CN1178" s="63">
        <f t="shared" si="1076"/>
        <v>1138.0939999999998</v>
      </c>
      <c r="CO1178" s="63">
        <f t="shared" si="1077"/>
        <v>5.2719722623966039</v>
      </c>
      <c r="CP1178" s="13">
        <f t="shared" si="1078"/>
        <v>5</v>
      </c>
      <c r="CQ1178" s="70">
        <f t="shared" si="1079"/>
        <v>0.2</v>
      </c>
      <c r="CR1178" s="69">
        <f t="shared" si="1043"/>
        <v>0.4</v>
      </c>
    </row>
    <row r="1179" spans="1:96" hidden="1" x14ac:dyDescent="0.25">
      <c r="A1179" s="13">
        <v>4</v>
      </c>
      <c r="B1179" s="14" t="s">
        <v>2305</v>
      </c>
      <c r="C1179" s="13" t="s">
        <v>279</v>
      </c>
      <c r="D1179" s="13" t="s">
        <v>281</v>
      </c>
      <c r="E1179" s="13" t="s">
        <v>52</v>
      </c>
      <c r="F1179" s="15">
        <f t="shared" si="1048"/>
        <v>12</v>
      </c>
      <c r="G1179" s="13">
        <v>1</v>
      </c>
      <c r="H1179" s="13">
        <f>G1179*$H$1177</f>
        <v>2</v>
      </c>
      <c r="I1179" s="13" t="s">
        <v>2267</v>
      </c>
      <c r="J1179" s="14" t="s">
        <v>2202</v>
      </c>
      <c r="K1179" s="14"/>
      <c r="L1179" s="13" t="s">
        <v>194</v>
      </c>
      <c r="M1179" s="14" t="s">
        <v>35</v>
      </c>
      <c r="N1179" s="13" t="s">
        <v>281</v>
      </c>
      <c r="O1179" s="28"/>
      <c r="P1179" s="28"/>
      <c r="Q1179" s="28" t="s">
        <v>281</v>
      </c>
      <c r="R1179" s="30"/>
      <c r="S1179" s="30"/>
      <c r="T1179" s="30"/>
      <c r="U1179" s="30"/>
      <c r="V1179" s="8">
        <f t="shared" si="1049"/>
        <v>0</v>
      </c>
      <c r="W1179" s="8">
        <f t="shared" si="1050"/>
        <v>0</v>
      </c>
      <c r="X1179" s="8">
        <f t="shared" si="1051"/>
        <v>0</v>
      </c>
      <c r="Y1179" s="33">
        <f t="shared" si="1052"/>
        <v>0</v>
      </c>
      <c r="Z1179" s="28"/>
      <c r="AA1179" s="28"/>
      <c r="AB1179" s="61" t="s">
        <v>281</v>
      </c>
      <c r="AC1179" s="31" t="s">
        <v>282</v>
      </c>
      <c r="AD1179" s="50">
        <f t="shared" si="1053"/>
        <v>2</v>
      </c>
      <c r="AE1179" s="5" t="s">
        <v>2188</v>
      </c>
      <c r="AF1179" s="51">
        <v>14</v>
      </c>
      <c r="AG1179" s="51">
        <f t="shared" si="1081"/>
        <v>8.4</v>
      </c>
      <c r="AH1179" s="51">
        <f t="shared" si="1047"/>
        <v>42</v>
      </c>
      <c r="AI1179" s="52" t="s">
        <v>2497</v>
      </c>
      <c r="AJ1179" s="52" t="s">
        <v>2498</v>
      </c>
      <c r="AK1179" s="53">
        <f t="shared" si="1082"/>
        <v>0</v>
      </c>
      <c r="AL1179" s="54">
        <f t="shared" si="1083"/>
        <v>0.11904761904761904</v>
      </c>
      <c r="AM1179" s="54">
        <f t="shared" si="1084"/>
        <v>2.3809523809523808E-2</v>
      </c>
      <c r="AN1179" s="55">
        <f t="shared" si="1085"/>
        <v>0</v>
      </c>
      <c r="AO1179" s="55">
        <f t="shared" si="1086"/>
        <v>0</v>
      </c>
      <c r="AP1179" s="53">
        <v>7.1</v>
      </c>
      <c r="AQ1179" s="53">
        <f t="shared" si="1054"/>
        <v>4.26</v>
      </c>
      <c r="AR1179" s="53">
        <f t="shared" si="1055"/>
        <v>21.299999999999997</v>
      </c>
      <c r="AS1179" s="56">
        <f t="shared" si="1056"/>
        <v>4.6948356807511742E-2</v>
      </c>
      <c r="AT1179" s="56">
        <f t="shared" si="1087"/>
        <v>0.23474178403755869</v>
      </c>
      <c r="AU1179" s="56">
        <f t="shared" si="1057"/>
        <v>0.176056338028169</v>
      </c>
      <c r="AV1179" s="56">
        <f t="shared" si="1088"/>
        <v>5.8685446009389672E-2</v>
      </c>
      <c r="AW1179" s="57"/>
      <c r="AX1179" s="57"/>
      <c r="AY1179" s="57"/>
      <c r="AZ1179" s="58">
        <f t="shared" si="1089"/>
        <v>0</v>
      </c>
      <c r="BA1179" s="59">
        <f t="shared" si="1090"/>
        <v>0</v>
      </c>
      <c r="BB1179" s="59">
        <f t="shared" si="1091"/>
        <v>0</v>
      </c>
      <c r="BC1179" s="59">
        <f t="shared" si="1092"/>
        <v>0</v>
      </c>
      <c r="BD1179" s="60">
        <f t="shared" si="1093"/>
        <v>7.1095438516664771E-6</v>
      </c>
      <c r="BE1179" s="59">
        <f t="shared" si="1094"/>
        <v>1.4219087703332954E-5</v>
      </c>
      <c r="BQ1179" s="61">
        <v>3000</v>
      </c>
      <c r="BR1179" s="61">
        <v>1200</v>
      </c>
      <c r="BS1179" s="28">
        <f t="shared" si="1058"/>
        <v>2980</v>
      </c>
      <c r="BT1179" s="28">
        <f t="shared" si="1059"/>
        <v>1180</v>
      </c>
      <c r="BU1179" s="28" t="s">
        <v>2541</v>
      </c>
      <c r="BV1179" s="28">
        <f t="shared" si="1060"/>
        <v>5</v>
      </c>
      <c r="BW1179" s="28">
        <f t="shared" si="1061"/>
        <v>5</v>
      </c>
      <c r="BX1179" s="13">
        <f t="shared" si="1062"/>
        <v>596</v>
      </c>
      <c r="BY1179" s="13">
        <f t="shared" si="1063"/>
        <v>596</v>
      </c>
      <c r="BZ1179" s="13">
        <f t="shared" si="1064"/>
        <v>236</v>
      </c>
      <c r="CA1179" s="13">
        <f t="shared" si="1065"/>
        <v>236</v>
      </c>
      <c r="CB1179" s="13">
        <f t="shared" si="1066"/>
        <v>140656</v>
      </c>
      <c r="CC1179" s="62">
        <f t="shared" si="1067"/>
        <v>7.1095438516664771E-6</v>
      </c>
      <c r="CD1179" s="13">
        <f t="shared" si="1068"/>
        <v>596</v>
      </c>
      <c r="CE1179" s="13">
        <f t="shared" si="1069"/>
        <v>596</v>
      </c>
      <c r="CF1179" s="13">
        <f t="shared" si="1070"/>
        <v>236</v>
      </c>
      <c r="CG1179" s="13">
        <f t="shared" si="1071"/>
        <v>236</v>
      </c>
      <c r="CH1179" s="28">
        <f t="shared" si="1072"/>
        <v>140656</v>
      </c>
      <c r="CI1179" s="62">
        <f t="shared" si="1073"/>
        <v>7.1095438516664771E-6</v>
      </c>
      <c r="CJ1179" s="59">
        <f t="shared" si="1074"/>
        <v>7.1095438516664771E-6</v>
      </c>
      <c r="CL1179" s="63">
        <v>6000</v>
      </c>
      <c r="CM1179" s="63">
        <f t="shared" si="1075"/>
        <v>0</v>
      </c>
      <c r="CN1179" s="63">
        <f t="shared" si="1076"/>
        <v>5</v>
      </c>
      <c r="CO1179" s="63">
        <f t="shared" si="1077"/>
        <v>1200</v>
      </c>
      <c r="CP1179" s="13">
        <f t="shared" si="1078"/>
        <v>1200</v>
      </c>
      <c r="CQ1179" s="70">
        <f t="shared" si="1079"/>
        <v>8.3333333333333339E-4</v>
      </c>
      <c r="CR1179" s="69">
        <f t="shared" si="1043"/>
        <v>1.6666666666666668E-3</v>
      </c>
    </row>
    <row r="1180" spans="1:96" hidden="1" x14ac:dyDescent="0.25">
      <c r="A1180" s="36">
        <v>2</v>
      </c>
      <c r="B1180" s="37" t="s">
        <v>2417</v>
      </c>
      <c r="C1180" s="36" t="s">
        <v>2418</v>
      </c>
      <c r="D1180" s="36" t="s">
        <v>2270</v>
      </c>
      <c r="E1180" s="36" t="s">
        <v>32</v>
      </c>
      <c r="F1180" s="38">
        <f t="shared" si="1048"/>
        <v>1</v>
      </c>
      <c r="G1180" s="36">
        <v>1</v>
      </c>
      <c r="H1180" s="36">
        <f>G1180*$H$1124</f>
        <v>1</v>
      </c>
      <c r="I1180" s="36" t="s">
        <v>2333</v>
      </c>
      <c r="J1180" s="37" t="s">
        <v>2419</v>
      </c>
      <c r="K1180" s="37"/>
      <c r="L1180" s="36" t="s">
        <v>2195</v>
      </c>
      <c r="M1180" s="37" t="s">
        <v>35</v>
      </c>
      <c r="N1180" s="36" t="s">
        <v>2420</v>
      </c>
      <c r="O1180" s="28"/>
      <c r="P1180" s="28"/>
      <c r="Q1180" s="28"/>
      <c r="R1180" s="30"/>
      <c r="S1180" s="30"/>
      <c r="T1180" s="30"/>
      <c r="U1180" s="30"/>
      <c r="V1180" s="8">
        <f t="shared" si="1049"/>
        <v>0</v>
      </c>
      <c r="W1180" s="8">
        <f t="shared" si="1050"/>
        <v>0</v>
      </c>
      <c r="X1180" s="8">
        <f t="shared" si="1051"/>
        <v>0</v>
      </c>
      <c r="Y1180" s="33">
        <f t="shared" si="1052"/>
        <v>0</v>
      </c>
      <c r="Z1180" s="28"/>
      <c r="AA1180" s="28"/>
      <c r="AB1180" s="28">
        <v>0</v>
      </c>
      <c r="AC1180" s="31"/>
      <c r="AD1180" s="50">
        <f t="shared" si="1053"/>
        <v>1</v>
      </c>
      <c r="AE1180" s="5" t="s">
        <v>2188</v>
      </c>
      <c r="AF1180" s="51">
        <v>14</v>
      </c>
      <c r="AG1180" s="51">
        <f t="shared" si="1081"/>
        <v>8.4</v>
      </c>
      <c r="AH1180" s="51">
        <f t="shared" si="1047"/>
        <v>42</v>
      </c>
      <c r="AI1180" s="52" t="s">
        <v>2497</v>
      </c>
      <c r="AJ1180" s="52" t="s">
        <v>2498</v>
      </c>
      <c r="AK1180" s="53">
        <f t="shared" si="1082"/>
        <v>0</v>
      </c>
      <c r="AL1180" s="54">
        <f t="shared" si="1083"/>
        <v>0.11904761904761904</v>
      </c>
      <c r="AM1180" s="54">
        <f t="shared" si="1084"/>
        <v>2.3809523809523808E-2</v>
      </c>
      <c r="AN1180" s="55">
        <f t="shared" si="1085"/>
        <v>0</v>
      </c>
      <c r="AO1180" s="55">
        <f t="shared" si="1086"/>
        <v>0</v>
      </c>
      <c r="AP1180" s="53">
        <v>7.1</v>
      </c>
      <c r="AQ1180" s="53">
        <f t="shared" si="1054"/>
        <v>4.26</v>
      </c>
      <c r="AR1180" s="53">
        <f t="shared" si="1055"/>
        <v>21.299999999999997</v>
      </c>
      <c r="AS1180" s="56">
        <f t="shared" si="1056"/>
        <v>4.6948356807511742E-2</v>
      </c>
      <c r="AT1180" s="56">
        <f t="shared" si="1087"/>
        <v>0.23474178403755869</v>
      </c>
      <c r="AU1180" s="56">
        <f t="shared" si="1057"/>
        <v>0.176056338028169</v>
      </c>
      <c r="AV1180" s="56">
        <f t="shared" si="1088"/>
        <v>5.8685446009389672E-2</v>
      </c>
      <c r="AW1180" s="57"/>
      <c r="AX1180" s="57"/>
      <c r="AY1180" s="57"/>
      <c r="AZ1180" s="58">
        <f t="shared" si="1089"/>
        <v>0</v>
      </c>
      <c r="BA1180" s="59">
        <f t="shared" si="1090"/>
        <v>0</v>
      </c>
      <c r="BB1180" s="59">
        <f t="shared" si="1091"/>
        <v>0</v>
      </c>
      <c r="BC1180" s="59">
        <f t="shared" si="1092"/>
        <v>0</v>
      </c>
      <c r="BD1180" s="60">
        <f t="shared" si="1093"/>
        <v>0</v>
      </c>
      <c r="BE1180" s="59">
        <f t="shared" si="1094"/>
        <v>0</v>
      </c>
      <c r="BQ1180" s="61">
        <v>3000</v>
      </c>
      <c r="BR1180" s="61">
        <v>1200</v>
      </c>
      <c r="BS1180" s="28">
        <f t="shared" si="1058"/>
        <v>2980</v>
      </c>
      <c r="BT1180" s="28">
        <f t="shared" si="1059"/>
        <v>1180</v>
      </c>
      <c r="BU1180" s="28" t="s">
        <v>2541</v>
      </c>
      <c r="BV1180" s="28">
        <f t="shared" si="1060"/>
        <v>5</v>
      </c>
      <c r="BW1180" s="28">
        <f t="shared" si="1061"/>
        <v>5</v>
      </c>
      <c r="BX1180" s="13">
        <f t="shared" si="1062"/>
        <v>596</v>
      </c>
      <c r="BY1180" s="13">
        <f t="shared" si="1063"/>
        <v>596</v>
      </c>
      <c r="BZ1180" s="13">
        <f t="shared" si="1064"/>
        <v>236</v>
      </c>
      <c r="CA1180" s="13">
        <f t="shared" si="1065"/>
        <v>236</v>
      </c>
      <c r="CB1180" s="13">
        <f t="shared" si="1066"/>
        <v>140656</v>
      </c>
      <c r="CC1180" s="62" t="str">
        <f t="shared" si="1067"/>
        <v/>
      </c>
      <c r="CD1180" s="13">
        <f t="shared" si="1068"/>
        <v>596</v>
      </c>
      <c r="CE1180" s="13">
        <f t="shared" si="1069"/>
        <v>596</v>
      </c>
      <c r="CF1180" s="13">
        <f t="shared" si="1070"/>
        <v>236</v>
      </c>
      <c r="CG1180" s="13">
        <f t="shared" si="1071"/>
        <v>236</v>
      </c>
      <c r="CH1180" s="28">
        <f t="shared" si="1072"/>
        <v>140656</v>
      </c>
      <c r="CI1180" s="62" t="str">
        <f t="shared" si="1073"/>
        <v/>
      </c>
      <c r="CJ1180" s="59">
        <f t="shared" si="1074"/>
        <v>0</v>
      </c>
      <c r="CL1180" s="63">
        <v>6000</v>
      </c>
      <c r="CM1180" s="63">
        <f t="shared" si="1075"/>
        <v>0</v>
      </c>
      <c r="CN1180" s="63">
        <f t="shared" si="1076"/>
        <v>5</v>
      </c>
      <c r="CO1180" s="63">
        <f t="shared" si="1077"/>
        <v>1200</v>
      </c>
      <c r="CP1180" s="13">
        <f t="shared" si="1078"/>
        <v>1200</v>
      </c>
      <c r="CQ1180" s="70">
        <f t="shared" si="1079"/>
        <v>8.3333333333333339E-4</v>
      </c>
      <c r="CR1180" s="69">
        <f t="shared" si="1043"/>
        <v>8.3333333333333339E-4</v>
      </c>
    </row>
    <row r="1181" spans="1:96" hidden="1" x14ac:dyDescent="0.25">
      <c r="A1181" s="10">
        <v>3</v>
      </c>
      <c r="B1181" s="8" t="s">
        <v>2421</v>
      </c>
      <c r="C1181" s="10" t="s">
        <v>2422</v>
      </c>
      <c r="D1181" s="10" t="s">
        <v>2270</v>
      </c>
      <c r="E1181" s="10" t="s">
        <v>32</v>
      </c>
      <c r="F1181" s="12">
        <f t="shared" si="1048"/>
        <v>1</v>
      </c>
      <c r="G1181" s="10">
        <v>1</v>
      </c>
      <c r="H1181" s="10">
        <f>G1181*$H$1180</f>
        <v>1</v>
      </c>
      <c r="I1181" s="10" t="s">
        <v>2290</v>
      </c>
      <c r="J1181" s="8" t="s">
        <v>2419</v>
      </c>
      <c r="K1181" s="8"/>
      <c r="L1181" s="10" t="s">
        <v>2195</v>
      </c>
      <c r="M1181" s="8" t="s">
        <v>35</v>
      </c>
      <c r="N1181" s="10" t="s">
        <v>2423</v>
      </c>
      <c r="O1181" s="28"/>
      <c r="P1181" s="28"/>
      <c r="Q1181" s="28"/>
      <c r="R1181" s="30"/>
      <c r="S1181" s="30"/>
      <c r="T1181" s="30"/>
      <c r="U1181" s="30"/>
      <c r="V1181" s="8">
        <f t="shared" si="1049"/>
        <v>0</v>
      </c>
      <c r="W1181" s="8">
        <f t="shared" si="1050"/>
        <v>0</v>
      </c>
      <c r="X1181" s="8">
        <f t="shared" si="1051"/>
        <v>0</v>
      </c>
      <c r="Y1181" s="33">
        <f t="shared" si="1052"/>
        <v>0</v>
      </c>
      <c r="Z1181" s="28"/>
      <c r="AA1181" s="28"/>
      <c r="AB1181" s="28">
        <v>0</v>
      </c>
      <c r="AC1181" s="31"/>
      <c r="AD1181" s="50">
        <f t="shared" si="1053"/>
        <v>1</v>
      </c>
      <c r="AE1181" s="5" t="s">
        <v>2188</v>
      </c>
      <c r="AF1181" s="51">
        <v>14</v>
      </c>
      <c r="AG1181" s="51">
        <f t="shared" si="1081"/>
        <v>8.4</v>
      </c>
      <c r="AH1181" s="51">
        <f t="shared" si="1047"/>
        <v>42</v>
      </c>
      <c r="AI1181" s="52" t="s">
        <v>2497</v>
      </c>
      <c r="AJ1181" s="52" t="s">
        <v>2498</v>
      </c>
      <c r="AK1181" s="53">
        <f t="shared" si="1082"/>
        <v>0</v>
      </c>
      <c r="AL1181" s="54">
        <f t="shared" si="1083"/>
        <v>0.11904761904761904</v>
      </c>
      <c r="AM1181" s="54">
        <f t="shared" si="1084"/>
        <v>2.3809523809523808E-2</v>
      </c>
      <c r="AN1181" s="55">
        <f t="shared" si="1085"/>
        <v>0</v>
      </c>
      <c r="AO1181" s="55">
        <f t="shared" si="1086"/>
        <v>0</v>
      </c>
      <c r="AP1181" s="53">
        <v>7.1</v>
      </c>
      <c r="AQ1181" s="53">
        <f t="shared" si="1054"/>
        <v>4.26</v>
      </c>
      <c r="AR1181" s="53">
        <f t="shared" si="1055"/>
        <v>21.299999999999997</v>
      </c>
      <c r="AS1181" s="56">
        <f t="shared" si="1056"/>
        <v>4.6948356807511742E-2</v>
      </c>
      <c r="AT1181" s="56">
        <f t="shared" si="1087"/>
        <v>0.23474178403755869</v>
      </c>
      <c r="AU1181" s="56">
        <f t="shared" si="1057"/>
        <v>0.176056338028169</v>
      </c>
      <c r="AV1181" s="56">
        <f t="shared" si="1088"/>
        <v>5.8685446009389672E-2</v>
      </c>
      <c r="AW1181" s="57"/>
      <c r="AX1181" s="57"/>
      <c r="AY1181" s="57"/>
      <c r="AZ1181" s="58">
        <f t="shared" si="1089"/>
        <v>0</v>
      </c>
      <c r="BA1181" s="59">
        <f t="shared" si="1090"/>
        <v>0</v>
      </c>
      <c r="BB1181" s="59">
        <f t="shared" si="1091"/>
        <v>0</v>
      </c>
      <c r="BC1181" s="59">
        <f t="shared" si="1092"/>
        <v>0</v>
      </c>
      <c r="BD1181" s="60">
        <f t="shared" si="1093"/>
        <v>0</v>
      </c>
      <c r="BE1181" s="59">
        <f t="shared" si="1094"/>
        <v>0</v>
      </c>
      <c r="BQ1181" s="61">
        <v>3000</v>
      </c>
      <c r="BR1181" s="61">
        <v>1200</v>
      </c>
      <c r="BS1181" s="28">
        <f t="shared" si="1058"/>
        <v>2980</v>
      </c>
      <c r="BT1181" s="28">
        <f t="shared" si="1059"/>
        <v>1180</v>
      </c>
      <c r="BU1181" s="28" t="s">
        <v>2541</v>
      </c>
      <c r="BV1181" s="28">
        <f t="shared" si="1060"/>
        <v>5</v>
      </c>
      <c r="BW1181" s="28">
        <f t="shared" si="1061"/>
        <v>5</v>
      </c>
      <c r="BX1181" s="13">
        <f t="shared" si="1062"/>
        <v>596</v>
      </c>
      <c r="BY1181" s="13">
        <f t="shared" si="1063"/>
        <v>596</v>
      </c>
      <c r="BZ1181" s="13">
        <f t="shared" si="1064"/>
        <v>236</v>
      </c>
      <c r="CA1181" s="13">
        <f t="shared" si="1065"/>
        <v>236</v>
      </c>
      <c r="CB1181" s="13">
        <f t="shared" si="1066"/>
        <v>140656</v>
      </c>
      <c r="CC1181" s="62" t="str">
        <f t="shared" si="1067"/>
        <v/>
      </c>
      <c r="CD1181" s="13">
        <f t="shared" si="1068"/>
        <v>596</v>
      </c>
      <c r="CE1181" s="13">
        <f t="shared" si="1069"/>
        <v>596</v>
      </c>
      <c r="CF1181" s="13">
        <f t="shared" si="1070"/>
        <v>236</v>
      </c>
      <c r="CG1181" s="13">
        <f t="shared" si="1071"/>
        <v>236</v>
      </c>
      <c r="CH1181" s="28">
        <f t="shared" si="1072"/>
        <v>140656</v>
      </c>
      <c r="CI1181" s="62" t="str">
        <f t="shared" si="1073"/>
        <v/>
      </c>
      <c r="CJ1181" s="59">
        <f t="shared" si="1074"/>
        <v>0</v>
      </c>
      <c r="CL1181" s="63">
        <v>6000</v>
      </c>
      <c r="CM1181" s="63">
        <f t="shared" si="1075"/>
        <v>0</v>
      </c>
      <c r="CN1181" s="63">
        <f t="shared" si="1076"/>
        <v>5</v>
      </c>
      <c r="CO1181" s="63">
        <f t="shared" si="1077"/>
        <v>1200</v>
      </c>
      <c r="CP1181" s="13">
        <f t="shared" si="1078"/>
        <v>1200</v>
      </c>
      <c r="CQ1181" s="70">
        <f t="shared" si="1079"/>
        <v>8.3333333333333339E-4</v>
      </c>
      <c r="CR1181" s="69">
        <f t="shared" si="1043"/>
        <v>8.3333333333333339E-4</v>
      </c>
    </row>
    <row r="1182" spans="1:96" hidden="1" x14ac:dyDescent="0.25">
      <c r="A1182" s="13">
        <v>4</v>
      </c>
      <c r="B1182" s="14" t="s">
        <v>2424</v>
      </c>
      <c r="C1182" s="13" t="s">
        <v>2425</v>
      </c>
      <c r="D1182" s="13" t="s">
        <v>2270</v>
      </c>
      <c r="E1182" s="13" t="s">
        <v>52</v>
      </c>
      <c r="F1182" s="15">
        <f t="shared" si="1048"/>
        <v>1</v>
      </c>
      <c r="G1182" s="13">
        <v>1</v>
      </c>
      <c r="H1182" s="13">
        <f>G1182*$H$1181</f>
        <v>1</v>
      </c>
      <c r="I1182" s="13" t="s">
        <v>2263</v>
      </c>
      <c r="J1182" s="14" t="s">
        <v>2419</v>
      </c>
      <c r="K1182" s="14"/>
      <c r="L1182" s="13" t="s">
        <v>2195</v>
      </c>
      <c r="M1182" s="14" t="s">
        <v>35</v>
      </c>
      <c r="N1182" s="13" t="s">
        <v>2426</v>
      </c>
      <c r="O1182" s="28"/>
      <c r="P1182" s="28"/>
      <c r="Q1182" s="28" t="s">
        <v>124</v>
      </c>
      <c r="R1182" s="30">
        <v>70.968999999999994</v>
      </c>
      <c r="S1182" s="30">
        <v>33.648000000000003</v>
      </c>
      <c r="T1182" s="30"/>
      <c r="U1182" s="30">
        <v>9.8425196850393706E-2</v>
      </c>
      <c r="V1182" s="8">
        <f t="shared" si="1049"/>
        <v>1802.6125999999997</v>
      </c>
      <c r="W1182" s="8">
        <f t="shared" si="1050"/>
        <v>854.65920000000006</v>
      </c>
      <c r="X1182" s="8">
        <f t="shared" si="1051"/>
        <v>0</v>
      </c>
      <c r="Y1182" s="33">
        <f t="shared" si="1052"/>
        <v>2.5</v>
      </c>
      <c r="Z1182" s="28" t="s">
        <v>56</v>
      </c>
      <c r="AA1182" s="28" t="s">
        <v>57</v>
      </c>
      <c r="AB1182" s="61" t="s">
        <v>124</v>
      </c>
      <c r="AC1182" s="31" t="s">
        <v>125</v>
      </c>
      <c r="AD1182" s="50">
        <f t="shared" si="1053"/>
        <v>1</v>
      </c>
      <c r="AE1182" s="5" t="s">
        <v>2188</v>
      </c>
      <c r="AF1182" s="51">
        <v>14</v>
      </c>
      <c r="AG1182" s="51">
        <f t="shared" si="1081"/>
        <v>8.4</v>
      </c>
      <c r="AH1182" s="51">
        <f t="shared" si="1047"/>
        <v>42</v>
      </c>
      <c r="AI1182" s="52" t="s">
        <v>2497</v>
      </c>
      <c r="AJ1182" s="52" t="s">
        <v>2498</v>
      </c>
      <c r="AK1182" s="53">
        <f t="shared" si="1082"/>
        <v>3.0812388852518398</v>
      </c>
      <c r="AL1182" s="54">
        <f t="shared" si="1083"/>
        <v>0.11904761904761904</v>
      </c>
      <c r="AM1182" s="54">
        <f t="shared" si="1084"/>
        <v>2.3809523809523808E-2</v>
      </c>
      <c r="AN1182" s="55">
        <f t="shared" si="1085"/>
        <v>0.36681415300617137</v>
      </c>
      <c r="AO1182" s="55">
        <f t="shared" si="1086"/>
        <v>7.3362830601234275E-2</v>
      </c>
      <c r="AP1182" s="53">
        <v>7.1</v>
      </c>
      <c r="AQ1182" s="53">
        <f t="shared" si="1054"/>
        <v>4.26</v>
      </c>
      <c r="AR1182" s="53">
        <f t="shared" si="1055"/>
        <v>21.299999999999997</v>
      </c>
      <c r="AS1182" s="56">
        <f t="shared" si="1056"/>
        <v>4.6948356807511742E-2</v>
      </c>
      <c r="AT1182" s="56">
        <f t="shared" si="1087"/>
        <v>0.23474178403755869</v>
      </c>
      <c r="AU1182" s="56">
        <f t="shared" si="1057"/>
        <v>0.176056338028169</v>
      </c>
      <c r="AV1182" s="56">
        <f t="shared" si="1088"/>
        <v>5.8685446009389672E-2</v>
      </c>
      <c r="AW1182" s="57"/>
      <c r="AX1182" s="57"/>
      <c r="AY1182" s="57"/>
      <c r="AZ1182" s="58">
        <f t="shared" si="1089"/>
        <v>3.0812388852518398</v>
      </c>
      <c r="BA1182" s="59">
        <f t="shared" si="1090"/>
        <v>0</v>
      </c>
      <c r="BB1182" s="59">
        <f t="shared" si="1091"/>
        <v>0</v>
      </c>
      <c r="BC1182" s="59">
        <f t="shared" si="1092"/>
        <v>0</v>
      </c>
      <c r="BD1182" s="60">
        <f t="shared" si="1093"/>
        <v>1</v>
      </c>
      <c r="BE1182" s="59">
        <f t="shared" si="1094"/>
        <v>1</v>
      </c>
      <c r="BQ1182" s="61">
        <v>3000</v>
      </c>
      <c r="BR1182" s="61">
        <v>1200</v>
      </c>
      <c r="BS1182" s="28">
        <f t="shared" si="1058"/>
        <v>2980</v>
      </c>
      <c r="BT1182" s="28">
        <f t="shared" si="1059"/>
        <v>1180</v>
      </c>
      <c r="BU1182" s="28" t="s">
        <v>2541</v>
      </c>
      <c r="BV1182" s="28">
        <f t="shared" si="1060"/>
        <v>1807.6125999999997</v>
      </c>
      <c r="BW1182" s="28">
        <f t="shared" si="1061"/>
        <v>859.65920000000006</v>
      </c>
      <c r="BX1182" s="13">
        <f t="shared" si="1062"/>
        <v>1.6485833302998665</v>
      </c>
      <c r="BY1182" s="13">
        <f t="shared" si="1063"/>
        <v>1</v>
      </c>
      <c r="BZ1182" s="13">
        <f t="shared" si="1064"/>
        <v>1.3726369705576349</v>
      </c>
      <c r="CA1182" s="13">
        <f t="shared" si="1065"/>
        <v>1</v>
      </c>
      <c r="CB1182" s="13">
        <f t="shared" si="1066"/>
        <v>1</v>
      </c>
      <c r="CC1182" s="62">
        <f t="shared" si="1067"/>
        <v>1</v>
      </c>
      <c r="CD1182" s="13">
        <f t="shared" si="1068"/>
        <v>3.4664899764930102</v>
      </c>
      <c r="CE1182" s="13">
        <f t="shared" si="1069"/>
        <v>3</v>
      </c>
      <c r="CF1182" s="13">
        <f t="shared" si="1070"/>
        <v>0.6527947415281351</v>
      </c>
      <c r="CG1182" s="13">
        <f t="shared" si="1071"/>
        <v>0</v>
      </c>
      <c r="CH1182" s="28">
        <f t="shared" si="1072"/>
        <v>0</v>
      </c>
      <c r="CI1182" s="62">
        <f t="shared" si="1073"/>
        <v>1</v>
      </c>
      <c r="CJ1182" s="59">
        <f t="shared" si="1074"/>
        <v>1</v>
      </c>
      <c r="CL1182" s="63">
        <v>6000</v>
      </c>
      <c r="CM1182" s="63">
        <f t="shared" si="1075"/>
        <v>1802.6125999999997</v>
      </c>
      <c r="CN1182" s="63">
        <f t="shared" si="1076"/>
        <v>1807.6125999999997</v>
      </c>
      <c r="CO1182" s="63">
        <f t="shared" si="1077"/>
        <v>3.3192952959057713</v>
      </c>
      <c r="CP1182" s="13">
        <f t="shared" si="1078"/>
        <v>3</v>
      </c>
      <c r="CQ1182" s="70">
        <f t="shared" si="1079"/>
        <v>0.33333333333333331</v>
      </c>
      <c r="CR1182" s="69">
        <f t="shared" si="1043"/>
        <v>0.33333333333333331</v>
      </c>
    </row>
    <row r="1183" spans="1:96" hidden="1" x14ac:dyDescent="0.25">
      <c r="A1183" s="13">
        <v>4</v>
      </c>
      <c r="B1183" s="14" t="s">
        <v>2296</v>
      </c>
      <c r="C1183" s="13" t="s">
        <v>59</v>
      </c>
      <c r="D1183" s="13" t="s">
        <v>61</v>
      </c>
      <c r="E1183" s="13" t="s">
        <v>52</v>
      </c>
      <c r="F1183" s="15">
        <f t="shared" si="1048"/>
        <v>19</v>
      </c>
      <c r="G1183" s="13">
        <v>20</v>
      </c>
      <c r="H1183" s="13">
        <f>G1183*$H$1181</f>
        <v>20</v>
      </c>
      <c r="I1183" s="13" t="s">
        <v>2267</v>
      </c>
      <c r="J1183" s="14" t="s">
        <v>60</v>
      </c>
      <c r="K1183" s="14"/>
      <c r="L1183" s="13">
        <v>0</v>
      </c>
      <c r="M1183" s="14" t="s">
        <v>35</v>
      </c>
      <c r="N1183" s="13" t="s">
        <v>61</v>
      </c>
      <c r="O1183" s="28"/>
      <c r="P1183" s="28"/>
      <c r="Q1183" s="28" t="s">
        <v>61</v>
      </c>
      <c r="R1183" s="30"/>
      <c r="S1183" s="30"/>
      <c r="T1183" s="30"/>
      <c r="U1183" s="30"/>
      <c r="V1183" s="8">
        <f t="shared" si="1049"/>
        <v>0</v>
      </c>
      <c r="W1183" s="8">
        <f t="shared" si="1050"/>
        <v>0</v>
      </c>
      <c r="X1183" s="8">
        <f t="shared" si="1051"/>
        <v>0</v>
      </c>
      <c r="Y1183" s="33">
        <f t="shared" si="1052"/>
        <v>0</v>
      </c>
      <c r="Z1183" s="28"/>
      <c r="AA1183" s="28"/>
      <c r="AB1183" s="61" t="s">
        <v>61</v>
      </c>
      <c r="AC1183" s="31" t="s">
        <v>62</v>
      </c>
      <c r="AD1183" s="50">
        <f t="shared" si="1053"/>
        <v>20</v>
      </c>
      <c r="AE1183" s="5" t="s">
        <v>2188</v>
      </c>
      <c r="AF1183" s="51">
        <v>14</v>
      </c>
      <c r="AG1183" s="51">
        <f t="shared" si="1081"/>
        <v>8.4</v>
      </c>
      <c r="AH1183" s="51">
        <f t="shared" si="1047"/>
        <v>42</v>
      </c>
      <c r="AI1183" s="52" t="s">
        <v>2497</v>
      </c>
      <c r="AJ1183" s="52" t="s">
        <v>2498</v>
      </c>
      <c r="AK1183" s="53">
        <f t="shared" si="1082"/>
        <v>0</v>
      </c>
      <c r="AL1183" s="54">
        <f t="shared" si="1083"/>
        <v>0.11904761904761904</v>
      </c>
      <c r="AM1183" s="54">
        <f t="shared" si="1084"/>
        <v>2.3809523809523808E-2</v>
      </c>
      <c r="AN1183" s="55">
        <f t="shared" si="1085"/>
        <v>0</v>
      </c>
      <c r="AO1183" s="55">
        <f t="shared" si="1086"/>
        <v>0</v>
      </c>
      <c r="AP1183" s="53">
        <v>7.1</v>
      </c>
      <c r="AQ1183" s="53">
        <f t="shared" si="1054"/>
        <v>4.26</v>
      </c>
      <c r="AR1183" s="53">
        <f t="shared" si="1055"/>
        <v>21.299999999999997</v>
      </c>
      <c r="AS1183" s="56">
        <f t="shared" si="1056"/>
        <v>4.6948356807511742E-2</v>
      </c>
      <c r="AT1183" s="56">
        <f t="shared" si="1087"/>
        <v>0.23474178403755869</v>
      </c>
      <c r="AU1183" s="56">
        <f t="shared" si="1057"/>
        <v>0.176056338028169</v>
      </c>
      <c r="AV1183" s="56">
        <f t="shared" si="1088"/>
        <v>5.8685446009389672E-2</v>
      </c>
      <c r="AW1183" s="57"/>
      <c r="AX1183" s="57"/>
      <c r="AY1183" s="57"/>
      <c r="AZ1183" s="58">
        <f t="shared" si="1089"/>
        <v>0</v>
      </c>
      <c r="BA1183" s="59">
        <f t="shared" si="1090"/>
        <v>0</v>
      </c>
      <c r="BB1183" s="59">
        <f t="shared" si="1091"/>
        <v>0</v>
      </c>
      <c r="BC1183" s="59">
        <f t="shared" si="1092"/>
        <v>0</v>
      </c>
      <c r="BD1183" s="60">
        <f t="shared" si="1093"/>
        <v>7.1095438516664771E-6</v>
      </c>
      <c r="BE1183" s="59">
        <f t="shared" si="1094"/>
        <v>1.4219087703332955E-4</v>
      </c>
      <c r="BQ1183" s="61">
        <v>3000</v>
      </c>
      <c r="BR1183" s="61">
        <v>1200</v>
      </c>
      <c r="BS1183" s="28">
        <f t="shared" si="1058"/>
        <v>2980</v>
      </c>
      <c r="BT1183" s="28">
        <f t="shared" si="1059"/>
        <v>1180</v>
      </c>
      <c r="BU1183" s="28" t="s">
        <v>2541</v>
      </c>
      <c r="BV1183" s="28">
        <f t="shared" si="1060"/>
        <v>5</v>
      </c>
      <c r="BW1183" s="28">
        <f t="shared" si="1061"/>
        <v>5</v>
      </c>
      <c r="BX1183" s="13">
        <f t="shared" si="1062"/>
        <v>596</v>
      </c>
      <c r="BY1183" s="13">
        <f t="shared" si="1063"/>
        <v>596</v>
      </c>
      <c r="BZ1183" s="13">
        <f t="shared" si="1064"/>
        <v>236</v>
      </c>
      <c r="CA1183" s="13">
        <f t="shared" si="1065"/>
        <v>236</v>
      </c>
      <c r="CB1183" s="13">
        <f t="shared" si="1066"/>
        <v>140656</v>
      </c>
      <c r="CC1183" s="62">
        <f t="shared" si="1067"/>
        <v>7.1095438516664771E-6</v>
      </c>
      <c r="CD1183" s="13">
        <f t="shared" si="1068"/>
        <v>596</v>
      </c>
      <c r="CE1183" s="13">
        <f t="shared" si="1069"/>
        <v>596</v>
      </c>
      <c r="CF1183" s="13">
        <f t="shared" si="1070"/>
        <v>236</v>
      </c>
      <c r="CG1183" s="13">
        <f t="shared" si="1071"/>
        <v>236</v>
      </c>
      <c r="CH1183" s="28">
        <f t="shared" si="1072"/>
        <v>140656</v>
      </c>
      <c r="CI1183" s="62">
        <f t="shared" si="1073"/>
        <v>7.1095438516664771E-6</v>
      </c>
      <c r="CJ1183" s="59">
        <f t="shared" si="1074"/>
        <v>7.1095438516664771E-6</v>
      </c>
      <c r="CL1183" s="63">
        <v>6000</v>
      </c>
      <c r="CM1183" s="63">
        <f t="shared" si="1075"/>
        <v>0</v>
      </c>
      <c r="CN1183" s="63">
        <f t="shared" si="1076"/>
        <v>5</v>
      </c>
      <c r="CO1183" s="63">
        <f t="shared" si="1077"/>
        <v>1200</v>
      </c>
      <c r="CP1183" s="13">
        <f t="shared" si="1078"/>
        <v>1200</v>
      </c>
      <c r="CQ1183" s="70">
        <f t="shared" si="1079"/>
        <v>8.3333333333333339E-4</v>
      </c>
      <c r="CR1183" s="69">
        <f t="shared" si="1043"/>
        <v>1.6666666666666666E-2</v>
      </c>
    </row>
    <row r="1184" spans="1:96" hidden="1" x14ac:dyDescent="0.25">
      <c r="A1184" s="10">
        <v>3</v>
      </c>
      <c r="B1184" s="8" t="s">
        <v>2306</v>
      </c>
      <c r="C1184" s="10" t="s">
        <v>2307</v>
      </c>
      <c r="D1184" s="10" t="s">
        <v>2270</v>
      </c>
      <c r="E1184" s="10" t="s">
        <v>32</v>
      </c>
      <c r="F1184" s="12">
        <f t="shared" si="1048"/>
        <v>2</v>
      </c>
      <c r="G1184" s="10">
        <v>2</v>
      </c>
      <c r="H1184" s="10">
        <f>G1184*$H$1180</f>
        <v>2</v>
      </c>
      <c r="I1184" s="10" t="s">
        <v>2308</v>
      </c>
      <c r="J1184" s="8" t="s">
        <v>1069</v>
      </c>
      <c r="K1184" s="8"/>
      <c r="L1184" s="10" t="s">
        <v>2195</v>
      </c>
      <c r="M1184" s="8" t="s">
        <v>35</v>
      </c>
      <c r="N1184" s="10" t="s">
        <v>2309</v>
      </c>
      <c r="O1184" s="28"/>
      <c r="P1184" s="28"/>
      <c r="Q1184" s="28"/>
      <c r="R1184" s="30"/>
      <c r="S1184" s="30"/>
      <c r="T1184" s="30"/>
      <c r="U1184" s="30"/>
      <c r="V1184" s="8">
        <f t="shared" si="1049"/>
        <v>0</v>
      </c>
      <c r="W1184" s="8">
        <f t="shared" si="1050"/>
        <v>0</v>
      </c>
      <c r="X1184" s="8">
        <f t="shared" si="1051"/>
        <v>0</v>
      </c>
      <c r="Y1184" s="33">
        <f t="shared" si="1052"/>
        <v>0</v>
      </c>
      <c r="Z1184" s="28"/>
      <c r="AA1184" s="28"/>
      <c r="AB1184" s="28">
        <v>0</v>
      </c>
      <c r="AC1184" s="31"/>
      <c r="AD1184" s="50">
        <f t="shared" si="1053"/>
        <v>2</v>
      </c>
      <c r="AE1184" s="5" t="s">
        <v>2188</v>
      </c>
      <c r="AF1184" s="51">
        <v>14</v>
      </c>
      <c r="AG1184" s="51">
        <f t="shared" si="1081"/>
        <v>8.4</v>
      </c>
      <c r="AH1184" s="51">
        <f t="shared" si="1047"/>
        <v>42</v>
      </c>
      <c r="AI1184" s="52" t="s">
        <v>2497</v>
      </c>
      <c r="AJ1184" s="52" t="s">
        <v>2498</v>
      </c>
      <c r="AK1184" s="53">
        <f t="shared" si="1082"/>
        <v>0</v>
      </c>
      <c r="AL1184" s="54">
        <f t="shared" si="1083"/>
        <v>0.11904761904761904</v>
      </c>
      <c r="AM1184" s="54">
        <f t="shared" si="1084"/>
        <v>2.3809523809523808E-2</v>
      </c>
      <c r="AN1184" s="55">
        <f t="shared" si="1085"/>
        <v>0</v>
      </c>
      <c r="AO1184" s="55">
        <f t="shared" si="1086"/>
        <v>0</v>
      </c>
      <c r="AP1184" s="53">
        <v>7.1</v>
      </c>
      <c r="AQ1184" s="53">
        <f t="shared" si="1054"/>
        <v>4.26</v>
      </c>
      <c r="AR1184" s="53">
        <f t="shared" si="1055"/>
        <v>21.299999999999997</v>
      </c>
      <c r="AS1184" s="56">
        <f t="shared" si="1056"/>
        <v>4.6948356807511742E-2</v>
      </c>
      <c r="AT1184" s="56">
        <f t="shared" si="1087"/>
        <v>0.23474178403755869</v>
      </c>
      <c r="AU1184" s="56">
        <f t="shared" si="1057"/>
        <v>0.176056338028169</v>
      </c>
      <c r="AV1184" s="56">
        <f t="shared" si="1088"/>
        <v>5.8685446009389672E-2</v>
      </c>
      <c r="AW1184" s="57"/>
      <c r="AX1184" s="57"/>
      <c r="AY1184" s="57"/>
      <c r="AZ1184" s="58">
        <f t="shared" si="1089"/>
        <v>0</v>
      </c>
      <c r="BA1184" s="59">
        <f t="shared" si="1090"/>
        <v>0</v>
      </c>
      <c r="BB1184" s="59">
        <f t="shared" si="1091"/>
        <v>0</v>
      </c>
      <c r="BC1184" s="59">
        <f t="shared" si="1092"/>
        <v>0</v>
      </c>
      <c r="BD1184" s="60">
        <f t="shared" si="1093"/>
        <v>0</v>
      </c>
      <c r="BE1184" s="59">
        <f t="shared" si="1094"/>
        <v>0</v>
      </c>
      <c r="BQ1184" s="61">
        <v>3000</v>
      </c>
      <c r="BR1184" s="61">
        <v>1200</v>
      </c>
      <c r="BS1184" s="28">
        <f t="shared" si="1058"/>
        <v>2980</v>
      </c>
      <c r="BT1184" s="28">
        <f t="shared" si="1059"/>
        <v>1180</v>
      </c>
      <c r="BU1184" s="28" t="s">
        <v>2541</v>
      </c>
      <c r="BV1184" s="28">
        <f t="shared" si="1060"/>
        <v>5</v>
      </c>
      <c r="BW1184" s="28">
        <f t="shared" si="1061"/>
        <v>5</v>
      </c>
      <c r="BX1184" s="13">
        <f t="shared" si="1062"/>
        <v>596</v>
      </c>
      <c r="BY1184" s="13">
        <f t="shared" si="1063"/>
        <v>596</v>
      </c>
      <c r="BZ1184" s="13">
        <f t="shared" si="1064"/>
        <v>236</v>
      </c>
      <c r="CA1184" s="13">
        <f t="shared" si="1065"/>
        <v>236</v>
      </c>
      <c r="CB1184" s="13">
        <f t="shared" si="1066"/>
        <v>140656</v>
      </c>
      <c r="CC1184" s="62" t="str">
        <f t="shared" si="1067"/>
        <v/>
      </c>
      <c r="CD1184" s="13">
        <f t="shared" si="1068"/>
        <v>596</v>
      </c>
      <c r="CE1184" s="13">
        <f t="shared" si="1069"/>
        <v>596</v>
      </c>
      <c r="CF1184" s="13">
        <f t="shared" si="1070"/>
        <v>236</v>
      </c>
      <c r="CG1184" s="13">
        <f t="shared" si="1071"/>
        <v>236</v>
      </c>
      <c r="CH1184" s="28">
        <f t="shared" si="1072"/>
        <v>140656</v>
      </c>
      <c r="CI1184" s="62" t="str">
        <f t="shared" si="1073"/>
        <v/>
      </c>
      <c r="CJ1184" s="59">
        <f t="shared" si="1074"/>
        <v>0</v>
      </c>
      <c r="CL1184" s="63">
        <v>6000</v>
      </c>
      <c r="CM1184" s="63">
        <f t="shared" si="1075"/>
        <v>0</v>
      </c>
      <c r="CN1184" s="63">
        <f t="shared" si="1076"/>
        <v>5</v>
      </c>
      <c r="CO1184" s="63">
        <f t="shared" si="1077"/>
        <v>1200</v>
      </c>
      <c r="CP1184" s="13">
        <f t="shared" si="1078"/>
        <v>1200</v>
      </c>
      <c r="CQ1184" s="70">
        <f t="shared" si="1079"/>
        <v>8.3333333333333339E-4</v>
      </c>
      <c r="CR1184" s="69">
        <f t="shared" si="1043"/>
        <v>1.6666666666666668E-3</v>
      </c>
    </row>
    <row r="1185" spans="1:96" hidden="1" x14ac:dyDescent="0.25">
      <c r="A1185" s="13">
        <v>4</v>
      </c>
      <c r="B1185" s="14" t="s">
        <v>2310</v>
      </c>
      <c r="C1185" s="13" t="s">
        <v>2311</v>
      </c>
      <c r="D1185" s="13" t="s">
        <v>2270</v>
      </c>
      <c r="E1185" s="13" t="s">
        <v>52</v>
      </c>
      <c r="F1185" s="15">
        <f t="shared" si="1048"/>
        <v>2</v>
      </c>
      <c r="G1185" s="13">
        <v>1</v>
      </c>
      <c r="H1185" s="13">
        <f>G1185*$H$1184</f>
        <v>2</v>
      </c>
      <c r="I1185" s="13" t="s">
        <v>2263</v>
      </c>
      <c r="J1185" s="14" t="s">
        <v>911</v>
      </c>
      <c r="K1185" s="14"/>
      <c r="L1185" s="13" t="s">
        <v>2195</v>
      </c>
      <c r="M1185" s="14" t="s">
        <v>35</v>
      </c>
      <c r="N1185" s="13" t="s">
        <v>2312</v>
      </c>
      <c r="O1185" s="28"/>
      <c r="P1185" s="28"/>
      <c r="Q1185" s="28" t="s">
        <v>103</v>
      </c>
      <c r="R1185" s="30">
        <v>2.5</v>
      </c>
      <c r="S1185" s="30">
        <v>2.5</v>
      </c>
      <c r="T1185" s="30"/>
      <c r="U1185" s="30">
        <v>0.23622047244094491</v>
      </c>
      <c r="V1185" s="8">
        <f t="shared" si="1049"/>
        <v>63.5</v>
      </c>
      <c r="W1185" s="8">
        <f t="shared" si="1050"/>
        <v>63.5</v>
      </c>
      <c r="X1185" s="8">
        <f t="shared" si="1051"/>
        <v>0</v>
      </c>
      <c r="Y1185" s="33">
        <f t="shared" si="1052"/>
        <v>6</v>
      </c>
      <c r="Z1185" s="28" t="s">
        <v>56</v>
      </c>
      <c r="AA1185" s="28" t="s">
        <v>57</v>
      </c>
      <c r="AB1185" s="28" t="s">
        <v>103</v>
      </c>
      <c r="AC1185" s="31" t="s">
        <v>104</v>
      </c>
      <c r="AD1185" s="50">
        <f t="shared" si="1053"/>
        <v>2</v>
      </c>
      <c r="AE1185" s="5" t="s">
        <v>2188</v>
      </c>
      <c r="AF1185" s="51">
        <v>14</v>
      </c>
      <c r="AG1185" s="51">
        <f t="shared" si="1081"/>
        <v>8.4</v>
      </c>
      <c r="AH1185" s="51">
        <f t="shared" si="1047"/>
        <v>42</v>
      </c>
      <c r="AI1185" s="52" t="s">
        <v>2497</v>
      </c>
      <c r="AJ1185" s="52" t="s">
        <v>2498</v>
      </c>
      <c r="AK1185" s="53">
        <f t="shared" si="1082"/>
        <v>8.0645000000000005E-3</v>
      </c>
      <c r="AL1185" s="54">
        <f t="shared" si="1083"/>
        <v>0.11904761904761904</v>
      </c>
      <c r="AM1185" s="54">
        <f t="shared" si="1084"/>
        <v>2.3809523809523808E-2</v>
      </c>
      <c r="AN1185" s="55">
        <f t="shared" si="1085"/>
        <v>1.9201190476190477E-3</v>
      </c>
      <c r="AO1185" s="55">
        <f t="shared" si="1086"/>
        <v>3.8402380952380952E-4</v>
      </c>
      <c r="AP1185" s="53">
        <v>7.1</v>
      </c>
      <c r="AQ1185" s="53">
        <f t="shared" si="1054"/>
        <v>4.26</v>
      </c>
      <c r="AR1185" s="53">
        <f t="shared" si="1055"/>
        <v>21.299999999999997</v>
      </c>
      <c r="AS1185" s="56">
        <f t="shared" si="1056"/>
        <v>4.6948356807511742E-2</v>
      </c>
      <c r="AT1185" s="56">
        <f t="shared" si="1087"/>
        <v>0.23474178403755869</v>
      </c>
      <c r="AU1185" s="56">
        <f t="shared" si="1057"/>
        <v>0.176056338028169</v>
      </c>
      <c r="AV1185" s="56">
        <f t="shared" si="1088"/>
        <v>5.8685446009389672E-2</v>
      </c>
      <c r="AW1185" s="57"/>
      <c r="AX1185" s="57"/>
      <c r="AY1185" s="57"/>
      <c r="AZ1185" s="58">
        <f t="shared" si="1089"/>
        <v>8.0645000000000005E-3</v>
      </c>
      <c r="BA1185" s="59">
        <f t="shared" si="1090"/>
        <v>0</v>
      </c>
      <c r="BB1185" s="59">
        <f t="shared" si="1091"/>
        <v>0</v>
      </c>
      <c r="BC1185" s="59">
        <f t="shared" si="1092"/>
        <v>0</v>
      </c>
      <c r="BD1185" s="60">
        <f t="shared" si="1093"/>
        <v>1.3679890560875513E-3</v>
      </c>
      <c r="BE1185" s="59">
        <f t="shared" si="1094"/>
        <v>2.7359781121751026E-3</v>
      </c>
      <c r="BQ1185" s="61">
        <v>3000</v>
      </c>
      <c r="BR1185" s="61">
        <v>1200</v>
      </c>
      <c r="BS1185" s="28">
        <f t="shared" si="1058"/>
        <v>2980</v>
      </c>
      <c r="BT1185" s="28">
        <f t="shared" si="1059"/>
        <v>1180</v>
      </c>
      <c r="BU1185" s="28" t="s">
        <v>2541</v>
      </c>
      <c r="BV1185" s="28">
        <f t="shared" si="1060"/>
        <v>68.5</v>
      </c>
      <c r="BW1185" s="28">
        <f t="shared" si="1061"/>
        <v>68.5</v>
      </c>
      <c r="BX1185" s="13">
        <f t="shared" si="1062"/>
        <v>43.503649635036496</v>
      </c>
      <c r="BY1185" s="13">
        <f t="shared" si="1063"/>
        <v>43</v>
      </c>
      <c r="BZ1185" s="13">
        <f t="shared" si="1064"/>
        <v>17.226277372262775</v>
      </c>
      <c r="CA1185" s="13">
        <f t="shared" si="1065"/>
        <v>17</v>
      </c>
      <c r="CB1185" s="13">
        <f t="shared" si="1066"/>
        <v>731</v>
      </c>
      <c r="CC1185" s="62">
        <f t="shared" si="1067"/>
        <v>1.3679890560875513E-3</v>
      </c>
      <c r="CD1185" s="13">
        <f t="shared" si="1068"/>
        <v>43.503649635036496</v>
      </c>
      <c r="CE1185" s="13">
        <f t="shared" si="1069"/>
        <v>43</v>
      </c>
      <c r="CF1185" s="13">
        <f t="shared" si="1070"/>
        <v>17.226277372262775</v>
      </c>
      <c r="CG1185" s="13">
        <f t="shared" si="1071"/>
        <v>17</v>
      </c>
      <c r="CH1185" s="28">
        <f t="shared" si="1072"/>
        <v>731</v>
      </c>
      <c r="CI1185" s="62">
        <f t="shared" si="1073"/>
        <v>1.3679890560875513E-3</v>
      </c>
      <c r="CJ1185" s="59">
        <f t="shared" si="1074"/>
        <v>1.3679890560875513E-3</v>
      </c>
      <c r="CL1185" s="63">
        <v>6000</v>
      </c>
      <c r="CM1185" s="63">
        <f t="shared" si="1075"/>
        <v>63.5</v>
      </c>
      <c r="CN1185" s="63">
        <f t="shared" si="1076"/>
        <v>68.5</v>
      </c>
      <c r="CO1185" s="63">
        <f t="shared" si="1077"/>
        <v>87.591240875912405</v>
      </c>
      <c r="CP1185" s="13">
        <f t="shared" si="1078"/>
        <v>87</v>
      </c>
      <c r="CQ1185" s="70">
        <f t="shared" si="1079"/>
        <v>1.1494252873563218E-2</v>
      </c>
      <c r="CR1185" s="69">
        <f t="shared" si="1043"/>
        <v>2.2988505747126436E-2</v>
      </c>
    </row>
    <row r="1186" spans="1:96" hidden="1" x14ac:dyDescent="0.25">
      <c r="A1186" s="13">
        <v>4</v>
      </c>
      <c r="B1186" s="14" t="s">
        <v>2313</v>
      </c>
      <c r="C1186" s="13" t="s">
        <v>2314</v>
      </c>
      <c r="D1186" s="13" t="s">
        <v>2316</v>
      </c>
      <c r="E1186" s="13" t="s">
        <v>52</v>
      </c>
      <c r="F1186" s="15">
        <f t="shared" si="1048"/>
        <v>2</v>
      </c>
      <c r="G1186" s="13">
        <v>1</v>
      </c>
      <c r="H1186" s="13">
        <f>G1186*$H$1184</f>
        <v>2</v>
      </c>
      <c r="I1186" s="13" t="s">
        <v>2267</v>
      </c>
      <c r="J1186" s="14" t="s">
        <v>2315</v>
      </c>
      <c r="K1186" s="14"/>
      <c r="L1186" s="13" t="s">
        <v>2195</v>
      </c>
      <c r="M1186" s="14" t="s">
        <v>35</v>
      </c>
      <c r="N1186" s="13" t="s">
        <v>2316</v>
      </c>
      <c r="O1186" s="28"/>
      <c r="P1186" s="28"/>
      <c r="Q1186" s="28" t="s">
        <v>2316</v>
      </c>
      <c r="R1186" s="30"/>
      <c r="S1186" s="30"/>
      <c r="T1186" s="30"/>
      <c r="U1186" s="30"/>
      <c r="V1186" s="8">
        <f t="shared" si="1049"/>
        <v>0</v>
      </c>
      <c r="W1186" s="8">
        <f t="shared" si="1050"/>
        <v>0</v>
      </c>
      <c r="X1186" s="8">
        <f t="shared" si="1051"/>
        <v>0</v>
      </c>
      <c r="Y1186" s="33">
        <f t="shared" si="1052"/>
        <v>0</v>
      </c>
      <c r="Z1186" s="28"/>
      <c r="AA1186" s="28"/>
      <c r="AB1186" s="61" t="s">
        <v>2316</v>
      </c>
      <c r="AC1186" s="31" t="s">
        <v>62</v>
      </c>
      <c r="AD1186" s="50">
        <f t="shared" si="1053"/>
        <v>2</v>
      </c>
      <c r="AE1186" s="5" t="s">
        <v>2188</v>
      </c>
      <c r="AF1186" s="51">
        <v>14</v>
      </c>
      <c r="AG1186" s="51">
        <f t="shared" si="1081"/>
        <v>8.4</v>
      </c>
      <c r="AH1186" s="51">
        <f t="shared" si="1047"/>
        <v>42</v>
      </c>
      <c r="AI1186" s="52" t="s">
        <v>2497</v>
      </c>
      <c r="AJ1186" s="52" t="s">
        <v>2498</v>
      </c>
      <c r="AK1186" s="53">
        <f t="shared" si="1082"/>
        <v>0</v>
      </c>
      <c r="AL1186" s="54">
        <f t="shared" si="1083"/>
        <v>0.11904761904761904</v>
      </c>
      <c r="AM1186" s="54">
        <f t="shared" si="1084"/>
        <v>2.3809523809523808E-2</v>
      </c>
      <c r="AN1186" s="55">
        <f t="shared" si="1085"/>
        <v>0</v>
      </c>
      <c r="AO1186" s="55">
        <f t="shared" si="1086"/>
        <v>0</v>
      </c>
      <c r="AP1186" s="53">
        <v>7.1</v>
      </c>
      <c r="AQ1186" s="53">
        <f t="shared" si="1054"/>
        <v>4.26</v>
      </c>
      <c r="AR1186" s="53">
        <f t="shared" si="1055"/>
        <v>21.299999999999997</v>
      </c>
      <c r="AS1186" s="56">
        <f t="shared" si="1056"/>
        <v>4.6948356807511742E-2</v>
      </c>
      <c r="AT1186" s="56">
        <f t="shared" si="1087"/>
        <v>0.23474178403755869</v>
      </c>
      <c r="AU1186" s="56">
        <f t="shared" si="1057"/>
        <v>0.176056338028169</v>
      </c>
      <c r="AV1186" s="56">
        <f t="shared" si="1088"/>
        <v>5.8685446009389672E-2</v>
      </c>
      <c r="AW1186" s="57"/>
      <c r="AX1186" s="57"/>
      <c r="AY1186" s="57"/>
      <c r="AZ1186" s="58">
        <f t="shared" si="1089"/>
        <v>0</v>
      </c>
      <c r="BA1186" s="59">
        <f t="shared" si="1090"/>
        <v>0</v>
      </c>
      <c r="BB1186" s="59">
        <f t="shared" si="1091"/>
        <v>0</v>
      </c>
      <c r="BC1186" s="59">
        <f t="shared" si="1092"/>
        <v>0</v>
      </c>
      <c r="BD1186" s="60">
        <f t="shared" si="1093"/>
        <v>7.1095438516664771E-6</v>
      </c>
      <c r="BE1186" s="59">
        <f t="shared" si="1094"/>
        <v>1.4219087703332954E-5</v>
      </c>
      <c r="BQ1186" s="61">
        <v>3000</v>
      </c>
      <c r="BR1186" s="61">
        <v>1200</v>
      </c>
      <c r="BS1186" s="28">
        <f t="shared" si="1058"/>
        <v>2980</v>
      </c>
      <c r="BT1186" s="28">
        <f t="shared" si="1059"/>
        <v>1180</v>
      </c>
      <c r="BU1186" s="28" t="s">
        <v>2541</v>
      </c>
      <c r="BV1186" s="28">
        <f t="shared" si="1060"/>
        <v>5</v>
      </c>
      <c r="BW1186" s="28">
        <f t="shared" si="1061"/>
        <v>5</v>
      </c>
      <c r="BX1186" s="13">
        <f t="shared" si="1062"/>
        <v>596</v>
      </c>
      <c r="BY1186" s="13">
        <f t="shared" si="1063"/>
        <v>596</v>
      </c>
      <c r="BZ1186" s="13">
        <f t="shared" si="1064"/>
        <v>236</v>
      </c>
      <c r="CA1186" s="13">
        <f t="shared" si="1065"/>
        <v>236</v>
      </c>
      <c r="CB1186" s="13">
        <f t="shared" si="1066"/>
        <v>140656</v>
      </c>
      <c r="CC1186" s="62">
        <f t="shared" si="1067"/>
        <v>7.1095438516664771E-6</v>
      </c>
      <c r="CD1186" s="13">
        <f t="shared" si="1068"/>
        <v>596</v>
      </c>
      <c r="CE1186" s="13">
        <f t="shared" si="1069"/>
        <v>596</v>
      </c>
      <c r="CF1186" s="13">
        <f t="shared" si="1070"/>
        <v>236</v>
      </c>
      <c r="CG1186" s="13">
        <f t="shared" si="1071"/>
        <v>236</v>
      </c>
      <c r="CH1186" s="28">
        <f t="shared" si="1072"/>
        <v>140656</v>
      </c>
      <c r="CI1186" s="62">
        <f t="shared" si="1073"/>
        <v>7.1095438516664771E-6</v>
      </c>
      <c r="CJ1186" s="59">
        <f t="shared" si="1074"/>
        <v>7.1095438516664771E-6</v>
      </c>
      <c r="CL1186" s="63">
        <v>6000</v>
      </c>
      <c r="CM1186" s="63">
        <f t="shared" si="1075"/>
        <v>0</v>
      </c>
      <c r="CN1186" s="63">
        <f t="shared" si="1076"/>
        <v>5</v>
      </c>
      <c r="CO1186" s="63">
        <f t="shared" si="1077"/>
        <v>1200</v>
      </c>
      <c r="CP1186" s="13">
        <f t="shared" si="1078"/>
        <v>1200</v>
      </c>
      <c r="CQ1186" s="70">
        <f t="shared" si="1079"/>
        <v>8.3333333333333339E-4</v>
      </c>
      <c r="CR1186" s="69">
        <f t="shared" si="1043"/>
        <v>1.6666666666666668E-3</v>
      </c>
    </row>
    <row r="1187" spans="1:96" hidden="1" x14ac:dyDescent="0.25">
      <c r="A1187" s="36">
        <v>2</v>
      </c>
      <c r="B1187" s="37" t="s">
        <v>2427</v>
      </c>
      <c r="C1187" s="36" t="s">
        <v>2428</v>
      </c>
      <c r="D1187" s="36" t="s">
        <v>2270</v>
      </c>
      <c r="E1187" s="36" t="s">
        <v>52</v>
      </c>
      <c r="F1187" s="38">
        <f t="shared" si="1048"/>
        <v>1</v>
      </c>
      <c r="G1187" s="36">
        <v>1</v>
      </c>
      <c r="H1187" s="36">
        <f t="shared" ref="H1187:H1196" si="1097">G1187*$H$1124</f>
        <v>1</v>
      </c>
      <c r="I1187" s="36" t="s">
        <v>2378</v>
      </c>
      <c r="J1187" s="37" t="s">
        <v>1069</v>
      </c>
      <c r="K1187" s="37"/>
      <c r="L1187" s="36" t="s">
        <v>2195</v>
      </c>
      <c r="M1187" s="37" t="s">
        <v>35</v>
      </c>
      <c r="N1187" s="36" t="s">
        <v>2429</v>
      </c>
      <c r="O1187" s="28"/>
      <c r="P1187" s="28"/>
      <c r="Q1187" s="28" t="s">
        <v>124</v>
      </c>
      <c r="R1187" s="30">
        <v>21.5</v>
      </c>
      <c r="S1187" s="30">
        <v>6.4669999999999996</v>
      </c>
      <c r="T1187" s="30"/>
      <c r="U1187" s="30">
        <v>9.8425196850393706E-2</v>
      </c>
      <c r="V1187" s="8">
        <f t="shared" si="1049"/>
        <v>546.1</v>
      </c>
      <c r="W1187" s="8">
        <f t="shared" si="1050"/>
        <v>164.26179999999999</v>
      </c>
      <c r="X1187" s="8">
        <f t="shared" si="1051"/>
        <v>0</v>
      </c>
      <c r="Y1187" s="33">
        <f t="shared" si="1052"/>
        <v>2.5</v>
      </c>
      <c r="Z1187" s="28" t="s">
        <v>56</v>
      </c>
      <c r="AA1187" s="28" t="s">
        <v>57</v>
      </c>
      <c r="AB1187" s="61" t="s">
        <v>124</v>
      </c>
      <c r="AC1187" s="31" t="s">
        <v>125</v>
      </c>
      <c r="AD1187" s="50">
        <f t="shared" si="1053"/>
        <v>1</v>
      </c>
      <c r="AE1187" s="5" t="s">
        <v>2188</v>
      </c>
      <c r="AF1187" s="51">
        <v>14</v>
      </c>
      <c r="AG1187" s="51">
        <f t="shared" si="1081"/>
        <v>8.4</v>
      </c>
      <c r="AH1187" s="51">
        <f t="shared" si="1047"/>
        <v>42</v>
      </c>
      <c r="AI1187" s="52" t="s">
        <v>2497</v>
      </c>
      <c r="AJ1187" s="52" t="s">
        <v>2498</v>
      </c>
      <c r="AK1187" s="53">
        <f t="shared" si="1082"/>
        <v>0.17940673796000001</v>
      </c>
      <c r="AL1187" s="54">
        <f t="shared" si="1083"/>
        <v>0.11904761904761904</v>
      </c>
      <c r="AM1187" s="54">
        <f t="shared" si="1084"/>
        <v>2.3809523809523808E-2</v>
      </c>
      <c r="AN1187" s="55">
        <f t="shared" si="1085"/>
        <v>2.1357944995238094E-2</v>
      </c>
      <c r="AO1187" s="55">
        <f t="shared" si="1086"/>
        <v>4.2715889990476187E-3</v>
      </c>
      <c r="AP1187" s="53">
        <v>7.1</v>
      </c>
      <c r="AQ1187" s="53">
        <f t="shared" si="1054"/>
        <v>4.26</v>
      </c>
      <c r="AR1187" s="53">
        <f t="shared" si="1055"/>
        <v>21.299999999999997</v>
      </c>
      <c r="AS1187" s="56">
        <f t="shared" si="1056"/>
        <v>4.6948356807511742E-2</v>
      </c>
      <c r="AT1187" s="56">
        <f t="shared" si="1087"/>
        <v>0.23474178403755869</v>
      </c>
      <c r="AU1187" s="56">
        <f t="shared" si="1057"/>
        <v>0.176056338028169</v>
      </c>
      <c r="AV1187" s="56">
        <f t="shared" si="1088"/>
        <v>5.8685446009389672E-2</v>
      </c>
      <c r="AW1187" s="57"/>
      <c r="AX1187" s="57"/>
      <c r="AY1187" s="57"/>
      <c r="AZ1187" s="58">
        <f t="shared" si="1089"/>
        <v>0.17940673796000001</v>
      </c>
      <c r="BA1187" s="59">
        <f t="shared" si="1090"/>
        <v>0</v>
      </c>
      <c r="BB1187" s="59">
        <f t="shared" si="1091"/>
        <v>0</v>
      </c>
      <c r="BC1187" s="59">
        <f t="shared" si="1092"/>
        <v>0</v>
      </c>
      <c r="BD1187" s="60">
        <f t="shared" si="1093"/>
        <v>2.9411764705882353E-2</v>
      </c>
      <c r="BE1187" s="59">
        <f t="shared" si="1094"/>
        <v>2.9411764705882353E-2</v>
      </c>
      <c r="BQ1187" s="61">
        <v>3000</v>
      </c>
      <c r="BR1187" s="61">
        <v>1200</v>
      </c>
      <c r="BS1187" s="28">
        <f t="shared" si="1058"/>
        <v>2980</v>
      </c>
      <c r="BT1187" s="28">
        <f t="shared" si="1059"/>
        <v>1180</v>
      </c>
      <c r="BU1187" s="28" t="s">
        <v>2541</v>
      </c>
      <c r="BV1187" s="28">
        <f t="shared" si="1060"/>
        <v>551.1</v>
      </c>
      <c r="BW1187" s="28">
        <f t="shared" si="1061"/>
        <v>169.26179999999999</v>
      </c>
      <c r="BX1187" s="13">
        <f t="shared" si="1062"/>
        <v>5.4073670840137904</v>
      </c>
      <c r="BY1187" s="13">
        <f t="shared" si="1063"/>
        <v>5</v>
      </c>
      <c r="BZ1187" s="13">
        <f t="shared" si="1064"/>
        <v>6.9714489624947866</v>
      </c>
      <c r="CA1187" s="13">
        <f t="shared" si="1065"/>
        <v>6</v>
      </c>
      <c r="CB1187" s="13">
        <f t="shared" si="1066"/>
        <v>30</v>
      </c>
      <c r="CC1187" s="62">
        <f t="shared" si="1067"/>
        <v>3.3333333333333333E-2</v>
      </c>
      <c r="CD1187" s="13">
        <f t="shared" si="1068"/>
        <v>17.605862634097004</v>
      </c>
      <c r="CE1187" s="13">
        <f t="shared" si="1069"/>
        <v>17</v>
      </c>
      <c r="CF1187" s="13">
        <f t="shared" si="1070"/>
        <v>2.1411722010524405</v>
      </c>
      <c r="CG1187" s="13">
        <f t="shared" si="1071"/>
        <v>2</v>
      </c>
      <c r="CH1187" s="28">
        <f t="shared" si="1072"/>
        <v>34</v>
      </c>
      <c r="CI1187" s="62">
        <f t="shared" si="1073"/>
        <v>2.9411764705882353E-2</v>
      </c>
      <c r="CJ1187" s="59">
        <f t="shared" si="1074"/>
        <v>2.9411764705882353E-2</v>
      </c>
      <c r="CL1187" s="63">
        <v>6000</v>
      </c>
      <c r="CM1187" s="63">
        <f t="shared" si="1075"/>
        <v>546.1</v>
      </c>
      <c r="CN1187" s="63">
        <f t="shared" si="1076"/>
        <v>551.1</v>
      </c>
      <c r="CO1187" s="63">
        <f t="shared" si="1077"/>
        <v>10.887316276537833</v>
      </c>
      <c r="CP1187" s="13">
        <f t="shared" si="1078"/>
        <v>10</v>
      </c>
      <c r="CQ1187" s="70">
        <f t="shared" si="1079"/>
        <v>0.1</v>
      </c>
      <c r="CR1187" s="69">
        <f t="shared" si="1043"/>
        <v>0.1</v>
      </c>
    </row>
    <row r="1188" spans="1:96" hidden="1" x14ac:dyDescent="0.25">
      <c r="A1188" s="36">
        <v>2</v>
      </c>
      <c r="B1188" s="37" t="s">
        <v>2430</v>
      </c>
      <c r="C1188" s="36" t="s">
        <v>2431</v>
      </c>
      <c r="D1188" s="36" t="s">
        <v>2270</v>
      </c>
      <c r="E1188" s="36" t="s">
        <v>52</v>
      </c>
      <c r="F1188" s="38">
        <f t="shared" si="1048"/>
        <v>1</v>
      </c>
      <c r="G1188" s="36">
        <v>2</v>
      </c>
      <c r="H1188" s="36">
        <f t="shared" si="1097"/>
        <v>2</v>
      </c>
      <c r="I1188" s="36" t="s">
        <v>2366</v>
      </c>
      <c r="J1188" s="37" t="s">
        <v>851</v>
      </c>
      <c r="K1188" s="37"/>
      <c r="L1188" s="36" t="s">
        <v>2195</v>
      </c>
      <c r="M1188" s="37" t="s">
        <v>35</v>
      </c>
      <c r="N1188" s="36" t="s">
        <v>2432</v>
      </c>
      <c r="O1188" s="28"/>
      <c r="P1188" s="28"/>
      <c r="Q1188" s="28" t="s">
        <v>124</v>
      </c>
      <c r="R1188" s="30">
        <v>67</v>
      </c>
      <c r="S1188" s="30">
        <v>1.23</v>
      </c>
      <c r="T1188" s="30"/>
      <c r="U1188" s="30">
        <v>9.8425196850393706E-2</v>
      </c>
      <c r="V1188" s="8">
        <f t="shared" si="1049"/>
        <v>1701.8</v>
      </c>
      <c r="W1188" s="8">
        <f t="shared" si="1050"/>
        <v>31.241999999999997</v>
      </c>
      <c r="X1188" s="8">
        <f t="shared" si="1051"/>
        <v>0</v>
      </c>
      <c r="Y1188" s="33">
        <f t="shared" si="1052"/>
        <v>2.5</v>
      </c>
      <c r="Z1188" s="28" t="s">
        <v>56</v>
      </c>
      <c r="AA1188" s="28" t="s">
        <v>57</v>
      </c>
      <c r="AB1188" s="61" t="s">
        <v>124</v>
      </c>
      <c r="AC1188" s="31" t="s">
        <v>125</v>
      </c>
      <c r="AD1188" s="50">
        <f t="shared" si="1053"/>
        <v>2</v>
      </c>
      <c r="AE1188" s="5" t="s">
        <v>2188</v>
      </c>
      <c r="AF1188" s="51">
        <v>14</v>
      </c>
      <c r="AG1188" s="51">
        <f t="shared" si="1081"/>
        <v>8.4</v>
      </c>
      <c r="AH1188" s="51">
        <f t="shared" si="1047"/>
        <v>42</v>
      </c>
      <c r="AI1188" s="52" t="s">
        <v>2497</v>
      </c>
      <c r="AJ1188" s="52" t="s">
        <v>2498</v>
      </c>
      <c r="AK1188" s="53">
        <f t="shared" si="1082"/>
        <v>0.10633527119999998</v>
      </c>
      <c r="AL1188" s="54">
        <f t="shared" si="1083"/>
        <v>0.11904761904761904</v>
      </c>
      <c r="AM1188" s="54">
        <f t="shared" si="1084"/>
        <v>2.3809523809523808E-2</v>
      </c>
      <c r="AN1188" s="55">
        <f t="shared" si="1085"/>
        <v>2.5317921714285711E-2</v>
      </c>
      <c r="AO1188" s="55">
        <f t="shared" si="1086"/>
        <v>5.0635843428571414E-3</v>
      </c>
      <c r="AP1188" s="53">
        <v>7.1</v>
      </c>
      <c r="AQ1188" s="53">
        <f t="shared" si="1054"/>
        <v>4.26</v>
      </c>
      <c r="AR1188" s="53">
        <f t="shared" si="1055"/>
        <v>21.299999999999997</v>
      </c>
      <c r="AS1188" s="56">
        <f t="shared" si="1056"/>
        <v>4.6948356807511742E-2</v>
      </c>
      <c r="AT1188" s="56">
        <f t="shared" si="1087"/>
        <v>0.23474178403755869</v>
      </c>
      <c r="AU1188" s="56">
        <f t="shared" si="1057"/>
        <v>0.176056338028169</v>
      </c>
      <c r="AV1188" s="56">
        <f t="shared" si="1088"/>
        <v>5.8685446009389672E-2</v>
      </c>
      <c r="AW1188" s="57"/>
      <c r="AX1188" s="57"/>
      <c r="AY1188" s="57"/>
      <c r="AZ1188" s="58">
        <f t="shared" si="1089"/>
        <v>0.10633527119999998</v>
      </c>
      <c r="BA1188" s="59">
        <f t="shared" si="1090"/>
        <v>0</v>
      </c>
      <c r="BB1188" s="59">
        <f t="shared" si="1091"/>
        <v>0</v>
      </c>
      <c r="BC1188" s="59">
        <f t="shared" si="1092"/>
        <v>0</v>
      </c>
      <c r="BD1188" s="60">
        <f t="shared" si="1093"/>
        <v>3.125E-2</v>
      </c>
      <c r="BE1188" s="59">
        <f t="shared" si="1094"/>
        <v>6.25E-2</v>
      </c>
      <c r="BQ1188" s="61">
        <v>3000</v>
      </c>
      <c r="BR1188" s="61">
        <v>1200</v>
      </c>
      <c r="BS1188" s="28">
        <f t="shared" si="1058"/>
        <v>2980</v>
      </c>
      <c r="BT1188" s="28">
        <f t="shared" si="1059"/>
        <v>1180</v>
      </c>
      <c r="BU1188" s="28" t="s">
        <v>2541</v>
      </c>
      <c r="BV1188" s="28">
        <f t="shared" si="1060"/>
        <v>1706.8</v>
      </c>
      <c r="BW1188" s="28">
        <f t="shared" si="1061"/>
        <v>36.241999999999997</v>
      </c>
      <c r="BX1188" s="13">
        <f t="shared" si="1062"/>
        <v>1.7459573470822591</v>
      </c>
      <c r="BY1188" s="13">
        <f t="shared" si="1063"/>
        <v>1</v>
      </c>
      <c r="BZ1188" s="13">
        <f t="shared" si="1064"/>
        <v>32.55890955245296</v>
      </c>
      <c r="CA1188" s="13">
        <f t="shared" si="1065"/>
        <v>32</v>
      </c>
      <c r="CB1188" s="13">
        <f t="shared" si="1066"/>
        <v>32</v>
      </c>
      <c r="CC1188" s="62">
        <f t="shared" si="1067"/>
        <v>3.125E-2</v>
      </c>
      <c r="CD1188" s="13">
        <f t="shared" si="1068"/>
        <v>82.225042768059168</v>
      </c>
      <c r="CE1188" s="13">
        <f t="shared" si="1069"/>
        <v>82</v>
      </c>
      <c r="CF1188" s="13">
        <f t="shared" si="1070"/>
        <v>0.69135223810639801</v>
      </c>
      <c r="CG1188" s="13">
        <f t="shared" si="1071"/>
        <v>0</v>
      </c>
      <c r="CH1188" s="28">
        <f t="shared" si="1072"/>
        <v>0</v>
      </c>
      <c r="CI1188" s="62">
        <f t="shared" si="1073"/>
        <v>1</v>
      </c>
      <c r="CJ1188" s="59">
        <f t="shared" si="1074"/>
        <v>3.125E-2</v>
      </c>
      <c r="CL1188" s="63">
        <v>6000</v>
      </c>
      <c r="CM1188" s="63">
        <f t="shared" si="1075"/>
        <v>1701.8</v>
      </c>
      <c r="CN1188" s="63">
        <f t="shared" si="1076"/>
        <v>1706.8</v>
      </c>
      <c r="CO1188" s="63">
        <f t="shared" si="1077"/>
        <v>3.5153503632528711</v>
      </c>
      <c r="CP1188" s="13">
        <f t="shared" si="1078"/>
        <v>3</v>
      </c>
      <c r="CQ1188" s="70">
        <f t="shared" si="1079"/>
        <v>0.33333333333333331</v>
      </c>
      <c r="CR1188" s="69">
        <f t="shared" ref="CR1188:CR1202" si="1098">CQ1188*AD1188</f>
        <v>0.66666666666666663</v>
      </c>
    </row>
    <row r="1189" spans="1:96" hidden="1" x14ac:dyDescent="0.25">
      <c r="A1189" s="36">
        <v>2</v>
      </c>
      <c r="B1189" s="37" t="s">
        <v>2433</v>
      </c>
      <c r="C1189" s="36" t="s">
        <v>2434</v>
      </c>
      <c r="D1189" s="36" t="s">
        <v>2270</v>
      </c>
      <c r="E1189" s="36" t="s">
        <v>52</v>
      </c>
      <c r="F1189" s="38">
        <f t="shared" si="1048"/>
        <v>1</v>
      </c>
      <c r="G1189" s="36">
        <v>2</v>
      </c>
      <c r="H1189" s="36">
        <f t="shared" si="1097"/>
        <v>2</v>
      </c>
      <c r="I1189" s="36" t="s">
        <v>2371</v>
      </c>
      <c r="J1189" s="37" t="s">
        <v>851</v>
      </c>
      <c r="K1189" s="37"/>
      <c r="L1189" s="36" t="s">
        <v>2195</v>
      </c>
      <c r="M1189" s="37" t="s">
        <v>35</v>
      </c>
      <c r="N1189" s="36" t="s">
        <v>2435</v>
      </c>
      <c r="O1189" s="28"/>
      <c r="P1189" s="28"/>
      <c r="Q1189" s="28" t="s">
        <v>124</v>
      </c>
      <c r="R1189" s="30">
        <v>22.6</v>
      </c>
      <c r="S1189" s="30">
        <v>1.224</v>
      </c>
      <c r="T1189" s="30"/>
      <c r="U1189" s="30">
        <v>9.8425196850393706E-2</v>
      </c>
      <c r="V1189" s="8">
        <f t="shared" si="1049"/>
        <v>574.04</v>
      </c>
      <c r="W1189" s="8">
        <f t="shared" si="1050"/>
        <v>31.089599999999997</v>
      </c>
      <c r="X1189" s="8">
        <f t="shared" si="1051"/>
        <v>0</v>
      </c>
      <c r="Y1189" s="33">
        <f t="shared" si="1052"/>
        <v>2.5</v>
      </c>
      <c r="Z1189" s="28" t="s">
        <v>56</v>
      </c>
      <c r="AA1189" s="28" t="s">
        <v>57</v>
      </c>
      <c r="AB1189" s="61" t="s">
        <v>124</v>
      </c>
      <c r="AC1189" s="31" t="s">
        <v>125</v>
      </c>
      <c r="AD1189" s="50">
        <f t="shared" si="1053"/>
        <v>2</v>
      </c>
      <c r="AE1189" s="5" t="s">
        <v>2188</v>
      </c>
      <c r="AF1189" s="51">
        <v>14</v>
      </c>
      <c r="AG1189" s="51">
        <f t="shared" si="1081"/>
        <v>8.4</v>
      </c>
      <c r="AH1189" s="51">
        <f t="shared" si="1047"/>
        <v>42</v>
      </c>
      <c r="AI1189" s="52" t="s">
        <v>2497</v>
      </c>
      <c r="AJ1189" s="52" t="s">
        <v>2498</v>
      </c>
      <c r="AK1189" s="53">
        <f t="shared" si="1082"/>
        <v>3.5693347967999993E-2</v>
      </c>
      <c r="AL1189" s="54">
        <f t="shared" si="1083"/>
        <v>0.11904761904761904</v>
      </c>
      <c r="AM1189" s="54">
        <f t="shared" si="1084"/>
        <v>2.3809523809523808E-2</v>
      </c>
      <c r="AN1189" s="55">
        <f t="shared" si="1085"/>
        <v>8.4984161828571408E-3</v>
      </c>
      <c r="AO1189" s="55">
        <f t="shared" si="1086"/>
        <v>1.699683236571428E-3</v>
      </c>
      <c r="AP1189" s="53">
        <v>7.1</v>
      </c>
      <c r="AQ1189" s="53">
        <f t="shared" si="1054"/>
        <v>4.26</v>
      </c>
      <c r="AR1189" s="53">
        <f t="shared" si="1055"/>
        <v>21.299999999999997</v>
      </c>
      <c r="AS1189" s="56">
        <f t="shared" si="1056"/>
        <v>4.6948356807511742E-2</v>
      </c>
      <c r="AT1189" s="56">
        <f t="shared" si="1087"/>
        <v>0.23474178403755869</v>
      </c>
      <c r="AU1189" s="56">
        <f t="shared" si="1057"/>
        <v>0.176056338028169</v>
      </c>
      <c r="AV1189" s="56">
        <f t="shared" si="1088"/>
        <v>5.8685446009389672E-2</v>
      </c>
      <c r="AW1189" s="57"/>
      <c r="AX1189" s="57"/>
      <c r="AY1189" s="57"/>
      <c r="AZ1189" s="58">
        <f t="shared" si="1089"/>
        <v>3.5693347967999993E-2</v>
      </c>
      <c r="BA1189" s="59">
        <f t="shared" si="1090"/>
        <v>0</v>
      </c>
      <c r="BB1189" s="59">
        <f t="shared" si="1091"/>
        <v>0</v>
      </c>
      <c r="BC1189" s="59">
        <f t="shared" si="1092"/>
        <v>0</v>
      </c>
      <c r="BD1189" s="60">
        <f t="shared" si="1093"/>
        <v>6.0975609756097563E-3</v>
      </c>
      <c r="BE1189" s="59">
        <f t="shared" si="1094"/>
        <v>1.2195121951219513E-2</v>
      </c>
      <c r="BQ1189" s="61">
        <v>3000</v>
      </c>
      <c r="BR1189" s="61">
        <v>1200</v>
      </c>
      <c r="BS1189" s="28">
        <f t="shared" si="1058"/>
        <v>2980</v>
      </c>
      <c r="BT1189" s="28">
        <f t="shared" si="1059"/>
        <v>1180</v>
      </c>
      <c r="BU1189" s="28" t="s">
        <v>2541</v>
      </c>
      <c r="BV1189" s="28">
        <f t="shared" si="1060"/>
        <v>579.04</v>
      </c>
      <c r="BW1189" s="28">
        <f t="shared" si="1061"/>
        <v>36.089599999999997</v>
      </c>
      <c r="BX1189" s="13">
        <f t="shared" si="1062"/>
        <v>5.1464492953854659</v>
      </c>
      <c r="BY1189" s="13">
        <f t="shared" si="1063"/>
        <v>5</v>
      </c>
      <c r="BZ1189" s="13">
        <f t="shared" si="1064"/>
        <v>32.696400070934565</v>
      </c>
      <c r="CA1189" s="13">
        <f t="shared" si="1065"/>
        <v>32</v>
      </c>
      <c r="CB1189" s="13">
        <f t="shared" si="1066"/>
        <v>160</v>
      </c>
      <c r="CC1189" s="62">
        <f t="shared" si="1067"/>
        <v>6.2500000000000003E-3</v>
      </c>
      <c r="CD1189" s="13">
        <f t="shared" si="1068"/>
        <v>82.572264585919498</v>
      </c>
      <c r="CE1189" s="13">
        <f t="shared" si="1069"/>
        <v>82</v>
      </c>
      <c r="CF1189" s="13">
        <f t="shared" si="1070"/>
        <v>2.0378557612600168</v>
      </c>
      <c r="CG1189" s="13">
        <f t="shared" si="1071"/>
        <v>2</v>
      </c>
      <c r="CH1189" s="28">
        <f t="shared" si="1072"/>
        <v>164</v>
      </c>
      <c r="CI1189" s="62">
        <f t="shared" si="1073"/>
        <v>6.0975609756097563E-3</v>
      </c>
      <c r="CJ1189" s="59">
        <f t="shared" si="1074"/>
        <v>6.0975609756097563E-3</v>
      </c>
      <c r="CL1189" s="63">
        <v>6000</v>
      </c>
      <c r="CM1189" s="63">
        <f t="shared" si="1075"/>
        <v>574.04</v>
      </c>
      <c r="CN1189" s="63">
        <f t="shared" si="1076"/>
        <v>579.04</v>
      </c>
      <c r="CO1189" s="63">
        <f t="shared" si="1077"/>
        <v>10.36197844708483</v>
      </c>
      <c r="CP1189" s="13">
        <f t="shared" si="1078"/>
        <v>10</v>
      </c>
      <c r="CQ1189" s="70">
        <f t="shared" si="1079"/>
        <v>0.1</v>
      </c>
      <c r="CR1189" s="69">
        <f t="shared" si="1098"/>
        <v>0.2</v>
      </c>
    </row>
    <row r="1190" spans="1:96" hidden="1" x14ac:dyDescent="0.25">
      <c r="A1190" s="36">
        <v>2</v>
      </c>
      <c r="B1190" s="37" t="s">
        <v>2436</v>
      </c>
      <c r="C1190" s="36" t="s">
        <v>2437</v>
      </c>
      <c r="D1190" s="36" t="s">
        <v>2270</v>
      </c>
      <c r="E1190" s="36" t="s">
        <v>52</v>
      </c>
      <c r="F1190" s="38">
        <f t="shared" si="1048"/>
        <v>1</v>
      </c>
      <c r="G1190" s="36">
        <v>1</v>
      </c>
      <c r="H1190" s="36">
        <f t="shared" si="1097"/>
        <v>1</v>
      </c>
      <c r="I1190" s="36" t="s">
        <v>2438</v>
      </c>
      <c r="J1190" s="37" t="s">
        <v>2439</v>
      </c>
      <c r="K1190" s="37"/>
      <c r="L1190" s="36" t="s">
        <v>2195</v>
      </c>
      <c r="M1190" s="37" t="s">
        <v>35</v>
      </c>
      <c r="N1190" s="36" t="s">
        <v>2440</v>
      </c>
      <c r="O1190" s="28"/>
      <c r="P1190" s="28"/>
      <c r="Q1190" s="28" t="s">
        <v>116</v>
      </c>
      <c r="R1190" s="30">
        <v>61.491</v>
      </c>
      <c r="S1190" s="30">
        <v>6.8520000000000003</v>
      </c>
      <c r="T1190" s="30"/>
      <c r="U1190" s="30">
        <v>0.11799999999999999</v>
      </c>
      <c r="V1190" s="8">
        <f t="shared" si="1049"/>
        <v>1561.8714</v>
      </c>
      <c r="W1190" s="8">
        <f t="shared" si="1050"/>
        <v>174.04079999999999</v>
      </c>
      <c r="X1190" s="8">
        <f t="shared" si="1051"/>
        <v>0</v>
      </c>
      <c r="Y1190" s="33">
        <f t="shared" si="1052"/>
        <v>2.9971999999999999</v>
      </c>
      <c r="Z1190" s="28" t="s">
        <v>56</v>
      </c>
      <c r="AA1190" s="28" t="s">
        <v>57</v>
      </c>
      <c r="AB1190" s="28" t="s">
        <v>116</v>
      </c>
      <c r="AC1190" s="31" t="s">
        <v>117</v>
      </c>
      <c r="AD1190" s="50">
        <f t="shared" si="1053"/>
        <v>1</v>
      </c>
      <c r="AE1190" s="5" t="s">
        <v>2188</v>
      </c>
      <c r="AF1190" s="51">
        <v>14</v>
      </c>
      <c r="AG1190" s="51">
        <f t="shared" si="1081"/>
        <v>8.4</v>
      </c>
      <c r="AH1190" s="51">
        <f t="shared" si="1047"/>
        <v>42</v>
      </c>
      <c r="AI1190" s="52" t="s">
        <v>2497</v>
      </c>
      <c r="AJ1190" s="52" t="s">
        <v>2498</v>
      </c>
      <c r="AK1190" s="53">
        <f t="shared" si="1082"/>
        <v>0.54365869590623994</v>
      </c>
      <c r="AL1190" s="54">
        <f t="shared" si="1083"/>
        <v>0.11904761904761904</v>
      </c>
      <c r="AM1190" s="54">
        <f t="shared" si="1084"/>
        <v>2.3809523809523808E-2</v>
      </c>
      <c r="AN1190" s="55">
        <f t="shared" si="1085"/>
        <v>6.4721273322171424E-2</v>
      </c>
      <c r="AO1190" s="55">
        <f t="shared" si="1086"/>
        <v>1.2944254664434284E-2</v>
      </c>
      <c r="AP1190" s="53">
        <v>7.1</v>
      </c>
      <c r="AQ1190" s="53">
        <f t="shared" si="1054"/>
        <v>4.26</v>
      </c>
      <c r="AR1190" s="53">
        <f t="shared" si="1055"/>
        <v>21.299999999999997</v>
      </c>
      <c r="AS1190" s="56">
        <f t="shared" si="1056"/>
        <v>4.6948356807511742E-2</v>
      </c>
      <c r="AT1190" s="56">
        <f t="shared" si="1087"/>
        <v>0.23474178403755869</v>
      </c>
      <c r="AU1190" s="56">
        <f t="shared" si="1057"/>
        <v>0.176056338028169</v>
      </c>
      <c r="AV1190" s="56">
        <f t="shared" si="1088"/>
        <v>5.8685446009389672E-2</v>
      </c>
      <c r="AW1190" s="57"/>
      <c r="AX1190" s="57"/>
      <c r="AY1190" s="57"/>
      <c r="AZ1190" s="58">
        <f t="shared" si="1089"/>
        <v>0.54365869590623994</v>
      </c>
      <c r="BA1190" s="59">
        <f t="shared" si="1090"/>
        <v>0</v>
      </c>
      <c r="BB1190" s="59">
        <f t="shared" si="1091"/>
        <v>0</v>
      </c>
      <c r="BC1190" s="59">
        <f t="shared" si="1092"/>
        <v>0</v>
      </c>
      <c r="BD1190" s="60">
        <f t="shared" si="1093"/>
        <v>0.16666666666666666</v>
      </c>
      <c r="BE1190" s="59">
        <f t="shared" si="1094"/>
        <v>0.16666666666666666</v>
      </c>
      <c r="BQ1190" s="61">
        <v>3000</v>
      </c>
      <c r="BR1190" s="61">
        <v>1200</v>
      </c>
      <c r="BS1190" s="28">
        <f t="shared" si="1058"/>
        <v>2980</v>
      </c>
      <c r="BT1190" s="28">
        <f t="shared" si="1059"/>
        <v>1180</v>
      </c>
      <c r="BU1190" s="28" t="s">
        <v>2541</v>
      </c>
      <c r="BV1190" s="28">
        <f t="shared" si="1060"/>
        <v>1566.8714</v>
      </c>
      <c r="BW1190" s="28">
        <f t="shared" si="1061"/>
        <v>179.04079999999999</v>
      </c>
      <c r="BX1190" s="13">
        <f t="shared" si="1062"/>
        <v>1.9018791203923946</v>
      </c>
      <c r="BY1190" s="13">
        <f t="shared" si="1063"/>
        <v>1</v>
      </c>
      <c r="BZ1190" s="13">
        <f t="shared" si="1064"/>
        <v>6.5906765385319996</v>
      </c>
      <c r="CA1190" s="13">
        <f t="shared" si="1065"/>
        <v>6</v>
      </c>
      <c r="CB1190" s="13">
        <f t="shared" si="1066"/>
        <v>6</v>
      </c>
      <c r="CC1190" s="62">
        <f t="shared" si="1067"/>
        <v>0.16666666666666666</v>
      </c>
      <c r="CD1190" s="13">
        <f t="shared" si="1068"/>
        <v>16.644250919343524</v>
      </c>
      <c r="CE1190" s="13">
        <f t="shared" si="1069"/>
        <v>16</v>
      </c>
      <c r="CF1190" s="13">
        <f t="shared" si="1070"/>
        <v>0.75309307451779384</v>
      </c>
      <c r="CG1190" s="13">
        <f t="shared" si="1071"/>
        <v>0</v>
      </c>
      <c r="CH1190" s="28">
        <f t="shared" si="1072"/>
        <v>0</v>
      </c>
      <c r="CI1190" s="62">
        <f t="shared" si="1073"/>
        <v>1</v>
      </c>
      <c r="CJ1190" s="59">
        <f t="shared" si="1074"/>
        <v>0.16666666666666666</v>
      </c>
      <c r="CL1190" s="63">
        <v>6000</v>
      </c>
      <c r="CM1190" s="63">
        <f t="shared" si="1075"/>
        <v>1561.8714</v>
      </c>
      <c r="CN1190" s="63">
        <f t="shared" si="1076"/>
        <v>1566.8714</v>
      </c>
      <c r="CO1190" s="63">
        <f t="shared" si="1077"/>
        <v>3.8292868195820029</v>
      </c>
      <c r="CP1190" s="13">
        <f t="shared" si="1078"/>
        <v>3</v>
      </c>
      <c r="CQ1190" s="70">
        <f t="shared" si="1079"/>
        <v>0.33333333333333331</v>
      </c>
      <c r="CR1190" s="69">
        <f t="shared" si="1098"/>
        <v>0.33333333333333331</v>
      </c>
    </row>
    <row r="1191" spans="1:96" hidden="1" x14ac:dyDescent="0.25">
      <c r="A1191" s="36">
        <v>2</v>
      </c>
      <c r="B1191" s="37" t="s">
        <v>2441</v>
      </c>
      <c r="C1191" s="36" t="s">
        <v>2442</v>
      </c>
      <c r="D1191" s="36" t="s">
        <v>2270</v>
      </c>
      <c r="E1191" s="36" t="s">
        <v>52</v>
      </c>
      <c r="F1191" s="38">
        <f t="shared" si="1048"/>
        <v>1</v>
      </c>
      <c r="G1191" s="36">
        <v>2</v>
      </c>
      <c r="H1191" s="36">
        <f t="shared" si="1097"/>
        <v>2</v>
      </c>
      <c r="I1191" s="36" t="s">
        <v>2290</v>
      </c>
      <c r="J1191" s="37" t="s">
        <v>2439</v>
      </c>
      <c r="K1191" s="37"/>
      <c r="L1191" s="36">
        <v>0</v>
      </c>
      <c r="M1191" s="37" t="s">
        <v>35</v>
      </c>
      <c r="N1191" s="36" t="s">
        <v>2443</v>
      </c>
      <c r="O1191" s="28"/>
      <c r="P1191" s="28"/>
      <c r="Q1191" s="28" t="s">
        <v>116</v>
      </c>
      <c r="R1191" s="30">
        <v>19.649999999999999</v>
      </c>
      <c r="S1191" s="30">
        <v>6.0780000000000003</v>
      </c>
      <c r="T1191" s="30"/>
      <c r="U1191" s="30">
        <v>0.11799999999999999</v>
      </c>
      <c r="V1191" s="8">
        <f t="shared" si="1049"/>
        <v>499.10999999999996</v>
      </c>
      <c r="W1191" s="8">
        <f t="shared" si="1050"/>
        <v>154.38120000000001</v>
      </c>
      <c r="X1191" s="8">
        <f t="shared" si="1051"/>
        <v>0</v>
      </c>
      <c r="Y1191" s="33">
        <f t="shared" si="1052"/>
        <v>2.9971999999999999</v>
      </c>
      <c r="Z1191" s="28" t="s">
        <v>56</v>
      </c>
      <c r="AA1191" s="28" t="s">
        <v>57</v>
      </c>
      <c r="AB1191" s="28" t="s">
        <v>116</v>
      </c>
      <c r="AC1191" s="31" t="s">
        <v>117</v>
      </c>
      <c r="AD1191" s="50">
        <f t="shared" si="1053"/>
        <v>2</v>
      </c>
      <c r="AE1191" s="5" t="s">
        <v>2188</v>
      </c>
      <c r="AF1191" s="51">
        <v>14</v>
      </c>
      <c r="AG1191" s="51">
        <f t="shared" si="1081"/>
        <v>8.4</v>
      </c>
      <c r="AH1191" s="51">
        <f t="shared" si="1047"/>
        <v>42</v>
      </c>
      <c r="AI1191" s="52" t="s">
        <v>2497</v>
      </c>
      <c r="AJ1191" s="52" t="s">
        <v>2498</v>
      </c>
      <c r="AK1191" s="53">
        <f t="shared" si="1082"/>
        <v>0.15410640146399998</v>
      </c>
      <c r="AL1191" s="54">
        <f t="shared" si="1083"/>
        <v>0.11904761904761904</v>
      </c>
      <c r="AM1191" s="54">
        <f t="shared" si="1084"/>
        <v>2.3809523809523808E-2</v>
      </c>
      <c r="AN1191" s="55">
        <f t="shared" si="1085"/>
        <v>3.6692000348571424E-2</v>
      </c>
      <c r="AO1191" s="55">
        <f t="shared" si="1086"/>
        <v>7.3384000697142848E-3</v>
      </c>
      <c r="AP1191" s="53">
        <v>7.1</v>
      </c>
      <c r="AQ1191" s="53">
        <f t="shared" si="1054"/>
        <v>4.26</v>
      </c>
      <c r="AR1191" s="53">
        <f t="shared" si="1055"/>
        <v>21.299999999999997</v>
      </c>
      <c r="AS1191" s="56">
        <f t="shared" si="1056"/>
        <v>4.6948356807511742E-2</v>
      </c>
      <c r="AT1191" s="56">
        <f t="shared" si="1087"/>
        <v>0.23474178403755869</v>
      </c>
      <c r="AU1191" s="56">
        <f t="shared" si="1057"/>
        <v>0.176056338028169</v>
      </c>
      <c r="AV1191" s="56">
        <f t="shared" si="1088"/>
        <v>5.8685446009389672E-2</v>
      </c>
      <c r="AW1191" s="57"/>
      <c r="AX1191" s="57"/>
      <c r="AY1191" s="57"/>
      <c r="AZ1191" s="58">
        <f t="shared" si="1089"/>
        <v>0.15410640146399998</v>
      </c>
      <c r="BA1191" s="59">
        <f t="shared" si="1090"/>
        <v>0</v>
      </c>
      <c r="BB1191" s="59">
        <f t="shared" si="1091"/>
        <v>0</v>
      </c>
      <c r="BC1191" s="59">
        <f t="shared" si="1092"/>
        <v>0</v>
      </c>
      <c r="BD1191" s="60">
        <f t="shared" si="1093"/>
        <v>2.7777777777777776E-2</v>
      </c>
      <c r="BE1191" s="59">
        <f t="shared" si="1094"/>
        <v>5.5555555555555552E-2</v>
      </c>
      <c r="BQ1191" s="61">
        <v>3000</v>
      </c>
      <c r="BR1191" s="61">
        <v>1200</v>
      </c>
      <c r="BS1191" s="28">
        <f t="shared" si="1058"/>
        <v>2980</v>
      </c>
      <c r="BT1191" s="28">
        <f t="shared" si="1059"/>
        <v>1180</v>
      </c>
      <c r="BU1191" s="28" t="s">
        <v>2541</v>
      </c>
      <c r="BV1191" s="28">
        <f t="shared" si="1060"/>
        <v>504.10999999999996</v>
      </c>
      <c r="BW1191" s="28">
        <f t="shared" si="1061"/>
        <v>159.38120000000001</v>
      </c>
      <c r="BX1191" s="13">
        <f t="shared" si="1062"/>
        <v>5.91140822439547</v>
      </c>
      <c r="BY1191" s="13">
        <f t="shared" si="1063"/>
        <v>5</v>
      </c>
      <c r="BZ1191" s="13">
        <f t="shared" si="1064"/>
        <v>7.4036335527653199</v>
      </c>
      <c r="CA1191" s="13">
        <f t="shared" si="1065"/>
        <v>7</v>
      </c>
      <c r="CB1191" s="13">
        <f t="shared" si="1066"/>
        <v>35</v>
      </c>
      <c r="CC1191" s="62">
        <f t="shared" si="1067"/>
        <v>2.8571428571428571E-2</v>
      </c>
      <c r="CD1191" s="13">
        <f t="shared" si="1068"/>
        <v>18.697311853593774</v>
      </c>
      <c r="CE1191" s="13">
        <f t="shared" si="1069"/>
        <v>18</v>
      </c>
      <c r="CF1191" s="13">
        <f t="shared" si="1070"/>
        <v>2.3407589613378033</v>
      </c>
      <c r="CG1191" s="13">
        <f t="shared" si="1071"/>
        <v>2</v>
      </c>
      <c r="CH1191" s="28">
        <f t="shared" si="1072"/>
        <v>36</v>
      </c>
      <c r="CI1191" s="62">
        <f t="shared" si="1073"/>
        <v>2.7777777777777776E-2</v>
      </c>
      <c r="CJ1191" s="59">
        <f t="shared" si="1074"/>
        <v>2.7777777777777776E-2</v>
      </c>
      <c r="CL1191" s="63">
        <v>6000</v>
      </c>
      <c r="CM1191" s="63">
        <f t="shared" si="1075"/>
        <v>499.10999999999996</v>
      </c>
      <c r="CN1191" s="63">
        <f t="shared" si="1076"/>
        <v>504.10999999999996</v>
      </c>
      <c r="CO1191" s="63">
        <f t="shared" si="1077"/>
        <v>11.902164210192222</v>
      </c>
      <c r="CP1191" s="13">
        <f t="shared" si="1078"/>
        <v>11</v>
      </c>
      <c r="CQ1191" s="70">
        <f t="shared" si="1079"/>
        <v>9.0909090909090912E-2</v>
      </c>
      <c r="CR1191" s="69">
        <f t="shared" si="1098"/>
        <v>0.18181818181818182</v>
      </c>
    </row>
    <row r="1192" spans="1:96" hidden="1" x14ac:dyDescent="0.25">
      <c r="A1192" s="36">
        <v>2</v>
      </c>
      <c r="B1192" s="37" t="s">
        <v>2377</v>
      </c>
      <c r="C1192" s="36" t="s">
        <v>336</v>
      </c>
      <c r="D1192" s="36" t="s">
        <v>341</v>
      </c>
      <c r="E1192" s="36" t="s">
        <v>52</v>
      </c>
      <c r="F1192" s="38">
        <f t="shared" si="1048"/>
        <v>15</v>
      </c>
      <c r="G1192" s="36" t="s">
        <v>337</v>
      </c>
      <c r="H1192" s="36" t="str">
        <f>G1192</f>
        <v>A/R</v>
      </c>
      <c r="I1192" s="36" t="s">
        <v>2444</v>
      </c>
      <c r="J1192" s="37" t="s">
        <v>2379</v>
      </c>
      <c r="K1192" s="37"/>
      <c r="L1192" s="36" t="s">
        <v>2245</v>
      </c>
      <c r="M1192" s="37" t="s">
        <v>35</v>
      </c>
      <c r="N1192" s="36" t="s">
        <v>341</v>
      </c>
      <c r="O1192" s="28" t="s">
        <v>2541</v>
      </c>
      <c r="P1192" s="28" t="s">
        <v>2541</v>
      </c>
      <c r="Q1192" s="28" t="s">
        <v>341</v>
      </c>
      <c r="R1192" s="30"/>
      <c r="S1192" s="30"/>
      <c r="T1192" s="30"/>
      <c r="U1192" s="30"/>
      <c r="V1192" s="8">
        <f t="shared" si="1049"/>
        <v>0</v>
      </c>
      <c r="W1192" s="8">
        <f t="shared" si="1050"/>
        <v>0</v>
      </c>
      <c r="X1192" s="8">
        <f t="shared" si="1051"/>
        <v>0</v>
      </c>
      <c r="Y1192" s="33">
        <f t="shared" si="1052"/>
        <v>0</v>
      </c>
      <c r="Z1192" s="28"/>
      <c r="AA1192" s="28"/>
      <c r="AB1192" s="28" t="s">
        <v>341</v>
      </c>
      <c r="AC1192" s="31" t="s">
        <v>342</v>
      </c>
      <c r="AD1192" s="50">
        <v>0</v>
      </c>
      <c r="AE1192" s="50" t="s">
        <v>337</v>
      </c>
      <c r="AF1192" s="51">
        <v>14</v>
      </c>
      <c r="AG1192" s="51">
        <f t="shared" si="1081"/>
        <v>8.4</v>
      </c>
      <c r="AH1192" s="51">
        <f t="shared" si="1047"/>
        <v>42</v>
      </c>
      <c r="AI1192" s="52" t="s">
        <v>2497</v>
      </c>
      <c r="AJ1192" s="52" t="s">
        <v>2498</v>
      </c>
      <c r="AK1192" s="53">
        <f t="shared" si="1082"/>
        <v>0</v>
      </c>
      <c r="AL1192" s="54">
        <f t="shared" si="1083"/>
        <v>0.11904761904761904</v>
      </c>
      <c r="AM1192" s="54">
        <f t="shared" si="1084"/>
        <v>2.3809523809523808E-2</v>
      </c>
      <c r="AN1192" s="55">
        <f t="shared" si="1085"/>
        <v>0</v>
      </c>
      <c r="AO1192" s="55">
        <f t="shared" si="1086"/>
        <v>0</v>
      </c>
      <c r="AP1192" s="53">
        <v>7.1</v>
      </c>
      <c r="AQ1192" s="53">
        <f t="shared" si="1054"/>
        <v>4.26</v>
      </c>
      <c r="AR1192" s="53">
        <f t="shared" si="1055"/>
        <v>21.299999999999997</v>
      </c>
      <c r="AS1192" s="56">
        <f t="shared" si="1056"/>
        <v>4.6948356807511742E-2</v>
      </c>
      <c r="AT1192" s="56">
        <f t="shared" si="1087"/>
        <v>0.23474178403755869</v>
      </c>
      <c r="AU1192" s="56">
        <f t="shared" si="1057"/>
        <v>0.176056338028169</v>
      </c>
      <c r="AV1192" s="56">
        <f t="shared" si="1088"/>
        <v>5.8685446009389672E-2</v>
      </c>
      <c r="AW1192" s="57"/>
      <c r="AX1192" s="57"/>
      <c r="AY1192" s="57"/>
      <c r="AZ1192" s="58">
        <f t="shared" si="1089"/>
        <v>0</v>
      </c>
      <c r="BA1192" s="59">
        <f t="shared" si="1090"/>
        <v>0</v>
      </c>
      <c r="BB1192" s="59">
        <f t="shared" si="1091"/>
        <v>0</v>
      </c>
      <c r="BC1192" s="59">
        <f t="shared" si="1092"/>
        <v>0</v>
      </c>
      <c r="BD1192" s="60">
        <f t="shared" si="1093"/>
        <v>7.1095438516664771E-6</v>
      </c>
      <c r="BE1192" s="59">
        <f t="shared" si="1094"/>
        <v>0</v>
      </c>
      <c r="BQ1192" s="61">
        <v>3000</v>
      </c>
      <c r="BR1192" s="61">
        <v>1200</v>
      </c>
      <c r="BS1192" s="28">
        <f t="shared" si="1058"/>
        <v>2980</v>
      </c>
      <c r="BT1192" s="28">
        <f t="shared" si="1059"/>
        <v>1180</v>
      </c>
      <c r="BU1192" s="28" t="s">
        <v>2541</v>
      </c>
      <c r="BV1192" s="28">
        <f t="shared" si="1060"/>
        <v>5</v>
      </c>
      <c r="BW1192" s="28">
        <f t="shared" si="1061"/>
        <v>5</v>
      </c>
      <c r="BX1192" s="13">
        <f t="shared" si="1062"/>
        <v>596</v>
      </c>
      <c r="BY1192" s="13">
        <f t="shared" si="1063"/>
        <v>596</v>
      </c>
      <c r="BZ1192" s="13">
        <f t="shared" si="1064"/>
        <v>236</v>
      </c>
      <c r="CA1192" s="13">
        <f t="shared" si="1065"/>
        <v>236</v>
      </c>
      <c r="CB1192" s="13">
        <f t="shared" si="1066"/>
        <v>140656</v>
      </c>
      <c r="CC1192" s="62">
        <f t="shared" si="1067"/>
        <v>7.1095438516664771E-6</v>
      </c>
      <c r="CD1192" s="13">
        <f t="shared" si="1068"/>
        <v>596</v>
      </c>
      <c r="CE1192" s="13">
        <f t="shared" si="1069"/>
        <v>596</v>
      </c>
      <c r="CF1192" s="13">
        <f t="shared" si="1070"/>
        <v>236</v>
      </c>
      <c r="CG1192" s="13">
        <f t="shared" si="1071"/>
        <v>236</v>
      </c>
      <c r="CH1192" s="28">
        <f t="shared" si="1072"/>
        <v>140656</v>
      </c>
      <c r="CI1192" s="62">
        <f t="shared" si="1073"/>
        <v>7.1095438516664771E-6</v>
      </c>
      <c r="CJ1192" s="59">
        <f t="shared" si="1074"/>
        <v>7.1095438516664771E-6</v>
      </c>
      <c r="CL1192" s="63">
        <v>6000</v>
      </c>
      <c r="CM1192" s="63">
        <f t="shared" si="1075"/>
        <v>0</v>
      </c>
      <c r="CN1192" s="63">
        <f t="shared" si="1076"/>
        <v>5</v>
      </c>
      <c r="CO1192" s="63">
        <f t="shared" si="1077"/>
        <v>1200</v>
      </c>
      <c r="CP1192" s="13">
        <f t="shared" si="1078"/>
        <v>1200</v>
      </c>
      <c r="CQ1192" s="70">
        <f t="shared" si="1079"/>
        <v>8.3333333333333339E-4</v>
      </c>
      <c r="CR1192" s="69">
        <f t="shared" si="1098"/>
        <v>0</v>
      </c>
    </row>
    <row r="1193" spans="1:96" hidden="1" x14ac:dyDescent="0.25">
      <c r="A1193" s="36">
        <v>2</v>
      </c>
      <c r="B1193" s="37" t="s">
        <v>2445</v>
      </c>
      <c r="C1193" s="36" t="s">
        <v>2446</v>
      </c>
      <c r="D1193" s="36" t="s">
        <v>2270</v>
      </c>
      <c r="E1193" s="36" t="s">
        <v>52</v>
      </c>
      <c r="F1193" s="38">
        <f t="shared" si="1048"/>
        <v>1</v>
      </c>
      <c r="G1193" s="36">
        <v>1</v>
      </c>
      <c r="H1193" s="36">
        <f t="shared" si="1097"/>
        <v>1</v>
      </c>
      <c r="I1193" s="36" t="s">
        <v>2447</v>
      </c>
      <c r="J1193" s="37" t="s">
        <v>2439</v>
      </c>
      <c r="K1193" s="37"/>
      <c r="L1193" s="36">
        <v>0</v>
      </c>
      <c r="M1193" s="37" t="s">
        <v>35</v>
      </c>
      <c r="N1193" s="36" t="s">
        <v>2448</v>
      </c>
      <c r="O1193" s="28"/>
      <c r="P1193" s="28"/>
      <c r="Q1193" s="28" t="s">
        <v>124</v>
      </c>
      <c r="R1193" s="30">
        <v>69.03</v>
      </c>
      <c r="S1193" s="30">
        <v>2.1880000000000002</v>
      </c>
      <c r="T1193" s="30"/>
      <c r="U1193" s="30">
        <v>9.8425196850393706E-2</v>
      </c>
      <c r="V1193" s="8">
        <f t="shared" si="1049"/>
        <v>1753.3619999999999</v>
      </c>
      <c r="W1193" s="8">
        <f t="shared" si="1050"/>
        <v>55.575200000000002</v>
      </c>
      <c r="X1193" s="8">
        <f t="shared" si="1051"/>
        <v>0</v>
      </c>
      <c r="Y1193" s="33">
        <f t="shared" si="1052"/>
        <v>2.5</v>
      </c>
      <c r="Z1193" s="28" t="s">
        <v>56</v>
      </c>
      <c r="AA1193" s="28" t="s">
        <v>57</v>
      </c>
      <c r="AB1193" s="61" t="s">
        <v>124</v>
      </c>
      <c r="AC1193" s="31" t="s">
        <v>125</v>
      </c>
      <c r="AD1193" s="50">
        <f t="shared" si="1053"/>
        <v>1</v>
      </c>
      <c r="AE1193" s="5" t="s">
        <v>2188</v>
      </c>
      <c r="AF1193" s="51">
        <v>14</v>
      </c>
      <c r="AG1193" s="51">
        <f t="shared" si="1081"/>
        <v>8.4</v>
      </c>
      <c r="AH1193" s="51">
        <f t="shared" si="1047"/>
        <v>42</v>
      </c>
      <c r="AI1193" s="52" t="s">
        <v>2497</v>
      </c>
      <c r="AJ1193" s="52" t="s">
        <v>2498</v>
      </c>
      <c r="AK1193" s="53">
        <f t="shared" si="1082"/>
        <v>0.19488688764479997</v>
      </c>
      <c r="AL1193" s="54">
        <f t="shared" si="1083"/>
        <v>0.11904761904761904</v>
      </c>
      <c r="AM1193" s="54">
        <f t="shared" si="1084"/>
        <v>2.3809523809523808E-2</v>
      </c>
      <c r="AN1193" s="55">
        <f t="shared" si="1085"/>
        <v>2.320081995771428E-2</v>
      </c>
      <c r="AO1193" s="55">
        <f t="shared" si="1086"/>
        <v>4.6401639915428566E-3</v>
      </c>
      <c r="AP1193" s="53">
        <v>7.1</v>
      </c>
      <c r="AQ1193" s="53">
        <f t="shared" si="1054"/>
        <v>4.26</v>
      </c>
      <c r="AR1193" s="53">
        <f t="shared" si="1055"/>
        <v>21.299999999999997</v>
      </c>
      <c r="AS1193" s="56">
        <f t="shared" si="1056"/>
        <v>4.6948356807511742E-2</v>
      </c>
      <c r="AT1193" s="56">
        <f t="shared" si="1087"/>
        <v>0.23474178403755869</v>
      </c>
      <c r="AU1193" s="56">
        <f t="shared" si="1057"/>
        <v>0.176056338028169</v>
      </c>
      <c r="AV1193" s="56">
        <f t="shared" si="1088"/>
        <v>5.8685446009389672E-2</v>
      </c>
      <c r="AW1193" s="57"/>
      <c r="AX1193" s="57"/>
      <c r="AY1193" s="57"/>
      <c r="AZ1193" s="58">
        <f t="shared" si="1089"/>
        <v>0.19488688764479997</v>
      </c>
      <c r="BA1193" s="59">
        <f t="shared" si="1090"/>
        <v>0</v>
      </c>
      <c r="BB1193" s="59">
        <f t="shared" si="1091"/>
        <v>0</v>
      </c>
      <c r="BC1193" s="59">
        <f t="shared" si="1092"/>
        <v>0</v>
      </c>
      <c r="BD1193" s="60">
        <f t="shared" si="1093"/>
        <v>5.2631578947368418E-2</v>
      </c>
      <c r="BE1193" s="59">
        <f t="shared" si="1094"/>
        <v>5.2631578947368418E-2</v>
      </c>
      <c r="BQ1193" s="61">
        <v>3000</v>
      </c>
      <c r="BR1193" s="61">
        <v>1200</v>
      </c>
      <c r="BS1193" s="28">
        <f t="shared" si="1058"/>
        <v>2980</v>
      </c>
      <c r="BT1193" s="28">
        <f t="shared" si="1059"/>
        <v>1180</v>
      </c>
      <c r="BU1193" s="28" t="s">
        <v>2541</v>
      </c>
      <c r="BV1193" s="28">
        <f t="shared" si="1060"/>
        <v>1758.3619999999999</v>
      </c>
      <c r="BW1193" s="28">
        <f t="shared" si="1061"/>
        <v>60.575200000000002</v>
      </c>
      <c r="BX1193" s="13">
        <f t="shared" si="1062"/>
        <v>1.6947590996620721</v>
      </c>
      <c r="BY1193" s="13">
        <f t="shared" si="1063"/>
        <v>1</v>
      </c>
      <c r="BZ1193" s="13">
        <f t="shared" si="1064"/>
        <v>19.479919174843829</v>
      </c>
      <c r="CA1193" s="13">
        <f t="shared" si="1065"/>
        <v>19</v>
      </c>
      <c r="CB1193" s="13">
        <f t="shared" si="1066"/>
        <v>19</v>
      </c>
      <c r="CC1193" s="62">
        <f t="shared" si="1067"/>
        <v>5.2631578947368418E-2</v>
      </c>
      <c r="CD1193" s="13">
        <f t="shared" si="1068"/>
        <v>49.195050119520857</v>
      </c>
      <c r="CE1193" s="13">
        <f t="shared" si="1069"/>
        <v>49</v>
      </c>
      <c r="CF1193" s="13">
        <f t="shared" si="1070"/>
        <v>0.67107910657759895</v>
      </c>
      <c r="CG1193" s="13">
        <f t="shared" si="1071"/>
        <v>0</v>
      </c>
      <c r="CH1193" s="28">
        <f t="shared" si="1072"/>
        <v>0</v>
      </c>
      <c r="CI1193" s="62">
        <f t="shared" si="1073"/>
        <v>1</v>
      </c>
      <c r="CJ1193" s="59">
        <f t="shared" si="1074"/>
        <v>5.2631578947368418E-2</v>
      </c>
      <c r="CL1193" s="63">
        <v>6000</v>
      </c>
      <c r="CM1193" s="63">
        <f t="shared" si="1075"/>
        <v>1753.3619999999999</v>
      </c>
      <c r="CN1193" s="63">
        <f t="shared" si="1076"/>
        <v>1758.3619999999999</v>
      </c>
      <c r="CO1193" s="63">
        <f t="shared" si="1077"/>
        <v>3.4122666436149101</v>
      </c>
      <c r="CP1193" s="13">
        <f t="shared" si="1078"/>
        <v>3</v>
      </c>
      <c r="CQ1193" s="70">
        <f t="shared" si="1079"/>
        <v>0.33333333333333331</v>
      </c>
      <c r="CR1193" s="69">
        <f t="shared" si="1098"/>
        <v>0.33333333333333331</v>
      </c>
    </row>
    <row r="1194" spans="1:96" hidden="1" x14ac:dyDescent="0.25">
      <c r="A1194" s="36">
        <v>2</v>
      </c>
      <c r="B1194" s="37" t="s">
        <v>2449</v>
      </c>
      <c r="C1194" s="36" t="s">
        <v>2450</v>
      </c>
      <c r="D1194" s="36" t="s">
        <v>2270</v>
      </c>
      <c r="E1194" s="36" t="s">
        <v>52</v>
      </c>
      <c r="F1194" s="38">
        <f t="shared" si="1048"/>
        <v>1</v>
      </c>
      <c r="G1194" s="36">
        <v>1</v>
      </c>
      <c r="H1194" s="36">
        <f t="shared" si="1097"/>
        <v>1</v>
      </c>
      <c r="I1194" s="36" t="s">
        <v>2451</v>
      </c>
      <c r="J1194" s="37" t="s">
        <v>2439</v>
      </c>
      <c r="K1194" s="37"/>
      <c r="L1194" s="36">
        <v>0</v>
      </c>
      <c r="M1194" s="37" t="s">
        <v>35</v>
      </c>
      <c r="N1194" s="36" t="s">
        <v>2452</v>
      </c>
      <c r="O1194" s="28"/>
      <c r="P1194" s="28"/>
      <c r="Q1194" s="28" t="s">
        <v>116</v>
      </c>
      <c r="R1194" s="30">
        <v>11.535</v>
      </c>
      <c r="S1194" s="30">
        <v>5.1260000000000003</v>
      </c>
      <c r="T1194" s="30"/>
      <c r="U1194" s="30">
        <v>0.11799999999999999</v>
      </c>
      <c r="V1194" s="8">
        <f t="shared" si="1049"/>
        <v>292.98899999999998</v>
      </c>
      <c r="W1194" s="8">
        <f t="shared" si="1050"/>
        <v>130.2004</v>
      </c>
      <c r="X1194" s="8">
        <f t="shared" si="1051"/>
        <v>0</v>
      </c>
      <c r="Y1194" s="33">
        <f t="shared" si="1052"/>
        <v>2.9971999999999999</v>
      </c>
      <c r="Z1194" s="28" t="s">
        <v>56</v>
      </c>
      <c r="AA1194" s="28" t="s">
        <v>57</v>
      </c>
      <c r="AB1194" s="28" t="s">
        <v>116</v>
      </c>
      <c r="AC1194" s="31" t="s">
        <v>117</v>
      </c>
      <c r="AD1194" s="50">
        <f t="shared" si="1053"/>
        <v>1</v>
      </c>
      <c r="AE1194" s="5" t="s">
        <v>2188</v>
      </c>
      <c r="AF1194" s="51">
        <v>14</v>
      </c>
      <c r="AG1194" s="51">
        <f t="shared" si="1081"/>
        <v>8.4</v>
      </c>
      <c r="AH1194" s="51">
        <f t="shared" si="1047"/>
        <v>42</v>
      </c>
      <c r="AI1194" s="52" t="s">
        <v>2497</v>
      </c>
      <c r="AJ1194" s="52" t="s">
        <v>2498</v>
      </c>
      <c r="AK1194" s="53">
        <f t="shared" si="1082"/>
        <v>7.6294569991200004E-2</v>
      </c>
      <c r="AL1194" s="54">
        <f t="shared" si="1083"/>
        <v>0.11904761904761904</v>
      </c>
      <c r="AM1194" s="54">
        <f t="shared" si="1084"/>
        <v>2.3809523809523808E-2</v>
      </c>
      <c r="AN1194" s="55">
        <f t="shared" si="1085"/>
        <v>9.0826869037142852E-3</v>
      </c>
      <c r="AO1194" s="55">
        <f t="shared" si="1086"/>
        <v>1.8165373807428572E-3</v>
      </c>
      <c r="AP1194" s="53">
        <v>7.1</v>
      </c>
      <c r="AQ1194" s="53">
        <f t="shared" si="1054"/>
        <v>4.26</v>
      </c>
      <c r="AR1194" s="53">
        <f t="shared" si="1055"/>
        <v>21.299999999999997</v>
      </c>
      <c r="AS1194" s="56">
        <f t="shared" si="1056"/>
        <v>4.6948356807511742E-2</v>
      </c>
      <c r="AT1194" s="56">
        <f t="shared" si="1087"/>
        <v>0.23474178403755869</v>
      </c>
      <c r="AU1194" s="56">
        <f t="shared" si="1057"/>
        <v>0.176056338028169</v>
      </c>
      <c r="AV1194" s="56">
        <f t="shared" si="1088"/>
        <v>5.8685446009389672E-2</v>
      </c>
      <c r="AW1194" s="57"/>
      <c r="AX1194" s="57"/>
      <c r="AY1194" s="57"/>
      <c r="AZ1194" s="58">
        <f t="shared" si="1089"/>
        <v>7.6294569991200004E-2</v>
      </c>
      <c r="BA1194" s="59">
        <f t="shared" si="1090"/>
        <v>0</v>
      </c>
      <c r="BB1194" s="59">
        <f t="shared" si="1091"/>
        <v>0</v>
      </c>
      <c r="BC1194" s="59">
        <f t="shared" si="1092"/>
        <v>0</v>
      </c>
      <c r="BD1194" s="60">
        <f t="shared" si="1093"/>
        <v>1.2500000000000001E-2</v>
      </c>
      <c r="BE1194" s="59">
        <f t="shared" si="1094"/>
        <v>1.2500000000000001E-2</v>
      </c>
      <c r="BQ1194" s="61">
        <v>3000</v>
      </c>
      <c r="BR1194" s="61">
        <v>1200</v>
      </c>
      <c r="BS1194" s="28">
        <f t="shared" si="1058"/>
        <v>2980</v>
      </c>
      <c r="BT1194" s="28">
        <f t="shared" si="1059"/>
        <v>1180</v>
      </c>
      <c r="BU1194" s="28" t="s">
        <v>2541</v>
      </c>
      <c r="BV1194" s="28">
        <f t="shared" si="1060"/>
        <v>297.98899999999998</v>
      </c>
      <c r="BW1194" s="28">
        <f t="shared" si="1061"/>
        <v>135.2004</v>
      </c>
      <c r="BX1194" s="13">
        <f t="shared" si="1062"/>
        <v>10.000369141142794</v>
      </c>
      <c r="BY1194" s="13">
        <f t="shared" si="1063"/>
        <v>10</v>
      </c>
      <c r="BZ1194" s="13">
        <f t="shared" si="1064"/>
        <v>8.727784829038967</v>
      </c>
      <c r="CA1194" s="13">
        <f t="shared" si="1065"/>
        <v>8</v>
      </c>
      <c r="CB1194" s="13">
        <f t="shared" si="1066"/>
        <v>80</v>
      </c>
      <c r="CC1194" s="62">
        <f t="shared" si="1067"/>
        <v>1.2500000000000001E-2</v>
      </c>
      <c r="CD1194" s="13">
        <f t="shared" si="1068"/>
        <v>22.041354907234002</v>
      </c>
      <c r="CE1194" s="13">
        <f t="shared" si="1069"/>
        <v>22</v>
      </c>
      <c r="CF1194" s="13">
        <f t="shared" si="1070"/>
        <v>3.9598777136068786</v>
      </c>
      <c r="CG1194" s="13">
        <f t="shared" si="1071"/>
        <v>3</v>
      </c>
      <c r="CH1194" s="28">
        <f t="shared" si="1072"/>
        <v>66</v>
      </c>
      <c r="CI1194" s="62">
        <f t="shared" si="1073"/>
        <v>1.5151515151515152E-2</v>
      </c>
      <c r="CJ1194" s="59">
        <f t="shared" si="1074"/>
        <v>1.2500000000000001E-2</v>
      </c>
      <c r="CL1194" s="63">
        <v>6000</v>
      </c>
      <c r="CM1194" s="63">
        <f t="shared" si="1075"/>
        <v>292.98899999999998</v>
      </c>
      <c r="CN1194" s="63">
        <f t="shared" si="1076"/>
        <v>297.98899999999998</v>
      </c>
      <c r="CO1194" s="63">
        <f t="shared" si="1077"/>
        <v>20.134971425119719</v>
      </c>
      <c r="CP1194" s="13">
        <f t="shared" si="1078"/>
        <v>20</v>
      </c>
      <c r="CQ1194" s="70">
        <f t="shared" si="1079"/>
        <v>0.05</v>
      </c>
      <c r="CR1194" s="69">
        <f t="shared" si="1098"/>
        <v>0.05</v>
      </c>
    </row>
    <row r="1195" spans="1:96" hidden="1" x14ac:dyDescent="0.25">
      <c r="A1195" s="36">
        <v>2</v>
      </c>
      <c r="B1195" s="37" t="s">
        <v>2453</v>
      </c>
      <c r="C1195" s="36" t="s">
        <v>2454</v>
      </c>
      <c r="D1195" s="36" t="s">
        <v>2270</v>
      </c>
      <c r="E1195" s="36" t="s">
        <v>52</v>
      </c>
      <c r="F1195" s="38">
        <f t="shared" si="1048"/>
        <v>1</v>
      </c>
      <c r="G1195" s="36">
        <v>1</v>
      </c>
      <c r="H1195" s="36">
        <f t="shared" si="1097"/>
        <v>1</v>
      </c>
      <c r="I1195" s="36" t="s">
        <v>2455</v>
      </c>
      <c r="J1195" s="37" t="s">
        <v>2439</v>
      </c>
      <c r="K1195" s="37"/>
      <c r="L1195" s="36">
        <v>0</v>
      </c>
      <c r="M1195" s="37" t="s">
        <v>35</v>
      </c>
      <c r="N1195" s="36" t="s">
        <v>2456</v>
      </c>
      <c r="O1195" s="28"/>
      <c r="P1195" s="28"/>
      <c r="Q1195" s="28" t="s">
        <v>116</v>
      </c>
      <c r="R1195" s="30">
        <v>6.4320000000000004</v>
      </c>
      <c r="S1195" s="30">
        <v>5.1260000000000003</v>
      </c>
      <c r="T1195" s="30"/>
      <c r="U1195" s="30">
        <v>0.11799999999999999</v>
      </c>
      <c r="V1195" s="8">
        <f t="shared" si="1049"/>
        <v>163.37280000000001</v>
      </c>
      <c r="W1195" s="8">
        <f t="shared" si="1050"/>
        <v>130.2004</v>
      </c>
      <c r="X1195" s="8">
        <f t="shared" si="1051"/>
        <v>0</v>
      </c>
      <c r="Y1195" s="33">
        <f t="shared" si="1052"/>
        <v>2.9971999999999999</v>
      </c>
      <c r="Z1195" s="28" t="s">
        <v>56</v>
      </c>
      <c r="AA1195" s="28" t="s">
        <v>57</v>
      </c>
      <c r="AB1195" s="28" t="s">
        <v>116</v>
      </c>
      <c r="AC1195" s="31" t="s">
        <v>117</v>
      </c>
      <c r="AD1195" s="50">
        <f t="shared" si="1053"/>
        <v>1</v>
      </c>
      <c r="AE1195" s="5" t="s">
        <v>2188</v>
      </c>
      <c r="AF1195" s="51">
        <v>14</v>
      </c>
      <c r="AG1195" s="51">
        <f t="shared" si="1081"/>
        <v>8.4</v>
      </c>
      <c r="AH1195" s="51">
        <f t="shared" si="1047"/>
        <v>42</v>
      </c>
      <c r="AI1195" s="52" t="s">
        <v>2497</v>
      </c>
      <c r="AJ1195" s="52" t="s">
        <v>2498</v>
      </c>
      <c r="AK1195" s="53">
        <f t="shared" si="1082"/>
        <v>4.2542407818240008E-2</v>
      </c>
      <c r="AL1195" s="54">
        <f t="shared" si="1083"/>
        <v>0.11904761904761904</v>
      </c>
      <c r="AM1195" s="54">
        <f t="shared" si="1084"/>
        <v>2.3809523809523808E-2</v>
      </c>
      <c r="AN1195" s="55">
        <f t="shared" si="1085"/>
        <v>5.0645723593142865E-3</v>
      </c>
      <c r="AO1195" s="55">
        <f t="shared" si="1086"/>
        <v>1.0129144718628573E-3</v>
      </c>
      <c r="AP1195" s="53">
        <v>7.1</v>
      </c>
      <c r="AQ1195" s="53">
        <f t="shared" si="1054"/>
        <v>4.26</v>
      </c>
      <c r="AR1195" s="53">
        <f t="shared" si="1055"/>
        <v>21.299999999999997</v>
      </c>
      <c r="AS1195" s="56">
        <f t="shared" si="1056"/>
        <v>4.6948356807511742E-2</v>
      </c>
      <c r="AT1195" s="56">
        <f t="shared" si="1087"/>
        <v>0.23474178403755869</v>
      </c>
      <c r="AU1195" s="56">
        <f t="shared" si="1057"/>
        <v>0.176056338028169</v>
      </c>
      <c r="AV1195" s="56">
        <f t="shared" si="1088"/>
        <v>5.8685446009389672E-2</v>
      </c>
      <c r="AW1195" s="57"/>
      <c r="AX1195" s="57"/>
      <c r="AY1195" s="57"/>
      <c r="AZ1195" s="58">
        <f t="shared" si="1089"/>
        <v>4.2542407818240008E-2</v>
      </c>
      <c r="BA1195" s="59">
        <f t="shared" si="1090"/>
        <v>0</v>
      </c>
      <c r="BB1195" s="59">
        <f t="shared" si="1091"/>
        <v>0</v>
      </c>
      <c r="BC1195" s="59">
        <f t="shared" si="1092"/>
        <v>0</v>
      </c>
      <c r="BD1195" s="60">
        <f t="shared" si="1093"/>
        <v>6.4935064935064939E-3</v>
      </c>
      <c r="BE1195" s="59">
        <f t="shared" si="1094"/>
        <v>6.4935064935064939E-3</v>
      </c>
      <c r="BQ1195" s="61">
        <v>3000</v>
      </c>
      <c r="BR1195" s="61">
        <v>1200</v>
      </c>
      <c r="BS1195" s="28">
        <f t="shared" si="1058"/>
        <v>2980</v>
      </c>
      <c r="BT1195" s="28">
        <f t="shared" si="1059"/>
        <v>1180</v>
      </c>
      <c r="BU1195" s="28" t="s">
        <v>2541</v>
      </c>
      <c r="BV1195" s="28">
        <f t="shared" si="1060"/>
        <v>168.37280000000001</v>
      </c>
      <c r="BW1195" s="28">
        <f t="shared" si="1061"/>
        <v>135.2004</v>
      </c>
      <c r="BX1195" s="13">
        <f t="shared" si="1062"/>
        <v>17.698820712134026</v>
      </c>
      <c r="BY1195" s="13">
        <f t="shared" si="1063"/>
        <v>17</v>
      </c>
      <c r="BZ1195" s="13">
        <f t="shared" si="1064"/>
        <v>8.727784829038967</v>
      </c>
      <c r="CA1195" s="13">
        <f t="shared" si="1065"/>
        <v>8</v>
      </c>
      <c r="CB1195" s="13">
        <f t="shared" si="1066"/>
        <v>136</v>
      </c>
      <c r="CC1195" s="62">
        <f t="shared" si="1067"/>
        <v>7.3529411764705881E-3</v>
      </c>
      <c r="CD1195" s="13">
        <f t="shared" si="1068"/>
        <v>22.041354907234002</v>
      </c>
      <c r="CE1195" s="13">
        <f t="shared" si="1069"/>
        <v>22</v>
      </c>
      <c r="CF1195" s="13">
        <f t="shared" si="1070"/>
        <v>7.0082578658785737</v>
      </c>
      <c r="CG1195" s="13">
        <f t="shared" si="1071"/>
        <v>7</v>
      </c>
      <c r="CH1195" s="28">
        <f t="shared" si="1072"/>
        <v>154</v>
      </c>
      <c r="CI1195" s="62">
        <f t="shared" si="1073"/>
        <v>6.4935064935064939E-3</v>
      </c>
      <c r="CJ1195" s="59">
        <f t="shared" si="1074"/>
        <v>6.4935064935064939E-3</v>
      </c>
      <c r="CL1195" s="63">
        <v>6000</v>
      </c>
      <c r="CM1195" s="63">
        <f t="shared" si="1075"/>
        <v>163.37280000000001</v>
      </c>
      <c r="CN1195" s="63">
        <f t="shared" si="1076"/>
        <v>168.37280000000001</v>
      </c>
      <c r="CO1195" s="63">
        <f t="shared" si="1077"/>
        <v>35.635209487518175</v>
      </c>
      <c r="CP1195" s="13">
        <f t="shared" si="1078"/>
        <v>35</v>
      </c>
      <c r="CQ1195" s="70">
        <f t="shared" si="1079"/>
        <v>2.8571428571428571E-2</v>
      </c>
      <c r="CR1195" s="69">
        <f t="shared" si="1098"/>
        <v>2.8571428571428571E-2</v>
      </c>
    </row>
    <row r="1196" spans="1:96" hidden="1" x14ac:dyDescent="0.25">
      <c r="A1196" s="36">
        <v>2</v>
      </c>
      <c r="B1196" s="37" t="s">
        <v>2457</v>
      </c>
      <c r="C1196" s="36" t="s">
        <v>2458</v>
      </c>
      <c r="D1196" s="36" t="s">
        <v>2270</v>
      </c>
      <c r="E1196" s="36" t="s">
        <v>32</v>
      </c>
      <c r="F1196" s="38">
        <f t="shared" si="1048"/>
        <v>1</v>
      </c>
      <c r="G1196" s="36">
        <v>2</v>
      </c>
      <c r="H1196" s="36">
        <f t="shared" si="1097"/>
        <v>2</v>
      </c>
      <c r="I1196" s="36" t="s">
        <v>2459</v>
      </c>
      <c r="J1196" s="37" t="s">
        <v>2460</v>
      </c>
      <c r="K1196" s="37"/>
      <c r="L1196" s="36">
        <v>0</v>
      </c>
      <c r="M1196" s="37" t="s">
        <v>35</v>
      </c>
      <c r="N1196" s="36" t="s">
        <v>2461</v>
      </c>
      <c r="O1196" s="28"/>
      <c r="P1196" s="28"/>
      <c r="Q1196" s="28"/>
      <c r="R1196" s="30"/>
      <c r="S1196" s="30"/>
      <c r="T1196" s="30"/>
      <c r="U1196" s="30"/>
      <c r="V1196" s="8">
        <f t="shared" si="1049"/>
        <v>0</v>
      </c>
      <c r="W1196" s="8">
        <f t="shared" si="1050"/>
        <v>0</v>
      </c>
      <c r="X1196" s="8">
        <f t="shared" si="1051"/>
        <v>0</v>
      </c>
      <c r="Y1196" s="33">
        <f t="shared" si="1052"/>
        <v>0</v>
      </c>
      <c r="Z1196" s="28"/>
      <c r="AA1196" s="28"/>
      <c r="AB1196" s="28">
        <v>0</v>
      </c>
      <c r="AC1196" s="31"/>
      <c r="AD1196" s="50">
        <f t="shared" si="1053"/>
        <v>2</v>
      </c>
      <c r="AE1196" s="5" t="s">
        <v>2188</v>
      </c>
      <c r="AF1196" s="51">
        <v>14</v>
      </c>
      <c r="AG1196" s="51">
        <f t="shared" si="1081"/>
        <v>8.4</v>
      </c>
      <c r="AH1196" s="51">
        <f t="shared" si="1047"/>
        <v>42</v>
      </c>
      <c r="AI1196" s="52" t="s">
        <v>2497</v>
      </c>
      <c r="AJ1196" s="52" t="s">
        <v>2498</v>
      </c>
      <c r="AK1196" s="53">
        <f t="shared" si="1082"/>
        <v>0</v>
      </c>
      <c r="AL1196" s="54">
        <f t="shared" si="1083"/>
        <v>0.11904761904761904</v>
      </c>
      <c r="AM1196" s="54">
        <f t="shared" si="1084"/>
        <v>2.3809523809523808E-2</v>
      </c>
      <c r="AN1196" s="55">
        <f t="shared" si="1085"/>
        <v>0</v>
      </c>
      <c r="AO1196" s="55">
        <f t="shared" si="1086"/>
        <v>0</v>
      </c>
      <c r="AP1196" s="53">
        <v>7.1</v>
      </c>
      <c r="AQ1196" s="53">
        <f t="shared" si="1054"/>
        <v>4.26</v>
      </c>
      <c r="AR1196" s="53">
        <f t="shared" si="1055"/>
        <v>21.299999999999997</v>
      </c>
      <c r="AS1196" s="56">
        <f t="shared" si="1056"/>
        <v>4.6948356807511742E-2</v>
      </c>
      <c r="AT1196" s="56">
        <f t="shared" si="1087"/>
        <v>0.23474178403755869</v>
      </c>
      <c r="AU1196" s="56">
        <f t="shared" si="1057"/>
        <v>0.176056338028169</v>
      </c>
      <c r="AV1196" s="56">
        <f t="shared" si="1088"/>
        <v>5.8685446009389672E-2</v>
      </c>
      <c r="AW1196" s="57"/>
      <c r="AX1196" s="57"/>
      <c r="AY1196" s="57"/>
      <c r="AZ1196" s="58">
        <f t="shared" si="1089"/>
        <v>0</v>
      </c>
      <c r="BA1196" s="59">
        <f t="shared" si="1090"/>
        <v>0</v>
      </c>
      <c r="BB1196" s="59">
        <f t="shared" si="1091"/>
        <v>0</v>
      </c>
      <c r="BC1196" s="59">
        <f t="shared" si="1092"/>
        <v>0</v>
      </c>
      <c r="BD1196" s="60">
        <f t="shared" si="1093"/>
        <v>0</v>
      </c>
      <c r="BE1196" s="59">
        <f t="shared" si="1094"/>
        <v>0</v>
      </c>
      <c r="BQ1196" s="61">
        <v>3000</v>
      </c>
      <c r="BR1196" s="61">
        <v>1200</v>
      </c>
      <c r="BS1196" s="28">
        <f t="shared" si="1058"/>
        <v>2980</v>
      </c>
      <c r="BT1196" s="28">
        <f t="shared" si="1059"/>
        <v>1180</v>
      </c>
      <c r="BU1196" s="28" t="s">
        <v>2541</v>
      </c>
      <c r="BV1196" s="28">
        <f t="shared" si="1060"/>
        <v>5</v>
      </c>
      <c r="BW1196" s="28">
        <f t="shared" si="1061"/>
        <v>5</v>
      </c>
      <c r="BX1196" s="13">
        <f t="shared" si="1062"/>
        <v>596</v>
      </c>
      <c r="BY1196" s="13">
        <f t="shared" si="1063"/>
        <v>596</v>
      </c>
      <c r="BZ1196" s="13">
        <f t="shared" si="1064"/>
        <v>236</v>
      </c>
      <c r="CA1196" s="13">
        <f t="shared" si="1065"/>
        <v>236</v>
      </c>
      <c r="CB1196" s="13">
        <f t="shared" si="1066"/>
        <v>140656</v>
      </c>
      <c r="CC1196" s="62" t="str">
        <f t="shared" si="1067"/>
        <v/>
      </c>
      <c r="CD1196" s="13">
        <f t="shared" si="1068"/>
        <v>596</v>
      </c>
      <c r="CE1196" s="13">
        <f t="shared" si="1069"/>
        <v>596</v>
      </c>
      <c r="CF1196" s="13">
        <f t="shared" si="1070"/>
        <v>236</v>
      </c>
      <c r="CG1196" s="13">
        <f t="shared" si="1071"/>
        <v>236</v>
      </c>
      <c r="CH1196" s="28">
        <f t="shared" si="1072"/>
        <v>140656</v>
      </c>
      <c r="CI1196" s="62" t="str">
        <f t="shared" si="1073"/>
        <v/>
      </c>
      <c r="CJ1196" s="59">
        <f t="shared" si="1074"/>
        <v>0</v>
      </c>
      <c r="CL1196" s="63">
        <v>6000</v>
      </c>
      <c r="CM1196" s="63">
        <f t="shared" si="1075"/>
        <v>0</v>
      </c>
      <c r="CN1196" s="63">
        <f t="shared" si="1076"/>
        <v>5</v>
      </c>
      <c r="CO1196" s="63">
        <f t="shared" si="1077"/>
        <v>1200</v>
      </c>
      <c r="CP1196" s="13">
        <f t="shared" si="1078"/>
        <v>1200</v>
      </c>
      <c r="CQ1196" s="70">
        <f t="shared" si="1079"/>
        <v>8.3333333333333339E-4</v>
      </c>
      <c r="CR1196" s="69">
        <f t="shared" si="1098"/>
        <v>1.6666666666666668E-3</v>
      </c>
    </row>
    <row r="1197" spans="1:96" hidden="1" x14ac:dyDescent="0.25">
      <c r="A1197" s="10">
        <v>3</v>
      </c>
      <c r="B1197" s="8" t="s">
        <v>2462</v>
      </c>
      <c r="C1197" s="10" t="s">
        <v>2463</v>
      </c>
      <c r="D1197" s="10" t="s">
        <v>2270</v>
      </c>
      <c r="E1197" s="10" t="s">
        <v>52</v>
      </c>
      <c r="F1197" s="12">
        <f t="shared" si="1048"/>
        <v>1</v>
      </c>
      <c r="G1197" s="10">
        <v>1</v>
      </c>
      <c r="H1197" s="10">
        <f>G1197*$H$1196</f>
        <v>2</v>
      </c>
      <c r="I1197" s="10" t="s">
        <v>2263</v>
      </c>
      <c r="J1197" s="8" t="s">
        <v>2460</v>
      </c>
      <c r="K1197" s="8"/>
      <c r="L1197" s="10">
        <v>0</v>
      </c>
      <c r="M1197" s="8" t="s">
        <v>35</v>
      </c>
      <c r="N1197" s="10" t="s">
        <v>2464</v>
      </c>
      <c r="O1197" s="28"/>
      <c r="P1197" s="28"/>
      <c r="Q1197" s="28" t="s">
        <v>124</v>
      </c>
      <c r="R1197" s="30">
        <v>7.8029999999999999</v>
      </c>
      <c r="S1197" s="30">
        <v>5.149</v>
      </c>
      <c r="T1197" s="30"/>
      <c r="U1197" s="30">
        <v>9.8425196850393706E-2</v>
      </c>
      <c r="V1197" s="8">
        <f t="shared" si="1049"/>
        <v>198.19619999999998</v>
      </c>
      <c r="W1197" s="8">
        <f t="shared" si="1050"/>
        <v>130.78459999999998</v>
      </c>
      <c r="X1197" s="8">
        <f t="shared" si="1051"/>
        <v>0</v>
      </c>
      <c r="Y1197" s="33">
        <f t="shared" si="1052"/>
        <v>2.5</v>
      </c>
      <c r="Z1197" s="28" t="s">
        <v>56</v>
      </c>
      <c r="AA1197" s="28" t="s">
        <v>57</v>
      </c>
      <c r="AB1197" s="61" t="s">
        <v>124</v>
      </c>
      <c r="AC1197" s="31" t="s">
        <v>125</v>
      </c>
      <c r="AD1197" s="50">
        <f t="shared" si="1053"/>
        <v>2</v>
      </c>
      <c r="AE1197" s="5" t="s">
        <v>2188</v>
      </c>
      <c r="AF1197" s="51">
        <v>14</v>
      </c>
      <c r="AG1197" s="51">
        <f t="shared" si="1081"/>
        <v>8.4</v>
      </c>
      <c r="AH1197" s="51">
        <f t="shared" si="1047"/>
        <v>42</v>
      </c>
      <c r="AI1197" s="52" t="s">
        <v>2497</v>
      </c>
      <c r="AJ1197" s="52" t="s">
        <v>2498</v>
      </c>
      <c r="AK1197" s="53">
        <f t="shared" si="1082"/>
        <v>5.1842021477039993E-2</v>
      </c>
      <c r="AL1197" s="54">
        <f t="shared" si="1083"/>
        <v>0.11904761904761904</v>
      </c>
      <c r="AM1197" s="54">
        <f t="shared" si="1084"/>
        <v>2.3809523809523808E-2</v>
      </c>
      <c r="AN1197" s="55">
        <f t="shared" si="1085"/>
        <v>1.2343338446914284E-2</v>
      </c>
      <c r="AO1197" s="55">
        <f t="shared" si="1086"/>
        <v>2.4686676893828567E-3</v>
      </c>
      <c r="AP1197" s="53">
        <v>7.1</v>
      </c>
      <c r="AQ1197" s="53">
        <f t="shared" si="1054"/>
        <v>4.26</v>
      </c>
      <c r="AR1197" s="53">
        <f t="shared" si="1055"/>
        <v>21.299999999999997</v>
      </c>
      <c r="AS1197" s="56">
        <f t="shared" si="1056"/>
        <v>4.6948356807511742E-2</v>
      </c>
      <c r="AT1197" s="56">
        <f t="shared" si="1087"/>
        <v>0.23474178403755869</v>
      </c>
      <c r="AU1197" s="56">
        <f t="shared" si="1057"/>
        <v>0.176056338028169</v>
      </c>
      <c r="AV1197" s="56">
        <f t="shared" si="1088"/>
        <v>5.8685446009389672E-2</v>
      </c>
      <c r="AW1197" s="57"/>
      <c r="AX1197" s="57"/>
      <c r="AY1197" s="57"/>
      <c r="AZ1197" s="58">
        <f t="shared" si="1089"/>
        <v>5.1842021477039993E-2</v>
      </c>
      <c r="BA1197" s="59">
        <f t="shared" si="1090"/>
        <v>0</v>
      </c>
      <c r="BB1197" s="59">
        <f t="shared" si="1091"/>
        <v>0</v>
      </c>
      <c r="BC1197" s="59">
        <f t="shared" si="1092"/>
        <v>0</v>
      </c>
      <c r="BD1197" s="60">
        <f t="shared" si="1093"/>
        <v>8.9285714285714281E-3</v>
      </c>
      <c r="BE1197" s="59">
        <f t="shared" si="1094"/>
        <v>1.7857142857142856E-2</v>
      </c>
      <c r="BQ1197" s="61">
        <v>3000</v>
      </c>
      <c r="BR1197" s="61">
        <v>1200</v>
      </c>
      <c r="BS1197" s="28">
        <f t="shared" si="1058"/>
        <v>2980</v>
      </c>
      <c r="BT1197" s="28">
        <f t="shared" si="1059"/>
        <v>1180</v>
      </c>
      <c r="BU1197" s="28" t="s">
        <v>2541</v>
      </c>
      <c r="BV1197" s="28">
        <f t="shared" si="1060"/>
        <v>203.19619999999998</v>
      </c>
      <c r="BW1197" s="28">
        <f t="shared" si="1061"/>
        <v>135.78459999999998</v>
      </c>
      <c r="BX1197" s="13">
        <f t="shared" si="1062"/>
        <v>14.665628589511027</v>
      </c>
      <c r="BY1197" s="13">
        <f t="shared" si="1063"/>
        <v>14</v>
      </c>
      <c r="BZ1197" s="13">
        <f t="shared" si="1064"/>
        <v>8.6902343859318378</v>
      </c>
      <c r="CA1197" s="13">
        <f t="shared" si="1065"/>
        <v>8</v>
      </c>
      <c r="CB1197" s="13">
        <f t="shared" si="1066"/>
        <v>112</v>
      </c>
      <c r="CC1197" s="62">
        <f t="shared" si="1067"/>
        <v>8.9285714285714281E-3</v>
      </c>
      <c r="CD1197" s="13">
        <f t="shared" si="1068"/>
        <v>21.946524127183793</v>
      </c>
      <c r="CE1197" s="13">
        <f t="shared" si="1069"/>
        <v>21</v>
      </c>
      <c r="CF1197" s="13">
        <f t="shared" si="1070"/>
        <v>5.8071952132963123</v>
      </c>
      <c r="CG1197" s="13">
        <f t="shared" si="1071"/>
        <v>5</v>
      </c>
      <c r="CH1197" s="28">
        <f t="shared" si="1072"/>
        <v>105</v>
      </c>
      <c r="CI1197" s="62">
        <f t="shared" si="1073"/>
        <v>9.5238095238095247E-3</v>
      </c>
      <c r="CJ1197" s="59">
        <f t="shared" si="1074"/>
        <v>8.9285714285714281E-3</v>
      </c>
      <c r="CL1197" s="63">
        <v>6000</v>
      </c>
      <c r="CM1197" s="63">
        <f t="shared" si="1075"/>
        <v>198.19619999999998</v>
      </c>
      <c r="CN1197" s="63">
        <f t="shared" si="1076"/>
        <v>203.19619999999998</v>
      </c>
      <c r="CO1197" s="63">
        <f t="shared" si="1077"/>
        <v>29.528111254049044</v>
      </c>
      <c r="CP1197" s="13">
        <f t="shared" si="1078"/>
        <v>29</v>
      </c>
      <c r="CQ1197" s="70">
        <f t="shared" si="1079"/>
        <v>3.4482758620689655E-2</v>
      </c>
      <c r="CR1197" s="69">
        <f t="shared" si="1098"/>
        <v>6.8965517241379309E-2</v>
      </c>
    </row>
    <row r="1198" spans="1:96" hidden="1" x14ac:dyDescent="0.25">
      <c r="A1198" s="10">
        <v>3</v>
      </c>
      <c r="B1198" s="8" t="s">
        <v>2332</v>
      </c>
      <c r="C1198" s="10" t="s">
        <v>448</v>
      </c>
      <c r="D1198" s="10" t="s">
        <v>450</v>
      </c>
      <c r="E1198" s="10" t="s">
        <v>52</v>
      </c>
      <c r="F1198" s="12">
        <f t="shared" si="1048"/>
        <v>23</v>
      </c>
      <c r="G1198" s="10">
        <v>2</v>
      </c>
      <c r="H1198" s="10">
        <f>G1198*$H$1196</f>
        <v>4</v>
      </c>
      <c r="I1198" s="10" t="s">
        <v>2267</v>
      </c>
      <c r="J1198" s="8" t="s">
        <v>2389</v>
      </c>
      <c r="K1198" s="8"/>
      <c r="L1198" s="10">
        <v>0</v>
      </c>
      <c r="M1198" s="8" t="s">
        <v>35</v>
      </c>
      <c r="N1198" s="10" t="s">
        <v>450</v>
      </c>
      <c r="O1198" s="28"/>
      <c r="P1198" s="28"/>
      <c r="Q1198" s="28" t="s">
        <v>450</v>
      </c>
      <c r="R1198" s="30"/>
      <c r="S1198" s="30"/>
      <c r="T1198" s="30"/>
      <c r="U1198" s="30"/>
      <c r="V1198" s="8">
        <f t="shared" si="1049"/>
        <v>0</v>
      </c>
      <c r="W1198" s="8">
        <f t="shared" si="1050"/>
        <v>0</v>
      </c>
      <c r="X1198" s="8">
        <f t="shared" si="1051"/>
        <v>0</v>
      </c>
      <c r="Y1198" s="33">
        <f t="shared" si="1052"/>
        <v>0</v>
      </c>
      <c r="Z1198" s="28"/>
      <c r="AA1198" s="28"/>
      <c r="AB1198" s="61" t="s">
        <v>450</v>
      </c>
      <c r="AC1198" s="31" t="s">
        <v>451</v>
      </c>
      <c r="AD1198" s="50">
        <f t="shared" si="1053"/>
        <v>4</v>
      </c>
      <c r="AE1198" s="5" t="s">
        <v>2188</v>
      </c>
      <c r="AF1198" s="51">
        <v>14</v>
      </c>
      <c r="AG1198" s="51">
        <f t="shared" si="1081"/>
        <v>8.4</v>
      </c>
      <c r="AH1198" s="51">
        <f t="shared" si="1047"/>
        <v>42</v>
      </c>
      <c r="AI1198" s="52" t="s">
        <v>2497</v>
      </c>
      <c r="AJ1198" s="52" t="s">
        <v>2498</v>
      </c>
      <c r="AK1198" s="53">
        <f t="shared" si="1082"/>
        <v>0</v>
      </c>
      <c r="AL1198" s="54">
        <f t="shared" si="1083"/>
        <v>0.11904761904761904</v>
      </c>
      <c r="AM1198" s="54">
        <f t="shared" si="1084"/>
        <v>2.3809523809523808E-2</v>
      </c>
      <c r="AN1198" s="55">
        <f t="shared" si="1085"/>
        <v>0</v>
      </c>
      <c r="AO1198" s="55">
        <f t="shared" si="1086"/>
        <v>0</v>
      </c>
      <c r="AP1198" s="53">
        <v>7.1</v>
      </c>
      <c r="AQ1198" s="53">
        <f t="shared" si="1054"/>
        <v>4.26</v>
      </c>
      <c r="AR1198" s="53">
        <f t="shared" si="1055"/>
        <v>21.299999999999997</v>
      </c>
      <c r="AS1198" s="56">
        <f t="shared" si="1056"/>
        <v>4.6948356807511742E-2</v>
      </c>
      <c r="AT1198" s="56">
        <f t="shared" si="1087"/>
        <v>0.23474178403755869</v>
      </c>
      <c r="AU1198" s="56">
        <f t="shared" si="1057"/>
        <v>0.176056338028169</v>
      </c>
      <c r="AV1198" s="56">
        <f t="shared" si="1088"/>
        <v>5.8685446009389672E-2</v>
      </c>
      <c r="AW1198" s="57"/>
      <c r="AX1198" s="57"/>
      <c r="AY1198" s="57"/>
      <c r="AZ1198" s="58">
        <f t="shared" si="1089"/>
        <v>0</v>
      </c>
      <c r="BA1198" s="59">
        <f t="shared" si="1090"/>
        <v>0</v>
      </c>
      <c r="BB1198" s="59">
        <f t="shared" si="1091"/>
        <v>0</v>
      </c>
      <c r="BC1198" s="59">
        <f t="shared" si="1092"/>
        <v>0</v>
      </c>
      <c r="BD1198" s="60">
        <f t="shared" si="1093"/>
        <v>7.1095438516664771E-6</v>
      </c>
      <c r="BE1198" s="59">
        <f t="shared" si="1094"/>
        <v>2.8438175406665908E-5</v>
      </c>
      <c r="BQ1198" s="61">
        <v>3000</v>
      </c>
      <c r="BR1198" s="61">
        <v>1200</v>
      </c>
      <c r="BS1198" s="28">
        <f t="shared" si="1058"/>
        <v>2980</v>
      </c>
      <c r="BT1198" s="28">
        <f t="shared" si="1059"/>
        <v>1180</v>
      </c>
      <c r="BU1198" s="28" t="s">
        <v>2541</v>
      </c>
      <c r="BV1198" s="28">
        <f t="shared" si="1060"/>
        <v>5</v>
      </c>
      <c r="BW1198" s="28">
        <f t="shared" si="1061"/>
        <v>5</v>
      </c>
      <c r="BX1198" s="13">
        <f t="shared" si="1062"/>
        <v>596</v>
      </c>
      <c r="BY1198" s="13">
        <f t="shared" si="1063"/>
        <v>596</v>
      </c>
      <c r="BZ1198" s="13">
        <f t="shared" si="1064"/>
        <v>236</v>
      </c>
      <c r="CA1198" s="13">
        <f t="shared" si="1065"/>
        <v>236</v>
      </c>
      <c r="CB1198" s="13">
        <f t="shared" si="1066"/>
        <v>140656</v>
      </c>
      <c r="CC1198" s="62">
        <f t="shared" si="1067"/>
        <v>7.1095438516664771E-6</v>
      </c>
      <c r="CD1198" s="13">
        <f t="shared" si="1068"/>
        <v>596</v>
      </c>
      <c r="CE1198" s="13">
        <f t="shared" si="1069"/>
        <v>596</v>
      </c>
      <c r="CF1198" s="13">
        <f t="shared" si="1070"/>
        <v>236</v>
      </c>
      <c r="CG1198" s="13">
        <f t="shared" si="1071"/>
        <v>236</v>
      </c>
      <c r="CH1198" s="28">
        <f t="shared" si="1072"/>
        <v>140656</v>
      </c>
      <c r="CI1198" s="62">
        <f t="shared" si="1073"/>
        <v>7.1095438516664771E-6</v>
      </c>
      <c r="CJ1198" s="59">
        <f t="shared" si="1074"/>
        <v>7.1095438516664771E-6</v>
      </c>
      <c r="CL1198" s="63">
        <v>6000</v>
      </c>
      <c r="CM1198" s="63">
        <f t="shared" si="1075"/>
        <v>0</v>
      </c>
      <c r="CN1198" s="63">
        <f t="shared" si="1076"/>
        <v>5</v>
      </c>
      <c r="CO1198" s="63">
        <f t="shared" si="1077"/>
        <v>1200</v>
      </c>
      <c r="CP1198" s="13">
        <f t="shared" si="1078"/>
        <v>1200</v>
      </c>
      <c r="CQ1198" s="70">
        <f t="shared" si="1079"/>
        <v>8.3333333333333339E-4</v>
      </c>
      <c r="CR1198" s="69">
        <f t="shared" si="1098"/>
        <v>3.3333333333333335E-3</v>
      </c>
    </row>
    <row r="1199" spans="1:96" hidden="1" x14ac:dyDescent="0.25">
      <c r="A1199" s="3">
        <v>1</v>
      </c>
      <c r="B1199" s="4"/>
      <c r="C1199" s="3" t="s">
        <v>2465</v>
      </c>
      <c r="D1199" s="3" t="s">
        <v>2270</v>
      </c>
      <c r="E1199" s="3" t="s">
        <v>52</v>
      </c>
      <c r="F1199" s="9">
        <f t="shared" si="1048"/>
        <v>1</v>
      </c>
      <c r="G1199" s="3">
        <v>22</v>
      </c>
      <c r="H1199" s="3">
        <f t="shared" ref="H1199:H1202" si="1099">G1199*$H$2</f>
        <v>22</v>
      </c>
      <c r="I1199" s="3"/>
      <c r="J1199" s="4" t="s">
        <v>2466</v>
      </c>
      <c r="K1199" s="4"/>
      <c r="L1199" s="3"/>
      <c r="M1199" s="4" t="s">
        <v>35</v>
      </c>
      <c r="N1199" s="3" t="s">
        <v>2467</v>
      </c>
      <c r="O1199" s="28"/>
      <c r="P1199" s="28"/>
      <c r="Q1199" s="28" t="s">
        <v>2467</v>
      </c>
      <c r="R1199" s="30"/>
      <c r="S1199" s="30"/>
      <c r="T1199" s="30"/>
      <c r="U1199" s="30"/>
      <c r="V1199" s="8">
        <f t="shared" si="1049"/>
        <v>0</v>
      </c>
      <c r="W1199" s="8">
        <f t="shared" si="1050"/>
        <v>0</v>
      </c>
      <c r="X1199" s="8">
        <f t="shared" si="1051"/>
        <v>0</v>
      </c>
      <c r="Y1199" s="33">
        <f t="shared" si="1052"/>
        <v>0</v>
      </c>
      <c r="Z1199" s="28"/>
      <c r="AA1199" s="28"/>
      <c r="AB1199" s="61" t="s">
        <v>2467</v>
      </c>
      <c r="AC1199" s="31" t="s">
        <v>2468</v>
      </c>
      <c r="AD1199" s="50">
        <f t="shared" si="1053"/>
        <v>22</v>
      </c>
      <c r="AE1199" s="31"/>
      <c r="AF1199" s="51">
        <v>14</v>
      </c>
      <c r="AG1199" s="51">
        <f t="shared" si="1081"/>
        <v>8.4</v>
      </c>
      <c r="AH1199" s="51">
        <f t="shared" si="1047"/>
        <v>42</v>
      </c>
      <c r="AI1199" s="52"/>
      <c r="AJ1199" s="52"/>
      <c r="AK1199" s="53">
        <f t="shared" si="1082"/>
        <v>0</v>
      </c>
      <c r="AL1199" s="54">
        <f t="shared" si="1083"/>
        <v>0.11904761904761904</v>
      </c>
      <c r="AM1199" s="54">
        <f t="shared" si="1084"/>
        <v>2.3809523809523808E-2</v>
      </c>
      <c r="AN1199" s="55">
        <f t="shared" si="1085"/>
        <v>0</v>
      </c>
      <c r="AO1199" s="55">
        <f t="shared" si="1086"/>
        <v>0</v>
      </c>
      <c r="AP1199" s="53">
        <v>7.1</v>
      </c>
      <c r="AQ1199" s="53">
        <f t="shared" si="1054"/>
        <v>4.26</v>
      </c>
      <c r="AR1199" s="53">
        <f t="shared" si="1055"/>
        <v>21.299999999999997</v>
      </c>
      <c r="AS1199" s="56">
        <f t="shared" si="1056"/>
        <v>4.6948356807511742E-2</v>
      </c>
      <c r="AT1199" s="56">
        <f t="shared" si="1087"/>
        <v>0.23474178403755869</v>
      </c>
      <c r="AU1199" s="56">
        <f t="shared" si="1057"/>
        <v>0.176056338028169</v>
      </c>
      <c r="AV1199" s="56">
        <f t="shared" si="1088"/>
        <v>5.8685446009389672E-2</v>
      </c>
      <c r="AW1199" s="57"/>
      <c r="AX1199" s="57"/>
      <c r="AY1199" s="57"/>
      <c r="AZ1199" s="58">
        <f t="shared" si="1089"/>
        <v>0</v>
      </c>
      <c r="BA1199" s="59">
        <f t="shared" si="1090"/>
        <v>0</v>
      </c>
      <c r="BB1199" s="59">
        <f t="shared" si="1091"/>
        <v>0</v>
      </c>
      <c r="BC1199" s="59">
        <f t="shared" si="1092"/>
        <v>0</v>
      </c>
      <c r="BD1199" s="60">
        <f t="shared" si="1093"/>
        <v>7.1095438516664771E-6</v>
      </c>
      <c r="BE1199" s="59">
        <f t="shared" si="1094"/>
        <v>1.564099647366625E-4</v>
      </c>
      <c r="BQ1199" s="61">
        <v>3000</v>
      </c>
      <c r="BR1199" s="61">
        <v>1200</v>
      </c>
      <c r="BS1199" s="28">
        <f t="shared" si="1058"/>
        <v>2980</v>
      </c>
      <c r="BT1199" s="28">
        <f t="shared" si="1059"/>
        <v>1180</v>
      </c>
      <c r="BU1199" s="28" t="s">
        <v>2541</v>
      </c>
      <c r="BV1199" s="28">
        <f t="shared" si="1060"/>
        <v>5</v>
      </c>
      <c r="BW1199" s="28">
        <f t="shared" si="1061"/>
        <v>5</v>
      </c>
      <c r="BX1199" s="13">
        <f t="shared" si="1062"/>
        <v>596</v>
      </c>
      <c r="BY1199" s="13">
        <f t="shared" si="1063"/>
        <v>596</v>
      </c>
      <c r="BZ1199" s="13">
        <f t="shared" si="1064"/>
        <v>236</v>
      </c>
      <c r="CA1199" s="13">
        <f t="shared" si="1065"/>
        <v>236</v>
      </c>
      <c r="CB1199" s="13">
        <f t="shared" si="1066"/>
        <v>140656</v>
      </c>
      <c r="CC1199" s="62">
        <f t="shared" si="1067"/>
        <v>7.1095438516664771E-6</v>
      </c>
      <c r="CD1199" s="13">
        <f t="shared" si="1068"/>
        <v>596</v>
      </c>
      <c r="CE1199" s="13">
        <f t="shared" si="1069"/>
        <v>596</v>
      </c>
      <c r="CF1199" s="13">
        <f t="shared" si="1070"/>
        <v>236</v>
      </c>
      <c r="CG1199" s="13">
        <f t="shared" si="1071"/>
        <v>236</v>
      </c>
      <c r="CH1199" s="28">
        <f t="shared" si="1072"/>
        <v>140656</v>
      </c>
      <c r="CI1199" s="62">
        <f t="shared" si="1073"/>
        <v>7.1095438516664771E-6</v>
      </c>
      <c r="CJ1199" s="59">
        <f t="shared" si="1074"/>
        <v>7.1095438516664771E-6</v>
      </c>
      <c r="CL1199" s="63">
        <v>6000</v>
      </c>
      <c r="CM1199" s="63">
        <f t="shared" si="1075"/>
        <v>0</v>
      </c>
      <c r="CN1199" s="63">
        <f t="shared" si="1076"/>
        <v>5</v>
      </c>
      <c r="CO1199" s="63">
        <f t="shared" si="1077"/>
        <v>1200</v>
      </c>
      <c r="CP1199" s="13">
        <f t="shared" si="1078"/>
        <v>1200</v>
      </c>
      <c r="CQ1199" s="70">
        <f t="shared" si="1079"/>
        <v>8.3333333333333339E-4</v>
      </c>
      <c r="CR1199" s="69">
        <f t="shared" si="1098"/>
        <v>1.8333333333333333E-2</v>
      </c>
    </row>
    <row r="1200" spans="1:96" hidden="1" x14ac:dyDescent="0.25">
      <c r="A1200" s="3">
        <v>1</v>
      </c>
      <c r="B1200" s="4"/>
      <c r="C1200" s="3" t="s">
        <v>2469</v>
      </c>
      <c r="D1200" s="3" t="s">
        <v>2270</v>
      </c>
      <c r="E1200" s="3" t="s">
        <v>52</v>
      </c>
      <c r="F1200" s="9">
        <f t="shared" si="1048"/>
        <v>1</v>
      </c>
      <c r="G1200" s="3">
        <v>22</v>
      </c>
      <c r="H1200" s="3">
        <f t="shared" si="1099"/>
        <v>22</v>
      </c>
      <c r="I1200" s="3"/>
      <c r="J1200" s="4"/>
      <c r="K1200" s="4"/>
      <c r="L1200" s="3"/>
      <c r="M1200" s="4" t="s">
        <v>35</v>
      </c>
      <c r="N1200" s="3" t="s">
        <v>2470</v>
      </c>
      <c r="O1200" s="28"/>
      <c r="P1200" s="28"/>
      <c r="Q1200" s="28" t="s">
        <v>2470</v>
      </c>
      <c r="R1200" s="30"/>
      <c r="S1200" s="30"/>
      <c r="T1200" s="30"/>
      <c r="U1200" s="30"/>
      <c r="V1200" s="8">
        <f t="shared" si="1049"/>
        <v>0</v>
      </c>
      <c r="W1200" s="8">
        <f t="shared" si="1050"/>
        <v>0</v>
      </c>
      <c r="X1200" s="8">
        <f t="shared" si="1051"/>
        <v>0</v>
      </c>
      <c r="Y1200" s="33">
        <f t="shared" si="1052"/>
        <v>0</v>
      </c>
      <c r="Z1200" s="28"/>
      <c r="AA1200" s="28"/>
      <c r="AB1200" s="61" t="s">
        <v>2470</v>
      </c>
      <c r="AC1200" s="31" t="s">
        <v>2471</v>
      </c>
      <c r="AD1200" s="50">
        <f t="shared" si="1053"/>
        <v>22</v>
      </c>
      <c r="AE1200" s="31"/>
      <c r="AF1200" s="51">
        <v>14</v>
      </c>
      <c r="AG1200" s="51">
        <f t="shared" si="1081"/>
        <v>8.4</v>
      </c>
      <c r="AH1200" s="51">
        <f t="shared" si="1047"/>
        <v>42</v>
      </c>
      <c r="AI1200" s="52"/>
      <c r="AJ1200" s="52"/>
      <c r="AK1200" s="53">
        <f t="shared" si="1082"/>
        <v>0</v>
      </c>
      <c r="AL1200" s="54">
        <f t="shared" si="1083"/>
        <v>0.11904761904761904</v>
      </c>
      <c r="AM1200" s="54">
        <f t="shared" si="1084"/>
        <v>2.3809523809523808E-2</v>
      </c>
      <c r="AN1200" s="55">
        <f t="shared" si="1085"/>
        <v>0</v>
      </c>
      <c r="AO1200" s="55">
        <f t="shared" si="1086"/>
        <v>0</v>
      </c>
      <c r="AP1200" s="53">
        <v>7.1</v>
      </c>
      <c r="AQ1200" s="53">
        <f t="shared" si="1054"/>
        <v>4.26</v>
      </c>
      <c r="AR1200" s="53">
        <f t="shared" si="1055"/>
        <v>21.299999999999997</v>
      </c>
      <c r="AS1200" s="56">
        <f t="shared" si="1056"/>
        <v>4.6948356807511742E-2</v>
      </c>
      <c r="AT1200" s="56">
        <f t="shared" si="1087"/>
        <v>0.23474178403755869</v>
      </c>
      <c r="AU1200" s="56">
        <f t="shared" si="1057"/>
        <v>0.176056338028169</v>
      </c>
      <c r="AV1200" s="56">
        <f t="shared" si="1088"/>
        <v>5.8685446009389672E-2</v>
      </c>
      <c r="AW1200" s="57"/>
      <c r="AX1200" s="57"/>
      <c r="AY1200" s="57"/>
      <c r="AZ1200" s="58">
        <f t="shared" si="1089"/>
        <v>0</v>
      </c>
      <c r="BA1200" s="59">
        <f t="shared" si="1090"/>
        <v>0</v>
      </c>
      <c r="BB1200" s="59">
        <f t="shared" si="1091"/>
        <v>0</v>
      </c>
      <c r="BC1200" s="59">
        <f t="shared" si="1092"/>
        <v>0</v>
      </c>
      <c r="BD1200" s="60">
        <f t="shared" si="1093"/>
        <v>7.1095438516664771E-6</v>
      </c>
      <c r="BE1200" s="59">
        <f t="shared" si="1094"/>
        <v>1.564099647366625E-4</v>
      </c>
      <c r="BQ1200" s="61">
        <v>3000</v>
      </c>
      <c r="BR1200" s="61">
        <v>1200</v>
      </c>
      <c r="BS1200" s="28">
        <f t="shared" si="1058"/>
        <v>2980</v>
      </c>
      <c r="BT1200" s="28">
        <f t="shared" si="1059"/>
        <v>1180</v>
      </c>
      <c r="BU1200" s="28" t="s">
        <v>2541</v>
      </c>
      <c r="BV1200" s="28">
        <f t="shared" si="1060"/>
        <v>5</v>
      </c>
      <c r="BW1200" s="28">
        <f t="shared" si="1061"/>
        <v>5</v>
      </c>
      <c r="BX1200" s="13">
        <f t="shared" si="1062"/>
        <v>596</v>
      </c>
      <c r="BY1200" s="13">
        <f t="shared" si="1063"/>
        <v>596</v>
      </c>
      <c r="BZ1200" s="13">
        <f t="shared" si="1064"/>
        <v>236</v>
      </c>
      <c r="CA1200" s="13">
        <f t="shared" si="1065"/>
        <v>236</v>
      </c>
      <c r="CB1200" s="13">
        <f t="shared" si="1066"/>
        <v>140656</v>
      </c>
      <c r="CC1200" s="62">
        <f t="shared" si="1067"/>
        <v>7.1095438516664771E-6</v>
      </c>
      <c r="CD1200" s="13">
        <f t="shared" si="1068"/>
        <v>596</v>
      </c>
      <c r="CE1200" s="13">
        <f t="shared" si="1069"/>
        <v>596</v>
      </c>
      <c r="CF1200" s="13">
        <f t="shared" si="1070"/>
        <v>236</v>
      </c>
      <c r="CG1200" s="13">
        <f t="shared" si="1071"/>
        <v>236</v>
      </c>
      <c r="CH1200" s="28">
        <f t="shared" si="1072"/>
        <v>140656</v>
      </c>
      <c r="CI1200" s="62">
        <f t="shared" si="1073"/>
        <v>7.1095438516664771E-6</v>
      </c>
      <c r="CJ1200" s="59">
        <f t="shared" si="1074"/>
        <v>7.1095438516664771E-6</v>
      </c>
      <c r="CL1200" s="63">
        <v>6000</v>
      </c>
      <c r="CM1200" s="63">
        <f t="shared" si="1075"/>
        <v>0</v>
      </c>
      <c r="CN1200" s="63">
        <f t="shared" si="1076"/>
        <v>5</v>
      </c>
      <c r="CO1200" s="63">
        <f t="shared" si="1077"/>
        <v>1200</v>
      </c>
      <c r="CP1200" s="13">
        <f t="shared" si="1078"/>
        <v>1200</v>
      </c>
      <c r="CQ1200" s="70">
        <f t="shared" si="1079"/>
        <v>8.3333333333333339E-4</v>
      </c>
      <c r="CR1200" s="69">
        <f t="shared" si="1098"/>
        <v>1.8333333333333333E-2</v>
      </c>
    </row>
    <row r="1201" spans="1:96" ht="60" hidden="1" x14ac:dyDescent="0.25">
      <c r="A1201" s="3">
        <v>1</v>
      </c>
      <c r="B1201" s="4"/>
      <c r="C1201" s="3" t="s">
        <v>2472</v>
      </c>
      <c r="D1201" s="3" t="s">
        <v>2270</v>
      </c>
      <c r="E1201" s="3" t="s">
        <v>52</v>
      </c>
      <c r="F1201" s="9">
        <f t="shared" si="1048"/>
        <v>1</v>
      </c>
      <c r="G1201" s="3">
        <v>2</v>
      </c>
      <c r="H1201" s="3">
        <f t="shared" si="1099"/>
        <v>2</v>
      </c>
      <c r="I1201" s="3"/>
      <c r="J1201" s="4" t="s">
        <v>2473</v>
      </c>
      <c r="K1201" s="4"/>
      <c r="L1201" s="3"/>
      <c r="M1201" s="4" t="s">
        <v>35</v>
      </c>
      <c r="N1201" s="3" t="s">
        <v>2474</v>
      </c>
      <c r="O1201" s="28"/>
      <c r="P1201" s="28"/>
      <c r="Q1201" s="28" t="s">
        <v>1197</v>
      </c>
      <c r="R1201" s="30">
        <v>67</v>
      </c>
      <c r="S1201" s="30">
        <v>1.6140000000000001</v>
      </c>
      <c r="T1201" s="30"/>
      <c r="U1201" s="30">
        <v>0.23599999999999999</v>
      </c>
      <c r="V1201" s="8">
        <f t="shared" si="1049"/>
        <v>1701.8</v>
      </c>
      <c r="W1201" s="8">
        <f t="shared" si="1050"/>
        <v>40.995600000000003</v>
      </c>
      <c r="X1201" s="8">
        <f t="shared" si="1051"/>
        <v>0</v>
      </c>
      <c r="Y1201" s="33">
        <f t="shared" si="1052"/>
        <v>5.9943999999999997</v>
      </c>
      <c r="Z1201" s="28" t="s">
        <v>250</v>
      </c>
      <c r="AA1201" s="28" t="s">
        <v>251</v>
      </c>
      <c r="AB1201" s="61" t="s">
        <v>1197</v>
      </c>
      <c r="AC1201" s="31" t="s">
        <v>1199</v>
      </c>
      <c r="AD1201" s="50">
        <f t="shared" si="1053"/>
        <v>2</v>
      </c>
      <c r="AE1201" s="75" t="s">
        <v>2558</v>
      </c>
      <c r="AF1201" s="51">
        <v>14</v>
      </c>
      <c r="AG1201" s="51">
        <f t="shared" si="1081"/>
        <v>8.4</v>
      </c>
      <c r="AH1201" s="51">
        <f t="shared" si="1047"/>
        <v>42</v>
      </c>
      <c r="AI1201" s="52" t="s">
        <v>2497</v>
      </c>
      <c r="AJ1201" s="52" t="s">
        <v>2498</v>
      </c>
      <c r="AK1201" s="53">
        <f t="shared" si="1082"/>
        <v>0.13953262416000001</v>
      </c>
      <c r="AL1201" s="54">
        <f t="shared" si="1083"/>
        <v>0.11904761904761904</v>
      </c>
      <c r="AM1201" s="54">
        <f t="shared" si="1084"/>
        <v>2.3809523809523808E-2</v>
      </c>
      <c r="AN1201" s="55">
        <f t="shared" si="1085"/>
        <v>3.322205337142857E-2</v>
      </c>
      <c r="AO1201" s="55">
        <f t="shared" si="1086"/>
        <v>6.644410674285714E-3</v>
      </c>
      <c r="AP1201" s="53">
        <v>7.1</v>
      </c>
      <c r="AQ1201" s="53">
        <f t="shared" si="1054"/>
        <v>4.26</v>
      </c>
      <c r="AR1201" s="53">
        <f t="shared" si="1055"/>
        <v>21.299999999999997</v>
      </c>
      <c r="AS1201" s="56">
        <f t="shared" si="1056"/>
        <v>4.6948356807511742E-2</v>
      </c>
      <c r="AT1201" s="56">
        <f t="shared" si="1087"/>
        <v>0.23474178403755869</v>
      </c>
      <c r="AU1201" s="56">
        <f t="shared" si="1057"/>
        <v>0.176056338028169</v>
      </c>
      <c r="AV1201" s="56">
        <f t="shared" si="1088"/>
        <v>5.8685446009389672E-2</v>
      </c>
      <c r="AW1201" s="57"/>
      <c r="AX1201" s="57"/>
      <c r="AY1201" s="57"/>
      <c r="AZ1201" s="58">
        <f t="shared" si="1089"/>
        <v>0.13953262416000001</v>
      </c>
      <c r="BA1201" s="59">
        <f t="shared" si="1090"/>
        <v>0</v>
      </c>
      <c r="BB1201" s="59">
        <f t="shared" si="1091"/>
        <v>0</v>
      </c>
      <c r="BC1201" s="59">
        <f t="shared" si="1092"/>
        <v>0</v>
      </c>
      <c r="BD1201" s="60">
        <f t="shared" si="1093"/>
        <v>0.04</v>
      </c>
      <c r="BE1201" s="59">
        <f t="shared" si="1094"/>
        <v>0.08</v>
      </c>
      <c r="BQ1201" s="61">
        <v>3000</v>
      </c>
      <c r="BR1201" s="61">
        <v>1200</v>
      </c>
      <c r="BS1201" s="28">
        <f t="shared" si="1058"/>
        <v>2980</v>
      </c>
      <c r="BT1201" s="28">
        <f t="shared" si="1059"/>
        <v>1180</v>
      </c>
      <c r="BU1201" s="28" t="s">
        <v>2541</v>
      </c>
      <c r="BV1201" s="28">
        <f t="shared" si="1060"/>
        <v>1706.8</v>
      </c>
      <c r="BW1201" s="28">
        <f t="shared" si="1061"/>
        <v>45.995600000000003</v>
      </c>
      <c r="BX1201" s="13">
        <f t="shared" si="1062"/>
        <v>1.7459573470822591</v>
      </c>
      <c r="BY1201" s="13">
        <f t="shared" si="1063"/>
        <v>1</v>
      </c>
      <c r="BZ1201" s="13">
        <f t="shared" si="1064"/>
        <v>25.654627833966725</v>
      </c>
      <c r="CA1201" s="13">
        <f t="shared" si="1065"/>
        <v>25</v>
      </c>
      <c r="CB1201" s="13">
        <f t="shared" si="1066"/>
        <v>25</v>
      </c>
      <c r="CC1201" s="62">
        <f t="shared" si="1067"/>
        <v>0.04</v>
      </c>
      <c r="CD1201" s="13">
        <f t="shared" si="1068"/>
        <v>64.788805885780377</v>
      </c>
      <c r="CE1201" s="13">
        <f t="shared" si="1069"/>
        <v>64</v>
      </c>
      <c r="CF1201" s="13">
        <f t="shared" si="1070"/>
        <v>0.69135223810639801</v>
      </c>
      <c r="CG1201" s="13">
        <f t="shared" si="1071"/>
        <v>0</v>
      </c>
      <c r="CH1201" s="28">
        <f t="shared" si="1072"/>
        <v>0</v>
      </c>
      <c r="CI1201" s="62">
        <f t="shared" si="1073"/>
        <v>1</v>
      </c>
      <c r="CJ1201" s="59">
        <f t="shared" si="1074"/>
        <v>0.04</v>
      </c>
      <c r="CL1201" s="63">
        <v>6000</v>
      </c>
      <c r="CM1201" s="63">
        <f t="shared" si="1075"/>
        <v>1701.8</v>
      </c>
      <c r="CN1201" s="63">
        <f t="shared" si="1076"/>
        <v>1706.8</v>
      </c>
      <c r="CO1201" s="63">
        <f t="shared" si="1077"/>
        <v>3.5153503632528711</v>
      </c>
      <c r="CP1201" s="13">
        <f t="shared" si="1078"/>
        <v>3</v>
      </c>
      <c r="CQ1201" s="70">
        <f t="shared" si="1079"/>
        <v>0.33333333333333331</v>
      </c>
      <c r="CR1201" s="69">
        <f t="shared" si="1098"/>
        <v>0.66666666666666663</v>
      </c>
    </row>
    <row r="1202" spans="1:96" ht="60" hidden="1" x14ac:dyDescent="0.25">
      <c r="A1202" s="3">
        <v>1</v>
      </c>
      <c r="B1202" s="4"/>
      <c r="C1202" s="3" t="s">
        <v>2475</v>
      </c>
      <c r="D1202" s="3" t="s">
        <v>2270</v>
      </c>
      <c r="E1202" s="3" t="s">
        <v>52</v>
      </c>
      <c r="F1202" s="9">
        <f t="shared" si="1048"/>
        <v>1</v>
      </c>
      <c r="G1202" s="3">
        <v>2</v>
      </c>
      <c r="H1202" s="3">
        <f t="shared" si="1099"/>
        <v>2</v>
      </c>
      <c r="I1202" s="3"/>
      <c r="J1202" s="4" t="s">
        <v>2473</v>
      </c>
      <c r="K1202" s="4"/>
      <c r="L1202" s="3"/>
      <c r="M1202" s="4" t="s">
        <v>35</v>
      </c>
      <c r="N1202" s="3" t="s">
        <v>2476</v>
      </c>
      <c r="O1202" s="28"/>
      <c r="P1202" s="28"/>
      <c r="Q1202" s="28" t="s">
        <v>1197</v>
      </c>
      <c r="R1202" s="30">
        <v>49.8</v>
      </c>
      <c r="S1202" s="30">
        <v>1.6140000000000001</v>
      </c>
      <c r="T1202" s="30"/>
      <c r="U1202" s="30">
        <v>0.23599999999999999</v>
      </c>
      <c r="V1202" s="8">
        <f t="shared" si="1049"/>
        <v>1264.9199999999998</v>
      </c>
      <c r="W1202" s="8">
        <f t="shared" si="1050"/>
        <v>40.995600000000003</v>
      </c>
      <c r="X1202" s="8">
        <f t="shared" si="1051"/>
        <v>0</v>
      </c>
      <c r="Y1202" s="33">
        <f t="shared" si="1052"/>
        <v>5.9943999999999997</v>
      </c>
      <c r="Z1202" s="28" t="s">
        <v>250</v>
      </c>
      <c r="AA1202" s="28" t="s">
        <v>251</v>
      </c>
      <c r="AB1202" s="61" t="s">
        <v>1197</v>
      </c>
      <c r="AC1202" s="31" t="s">
        <v>1199</v>
      </c>
      <c r="AD1202" s="50">
        <f t="shared" si="1053"/>
        <v>2</v>
      </c>
      <c r="AE1202" s="75" t="s">
        <v>2558</v>
      </c>
      <c r="AF1202" s="51">
        <v>14</v>
      </c>
      <c r="AG1202" s="51">
        <f t="shared" si="1081"/>
        <v>8.4</v>
      </c>
      <c r="AH1202" s="51">
        <f t="shared" si="1047"/>
        <v>42</v>
      </c>
      <c r="AI1202" s="52" t="s">
        <v>2497</v>
      </c>
      <c r="AJ1202" s="52" t="s">
        <v>2498</v>
      </c>
      <c r="AK1202" s="53">
        <f t="shared" si="1082"/>
        <v>0.103712308704</v>
      </c>
      <c r="AL1202" s="54">
        <f t="shared" si="1083"/>
        <v>0.11904761904761904</v>
      </c>
      <c r="AM1202" s="54">
        <f t="shared" si="1084"/>
        <v>2.3809523809523808E-2</v>
      </c>
      <c r="AN1202" s="55">
        <f t="shared" si="1085"/>
        <v>2.4693406834285715E-2</v>
      </c>
      <c r="AO1202" s="55">
        <f t="shared" si="1086"/>
        <v>4.9386813668571422E-3</v>
      </c>
      <c r="AP1202" s="53">
        <v>7.1</v>
      </c>
      <c r="AQ1202" s="53">
        <f t="shared" si="1054"/>
        <v>4.26</v>
      </c>
      <c r="AR1202" s="53">
        <f t="shared" si="1055"/>
        <v>21.299999999999997</v>
      </c>
      <c r="AS1202" s="56">
        <f t="shared" si="1056"/>
        <v>4.6948356807511742E-2</v>
      </c>
      <c r="AT1202" s="56">
        <f t="shared" si="1087"/>
        <v>0.23474178403755869</v>
      </c>
      <c r="AU1202" s="56">
        <f t="shared" si="1057"/>
        <v>0.176056338028169</v>
      </c>
      <c r="AV1202" s="56">
        <f t="shared" si="1088"/>
        <v>5.8685446009389672E-2</v>
      </c>
      <c r="AW1202" s="57"/>
      <c r="AX1202" s="57"/>
      <c r="AY1202" s="57"/>
      <c r="AZ1202" s="58">
        <f t="shared" si="1089"/>
        <v>0.103712308704</v>
      </c>
      <c r="BA1202" s="59">
        <f t="shared" si="1090"/>
        <v>0</v>
      </c>
      <c r="BB1202" s="59">
        <f t="shared" si="1091"/>
        <v>0</v>
      </c>
      <c r="BC1202" s="59">
        <f t="shared" si="1092"/>
        <v>0</v>
      </c>
      <c r="BD1202" s="60">
        <f t="shared" si="1093"/>
        <v>0.02</v>
      </c>
      <c r="BE1202" s="59">
        <f t="shared" si="1094"/>
        <v>0.04</v>
      </c>
      <c r="BQ1202" s="61">
        <v>3000</v>
      </c>
      <c r="BR1202" s="61">
        <v>1200</v>
      </c>
      <c r="BS1202" s="28">
        <f t="shared" si="1058"/>
        <v>2980</v>
      </c>
      <c r="BT1202" s="28">
        <f t="shared" si="1059"/>
        <v>1180</v>
      </c>
      <c r="BU1202" s="28" t="s">
        <v>2541</v>
      </c>
      <c r="BV1202" s="28">
        <f t="shared" si="1060"/>
        <v>1269.9199999999998</v>
      </c>
      <c r="BW1202" s="28">
        <f t="shared" si="1061"/>
        <v>45.995600000000003</v>
      </c>
      <c r="BX1202" s="13">
        <f t="shared" si="1062"/>
        <v>2.3466045105203479</v>
      </c>
      <c r="BY1202" s="13">
        <f t="shared" si="1063"/>
        <v>2</v>
      </c>
      <c r="BZ1202" s="13">
        <f t="shared" si="1064"/>
        <v>25.654627833966725</v>
      </c>
      <c r="CA1202" s="13">
        <f t="shared" si="1065"/>
        <v>25</v>
      </c>
      <c r="CB1202" s="13">
        <f t="shared" si="1066"/>
        <v>50</v>
      </c>
      <c r="CC1202" s="62">
        <f t="shared" si="1067"/>
        <v>0.02</v>
      </c>
      <c r="CD1202" s="13">
        <f t="shared" si="1068"/>
        <v>64.788805885780377</v>
      </c>
      <c r="CE1202" s="13">
        <f t="shared" si="1069"/>
        <v>64</v>
      </c>
      <c r="CF1202" s="13">
        <f t="shared" si="1070"/>
        <v>0.92919239007181564</v>
      </c>
      <c r="CG1202" s="13">
        <f t="shared" si="1071"/>
        <v>0</v>
      </c>
      <c r="CH1202" s="28">
        <f t="shared" si="1072"/>
        <v>0</v>
      </c>
      <c r="CI1202" s="62">
        <f t="shared" si="1073"/>
        <v>1</v>
      </c>
      <c r="CJ1202" s="59">
        <f t="shared" si="1074"/>
        <v>0.02</v>
      </c>
      <c r="CL1202" s="63">
        <v>6000</v>
      </c>
      <c r="CM1202" s="63">
        <f t="shared" si="1075"/>
        <v>1264.9199999999998</v>
      </c>
      <c r="CN1202" s="63">
        <f t="shared" si="1076"/>
        <v>1269.9199999999998</v>
      </c>
      <c r="CO1202" s="63">
        <f t="shared" si="1077"/>
        <v>4.7247070681617744</v>
      </c>
      <c r="CP1202" s="13">
        <f t="shared" si="1078"/>
        <v>4</v>
      </c>
      <c r="CQ1202" s="70">
        <f t="shared" si="1079"/>
        <v>0.25</v>
      </c>
      <c r="CR1202" s="69">
        <f t="shared" si="1098"/>
        <v>0.5</v>
      </c>
    </row>
    <row r="1203" spans="1:96" x14ac:dyDescent="0.25">
      <c r="AD1203" s="35"/>
    </row>
    <row r="1204" spans="1:96" x14ac:dyDescent="0.25">
      <c r="CR1204" s="68">
        <f>SUM(CR2:CR1202)</f>
        <v>119.22898162230031</v>
      </c>
    </row>
    <row r="1207" spans="1:96" x14ac:dyDescent="0.25">
      <c r="AC1207" s="31" t="s">
        <v>2548</v>
      </c>
      <c r="AD1207" s="30">
        <v>2</v>
      </c>
      <c r="BE1207" s="71">
        <f>SUBTOTAL(9,BE467:BE1202)</f>
        <v>2.1074636534313957</v>
      </c>
      <c r="CR1207">
        <f>SUBTOTAL(9,CR197:CR203)</f>
        <v>0</v>
      </c>
    </row>
    <row r="1208" spans="1:96" x14ac:dyDescent="0.25">
      <c r="AN1208" s="67">
        <f>SUM(AN2:AN1202)</f>
        <v>24.584465145775294</v>
      </c>
      <c r="AO1208" s="67">
        <f>SUM(AO2:AO1202)</f>
        <v>4.9168930291550819</v>
      </c>
      <c r="BA1208" s="67">
        <f>SUM(BA2:BA1202)</f>
        <v>4.3571610069389166</v>
      </c>
      <c r="BB1208" s="67">
        <f>SUM(BB2:BB1202)</f>
        <v>13.071483020816729</v>
      </c>
      <c r="BC1208" s="67">
        <f>SUM(BC2:BC1202)</f>
        <v>3.4857288055511293</v>
      </c>
    </row>
    <row r="1209" spans="1:96" ht="45" x14ac:dyDescent="0.25">
      <c r="X1209" s="28" t="s">
        <v>2545</v>
      </c>
      <c r="Y1209" s="28" t="s">
        <v>2544</v>
      </c>
      <c r="Z1209" s="28" t="s">
        <v>2543</v>
      </c>
      <c r="AA1209" s="28" t="s">
        <v>2542</v>
      </c>
      <c r="AB1209" s="28" t="s">
        <v>2546</v>
      </c>
      <c r="AC1209" s="28" t="s">
        <v>2547</v>
      </c>
      <c r="AD1209" s="64" t="s">
        <v>2549</v>
      </c>
      <c r="AE1209" s="64" t="s">
        <v>2583</v>
      </c>
      <c r="AF1209" s="28" t="s">
        <v>2550</v>
      </c>
      <c r="AG1209" s="28" t="s">
        <v>29</v>
      </c>
    </row>
    <row r="1210" spans="1:96" x14ac:dyDescent="0.25">
      <c r="X1210" s="34">
        <v>1</v>
      </c>
      <c r="Y1210" s="28" t="s">
        <v>307</v>
      </c>
      <c r="Z1210" s="36" t="s">
        <v>35</v>
      </c>
      <c r="AA1210" s="76">
        <v>45644</v>
      </c>
      <c r="AB1210" s="61" t="s">
        <v>309</v>
      </c>
      <c r="AC1210" s="31" t="s">
        <v>310</v>
      </c>
      <c r="AD1210" s="65">
        <f>SUMIF($AB$2:$AB$1202,AB1210,$AD$2:$AD$1202)</f>
        <v>2</v>
      </c>
      <c r="AE1210" s="78">
        <f>AD1210*$AD$1207</f>
        <v>4</v>
      </c>
      <c r="AF1210" s="28" t="s">
        <v>52</v>
      </c>
      <c r="AG1210" s="31"/>
    </row>
    <row r="1211" spans="1:96" x14ac:dyDescent="0.25">
      <c r="X1211" s="34">
        <f>X1210+1</f>
        <v>2</v>
      </c>
      <c r="Y1211" s="28" t="s">
        <v>2052</v>
      </c>
      <c r="Z1211" s="77" t="s">
        <v>340</v>
      </c>
      <c r="AA1211" s="76">
        <v>45636</v>
      </c>
      <c r="AB1211" s="61" t="s">
        <v>2055</v>
      </c>
      <c r="AC1211" s="31" t="s">
        <v>2058</v>
      </c>
      <c r="AD1211" s="65">
        <f t="shared" ref="AD1211:AD1278" si="1100">SUMIF($AB$2:$AB$1202,AB1211,$AD$2:$AD$1202)</f>
        <v>4</v>
      </c>
      <c r="AE1211" s="78">
        <f t="shared" ref="AE1211:AE1278" si="1101">AD1211*$AD$1207</f>
        <v>8</v>
      </c>
      <c r="AF1211" s="28" t="s">
        <v>52</v>
      </c>
      <c r="AG1211" s="31"/>
    </row>
    <row r="1212" spans="1:96" x14ac:dyDescent="0.25">
      <c r="X1212" s="34">
        <f t="shared" ref="X1212:X1279" si="1102">X1211+1</f>
        <v>3</v>
      </c>
      <c r="Y1212" s="28" t="s">
        <v>1970</v>
      </c>
      <c r="Z1212" s="36" t="s">
        <v>35</v>
      </c>
      <c r="AA1212" s="76">
        <v>45644</v>
      </c>
      <c r="AB1212" s="61" t="s">
        <v>1993</v>
      </c>
      <c r="AC1212" s="31" t="s">
        <v>1973</v>
      </c>
      <c r="AD1212" s="65">
        <f t="shared" si="1100"/>
        <v>6</v>
      </c>
      <c r="AE1212" s="78">
        <f t="shared" si="1101"/>
        <v>12</v>
      </c>
      <c r="AF1212" s="28" t="s">
        <v>52</v>
      </c>
      <c r="AG1212" s="31"/>
    </row>
    <row r="1213" spans="1:96" x14ac:dyDescent="0.25">
      <c r="X1213" s="34">
        <f t="shared" si="1102"/>
        <v>4</v>
      </c>
      <c r="Y1213" s="28" t="s">
        <v>1910</v>
      </c>
      <c r="Z1213" s="36" t="s">
        <v>35</v>
      </c>
      <c r="AA1213" s="76">
        <v>45644</v>
      </c>
      <c r="AB1213" s="61" t="s">
        <v>1911</v>
      </c>
      <c r="AC1213" s="31" t="s">
        <v>1913</v>
      </c>
      <c r="AD1213" s="65">
        <f t="shared" si="1100"/>
        <v>16</v>
      </c>
      <c r="AE1213" s="78">
        <f t="shared" si="1101"/>
        <v>32</v>
      </c>
      <c r="AF1213" s="28" t="s">
        <v>52</v>
      </c>
      <c r="AG1213" s="31"/>
    </row>
    <row r="1214" spans="1:96" x14ac:dyDescent="0.25">
      <c r="X1214" s="34">
        <f t="shared" si="1102"/>
        <v>5</v>
      </c>
      <c r="Y1214" s="28" t="s">
        <v>221</v>
      </c>
      <c r="Z1214" s="36" t="s">
        <v>35</v>
      </c>
      <c r="AA1214" s="76">
        <v>45644</v>
      </c>
      <c r="AB1214" s="61" t="s">
        <v>224</v>
      </c>
      <c r="AC1214" s="31" t="s">
        <v>225</v>
      </c>
      <c r="AD1214" s="65">
        <f t="shared" si="1100"/>
        <v>2</v>
      </c>
      <c r="AE1214" s="78">
        <f t="shared" si="1101"/>
        <v>4</v>
      </c>
      <c r="AF1214" s="28" t="s">
        <v>52</v>
      </c>
      <c r="AG1214" s="31"/>
    </row>
    <row r="1215" spans="1:96" x14ac:dyDescent="0.25">
      <c r="X1215" s="34">
        <f t="shared" si="1102"/>
        <v>6</v>
      </c>
      <c r="Y1215" s="36" t="s">
        <v>1583</v>
      </c>
      <c r="Z1215" s="36" t="s">
        <v>35</v>
      </c>
      <c r="AA1215" s="76">
        <v>45644</v>
      </c>
      <c r="AB1215" s="61" t="s">
        <v>1584</v>
      </c>
      <c r="AC1215" s="31" t="s">
        <v>1585</v>
      </c>
      <c r="AD1215" s="65">
        <f t="shared" si="1100"/>
        <v>2</v>
      </c>
      <c r="AE1215" s="78">
        <f t="shared" si="1101"/>
        <v>4</v>
      </c>
      <c r="AF1215" s="28" t="s">
        <v>52</v>
      </c>
      <c r="AG1215" s="31"/>
    </row>
    <row r="1216" spans="1:96" x14ac:dyDescent="0.25">
      <c r="X1216" s="34">
        <f t="shared" si="1102"/>
        <v>7</v>
      </c>
      <c r="Y1216" s="36" t="s">
        <v>1580</v>
      </c>
      <c r="Z1216" s="36" t="s">
        <v>35</v>
      </c>
      <c r="AA1216" s="76">
        <v>45644</v>
      </c>
      <c r="AB1216" s="61" t="s">
        <v>1581</v>
      </c>
      <c r="AC1216" s="31" t="s">
        <v>1582</v>
      </c>
      <c r="AD1216" s="65">
        <f t="shared" si="1100"/>
        <v>2</v>
      </c>
      <c r="AE1216" s="78">
        <f t="shared" si="1101"/>
        <v>4</v>
      </c>
      <c r="AF1216" s="28" t="s">
        <v>52</v>
      </c>
      <c r="AG1216" s="31"/>
    </row>
    <row r="1217" spans="24:33" x14ac:dyDescent="0.25">
      <c r="X1217" s="34">
        <f t="shared" si="1102"/>
        <v>8</v>
      </c>
      <c r="Y1217" s="28" t="s">
        <v>2068</v>
      </c>
      <c r="Z1217" s="77" t="s">
        <v>340</v>
      </c>
      <c r="AA1217" s="76">
        <v>45636</v>
      </c>
      <c r="AB1217" s="61" t="s">
        <v>2069</v>
      </c>
      <c r="AC1217" s="31" t="s">
        <v>2582</v>
      </c>
      <c r="AD1217" s="65">
        <f t="shared" si="1100"/>
        <v>2</v>
      </c>
      <c r="AE1217" s="78">
        <f t="shared" si="1101"/>
        <v>4</v>
      </c>
      <c r="AF1217" s="28" t="s">
        <v>52</v>
      </c>
      <c r="AG1217" s="31"/>
    </row>
    <row r="1218" spans="24:33" x14ac:dyDescent="0.25">
      <c r="X1218" s="34">
        <f t="shared" si="1102"/>
        <v>9</v>
      </c>
      <c r="Y1218" s="28" t="s">
        <v>2078</v>
      </c>
      <c r="Z1218" s="77" t="s">
        <v>340</v>
      </c>
      <c r="AA1218" s="76">
        <v>45636</v>
      </c>
      <c r="AB1218" s="61" t="s">
        <v>2079</v>
      </c>
      <c r="AC1218" s="31" t="s">
        <v>2080</v>
      </c>
      <c r="AD1218" s="65">
        <f t="shared" si="1100"/>
        <v>2</v>
      </c>
      <c r="AE1218" s="78">
        <f t="shared" si="1101"/>
        <v>4</v>
      </c>
      <c r="AF1218" s="28" t="s">
        <v>52</v>
      </c>
      <c r="AG1218" s="31"/>
    </row>
    <row r="1219" spans="24:33" x14ac:dyDescent="0.25">
      <c r="X1219" s="34">
        <f t="shared" si="1102"/>
        <v>10</v>
      </c>
      <c r="Y1219" s="28" t="s">
        <v>1850</v>
      </c>
      <c r="Z1219" s="77" t="s">
        <v>340</v>
      </c>
      <c r="AA1219" s="76">
        <v>45636</v>
      </c>
      <c r="AB1219" s="61" t="s">
        <v>2569</v>
      </c>
      <c r="AC1219" s="31" t="s">
        <v>1852</v>
      </c>
      <c r="AD1219" s="65">
        <f t="shared" si="1100"/>
        <v>1</v>
      </c>
      <c r="AE1219" s="78">
        <f t="shared" si="1101"/>
        <v>2</v>
      </c>
      <c r="AF1219" s="28" t="s">
        <v>52</v>
      </c>
      <c r="AG1219" s="31"/>
    </row>
    <row r="1220" spans="24:33" x14ac:dyDescent="0.25">
      <c r="X1220" s="34">
        <f t="shared" si="1102"/>
        <v>11</v>
      </c>
      <c r="Y1220" s="28" t="s">
        <v>2165</v>
      </c>
      <c r="Z1220" s="77" t="s">
        <v>340</v>
      </c>
      <c r="AA1220" s="76">
        <v>45636</v>
      </c>
      <c r="AB1220" s="77" t="s">
        <v>1851</v>
      </c>
      <c r="AC1220" s="31" t="s">
        <v>2573</v>
      </c>
      <c r="AD1220" s="65">
        <f t="shared" si="1100"/>
        <v>20</v>
      </c>
      <c r="AE1220" s="78">
        <f t="shared" si="1101"/>
        <v>40</v>
      </c>
      <c r="AF1220" s="28" t="s">
        <v>52</v>
      </c>
      <c r="AG1220" s="31"/>
    </row>
    <row r="1221" spans="24:33" x14ac:dyDescent="0.25">
      <c r="X1221" s="34">
        <f t="shared" si="1102"/>
        <v>12</v>
      </c>
      <c r="Y1221" s="28" t="s">
        <v>2227</v>
      </c>
      <c r="Z1221" s="77" t="s">
        <v>340</v>
      </c>
      <c r="AA1221" s="76">
        <v>45636</v>
      </c>
      <c r="AB1221" s="77" t="s">
        <v>2226</v>
      </c>
      <c r="AC1221" s="31" t="s">
        <v>2228</v>
      </c>
      <c r="AD1221" s="65">
        <f t="shared" si="1100"/>
        <v>5</v>
      </c>
      <c r="AE1221" s="78">
        <f t="shared" si="1101"/>
        <v>10</v>
      </c>
      <c r="AF1221" s="28" t="s">
        <v>52</v>
      </c>
      <c r="AG1221" s="31"/>
    </row>
    <row r="1222" spans="24:33" x14ac:dyDescent="0.25">
      <c r="X1222" s="34">
        <f t="shared" si="1102"/>
        <v>13</v>
      </c>
      <c r="Y1222" s="28" t="s">
        <v>2551</v>
      </c>
      <c r="Z1222" s="77" t="s">
        <v>340</v>
      </c>
      <c r="AA1222" s="76">
        <v>45636</v>
      </c>
      <c r="AB1222" s="77" t="s">
        <v>487</v>
      </c>
      <c r="AC1222" s="31" t="s">
        <v>2552</v>
      </c>
      <c r="AD1222" s="65">
        <f t="shared" si="1100"/>
        <v>112.82</v>
      </c>
      <c r="AE1222" s="78">
        <f t="shared" si="1101"/>
        <v>225.64</v>
      </c>
      <c r="AF1222" s="28" t="s">
        <v>52</v>
      </c>
      <c r="AG1222" s="31"/>
    </row>
    <row r="1223" spans="24:33" x14ac:dyDescent="0.25">
      <c r="X1223" s="34">
        <f t="shared" si="1102"/>
        <v>14</v>
      </c>
      <c r="Y1223" s="28" t="s">
        <v>2170</v>
      </c>
      <c r="Z1223" s="77" t="s">
        <v>340</v>
      </c>
      <c r="AA1223" s="76">
        <v>45636</v>
      </c>
      <c r="AB1223" s="77" t="s">
        <v>2571</v>
      </c>
      <c r="AC1223" s="31" t="s">
        <v>2574</v>
      </c>
      <c r="AD1223" s="65">
        <f t="shared" si="1100"/>
        <v>4</v>
      </c>
      <c r="AE1223" s="78">
        <f t="shared" si="1101"/>
        <v>8</v>
      </c>
      <c r="AF1223" s="28" t="s">
        <v>52</v>
      </c>
      <c r="AG1223" s="31"/>
    </row>
    <row r="1224" spans="24:33" x14ac:dyDescent="0.25">
      <c r="X1224" s="34">
        <f t="shared" si="1102"/>
        <v>15</v>
      </c>
      <c r="Y1224" s="28" t="s">
        <v>2173</v>
      </c>
      <c r="Z1224" s="77" t="s">
        <v>340</v>
      </c>
      <c r="AA1224" s="76">
        <v>45636</v>
      </c>
      <c r="AB1224" s="77" t="s">
        <v>2572</v>
      </c>
      <c r="AC1224" s="31" t="s">
        <v>2575</v>
      </c>
      <c r="AD1224" s="65">
        <f t="shared" si="1100"/>
        <v>4</v>
      </c>
      <c r="AE1224" s="78">
        <f t="shared" si="1101"/>
        <v>8</v>
      </c>
      <c r="AF1224" s="28" t="s">
        <v>52</v>
      </c>
      <c r="AG1224" s="31"/>
    </row>
    <row r="1225" spans="24:33" x14ac:dyDescent="0.25">
      <c r="X1225" s="34"/>
      <c r="Y1225" s="28" t="s">
        <v>2176</v>
      </c>
      <c r="Z1225" s="77" t="s">
        <v>340</v>
      </c>
      <c r="AA1225" s="76">
        <v>45636</v>
      </c>
      <c r="AB1225" s="77" t="s">
        <v>2576</v>
      </c>
      <c r="AC1225" s="31" t="s">
        <v>2577</v>
      </c>
      <c r="AD1225" s="65">
        <f t="shared" si="1100"/>
        <v>20</v>
      </c>
      <c r="AE1225" s="78">
        <f t="shared" si="1101"/>
        <v>40</v>
      </c>
      <c r="AF1225" s="28" t="s">
        <v>52</v>
      </c>
      <c r="AG1225" s="31"/>
    </row>
    <row r="1226" spans="24:33" ht="30" x14ac:dyDescent="0.25">
      <c r="X1226" s="34">
        <f>X1224+1</f>
        <v>16</v>
      </c>
      <c r="Y1226" s="3" t="s">
        <v>1117</v>
      </c>
      <c r="Z1226" s="3" t="s">
        <v>2568</v>
      </c>
      <c r="AA1226" s="76">
        <v>45644</v>
      </c>
      <c r="AB1226" s="61" t="s">
        <v>1118</v>
      </c>
      <c r="AC1226" s="31" t="s">
        <v>1119</v>
      </c>
      <c r="AD1226" s="65">
        <f t="shared" si="1100"/>
        <v>4</v>
      </c>
      <c r="AE1226" s="78">
        <f t="shared" si="1101"/>
        <v>8</v>
      </c>
      <c r="AF1226" s="28" t="s">
        <v>52</v>
      </c>
      <c r="AG1226" s="80" t="s">
        <v>2567</v>
      </c>
    </row>
    <row r="1227" spans="24:33" x14ac:dyDescent="0.25">
      <c r="X1227" s="34">
        <f t="shared" si="1102"/>
        <v>17</v>
      </c>
      <c r="Y1227" s="28" t="s">
        <v>553</v>
      </c>
      <c r="Z1227" s="36" t="s">
        <v>35</v>
      </c>
      <c r="AA1227" s="76">
        <v>45644</v>
      </c>
      <c r="AB1227" s="61" t="s">
        <v>554</v>
      </c>
      <c r="AC1227" s="31" t="s">
        <v>244</v>
      </c>
      <c r="AD1227" s="65">
        <f t="shared" si="1100"/>
        <v>10</v>
      </c>
      <c r="AE1227" s="78">
        <f t="shared" si="1101"/>
        <v>20</v>
      </c>
      <c r="AF1227" s="28" t="s">
        <v>52</v>
      </c>
      <c r="AG1227" s="31"/>
    </row>
    <row r="1228" spans="24:33" ht="15" customHeight="1" x14ac:dyDescent="0.25">
      <c r="X1228" s="34">
        <f t="shared" si="1102"/>
        <v>18</v>
      </c>
      <c r="Y1228" s="28" t="s">
        <v>1458</v>
      </c>
      <c r="Z1228" s="36" t="s">
        <v>35</v>
      </c>
      <c r="AA1228" s="76">
        <v>45644</v>
      </c>
      <c r="AB1228" s="61" t="s">
        <v>1460</v>
      </c>
      <c r="AC1228" s="31" t="s">
        <v>776</v>
      </c>
      <c r="AD1228" s="65">
        <f t="shared" si="1100"/>
        <v>1</v>
      </c>
      <c r="AE1228" s="78">
        <f t="shared" si="1101"/>
        <v>2</v>
      </c>
      <c r="AF1228" s="28" t="s">
        <v>52</v>
      </c>
      <c r="AG1228" s="31"/>
    </row>
    <row r="1229" spans="24:33" x14ac:dyDescent="0.25">
      <c r="X1229" s="34">
        <f t="shared" si="1102"/>
        <v>19</v>
      </c>
      <c r="Y1229" s="28" t="s">
        <v>1057</v>
      </c>
      <c r="Z1229" s="36" t="s">
        <v>35</v>
      </c>
      <c r="AA1229" s="76">
        <v>45644</v>
      </c>
      <c r="AB1229" s="61" t="s">
        <v>1059</v>
      </c>
      <c r="AC1229" s="31" t="s">
        <v>1062</v>
      </c>
      <c r="AD1229" s="65">
        <f t="shared" si="1100"/>
        <v>4</v>
      </c>
      <c r="AE1229" s="78">
        <f t="shared" si="1101"/>
        <v>8</v>
      </c>
      <c r="AF1229" s="28" t="s">
        <v>52</v>
      </c>
      <c r="AG1229" s="31"/>
    </row>
    <row r="1230" spans="24:33" x14ac:dyDescent="0.25">
      <c r="X1230" s="34">
        <f t="shared" si="1102"/>
        <v>20</v>
      </c>
      <c r="Y1230" s="28" t="s">
        <v>1148</v>
      </c>
      <c r="Z1230" s="36" t="s">
        <v>35</v>
      </c>
      <c r="AA1230" s="76">
        <v>45644</v>
      </c>
      <c r="AB1230" s="61" t="s">
        <v>1150</v>
      </c>
      <c r="AC1230" s="31" t="s">
        <v>1151</v>
      </c>
      <c r="AD1230" s="65">
        <f t="shared" si="1100"/>
        <v>1</v>
      </c>
      <c r="AE1230" s="78">
        <f t="shared" si="1101"/>
        <v>2</v>
      </c>
      <c r="AF1230" s="28" t="s">
        <v>52</v>
      </c>
      <c r="AG1230" s="31"/>
    </row>
    <row r="1231" spans="24:33" x14ac:dyDescent="0.25">
      <c r="X1231" s="34">
        <f t="shared" si="1102"/>
        <v>21</v>
      </c>
      <c r="Y1231" s="28" t="s">
        <v>1082</v>
      </c>
      <c r="Z1231" s="36" t="s">
        <v>35</v>
      </c>
      <c r="AA1231" s="76">
        <v>45644</v>
      </c>
      <c r="AB1231" s="61" t="s">
        <v>1084</v>
      </c>
      <c r="AC1231" s="31" t="s">
        <v>1085</v>
      </c>
      <c r="AD1231" s="65">
        <f t="shared" si="1100"/>
        <v>1</v>
      </c>
      <c r="AE1231" s="78">
        <f t="shared" si="1101"/>
        <v>2</v>
      </c>
      <c r="AF1231" s="28" t="s">
        <v>52</v>
      </c>
      <c r="AG1231" s="31"/>
    </row>
    <row r="1232" spans="24:33" x14ac:dyDescent="0.25">
      <c r="X1232" s="34">
        <f t="shared" si="1102"/>
        <v>22</v>
      </c>
      <c r="Y1232" s="28" t="s">
        <v>514</v>
      </c>
      <c r="Z1232" s="36" t="s">
        <v>35</v>
      </c>
      <c r="AA1232" s="76">
        <v>45644</v>
      </c>
      <c r="AB1232" s="61" t="s">
        <v>516</v>
      </c>
      <c r="AC1232" s="31" t="s">
        <v>519</v>
      </c>
      <c r="AD1232" s="65">
        <f t="shared" si="1100"/>
        <v>3</v>
      </c>
      <c r="AE1232" s="78">
        <f t="shared" si="1101"/>
        <v>6</v>
      </c>
      <c r="AF1232" s="28" t="s">
        <v>52</v>
      </c>
      <c r="AG1232" s="31"/>
    </row>
    <row r="1233" spans="24:33" x14ac:dyDescent="0.25">
      <c r="X1233" s="34">
        <f t="shared" si="1102"/>
        <v>23</v>
      </c>
      <c r="Y1233" s="28" t="s">
        <v>2145</v>
      </c>
      <c r="Z1233" s="36" t="s">
        <v>35</v>
      </c>
      <c r="AA1233" s="76">
        <v>45644</v>
      </c>
      <c r="AB1233" s="61" t="s">
        <v>2151</v>
      </c>
      <c r="AC1233" s="31" t="s">
        <v>2152</v>
      </c>
      <c r="AD1233" s="65">
        <f t="shared" si="1100"/>
        <v>24</v>
      </c>
      <c r="AE1233" s="78">
        <f t="shared" si="1101"/>
        <v>48</v>
      </c>
      <c r="AF1233" s="28" t="s">
        <v>52</v>
      </c>
      <c r="AG1233" s="31"/>
    </row>
    <row r="1234" spans="24:33" x14ac:dyDescent="0.25">
      <c r="X1234" s="34">
        <f t="shared" si="1102"/>
        <v>24</v>
      </c>
      <c r="Y1234" s="28" t="s">
        <v>1024</v>
      </c>
      <c r="Z1234" s="36" t="s">
        <v>35</v>
      </c>
      <c r="AA1234" s="76">
        <v>45644</v>
      </c>
      <c r="AB1234" s="61" t="s">
        <v>1025</v>
      </c>
      <c r="AC1234" s="31" t="s">
        <v>1026</v>
      </c>
      <c r="AD1234" s="65">
        <f t="shared" si="1100"/>
        <v>3</v>
      </c>
      <c r="AE1234" s="78">
        <f t="shared" si="1101"/>
        <v>6</v>
      </c>
      <c r="AF1234" s="28" t="s">
        <v>52</v>
      </c>
      <c r="AG1234" s="31"/>
    </row>
    <row r="1235" spans="24:33" x14ac:dyDescent="0.25">
      <c r="X1235" s="34">
        <f t="shared" si="1102"/>
        <v>25</v>
      </c>
      <c r="Y1235" s="28" t="s">
        <v>823</v>
      </c>
      <c r="Z1235" s="36" t="s">
        <v>35</v>
      </c>
      <c r="AA1235" s="76">
        <v>45644</v>
      </c>
      <c r="AB1235" s="61" t="s">
        <v>824</v>
      </c>
      <c r="AC1235" s="31" t="s">
        <v>76</v>
      </c>
      <c r="AD1235" s="65">
        <f t="shared" si="1100"/>
        <v>1</v>
      </c>
      <c r="AE1235" s="78">
        <f t="shared" si="1101"/>
        <v>2</v>
      </c>
      <c r="AF1235" s="28" t="s">
        <v>52</v>
      </c>
      <c r="AG1235" s="31"/>
    </row>
    <row r="1236" spans="24:33" x14ac:dyDescent="0.25">
      <c r="X1236" s="34">
        <f t="shared" si="1102"/>
        <v>26</v>
      </c>
      <c r="Y1236" s="28" t="s">
        <v>534</v>
      </c>
      <c r="Z1236" s="36" t="s">
        <v>35</v>
      </c>
      <c r="AA1236" s="76">
        <v>45644</v>
      </c>
      <c r="AB1236" s="61" t="s">
        <v>535</v>
      </c>
      <c r="AC1236" s="31" t="s">
        <v>538</v>
      </c>
      <c r="AD1236" s="65">
        <f t="shared" si="1100"/>
        <v>40</v>
      </c>
      <c r="AE1236" s="78">
        <f t="shared" si="1101"/>
        <v>80</v>
      </c>
      <c r="AF1236" s="28" t="s">
        <v>52</v>
      </c>
      <c r="AG1236" s="31"/>
    </row>
    <row r="1237" spans="24:33" x14ac:dyDescent="0.25">
      <c r="X1237" s="34">
        <f t="shared" si="1102"/>
        <v>27</v>
      </c>
      <c r="Y1237" s="28" t="s">
        <v>539</v>
      </c>
      <c r="Z1237" s="36" t="s">
        <v>35</v>
      </c>
      <c r="AA1237" s="76">
        <v>45644</v>
      </c>
      <c r="AB1237" s="61" t="s">
        <v>540</v>
      </c>
      <c r="AC1237" s="31" t="s">
        <v>541</v>
      </c>
      <c r="AD1237" s="65">
        <f t="shared" si="1100"/>
        <v>40</v>
      </c>
      <c r="AE1237" s="78">
        <f t="shared" si="1101"/>
        <v>80</v>
      </c>
      <c r="AF1237" s="28" t="s">
        <v>52</v>
      </c>
      <c r="AG1237" s="31"/>
    </row>
    <row r="1238" spans="24:33" x14ac:dyDescent="0.25">
      <c r="X1238" s="34">
        <f t="shared" si="1102"/>
        <v>28</v>
      </c>
      <c r="Y1238" s="28" t="s">
        <v>773</v>
      </c>
      <c r="Z1238" s="36" t="s">
        <v>35</v>
      </c>
      <c r="AA1238" s="76">
        <v>45644</v>
      </c>
      <c r="AB1238" s="61" t="s">
        <v>775</v>
      </c>
      <c r="AC1238" s="31" t="s">
        <v>776</v>
      </c>
      <c r="AD1238" s="65">
        <f t="shared" si="1100"/>
        <v>1</v>
      </c>
      <c r="AE1238" s="78">
        <f t="shared" si="1101"/>
        <v>2</v>
      </c>
      <c r="AF1238" s="28" t="s">
        <v>52</v>
      </c>
      <c r="AG1238" s="31"/>
    </row>
    <row r="1239" spans="24:33" x14ac:dyDescent="0.25">
      <c r="X1239" s="34">
        <f t="shared" si="1102"/>
        <v>29</v>
      </c>
      <c r="Y1239" s="28" t="s">
        <v>876</v>
      </c>
      <c r="Z1239" s="36" t="s">
        <v>35</v>
      </c>
      <c r="AA1239" s="76">
        <v>45644</v>
      </c>
      <c r="AB1239" s="61" t="s">
        <v>877</v>
      </c>
      <c r="AC1239" s="31" t="s">
        <v>76</v>
      </c>
      <c r="AD1239" s="65">
        <f t="shared" si="1100"/>
        <v>4</v>
      </c>
      <c r="AE1239" s="78">
        <f t="shared" si="1101"/>
        <v>8</v>
      </c>
      <c r="AF1239" s="28" t="s">
        <v>52</v>
      </c>
      <c r="AG1239" s="31"/>
    </row>
    <row r="1240" spans="24:33" x14ac:dyDescent="0.25">
      <c r="X1240" s="34">
        <f t="shared" si="1102"/>
        <v>30</v>
      </c>
      <c r="Y1240" s="28" t="s">
        <v>953</v>
      </c>
      <c r="Z1240" s="36" t="s">
        <v>35</v>
      </c>
      <c r="AA1240" s="76">
        <v>45644</v>
      </c>
      <c r="AB1240" s="61" t="s">
        <v>954</v>
      </c>
      <c r="AC1240" s="31" t="s">
        <v>911</v>
      </c>
      <c r="AD1240" s="65">
        <f t="shared" si="1100"/>
        <v>2</v>
      </c>
      <c r="AE1240" s="78">
        <f t="shared" si="1101"/>
        <v>4</v>
      </c>
      <c r="AF1240" s="28" t="s">
        <v>52</v>
      </c>
      <c r="AG1240" s="31"/>
    </row>
    <row r="1241" spans="24:33" x14ac:dyDescent="0.25">
      <c r="X1241" s="34">
        <f t="shared" si="1102"/>
        <v>31</v>
      </c>
      <c r="Y1241" s="28" t="s">
        <v>963</v>
      </c>
      <c r="Z1241" s="36" t="s">
        <v>35</v>
      </c>
      <c r="AA1241" s="76">
        <v>45644</v>
      </c>
      <c r="AB1241" s="61" t="s">
        <v>965</v>
      </c>
      <c r="AC1241" s="31" t="s">
        <v>966</v>
      </c>
      <c r="AD1241" s="65">
        <f t="shared" si="1100"/>
        <v>2</v>
      </c>
      <c r="AE1241" s="78">
        <f t="shared" si="1101"/>
        <v>4</v>
      </c>
      <c r="AF1241" s="28" t="s">
        <v>52</v>
      </c>
      <c r="AG1241" s="31"/>
    </row>
    <row r="1242" spans="24:33" x14ac:dyDescent="0.25">
      <c r="X1242" s="34">
        <f t="shared" si="1102"/>
        <v>32</v>
      </c>
      <c r="Y1242" s="28" t="s">
        <v>967</v>
      </c>
      <c r="Z1242" s="36" t="s">
        <v>35</v>
      </c>
      <c r="AA1242" s="76">
        <v>45644</v>
      </c>
      <c r="AB1242" s="61" t="s">
        <v>968</v>
      </c>
      <c r="AC1242" s="31" t="s">
        <v>966</v>
      </c>
      <c r="AD1242" s="65">
        <f t="shared" si="1100"/>
        <v>1</v>
      </c>
      <c r="AE1242" s="78">
        <f t="shared" si="1101"/>
        <v>2</v>
      </c>
      <c r="AF1242" s="28" t="s">
        <v>52</v>
      </c>
      <c r="AG1242" s="31"/>
    </row>
    <row r="1243" spans="24:33" x14ac:dyDescent="0.25">
      <c r="X1243" s="34">
        <f t="shared" si="1102"/>
        <v>33</v>
      </c>
      <c r="Y1243" s="28" t="s">
        <v>969</v>
      </c>
      <c r="Z1243" s="36" t="s">
        <v>35</v>
      </c>
      <c r="AA1243" s="76">
        <v>45644</v>
      </c>
      <c r="AB1243" s="61" t="s">
        <v>970</v>
      </c>
      <c r="AC1243" s="31" t="s">
        <v>966</v>
      </c>
      <c r="AD1243" s="65">
        <f t="shared" si="1100"/>
        <v>1</v>
      </c>
      <c r="AE1243" s="78">
        <f t="shared" si="1101"/>
        <v>2</v>
      </c>
      <c r="AF1243" s="28" t="s">
        <v>52</v>
      </c>
      <c r="AG1243" s="31"/>
    </row>
    <row r="1244" spans="24:33" x14ac:dyDescent="0.25">
      <c r="X1244" s="34">
        <f t="shared" si="1102"/>
        <v>34</v>
      </c>
      <c r="Y1244" s="28" t="s">
        <v>971</v>
      </c>
      <c r="Z1244" s="36" t="s">
        <v>35</v>
      </c>
      <c r="AA1244" s="76">
        <v>45644</v>
      </c>
      <c r="AB1244" s="61" t="s">
        <v>972</v>
      </c>
      <c r="AC1244" s="31" t="s">
        <v>966</v>
      </c>
      <c r="AD1244" s="65">
        <f t="shared" si="1100"/>
        <v>1</v>
      </c>
      <c r="AE1244" s="78">
        <f t="shared" si="1101"/>
        <v>2</v>
      </c>
      <c r="AF1244" s="28" t="s">
        <v>52</v>
      </c>
      <c r="AG1244" s="31"/>
    </row>
    <row r="1245" spans="24:33" x14ac:dyDescent="0.25">
      <c r="X1245" s="34">
        <f t="shared" si="1102"/>
        <v>35</v>
      </c>
      <c r="Y1245" s="28" t="s">
        <v>990</v>
      </c>
      <c r="Z1245" s="36" t="s">
        <v>35</v>
      </c>
      <c r="AA1245" s="76">
        <v>45644</v>
      </c>
      <c r="AB1245" s="61" t="s">
        <v>991</v>
      </c>
      <c r="AC1245" s="31" t="s">
        <v>966</v>
      </c>
      <c r="AD1245" s="65">
        <f t="shared" si="1100"/>
        <v>1</v>
      </c>
      <c r="AE1245" s="78">
        <f t="shared" si="1101"/>
        <v>2</v>
      </c>
      <c r="AF1245" s="28" t="s">
        <v>52</v>
      </c>
      <c r="AG1245" s="31"/>
    </row>
    <row r="1246" spans="24:33" x14ac:dyDescent="0.25">
      <c r="X1246" s="34">
        <f t="shared" si="1102"/>
        <v>36</v>
      </c>
      <c r="Y1246" s="28" t="s">
        <v>990</v>
      </c>
      <c r="Z1246" s="36" t="s">
        <v>35</v>
      </c>
      <c r="AA1246" s="76">
        <v>45644</v>
      </c>
      <c r="AB1246" s="61" t="s">
        <v>1188</v>
      </c>
      <c r="AC1246" s="31" t="s">
        <v>1083</v>
      </c>
      <c r="AD1246" s="65">
        <f t="shared" si="1100"/>
        <v>2</v>
      </c>
      <c r="AE1246" s="78">
        <f t="shared" si="1101"/>
        <v>4</v>
      </c>
      <c r="AF1246" s="28" t="s">
        <v>52</v>
      </c>
      <c r="AG1246" s="31"/>
    </row>
    <row r="1247" spans="24:33" x14ac:dyDescent="0.25">
      <c r="X1247" s="34">
        <f t="shared" si="1102"/>
        <v>37</v>
      </c>
      <c r="Y1247" s="28" t="s">
        <v>1307</v>
      </c>
      <c r="Z1247" s="36" t="s">
        <v>35</v>
      </c>
      <c r="AA1247" s="76">
        <v>45644</v>
      </c>
      <c r="AB1247" s="61" t="s">
        <v>1309</v>
      </c>
      <c r="AC1247" s="31" t="s">
        <v>1310</v>
      </c>
      <c r="AD1247" s="65">
        <f t="shared" si="1100"/>
        <v>4</v>
      </c>
      <c r="AE1247" s="78">
        <f t="shared" si="1101"/>
        <v>8</v>
      </c>
      <c r="AF1247" s="28" t="s">
        <v>52</v>
      </c>
      <c r="AG1247" s="31"/>
    </row>
    <row r="1248" spans="24:33" x14ac:dyDescent="0.25">
      <c r="X1248" s="34">
        <f t="shared" si="1102"/>
        <v>38</v>
      </c>
      <c r="Y1248" s="28" t="s">
        <v>1634</v>
      </c>
      <c r="Z1248" s="36" t="s">
        <v>35</v>
      </c>
      <c r="AA1248" s="76">
        <v>45644</v>
      </c>
      <c r="AB1248" s="61" t="s">
        <v>1635</v>
      </c>
      <c r="AC1248" s="31" t="s">
        <v>1636</v>
      </c>
      <c r="AD1248" s="65">
        <f t="shared" si="1100"/>
        <v>2</v>
      </c>
      <c r="AE1248" s="78">
        <f t="shared" si="1101"/>
        <v>4</v>
      </c>
      <c r="AF1248" s="28" t="s">
        <v>52</v>
      </c>
      <c r="AG1248" s="31"/>
    </row>
    <row r="1249" spans="24:33" x14ac:dyDescent="0.25">
      <c r="X1249" s="34">
        <f t="shared" si="1102"/>
        <v>39</v>
      </c>
      <c r="Y1249" s="28" t="s">
        <v>1637</v>
      </c>
      <c r="Z1249" s="36" t="s">
        <v>35</v>
      </c>
      <c r="AA1249" s="76">
        <v>45644</v>
      </c>
      <c r="AB1249" s="61" t="s">
        <v>1638</v>
      </c>
      <c r="AC1249" s="31" t="s">
        <v>1636</v>
      </c>
      <c r="AD1249" s="65">
        <f t="shared" si="1100"/>
        <v>1</v>
      </c>
      <c r="AE1249" s="78">
        <f t="shared" si="1101"/>
        <v>2</v>
      </c>
      <c r="AF1249" s="28" t="s">
        <v>52</v>
      </c>
      <c r="AG1249" s="31"/>
    </row>
    <row r="1250" spans="24:33" x14ac:dyDescent="0.25">
      <c r="X1250" s="34">
        <f t="shared" si="1102"/>
        <v>40</v>
      </c>
      <c r="Y1250" s="28" t="s">
        <v>1651</v>
      </c>
      <c r="Z1250" s="36" t="s">
        <v>35</v>
      </c>
      <c r="AA1250" s="76">
        <v>45644</v>
      </c>
      <c r="AB1250" s="61" t="s">
        <v>1652</v>
      </c>
      <c r="AC1250" s="31" t="s">
        <v>1653</v>
      </c>
      <c r="AD1250" s="65">
        <f t="shared" si="1100"/>
        <v>1</v>
      </c>
      <c r="AE1250" s="78">
        <f t="shared" si="1101"/>
        <v>2</v>
      </c>
      <c r="AF1250" s="28" t="s">
        <v>52</v>
      </c>
      <c r="AG1250" s="31"/>
    </row>
    <row r="1251" spans="24:33" x14ac:dyDescent="0.25">
      <c r="X1251" s="34">
        <f t="shared" si="1102"/>
        <v>41</v>
      </c>
      <c r="Y1251" s="28" t="s">
        <v>1654</v>
      </c>
      <c r="Z1251" s="36" t="s">
        <v>35</v>
      </c>
      <c r="AA1251" s="76">
        <v>45644</v>
      </c>
      <c r="AB1251" s="61" t="s">
        <v>1655</v>
      </c>
      <c r="AC1251" s="31" t="s">
        <v>911</v>
      </c>
      <c r="AD1251" s="65">
        <f t="shared" si="1100"/>
        <v>1</v>
      </c>
      <c r="AE1251" s="78">
        <f t="shared" si="1101"/>
        <v>2</v>
      </c>
      <c r="AF1251" s="28" t="s">
        <v>52</v>
      </c>
      <c r="AG1251" s="31"/>
    </row>
    <row r="1252" spans="24:33" x14ac:dyDescent="0.25">
      <c r="X1252" s="34">
        <f t="shared" si="1102"/>
        <v>42</v>
      </c>
      <c r="Y1252" s="28" t="s">
        <v>1847</v>
      </c>
      <c r="Z1252" s="36" t="s">
        <v>35</v>
      </c>
      <c r="AA1252" s="76">
        <v>45644</v>
      </c>
      <c r="AB1252" s="61" t="s">
        <v>1848</v>
      </c>
      <c r="AC1252" s="31" t="s">
        <v>1149</v>
      </c>
      <c r="AD1252" s="65">
        <f t="shared" si="1100"/>
        <v>4</v>
      </c>
      <c r="AE1252" s="78">
        <f t="shared" si="1101"/>
        <v>8</v>
      </c>
      <c r="AF1252" s="28" t="s">
        <v>52</v>
      </c>
      <c r="AG1252" s="31"/>
    </row>
    <row r="1253" spans="24:33" x14ac:dyDescent="0.25">
      <c r="X1253" s="34">
        <f t="shared" si="1102"/>
        <v>43</v>
      </c>
      <c r="Y1253" s="28" t="s">
        <v>168</v>
      </c>
      <c r="Z1253" s="36" t="s">
        <v>35</v>
      </c>
      <c r="AA1253" s="76">
        <v>45644</v>
      </c>
      <c r="AB1253" s="61" t="s">
        <v>171</v>
      </c>
      <c r="AC1253" s="31" t="s">
        <v>174</v>
      </c>
      <c r="AD1253" s="65">
        <f t="shared" si="1100"/>
        <v>1</v>
      </c>
      <c r="AE1253" s="78">
        <f t="shared" si="1101"/>
        <v>2</v>
      </c>
      <c r="AF1253" s="28" t="s">
        <v>52</v>
      </c>
      <c r="AG1253" s="31"/>
    </row>
    <row r="1254" spans="24:33" x14ac:dyDescent="0.25">
      <c r="X1254" s="34">
        <f t="shared" si="1102"/>
        <v>44</v>
      </c>
      <c r="Y1254" s="28" t="s">
        <v>179</v>
      </c>
      <c r="Z1254" s="36" t="s">
        <v>35</v>
      </c>
      <c r="AA1254" s="76">
        <v>45644</v>
      </c>
      <c r="AB1254" s="61" t="s">
        <v>181</v>
      </c>
      <c r="AC1254" s="31" t="s">
        <v>180</v>
      </c>
      <c r="AD1254" s="65">
        <f t="shared" si="1100"/>
        <v>1</v>
      </c>
      <c r="AE1254" s="78">
        <f t="shared" si="1101"/>
        <v>2</v>
      </c>
      <c r="AF1254" s="28" t="s">
        <v>52</v>
      </c>
      <c r="AG1254" s="31"/>
    </row>
    <row r="1255" spans="24:33" x14ac:dyDescent="0.25">
      <c r="X1255" s="34">
        <f t="shared" si="1102"/>
        <v>45</v>
      </c>
      <c r="Y1255" s="28" t="s">
        <v>440</v>
      </c>
      <c r="Z1255" s="36" t="s">
        <v>35</v>
      </c>
      <c r="AA1255" s="76">
        <v>45644</v>
      </c>
      <c r="AB1255" s="61" t="s">
        <v>442</v>
      </c>
      <c r="AC1255" s="31" t="s">
        <v>174</v>
      </c>
      <c r="AD1255" s="65">
        <f t="shared" si="1100"/>
        <v>1</v>
      </c>
      <c r="AE1255" s="78">
        <f t="shared" si="1101"/>
        <v>2</v>
      </c>
      <c r="AF1255" s="28" t="s">
        <v>52</v>
      </c>
      <c r="AG1255" s="31"/>
    </row>
    <row r="1256" spans="24:33" x14ac:dyDescent="0.25">
      <c r="X1256" s="34">
        <f t="shared" si="1102"/>
        <v>46</v>
      </c>
      <c r="Y1256" s="28" t="s">
        <v>1594</v>
      </c>
      <c r="Z1256" s="36" t="s">
        <v>35</v>
      </c>
      <c r="AA1256" s="76">
        <v>45644</v>
      </c>
      <c r="AB1256" s="61" t="s">
        <v>1596</v>
      </c>
      <c r="AC1256" s="31" t="s">
        <v>1597</v>
      </c>
      <c r="AD1256" s="65">
        <f t="shared" si="1100"/>
        <v>6</v>
      </c>
      <c r="AE1256" s="78">
        <f t="shared" si="1101"/>
        <v>12</v>
      </c>
      <c r="AF1256" s="28" t="s">
        <v>52</v>
      </c>
      <c r="AG1256" s="31"/>
    </row>
    <row r="1257" spans="24:33" ht="30" x14ac:dyDescent="0.25">
      <c r="X1257" s="34">
        <f t="shared" si="1102"/>
        <v>47</v>
      </c>
      <c r="Y1257" s="28" t="s">
        <v>1008</v>
      </c>
      <c r="Z1257" s="3" t="s">
        <v>2568</v>
      </c>
      <c r="AA1257" s="76">
        <v>45644</v>
      </c>
      <c r="AB1257" s="61" t="s">
        <v>1139</v>
      </c>
      <c r="AC1257" s="31" t="s">
        <v>1010</v>
      </c>
      <c r="AD1257" s="65">
        <f t="shared" si="1100"/>
        <v>10</v>
      </c>
      <c r="AE1257" s="78">
        <f t="shared" si="1101"/>
        <v>20</v>
      </c>
      <c r="AF1257" s="28" t="s">
        <v>52</v>
      </c>
      <c r="AG1257" s="80" t="s">
        <v>2567</v>
      </c>
    </row>
    <row r="1258" spans="24:33" ht="30" x14ac:dyDescent="0.25">
      <c r="X1258" s="34">
        <f t="shared" si="1102"/>
        <v>48</v>
      </c>
      <c r="Y1258" s="28" t="s">
        <v>448</v>
      </c>
      <c r="Z1258" s="3" t="s">
        <v>2568</v>
      </c>
      <c r="AA1258" s="76">
        <v>45644</v>
      </c>
      <c r="AB1258" s="61" t="s">
        <v>450</v>
      </c>
      <c r="AC1258" s="31" t="s">
        <v>451</v>
      </c>
      <c r="AD1258" s="65">
        <f t="shared" si="1100"/>
        <v>170</v>
      </c>
      <c r="AE1258" s="78">
        <f t="shared" si="1101"/>
        <v>340</v>
      </c>
      <c r="AF1258" s="28" t="s">
        <v>52</v>
      </c>
      <c r="AG1258" s="80" t="s">
        <v>2567</v>
      </c>
    </row>
    <row r="1259" spans="24:33" ht="30" x14ac:dyDescent="0.25">
      <c r="X1259" s="34">
        <f t="shared" si="1102"/>
        <v>49</v>
      </c>
      <c r="Y1259" s="28" t="s">
        <v>279</v>
      </c>
      <c r="Z1259" s="3" t="s">
        <v>2568</v>
      </c>
      <c r="AA1259" s="76">
        <v>45644</v>
      </c>
      <c r="AB1259" s="61" t="s">
        <v>281</v>
      </c>
      <c r="AC1259" s="31" t="s">
        <v>282</v>
      </c>
      <c r="AD1259" s="65">
        <f t="shared" si="1100"/>
        <v>149</v>
      </c>
      <c r="AE1259" s="78">
        <f t="shared" si="1101"/>
        <v>298</v>
      </c>
      <c r="AF1259" s="28" t="s">
        <v>52</v>
      </c>
      <c r="AG1259" s="80" t="s">
        <v>2567</v>
      </c>
    </row>
    <row r="1260" spans="24:33" x14ac:dyDescent="0.25">
      <c r="X1260" s="34">
        <f t="shared" si="1102"/>
        <v>50</v>
      </c>
      <c r="Y1260" s="28" t="s">
        <v>1243</v>
      </c>
      <c r="Z1260" s="28" t="s">
        <v>35</v>
      </c>
      <c r="AA1260" s="76">
        <v>45644</v>
      </c>
      <c r="AB1260" s="61" t="s">
        <v>1245</v>
      </c>
      <c r="AC1260" s="31" t="s">
        <v>1246</v>
      </c>
      <c r="AD1260" s="65">
        <f t="shared" si="1100"/>
        <v>4</v>
      </c>
      <c r="AE1260" s="78">
        <f t="shared" si="1101"/>
        <v>8</v>
      </c>
      <c r="AF1260" s="28" t="s">
        <v>52</v>
      </c>
      <c r="AG1260" s="31"/>
    </row>
    <row r="1261" spans="24:33" ht="30" x14ac:dyDescent="0.25">
      <c r="X1261" s="34">
        <f t="shared" si="1102"/>
        <v>51</v>
      </c>
      <c r="Y1261" s="28" t="s">
        <v>59</v>
      </c>
      <c r="Z1261" s="3" t="s">
        <v>2568</v>
      </c>
      <c r="AA1261" s="76">
        <v>45644</v>
      </c>
      <c r="AB1261" s="61" t="s">
        <v>61</v>
      </c>
      <c r="AC1261" s="31" t="s">
        <v>62</v>
      </c>
      <c r="AD1261" s="65">
        <f t="shared" si="1100"/>
        <v>135</v>
      </c>
      <c r="AE1261" s="78">
        <f t="shared" si="1101"/>
        <v>270</v>
      </c>
      <c r="AF1261" s="28" t="s">
        <v>52</v>
      </c>
      <c r="AG1261" s="80" t="s">
        <v>2567</v>
      </c>
    </row>
    <row r="1262" spans="24:33" x14ac:dyDescent="0.25">
      <c r="X1262" s="34">
        <f t="shared" si="1102"/>
        <v>52</v>
      </c>
      <c r="Y1262" s="28" t="s">
        <v>765</v>
      </c>
      <c r="Z1262" s="28" t="s">
        <v>35</v>
      </c>
      <c r="AA1262" s="76">
        <v>45644</v>
      </c>
      <c r="AB1262" s="61" t="s">
        <v>767</v>
      </c>
      <c r="AC1262" s="31" t="s">
        <v>768</v>
      </c>
      <c r="AD1262" s="65">
        <f t="shared" si="1100"/>
        <v>10</v>
      </c>
      <c r="AE1262" s="78">
        <f t="shared" si="1101"/>
        <v>20</v>
      </c>
      <c r="AF1262" s="28" t="s">
        <v>52</v>
      </c>
      <c r="AG1262" s="31"/>
    </row>
    <row r="1263" spans="24:33" x14ac:dyDescent="0.25">
      <c r="X1263" s="34">
        <f t="shared" si="1102"/>
        <v>53</v>
      </c>
      <c r="Y1263" s="28" t="s">
        <v>1586</v>
      </c>
      <c r="Z1263" s="28" t="s">
        <v>35</v>
      </c>
      <c r="AA1263" s="76">
        <v>45644</v>
      </c>
      <c r="AB1263" s="61" t="s">
        <v>1588</v>
      </c>
      <c r="AC1263" s="31" t="s">
        <v>1589</v>
      </c>
      <c r="AD1263" s="65">
        <f t="shared" si="1100"/>
        <v>6</v>
      </c>
      <c r="AE1263" s="78">
        <f t="shared" si="1101"/>
        <v>12</v>
      </c>
      <c r="AF1263" s="28" t="s">
        <v>52</v>
      </c>
      <c r="AG1263" s="31"/>
    </row>
    <row r="1264" spans="24:33" x14ac:dyDescent="0.25">
      <c r="X1264" s="34">
        <f t="shared" si="1102"/>
        <v>54</v>
      </c>
      <c r="Y1264" s="28" t="s">
        <v>1822</v>
      </c>
      <c r="Z1264" s="28" t="s">
        <v>35</v>
      </c>
      <c r="AA1264" s="76">
        <v>45644</v>
      </c>
      <c r="AB1264" s="61" t="s">
        <v>1824</v>
      </c>
      <c r="AC1264" s="31" t="s">
        <v>1825</v>
      </c>
      <c r="AD1264" s="65">
        <f t="shared" si="1100"/>
        <v>8</v>
      </c>
      <c r="AE1264" s="78">
        <f t="shared" si="1101"/>
        <v>16</v>
      </c>
      <c r="AF1264" s="28" t="s">
        <v>52</v>
      </c>
      <c r="AG1264" s="31"/>
    </row>
    <row r="1265" spans="24:33" x14ac:dyDescent="0.25">
      <c r="X1265" s="34">
        <f t="shared" si="1102"/>
        <v>55</v>
      </c>
      <c r="Y1265" s="28" t="s">
        <v>1287</v>
      </c>
      <c r="Z1265" s="28" t="s">
        <v>35</v>
      </c>
      <c r="AA1265" s="76">
        <v>45644</v>
      </c>
      <c r="AB1265" s="61" t="s">
        <v>1289</v>
      </c>
      <c r="AC1265" s="31" t="s">
        <v>1290</v>
      </c>
      <c r="AD1265" s="65">
        <f t="shared" si="1100"/>
        <v>27</v>
      </c>
      <c r="AE1265" s="78">
        <f t="shared" si="1101"/>
        <v>54</v>
      </c>
      <c r="AF1265" s="28" t="s">
        <v>52</v>
      </c>
      <c r="AG1265" s="31"/>
    </row>
    <row r="1266" spans="24:33" x14ac:dyDescent="0.25">
      <c r="X1266" s="34">
        <f t="shared" si="1102"/>
        <v>56</v>
      </c>
      <c r="Y1266" s="28" t="s">
        <v>2277</v>
      </c>
      <c r="Z1266" s="28" t="s">
        <v>35</v>
      </c>
      <c r="AA1266" s="76">
        <v>45644</v>
      </c>
      <c r="AB1266" s="61" t="s">
        <v>2493</v>
      </c>
      <c r="AC1266" s="31" t="s">
        <v>2279</v>
      </c>
      <c r="AD1266" s="65">
        <f t="shared" si="1100"/>
        <v>40</v>
      </c>
      <c r="AE1266" s="78">
        <f t="shared" si="1101"/>
        <v>80</v>
      </c>
      <c r="AF1266" s="28" t="s">
        <v>52</v>
      </c>
      <c r="AG1266" s="31"/>
    </row>
    <row r="1267" spans="24:33" ht="30" x14ac:dyDescent="0.25">
      <c r="X1267" s="34">
        <f t="shared" si="1102"/>
        <v>57</v>
      </c>
      <c r="Y1267" s="28" t="s">
        <v>71</v>
      </c>
      <c r="Z1267" s="3" t="s">
        <v>2568</v>
      </c>
      <c r="AA1267" s="76">
        <v>45644</v>
      </c>
      <c r="AB1267" s="61" t="s">
        <v>73</v>
      </c>
      <c r="AC1267" s="31" t="s">
        <v>74</v>
      </c>
      <c r="AD1267" s="65">
        <f t="shared" si="1100"/>
        <v>12</v>
      </c>
      <c r="AE1267" s="78">
        <f t="shared" si="1101"/>
        <v>24</v>
      </c>
      <c r="AF1267" s="28" t="s">
        <v>52</v>
      </c>
      <c r="AG1267" s="80" t="s">
        <v>2567</v>
      </c>
    </row>
    <row r="1268" spans="24:33" x14ac:dyDescent="0.25">
      <c r="X1268" s="34">
        <f t="shared" si="1102"/>
        <v>58</v>
      </c>
      <c r="Y1268" s="28" t="s">
        <v>2469</v>
      </c>
      <c r="Z1268" s="28" t="s">
        <v>35</v>
      </c>
      <c r="AA1268" s="76">
        <v>45644</v>
      </c>
      <c r="AB1268" s="61" t="s">
        <v>2470</v>
      </c>
      <c r="AC1268" s="31" t="s">
        <v>2471</v>
      </c>
      <c r="AD1268" s="65">
        <f t="shared" si="1100"/>
        <v>22</v>
      </c>
      <c r="AE1268" s="78">
        <f t="shared" si="1101"/>
        <v>44</v>
      </c>
      <c r="AF1268" s="28" t="s">
        <v>52</v>
      </c>
      <c r="AG1268" s="31"/>
    </row>
    <row r="1269" spans="24:33" ht="30" x14ac:dyDescent="0.25">
      <c r="X1269" s="34">
        <f t="shared" si="1102"/>
        <v>59</v>
      </c>
      <c r="Y1269" s="28" t="s">
        <v>1316</v>
      </c>
      <c r="Z1269" s="3" t="s">
        <v>2568</v>
      </c>
      <c r="AA1269" s="76">
        <v>45644</v>
      </c>
      <c r="AB1269" s="61" t="s">
        <v>1318</v>
      </c>
      <c r="AC1269" s="31" t="s">
        <v>1319</v>
      </c>
      <c r="AD1269" s="65">
        <f t="shared" si="1100"/>
        <v>3</v>
      </c>
      <c r="AE1269" s="78">
        <f t="shared" si="1101"/>
        <v>6</v>
      </c>
      <c r="AF1269" s="28" t="s">
        <v>52</v>
      </c>
      <c r="AG1269" s="80" t="s">
        <v>2567</v>
      </c>
    </row>
    <row r="1270" spans="24:33" x14ac:dyDescent="0.25">
      <c r="X1270" s="34">
        <f t="shared" si="1102"/>
        <v>60</v>
      </c>
      <c r="Y1270" s="28" t="s">
        <v>2314</v>
      </c>
      <c r="Z1270" s="28" t="s">
        <v>35</v>
      </c>
      <c r="AA1270" s="76">
        <v>45644</v>
      </c>
      <c r="AB1270" s="61" t="s">
        <v>2316</v>
      </c>
      <c r="AC1270" s="31" t="s">
        <v>62</v>
      </c>
      <c r="AD1270" s="65">
        <f t="shared" si="1100"/>
        <v>4</v>
      </c>
      <c r="AE1270" s="78">
        <f t="shared" si="1101"/>
        <v>8</v>
      </c>
      <c r="AF1270" s="28" t="s">
        <v>52</v>
      </c>
      <c r="AG1270" s="31"/>
    </row>
    <row r="1271" spans="24:33" x14ac:dyDescent="0.25">
      <c r="X1271" s="34">
        <f t="shared" si="1102"/>
        <v>61</v>
      </c>
      <c r="Y1271" s="28" t="s">
        <v>1334</v>
      </c>
      <c r="Z1271" s="28" t="s">
        <v>35</v>
      </c>
      <c r="AA1271" s="76">
        <v>45644</v>
      </c>
      <c r="AB1271" s="61" t="s">
        <v>1336</v>
      </c>
      <c r="AC1271" s="31" t="s">
        <v>1337</v>
      </c>
      <c r="AD1271" s="65">
        <f t="shared" si="1100"/>
        <v>8</v>
      </c>
      <c r="AE1271" s="78">
        <f t="shared" si="1101"/>
        <v>16</v>
      </c>
      <c r="AF1271" s="28" t="s">
        <v>52</v>
      </c>
      <c r="AG1271" s="31"/>
    </row>
    <row r="1272" spans="24:33" x14ac:dyDescent="0.25">
      <c r="X1272" s="34">
        <f t="shared" si="1102"/>
        <v>62</v>
      </c>
      <c r="Y1272" s="28" t="s">
        <v>1826</v>
      </c>
      <c r="Z1272" s="28" t="s">
        <v>35</v>
      </c>
      <c r="AA1272" s="76">
        <v>45644</v>
      </c>
      <c r="AB1272" s="61" t="s">
        <v>1828</v>
      </c>
      <c r="AC1272" s="31" t="s">
        <v>1829</v>
      </c>
      <c r="AD1272" s="65">
        <f t="shared" si="1100"/>
        <v>6</v>
      </c>
      <c r="AE1272" s="78">
        <f t="shared" si="1101"/>
        <v>12</v>
      </c>
      <c r="AF1272" s="28" t="s">
        <v>52</v>
      </c>
      <c r="AG1272" s="31"/>
    </row>
    <row r="1273" spans="24:33" x14ac:dyDescent="0.25">
      <c r="X1273" s="34">
        <f t="shared" si="1102"/>
        <v>63</v>
      </c>
      <c r="Y1273" s="28" t="s">
        <v>1594</v>
      </c>
      <c r="Z1273" s="28" t="s">
        <v>35</v>
      </c>
      <c r="AA1273" s="76">
        <v>45644</v>
      </c>
      <c r="AB1273" s="61" t="s">
        <v>2144</v>
      </c>
      <c r="AC1273" s="31" t="s">
        <v>1597</v>
      </c>
      <c r="AD1273" s="65">
        <f t="shared" si="1100"/>
        <v>96</v>
      </c>
      <c r="AE1273" s="78">
        <f t="shared" si="1101"/>
        <v>192</v>
      </c>
      <c r="AF1273" s="28" t="s">
        <v>52</v>
      </c>
      <c r="AG1273" s="31"/>
    </row>
    <row r="1274" spans="24:33" x14ac:dyDescent="0.25">
      <c r="X1274" s="34">
        <f t="shared" si="1102"/>
        <v>64</v>
      </c>
      <c r="Y1274" s="28" t="s">
        <v>1790</v>
      </c>
      <c r="Z1274" s="28" t="s">
        <v>35</v>
      </c>
      <c r="AA1274" s="76">
        <v>45644</v>
      </c>
      <c r="AB1274" s="61" t="s">
        <v>2016</v>
      </c>
      <c r="AC1274" s="31" t="s">
        <v>1792</v>
      </c>
      <c r="AD1274" s="65">
        <f t="shared" si="1100"/>
        <v>14</v>
      </c>
      <c r="AE1274" s="78">
        <f t="shared" si="1101"/>
        <v>28</v>
      </c>
      <c r="AF1274" s="28" t="s">
        <v>52</v>
      </c>
      <c r="AG1274" s="31"/>
    </row>
    <row r="1275" spans="24:33" x14ac:dyDescent="0.25">
      <c r="X1275" s="34">
        <f t="shared" si="1102"/>
        <v>65</v>
      </c>
      <c r="Y1275" s="61" t="s">
        <v>998</v>
      </c>
      <c r="Z1275" s="77" t="s">
        <v>340</v>
      </c>
      <c r="AA1275" s="76">
        <v>45636</v>
      </c>
      <c r="AB1275" s="61" t="s">
        <v>2480</v>
      </c>
      <c r="AC1275" s="31" t="s">
        <v>1000</v>
      </c>
      <c r="AD1275" s="65">
        <f t="shared" si="1100"/>
        <v>9</v>
      </c>
      <c r="AE1275" s="78">
        <f t="shared" si="1101"/>
        <v>18</v>
      </c>
      <c r="AF1275" s="28" t="s">
        <v>52</v>
      </c>
      <c r="AG1275" s="31"/>
    </row>
    <row r="1276" spans="24:33" x14ac:dyDescent="0.25">
      <c r="X1276" s="34">
        <f t="shared" si="1102"/>
        <v>66</v>
      </c>
      <c r="Y1276" s="61" t="s">
        <v>1499</v>
      </c>
      <c r="Z1276" s="77" t="s">
        <v>340</v>
      </c>
      <c r="AA1276" s="76">
        <v>45636</v>
      </c>
      <c r="AB1276" s="61" t="s">
        <v>1501</v>
      </c>
      <c r="AC1276" s="31" t="s">
        <v>1502</v>
      </c>
      <c r="AD1276" s="65">
        <f t="shared" si="1100"/>
        <v>4</v>
      </c>
      <c r="AE1276" s="78">
        <f t="shared" si="1101"/>
        <v>8</v>
      </c>
      <c r="AF1276" s="28" t="s">
        <v>52</v>
      </c>
      <c r="AG1276" s="31"/>
    </row>
    <row r="1277" spans="24:33" x14ac:dyDescent="0.25">
      <c r="X1277" s="34">
        <f t="shared" si="1102"/>
        <v>67</v>
      </c>
      <c r="Y1277" s="61" t="s">
        <v>359</v>
      </c>
      <c r="Z1277" s="77" t="s">
        <v>340</v>
      </c>
      <c r="AA1277" s="76">
        <v>45636</v>
      </c>
      <c r="AB1277" s="61" t="s">
        <v>361</v>
      </c>
      <c r="AC1277" s="31" t="s">
        <v>362</v>
      </c>
      <c r="AD1277" s="65">
        <f t="shared" si="1100"/>
        <v>5</v>
      </c>
      <c r="AE1277" s="78">
        <f t="shared" si="1101"/>
        <v>10</v>
      </c>
      <c r="AF1277" s="28" t="s">
        <v>52</v>
      </c>
      <c r="AG1277" s="31"/>
    </row>
    <row r="1278" spans="24:33" x14ac:dyDescent="0.25">
      <c r="X1278" s="34">
        <f t="shared" si="1102"/>
        <v>68</v>
      </c>
      <c r="Y1278" s="61" t="s">
        <v>1432</v>
      </c>
      <c r="Z1278" s="77" t="s">
        <v>340</v>
      </c>
      <c r="AA1278" s="76">
        <v>45636</v>
      </c>
      <c r="AB1278" s="61" t="s">
        <v>1434</v>
      </c>
      <c r="AC1278" s="31" t="s">
        <v>1435</v>
      </c>
      <c r="AD1278" s="65">
        <f t="shared" si="1100"/>
        <v>2</v>
      </c>
      <c r="AE1278" s="78">
        <f t="shared" si="1101"/>
        <v>4</v>
      </c>
      <c r="AF1278" s="28" t="s">
        <v>52</v>
      </c>
      <c r="AG1278" s="31"/>
    </row>
    <row r="1279" spans="24:33" x14ac:dyDescent="0.25">
      <c r="X1279" s="34">
        <f t="shared" si="1102"/>
        <v>69</v>
      </c>
      <c r="Y1279" s="61" t="s">
        <v>1447</v>
      </c>
      <c r="Z1279" s="77" t="s">
        <v>340</v>
      </c>
      <c r="AA1279" s="76">
        <v>45636</v>
      </c>
      <c r="AB1279" s="61" t="s">
        <v>1449</v>
      </c>
      <c r="AC1279" s="31" t="s">
        <v>1450</v>
      </c>
      <c r="AD1279" s="65">
        <f t="shared" ref="AD1279:AD1341" si="1103">SUMIF($AB$2:$AB$1202,AB1279,$AD$2:$AD$1202)</f>
        <v>8</v>
      </c>
      <c r="AE1279" s="78">
        <f t="shared" ref="AE1279:AE1345" si="1104">AD1279*$AD$1207</f>
        <v>16</v>
      </c>
      <c r="AF1279" s="28" t="s">
        <v>52</v>
      </c>
      <c r="AG1279" s="31"/>
    </row>
    <row r="1280" spans="24:33" x14ac:dyDescent="0.25">
      <c r="X1280" s="34">
        <f t="shared" ref="X1280:X1346" si="1105">X1279+1</f>
        <v>70</v>
      </c>
      <c r="Y1280" s="28" t="s">
        <v>2241</v>
      </c>
      <c r="Z1280" s="28" t="s">
        <v>35</v>
      </c>
      <c r="AA1280" s="76">
        <v>45644</v>
      </c>
      <c r="AB1280" s="61" t="s">
        <v>2492</v>
      </c>
      <c r="AC1280" s="31" t="s">
        <v>2243</v>
      </c>
      <c r="AD1280" s="65">
        <f t="shared" si="1103"/>
        <v>22</v>
      </c>
      <c r="AE1280" s="78">
        <f t="shared" si="1104"/>
        <v>44</v>
      </c>
      <c r="AF1280" s="28" t="s">
        <v>52</v>
      </c>
      <c r="AG1280" s="31"/>
    </row>
    <row r="1281" spans="24:33" x14ac:dyDescent="0.25">
      <c r="X1281" s="34">
        <f t="shared" si="1105"/>
        <v>71</v>
      </c>
      <c r="Y1281" s="28" t="s">
        <v>67</v>
      </c>
      <c r="Z1281" s="28" t="s">
        <v>35</v>
      </c>
      <c r="AA1281" s="76">
        <v>45644</v>
      </c>
      <c r="AB1281" s="61" t="s">
        <v>69</v>
      </c>
      <c r="AC1281" s="31" t="s">
        <v>70</v>
      </c>
      <c r="AD1281" s="65">
        <f t="shared" si="1103"/>
        <v>30</v>
      </c>
      <c r="AE1281" s="78">
        <f t="shared" si="1104"/>
        <v>60</v>
      </c>
      <c r="AF1281" s="28" t="s">
        <v>52</v>
      </c>
      <c r="AG1281" s="31"/>
    </row>
    <row r="1282" spans="24:33" x14ac:dyDescent="0.25">
      <c r="X1282" s="34">
        <f t="shared" si="1105"/>
        <v>72</v>
      </c>
      <c r="Y1282" s="61" t="s">
        <v>859</v>
      </c>
      <c r="Z1282" s="77" t="s">
        <v>340</v>
      </c>
      <c r="AA1282" s="76">
        <v>45636</v>
      </c>
      <c r="AB1282" s="61" t="s">
        <v>861</v>
      </c>
      <c r="AC1282" s="31" t="s">
        <v>862</v>
      </c>
      <c r="AD1282" s="65">
        <f t="shared" si="1103"/>
        <v>17</v>
      </c>
      <c r="AE1282" s="78">
        <f t="shared" si="1104"/>
        <v>34</v>
      </c>
      <c r="AF1282" s="28" t="s">
        <v>52</v>
      </c>
      <c r="AG1282" s="31"/>
    </row>
    <row r="1283" spans="24:33" x14ac:dyDescent="0.25">
      <c r="X1283" s="34">
        <f t="shared" si="1105"/>
        <v>73</v>
      </c>
      <c r="Y1283" s="28" t="s">
        <v>2328</v>
      </c>
      <c r="Z1283" s="28" t="s">
        <v>35</v>
      </c>
      <c r="AA1283" s="76">
        <v>45644</v>
      </c>
      <c r="AB1283" s="61" t="s">
        <v>2330</v>
      </c>
      <c r="AC1283" s="31" t="s">
        <v>2331</v>
      </c>
      <c r="AD1283" s="65">
        <f t="shared" si="1103"/>
        <v>4</v>
      </c>
      <c r="AE1283" s="78">
        <f t="shared" si="1104"/>
        <v>8</v>
      </c>
      <c r="AF1283" s="28" t="s">
        <v>52</v>
      </c>
      <c r="AG1283" s="31"/>
    </row>
    <row r="1284" spans="24:33" x14ac:dyDescent="0.25">
      <c r="X1284" s="34">
        <f t="shared" si="1105"/>
        <v>74</v>
      </c>
      <c r="Y1284" s="28" t="s">
        <v>1858</v>
      </c>
      <c r="Z1284" s="28" t="s">
        <v>35</v>
      </c>
      <c r="AA1284" s="76">
        <v>45644</v>
      </c>
      <c r="AB1284" s="61" t="s">
        <v>1860</v>
      </c>
      <c r="AC1284" s="31" t="s">
        <v>1861</v>
      </c>
      <c r="AD1284" s="65">
        <f t="shared" si="1103"/>
        <v>6</v>
      </c>
      <c r="AE1284" s="78">
        <f t="shared" si="1104"/>
        <v>12</v>
      </c>
      <c r="AF1284" s="28" t="s">
        <v>52</v>
      </c>
      <c r="AG1284" s="31"/>
    </row>
    <row r="1285" spans="24:33" x14ac:dyDescent="0.25">
      <c r="X1285" s="34">
        <f t="shared" si="1105"/>
        <v>75</v>
      </c>
      <c r="Y1285" s="28" t="s">
        <v>2238</v>
      </c>
      <c r="Z1285" s="28" t="s">
        <v>35</v>
      </c>
      <c r="AA1285" s="76">
        <v>45644</v>
      </c>
      <c r="AB1285" s="61" t="s">
        <v>2491</v>
      </c>
      <c r="AC1285" s="31" t="s">
        <v>2240</v>
      </c>
      <c r="AD1285" s="65">
        <f t="shared" si="1103"/>
        <v>22</v>
      </c>
      <c r="AE1285" s="78">
        <f t="shared" si="1104"/>
        <v>44</v>
      </c>
      <c r="AF1285" s="28" t="s">
        <v>52</v>
      </c>
      <c r="AG1285" s="31"/>
    </row>
    <row r="1286" spans="24:33" x14ac:dyDescent="0.25">
      <c r="X1286" s="34">
        <f t="shared" si="1105"/>
        <v>76</v>
      </c>
      <c r="Y1286" s="28" t="s">
        <v>1630</v>
      </c>
      <c r="Z1286" s="28" t="s">
        <v>35</v>
      </c>
      <c r="AA1286" s="76">
        <v>45644</v>
      </c>
      <c r="AB1286" s="61" t="s">
        <v>1632</v>
      </c>
      <c r="AC1286" s="31" t="s">
        <v>1633</v>
      </c>
      <c r="AD1286" s="65">
        <f t="shared" si="1103"/>
        <v>16</v>
      </c>
      <c r="AE1286" s="78">
        <f t="shared" si="1104"/>
        <v>32</v>
      </c>
      <c r="AF1286" s="28" t="s">
        <v>52</v>
      </c>
      <c r="AG1286" s="31"/>
    </row>
    <row r="1287" spans="24:33" x14ac:dyDescent="0.25">
      <c r="X1287" s="34">
        <f t="shared" si="1105"/>
        <v>77</v>
      </c>
      <c r="Y1287" s="28" t="s">
        <v>207</v>
      </c>
      <c r="Z1287" s="28" t="s">
        <v>35</v>
      </c>
      <c r="AA1287" s="76">
        <v>45644</v>
      </c>
      <c r="AB1287" s="61" t="s">
        <v>209</v>
      </c>
      <c r="AC1287" s="31" t="s">
        <v>210</v>
      </c>
      <c r="AD1287" s="65">
        <f t="shared" si="1103"/>
        <v>99</v>
      </c>
      <c r="AE1287" s="78">
        <f t="shared" si="1104"/>
        <v>198</v>
      </c>
      <c r="AF1287" s="28" t="s">
        <v>52</v>
      </c>
      <c r="AG1287" s="31"/>
    </row>
    <row r="1288" spans="24:33" x14ac:dyDescent="0.25">
      <c r="X1288" s="34">
        <f t="shared" si="1105"/>
        <v>78</v>
      </c>
      <c r="Y1288" s="28" t="s">
        <v>1840</v>
      </c>
      <c r="Z1288" s="28" t="s">
        <v>35</v>
      </c>
      <c r="AA1288" s="76">
        <v>45644</v>
      </c>
      <c r="AB1288" s="61" t="s">
        <v>1842</v>
      </c>
      <c r="AC1288" s="31" t="s">
        <v>1843</v>
      </c>
      <c r="AD1288" s="65">
        <f t="shared" si="1103"/>
        <v>2</v>
      </c>
      <c r="AE1288" s="78">
        <f t="shared" si="1104"/>
        <v>4</v>
      </c>
      <c r="AF1288" s="28" t="s">
        <v>52</v>
      </c>
      <c r="AG1288" s="31"/>
    </row>
    <row r="1289" spans="24:33" ht="30" x14ac:dyDescent="0.25">
      <c r="X1289" s="34">
        <f t="shared" si="1105"/>
        <v>79</v>
      </c>
      <c r="Y1289" s="3" t="s">
        <v>808</v>
      </c>
      <c r="Z1289" s="3" t="s">
        <v>2568</v>
      </c>
      <c r="AA1289" s="76">
        <v>45644</v>
      </c>
      <c r="AB1289" s="61" t="s">
        <v>809</v>
      </c>
      <c r="AC1289" s="31" t="s">
        <v>810</v>
      </c>
      <c r="AD1289" s="65">
        <f t="shared" si="1103"/>
        <v>4</v>
      </c>
      <c r="AE1289" s="78">
        <f t="shared" si="1104"/>
        <v>8</v>
      </c>
      <c r="AF1289" s="28" t="s">
        <v>52</v>
      </c>
      <c r="AG1289" s="80" t="s">
        <v>2567</v>
      </c>
    </row>
    <row r="1290" spans="24:33" x14ac:dyDescent="0.25">
      <c r="X1290" s="34">
        <f t="shared" si="1105"/>
        <v>80</v>
      </c>
      <c r="Y1290" s="28" t="s">
        <v>690</v>
      </c>
      <c r="Z1290" s="28" t="s">
        <v>35</v>
      </c>
      <c r="AA1290" s="76">
        <v>45644</v>
      </c>
      <c r="AB1290" s="61" t="s">
        <v>692</v>
      </c>
      <c r="AC1290" s="31" t="s">
        <v>693</v>
      </c>
      <c r="AD1290" s="65">
        <f t="shared" si="1103"/>
        <v>4</v>
      </c>
      <c r="AE1290" s="78">
        <f t="shared" si="1104"/>
        <v>8</v>
      </c>
      <c r="AF1290" s="28" t="s">
        <v>52</v>
      </c>
      <c r="AG1290" s="31"/>
    </row>
    <row r="1291" spans="24:33" x14ac:dyDescent="0.25">
      <c r="X1291" s="34">
        <f t="shared" si="1105"/>
        <v>81</v>
      </c>
      <c r="Y1291" s="28" t="s">
        <v>63</v>
      </c>
      <c r="Z1291" s="28" t="s">
        <v>35</v>
      </c>
      <c r="AA1291" s="76">
        <v>45644</v>
      </c>
      <c r="AB1291" s="61" t="s">
        <v>65</v>
      </c>
      <c r="AC1291" s="31" t="s">
        <v>66</v>
      </c>
      <c r="AD1291" s="65">
        <f t="shared" si="1103"/>
        <v>18</v>
      </c>
      <c r="AE1291" s="78">
        <f t="shared" si="1104"/>
        <v>36</v>
      </c>
      <c r="AF1291" s="28" t="s">
        <v>52</v>
      </c>
      <c r="AG1291" s="31"/>
    </row>
    <row r="1292" spans="24:33" x14ac:dyDescent="0.25">
      <c r="X1292" s="34">
        <f t="shared" si="1105"/>
        <v>82</v>
      </c>
      <c r="Y1292" s="28" t="s">
        <v>203</v>
      </c>
      <c r="Z1292" s="28" t="s">
        <v>35</v>
      </c>
      <c r="AA1292" s="76">
        <v>45644</v>
      </c>
      <c r="AB1292" s="61" t="s">
        <v>205</v>
      </c>
      <c r="AC1292" s="31" t="s">
        <v>206</v>
      </c>
      <c r="AD1292" s="65">
        <f t="shared" si="1103"/>
        <v>6</v>
      </c>
      <c r="AE1292" s="78">
        <f t="shared" si="1104"/>
        <v>12</v>
      </c>
      <c r="AF1292" s="28" t="s">
        <v>52</v>
      </c>
      <c r="AG1292" s="31"/>
    </row>
    <row r="1293" spans="24:33" x14ac:dyDescent="0.25">
      <c r="X1293" s="34">
        <f t="shared" si="1105"/>
        <v>83</v>
      </c>
      <c r="Y1293" s="61" t="s">
        <v>468</v>
      </c>
      <c r="Z1293" s="77" t="s">
        <v>340</v>
      </c>
      <c r="AA1293" s="76">
        <v>45636</v>
      </c>
      <c r="AB1293" s="61" t="s">
        <v>470</v>
      </c>
      <c r="AC1293" s="31" t="s">
        <v>471</v>
      </c>
      <c r="AD1293" s="65">
        <f t="shared" si="1103"/>
        <v>2</v>
      </c>
      <c r="AE1293" s="78">
        <f t="shared" si="1104"/>
        <v>4</v>
      </c>
      <c r="AF1293" s="28" t="s">
        <v>52</v>
      </c>
      <c r="AG1293" s="31"/>
    </row>
    <row r="1294" spans="24:33" ht="30" x14ac:dyDescent="0.25">
      <c r="X1294" s="34">
        <f t="shared" si="1105"/>
        <v>84</v>
      </c>
      <c r="Y1294" s="3" t="s">
        <v>1033</v>
      </c>
      <c r="Z1294" s="3" t="s">
        <v>2568</v>
      </c>
      <c r="AA1294" s="76">
        <v>45644</v>
      </c>
      <c r="AB1294" s="61" t="s">
        <v>1035</v>
      </c>
      <c r="AC1294" s="31" t="s">
        <v>1036</v>
      </c>
      <c r="AD1294" s="65">
        <f t="shared" si="1103"/>
        <v>4</v>
      </c>
      <c r="AE1294" s="78">
        <f t="shared" si="1104"/>
        <v>8</v>
      </c>
      <c r="AF1294" s="28" t="s">
        <v>52</v>
      </c>
      <c r="AG1294" s="80" t="s">
        <v>2567</v>
      </c>
    </row>
    <row r="1295" spans="24:33" ht="30" x14ac:dyDescent="0.25">
      <c r="X1295" s="34">
        <f t="shared" si="1105"/>
        <v>85</v>
      </c>
      <c r="Y1295" s="3" t="s">
        <v>894</v>
      </c>
      <c r="Z1295" s="3" t="s">
        <v>2568</v>
      </c>
      <c r="AA1295" s="76">
        <v>45644</v>
      </c>
      <c r="AB1295" s="61" t="s">
        <v>895</v>
      </c>
      <c r="AC1295" s="31" t="s">
        <v>896</v>
      </c>
      <c r="AD1295" s="65">
        <f t="shared" si="1103"/>
        <v>4</v>
      </c>
      <c r="AE1295" s="78">
        <f t="shared" si="1104"/>
        <v>8</v>
      </c>
      <c r="AF1295" s="28" t="s">
        <v>52</v>
      </c>
      <c r="AG1295" s="80" t="s">
        <v>2567</v>
      </c>
    </row>
    <row r="1296" spans="24:33" ht="30" x14ac:dyDescent="0.25">
      <c r="X1296" s="34">
        <f t="shared" si="1105"/>
        <v>86</v>
      </c>
      <c r="Y1296" s="3" t="s">
        <v>1667</v>
      </c>
      <c r="Z1296" s="3" t="s">
        <v>2568</v>
      </c>
      <c r="AA1296" s="76">
        <v>45644</v>
      </c>
      <c r="AB1296" s="61" t="s">
        <v>1959</v>
      </c>
      <c r="AC1296" s="31" t="s">
        <v>1669</v>
      </c>
      <c r="AD1296" s="65">
        <f t="shared" si="1103"/>
        <v>49</v>
      </c>
      <c r="AE1296" s="78">
        <f t="shared" si="1104"/>
        <v>98</v>
      </c>
      <c r="AF1296" s="28" t="s">
        <v>52</v>
      </c>
      <c r="AG1296" s="80" t="s">
        <v>2567</v>
      </c>
    </row>
    <row r="1297" spans="24:33" ht="30" x14ac:dyDescent="0.25">
      <c r="X1297" s="34">
        <f t="shared" si="1105"/>
        <v>87</v>
      </c>
      <c r="Y1297" s="3" t="s">
        <v>904</v>
      </c>
      <c r="Z1297" s="3" t="s">
        <v>2568</v>
      </c>
      <c r="AA1297" s="76">
        <v>45644</v>
      </c>
      <c r="AB1297" s="61" t="s">
        <v>905</v>
      </c>
      <c r="AC1297" s="31" t="s">
        <v>906</v>
      </c>
      <c r="AD1297" s="65">
        <f t="shared" si="1103"/>
        <v>15</v>
      </c>
      <c r="AE1297" s="78">
        <f t="shared" si="1104"/>
        <v>30</v>
      </c>
      <c r="AF1297" s="28" t="s">
        <v>52</v>
      </c>
      <c r="AG1297" s="80" t="s">
        <v>2567</v>
      </c>
    </row>
    <row r="1298" spans="24:33" x14ac:dyDescent="0.25">
      <c r="X1298" s="34">
        <f t="shared" si="1105"/>
        <v>88</v>
      </c>
      <c r="Y1298" s="28" t="s">
        <v>1047</v>
      </c>
      <c r="Z1298" s="28" t="s">
        <v>35</v>
      </c>
      <c r="AA1298" s="76">
        <v>45644</v>
      </c>
      <c r="AB1298" s="61" t="s">
        <v>1049</v>
      </c>
      <c r="AC1298" s="31" t="s">
        <v>1050</v>
      </c>
      <c r="AD1298" s="65">
        <f t="shared" si="1103"/>
        <v>7</v>
      </c>
      <c r="AE1298" s="78">
        <f t="shared" si="1104"/>
        <v>14</v>
      </c>
      <c r="AF1298" s="28" t="s">
        <v>52</v>
      </c>
      <c r="AG1298" s="31"/>
    </row>
    <row r="1299" spans="24:33" x14ac:dyDescent="0.25">
      <c r="X1299" s="34">
        <f t="shared" si="1105"/>
        <v>89</v>
      </c>
      <c r="Y1299" s="28" t="s">
        <v>1478</v>
      </c>
      <c r="Z1299" s="28" t="s">
        <v>35</v>
      </c>
      <c r="AA1299" s="76">
        <v>45644</v>
      </c>
      <c r="AB1299" s="61" t="s">
        <v>1480</v>
      </c>
      <c r="AC1299" s="31" t="s">
        <v>1481</v>
      </c>
      <c r="AD1299" s="65">
        <f t="shared" si="1103"/>
        <v>17</v>
      </c>
      <c r="AE1299" s="78">
        <f t="shared" si="1104"/>
        <v>34</v>
      </c>
      <c r="AF1299" s="28" t="s">
        <v>52</v>
      </c>
      <c r="AG1299" s="31"/>
    </row>
    <row r="1300" spans="24:33" x14ac:dyDescent="0.25">
      <c r="X1300" s="34">
        <f t="shared" si="1105"/>
        <v>90</v>
      </c>
      <c r="Y1300" s="28" t="s">
        <v>1974</v>
      </c>
      <c r="Z1300" s="28" t="s">
        <v>35</v>
      </c>
      <c r="AA1300" s="76">
        <v>45644</v>
      </c>
      <c r="AB1300" s="61" t="s">
        <v>1994</v>
      </c>
      <c r="AC1300" s="31" t="s">
        <v>1976</v>
      </c>
      <c r="AD1300" s="65">
        <f t="shared" si="1103"/>
        <v>24</v>
      </c>
      <c r="AE1300" s="78">
        <f t="shared" si="1104"/>
        <v>48</v>
      </c>
      <c r="AF1300" s="28" t="s">
        <v>52</v>
      </c>
      <c r="AG1300" s="31"/>
    </row>
    <row r="1301" spans="24:33" ht="30" x14ac:dyDescent="0.25">
      <c r="X1301" s="34">
        <f t="shared" si="1105"/>
        <v>91</v>
      </c>
      <c r="Y1301" s="3" t="s">
        <v>1257</v>
      </c>
      <c r="Z1301" s="3" t="s">
        <v>2568</v>
      </c>
      <c r="AA1301" s="76">
        <v>45644</v>
      </c>
      <c r="AB1301" s="61" t="s">
        <v>1258</v>
      </c>
      <c r="AC1301" s="31" t="s">
        <v>1259</v>
      </c>
      <c r="AD1301" s="65">
        <f t="shared" si="1103"/>
        <v>12</v>
      </c>
      <c r="AE1301" s="78">
        <f t="shared" si="1104"/>
        <v>24</v>
      </c>
      <c r="AF1301" s="28" t="s">
        <v>52</v>
      </c>
      <c r="AG1301" s="80" t="s">
        <v>2567</v>
      </c>
    </row>
    <row r="1302" spans="24:33" x14ac:dyDescent="0.25">
      <c r="X1302" s="34">
        <f t="shared" si="1105"/>
        <v>92</v>
      </c>
      <c r="Y1302" s="28" t="s">
        <v>1096</v>
      </c>
      <c r="Z1302" s="28" t="s">
        <v>35</v>
      </c>
      <c r="AA1302" s="76">
        <v>45644</v>
      </c>
      <c r="AB1302" s="61" t="s">
        <v>1098</v>
      </c>
      <c r="AC1302" s="31" t="s">
        <v>1099</v>
      </c>
      <c r="AD1302" s="65">
        <f t="shared" si="1103"/>
        <v>3</v>
      </c>
      <c r="AE1302" s="78">
        <f t="shared" si="1104"/>
        <v>6</v>
      </c>
      <c r="AF1302" s="28" t="s">
        <v>52</v>
      </c>
      <c r="AG1302" s="31"/>
    </row>
    <row r="1303" spans="24:33" x14ac:dyDescent="0.25">
      <c r="X1303" s="34">
        <f t="shared" si="1105"/>
        <v>93</v>
      </c>
      <c r="Y1303" s="28" t="s">
        <v>1283</v>
      </c>
      <c r="Z1303" s="28" t="s">
        <v>35</v>
      </c>
      <c r="AA1303" s="76">
        <v>45644</v>
      </c>
      <c r="AB1303" s="61" t="s">
        <v>1285</v>
      </c>
      <c r="AC1303" s="31" t="s">
        <v>1286</v>
      </c>
      <c r="AD1303" s="65">
        <f t="shared" si="1103"/>
        <v>6</v>
      </c>
      <c r="AE1303" s="78">
        <f t="shared" si="1104"/>
        <v>12</v>
      </c>
      <c r="AF1303" s="28" t="s">
        <v>52</v>
      </c>
      <c r="AG1303" s="31"/>
    </row>
    <row r="1304" spans="24:33" x14ac:dyDescent="0.25">
      <c r="X1304" s="34">
        <f t="shared" si="1105"/>
        <v>94</v>
      </c>
      <c r="Y1304" s="28" t="s">
        <v>1330</v>
      </c>
      <c r="Z1304" s="28" t="s">
        <v>35</v>
      </c>
      <c r="AA1304" s="76">
        <v>45644</v>
      </c>
      <c r="AB1304" s="61" t="s">
        <v>1332</v>
      </c>
      <c r="AC1304" s="31" t="s">
        <v>1333</v>
      </c>
      <c r="AD1304" s="65">
        <f t="shared" si="1103"/>
        <v>4</v>
      </c>
      <c r="AE1304" s="78">
        <f t="shared" si="1104"/>
        <v>8</v>
      </c>
      <c r="AF1304" s="28" t="s">
        <v>52</v>
      </c>
      <c r="AG1304" s="31"/>
    </row>
    <row r="1305" spans="24:33" x14ac:dyDescent="0.25">
      <c r="X1305" s="34">
        <f t="shared" si="1105"/>
        <v>95</v>
      </c>
      <c r="Y1305" s="28" t="s">
        <v>2017</v>
      </c>
      <c r="Z1305" s="28" t="s">
        <v>35</v>
      </c>
      <c r="AA1305" s="76">
        <v>45644</v>
      </c>
      <c r="AB1305" s="61" t="s">
        <v>2019</v>
      </c>
      <c r="AC1305" s="31" t="s">
        <v>2020</v>
      </c>
      <c r="AD1305" s="65">
        <f t="shared" si="1103"/>
        <v>28</v>
      </c>
      <c r="AE1305" s="78">
        <f t="shared" si="1104"/>
        <v>56</v>
      </c>
      <c r="AF1305" s="28" t="s">
        <v>52</v>
      </c>
      <c r="AG1305" s="31"/>
    </row>
    <row r="1306" spans="24:33" x14ac:dyDescent="0.25">
      <c r="X1306" s="34">
        <f t="shared" si="1105"/>
        <v>96</v>
      </c>
      <c r="Y1306" s="61" t="s">
        <v>987</v>
      </c>
      <c r="Z1306" s="77" t="s">
        <v>340</v>
      </c>
      <c r="AA1306" s="76">
        <v>45636</v>
      </c>
      <c r="AB1306" s="61" t="s">
        <v>2479</v>
      </c>
      <c r="AC1306" s="31" t="s">
        <v>989</v>
      </c>
      <c r="AD1306" s="65">
        <f t="shared" si="1103"/>
        <v>4</v>
      </c>
      <c r="AE1306" s="78">
        <f t="shared" si="1104"/>
        <v>8</v>
      </c>
      <c r="AF1306" s="28" t="s">
        <v>52</v>
      </c>
      <c r="AG1306" s="31"/>
    </row>
    <row r="1307" spans="24:33" x14ac:dyDescent="0.25">
      <c r="X1307" s="34">
        <f t="shared" si="1105"/>
        <v>97</v>
      </c>
      <c r="Y1307" s="28" t="s">
        <v>524</v>
      </c>
      <c r="Z1307" s="28" t="s">
        <v>35</v>
      </c>
      <c r="AA1307" s="76">
        <v>45644</v>
      </c>
      <c r="AB1307" s="61" t="s">
        <v>526</v>
      </c>
      <c r="AC1307" s="31" t="s">
        <v>527</v>
      </c>
      <c r="AD1307" s="65">
        <f t="shared" si="1103"/>
        <v>3</v>
      </c>
      <c r="AE1307" s="78">
        <f t="shared" si="1104"/>
        <v>6</v>
      </c>
      <c r="AF1307" s="28" t="s">
        <v>52</v>
      </c>
      <c r="AG1307" s="31"/>
    </row>
    <row r="1308" spans="24:33" x14ac:dyDescent="0.25">
      <c r="X1308" s="34">
        <f t="shared" si="1105"/>
        <v>98</v>
      </c>
      <c r="Y1308" s="28" t="s">
        <v>1051</v>
      </c>
      <c r="Z1308" s="28" t="s">
        <v>35</v>
      </c>
      <c r="AA1308" s="76">
        <v>45644</v>
      </c>
      <c r="AB1308" s="61" t="s">
        <v>1053</v>
      </c>
      <c r="AC1308" s="31" t="s">
        <v>1054</v>
      </c>
      <c r="AD1308" s="65">
        <f t="shared" si="1103"/>
        <v>2</v>
      </c>
      <c r="AE1308" s="78">
        <f t="shared" si="1104"/>
        <v>4</v>
      </c>
      <c r="AF1308" s="28" t="s">
        <v>52</v>
      </c>
      <c r="AG1308" s="31"/>
    </row>
    <row r="1309" spans="24:33" x14ac:dyDescent="0.25">
      <c r="X1309" s="34">
        <f t="shared" si="1105"/>
        <v>99</v>
      </c>
      <c r="Y1309" s="28" t="s">
        <v>1296</v>
      </c>
      <c r="Z1309" s="28" t="s">
        <v>35</v>
      </c>
      <c r="AA1309" s="76">
        <v>45644</v>
      </c>
      <c r="AB1309" s="61" t="s">
        <v>1298</v>
      </c>
      <c r="AC1309" s="31" t="s">
        <v>1299</v>
      </c>
      <c r="AD1309" s="65">
        <f t="shared" si="1103"/>
        <v>4</v>
      </c>
      <c r="AE1309" s="78">
        <f t="shared" si="1104"/>
        <v>8</v>
      </c>
      <c r="AF1309" s="28" t="s">
        <v>52</v>
      </c>
      <c r="AG1309" s="31"/>
    </row>
    <row r="1310" spans="24:33" x14ac:dyDescent="0.25">
      <c r="X1310" s="34">
        <f t="shared" si="1105"/>
        <v>100</v>
      </c>
      <c r="Y1310" s="28" t="s">
        <v>1590</v>
      </c>
      <c r="Z1310" s="28" t="s">
        <v>35</v>
      </c>
      <c r="AA1310" s="76">
        <v>45644</v>
      </c>
      <c r="AB1310" s="61" t="s">
        <v>1592</v>
      </c>
      <c r="AC1310" s="31" t="s">
        <v>1593</v>
      </c>
      <c r="AD1310" s="65">
        <f t="shared" si="1103"/>
        <v>6</v>
      </c>
      <c r="AE1310" s="78">
        <f t="shared" si="1104"/>
        <v>12</v>
      </c>
      <c r="AF1310" s="28" t="s">
        <v>52</v>
      </c>
      <c r="AG1310" s="31"/>
    </row>
    <row r="1311" spans="24:33" x14ac:dyDescent="0.25">
      <c r="X1311" s="34">
        <f t="shared" si="1105"/>
        <v>101</v>
      </c>
      <c r="Y1311" s="28" t="s">
        <v>1490</v>
      </c>
      <c r="Z1311" s="28" t="s">
        <v>35</v>
      </c>
      <c r="AA1311" s="76">
        <v>45644</v>
      </c>
      <c r="AB1311" s="61" t="s">
        <v>1492</v>
      </c>
      <c r="AC1311" s="31" t="s">
        <v>1493</v>
      </c>
      <c r="AD1311" s="65">
        <f t="shared" si="1103"/>
        <v>10</v>
      </c>
      <c r="AE1311" s="78">
        <f t="shared" si="1104"/>
        <v>20</v>
      </c>
      <c r="AF1311" s="28" t="s">
        <v>52</v>
      </c>
      <c r="AG1311" s="31"/>
    </row>
    <row r="1312" spans="24:33" x14ac:dyDescent="0.25">
      <c r="X1312" s="34">
        <f t="shared" si="1105"/>
        <v>102</v>
      </c>
      <c r="Y1312" s="28" t="s">
        <v>2021</v>
      </c>
      <c r="Z1312" s="28" t="s">
        <v>35</v>
      </c>
      <c r="AA1312" s="76">
        <v>45644</v>
      </c>
      <c r="AB1312" s="61" t="s">
        <v>2023</v>
      </c>
      <c r="AC1312" s="31" t="s">
        <v>2024</v>
      </c>
      <c r="AD1312" s="65">
        <f t="shared" si="1103"/>
        <v>14</v>
      </c>
      <c r="AE1312" s="78">
        <f t="shared" si="1104"/>
        <v>28</v>
      </c>
      <c r="AF1312" s="28" t="s">
        <v>52</v>
      </c>
      <c r="AG1312" s="31"/>
    </row>
    <row r="1313" spans="24:33" x14ac:dyDescent="0.25">
      <c r="X1313" s="34">
        <f t="shared" si="1105"/>
        <v>103</v>
      </c>
      <c r="Y1313" s="36" t="s">
        <v>1907</v>
      </c>
      <c r="Z1313" s="28" t="s">
        <v>35</v>
      </c>
      <c r="AA1313" s="76">
        <v>45644</v>
      </c>
      <c r="AB1313" s="61" t="s">
        <v>1908</v>
      </c>
      <c r="AC1313" s="31" t="s">
        <v>1909</v>
      </c>
      <c r="AD1313" s="65">
        <f t="shared" si="1103"/>
        <v>16</v>
      </c>
      <c r="AE1313" s="78">
        <f t="shared" si="1104"/>
        <v>32</v>
      </c>
      <c r="AF1313" s="28" t="s">
        <v>52</v>
      </c>
      <c r="AG1313" s="31"/>
    </row>
    <row r="1314" spans="24:33" x14ac:dyDescent="0.25">
      <c r="X1314" s="34">
        <f t="shared" si="1105"/>
        <v>104</v>
      </c>
      <c r="Y1314" s="36" t="s">
        <v>1903</v>
      </c>
      <c r="Z1314" s="28" t="s">
        <v>35</v>
      </c>
      <c r="AA1314" s="76">
        <v>45644</v>
      </c>
      <c r="AB1314" s="61" t="s">
        <v>1905</v>
      </c>
      <c r="AC1314" s="31" t="s">
        <v>1906</v>
      </c>
      <c r="AD1314" s="65">
        <f t="shared" si="1103"/>
        <v>16</v>
      </c>
      <c r="AE1314" s="78">
        <f t="shared" si="1104"/>
        <v>32</v>
      </c>
      <c r="AF1314" s="28" t="s">
        <v>52</v>
      </c>
      <c r="AG1314" s="31"/>
    </row>
    <row r="1315" spans="24:33" x14ac:dyDescent="0.25">
      <c r="X1315" s="34">
        <f t="shared" si="1105"/>
        <v>105</v>
      </c>
      <c r="Y1315" s="28" t="s">
        <v>520</v>
      </c>
      <c r="Z1315" s="28" t="s">
        <v>35</v>
      </c>
      <c r="AA1315" s="76">
        <v>45644</v>
      </c>
      <c r="AB1315" s="61" t="s">
        <v>522</v>
      </c>
      <c r="AC1315" s="31" t="s">
        <v>523</v>
      </c>
      <c r="AD1315" s="65">
        <f t="shared" si="1103"/>
        <v>3</v>
      </c>
      <c r="AE1315" s="78">
        <f t="shared" si="1104"/>
        <v>6</v>
      </c>
      <c r="AF1315" s="28" t="s">
        <v>52</v>
      </c>
      <c r="AG1315" s="31"/>
    </row>
    <row r="1316" spans="24:33" x14ac:dyDescent="0.25">
      <c r="X1316" s="34">
        <f t="shared" si="1105"/>
        <v>106</v>
      </c>
      <c r="Y1316" s="61" t="s">
        <v>572</v>
      </c>
      <c r="Z1316" s="77" t="s">
        <v>340</v>
      </c>
      <c r="AA1316" s="76">
        <v>45636</v>
      </c>
      <c r="AB1316" s="61" t="s">
        <v>574</v>
      </c>
      <c r="AC1316" s="31" t="s">
        <v>575</v>
      </c>
      <c r="AD1316" s="65">
        <f t="shared" si="1103"/>
        <v>6</v>
      </c>
      <c r="AE1316" s="78">
        <f t="shared" si="1104"/>
        <v>12</v>
      </c>
      <c r="AF1316" s="28" t="s">
        <v>52</v>
      </c>
      <c r="AG1316" s="31"/>
    </row>
    <row r="1317" spans="24:33" x14ac:dyDescent="0.25">
      <c r="X1317" s="34">
        <f t="shared" si="1105"/>
        <v>107</v>
      </c>
      <c r="Y1317" s="61" t="s">
        <v>576</v>
      </c>
      <c r="Z1317" s="77" t="s">
        <v>340</v>
      </c>
      <c r="AA1317" s="76">
        <v>45636</v>
      </c>
      <c r="AB1317" s="61" t="s">
        <v>578</v>
      </c>
      <c r="AC1317" s="31" t="s">
        <v>579</v>
      </c>
      <c r="AD1317" s="65">
        <f t="shared" si="1103"/>
        <v>2</v>
      </c>
      <c r="AE1317" s="78">
        <f t="shared" si="1104"/>
        <v>4</v>
      </c>
      <c r="AF1317" s="28" t="s">
        <v>52</v>
      </c>
      <c r="AG1317" s="31"/>
    </row>
    <row r="1318" spans="24:33" x14ac:dyDescent="0.25">
      <c r="X1318" s="34">
        <f t="shared" si="1105"/>
        <v>108</v>
      </c>
      <c r="Y1318" s="61" t="s">
        <v>870</v>
      </c>
      <c r="Z1318" s="77" t="s">
        <v>340</v>
      </c>
      <c r="AA1318" s="76">
        <v>45636</v>
      </c>
      <c r="AB1318" s="61" t="s">
        <v>872</v>
      </c>
      <c r="AC1318" s="31" t="s">
        <v>873</v>
      </c>
      <c r="AD1318" s="65">
        <f t="shared" si="1103"/>
        <v>2</v>
      </c>
      <c r="AE1318" s="78">
        <f t="shared" si="1104"/>
        <v>4</v>
      </c>
      <c r="AF1318" s="28" t="s">
        <v>52</v>
      </c>
      <c r="AG1318" s="31"/>
    </row>
    <row r="1319" spans="24:33" x14ac:dyDescent="0.25">
      <c r="X1319" s="34">
        <f t="shared" si="1105"/>
        <v>109</v>
      </c>
      <c r="Y1319" s="61" t="s">
        <v>793</v>
      </c>
      <c r="Z1319" s="77" t="s">
        <v>340</v>
      </c>
      <c r="AA1319" s="76">
        <v>45636</v>
      </c>
      <c r="AB1319" s="61" t="s">
        <v>795</v>
      </c>
      <c r="AC1319" s="31" t="s">
        <v>796</v>
      </c>
      <c r="AD1319" s="65">
        <f t="shared" si="1103"/>
        <v>7</v>
      </c>
      <c r="AE1319" s="78">
        <f t="shared" si="1104"/>
        <v>14</v>
      </c>
      <c r="AF1319" s="28" t="s">
        <v>52</v>
      </c>
      <c r="AG1319" s="31"/>
    </row>
    <row r="1320" spans="24:33" x14ac:dyDescent="0.25">
      <c r="X1320" s="34">
        <f t="shared" si="1105"/>
        <v>110</v>
      </c>
      <c r="Y1320" s="61" t="s">
        <v>1365</v>
      </c>
      <c r="Z1320" s="77" t="s">
        <v>340</v>
      </c>
      <c r="AA1320" s="76">
        <v>45636</v>
      </c>
      <c r="AB1320" s="61" t="s">
        <v>1367</v>
      </c>
      <c r="AC1320" s="31" t="s">
        <v>1368</v>
      </c>
      <c r="AD1320" s="65">
        <f t="shared" si="1103"/>
        <v>1</v>
      </c>
      <c r="AE1320" s="78">
        <f t="shared" si="1104"/>
        <v>2</v>
      </c>
      <c r="AF1320" s="28" t="s">
        <v>52</v>
      </c>
      <c r="AG1320" s="31"/>
    </row>
    <row r="1321" spans="24:33" x14ac:dyDescent="0.25">
      <c r="X1321" s="34">
        <f t="shared" si="1105"/>
        <v>111</v>
      </c>
      <c r="Y1321" s="61" t="s">
        <v>694</v>
      </c>
      <c r="Z1321" s="77" t="s">
        <v>340</v>
      </c>
      <c r="AA1321" s="76">
        <v>45636</v>
      </c>
      <c r="AB1321" s="61" t="s">
        <v>696</v>
      </c>
      <c r="AC1321" s="31" t="s">
        <v>697</v>
      </c>
      <c r="AD1321" s="65">
        <f t="shared" si="1103"/>
        <v>2</v>
      </c>
      <c r="AE1321" s="78">
        <f t="shared" si="1104"/>
        <v>4</v>
      </c>
      <c r="AF1321" s="28" t="s">
        <v>52</v>
      </c>
      <c r="AG1321" s="31"/>
    </row>
    <row r="1322" spans="24:33" x14ac:dyDescent="0.25">
      <c r="X1322" s="34">
        <f t="shared" si="1105"/>
        <v>112</v>
      </c>
      <c r="Y1322" s="61" t="s">
        <v>837</v>
      </c>
      <c r="Z1322" s="77" t="s">
        <v>340</v>
      </c>
      <c r="AA1322" s="76">
        <v>45636</v>
      </c>
      <c r="AB1322" s="61" t="s">
        <v>839</v>
      </c>
      <c r="AC1322" s="31" t="s">
        <v>840</v>
      </c>
      <c r="AD1322" s="65">
        <f t="shared" si="1103"/>
        <v>4</v>
      </c>
      <c r="AE1322" s="78">
        <f t="shared" si="1104"/>
        <v>8</v>
      </c>
      <c r="AF1322" s="28" t="s">
        <v>52</v>
      </c>
      <c r="AG1322" s="31"/>
    </row>
    <row r="1323" spans="24:33" x14ac:dyDescent="0.25">
      <c r="X1323" s="34">
        <f t="shared" si="1105"/>
        <v>113</v>
      </c>
      <c r="Y1323" s="28" t="s">
        <v>653</v>
      </c>
      <c r="Z1323" s="28" t="s">
        <v>35</v>
      </c>
      <c r="AA1323" s="76">
        <v>45644</v>
      </c>
      <c r="AB1323" s="61" t="s">
        <v>655</v>
      </c>
      <c r="AC1323" s="31" t="s">
        <v>656</v>
      </c>
      <c r="AD1323" s="65">
        <f t="shared" si="1103"/>
        <v>1</v>
      </c>
      <c r="AE1323" s="78">
        <f t="shared" si="1104"/>
        <v>2</v>
      </c>
      <c r="AF1323" s="28" t="s">
        <v>52</v>
      </c>
      <c r="AG1323" s="31"/>
    </row>
    <row r="1324" spans="24:33" ht="30" x14ac:dyDescent="0.25">
      <c r="X1324" s="34">
        <f t="shared" si="1105"/>
        <v>114</v>
      </c>
      <c r="Y1324" s="3" t="s">
        <v>680</v>
      </c>
      <c r="Z1324" s="3" t="s">
        <v>2568</v>
      </c>
      <c r="AA1324" s="76">
        <v>45644</v>
      </c>
      <c r="AB1324" s="61" t="s">
        <v>2478</v>
      </c>
      <c r="AC1324" s="31" t="s">
        <v>682</v>
      </c>
      <c r="AD1324" s="65">
        <f t="shared" si="1103"/>
        <v>3</v>
      </c>
      <c r="AE1324" s="78">
        <f t="shared" si="1104"/>
        <v>6</v>
      </c>
      <c r="AF1324" s="28" t="s">
        <v>52</v>
      </c>
      <c r="AG1324" s="80" t="s">
        <v>2567</v>
      </c>
    </row>
    <row r="1325" spans="24:33" x14ac:dyDescent="0.25">
      <c r="X1325" s="34">
        <f t="shared" si="1105"/>
        <v>115</v>
      </c>
      <c r="Y1325" s="28" t="s">
        <v>410</v>
      </c>
      <c r="Z1325" s="28" t="s">
        <v>35</v>
      </c>
      <c r="AA1325" s="76">
        <v>45644</v>
      </c>
      <c r="AB1325" s="61" t="s">
        <v>412</v>
      </c>
      <c r="AC1325" s="31" t="s">
        <v>413</v>
      </c>
      <c r="AD1325" s="65">
        <f t="shared" si="1103"/>
        <v>2</v>
      </c>
      <c r="AE1325" s="78">
        <f t="shared" si="1104"/>
        <v>4</v>
      </c>
      <c r="AF1325" s="28" t="s">
        <v>52</v>
      </c>
      <c r="AG1325" s="31"/>
    </row>
    <row r="1326" spans="24:33" x14ac:dyDescent="0.25">
      <c r="X1326" s="34">
        <f t="shared" si="1105"/>
        <v>116</v>
      </c>
      <c r="Y1326" s="28" t="s">
        <v>1900</v>
      </c>
      <c r="Z1326" s="28" t="s">
        <v>35</v>
      </c>
      <c r="AA1326" s="76">
        <v>45644</v>
      </c>
      <c r="AB1326" s="61" t="s">
        <v>1896</v>
      </c>
      <c r="AC1326" s="31" t="s">
        <v>1898</v>
      </c>
      <c r="AD1326" s="65">
        <f t="shared" si="1103"/>
        <v>8</v>
      </c>
      <c r="AE1326" s="78">
        <f t="shared" si="1104"/>
        <v>16</v>
      </c>
      <c r="AF1326" s="28" t="s">
        <v>52</v>
      </c>
      <c r="AG1326" s="31"/>
    </row>
    <row r="1327" spans="24:33" ht="30" x14ac:dyDescent="0.25">
      <c r="X1327" s="34">
        <f t="shared" si="1105"/>
        <v>117</v>
      </c>
      <c r="Y1327" s="3" t="s">
        <v>1362</v>
      </c>
      <c r="Z1327" s="3" t="s">
        <v>2568</v>
      </c>
      <c r="AA1327" s="76">
        <v>45644</v>
      </c>
      <c r="AB1327" s="61" t="s">
        <v>1363</v>
      </c>
      <c r="AC1327" s="31" t="s">
        <v>1364</v>
      </c>
      <c r="AD1327" s="65">
        <f t="shared" si="1103"/>
        <v>4</v>
      </c>
      <c r="AE1327" s="78">
        <f t="shared" si="1104"/>
        <v>8</v>
      </c>
      <c r="AF1327" s="28" t="s">
        <v>52</v>
      </c>
      <c r="AG1327" s="80" t="s">
        <v>2567</v>
      </c>
    </row>
    <row r="1328" spans="24:33" x14ac:dyDescent="0.25">
      <c r="X1328" s="34">
        <f t="shared" si="1105"/>
        <v>118</v>
      </c>
      <c r="Y1328" s="28" t="s">
        <v>144</v>
      </c>
      <c r="Z1328" s="28" t="s">
        <v>35</v>
      </c>
      <c r="AA1328" s="76">
        <v>45644</v>
      </c>
      <c r="AB1328" s="61" t="s">
        <v>146</v>
      </c>
      <c r="AC1328" s="31" t="s">
        <v>147</v>
      </c>
      <c r="AD1328" s="65">
        <f t="shared" si="1103"/>
        <v>4</v>
      </c>
      <c r="AE1328" s="78">
        <f t="shared" si="1104"/>
        <v>8</v>
      </c>
      <c r="AF1328" s="28" t="s">
        <v>52</v>
      </c>
      <c r="AG1328" s="31"/>
    </row>
    <row r="1329" spans="24:33" x14ac:dyDescent="0.25">
      <c r="X1329" s="34">
        <f t="shared" si="1105"/>
        <v>119</v>
      </c>
      <c r="Y1329" s="28" t="s">
        <v>1100</v>
      </c>
      <c r="Z1329" s="28" t="s">
        <v>35</v>
      </c>
      <c r="AA1329" s="76">
        <v>45644</v>
      </c>
      <c r="AB1329" s="61" t="s">
        <v>1102</v>
      </c>
      <c r="AC1329" s="31" t="s">
        <v>1103</v>
      </c>
      <c r="AD1329" s="65">
        <f t="shared" si="1103"/>
        <v>9</v>
      </c>
      <c r="AE1329" s="78">
        <f t="shared" si="1104"/>
        <v>18</v>
      </c>
      <c r="AF1329" s="28" t="s">
        <v>52</v>
      </c>
      <c r="AG1329" s="31"/>
    </row>
    <row r="1330" spans="24:33" x14ac:dyDescent="0.25">
      <c r="X1330" s="34">
        <f t="shared" si="1105"/>
        <v>120</v>
      </c>
      <c r="Y1330" s="28" t="s">
        <v>1037</v>
      </c>
      <c r="Z1330" s="28" t="s">
        <v>35</v>
      </c>
      <c r="AA1330" s="76">
        <v>45644</v>
      </c>
      <c r="AB1330" s="61" t="s">
        <v>1039</v>
      </c>
      <c r="AC1330" s="5" t="s">
        <v>2584</v>
      </c>
      <c r="AD1330" s="65">
        <f t="shared" si="1103"/>
        <v>3</v>
      </c>
      <c r="AE1330" s="78">
        <f t="shared" si="1104"/>
        <v>6</v>
      </c>
      <c r="AF1330" s="28" t="s">
        <v>52</v>
      </c>
      <c r="AG1330" s="31"/>
    </row>
    <row r="1331" spans="24:33" x14ac:dyDescent="0.25">
      <c r="X1331" s="34">
        <f t="shared" si="1105"/>
        <v>121</v>
      </c>
      <c r="Y1331" s="61" t="s">
        <v>369</v>
      </c>
      <c r="Z1331" s="77" t="s">
        <v>340</v>
      </c>
      <c r="AA1331" s="76">
        <v>45636</v>
      </c>
      <c r="AB1331" s="61" t="s">
        <v>371</v>
      </c>
      <c r="AC1331" s="31" t="s">
        <v>372</v>
      </c>
      <c r="AD1331" s="65">
        <f t="shared" si="1103"/>
        <v>9</v>
      </c>
      <c r="AE1331" s="78">
        <f t="shared" si="1104"/>
        <v>18</v>
      </c>
      <c r="AF1331" s="28" t="s">
        <v>52</v>
      </c>
      <c r="AG1331" s="31"/>
    </row>
    <row r="1332" spans="24:33" x14ac:dyDescent="0.25">
      <c r="X1332" s="34">
        <f t="shared" si="1105"/>
        <v>122</v>
      </c>
      <c r="Y1332" s="61" t="s">
        <v>591</v>
      </c>
      <c r="Z1332" s="77" t="s">
        <v>340</v>
      </c>
      <c r="AA1332" s="76">
        <v>45636</v>
      </c>
      <c r="AB1332" s="61" t="s">
        <v>593</v>
      </c>
      <c r="AC1332" s="31" t="s">
        <v>594</v>
      </c>
      <c r="AD1332" s="65">
        <f t="shared" si="1103"/>
        <v>3</v>
      </c>
      <c r="AE1332" s="78">
        <f t="shared" si="1104"/>
        <v>6</v>
      </c>
      <c r="AF1332" s="28" t="s">
        <v>52</v>
      </c>
      <c r="AG1332" s="31"/>
    </row>
    <row r="1333" spans="24:33" x14ac:dyDescent="0.25">
      <c r="X1333" s="34">
        <f t="shared" si="1105"/>
        <v>123</v>
      </c>
      <c r="Y1333" s="61" t="s">
        <v>685</v>
      </c>
      <c r="Z1333" s="77" t="s">
        <v>340</v>
      </c>
      <c r="AA1333" s="76">
        <v>45636</v>
      </c>
      <c r="AB1333" s="61" t="s">
        <v>688</v>
      </c>
      <c r="AC1333" s="31" t="s">
        <v>689</v>
      </c>
      <c r="AD1333" s="65">
        <f t="shared" si="1103"/>
        <v>2</v>
      </c>
      <c r="AE1333" s="78">
        <f t="shared" si="1104"/>
        <v>4</v>
      </c>
      <c r="AF1333" s="28" t="s">
        <v>52</v>
      </c>
      <c r="AG1333" s="31"/>
    </row>
    <row r="1334" spans="24:33" x14ac:dyDescent="0.25">
      <c r="X1334" s="34">
        <f t="shared" si="1105"/>
        <v>124</v>
      </c>
      <c r="Y1334" s="28" t="s">
        <v>1300</v>
      </c>
      <c r="Z1334" s="28" t="s">
        <v>35</v>
      </c>
      <c r="AA1334" s="76">
        <v>45644</v>
      </c>
      <c r="AB1334" s="61" t="s">
        <v>1302</v>
      </c>
      <c r="AC1334" s="31" t="s">
        <v>1303</v>
      </c>
      <c r="AD1334" s="65">
        <f t="shared" si="1103"/>
        <v>2</v>
      </c>
      <c r="AE1334" s="78">
        <f t="shared" si="1104"/>
        <v>4</v>
      </c>
      <c r="AF1334" s="28" t="s">
        <v>52</v>
      </c>
      <c r="AG1334" s="31"/>
    </row>
    <row r="1335" spans="24:33" x14ac:dyDescent="0.25">
      <c r="X1335" s="34">
        <f t="shared" si="1105"/>
        <v>125</v>
      </c>
      <c r="Y1335" s="28" t="s">
        <v>1279</v>
      </c>
      <c r="Z1335" s="28" t="s">
        <v>35</v>
      </c>
      <c r="AA1335" s="76">
        <v>45644</v>
      </c>
      <c r="AB1335" s="61" t="s">
        <v>1281</v>
      </c>
      <c r="AC1335" s="31" t="s">
        <v>1282</v>
      </c>
      <c r="AD1335" s="65">
        <f t="shared" si="1103"/>
        <v>1</v>
      </c>
      <c r="AE1335" s="78">
        <f t="shared" si="1104"/>
        <v>2</v>
      </c>
      <c r="AF1335" s="28" t="s">
        <v>52</v>
      </c>
      <c r="AG1335" s="31"/>
    </row>
    <row r="1336" spans="24:33" x14ac:dyDescent="0.25">
      <c r="X1336" s="34">
        <f t="shared" si="1105"/>
        <v>126</v>
      </c>
      <c r="Y1336" s="61" t="s">
        <v>1812</v>
      </c>
      <c r="Z1336" s="77" t="s">
        <v>340</v>
      </c>
      <c r="AA1336" s="76">
        <v>45636</v>
      </c>
      <c r="AB1336" s="61" t="s">
        <v>1813</v>
      </c>
      <c r="AC1336" s="31" t="s">
        <v>1814</v>
      </c>
      <c r="AD1336" s="65">
        <f t="shared" si="1103"/>
        <v>1</v>
      </c>
      <c r="AE1336" s="78">
        <f t="shared" si="1104"/>
        <v>2</v>
      </c>
      <c r="AF1336" s="28" t="s">
        <v>52</v>
      </c>
      <c r="AG1336" s="31"/>
    </row>
    <row r="1337" spans="24:33" x14ac:dyDescent="0.25">
      <c r="X1337" s="34">
        <f t="shared" si="1105"/>
        <v>127</v>
      </c>
      <c r="Y1337" s="61" t="s">
        <v>1796</v>
      </c>
      <c r="Z1337" s="77" t="s">
        <v>340</v>
      </c>
      <c r="AA1337" s="76">
        <v>45636</v>
      </c>
      <c r="AB1337" s="61" t="s">
        <v>1797</v>
      </c>
      <c r="AC1337" s="31" t="s">
        <v>1798</v>
      </c>
      <c r="AD1337" s="65">
        <f t="shared" si="1103"/>
        <v>2</v>
      </c>
      <c r="AE1337" s="78">
        <f t="shared" si="1104"/>
        <v>4</v>
      </c>
      <c r="AF1337" s="28" t="s">
        <v>52</v>
      </c>
      <c r="AG1337" s="31"/>
    </row>
    <row r="1338" spans="24:33" x14ac:dyDescent="0.25">
      <c r="X1338" s="34">
        <f t="shared" si="1105"/>
        <v>128</v>
      </c>
      <c r="Y1338" s="61" t="s">
        <v>1755</v>
      </c>
      <c r="Z1338" s="77" t="s">
        <v>340</v>
      </c>
      <c r="AA1338" s="76">
        <v>45636</v>
      </c>
      <c r="AB1338" s="61" t="s">
        <v>1757</v>
      </c>
      <c r="AC1338" s="31" t="s">
        <v>1758</v>
      </c>
      <c r="AD1338" s="65">
        <f t="shared" si="1103"/>
        <v>1</v>
      </c>
      <c r="AE1338" s="78">
        <f t="shared" si="1104"/>
        <v>2</v>
      </c>
      <c r="AF1338" s="28" t="s">
        <v>52</v>
      </c>
      <c r="AG1338" s="31"/>
    </row>
    <row r="1339" spans="24:33" x14ac:dyDescent="0.25">
      <c r="X1339" s="34">
        <f t="shared" si="1105"/>
        <v>129</v>
      </c>
      <c r="Y1339" s="61" t="s">
        <v>1963</v>
      </c>
      <c r="Z1339" s="77" t="s">
        <v>340</v>
      </c>
      <c r="AA1339" s="76">
        <v>45636</v>
      </c>
      <c r="AB1339" s="77" t="s">
        <v>2570</v>
      </c>
      <c r="AC1339" s="31" t="s">
        <v>1964</v>
      </c>
      <c r="AD1339" s="65">
        <f t="shared" si="1103"/>
        <v>6</v>
      </c>
      <c r="AE1339" s="78">
        <f t="shared" si="1104"/>
        <v>12</v>
      </c>
      <c r="AF1339" s="28" t="s">
        <v>52</v>
      </c>
      <c r="AG1339" s="31"/>
    </row>
    <row r="1340" spans="24:33" x14ac:dyDescent="0.25">
      <c r="X1340" s="34">
        <f t="shared" si="1105"/>
        <v>130</v>
      </c>
      <c r="Y1340" s="28" t="s">
        <v>2273</v>
      </c>
      <c r="Z1340" s="28" t="s">
        <v>35</v>
      </c>
      <c r="AA1340" s="76">
        <v>45644</v>
      </c>
      <c r="AB1340" s="77" t="s">
        <v>2275</v>
      </c>
      <c r="AC1340" s="31" t="s">
        <v>2276</v>
      </c>
      <c r="AD1340" s="65">
        <f t="shared" si="1103"/>
        <v>40</v>
      </c>
      <c r="AE1340" s="78">
        <f t="shared" si="1104"/>
        <v>80</v>
      </c>
      <c r="AF1340" s="28" t="s">
        <v>52</v>
      </c>
      <c r="AG1340" s="31"/>
    </row>
    <row r="1341" spans="24:33" x14ac:dyDescent="0.25">
      <c r="X1341" s="34">
        <f t="shared" si="1105"/>
        <v>131</v>
      </c>
      <c r="Y1341" s="28" t="s">
        <v>2465</v>
      </c>
      <c r="Z1341" s="28" t="s">
        <v>35</v>
      </c>
      <c r="AA1341" s="76">
        <v>45644</v>
      </c>
      <c r="AB1341" s="77" t="s">
        <v>2467</v>
      </c>
      <c r="AC1341" s="31" t="s">
        <v>2468</v>
      </c>
      <c r="AD1341" s="65">
        <f t="shared" si="1103"/>
        <v>22</v>
      </c>
      <c r="AE1341" s="78">
        <f t="shared" si="1104"/>
        <v>44</v>
      </c>
      <c r="AF1341" s="28" t="s">
        <v>52</v>
      </c>
      <c r="AG1341" s="31"/>
    </row>
    <row r="1342" spans="24:33" x14ac:dyDescent="0.25">
      <c r="X1342" s="34">
        <f t="shared" si="1105"/>
        <v>132</v>
      </c>
      <c r="Y1342" s="28" t="s">
        <v>2177</v>
      </c>
      <c r="Z1342" s="77" t="s">
        <v>340</v>
      </c>
      <c r="AA1342" s="76">
        <v>45636</v>
      </c>
      <c r="AB1342" s="77" t="s">
        <v>2578</v>
      </c>
      <c r="AC1342" s="31" t="s">
        <v>2580</v>
      </c>
      <c r="AD1342" s="65">
        <f t="shared" ref="AD1342:AD1343" si="1106">SUMIF($AB$2:$AB$1202,AB1342,$AD$2:$AD$1202)</f>
        <v>1</v>
      </c>
      <c r="AE1342" s="78">
        <f t="shared" si="1104"/>
        <v>2</v>
      </c>
      <c r="AF1342" s="28" t="s">
        <v>52</v>
      </c>
      <c r="AG1342" s="31"/>
    </row>
    <row r="1343" spans="24:33" x14ac:dyDescent="0.25">
      <c r="X1343" s="34">
        <f t="shared" si="1105"/>
        <v>133</v>
      </c>
      <c r="Y1343" s="28" t="s">
        <v>2179</v>
      </c>
      <c r="Z1343" s="77" t="s">
        <v>340</v>
      </c>
      <c r="AA1343" s="76">
        <v>45636</v>
      </c>
      <c r="AB1343" s="77" t="s">
        <v>2579</v>
      </c>
      <c r="AC1343" s="31" t="s">
        <v>2581</v>
      </c>
      <c r="AD1343" s="65">
        <f t="shared" si="1106"/>
        <v>1</v>
      </c>
      <c r="AE1343" s="78">
        <f t="shared" si="1104"/>
        <v>2</v>
      </c>
      <c r="AF1343" s="28" t="s">
        <v>52</v>
      </c>
      <c r="AG1343" s="31"/>
    </row>
    <row r="1344" spans="24:33" x14ac:dyDescent="0.25">
      <c r="X1344" s="34">
        <f t="shared" si="1105"/>
        <v>134</v>
      </c>
      <c r="Y1344" s="28" t="s">
        <v>2541</v>
      </c>
      <c r="Z1344" s="28" t="s">
        <v>35</v>
      </c>
      <c r="AA1344" s="76">
        <v>45636</v>
      </c>
      <c r="AB1344" s="61" t="s">
        <v>958</v>
      </c>
      <c r="AC1344" s="31" t="s">
        <v>959</v>
      </c>
      <c r="AD1344" s="65">
        <f>SUMIF($AB$2:$AB$1202,AB1344,$CR$2:$CR$1202)</f>
        <v>7.1428571428571425E-2</v>
      </c>
      <c r="AE1344" s="78">
        <f t="shared" si="1104"/>
        <v>0.14285714285714285</v>
      </c>
      <c r="AF1344" s="28" t="s">
        <v>52</v>
      </c>
      <c r="AG1344" s="31"/>
    </row>
    <row r="1345" spans="24:33" x14ac:dyDescent="0.25">
      <c r="X1345" s="34">
        <f t="shared" si="1105"/>
        <v>135</v>
      </c>
      <c r="Y1345" s="28" t="s">
        <v>2541</v>
      </c>
      <c r="Z1345" s="28" t="s">
        <v>35</v>
      </c>
      <c r="AA1345" s="76">
        <v>45636</v>
      </c>
      <c r="AB1345" s="61" t="s">
        <v>85</v>
      </c>
      <c r="AC1345" s="31" t="s">
        <v>86</v>
      </c>
      <c r="AD1345" s="65">
        <f t="shared" ref="AD1345:AD1355" si="1107">SUMIF($AB$2:$AB$1202,AB1345,$CR$2:$CR$1202)</f>
        <v>2.113134267166525</v>
      </c>
      <c r="AE1345" s="78">
        <f t="shared" si="1104"/>
        <v>4.2262685343330499</v>
      </c>
      <c r="AF1345" s="28" t="s">
        <v>52</v>
      </c>
      <c r="AG1345" s="31"/>
    </row>
    <row r="1346" spans="24:33" x14ac:dyDescent="0.25">
      <c r="X1346" s="34">
        <f t="shared" si="1105"/>
        <v>136</v>
      </c>
      <c r="Y1346" s="28" t="s">
        <v>2541</v>
      </c>
      <c r="Z1346" s="28" t="s">
        <v>35</v>
      </c>
      <c r="AA1346" s="76">
        <v>45636</v>
      </c>
      <c r="AB1346" s="61" t="s">
        <v>79</v>
      </c>
      <c r="AC1346" s="31" t="s">
        <v>82</v>
      </c>
      <c r="AD1346" s="65">
        <f t="shared" si="1107"/>
        <v>18.116969282111274</v>
      </c>
      <c r="AE1346" s="78">
        <f t="shared" ref="AE1346:AE1378" si="1108">AD1346*$AD$1207</f>
        <v>36.233938564222548</v>
      </c>
      <c r="AF1346" s="28" t="s">
        <v>52</v>
      </c>
      <c r="AG1346" s="31"/>
    </row>
    <row r="1347" spans="24:33" x14ac:dyDescent="0.25">
      <c r="X1347" s="34">
        <f t="shared" ref="X1347:X1373" si="1109">X1346+1</f>
        <v>137</v>
      </c>
      <c r="Y1347" s="28" t="s">
        <v>2541</v>
      </c>
      <c r="Z1347" s="28" t="s">
        <v>35</v>
      </c>
      <c r="AA1347" s="76">
        <v>45636</v>
      </c>
      <c r="AB1347" s="61" t="s">
        <v>644</v>
      </c>
      <c r="AC1347" s="31" t="s">
        <v>647</v>
      </c>
      <c r="AD1347" s="65">
        <f t="shared" si="1107"/>
        <v>0.18253968253968253</v>
      </c>
      <c r="AE1347" s="78">
        <f t="shared" si="1108"/>
        <v>0.36507936507936506</v>
      </c>
      <c r="AF1347" s="28" t="s">
        <v>52</v>
      </c>
      <c r="AG1347" s="31"/>
    </row>
    <row r="1348" spans="24:33" x14ac:dyDescent="0.25">
      <c r="X1348" s="34">
        <f t="shared" si="1109"/>
        <v>138</v>
      </c>
      <c r="Y1348" s="28" t="s">
        <v>2541</v>
      </c>
      <c r="Z1348" s="28" t="s">
        <v>35</v>
      </c>
      <c r="AA1348" s="76">
        <v>45636</v>
      </c>
      <c r="AB1348" s="61" t="s">
        <v>1600</v>
      </c>
      <c r="AC1348" s="31" t="s">
        <v>1601</v>
      </c>
      <c r="AD1348" s="65">
        <f t="shared" si="1107"/>
        <v>7.3924731182795689E-2</v>
      </c>
      <c r="AE1348" s="78">
        <f t="shared" si="1108"/>
        <v>0.14784946236559138</v>
      </c>
      <c r="AF1348" s="28" t="s">
        <v>52</v>
      </c>
      <c r="AG1348" s="31"/>
    </row>
    <row r="1349" spans="24:33" x14ac:dyDescent="0.25">
      <c r="X1349" s="34">
        <f t="shared" si="1109"/>
        <v>139</v>
      </c>
      <c r="Y1349" s="28" t="s">
        <v>2541</v>
      </c>
      <c r="Z1349" s="28" t="s">
        <v>35</v>
      </c>
      <c r="AA1349" s="76">
        <v>45636</v>
      </c>
      <c r="AB1349" s="61" t="s">
        <v>601</v>
      </c>
      <c r="AC1349" s="31" t="s">
        <v>604</v>
      </c>
      <c r="AD1349" s="65">
        <f t="shared" si="1107"/>
        <v>0.25</v>
      </c>
      <c r="AE1349" s="78">
        <f t="shared" si="1108"/>
        <v>0.5</v>
      </c>
      <c r="AF1349" s="28" t="s">
        <v>52</v>
      </c>
      <c r="AG1349" s="31"/>
    </row>
    <row r="1350" spans="24:33" x14ac:dyDescent="0.25">
      <c r="X1350" s="34">
        <f t="shared" si="1109"/>
        <v>140</v>
      </c>
      <c r="Y1350" s="28" t="s">
        <v>2541</v>
      </c>
      <c r="Z1350" s="28" t="s">
        <v>35</v>
      </c>
      <c r="AA1350" s="76">
        <v>45636</v>
      </c>
      <c r="AB1350" s="61" t="s">
        <v>611</v>
      </c>
      <c r="AC1350" s="31" t="s">
        <v>612</v>
      </c>
      <c r="AD1350" s="65">
        <f t="shared" si="1107"/>
        <v>1</v>
      </c>
      <c r="AE1350" s="78">
        <f t="shared" si="1108"/>
        <v>2</v>
      </c>
      <c r="AF1350" s="28" t="s">
        <v>52</v>
      </c>
      <c r="AG1350" s="31"/>
    </row>
    <row r="1351" spans="24:33" x14ac:dyDescent="0.25">
      <c r="X1351" s="34">
        <f t="shared" si="1109"/>
        <v>141</v>
      </c>
      <c r="Y1351" s="28" t="s">
        <v>2541</v>
      </c>
      <c r="Z1351" s="28" t="s">
        <v>35</v>
      </c>
      <c r="AA1351" s="76">
        <v>45636</v>
      </c>
      <c r="AB1351" s="61" t="s">
        <v>742</v>
      </c>
      <c r="AC1351" s="31" t="s">
        <v>744</v>
      </c>
      <c r="AD1351" s="65">
        <f t="shared" si="1107"/>
        <v>2.333333333333333</v>
      </c>
      <c r="AE1351" s="78">
        <f t="shared" si="1108"/>
        <v>4.6666666666666661</v>
      </c>
      <c r="AF1351" s="28" t="s">
        <v>52</v>
      </c>
      <c r="AG1351" s="31"/>
    </row>
    <row r="1352" spans="24:33" x14ac:dyDescent="0.25">
      <c r="X1352" s="34">
        <f t="shared" si="1109"/>
        <v>142</v>
      </c>
      <c r="Y1352" s="28" t="s">
        <v>2541</v>
      </c>
      <c r="Z1352" s="28" t="s">
        <v>35</v>
      </c>
      <c r="AA1352" s="76">
        <v>45636</v>
      </c>
      <c r="AB1352" s="61" t="s">
        <v>747</v>
      </c>
      <c r="AC1352" s="31" t="s">
        <v>748</v>
      </c>
      <c r="AD1352" s="65">
        <f t="shared" si="1107"/>
        <v>0.33333333333333331</v>
      </c>
      <c r="AE1352" s="78">
        <f t="shared" si="1108"/>
        <v>0.66666666666666663</v>
      </c>
      <c r="AF1352" s="28" t="s">
        <v>52</v>
      </c>
      <c r="AG1352" s="31"/>
    </row>
    <row r="1353" spans="24:33" x14ac:dyDescent="0.25">
      <c r="X1353" s="34">
        <f t="shared" si="1109"/>
        <v>143</v>
      </c>
      <c r="Y1353" s="28" t="s">
        <v>2541</v>
      </c>
      <c r="Z1353" s="28" t="s">
        <v>35</v>
      </c>
      <c r="AA1353" s="76">
        <v>45636</v>
      </c>
      <c r="AB1353" s="61" t="s">
        <v>1156</v>
      </c>
      <c r="AC1353" s="31" t="s">
        <v>1157</v>
      </c>
      <c r="AD1353" s="65">
        <f t="shared" si="1107"/>
        <v>7.1942446043165471E-3</v>
      </c>
      <c r="AE1353" s="78">
        <f t="shared" si="1108"/>
        <v>1.4388489208633094E-2</v>
      </c>
      <c r="AF1353" s="28" t="s">
        <v>52</v>
      </c>
      <c r="AG1353" s="31"/>
    </row>
    <row r="1354" spans="24:33" x14ac:dyDescent="0.25">
      <c r="X1354" s="34">
        <f t="shared" si="1109"/>
        <v>144</v>
      </c>
      <c r="Y1354" s="28" t="s">
        <v>2541</v>
      </c>
      <c r="Z1354" s="28" t="s">
        <v>35</v>
      </c>
      <c r="AA1354" s="76">
        <v>45636</v>
      </c>
      <c r="AB1354" s="61" t="s">
        <v>1144</v>
      </c>
      <c r="AC1354" s="31" t="s">
        <v>1147</v>
      </c>
      <c r="AD1354" s="65">
        <f t="shared" si="1107"/>
        <v>1.4705882352941176E-2</v>
      </c>
      <c r="AE1354" s="78">
        <f t="shared" si="1108"/>
        <v>2.9411764705882353E-2</v>
      </c>
      <c r="AF1354" s="28" t="s">
        <v>52</v>
      </c>
      <c r="AG1354" s="31"/>
    </row>
    <row r="1355" spans="24:33" x14ac:dyDescent="0.25">
      <c r="X1355" s="34">
        <f t="shared" si="1109"/>
        <v>145</v>
      </c>
      <c r="Y1355" s="28" t="s">
        <v>2541</v>
      </c>
      <c r="Z1355" s="28" t="s">
        <v>35</v>
      </c>
      <c r="AA1355" s="76">
        <v>45636</v>
      </c>
      <c r="AB1355" s="77" t="s">
        <v>2362</v>
      </c>
      <c r="AC1355" s="47" t="s">
        <v>2363</v>
      </c>
      <c r="AD1355" s="65">
        <f t="shared" si="1107"/>
        <v>2.7397260273972601E-2</v>
      </c>
      <c r="AE1355" s="78">
        <f t="shared" si="1108"/>
        <v>5.4794520547945202E-2</v>
      </c>
      <c r="AF1355" s="28" t="s">
        <v>52</v>
      </c>
      <c r="AG1355" s="47" t="s">
        <v>2566</v>
      </c>
    </row>
    <row r="1356" spans="24:33" x14ac:dyDescent="0.25">
      <c r="X1356" s="34">
        <f t="shared" si="1109"/>
        <v>146</v>
      </c>
      <c r="Y1356" s="28" t="s">
        <v>2541</v>
      </c>
      <c r="Z1356" s="28" t="s">
        <v>35</v>
      </c>
      <c r="AA1356" s="76">
        <v>45636</v>
      </c>
      <c r="AB1356" s="61" t="s">
        <v>2585</v>
      </c>
      <c r="AC1356" s="31" t="s">
        <v>2586</v>
      </c>
      <c r="AD1356" s="65">
        <f>SUMIF($AB$2:$AB$1202,AB1356,$BE$2:$BE$1202)</f>
        <v>2.1257571878539623</v>
      </c>
      <c r="AE1356" s="78">
        <f t="shared" si="1108"/>
        <v>4.2515143757079246</v>
      </c>
      <c r="AF1356" s="28" t="s">
        <v>52</v>
      </c>
      <c r="AG1356" s="31"/>
    </row>
    <row r="1357" spans="24:33" x14ac:dyDescent="0.25">
      <c r="X1357" s="34">
        <f t="shared" si="1109"/>
        <v>147</v>
      </c>
      <c r="Y1357" s="28" t="s">
        <v>2541</v>
      </c>
      <c r="Z1357" s="28" t="s">
        <v>35</v>
      </c>
      <c r="AA1357" s="76">
        <v>45636</v>
      </c>
      <c r="AB1357" s="61" t="s">
        <v>116</v>
      </c>
      <c r="AC1357" s="31" t="s">
        <v>117</v>
      </c>
      <c r="AD1357" s="65">
        <f t="shared" ref="AD1357:AD1370" si="1110">SUMIF($AB$2:$AB$1202,AB1357,$BE$2:$BE$1202)</f>
        <v>14.256531037141732</v>
      </c>
      <c r="AE1357" s="78">
        <f t="shared" si="1108"/>
        <v>28.513062074283464</v>
      </c>
      <c r="AF1357" s="28" t="s">
        <v>52</v>
      </c>
      <c r="AG1357" s="31"/>
    </row>
    <row r="1358" spans="24:33" x14ac:dyDescent="0.25">
      <c r="X1358" s="34">
        <f t="shared" si="1109"/>
        <v>148</v>
      </c>
      <c r="Y1358" s="28" t="s">
        <v>2541</v>
      </c>
      <c r="Z1358" s="28" t="s">
        <v>35</v>
      </c>
      <c r="AA1358" s="76">
        <v>45636</v>
      </c>
      <c r="AB1358" s="61" t="s">
        <v>1178</v>
      </c>
      <c r="AC1358" s="31" t="s">
        <v>1179</v>
      </c>
      <c r="AD1358" s="65">
        <f t="shared" si="1110"/>
        <v>0.4411316753422016</v>
      </c>
      <c r="AE1358" s="78">
        <f t="shared" si="1108"/>
        <v>0.8822633506844032</v>
      </c>
      <c r="AF1358" s="28" t="s">
        <v>52</v>
      </c>
      <c r="AG1358" s="31"/>
    </row>
    <row r="1359" spans="24:33" x14ac:dyDescent="0.25">
      <c r="X1359" s="34">
        <f t="shared" si="1109"/>
        <v>149</v>
      </c>
      <c r="Y1359" s="28" t="s">
        <v>2541</v>
      </c>
      <c r="Z1359" s="28" t="s">
        <v>35</v>
      </c>
      <c r="AA1359" s="76">
        <v>45636</v>
      </c>
      <c r="AB1359" s="61" t="s">
        <v>730</v>
      </c>
      <c r="AC1359" s="31" t="s">
        <v>732</v>
      </c>
      <c r="AD1359" s="65">
        <f t="shared" si="1110"/>
        <v>5.745341614906832E-2</v>
      </c>
      <c r="AE1359" s="78">
        <f t="shared" si="1108"/>
        <v>0.11490683229813664</v>
      </c>
      <c r="AF1359" s="28" t="s">
        <v>52</v>
      </c>
      <c r="AG1359" s="31"/>
    </row>
    <row r="1360" spans="24:33" x14ac:dyDescent="0.25">
      <c r="X1360" s="34">
        <f t="shared" si="1109"/>
        <v>150</v>
      </c>
      <c r="Y1360" s="28" t="s">
        <v>2541</v>
      </c>
      <c r="Z1360" s="28" t="s">
        <v>35</v>
      </c>
      <c r="AA1360" s="76">
        <v>45636</v>
      </c>
      <c r="AB1360" s="61" t="s">
        <v>55</v>
      </c>
      <c r="AC1360" s="31" t="s">
        <v>58</v>
      </c>
      <c r="AD1360" s="65">
        <f t="shared" si="1110"/>
        <v>5</v>
      </c>
      <c r="AE1360" s="78">
        <f t="shared" si="1108"/>
        <v>10</v>
      </c>
      <c r="AF1360" s="28" t="s">
        <v>52</v>
      </c>
      <c r="AG1360" s="31"/>
    </row>
    <row r="1361" spans="24:33" x14ac:dyDescent="0.25">
      <c r="X1361" s="34">
        <f t="shared" si="1109"/>
        <v>151</v>
      </c>
      <c r="Y1361" s="28" t="s">
        <v>2541</v>
      </c>
      <c r="Z1361" s="28" t="s">
        <v>35</v>
      </c>
      <c r="AA1361" s="76">
        <v>45636</v>
      </c>
      <c r="AB1361" s="61" t="s">
        <v>1626</v>
      </c>
      <c r="AC1361" s="31" t="s">
        <v>1627</v>
      </c>
      <c r="AD1361" s="69">
        <f t="shared" si="1110"/>
        <v>1.6504329004329003E-4</v>
      </c>
      <c r="AE1361" s="78">
        <f t="shared" si="1108"/>
        <v>3.3008658008658006E-4</v>
      </c>
      <c r="AF1361" s="28" t="s">
        <v>52</v>
      </c>
      <c r="AG1361" s="31"/>
    </row>
    <row r="1362" spans="24:33" x14ac:dyDescent="0.25">
      <c r="X1362" s="34">
        <f t="shared" si="1109"/>
        <v>152</v>
      </c>
      <c r="Y1362" s="28" t="s">
        <v>2541</v>
      </c>
      <c r="Z1362" s="28" t="s">
        <v>35</v>
      </c>
      <c r="AA1362" s="76">
        <v>45636</v>
      </c>
      <c r="AB1362" s="61" t="s">
        <v>249</v>
      </c>
      <c r="AC1362" s="31" t="s">
        <v>252</v>
      </c>
      <c r="AD1362" s="65">
        <f t="shared" si="1110"/>
        <v>0.99959498769338184</v>
      </c>
      <c r="AE1362" s="78">
        <f t="shared" si="1108"/>
        <v>1.9991899753867637</v>
      </c>
      <c r="AF1362" s="28" t="s">
        <v>52</v>
      </c>
      <c r="AG1362" s="31"/>
    </row>
    <row r="1363" spans="24:33" x14ac:dyDescent="0.25">
      <c r="X1363" s="34">
        <f t="shared" si="1109"/>
        <v>153</v>
      </c>
      <c r="Y1363" s="28" t="s">
        <v>2541</v>
      </c>
      <c r="Z1363" s="28" t="s">
        <v>35</v>
      </c>
      <c r="AA1363" s="76">
        <v>45636</v>
      </c>
      <c r="AB1363" s="61" t="s">
        <v>124</v>
      </c>
      <c r="AC1363" s="31" t="s">
        <v>125</v>
      </c>
      <c r="AD1363" s="65">
        <f t="shared" si="1110"/>
        <v>18.456556435165645</v>
      </c>
      <c r="AE1363" s="78">
        <f t="shared" si="1108"/>
        <v>36.91311287033129</v>
      </c>
      <c r="AF1363" s="28" t="s">
        <v>52</v>
      </c>
      <c r="AG1363" s="31"/>
    </row>
    <row r="1364" spans="24:33" x14ac:dyDescent="0.25">
      <c r="X1364" s="34">
        <f t="shared" si="1109"/>
        <v>154</v>
      </c>
      <c r="Y1364" s="28" t="s">
        <v>2541</v>
      </c>
      <c r="Z1364" s="28" t="s">
        <v>35</v>
      </c>
      <c r="AA1364" s="76">
        <v>45636</v>
      </c>
      <c r="AB1364" s="61" t="s">
        <v>2049</v>
      </c>
      <c r="AC1364" s="31" t="s">
        <v>2050</v>
      </c>
      <c r="AD1364" s="65">
        <f t="shared" si="1110"/>
        <v>1.6868055555555554</v>
      </c>
      <c r="AE1364" s="78">
        <f t="shared" si="1108"/>
        <v>3.3736111111111109</v>
      </c>
      <c r="AF1364" s="28" t="s">
        <v>52</v>
      </c>
      <c r="AG1364" s="31"/>
    </row>
    <row r="1365" spans="24:33" x14ac:dyDescent="0.25">
      <c r="X1365" s="34">
        <f t="shared" si="1109"/>
        <v>155</v>
      </c>
      <c r="Y1365" s="28" t="s">
        <v>2541</v>
      </c>
      <c r="Z1365" s="28" t="s">
        <v>35</v>
      </c>
      <c r="AA1365" s="76">
        <v>45636</v>
      </c>
      <c r="AB1365" s="61" t="s">
        <v>196</v>
      </c>
      <c r="AC1365" s="31" t="s">
        <v>197</v>
      </c>
      <c r="AD1365" s="65">
        <f t="shared" si="1110"/>
        <v>0.625</v>
      </c>
      <c r="AE1365" s="78">
        <f t="shared" si="1108"/>
        <v>1.25</v>
      </c>
      <c r="AF1365" s="28" t="s">
        <v>52</v>
      </c>
      <c r="AG1365" s="31"/>
    </row>
    <row r="1366" spans="24:33" x14ac:dyDescent="0.25">
      <c r="X1366" s="34">
        <f t="shared" si="1109"/>
        <v>156</v>
      </c>
      <c r="Y1366" s="28" t="s">
        <v>2541</v>
      </c>
      <c r="Z1366" s="28" t="s">
        <v>35</v>
      </c>
      <c r="AA1366" s="76">
        <v>45636</v>
      </c>
      <c r="AB1366" s="61" t="s">
        <v>664</v>
      </c>
      <c r="AC1366" s="31" t="s">
        <v>665</v>
      </c>
      <c r="AD1366" s="65">
        <f t="shared" si="1110"/>
        <v>1</v>
      </c>
      <c r="AE1366" s="78">
        <f t="shared" si="1108"/>
        <v>2</v>
      </c>
      <c r="AF1366" s="28" t="s">
        <v>52</v>
      </c>
      <c r="AG1366" s="31"/>
    </row>
    <row r="1367" spans="24:33" x14ac:dyDescent="0.25">
      <c r="X1367" s="34">
        <f t="shared" si="1109"/>
        <v>157</v>
      </c>
      <c r="Y1367" s="28" t="s">
        <v>2541</v>
      </c>
      <c r="Z1367" s="28" t="s">
        <v>35</v>
      </c>
      <c r="AA1367" s="76">
        <v>45636</v>
      </c>
      <c r="AB1367" s="61" t="s">
        <v>103</v>
      </c>
      <c r="AC1367" s="31" t="s">
        <v>104</v>
      </c>
      <c r="AD1367" s="65">
        <f t="shared" si="1110"/>
        <v>0.30570156649432889</v>
      </c>
      <c r="AE1367" s="78">
        <f t="shared" si="1108"/>
        <v>0.61140313298865778</v>
      </c>
      <c r="AF1367" s="28" t="s">
        <v>52</v>
      </c>
      <c r="AG1367" s="31"/>
    </row>
    <row r="1368" spans="24:33" x14ac:dyDescent="0.25">
      <c r="X1368" s="34">
        <f t="shared" si="1109"/>
        <v>158</v>
      </c>
      <c r="Y1368" s="28" t="s">
        <v>2541</v>
      </c>
      <c r="Z1368" s="28" t="s">
        <v>35</v>
      </c>
      <c r="AA1368" s="76">
        <v>45636</v>
      </c>
      <c r="AB1368" s="61" t="s">
        <v>2036</v>
      </c>
      <c r="AC1368" s="31" t="s">
        <v>2039</v>
      </c>
      <c r="AD1368" s="65">
        <f t="shared" si="1110"/>
        <v>0.11904761904761904</v>
      </c>
      <c r="AE1368" s="78">
        <f t="shared" si="1108"/>
        <v>0.23809523809523808</v>
      </c>
      <c r="AF1368" s="28" t="s">
        <v>52</v>
      </c>
      <c r="AG1368" s="31"/>
    </row>
    <row r="1369" spans="24:33" x14ac:dyDescent="0.25">
      <c r="X1369" s="34">
        <f t="shared" si="1109"/>
        <v>159</v>
      </c>
      <c r="Y1369" s="28" t="s">
        <v>2541</v>
      </c>
      <c r="Z1369" s="28" t="s">
        <v>35</v>
      </c>
      <c r="AA1369" s="76">
        <v>45636</v>
      </c>
      <c r="AB1369" s="61" t="s">
        <v>1618</v>
      </c>
      <c r="AC1369" s="31" t="s">
        <v>1619</v>
      </c>
      <c r="AD1369" s="69">
        <f t="shared" si="1110"/>
        <v>1.0210622710622711E-4</v>
      </c>
      <c r="AE1369" s="78">
        <f t="shared" si="1108"/>
        <v>2.0421245421245422E-4</v>
      </c>
      <c r="AF1369" s="28" t="s">
        <v>52</v>
      </c>
      <c r="AG1369" s="31"/>
    </row>
    <row r="1370" spans="24:33" x14ac:dyDescent="0.25">
      <c r="X1370" s="34">
        <f t="shared" si="1109"/>
        <v>160</v>
      </c>
      <c r="Y1370" s="28" t="s">
        <v>2541</v>
      </c>
      <c r="Z1370" s="28" t="s">
        <v>35</v>
      </c>
      <c r="AA1370" s="76">
        <v>45636</v>
      </c>
      <c r="AB1370" s="61" t="s">
        <v>1197</v>
      </c>
      <c r="AC1370" s="31" t="s">
        <v>1199</v>
      </c>
      <c r="AD1370" s="65">
        <f t="shared" si="1110"/>
        <v>0.15333333333333335</v>
      </c>
      <c r="AE1370" s="78">
        <f t="shared" si="1108"/>
        <v>0.3066666666666667</v>
      </c>
      <c r="AF1370" s="28" t="s">
        <v>52</v>
      </c>
      <c r="AG1370" s="31"/>
    </row>
    <row r="1371" spans="24:33" x14ac:dyDescent="0.25">
      <c r="X1371" s="34">
        <f t="shared" si="1109"/>
        <v>161</v>
      </c>
      <c r="Y1371" s="28" t="s">
        <v>492</v>
      </c>
      <c r="Z1371" s="28" t="s">
        <v>35</v>
      </c>
      <c r="AA1371" s="76">
        <v>45644</v>
      </c>
      <c r="AB1371" s="61" t="s">
        <v>495</v>
      </c>
      <c r="AC1371" s="31" t="s">
        <v>496</v>
      </c>
      <c r="AD1371" s="66">
        <v>0.3</v>
      </c>
      <c r="AE1371" s="78">
        <f t="shared" si="1108"/>
        <v>0.6</v>
      </c>
      <c r="AF1371" s="28" t="s">
        <v>52</v>
      </c>
      <c r="AG1371" s="31"/>
    </row>
    <row r="1372" spans="24:33" x14ac:dyDescent="0.25">
      <c r="X1372" s="34">
        <f t="shared" si="1109"/>
        <v>162</v>
      </c>
      <c r="Y1372" s="28" t="s">
        <v>2244</v>
      </c>
      <c r="Z1372" s="28" t="s">
        <v>35</v>
      </c>
      <c r="AA1372" s="76">
        <v>45644</v>
      </c>
      <c r="AB1372" s="61" t="s">
        <v>1856</v>
      </c>
      <c r="AC1372" s="31" t="s">
        <v>1857</v>
      </c>
      <c r="AD1372" s="66" t="s">
        <v>337</v>
      </c>
      <c r="AE1372" s="79" t="str">
        <f>AD1372</f>
        <v>A/R</v>
      </c>
      <c r="AF1372" s="28" t="s">
        <v>52</v>
      </c>
      <c r="AG1372" s="31"/>
    </row>
    <row r="1373" spans="24:33" x14ac:dyDescent="0.25">
      <c r="X1373" s="34">
        <f t="shared" si="1109"/>
        <v>163</v>
      </c>
      <c r="Y1373" s="61" t="s">
        <v>336</v>
      </c>
      <c r="Z1373" s="77" t="s">
        <v>340</v>
      </c>
      <c r="AA1373" s="76">
        <v>45636</v>
      </c>
      <c r="AB1373" s="61" t="s">
        <v>341</v>
      </c>
      <c r="AC1373" s="31" t="s">
        <v>342</v>
      </c>
      <c r="AD1373" s="66">
        <v>25</v>
      </c>
      <c r="AE1373" s="78">
        <f t="shared" si="1108"/>
        <v>50</v>
      </c>
      <c r="AF1373" s="28" t="s">
        <v>52</v>
      </c>
      <c r="AG1373" s="31"/>
    </row>
    <row r="1374" spans="24:33" x14ac:dyDescent="0.25">
      <c r="X1374" s="34">
        <f t="shared" ref="X1374" si="1111">X1373+1</f>
        <v>164</v>
      </c>
      <c r="Y1374" s="28" t="s">
        <v>2554</v>
      </c>
      <c r="Z1374" s="34" t="s">
        <v>35</v>
      </c>
      <c r="AA1374" s="76">
        <v>45644</v>
      </c>
      <c r="AB1374" s="61" t="s">
        <v>2497</v>
      </c>
      <c r="AC1374" s="31" t="s">
        <v>2561</v>
      </c>
      <c r="AD1374" s="65">
        <f>SUMIF($AI$2:$AI$1202,AB1374,$AN$2:$AN$1202)</f>
        <v>24.584465145775294</v>
      </c>
      <c r="AE1374" s="78">
        <f t="shared" si="1108"/>
        <v>49.168930291550588</v>
      </c>
      <c r="AF1374" s="28" t="s">
        <v>2565</v>
      </c>
      <c r="AG1374" s="31"/>
    </row>
    <row r="1375" spans="24:33" x14ac:dyDescent="0.25">
      <c r="X1375" s="34">
        <f t="shared" ref="X1375:X1378" si="1112">X1374+1</f>
        <v>165</v>
      </c>
      <c r="Y1375" s="28" t="s">
        <v>2554</v>
      </c>
      <c r="Z1375" s="34" t="s">
        <v>35</v>
      </c>
      <c r="AA1375" s="76">
        <v>45644</v>
      </c>
      <c r="AB1375" s="61" t="s">
        <v>2498</v>
      </c>
      <c r="AC1375" s="31" t="s">
        <v>2562</v>
      </c>
      <c r="AD1375" s="65">
        <f>SUMIF($AJ$2:$AJ$1202,AB1375,$AO$2:$AO$1202)</f>
        <v>4.9168930291550819</v>
      </c>
      <c r="AE1375" s="78">
        <f t="shared" si="1108"/>
        <v>9.8337860583101637</v>
      </c>
      <c r="AF1375" s="28" t="s">
        <v>2565</v>
      </c>
      <c r="AG1375" s="31"/>
    </row>
    <row r="1376" spans="24:33" x14ac:dyDescent="0.25">
      <c r="X1376" s="34">
        <f t="shared" si="1112"/>
        <v>166</v>
      </c>
      <c r="Y1376" s="28" t="s">
        <v>2559</v>
      </c>
      <c r="Z1376" s="34" t="s">
        <v>35</v>
      </c>
      <c r="AA1376" s="76">
        <v>45644</v>
      </c>
      <c r="AB1376" s="61" t="s">
        <v>2511</v>
      </c>
      <c r="AC1376" s="31" t="s">
        <v>2560</v>
      </c>
      <c r="AD1376" s="65">
        <f>SUMIF($AW$2:$AW$1202,AB1376,$BA$2:$BA$1202)</f>
        <v>4.3571610069389166</v>
      </c>
      <c r="AE1376" s="78">
        <f t="shared" si="1108"/>
        <v>8.7143220138778332</v>
      </c>
      <c r="AF1376" s="28" t="s">
        <v>2565</v>
      </c>
      <c r="AG1376" s="31"/>
    </row>
    <row r="1377" spans="24:33" x14ac:dyDescent="0.25">
      <c r="X1377" s="34">
        <f t="shared" si="1112"/>
        <v>167</v>
      </c>
      <c r="Y1377" s="28" t="s">
        <v>2559</v>
      </c>
      <c r="Z1377" s="34" t="s">
        <v>35</v>
      </c>
      <c r="AA1377" s="76">
        <v>45644</v>
      </c>
      <c r="AB1377" s="61" t="s">
        <v>2512</v>
      </c>
      <c r="AC1377" s="31" t="s">
        <v>2563</v>
      </c>
      <c r="AD1377" s="65">
        <f>SUMIF($AX$2:$AX$1202,AB1377,$BB$2:$BB$1202)</f>
        <v>13.071483020816729</v>
      </c>
      <c r="AE1377" s="78">
        <f t="shared" si="1108"/>
        <v>26.142966041633457</v>
      </c>
      <c r="AF1377" s="28" t="s">
        <v>2565</v>
      </c>
      <c r="AG1377" s="31"/>
    </row>
    <row r="1378" spans="24:33" x14ac:dyDescent="0.25">
      <c r="X1378" s="34">
        <f t="shared" si="1112"/>
        <v>168</v>
      </c>
      <c r="Y1378" s="28" t="s">
        <v>2559</v>
      </c>
      <c r="Z1378" s="34" t="s">
        <v>35</v>
      </c>
      <c r="AA1378" s="76">
        <v>45644</v>
      </c>
      <c r="AB1378" s="61" t="s">
        <v>2513</v>
      </c>
      <c r="AC1378" s="31" t="s">
        <v>2564</v>
      </c>
      <c r="AD1378" s="65">
        <f>SUMIF($AY$2:$AY$1202,AB1378,$BC$2:$BC$1202)</f>
        <v>3.4857288055511293</v>
      </c>
      <c r="AE1378" s="78">
        <f t="shared" si="1108"/>
        <v>6.9714576111022586</v>
      </c>
      <c r="AF1378" s="28" t="s">
        <v>2565</v>
      </c>
      <c r="AG1378" s="31"/>
    </row>
  </sheetData>
  <autoFilter ref="A1:CR1202" xr:uid="{2959C9AF-21B8-4CA0-BAE7-EA99095668FC}">
    <filterColumn colId="13">
      <filters>
        <filter val="FORA ESCOPO"/>
        <filter val="FORA ESCOPO ??"/>
        <filter val="MPT-1951"/>
        <filter val="MPT-2400"/>
        <filter val="MPT-2405"/>
        <filter val="MPT-2551"/>
        <filter val="MPT-2552"/>
        <filter val="MPT-2561"/>
        <filter val="MPT-2562"/>
        <filter val="MPT-2573"/>
        <filter val="MPT-2643"/>
        <filter val="MPT-2676"/>
        <filter val="MPT-2813"/>
        <filter val="MPT-2814"/>
        <filter val="MPT-2816"/>
        <filter val="MPT-2818"/>
        <filter val="MPT-2819"/>
        <filter val="MPT-2820"/>
        <filter val="MPT-2821"/>
        <filter val="MPT-2822"/>
        <filter val="MPT-2823"/>
        <filter val="MPT-2824"/>
        <filter val="MPT-2825"/>
        <filter val="MPT-2826"/>
        <filter val="MPT-2828"/>
        <filter val="MPT-2829"/>
        <filter val="MPT-2830"/>
        <filter val="MPT-2831"/>
        <filter val="MPT-2832"/>
        <filter val="MPT-2833"/>
        <filter val="MPT-2834"/>
        <filter val="MPT-2835"/>
        <filter val="MT2-3121"/>
        <filter val="MT3-11454"/>
        <filter val="MT3-11516"/>
        <filter val="MT3-11560"/>
        <filter val="MT3-11566"/>
        <filter val="MT3-12990"/>
        <filter val="MT3-12991"/>
        <filter val="MT3-12994"/>
        <filter val="MT3-12995"/>
        <filter val="MT3-12997"/>
        <filter val="MT3-12998"/>
        <filter val="MT3-13000"/>
        <filter val="MT3-13001"/>
        <filter val="MT3-13003"/>
        <filter val="MT3-13004"/>
        <filter val="MT3-13007"/>
        <filter val="MT3-13008"/>
        <filter val="MT3-13011"/>
        <filter val="MT3-13012"/>
        <filter val="MT3-13014"/>
        <filter val="MT3-13015"/>
        <filter val="MT3-13020"/>
        <filter val="MT3-13021"/>
        <filter val="MT3-13022"/>
        <filter val="MT3-13023"/>
        <filter val="MT3-13024"/>
        <filter val="MT3-13025"/>
        <filter val="MT3-13026"/>
        <filter val="MT3-13027"/>
        <filter val="MT3-13028"/>
        <filter val="MT3-13029"/>
        <filter val="MT3-13030"/>
        <filter val="MT3-13031"/>
        <filter val="MT3-13032"/>
        <filter val="MT3-13033"/>
        <filter val="MT3-13034"/>
        <filter val="MT3-13035"/>
        <filter val="MT3-13036"/>
        <filter val="MT3-13038"/>
        <filter val="MT3-13039"/>
        <filter val="MT3-13040"/>
        <filter val="MT3-13041"/>
        <filter val="MT3-13042"/>
        <filter val="MT3-13043"/>
        <filter val="MT3-13044"/>
        <filter val="MT3-13045"/>
        <filter val="MT3-13046"/>
        <filter val="MT3-13047"/>
        <filter val="MT3-13048"/>
        <filter val="MT3-13049"/>
        <filter val="MT3-13050"/>
        <filter val="MT3-13051"/>
        <filter val="MT3-13052"/>
        <filter val="MT3-13053"/>
        <filter val="MT3-13054"/>
        <filter val="MT3-13055"/>
        <filter val="MT3-13056"/>
        <filter val="MT3-13057"/>
        <filter val="MT3-13058"/>
        <filter val="MT3-13059"/>
        <filter val="MT3-13060"/>
        <filter val="MT3-13061"/>
        <filter val="MT3-13062"/>
        <filter val="MT3-13063"/>
        <filter val="MT3-13064"/>
        <filter val="MT3-13065"/>
        <filter val="MT3-13066"/>
        <filter val="MT3-13067"/>
        <filter val="MT3-13068"/>
        <filter val="MT3-13069"/>
        <filter val="MT3-13070"/>
        <filter val="MT3-13071"/>
        <filter val="MT3-13072"/>
        <filter val="MT3-13073"/>
        <filter val="MT3-13074"/>
        <filter val="MT3-13075"/>
        <filter val="MT3-13076"/>
        <filter val="MT3-13077"/>
        <filter val="MT3-13078"/>
        <filter val="MT3-13079"/>
        <filter val="MT3-13080"/>
        <filter val="MT3-13081"/>
        <filter val="MT3-13082"/>
        <filter val="MT3-13083"/>
        <filter val="MT3-13084"/>
        <filter val="MT3-13085"/>
        <filter val="MT3-13086"/>
        <filter val="MT3-13087"/>
        <filter val="MT3-13088"/>
        <filter val="MT3-13089"/>
        <filter val="MT3-13090"/>
        <filter val="MT3-13091"/>
        <filter val="MT3-13092"/>
        <filter val="MT3-13093"/>
        <filter val="MT3-13094"/>
        <filter val="MT3-13095"/>
        <filter val="MT3-13096"/>
        <filter val="MT3-13097"/>
        <filter val="MT3-13098"/>
        <filter val="MT3-13099"/>
        <filter val="MT3-13100"/>
        <filter val="MT3-13101"/>
        <filter val="MT3-13102"/>
        <filter val="MT3-13103"/>
        <filter val="MT3-13104"/>
        <filter val="MT3-13105"/>
        <filter val="MT3-13106"/>
        <filter val="MT3-13107"/>
        <filter val="MT3-13108"/>
        <filter val="MT3-13109"/>
        <filter val="MT3-13110"/>
        <filter val="MT3-13111"/>
        <filter val="MT3-13112"/>
        <filter val="MT3-13113"/>
        <filter val="MT3-13114"/>
        <filter val="MT3-13115"/>
        <filter val="MT3-13116"/>
        <filter val="MT3-13117"/>
        <filter val="MT3-13118"/>
        <filter val="MT3-13119"/>
        <filter val="MT3-13120"/>
        <filter val="MT3-13121"/>
        <filter val="MT3-13136"/>
        <filter val="MT3-13137"/>
        <filter val="MT3-13138"/>
        <filter val="MT3-13139"/>
        <filter val="MT3-13140"/>
        <filter val="MT3-13141"/>
        <filter val="MT3-13142"/>
        <filter val="MT3-13143"/>
        <filter val="MT3-13145"/>
        <filter val="MT3-13146"/>
        <filter val="MT3-13147"/>
        <filter val="MT3-13148"/>
        <filter val="MT3-13149"/>
        <filter val="MT3-13152"/>
        <filter val="MT3-13154"/>
        <filter val="MT3-13155"/>
        <filter val="MT3-13156"/>
        <filter val="MT3-13159"/>
        <filter val="MT3-13160"/>
        <filter val="MT3-13161"/>
        <filter val="MT3-13272"/>
        <filter val="MT3-13413"/>
        <filter val="MT3-13414"/>
        <filter val="MT3-13415"/>
        <filter val="MT3-13417"/>
        <filter val="MT3-13418"/>
        <filter val="MT3-13419"/>
        <filter val="MT3-13420"/>
        <filter val="MT3-13421"/>
        <filter val="MT3-13422"/>
        <filter val="MT3-13423"/>
        <filter val="MT3-13424"/>
        <filter val="MT3-13425"/>
        <filter val="MT3-13427"/>
        <filter val="MT3-13428"/>
        <filter val="MT3-13429"/>
        <filter val="MT3-13430"/>
        <filter val="MT3-13431"/>
        <filter val="MT3-13432"/>
        <filter val="MT3-13433"/>
        <filter val="MT3-13434"/>
        <filter val="MT3-13435"/>
        <filter val="MT3-13436"/>
        <filter val="MT3-13437"/>
        <filter val="MT3-13438"/>
        <filter val="MT3-13470"/>
        <filter val="MT3-13471"/>
        <filter val="MT3-13472"/>
        <filter val="MT4-10120"/>
        <filter val="MT4-10121"/>
        <filter val="MT4-11548"/>
        <filter val="MT4-11549"/>
        <filter val="MT4-11550"/>
        <filter val="MT4-11551"/>
        <filter val="MT4-11554"/>
        <filter val="MT4-11802"/>
        <filter val="MT4-15971"/>
        <filter val="MT4-16553"/>
        <filter val="MT4-16601"/>
        <filter val="MT4-16604"/>
        <filter val="MT4-16658"/>
        <filter val="MT4-16676"/>
        <filter val="MT4-16687"/>
        <filter val="MT4-16688"/>
        <filter val="MT4-16694"/>
        <filter val="MT4-16703"/>
        <filter val="MT4-16704"/>
        <filter val="MT4-17322"/>
        <filter val="MT4-17323"/>
        <filter val="MT4-17598"/>
        <filter val="MT4-17674"/>
        <filter val="MT4-17681"/>
        <filter val="MT4-17683"/>
        <filter val="MT4-17932"/>
        <filter val="MT4-17949"/>
        <filter val="MT4-17951"/>
        <filter val="MT4-17957"/>
        <filter val="MT4-17981"/>
        <filter val="MT4-17984"/>
        <filter val="MT4-18119"/>
        <filter val="MT4-18120"/>
        <filter val="MT4-18121"/>
        <filter val="MT4-20707"/>
        <filter val="MT4-21624"/>
        <filter val="MT4-22031"/>
        <filter val="MT4-22032"/>
        <filter val="MT4-23209"/>
        <filter val="MT4-23227"/>
        <filter val="MT4-23234"/>
        <filter val="MT4-23299"/>
        <filter val="MT4-23334"/>
        <filter val="MT4-23382"/>
        <filter val="MT4-25188"/>
        <filter val="MT4-25212"/>
        <filter val="MT4-25213"/>
        <filter val="MT4-25214"/>
        <filter val="MT4-25215"/>
        <filter val="MT4-25217"/>
        <filter val="MT4-25228"/>
        <filter val="MT4-25236"/>
        <filter val="MT4-25237"/>
        <filter val="MT4-25249"/>
        <filter val="MT4-25250"/>
        <filter val="MT4-25251"/>
        <filter val="MT4-25252"/>
        <filter val="MT4-25257"/>
        <filter val="MT4-25258"/>
        <filter val="MT4-25259"/>
        <filter val="MT4-25290"/>
        <filter val="MT4-25329"/>
        <filter val="MT4-25357"/>
        <filter val="MT4-25373"/>
        <filter val="MT4-25394"/>
        <filter val="MT4-25397"/>
        <filter val="MT4-25399"/>
        <filter val="MT4-25421"/>
        <filter val="MT4-25459"/>
        <filter val="MT4-25476"/>
        <filter val="MT4-25477"/>
        <filter val="MT4-25482"/>
        <filter val="MT4-25497"/>
        <filter val="MT4-25527"/>
        <filter val="MT4-26044"/>
        <filter val="MT4-26832"/>
        <filter val="MT4-28323"/>
        <filter val="MT4-28324"/>
        <filter val="MT4-28325"/>
        <filter val="MT4-28326"/>
        <filter val="MT4-28327"/>
        <filter val="MT4-28328"/>
        <filter val="MT4-28330"/>
        <filter val="MT4-28331"/>
        <filter val="MT4-28332"/>
        <filter val="MT4-28333"/>
        <filter val="MT4-28334"/>
        <filter val="MT4-28335"/>
        <filter val="MT4-28336"/>
        <filter val="MT4-28338"/>
        <filter val="MT4-28340"/>
        <filter val="MT4-28342"/>
        <filter val="MT4-28349"/>
        <filter val="MT4-28351"/>
        <filter val="MT4-28355"/>
        <filter val="MT4-28356"/>
        <filter val="MT4-28357"/>
        <filter val="MT4-28358"/>
        <filter val="MT4-28359"/>
        <filter val="MT4-28360"/>
        <filter val="MT4-28361"/>
        <filter val="MT4-28362"/>
        <filter val="MT4-28363"/>
        <filter val="MT4-28364"/>
        <filter val="MT4-28365"/>
        <filter val="MT4-28366"/>
        <filter val="MT4-28367"/>
        <filter val="MT4-28368"/>
        <filter val="MT4-28369"/>
        <filter val="MT4-28370"/>
        <filter val="MT4-28371"/>
        <filter val="MT4-28372"/>
        <filter val="MT4-28373"/>
        <filter val="MT4-28374"/>
        <filter val="MT4-28375"/>
        <filter val="MT4-28376"/>
        <filter val="MT4-28377"/>
        <filter val="MT4-28382"/>
        <filter val="MT4-28383"/>
        <filter val="MT4-28384"/>
        <filter val="MT4-28385"/>
        <filter val="MT4-28386"/>
        <filter val="MT4-28387"/>
        <filter val="MT4-28388"/>
        <filter val="MT4-28389"/>
        <filter val="MT4-28390"/>
        <filter val="MT4-28391"/>
        <filter val="MT4-28392"/>
        <filter val="MT4-28393"/>
        <filter val="MT4-28394"/>
        <filter val="MT4-28395"/>
        <filter val="MT4-28396"/>
        <filter val="MT4-28397"/>
        <filter val="MT4-28398"/>
        <filter val="MT4-28399"/>
        <filter val="MT4-28400"/>
        <filter val="MT4-28401"/>
        <filter val="MT4-28402"/>
        <filter val="MT4-28403"/>
        <filter val="MT4-28404"/>
        <filter val="MT4-28405"/>
        <filter val="MT4-28406"/>
        <filter val="MT4-28407"/>
        <filter val="MT4-28408"/>
        <filter val="MT4-28409"/>
        <filter val="MT4-28410"/>
        <filter val="MT4-28411"/>
        <filter val="MT4-28412"/>
        <filter val="MT4-28413"/>
        <filter val="MT4-28414"/>
        <filter val="MT4-28415"/>
        <filter val="MT4-28416"/>
        <filter val="MT4-28417"/>
        <filter val="MT4-28418"/>
        <filter val="MT4-28419"/>
        <filter val="MT4-28420"/>
        <filter val="MT4-28421"/>
        <filter val="MT4-28422"/>
        <filter val="MT4-28423"/>
        <filter val="MT4-28424"/>
        <filter val="MT4-28425"/>
        <filter val="MT4-28426"/>
        <filter val="MT4-28427"/>
        <filter val="MT4-28428"/>
        <filter val="MT4-28429"/>
        <filter val="MT4-28430"/>
        <filter val="MT4-28431"/>
        <filter val="MT4-28432"/>
        <filter val="MT4-28433"/>
        <filter val="MT4-28434"/>
        <filter val="MT4-28435"/>
        <filter val="MT4-28436"/>
        <filter val="MT4-28437"/>
        <filter val="MT4-28438"/>
        <filter val="MT4-28439"/>
        <filter val="MT4-28440"/>
        <filter val="MT4-28441"/>
        <filter val="MT4-28442"/>
        <filter val="MT4-28443"/>
        <filter val="MT4-28444"/>
        <filter val="MT4-28445"/>
        <filter val="MT4-28446"/>
        <filter val="MT4-28447"/>
        <filter val="MT4-28448"/>
        <filter val="MT4-28449"/>
        <filter val="MT4-28450"/>
        <filter val="MT4-28451"/>
        <filter val="MT4-28452"/>
        <filter val="MT4-28453"/>
        <filter val="MT4-28454"/>
        <filter val="MT4-28455"/>
        <filter val="MT4-28456"/>
        <filter val="MT4-28457"/>
        <filter val="MT4-28459"/>
        <filter val="MT4-28460"/>
        <filter val="MT4-28461"/>
        <filter val="MT4-28462"/>
        <filter val="MT4-28463"/>
        <filter val="MT4-28464"/>
        <filter val="MT4-28465"/>
        <filter val="MT4-28466"/>
        <filter val="MT4-28467"/>
        <filter val="MT4-28468"/>
        <filter val="MT4-28469"/>
        <filter val="MT4-28470"/>
        <filter val="MT4-28471"/>
        <filter val="MT4-28472"/>
        <filter val="MT4-28473"/>
        <filter val="MT4-28474"/>
        <filter val="MT4-28475"/>
        <filter val="MT4-28476"/>
        <filter val="MT4-28477"/>
        <filter val="MT4-28478"/>
        <filter val="MT4-28479"/>
        <filter val="MT4-28480"/>
        <filter val="MT4-28481"/>
        <filter val="MT4-28482"/>
        <filter val="MT4-28483"/>
        <filter val="MT4-28484"/>
        <filter val="MT4-28485"/>
        <filter val="MT4-28503"/>
        <filter val="MT4-28504"/>
        <filter val="MT4-28505"/>
        <filter val="MT4-28506"/>
        <filter val="MT4-28507"/>
        <filter val="MT4-28508"/>
        <filter val="MT4-28509"/>
        <filter val="MT4-28510"/>
        <filter val="MT4-28511"/>
        <filter val="MT4-28512"/>
        <filter val="MT4-28513"/>
        <filter val="MT4-28514"/>
        <filter val="MT4-28515"/>
        <filter val="MT4-28516"/>
        <filter val="MT4-28517"/>
        <filter val="MT4-28518"/>
        <filter val="MT4-28519"/>
        <filter val="MT4-28520"/>
        <filter val="MT4-28521"/>
        <filter val="MT4-28522"/>
        <filter val="MT4-28523"/>
        <filter val="MT4-28524"/>
        <filter val="MT4-28525"/>
        <filter val="MT4-28526"/>
        <filter val="MT4-28527"/>
        <filter val="MT4-28528"/>
        <filter val="MT4-28529"/>
        <filter val="MT4-28530"/>
        <filter val="MT4-28531"/>
        <filter val="MT4-28532"/>
        <filter val="MT4-28533"/>
        <filter val="MT4-28534"/>
        <filter val="MT4-28535"/>
        <filter val="MT4-28536"/>
        <filter val="MT4-28537"/>
        <filter val="MT4-28538"/>
        <filter val="MT4-28539"/>
        <filter val="MT4-28540"/>
        <filter val="MT4-28541"/>
        <filter val="MT4-28542"/>
        <filter val="MT4-28543"/>
        <filter val="MT4-28544"/>
        <filter val="MT4-28545"/>
        <filter val="MT4-28546"/>
        <filter val="MT4-28547"/>
        <filter val="MT4-28548"/>
        <filter val="MT4-28549"/>
        <filter val="MT4-28550"/>
        <filter val="MT4-28551"/>
        <filter val="MT4-28552"/>
        <filter val="MT4-28556"/>
        <filter val="MT4-28557"/>
        <filter val="MT4-28558"/>
        <filter val="MT4-28559"/>
        <filter val="MT4-28560"/>
        <filter val="MT4-28561"/>
        <filter val="MT4-28562"/>
        <filter val="MT4-28563"/>
        <filter val="MT4-28564"/>
        <filter val="MT4-28565"/>
        <filter val="MT4-28566"/>
        <filter val="MT4-28567"/>
        <filter val="MT4-28568"/>
        <filter val="MT4-28569"/>
        <filter val="MT4-28570"/>
        <filter val="MT4-28571"/>
        <filter val="MT4-28572"/>
        <filter val="MT4-28573"/>
        <filter val="MT4-28574"/>
        <filter val="MT4-28575"/>
        <filter val="MT4-28576"/>
        <filter val="MT4-28577"/>
        <filter val="MT4-28578"/>
        <filter val="MT4-28579"/>
        <filter val="MT4-28580"/>
        <filter val="MT4-28581"/>
        <filter val="MT4-28582"/>
        <filter val="MT4-28583"/>
        <filter val="MT4-28584"/>
        <filter val="MT4-28585"/>
        <filter val="MT4-28586"/>
        <filter val="MT4-28587"/>
        <filter val="MT4-29045"/>
        <filter val="MT4-29046"/>
        <filter val="MT4-29047"/>
        <filter val="MT4-29048"/>
        <filter val="MT4-29050"/>
        <filter val="MT4-29051"/>
        <filter val="MT4-29052"/>
        <filter val="MT4-29053"/>
        <filter val="MT4-29056"/>
        <filter val="MT4-29057"/>
        <filter val="MT4-29058"/>
        <filter val="MT4-29059"/>
        <filter val="MT4-29060"/>
        <filter val="MT4-29061"/>
        <filter val="MT4-29062"/>
        <filter val="MT4-29063"/>
        <filter val="MT4-29064"/>
        <filter val="MT4-29065"/>
        <filter val="MT4-29066"/>
        <filter val="MT4-29067"/>
        <filter val="MT4-29068"/>
        <filter val="MT4-29069"/>
        <filter val="MT4-29070"/>
        <filter val="MT4-29071"/>
        <filter val="MT4-29072"/>
        <filter val="MT5-26645"/>
        <filter val="MT5-26647"/>
        <filter val="MT5-26648"/>
        <filter val="MT5-26649"/>
        <filter val="MT5-26790"/>
        <filter val="MT5-28281"/>
        <filter val="MT5-28282"/>
        <filter val="MT5-28283"/>
        <filter val="MT5-28295"/>
        <filter val="MT5-28296"/>
        <filter val="MT5-28297"/>
        <filter val="MT5-28309"/>
        <filter val="MT5-28333"/>
        <filter val="MT5-28334"/>
        <filter val="MT5-28377"/>
        <filter val="MT5-28378"/>
        <filter val="MT5-28379"/>
        <filter val="MT5-28380"/>
        <filter val="MT5-28381"/>
        <filter val="MT5-28390"/>
        <filter val="MT5-28391"/>
        <filter val="MT5-28392"/>
        <filter val="MT6-6203"/>
        <filter val="MT6-6204"/>
        <filter val="MT6-6205"/>
        <filter val="MT6-7275_x000a_MT3-12992"/>
        <filter val="MT6-7276_x000a_MT3-12993"/>
        <filter val="MT6-7277_x000a_MT3-12996"/>
        <filter val="MT6-7278_x000a_MT3-12999"/>
        <filter val="MT6-7279_x000a_MT3-13002"/>
        <filter val="MT6-7280_x000a_MT3-13006"/>
        <filter val="MT6-7284_x000a_MT3-13010"/>
        <filter val="MT6-7285_x000a_MT3-13013"/>
        <filter val="MT6-7286"/>
        <filter val="MT6-7287"/>
        <filter val="MT6-7288"/>
        <filter val="MT6-7289_x000a_MT3-13019"/>
        <filter val="MT6-7290"/>
        <filter val="MT6-7294"/>
        <filter val="MT6-7295_x000a_MT3-13157"/>
        <filter val="MT6-7318"/>
      </filters>
    </filterColumn>
    <filterColumn colId="16">
      <filters>
        <filter val="MTC-0020"/>
      </filters>
    </filterColumn>
    <filterColumn colId="65" showButton="0"/>
    <filterColumn colId="66" showButton="0"/>
  </autoFilter>
  <mergeCells count="1">
    <mergeCell ref="BN1:BP1"/>
  </mergeCells>
  <phoneticPr fontId="5" type="noConversion"/>
  <printOptions horizontalCentered="1" verticalCentered="1"/>
  <pageMargins left="0" right="0" top="0.78740157480314965" bottom="0.78740157480314965" header="0.31496062992125984" footer="0.31496062992125984"/>
  <pageSetup paperSize="9" scale="65" orientation="landscape" verticalDpi="0" r:id="rId1"/>
  <ignoredErrors>
    <ignoredError sqref="H976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Neves</dc:creator>
  <cp:lastModifiedBy>Robson Neves</cp:lastModifiedBy>
  <cp:lastPrinted>2024-10-18T22:17:26Z</cp:lastPrinted>
  <dcterms:created xsi:type="dcterms:W3CDTF">2024-10-17T23:12:29Z</dcterms:created>
  <dcterms:modified xsi:type="dcterms:W3CDTF">2025-05-06T11:19:10Z</dcterms:modified>
</cp:coreProperties>
</file>